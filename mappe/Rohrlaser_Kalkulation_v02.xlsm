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comment2.xml" ContentType="application/vnd.openxmlformats-officedocument.spreadsheetml.comments+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omments/comment3.xml" ContentType="application/vnd.openxmlformats-officedocument.spreadsheetml.comments+xml"/>
  <Override PartName="/xl/worksheets/sheet16.xml" ContentType="application/vnd.openxmlformats-officedocument.spreadsheetml.worksheet+xml"/>
  <Override PartName="/xl/comments/comment4.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Staffeln" sheetId="4" state="visible" r:id="rId4"/>
    <sheet xmlns:r="http://schemas.openxmlformats.org/officeDocument/2006/relationships" name="Staffelpreise" sheetId="5" state="visible" r:id="rId5"/>
    <sheet xmlns:r="http://schemas.openxmlformats.org/officeDocument/2006/relationships" name="Angebot" sheetId="6" state="visible" r:id="rId6"/>
    <sheet xmlns:r="http://schemas.openxmlformats.org/officeDocument/2006/relationships" name="Werkstattpapier" sheetId="7" state="visible" r:id="rId7"/>
    <sheet xmlns:r="http://schemas.openxmlformats.org/officeDocument/2006/relationships" name="Schnittplan" sheetId="8" state="visible" r:id="rId8"/>
    <sheet xmlns:r="http://schemas.openxmlformats.org/officeDocument/2006/relationships" name="Stangenbelegung" sheetId="9" state="visible" r:id="rId9"/>
    <sheet xmlns:r="http://schemas.openxmlformats.org/officeDocument/2006/relationships" name="Auswertung" sheetId="10" state="visible" r:id="rId10"/>
    <sheet xmlns:r="http://schemas.openxmlformats.org/officeDocument/2006/relationships" name="Listen" sheetId="11" state="visible" r:id="rId11"/>
    <sheet xmlns:r="http://schemas.openxmlformats.org/officeDocument/2006/relationships" name="Profile" sheetId="12" state="visible" r:id="rId12"/>
    <sheet xmlns:r="http://schemas.openxmlformats.org/officeDocument/2006/relationships" name="Werkstoffe" sheetId="13" state="visible" r:id="rId13"/>
    <sheet xmlns:r="http://schemas.openxmlformats.org/officeDocument/2006/relationships" name="Preise" sheetId="14" state="visible" r:id="rId14"/>
    <sheet xmlns:r="http://schemas.openxmlformats.org/officeDocument/2006/relationships" name="Maschinen" sheetId="15" state="visible" r:id="rId15"/>
    <sheet xmlns:r="http://schemas.openxmlformats.org/officeDocument/2006/relationships" name="Schneiddaten" sheetId="16" state="visible" r:id="rId16"/>
    <sheet xmlns:r="http://schemas.openxmlformats.org/officeDocument/2006/relationships" name="Gewinde" sheetId="17" state="visible" r:id="rId17"/>
    <sheet xmlns:r="http://schemas.openxmlformats.org/officeDocument/2006/relationships" name="STEP-Import" sheetId="18" state="visible" r:id="rId18"/>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1">'Auftrag'!$12:$12</definedName>
    <definedName name="_xlnm.Print_Titles" localSheetId="2">'Kalkulation'!$12:$12</definedName>
    <definedName name="_xlnm.Print_Titles" localSheetId="3">'Staffeln'!$4:$4</definedName>
    <definedName name="_xlnm.Print_Titles" localSheetId="4">'Staffelpreise'!$4:$4</definedName>
    <definedName name="_xlnm.Print_Titles" localSheetId="5">'Angebot'!$13:$13</definedName>
    <definedName name="_xlnm.Print_Area" localSheetId="5">'Angebot'!$A$1:$F$60</definedName>
    <definedName name="_xlnm.Print_Titles" localSheetId="7">'Schnittplan'!$4:$4</definedName>
    <definedName name="_xlnm.Print_Titles" localSheetId="8">'Stangenbelegung'!$4:$4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51">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1"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3" fontId="8" fillId="3" borderId="1" pivotButton="0" quotePrefix="0" xfId="0"/>
    <xf numFmtId="4" fontId="6" fillId="3" borderId="1" pivotButton="0" quotePrefix="0" xfId="0"/>
    <xf numFmtId="4" fontId="8"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0" fontId="8" fillId="3" borderId="1" pivotButton="0" quotePrefix="0" xfId="0"/>
    <xf numFmtId="4" fontId="5" fillId="2"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0" fontId="3" fillId="0" borderId="0" applyAlignment="1" pivotButton="0" quotePrefix="0" xfId="0">
      <alignment horizontal="right"/>
    </xf>
    <xf numFmtId="0" fontId="4" fillId="0" borderId="0" applyAlignment="1" pivotButton="0" quotePrefix="0" xfId="0">
      <alignment horizontal="right"/>
    </xf>
    <xf numFmtId="165" fontId="4" fillId="0" borderId="0" applyAlignment="1" pivotButton="0" quotePrefix="0" xfId="0">
      <alignment horizontal="right"/>
    </xf>
    <xf numFmtId="1" fontId="4" fillId="0" borderId="0" applyAlignment="1" pivotButton="0" quotePrefix="0" xfId="0">
      <alignment horizontal="righ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 ref="AP12" authorId="0" shapeId="0">
      <text>
        <t>Preis je Meter nur für diesen Auftrag. Gefüllt schlägt er Blatt 'Preise' und Tonnenpreis. Gilt für alle Positionen mit gleichem Profil, Werkstoff und gleicher Stangenlänge.</t>
      </text>
    </comment>
    <comment ref="AQ12" authorId="0" shapeId="0">
      <text>
        <t>Satzbezeichnung, z. B. 'Rahmen'. Positionen mit gleichem Eintrag bilden einen Satz und erscheinen im Angebot als ein Block mit einem Satzpreis. Leer = Einzelteil.</t>
      </text>
    </comment>
    <comment ref="AR12" authorId="0" shapeId="0">
      <text>
        <t>Wie oft dieses Teil in einem Satz steckt. Anzahl Sätze = Stückzahl / Stück je Satz; die Stückzahl in Spalte G bleibt immer die Gesamtmenge.</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twoCellAnchor editAs="absolute">
    <xdr:from>
      <xdr:col>13</xdr:col>
      <xdr:colOff>0</xdr:colOff>
      <xdr:row>3</xdr:row>
      <xdr:rowOff>0</xdr:rowOff>
    </xdr:from>
    <xdr:to>
      <xdr:col>16</xdr:col>
      <xdr:colOff>0</xdr:colOff>
      <xdr:row>5</xdr:row>
      <xdr:rowOff>0</xdr:rowOff>
    </xdr:to>
    <xdr:sp macro="[0]!Optimieren" textlink="">
      <xdr:nvSpPr>
        <xdr:cNvPr id="2" name="Schaltfläche Optimieren"/>
        <xdr:cNvSpPr/>
      </xdr:nvSpPr>
      <xdr:spPr>
        <a:prstGeom prst="roundRect">
          <a:avLst/>
        </a:prstGeom>
        <a:solidFill>
          <a:srgbClr val="1F4E78"/>
        </a:solidFill>
        <a:ln>
          <a:noFill/>
        </a:ln>
      </xdr:spPr>
      <xdr:txBody>
        <a:bodyPr vertOverflow="clip" horzOverflow="clip" rtlCol="0" anchor="ctr"/>
        <a:lstStyle/>
        <a:p>
          <a:pPr algn="ctr"/>
          <a:r>
            <a:rPr lang="de-DE" sz="1100" b="1">
              <a:solidFill>
                <a:srgbClr val="FFFFFF"/>
              </a:solidFill>
              <a:latin typeface="Arial"/>
            </a:rPr>
            <a:t>Optimieren</a:t>
          </a:r>
        </a:p>
      </xdr:txBody>
    </xdr:sp>
    <xdr:clientData/>
  </xdr:twoCellAnchor>
  <xdr:twoCellAnchor editAs="absolute">
    <xdr:from>
      <xdr:col>13</xdr:col>
      <xdr:colOff>0</xdr:colOff>
      <xdr:row>6</xdr:row>
      <xdr:rowOff>0</xdr:rowOff>
    </xdr:from>
    <xdr:to>
      <xdr:col>16</xdr:col>
      <xdr:colOff>0</xdr:colOff>
      <xdr:row>8</xdr:row>
      <xdr:rowOff>0</xdr:rowOff>
    </xdr:to>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rtlCol="0" anchor="ctr"/>
        <a:lstStyle/>
        <a:p>
          <a:pPr algn="ctr"/>
          <a:r>
            <a:rPr lang="de-DE" sz="1100" b="1">
              <a:solidFill>
                <a:srgbClr val="FFFFFF"/>
              </a:solidFill>
              <a:latin typeface="Arial"/>
            </a:rPr>
            <a:t>STEP importieren</a:t>
          </a:r>
        </a:p>
      </xdr:txBody>
    </xdr:sp>
    <xdr:clientData/>
  </xdr:twoCellAnchor>
  <xdr:twoCellAnchor editAs="absolute">
    <xdr:from>
      <xdr:col>17</xdr:col>
      <xdr:colOff>0</xdr:colOff>
      <xdr:row>3</xdr:row>
      <xdr:rowOff>0</xdr:rowOff>
    </xdr:from>
    <xdr:to>
      <xdr:col>20</xdr:col>
      <xdr:colOff>0</xdr:colOff>
      <xdr:row>5</xdr:row>
      <xdr:rowOff>0</xdr:rowOff>
    </xdr:to>
    <xdr:sp macro="[0]!NeuerAuftrag" textlink="">
      <xdr:nvSpPr>
        <xdr:cNvPr id="4" name="Schaltfläche NeuerAuftrag"/>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Neuer Auftrag</a:t>
          </a:r>
        </a:p>
      </xdr:txBody>
    </xdr:sp>
    <xdr:clientData/>
  </xdr:twoCellAnchor>
  <xdr:twoCellAnchor editAs="absolute">
    <xdr:from>
      <xdr:col>17</xdr:col>
      <xdr:colOff>0</xdr:colOff>
      <xdr:row>6</xdr:row>
      <xdr:rowOff>0</xdr:rowOff>
    </xdr:from>
    <xdr:to>
      <xdr:col>20</xdr:col>
      <xdr:colOff>0</xdr:colOff>
      <xdr:row>8</xdr:row>
      <xdr:rowOff>0</xdr:rowOff>
    </xdr:to>
    <xdr:sp macro="[0]!AuftragSpeichernAls" textlink="">
      <xdr:nvSpPr>
        <xdr:cNvPr id="5" name="Schaltfläche AuftragSpeichernAls"/>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Auftrag speichern</a:t>
          </a:r>
        </a:p>
      </xdr:txBody>
    </xdr:sp>
    <xdr:clientData/>
  </xdr:twoCellAnchor>
  <xdr:twoCellAnchor editAs="absolute">
    <xdr:from>
      <xdr:col>21</xdr:col>
      <xdr:colOff>0</xdr:colOff>
      <xdr:row>3</xdr:row>
      <xdr:rowOff>0</xdr:rowOff>
    </xdr:from>
    <xdr:to>
      <xdr:col>23</xdr:col>
      <xdr:colOff>0</xdr:colOff>
      <xdr:row>5</xdr:row>
      <xdr:rowOff>0</xdr:rowOff>
    </xdr:to>
    <xdr:sp macro="[0]!WerkstattpapiereDrucken" textlink="">
      <xdr:nvSpPr>
        <xdr:cNvPr id="6" name="Schaltfläche Werkstattpapiere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Werkstattpapiere (PDF)</a:t>
          </a:r>
        </a:p>
      </xdr:txBody>
    </xdr:sp>
    <xdr:clientData/>
  </xdr:twoCellAnchor>
  <xdr:twoCellAnchor editAs="absolute">
    <xdr:from>
      <xdr:col>21</xdr:col>
      <xdr:colOff>0</xdr:colOff>
      <xdr:row>6</xdr:row>
      <xdr:rowOff>0</xdr:rowOff>
    </xdr:from>
    <xdr:to>
      <xdr:col>23</xdr:col>
      <xdr:colOff>0</xdr:colOff>
      <xdr:row>8</xdr:row>
      <xdr:rowOff>0</xdr:rowOff>
    </xdr:to>
    <xdr:sp macro="[0]!AngebotDrucken" textlink="">
      <xdr:nvSpPr>
        <xdr:cNvPr id="7" name="Schaltfläche Angebot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Angebot (PDF)</a:t>
          </a:r>
        </a:p>
      </xdr:txBody>
    </xdr:sp>
    <xdr:clientData/>
  </xdr:twoCellAnchor>
  <xdr:twoCellAnchor editAs="absolute">
    <xdr:from>
      <xdr:col>13</xdr:col>
      <xdr:colOff>0</xdr:colOff>
      <xdr:row>9</xdr:row>
      <xdr:rowOff>0</xdr:rowOff>
    </xdr:from>
    <xdr:to>
      <xdr:col>16</xdr:col>
      <xdr:colOff>0</xdr:colOff>
      <xdr:row>11</xdr:row>
      <xdr:rowOff>0</xdr:rowOff>
    </xdr:to>
    <xdr:sp macro="[0]!StaffelpreiseRechnen" textlink="">
      <xdr:nvSpPr>
        <xdr:cNvPr id="8" name="Schaltfläche StaffelpreiseRechnen"/>
        <xdr:cNvSpPr/>
      </xdr:nvSpPr>
      <xdr:spPr>
        <a:prstGeom prst="roundRect">
          <a:avLst/>
        </a:prstGeom>
        <a:solidFill>
          <a:srgbClr val="7030A0"/>
        </a:solidFill>
        <a:ln>
          <a:noFill/>
        </a:ln>
      </xdr:spPr>
      <xdr:txBody>
        <a:bodyPr vertOverflow="clip" horzOverflow="clip" rtlCol="0" anchor="ctr"/>
        <a:lstStyle/>
        <a:p>
          <a:pPr algn="ctr"/>
          <a:r>
            <a:rPr lang="de-DE" sz="1100" b="1">
              <a:solidFill>
                <a:srgbClr val="FFFFFF"/>
              </a:solidFill>
              <a:latin typeface="Arial"/>
            </a:rPr>
            <a:t>Staffelpreise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62"/>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Staffeln</t>
        </is>
      </c>
      <c r="B20" s="5" t="inlineStr">
        <is>
          <t>Mengenstufen je Satz oder Position (Eingabe): welche Stückzahlen zusätzlich gerechnet werden sollen.</t>
        </is>
      </c>
    </row>
    <row r="21">
      <c r="A21" s="8" t="inlineStr">
        <is>
          <t>Staffelpreise</t>
        </is>
      </c>
      <c r="B21" s="5" t="inlineStr">
        <is>
          <t>Ergebnis von 'Staffelpreise': je Mengenstufe ein eigener Rechenlauf mit Stangen, Kosten und Preis je Satz bzw. Stück.</t>
        </is>
      </c>
    </row>
    <row r="22">
      <c r="A22" s="8" t="inlineStr">
        <is>
          <t>Werkstattpapier</t>
        </is>
      </c>
      <c r="B22" s="5" t="inlineStr">
        <is>
          <t>Wird von 'Werkstattpapiere (PDF)' gefüllt: Materialliste und je Stange die Teile in Schnittreihenfolge (gleiche Stangen zusammengefasst).</t>
        </is>
      </c>
    </row>
    <row r="23">
      <c r="A23" s="8" t="inlineStr">
        <is>
          <t>Schnittplan</t>
        </is>
      </c>
      <c r="B23" s="5" t="inlineStr">
        <is>
          <t>Ergebnis der Optimierung: eine Zeile je Stange mit Belegung, Rest, Ausnutzung und Prüfung gegen Überbelegung.</t>
        </is>
      </c>
    </row>
    <row r="24">
      <c r="A24" s="8" t="inlineStr">
        <is>
          <t>Stangenbelegung</t>
        </is>
      </c>
      <c r="B24" s="5" t="inlineStr">
        <is>
          <t>Ergebnis der Optimierung: eine Zeile je Teil mit Lage auf der Stange (von/bis) und Art der Trennung.</t>
        </is>
      </c>
    </row>
    <row r="25">
      <c r="A25" s="8" t="inlineStr">
        <is>
          <t>Auswertung</t>
        </is>
      </c>
      <c r="B25" s="5" t="inlineStr">
        <is>
          <t>Vergleich optimierte gegen einfache manuelle Einteilung, Liste nicht eingeplanter Teile.</t>
        </is>
      </c>
    </row>
    <row r="26">
      <c r="A26" s="8" t="inlineStr">
        <is>
          <t>Listen</t>
        </is>
      </c>
      <c r="B26" s="5" t="inlineStr">
        <is>
          <t>Auswahllisten (Profilform, Preisbasis).</t>
        </is>
      </c>
    </row>
    <row r="27">
      <c r="A27" s="8" t="inlineStr"/>
      <c r="B27" s="5" t="inlineStr"/>
    </row>
    <row r="28">
      <c r="A28" s="3" t="inlineStr">
        <is>
          <t>Arbeitsablauf</t>
        </is>
      </c>
    </row>
    <row r="29">
      <c r="A29" s="8" t="inlineStr">
        <is>
          <t>Bedienung</t>
        </is>
      </c>
      <c r="B29" s="5" t="inlineStr">
        <is>
          <t>Alle Funktionen stehen im Menüband auf der Registerkarte 'Rohrlaser' (auf jedem Blatt) und als Schaltflächen im Blatt 'Auftrag'.</t>
        </is>
      </c>
    </row>
    <row r="30">
      <c r="A30" s="8" t="inlineStr">
        <is>
          <t>0.</t>
        </is>
      </c>
      <c r="B30" s="5" t="inlineStr">
        <is>
          <t>'Neuer Auftrag' leert Positionen und Ergebnisse, zählt die Auftragsnummer hoch und setzt das Datum. Stammdaten, Maschine und Stangenlänge bleiben. Vorher wird gefragt, ob der bisherige Auftrag gespeichert werden soll.</t>
        </is>
      </c>
    </row>
    <row r="31">
      <c r="A31" s="8" t="inlineStr">
        <is>
          <t>1.</t>
        </is>
      </c>
      <c r="B31" s="5" t="inlineStr">
        <is>
          <t>Stammdaten pflegen (Profile, Werkstoffe, Preise, Maschinen, Schneiddaten). Die vorhandenen Zeilen sind BEISPIELWERTE und müssen durch eigene Daten ersetzt werden.</t>
        </is>
      </c>
    </row>
    <row r="32">
      <c r="A32" s="8" t="inlineStr">
        <is>
          <t>2.</t>
        </is>
      </c>
      <c r="B32" s="5" t="inlineStr">
        <is>
          <t>Auftragskopf ausfüllen, Maschine wählen, Standard-Stangenlänge prüfen (Vorgabe 6.000 mm).</t>
        </is>
      </c>
    </row>
    <row r="33">
      <c r="A33" s="8" t="inlineStr">
        <is>
          <t>3.</t>
        </is>
      </c>
      <c r="B33" s="5" t="inlineStr">
        <is>
          <t>Positionen eintragen (Profil und Werkstoff per Auswahlliste) oder im Blatt 'Auftrag' auf 'STEP importieren' klicken und STEP-Dateien wählen. Dafür muss der Ordner 'STEP-Import' (mit STEP-Import.exe) neben der Mappe liegen.</t>
        </is>
      </c>
    </row>
    <row r="34">
      <c r="A34" s="8" t="inlineStr">
        <is>
          <t>4.</t>
        </is>
      </c>
      <c r="B34" s="5" t="inlineStr">
        <is>
          <t>Status-Spalte prüfen: FEHLER muss behoben werden, WARNUNG/HINWEIS sollte geprüft werden.</t>
        </is>
      </c>
    </row>
    <row r="35">
      <c r="A35" s="8" t="inlineStr">
        <is>
          <t>5.</t>
        </is>
      </c>
      <c r="B35" s="5" t="inlineStr">
        <is>
          <t>'Optimieren' klicken: füllt Schnittplan, Stangenbelegung und Auswertung. Danach Blatt 'Kalkulation' prüfen. 'Stand Optimierung' (Auftrag C10, Kalkulation C10) zeigt VERALTET, sobald sich danach Auftrag, Profile, Werkstoffe oder Maschinen ändern.</t>
        </is>
      </c>
    </row>
    <row r="36">
      <c r="A36" s="8" t="inlineStr">
        <is>
          <t>6.</t>
        </is>
      </c>
      <c r="B36" s="5" t="inlineStr">
        <is>
          <t>'Werkstattpapiere (PDF)', 'Angebot (PDF)' oder 'Kalkulation (PDF)': erzeugt die PDF-Datei im Ordner 'Aufträge' neben der Mappe und öffnet sie. Ist die Optimierung veraltet, wird vorher gefragt, ob neu optimiert wird.</t>
        </is>
      </c>
    </row>
    <row r="37">
      <c r="A37" s="8" t="inlineStr">
        <is>
          <t>6a.</t>
        </is>
      </c>
      <c r="B37" s="5" t="inlineStr">
        <is>
          <t>Staffelpreise: im Blatt 'Staffeln' je Satz oder Position die gewünschten Mengen eintragen und 'Staffelpreise' klicken. Jede Stufe wird als eigener Auftrag komplett neu gerechnet (Stangenbedarf, Verschnitt, Rüsten, Stangenwechsel); das Ergebnis steht im Blatt 'Staffelpreise' und im Angebot unter den Positionen. Der ursprüngliche Auftrag wird danach wiederhergestellt.</t>
        </is>
      </c>
    </row>
    <row r="38">
      <c r="A38" s="8" t="inlineStr">
        <is>
          <t>7.</t>
        </is>
      </c>
      <c r="B38" s="5" t="inlineStr">
        <is>
          <t>'Auftrag speichern als' legt eine Kopie der Mappe als '&lt;Auftragsnummer&gt; &lt;Kunde&gt;.xlsm' im Ordner 'Aufträge' ab. Die geöffnete Mappe bleibt die Vorlage für den nächsten Auftrag.</t>
        </is>
      </c>
    </row>
    <row r="39">
      <c r="A39" s="8" t="inlineStr"/>
      <c r="B39" s="5" t="inlineStr"/>
    </row>
    <row r="40">
      <c r="A40" s="3" t="inlineStr">
        <is>
          <t>Annahmen</t>
        </is>
      </c>
    </row>
    <row r="41">
      <c r="A41" s="8" t="inlineStr">
        <is>
          <t>A1</t>
        </is>
      </c>
      <c r="B41"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42">
      <c r="A42" s="8" t="inlineStr">
        <is>
          <t>A2</t>
        </is>
      </c>
      <c r="B42" s="5" t="inlineStr">
        <is>
          <t>Ein Auftrag je Blatt 'Auftrag'. Alle Positionen laufen auf der im Kopf gewählten Maschine.</t>
        </is>
      </c>
    </row>
    <row r="43">
      <c r="A43" s="8" t="inlineStr">
        <is>
          <t>A3</t>
        </is>
      </c>
      <c r="B43" s="5" t="inlineStr">
        <is>
          <t>Stangenlänge: Standard aus dem Auftragskopf, je Position abweichend überschreibbar (Spalte J).</t>
        </is>
      </c>
    </row>
    <row r="44">
      <c r="A44" s="8" t="inlineStr">
        <is>
          <t>A4</t>
        </is>
      </c>
      <c r="B44" s="5" t="inlineStr">
        <is>
          <t>Endbeschnitt und Greiferrest kommen von der Maschine; ist am Profil ein abweichender Wert eingetragen, gilt der Profilwert.</t>
        </is>
      </c>
    </row>
    <row r="45">
      <c r="A45" s="8" t="inlineStr">
        <is>
          <t>A5</t>
        </is>
      </c>
      <c r="B45" s="5" t="inlineStr">
        <is>
          <t>Nutzlänge je Stange = Stangenlänge − Endbeschnitt − Greiferrest. Ein Teil passt nur, wenn Teilelänge + Schnittverlust ≤ Nutzlänge; die genaue Belegungsregel steht in A15.</t>
        </is>
      </c>
    </row>
    <row r="46">
      <c r="A46" s="8" t="inlineStr">
        <is>
          <t>A6</t>
        </is>
      </c>
      <c r="B46" s="5" t="inlineStr">
        <is>
          <t>Querschnitt berechnet ohne Eckradien (Quadrat-/Rechteckrohr ca. 1–4 % zu schwer). Für exakte Gewichte den Herstellerwert in 'Fläche manuell' eintragen; Sonderprofile benötigen immer 'Fläche manuell'.</t>
        </is>
      </c>
    </row>
    <row r="47">
      <c r="A47" s="8" t="inlineStr">
        <is>
          <t>A7</t>
        </is>
      </c>
      <c r="B47" s="5" t="inlineStr">
        <is>
          <t>Metergewicht [kg/m] = Querschnitt [mm²] × Dichte [kg/dm³] / 1000.</t>
        </is>
      </c>
    </row>
    <row r="48">
      <c r="A48" s="8" t="inlineStr">
        <is>
          <t>A8</t>
        </is>
      </c>
      <c r="B48" s="5" t="inlineStr">
        <is>
          <t>Keine Restlagerverwaltung: Reststücke werden nur als Verschnitt ausgewiesen (Entscheidung vom 15.10.2026).</t>
        </is>
      </c>
    </row>
    <row r="49">
      <c r="A49" s="8" t="inlineStr">
        <is>
          <t>A9</t>
        </is>
      </c>
      <c r="B49" s="5" t="inlineStr">
        <is>
          <t>Kapazität: 300 Zeilen je Stammdatenblatt, 500 Auftragspositionen. Erweiterbar, indem Formelzeilen nach unten kopiert und die Namen in Formeln &gt; Namens-Manager angepasst werden.</t>
        </is>
      </c>
    </row>
    <row r="50">
      <c r="A50" s="8" t="inlineStr">
        <is>
          <t>A10</t>
        </is>
      </c>
      <c r="B50" s="5" t="inlineStr">
        <is>
          <t>Einheiten: Längen in mm, Gewicht in kg, Preise in € netto.</t>
        </is>
      </c>
    </row>
    <row r="51">
      <c r="A51" s="8" t="inlineStr">
        <is>
          <t>A11</t>
        </is>
      </c>
      <c r="B51"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52">
      <c r="A52" s="8" t="inlineStr">
        <is>
          <t>A12</t>
        </is>
      </c>
      <c r="B52" s="5" t="inlineStr">
        <is>
          <t>Schneidweg (Spalte H) = Anfangsschnitt + Endschnitt + Innenkonturen (AC). Gravuren (nicht durchgehende Konturen) stehen separat in AD und sind nicht im Schneidweg enthalten.</t>
        </is>
      </c>
    </row>
    <row r="53">
      <c r="A53" s="8" t="inlineStr">
        <is>
          <t>A13</t>
        </is>
      </c>
      <c r="B53"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4">
      <c r="A54" s="8" t="inlineStr">
        <is>
          <t>A15</t>
        </is>
      </c>
      <c r="B54"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5">
      <c r="A55" s="8" t="inlineStr">
        <is>
          <t>A16</t>
        </is>
      </c>
      <c r="B55"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6">
      <c r="A56" s="8" t="inlineStr">
        <is>
          <t>A17</t>
        </is>
      </c>
      <c r="B56"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7">
      <c r="A57" s="8" t="inlineStr">
        <is>
          <t>A18</t>
        </is>
      </c>
      <c r="B57"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8">
      <c r="A58" s="8" t="inlineStr">
        <is>
          <t>A20</t>
        </is>
      </c>
      <c r="B58" s="5" t="inlineStr">
        <is>
          <t>Materialpreis je Auftrag: In Spalte AP des Auftrags kann je Position ein Preis in €/m eingetragen werden. Er gilt für alle Positionen mit gleichem Profil, Werkstoff und gleicher Stangenlänge und schlägt Blatt 'Preise' und den Tonnenpreis. Reihenfolge: Auftrag (AP) vor 'Preise' (€/kg, €/m, €/Stange) vor Tonnenpreis des Werkstoffs.</t>
        </is>
      </c>
    </row>
    <row r="59">
      <c r="A59" s="8" t="inlineStr">
        <is>
          <t>A19</t>
        </is>
      </c>
      <c r="B59" s="5" t="inlineStr">
        <is>
          <t>Angebot: Einzelpreis = Verkaufspreis je Teil aus der Kalkulation, auf Cent gerundet; Gesamtpreis = Einzelpreis × Menge. Positionen mit Hinweis in der Kalkulation (z. B. ohne Preis oder nicht eingeplant) werden vor dem Erstellen gemeldet.</t>
        </is>
      </c>
    </row>
    <row r="60">
      <c r="A60" s="8" t="inlineStr">
        <is>
          <t>A21</t>
        </is>
      </c>
      <c r="B60" s="5" t="inlineStr">
        <is>
          <t>Satz: Positionen mit gleichem Eintrag in Spalte AQ bilden einen Satz. Spalte AR sagt, wie oft ein Teil in einem Satz steckt; die Stückzahl in Spalte G bleibt immer die Gesamtmenge, Anzahl Sätze = G / AR. Im Angebot erscheint der Satz als ein Block mit Satzpreis, die Teile darunter nachrichtlich. Gerechnet wird weiterhin je Teil – ein Satz ändert die Optimierung nicht.</t>
        </is>
      </c>
    </row>
    <row r="61">
      <c r="A61" s="8" t="inlineStr">
        <is>
          <t>A22</t>
        </is>
      </c>
      <c r="B61" s="5" t="inlineStr">
        <is>
          <t>Staffelpreise: Jede Stufe ist ein eigener Rechenlauf, der nur die Positionen dieser Staffel enthält. Damit fallen Rüstzeit, Stangenwechsel und Verschnitt je Stufe neu an und der Stückpreis sinkt mit der Menge. Mengen anderer Staffeln werden nicht mitgerechnet, die Stufen sind also unabhängig voneinander kalkuliert.</t>
        </is>
      </c>
    </row>
    <row r="62">
      <c r="A62" s="8" t="inlineStr">
        <is>
          <t>A14</t>
        </is>
      </c>
      <c r="B62"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0"/>
    <pageSetUpPr fitToPage="1"/>
  </sheetPr>
  <dimension ref="A1:AR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hidden="1" outlineLevel="1" width="13" customWidth="1" min="11" max="22"/>
    <col width="34" customWidth="1" min="23" max="23"/>
    <col hidden="1" outlineLevel="1" width="11" customWidth="1" min="24" max="24"/>
    <col hidden="1" outlineLevel="1" width="10" customWidth="1" min="25" max="39"/>
    <col width="9" customWidth="1" min="40" max="40"/>
    <col width="9" customWidth="1" min="41" max="41"/>
    <col width="13" customWidth="1" min="42" max="42"/>
    <col width="14" customWidth="1" min="43" max="43"/>
    <col width="10" customWidth="1" min="44" max="44"/>
  </cols>
  <sheetData>
    <row r="1">
      <c r="A1" s="1" t="inlineStr">
        <is>
          <t>Auftrag – Eingabe</t>
        </is>
      </c>
    </row>
    <row r="2">
      <c r="A2" s="2" t="inlineStr">
        <is>
          <t>Kopf ausfüllen, dann Positionen ab Zeile 13. Status in Spalte W beachten. Beispielpositionen vor Gebrauch löschen (nur gelbe Zellen).</t>
        </is>
      </c>
    </row>
    <row r="3">
      <c r="F3" s="2" t="inlineStr">
        <is>
          <t>Maschinenwerte (aus Blatt 'Maschinen')</t>
        </is>
      </c>
      <c r="J3" s="2" t="inlineStr">
        <is>
          <t>Übersicht</t>
        </is>
      </c>
      <c r="N3" s="2" t="inlineStr">
        <is>
          <t>Alle Funktionen auch im Menüband 'Rohrlaser'</t>
        </is>
      </c>
    </row>
    <row r="4">
      <c r="A4" s="3" t="inlineStr">
        <is>
          <t>Auftragsnummer</t>
        </is>
      </c>
      <c r="C4" s="9" t="inlineStr">
        <is>
          <t>A-2026-0001</t>
        </is>
      </c>
      <c r="D4" s="10" t="n"/>
      <c r="F4" s="3" t="inlineStr">
        <is>
          <t>Endbeschnitt [mm]</t>
        </is>
      </c>
      <c r="H4" s="11">
        <f>IF($C$8="","",IFERROR(INDEX(Maschinen!$C$5:$C$304,MATCH($C$8,lst_Maschine,0)),"?"))</f>
        <v/>
      </c>
      <c r="J4" s="3" t="inlineStr">
        <is>
          <t>Positionen</t>
        </is>
      </c>
      <c r="M4" s="12">
        <f>COUNTIF($W$13:$W$512,"?*")</f>
        <v/>
      </c>
      <c r="N4" s="2" t="inlineStr">
        <is>
          <t>Eingabe: A–J, AP (Materialpreis abweichend), AQ/AR (Satz). Berechnetes (K–V, X) und STEP-Werte (Y–AM) sind zugeklappt – mit + über den Spaltenköpfen öffnen.</t>
        </is>
      </c>
    </row>
    <row r="5">
      <c r="A5" s="3" t="inlineStr">
        <is>
          <t>Kundennummer</t>
        </is>
      </c>
      <c r="C5" s="9" t="inlineStr">
        <is>
          <t>K-10045</t>
        </is>
      </c>
      <c r="D5" s="10" t="n"/>
      <c r="F5" s="3" t="inlineStr">
        <is>
          <t>Greiferrest [mm]</t>
        </is>
      </c>
      <c r="H5" s="11">
        <f>IF($C$8="","",IFERROR(INDEX(Maschinen!$D$5:$D$304,MATCH($C$8,lst_Maschine,0)),"?"))</f>
        <v/>
      </c>
      <c r="J5" s="3" t="inlineStr">
        <is>
          <t>davon FEHLER</t>
        </is>
      </c>
      <c r="M5" s="12">
        <f>COUNTIF($W$13:$W$512,"FEHLER*")</f>
        <v/>
      </c>
    </row>
    <row r="6">
      <c r="A6" s="3" t="inlineStr">
        <is>
          <t>Kundenname</t>
        </is>
      </c>
      <c r="C6" s="9" t="inlineStr">
        <is>
          <t>Beispiel GmbH</t>
        </is>
      </c>
      <c r="D6" s="10" t="n"/>
      <c r="F6" s="3" t="inlineStr">
        <is>
          <t>Schnittverlust [mm]</t>
        </is>
      </c>
      <c r="H6" s="13">
        <f>IF($C$8="","",IFERROR(INDEX(Maschinen!$E$5:$E$304,MATCH($C$8,lst_Maschine,0)),"?"))</f>
        <v/>
      </c>
      <c r="J6" s="3" t="inlineStr">
        <is>
          <t>davon WARNUNG/HINWEIS</t>
        </is>
      </c>
      <c r="M6" s="12">
        <f>COUNTIF($W$13:$W$512,"WARNUNG*")+COUNTIF($W$13:$W$512,"HINWEIS*")</f>
        <v/>
      </c>
    </row>
    <row r="7">
      <c r="A7" s="3" t="inlineStr">
        <is>
          <t>Datum</t>
        </is>
      </c>
      <c r="C7" s="14" t="n">
        <v>46310</v>
      </c>
      <c r="D7" s="10" t="n"/>
      <c r="F7" s="3" t="inlineStr">
        <is>
          <t>Max. Stangenlänge [mm]</t>
        </is>
      </c>
      <c r="H7" s="15">
        <f>IF($C$8="","",IFERROR(INDEX(Maschinen!$F$5:$F$304,MATCH($C$8,lst_Maschine,0)),"?"))</f>
        <v/>
      </c>
      <c r="J7" s="3" t="inlineStr">
        <is>
          <t>Teile gesamt [Stk]</t>
        </is>
      </c>
      <c r="M7" s="16">
        <f>SUM($G$13:$G$512)</f>
        <v/>
      </c>
    </row>
    <row r="8">
      <c r="A8" s="3" t="inlineStr">
        <is>
          <t>Maschine</t>
        </is>
      </c>
      <c r="C8" s="9" t="inlineStr">
        <is>
          <t>RL-1</t>
        </is>
      </c>
      <c r="D8" s="10" t="n"/>
      <c r="F8" s="3" t="inlineStr">
        <is>
          <t>Stundensatz [€/h]</t>
        </is>
      </c>
      <c r="H8" s="17">
        <f>IF($C$8="","",IFERROR(INDEX(Maschinen!$G$5:$G$304,MATCH($C$8,lst_Maschine,0)),"?"))</f>
        <v/>
      </c>
      <c r="J8" s="3" t="inlineStr">
        <is>
          <t>Teilelänge gesamt [m]</t>
        </is>
      </c>
      <c r="M8" s="18">
        <f>SUM($P$13:$P$512)/1000</f>
        <v/>
      </c>
    </row>
    <row r="9">
      <c r="A9" s="3" t="inlineStr">
        <is>
          <t>Standard-Stangenlänge [mm]</t>
        </is>
      </c>
      <c r="C9" s="19" t="n">
        <v>6000</v>
      </c>
      <c r="D9" s="10" t="n"/>
      <c r="F9" s="3" t="inlineStr">
        <is>
          <t>Abstand getr. Schnitte [mm]</t>
        </is>
      </c>
      <c r="H9" s="13">
        <f>IF($C$8="","",IFERROR(INDEX(Maschinen!$J$5:$J$304,MATCH($C$8,lst_Maschine,0)),"?"))</f>
        <v/>
      </c>
      <c r="J9" s="3" t="inlineStr">
        <is>
          <t>Teilegewicht gesamt [kg]</t>
        </is>
      </c>
      <c r="M9" s="18">
        <f>SUM($X$13:$X$512)</f>
        <v/>
      </c>
    </row>
    <row r="10">
      <c r="A10" s="3" t="inlineStr">
        <is>
          <t>Stand Optimierung</t>
        </is>
      </c>
      <c r="C10" s="20">
        <f>IF(COUNT(Schnittplan!$A$5:$A$1004)=0,"noch nicht optimiert",IF(Listen!$E$5="ja","VERALTET – Auftrag geändert, bitte neu optimieren","aktuell"))</f>
        <v/>
      </c>
      <c r="D10" s="21" t="n"/>
      <c r="E10" s="21" t="n"/>
      <c r="F10" s="21" t="n"/>
      <c r="G10" s="21" t="n"/>
      <c r="H10" s="10" t="n"/>
    </row>
    <row r="12" ht="60" customHeight="1">
      <c r="A12" s="22" t="inlineStr">
        <is>
          <t>Pos.</t>
        </is>
      </c>
      <c r="B12" s="22" t="inlineStr">
        <is>
          <t>Artikelnummer</t>
        </is>
      </c>
      <c r="C12" s="22" t="inlineStr">
        <is>
          <t>Bezeichnung</t>
        </is>
      </c>
      <c r="D12" s="22" t="inlineStr">
        <is>
          <t>Profil-ID</t>
        </is>
      </c>
      <c r="E12" s="22" t="inlineStr">
        <is>
          <t>Werkstoff-ID</t>
        </is>
      </c>
      <c r="F12" s="22" t="inlineStr">
        <is>
          <t>Teilelänge [mm]</t>
        </is>
      </c>
      <c r="G12" s="22" t="inlineStr">
        <is>
          <t>Stückzahl</t>
        </is>
      </c>
      <c r="H12" s="22" t="inlineStr">
        <is>
          <t>Schneidweg je Teil ohne Gravur [mm] (STEP)</t>
        </is>
      </c>
      <c r="I12" s="22" t="inlineStr">
        <is>
          <t>Einstiche je Teil (STEP)</t>
        </is>
      </c>
      <c r="J12" s="22" t="inlineStr">
        <is>
          <t>Stangenlänge abweichend [mm]</t>
        </is>
      </c>
      <c r="K12" s="22" t="inlineStr">
        <is>
          <t>Profilform</t>
        </is>
      </c>
      <c r="L12" s="22" t="inlineStr">
        <is>
          <t>Querschnitt [mm²]</t>
        </is>
      </c>
      <c r="M12" s="22" t="inlineStr">
        <is>
          <t>Wandstärke [mm]</t>
        </is>
      </c>
      <c r="N12" s="22" t="inlineStr">
        <is>
          <t>Metergewicht [kg/m]</t>
        </is>
      </c>
      <c r="O12" s="22" t="inlineStr">
        <is>
          <t>Gewicht je Teil [kg]</t>
        </is>
      </c>
      <c r="P12" s="22" t="inlineStr">
        <is>
          <t>Länge gesamt [mm]</t>
        </is>
      </c>
      <c r="Q12" s="22" t="inlineStr">
        <is>
          <t>Stangenlänge wirksam [mm]</t>
        </is>
      </c>
      <c r="R12" s="22" t="inlineStr">
        <is>
          <t>Endbeschnitt wirksam [mm]</t>
        </is>
      </c>
      <c r="S12" s="22" t="inlineStr">
        <is>
          <t>Greiferrest wirksam [mm]</t>
        </is>
      </c>
      <c r="T12" s="22" t="inlineStr">
        <is>
          <t>Nutzlänge Stange [mm]</t>
        </is>
      </c>
      <c r="U12" s="22" t="inlineStr">
        <is>
          <t>Preis hinterlegt</t>
        </is>
      </c>
      <c r="V12" s="22" t="inlineStr">
        <is>
          <t>Vorschub groß [mm/min]</t>
        </is>
      </c>
      <c r="W12" s="22" t="inlineStr">
        <is>
          <t>Status</t>
        </is>
      </c>
      <c r="X12" s="22" t="inlineStr">
        <is>
          <t>Gewicht Position [kg]</t>
        </is>
      </c>
      <c r="Y12" s="22" t="inlineStr">
        <is>
          <t>Anfangsschnitt gerade (STEP)</t>
        </is>
      </c>
      <c r="Z12" s="22" t="inlineStr">
        <is>
          <t>Anfangsschnitt [mm] (STEP)</t>
        </is>
      </c>
      <c r="AA12" s="22" t="inlineStr">
        <is>
          <t>Endschnitt gerade (STEP)</t>
        </is>
      </c>
      <c r="AB12" s="22" t="inlineStr">
        <is>
          <t>Endschnitt [mm] (STEP)</t>
        </is>
      </c>
      <c r="AC12" s="22" t="inlineStr">
        <is>
          <t>Innenkonturen [mm] (STEP)</t>
        </is>
      </c>
      <c r="AD12" s="22" t="inlineStr">
        <is>
          <t>Gravur [mm] (STEP)</t>
        </is>
      </c>
      <c r="AE12" s="22" t="inlineStr">
        <is>
          <t>Bohrungen (STEP)</t>
        </is>
      </c>
      <c r="AF12" s="22" t="inlineStr">
        <is>
          <t>Gewinde-Vorschlag (STEP)</t>
        </is>
      </c>
      <c r="AG12" s="22" t="inlineStr">
        <is>
          <t>Gewinde geprüft (manuell)</t>
        </is>
      </c>
      <c r="AH12" s="22" t="inlineStr">
        <is>
          <t>Kontur klein [Stk] (STEP)</t>
        </is>
      </c>
      <c r="AI12" s="22" t="inlineStr">
        <is>
          <t>Kontur klein [mm] (STEP)</t>
        </is>
      </c>
      <c r="AJ12" s="22" t="inlineStr">
        <is>
          <t>Kontur mittel [Stk] (STEP)</t>
        </is>
      </c>
      <c r="AK12" s="22" t="inlineStr">
        <is>
          <t>Kontur mittel [mm] (STEP)</t>
        </is>
      </c>
      <c r="AL12" s="22" t="inlineStr">
        <is>
          <t>Kontur groß [Stk] (STEP)</t>
        </is>
      </c>
      <c r="AM12" s="22" t="inlineStr">
        <is>
          <t>Kontur groß [mm] (STEP)</t>
        </is>
      </c>
      <c r="AN12" s="22" t="inlineStr">
        <is>
          <t>Eingeplant [Stk]</t>
        </is>
      </c>
      <c r="AO12" s="22" t="inlineStr">
        <is>
          <t>Nicht eingeplant [Stk]</t>
        </is>
      </c>
      <c r="AP12" s="22" t="inlineStr">
        <is>
          <t>Materialpreis abweichend [€/m]</t>
        </is>
      </c>
      <c r="AQ12" s="22" t="inlineStr">
        <is>
          <t>Satz</t>
        </is>
      </c>
      <c r="AR12" s="22" t="inlineStr">
        <is>
          <t>Stück je Satz</t>
        </is>
      </c>
    </row>
    <row r="13">
      <c r="A13" s="9" t="n">
        <v>10</v>
      </c>
      <c r="B13" s="9" t="inlineStr">
        <is>
          <t>4711-001</t>
        </is>
      </c>
      <c r="C13" s="9" t="inlineStr">
        <is>
          <t>Holm links</t>
        </is>
      </c>
      <c r="D13" s="9" t="inlineStr">
        <is>
          <t>RR 42,4x2,0</t>
        </is>
      </c>
      <c r="E13" s="9" t="inlineStr">
        <is>
          <t>S235-10219</t>
        </is>
      </c>
      <c r="F13" s="23" t="n">
        <v>1250</v>
      </c>
      <c r="G13" s="19" t="n">
        <v>24</v>
      </c>
      <c r="H13" s="23" t="n">
        <v>410.5</v>
      </c>
      <c r="I13" s="24" t="n">
        <v>4</v>
      </c>
      <c r="J13" s="19" t="n"/>
      <c r="K13" s="25">
        <f>IF($D13="","",IFERROR(INDEX(Profile!$B$5:$B$304,MATCH($D13,lst_Profil,0)),""))</f>
        <v/>
      </c>
      <c r="L13" s="13">
        <f>IF($D13="","",IFERROR(INDEX(Profile!$K$5:$K$304,MATCH($D13,lst_Profil,0))+0,""))</f>
        <v/>
      </c>
      <c r="M13" s="26">
        <f>IF($D13="","",IFERROR(INDEX(Profile!$E$5:$E$304,MATCH($D13,lst_Profil,0))+0,""))</f>
        <v/>
      </c>
      <c r="N13" s="27">
        <f>IF(OR(L13="",$E13=""),"",IFERROR(L13*INDEX(Werkstoffe!$E$5:$E$304,MATCH($E13,lst_Werkstoff,0))/1000,""))</f>
        <v/>
      </c>
      <c r="O13" s="27">
        <f>IF(OR(N13="",$F13=""),"",N13*$F13/1000)</f>
        <v/>
      </c>
      <c r="P13" s="16">
        <f>IF(OR($F13="",$G13=""),"",$F13*$G13)</f>
        <v/>
      </c>
      <c r="Q13" s="16">
        <f>IF($D13="","",IF($J13&lt;&gt;"",$J13,$C$9))</f>
        <v/>
      </c>
      <c r="R13" s="12">
        <f>IF($D13="","",IFERROR(IF(INDEX(Profile!$G$5:$G$304,MATCH($D13,lst_Profil,0))&lt;&gt;"",INDEX(Profile!$G$5:$G$304,MATCH($D13,lst_Profil,0)),$H$4),$H$4))</f>
        <v/>
      </c>
      <c r="S13" s="12">
        <f>IF($D13="","",IFERROR(IF(INDEX(Profile!$H$5:$H$304,MATCH($D13,lst_Profil,0))&lt;&gt;"",INDEX(Profile!$H$5:$H$304,MATCH($D13,lst_Profil,0)),$H$5),$H$5))</f>
        <v/>
      </c>
      <c r="T13" s="16">
        <f>IF(OR(Q13="",NOT(ISNUMBER(R13)),NOT(ISNUMBER(S13))),"",Q13-R13-S13)</f>
        <v/>
      </c>
      <c r="U13" s="28">
        <f>IF(OR($D13="",$E13=""),"",IF(OR(N($AP13)&gt;0,COUNTIFS(Preise!$A$5:$A$304,$D13,Preise!$B$5:$B$304,$E13,Preise!$I$5:$I$304,"OK")&gt;0,N(INDEX(Werkstoffe!$G$5:$G$304,MATCH($E13,lst_Werkstoff,0)))&gt;0),"ja","nein"))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28">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Materialpreis",IF(AND($AQ13&lt;&gt;"",N($AR13)&gt;0,MOD($G13,$AR13)&lt;&gt;0),"WARNUNG: Stückzahl ist kein Vielfaches von Stück je Satz",IF($H13="","HINWEIS: Schneidweg fehlt",IF(V13="","HINWEIS: keine Schneiddaten",IF(AND($AF13&lt;&gt;"",$AG13=""),"HINWEIS: Gewinde-Vorschlag prüfen","OK")))))))))))))))</f>
        <v/>
      </c>
      <c r="X13" s="18">
        <f>IF(OR(O13="",$G13=""),"",O13*$G13)</f>
        <v/>
      </c>
      <c r="Y13" s="9" t="n"/>
      <c r="Z13" s="23" t="n"/>
      <c r="AA13" s="9" t="n"/>
      <c r="AB13" s="23" t="n"/>
      <c r="AC13" s="23" t="n"/>
      <c r="AD13" s="23" t="n"/>
      <c r="AE13" s="9" t="n"/>
      <c r="AF13" s="9" t="n"/>
      <c r="AG13" s="9" t="n"/>
      <c r="AH13" s="24" t="n"/>
      <c r="AI13" s="23" t="n"/>
      <c r="AJ13" s="24" t="n"/>
      <c r="AK13" s="23" t="n"/>
      <c r="AL13" s="24" t="n"/>
      <c r="AM13" s="23" t="n"/>
      <c r="AN13" s="28">
        <f>IF($D13="","",COUNTIFS(Stangenbelegung!$E$5:$E$10004,ROW()))</f>
        <v/>
      </c>
      <c r="AO13" s="28">
        <f>IF(OR($G13="",COUNTA(Stangenbelegung!$A$5:$A$10004)=0),"",$G13-AN13)</f>
        <v/>
      </c>
      <c r="AP13" s="29" t="n"/>
      <c r="AQ13" s="9" t="n"/>
      <c r="AR13" s="19" t="n"/>
    </row>
    <row r="14">
      <c r="A14" s="9" t="n">
        <v>20</v>
      </c>
      <c r="B14" s="9" t="inlineStr">
        <is>
          <t>4711-002</t>
        </is>
      </c>
      <c r="C14" s="9" t="inlineStr">
        <is>
          <t>Querstrebe</t>
        </is>
      </c>
      <c r="D14" s="9" t="inlineStr">
        <is>
          <t>RR 42,4x2,0</t>
        </is>
      </c>
      <c r="E14" s="9" t="inlineStr">
        <is>
          <t>S235-10219</t>
        </is>
      </c>
      <c r="F14" s="23" t="n">
        <v>860</v>
      </c>
      <c r="G14" s="19" t="n">
        <v>40</v>
      </c>
      <c r="H14" s="23" t="n">
        <v>302</v>
      </c>
      <c r="I14" s="24" t="n">
        <v>2</v>
      </c>
      <c r="J14" s="19" t="n"/>
      <c r="K14" s="25">
        <f>IF($D14="","",IFERROR(INDEX(Profile!$B$5:$B$304,MATCH($D14,lst_Profil,0)),""))</f>
        <v/>
      </c>
      <c r="L14" s="13">
        <f>IF($D14="","",IFERROR(INDEX(Profile!$K$5:$K$304,MATCH($D14,lst_Profil,0))+0,""))</f>
        <v/>
      </c>
      <c r="M14" s="26">
        <f>IF($D14="","",IFERROR(INDEX(Profile!$E$5:$E$304,MATCH($D14,lst_Profil,0))+0,""))</f>
        <v/>
      </c>
      <c r="N14" s="27">
        <f>IF(OR(L14="",$E14=""),"",IFERROR(L14*INDEX(Werkstoffe!$E$5:$E$304,MATCH($E14,lst_Werkstoff,0))/1000,""))</f>
        <v/>
      </c>
      <c r="O14" s="27">
        <f>IF(OR(N14="",$F14=""),"",N14*$F14/1000)</f>
        <v/>
      </c>
      <c r="P14" s="16">
        <f>IF(OR($F14="",$G14=""),"",$F14*$G14)</f>
        <v/>
      </c>
      <c r="Q14" s="16">
        <f>IF($D14="","",IF($J14&lt;&gt;"",$J14,$C$9))</f>
        <v/>
      </c>
      <c r="R14" s="12">
        <f>IF($D14="","",IFERROR(IF(INDEX(Profile!$G$5:$G$304,MATCH($D14,lst_Profil,0))&lt;&gt;"",INDEX(Profile!$G$5:$G$304,MATCH($D14,lst_Profil,0)),$H$4),$H$4))</f>
        <v/>
      </c>
      <c r="S14" s="12">
        <f>IF($D14="","",IFERROR(IF(INDEX(Profile!$H$5:$H$304,MATCH($D14,lst_Profil,0))&lt;&gt;"",INDEX(Profile!$H$5:$H$304,MATCH($D14,lst_Profil,0)),$H$5),$H$5))</f>
        <v/>
      </c>
      <c r="T14" s="16">
        <f>IF(OR(Q14="",NOT(ISNUMBER(R14)),NOT(ISNUMBER(S14))),"",Q14-R14-S14)</f>
        <v/>
      </c>
      <c r="U14" s="28">
        <f>IF(OR($D14="",$E14=""),"",IF(OR(N($AP14)&gt;0,COUNTIFS(Preise!$A$5:$A$304,$D14,Preise!$B$5:$B$304,$E14,Preise!$I$5:$I$304,"OK")&gt;0,N(INDEX(Werkstoffe!$G$5:$G$304,MATCH($E14,lst_Werkstoff,0)))&gt;0),"ja","nein"))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28">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Materialpreis",IF(AND($AQ14&lt;&gt;"",N($AR14)&gt;0,MOD($G14,$AR14)&lt;&gt;0),"WARNUNG: Stückzahl ist kein Vielfaches von Stück je Satz",IF($H14="","HINWEIS: Schneidweg fehlt",IF(V14="","HINWEIS: keine Schneiddaten",IF(AND($AF14&lt;&gt;"",$AG14=""),"HINWEIS: Gewinde-Vorschlag prüfen","OK")))))))))))))))</f>
        <v/>
      </c>
      <c r="X14" s="18">
        <f>IF(OR(O14="",$G14=""),"",O14*$G14)</f>
        <v/>
      </c>
      <c r="Y14" s="9" t="n"/>
      <c r="Z14" s="23" t="n"/>
      <c r="AA14" s="9" t="n"/>
      <c r="AB14" s="23" t="n"/>
      <c r="AC14" s="23" t="n"/>
      <c r="AD14" s="23" t="n"/>
      <c r="AE14" s="9" t="n"/>
      <c r="AF14" s="9" t="n"/>
      <c r="AG14" s="9" t="n"/>
      <c r="AH14" s="24" t="n"/>
      <c r="AI14" s="23" t="n"/>
      <c r="AJ14" s="24" t="n"/>
      <c r="AK14" s="23" t="n"/>
      <c r="AL14" s="24" t="n"/>
      <c r="AM14" s="23" t="n"/>
      <c r="AN14" s="28">
        <f>IF($D14="","",COUNTIFS(Stangenbelegung!$E$5:$E$10004,ROW()))</f>
        <v/>
      </c>
      <c r="AO14" s="28">
        <f>IF(OR($G14="",COUNTA(Stangenbelegung!$A$5:$A$10004)=0),"",$G14-AN14)</f>
        <v/>
      </c>
      <c r="AP14" s="29" t="n"/>
      <c r="AQ14" s="9" t="n"/>
      <c r="AR14" s="19" t="n"/>
    </row>
    <row r="15">
      <c r="A15" s="9" t="n">
        <v>30</v>
      </c>
      <c r="B15" s="9" t="inlineStr">
        <is>
          <t>4711-003</t>
        </is>
      </c>
      <c r="C15" s="9" t="inlineStr">
        <is>
          <t>Rahmen oben</t>
        </is>
      </c>
      <c r="D15" s="9" t="inlineStr">
        <is>
          <t>QR 40x40x3</t>
        </is>
      </c>
      <c r="E15" s="9" t="inlineStr">
        <is>
          <t>S235-10219</t>
        </is>
      </c>
      <c r="F15" s="23" t="n">
        <v>2150</v>
      </c>
      <c r="G15" s="19" t="n">
        <v>12</v>
      </c>
      <c r="H15" s="23" t="n">
        <v>520</v>
      </c>
      <c r="I15" s="24" t="n">
        <v>3</v>
      </c>
      <c r="J15" s="19" t="n"/>
      <c r="K15" s="25">
        <f>IF($D15="","",IFERROR(INDEX(Profile!$B$5:$B$304,MATCH($D15,lst_Profil,0)),""))</f>
        <v/>
      </c>
      <c r="L15" s="13">
        <f>IF($D15="","",IFERROR(INDEX(Profile!$K$5:$K$304,MATCH($D15,lst_Profil,0))+0,""))</f>
        <v/>
      </c>
      <c r="M15" s="26">
        <f>IF($D15="","",IFERROR(INDEX(Profile!$E$5:$E$304,MATCH($D15,lst_Profil,0))+0,""))</f>
        <v/>
      </c>
      <c r="N15" s="27">
        <f>IF(OR(L15="",$E15=""),"",IFERROR(L15*INDEX(Werkstoffe!$E$5:$E$304,MATCH($E15,lst_Werkstoff,0))/1000,""))</f>
        <v/>
      </c>
      <c r="O15" s="27">
        <f>IF(OR(N15="",$F15=""),"",N15*$F15/1000)</f>
        <v/>
      </c>
      <c r="P15" s="16">
        <f>IF(OR($F15="",$G15=""),"",$F15*$G15)</f>
        <v/>
      </c>
      <c r="Q15" s="16">
        <f>IF($D15="","",IF($J15&lt;&gt;"",$J15,$C$9))</f>
        <v/>
      </c>
      <c r="R15" s="12">
        <f>IF($D15="","",IFERROR(IF(INDEX(Profile!$G$5:$G$304,MATCH($D15,lst_Profil,0))&lt;&gt;"",INDEX(Profile!$G$5:$G$304,MATCH($D15,lst_Profil,0)),$H$4),$H$4))</f>
        <v/>
      </c>
      <c r="S15" s="12">
        <f>IF($D15="","",IFERROR(IF(INDEX(Profile!$H$5:$H$304,MATCH($D15,lst_Profil,0))&lt;&gt;"",INDEX(Profile!$H$5:$H$304,MATCH($D15,lst_Profil,0)),$H$5),$H$5))</f>
        <v/>
      </c>
      <c r="T15" s="16">
        <f>IF(OR(Q15="",NOT(ISNUMBER(R15)),NOT(ISNUMBER(S15))),"",Q15-R15-S15)</f>
        <v/>
      </c>
      <c r="U15" s="28">
        <f>IF(OR($D15="",$E15=""),"",IF(OR(N($AP15)&gt;0,COUNTIFS(Preise!$A$5:$A$304,$D15,Preise!$B$5:$B$304,$E15,Preise!$I$5:$I$304,"OK")&gt;0,N(INDEX(Werkstoffe!$G$5:$G$304,MATCH($E15,lst_Werkstoff,0)))&gt;0),"ja","nein"))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28">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Materialpreis",IF(AND($AQ15&lt;&gt;"",N($AR15)&gt;0,MOD($G15,$AR15)&lt;&gt;0),"WARNUNG: Stückzahl ist kein Vielfaches von Stück je Satz",IF($H15="","HINWEIS: Schneidweg fehlt",IF(V15="","HINWEIS: keine Schneiddaten",IF(AND($AF15&lt;&gt;"",$AG15=""),"HINWEIS: Gewinde-Vorschlag prüfen","OK")))))))))))))))</f>
        <v/>
      </c>
      <c r="X15" s="18">
        <f>IF(OR(O15="",$G15=""),"",O15*$G15)</f>
        <v/>
      </c>
      <c r="Y15" s="9" t="n"/>
      <c r="Z15" s="23" t="n"/>
      <c r="AA15" s="9" t="n"/>
      <c r="AB15" s="23" t="n"/>
      <c r="AC15" s="23" t="n"/>
      <c r="AD15" s="23" t="n"/>
      <c r="AE15" s="9" t="n"/>
      <c r="AF15" s="9" t="n"/>
      <c r="AG15" s="9" t="n"/>
      <c r="AH15" s="24" t="n"/>
      <c r="AI15" s="23" t="n"/>
      <c r="AJ15" s="24" t="n"/>
      <c r="AK15" s="23" t="n"/>
      <c r="AL15" s="24" t="n"/>
      <c r="AM15" s="23" t="n"/>
      <c r="AN15" s="28">
        <f>IF($D15="","",COUNTIFS(Stangenbelegung!$E$5:$E$10004,ROW()))</f>
        <v/>
      </c>
      <c r="AO15" s="28">
        <f>IF(OR($G15="",COUNTA(Stangenbelegung!$A$5:$A$10004)=0),"",$G15-AN15)</f>
        <v/>
      </c>
      <c r="AP15" s="29" t="n"/>
      <c r="AQ15" s="9" t="inlineStr">
        <is>
          <t>Rahmen</t>
        </is>
      </c>
      <c r="AR15" s="19" t="n">
        <v>3</v>
      </c>
    </row>
    <row r="16">
      <c r="A16" s="9" t="n">
        <v>40</v>
      </c>
      <c r="B16" s="9" t="inlineStr">
        <is>
          <t>4711-004</t>
        </is>
      </c>
      <c r="C16" s="9" t="inlineStr">
        <is>
          <t>Stütze</t>
        </is>
      </c>
      <c r="D16" s="9" t="inlineStr">
        <is>
          <t>RE 60x40x3</t>
        </is>
      </c>
      <c r="E16" s="9" t="inlineStr">
        <is>
          <t>S355-10219</t>
        </is>
      </c>
      <c r="F16" s="23" t="n">
        <v>1795.5</v>
      </c>
      <c r="G16" s="19" t="n">
        <v>16</v>
      </c>
      <c r="H16" s="23" t="n">
        <v>618.2</v>
      </c>
      <c r="I16" s="24" t="n">
        <v>4</v>
      </c>
      <c r="J16" s="19" t="n"/>
      <c r="K16" s="25">
        <f>IF($D16="","",IFERROR(INDEX(Profile!$B$5:$B$304,MATCH($D16,lst_Profil,0)),""))</f>
        <v/>
      </c>
      <c r="L16" s="13">
        <f>IF($D16="","",IFERROR(INDEX(Profile!$K$5:$K$304,MATCH($D16,lst_Profil,0))+0,""))</f>
        <v/>
      </c>
      <c r="M16" s="26">
        <f>IF($D16="","",IFERROR(INDEX(Profile!$E$5:$E$304,MATCH($D16,lst_Profil,0))+0,""))</f>
        <v/>
      </c>
      <c r="N16" s="27">
        <f>IF(OR(L16="",$E16=""),"",IFERROR(L16*INDEX(Werkstoffe!$E$5:$E$304,MATCH($E16,lst_Werkstoff,0))/1000,""))</f>
        <v/>
      </c>
      <c r="O16" s="27">
        <f>IF(OR(N16="",$F16=""),"",N16*$F16/1000)</f>
        <v/>
      </c>
      <c r="P16" s="16">
        <f>IF(OR($F16="",$G16=""),"",$F16*$G16)</f>
        <v/>
      </c>
      <c r="Q16" s="16">
        <f>IF($D16="","",IF($J16&lt;&gt;"",$J16,$C$9))</f>
        <v/>
      </c>
      <c r="R16" s="12">
        <f>IF($D16="","",IFERROR(IF(INDEX(Profile!$G$5:$G$304,MATCH($D16,lst_Profil,0))&lt;&gt;"",INDEX(Profile!$G$5:$G$304,MATCH($D16,lst_Profil,0)),$H$4),$H$4))</f>
        <v/>
      </c>
      <c r="S16" s="12">
        <f>IF($D16="","",IFERROR(IF(INDEX(Profile!$H$5:$H$304,MATCH($D16,lst_Profil,0))&lt;&gt;"",INDEX(Profile!$H$5:$H$304,MATCH($D16,lst_Profil,0)),$H$5),$H$5))</f>
        <v/>
      </c>
      <c r="T16" s="16">
        <f>IF(OR(Q16="",NOT(ISNUMBER(R16)),NOT(ISNUMBER(S16))),"",Q16-R16-S16)</f>
        <v/>
      </c>
      <c r="U16" s="28">
        <f>IF(OR($D16="",$E16=""),"",IF(OR(N($AP16)&gt;0,COUNTIFS(Preise!$A$5:$A$304,$D16,Preise!$B$5:$B$304,$E16,Preise!$I$5:$I$304,"OK")&gt;0,N(INDEX(Werkstoffe!$G$5:$G$304,MATCH($E16,lst_Werkstoff,0)))&gt;0),"ja","nein"))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28">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Materialpreis",IF(AND($AQ16&lt;&gt;"",N($AR16)&gt;0,MOD($G16,$AR16)&lt;&gt;0),"WARNUNG: Stückzahl ist kein Vielfaches von Stück je Satz",IF($H16="","HINWEIS: Schneidweg fehlt",IF(V16="","HINWEIS: keine Schneiddaten",IF(AND($AF16&lt;&gt;"",$AG16=""),"HINWEIS: Gewinde-Vorschlag prüfen","OK")))))))))))))))</f>
        <v/>
      </c>
      <c r="X16" s="18">
        <f>IF(OR(O16="",$G16=""),"",O16*$G16)</f>
        <v/>
      </c>
      <c r="Y16" s="9" t="n"/>
      <c r="Z16" s="23" t="n"/>
      <c r="AA16" s="9" t="n"/>
      <c r="AB16" s="23" t="n"/>
      <c r="AC16" s="23" t="n"/>
      <c r="AD16" s="23" t="n"/>
      <c r="AE16" s="9" t="n"/>
      <c r="AF16" s="9" t="n"/>
      <c r="AG16" s="9" t="n"/>
      <c r="AH16" s="24" t="n"/>
      <c r="AI16" s="23" t="n"/>
      <c r="AJ16" s="24" t="n"/>
      <c r="AK16" s="23" t="n"/>
      <c r="AL16" s="24" t="n"/>
      <c r="AM16" s="23" t="n"/>
      <c r="AN16" s="28">
        <f>IF($D16="","",COUNTIFS(Stangenbelegung!$E$5:$E$10004,ROW()))</f>
        <v/>
      </c>
      <c r="AO16" s="28">
        <f>IF(OR($G16="",COUNTA(Stangenbelegung!$A$5:$A$10004)=0),"",$G16-AN16)</f>
        <v/>
      </c>
      <c r="AP16" s="29" t="n"/>
      <c r="AQ16" s="9" t="inlineStr">
        <is>
          <t>Rahmen</t>
        </is>
      </c>
      <c r="AR16" s="19" t="n">
        <v>4</v>
      </c>
    </row>
    <row r="17">
      <c r="A17" s="9" t="n">
        <v>50</v>
      </c>
      <c r="B17" s="9" t="inlineStr">
        <is>
          <t>4711-005</t>
        </is>
      </c>
      <c r="C17" s="9" t="inlineStr">
        <is>
          <t>Anschlag</t>
        </is>
      </c>
      <c r="D17" s="9" t="inlineStr">
        <is>
          <t>RR 48,3x2,6</t>
        </is>
      </c>
      <c r="E17" s="9" t="inlineStr">
        <is>
          <t>S235-10219</t>
        </is>
      </c>
      <c r="F17" s="23" t="n">
        <v>345</v>
      </c>
      <c r="G17" s="19" t="n">
        <v>60</v>
      </c>
      <c r="H17" s="23" t="n">
        <v>255</v>
      </c>
      <c r="I17" s="24" t="n">
        <v>2</v>
      </c>
      <c r="J17" s="19" t="n"/>
      <c r="K17" s="25">
        <f>IF($D17="","",IFERROR(INDEX(Profile!$B$5:$B$304,MATCH($D17,lst_Profil,0)),""))</f>
        <v/>
      </c>
      <c r="L17" s="13">
        <f>IF($D17="","",IFERROR(INDEX(Profile!$K$5:$K$304,MATCH($D17,lst_Profil,0))+0,""))</f>
        <v/>
      </c>
      <c r="M17" s="26">
        <f>IF($D17="","",IFERROR(INDEX(Profile!$E$5:$E$304,MATCH($D17,lst_Profil,0))+0,""))</f>
        <v/>
      </c>
      <c r="N17" s="27">
        <f>IF(OR(L17="",$E17=""),"",IFERROR(L17*INDEX(Werkstoffe!$E$5:$E$304,MATCH($E17,lst_Werkstoff,0))/1000,""))</f>
        <v/>
      </c>
      <c r="O17" s="27">
        <f>IF(OR(N17="",$F17=""),"",N17*$F17/1000)</f>
        <v/>
      </c>
      <c r="P17" s="16">
        <f>IF(OR($F17="",$G17=""),"",$F17*$G17)</f>
        <v/>
      </c>
      <c r="Q17" s="16">
        <f>IF($D17="","",IF($J17&lt;&gt;"",$J17,$C$9))</f>
        <v/>
      </c>
      <c r="R17" s="12">
        <f>IF($D17="","",IFERROR(IF(INDEX(Profile!$G$5:$G$304,MATCH($D17,lst_Profil,0))&lt;&gt;"",INDEX(Profile!$G$5:$G$304,MATCH($D17,lst_Profil,0)),$H$4),$H$4))</f>
        <v/>
      </c>
      <c r="S17" s="12">
        <f>IF($D17="","",IFERROR(IF(INDEX(Profile!$H$5:$H$304,MATCH($D17,lst_Profil,0))&lt;&gt;"",INDEX(Profile!$H$5:$H$304,MATCH($D17,lst_Profil,0)),$H$5),$H$5))</f>
        <v/>
      </c>
      <c r="T17" s="16">
        <f>IF(OR(Q17="",NOT(ISNUMBER(R17)),NOT(ISNUMBER(S17))),"",Q17-R17-S17)</f>
        <v/>
      </c>
      <c r="U17" s="28">
        <f>IF(OR($D17="",$E17=""),"",IF(OR(N($AP17)&gt;0,COUNTIFS(Preise!$A$5:$A$304,$D17,Preise!$B$5:$B$304,$E17,Preise!$I$5:$I$304,"OK")&gt;0,N(INDEX(Werkstoffe!$G$5:$G$304,MATCH($E17,lst_Werkstoff,0)))&gt;0),"ja","nein"))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28">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Materialpreis",IF(AND($AQ17&lt;&gt;"",N($AR17)&gt;0,MOD($G17,$AR17)&lt;&gt;0),"WARNUNG: Stückzahl ist kein Vielfaches von Stück je Satz",IF($H17="","HINWEIS: Schneidweg fehlt",IF(V17="","HINWEIS: keine Schneiddaten",IF(AND($AF17&lt;&gt;"",$AG17=""),"HINWEIS: Gewinde-Vorschlag prüfen","OK")))))))))))))))</f>
        <v/>
      </c>
      <c r="X17" s="18">
        <f>IF(OR(O17="",$G17=""),"",O17*$G17)</f>
        <v/>
      </c>
      <c r="Y17" s="9" t="n"/>
      <c r="Z17" s="23" t="n"/>
      <c r="AA17" s="9" t="n"/>
      <c r="AB17" s="23" t="n"/>
      <c r="AC17" s="23" t="n"/>
      <c r="AD17" s="23" t="n"/>
      <c r="AE17" s="9" t="n"/>
      <c r="AF17" s="9" t="n"/>
      <c r="AG17" s="9" t="n"/>
      <c r="AH17" s="24" t="n"/>
      <c r="AI17" s="23" t="n"/>
      <c r="AJ17" s="24" t="n"/>
      <c r="AK17" s="23" t="n"/>
      <c r="AL17" s="24" t="n"/>
      <c r="AM17" s="23" t="n"/>
      <c r="AN17" s="28">
        <f>IF($D17="","",COUNTIFS(Stangenbelegung!$E$5:$E$10004,ROW()))</f>
        <v/>
      </c>
      <c r="AO17" s="28">
        <f>IF(OR($G17="",COUNTA(Stangenbelegung!$A$5:$A$10004)=0),"",$G17-AN17)</f>
        <v/>
      </c>
      <c r="AP17" s="29" t="n"/>
      <c r="AQ17" s="9" t="n"/>
      <c r="AR17" s="19" t="n"/>
    </row>
    <row r="18">
      <c r="A18" s="9" t="n"/>
      <c r="B18" s="9" t="n"/>
      <c r="C18" s="9" t="n"/>
      <c r="D18" s="9" t="n"/>
      <c r="E18" s="9" t="n"/>
      <c r="F18" s="23" t="n"/>
      <c r="G18" s="19" t="n"/>
      <c r="H18" s="23" t="n"/>
      <c r="I18" s="24" t="n"/>
      <c r="J18" s="19" t="n"/>
      <c r="K18" s="25">
        <f>IF($D18="","",IFERROR(INDEX(Profile!$B$5:$B$304,MATCH($D18,lst_Profil,0)),""))</f>
        <v/>
      </c>
      <c r="L18" s="13">
        <f>IF($D18="","",IFERROR(INDEX(Profile!$K$5:$K$304,MATCH($D18,lst_Profil,0))+0,""))</f>
        <v/>
      </c>
      <c r="M18" s="26">
        <f>IF($D18="","",IFERROR(INDEX(Profile!$E$5:$E$304,MATCH($D18,lst_Profil,0))+0,""))</f>
        <v/>
      </c>
      <c r="N18" s="27">
        <f>IF(OR(L18="",$E18=""),"",IFERROR(L18*INDEX(Werkstoffe!$E$5:$E$304,MATCH($E18,lst_Werkstoff,0))/1000,""))</f>
        <v/>
      </c>
      <c r="O18" s="27">
        <f>IF(OR(N18="",$F18=""),"",N18*$F18/1000)</f>
        <v/>
      </c>
      <c r="P18" s="16">
        <f>IF(OR($F18="",$G18=""),"",$F18*$G18)</f>
        <v/>
      </c>
      <c r="Q18" s="16">
        <f>IF($D18="","",IF($J18&lt;&gt;"",$J18,$C$9))</f>
        <v/>
      </c>
      <c r="R18" s="12">
        <f>IF($D18="","",IFERROR(IF(INDEX(Profile!$G$5:$G$304,MATCH($D18,lst_Profil,0))&lt;&gt;"",INDEX(Profile!$G$5:$G$304,MATCH($D18,lst_Profil,0)),$H$4),$H$4))</f>
        <v/>
      </c>
      <c r="S18" s="12">
        <f>IF($D18="","",IFERROR(IF(INDEX(Profile!$H$5:$H$304,MATCH($D18,lst_Profil,0))&lt;&gt;"",INDEX(Profile!$H$5:$H$304,MATCH($D18,lst_Profil,0)),$H$5),$H$5))</f>
        <v/>
      </c>
      <c r="T18" s="16">
        <f>IF(OR(Q18="",NOT(ISNUMBER(R18)),NOT(ISNUMBER(S18))),"",Q18-R18-S18)</f>
        <v/>
      </c>
      <c r="U18" s="28">
        <f>IF(OR($D18="",$E18=""),"",IF(OR(N($AP18)&gt;0,COUNTIFS(Preise!$A$5:$A$304,$D18,Preise!$B$5:$B$304,$E18,Preise!$I$5:$I$304,"OK")&gt;0,N(INDEX(Werkstoffe!$G$5:$G$304,MATCH($E18,lst_Werkstoff,0)))&gt;0),"ja","nein"))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28">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Materialpreis",IF(AND($AQ18&lt;&gt;"",N($AR18)&gt;0,MOD($G18,$AR18)&lt;&gt;0),"WARNUNG: Stückzahl ist kein Vielfaches von Stück je Satz",IF($H18="","HINWEIS: Schneidweg fehlt",IF(V18="","HINWEIS: keine Schneiddaten",IF(AND($AF18&lt;&gt;"",$AG18=""),"HINWEIS: Gewinde-Vorschlag prüfen","OK")))))))))))))))</f>
        <v/>
      </c>
      <c r="X18" s="18">
        <f>IF(OR(O18="",$G18=""),"",O18*$G18)</f>
        <v/>
      </c>
      <c r="Y18" s="9" t="n"/>
      <c r="Z18" s="23" t="n"/>
      <c r="AA18" s="9" t="n"/>
      <c r="AB18" s="23" t="n"/>
      <c r="AC18" s="23" t="n"/>
      <c r="AD18" s="23" t="n"/>
      <c r="AE18" s="9" t="n"/>
      <c r="AF18" s="9" t="n"/>
      <c r="AG18" s="9" t="n"/>
      <c r="AH18" s="24" t="n"/>
      <c r="AI18" s="23" t="n"/>
      <c r="AJ18" s="24" t="n"/>
      <c r="AK18" s="23" t="n"/>
      <c r="AL18" s="24" t="n"/>
      <c r="AM18" s="23" t="n"/>
      <c r="AN18" s="28">
        <f>IF($D18="","",COUNTIFS(Stangenbelegung!$E$5:$E$10004,ROW()))</f>
        <v/>
      </c>
      <c r="AO18" s="28">
        <f>IF(OR($G18="",COUNTA(Stangenbelegung!$A$5:$A$10004)=0),"",$G18-AN18)</f>
        <v/>
      </c>
      <c r="AP18" s="29" t="n"/>
      <c r="AQ18" s="9" t="n"/>
      <c r="AR18" s="19" t="n"/>
    </row>
    <row r="19">
      <c r="A19" s="9" t="n"/>
      <c r="B19" s="9" t="n"/>
      <c r="C19" s="9" t="n"/>
      <c r="D19" s="9" t="n"/>
      <c r="E19" s="9" t="n"/>
      <c r="F19" s="23" t="n"/>
      <c r="G19" s="19" t="n"/>
      <c r="H19" s="23" t="n"/>
      <c r="I19" s="24" t="n"/>
      <c r="J19" s="19" t="n"/>
      <c r="K19" s="25">
        <f>IF($D19="","",IFERROR(INDEX(Profile!$B$5:$B$304,MATCH($D19,lst_Profil,0)),""))</f>
        <v/>
      </c>
      <c r="L19" s="13">
        <f>IF($D19="","",IFERROR(INDEX(Profile!$K$5:$K$304,MATCH($D19,lst_Profil,0))+0,""))</f>
        <v/>
      </c>
      <c r="M19" s="26">
        <f>IF($D19="","",IFERROR(INDEX(Profile!$E$5:$E$304,MATCH($D19,lst_Profil,0))+0,""))</f>
        <v/>
      </c>
      <c r="N19" s="27">
        <f>IF(OR(L19="",$E19=""),"",IFERROR(L19*INDEX(Werkstoffe!$E$5:$E$304,MATCH($E19,lst_Werkstoff,0))/1000,""))</f>
        <v/>
      </c>
      <c r="O19" s="27">
        <f>IF(OR(N19="",$F19=""),"",N19*$F19/1000)</f>
        <v/>
      </c>
      <c r="P19" s="16">
        <f>IF(OR($F19="",$G19=""),"",$F19*$G19)</f>
        <v/>
      </c>
      <c r="Q19" s="16">
        <f>IF($D19="","",IF($J19&lt;&gt;"",$J19,$C$9))</f>
        <v/>
      </c>
      <c r="R19" s="12">
        <f>IF($D19="","",IFERROR(IF(INDEX(Profile!$G$5:$G$304,MATCH($D19,lst_Profil,0))&lt;&gt;"",INDEX(Profile!$G$5:$G$304,MATCH($D19,lst_Profil,0)),$H$4),$H$4))</f>
        <v/>
      </c>
      <c r="S19" s="12">
        <f>IF($D19="","",IFERROR(IF(INDEX(Profile!$H$5:$H$304,MATCH($D19,lst_Profil,0))&lt;&gt;"",INDEX(Profile!$H$5:$H$304,MATCH($D19,lst_Profil,0)),$H$5),$H$5))</f>
        <v/>
      </c>
      <c r="T19" s="16">
        <f>IF(OR(Q19="",NOT(ISNUMBER(R19)),NOT(ISNUMBER(S19))),"",Q19-R19-S19)</f>
        <v/>
      </c>
      <c r="U19" s="28">
        <f>IF(OR($D19="",$E19=""),"",IF(OR(N($AP19)&gt;0,COUNTIFS(Preise!$A$5:$A$304,$D19,Preise!$B$5:$B$304,$E19,Preise!$I$5:$I$304,"OK")&gt;0,N(INDEX(Werkstoffe!$G$5:$G$304,MATCH($E19,lst_Werkstoff,0)))&gt;0),"ja","nein"))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28">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Materialpreis",IF(AND($AQ19&lt;&gt;"",N($AR19)&gt;0,MOD($G19,$AR19)&lt;&gt;0),"WARNUNG: Stückzahl ist kein Vielfaches von Stück je Satz",IF($H19="","HINWEIS: Schneidweg fehlt",IF(V19="","HINWEIS: keine Schneiddaten",IF(AND($AF19&lt;&gt;"",$AG19=""),"HINWEIS: Gewinde-Vorschlag prüfen","OK")))))))))))))))</f>
        <v/>
      </c>
      <c r="X19" s="18">
        <f>IF(OR(O19="",$G19=""),"",O19*$G19)</f>
        <v/>
      </c>
      <c r="Y19" s="9" t="n"/>
      <c r="Z19" s="23" t="n"/>
      <c r="AA19" s="9" t="n"/>
      <c r="AB19" s="23" t="n"/>
      <c r="AC19" s="23" t="n"/>
      <c r="AD19" s="23" t="n"/>
      <c r="AE19" s="9" t="n"/>
      <c r="AF19" s="9" t="n"/>
      <c r="AG19" s="9" t="n"/>
      <c r="AH19" s="24" t="n"/>
      <c r="AI19" s="23" t="n"/>
      <c r="AJ19" s="24" t="n"/>
      <c r="AK19" s="23" t="n"/>
      <c r="AL19" s="24" t="n"/>
      <c r="AM19" s="23" t="n"/>
      <c r="AN19" s="28">
        <f>IF($D19="","",COUNTIFS(Stangenbelegung!$E$5:$E$10004,ROW()))</f>
        <v/>
      </c>
      <c r="AO19" s="28">
        <f>IF(OR($G19="",COUNTA(Stangenbelegung!$A$5:$A$10004)=0),"",$G19-AN19)</f>
        <v/>
      </c>
      <c r="AP19" s="29" t="n"/>
      <c r="AQ19" s="9" t="n"/>
      <c r="AR19" s="19" t="n"/>
    </row>
    <row r="20">
      <c r="A20" s="9" t="n"/>
      <c r="B20" s="9" t="n"/>
      <c r="C20" s="9" t="n"/>
      <c r="D20" s="9" t="n"/>
      <c r="E20" s="9" t="n"/>
      <c r="F20" s="23" t="n"/>
      <c r="G20" s="19" t="n"/>
      <c r="H20" s="23" t="n"/>
      <c r="I20" s="24" t="n"/>
      <c r="J20" s="19" t="n"/>
      <c r="K20" s="25">
        <f>IF($D20="","",IFERROR(INDEX(Profile!$B$5:$B$304,MATCH($D20,lst_Profil,0)),""))</f>
        <v/>
      </c>
      <c r="L20" s="13">
        <f>IF($D20="","",IFERROR(INDEX(Profile!$K$5:$K$304,MATCH($D20,lst_Profil,0))+0,""))</f>
        <v/>
      </c>
      <c r="M20" s="26">
        <f>IF($D20="","",IFERROR(INDEX(Profile!$E$5:$E$304,MATCH($D20,lst_Profil,0))+0,""))</f>
        <v/>
      </c>
      <c r="N20" s="27">
        <f>IF(OR(L20="",$E20=""),"",IFERROR(L20*INDEX(Werkstoffe!$E$5:$E$304,MATCH($E20,lst_Werkstoff,0))/1000,""))</f>
        <v/>
      </c>
      <c r="O20" s="27">
        <f>IF(OR(N20="",$F20=""),"",N20*$F20/1000)</f>
        <v/>
      </c>
      <c r="P20" s="16">
        <f>IF(OR($F20="",$G20=""),"",$F20*$G20)</f>
        <v/>
      </c>
      <c r="Q20" s="16">
        <f>IF($D20="","",IF($J20&lt;&gt;"",$J20,$C$9))</f>
        <v/>
      </c>
      <c r="R20" s="12">
        <f>IF($D20="","",IFERROR(IF(INDEX(Profile!$G$5:$G$304,MATCH($D20,lst_Profil,0))&lt;&gt;"",INDEX(Profile!$G$5:$G$304,MATCH($D20,lst_Profil,0)),$H$4),$H$4))</f>
        <v/>
      </c>
      <c r="S20" s="12">
        <f>IF($D20="","",IFERROR(IF(INDEX(Profile!$H$5:$H$304,MATCH($D20,lst_Profil,0))&lt;&gt;"",INDEX(Profile!$H$5:$H$304,MATCH($D20,lst_Profil,0)),$H$5),$H$5))</f>
        <v/>
      </c>
      <c r="T20" s="16">
        <f>IF(OR(Q20="",NOT(ISNUMBER(R20)),NOT(ISNUMBER(S20))),"",Q20-R20-S20)</f>
        <v/>
      </c>
      <c r="U20" s="28">
        <f>IF(OR($D20="",$E20=""),"",IF(OR(N($AP20)&gt;0,COUNTIFS(Preise!$A$5:$A$304,$D20,Preise!$B$5:$B$304,$E20,Preise!$I$5:$I$304,"OK")&gt;0,N(INDEX(Werkstoffe!$G$5:$G$304,MATCH($E20,lst_Werkstoff,0)))&gt;0),"ja","nein"))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28">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Materialpreis",IF(AND($AQ20&lt;&gt;"",N($AR20)&gt;0,MOD($G20,$AR20)&lt;&gt;0),"WARNUNG: Stückzahl ist kein Vielfaches von Stück je Satz",IF($H20="","HINWEIS: Schneidweg fehlt",IF(V20="","HINWEIS: keine Schneiddaten",IF(AND($AF20&lt;&gt;"",$AG20=""),"HINWEIS: Gewinde-Vorschlag prüfen","OK")))))))))))))))</f>
        <v/>
      </c>
      <c r="X20" s="18">
        <f>IF(OR(O20="",$G20=""),"",O20*$G20)</f>
        <v/>
      </c>
      <c r="Y20" s="9" t="n"/>
      <c r="Z20" s="23" t="n"/>
      <c r="AA20" s="9" t="n"/>
      <c r="AB20" s="23" t="n"/>
      <c r="AC20" s="23" t="n"/>
      <c r="AD20" s="23" t="n"/>
      <c r="AE20" s="9" t="n"/>
      <c r="AF20" s="9" t="n"/>
      <c r="AG20" s="9" t="n"/>
      <c r="AH20" s="24" t="n"/>
      <c r="AI20" s="23" t="n"/>
      <c r="AJ20" s="24" t="n"/>
      <c r="AK20" s="23" t="n"/>
      <c r="AL20" s="24" t="n"/>
      <c r="AM20" s="23" t="n"/>
      <c r="AN20" s="28">
        <f>IF($D20="","",COUNTIFS(Stangenbelegung!$E$5:$E$10004,ROW()))</f>
        <v/>
      </c>
      <c r="AO20" s="28">
        <f>IF(OR($G20="",COUNTA(Stangenbelegung!$A$5:$A$10004)=0),"",$G20-AN20)</f>
        <v/>
      </c>
      <c r="AP20" s="29" t="n"/>
      <c r="AQ20" s="9" t="n"/>
      <c r="AR20" s="19" t="n"/>
    </row>
    <row r="21">
      <c r="A21" s="9" t="n"/>
      <c r="B21" s="9" t="n"/>
      <c r="C21" s="9" t="n"/>
      <c r="D21" s="9" t="n"/>
      <c r="E21" s="9" t="n"/>
      <c r="F21" s="23" t="n"/>
      <c r="G21" s="19" t="n"/>
      <c r="H21" s="23" t="n"/>
      <c r="I21" s="24" t="n"/>
      <c r="J21" s="19" t="n"/>
      <c r="K21" s="25">
        <f>IF($D21="","",IFERROR(INDEX(Profile!$B$5:$B$304,MATCH($D21,lst_Profil,0)),""))</f>
        <v/>
      </c>
      <c r="L21" s="13">
        <f>IF($D21="","",IFERROR(INDEX(Profile!$K$5:$K$304,MATCH($D21,lst_Profil,0))+0,""))</f>
        <v/>
      </c>
      <c r="M21" s="26">
        <f>IF($D21="","",IFERROR(INDEX(Profile!$E$5:$E$304,MATCH($D21,lst_Profil,0))+0,""))</f>
        <v/>
      </c>
      <c r="N21" s="27">
        <f>IF(OR(L21="",$E21=""),"",IFERROR(L21*INDEX(Werkstoffe!$E$5:$E$304,MATCH($E21,lst_Werkstoff,0))/1000,""))</f>
        <v/>
      </c>
      <c r="O21" s="27">
        <f>IF(OR(N21="",$F21=""),"",N21*$F21/1000)</f>
        <v/>
      </c>
      <c r="P21" s="16">
        <f>IF(OR($F21="",$G21=""),"",$F21*$G21)</f>
        <v/>
      </c>
      <c r="Q21" s="16">
        <f>IF($D21="","",IF($J21&lt;&gt;"",$J21,$C$9))</f>
        <v/>
      </c>
      <c r="R21" s="12">
        <f>IF($D21="","",IFERROR(IF(INDEX(Profile!$G$5:$G$304,MATCH($D21,lst_Profil,0))&lt;&gt;"",INDEX(Profile!$G$5:$G$304,MATCH($D21,lst_Profil,0)),$H$4),$H$4))</f>
        <v/>
      </c>
      <c r="S21" s="12">
        <f>IF($D21="","",IFERROR(IF(INDEX(Profile!$H$5:$H$304,MATCH($D21,lst_Profil,0))&lt;&gt;"",INDEX(Profile!$H$5:$H$304,MATCH($D21,lst_Profil,0)),$H$5),$H$5))</f>
        <v/>
      </c>
      <c r="T21" s="16">
        <f>IF(OR(Q21="",NOT(ISNUMBER(R21)),NOT(ISNUMBER(S21))),"",Q21-R21-S21)</f>
        <v/>
      </c>
      <c r="U21" s="28">
        <f>IF(OR($D21="",$E21=""),"",IF(OR(N($AP21)&gt;0,COUNTIFS(Preise!$A$5:$A$304,$D21,Preise!$B$5:$B$304,$E21,Preise!$I$5:$I$304,"OK")&gt;0,N(INDEX(Werkstoffe!$G$5:$G$304,MATCH($E21,lst_Werkstoff,0)))&gt;0),"ja","nein"))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28">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Materialpreis",IF(AND($AQ21&lt;&gt;"",N($AR21)&gt;0,MOD($G21,$AR21)&lt;&gt;0),"WARNUNG: Stückzahl ist kein Vielfaches von Stück je Satz",IF($H21="","HINWEIS: Schneidweg fehlt",IF(V21="","HINWEIS: keine Schneiddaten",IF(AND($AF21&lt;&gt;"",$AG21=""),"HINWEIS: Gewinde-Vorschlag prüfen","OK")))))))))))))))</f>
        <v/>
      </c>
      <c r="X21" s="18">
        <f>IF(OR(O21="",$G21=""),"",O21*$G21)</f>
        <v/>
      </c>
      <c r="Y21" s="9" t="n"/>
      <c r="Z21" s="23" t="n"/>
      <c r="AA21" s="9" t="n"/>
      <c r="AB21" s="23" t="n"/>
      <c r="AC21" s="23" t="n"/>
      <c r="AD21" s="23" t="n"/>
      <c r="AE21" s="9" t="n"/>
      <c r="AF21" s="9" t="n"/>
      <c r="AG21" s="9" t="n"/>
      <c r="AH21" s="24" t="n"/>
      <c r="AI21" s="23" t="n"/>
      <c r="AJ21" s="24" t="n"/>
      <c r="AK21" s="23" t="n"/>
      <c r="AL21" s="24" t="n"/>
      <c r="AM21" s="23" t="n"/>
      <c r="AN21" s="28">
        <f>IF($D21="","",COUNTIFS(Stangenbelegung!$E$5:$E$10004,ROW()))</f>
        <v/>
      </c>
      <c r="AO21" s="28">
        <f>IF(OR($G21="",COUNTA(Stangenbelegung!$A$5:$A$10004)=0),"",$G21-AN21)</f>
        <v/>
      </c>
      <c r="AP21" s="29" t="n"/>
      <c r="AQ21" s="9" t="n"/>
      <c r="AR21" s="19" t="n"/>
    </row>
    <row r="22">
      <c r="A22" s="9" t="n"/>
      <c r="B22" s="9" t="n"/>
      <c r="C22" s="9" t="n"/>
      <c r="D22" s="9" t="n"/>
      <c r="E22" s="9" t="n"/>
      <c r="F22" s="23" t="n"/>
      <c r="G22" s="19" t="n"/>
      <c r="H22" s="23" t="n"/>
      <c r="I22" s="24" t="n"/>
      <c r="J22" s="19" t="n"/>
      <c r="K22" s="25">
        <f>IF($D22="","",IFERROR(INDEX(Profile!$B$5:$B$304,MATCH($D22,lst_Profil,0)),""))</f>
        <v/>
      </c>
      <c r="L22" s="13">
        <f>IF($D22="","",IFERROR(INDEX(Profile!$K$5:$K$304,MATCH($D22,lst_Profil,0))+0,""))</f>
        <v/>
      </c>
      <c r="M22" s="26">
        <f>IF($D22="","",IFERROR(INDEX(Profile!$E$5:$E$304,MATCH($D22,lst_Profil,0))+0,""))</f>
        <v/>
      </c>
      <c r="N22" s="27">
        <f>IF(OR(L22="",$E22=""),"",IFERROR(L22*INDEX(Werkstoffe!$E$5:$E$304,MATCH($E22,lst_Werkstoff,0))/1000,""))</f>
        <v/>
      </c>
      <c r="O22" s="27">
        <f>IF(OR(N22="",$F22=""),"",N22*$F22/1000)</f>
        <v/>
      </c>
      <c r="P22" s="16">
        <f>IF(OR($F22="",$G22=""),"",$F22*$G22)</f>
        <v/>
      </c>
      <c r="Q22" s="16">
        <f>IF($D22="","",IF($J22&lt;&gt;"",$J22,$C$9))</f>
        <v/>
      </c>
      <c r="R22" s="12">
        <f>IF($D22="","",IFERROR(IF(INDEX(Profile!$G$5:$G$304,MATCH($D22,lst_Profil,0))&lt;&gt;"",INDEX(Profile!$G$5:$G$304,MATCH($D22,lst_Profil,0)),$H$4),$H$4))</f>
        <v/>
      </c>
      <c r="S22" s="12">
        <f>IF($D22="","",IFERROR(IF(INDEX(Profile!$H$5:$H$304,MATCH($D22,lst_Profil,0))&lt;&gt;"",INDEX(Profile!$H$5:$H$304,MATCH($D22,lst_Profil,0)),$H$5),$H$5))</f>
        <v/>
      </c>
      <c r="T22" s="16">
        <f>IF(OR(Q22="",NOT(ISNUMBER(R22)),NOT(ISNUMBER(S22))),"",Q22-R22-S22)</f>
        <v/>
      </c>
      <c r="U22" s="28">
        <f>IF(OR($D22="",$E22=""),"",IF(OR(N($AP22)&gt;0,COUNTIFS(Preise!$A$5:$A$304,$D22,Preise!$B$5:$B$304,$E22,Preise!$I$5:$I$304,"OK")&gt;0,N(INDEX(Werkstoffe!$G$5:$G$304,MATCH($E22,lst_Werkstoff,0)))&gt;0),"ja","nein"))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28">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Materialpreis",IF(AND($AQ22&lt;&gt;"",N($AR22)&gt;0,MOD($G22,$AR22)&lt;&gt;0),"WARNUNG: Stückzahl ist kein Vielfaches von Stück je Satz",IF($H22="","HINWEIS: Schneidweg fehlt",IF(V22="","HINWEIS: keine Schneiddaten",IF(AND($AF22&lt;&gt;"",$AG22=""),"HINWEIS: Gewinde-Vorschlag prüfen","OK")))))))))))))))</f>
        <v/>
      </c>
      <c r="X22" s="18">
        <f>IF(OR(O22="",$G22=""),"",O22*$G22)</f>
        <v/>
      </c>
      <c r="Y22" s="9" t="n"/>
      <c r="Z22" s="23" t="n"/>
      <c r="AA22" s="9" t="n"/>
      <c r="AB22" s="23" t="n"/>
      <c r="AC22" s="23" t="n"/>
      <c r="AD22" s="23" t="n"/>
      <c r="AE22" s="9" t="n"/>
      <c r="AF22" s="9" t="n"/>
      <c r="AG22" s="9" t="n"/>
      <c r="AH22" s="24" t="n"/>
      <c r="AI22" s="23" t="n"/>
      <c r="AJ22" s="24" t="n"/>
      <c r="AK22" s="23" t="n"/>
      <c r="AL22" s="24" t="n"/>
      <c r="AM22" s="23" t="n"/>
      <c r="AN22" s="28">
        <f>IF($D22="","",COUNTIFS(Stangenbelegung!$E$5:$E$10004,ROW()))</f>
        <v/>
      </c>
      <c r="AO22" s="28">
        <f>IF(OR($G22="",COUNTA(Stangenbelegung!$A$5:$A$10004)=0),"",$G22-AN22)</f>
        <v/>
      </c>
      <c r="AP22" s="29" t="n"/>
      <c r="AQ22" s="9" t="n"/>
      <c r="AR22" s="19" t="n"/>
    </row>
    <row r="23">
      <c r="A23" s="9" t="n"/>
      <c r="B23" s="9" t="n"/>
      <c r="C23" s="9" t="n"/>
      <c r="D23" s="9" t="n"/>
      <c r="E23" s="9" t="n"/>
      <c r="F23" s="23" t="n"/>
      <c r="G23" s="19" t="n"/>
      <c r="H23" s="23" t="n"/>
      <c r="I23" s="24" t="n"/>
      <c r="J23" s="19" t="n"/>
      <c r="K23" s="25">
        <f>IF($D23="","",IFERROR(INDEX(Profile!$B$5:$B$304,MATCH($D23,lst_Profil,0)),""))</f>
        <v/>
      </c>
      <c r="L23" s="13">
        <f>IF($D23="","",IFERROR(INDEX(Profile!$K$5:$K$304,MATCH($D23,lst_Profil,0))+0,""))</f>
        <v/>
      </c>
      <c r="M23" s="26">
        <f>IF($D23="","",IFERROR(INDEX(Profile!$E$5:$E$304,MATCH($D23,lst_Profil,0))+0,""))</f>
        <v/>
      </c>
      <c r="N23" s="27">
        <f>IF(OR(L23="",$E23=""),"",IFERROR(L23*INDEX(Werkstoffe!$E$5:$E$304,MATCH($E23,lst_Werkstoff,0))/1000,""))</f>
        <v/>
      </c>
      <c r="O23" s="27">
        <f>IF(OR(N23="",$F23=""),"",N23*$F23/1000)</f>
        <v/>
      </c>
      <c r="P23" s="16">
        <f>IF(OR($F23="",$G23=""),"",$F23*$G23)</f>
        <v/>
      </c>
      <c r="Q23" s="16">
        <f>IF($D23="","",IF($J23&lt;&gt;"",$J23,$C$9))</f>
        <v/>
      </c>
      <c r="R23" s="12">
        <f>IF($D23="","",IFERROR(IF(INDEX(Profile!$G$5:$G$304,MATCH($D23,lst_Profil,0))&lt;&gt;"",INDEX(Profile!$G$5:$G$304,MATCH($D23,lst_Profil,0)),$H$4),$H$4))</f>
        <v/>
      </c>
      <c r="S23" s="12">
        <f>IF($D23="","",IFERROR(IF(INDEX(Profile!$H$5:$H$304,MATCH($D23,lst_Profil,0))&lt;&gt;"",INDEX(Profile!$H$5:$H$304,MATCH($D23,lst_Profil,0)),$H$5),$H$5))</f>
        <v/>
      </c>
      <c r="T23" s="16">
        <f>IF(OR(Q23="",NOT(ISNUMBER(R23)),NOT(ISNUMBER(S23))),"",Q23-R23-S23)</f>
        <v/>
      </c>
      <c r="U23" s="28">
        <f>IF(OR($D23="",$E23=""),"",IF(OR(N($AP23)&gt;0,COUNTIFS(Preise!$A$5:$A$304,$D23,Preise!$B$5:$B$304,$E23,Preise!$I$5:$I$304,"OK")&gt;0,N(INDEX(Werkstoffe!$G$5:$G$304,MATCH($E23,lst_Werkstoff,0)))&gt;0),"ja","nein"))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28">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Materialpreis",IF(AND($AQ23&lt;&gt;"",N($AR23)&gt;0,MOD($G23,$AR23)&lt;&gt;0),"WARNUNG: Stückzahl ist kein Vielfaches von Stück je Satz",IF($H23="","HINWEIS: Schneidweg fehlt",IF(V23="","HINWEIS: keine Schneiddaten",IF(AND($AF23&lt;&gt;"",$AG23=""),"HINWEIS: Gewinde-Vorschlag prüfen","OK")))))))))))))))</f>
        <v/>
      </c>
      <c r="X23" s="18">
        <f>IF(OR(O23="",$G23=""),"",O23*$G23)</f>
        <v/>
      </c>
      <c r="Y23" s="9" t="n"/>
      <c r="Z23" s="23" t="n"/>
      <c r="AA23" s="9" t="n"/>
      <c r="AB23" s="23" t="n"/>
      <c r="AC23" s="23" t="n"/>
      <c r="AD23" s="23" t="n"/>
      <c r="AE23" s="9" t="n"/>
      <c r="AF23" s="9" t="n"/>
      <c r="AG23" s="9" t="n"/>
      <c r="AH23" s="24" t="n"/>
      <c r="AI23" s="23" t="n"/>
      <c r="AJ23" s="24" t="n"/>
      <c r="AK23" s="23" t="n"/>
      <c r="AL23" s="24" t="n"/>
      <c r="AM23" s="23" t="n"/>
      <c r="AN23" s="28">
        <f>IF($D23="","",COUNTIFS(Stangenbelegung!$E$5:$E$10004,ROW()))</f>
        <v/>
      </c>
      <c r="AO23" s="28">
        <f>IF(OR($G23="",COUNTA(Stangenbelegung!$A$5:$A$10004)=0),"",$G23-AN23)</f>
        <v/>
      </c>
      <c r="AP23" s="29" t="n"/>
      <c r="AQ23" s="9" t="n"/>
      <c r="AR23" s="19" t="n"/>
    </row>
    <row r="24">
      <c r="A24" s="9" t="n"/>
      <c r="B24" s="9" t="n"/>
      <c r="C24" s="9" t="n"/>
      <c r="D24" s="9" t="n"/>
      <c r="E24" s="9" t="n"/>
      <c r="F24" s="23" t="n"/>
      <c r="G24" s="19" t="n"/>
      <c r="H24" s="23" t="n"/>
      <c r="I24" s="24" t="n"/>
      <c r="J24" s="19" t="n"/>
      <c r="K24" s="25">
        <f>IF($D24="","",IFERROR(INDEX(Profile!$B$5:$B$304,MATCH($D24,lst_Profil,0)),""))</f>
        <v/>
      </c>
      <c r="L24" s="13">
        <f>IF($D24="","",IFERROR(INDEX(Profile!$K$5:$K$304,MATCH($D24,lst_Profil,0))+0,""))</f>
        <v/>
      </c>
      <c r="M24" s="26">
        <f>IF($D24="","",IFERROR(INDEX(Profile!$E$5:$E$304,MATCH($D24,lst_Profil,0))+0,""))</f>
        <v/>
      </c>
      <c r="N24" s="27">
        <f>IF(OR(L24="",$E24=""),"",IFERROR(L24*INDEX(Werkstoffe!$E$5:$E$304,MATCH($E24,lst_Werkstoff,0))/1000,""))</f>
        <v/>
      </c>
      <c r="O24" s="27">
        <f>IF(OR(N24="",$F24=""),"",N24*$F24/1000)</f>
        <v/>
      </c>
      <c r="P24" s="16">
        <f>IF(OR($F24="",$G24=""),"",$F24*$G24)</f>
        <v/>
      </c>
      <c r="Q24" s="16">
        <f>IF($D24="","",IF($J24&lt;&gt;"",$J24,$C$9))</f>
        <v/>
      </c>
      <c r="R24" s="12">
        <f>IF($D24="","",IFERROR(IF(INDEX(Profile!$G$5:$G$304,MATCH($D24,lst_Profil,0))&lt;&gt;"",INDEX(Profile!$G$5:$G$304,MATCH($D24,lst_Profil,0)),$H$4),$H$4))</f>
        <v/>
      </c>
      <c r="S24" s="12">
        <f>IF($D24="","",IFERROR(IF(INDEX(Profile!$H$5:$H$304,MATCH($D24,lst_Profil,0))&lt;&gt;"",INDEX(Profile!$H$5:$H$304,MATCH($D24,lst_Profil,0)),$H$5),$H$5))</f>
        <v/>
      </c>
      <c r="T24" s="16">
        <f>IF(OR(Q24="",NOT(ISNUMBER(R24)),NOT(ISNUMBER(S24))),"",Q24-R24-S24)</f>
        <v/>
      </c>
      <c r="U24" s="28">
        <f>IF(OR($D24="",$E24=""),"",IF(OR(N($AP24)&gt;0,COUNTIFS(Preise!$A$5:$A$304,$D24,Preise!$B$5:$B$304,$E24,Preise!$I$5:$I$304,"OK")&gt;0,N(INDEX(Werkstoffe!$G$5:$G$304,MATCH($E24,lst_Werkstoff,0)))&gt;0),"ja","nein"))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28">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Materialpreis",IF(AND($AQ24&lt;&gt;"",N($AR24)&gt;0,MOD($G24,$AR24)&lt;&gt;0),"WARNUNG: Stückzahl ist kein Vielfaches von Stück je Satz",IF($H24="","HINWEIS: Schneidweg fehlt",IF(V24="","HINWEIS: keine Schneiddaten",IF(AND($AF24&lt;&gt;"",$AG24=""),"HINWEIS: Gewinde-Vorschlag prüfen","OK")))))))))))))))</f>
        <v/>
      </c>
      <c r="X24" s="18">
        <f>IF(OR(O24="",$G24=""),"",O24*$G24)</f>
        <v/>
      </c>
      <c r="Y24" s="9" t="n"/>
      <c r="Z24" s="23" t="n"/>
      <c r="AA24" s="9" t="n"/>
      <c r="AB24" s="23" t="n"/>
      <c r="AC24" s="23" t="n"/>
      <c r="AD24" s="23" t="n"/>
      <c r="AE24" s="9" t="n"/>
      <c r="AF24" s="9" t="n"/>
      <c r="AG24" s="9" t="n"/>
      <c r="AH24" s="24" t="n"/>
      <c r="AI24" s="23" t="n"/>
      <c r="AJ24" s="24" t="n"/>
      <c r="AK24" s="23" t="n"/>
      <c r="AL24" s="24" t="n"/>
      <c r="AM24" s="23" t="n"/>
      <c r="AN24" s="28">
        <f>IF($D24="","",COUNTIFS(Stangenbelegung!$E$5:$E$10004,ROW()))</f>
        <v/>
      </c>
      <c r="AO24" s="28">
        <f>IF(OR($G24="",COUNTA(Stangenbelegung!$A$5:$A$10004)=0),"",$G24-AN24)</f>
        <v/>
      </c>
      <c r="AP24" s="29" t="n"/>
      <c r="AQ24" s="9" t="n"/>
      <c r="AR24" s="19" t="n"/>
    </row>
    <row r="25">
      <c r="A25" s="9" t="n"/>
      <c r="B25" s="9" t="n"/>
      <c r="C25" s="9" t="n"/>
      <c r="D25" s="9" t="n"/>
      <c r="E25" s="9" t="n"/>
      <c r="F25" s="23" t="n"/>
      <c r="G25" s="19" t="n"/>
      <c r="H25" s="23" t="n"/>
      <c r="I25" s="24" t="n"/>
      <c r="J25" s="19" t="n"/>
      <c r="K25" s="25">
        <f>IF($D25="","",IFERROR(INDEX(Profile!$B$5:$B$304,MATCH($D25,lst_Profil,0)),""))</f>
        <v/>
      </c>
      <c r="L25" s="13">
        <f>IF($D25="","",IFERROR(INDEX(Profile!$K$5:$K$304,MATCH($D25,lst_Profil,0))+0,""))</f>
        <v/>
      </c>
      <c r="M25" s="26">
        <f>IF($D25="","",IFERROR(INDEX(Profile!$E$5:$E$304,MATCH($D25,lst_Profil,0))+0,""))</f>
        <v/>
      </c>
      <c r="N25" s="27">
        <f>IF(OR(L25="",$E25=""),"",IFERROR(L25*INDEX(Werkstoffe!$E$5:$E$304,MATCH($E25,lst_Werkstoff,0))/1000,""))</f>
        <v/>
      </c>
      <c r="O25" s="27">
        <f>IF(OR(N25="",$F25=""),"",N25*$F25/1000)</f>
        <v/>
      </c>
      <c r="P25" s="16">
        <f>IF(OR($F25="",$G25=""),"",$F25*$G25)</f>
        <v/>
      </c>
      <c r="Q25" s="16">
        <f>IF($D25="","",IF($J25&lt;&gt;"",$J25,$C$9))</f>
        <v/>
      </c>
      <c r="R25" s="12">
        <f>IF($D25="","",IFERROR(IF(INDEX(Profile!$G$5:$G$304,MATCH($D25,lst_Profil,0))&lt;&gt;"",INDEX(Profile!$G$5:$G$304,MATCH($D25,lst_Profil,0)),$H$4),$H$4))</f>
        <v/>
      </c>
      <c r="S25" s="12">
        <f>IF($D25="","",IFERROR(IF(INDEX(Profile!$H$5:$H$304,MATCH($D25,lst_Profil,0))&lt;&gt;"",INDEX(Profile!$H$5:$H$304,MATCH($D25,lst_Profil,0)),$H$5),$H$5))</f>
        <v/>
      </c>
      <c r="T25" s="16">
        <f>IF(OR(Q25="",NOT(ISNUMBER(R25)),NOT(ISNUMBER(S25))),"",Q25-R25-S25)</f>
        <v/>
      </c>
      <c r="U25" s="28">
        <f>IF(OR($D25="",$E25=""),"",IF(OR(N($AP25)&gt;0,COUNTIFS(Preise!$A$5:$A$304,$D25,Preise!$B$5:$B$304,$E25,Preise!$I$5:$I$304,"OK")&gt;0,N(INDEX(Werkstoffe!$G$5:$G$304,MATCH($E25,lst_Werkstoff,0)))&gt;0),"ja","nein"))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28">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Materialpreis",IF(AND($AQ25&lt;&gt;"",N($AR25)&gt;0,MOD($G25,$AR25)&lt;&gt;0),"WARNUNG: Stückzahl ist kein Vielfaches von Stück je Satz",IF($H25="","HINWEIS: Schneidweg fehlt",IF(V25="","HINWEIS: keine Schneiddaten",IF(AND($AF25&lt;&gt;"",$AG25=""),"HINWEIS: Gewinde-Vorschlag prüfen","OK")))))))))))))))</f>
        <v/>
      </c>
      <c r="X25" s="18">
        <f>IF(OR(O25="",$G25=""),"",O25*$G25)</f>
        <v/>
      </c>
      <c r="Y25" s="9" t="n"/>
      <c r="Z25" s="23" t="n"/>
      <c r="AA25" s="9" t="n"/>
      <c r="AB25" s="23" t="n"/>
      <c r="AC25" s="23" t="n"/>
      <c r="AD25" s="23" t="n"/>
      <c r="AE25" s="9" t="n"/>
      <c r="AF25" s="9" t="n"/>
      <c r="AG25" s="9" t="n"/>
      <c r="AH25" s="24" t="n"/>
      <c r="AI25" s="23" t="n"/>
      <c r="AJ25" s="24" t="n"/>
      <c r="AK25" s="23" t="n"/>
      <c r="AL25" s="24" t="n"/>
      <c r="AM25" s="23" t="n"/>
      <c r="AN25" s="28">
        <f>IF($D25="","",COUNTIFS(Stangenbelegung!$E$5:$E$10004,ROW()))</f>
        <v/>
      </c>
      <c r="AO25" s="28">
        <f>IF(OR($G25="",COUNTA(Stangenbelegung!$A$5:$A$10004)=0),"",$G25-AN25)</f>
        <v/>
      </c>
      <c r="AP25" s="29" t="n"/>
      <c r="AQ25" s="9" t="n"/>
      <c r="AR25" s="19" t="n"/>
    </row>
    <row r="26">
      <c r="A26" s="9" t="n"/>
      <c r="B26" s="9" t="n"/>
      <c r="C26" s="9" t="n"/>
      <c r="D26" s="9" t="n"/>
      <c r="E26" s="9" t="n"/>
      <c r="F26" s="23" t="n"/>
      <c r="G26" s="19" t="n"/>
      <c r="H26" s="23" t="n"/>
      <c r="I26" s="24" t="n"/>
      <c r="J26" s="19" t="n"/>
      <c r="K26" s="25">
        <f>IF($D26="","",IFERROR(INDEX(Profile!$B$5:$B$304,MATCH($D26,lst_Profil,0)),""))</f>
        <v/>
      </c>
      <c r="L26" s="13">
        <f>IF($D26="","",IFERROR(INDEX(Profile!$K$5:$K$304,MATCH($D26,lst_Profil,0))+0,""))</f>
        <v/>
      </c>
      <c r="M26" s="26">
        <f>IF($D26="","",IFERROR(INDEX(Profile!$E$5:$E$304,MATCH($D26,lst_Profil,0))+0,""))</f>
        <v/>
      </c>
      <c r="N26" s="27">
        <f>IF(OR(L26="",$E26=""),"",IFERROR(L26*INDEX(Werkstoffe!$E$5:$E$304,MATCH($E26,lst_Werkstoff,0))/1000,""))</f>
        <v/>
      </c>
      <c r="O26" s="27">
        <f>IF(OR(N26="",$F26=""),"",N26*$F26/1000)</f>
        <v/>
      </c>
      <c r="P26" s="16">
        <f>IF(OR($F26="",$G26=""),"",$F26*$G26)</f>
        <v/>
      </c>
      <c r="Q26" s="16">
        <f>IF($D26="","",IF($J26&lt;&gt;"",$J26,$C$9))</f>
        <v/>
      </c>
      <c r="R26" s="12">
        <f>IF($D26="","",IFERROR(IF(INDEX(Profile!$G$5:$G$304,MATCH($D26,lst_Profil,0))&lt;&gt;"",INDEX(Profile!$G$5:$G$304,MATCH($D26,lst_Profil,0)),$H$4),$H$4))</f>
        <v/>
      </c>
      <c r="S26" s="12">
        <f>IF($D26="","",IFERROR(IF(INDEX(Profile!$H$5:$H$304,MATCH($D26,lst_Profil,0))&lt;&gt;"",INDEX(Profile!$H$5:$H$304,MATCH($D26,lst_Profil,0)),$H$5),$H$5))</f>
        <v/>
      </c>
      <c r="T26" s="16">
        <f>IF(OR(Q26="",NOT(ISNUMBER(R26)),NOT(ISNUMBER(S26))),"",Q26-R26-S26)</f>
        <v/>
      </c>
      <c r="U26" s="28">
        <f>IF(OR($D26="",$E26=""),"",IF(OR(N($AP26)&gt;0,COUNTIFS(Preise!$A$5:$A$304,$D26,Preise!$B$5:$B$304,$E26,Preise!$I$5:$I$304,"OK")&gt;0,N(INDEX(Werkstoffe!$G$5:$G$304,MATCH($E26,lst_Werkstoff,0)))&gt;0),"ja","nein"))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28">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Materialpreis",IF(AND($AQ26&lt;&gt;"",N($AR26)&gt;0,MOD($G26,$AR26)&lt;&gt;0),"WARNUNG: Stückzahl ist kein Vielfaches von Stück je Satz",IF($H26="","HINWEIS: Schneidweg fehlt",IF(V26="","HINWEIS: keine Schneiddaten",IF(AND($AF26&lt;&gt;"",$AG26=""),"HINWEIS: Gewinde-Vorschlag prüfen","OK")))))))))))))))</f>
        <v/>
      </c>
      <c r="X26" s="18">
        <f>IF(OR(O26="",$G26=""),"",O26*$G26)</f>
        <v/>
      </c>
      <c r="Y26" s="9" t="n"/>
      <c r="Z26" s="23" t="n"/>
      <c r="AA26" s="9" t="n"/>
      <c r="AB26" s="23" t="n"/>
      <c r="AC26" s="23" t="n"/>
      <c r="AD26" s="23" t="n"/>
      <c r="AE26" s="9" t="n"/>
      <c r="AF26" s="9" t="n"/>
      <c r="AG26" s="9" t="n"/>
      <c r="AH26" s="24" t="n"/>
      <c r="AI26" s="23" t="n"/>
      <c r="AJ26" s="24" t="n"/>
      <c r="AK26" s="23" t="n"/>
      <c r="AL26" s="24" t="n"/>
      <c r="AM26" s="23" t="n"/>
      <c r="AN26" s="28">
        <f>IF($D26="","",COUNTIFS(Stangenbelegung!$E$5:$E$10004,ROW()))</f>
        <v/>
      </c>
      <c r="AO26" s="28">
        <f>IF(OR($G26="",COUNTA(Stangenbelegung!$A$5:$A$10004)=0),"",$G26-AN26)</f>
        <v/>
      </c>
      <c r="AP26" s="29" t="n"/>
      <c r="AQ26" s="9" t="n"/>
      <c r="AR26" s="19" t="n"/>
    </row>
    <row r="27">
      <c r="A27" s="9" t="n"/>
      <c r="B27" s="9" t="n"/>
      <c r="C27" s="9" t="n"/>
      <c r="D27" s="9" t="n"/>
      <c r="E27" s="9" t="n"/>
      <c r="F27" s="23" t="n"/>
      <c r="G27" s="19" t="n"/>
      <c r="H27" s="23" t="n"/>
      <c r="I27" s="24" t="n"/>
      <c r="J27" s="19" t="n"/>
      <c r="K27" s="25">
        <f>IF($D27="","",IFERROR(INDEX(Profile!$B$5:$B$304,MATCH($D27,lst_Profil,0)),""))</f>
        <v/>
      </c>
      <c r="L27" s="13">
        <f>IF($D27="","",IFERROR(INDEX(Profile!$K$5:$K$304,MATCH($D27,lst_Profil,0))+0,""))</f>
        <v/>
      </c>
      <c r="M27" s="26">
        <f>IF($D27="","",IFERROR(INDEX(Profile!$E$5:$E$304,MATCH($D27,lst_Profil,0))+0,""))</f>
        <v/>
      </c>
      <c r="N27" s="27">
        <f>IF(OR(L27="",$E27=""),"",IFERROR(L27*INDEX(Werkstoffe!$E$5:$E$304,MATCH($E27,lst_Werkstoff,0))/1000,""))</f>
        <v/>
      </c>
      <c r="O27" s="27">
        <f>IF(OR(N27="",$F27=""),"",N27*$F27/1000)</f>
        <v/>
      </c>
      <c r="P27" s="16">
        <f>IF(OR($F27="",$G27=""),"",$F27*$G27)</f>
        <v/>
      </c>
      <c r="Q27" s="16">
        <f>IF($D27="","",IF($J27&lt;&gt;"",$J27,$C$9))</f>
        <v/>
      </c>
      <c r="R27" s="12">
        <f>IF($D27="","",IFERROR(IF(INDEX(Profile!$G$5:$G$304,MATCH($D27,lst_Profil,0))&lt;&gt;"",INDEX(Profile!$G$5:$G$304,MATCH($D27,lst_Profil,0)),$H$4),$H$4))</f>
        <v/>
      </c>
      <c r="S27" s="12">
        <f>IF($D27="","",IFERROR(IF(INDEX(Profile!$H$5:$H$304,MATCH($D27,lst_Profil,0))&lt;&gt;"",INDEX(Profile!$H$5:$H$304,MATCH($D27,lst_Profil,0)),$H$5),$H$5))</f>
        <v/>
      </c>
      <c r="T27" s="16">
        <f>IF(OR(Q27="",NOT(ISNUMBER(R27)),NOT(ISNUMBER(S27))),"",Q27-R27-S27)</f>
        <v/>
      </c>
      <c r="U27" s="28">
        <f>IF(OR($D27="",$E27=""),"",IF(OR(N($AP27)&gt;0,COUNTIFS(Preise!$A$5:$A$304,$D27,Preise!$B$5:$B$304,$E27,Preise!$I$5:$I$304,"OK")&gt;0,N(INDEX(Werkstoffe!$G$5:$G$304,MATCH($E27,lst_Werkstoff,0)))&gt;0),"ja","nein"))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28">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Materialpreis",IF(AND($AQ27&lt;&gt;"",N($AR27)&gt;0,MOD($G27,$AR27)&lt;&gt;0),"WARNUNG: Stückzahl ist kein Vielfaches von Stück je Satz",IF($H27="","HINWEIS: Schneidweg fehlt",IF(V27="","HINWEIS: keine Schneiddaten",IF(AND($AF27&lt;&gt;"",$AG27=""),"HINWEIS: Gewinde-Vorschlag prüfen","OK")))))))))))))))</f>
        <v/>
      </c>
      <c r="X27" s="18">
        <f>IF(OR(O27="",$G27=""),"",O27*$G27)</f>
        <v/>
      </c>
      <c r="Y27" s="9" t="n"/>
      <c r="Z27" s="23" t="n"/>
      <c r="AA27" s="9" t="n"/>
      <c r="AB27" s="23" t="n"/>
      <c r="AC27" s="23" t="n"/>
      <c r="AD27" s="23" t="n"/>
      <c r="AE27" s="9" t="n"/>
      <c r="AF27" s="9" t="n"/>
      <c r="AG27" s="9" t="n"/>
      <c r="AH27" s="24" t="n"/>
      <c r="AI27" s="23" t="n"/>
      <c r="AJ27" s="24" t="n"/>
      <c r="AK27" s="23" t="n"/>
      <c r="AL27" s="24" t="n"/>
      <c r="AM27" s="23" t="n"/>
      <c r="AN27" s="28">
        <f>IF($D27="","",COUNTIFS(Stangenbelegung!$E$5:$E$10004,ROW()))</f>
        <v/>
      </c>
      <c r="AO27" s="28">
        <f>IF(OR($G27="",COUNTA(Stangenbelegung!$A$5:$A$10004)=0),"",$G27-AN27)</f>
        <v/>
      </c>
      <c r="AP27" s="29" t="n"/>
      <c r="AQ27" s="9" t="n"/>
      <c r="AR27" s="19" t="n"/>
    </row>
    <row r="28">
      <c r="A28" s="9" t="n"/>
      <c r="B28" s="9" t="n"/>
      <c r="C28" s="9" t="n"/>
      <c r="D28" s="9" t="n"/>
      <c r="E28" s="9" t="n"/>
      <c r="F28" s="23" t="n"/>
      <c r="G28" s="19" t="n"/>
      <c r="H28" s="23" t="n"/>
      <c r="I28" s="24" t="n"/>
      <c r="J28" s="19" t="n"/>
      <c r="K28" s="25">
        <f>IF($D28="","",IFERROR(INDEX(Profile!$B$5:$B$304,MATCH($D28,lst_Profil,0)),""))</f>
        <v/>
      </c>
      <c r="L28" s="13">
        <f>IF($D28="","",IFERROR(INDEX(Profile!$K$5:$K$304,MATCH($D28,lst_Profil,0))+0,""))</f>
        <v/>
      </c>
      <c r="M28" s="26">
        <f>IF($D28="","",IFERROR(INDEX(Profile!$E$5:$E$304,MATCH($D28,lst_Profil,0))+0,""))</f>
        <v/>
      </c>
      <c r="N28" s="27">
        <f>IF(OR(L28="",$E28=""),"",IFERROR(L28*INDEX(Werkstoffe!$E$5:$E$304,MATCH($E28,lst_Werkstoff,0))/1000,""))</f>
        <v/>
      </c>
      <c r="O28" s="27">
        <f>IF(OR(N28="",$F28=""),"",N28*$F28/1000)</f>
        <v/>
      </c>
      <c r="P28" s="16">
        <f>IF(OR($F28="",$G28=""),"",$F28*$G28)</f>
        <v/>
      </c>
      <c r="Q28" s="16">
        <f>IF($D28="","",IF($J28&lt;&gt;"",$J28,$C$9))</f>
        <v/>
      </c>
      <c r="R28" s="12">
        <f>IF($D28="","",IFERROR(IF(INDEX(Profile!$G$5:$G$304,MATCH($D28,lst_Profil,0))&lt;&gt;"",INDEX(Profile!$G$5:$G$304,MATCH($D28,lst_Profil,0)),$H$4),$H$4))</f>
        <v/>
      </c>
      <c r="S28" s="12">
        <f>IF($D28="","",IFERROR(IF(INDEX(Profile!$H$5:$H$304,MATCH($D28,lst_Profil,0))&lt;&gt;"",INDEX(Profile!$H$5:$H$304,MATCH($D28,lst_Profil,0)),$H$5),$H$5))</f>
        <v/>
      </c>
      <c r="T28" s="16">
        <f>IF(OR(Q28="",NOT(ISNUMBER(R28)),NOT(ISNUMBER(S28))),"",Q28-R28-S28)</f>
        <v/>
      </c>
      <c r="U28" s="28">
        <f>IF(OR($D28="",$E28=""),"",IF(OR(N($AP28)&gt;0,COUNTIFS(Preise!$A$5:$A$304,$D28,Preise!$B$5:$B$304,$E28,Preise!$I$5:$I$304,"OK")&gt;0,N(INDEX(Werkstoffe!$G$5:$G$304,MATCH($E28,lst_Werkstoff,0)))&gt;0),"ja","nein"))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28">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Materialpreis",IF(AND($AQ28&lt;&gt;"",N($AR28)&gt;0,MOD($G28,$AR28)&lt;&gt;0),"WARNUNG: Stückzahl ist kein Vielfaches von Stück je Satz",IF($H28="","HINWEIS: Schneidweg fehlt",IF(V28="","HINWEIS: keine Schneiddaten",IF(AND($AF28&lt;&gt;"",$AG28=""),"HINWEIS: Gewinde-Vorschlag prüfen","OK")))))))))))))))</f>
        <v/>
      </c>
      <c r="X28" s="18">
        <f>IF(OR(O28="",$G28=""),"",O28*$G28)</f>
        <v/>
      </c>
      <c r="Y28" s="9" t="n"/>
      <c r="Z28" s="23" t="n"/>
      <c r="AA28" s="9" t="n"/>
      <c r="AB28" s="23" t="n"/>
      <c r="AC28" s="23" t="n"/>
      <c r="AD28" s="23" t="n"/>
      <c r="AE28" s="9" t="n"/>
      <c r="AF28" s="9" t="n"/>
      <c r="AG28" s="9" t="n"/>
      <c r="AH28" s="24" t="n"/>
      <c r="AI28" s="23" t="n"/>
      <c r="AJ28" s="24" t="n"/>
      <c r="AK28" s="23" t="n"/>
      <c r="AL28" s="24" t="n"/>
      <c r="AM28" s="23" t="n"/>
      <c r="AN28" s="28">
        <f>IF($D28="","",COUNTIFS(Stangenbelegung!$E$5:$E$10004,ROW()))</f>
        <v/>
      </c>
      <c r="AO28" s="28">
        <f>IF(OR($G28="",COUNTA(Stangenbelegung!$A$5:$A$10004)=0),"",$G28-AN28)</f>
        <v/>
      </c>
      <c r="AP28" s="29" t="n"/>
      <c r="AQ28" s="9" t="n"/>
      <c r="AR28" s="19" t="n"/>
    </row>
    <row r="29">
      <c r="A29" s="9" t="n"/>
      <c r="B29" s="9" t="n"/>
      <c r="C29" s="9" t="n"/>
      <c r="D29" s="9" t="n"/>
      <c r="E29" s="9" t="n"/>
      <c r="F29" s="23" t="n"/>
      <c r="G29" s="19" t="n"/>
      <c r="H29" s="23" t="n"/>
      <c r="I29" s="24" t="n"/>
      <c r="J29" s="19" t="n"/>
      <c r="K29" s="25">
        <f>IF($D29="","",IFERROR(INDEX(Profile!$B$5:$B$304,MATCH($D29,lst_Profil,0)),""))</f>
        <v/>
      </c>
      <c r="L29" s="13">
        <f>IF($D29="","",IFERROR(INDEX(Profile!$K$5:$K$304,MATCH($D29,lst_Profil,0))+0,""))</f>
        <v/>
      </c>
      <c r="M29" s="26">
        <f>IF($D29="","",IFERROR(INDEX(Profile!$E$5:$E$304,MATCH($D29,lst_Profil,0))+0,""))</f>
        <v/>
      </c>
      <c r="N29" s="27">
        <f>IF(OR(L29="",$E29=""),"",IFERROR(L29*INDEX(Werkstoffe!$E$5:$E$304,MATCH($E29,lst_Werkstoff,0))/1000,""))</f>
        <v/>
      </c>
      <c r="O29" s="27">
        <f>IF(OR(N29="",$F29=""),"",N29*$F29/1000)</f>
        <v/>
      </c>
      <c r="P29" s="16">
        <f>IF(OR($F29="",$G29=""),"",$F29*$G29)</f>
        <v/>
      </c>
      <c r="Q29" s="16">
        <f>IF($D29="","",IF($J29&lt;&gt;"",$J29,$C$9))</f>
        <v/>
      </c>
      <c r="R29" s="12">
        <f>IF($D29="","",IFERROR(IF(INDEX(Profile!$G$5:$G$304,MATCH($D29,lst_Profil,0))&lt;&gt;"",INDEX(Profile!$G$5:$G$304,MATCH($D29,lst_Profil,0)),$H$4),$H$4))</f>
        <v/>
      </c>
      <c r="S29" s="12">
        <f>IF($D29="","",IFERROR(IF(INDEX(Profile!$H$5:$H$304,MATCH($D29,lst_Profil,0))&lt;&gt;"",INDEX(Profile!$H$5:$H$304,MATCH($D29,lst_Profil,0)),$H$5),$H$5))</f>
        <v/>
      </c>
      <c r="T29" s="16">
        <f>IF(OR(Q29="",NOT(ISNUMBER(R29)),NOT(ISNUMBER(S29))),"",Q29-R29-S29)</f>
        <v/>
      </c>
      <c r="U29" s="28">
        <f>IF(OR($D29="",$E29=""),"",IF(OR(N($AP29)&gt;0,COUNTIFS(Preise!$A$5:$A$304,$D29,Preise!$B$5:$B$304,$E29,Preise!$I$5:$I$304,"OK")&gt;0,N(INDEX(Werkstoffe!$G$5:$G$304,MATCH($E29,lst_Werkstoff,0)))&gt;0),"ja","nein"))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28">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Materialpreis",IF(AND($AQ29&lt;&gt;"",N($AR29)&gt;0,MOD($G29,$AR29)&lt;&gt;0),"WARNUNG: Stückzahl ist kein Vielfaches von Stück je Satz",IF($H29="","HINWEIS: Schneidweg fehlt",IF(V29="","HINWEIS: keine Schneiddaten",IF(AND($AF29&lt;&gt;"",$AG29=""),"HINWEIS: Gewinde-Vorschlag prüfen","OK")))))))))))))))</f>
        <v/>
      </c>
      <c r="X29" s="18">
        <f>IF(OR(O29="",$G29=""),"",O29*$G29)</f>
        <v/>
      </c>
      <c r="Y29" s="9" t="n"/>
      <c r="Z29" s="23" t="n"/>
      <c r="AA29" s="9" t="n"/>
      <c r="AB29" s="23" t="n"/>
      <c r="AC29" s="23" t="n"/>
      <c r="AD29" s="23" t="n"/>
      <c r="AE29" s="9" t="n"/>
      <c r="AF29" s="9" t="n"/>
      <c r="AG29" s="9" t="n"/>
      <c r="AH29" s="24" t="n"/>
      <c r="AI29" s="23" t="n"/>
      <c r="AJ29" s="24" t="n"/>
      <c r="AK29" s="23" t="n"/>
      <c r="AL29" s="24" t="n"/>
      <c r="AM29" s="23" t="n"/>
      <c r="AN29" s="28">
        <f>IF($D29="","",COUNTIFS(Stangenbelegung!$E$5:$E$10004,ROW()))</f>
        <v/>
      </c>
      <c r="AO29" s="28">
        <f>IF(OR($G29="",COUNTA(Stangenbelegung!$A$5:$A$10004)=0),"",$G29-AN29)</f>
        <v/>
      </c>
      <c r="AP29" s="29" t="n"/>
      <c r="AQ29" s="9" t="n"/>
      <c r="AR29" s="19" t="n"/>
    </row>
    <row r="30">
      <c r="A30" s="9" t="n"/>
      <c r="B30" s="9" t="n"/>
      <c r="C30" s="9" t="n"/>
      <c r="D30" s="9" t="n"/>
      <c r="E30" s="9" t="n"/>
      <c r="F30" s="23" t="n"/>
      <c r="G30" s="19" t="n"/>
      <c r="H30" s="23" t="n"/>
      <c r="I30" s="24" t="n"/>
      <c r="J30" s="19" t="n"/>
      <c r="K30" s="25">
        <f>IF($D30="","",IFERROR(INDEX(Profile!$B$5:$B$304,MATCH($D30,lst_Profil,0)),""))</f>
        <v/>
      </c>
      <c r="L30" s="13">
        <f>IF($D30="","",IFERROR(INDEX(Profile!$K$5:$K$304,MATCH($D30,lst_Profil,0))+0,""))</f>
        <v/>
      </c>
      <c r="M30" s="26">
        <f>IF($D30="","",IFERROR(INDEX(Profile!$E$5:$E$304,MATCH($D30,lst_Profil,0))+0,""))</f>
        <v/>
      </c>
      <c r="N30" s="27">
        <f>IF(OR(L30="",$E30=""),"",IFERROR(L30*INDEX(Werkstoffe!$E$5:$E$304,MATCH($E30,lst_Werkstoff,0))/1000,""))</f>
        <v/>
      </c>
      <c r="O30" s="27">
        <f>IF(OR(N30="",$F30=""),"",N30*$F30/1000)</f>
        <v/>
      </c>
      <c r="P30" s="16">
        <f>IF(OR($F30="",$G30=""),"",$F30*$G30)</f>
        <v/>
      </c>
      <c r="Q30" s="16">
        <f>IF($D30="","",IF($J30&lt;&gt;"",$J30,$C$9))</f>
        <v/>
      </c>
      <c r="R30" s="12">
        <f>IF($D30="","",IFERROR(IF(INDEX(Profile!$G$5:$G$304,MATCH($D30,lst_Profil,0))&lt;&gt;"",INDEX(Profile!$G$5:$G$304,MATCH($D30,lst_Profil,0)),$H$4),$H$4))</f>
        <v/>
      </c>
      <c r="S30" s="12">
        <f>IF($D30="","",IFERROR(IF(INDEX(Profile!$H$5:$H$304,MATCH($D30,lst_Profil,0))&lt;&gt;"",INDEX(Profile!$H$5:$H$304,MATCH($D30,lst_Profil,0)),$H$5),$H$5))</f>
        <v/>
      </c>
      <c r="T30" s="16">
        <f>IF(OR(Q30="",NOT(ISNUMBER(R30)),NOT(ISNUMBER(S30))),"",Q30-R30-S30)</f>
        <v/>
      </c>
      <c r="U30" s="28">
        <f>IF(OR($D30="",$E30=""),"",IF(OR(N($AP30)&gt;0,COUNTIFS(Preise!$A$5:$A$304,$D30,Preise!$B$5:$B$304,$E30,Preise!$I$5:$I$304,"OK")&gt;0,N(INDEX(Werkstoffe!$G$5:$G$304,MATCH($E30,lst_Werkstoff,0)))&gt;0),"ja","nein"))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28">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Materialpreis",IF(AND($AQ30&lt;&gt;"",N($AR30)&gt;0,MOD($G30,$AR30)&lt;&gt;0),"WARNUNG: Stückzahl ist kein Vielfaches von Stück je Satz",IF($H30="","HINWEIS: Schneidweg fehlt",IF(V30="","HINWEIS: keine Schneiddaten",IF(AND($AF30&lt;&gt;"",$AG30=""),"HINWEIS: Gewinde-Vorschlag prüfen","OK")))))))))))))))</f>
        <v/>
      </c>
      <c r="X30" s="18">
        <f>IF(OR(O30="",$G30=""),"",O30*$G30)</f>
        <v/>
      </c>
      <c r="Y30" s="9" t="n"/>
      <c r="Z30" s="23" t="n"/>
      <c r="AA30" s="9" t="n"/>
      <c r="AB30" s="23" t="n"/>
      <c r="AC30" s="23" t="n"/>
      <c r="AD30" s="23" t="n"/>
      <c r="AE30" s="9" t="n"/>
      <c r="AF30" s="9" t="n"/>
      <c r="AG30" s="9" t="n"/>
      <c r="AH30" s="24" t="n"/>
      <c r="AI30" s="23" t="n"/>
      <c r="AJ30" s="24" t="n"/>
      <c r="AK30" s="23" t="n"/>
      <c r="AL30" s="24" t="n"/>
      <c r="AM30" s="23" t="n"/>
      <c r="AN30" s="28">
        <f>IF($D30="","",COUNTIFS(Stangenbelegung!$E$5:$E$10004,ROW()))</f>
        <v/>
      </c>
      <c r="AO30" s="28">
        <f>IF(OR($G30="",COUNTA(Stangenbelegung!$A$5:$A$10004)=0),"",$G30-AN30)</f>
        <v/>
      </c>
      <c r="AP30" s="29" t="n"/>
      <c r="AQ30" s="9" t="n"/>
      <c r="AR30" s="19" t="n"/>
    </row>
    <row r="31">
      <c r="A31" s="9" t="n"/>
      <c r="B31" s="9" t="n"/>
      <c r="C31" s="9" t="n"/>
      <c r="D31" s="9" t="n"/>
      <c r="E31" s="9" t="n"/>
      <c r="F31" s="23" t="n"/>
      <c r="G31" s="19" t="n"/>
      <c r="H31" s="23" t="n"/>
      <c r="I31" s="24" t="n"/>
      <c r="J31" s="19" t="n"/>
      <c r="K31" s="25">
        <f>IF($D31="","",IFERROR(INDEX(Profile!$B$5:$B$304,MATCH($D31,lst_Profil,0)),""))</f>
        <v/>
      </c>
      <c r="L31" s="13">
        <f>IF($D31="","",IFERROR(INDEX(Profile!$K$5:$K$304,MATCH($D31,lst_Profil,0))+0,""))</f>
        <v/>
      </c>
      <c r="M31" s="26">
        <f>IF($D31="","",IFERROR(INDEX(Profile!$E$5:$E$304,MATCH($D31,lst_Profil,0))+0,""))</f>
        <v/>
      </c>
      <c r="N31" s="27">
        <f>IF(OR(L31="",$E31=""),"",IFERROR(L31*INDEX(Werkstoffe!$E$5:$E$304,MATCH($E31,lst_Werkstoff,0))/1000,""))</f>
        <v/>
      </c>
      <c r="O31" s="27">
        <f>IF(OR(N31="",$F31=""),"",N31*$F31/1000)</f>
        <v/>
      </c>
      <c r="P31" s="16">
        <f>IF(OR($F31="",$G31=""),"",$F31*$G31)</f>
        <v/>
      </c>
      <c r="Q31" s="16">
        <f>IF($D31="","",IF($J31&lt;&gt;"",$J31,$C$9))</f>
        <v/>
      </c>
      <c r="R31" s="12">
        <f>IF($D31="","",IFERROR(IF(INDEX(Profile!$G$5:$G$304,MATCH($D31,lst_Profil,0))&lt;&gt;"",INDEX(Profile!$G$5:$G$304,MATCH($D31,lst_Profil,0)),$H$4),$H$4))</f>
        <v/>
      </c>
      <c r="S31" s="12">
        <f>IF($D31="","",IFERROR(IF(INDEX(Profile!$H$5:$H$304,MATCH($D31,lst_Profil,0))&lt;&gt;"",INDEX(Profile!$H$5:$H$304,MATCH($D31,lst_Profil,0)),$H$5),$H$5))</f>
        <v/>
      </c>
      <c r="T31" s="16">
        <f>IF(OR(Q31="",NOT(ISNUMBER(R31)),NOT(ISNUMBER(S31))),"",Q31-R31-S31)</f>
        <v/>
      </c>
      <c r="U31" s="28">
        <f>IF(OR($D31="",$E31=""),"",IF(OR(N($AP31)&gt;0,COUNTIFS(Preise!$A$5:$A$304,$D31,Preise!$B$5:$B$304,$E31,Preise!$I$5:$I$304,"OK")&gt;0,N(INDEX(Werkstoffe!$G$5:$G$304,MATCH($E31,lst_Werkstoff,0)))&gt;0),"ja","nein"))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28">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Materialpreis",IF(AND($AQ31&lt;&gt;"",N($AR31)&gt;0,MOD($G31,$AR31)&lt;&gt;0),"WARNUNG: Stückzahl ist kein Vielfaches von Stück je Satz",IF($H31="","HINWEIS: Schneidweg fehlt",IF(V31="","HINWEIS: keine Schneiddaten",IF(AND($AF31&lt;&gt;"",$AG31=""),"HINWEIS: Gewinde-Vorschlag prüfen","OK")))))))))))))))</f>
        <v/>
      </c>
      <c r="X31" s="18">
        <f>IF(OR(O31="",$G31=""),"",O31*$G31)</f>
        <v/>
      </c>
      <c r="Y31" s="9" t="n"/>
      <c r="Z31" s="23" t="n"/>
      <c r="AA31" s="9" t="n"/>
      <c r="AB31" s="23" t="n"/>
      <c r="AC31" s="23" t="n"/>
      <c r="AD31" s="23" t="n"/>
      <c r="AE31" s="9" t="n"/>
      <c r="AF31" s="9" t="n"/>
      <c r="AG31" s="9" t="n"/>
      <c r="AH31" s="24" t="n"/>
      <c r="AI31" s="23" t="n"/>
      <c r="AJ31" s="24" t="n"/>
      <c r="AK31" s="23" t="n"/>
      <c r="AL31" s="24" t="n"/>
      <c r="AM31" s="23" t="n"/>
      <c r="AN31" s="28">
        <f>IF($D31="","",COUNTIFS(Stangenbelegung!$E$5:$E$10004,ROW()))</f>
        <v/>
      </c>
      <c r="AO31" s="28">
        <f>IF(OR($G31="",COUNTA(Stangenbelegung!$A$5:$A$10004)=0),"",$G31-AN31)</f>
        <v/>
      </c>
      <c r="AP31" s="29" t="n"/>
      <c r="AQ31" s="9" t="n"/>
      <c r="AR31" s="19" t="n"/>
    </row>
    <row r="32">
      <c r="A32" s="9" t="n"/>
      <c r="B32" s="9" t="n"/>
      <c r="C32" s="9" t="n"/>
      <c r="D32" s="9" t="n"/>
      <c r="E32" s="9" t="n"/>
      <c r="F32" s="23" t="n"/>
      <c r="G32" s="19" t="n"/>
      <c r="H32" s="23" t="n"/>
      <c r="I32" s="24" t="n"/>
      <c r="J32" s="19" t="n"/>
      <c r="K32" s="25">
        <f>IF($D32="","",IFERROR(INDEX(Profile!$B$5:$B$304,MATCH($D32,lst_Profil,0)),""))</f>
        <v/>
      </c>
      <c r="L32" s="13">
        <f>IF($D32="","",IFERROR(INDEX(Profile!$K$5:$K$304,MATCH($D32,lst_Profil,0))+0,""))</f>
        <v/>
      </c>
      <c r="M32" s="26">
        <f>IF($D32="","",IFERROR(INDEX(Profile!$E$5:$E$304,MATCH($D32,lst_Profil,0))+0,""))</f>
        <v/>
      </c>
      <c r="N32" s="27">
        <f>IF(OR(L32="",$E32=""),"",IFERROR(L32*INDEX(Werkstoffe!$E$5:$E$304,MATCH($E32,lst_Werkstoff,0))/1000,""))</f>
        <v/>
      </c>
      <c r="O32" s="27">
        <f>IF(OR(N32="",$F32=""),"",N32*$F32/1000)</f>
        <v/>
      </c>
      <c r="P32" s="16">
        <f>IF(OR($F32="",$G32=""),"",$F32*$G32)</f>
        <v/>
      </c>
      <c r="Q32" s="16">
        <f>IF($D32="","",IF($J32&lt;&gt;"",$J32,$C$9))</f>
        <v/>
      </c>
      <c r="R32" s="12">
        <f>IF($D32="","",IFERROR(IF(INDEX(Profile!$G$5:$G$304,MATCH($D32,lst_Profil,0))&lt;&gt;"",INDEX(Profile!$G$5:$G$304,MATCH($D32,lst_Profil,0)),$H$4),$H$4))</f>
        <v/>
      </c>
      <c r="S32" s="12">
        <f>IF($D32="","",IFERROR(IF(INDEX(Profile!$H$5:$H$304,MATCH($D32,lst_Profil,0))&lt;&gt;"",INDEX(Profile!$H$5:$H$304,MATCH($D32,lst_Profil,0)),$H$5),$H$5))</f>
        <v/>
      </c>
      <c r="T32" s="16">
        <f>IF(OR(Q32="",NOT(ISNUMBER(R32)),NOT(ISNUMBER(S32))),"",Q32-R32-S32)</f>
        <v/>
      </c>
      <c r="U32" s="28">
        <f>IF(OR($D32="",$E32=""),"",IF(OR(N($AP32)&gt;0,COUNTIFS(Preise!$A$5:$A$304,$D32,Preise!$B$5:$B$304,$E32,Preise!$I$5:$I$304,"OK")&gt;0,N(INDEX(Werkstoffe!$G$5:$G$304,MATCH($E32,lst_Werkstoff,0)))&gt;0),"ja","nein"))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28">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Materialpreis",IF(AND($AQ32&lt;&gt;"",N($AR32)&gt;0,MOD($G32,$AR32)&lt;&gt;0),"WARNUNG: Stückzahl ist kein Vielfaches von Stück je Satz",IF($H32="","HINWEIS: Schneidweg fehlt",IF(V32="","HINWEIS: keine Schneiddaten",IF(AND($AF32&lt;&gt;"",$AG32=""),"HINWEIS: Gewinde-Vorschlag prüfen","OK")))))))))))))))</f>
        <v/>
      </c>
      <c r="X32" s="18">
        <f>IF(OR(O32="",$G32=""),"",O32*$G32)</f>
        <v/>
      </c>
      <c r="Y32" s="9" t="n"/>
      <c r="Z32" s="23" t="n"/>
      <c r="AA32" s="9" t="n"/>
      <c r="AB32" s="23" t="n"/>
      <c r="AC32" s="23" t="n"/>
      <c r="AD32" s="23" t="n"/>
      <c r="AE32" s="9" t="n"/>
      <c r="AF32" s="9" t="n"/>
      <c r="AG32" s="9" t="n"/>
      <c r="AH32" s="24" t="n"/>
      <c r="AI32" s="23" t="n"/>
      <c r="AJ32" s="24" t="n"/>
      <c r="AK32" s="23" t="n"/>
      <c r="AL32" s="24" t="n"/>
      <c r="AM32" s="23" t="n"/>
      <c r="AN32" s="28">
        <f>IF($D32="","",COUNTIFS(Stangenbelegung!$E$5:$E$10004,ROW()))</f>
        <v/>
      </c>
      <c r="AO32" s="28">
        <f>IF(OR($G32="",COUNTA(Stangenbelegung!$A$5:$A$10004)=0),"",$G32-AN32)</f>
        <v/>
      </c>
      <c r="AP32" s="29" t="n"/>
      <c r="AQ32" s="9" t="n"/>
      <c r="AR32" s="19" t="n"/>
    </row>
    <row r="33">
      <c r="A33" s="9" t="n"/>
      <c r="B33" s="9" t="n"/>
      <c r="C33" s="9" t="n"/>
      <c r="D33" s="9" t="n"/>
      <c r="E33" s="9" t="n"/>
      <c r="F33" s="23" t="n"/>
      <c r="G33" s="19" t="n"/>
      <c r="H33" s="23" t="n"/>
      <c r="I33" s="24" t="n"/>
      <c r="J33" s="19" t="n"/>
      <c r="K33" s="25">
        <f>IF($D33="","",IFERROR(INDEX(Profile!$B$5:$B$304,MATCH($D33,lst_Profil,0)),""))</f>
        <v/>
      </c>
      <c r="L33" s="13">
        <f>IF($D33="","",IFERROR(INDEX(Profile!$K$5:$K$304,MATCH($D33,lst_Profil,0))+0,""))</f>
        <v/>
      </c>
      <c r="M33" s="26">
        <f>IF($D33="","",IFERROR(INDEX(Profile!$E$5:$E$304,MATCH($D33,lst_Profil,0))+0,""))</f>
        <v/>
      </c>
      <c r="N33" s="27">
        <f>IF(OR(L33="",$E33=""),"",IFERROR(L33*INDEX(Werkstoffe!$E$5:$E$304,MATCH($E33,lst_Werkstoff,0))/1000,""))</f>
        <v/>
      </c>
      <c r="O33" s="27">
        <f>IF(OR(N33="",$F33=""),"",N33*$F33/1000)</f>
        <v/>
      </c>
      <c r="P33" s="16">
        <f>IF(OR($F33="",$G33=""),"",$F33*$G33)</f>
        <v/>
      </c>
      <c r="Q33" s="16">
        <f>IF($D33="","",IF($J33&lt;&gt;"",$J33,$C$9))</f>
        <v/>
      </c>
      <c r="R33" s="12">
        <f>IF($D33="","",IFERROR(IF(INDEX(Profile!$G$5:$G$304,MATCH($D33,lst_Profil,0))&lt;&gt;"",INDEX(Profile!$G$5:$G$304,MATCH($D33,lst_Profil,0)),$H$4),$H$4))</f>
        <v/>
      </c>
      <c r="S33" s="12">
        <f>IF($D33="","",IFERROR(IF(INDEX(Profile!$H$5:$H$304,MATCH($D33,lst_Profil,0))&lt;&gt;"",INDEX(Profile!$H$5:$H$304,MATCH($D33,lst_Profil,0)),$H$5),$H$5))</f>
        <v/>
      </c>
      <c r="T33" s="16">
        <f>IF(OR(Q33="",NOT(ISNUMBER(R33)),NOT(ISNUMBER(S33))),"",Q33-R33-S33)</f>
        <v/>
      </c>
      <c r="U33" s="28">
        <f>IF(OR($D33="",$E33=""),"",IF(OR(N($AP33)&gt;0,COUNTIFS(Preise!$A$5:$A$304,$D33,Preise!$B$5:$B$304,$E33,Preise!$I$5:$I$304,"OK")&gt;0,N(INDEX(Werkstoffe!$G$5:$G$304,MATCH($E33,lst_Werkstoff,0)))&gt;0),"ja","nein"))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28">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Materialpreis",IF(AND($AQ33&lt;&gt;"",N($AR33)&gt;0,MOD($G33,$AR33)&lt;&gt;0),"WARNUNG: Stückzahl ist kein Vielfaches von Stück je Satz",IF($H33="","HINWEIS: Schneidweg fehlt",IF(V33="","HINWEIS: keine Schneiddaten",IF(AND($AF33&lt;&gt;"",$AG33=""),"HINWEIS: Gewinde-Vorschlag prüfen","OK")))))))))))))))</f>
        <v/>
      </c>
      <c r="X33" s="18">
        <f>IF(OR(O33="",$G33=""),"",O33*$G33)</f>
        <v/>
      </c>
      <c r="Y33" s="9" t="n"/>
      <c r="Z33" s="23" t="n"/>
      <c r="AA33" s="9" t="n"/>
      <c r="AB33" s="23" t="n"/>
      <c r="AC33" s="23" t="n"/>
      <c r="AD33" s="23" t="n"/>
      <c r="AE33" s="9" t="n"/>
      <c r="AF33" s="9" t="n"/>
      <c r="AG33" s="9" t="n"/>
      <c r="AH33" s="24" t="n"/>
      <c r="AI33" s="23" t="n"/>
      <c r="AJ33" s="24" t="n"/>
      <c r="AK33" s="23" t="n"/>
      <c r="AL33" s="24" t="n"/>
      <c r="AM33" s="23" t="n"/>
      <c r="AN33" s="28">
        <f>IF($D33="","",COUNTIFS(Stangenbelegung!$E$5:$E$10004,ROW()))</f>
        <v/>
      </c>
      <c r="AO33" s="28">
        <f>IF(OR($G33="",COUNTA(Stangenbelegung!$A$5:$A$10004)=0),"",$G33-AN33)</f>
        <v/>
      </c>
      <c r="AP33" s="29" t="n"/>
      <c r="AQ33" s="9" t="n"/>
      <c r="AR33" s="19" t="n"/>
    </row>
    <row r="34">
      <c r="A34" s="9" t="n"/>
      <c r="B34" s="9" t="n"/>
      <c r="C34" s="9" t="n"/>
      <c r="D34" s="9" t="n"/>
      <c r="E34" s="9" t="n"/>
      <c r="F34" s="23" t="n"/>
      <c r="G34" s="19" t="n"/>
      <c r="H34" s="23" t="n"/>
      <c r="I34" s="24" t="n"/>
      <c r="J34" s="19" t="n"/>
      <c r="K34" s="25">
        <f>IF($D34="","",IFERROR(INDEX(Profile!$B$5:$B$304,MATCH($D34,lst_Profil,0)),""))</f>
        <v/>
      </c>
      <c r="L34" s="13">
        <f>IF($D34="","",IFERROR(INDEX(Profile!$K$5:$K$304,MATCH($D34,lst_Profil,0))+0,""))</f>
        <v/>
      </c>
      <c r="M34" s="26">
        <f>IF($D34="","",IFERROR(INDEX(Profile!$E$5:$E$304,MATCH($D34,lst_Profil,0))+0,""))</f>
        <v/>
      </c>
      <c r="N34" s="27">
        <f>IF(OR(L34="",$E34=""),"",IFERROR(L34*INDEX(Werkstoffe!$E$5:$E$304,MATCH($E34,lst_Werkstoff,0))/1000,""))</f>
        <v/>
      </c>
      <c r="O34" s="27">
        <f>IF(OR(N34="",$F34=""),"",N34*$F34/1000)</f>
        <v/>
      </c>
      <c r="P34" s="16">
        <f>IF(OR($F34="",$G34=""),"",$F34*$G34)</f>
        <v/>
      </c>
      <c r="Q34" s="16">
        <f>IF($D34="","",IF($J34&lt;&gt;"",$J34,$C$9))</f>
        <v/>
      </c>
      <c r="R34" s="12">
        <f>IF($D34="","",IFERROR(IF(INDEX(Profile!$G$5:$G$304,MATCH($D34,lst_Profil,0))&lt;&gt;"",INDEX(Profile!$G$5:$G$304,MATCH($D34,lst_Profil,0)),$H$4),$H$4))</f>
        <v/>
      </c>
      <c r="S34" s="12">
        <f>IF($D34="","",IFERROR(IF(INDEX(Profile!$H$5:$H$304,MATCH($D34,lst_Profil,0))&lt;&gt;"",INDEX(Profile!$H$5:$H$304,MATCH($D34,lst_Profil,0)),$H$5),$H$5))</f>
        <v/>
      </c>
      <c r="T34" s="16">
        <f>IF(OR(Q34="",NOT(ISNUMBER(R34)),NOT(ISNUMBER(S34))),"",Q34-R34-S34)</f>
        <v/>
      </c>
      <c r="U34" s="28">
        <f>IF(OR($D34="",$E34=""),"",IF(OR(N($AP34)&gt;0,COUNTIFS(Preise!$A$5:$A$304,$D34,Preise!$B$5:$B$304,$E34,Preise!$I$5:$I$304,"OK")&gt;0,N(INDEX(Werkstoffe!$G$5:$G$304,MATCH($E34,lst_Werkstoff,0)))&gt;0),"ja","nein"))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28">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Materialpreis",IF(AND($AQ34&lt;&gt;"",N($AR34)&gt;0,MOD($G34,$AR34)&lt;&gt;0),"WARNUNG: Stückzahl ist kein Vielfaches von Stück je Satz",IF($H34="","HINWEIS: Schneidweg fehlt",IF(V34="","HINWEIS: keine Schneiddaten",IF(AND($AF34&lt;&gt;"",$AG34=""),"HINWEIS: Gewinde-Vorschlag prüfen","OK")))))))))))))))</f>
        <v/>
      </c>
      <c r="X34" s="18">
        <f>IF(OR(O34="",$G34=""),"",O34*$G34)</f>
        <v/>
      </c>
      <c r="Y34" s="9" t="n"/>
      <c r="Z34" s="23" t="n"/>
      <c r="AA34" s="9" t="n"/>
      <c r="AB34" s="23" t="n"/>
      <c r="AC34" s="23" t="n"/>
      <c r="AD34" s="23" t="n"/>
      <c r="AE34" s="9" t="n"/>
      <c r="AF34" s="9" t="n"/>
      <c r="AG34" s="9" t="n"/>
      <c r="AH34" s="24" t="n"/>
      <c r="AI34" s="23" t="n"/>
      <c r="AJ34" s="24" t="n"/>
      <c r="AK34" s="23" t="n"/>
      <c r="AL34" s="24" t="n"/>
      <c r="AM34" s="23" t="n"/>
      <c r="AN34" s="28">
        <f>IF($D34="","",COUNTIFS(Stangenbelegung!$E$5:$E$10004,ROW()))</f>
        <v/>
      </c>
      <c r="AO34" s="28">
        <f>IF(OR($G34="",COUNTA(Stangenbelegung!$A$5:$A$10004)=0),"",$G34-AN34)</f>
        <v/>
      </c>
      <c r="AP34" s="29" t="n"/>
      <c r="AQ34" s="9" t="n"/>
      <c r="AR34" s="19" t="n"/>
    </row>
    <row r="35">
      <c r="A35" s="9" t="n"/>
      <c r="B35" s="9" t="n"/>
      <c r="C35" s="9" t="n"/>
      <c r="D35" s="9" t="n"/>
      <c r="E35" s="9" t="n"/>
      <c r="F35" s="23" t="n"/>
      <c r="G35" s="19" t="n"/>
      <c r="H35" s="23" t="n"/>
      <c r="I35" s="24" t="n"/>
      <c r="J35" s="19" t="n"/>
      <c r="K35" s="25">
        <f>IF($D35="","",IFERROR(INDEX(Profile!$B$5:$B$304,MATCH($D35,lst_Profil,0)),""))</f>
        <v/>
      </c>
      <c r="L35" s="13">
        <f>IF($D35="","",IFERROR(INDEX(Profile!$K$5:$K$304,MATCH($D35,lst_Profil,0))+0,""))</f>
        <v/>
      </c>
      <c r="M35" s="26">
        <f>IF($D35="","",IFERROR(INDEX(Profile!$E$5:$E$304,MATCH($D35,lst_Profil,0))+0,""))</f>
        <v/>
      </c>
      <c r="N35" s="27">
        <f>IF(OR(L35="",$E35=""),"",IFERROR(L35*INDEX(Werkstoffe!$E$5:$E$304,MATCH($E35,lst_Werkstoff,0))/1000,""))</f>
        <v/>
      </c>
      <c r="O35" s="27">
        <f>IF(OR(N35="",$F35=""),"",N35*$F35/1000)</f>
        <v/>
      </c>
      <c r="P35" s="16">
        <f>IF(OR($F35="",$G35=""),"",$F35*$G35)</f>
        <v/>
      </c>
      <c r="Q35" s="16">
        <f>IF($D35="","",IF($J35&lt;&gt;"",$J35,$C$9))</f>
        <v/>
      </c>
      <c r="R35" s="12">
        <f>IF($D35="","",IFERROR(IF(INDEX(Profile!$G$5:$G$304,MATCH($D35,lst_Profil,0))&lt;&gt;"",INDEX(Profile!$G$5:$G$304,MATCH($D35,lst_Profil,0)),$H$4),$H$4))</f>
        <v/>
      </c>
      <c r="S35" s="12">
        <f>IF($D35="","",IFERROR(IF(INDEX(Profile!$H$5:$H$304,MATCH($D35,lst_Profil,0))&lt;&gt;"",INDEX(Profile!$H$5:$H$304,MATCH($D35,lst_Profil,0)),$H$5),$H$5))</f>
        <v/>
      </c>
      <c r="T35" s="16">
        <f>IF(OR(Q35="",NOT(ISNUMBER(R35)),NOT(ISNUMBER(S35))),"",Q35-R35-S35)</f>
        <v/>
      </c>
      <c r="U35" s="28">
        <f>IF(OR($D35="",$E35=""),"",IF(OR(N($AP35)&gt;0,COUNTIFS(Preise!$A$5:$A$304,$D35,Preise!$B$5:$B$304,$E35,Preise!$I$5:$I$304,"OK")&gt;0,N(INDEX(Werkstoffe!$G$5:$G$304,MATCH($E35,lst_Werkstoff,0)))&gt;0),"ja","nein"))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28">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Materialpreis",IF(AND($AQ35&lt;&gt;"",N($AR35)&gt;0,MOD($G35,$AR35)&lt;&gt;0),"WARNUNG: Stückzahl ist kein Vielfaches von Stück je Satz",IF($H35="","HINWEIS: Schneidweg fehlt",IF(V35="","HINWEIS: keine Schneiddaten",IF(AND($AF35&lt;&gt;"",$AG35=""),"HINWEIS: Gewinde-Vorschlag prüfen","OK")))))))))))))))</f>
        <v/>
      </c>
      <c r="X35" s="18">
        <f>IF(OR(O35="",$G35=""),"",O35*$G35)</f>
        <v/>
      </c>
      <c r="Y35" s="9" t="n"/>
      <c r="Z35" s="23" t="n"/>
      <c r="AA35" s="9" t="n"/>
      <c r="AB35" s="23" t="n"/>
      <c r="AC35" s="23" t="n"/>
      <c r="AD35" s="23" t="n"/>
      <c r="AE35" s="9" t="n"/>
      <c r="AF35" s="9" t="n"/>
      <c r="AG35" s="9" t="n"/>
      <c r="AH35" s="24" t="n"/>
      <c r="AI35" s="23" t="n"/>
      <c r="AJ35" s="24" t="n"/>
      <c r="AK35" s="23" t="n"/>
      <c r="AL35" s="24" t="n"/>
      <c r="AM35" s="23" t="n"/>
      <c r="AN35" s="28">
        <f>IF($D35="","",COUNTIFS(Stangenbelegung!$E$5:$E$10004,ROW()))</f>
        <v/>
      </c>
      <c r="AO35" s="28">
        <f>IF(OR($G35="",COUNTA(Stangenbelegung!$A$5:$A$10004)=0),"",$G35-AN35)</f>
        <v/>
      </c>
      <c r="AP35" s="29" t="n"/>
      <c r="AQ35" s="9" t="n"/>
      <c r="AR35" s="19" t="n"/>
    </row>
    <row r="36">
      <c r="A36" s="9" t="n"/>
      <c r="B36" s="9" t="n"/>
      <c r="C36" s="9" t="n"/>
      <c r="D36" s="9" t="n"/>
      <c r="E36" s="9" t="n"/>
      <c r="F36" s="23" t="n"/>
      <c r="G36" s="19" t="n"/>
      <c r="H36" s="23" t="n"/>
      <c r="I36" s="24" t="n"/>
      <c r="J36" s="19" t="n"/>
      <c r="K36" s="25">
        <f>IF($D36="","",IFERROR(INDEX(Profile!$B$5:$B$304,MATCH($D36,lst_Profil,0)),""))</f>
        <v/>
      </c>
      <c r="L36" s="13">
        <f>IF($D36="","",IFERROR(INDEX(Profile!$K$5:$K$304,MATCH($D36,lst_Profil,0))+0,""))</f>
        <v/>
      </c>
      <c r="M36" s="26">
        <f>IF($D36="","",IFERROR(INDEX(Profile!$E$5:$E$304,MATCH($D36,lst_Profil,0))+0,""))</f>
        <v/>
      </c>
      <c r="N36" s="27">
        <f>IF(OR(L36="",$E36=""),"",IFERROR(L36*INDEX(Werkstoffe!$E$5:$E$304,MATCH($E36,lst_Werkstoff,0))/1000,""))</f>
        <v/>
      </c>
      <c r="O36" s="27">
        <f>IF(OR(N36="",$F36=""),"",N36*$F36/1000)</f>
        <v/>
      </c>
      <c r="P36" s="16">
        <f>IF(OR($F36="",$G36=""),"",$F36*$G36)</f>
        <v/>
      </c>
      <c r="Q36" s="16">
        <f>IF($D36="","",IF($J36&lt;&gt;"",$J36,$C$9))</f>
        <v/>
      </c>
      <c r="R36" s="12">
        <f>IF($D36="","",IFERROR(IF(INDEX(Profile!$G$5:$G$304,MATCH($D36,lst_Profil,0))&lt;&gt;"",INDEX(Profile!$G$5:$G$304,MATCH($D36,lst_Profil,0)),$H$4),$H$4))</f>
        <v/>
      </c>
      <c r="S36" s="12">
        <f>IF($D36="","",IFERROR(IF(INDEX(Profile!$H$5:$H$304,MATCH($D36,lst_Profil,0))&lt;&gt;"",INDEX(Profile!$H$5:$H$304,MATCH($D36,lst_Profil,0)),$H$5),$H$5))</f>
        <v/>
      </c>
      <c r="T36" s="16">
        <f>IF(OR(Q36="",NOT(ISNUMBER(R36)),NOT(ISNUMBER(S36))),"",Q36-R36-S36)</f>
        <v/>
      </c>
      <c r="U36" s="28">
        <f>IF(OR($D36="",$E36=""),"",IF(OR(N($AP36)&gt;0,COUNTIFS(Preise!$A$5:$A$304,$D36,Preise!$B$5:$B$304,$E36,Preise!$I$5:$I$304,"OK")&gt;0,N(INDEX(Werkstoffe!$G$5:$G$304,MATCH($E36,lst_Werkstoff,0)))&gt;0),"ja","nein"))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28">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Materialpreis",IF(AND($AQ36&lt;&gt;"",N($AR36)&gt;0,MOD($G36,$AR36)&lt;&gt;0),"WARNUNG: Stückzahl ist kein Vielfaches von Stück je Satz",IF($H36="","HINWEIS: Schneidweg fehlt",IF(V36="","HINWEIS: keine Schneiddaten",IF(AND($AF36&lt;&gt;"",$AG36=""),"HINWEIS: Gewinde-Vorschlag prüfen","OK")))))))))))))))</f>
        <v/>
      </c>
      <c r="X36" s="18">
        <f>IF(OR(O36="",$G36=""),"",O36*$G36)</f>
        <v/>
      </c>
      <c r="Y36" s="9" t="n"/>
      <c r="Z36" s="23" t="n"/>
      <c r="AA36" s="9" t="n"/>
      <c r="AB36" s="23" t="n"/>
      <c r="AC36" s="23" t="n"/>
      <c r="AD36" s="23" t="n"/>
      <c r="AE36" s="9" t="n"/>
      <c r="AF36" s="9" t="n"/>
      <c r="AG36" s="9" t="n"/>
      <c r="AH36" s="24" t="n"/>
      <c r="AI36" s="23" t="n"/>
      <c r="AJ36" s="24" t="n"/>
      <c r="AK36" s="23" t="n"/>
      <c r="AL36" s="24" t="n"/>
      <c r="AM36" s="23" t="n"/>
      <c r="AN36" s="28">
        <f>IF($D36="","",COUNTIFS(Stangenbelegung!$E$5:$E$10004,ROW()))</f>
        <v/>
      </c>
      <c r="AO36" s="28">
        <f>IF(OR($G36="",COUNTA(Stangenbelegung!$A$5:$A$10004)=0),"",$G36-AN36)</f>
        <v/>
      </c>
      <c r="AP36" s="29" t="n"/>
      <c r="AQ36" s="9" t="n"/>
      <c r="AR36" s="19" t="n"/>
    </row>
    <row r="37">
      <c r="A37" s="9" t="n"/>
      <c r="B37" s="9" t="n"/>
      <c r="C37" s="9" t="n"/>
      <c r="D37" s="9" t="n"/>
      <c r="E37" s="9" t="n"/>
      <c r="F37" s="23" t="n"/>
      <c r="G37" s="19" t="n"/>
      <c r="H37" s="23" t="n"/>
      <c r="I37" s="24" t="n"/>
      <c r="J37" s="19" t="n"/>
      <c r="K37" s="25">
        <f>IF($D37="","",IFERROR(INDEX(Profile!$B$5:$B$304,MATCH($D37,lst_Profil,0)),""))</f>
        <v/>
      </c>
      <c r="L37" s="13">
        <f>IF($D37="","",IFERROR(INDEX(Profile!$K$5:$K$304,MATCH($D37,lst_Profil,0))+0,""))</f>
        <v/>
      </c>
      <c r="M37" s="26">
        <f>IF($D37="","",IFERROR(INDEX(Profile!$E$5:$E$304,MATCH($D37,lst_Profil,0))+0,""))</f>
        <v/>
      </c>
      <c r="N37" s="27">
        <f>IF(OR(L37="",$E37=""),"",IFERROR(L37*INDEX(Werkstoffe!$E$5:$E$304,MATCH($E37,lst_Werkstoff,0))/1000,""))</f>
        <v/>
      </c>
      <c r="O37" s="27">
        <f>IF(OR(N37="",$F37=""),"",N37*$F37/1000)</f>
        <v/>
      </c>
      <c r="P37" s="16">
        <f>IF(OR($F37="",$G37=""),"",$F37*$G37)</f>
        <v/>
      </c>
      <c r="Q37" s="16">
        <f>IF($D37="","",IF($J37&lt;&gt;"",$J37,$C$9))</f>
        <v/>
      </c>
      <c r="R37" s="12">
        <f>IF($D37="","",IFERROR(IF(INDEX(Profile!$G$5:$G$304,MATCH($D37,lst_Profil,0))&lt;&gt;"",INDEX(Profile!$G$5:$G$304,MATCH($D37,lst_Profil,0)),$H$4),$H$4))</f>
        <v/>
      </c>
      <c r="S37" s="12">
        <f>IF($D37="","",IFERROR(IF(INDEX(Profile!$H$5:$H$304,MATCH($D37,lst_Profil,0))&lt;&gt;"",INDEX(Profile!$H$5:$H$304,MATCH($D37,lst_Profil,0)),$H$5),$H$5))</f>
        <v/>
      </c>
      <c r="T37" s="16">
        <f>IF(OR(Q37="",NOT(ISNUMBER(R37)),NOT(ISNUMBER(S37))),"",Q37-R37-S37)</f>
        <v/>
      </c>
      <c r="U37" s="28">
        <f>IF(OR($D37="",$E37=""),"",IF(OR(N($AP37)&gt;0,COUNTIFS(Preise!$A$5:$A$304,$D37,Preise!$B$5:$B$304,$E37,Preise!$I$5:$I$304,"OK")&gt;0,N(INDEX(Werkstoffe!$G$5:$G$304,MATCH($E37,lst_Werkstoff,0)))&gt;0),"ja","nein"))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28">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Materialpreis",IF(AND($AQ37&lt;&gt;"",N($AR37)&gt;0,MOD($G37,$AR37)&lt;&gt;0),"WARNUNG: Stückzahl ist kein Vielfaches von Stück je Satz",IF($H37="","HINWEIS: Schneidweg fehlt",IF(V37="","HINWEIS: keine Schneiddaten",IF(AND($AF37&lt;&gt;"",$AG37=""),"HINWEIS: Gewinde-Vorschlag prüfen","OK")))))))))))))))</f>
        <v/>
      </c>
      <c r="X37" s="18">
        <f>IF(OR(O37="",$G37=""),"",O37*$G37)</f>
        <v/>
      </c>
      <c r="Y37" s="9" t="n"/>
      <c r="Z37" s="23" t="n"/>
      <c r="AA37" s="9" t="n"/>
      <c r="AB37" s="23" t="n"/>
      <c r="AC37" s="23" t="n"/>
      <c r="AD37" s="23" t="n"/>
      <c r="AE37" s="9" t="n"/>
      <c r="AF37" s="9" t="n"/>
      <c r="AG37" s="9" t="n"/>
      <c r="AH37" s="24" t="n"/>
      <c r="AI37" s="23" t="n"/>
      <c r="AJ37" s="24" t="n"/>
      <c r="AK37" s="23" t="n"/>
      <c r="AL37" s="24" t="n"/>
      <c r="AM37" s="23" t="n"/>
      <c r="AN37" s="28">
        <f>IF($D37="","",COUNTIFS(Stangenbelegung!$E$5:$E$10004,ROW()))</f>
        <v/>
      </c>
      <c r="AO37" s="28">
        <f>IF(OR($G37="",COUNTA(Stangenbelegung!$A$5:$A$10004)=0),"",$G37-AN37)</f>
        <v/>
      </c>
      <c r="AP37" s="29" t="n"/>
      <c r="AQ37" s="9" t="n"/>
      <c r="AR37" s="19" t="n"/>
    </row>
    <row r="38">
      <c r="A38" s="9" t="n"/>
      <c r="B38" s="9" t="n"/>
      <c r="C38" s="9" t="n"/>
      <c r="D38" s="9" t="n"/>
      <c r="E38" s="9" t="n"/>
      <c r="F38" s="23" t="n"/>
      <c r="G38" s="19" t="n"/>
      <c r="H38" s="23" t="n"/>
      <c r="I38" s="24" t="n"/>
      <c r="J38" s="19" t="n"/>
      <c r="K38" s="25">
        <f>IF($D38="","",IFERROR(INDEX(Profile!$B$5:$B$304,MATCH($D38,lst_Profil,0)),""))</f>
        <v/>
      </c>
      <c r="L38" s="13">
        <f>IF($D38="","",IFERROR(INDEX(Profile!$K$5:$K$304,MATCH($D38,lst_Profil,0))+0,""))</f>
        <v/>
      </c>
      <c r="M38" s="26">
        <f>IF($D38="","",IFERROR(INDEX(Profile!$E$5:$E$304,MATCH($D38,lst_Profil,0))+0,""))</f>
        <v/>
      </c>
      <c r="N38" s="27">
        <f>IF(OR(L38="",$E38=""),"",IFERROR(L38*INDEX(Werkstoffe!$E$5:$E$304,MATCH($E38,lst_Werkstoff,0))/1000,""))</f>
        <v/>
      </c>
      <c r="O38" s="27">
        <f>IF(OR(N38="",$F38=""),"",N38*$F38/1000)</f>
        <v/>
      </c>
      <c r="P38" s="16">
        <f>IF(OR($F38="",$G38=""),"",$F38*$G38)</f>
        <v/>
      </c>
      <c r="Q38" s="16">
        <f>IF($D38="","",IF($J38&lt;&gt;"",$J38,$C$9))</f>
        <v/>
      </c>
      <c r="R38" s="12">
        <f>IF($D38="","",IFERROR(IF(INDEX(Profile!$G$5:$G$304,MATCH($D38,lst_Profil,0))&lt;&gt;"",INDEX(Profile!$G$5:$G$304,MATCH($D38,lst_Profil,0)),$H$4),$H$4))</f>
        <v/>
      </c>
      <c r="S38" s="12">
        <f>IF($D38="","",IFERROR(IF(INDEX(Profile!$H$5:$H$304,MATCH($D38,lst_Profil,0))&lt;&gt;"",INDEX(Profile!$H$5:$H$304,MATCH($D38,lst_Profil,0)),$H$5),$H$5))</f>
        <v/>
      </c>
      <c r="T38" s="16">
        <f>IF(OR(Q38="",NOT(ISNUMBER(R38)),NOT(ISNUMBER(S38))),"",Q38-R38-S38)</f>
        <v/>
      </c>
      <c r="U38" s="28">
        <f>IF(OR($D38="",$E38=""),"",IF(OR(N($AP38)&gt;0,COUNTIFS(Preise!$A$5:$A$304,$D38,Preise!$B$5:$B$304,$E38,Preise!$I$5:$I$304,"OK")&gt;0,N(INDEX(Werkstoffe!$G$5:$G$304,MATCH($E38,lst_Werkstoff,0)))&gt;0),"ja","nein"))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28">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Materialpreis",IF(AND($AQ38&lt;&gt;"",N($AR38)&gt;0,MOD($G38,$AR38)&lt;&gt;0),"WARNUNG: Stückzahl ist kein Vielfaches von Stück je Satz",IF($H38="","HINWEIS: Schneidweg fehlt",IF(V38="","HINWEIS: keine Schneiddaten",IF(AND($AF38&lt;&gt;"",$AG38=""),"HINWEIS: Gewinde-Vorschlag prüfen","OK")))))))))))))))</f>
        <v/>
      </c>
      <c r="X38" s="18">
        <f>IF(OR(O38="",$G38=""),"",O38*$G38)</f>
        <v/>
      </c>
      <c r="Y38" s="9" t="n"/>
      <c r="Z38" s="23" t="n"/>
      <c r="AA38" s="9" t="n"/>
      <c r="AB38" s="23" t="n"/>
      <c r="AC38" s="23" t="n"/>
      <c r="AD38" s="23" t="n"/>
      <c r="AE38" s="9" t="n"/>
      <c r="AF38" s="9" t="n"/>
      <c r="AG38" s="9" t="n"/>
      <c r="AH38" s="24" t="n"/>
      <c r="AI38" s="23" t="n"/>
      <c r="AJ38" s="24" t="n"/>
      <c r="AK38" s="23" t="n"/>
      <c r="AL38" s="24" t="n"/>
      <c r="AM38" s="23" t="n"/>
      <c r="AN38" s="28">
        <f>IF($D38="","",COUNTIFS(Stangenbelegung!$E$5:$E$10004,ROW()))</f>
        <v/>
      </c>
      <c r="AO38" s="28">
        <f>IF(OR($G38="",COUNTA(Stangenbelegung!$A$5:$A$10004)=0),"",$G38-AN38)</f>
        <v/>
      </c>
      <c r="AP38" s="29" t="n"/>
      <c r="AQ38" s="9" t="n"/>
      <c r="AR38" s="19" t="n"/>
    </row>
    <row r="39">
      <c r="A39" s="9" t="n"/>
      <c r="B39" s="9" t="n"/>
      <c r="C39" s="9" t="n"/>
      <c r="D39" s="9" t="n"/>
      <c r="E39" s="9" t="n"/>
      <c r="F39" s="23" t="n"/>
      <c r="G39" s="19" t="n"/>
      <c r="H39" s="23" t="n"/>
      <c r="I39" s="24" t="n"/>
      <c r="J39" s="19" t="n"/>
      <c r="K39" s="25">
        <f>IF($D39="","",IFERROR(INDEX(Profile!$B$5:$B$304,MATCH($D39,lst_Profil,0)),""))</f>
        <v/>
      </c>
      <c r="L39" s="13">
        <f>IF($D39="","",IFERROR(INDEX(Profile!$K$5:$K$304,MATCH($D39,lst_Profil,0))+0,""))</f>
        <v/>
      </c>
      <c r="M39" s="26">
        <f>IF($D39="","",IFERROR(INDEX(Profile!$E$5:$E$304,MATCH($D39,lst_Profil,0))+0,""))</f>
        <v/>
      </c>
      <c r="N39" s="27">
        <f>IF(OR(L39="",$E39=""),"",IFERROR(L39*INDEX(Werkstoffe!$E$5:$E$304,MATCH($E39,lst_Werkstoff,0))/1000,""))</f>
        <v/>
      </c>
      <c r="O39" s="27">
        <f>IF(OR(N39="",$F39=""),"",N39*$F39/1000)</f>
        <v/>
      </c>
      <c r="P39" s="16">
        <f>IF(OR($F39="",$G39=""),"",$F39*$G39)</f>
        <v/>
      </c>
      <c r="Q39" s="16">
        <f>IF($D39="","",IF($J39&lt;&gt;"",$J39,$C$9))</f>
        <v/>
      </c>
      <c r="R39" s="12">
        <f>IF($D39="","",IFERROR(IF(INDEX(Profile!$G$5:$G$304,MATCH($D39,lst_Profil,0))&lt;&gt;"",INDEX(Profile!$G$5:$G$304,MATCH($D39,lst_Profil,0)),$H$4),$H$4))</f>
        <v/>
      </c>
      <c r="S39" s="12">
        <f>IF($D39="","",IFERROR(IF(INDEX(Profile!$H$5:$H$304,MATCH($D39,lst_Profil,0))&lt;&gt;"",INDEX(Profile!$H$5:$H$304,MATCH($D39,lst_Profil,0)),$H$5),$H$5))</f>
        <v/>
      </c>
      <c r="T39" s="16">
        <f>IF(OR(Q39="",NOT(ISNUMBER(R39)),NOT(ISNUMBER(S39))),"",Q39-R39-S39)</f>
        <v/>
      </c>
      <c r="U39" s="28">
        <f>IF(OR($D39="",$E39=""),"",IF(OR(N($AP39)&gt;0,COUNTIFS(Preise!$A$5:$A$304,$D39,Preise!$B$5:$B$304,$E39,Preise!$I$5:$I$304,"OK")&gt;0,N(INDEX(Werkstoffe!$G$5:$G$304,MATCH($E39,lst_Werkstoff,0)))&gt;0),"ja","nein"))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28">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Materialpreis",IF(AND($AQ39&lt;&gt;"",N($AR39)&gt;0,MOD($G39,$AR39)&lt;&gt;0),"WARNUNG: Stückzahl ist kein Vielfaches von Stück je Satz",IF($H39="","HINWEIS: Schneidweg fehlt",IF(V39="","HINWEIS: keine Schneiddaten",IF(AND($AF39&lt;&gt;"",$AG39=""),"HINWEIS: Gewinde-Vorschlag prüfen","OK")))))))))))))))</f>
        <v/>
      </c>
      <c r="X39" s="18">
        <f>IF(OR(O39="",$G39=""),"",O39*$G39)</f>
        <v/>
      </c>
      <c r="Y39" s="9" t="n"/>
      <c r="Z39" s="23" t="n"/>
      <c r="AA39" s="9" t="n"/>
      <c r="AB39" s="23" t="n"/>
      <c r="AC39" s="23" t="n"/>
      <c r="AD39" s="23" t="n"/>
      <c r="AE39" s="9" t="n"/>
      <c r="AF39" s="9" t="n"/>
      <c r="AG39" s="9" t="n"/>
      <c r="AH39" s="24" t="n"/>
      <c r="AI39" s="23" t="n"/>
      <c r="AJ39" s="24" t="n"/>
      <c r="AK39" s="23" t="n"/>
      <c r="AL39" s="24" t="n"/>
      <c r="AM39" s="23" t="n"/>
      <c r="AN39" s="28">
        <f>IF($D39="","",COUNTIFS(Stangenbelegung!$E$5:$E$10004,ROW()))</f>
        <v/>
      </c>
      <c r="AO39" s="28">
        <f>IF(OR($G39="",COUNTA(Stangenbelegung!$A$5:$A$10004)=0),"",$G39-AN39)</f>
        <v/>
      </c>
      <c r="AP39" s="29" t="n"/>
      <c r="AQ39" s="9" t="n"/>
      <c r="AR39" s="19" t="n"/>
    </row>
    <row r="40">
      <c r="A40" s="9" t="n"/>
      <c r="B40" s="9" t="n"/>
      <c r="C40" s="9" t="n"/>
      <c r="D40" s="9" t="n"/>
      <c r="E40" s="9" t="n"/>
      <c r="F40" s="23" t="n"/>
      <c r="G40" s="19" t="n"/>
      <c r="H40" s="23" t="n"/>
      <c r="I40" s="24" t="n"/>
      <c r="J40" s="19" t="n"/>
      <c r="K40" s="25">
        <f>IF($D40="","",IFERROR(INDEX(Profile!$B$5:$B$304,MATCH($D40,lst_Profil,0)),""))</f>
        <v/>
      </c>
      <c r="L40" s="13">
        <f>IF($D40="","",IFERROR(INDEX(Profile!$K$5:$K$304,MATCH($D40,lst_Profil,0))+0,""))</f>
        <v/>
      </c>
      <c r="M40" s="26">
        <f>IF($D40="","",IFERROR(INDEX(Profile!$E$5:$E$304,MATCH($D40,lst_Profil,0))+0,""))</f>
        <v/>
      </c>
      <c r="N40" s="27">
        <f>IF(OR(L40="",$E40=""),"",IFERROR(L40*INDEX(Werkstoffe!$E$5:$E$304,MATCH($E40,lst_Werkstoff,0))/1000,""))</f>
        <v/>
      </c>
      <c r="O40" s="27">
        <f>IF(OR(N40="",$F40=""),"",N40*$F40/1000)</f>
        <v/>
      </c>
      <c r="P40" s="16">
        <f>IF(OR($F40="",$G40=""),"",$F40*$G40)</f>
        <v/>
      </c>
      <c r="Q40" s="16">
        <f>IF($D40="","",IF($J40&lt;&gt;"",$J40,$C$9))</f>
        <v/>
      </c>
      <c r="R40" s="12">
        <f>IF($D40="","",IFERROR(IF(INDEX(Profile!$G$5:$G$304,MATCH($D40,lst_Profil,0))&lt;&gt;"",INDEX(Profile!$G$5:$G$304,MATCH($D40,lst_Profil,0)),$H$4),$H$4))</f>
        <v/>
      </c>
      <c r="S40" s="12">
        <f>IF($D40="","",IFERROR(IF(INDEX(Profile!$H$5:$H$304,MATCH($D40,lst_Profil,0))&lt;&gt;"",INDEX(Profile!$H$5:$H$304,MATCH($D40,lst_Profil,0)),$H$5),$H$5))</f>
        <v/>
      </c>
      <c r="T40" s="16">
        <f>IF(OR(Q40="",NOT(ISNUMBER(R40)),NOT(ISNUMBER(S40))),"",Q40-R40-S40)</f>
        <v/>
      </c>
      <c r="U40" s="28">
        <f>IF(OR($D40="",$E40=""),"",IF(OR(N($AP40)&gt;0,COUNTIFS(Preise!$A$5:$A$304,$D40,Preise!$B$5:$B$304,$E40,Preise!$I$5:$I$304,"OK")&gt;0,N(INDEX(Werkstoffe!$G$5:$G$304,MATCH($E40,lst_Werkstoff,0)))&gt;0),"ja","nein"))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28">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Materialpreis",IF(AND($AQ40&lt;&gt;"",N($AR40)&gt;0,MOD($G40,$AR40)&lt;&gt;0),"WARNUNG: Stückzahl ist kein Vielfaches von Stück je Satz",IF($H40="","HINWEIS: Schneidweg fehlt",IF(V40="","HINWEIS: keine Schneiddaten",IF(AND($AF40&lt;&gt;"",$AG40=""),"HINWEIS: Gewinde-Vorschlag prüfen","OK")))))))))))))))</f>
        <v/>
      </c>
      <c r="X40" s="18">
        <f>IF(OR(O40="",$G40=""),"",O40*$G40)</f>
        <v/>
      </c>
      <c r="Y40" s="9" t="n"/>
      <c r="Z40" s="23" t="n"/>
      <c r="AA40" s="9" t="n"/>
      <c r="AB40" s="23" t="n"/>
      <c r="AC40" s="23" t="n"/>
      <c r="AD40" s="23" t="n"/>
      <c r="AE40" s="9" t="n"/>
      <c r="AF40" s="9" t="n"/>
      <c r="AG40" s="9" t="n"/>
      <c r="AH40" s="24" t="n"/>
      <c r="AI40" s="23" t="n"/>
      <c r="AJ40" s="24" t="n"/>
      <c r="AK40" s="23" t="n"/>
      <c r="AL40" s="24" t="n"/>
      <c r="AM40" s="23" t="n"/>
      <c r="AN40" s="28">
        <f>IF($D40="","",COUNTIFS(Stangenbelegung!$E$5:$E$10004,ROW()))</f>
        <v/>
      </c>
      <c r="AO40" s="28">
        <f>IF(OR($G40="",COUNTA(Stangenbelegung!$A$5:$A$10004)=0),"",$G40-AN40)</f>
        <v/>
      </c>
      <c r="AP40" s="29" t="n"/>
      <c r="AQ40" s="9" t="n"/>
      <c r="AR40" s="19" t="n"/>
    </row>
    <row r="41">
      <c r="A41" s="9" t="n"/>
      <c r="B41" s="9" t="n"/>
      <c r="C41" s="9" t="n"/>
      <c r="D41" s="9" t="n"/>
      <c r="E41" s="9" t="n"/>
      <c r="F41" s="23" t="n"/>
      <c r="G41" s="19" t="n"/>
      <c r="H41" s="23" t="n"/>
      <c r="I41" s="24" t="n"/>
      <c r="J41" s="19" t="n"/>
      <c r="K41" s="25">
        <f>IF($D41="","",IFERROR(INDEX(Profile!$B$5:$B$304,MATCH($D41,lst_Profil,0)),""))</f>
        <v/>
      </c>
      <c r="L41" s="13">
        <f>IF($D41="","",IFERROR(INDEX(Profile!$K$5:$K$304,MATCH($D41,lst_Profil,0))+0,""))</f>
        <v/>
      </c>
      <c r="M41" s="26">
        <f>IF($D41="","",IFERROR(INDEX(Profile!$E$5:$E$304,MATCH($D41,lst_Profil,0))+0,""))</f>
        <v/>
      </c>
      <c r="N41" s="27">
        <f>IF(OR(L41="",$E41=""),"",IFERROR(L41*INDEX(Werkstoffe!$E$5:$E$304,MATCH($E41,lst_Werkstoff,0))/1000,""))</f>
        <v/>
      </c>
      <c r="O41" s="27">
        <f>IF(OR(N41="",$F41=""),"",N41*$F41/1000)</f>
        <v/>
      </c>
      <c r="P41" s="16">
        <f>IF(OR($F41="",$G41=""),"",$F41*$G41)</f>
        <v/>
      </c>
      <c r="Q41" s="16">
        <f>IF($D41="","",IF($J41&lt;&gt;"",$J41,$C$9))</f>
        <v/>
      </c>
      <c r="R41" s="12">
        <f>IF($D41="","",IFERROR(IF(INDEX(Profile!$G$5:$G$304,MATCH($D41,lst_Profil,0))&lt;&gt;"",INDEX(Profile!$G$5:$G$304,MATCH($D41,lst_Profil,0)),$H$4),$H$4))</f>
        <v/>
      </c>
      <c r="S41" s="12">
        <f>IF($D41="","",IFERROR(IF(INDEX(Profile!$H$5:$H$304,MATCH($D41,lst_Profil,0))&lt;&gt;"",INDEX(Profile!$H$5:$H$304,MATCH($D41,lst_Profil,0)),$H$5),$H$5))</f>
        <v/>
      </c>
      <c r="T41" s="16">
        <f>IF(OR(Q41="",NOT(ISNUMBER(R41)),NOT(ISNUMBER(S41))),"",Q41-R41-S41)</f>
        <v/>
      </c>
      <c r="U41" s="28">
        <f>IF(OR($D41="",$E41=""),"",IF(OR(N($AP41)&gt;0,COUNTIFS(Preise!$A$5:$A$304,$D41,Preise!$B$5:$B$304,$E41,Preise!$I$5:$I$304,"OK")&gt;0,N(INDEX(Werkstoffe!$G$5:$G$304,MATCH($E41,lst_Werkstoff,0)))&gt;0),"ja","nein"))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28">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Materialpreis",IF(AND($AQ41&lt;&gt;"",N($AR41)&gt;0,MOD($G41,$AR41)&lt;&gt;0),"WARNUNG: Stückzahl ist kein Vielfaches von Stück je Satz",IF($H41="","HINWEIS: Schneidweg fehlt",IF(V41="","HINWEIS: keine Schneiddaten",IF(AND($AF41&lt;&gt;"",$AG41=""),"HINWEIS: Gewinde-Vorschlag prüfen","OK")))))))))))))))</f>
        <v/>
      </c>
      <c r="X41" s="18">
        <f>IF(OR(O41="",$G41=""),"",O41*$G41)</f>
        <v/>
      </c>
      <c r="Y41" s="9" t="n"/>
      <c r="Z41" s="23" t="n"/>
      <c r="AA41" s="9" t="n"/>
      <c r="AB41" s="23" t="n"/>
      <c r="AC41" s="23" t="n"/>
      <c r="AD41" s="23" t="n"/>
      <c r="AE41" s="9" t="n"/>
      <c r="AF41" s="9" t="n"/>
      <c r="AG41" s="9" t="n"/>
      <c r="AH41" s="24" t="n"/>
      <c r="AI41" s="23" t="n"/>
      <c r="AJ41" s="24" t="n"/>
      <c r="AK41" s="23" t="n"/>
      <c r="AL41" s="24" t="n"/>
      <c r="AM41" s="23" t="n"/>
      <c r="AN41" s="28">
        <f>IF($D41="","",COUNTIFS(Stangenbelegung!$E$5:$E$10004,ROW()))</f>
        <v/>
      </c>
      <c r="AO41" s="28">
        <f>IF(OR($G41="",COUNTA(Stangenbelegung!$A$5:$A$10004)=0),"",$G41-AN41)</f>
        <v/>
      </c>
      <c r="AP41" s="29" t="n"/>
      <c r="AQ41" s="9" t="n"/>
      <c r="AR41" s="19" t="n"/>
    </row>
    <row r="42">
      <c r="A42" s="9" t="n"/>
      <c r="B42" s="9" t="n"/>
      <c r="C42" s="9" t="n"/>
      <c r="D42" s="9" t="n"/>
      <c r="E42" s="9" t="n"/>
      <c r="F42" s="23" t="n"/>
      <c r="G42" s="19" t="n"/>
      <c r="H42" s="23" t="n"/>
      <c r="I42" s="24" t="n"/>
      <c r="J42" s="19" t="n"/>
      <c r="K42" s="25">
        <f>IF($D42="","",IFERROR(INDEX(Profile!$B$5:$B$304,MATCH($D42,lst_Profil,0)),""))</f>
        <v/>
      </c>
      <c r="L42" s="13">
        <f>IF($D42="","",IFERROR(INDEX(Profile!$K$5:$K$304,MATCH($D42,lst_Profil,0))+0,""))</f>
        <v/>
      </c>
      <c r="M42" s="26">
        <f>IF($D42="","",IFERROR(INDEX(Profile!$E$5:$E$304,MATCH($D42,lst_Profil,0))+0,""))</f>
        <v/>
      </c>
      <c r="N42" s="27">
        <f>IF(OR(L42="",$E42=""),"",IFERROR(L42*INDEX(Werkstoffe!$E$5:$E$304,MATCH($E42,lst_Werkstoff,0))/1000,""))</f>
        <v/>
      </c>
      <c r="O42" s="27">
        <f>IF(OR(N42="",$F42=""),"",N42*$F42/1000)</f>
        <v/>
      </c>
      <c r="P42" s="16">
        <f>IF(OR($F42="",$G42=""),"",$F42*$G42)</f>
        <v/>
      </c>
      <c r="Q42" s="16">
        <f>IF($D42="","",IF($J42&lt;&gt;"",$J42,$C$9))</f>
        <v/>
      </c>
      <c r="R42" s="12">
        <f>IF($D42="","",IFERROR(IF(INDEX(Profile!$G$5:$G$304,MATCH($D42,lst_Profil,0))&lt;&gt;"",INDEX(Profile!$G$5:$G$304,MATCH($D42,lst_Profil,0)),$H$4),$H$4))</f>
        <v/>
      </c>
      <c r="S42" s="12">
        <f>IF($D42="","",IFERROR(IF(INDEX(Profile!$H$5:$H$304,MATCH($D42,lst_Profil,0))&lt;&gt;"",INDEX(Profile!$H$5:$H$304,MATCH($D42,lst_Profil,0)),$H$5),$H$5))</f>
        <v/>
      </c>
      <c r="T42" s="16">
        <f>IF(OR(Q42="",NOT(ISNUMBER(R42)),NOT(ISNUMBER(S42))),"",Q42-R42-S42)</f>
        <v/>
      </c>
      <c r="U42" s="28">
        <f>IF(OR($D42="",$E42=""),"",IF(OR(N($AP42)&gt;0,COUNTIFS(Preise!$A$5:$A$304,$D42,Preise!$B$5:$B$304,$E42,Preise!$I$5:$I$304,"OK")&gt;0,N(INDEX(Werkstoffe!$G$5:$G$304,MATCH($E42,lst_Werkstoff,0)))&gt;0),"ja","nein"))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28">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Materialpreis",IF(AND($AQ42&lt;&gt;"",N($AR42)&gt;0,MOD($G42,$AR42)&lt;&gt;0),"WARNUNG: Stückzahl ist kein Vielfaches von Stück je Satz",IF($H42="","HINWEIS: Schneidweg fehlt",IF(V42="","HINWEIS: keine Schneiddaten",IF(AND($AF42&lt;&gt;"",$AG42=""),"HINWEIS: Gewinde-Vorschlag prüfen","OK")))))))))))))))</f>
        <v/>
      </c>
      <c r="X42" s="18">
        <f>IF(OR(O42="",$G42=""),"",O42*$G42)</f>
        <v/>
      </c>
      <c r="Y42" s="9" t="n"/>
      <c r="Z42" s="23" t="n"/>
      <c r="AA42" s="9" t="n"/>
      <c r="AB42" s="23" t="n"/>
      <c r="AC42" s="23" t="n"/>
      <c r="AD42" s="23" t="n"/>
      <c r="AE42" s="9" t="n"/>
      <c r="AF42" s="9" t="n"/>
      <c r="AG42" s="9" t="n"/>
      <c r="AH42" s="24" t="n"/>
      <c r="AI42" s="23" t="n"/>
      <c r="AJ42" s="24" t="n"/>
      <c r="AK42" s="23" t="n"/>
      <c r="AL42" s="24" t="n"/>
      <c r="AM42" s="23" t="n"/>
      <c r="AN42" s="28">
        <f>IF($D42="","",COUNTIFS(Stangenbelegung!$E$5:$E$10004,ROW()))</f>
        <v/>
      </c>
      <c r="AO42" s="28">
        <f>IF(OR($G42="",COUNTA(Stangenbelegung!$A$5:$A$10004)=0),"",$G42-AN42)</f>
        <v/>
      </c>
      <c r="AP42" s="29" t="n"/>
      <c r="AQ42" s="9" t="n"/>
      <c r="AR42" s="19" t="n"/>
    </row>
    <row r="43">
      <c r="A43" s="9" t="n"/>
      <c r="B43" s="9" t="n"/>
      <c r="C43" s="9" t="n"/>
      <c r="D43" s="9" t="n"/>
      <c r="E43" s="9" t="n"/>
      <c r="F43" s="23" t="n"/>
      <c r="G43" s="19" t="n"/>
      <c r="H43" s="23" t="n"/>
      <c r="I43" s="24" t="n"/>
      <c r="J43" s="19" t="n"/>
      <c r="K43" s="25">
        <f>IF($D43="","",IFERROR(INDEX(Profile!$B$5:$B$304,MATCH($D43,lst_Profil,0)),""))</f>
        <v/>
      </c>
      <c r="L43" s="13">
        <f>IF($D43="","",IFERROR(INDEX(Profile!$K$5:$K$304,MATCH($D43,lst_Profil,0))+0,""))</f>
        <v/>
      </c>
      <c r="M43" s="26">
        <f>IF($D43="","",IFERROR(INDEX(Profile!$E$5:$E$304,MATCH($D43,lst_Profil,0))+0,""))</f>
        <v/>
      </c>
      <c r="N43" s="27">
        <f>IF(OR(L43="",$E43=""),"",IFERROR(L43*INDEX(Werkstoffe!$E$5:$E$304,MATCH($E43,lst_Werkstoff,0))/1000,""))</f>
        <v/>
      </c>
      <c r="O43" s="27">
        <f>IF(OR(N43="",$F43=""),"",N43*$F43/1000)</f>
        <v/>
      </c>
      <c r="P43" s="16">
        <f>IF(OR($F43="",$G43=""),"",$F43*$G43)</f>
        <v/>
      </c>
      <c r="Q43" s="16">
        <f>IF($D43="","",IF($J43&lt;&gt;"",$J43,$C$9))</f>
        <v/>
      </c>
      <c r="R43" s="12">
        <f>IF($D43="","",IFERROR(IF(INDEX(Profile!$G$5:$G$304,MATCH($D43,lst_Profil,0))&lt;&gt;"",INDEX(Profile!$G$5:$G$304,MATCH($D43,lst_Profil,0)),$H$4),$H$4))</f>
        <v/>
      </c>
      <c r="S43" s="12">
        <f>IF($D43="","",IFERROR(IF(INDEX(Profile!$H$5:$H$304,MATCH($D43,lst_Profil,0))&lt;&gt;"",INDEX(Profile!$H$5:$H$304,MATCH($D43,lst_Profil,0)),$H$5),$H$5))</f>
        <v/>
      </c>
      <c r="T43" s="16">
        <f>IF(OR(Q43="",NOT(ISNUMBER(R43)),NOT(ISNUMBER(S43))),"",Q43-R43-S43)</f>
        <v/>
      </c>
      <c r="U43" s="28">
        <f>IF(OR($D43="",$E43=""),"",IF(OR(N($AP43)&gt;0,COUNTIFS(Preise!$A$5:$A$304,$D43,Preise!$B$5:$B$304,$E43,Preise!$I$5:$I$304,"OK")&gt;0,N(INDEX(Werkstoffe!$G$5:$G$304,MATCH($E43,lst_Werkstoff,0)))&gt;0),"ja","nein"))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28">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Materialpreis",IF(AND($AQ43&lt;&gt;"",N($AR43)&gt;0,MOD($G43,$AR43)&lt;&gt;0),"WARNUNG: Stückzahl ist kein Vielfaches von Stück je Satz",IF($H43="","HINWEIS: Schneidweg fehlt",IF(V43="","HINWEIS: keine Schneiddaten",IF(AND($AF43&lt;&gt;"",$AG43=""),"HINWEIS: Gewinde-Vorschlag prüfen","OK")))))))))))))))</f>
        <v/>
      </c>
      <c r="X43" s="18">
        <f>IF(OR(O43="",$G43=""),"",O43*$G43)</f>
        <v/>
      </c>
      <c r="Y43" s="9" t="n"/>
      <c r="Z43" s="23" t="n"/>
      <c r="AA43" s="9" t="n"/>
      <c r="AB43" s="23" t="n"/>
      <c r="AC43" s="23" t="n"/>
      <c r="AD43" s="23" t="n"/>
      <c r="AE43" s="9" t="n"/>
      <c r="AF43" s="9" t="n"/>
      <c r="AG43" s="9" t="n"/>
      <c r="AH43" s="24" t="n"/>
      <c r="AI43" s="23" t="n"/>
      <c r="AJ43" s="24" t="n"/>
      <c r="AK43" s="23" t="n"/>
      <c r="AL43" s="24" t="n"/>
      <c r="AM43" s="23" t="n"/>
      <c r="AN43" s="28">
        <f>IF($D43="","",COUNTIFS(Stangenbelegung!$E$5:$E$10004,ROW()))</f>
        <v/>
      </c>
      <c r="AO43" s="28">
        <f>IF(OR($G43="",COUNTA(Stangenbelegung!$A$5:$A$10004)=0),"",$G43-AN43)</f>
        <v/>
      </c>
      <c r="AP43" s="29" t="n"/>
      <c r="AQ43" s="9" t="n"/>
      <c r="AR43" s="19" t="n"/>
    </row>
    <row r="44">
      <c r="A44" s="9" t="n"/>
      <c r="B44" s="9" t="n"/>
      <c r="C44" s="9" t="n"/>
      <c r="D44" s="9" t="n"/>
      <c r="E44" s="9" t="n"/>
      <c r="F44" s="23" t="n"/>
      <c r="G44" s="19" t="n"/>
      <c r="H44" s="23" t="n"/>
      <c r="I44" s="24" t="n"/>
      <c r="J44" s="19" t="n"/>
      <c r="K44" s="25">
        <f>IF($D44="","",IFERROR(INDEX(Profile!$B$5:$B$304,MATCH($D44,lst_Profil,0)),""))</f>
        <v/>
      </c>
      <c r="L44" s="13">
        <f>IF($D44="","",IFERROR(INDEX(Profile!$K$5:$K$304,MATCH($D44,lst_Profil,0))+0,""))</f>
        <v/>
      </c>
      <c r="M44" s="26">
        <f>IF($D44="","",IFERROR(INDEX(Profile!$E$5:$E$304,MATCH($D44,lst_Profil,0))+0,""))</f>
        <v/>
      </c>
      <c r="N44" s="27">
        <f>IF(OR(L44="",$E44=""),"",IFERROR(L44*INDEX(Werkstoffe!$E$5:$E$304,MATCH($E44,lst_Werkstoff,0))/1000,""))</f>
        <v/>
      </c>
      <c r="O44" s="27">
        <f>IF(OR(N44="",$F44=""),"",N44*$F44/1000)</f>
        <v/>
      </c>
      <c r="P44" s="16">
        <f>IF(OR($F44="",$G44=""),"",$F44*$G44)</f>
        <v/>
      </c>
      <c r="Q44" s="16">
        <f>IF($D44="","",IF($J44&lt;&gt;"",$J44,$C$9))</f>
        <v/>
      </c>
      <c r="R44" s="12">
        <f>IF($D44="","",IFERROR(IF(INDEX(Profile!$G$5:$G$304,MATCH($D44,lst_Profil,0))&lt;&gt;"",INDEX(Profile!$G$5:$G$304,MATCH($D44,lst_Profil,0)),$H$4),$H$4))</f>
        <v/>
      </c>
      <c r="S44" s="12">
        <f>IF($D44="","",IFERROR(IF(INDEX(Profile!$H$5:$H$304,MATCH($D44,lst_Profil,0))&lt;&gt;"",INDEX(Profile!$H$5:$H$304,MATCH($D44,lst_Profil,0)),$H$5),$H$5))</f>
        <v/>
      </c>
      <c r="T44" s="16">
        <f>IF(OR(Q44="",NOT(ISNUMBER(R44)),NOT(ISNUMBER(S44))),"",Q44-R44-S44)</f>
        <v/>
      </c>
      <c r="U44" s="28">
        <f>IF(OR($D44="",$E44=""),"",IF(OR(N($AP44)&gt;0,COUNTIFS(Preise!$A$5:$A$304,$D44,Preise!$B$5:$B$304,$E44,Preise!$I$5:$I$304,"OK")&gt;0,N(INDEX(Werkstoffe!$G$5:$G$304,MATCH($E44,lst_Werkstoff,0)))&gt;0),"ja","nein"))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28">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Materialpreis",IF(AND($AQ44&lt;&gt;"",N($AR44)&gt;0,MOD($G44,$AR44)&lt;&gt;0),"WARNUNG: Stückzahl ist kein Vielfaches von Stück je Satz",IF($H44="","HINWEIS: Schneidweg fehlt",IF(V44="","HINWEIS: keine Schneiddaten",IF(AND($AF44&lt;&gt;"",$AG44=""),"HINWEIS: Gewinde-Vorschlag prüfen","OK")))))))))))))))</f>
        <v/>
      </c>
      <c r="X44" s="18">
        <f>IF(OR(O44="",$G44=""),"",O44*$G44)</f>
        <v/>
      </c>
      <c r="Y44" s="9" t="n"/>
      <c r="Z44" s="23" t="n"/>
      <c r="AA44" s="9" t="n"/>
      <c r="AB44" s="23" t="n"/>
      <c r="AC44" s="23" t="n"/>
      <c r="AD44" s="23" t="n"/>
      <c r="AE44" s="9" t="n"/>
      <c r="AF44" s="9" t="n"/>
      <c r="AG44" s="9" t="n"/>
      <c r="AH44" s="24" t="n"/>
      <c r="AI44" s="23" t="n"/>
      <c r="AJ44" s="24" t="n"/>
      <c r="AK44" s="23" t="n"/>
      <c r="AL44" s="24" t="n"/>
      <c r="AM44" s="23" t="n"/>
      <c r="AN44" s="28">
        <f>IF($D44="","",COUNTIFS(Stangenbelegung!$E$5:$E$10004,ROW()))</f>
        <v/>
      </c>
      <c r="AO44" s="28">
        <f>IF(OR($G44="",COUNTA(Stangenbelegung!$A$5:$A$10004)=0),"",$G44-AN44)</f>
        <v/>
      </c>
      <c r="AP44" s="29" t="n"/>
      <c r="AQ44" s="9" t="n"/>
      <c r="AR44" s="19" t="n"/>
    </row>
    <row r="45">
      <c r="A45" s="9" t="n"/>
      <c r="B45" s="9" t="n"/>
      <c r="C45" s="9" t="n"/>
      <c r="D45" s="9" t="n"/>
      <c r="E45" s="9" t="n"/>
      <c r="F45" s="23" t="n"/>
      <c r="G45" s="19" t="n"/>
      <c r="H45" s="23" t="n"/>
      <c r="I45" s="24" t="n"/>
      <c r="J45" s="19" t="n"/>
      <c r="K45" s="25">
        <f>IF($D45="","",IFERROR(INDEX(Profile!$B$5:$B$304,MATCH($D45,lst_Profil,0)),""))</f>
        <v/>
      </c>
      <c r="L45" s="13">
        <f>IF($D45="","",IFERROR(INDEX(Profile!$K$5:$K$304,MATCH($D45,lst_Profil,0))+0,""))</f>
        <v/>
      </c>
      <c r="M45" s="26">
        <f>IF($D45="","",IFERROR(INDEX(Profile!$E$5:$E$304,MATCH($D45,lst_Profil,0))+0,""))</f>
        <v/>
      </c>
      <c r="N45" s="27">
        <f>IF(OR(L45="",$E45=""),"",IFERROR(L45*INDEX(Werkstoffe!$E$5:$E$304,MATCH($E45,lst_Werkstoff,0))/1000,""))</f>
        <v/>
      </c>
      <c r="O45" s="27">
        <f>IF(OR(N45="",$F45=""),"",N45*$F45/1000)</f>
        <v/>
      </c>
      <c r="P45" s="16">
        <f>IF(OR($F45="",$G45=""),"",$F45*$G45)</f>
        <v/>
      </c>
      <c r="Q45" s="16">
        <f>IF($D45="","",IF($J45&lt;&gt;"",$J45,$C$9))</f>
        <v/>
      </c>
      <c r="R45" s="12">
        <f>IF($D45="","",IFERROR(IF(INDEX(Profile!$G$5:$G$304,MATCH($D45,lst_Profil,0))&lt;&gt;"",INDEX(Profile!$G$5:$G$304,MATCH($D45,lst_Profil,0)),$H$4),$H$4))</f>
        <v/>
      </c>
      <c r="S45" s="12">
        <f>IF($D45="","",IFERROR(IF(INDEX(Profile!$H$5:$H$304,MATCH($D45,lst_Profil,0))&lt;&gt;"",INDEX(Profile!$H$5:$H$304,MATCH($D45,lst_Profil,0)),$H$5),$H$5))</f>
        <v/>
      </c>
      <c r="T45" s="16">
        <f>IF(OR(Q45="",NOT(ISNUMBER(R45)),NOT(ISNUMBER(S45))),"",Q45-R45-S45)</f>
        <v/>
      </c>
      <c r="U45" s="28">
        <f>IF(OR($D45="",$E45=""),"",IF(OR(N($AP45)&gt;0,COUNTIFS(Preise!$A$5:$A$304,$D45,Preise!$B$5:$B$304,$E45,Preise!$I$5:$I$304,"OK")&gt;0,N(INDEX(Werkstoffe!$G$5:$G$304,MATCH($E45,lst_Werkstoff,0)))&gt;0),"ja","nein"))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28">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Materialpreis",IF(AND($AQ45&lt;&gt;"",N($AR45)&gt;0,MOD($G45,$AR45)&lt;&gt;0),"WARNUNG: Stückzahl ist kein Vielfaches von Stück je Satz",IF($H45="","HINWEIS: Schneidweg fehlt",IF(V45="","HINWEIS: keine Schneiddaten",IF(AND($AF45&lt;&gt;"",$AG45=""),"HINWEIS: Gewinde-Vorschlag prüfen","OK")))))))))))))))</f>
        <v/>
      </c>
      <c r="X45" s="18">
        <f>IF(OR(O45="",$G45=""),"",O45*$G45)</f>
        <v/>
      </c>
      <c r="Y45" s="9" t="n"/>
      <c r="Z45" s="23" t="n"/>
      <c r="AA45" s="9" t="n"/>
      <c r="AB45" s="23" t="n"/>
      <c r="AC45" s="23" t="n"/>
      <c r="AD45" s="23" t="n"/>
      <c r="AE45" s="9" t="n"/>
      <c r="AF45" s="9" t="n"/>
      <c r="AG45" s="9" t="n"/>
      <c r="AH45" s="24" t="n"/>
      <c r="AI45" s="23" t="n"/>
      <c r="AJ45" s="24" t="n"/>
      <c r="AK45" s="23" t="n"/>
      <c r="AL45" s="24" t="n"/>
      <c r="AM45" s="23" t="n"/>
      <c r="AN45" s="28">
        <f>IF($D45="","",COUNTIFS(Stangenbelegung!$E$5:$E$10004,ROW()))</f>
        <v/>
      </c>
      <c r="AO45" s="28">
        <f>IF(OR($G45="",COUNTA(Stangenbelegung!$A$5:$A$10004)=0),"",$G45-AN45)</f>
        <v/>
      </c>
      <c r="AP45" s="29" t="n"/>
      <c r="AQ45" s="9" t="n"/>
      <c r="AR45" s="19" t="n"/>
    </row>
    <row r="46">
      <c r="A46" s="9" t="n"/>
      <c r="B46" s="9" t="n"/>
      <c r="C46" s="9" t="n"/>
      <c r="D46" s="9" t="n"/>
      <c r="E46" s="9" t="n"/>
      <c r="F46" s="23" t="n"/>
      <c r="G46" s="19" t="n"/>
      <c r="H46" s="23" t="n"/>
      <c r="I46" s="24" t="n"/>
      <c r="J46" s="19" t="n"/>
      <c r="K46" s="25">
        <f>IF($D46="","",IFERROR(INDEX(Profile!$B$5:$B$304,MATCH($D46,lst_Profil,0)),""))</f>
        <v/>
      </c>
      <c r="L46" s="13">
        <f>IF($D46="","",IFERROR(INDEX(Profile!$K$5:$K$304,MATCH($D46,lst_Profil,0))+0,""))</f>
        <v/>
      </c>
      <c r="M46" s="26">
        <f>IF($D46="","",IFERROR(INDEX(Profile!$E$5:$E$304,MATCH($D46,lst_Profil,0))+0,""))</f>
        <v/>
      </c>
      <c r="N46" s="27">
        <f>IF(OR(L46="",$E46=""),"",IFERROR(L46*INDEX(Werkstoffe!$E$5:$E$304,MATCH($E46,lst_Werkstoff,0))/1000,""))</f>
        <v/>
      </c>
      <c r="O46" s="27">
        <f>IF(OR(N46="",$F46=""),"",N46*$F46/1000)</f>
        <v/>
      </c>
      <c r="P46" s="16">
        <f>IF(OR($F46="",$G46=""),"",$F46*$G46)</f>
        <v/>
      </c>
      <c r="Q46" s="16">
        <f>IF($D46="","",IF($J46&lt;&gt;"",$J46,$C$9))</f>
        <v/>
      </c>
      <c r="R46" s="12">
        <f>IF($D46="","",IFERROR(IF(INDEX(Profile!$G$5:$G$304,MATCH($D46,lst_Profil,0))&lt;&gt;"",INDEX(Profile!$G$5:$G$304,MATCH($D46,lst_Profil,0)),$H$4),$H$4))</f>
        <v/>
      </c>
      <c r="S46" s="12">
        <f>IF($D46="","",IFERROR(IF(INDEX(Profile!$H$5:$H$304,MATCH($D46,lst_Profil,0))&lt;&gt;"",INDEX(Profile!$H$5:$H$304,MATCH($D46,lst_Profil,0)),$H$5),$H$5))</f>
        <v/>
      </c>
      <c r="T46" s="16">
        <f>IF(OR(Q46="",NOT(ISNUMBER(R46)),NOT(ISNUMBER(S46))),"",Q46-R46-S46)</f>
        <v/>
      </c>
      <c r="U46" s="28">
        <f>IF(OR($D46="",$E46=""),"",IF(OR(N($AP46)&gt;0,COUNTIFS(Preise!$A$5:$A$304,$D46,Preise!$B$5:$B$304,$E46,Preise!$I$5:$I$304,"OK")&gt;0,N(INDEX(Werkstoffe!$G$5:$G$304,MATCH($E46,lst_Werkstoff,0)))&gt;0),"ja","nein"))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28">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Materialpreis",IF(AND($AQ46&lt;&gt;"",N($AR46)&gt;0,MOD($G46,$AR46)&lt;&gt;0),"WARNUNG: Stückzahl ist kein Vielfaches von Stück je Satz",IF($H46="","HINWEIS: Schneidweg fehlt",IF(V46="","HINWEIS: keine Schneiddaten",IF(AND($AF46&lt;&gt;"",$AG46=""),"HINWEIS: Gewinde-Vorschlag prüfen","OK")))))))))))))))</f>
        <v/>
      </c>
      <c r="X46" s="18">
        <f>IF(OR(O46="",$G46=""),"",O46*$G46)</f>
        <v/>
      </c>
      <c r="Y46" s="9" t="n"/>
      <c r="Z46" s="23" t="n"/>
      <c r="AA46" s="9" t="n"/>
      <c r="AB46" s="23" t="n"/>
      <c r="AC46" s="23" t="n"/>
      <c r="AD46" s="23" t="n"/>
      <c r="AE46" s="9" t="n"/>
      <c r="AF46" s="9" t="n"/>
      <c r="AG46" s="9" t="n"/>
      <c r="AH46" s="24" t="n"/>
      <c r="AI46" s="23" t="n"/>
      <c r="AJ46" s="24" t="n"/>
      <c r="AK46" s="23" t="n"/>
      <c r="AL46" s="24" t="n"/>
      <c r="AM46" s="23" t="n"/>
      <c r="AN46" s="28">
        <f>IF($D46="","",COUNTIFS(Stangenbelegung!$E$5:$E$10004,ROW()))</f>
        <v/>
      </c>
      <c r="AO46" s="28">
        <f>IF(OR($G46="",COUNTA(Stangenbelegung!$A$5:$A$10004)=0),"",$G46-AN46)</f>
        <v/>
      </c>
      <c r="AP46" s="29" t="n"/>
      <c r="AQ46" s="9" t="n"/>
      <c r="AR46" s="19" t="n"/>
    </row>
    <row r="47">
      <c r="A47" s="9" t="n"/>
      <c r="B47" s="9" t="n"/>
      <c r="C47" s="9" t="n"/>
      <c r="D47" s="9" t="n"/>
      <c r="E47" s="9" t="n"/>
      <c r="F47" s="23" t="n"/>
      <c r="G47" s="19" t="n"/>
      <c r="H47" s="23" t="n"/>
      <c r="I47" s="24" t="n"/>
      <c r="J47" s="19" t="n"/>
      <c r="K47" s="25">
        <f>IF($D47="","",IFERROR(INDEX(Profile!$B$5:$B$304,MATCH($D47,lst_Profil,0)),""))</f>
        <v/>
      </c>
      <c r="L47" s="13">
        <f>IF($D47="","",IFERROR(INDEX(Profile!$K$5:$K$304,MATCH($D47,lst_Profil,0))+0,""))</f>
        <v/>
      </c>
      <c r="M47" s="26">
        <f>IF($D47="","",IFERROR(INDEX(Profile!$E$5:$E$304,MATCH($D47,lst_Profil,0))+0,""))</f>
        <v/>
      </c>
      <c r="N47" s="27">
        <f>IF(OR(L47="",$E47=""),"",IFERROR(L47*INDEX(Werkstoffe!$E$5:$E$304,MATCH($E47,lst_Werkstoff,0))/1000,""))</f>
        <v/>
      </c>
      <c r="O47" s="27">
        <f>IF(OR(N47="",$F47=""),"",N47*$F47/1000)</f>
        <v/>
      </c>
      <c r="P47" s="16">
        <f>IF(OR($F47="",$G47=""),"",$F47*$G47)</f>
        <v/>
      </c>
      <c r="Q47" s="16">
        <f>IF($D47="","",IF($J47&lt;&gt;"",$J47,$C$9))</f>
        <v/>
      </c>
      <c r="R47" s="12">
        <f>IF($D47="","",IFERROR(IF(INDEX(Profile!$G$5:$G$304,MATCH($D47,lst_Profil,0))&lt;&gt;"",INDEX(Profile!$G$5:$G$304,MATCH($D47,lst_Profil,0)),$H$4),$H$4))</f>
        <v/>
      </c>
      <c r="S47" s="12">
        <f>IF($D47="","",IFERROR(IF(INDEX(Profile!$H$5:$H$304,MATCH($D47,lst_Profil,0))&lt;&gt;"",INDEX(Profile!$H$5:$H$304,MATCH($D47,lst_Profil,0)),$H$5),$H$5))</f>
        <v/>
      </c>
      <c r="T47" s="16">
        <f>IF(OR(Q47="",NOT(ISNUMBER(R47)),NOT(ISNUMBER(S47))),"",Q47-R47-S47)</f>
        <v/>
      </c>
      <c r="U47" s="28">
        <f>IF(OR($D47="",$E47=""),"",IF(OR(N($AP47)&gt;0,COUNTIFS(Preise!$A$5:$A$304,$D47,Preise!$B$5:$B$304,$E47,Preise!$I$5:$I$304,"OK")&gt;0,N(INDEX(Werkstoffe!$G$5:$G$304,MATCH($E47,lst_Werkstoff,0)))&gt;0),"ja","nein"))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28">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Materialpreis",IF(AND($AQ47&lt;&gt;"",N($AR47)&gt;0,MOD($G47,$AR47)&lt;&gt;0),"WARNUNG: Stückzahl ist kein Vielfaches von Stück je Satz",IF($H47="","HINWEIS: Schneidweg fehlt",IF(V47="","HINWEIS: keine Schneiddaten",IF(AND($AF47&lt;&gt;"",$AG47=""),"HINWEIS: Gewinde-Vorschlag prüfen","OK")))))))))))))))</f>
        <v/>
      </c>
      <c r="X47" s="18">
        <f>IF(OR(O47="",$G47=""),"",O47*$G47)</f>
        <v/>
      </c>
      <c r="Y47" s="9" t="n"/>
      <c r="Z47" s="23" t="n"/>
      <c r="AA47" s="9" t="n"/>
      <c r="AB47" s="23" t="n"/>
      <c r="AC47" s="23" t="n"/>
      <c r="AD47" s="23" t="n"/>
      <c r="AE47" s="9" t="n"/>
      <c r="AF47" s="9" t="n"/>
      <c r="AG47" s="9" t="n"/>
      <c r="AH47" s="24" t="n"/>
      <c r="AI47" s="23" t="n"/>
      <c r="AJ47" s="24" t="n"/>
      <c r="AK47" s="23" t="n"/>
      <c r="AL47" s="24" t="n"/>
      <c r="AM47" s="23" t="n"/>
      <c r="AN47" s="28">
        <f>IF($D47="","",COUNTIFS(Stangenbelegung!$E$5:$E$10004,ROW()))</f>
        <v/>
      </c>
      <c r="AO47" s="28">
        <f>IF(OR($G47="",COUNTA(Stangenbelegung!$A$5:$A$10004)=0),"",$G47-AN47)</f>
        <v/>
      </c>
      <c r="AP47" s="29" t="n"/>
      <c r="AQ47" s="9" t="n"/>
      <c r="AR47" s="19" t="n"/>
    </row>
    <row r="48">
      <c r="A48" s="9" t="n"/>
      <c r="B48" s="9" t="n"/>
      <c r="C48" s="9" t="n"/>
      <c r="D48" s="9" t="n"/>
      <c r="E48" s="9" t="n"/>
      <c r="F48" s="23" t="n"/>
      <c r="G48" s="19" t="n"/>
      <c r="H48" s="23" t="n"/>
      <c r="I48" s="24" t="n"/>
      <c r="J48" s="19" t="n"/>
      <c r="K48" s="25">
        <f>IF($D48="","",IFERROR(INDEX(Profile!$B$5:$B$304,MATCH($D48,lst_Profil,0)),""))</f>
        <v/>
      </c>
      <c r="L48" s="13">
        <f>IF($D48="","",IFERROR(INDEX(Profile!$K$5:$K$304,MATCH($D48,lst_Profil,0))+0,""))</f>
        <v/>
      </c>
      <c r="M48" s="26">
        <f>IF($D48="","",IFERROR(INDEX(Profile!$E$5:$E$304,MATCH($D48,lst_Profil,0))+0,""))</f>
        <v/>
      </c>
      <c r="N48" s="27">
        <f>IF(OR(L48="",$E48=""),"",IFERROR(L48*INDEX(Werkstoffe!$E$5:$E$304,MATCH($E48,lst_Werkstoff,0))/1000,""))</f>
        <v/>
      </c>
      <c r="O48" s="27">
        <f>IF(OR(N48="",$F48=""),"",N48*$F48/1000)</f>
        <v/>
      </c>
      <c r="P48" s="16">
        <f>IF(OR($F48="",$G48=""),"",$F48*$G48)</f>
        <v/>
      </c>
      <c r="Q48" s="16">
        <f>IF($D48="","",IF($J48&lt;&gt;"",$J48,$C$9))</f>
        <v/>
      </c>
      <c r="R48" s="12">
        <f>IF($D48="","",IFERROR(IF(INDEX(Profile!$G$5:$G$304,MATCH($D48,lst_Profil,0))&lt;&gt;"",INDEX(Profile!$G$5:$G$304,MATCH($D48,lst_Profil,0)),$H$4),$H$4))</f>
        <v/>
      </c>
      <c r="S48" s="12">
        <f>IF($D48="","",IFERROR(IF(INDEX(Profile!$H$5:$H$304,MATCH($D48,lst_Profil,0))&lt;&gt;"",INDEX(Profile!$H$5:$H$304,MATCH($D48,lst_Profil,0)),$H$5),$H$5))</f>
        <v/>
      </c>
      <c r="T48" s="16">
        <f>IF(OR(Q48="",NOT(ISNUMBER(R48)),NOT(ISNUMBER(S48))),"",Q48-R48-S48)</f>
        <v/>
      </c>
      <c r="U48" s="28">
        <f>IF(OR($D48="",$E48=""),"",IF(OR(N($AP48)&gt;0,COUNTIFS(Preise!$A$5:$A$304,$D48,Preise!$B$5:$B$304,$E48,Preise!$I$5:$I$304,"OK")&gt;0,N(INDEX(Werkstoffe!$G$5:$G$304,MATCH($E48,lst_Werkstoff,0)))&gt;0),"ja","nein"))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28">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Materialpreis",IF(AND($AQ48&lt;&gt;"",N($AR48)&gt;0,MOD($G48,$AR48)&lt;&gt;0),"WARNUNG: Stückzahl ist kein Vielfaches von Stück je Satz",IF($H48="","HINWEIS: Schneidweg fehlt",IF(V48="","HINWEIS: keine Schneiddaten",IF(AND($AF48&lt;&gt;"",$AG48=""),"HINWEIS: Gewinde-Vorschlag prüfen","OK")))))))))))))))</f>
        <v/>
      </c>
      <c r="X48" s="18">
        <f>IF(OR(O48="",$G48=""),"",O48*$G48)</f>
        <v/>
      </c>
      <c r="Y48" s="9" t="n"/>
      <c r="Z48" s="23" t="n"/>
      <c r="AA48" s="9" t="n"/>
      <c r="AB48" s="23" t="n"/>
      <c r="AC48" s="23" t="n"/>
      <c r="AD48" s="23" t="n"/>
      <c r="AE48" s="9" t="n"/>
      <c r="AF48" s="9" t="n"/>
      <c r="AG48" s="9" t="n"/>
      <c r="AH48" s="24" t="n"/>
      <c r="AI48" s="23" t="n"/>
      <c r="AJ48" s="24" t="n"/>
      <c r="AK48" s="23" t="n"/>
      <c r="AL48" s="24" t="n"/>
      <c r="AM48" s="23" t="n"/>
      <c r="AN48" s="28">
        <f>IF($D48="","",COUNTIFS(Stangenbelegung!$E$5:$E$10004,ROW()))</f>
        <v/>
      </c>
      <c r="AO48" s="28">
        <f>IF(OR($G48="",COUNTA(Stangenbelegung!$A$5:$A$10004)=0),"",$G48-AN48)</f>
        <v/>
      </c>
      <c r="AP48" s="29" t="n"/>
      <c r="AQ48" s="9" t="n"/>
      <c r="AR48" s="19" t="n"/>
    </row>
    <row r="49">
      <c r="A49" s="9" t="n"/>
      <c r="B49" s="9" t="n"/>
      <c r="C49" s="9" t="n"/>
      <c r="D49" s="9" t="n"/>
      <c r="E49" s="9" t="n"/>
      <c r="F49" s="23" t="n"/>
      <c r="G49" s="19" t="n"/>
      <c r="H49" s="23" t="n"/>
      <c r="I49" s="24" t="n"/>
      <c r="J49" s="19" t="n"/>
      <c r="K49" s="25">
        <f>IF($D49="","",IFERROR(INDEX(Profile!$B$5:$B$304,MATCH($D49,lst_Profil,0)),""))</f>
        <v/>
      </c>
      <c r="L49" s="13">
        <f>IF($D49="","",IFERROR(INDEX(Profile!$K$5:$K$304,MATCH($D49,lst_Profil,0))+0,""))</f>
        <v/>
      </c>
      <c r="M49" s="26">
        <f>IF($D49="","",IFERROR(INDEX(Profile!$E$5:$E$304,MATCH($D49,lst_Profil,0))+0,""))</f>
        <v/>
      </c>
      <c r="N49" s="27">
        <f>IF(OR(L49="",$E49=""),"",IFERROR(L49*INDEX(Werkstoffe!$E$5:$E$304,MATCH($E49,lst_Werkstoff,0))/1000,""))</f>
        <v/>
      </c>
      <c r="O49" s="27">
        <f>IF(OR(N49="",$F49=""),"",N49*$F49/1000)</f>
        <v/>
      </c>
      <c r="P49" s="16">
        <f>IF(OR($F49="",$G49=""),"",$F49*$G49)</f>
        <v/>
      </c>
      <c r="Q49" s="16">
        <f>IF($D49="","",IF($J49&lt;&gt;"",$J49,$C$9))</f>
        <v/>
      </c>
      <c r="R49" s="12">
        <f>IF($D49="","",IFERROR(IF(INDEX(Profile!$G$5:$G$304,MATCH($D49,lst_Profil,0))&lt;&gt;"",INDEX(Profile!$G$5:$G$304,MATCH($D49,lst_Profil,0)),$H$4),$H$4))</f>
        <v/>
      </c>
      <c r="S49" s="12">
        <f>IF($D49="","",IFERROR(IF(INDEX(Profile!$H$5:$H$304,MATCH($D49,lst_Profil,0))&lt;&gt;"",INDEX(Profile!$H$5:$H$304,MATCH($D49,lst_Profil,0)),$H$5),$H$5))</f>
        <v/>
      </c>
      <c r="T49" s="16">
        <f>IF(OR(Q49="",NOT(ISNUMBER(R49)),NOT(ISNUMBER(S49))),"",Q49-R49-S49)</f>
        <v/>
      </c>
      <c r="U49" s="28">
        <f>IF(OR($D49="",$E49=""),"",IF(OR(N($AP49)&gt;0,COUNTIFS(Preise!$A$5:$A$304,$D49,Preise!$B$5:$B$304,$E49,Preise!$I$5:$I$304,"OK")&gt;0,N(INDEX(Werkstoffe!$G$5:$G$304,MATCH($E49,lst_Werkstoff,0)))&gt;0),"ja","nein"))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28">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Materialpreis",IF(AND($AQ49&lt;&gt;"",N($AR49)&gt;0,MOD($G49,$AR49)&lt;&gt;0),"WARNUNG: Stückzahl ist kein Vielfaches von Stück je Satz",IF($H49="","HINWEIS: Schneidweg fehlt",IF(V49="","HINWEIS: keine Schneiddaten",IF(AND($AF49&lt;&gt;"",$AG49=""),"HINWEIS: Gewinde-Vorschlag prüfen","OK")))))))))))))))</f>
        <v/>
      </c>
      <c r="X49" s="18">
        <f>IF(OR(O49="",$G49=""),"",O49*$G49)</f>
        <v/>
      </c>
      <c r="Y49" s="9" t="n"/>
      <c r="Z49" s="23" t="n"/>
      <c r="AA49" s="9" t="n"/>
      <c r="AB49" s="23" t="n"/>
      <c r="AC49" s="23" t="n"/>
      <c r="AD49" s="23" t="n"/>
      <c r="AE49" s="9" t="n"/>
      <c r="AF49" s="9" t="n"/>
      <c r="AG49" s="9" t="n"/>
      <c r="AH49" s="24" t="n"/>
      <c r="AI49" s="23" t="n"/>
      <c r="AJ49" s="24" t="n"/>
      <c r="AK49" s="23" t="n"/>
      <c r="AL49" s="24" t="n"/>
      <c r="AM49" s="23" t="n"/>
      <c r="AN49" s="28">
        <f>IF($D49="","",COUNTIFS(Stangenbelegung!$E$5:$E$10004,ROW()))</f>
        <v/>
      </c>
      <c r="AO49" s="28">
        <f>IF(OR($G49="",COUNTA(Stangenbelegung!$A$5:$A$10004)=0),"",$G49-AN49)</f>
        <v/>
      </c>
      <c r="AP49" s="29" t="n"/>
      <c r="AQ49" s="9" t="n"/>
      <c r="AR49" s="19" t="n"/>
    </row>
    <row r="50">
      <c r="A50" s="9" t="n"/>
      <c r="B50" s="9" t="n"/>
      <c r="C50" s="9" t="n"/>
      <c r="D50" s="9" t="n"/>
      <c r="E50" s="9" t="n"/>
      <c r="F50" s="23" t="n"/>
      <c r="G50" s="19" t="n"/>
      <c r="H50" s="23" t="n"/>
      <c r="I50" s="24" t="n"/>
      <c r="J50" s="19" t="n"/>
      <c r="K50" s="25">
        <f>IF($D50="","",IFERROR(INDEX(Profile!$B$5:$B$304,MATCH($D50,lst_Profil,0)),""))</f>
        <v/>
      </c>
      <c r="L50" s="13">
        <f>IF($D50="","",IFERROR(INDEX(Profile!$K$5:$K$304,MATCH($D50,lst_Profil,0))+0,""))</f>
        <v/>
      </c>
      <c r="M50" s="26">
        <f>IF($D50="","",IFERROR(INDEX(Profile!$E$5:$E$304,MATCH($D50,lst_Profil,0))+0,""))</f>
        <v/>
      </c>
      <c r="N50" s="27">
        <f>IF(OR(L50="",$E50=""),"",IFERROR(L50*INDEX(Werkstoffe!$E$5:$E$304,MATCH($E50,lst_Werkstoff,0))/1000,""))</f>
        <v/>
      </c>
      <c r="O50" s="27">
        <f>IF(OR(N50="",$F50=""),"",N50*$F50/1000)</f>
        <v/>
      </c>
      <c r="P50" s="16">
        <f>IF(OR($F50="",$G50=""),"",$F50*$G50)</f>
        <v/>
      </c>
      <c r="Q50" s="16">
        <f>IF($D50="","",IF($J50&lt;&gt;"",$J50,$C$9))</f>
        <v/>
      </c>
      <c r="R50" s="12">
        <f>IF($D50="","",IFERROR(IF(INDEX(Profile!$G$5:$G$304,MATCH($D50,lst_Profil,0))&lt;&gt;"",INDEX(Profile!$G$5:$G$304,MATCH($D50,lst_Profil,0)),$H$4),$H$4))</f>
        <v/>
      </c>
      <c r="S50" s="12">
        <f>IF($D50="","",IFERROR(IF(INDEX(Profile!$H$5:$H$304,MATCH($D50,lst_Profil,0))&lt;&gt;"",INDEX(Profile!$H$5:$H$304,MATCH($D50,lst_Profil,0)),$H$5),$H$5))</f>
        <v/>
      </c>
      <c r="T50" s="16">
        <f>IF(OR(Q50="",NOT(ISNUMBER(R50)),NOT(ISNUMBER(S50))),"",Q50-R50-S50)</f>
        <v/>
      </c>
      <c r="U50" s="28">
        <f>IF(OR($D50="",$E50=""),"",IF(OR(N($AP50)&gt;0,COUNTIFS(Preise!$A$5:$A$304,$D50,Preise!$B$5:$B$304,$E50,Preise!$I$5:$I$304,"OK")&gt;0,N(INDEX(Werkstoffe!$G$5:$G$304,MATCH($E50,lst_Werkstoff,0)))&gt;0),"ja","nein"))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28">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Materialpreis",IF(AND($AQ50&lt;&gt;"",N($AR50)&gt;0,MOD($G50,$AR50)&lt;&gt;0),"WARNUNG: Stückzahl ist kein Vielfaches von Stück je Satz",IF($H50="","HINWEIS: Schneidweg fehlt",IF(V50="","HINWEIS: keine Schneiddaten",IF(AND($AF50&lt;&gt;"",$AG50=""),"HINWEIS: Gewinde-Vorschlag prüfen","OK")))))))))))))))</f>
        <v/>
      </c>
      <c r="X50" s="18">
        <f>IF(OR(O50="",$G50=""),"",O50*$G50)</f>
        <v/>
      </c>
      <c r="Y50" s="9" t="n"/>
      <c r="Z50" s="23" t="n"/>
      <c r="AA50" s="9" t="n"/>
      <c r="AB50" s="23" t="n"/>
      <c r="AC50" s="23" t="n"/>
      <c r="AD50" s="23" t="n"/>
      <c r="AE50" s="9" t="n"/>
      <c r="AF50" s="9" t="n"/>
      <c r="AG50" s="9" t="n"/>
      <c r="AH50" s="24" t="n"/>
      <c r="AI50" s="23" t="n"/>
      <c r="AJ50" s="24" t="n"/>
      <c r="AK50" s="23" t="n"/>
      <c r="AL50" s="24" t="n"/>
      <c r="AM50" s="23" t="n"/>
      <c r="AN50" s="28">
        <f>IF($D50="","",COUNTIFS(Stangenbelegung!$E$5:$E$10004,ROW()))</f>
        <v/>
      </c>
      <c r="AO50" s="28">
        <f>IF(OR($G50="",COUNTA(Stangenbelegung!$A$5:$A$10004)=0),"",$G50-AN50)</f>
        <v/>
      </c>
      <c r="AP50" s="29" t="n"/>
      <c r="AQ50" s="9" t="n"/>
      <c r="AR50" s="19" t="n"/>
    </row>
    <row r="51">
      <c r="A51" s="9" t="n"/>
      <c r="B51" s="9" t="n"/>
      <c r="C51" s="9" t="n"/>
      <c r="D51" s="9" t="n"/>
      <c r="E51" s="9" t="n"/>
      <c r="F51" s="23" t="n"/>
      <c r="G51" s="19" t="n"/>
      <c r="H51" s="23" t="n"/>
      <c r="I51" s="24" t="n"/>
      <c r="J51" s="19" t="n"/>
      <c r="K51" s="25">
        <f>IF($D51="","",IFERROR(INDEX(Profile!$B$5:$B$304,MATCH($D51,lst_Profil,0)),""))</f>
        <v/>
      </c>
      <c r="L51" s="13">
        <f>IF($D51="","",IFERROR(INDEX(Profile!$K$5:$K$304,MATCH($D51,lst_Profil,0))+0,""))</f>
        <v/>
      </c>
      <c r="M51" s="26">
        <f>IF($D51="","",IFERROR(INDEX(Profile!$E$5:$E$304,MATCH($D51,lst_Profil,0))+0,""))</f>
        <v/>
      </c>
      <c r="N51" s="27">
        <f>IF(OR(L51="",$E51=""),"",IFERROR(L51*INDEX(Werkstoffe!$E$5:$E$304,MATCH($E51,lst_Werkstoff,0))/1000,""))</f>
        <v/>
      </c>
      <c r="O51" s="27">
        <f>IF(OR(N51="",$F51=""),"",N51*$F51/1000)</f>
        <v/>
      </c>
      <c r="P51" s="16">
        <f>IF(OR($F51="",$G51=""),"",$F51*$G51)</f>
        <v/>
      </c>
      <c r="Q51" s="16">
        <f>IF($D51="","",IF($J51&lt;&gt;"",$J51,$C$9))</f>
        <v/>
      </c>
      <c r="R51" s="12">
        <f>IF($D51="","",IFERROR(IF(INDEX(Profile!$G$5:$G$304,MATCH($D51,lst_Profil,0))&lt;&gt;"",INDEX(Profile!$G$5:$G$304,MATCH($D51,lst_Profil,0)),$H$4),$H$4))</f>
        <v/>
      </c>
      <c r="S51" s="12">
        <f>IF($D51="","",IFERROR(IF(INDEX(Profile!$H$5:$H$304,MATCH($D51,lst_Profil,0))&lt;&gt;"",INDEX(Profile!$H$5:$H$304,MATCH($D51,lst_Profil,0)),$H$5),$H$5))</f>
        <v/>
      </c>
      <c r="T51" s="16">
        <f>IF(OR(Q51="",NOT(ISNUMBER(R51)),NOT(ISNUMBER(S51))),"",Q51-R51-S51)</f>
        <v/>
      </c>
      <c r="U51" s="28">
        <f>IF(OR($D51="",$E51=""),"",IF(OR(N($AP51)&gt;0,COUNTIFS(Preise!$A$5:$A$304,$D51,Preise!$B$5:$B$304,$E51,Preise!$I$5:$I$304,"OK")&gt;0,N(INDEX(Werkstoffe!$G$5:$G$304,MATCH($E51,lst_Werkstoff,0)))&gt;0),"ja","nein"))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28">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Materialpreis",IF(AND($AQ51&lt;&gt;"",N($AR51)&gt;0,MOD($G51,$AR51)&lt;&gt;0),"WARNUNG: Stückzahl ist kein Vielfaches von Stück je Satz",IF($H51="","HINWEIS: Schneidweg fehlt",IF(V51="","HINWEIS: keine Schneiddaten",IF(AND($AF51&lt;&gt;"",$AG51=""),"HINWEIS: Gewinde-Vorschlag prüfen","OK")))))))))))))))</f>
        <v/>
      </c>
      <c r="X51" s="18">
        <f>IF(OR(O51="",$G51=""),"",O51*$G51)</f>
        <v/>
      </c>
      <c r="Y51" s="9" t="n"/>
      <c r="Z51" s="23" t="n"/>
      <c r="AA51" s="9" t="n"/>
      <c r="AB51" s="23" t="n"/>
      <c r="AC51" s="23" t="n"/>
      <c r="AD51" s="23" t="n"/>
      <c r="AE51" s="9" t="n"/>
      <c r="AF51" s="9" t="n"/>
      <c r="AG51" s="9" t="n"/>
      <c r="AH51" s="24" t="n"/>
      <c r="AI51" s="23" t="n"/>
      <c r="AJ51" s="24" t="n"/>
      <c r="AK51" s="23" t="n"/>
      <c r="AL51" s="24" t="n"/>
      <c r="AM51" s="23" t="n"/>
      <c r="AN51" s="28">
        <f>IF($D51="","",COUNTIFS(Stangenbelegung!$E$5:$E$10004,ROW()))</f>
        <v/>
      </c>
      <c r="AO51" s="28">
        <f>IF(OR($G51="",COUNTA(Stangenbelegung!$A$5:$A$10004)=0),"",$G51-AN51)</f>
        <v/>
      </c>
      <c r="AP51" s="29" t="n"/>
      <c r="AQ51" s="9" t="n"/>
      <c r="AR51" s="19" t="n"/>
    </row>
    <row r="52">
      <c r="A52" s="9" t="n"/>
      <c r="B52" s="9" t="n"/>
      <c r="C52" s="9" t="n"/>
      <c r="D52" s="9" t="n"/>
      <c r="E52" s="9" t="n"/>
      <c r="F52" s="23" t="n"/>
      <c r="G52" s="19" t="n"/>
      <c r="H52" s="23" t="n"/>
      <c r="I52" s="24" t="n"/>
      <c r="J52" s="19" t="n"/>
      <c r="K52" s="25">
        <f>IF($D52="","",IFERROR(INDEX(Profile!$B$5:$B$304,MATCH($D52,lst_Profil,0)),""))</f>
        <v/>
      </c>
      <c r="L52" s="13">
        <f>IF($D52="","",IFERROR(INDEX(Profile!$K$5:$K$304,MATCH($D52,lst_Profil,0))+0,""))</f>
        <v/>
      </c>
      <c r="M52" s="26">
        <f>IF($D52="","",IFERROR(INDEX(Profile!$E$5:$E$304,MATCH($D52,lst_Profil,0))+0,""))</f>
        <v/>
      </c>
      <c r="N52" s="27">
        <f>IF(OR(L52="",$E52=""),"",IFERROR(L52*INDEX(Werkstoffe!$E$5:$E$304,MATCH($E52,lst_Werkstoff,0))/1000,""))</f>
        <v/>
      </c>
      <c r="O52" s="27">
        <f>IF(OR(N52="",$F52=""),"",N52*$F52/1000)</f>
        <v/>
      </c>
      <c r="P52" s="16">
        <f>IF(OR($F52="",$G52=""),"",$F52*$G52)</f>
        <v/>
      </c>
      <c r="Q52" s="16">
        <f>IF($D52="","",IF($J52&lt;&gt;"",$J52,$C$9))</f>
        <v/>
      </c>
      <c r="R52" s="12">
        <f>IF($D52="","",IFERROR(IF(INDEX(Profile!$G$5:$G$304,MATCH($D52,lst_Profil,0))&lt;&gt;"",INDEX(Profile!$G$5:$G$304,MATCH($D52,lst_Profil,0)),$H$4),$H$4))</f>
        <v/>
      </c>
      <c r="S52" s="12">
        <f>IF($D52="","",IFERROR(IF(INDEX(Profile!$H$5:$H$304,MATCH($D52,lst_Profil,0))&lt;&gt;"",INDEX(Profile!$H$5:$H$304,MATCH($D52,lst_Profil,0)),$H$5),$H$5))</f>
        <v/>
      </c>
      <c r="T52" s="16">
        <f>IF(OR(Q52="",NOT(ISNUMBER(R52)),NOT(ISNUMBER(S52))),"",Q52-R52-S52)</f>
        <v/>
      </c>
      <c r="U52" s="28">
        <f>IF(OR($D52="",$E52=""),"",IF(OR(N($AP52)&gt;0,COUNTIFS(Preise!$A$5:$A$304,$D52,Preise!$B$5:$B$304,$E52,Preise!$I$5:$I$304,"OK")&gt;0,N(INDEX(Werkstoffe!$G$5:$G$304,MATCH($E52,lst_Werkstoff,0)))&gt;0),"ja","nein"))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28">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Materialpreis",IF(AND($AQ52&lt;&gt;"",N($AR52)&gt;0,MOD($G52,$AR52)&lt;&gt;0),"WARNUNG: Stückzahl ist kein Vielfaches von Stück je Satz",IF($H52="","HINWEIS: Schneidweg fehlt",IF(V52="","HINWEIS: keine Schneiddaten",IF(AND($AF52&lt;&gt;"",$AG52=""),"HINWEIS: Gewinde-Vorschlag prüfen","OK")))))))))))))))</f>
        <v/>
      </c>
      <c r="X52" s="18">
        <f>IF(OR(O52="",$G52=""),"",O52*$G52)</f>
        <v/>
      </c>
      <c r="Y52" s="9" t="n"/>
      <c r="Z52" s="23" t="n"/>
      <c r="AA52" s="9" t="n"/>
      <c r="AB52" s="23" t="n"/>
      <c r="AC52" s="23" t="n"/>
      <c r="AD52" s="23" t="n"/>
      <c r="AE52" s="9" t="n"/>
      <c r="AF52" s="9" t="n"/>
      <c r="AG52" s="9" t="n"/>
      <c r="AH52" s="24" t="n"/>
      <c r="AI52" s="23" t="n"/>
      <c r="AJ52" s="24" t="n"/>
      <c r="AK52" s="23" t="n"/>
      <c r="AL52" s="24" t="n"/>
      <c r="AM52" s="23" t="n"/>
      <c r="AN52" s="28">
        <f>IF($D52="","",COUNTIFS(Stangenbelegung!$E$5:$E$10004,ROW()))</f>
        <v/>
      </c>
      <c r="AO52" s="28">
        <f>IF(OR($G52="",COUNTA(Stangenbelegung!$A$5:$A$10004)=0),"",$G52-AN52)</f>
        <v/>
      </c>
      <c r="AP52" s="29" t="n"/>
      <c r="AQ52" s="9" t="n"/>
      <c r="AR52" s="19" t="n"/>
    </row>
    <row r="53">
      <c r="A53" s="9" t="n"/>
      <c r="B53" s="9" t="n"/>
      <c r="C53" s="9" t="n"/>
      <c r="D53" s="9" t="n"/>
      <c r="E53" s="9" t="n"/>
      <c r="F53" s="23" t="n"/>
      <c r="G53" s="19" t="n"/>
      <c r="H53" s="23" t="n"/>
      <c r="I53" s="24" t="n"/>
      <c r="J53" s="19" t="n"/>
      <c r="K53" s="25">
        <f>IF($D53="","",IFERROR(INDEX(Profile!$B$5:$B$304,MATCH($D53,lst_Profil,0)),""))</f>
        <v/>
      </c>
      <c r="L53" s="13">
        <f>IF($D53="","",IFERROR(INDEX(Profile!$K$5:$K$304,MATCH($D53,lst_Profil,0))+0,""))</f>
        <v/>
      </c>
      <c r="M53" s="26">
        <f>IF($D53="","",IFERROR(INDEX(Profile!$E$5:$E$304,MATCH($D53,lst_Profil,0))+0,""))</f>
        <v/>
      </c>
      <c r="N53" s="27">
        <f>IF(OR(L53="",$E53=""),"",IFERROR(L53*INDEX(Werkstoffe!$E$5:$E$304,MATCH($E53,lst_Werkstoff,0))/1000,""))</f>
        <v/>
      </c>
      <c r="O53" s="27">
        <f>IF(OR(N53="",$F53=""),"",N53*$F53/1000)</f>
        <v/>
      </c>
      <c r="P53" s="16">
        <f>IF(OR($F53="",$G53=""),"",$F53*$G53)</f>
        <v/>
      </c>
      <c r="Q53" s="16">
        <f>IF($D53="","",IF($J53&lt;&gt;"",$J53,$C$9))</f>
        <v/>
      </c>
      <c r="R53" s="12">
        <f>IF($D53="","",IFERROR(IF(INDEX(Profile!$G$5:$G$304,MATCH($D53,lst_Profil,0))&lt;&gt;"",INDEX(Profile!$G$5:$G$304,MATCH($D53,lst_Profil,0)),$H$4),$H$4))</f>
        <v/>
      </c>
      <c r="S53" s="12">
        <f>IF($D53="","",IFERROR(IF(INDEX(Profile!$H$5:$H$304,MATCH($D53,lst_Profil,0))&lt;&gt;"",INDEX(Profile!$H$5:$H$304,MATCH($D53,lst_Profil,0)),$H$5),$H$5))</f>
        <v/>
      </c>
      <c r="T53" s="16">
        <f>IF(OR(Q53="",NOT(ISNUMBER(R53)),NOT(ISNUMBER(S53))),"",Q53-R53-S53)</f>
        <v/>
      </c>
      <c r="U53" s="28">
        <f>IF(OR($D53="",$E53=""),"",IF(OR(N($AP53)&gt;0,COUNTIFS(Preise!$A$5:$A$304,$D53,Preise!$B$5:$B$304,$E53,Preise!$I$5:$I$304,"OK")&gt;0,N(INDEX(Werkstoffe!$G$5:$G$304,MATCH($E53,lst_Werkstoff,0)))&gt;0),"ja","nein"))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28">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Materialpreis",IF(AND($AQ53&lt;&gt;"",N($AR53)&gt;0,MOD($G53,$AR53)&lt;&gt;0),"WARNUNG: Stückzahl ist kein Vielfaches von Stück je Satz",IF($H53="","HINWEIS: Schneidweg fehlt",IF(V53="","HINWEIS: keine Schneiddaten",IF(AND($AF53&lt;&gt;"",$AG53=""),"HINWEIS: Gewinde-Vorschlag prüfen","OK")))))))))))))))</f>
        <v/>
      </c>
      <c r="X53" s="18">
        <f>IF(OR(O53="",$G53=""),"",O53*$G53)</f>
        <v/>
      </c>
      <c r="Y53" s="9" t="n"/>
      <c r="Z53" s="23" t="n"/>
      <c r="AA53" s="9" t="n"/>
      <c r="AB53" s="23" t="n"/>
      <c r="AC53" s="23" t="n"/>
      <c r="AD53" s="23" t="n"/>
      <c r="AE53" s="9" t="n"/>
      <c r="AF53" s="9" t="n"/>
      <c r="AG53" s="9" t="n"/>
      <c r="AH53" s="24" t="n"/>
      <c r="AI53" s="23" t="n"/>
      <c r="AJ53" s="24" t="n"/>
      <c r="AK53" s="23" t="n"/>
      <c r="AL53" s="24" t="n"/>
      <c r="AM53" s="23" t="n"/>
      <c r="AN53" s="28">
        <f>IF($D53="","",COUNTIFS(Stangenbelegung!$E$5:$E$10004,ROW()))</f>
        <v/>
      </c>
      <c r="AO53" s="28">
        <f>IF(OR($G53="",COUNTA(Stangenbelegung!$A$5:$A$10004)=0),"",$G53-AN53)</f>
        <v/>
      </c>
      <c r="AP53" s="29" t="n"/>
      <c r="AQ53" s="9" t="n"/>
      <c r="AR53" s="19" t="n"/>
    </row>
    <row r="54">
      <c r="A54" s="9" t="n"/>
      <c r="B54" s="9" t="n"/>
      <c r="C54" s="9" t="n"/>
      <c r="D54" s="9" t="n"/>
      <c r="E54" s="9" t="n"/>
      <c r="F54" s="23" t="n"/>
      <c r="G54" s="19" t="n"/>
      <c r="H54" s="23" t="n"/>
      <c r="I54" s="24" t="n"/>
      <c r="J54" s="19" t="n"/>
      <c r="K54" s="25">
        <f>IF($D54="","",IFERROR(INDEX(Profile!$B$5:$B$304,MATCH($D54,lst_Profil,0)),""))</f>
        <v/>
      </c>
      <c r="L54" s="13">
        <f>IF($D54="","",IFERROR(INDEX(Profile!$K$5:$K$304,MATCH($D54,lst_Profil,0))+0,""))</f>
        <v/>
      </c>
      <c r="M54" s="26">
        <f>IF($D54="","",IFERROR(INDEX(Profile!$E$5:$E$304,MATCH($D54,lst_Profil,0))+0,""))</f>
        <v/>
      </c>
      <c r="N54" s="27">
        <f>IF(OR(L54="",$E54=""),"",IFERROR(L54*INDEX(Werkstoffe!$E$5:$E$304,MATCH($E54,lst_Werkstoff,0))/1000,""))</f>
        <v/>
      </c>
      <c r="O54" s="27">
        <f>IF(OR(N54="",$F54=""),"",N54*$F54/1000)</f>
        <v/>
      </c>
      <c r="P54" s="16">
        <f>IF(OR($F54="",$G54=""),"",$F54*$G54)</f>
        <v/>
      </c>
      <c r="Q54" s="16">
        <f>IF($D54="","",IF($J54&lt;&gt;"",$J54,$C$9))</f>
        <v/>
      </c>
      <c r="R54" s="12">
        <f>IF($D54="","",IFERROR(IF(INDEX(Profile!$G$5:$G$304,MATCH($D54,lst_Profil,0))&lt;&gt;"",INDEX(Profile!$G$5:$G$304,MATCH($D54,lst_Profil,0)),$H$4),$H$4))</f>
        <v/>
      </c>
      <c r="S54" s="12">
        <f>IF($D54="","",IFERROR(IF(INDEX(Profile!$H$5:$H$304,MATCH($D54,lst_Profil,0))&lt;&gt;"",INDEX(Profile!$H$5:$H$304,MATCH($D54,lst_Profil,0)),$H$5),$H$5))</f>
        <v/>
      </c>
      <c r="T54" s="16">
        <f>IF(OR(Q54="",NOT(ISNUMBER(R54)),NOT(ISNUMBER(S54))),"",Q54-R54-S54)</f>
        <v/>
      </c>
      <c r="U54" s="28">
        <f>IF(OR($D54="",$E54=""),"",IF(OR(N($AP54)&gt;0,COUNTIFS(Preise!$A$5:$A$304,$D54,Preise!$B$5:$B$304,$E54,Preise!$I$5:$I$304,"OK")&gt;0,N(INDEX(Werkstoffe!$G$5:$G$304,MATCH($E54,lst_Werkstoff,0)))&gt;0),"ja","nein"))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28">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Materialpreis",IF(AND($AQ54&lt;&gt;"",N($AR54)&gt;0,MOD($G54,$AR54)&lt;&gt;0),"WARNUNG: Stückzahl ist kein Vielfaches von Stück je Satz",IF($H54="","HINWEIS: Schneidweg fehlt",IF(V54="","HINWEIS: keine Schneiddaten",IF(AND($AF54&lt;&gt;"",$AG54=""),"HINWEIS: Gewinde-Vorschlag prüfen","OK")))))))))))))))</f>
        <v/>
      </c>
      <c r="X54" s="18">
        <f>IF(OR(O54="",$G54=""),"",O54*$G54)</f>
        <v/>
      </c>
      <c r="Y54" s="9" t="n"/>
      <c r="Z54" s="23" t="n"/>
      <c r="AA54" s="9" t="n"/>
      <c r="AB54" s="23" t="n"/>
      <c r="AC54" s="23" t="n"/>
      <c r="AD54" s="23" t="n"/>
      <c r="AE54" s="9" t="n"/>
      <c r="AF54" s="9" t="n"/>
      <c r="AG54" s="9" t="n"/>
      <c r="AH54" s="24" t="n"/>
      <c r="AI54" s="23" t="n"/>
      <c r="AJ54" s="24" t="n"/>
      <c r="AK54" s="23" t="n"/>
      <c r="AL54" s="24" t="n"/>
      <c r="AM54" s="23" t="n"/>
      <c r="AN54" s="28">
        <f>IF($D54="","",COUNTIFS(Stangenbelegung!$E$5:$E$10004,ROW()))</f>
        <v/>
      </c>
      <c r="AO54" s="28">
        <f>IF(OR($G54="",COUNTA(Stangenbelegung!$A$5:$A$10004)=0),"",$G54-AN54)</f>
        <v/>
      </c>
      <c r="AP54" s="29" t="n"/>
      <c r="AQ54" s="9" t="n"/>
      <c r="AR54" s="19" t="n"/>
    </row>
    <row r="55">
      <c r="A55" s="9" t="n"/>
      <c r="B55" s="9" t="n"/>
      <c r="C55" s="9" t="n"/>
      <c r="D55" s="9" t="n"/>
      <c r="E55" s="9" t="n"/>
      <c r="F55" s="23" t="n"/>
      <c r="G55" s="19" t="n"/>
      <c r="H55" s="23" t="n"/>
      <c r="I55" s="24" t="n"/>
      <c r="J55" s="19" t="n"/>
      <c r="K55" s="25">
        <f>IF($D55="","",IFERROR(INDEX(Profile!$B$5:$B$304,MATCH($D55,lst_Profil,0)),""))</f>
        <v/>
      </c>
      <c r="L55" s="13">
        <f>IF($D55="","",IFERROR(INDEX(Profile!$K$5:$K$304,MATCH($D55,lst_Profil,0))+0,""))</f>
        <v/>
      </c>
      <c r="M55" s="26">
        <f>IF($D55="","",IFERROR(INDEX(Profile!$E$5:$E$304,MATCH($D55,lst_Profil,0))+0,""))</f>
        <v/>
      </c>
      <c r="N55" s="27">
        <f>IF(OR(L55="",$E55=""),"",IFERROR(L55*INDEX(Werkstoffe!$E$5:$E$304,MATCH($E55,lst_Werkstoff,0))/1000,""))</f>
        <v/>
      </c>
      <c r="O55" s="27">
        <f>IF(OR(N55="",$F55=""),"",N55*$F55/1000)</f>
        <v/>
      </c>
      <c r="P55" s="16">
        <f>IF(OR($F55="",$G55=""),"",$F55*$G55)</f>
        <v/>
      </c>
      <c r="Q55" s="16">
        <f>IF($D55="","",IF($J55&lt;&gt;"",$J55,$C$9))</f>
        <v/>
      </c>
      <c r="R55" s="12">
        <f>IF($D55="","",IFERROR(IF(INDEX(Profile!$G$5:$G$304,MATCH($D55,lst_Profil,0))&lt;&gt;"",INDEX(Profile!$G$5:$G$304,MATCH($D55,lst_Profil,0)),$H$4),$H$4))</f>
        <v/>
      </c>
      <c r="S55" s="12">
        <f>IF($D55="","",IFERROR(IF(INDEX(Profile!$H$5:$H$304,MATCH($D55,lst_Profil,0))&lt;&gt;"",INDEX(Profile!$H$5:$H$304,MATCH($D55,lst_Profil,0)),$H$5),$H$5))</f>
        <v/>
      </c>
      <c r="T55" s="16">
        <f>IF(OR(Q55="",NOT(ISNUMBER(R55)),NOT(ISNUMBER(S55))),"",Q55-R55-S55)</f>
        <v/>
      </c>
      <c r="U55" s="28">
        <f>IF(OR($D55="",$E55=""),"",IF(OR(N($AP55)&gt;0,COUNTIFS(Preise!$A$5:$A$304,$D55,Preise!$B$5:$B$304,$E55,Preise!$I$5:$I$304,"OK")&gt;0,N(INDEX(Werkstoffe!$G$5:$G$304,MATCH($E55,lst_Werkstoff,0)))&gt;0),"ja","nein"))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28">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Materialpreis",IF(AND($AQ55&lt;&gt;"",N($AR55)&gt;0,MOD($G55,$AR55)&lt;&gt;0),"WARNUNG: Stückzahl ist kein Vielfaches von Stück je Satz",IF($H55="","HINWEIS: Schneidweg fehlt",IF(V55="","HINWEIS: keine Schneiddaten",IF(AND($AF55&lt;&gt;"",$AG55=""),"HINWEIS: Gewinde-Vorschlag prüfen","OK")))))))))))))))</f>
        <v/>
      </c>
      <c r="X55" s="18">
        <f>IF(OR(O55="",$G55=""),"",O55*$G55)</f>
        <v/>
      </c>
      <c r="Y55" s="9" t="n"/>
      <c r="Z55" s="23" t="n"/>
      <c r="AA55" s="9" t="n"/>
      <c r="AB55" s="23" t="n"/>
      <c r="AC55" s="23" t="n"/>
      <c r="AD55" s="23" t="n"/>
      <c r="AE55" s="9" t="n"/>
      <c r="AF55" s="9" t="n"/>
      <c r="AG55" s="9" t="n"/>
      <c r="AH55" s="24" t="n"/>
      <c r="AI55" s="23" t="n"/>
      <c r="AJ55" s="24" t="n"/>
      <c r="AK55" s="23" t="n"/>
      <c r="AL55" s="24" t="n"/>
      <c r="AM55" s="23" t="n"/>
      <c r="AN55" s="28">
        <f>IF($D55="","",COUNTIFS(Stangenbelegung!$E$5:$E$10004,ROW()))</f>
        <v/>
      </c>
      <c r="AO55" s="28">
        <f>IF(OR($G55="",COUNTA(Stangenbelegung!$A$5:$A$10004)=0),"",$G55-AN55)</f>
        <v/>
      </c>
      <c r="AP55" s="29" t="n"/>
      <c r="AQ55" s="9" t="n"/>
      <c r="AR55" s="19" t="n"/>
    </row>
    <row r="56">
      <c r="A56" s="9" t="n"/>
      <c r="B56" s="9" t="n"/>
      <c r="C56" s="9" t="n"/>
      <c r="D56" s="9" t="n"/>
      <c r="E56" s="9" t="n"/>
      <c r="F56" s="23" t="n"/>
      <c r="G56" s="19" t="n"/>
      <c r="H56" s="23" t="n"/>
      <c r="I56" s="24" t="n"/>
      <c r="J56" s="19" t="n"/>
      <c r="K56" s="25">
        <f>IF($D56="","",IFERROR(INDEX(Profile!$B$5:$B$304,MATCH($D56,lst_Profil,0)),""))</f>
        <v/>
      </c>
      <c r="L56" s="13">
        <f>IF($D56="","",IFERROR(INDEX(Profile!$K$5:$K$304,MATCH($D56,lst_Profil,0))+0,""))</f>
        <v/>
      </c>
      <c r="M56" s="26">
        <f>IF($D56="","",IFERROR(INDEX(Profile!$E$5:$E$304,MATCH($D56,lst_Profil,0))+0,""))</f>
        <v/>
      </c>
      <c r="N56" s="27">
        <f>IF(OR(L56="",$E56=""),"",IFERROR(L56*INDEX(Werkstoffe!$E$5:$E$304,MATCH($E56,lst_Werkstoff,0))/1000,""))</f>
        <v/>
      </c>
      <c r="O56" s="27">
        <f>IF(OR(N56="",$F56=""),"",N56*$F56/1000)</f>
        <v/>
      </c>
      <c r="P56" s="16">
        <f>IF(OR($F56="",$G56=""),"",$F56*$G56)</f>
        <v/>
      </c>
      <c r="Q56" s="16">
        <f>IF($D56="","",IF($J56&lt;&gt;"",$J56,$C$9))</f>
        <v/>
      </c>
      <c r="R56" s="12">
        <f>IF($D56="","",IFERROR(IF(INDEX(Profile!$G$5:$G$304,MATCH($D56,lst_Profil,0))&lt;&gt;"",INDEX(Profile!$G$5:$G$304,MATCH($D56,lst_Profil,0)),$H$4),$H$4))</f>
        <v/>
      </c>
      <c r="S56" s="12">
        <f>IF($D56="","",IFERROR(IF(INDEX(Profile!$H$5:$H$304,MATCH($D56,lst_Profil,0))&lt;&gt;"",INDEX(Profile!$H$5:$H$304,MATCH($D56,lst_Profil,0)),$H$5),$H$5))</f>
        <v/>
      </c>
      <c r="T56" s="16">
        <f>IF(OR(Q56="",NOT(ISNUMBER(R56)),NOT(ISNUMBER(S56))),"",Q56-R56-S56)</f>
        <v/>
      </c>
      <c r="U56" s="28">
        <f>IF(OR($D56="",$E56=""),"",IF(OR(N($AP56)&gt;0,COUNTIFS(Preise!$A$5:$A$304,$D56,Preise!$B$5:$B$304,$E56,Preise!$I$5:$I$304,"OK")&gt;0,N(INDEX(Werkstoffe!$G$5:$G$304,MATCH($E56,lst_Werkstoff,0)))&gt;0),"ja","nein"))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28">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Materialpreis",IF(AND($AQ56&lt;&gt;"",N($AR56)&gt;0,MOD($G56,$AR56)&lt;&gt;0),"WARNUNG: Stückzahl ist kein Vielfaches von Stück je Satz",IF($H56="","HINWEIS: Schneidweg fehlt",IF(V56="","HINWEIS: keine Schneiddaten",IF(AND($AF56&lt;&gt;"",$AG56=""),"HINWEIS: Gewinde-Vorschlag prüfen","OK")))))))))))))))</f>
        <v/>
      </c>
      <c r="X56" s="18">
        <f>IF(OR(O56="",$G56=""),"",O56*$G56)</f>
        <v/>
      </c>
      <c r="Y56" s="9" t="n"/>
      <c r="Z56" s="23" t="n"/>
      <c r="AA56" s="9" t="n"/>
      <c r="AB56" s="23" t="n"/>
      <c r="AC56" s="23" t="n"/>
      <c r="AD56" s="23" t="n"/>
      <c r="AE56" s="9" t="n"/>
      <c r="AF56" s="9" t="n"/>
      <c r="AG56" s="9" t="n"/>
      <c r="AH56" s="24" t="n"/>
      <c r="AI56" s="23" t="n"/>
      <c r="AJ56" s="24" t="n"/>
      <c r="AK56" s="23" t="n"/>
      <c r="AL56" s="24" t="n"/>
      <c r="AM56" s="23" t="n"/>
      <c r="AN56" s="28">
        <f>IF($D56="","",COUNTIFS(Stangenbelegung!$E$5:$E$10004,ROW()))</f>
        <v/>
      </c>
      <c r="AO56" s="28">
        <f>IF(OR($G56="",COUNTA(Stangenbelegung!$A$5:$A$10004)=0),"",$G56-AN56)</f>
        <v/>
      </c>
      <c r="AP56" s="29" t="n"/>
      <c r="AQ56" s="9" t="n"/>
      <c r="AR56" s="19" t="n"/>
    </row>
    <row r="57">
      <c r="A57" s="9" t="n"/>
      <c r="B57" s="9" t="n"/>
      <c r="C57" s="9" t="n"/>
      <c r="D57" s="9" t="n"/>
      <c r="E57" s="9" t="n"/>
      <c r="F57" s="23" t="n"/>
      <c r="G57" s="19" t="n"/>
      <c r="H57" s="23" t="n"/>
      <c r="I57" s="24" t="n"/>
      <c r="J57" s="19" t="n"/>
      <c r="K57" s="25">
        <f>IF($D57="","",IFERROR(INDEX(Profile!$B$5:$B$304,MATCH($D57,lst_Profil,0)),""))</f>
        <v/>
      </c>
      <c r="L57" s="13">
        <f>IF($D57="","",IFERROR(INDEX(Profile!$K$5:$K$304,MATCH($D57,lst_Profil,0))+0,""))</f>
        <v/>
      </c>
      <c r="M57" s="26">
        <f>IF($D57="","",IFERROR(INDEX(Profile!$E$5:$E$304,MATCH($D57,lst_Profil,0))+0,""))</f>
        <v/>
      </c>
      <c r="N57" s="27">
        <f>IF(OR(L57="",$E57=""),"",IFERROR(L57*INDEX(Werkstoffe!$E$5:$E$304,MATCH($E57,lst_Werkstoff,0))/1000,""))</f>
        <v/>
      </c>
      <c r="O57" s="27">
        <f>IF(OR(N57="",$F57=""),"",N57*$F57/1000)</f>
        <v/>
      </c>
      <c r="P57" s="16">
        <f>IF(OR($F57="",$G57=""),"",$F57*$G57)</f>
        <v/>
      </c>
      <c r="Q57" s="16">
        <f>IF($D57="","",IF($J57&lt;&gt;"",$J57,$C$9))</f>
        <v/>
      </c>
      <c r="R57" s="12">
        <f>IF($D57="","",IFERROR(IF(INDEX(Profile!$G$5:$G$304,MATCH($D57,lst_Profil,0))&lt;&gt;"",INDEX(Profile!$G$5:$G$304,MATCH($D57,lst_Profil,0)),$H$4),$H$4))</f>
        <v/>
      </c>
      <c r="S57" s="12">
        <f>IF($D57="","",IFERROR(IF(INDEX(Profile!$H$5:$H$304,MATCH($D57,lst_Profil,0))&lt;&gt;"",INDEX(Profile!$H$5:$H$304,MATCH($D57,lst_Profil,0)),$H$5),$H$5))</f>
        <v/>
      </c>
      <c r="T57" s="16">
        <f>IF(OR(Q57="",NOT(ISNUMBER(R57)),NOT(ISNUMBER(S57))),"",Q57-R57-S57)</f>
        <v/>
      </c>
      <c r="U57" s="28">
        <f>IF(OR($D57="",$E57=""),"",IF(OR(N($AP57)&gt;0,COUNTIFS(Preise!$A$5:$A$304,$D57,Preise!$B$5:$B$304,$E57,Preise!$I$5:$I$304,"OK")&gt;0,N(INDEX(Werkstoffe!$G$5:$G$304,MATCH($E57,lst_Werkstoff,0)))&gt;0),"ja","nein"))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28">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Materialpreis",IF(AND($AQ57&lt;&gt;"",N($AR57)&gt;0,MOD($G57,$AR57)&lt;&gt;0),"WARNUNG: Stückzahl ist kein Vielfaches von Stück je Satz",IF($H57="","HINWEIS: Schneidweg fehlt",IF(V57="","HINWEIS: keine Schneiddaten",IF(AND($AF57&lt;&gt;"",$AG57=""),"HINWEIS: Gewinde-Vorschlag prüfen","OK")))))))))))))))</f>
        <v/>
      </c>
      <c r="X57" s="18">
        <f>IF(OR(O57="",$G57=""),"",O57*$G57)</f>
        <v/>
      </c>
      <c r="Y57" s="9" t="n"/>
      <c r="Z57" s="23" t="n"/>
      <c r="AA57" s="9" t="n"/>
      <c r="AB57" s="23" t="n"/>
      <c r="AC57" s="23" t="n"/>
      <c r="AD57" s="23" t="n"/>
      <c r="AE57" s="9" t="n"/>
      <c r="AF57" s="9" t="n"/>
      <c r="AG57" s="9" t="n"/>
      <c r="AH57" s="24" t="n"/>
      <c r="AI57" s="23" t="n"/>
      <c r="AJ57" s="24" t="n"/>
      <c r="AK57" s="23" t="n"/>
      <c r="AL57" s="24" t="n"/>
      <c r="AM57" s="23" t="n"/>
      <c r="AN57" s="28">
        <f>IF($D57="","",COUNTIFS(Stangenbelegung!$E$5:$E$10004,ROW()))</f>
        <v/>
      </c>
      <c r="AO57" s="28">
        <f>IF(OR($G57="",COUNTA(Stangenbelegung!$A$5:$A$10004)=0),"",$G57-AN57)</f>
        <v/>
      </c>
      <c r="AP57" s="29" t="n"/>
      <c r="AQ57" s="9" t="n"/>
      <c r="AR57" s="19" t="n"/>
    </row>
    <row r="58">
      <c r="A58" s="9" t="n"/>
      <c r="B58" s="9" t="n"/>
      <c r="C58" s="9" t="n"/>
      <c r="D58" s="9" t="n"/>
      <c r="E58" s="9" t="n"/>
      <c r="F58" s="23" t="n"/>
      <c r="G58" s="19" t="n"/>
      <c r="H58" s="23" t="n"/>
      <c r="I58" s="24" t="n"/>
      <c r="J58" s="19" t="n"/>
      <c r="K58" s="25">
        <f>IF($D58="","",IFERROR(INDEX(Profile!$B$5:$B$304,MATCH($D58,lst_Profil,0)),""))</f>
        <v/>
      </c>
      <c r="L58" s="13">
        <f>IF($D58="","",IFERROR(INDEX(Profile!$K$5:$K$304,MATCH($D58,lst_Profil,0))+0,""))</f>
        <v/>
      </c>
      <c r="M58" s="26">
        <f>IF($D58="","",IFERROR(INDEX(Profile!$E$5:$E$304,MATCH($D58,lst_Profil,0))+0,""))</f>
        <v/>
      </c>
      <c r="N58" s="27">
        <f>IF(OR(L58="",$E58=""),"",IFERROR(L58*INDEX(Werkstoffe!$E$5:$E$304,MATCH($E58,lst_Werkstoff,0))/1000,""))</f>
        <v/>
      </c>
      <c r="O58" s="27">
        <f>IF(OR(N58="",$F58=""),"",N58*$F58/1000)</f>
        <v/>
      </c>
      <c r="P58" s="16">
        <f>IF(OR($F58="",$G58=""),"",$F58*$G58)</f>
        <v/>
      </c>
      <c r="Q58" s="16">
        <f>IF($D58="","",IF($J58&lt;&gt;"",$J58,$C$9))</f>
        <v/>
      </c>
      <c r="R58" s="12">
        <f>IF($D58="","",IFERROR(IF(INDEX(Profile!$G$5:$G$304,MATCH($D58,lst_Profil,0))&lt;&gt;"",INDEX(Profile!$G$5:$G$304,MATCH($D58,lst_Profil,0)),$H$4),$H$4))</f>
        <v/>
      </c>
      <c r="S58" s="12">
        <f>IF($D58="","",IFERROR(IF(INDEX(Profile!$H$5:$H$304,MATCH($D58,lst_Profil,0))&lt;&gt;"",INDEX(Profile!$H$5:$H$304,MATCH($D58,lst_Profil,0)),$H$5),$H$5))</f>
        <v/>
      </c>
      <c r="T58" s="16">
        <f>IF(OR(Q58="",NOT(ISNUMBER(R58)),NOT(ISNUMBER(S58))),"",Q58-R58-S58)</f>
        <v/>
      </c>
      <c r="U58" s="28">
        <f>IF(OR($D58="",$E58=""),"",IF(OR(N($AP58)&gt;0,COUNTIFS(Preise!$A$5:$A$304,$D58,Preise!$B$5:$B$304,$E58,Preise!$I$5:$I$304,"OK")&gt;0,N(INDEX(Werkstoffe!$G$5:$G$304,MATCH($E58,lst_Werkstoff,0)))&gt;0),"ja","nein"))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28">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Materialpreis",IF(AND($AQ58&lt;&gt;"",N($AR58)&gt;0,MOD($G58,$AR58)&lt;&gt;0),"WARNUNG: Stückzahl ist kein Vielfaches von Stück je Satz",IF($H58="","HINWEIS: Schneidweg fehlt",IF(V58="","HINWEIS: keine Schneiddaten",IF(AND($AF58&lt;&gt;"",$AG58=""),"HINWEIS: Gewinde-Vorschlag prüfen","OK")))))))))))))))</f>
        <v/>
      </c>
      <c r="X58" s="18">
        <f>IF(OR(O58="",$G58=""),"",O58*$G58)</f>
        <v/>
      </c>
      <c r="Y58" s="9" t="n"/>
      <c r="Z58" s="23" t="n"/>
      <c r="AA58" s="9" t="n"/>
      <c r="AB58" s="23" t="n"/>
      <c r="AC58" s="23" t="n"/>
      <c r="AD58" s="23" t="n"/>
      <c r="AE58" s="9" t="n"/>
      <c r="AF58" s="9" t="n"/>
      <c r="AG58" s="9" t="n"/>
      <c r="AH58" s="24" t="n"/>
      <c r="AI58" s="23" t="n"/>
      <c r="AJ58" s="24" t="n"/>
      <c r="AK58" s="23" t="n"/>
      <c r="AL58" s="24" t="n"/>
      <c r="AM58" s="23" t="n"/>
      <c r="AN58" s="28">
        <f>IF($D58="","",COUNTIFS(Stangenbelegung!$E$5:$E$10004,ROW()))</f>
        <v/>
      </c>
      <c r="AO58" s="28">
        <f>IF(OR($G58="",COUNTA(Stangenbelegung!$A$5:$A$10004)=0),"",$G58-AN58)</f>
        <v/>
      </c>
      <c r="AP58" s="29" t="n"/>
      <c r="AQ58" s="9" t="n"/>
      <c r="AR58" s="19" t="n"/>
    </row>
    <row r="59">
      <c r="A59" s="9" t="n"/>
      <c r="B59" s="9" t="n"/>
      <c r="C59" s="9" t="n"/>
      <c r="D59" s="9" t="n"/>
      <c r="E59" s="9" t="n"/>
      <c r="F59" s="23" t="n"/>
      <c r="G59" s="19" t="n"/>
      <c r="H59" s="23" t="n"/>
      <c r="I59" s="24" t="n"/>
      <c r="J59" s="19" t="n"/>
      <c r="K59" s="25">
        <f>IF($D59="","",IFERROR(INDEX(Profile!$B$5:$B$304,MATCH($D59,lst_Profil,0)),""))</f>
        <v/>
      </c>
      <c r="L59" s="13">
        <f>IF($D59="","",IFERROR(INDEX(Profile!$K$5:$K$304,MATCH($D59,lst_Profil,0))+0,""))</f>
        <v/>
      </c>
      <c r="M59" s="26">
        <f>IF($D59="","",IFERROR(INDEX(Profile!$E$5:$E$304,MATCH($D59,lst_Profil,0))+0,""))</f>
        <v/>
      </c>
      <c r="N59" s="27">
        <f>IF(OR(L59="",$E59=""),"",IFERROR(L59*INDEX(Werkstoffe!$E$5:$E$304,MATCH($E59,lst_Werkstoff,0))/1000,""))</f>
        <v/>
      </c>
      <c r="O59" s="27">
        <f>IF(OR(N59="",$F59=""),"",N59*$F59/1000)</f>
        <v/>
      </c>
      <c r="P59" s="16">
        <f>IF(OR($F59="",$G59=""),"",$F59*$G59)</f>
        <v/>
      </c>
      <c r="Q59" s="16">
        <f>IF($D59="","",IF($J59&lt;&gt;"",$J59,$C$9))</f>
        <v/>
      </c>
      <c r="R59" s="12">
        <f>IF($D59="","",IFERROR(IF(INDEX(Profile!$G$5:$G$304,MATCH($D59,lst_Profil,0))&lt;&gt;"",INDEX(Profile!$G$5:$G$304,MATCH($D59,lst_Profil,0)),$H$4),$H$4))</f>
        <v/>
      </c>
      <c r="S59" s="12">
        <f>IF($D59="","",IFERROR(IF(INDEX(Profile!$H$5:$H$304,MATCH($D59,lst_Profil,0))&lt;&gt;"",INDEX(Profile!$H$5:$H$304,MATCH($D59,lst_Profil,0)),$H$5),$H$5))</f>
        <v/>
      </c>
      <c r="T59" s="16">
        <f>IF(OR(Q59="",NOT(ISNUMBER(R59)),NOT(ISNUMBER(S59))),"",Q59-R59-S59)</f>
        <v/>
      </c>
      <c r="U59" s="28">
        <f>IF(OR($D59="",$E59=""),"",IF(OR(N($AP59)&gt;0,COUNTIFS(Preise!$A$5:$A$304,$D59,Preise!$B$5:$B$304,$E59,Preise!$I$5:$I$304,"OK")&gt;0,N(INDEX(Werkstoffe!$G$5:$G$304,MATCH($E59,lst_Werkstoff,0)))&gt;0),"ja","nein"))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28">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Materialpreis",IF(AND($AQ59&lt;&gt;"",N($AR59)&gt;0,MOD($G59,$AR59)&lt;&gt;0),"WARNUNG: Stückzahl ist kein Vielfaches von Stück je Satz",IF($H59="","HINWEIS: Schneidweg fehlt",IF(V59="","HINWEIS: keine Schneiddaten",IF(AND($AF59&lt;&gt;"",$AG59=""),"HINWEIS: Gewinde-Vorschlag prüfen","OK")))))))))))))))</f>
        <v/>
      </c>
      <c r="X59" s="18">
        <f>IF(OR(O59="",$G59=""),"",O59*$G59)</f>
        <v/>
      </c>
      <c r="Y59" s="9" t="n"/>
      <c r="Z59" s="23" t="n"/>
      <c r="AA59" s="9" t="n"/>
      <c r="AB59" s="23" t="n"/>
      <c r="AC59" s="23" t="n"/>
      <c r="AD59" s="23" t="n"/>
      <c r="AE59" s="9" t="n"/>
      <c r="AF59" s="9" t="n"/>
      <c r="AG59" s="9" t="n"/>
      <c r="AH59" s="24" t="n"/>
      <c r="AI59" s="23" t="n"/>
      <c r="AJ59" s="24" t="n"/>
      <c r="AK59" s="23" t="n"/>
      <c r="AL59" s="24" t="n"/>
      <c r="AM59" s="23" t="n"/>
      <c r="AN59" s="28">
        <f>IF($D59="","",COUNTIFS(Stangenbelegung!$E$5:$E$10004,ROW()))</f>
        <v/>
      </c>
      <c r="AO59" s="28">
        <f>IF(OR($G59="",COUNTA(Stangenbelegung!$A$5:$A$10004)=0),"",$G59-AN59)</f>
        <v/>
      </c>
      <c r="AP59" s="29" t="n"/>
      <c r="AQ59" s="9" t="n"/>
      <c r="AR59" s="19" t="n"/>
    </row>
    <row r="60">
      <c r="A60" s="9" t="n"/>
      <c r="B60" s="9" t="n"/>
      <c r="C60" s="9" t="n"/>
      <c r="D60" s="9" t="n"/>
      <c r="E60" s="9" t="n"/>
      <c r="F60" s="23" t="n"/>
      <c r="G60" s="19" t="n"/>
      <c r="H60" s="23" t="n"/>
      <c r="I60" s="24" t="n"/>
      <c r="J60" s="19" t="n"/>
      <c r="K60" s="25">
        <f>IF($D60="","",IFERROR(INDEX(Profile!$B$5:$B$304,MATCH($D60,lst_Profil,0)),""))</f>
        <v/>
      </c>
      <c r="L60" s="13">
        <f>IF($D60="","",IFERROR(INDEX(Profile!$K$5:$K$304,MATCH($D60,lst_Profil,0))+0,""))</f>
        <v/>
      </c>
      <c r="M60" s="26">
        <f>IF($D60="","",IFERROR(INDEX(Profile!$E$5:$E$304,MATCH($D60,lst_Profil,0))+0,""))</f>
        <v/>
      </c>
      <c r="N60" s="27">
        <f>IF(OR(L60="",$E60=""),"",IFERROR(L60*INDEX(Werkstoffe!$E$5:$E$304,MATCH($E60,lst_Werkstoff,0))/1000,""))</f>
        <v/>
      </c>
      <c r="O60" s="27">
        <f>IF(OR(N60="",$F60=""),"",N60*$F60/1000)</f>
        <v/>
      </c>
      <c r="P60" s="16">
        <f>IF(OR($F60="",$G60=""),"",$F60*$G60)</f>
        <v/>
      </c>
      <c r="Q60" s="16">
        <f>IF($D60="","",IF($J60&lt;&gt;"",$J60,$C$9))</f>
        <v/>
      </c>
      <c r="R60" s="12">
        <f>IF($D60="","",IFERROR(IF(INDEX(Profile!$G$5:$G$304,MATCH($D60,lst_Profil,0))&lt;&gt;"",INDEX(Profile!$G$5:$G$304,MATCH($D60,lst_Profil,0)),$H$4),$H$4))</f>
        <v/>
      </c>
      <c r="S60" s="12">
        <f>IF($D60="","",IFERROR(IF(INDEX(Profile!$H$5:$H$304,MATCH($D60,lst_Profil,0))&lt;&gt;"",INDEX(Profile!$H$5:$H$304,MATCH($D60,lst_Profil,0)),$H$5),$H$5))</f>
        <v/>
      </c>
      <c r="T60" s="16">
        <f>IF(OR(Q60="",NOT(ISNUMBER(R60)),NOT(ISNUMBER(S60))),"",Q60-R60-S60)</f>
        <v/>
      </c>
      <c r="U60" s="28">
        <f>IF(OR($D60="",$E60=""),"",IF(OR(N($AP60)&gt;0,COUNTIFS(Preise!$A$5:$A$304,$D60,Preise!$B$5:$B$304,$E60,Preise!$I$5:$I$304,"OK")&gt;0,N(INDEX(Werkstoffe!$G$5:$G$304,MATCH($E60,lst_Werkstoff,0)))&gt;0),"ja","nein"))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28">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Materialpreis",IF(AND($AQ60&lt;&gt;"",N($AR60)&gt;0,MOD($G60,$AR60)&lt;&gt;0),"WARNUNG: Stückzahl ist kein Vielfaches von Stück je Satz",IF($H60="","HINWEIS: Schneidweg fehlt",IF(V60="","HINWEIS: keine Schneiddaten",IF(AND($AF60&lt;&gt;"",$AG60=""),"HINWEIS: Gewinde-Vorschlag prüfen","OK")))))))))))))))</f>
        <v/>
      </c>
      <c r="X60" s="18">
        <f>IF(OR(O60="",$G60=""),"",O60*$G60)</f>
        <v/>
      </c>
      <c r="Y60" s="9" t="n"/>
      <c r="Z60" s="23" t="n"/>
      <c r="AA60" s="9" t="n"/>
      <c r="AB60" s="23" t="n"/>
      <c r="AC60" s="23" t="n"/>
      <c r="AD60" s="23" t="n"/>
      <c r="AE60" s="9" t="n"/>
      <c r="AF60" s="9" t="n"/>
      <c r="AG60" s="9" t="n"/>
      <c r="AH60" s="24" t="n"/>
      <c r="AI60" s="23" t="n"/>
      <c r="AJ60" s="24" t="n"/>
      <c r="AK60" s="23" t="n"/>
      <c r="AL60" s="24" t="n"/>
      <c r="AM60" s="23" t="n"/>
      <c r="AN60" s="28">
        <f>IF($D60="","",COUNTIFS(Stangenbelegung!$E$5:$E$10004,ROW()))</f>
        <v/>
      </c>
      <c r="AO60" s="28">
        <f>IF(OR($G60="",COUNTA(Stangenbelegung!$A$5:$A$10004)=0),"",$G60-AN60)</f>
        <v/>
      </c>
      <c r="AP60" s="29" t="n"/>
      <c r="AQ60" s="9" t="n"/>
      <c r="AR60" s="19" t="n"/>
    </row>
    <row r="61">
      <c r="A61" s="9" t="n"/>
      <c r="B61" s="9" t="n"/>
      <c r="C61" s="9" t="n"/>
      <c r="D61" s="9" t="n"/>
      <c r="E61" s="9" t="n"/>
      <c r="F61" s="23" t="n"/>
      <c r="G61" s="19" t="n"/>
      <c r="H61" s="23" t="n"/>
      <c r="I61" s="24" t="n"/>
      <c r="J61" s="19" t="n"/>
      <c r="K61" s="25">
        <f>IF($D61="","",IFERROR(INDEX(Profile!$B$5:$B$304,MATCH($D61,lst_Profil,0)),""))</f>
        <v/>
      </c>
      <c r="L61" s="13">
        <f>IF($D61="","",IFERROR(INDEX(Profile!$K$5:$K$304,MATCH($D61,lst_Profil,0))+0,""))</f>
        <v/>
      </c>
      <c r="M61" s="26">
        <f>IF($D61="","",IFERROR(INDEX(Profile!$E$5:$E$304,MATCH($D61,lst_Profil,0))+0,""))</f>
        <v/>
      </c>
      <c r="N61" s="27">
        <f>IF(OR(L61="",$E61=""),"",IFERROR(L61*INDEX(Werkstoffe!$E$5:$E$304,MATCH($E61,lst_Werkstoff,0))/1000,""))</f>
        <v/>
      </c>
      <c r="O61" s="27">
        <f>IF(OR(N61="",$F61=""),"",N61*$F61/1000)</f>
        <v/>
      </c>
      <c r="P61" s="16">
        <f>IF(OR($F61="",$G61=""),"",$F61*$G61)</f>
        <v/>
      </c>
      <c r="Q61" s="16">
        <f>IF($D61="","",IF($J61&lt;&gt;"",$J61,$C$9))</f>
        <v/>
      </c>
      <c r="R61" s="12">
        <f>IF($D61="","",IFERROR(IF(INDEX(Profile!$G$5:$G$304,MATCH($D61,lst_Profil,0))&lt;&gt;"",INDEX(Profile!$G$5:$G$304,MATCH($D61,lst_Profil,0)),$H$4),$H$4))</f>
        <v/>
      </c>
      <c r="S61" s="12">
        <f>IF($D61="","",IFERROR(IF(INDEX(Profile!$H$5:$H$304,MATCH($D61,lst_Profil,0))&lt;&gt;"",INDEX(Profile!$H$5:$H$304,MATCH($D61,lst_Profil,0)),$H$5),$H$5))</f>
        <v/>
      </c>
      <c r="T61" s="16">
        <f>IF(OR(Q61="",NOT(ISNUMBER(R61)),NOT(ISNUMBER(S61))),"",Q61-R61-S61)</f>
        <v/>
      </c>
      <c r="U61" s="28">
        <f>IF(OR($D61="",$E61=""),"",IF(OR(N($AP61)&gt;0,COUNTIFS(Preise!$A$5:$A$304,$D61,Preise!$B$5:$B$304,$E61,Preise!$I$5:$I$304,"OK")&gt;0,N(INDEX(Werkstoffe!$G$5:$G$304,MATCH($E61,lst_Werkstoff,0)))&gt;0),"ja","nein"))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28">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Materialpreis",IF(AND($AQ61&lt;&gt;"",N($AR61)&gt;0,MOD($G61,$AR61)&lt;&gt;0),"WARNUNG: Stückzahl ist kein Vielfaches von Stück je Satz",IF($H61="","HINWEIS: Schneidweg fehlt",IF(V61="","HINWEIS: keine Schneiddaten",IF(AND($AF61&lt;&gt;"",$AG61=""),"HINWEIS: Gewinde-Vorschlag prüfen","OK")))))))))))))))</f>
        <v/>
      </c>
      <c r="X61" s="18">
        <f>IF(OR(O61="",$G61=""),"",O61*$G61)</f>
        <v/>
      </c>
      <c r="Y61" s="9" t="n"/>
      <c r="Z61" s="23" t="n"/>
      <c r="AA61" s="9" t="n"/>
      <c r="AB61" s="23" t="n"/>
      <c r="AC61" s="23" t="n"/>
      <c r="AD61" s="23" t="n"/>
      <c r="AE61" s="9" t="n"/>
      <c r="AF61" s="9" t="n"/>
      <c r="AG61" s="9" t="n"/>
      <c r="AH61" s="24" t="n"/>
      <c r="AI61" s="23" t="n"/>
      <c r="AJ61" s="24" t="n"/>
      <c r="AK61" s="23" t="n"/>
      <c r="AL61" s="24" t="n"/>
      <c r="AM61" s="23" t="n"/>
      <c r="AN61" s="28">
        <f>IF($D61="","",COUNTIFS(Stangenbelegung!$E$5:$E$10004,ROW()))</f>
        <v/>
      </c>
      <c r="AO61" s="28">
        <f>IF(OR($G61="",COUNTA(Stangenbelegung!$A$5:$A$10004)=0),"",$G61-AN61)</f>
        <v/>
      </c>
      <c r="AP61" s="29" t="n"/>
      <c r="AQ61" s="9" t="n"/>
      <c r="AR61" s="19" t="n"/>
    </row>
    <row r="62">
      <c r="A62" s="9" t="n"/>
      <c r="B62" s="9" t="n"/>
      <c r="C62" s="9" t="n"/>
      <c r="D62" s="9" t="n"/>
      <c r="E62" s="9" t="n"/>
      <c r="F62" s="23" t="n"/>
      <c r="G62" s="19" t="n"/>
      <c r="H62" s="23" t="n"/>
      <c r="I62" s="24" t="n"/>
      <c r="J62" s="19" t="n"/>
      <c r="K62" s="25">
        <f>IF($D62="","",IFERROR(INDEX(Profile!$B$5:$B$304,MATCH($D62,lst_Profil,0)),""))</f>
        <v/>
      </c>
      <c r="L62" s="13">
        <f>IF($D62="","",IFERROR(INDEX(Profile!$K$5:$K$304,MATCH($D62,lst_Profil,0))+0,""))</f>
        <v/>
      </c>
      <c r="M62" s="26">
        <f>IF($D62="","",IFERROR(INDEX(Profile!$E$5:$E$304,MATCH($D62,lst_Profil,0))+0,""))</f>
        <v/>
      </c>
      <c r="N62" s="27">
        <f>IF(OR(L62="",$E62=""),"",IFERROR(L62*INDEX(Werkstoffe!$E$5:$E$304,MATCH($E62,lst_Werkstoff,0))/1000,""))</f>
        <v/>
      </c>
      <c r="O62" s="27">
        <f>IF(OR(N62="",$F62=""),"",N62*$F62/1000)</f>
        <v/>
      </c>
      <c r="P62" s="16">
        <f>IF(OR($F62="",$G62=""),"",$F62*$G62)</f>
        <v/>
      </c>
      <c r="Q62" s="16">
        <f>IF($D62="","",IF($J62&lt;&gt;"",$J62,$C$9))</f>
        <v/>
      </c>
      <c r="R62" s="12">
        <f>IF($D62="","",IFERROR(IF(INDEX(Profile!$G$5:$G$304,MATCH($D62,lst_Profil,0))&lt;&gt;"",INDEX(Profile!$G$5:$G$304,MATCH($D62,lst_Profil,0)),$H$4),$H$4))</f>
        <v/>
      </c>
      <c r="S62" s="12">
        <f>IF($D62="","",IFERROR(IF(INDEX(Profile!$H$5:$H$304,MATCH($D62,lst_Profil,0))&lt;&gt;"",INDEX(Profile!$H$5:$H$304,MATCH($D62,lst_Profil,0)),$H$5),$H$5))</f>
        <v/>
      </c>
      <c r="T62" s="16">
        <f>IF(OR(Q62="",NOT(ISNUMBER(R62)),NOT(ISNUMBER(S62))),"",Q62-R62-S62)</f>
        <v/>
      </c>
      <c r="U62" s="28">
        <f>IF(OR($D62="",$E62=""),"",IF(OR(N($AP62)&gt;0,COUNTIFS(Preise!$A$5:$A$304,$D62,Preise!$B$5:$B$304,$E62,Preise!$I$5:$I$304,"OK")&gt;0,N(INDEX(Werkstoffe!$G$5:$G$304,MATCH($E62,lst_Werkstoff,0)))&gt;0),"ja","nein"))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28">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Materialpreis",IF(AND($AQ62&lt;&gt;"",N($AR62)&gt;0,MOD($G62,$AR62)&lt;&gt;0),"WARNUNG: Stückzahl ist kein Vielfaches von Stück je Satz",IF($H62="","HINWEIS: Schneidweg fehlt",IF(V62="","HINWEIS: keine Schneiddaten",IF(AND($AF62&lt;&gt;"",$AG62=""),"HINWEIS: Gewinde-Vorschlag prüfen","OK")))))))))))))))</f>
        <v/>
      </c>
      <c r="X62" s="18">
        <f>IF(OR(O62="",$G62=""),"",O62*$G62)</f>
        <v/>
      </c>
      <c r="Y62" s="9" t="n"/>
      <c r="Z62" s="23" t="n"/>
      <c r="AA62" s="9" t="n"/>
      <c r="AB62" s="23" t="n"/>
      <c r="AC62" s="23" t="n"/>
      <c r="AD62" s="23" t="n"/>
      <c r="AE62" s="9" t="n"/>
      <c r="AF62" s="9" t="n"/>
      <c r="AG62" s="9" t="n"/>
      <c r="AH62" s="24" t="n"/>
      <c r="AI62" s="23" t="n"/>
      <c r="AJ62" s="24" t="n"/>
      <c r="AK62" s="23" t="n"/>
      <c r="AL62" s="24" t="n"/>
      <c r="AM62" s="23" t="n"/>
      <c r="AN62" s="28">
        <f>IF($D62="","",COUNTIFS(Stangenbelegung!$E$5:$E$10004,ROW()))</f>
        <v/>
      </c>
      <c r="AO62" s="28">
        <f>IF(OR($G62="",COUNTA(Stangenbelegung!$A$5:$A$10004)=0),"",$G62-AN62)</f>
        <v/>
      </c>
      <c r="AP62" s="29" t="n"/>
      <c r="AQ62" s="9" t="n"/>
      <c r="AR62" s="19" t="n"/>
    </row>
    <row r="63">
      <c r="A63" s="9" t="n"/>
      <c r="B63" s="9" t="n"/>
      <c r="C63" s="9" t="n"/>
      <c r="D63" s="9" t="n"/>
      <c r="E63" s="9" t="n"/>
      <c r="F63" s="23" t="n"/>
      <c r="G63" s="19" t="n"/>
      <c r="H63" s="23" t="n"/>
      <c r="I63" s="24" t="n"/>
      <c r="J63" s="19" t="n"/>
      <c r="K63" s="25">
        <f>IF($D63="","",IFERROR(INDEX(Profile!$B$5:$B$304,MATCH($D63,lst_Profil,0)),""))</f>
        <v/>
      </c>
      <c r="L63" s="13">
        <f>IF($D63="","",IFERROR(INDEX(Profile!$K$5:$K$304,MATCH($D63,lst_Profil,0))+0,""))</f>
        <v/>
      </c>
      <c r="M63" s="26">
        <f>IF($D63="","",IFERROR(INDEX(Profile!$E$5:$E$304,MATCH($D63,lst_Profil,0))+0,""))</f>
        <v/>
      </c>
      <c r="N63" s="27">
        <f>IF(OR(L63="",$E63=""),"",IFERROR(L63*INDEX(Werkstoffe!$E$5:$E$304,MATCH($E63,lst_Werkstoff,0))/1000,""))</f>
        <v/>
      </c>
      <c r="O63" s="27">
        <f>IF(OR(N63="",$F63=""),"",N63*$F63/1000)</f>
        <v/>
      </c>
      <c r="P63" s="16">
        <f>IF(OR($F63="",$G63=""),"",$F63*$G63)</f>
        <v/>
      </c>
      <c r="Q63" s="16">
        <f>IF($D63="","",IF($J63&lt;&gt;"",$J63,$C$9))</f>
        <v/>
      </c>
      <c r="R63" s="12">
        <f>IF($D63="","",IFERROR(IF(INDEX(Profile!$G$5:$G$304,MATCH($D63,lst_Profil,0))&lt;&gt;"",INDEX(Profile!$G$5:$G$304,MATCH($D63,lst_Profil,0)),$H$4),$H$4))</f>
        <v/>
      </c>
      <c r="S63" s="12">
        <f>IF($D63="","",IFERROR(IF(INDEX(Profile!$H$5:$H$304,MATCH($D63,lst_Profil,0))&lt;&gt;"",INDEX(Profile!$H$5:$H$304,MATCH($D63,lst_Profil,0)),$H$5),$H$5))</f>
        <v/>
      </c>
      <c r="T63" s="16">
        <f>IF(OR(Q63="",NOT(ISNUMBER(R63)),NOT(ISNUMBER(S63))),"",Q63-R63-S63)</f>
        <v/>
      </c>
      <c r="U63" s="28">
        <f>IF(OR($D63="",$E63=""),"",IF(OR(N($AP63)&gt;0,COUNTIFS(Preise!$A$5:$A$304,$D63,Preise!$B$5:$B$304,$E63,Preise!$I$5:$I$304,"OK")&gt;0,N(INDEX(Werkstoffe!$G$5:$G$304,MATCH($E63,lst_Werkstoff,0)))&gt;0),"ja","nein"))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28">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Materialpreis",IF(AND($AQ63&lt;&gt;"",N($AR63)&gt;0,MOD($G63,$AR63)&lt;&gt;0),"WARNUNG: Stückzahl ist kein Vielfaches von Stück je Satz",IF($H63="","HINWEIS: Schneidweg fehlt",IF(V63="","HINWEIS: keine Schneiddaten",IF(AND($AF63&lt;&gt;"",$AG63=""),"HINWEIS: Gewinde-Vorschlag prüfen","OK")))))))))))))))</f>
        <v/>
      </c>
      <c r="X63" s="18">
        <f>IF(OR(O63="",$G63=""),"",O63*$G63)</f>
        <v/>
      </c>
      <c r="Y63" s="9" t="n"/>
      <c r="Z63" s="23" t="n"/>
      <c r="AA63" s="9" t="n"/>
      <c r="AB63" s="23" t="n"/>
      <c r="AC63" s="23" t="n"/>
      <c r="AD63" s="23" t="n"/>
      <c r="AE63" s="9" t="n"/>
      <c r="AF63" s="9" t="n"/>
      <c r="AG63" s="9" t="n"/>
      <c r="AH63" s="24" t="n"/>
      <c r="AI63" s="23" t="n"/>
      <c r="AJ63" s="24" t="n"/>
      <c r="AK63" s="23" t="n"/>
      <c r="AL63" s="24" t="n"/>
      <c r="AM63" s="23" t="n"/>
      <c r="AN63" s="28">
        <f>IF($D63="","",COUNTIFS(Stangenbelegung!$E$5:$E$10004,ROW()))</f>
        <v/>
      </c>
      <c r="AO63" s="28">
        <f>IF(OR($G63="",COUNTA(Stangenbelegung!$A$5:$A$10004)=0),"",$G63-AN63)</f>
        <v/>
      </c>
      <c r="AP63" s="29" t="n"/>
      <c r="AQ63" s="9" t="n"/>
      <c r="AR63" s="19" t="n"/>
    </row>
    <row r="64">
      <c r="A64" s="9" t="n"/>
      <c r="B64" s="9" t="n"/>
      <c r="C64" s="9" t="n"/>
      <c r="D64" s="9" t="n"/>
      <c r="E64" s="9" t="n"/>
      <c r="F64" s="23" t="n"/>
      <c r="G64" s="19" t="n"/>
      <c r="H64" s="23" t="n"/>
      <c r="I64" s="24" t="n"/>
      <c r="J64" s="19" t="n"/>
      <c r="K64" s="25">
        <f>IF($D64="","",IFERROR(INDEX(Profile!$B$5:$B$304,MATCH($D64,lst_Profil,0)),""))</f>
        <v/>
      </c>
      <c r="L64" s="13">
        <f>IF($D64="","",IFERROR(INDEX(Profile!$K$5:$K$304,MATCH($D64,lst_Profil,0))+0,""))</f>
        <v/>
      </c>
      <c r="M64" s="26">
        <f>IF($D64="","",IFERROR(INDEX(Profile!$E$5:$E$304,MATCH($D64,lst_Profil,0))+0,""))</f>
        <v/>
      </c>
      <c r="N64" s="27">
        <f>IF(OR(L64="",$E64=""),"",IFERROR(L64*INDEX(Werkstoffe!$E$5:$E$304,MATCH($E64,lst_Werkstoff,0))/1000,""))</f>
        <v/>
      </c>
      <c r="O64" s="27">
        <f>IF(OR(N64="",$F64=""),"",N64*$F64/1000)</f>
        <v/>
      </c>
      <c r="P64" s="16">
        <f>IF(OR($F64="",$G64=""),"",$F64*$G64)</f>
        <v/>
      </c>
      <c r="Q64" s="16">
        <f>IF($D64="","",IF($J64&lt;&gt;"",$J64,$C$9))</f>
        <v/>
      </c>
      <c r="R64" s="12">
        <f>IF($D64="","",IFERROR(IF(INDEX(Profile!$G$5:$G$304,MATCH($D64,lst_Profil,0))&lt;&gt;"",INDEX(Profile!$G$5:$G$304,MATCH($D64,lst_Profil,0)),$H$4),$H$4))</f>
        <v/>
      </c>
      <c r="S64" s="12">
        <f>IF($D64="","",IFERROR(IF(INDEX(Profile!$H$5:$H$304,MATCH($D64,lst_Profil,0))&lt;&gt;"",INDEX(Profile!$H$5:$H$304,MATCH($D64,lst_Profil,0)),$H$5),$H$5))</f>
        <v/>
      </c>
      <c r="T64" s="16">
        <f>IF(OR(Q64="",NOT(ISNUMBER(R64)),NOT(ISNUMBER(S64))),"",Q64-R64-S64)</f>
        <v/>
      </c>
      <c r="U64" s="28">
        <f>IF(OR($D64="",$E64=""),"",IF(OR(N($AP64)&gt;0,COUNTIFS(Preise!$A$5:$A$304,$D64,Preise!$B$5:$B$304,$E64,Preise!$I$5:$I$304,"OK")&gt;0,N(INDEX(Werkstoffe!$G$5:$G$304,MATCH($E64,lst_Werkstoff,0)))&gt;0),"ja","nein"))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28">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Materialpreis",IF(AND($AQ64&lt;&gt;"",N($AR64)&gt;0,MOD($G64,$AR64)&lt;&gt;0),"WARNUNG: Stückzahl ist kein Vielfaches von Stück je Satz",IF($H64="","HINWEIS: Schneidweg fehlt",IF(V64="","HINWEIS: keine Schneiddaten",IF(AND($AF64&lt;&gt;"",$AG64=""),"HINWEIS: Gewinde-Vorschlag prüfen","OK")))))))))))))))</f>
        <v/>
      </c>
      <c r="X64" s="18">
        <f>IF(OR(O64="",$G64=""),"",O64*$G64)</f>
        <v/>
      </c>
      <c r="Y64" s="9" t="n"/>
      <c r="Z64" s="23" t="n"/>
      <c r="AA64" s="9" t="n"/>
      <c r="AB64" s="23" t="n"/>
      <c r="AC64" s="23" t="n"/>
      <c r="AD64" s="23" t="n"/>
      <c r="AE64" s="9" t="n"/>
      <c r="AF64" s="9" t="n"/>
      <c r="AG64" s="9" t="n"/>
      <c r="AH64" s="24" t="n"/>
      <c r="AI64" s="23" t="n"/>
      <c r="AJ64" s="24" t="n"/>
      <c r="AK64" s="23" t="n"/>
      <c r="AL64" s="24" t="n"/>
      <c r="AM64" s="23" t="n"/>
      <c r="AN64" s="28">
        <f>IF($D64="","",COUNTIFS(Stangenbelegung!$E$5:$E$10004,ROW()))</f>
        <v/>
      </c>
      <c r="AO64" s="28">
        <f>IF(OR($G64="",COUNTA(Stangenbelegung!$A$5:$A$10004)=0),"",$G64-AN64)</f>
        <v/>
      </c>
      <c r="AP64" s="29" t="n"/>
      <c r="AQ64" s="9" t="n"/>
      <c r="AR64" s="19" t="n"/>
    </row>
    <row r="65">
      <c r="A65" s="9" t="n"/>
      <c r="B65" s="9" t="n"/>
      <c r="C65" s="9" t="n"/>
      <c r="D65" s="9" t="n"/>
      <c r="E65" s="9" t="n"/>
      <c r="F65" s="23" t="n"/>
      <c r="G65" s="19" t="n"/>
      <c r="H65" s="23" t="n"/>
      <c r="I65" s="24" t="n"/>
      <c r="J65" s="19" t="n"/>
      <c r="K65" s="25">
        <f>IF($D65="","",IFERROR(INDEX(Profile!$B$5:$B$304,MATCH($D65,lst_Profil,0)),""))</f>
        <v/>
      </c>
      <c r="L65" s="13">
        <f>IF($D65="","",IFERROR(INDEX(Profile!$K$5:$K$304,MATCH($D65,lst_Profil,0))+0,""))</f>
        <v/>
      </c>
      <c r="M65" s="26">
        <f>IF($D65="","",IFERROR(INDEX(Profile!$E$5:$E$304,MATCH($D65,lst_Profil,0))+0,""))</f>
        <v/>
      </c>
      <c r="N65" s="27">
        <f>IF(OR(L65="",$E65=""),"",IFERROR(L65*INDEX(Werkstoffe!$E$5:$E$304,MATCH($E65,lst_Werkstoff,0))/1000,""))</f>
        <v/>
      </c>
      <c r="O65" s="27">
        <f>IF(OR(N65="",$F65=""),"",N65*$F65/1000)</f>
        <v/>
      </c>
      <c r="P65" s="16">
        <f>IF(OR($F65="",$G65=""),"",$F65*$G65)</f>
        <v/>
      </c>
      <c r="Q65" s="16">
        <f>IF($D65="","",IF($J65&lt;&gt;"",$J65,$C$9))</f>
        <v/>
      </c>
      <c r="R65" s="12">
        <f>IF($D65="","",IFERROR(IF(INDEX(Profile!$G$5:$G$304,MATCH($D65,lst_Profil,0))&lt;&gt;"",INDEX(Profile!$G$5:$G$304,MATCH($D65,lst_Profil,0)),$H$4),$H$4))</f>
        <v/>
      </c>
      <c r="S65" s="12">
        <f>IF($D65="","",IFERROR(IF(INDEX(Profile!$H$5:$H$304,MATCH($D65,lst_Profil,0))&lt;&gt;"",INDEX(Profile!$H$5:$H$304,MATCH($D65,lst_Profil,0)),$H$5),$H$5))</f>
        <v/>
      </c>
      <c r="T65" s="16">
        <f>IF(OR(Q65="",NOT(ISNUMBER(R65)),NOT(ISNUMBER(S65))),"",Q65-R65-S65)</f>
        <v/>
      </c>
      <c r="U65" s="28">
        <f>IF(OR($D65="",$E65=""),"",IF(OR(N($AP65)&gt;0,COUNTIFS(Preise!$A$5:$A$304,$D65,Preise!$B$5:$B$304,$E65,Preise!$I$5:$I$304,"OK")&gt;0,N(INDEX(Werkstoffe!$G$5:$G$304,MATCH($E65,lst_Werkstoff,0)))&gt;0),"ja","nein"))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28">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Materialpreis",IF(AND($AQ65&lt;&gt;"",N($AR65)&gt;0,MOD($G65,$AR65)&lt;&gt;0),"WARNUNG: Stückzahl ist kein Vielfaches von Stück je Satz",IF($H65="","HINWEIS: Schneidweg fehlt",IF(V65="","HINWEIS: keine Schneiddaten",IF(AND($AF65&lt;&gt;"",$AG65=""),"HINWEIS: Gewinde-Vorschlag prüfen","OK")))))))))))))))</f>
        <v/>
      </c>
      <c r="X65" s="18">
        <f>IF(OR(O65="",$G65=""),"",O65*$G65)</f>
        <v/>
      </c>
      <c r="Y65" s="9" t="n"/>
      <c r="Z65" s="23" t="n"/>
      <c r="AA65" s="9" t="n"/>
      <c r="AB65" s="23" t="n"/>
      <c r="AC65" s="23" t="n"/>
      <c r="AD65" s="23" t="n"/>
      <c r="AE65" s="9" t="n"/>
      <c r="AF65" s="9" t="n"/>
      <c r="AG65" s="9" t="n"/>
      <c r="AH65" s="24" t="n"/>
      <c r="AI65" s="23" t="n"/>
      <c r="AJ65" s="24" t="n"/>
      <c r="AK65" s="23" t="n"/>
      <c r="AL65" s="24" t="n"/>
      <c r="AM65" s="23" t="n"/>
      <c r="AN65" s="28">
        <f>IF($D65="","",COUNTIFS(Stangenbelegung!$E$5:$E$10004,ROW()))</f>
        <v/>
      </c>
      <c r="AO65" s="28">
        <f>IF(OR($G65="",COUNTA(Stangenbelegung!$A$5:$A$10004)=0),"",$G65-AN65)</f>
        <v/>
      </c>
      <c r="AP65" s="29" t="n"/>
      <c r="AQ65" s="9" t="n"/>
      <c r="AR65" s="19" t="n"/>
    </row>
    <row r="66">
      <c r="A66" s="9" t="n"/>
      <c r="B66" s="9" t="n"/>
      <c r="C66" s="9" t="n"/>
      <c r="D66" s="9" t="n"/>
      <c r="E66" s="9" t="n"/>
      <c r="F66" s="23" t="n"/>
      <c r="G66" s="19" t="n"/>
      <c r="H66" s="23" t="n"/>
      <c r="I66" s="24" t="n"/>
      <c r="J66" s="19" t="n"/>
      <c r="K66" s="25">
        <f>IF($D66="","",IFERROR(INDEX(Profile!$B$5:$B$304,MATCH($D66,lst_Profil,0)),""))</f>
        <v/>
      </c>
      <c r="L66" s="13">
        <f>IF($D66="","",IFERROR(INDEX(Profile!$K$5:$K$304,MATCH($D66,lst_Profil,0))+0,""))</f>
        <v/>
      </c>
      <c r="M66" s="26">
        <f>IF($D66="","",IFERROR(INDEX(Profile!$E$5:$E$304,MATCH($D66,lst_Profil,0))+0,""))</f>
        <v/>
      </c>
      <c r="N66" s="27">
        <f>IF(OR(L66="",$E66=""),"",IFERROR(L66*INDEX(Werkstoffe!$E$5:$E$304,MATCH($E66,lst_Werkstoff,0))/1000,""))</f>
        <v/>
      </c>
      <c r="O66" s="27">
        <f>IF(OR(N66="",$F66=""),"",N66*$F66/1000)</f>
        <v/>
      </c>
      <c r="P66" s="16">
        <f>IF(OR($F66="",$G66=""),"",$F66*$G66)</f>
        <v/>
      </c>
      <c r="Q66" s="16">
        <f>IF($D66="","",IF($J66&lt;&gt;"",$J66,$C$9))</f>
        <v/>
      </c>
      <c r="R66" s="12">
        <f>IF($D66="","",IFERROR(IF(INDEX(Profile!$G$5:$G$304,MATCH($D66,lst_Profil,0))&lt;&gt;"",INDEX(Profile!$G$5:$G$304,MATCH($D66,lst_Profil,0)),$H$4),$H$4))</f>
        <v/>
      </c>
      <c r="S66" s="12">
        <f>IF($D66="","",IFERROR(IF(INDEX(Profile!$H$5:$H$304,MATCH($D66,lst_Profil,0))&lt;&gt;"",INDEX(Profile!$H$5:$H$304,MATCH($D66,lst_Profil,0)),$H$5),$H$5))</f>
        <v/>
      </c>
      <c r="T66" s="16">
        <f>IF(OR(Q66="",NOT(ISNUMBER(R66)),NOT(ISNUMBER(S66))),"",Q66-R66-S66)</f>
        <v/>
      </c>
      <c r="U66" s="28">
        <f>IF(OR($D66="",$E66=""),"",IF(OR(N($AP66)&gt;0,COUNTIFS(Preise!$A$5:$A$304,$D66,Preise!$B$5:$B$304,$E66,Preise!$I$5:$I$304,"OK")&gt;0,N(INDEX(Werkstoffe!$G$5:$G$304,MATCH($E66,lst_Werkstoff,0)))&gt;0),"ja","nein"))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28">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Materialpreis",IF(AND($AQ66&lt;&gt;"",N($AR66)&gt;0,MOD($G66,$AR66)&lt;&gt;0),"WARNUNG: Stückzahl ist kein Vielfaches von Stück je Satz",IF($H66="","HINWEIS: Schneidweg fehlt",IF(V66="","HINWEIS: keine Schneiddaten",IF(AND($AF66&lt;&gt;"",$AG66=""),"HINWEIS: Gewinde-Vorschlag prüfen","OK")))))))))))))))</f>
        <v/>
      </c>
      <c r="X66" s="18">
        <f>IF(OR(O66="",$G66=""),"",O66*$G66)</f>
        <v/>
      </c>
      <c r="Y66" s="9" t="n"/>
      <c r="Z66" s="23" t="n"/>
      <c r="AA66" s="9" t="n"/>
      <c r="AB66" s="23" t="n"/>
      <c r="AC66" s="23" t="n"/>
      <c r="AD66" s="23" t="n"/>
      <c r="AE66" s="9" t="n"/>
      <c r="AF66" s="9" t="n"/>
      <c r="AG66" s="9" t="n"/>
      <c r="AH66" s="24" t="n"/>
      <c r="AI66" s="23" t="n"/>
      <c r="AJ66" s="24" t="n"/>
      <c r="AK66" s="23" t="n"/>
      <c r="AL66" s="24" t="n"/>
      <c r="AM66" s="23" t="n"/>
      <c r="AN66" s="28">
        <f>IF($D66="","",COUNTIFS(Stangenbelegung!$E$5:$E$10004,ROW()))</f>
        <v/>
      </c>
      <c r="AO66" s="28">
        <f>IF(OR($G66="",COUNTA(Stangenbelegung!$A$5:$A$10004)=0),"",$G66-AN66)</f>
        <v/>
      </c>
      <c r="AP66" s="29" t="n"/>
      <c r="AQ66" s="9" t="n"/>
      <c r="AR66" s="19" t="n"/>
    </row>
    <row r="67">
      <c r="A67" s="9" t="n"/>
      <c r="B67" s="9" t="n"/>
      <c r="C67" s="9" t="n"/>
      <c r="D67" s="9" t="n"/>
      <c r="E67" s="9" t="n"/>
      <c r="F67" s="23" t="n"/>
      <c r="G67" s="19" t="n"/>
      <c r="H67" s="23" t="n"/>
      <c r="I67" s="24" t="n"/>
      <c r="J67" s="19" t="n"/>
      <c r="K67" s="25">
        <f>IF($D67="","",IFERROR(INDEX(Profile!$B$5:$B$304,MATCH($D67,lst_Profil,0)),""))</f>
        <v/>
      </c>
      <c r="L67" s="13">
        <f>IF($D67="","",IFERROR(INDEX(Profile!$K$5:$K$304,MATCH($D67,lst_Profil,0))+0,""))</f>
        <v/>
      </c>
      <c r="M67" s="26">
        <f>IF($D67="","",IFERROR(INDEX(Profile!$E$5:$E$304,MATCH($D67,lst_Profil,0))+0,""))</f>
        <v/>
      </c>
      <c r="N67" s="27">
        <f>IF(OR(L67="",$E67=""),"",IFERROR(L67*INDEX(Werkstoffe!$E$5:$E$304,MATCH($E67,lst_Werkstoff,0))/1000,""))</f>
        <v/>
      </c>
      <c r="O67" s="27">
        <f>IF(OR(N67="",$F67=""),"",N67*$F67/1000)</f>
        <v/>
      </c>
      <c r="P67" s="16">
        <f>IF(OR($F67="",$G67=""),"",$F67*$G67)</f>
        <v/>
      </c>
      <c r="Q67" s="16">
        <f>IF($D67="","",IF($J67&lt;&gt;"",$J67,$C$9))</f>
        <v/>
      </c>
      <c r="R67" s="12">
        <f>IF($D67="","",IFERROR(IF(INDEX(Profile!$G$5:$G$304,MATCH($D67,lst_Profil,0))&lt;&gt;"",INDEX(Profile!$G$5:$G$304,MATCH($D67,lst_Profil,0)),$H$4),$H$4))</f>
        <v/>
      </c>
      <c r="S67" s="12">
        <f>IF($D67="","",IFERROR(IF(INDEX(Profile!$H$5:$H$304,MATCH($D67,lst_Profil,0))&lt;&gt;"",INDEX(Profile!$H$5:$H$304,MATCH($D67,lst_Profil,0)),$H$5),$H$5))</f>
        <v/>
      </c>
      <c r="T67" s="16">
        <f>IF(OR(Q67="",NOT(ISNUMBER(R67)),NOT(ISNUMBER(S67))),"",Q67-R67-S67)</f>
        <v/>
      </c>
      <c r="U67" s="28">
        <f>IF(OR($D67="",$E67=""),"",IF(OR(N($AP67)&gt;0,COUNTIFS(Preise!$A$5:$A$304,$D67,Preise!$B$5:$B$304,$E67,Preise!$I$5:$I$304,"OK")&gt;0,N(INDEX(Werkstoffe!$G$5:$G$304,MATCH($E67,lst_Werkstoff,0)))&gt;0),"ja","nein"))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28">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Materialpreis",IF(AND($AQ67&lt;&gt;"",N($AR67)&gt;0,MOD($G67,$AR67)&lt;&gt;0),"WARNUNG: Stückzahl ist kein Vielfaches von Stück je Satz",IF($H67="","HINWEIS: Schneidweg fehlt",IF(V67="","HINWEIS: keine Schneiddaten",IF(AND($AF67&lt;&gt;"",$AG67=""),"HINWEIS: Gewinde-Vorschlag prüfen","OK")))))))))))))))</f>
        <v/>
      </c>
      <c r="X67" s="18">
        <f>IF(OR(O67="",$G67=""),"",O67*$G67)</f>
        <v/>
      </c>
      <c r="Y67" s="9" t="n"/>
      <c r="Z67" s="23" t="n"/>
      <c r="AA67" s="9" t="n"/>
      <c r="AB67" s="23" t="n"/>
      <c r="AC67" s="23" t="n"/>
      <c r="AD67" s="23" t="n"/>
      <c r="AE67" s="9" t="n"/>
      <c r="AF67" s="9" t="n"/>
      <c r="AG67" s="9" t="n"/>
      <c r="AH67" s="24" t="n"/>
      <c r="AI67" s="23" t="n"/>
      <c r="AJ67" s="24" t="n"/>
      <c r="AK67" s="23" t="n"/>
      <c r="AL67" s="24" t="n"/>
      <c r="AM67" s="23" t="n"/>
      <c r="AN67" s="28">
        <f>IF($D67="","",COUNTIFS(Stangenbelegung!$E$5:$E$10004,ROW()))</f>
        <v/>
      </c>
      <c r="AO67" s="28">
        <f>IF(OR($G67="",COUNTA(Stangenbelegung!$A$5:$A$10004)=0),"",$G67-AN67)</f>
        <v/>
      </c>
      <c r="AP67" s="29" t="n"/>
      <c r="AQ67" s="9" t="n"/>
      <c r="AR67" s="19" t="n"/>
    </row>
    <row r="68">
      <c r="A68" s="9" t="n"/>
      <c r="B68" s="9" t="n"/>
      <c r="C68" s="9" t="n"/>
      <c r="D68" s="9" t="n"/>
      <c r="E68" s="9" t="n"/>
      <c r="F68" s="23" t="n"/>
      <c r="G68" s="19" t="n"/>
      <c r="H68" s="23" t="n"/>
      <c r="I68" s="24" t="n"/>
      <c r="J68" s="19" t="n"/>
      <c r="K68" s="25">
        <f>IF($D68="","",IFERROR(INDEX(Profile!$B$5:$B$304,MATCH($D68,lst_Profil,0)),""))</f>
        <v/>
      </c>
      <c r="L68" s="13">
        <f>IF($D68="","",IFERROR(INDEX(Profile!$K$5:$K$304,MATCH($D68,lst_Profil,0))+0,""))</f>
        <v/>
      </c>
      <c r="M68" s="26">
        <f>IF($D68="","",IFERROR(INDEX(Profile!$E$5:$E$304,MATCH($D68,lst_Profil,0))+0,""))</f>
        <v/>
      </c>
      <c r="N68" s="27">
        <f>IF(OR(L68="",$E68=""),"",IFERROR(L68*INDEX(Werkstoffe!$E$5:$E$304,MATCH($E68,lst_Werkstoff,0))/1000,""))</f>
        <v/>
      </c>
      <c r="O68" s="27">
        <f>IF(OR(N68="",$F68=""),"",N68*$F68/1000)</f>
        <v/>
      </c>
      <c r="P68" s="16">
        <f>IF(OR($F68="",$G68=""),"",$F68*$G68)</f>
        <v/>
      </c>
      <c r="Q68" s="16">
        <f>IF($D68="","",IF($J68&lt;&gt;"",$J68,$C$9))</f>
        <v/>
      </c>
      <c r="R68" s="12">
        <f>IF($D68="","",IFERROR(IF(INDEX(Profile!$G$5:$G$304,MATCH($D68,lst_Profil,0))&lt;&gt;"",INDEX(Profile!$G$5:$G$304,MATCH($D68,lst_Profil,0)),$H$4),$H$4))</f>
        <v/>
      </c>
      <c r="S68" s="12">
        <f>IF($D68="","",IFERROR(IF(INDEX(Profile!$H$5:$H$304,MATCH($D68,lst_Profil,0))&lt;&gt;"",INDEX(Profile!$H$5:$H$304,MATCH($D68,lst_Profil,0)),$H$5),$H$5))</f>
        <v/>
      </c>
      <c r="T68" s="16">
        <f>IF(OR(Q68="",NOT(ISNUMBER(R68)),NOT(ISNUMBER(S68))),"",Q68-R68-S68)</f>
        <v/>
      </c>
      <c r="U68" s="28">
        <f>IF(OR($D68="",$E68=""),"",IF(OR(N($AP68)&gt;0,COUNTIFS(Preise!$A$5:$A$304,$D68,Preise!$B$5:$B$304,$E68,Preise!$I$5:$I$304,"OK")&gt;0,N(INDEX(Werkstoffe!$G$5:$G$304,MATCH($E68,lst_Werkstoff,0)))&gt;0),"ja","nein"))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28">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Materialpreis",IF(AND($AQ68&lt;&gt;"",N($AR68)&gt;0,MOD($G68,$AR68)&lt;&gt;0),"WARNUNG: Stückzahl ist kein Vielfaches von Stück je Satz",IF($H68="","HINWEIS: Schneidweg fehlt",IF(V68="","HINWEIS: keine Schneiddaten",IF(AND($AF68&lt;&gt;"",$AG68=""),"HINWEIS: Gewinde-Vorschlag prüfen","OK")))))))))))))))</f>
        <v/>
      </c>
      <c r="X68" s="18">
        <f>IF(OR(O68="",$G68=""),"",O68*$G68)</f>
        <v/>
      </c>
      <c r="Y68" s="9" t="n"/>
      <c r="Z68" s="23" t="n"/>
      <c r="AA68" s="9" t="n"/>
      <c r="AB68" s="23" t="n"/>
      <c r="AC68" s="23" t="n"/>
      <c r="AD68" s="23" t="n"/>
      <c r="AE68" s="9" t="n"/>
      <c r="AF68" s="9" t="n"/>
      <c r="AG68" s="9" t="n"/>
      <c r="AH68" s="24" t="n"/>
      <c r="AI68" s="23" t="n"/>
      <c r="AJ68" s="24" t="n"/>
      <c r="AK68" s="23" t="n"/>
      <c r="AL68" s="24" t="n"/>
      <c r="AM68" s="23" t="n"/>
      <c r="AN68" s="28">
        <f>IF($D68="","",COUNTIFS(Stangenbelegung!$E$5:$E$10004,ROW()))</f>
        <v/>
      </c>
      <c r="AO68" s="28">
        <f>IF(OR($G68="",COUNTA(Stangenbelegung!$A$5:$A$10004)=0),"",$G68-AN68)</f>
        <v/>
      </c>
      <c r="AP68" s="29" t="n"/>
      <c r="AQ68" s="9" t="n"/>
      <c r="AR68" s="19" t="n"/>
    </row>
    <row r="69">
      <c r="A69" s="9" t="n"/>
      <c r="B69" s="9" t="n"/>
      <c r="C69" s="9" t="n"/>
      <c r="D69" s="9" t="n"/>
      <c r="E69" s="9" t="n"/>
      <c r="F69" s="23" t="n"/>
      <c r="G69" s="19" t="n"/>
      <c r="H69" s="23" t="n"/>
      <c r="I69" s="24" t="n"/>
      <c r="J69" s="19" t="n"/>
      <c r="K69" s="25">
        <f>IF($D69="","",IFERROR(INDEX(Profile!$B$5:$B$304,MATCH($D69,lst_Profil,0)),""))</f>
        <v/>
      </c>
      <c r="L69" s="13">
        <f>IF($D69="","",IFERROR(INDEX(Profile!$K$5:$K$304,MATCH($D69,lst_Profil,0))+0,""))</f>
        <v/>
      </c>
      <c r="M69" s="26">
        <f>IF($D69="","",IFERROR(INDEX(Profile!$E$5:$E$304,MATCH($D69,lst_Profil,0))+0,""))</f>
        <v/>
      </c>
      <c r="N69" s="27">
        <f>IF(OR(L69="",$E69=""),"",IFERROR(L69*INDEX(Werkstoffe!$E$5:$E$304,MATCH($E69,lst_Werkstoff,0))/1000,""))</f>
        <v/>
      </c>
      <c r="O69" s="27">
        <f>IF(OR(N69="",$F69=""),"",N69*$F69/1000)</f>
        <v/>
      </c>
      <c r="P69" s="16">
        <f>IF(OR($F69="",$G69=""),"",$F69*$G69)</f>
        <v/>
      </c>
      <c r="Q69" s="16">
        <f>IF($D69="","",IF($J69&lt;&gt;"",$J69,$C$9))</f>
        <v/>
      </c>
      <c r="R69" s="12">
        <f>IF($D69="","",IFERROR(IF(INDEX(Profile!$G$5:$G$304,MATCH($D69,lst_Profil,0))&lt;&gt;"",INDEX(Profile!$G$5:$G$304,MATCH($D69,lst_Profil,0)),$H$4),$H$4))</f>
        <v/>
      </c>
      <c r="S69" s="12">
        <f>IF($D69="","",IFERROR(IF(INDEX(Profile!$H$5:$H$304,MATCH($D69,lst_Profil,0))&lt;&gt;"",INDEX(Profile!$H$5:$H$304,MATCH($D69,lst_Profil,0)),$H$5),$H$5))</f>
        <v/>
      </c>
      <c r="T69" s="16">
        <f>IF(OR(Q69="",NOT(ISNUMBER(R69)),NOT(ISNUMBER(S69))),"",Q69-R69-S69)</f>
        <v/>
      </c>
      <c r="U69" s="28">
        <f>IF(OR($D69="",$E69=""),"",IF(OR(N($AP69)&gt;0,COUNTIFS(Preise!$A$5:$A$304,$D69,Preise!$B$5:$B$304,$E69,Preise!$I$5:$I$304,"OK")&gt;0,N(INDEX(Werkstoffe!$G$5:$G$304,MATCH($E69,lst_Werkstoff,0)))&gt;0),"ja","nein"))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28">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Materialpreis",IF(AND($AQ69&lt;&gt;"",N($AR69)&gt;0,MOD($G69,$AR69)&lt;&gt;0),"WARNUNG: Stückzahl ist kein Vielfaches von Stück je Satz",IF($H69="","HINWEIS: Schneidweg fehlt",IF(V69="","HINWEIS: keine Schneiddaten",IF(AND($AF69&lt;&gt;"",$AG69=""),"HINWEIS: Gewinde-Vorschlag prüfen","OK")))))))))))))))</f>
        <v/>
      </c>
      <c r="X69" s="18">
        <f>IF(OR(O69="",$G69=""),"",O69*$G69)</f>
        <v/>
      </c>
      <c r="Y69" s="9" t="n"/>
      <c r="Z69" s="23" t="n"/>
      <c r="AA69" s="9" t="n"/>
      <c r="AB69" s="23" t="n"/>
      <c r="AC69" s="23" t="n"/>
      <c r="AD69" s="23" t="n"/>
      <c r="AE69" s="9" t="n"/>
      <c r="AF69" s="9" t="n"/>
      <c r="AG69" s="9" t="n"/>
      <c r="AH69" s="24" t="n"/>
      <c r="AI69" s="23" t="n"/>
      <c r="AJ69" s="24" t="n"/>
      <c r="AK69" s="23" t="n"/>
      <c r="AL69" s="24" t="n"/>
      <c r="AM69" s="23" t="n"/>
      <c r="AN69" s="28">
        <f>IF($D69="","",COUNTIFS(Stangenbelegung!$E$5:$E$10004,ROW()))</f>
        <v/>
      </c>
      <c r="AO69" s="28">
        <f>IF(OR($G69="",COUNTA(Stangenbelegung!$A$5:$A$10004)=0),"",$G69-AN69)</f>
        <v/>
      </c>
      <c r="AP69" s="29" t="n"/>
      <c r="AQ69" s="9" t="n"/>
      <c r="AR69" s="19" t="n"/>
    </row>
    <row r="70">
      <c r="A70" s="9" t="n"/>
      <c r="B70" s="9" t="n"/>
      <c r="C70" s="9" t="n"/>
      <c r="D70" s="9" t="n"/>
      <c r="E70" s="9" t="n"/>
      <c r="F70" s="23" t="n"/>
      <c r="G70" s="19" t="n"/>
      <c r="H70" s="23" t="n"/>
      <c r="I70" s="24" t="n"/>
      <c r="J70" s="19" t="n"/>
      <c r="K70" s="25">
        <f>IF($D70="","",IFERROR(INDEX(Profile!$B$5:$B$304,MATCH($D70,lst_Profil,0)),""))</f>
        <v/>
      </c>
      <c r="L70" s="13">
        <f>IF($D70="","",IFERROR(INDEX(Profile!$K$5:$K$304,MATCH($D70,lst_Profil,0))+0,""))</f>
        <v/>
      </c>
      <c r="M70" s="26">
        <f>IF($D70="","",IFERROR(INDEX(Profile!$E$5:$E$304,MATCH($D70,lst_Profil,0))+0,""))</f>
        <v/>
      </c>
      <c r="N70" s="27">
        <f>IF(OR(L70="",$E70=""),"",IFERROR(L70*INDEX(Werkstoffe!$E$5:$E$304,MATCH($E70,lst_Werkstoff,0))/1000,""))</f>
        <v/>
      </c>
      <c r="O70" s="27">
        <f>IF(OR(N70="",$F70=""),"",N70*$F70/1000)</f>
        <v/>
      </c>
      <c r="P70" s="16">
        <f>IF(OR($F70="",$G70=""),"",$F70*$G70)</f>
        <v/>
      </c>
      <c r="Q70" s="16">
        <f>IF($D70="","",IF($J70&lt;&gt;"",$J70,$C$9))</f>
        <v/>
      </c>
      <c r="R70" s="12">
        <f>IF($D70="","",IFERROR(IF(INDEX(Profile!$G$5:$G$304,MATCH($D70,lst_Profil,0))&lt;&gt;"",INDEX(Profile!$G$5:$G$304,MATCH($D70,lst_Profil,0)),$H$4),$H$4))</f>
        <v/>
      </c>
      <c r="S70" s="12">
        <f>IF($D70="","",IFERROR(IF(INDEX(Profile!$H$5:$H$304,MATCH($D70,lst_Profil,0))&lt;&gt;"",INDEX(Profile!$H$5:$H$304,MATCH($D70,lst_Profil,0)),$H$5),$H$5))</f>
        <v/>
      </c>
      <c r="T70" s="16">
        <f>IF(OR(Q70="",NOT(ISNUMBER(R70)),NOT(ISNUMBER(S70))),"",Q70-R70-S70)</f>
        <v/>
      </c>
      <c r="U70" s="28">
        <f>IF(OR($D70="",$E70=""),"",IF(OR(N($AP70)&gt;0,COUNTIFS(Preise!$A$5:$A$304,$D70,Preise!$B$5:$B$304,$E70,Preise!$I$5:$I$304,"OK")&gt;0,N(INDEX(Werkstoffe!$G$5:$G$304,MATCH($E70,lst_Werkstoff,0)))&gt;0),"ja","nein"))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28">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Materialpreis",IF(AND($AQ70&lt;&gt;"",N($AR70)&gt;0,MOD($G70,$AR70)&lt;&gt;0),"WARNUNG: Stückzahl ist kein Vielfaches von Stück je Satz",IF($H70="","HINWEIS: Schneidweg fehlt",IF(V70="","HINWEIS: keine Schneiddaten",IF(AND($AF70&lt;&gt;"",$AG70=""),"HINWEIS: Gewinde-Vorschlag prüfen","OK")))))))))))))))</f>
        <v/>
      </c>
      <c r="X70" s="18">
        <f>IF(OR(O70="",$G70=""),"",O70*$G70)</f>
        <v/>
      </c>
      <c r="Y70" s="9" t="n"/>
      <c r="Z70" s="23" t="n"/>
      <c r="AA70" s="9" t="n"/>
      <c r="AB70" s="23" t="n"/>
      <c r="AC70" s="23" t="n"/>
      <c r="AD70" s="23" t="n"/>
      <c r="AE70" s="9" t="n"/>
      <c r="AF70" s="9" t="n"/>
      <c r="AG70" s="9" t="n"/>
      <c r="AH70" s="24" t="n"/>
      <c r="AI70" s="23" t="n"/>
      <c r="AJ70" s="24" t="n"/>
      <c r="AK70" s="23" t="n"/>
      <c r="AL70" s="24" t="n"/>
      <c r="AM70" s="23" t="n"/>
      <c r="AN70" s="28">
        <f>IF($D70="","",COUNTIFS(Stangenbelegung!$E$5:$E$10004,ROW()))</f>
        <v/>
      </c>
      <c r="AO70" s="28">
        <f>IF(OR($G70="",COUNTA(Stangenbelegung!$A$5:$A$10004)=0),"",$G70-AN70)</f>
        <v/>
      </c>
      <c r="AP70" s="29" t="n"/>
      <c r="AQ70" s="9" t="n"/>
      <c r="AR70" s="19" t="n"/>
    </row>
    <row r="71">
      <c r="A71" s="9" t="n"/>
      <c r="B71" s="9" t="n"/>
      <c r="C71" s="9" t="n"/>
      <c r="D71" s="9" t="n"/>
      <c r="E71" s="9" t="n"/>
      <c r="F71" s="23" t="n"/>
      <c r="G71" s="19" t="n"/>
      <c r="H71" s="23" t="n"/>
      <c r="I71" s="24" t="n"/>
      <c r="J71" s="19" t="n"/>
      <c r="K71" s="25">
        <f>IF($D71="","",IFERROR(INDEX(Profile!$B$5:$B$304,MATCH($D71,lst_Profil,0)),""))</f>
        <v/>
      </c>
      <c r="L71" s="13">
        <f>IF($D71="","",IFERROR(INDEX(Profile!$K$5:$K$304,MATCH($D71,lst_Profil,0))+0,""))</f>
        <v/>
      </c>
      <c r="M71" s="26">
        <f>IF($D71="","",IFERROR(INDEX(Profile!$E$5:$E$304,MATCH($D71,lst_Profil,0))+0,""))</f>
        <v/>
      </c>
      <c r="N71" s="27">
        <f>IF(OR(L71="",$E71=""),"",IFERROR(L71*INDEX(Werkstoffe!$E$5:$E$304,MATCH($E71,lst_Werkstoff,0))/1000,""))</f>
        <v/>
      </c>
      <c r="O71" s="27">
        <f>IF(OR(N71="",$F71=""),"",N71*$F71/1000)</f>
        <v/>
      </c>
      <c r="P71" s="16">
        <f>IF(OR($F71="",$G71=""),"",$F71*$G71)</f>
        <v/>
      </c>
      <c r="Q71" s="16">
        <f>IF($D71="","",IF($J71&lt;&gt;"",$J71,$C$9))</f>
        <v/>
      </c>
      <c r="R71" s="12">
        <f>IF($D71="","",IFERROR(IF(INDEX(Profile!$G$5:$G$304,MATCH($D71,lst_Profil,0))&lt;&gt;"",INDEX(Profile!$G$5:$G$304,MATCH($D71,lst_Profil,0)),$H$4),$H$4))</f>
        <v/>
      </c>
      <c r="S71" s="12">
        <f>IF($D71="","",IFERROR(IF(INDEX(Profile!$H$5:$H$304,MATCH($D71,lst_Profil,0))&lt;&gt;"",INDEX(Profile!$H$5:$H$304,MATCH($D71,lst_Profil,0)),$H$5),$H$5))</f>
        <v/>
      </c>
      <c r="T71" s="16">
        <f>IF(OR(Q71="",NOT(ISNUMBER(R71)),NOT(ISNUMBER(S71))),"",Q71-R71-S71)</f>
        <v/>
      </c>
      <c r="U71" s="28">
        <f>IF(OR($D71="",$E71=""),"",IF(OR(N($AP71)&gt;0,COUNTIFS(Preise!$A$5:$A$304,$D71,Preise!$B$5:$B$304,$E71,Preise!$I$5:$I$304,"OK")&gt;0,N(INDEX(Werkstoffe!$G$5:$G$304,MATCH($E71,lst_Werkstoff,0)))&gt;0),"ja","nein"))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28">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Materialpreis",IF(AND($AQ71&lt;&gt;"",N($AR71)&gt;0,MOD($G71,$AR71)&lt;&gt;0),"WARNUNG: Stückzahl ist kein Vielfaches von Stück je Satz",IF($H71="","HINWEIS: Schneidweg fehlt",IF(V71="","HINWEIS: keine Schneiddaten",IF(AND($AF71&lt;&gt;"",$AG71=""),"HINWEIS: Gewinde-Vorschlag prüfen","OK")))))))))))))))</f>
        <v/>
      </c>
      <c r="X71" s="18">
        <f>IF(OR(O71="",$G71=""),"",O71*$G71)</f>
        <v/>
      </c>
      <c r="Y71" s="9" t="n"/>
      <c r="Z71" s="23" t="n"/>
      <c r="AA71" s="9" t="n"/>
      <c r="AB71" s="23" t="n"/>
      <c r="AC71" s="23" t="n"/>
      <c r="AD71" s="23" t="n"/>
      <c r="AE71" s="9" t="n"/>
      <c r="AF71" s="9" t="n"/>
      <c r="AG71" s="9" t="n"/>
      <c r="AH71" s="24" t="n"/>
      <c r="AI71" s="23" t="n"/>
      <c r="AJ71" s="24" t="n"/>
      <c r="AK71" s="23" t="n"/>
      <c r="AL71" s="24" t="n"/>
      <c r="AM71" s="23" t="n"/>
      <c r="AN71" s="28">
        <f>IF($D71="","",COUNTIFS(Stangenbelegung!$E$5:$E$10004,ROW()))</f>
        <v/>
      </c>
      <c r="AO71" s="28">
        <f>IF(OR($G71="",COUNTA(Stangenbelegung!$A$5:$A$10004)=0),"",$G71-AN71)</f>
        <v/>
      </c>
      <c r="AP71" s="29" t="n"/>
      <c r="AQ71" s="9" t="n"/>
      <c r="AR71" s="19" t="n"/>
    </row>
    <row r="72">
      <c r="A72" s="9" t="n"/>
      <c r="B72" s="9" t="n"/>
      <c r="C72" s="9" t="n"/>
      <c r="D72" s="9" t="n"/>
      <c r="E72" s="9" t="n"/>
      <c r="F72" s="23" t="n"/>
      <c r="G72" s="19" t="n"/>
      <c r="H72" s="23" t="n"/>
      <c r="I72" s="24" t="n"/>
      <c r="J72" s="19" t="n"/>
      <c r="K72" s="25">
        <f>IF($D72="","",IFERROR(INDEX(Profile!$B$5:$B$304,MATCH($D72,lst_Profil,0)),""))</f>
        <v/>
      </c>
      <c r="L72" s="13">
        <f>IF($D72="","",IFERROR(INDEX(Profile!$K$5:$K$304,MATCH($D72,lst_Profil,0))+0,""))</f>
        <v/>
      </c>
      <c r="M72" s="26">
        <f>IF($D72="","",IFERROR(INDEX(Profile!$E$5:$E$304,MATCH($D72,lst_Profil,0))+0,""))</f>
        <v/>
      </c>
      <c r="N72" s="27">
        <f>IF(OR(L72="",$E72=""),"",IFERROR(L72*INDEX(Werkstoffe!$E$5:$E$304,MATCH($E72,lst_Werkstoff,0))/1000,""))</f>
        <v/>
      </c>
      <c r="O72" s="27">
        <f>IF(OR(N72="",$F72=""),"",N72*$F72/1000)</f>
        <v/>
      </c>
      <c r="P72" s="16">
        <f>IF(OR($F72="",$G72=""),"",$F72*$G72)</f>
        <v/>
      </c>
      <c r="Q72" s="16">
        <f>IF($D72="","",IF($J72&lt;&gt;"",$J72,$C$9))</f>
        <v/>
      </c>
      <c r="R72" s="12">
        <f>IF($D72="","",IFERROR(IF(INDEX(Profile!$G$5:$G$304,MATCH($D72,lst_Profil,0))&lt;&gt;"",INDEX(Profile!$G$5:$G$304,MATCH($D72,lst_Profil,0)),$H$4),$H$4))</f>
        <v/>
      </c>
      <c r="S72" s="12">
        <f>IF($D72="","",IFERROR(IF(INDEX(Profile!$H$5:$H$304,MATCH($D72,lst_Profil,0))&lt;&gt;"",INDEX(Profile!$H$5:$H$304,MATCH($D72,lst_Profil,0)),$H$5),$H$5))</f>
        <v/>
      </c>
      <c r="T72" s="16">
        <f>IF(OR(Q72="",NOT(ISNUMBER(R72)),NOT(ISNUMBER(S72))),"",Q72-R72-S72)</f>
        <v/>
      </c>
      <c r="U72" s="28">
        <f>IF(OR($D72="",$E72=""),"",IF(OR(N($AP72)&gt;0,COUNTIFS(Preise!$A$5:$A$304,$D72,Preise!$B$5:$B$304,$E72,Preise!$I$5:$I$304,"OK")&gt;0,N(INDEX(Werkstoffe!$G$5:$G$304,MATCH($E72,lst_Werkstoff,0)))&gt;0),"ja","nein"))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28">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Materialpreis",IF(AND($AQ72&lt;&gt;"",N($AR72)&gt;0,MOD($G72,$AR72)&lt;&gt;0),"WARNUNG: Stückzahl ist kein Vielfaches von Stück je Satz",IF($H72="","HINWEIS: Schneidweg fehlt",IF(V72="","HINWEIS: keine Schneiddaten",IF(AND($AF72&lt;&gt;"",$AG72=""),"HINWEIS: Gewinde-Vorschlag prüfen","OK")))))))))))))))</f>
        <v/>
      </c>
      <c r="X72" s="18">
        <f>IF(OR(O72="",$G72=""),"",O72*$G72)</f>
        <v/>
      </c>
      <c r="Y72" s="9" t="n"/>
      <c r="Z72" s="23" t="n"/>
      <c r="AA72" s="9" t="n"/>
      <c r="AB72" s="23" t="n"/>
      <c r="AC72" s="23" t="n"/>
      <c r="AD72" s="23" t="n"/>
      <c r="AE72" s="9" t="n"/>
      <c r="AF72" s="9" t="n"/>
      <c r="AG72" s="9" t="n"/>
      <c r="AH72" s="24" t="n"/>
      <c r="AI72" s="23" t="n"/>
      <c r="AJ72" s="24" t="n"/>
      <c r="AK72" s="23" t="n"/>
      <c r="AL72" s="24" t="n"/>
      <c r="AM72" s="23" t="n"/>
      <c r="AN72" s="28">
        <f>IF($D72="","",COUNTIFS(Stangenbelegung!$E$5:$E$10004,ROW()))</f>
        <v/>
      </c>
      <c r="AO72" s="28">
        <f>IF(OR($G72="",COUNTA(Stangenbelegung!$A$5:$A$10004)=0),"",$G72-AN72)</f>
        <v/>
      </c>
      <c r="AP72" s="29" t="n"/>
      <c r="AQ72" s="9" t="n"/>
      <c r="AR72" s="19" t="n"/>
    </row>
    <row r="73">
      <c r="A73" s="9" t="n"/>
      <c r="B73" s="9" t="n"/>
      <c r="C73" s="9" t="n"/>
      <c r="D73" s="9" t="n"/>
      <c r="E73" s="9" t="n"/>
      <c r="F73" s="23" t="n"/>
      <c r="G73" s="19" t="n"/>
      <c r="H73" s="23" t="n"/>
      <c r="I73" s="24" t="n"/>
      <c r="J73" s="19" t="n"/>
      <c r="K73" s="25">
        <f>IF($D73="","",IFERROR(INDEX(Profile!$B$5:$B$304,MATCH($D73,lst_Profil,0)),""))</f>
        <v/>
      </c>
      <c r="L73" s="13">
        <f>IF($D73="","",IFERROR(INDEX(Profile!$K$5:$K$304,MATCH($D73,lst_Profil,0))+0,""))</f>
        <v/>
      </c>
      <c r="M73" s="26">
        <f>IF($D73="","",IFERROR(INDEX(Profile!$E$5:$E$304,MATCH($D73,lst_Profil,0))+0,""))</f>
        <v/>
      </c>
      <c r="N73" s="27">
        <f>IF(OR(L73="",$E73=""),"",IFERROR(L73*INDEX(Werkstoffe!$E$5:$E$304,MATCH($E73,lst_Werkstoff,0))/1000,""))</f>
        <v/>
      </c>
      <c r="O73" s="27">
        <f>IF(OR(N73="",$F73=""),"",N73*$F73/1000)</f>
        <v/>
      </c>
      <c r="P73" s="16">
        <f>IF(OR($F73="",$G73=""),"",$F73*$G73)</f>
        <v/>
      </c>
      <c r="Q73" s="16">
        <f>IF($D73="","",IF($J73&lt;&gt;"",$J73,$C$9))</f>
        <v/>
      </c>
      <c r="R73" s="12">
        <f>IF($D73="","",IFERROR(IF(INDEX(Profile!$G$5:$G$304,MATCH($D73,lst_Profil,0))&lt;&gt;"",INDEX(Profile!$G$5:$G$304,MATCH($D73,lst_Profil,0)),$H$4),$H$4))</f>
        <v/>
      </c>
      <c r="S73" s="12">
        <f>IF($D73="","",IFERROR(IF(INDEX(Profile!$H$5:$H$304,MATCH($D73,lst_Profil,0))&lt;&gt;"",INDEX(Profile!$H$5:$H$304,MATCH($D73,lst_Profil,0)),$H$5),$H$5))</f>
        <v/>
      </c>
      <c r="T73" s="16">
        <f>IF(OR(Q73="",NOT(ISNUMBER(R73)),NOT(ISNUMBER(S73))),"",Q73-R73-S73)</f>
        <v/>
      </c>
      <c r="U73" s="28">
        <f>IF(OR($D73="",$E73=""),"",IF(OR(N($AP73)&gt;0,COUNTIFS(Preise!$A$5:$A$304,$D73,Preise!$B$5:$B$304,$E73,Preise!$I$5:$I$304,"OK")&gt;0,N(INDEX(Werkstoffe!$G$5:$G$304,MATCH($E73,lst_Werkstoff,0)))&gt;0),"ja","nein"))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28">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Materialpreis",IF(AND($AQ73&lt;&gt;"",N($AR73)&gt;0,MOD($G73,$AR73)&lt;&gt;0),"WARNUNG: Stückzahl ist kein Vielfaches von Stück je Satz",IF($H73="","HINWEIS: Schneidweg fehlt",IF(V73="","HINWEIS: keine Schneiddaten",IF(AND($AF73&lt;&gt;"",$AG73=""),"HINWEIS: Gewinde-Vorschlag prüfen","OK")))))))))))))))</f>
        <v/>
      </c>
      <c r="X73" s="18">
        <f>IF(OR(O73="",$G73=""),"",O73*$G73)</f>
        <v/>
      </c>
      <c r="Y73" s="9" t="n"/>
      <c r="Z73" s="23" t="n"/>
      <c r="AA73" s="9" t="n"/>
      <c r="AB73" s="23" t="n"/>
      <c r="AC73" s="23" t="n"/>
      <c r="AD73" s="23" t="n"/>
      <c r="AE73" s="9" t="n"/>
      <c r="AF73" s="9" t="n"/>
      <c r="AG73" s="9" t="n"/>
      <c r="AH73" s="24" t="n"/>
      <c r="AI73" s="23" t="n"/>
      <c r="AJ73" s="24" t="n"/>
      <c r="AK73" s="23" t="n"/>
      <c r="AL73" s="24" t="n"/>
      <c r="AM73" s="23" t="n"/>
      <c r="AN73" s="28">
        <f>IF($D73="","",COUNTIFS(Stangenbelegung!$E$5:$E$10004,ROW()))</f>
        <v/>
      </c>
      <c r="AO73" s="28">
        <f>IF(OR($G73="",COUNTA(Stangenbelegung!$A$5:$A$10004)=0),"",$G73-AN73)</f>
        <v/>
      </c>
      <c r="AP73" s="29" t="n"/>
      <c r="AQ73" s="9" t="n"/>
      <c r="AR73" s="19" t="n"/>
    </row>
    <row r="74">
      <c r="A74" s="9" t="n"/>
      <c r="B74" s="9" t="n"/>
      <c r="C74" s="9" t="n"/>
      <c r="D74" s="9" t="n"/>
      <c r="E74" s="9" t="n"/>
      <c r="F74" s="23" t="n"/>
      <c r="G74" s="19" t="n"/>
      <c r="H74" s="23" t="n"/>
      <c r="I74" s="24" t="n"/>
      <c r="J74" s="19" t="n"/>
      <c r="K74" s="25">
        <f>IF($D74="","",IFERROR(INDEX(Profile!$B$5:$B$304,MATCH($D74,lst_Profil,0)),""))</f>
        <v/>
      </c>
      <c r="L74" s="13">
        <f>IF($D74="","",IFERROR(INDEX(Profile!$K$5:$K$304,MATCH($D74,lst_Profil,0))+0,""))</f>
        <v/>
      </c>
      <c r="M74" s="26">
        <f>IF($D74="","",IFERROR(INDEX(Profile!$E$5:$E$304,MATCH($D74,lst_Profil,0))+0,""))</f>
        <v/>
      </c>
      <c r="N74" s="27">
        <f>IF(OR(L74="",$E74=""),"",IFERROR(L74*INDEX(Werkstoffe!$E$5:$E$304,MATCH($E74,lst_Werkstoff,0))/1000,""))</f>
        <v/>
      </c>
      <c r="O74" s="27">
        <f>IF(OR(N74="",$F74=""),"",N74*$F74/1000)</f>
        <v/>
      </c>
      <c r="P74" s="16">
        <f>IF(OR($F74="",$G74=""),"",$F74*$G74)</f>
        <v/>
      </c>
      <c r="Q74" s="16">
        <f>IF($D74="","",IF($J74&lt;&gt;"",$J74,$C$9))</f>
        <v/>
      </c>
      <c r="R74" s="12">
        <f>IF($D74="","",IFERROR(IF(INDEX(Profile!$G$5:$G$304,MATCH($D74,lst_Profil,0))&lt;&gt;"",INDEX(Profile!$G$5:$G$304,MATCH($D74,lst_Profil,0)),$H$4),$H$4))</f>
        <v/>
      </c>
      <c r="S74" s="12">
        <f>IF($D74="","",IFERROR(IF(INDEX(Profile!$H$5:$H$304,MATCH($D74,lst_Profil,0))&lt;&gt;"",INDEX(Profile!$H$5:$H$304,MATCH($D74,lst_Profil,0)),$H$5),$H$5))</f>
        <v/>
      </c>
      <c r="T74" s="16">
        <f>IF(OR(Q74="",NOT(ISNUMBER(R74)),NOT(ISNUMBER(S74))),"",Q74-R74-S74)</f>
        <v/>
      </c>
      <c r="U74" s="28">
        <f>IF(OR($D74="",$E74=""),"",IF(OR(N($AP74)&gt;0,COUNTIFS(Preise!$A$5:$A$304,$D74,Preise!$B$5:$B$304,$E74,Preise!$I$5:$I$304,"OK")&gt;0,N(INDEX(Werkstoffe!$G$5:$G$304,MATCH($E74,lst_Werkstoff,0)))&gt;0),"ja","nein"))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28">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Materialpreis",IF(AND($AQ74&lt;&gt;"",N($AR74)&gt;0,MOD($G74,$AR74)&lt;&gt;0),"WARNUNG: Stückzahl ist kein Vielfaches von Stück je Satz",IF($H74="","HINWEIS: Schneidweg fehlt",IF(V74="","HINWEIS: keine Schneiddaten",IF(AND($AF74&lt;&gt;"",$AG74=""),"HINWEIS: Gewinde-Vorschlag prüfen","OK")))))))))))))))</f>
        <v/>
      </c>
      <c r="X74" s="18">
        <f>IF(OR(O74="",$G74=""),"",O74*$G74)</f>
        <v/>
      </c>
      <c r="Y74" s="9" t="n"/>
      <c r="Z74" s="23" t="n"/>
      <c r="AA74" s="9" t="n"/>
      <c r="AB74" s="23" t="n"/>
      <c r="AC74" s="23" t="n"/>
      <c r="AD74" s="23" t="n"/>
      <c r="AE74" s="9" t="n"/>
      <c r="AF74" s="9" t="n"/>
      <c r="AG74" s="9" t="n"/>
      <c r="AH74" s="24" t="n"/>
      <c r="AI74" s="23" t="n"/>
      <c r="AJ74" s="24" t="n"/>
      <c r="AK74" s="23" t="n"/>
      <c r="AL74" s="24" t="n"/>
      <c r="AM74" s="23" t="n"/>
      <c r="AN74" s="28">
        <f>IF($D74="","",COUNTIFS(Stangenbelegung!$E$5:$E$10004,ROW()))</f>
        <v/>
      </c>
      <c r="AO74" s="28">
        <f>IF(OR($G74="",COUNTA(Stangenbelegung!$A$5:$A$10004)=0),"",$G74-AN74)</f>
        <v/>
      </c>
      <c r="AP74" s="29" t="n"/>
      <c r="AQ74" s="9" t="n"/>
      <c r="AR74" s="19" t="n"/>
    </row>
    <row r="75">
      <c r="A75" s="9" t="n"/>
      <c r="B75" s="9" t="n"/>
      <c r="C75" s="9" t="n"/>
      <c r="D75" s="9" t="n"/>
      <c r="E75" s="9" t="n"/>
      <c r="F75" s="23" t="n"/>
      <c r="G75" s="19" t="n"/>
      <c r="H75" s="23" t="n"/>
      <c r="I75" s="24" t="n"/>
      <c r="J75" s="19" t="n"/>
      <c r="K75" s="25">
        <f>IF($D75="","",IFERROR(INDEX(Profile!$B$5:$B$304,MATCH($D75,lst_Profil,0)),""))</f>
        <v/>
      </c>
      <c r="L75" s="13">
        <f>IF($D75="","",IFERROR(INDEX(Profile!$K$5:$K$304,MATCH($D75,lst_Profil,0))+0,""))</f>
        <v/>
      </c>
      <c r="M75" s="26">
        <f>IF($D75="","",IFERROR(INDEX(Profile!$E$5:$E$304,MATCH($D75,lst_Profil,0))+0,""))</f>
        <v/>
      </c>
      <c r="N75" s="27">
        <f>IF(OR(L75="",$E75=""),"",IFERROR(L75*INDEX(Werkstoffe!$E$5:$E$304,MATCH($E75,lst_Werkstoff,0))/1000,""))</f>
        <v/>
      </c>
      <c r="O75" s="27">
        <f>IF(OR(N75="",$F75=""),"",N75*$F75/1000)</f>
        <v/>
      </c>
      <c r="P75" s="16">
        <f>IF(OR($F75="",$G75=""),"",$F75*$G75)</f>
        <v/>
      </c>
      <c r="Q75" s="16">
        <f>IF($D75="","",IF($J75&lt;&gt;"",$J75,$C$9))</f>
        <v/>
      </c>
      <c r="R75" s="12">
        <f>IF($D75="","",IFERROR(IF(INDEX(Profile!$G$5:$G$304,MATCH($D75,lst_Profil,0))&lt;&gt;"",INDEX(Profile!$G$5:$G$304,MATCH($D75,lst_Profil,0)),$H$4),$H$4))</f>
        <v/>
      </c>
      <c r="S75" s="12">
        <f>IF($D75="","",IFERROR(IF(INDEX(Profile!$H$5:$H$304,MATCH($D75,lst_Profil,0))&lt;&gt;"",INDEX(Profile!$H$5:$H$304,MATCH($D75,lst_Profil,0)),$H$5),$H$5))</f>
        <v/>
      </c>
      <c r="T75" s="16">
        <f>IF(OR(Q75="",NOT(ISNUMBER(R75)),NOT(ISNUMBER(S75))),"",Q75-R75-S75)</f>
        <v/>
      </c>
      <c r="U75" s="28">
        <f>IF(OR($D75="",$E75=""),"",IF(OR(N($AP75)&gt;0,COUNTIFS(Preise!$A$5:$A$304,$D75,Preise!$B$5:$B$304,$E75,Preise!$I$5:$I$304,"OK")&gt;0,N(INDEX(Werkstoffe!$G$5:$G$304,MATCH($E75,lst_Werkstoff,0)))&gt;0),"ja","nein"))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28">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Materialpreis",IF(AND($AQ75&lt;&gt;"",N($AR75)&gt;0,MOD($G75,$AR75)&lt;&gt;0),"WARNUNG: Stückzahl ist kein Vielfaches von Stück je Satz",IF($H75="","HINWEIS: Schneidweg fehlt",IF(V75="","HINWEIS: keine Schneiddaten",IF(AND($AF75&lt;&gt;"",$AG75=""),"HINWEIS: Gewinde-Vorschlag prüfen","OK")))))))))))))))</f>
        <v/>
      </c>
      <c r="X75" s="18">
        <f>IF(OR(O75="",$G75=""),"",O75*$G75)</f>
        <v/>
      </c>
      <c r="Y75" s="9" t="n"/>
      <c r="Z75" s="23" t="n"/>
      <c r="AA75" s="9" t="n"/>
      <c r="AB75" s="23" t="n"/>
      <c r="AC75" s="23" t="n"/>
      <c r="AD75" s="23" t="n"/>
      <c r="AE75" s="9" t="n"/>
      <c r="AF75" s="9" t="n"/>
      <c r="AG75" s="9" t="n"/>
      <c r="AH75" s="24" t="n"/>
      <c r="AI75" s="23" t="n"/>
      <c r="AJ75" s="24" t="n"/>
      <c r="AK75" s="23" t="n"/>
      <c r="AL75" s="24" t="n"/>
      <c r="AM75" s="23" t="n"/>
      <c r="AN75" s="28">
        <f>IF($D75="","",COUNTIFS(Stangenbelegung!$E$5:$E$10004,ROW()))</f>
        <v/>
      </c>
      <c r="AO75" s="28">
        <f>IF(OR($G75="",COUNTA(Stangenbelegung!$A$5:$A$10004)=0),"",$G75-AN75)</f>
        <v/>
      </c>
      <c r="AP75" s="29" t="n"/>
      <c r="AQ75" s="9" t="n"/>
      <c r="AR75" s="19" t="n"/>
    </row>
    <row r="76">
      <c r="A76" s="9" t="n"/>
      <c r="B76" s="9" t="n"/>
      <c r="C76" s="9" t="n"/>
      <c r="D76" s="9" t="n"/>
      <c r="E76" s="9" t="n"/>
      <c r="F76" s="23" t="n"/>
      <c r="G76" s="19" t="n"/>
      <c r="H76" s="23" t="n"/>
      <c r="I76" s="24" t="n"/>
      <c r="J76" s="19" t="n"/>
      <c r="K76" s="25">
        <f>IF($D76="","",IFERROR(INDEX(Profile!$B$5:$B$304,MATCH($D76,lst_Profil,0)),""))</f>
        <v/>
      </c>
      <c r="L76" s="13">
        <f>IF($D76="","",IFERROR(INDEX(Profile!$K$5:$K$304,MATCH($D76,lst_Profil,0))+0,""))</f>
        <v/>
      </c>
      <c r="M76" s="26">
        <f>IF($D76="","",IFERROR(INDEX(Profile!$E$5:$E$304,MATCH($D76,lst_Profil,0))+0,""))</f>
        <v/>
      </c>
      <c r="N76" s="27">
        <f>IF(OR(L76="",$E76=""),"",IFERROR(L76*INDEX(Werkstoffe!$E$5:$E$304,MATCH($E76,lst_Werkstoff,0))/1000,""))</f>
        <v/>
      </c>
      <c r="O76" s="27">
        <f>IF(OR(N76="",$F76=""),"",N76*$F76/1000)</f>
        <v/>
      </c>
      <c r="P76" s="16">
        <f>IF(OR($F76="",$G76=""),"",$F76*$G76)</f>
        <v/>
      </c>
      <c r="Q76" s="16">
        <f>IF($D76="","",IF($J76&lt;&gt;"",$J76,$C$9))</f>
        <v/>
      </c>
      <c r="R76" s="12">
        <f>IF($D76="","",IFERROR(IF(INDEX(Profile!$G$5:$G$304,MATCH($D76,lst_Profil,0))&lt;&gt;"",INDEX(Profile!$G$5:$G$304,MATCH($D76,lst_Profil,0)),$H$4),$H$4))</f>
        <v/>
      </c>
      <c r="S76" s="12">
        <f>IF($D76="","",IFERROR(IF(INDEX(Profile!$H$5:$H$304,MATCH($D76,lst_Profil,0))&lt;&gt;"",INDEX(Profile!$H$5:$H$304,MATCH($D76,lst_Profil,0)),$H$5),$H$5))</f>
        <v/>
      </c>
      <c r="T76" s="16">
        <f>IF(OR(Q76="",NOT(ISNUMBER(R76)),NOT(ISNUMBER(S76))),"",Q76-R76-S76)</f>
        <v/>
      </c>
      <c r="U76" s="28">
        <f>IF(OR($D76="",$E76=""),"",IF(OR(N($AP76)&gt;0,COUNTIFS(Preise!$A$5:$A$304,$D76,Preise!$B$5:$B$304,$E76,Preise!$I$5:$I$304,"OK")&gt;0,N(INDEX(Werkstoffe!$G$5:$G$304,MATCH($E76,lst_Werkstoff,0)))&gt;0),"ja","nein"))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28">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Materialpreis",IF(AND($AQ76&lt;&gt;"",N($AR76)&gt;0,MOD($G76,$AR76)&lt;&gt;0),"WARNUNG: Stückzahl ist kein Vielfaches von Stück je Satz",IF($H76="","HINWEIS: Schneidweg fehlt",IF(V76="","HINWEIS: keine Schneiddaten",IF(AND($AF76&lt;&gt;"",$AG76=""),"HINWEIS: Gewinde-Vorschlag prüfen","OK")))))))))))))))</f>
        <v/>
      </c>
      <c r="X76" s="18">
        <f>IF(OR(O76="",$G76=""),"",O76*$G76)</f>
        <v/>
      </c>
      <c r="Y76" s="9" t="n"/>
      <c r="Z76" s="23" t="n"/>
      <c r="AA76" s="9" t="n"/>
      <c r="AB76" s="23" t="n"/>
      <c r="AC76" s="23" t="n"/>
      <c r="AD76" s="23" t="n"/>
      <c r="AE76" s="9" t="n"/>
      <c r="AF76" s="9" t="n"/>
      <c r="AG76" s="9" t="n"/>
      <c r="AH76" s="24" t="n"/>
      <c r="AI76" s="23" t="n"/>
      <c r="AJ76" s="24" t="n"/>
      <c r="AK76" s="23" t="n"/>
      <c r="AL76" s="24" t="n"/>
      <c r="AM76" s="23" t="n"/>
      <c r="AN76" s="28">
        <f>IF($D76="","",COUNTIFS(Stangenbelegung!$E$5:$E$10004,ROW()))</f>
        <v/>
      </c>
      <c r="AO76" s="28">
        <f>IF(OR($G76="",COUNTA(Stangenbelegung!$A$5:$A$10004)=0),"",$G76-AN76)</f>
        <v/>
      </c>
      <c r="AP76" s="29" t="n"/>
      <c r="AQ76" s="9" t="n"/>
      <c r="AR76" s="19" t="n"/>
    </row>
    <row r="77">
      <c r="A77" s="9" t="n"/>
      <c r="B77" s="9" t="n"/>
      <c r="C77" s="9" t="n"/>
      <c r="D77" s="9" t="n"/>
      <c r="E77" s="9" t="n"/>
      <c r="F77" s="23" t="n"/>
      <c r="G77" s="19" t="n"/>
      <c r="H77" s="23" t="n"/>
      <c r="I77" s="24" t="n"/>
      <c r="J77" s="19" t="n"/>
      <c r="K77" s="25">
        <f>IF($D77="","",IFERROR(INDEX(Profile!$B$5:$B$304,MATCH($D77,lst_Profil,0)),""))</f>
        <v/>
      </c>
      <c r="L77" s="13">
        <f>IF($D77="","",IFERROR(INDEX(Profile!$K$5:$K$304,MATCH($D77,lst_Profil,0))+0,""))</f>
        <v/>
      </c>
      <c r="M77" s="26">
        <f>IF($D77="","",IFERROR(INDEX(Profile!$E$5:$E$304,MATCH($D77,lst_Profil,0))+0,""))</f>
        <v/>
      </c>
      <c r="N77" s="27">
        <f>IF(OR(L77="",$E77=""),"",IFERROR(L77*INDEX(Werkstoffe!$E$5:$E$304,MATCH($E77,lst_Werkstoff,0))/1000,""))</f>
        <v/>
      </c>
      <c r="O77" s="27">
        <f>IF(OR(N77="",$F77=""),"",N77*$F77/1000)</f>
        <v/>
      </c>
      <c r="P77" s="16">
        <f>IF(OR($F77="",$G77=""),"",$F77*$G77)</f>
        <v/>
      </c>
      <c r="Q77" s="16">
        <f>IF($D77="","",IF($J77&lt;&gt;"",$J77,$C$9))</f>
        <v/>
      </c>
      <c r="R77" s="12">
        <f>IF($D77="","",IFERROR(IF(INDEX(Profile!$G$5:$G$304,MATCH($D77,lst_Profil,0))&lt;&gt;"",INDEX(Profile!$G$5:$G$304,MATCH($D77,lst_Profil,0)),$H$4),$H$4))</f>
        <v/>
      </c>
      <c r="S77" s="12">
        <f>IF($D77="","",IFERROR(IF(INDEX(Profile!$H$5:$H$304,MATCH($D77,lst_Profil,0))&lt;&gt;"",INDEX(Profile!$H$5:$H$304,MATCH($D77,lst_Profil,0)),$H$5),$H$5))</f>
        <v/>
      </c>
      <c r="T77" s="16">
        <f>IF(OR(Q77="",NOT(ISNUMBER(R77)),NOT(ISNUMBER(S77))),"",Q77-R77-S77)</f>
        <v/>
      </c>
      <c r="U77" s="28">
        <f>IF(OR($D77="",$E77=""),"",IF(OR(N($AP77)&gt;0,COUNTIFS(Preise!$A$5:$A$304,$D77,Preise!$B$5:$B$304,$E77,Preise!$I$5:$I$304,"OK")&gt;0,N(INDEX(Werkstoffe!$G$5:$G$304,MATCH($E77,lst_Werkstoff,0)))&gt;0),"ja","nein"))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28">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Materialpreis",IF(AND($AQ77&lt;&gt;"",N($AR77)&gt;0,MOD($G77,$AR77)&lt;&gt;0),"WARNUNG: Stückzahl ist kein Vielfaches von Stück je Satz",IF($H77="","HINWEIS: Schneidweg fehlt",IF(V77="","HINWEIS: keine Schneiddaten",IF(AND($AF77&lt;&gt;"",$AG77=""),"HINWEIS: Gewinde-Vorschlag prüfen","OK")))))))))))))))</f>
        <v/>
      </c>
      <c r="X77" s="18">
        <f>IF(OR(O77="",$G77=""),"",O77*$G77)</f>
        <v/>
      </c>
      <c r="Y77" s="9" t="n"/>
      <c r="Z77" s="23" t="n"/>
      <c r="AA77" s="9" t="n"/>
      <c r="AB77" s="23" t="n"/>
      <c r="AC77" s="23" t="n"/>
      <c r="AD77" s="23" t="n"/>
      <c r="AE77" s="9" t="n"/>
      <c r="AF77" s="9" t="n"/>
      <c r="AG77" s="9" t="n"/>
      <c r="AH77" s="24" t="n"/>
      <c r="AI77" s="23" t="n"/>
      <c r="AJ77" s="24" t="n"/>
      <c r="AK77" s="23" t="n"/>
      <c r="AL77" s="24" t="n"/>
      <c r="AM77" s="23" t="n"/>
      <c r="AN77" s="28">
        <f>IF($D77="","",COUNTIFS(Stangenbelegung!$E$5:$E$10004,ROW()))</f>
        <v/>
      </c>
      <c r="AO77" s="28">
        <f>IF(OR($G77="",COUNTA(Stangenbelegung!$A$5:$A$10004)=0),"",$G77-AN77)</f>
        <v/>
      </c>
      <c r="AP77" s="29" t="n"/>
      <c r="AQ77" s="9" t="n"/>
      <c r="AR77" s="19" t="n"/>
    </row>
    <row r="78">
      <c r="A78" s="9" t="n"/>
      <c r="B78" s="9" t="n"/>
      <c r="C78" s="9" t="n"/>
      <c r="D78" s="9" t="n"/>
      <c r="E78" s="9" t="n"/>
      <c r="F78" s="23" t="n"/>
      <c r="G78" s="19" t="n"/>
      <c r="H78" s="23" t="n"/>
      <c r="I78" s="24" t="n"/>
      <c r="J78" s="19" t="n"/>
      <c r="K78" s="25">
        <f>IF($D78="","",IFERROR(INDEX(Profile!$B$5:$B$304,MATCH($D78,lst_Profil,0)),""))</f>
        <v/>
      </c>
      <c r="L78" s="13">
        <f>IF($D78="","",IFERROR(INDEX(Profile!$K$5:$K$304,MATCH($D78,lst_Profil,0))+0,""))</f>
        <v/>
      </c>
      <c r="M78" s="26">
        <f>IF($D78="","",IFERROR(INDEX(Profile!$E$5:$E$304,MATCH($D78,lst_Profil,0))+0,""))</f>
        <v/>
      </c>
      <c r="N78" s="27">
        <f>IF(OR(L78="",$E78=""),"",IFERROR(L78*INDEX(Werkstoffe!$E$5:$E$304,MATCH($E78,lst_Werkstoff,0))/1000,""))</f>
        <v/>
      </c>
      <c r="O78" s="27">
        <f>IF(OR(N78="",$F78=""),"",N78*$F78/1000)</f>
        <v/>
      </c>
      <c r="P78" s="16">
        <f>IF(OR($F78="",$G78=""),"",$F78*$G78)</f>
        <v/>
      </c>
      <c r="Q78" s="16">
        <f>IF($D78="","",IF($J78&lt;&gt;"",$J78,$C$9))</f>
        <v/>
      </c>
      <c r="R78" s="12">
        <f>IF($D78="","",IFERROR(IF(INDEX(Profile!$G$5:$G$304,MATCH($D78,lst_Profil,0))&lt;&gt;"",INDEX(Profile!$G$5:$G$304,MATCH($D78,lst_Profil,0)),$H$4),$H$4))</f>
        <v/>
      </c>
      <c r="S78" s="12">
        <f>IF($D78="","",IFERROR(IF(INDEX(Profile!$H$5:$H$304,MATCH($D78,lst_Profil,0))&lt;&gt;"",INDEX(Profile!$H$5:$H$304,MATCH($D78,lst_Profil,0)),$H$5),$H$5))</f>
        <v/>
      </c>
      <c r="T78" s="16">
        <f>IF(OR(Q78="",NOT(ISNUMBER(R78)),NOT(ISNUMBER(S78))),"",Q78-R78-S78)</f>
        <v/>
      </c>
      <c r="U78" s="28">
        <f>IF(OR($D78="",$E78=""),"",IF(OR(N($AP78)&gt;0,COUNTIFS(Preise!$A$5:$A$304,$D78,Preise!$B$5:$B$304,$E78,Preise!$I$5:$I$304,"OK")&gt;0,N(INDEX(Werkstoffe!$G$5:$G$304,MATCH($E78,lst_Werkstoff,0)))&gt;0),"ja","nein"))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28">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Materialpreis",IF(AND($AQ78&lt;&gt;"",N($AR78)&gt;0,MOD($G78,$AR78)&lt;&gt;0),"WARNUNG: Stückzahl ist kein Vielfaches von Stück je Satz",IF($H78="","HINWEIS: Schneidweg fehlt",IF(V78="","HINWEIS: keine Schneiddaten",IF(AND($AF78&lt;&gt;"",$AG78=""),"HINWEIS: Gewinde-Vorschlag prüfen","OK")))))))))))))))</f>
        <v/>
      </c>
      <c r="X78" s="18">
        <f>IF(OR(O78="",$G78=""),"",O78*$G78)</f>
        <v/>
      </c>
      <c r="Y78" s="9" t="n"/>
      <c r="Z78" s="23" t="n"/>
      <c r="AA78" s="9" t="n"/>
      <c r="AB78" s="23" t="n"/>
      <c r="AC78" s="23" t="n"/>
      <c r="AD78" s="23" t="n"/>
      <c r="AE78" s="9" t="n"/>
      <c r="AF78" s="9" t="n"/>
      <c r="AG78" s="9" t="n"/>
      <c r="AH78" s="24" t="n"/>
      <c r="AI78" s="23" t="n"/>
      <c r="AJ78" s="24" t="n"/>
      <c r="AK78" s="23" t="n"/>
      <c r="AL78" s="24" t="n"/>
      <c r="AM78" s="23" t="n"/>
      <c r="AN78" s="28">
        <f>IF($D78="","",COUNTIFS(Stangenbelegung!$E$5:$E$10004,ROW()))</f>
        <v/>
      </c>
      <c r="AO78" s="28">
        <f>IF(OR($G78="",COUNTA(Stangenbelegung!$A$5:$A$10004)=0),"",$G78-AN78)</f>
        <v/>
      </c>
      <c r="AP78" s="29" t="n"/>
      <c r="AQ78" s="9" t="n"/>
      <c r="AR78" s="19" t="n"/>
    </row>
    <row r="79">
      <c r="A79" s="9" t="n"/>
      <c r="B79" s="9" t="n"/>
      <c r="C79" s="9" t="n"/>
      <c r="D79" s="9" t="n"/>
      <c r="E79" s="9" t="n"/>
      <c r="F79" s="23" t="n"/>
      <c r="G79" s="19" t="n"/>
      <c r="H79" s="23" t="n"/>
      <c r="I79" s="24" t="n"/>
      <c r="J79" s="19" t="n"/>
      <c r="K79" s="25">
        <f>IF($D79="","",IFERROR(INDEX(Profile!$B$5:$B$304,MATCH($D79,lst_Profil,0)),""))</f>
        <v/>
      </c>
      <c r="L79" s="13">
        <f>IF($D79="","",IFERROR(INDEX(Profile!$K$5:$K$304,MATCH($D79,lst_Profil,0))+0,""))</f>
        <v/>
      </c>
      <c r="M79" s="26">
        <f>IF($D79="","",IFERROR(INDEX(Profile!$E$5:$E$304,MATCH($D79,lst_Profil,0))+0,""))</f>
        <v/>
      </c>
      <c r="N79" s="27">
        <f>IF(OR(L79="",$E79=""),"",IFERROR(L79*INDEX(Werkstoffe!$E$5:$E$304,MATCH($E79,lst_Werkstoff,0))/1000,""))</f>
        <v/>
      </c>
      <c r="O79" s="27">
        <f>IF(OR(N79="",$F79=""),"",N79*$F79/1000)</f>
        <v/>
      </c>
      <c r="P79" s="16">
        <f>IF(OR($F79="",$G79=""),"",$F79*$G79)</f>
        <v/>
      </c>
      <c r="Q79" s="16">
        <f>IF($D79="","",IF($J79&lt;&gt;"",$J79,$C$9))</f>
        <v/>
      </c>
      <c r="R79" s="12">
        <f>IF($D79="","",IFERROR(IF(INDEX(Profile!$G$5:$G$304,MATCH($D79,lst_Profil,0))&lt;&gt;"",INDEX(Profile!$G$5:$G$304,MATCH($D79,lst_Profil,0)),$H$4),$H$4))</f>
        <v/>
      </c>
      <c r="S79" s="12">
        <f>IF($D79="","",IFERROR(IF(INDEX(Profile!$H$5:$H$304,MATCH($D79,lst_Profil,0))&lt;&gt;"",INDEX(Profile!$H$5:$H$304,MATCH($D79,lst_Profil,0)),$H$5),$H$5))</f>
        <v/>
      </c>
      <c r="T79" s="16">
        <f>IF(OR(Q79="",NOT(ISNUMBER(R79)),NOT(ISNUMBER(S79))),"",Q79-R79-S79)</f>
        <v/>
      </c>
      <c r="U79" s="28">
        <f>IF(OR($D79="",$E79=""),"",IF(OR(N($AP79)&gt;0,COUNTIFS(Preise!$A$5:$A$304,$D79,Preise!$B$5:$B$304,$E79,Preise!$I$5:$I$304,"OK")&gt;0,N(INDEX(Werkstoffe!$G$5:$G$304,MATCH($E79,lst_Werkstoff,0)))&gt;0),"ja","nein"))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28">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Materialpreis",IF(AND($AQ79&lt;&gt;"",N($AR79)&gt;0,MOD($G79,$AR79)&lt;&gt;0),"WARNUNG: Stückzahl ist kein Vielfaches von Stück je Satz",IF($H79="","HINWEIS: Schneidweg fehlt",IF(V79="","HINWEIS: keine Schneiddaten",IF(AND($AF79&lt;&gt;"",$AG79=""),"HINWEIS: Gewinde-Vorschlag prüfen","OK")))))))))))))))</f>
        <v/>
      </c>
      <c r="X79" s="18">
        <f>IF(OR(O79="",$G79=""),"",O79*$G79)</f>
        <v/>
      </c>
      <c r="Y79" s="9" t="n"/>
      <c r="Z79" s="23" t="n"/>
      <c r="AA79" s="9" t="n"/>
      <c r="AB79" s="23" t="n"/>
      <c r="AC79" s="23" t="n"/>
      <c r="AD79" s="23" t="n"/>
      <c r="AE79" s="9" t="n"/>
      <c r="AF79" s="9" t="n"/>
      <c r="AG79" s="9" t="n"/>
      <c r="AH79" s="24" t="n"/>
      <c r="AI79" s="23" t="n"/>
      <c r="AJ79" s="24" t="n"/>
      <c r="AK79" s="23" t="n"/>
      <c r="AL79" s="24" t="n"/>
      <c r="AM79" s="23" t="n"/>
      <c r="AN79" s="28">
        <f>IF($D79="","",COUNTIFS(Stangenbelegung!$E$5:$E$10004,ROW()))</f>
        <v/>
      </c>
      <c r="AO79" s="28">
        <f>IF(OR($G79="",COUNTA(Stangenbelegung!$A$5:$A$10004)=0),"",$G79-AN79)</f>
        <v/>
      </c>
      <c r="AP79" s="29" t="n"/>
      <c r="AQ79" s="9" t="n"/>
      <c r="AR79" s="19" t="n"/>
    </row>
    <row r="80">
      <c r="A80" s="9" t="n"/>
      <c r="B80" s="9" t="n"/>
      <c r="C80" s="9" t="n"/>
      <c r="D80" s="9" t="n"/>
      <c r="E80" s="9" t="n"/>
      <c r="F80" s="23" t="n"/>
      <c r="G80" s="19" t="n"/>
      <c r="H80" s="23" t="n"/>
      <c r="I80" s="24" t="n"/>
      <c r="J80" s="19" t="n"/>
      <c r="K80" s="25">
        <f>IF($D80="","",IFERROR(INDEX(Profile!$B$5:$B$304,MATCH($D80,lst_Profil,0)),""))</f>
        <v/>
      </c>
      <c r="L80" s="13">
        <f>IF($D80="","",IFERROR(INDEX(Profile!$K$5:$K$304,MATCH($D80,lst_Profil,0))+0,""))</f>
        <v/>
      </c>
      <c r="M80" s="26">
        <f>IF($D80="","",IFERROR(INDEX(Profile!$E$5:$E$304,MATCH($D80,lst_Profil,0))+0,""))</f>
        <v/>
      </c>
      <c r="N80" s="27">
        <f>IF(OR(L80="",$E80=""),"",IFERROR(L80*INDEX(Werkstoffe!$E$5:$E$304,MATCH($E80,lst_Werkstoff,0))/1000,""))</f>
        <v/>
      </c>
      <c r="O80" s="27">
        <f>IF(OR(N80="",$F80=""),"",N80*$F80/1000)</f>
        <v/>
      </c>
      <c r="P80" s="16">
        <f>IF(OR($F80="",$G80=""),"",$F80*$G80)</f>
        <v/>
      </c>
      <c r="Q80" s="16">
        <f>IF($D80="","",IF($J80&lt;&gt;"",$J80,$C$9))</f>
        <v/>
      </c>
      <c r="R80" s="12">
        <f>IF($D80="","",IFERROR(IF(INDEX(Profile!$G$5:$G$304,MATCH($D80,lst_Profil,0))&lt;&gt;"",INDEX(Profile!$G$5:$G$304,MATCH($D80,lst_Profil,0)),$H$4),$H$4))</f>
        <v/>
      </c>
      <c r="S80" s="12">
        <f>IF($D80="","",IFERROR(IF(INDEX(Profile!$H$5:$H$304,MATCH($D80,lst_Profil,0))&lt;&gt;"",INDEX(Profile!$H$5:$H$304,MATCH($D80,lst_Profil,0)),$H$5),$H$5))</f>
        <v/>
      </c>
      <c r="T80" s="16">
        <f>IF(OR(Q80="",NOT(ISNUMBER(R80)),NOT(ISNUMBER(S80))),"",Q80-R80-S80)</f>
        <v/>
      </c>
      <c r="U80" s="28">
        <f>IF(OR($D80="",$E80=""),"",IF(OR(N($AP80)&gt;0,COUNTIFS(Preise!$A$5:$A$304,$D80,Preise!$B$5:$B$304,$E80,Preise!$I$5:$I$304,"OK")&gt;0,N(INDEX(Werkstoffe!$G$5:$G$304,MATCH($E80,lst_Werkstoff,0)))&gt;0),"ja","nein"))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28">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Materialpreis",IF(AND($AQ80&lt;&gt;"",N($AR80)&gt;0,MOD($G80,$AR80)&lt;&gt;0),"WARNUNG: Stückzahl ist kein Vielfaches von Stück je Satz",IF($H80="","HINWEIS: Schneidweg fehlt",IF(V80="","HINWEIS: keine Schneiddaten",IF(AND($AF80&lt;&gt;"",$AG80=""),"HINWEIS: Gewinde-Vorschlag prüfen","OK")))))))))))))))</f>
        <v/>
      </c>
      <c r="X80" s="18">
        <f>IF(OR(O80="",$G80=""),"",O80*$G80)</f>
        <v/>
      </c>
      <c r="Y80" s="9" t="n"/>
      <c r="Z80" s="23" t="n"/>
      <c r="AA80" s="9" t="n"/>
      <c r="AB80" s="23" t="n"/>
      <c r="AC80" s="23" t="n"/>
      <c r="AD80" s="23" t="n"/>
      <c r="AE80" s="9" t="n"/>
      <c r="AF80" s="9" t="n"/>
      <c r="AG80" s="9" t="n"/>
      <c r="AH80" s="24" t="n"/>
      <c r="AI80" s="23" t="n"/>
      <c r="AJ80" s="24" t="n"/>
      <c r="AK80" s="23" t="n"/>
      <c r="AL80" s="24" t="n"/>
      <c r="AM80" s="23" t="n"/>
      <c r="AN80" s="28">
        <f>IF($D80="","",COUNTIFS(Stangenbelegung!$E$5:$E$10004,ROW()))</f>
        <v/>
      </c>
      <c r="AO80" s="28">
        <f>IF(OR($G80="",COUNTA(Stangenbelegung!$A$5:$A$10004)=0),"",$G80-AN80)</f>
        <v/>
      </c>
      <c r="AP80" s="29" t="n"/>
      <c r="AQ80" s="9" t="n"/>
      <c r="AR80" s="19" t="n"/>
    </row>
    <row r="81">
      <c r="A81" s="9" t="n"/>
      <c r="B81" s="9" t="n"/>
      <c r="C81" s="9" t="n"/>
      <c r="D81" s="9" t="n"/>
      <c r="E81" s="9" t="n"/>
      <c r="F81" s="23" t="n"/>
      <c r="G81" s="19" t="n"/>
      <c r="H81" s="23" t="n"/>
      <c r="I81" s="24" t="n"/>
      <c r="J81" s="19" t="n"/>
      <c r="K81" s="25">
        <f>IF($D81="","",IFERROR(INDEX(Profile!$B$5:$B$304,MATCH($D81,lst_Profil,0)),""))</f>
        <v/>
      </c>
      <c r="L81" s="13">
        <f>IF($D81="","",IFERROR(INDEX(Profile!$K$5:$K$304,MATCH($D81,lst_Profil,0))+0,""))</f>
        <v/>
      </c>
      <c r="M81" s="26">
        <f>IF($D81="","",IFERROR(INDEX(Profile!$E$5:$E$304,MATCH($D81,lst_Profil,0))+0,""))</f>
        <v/>
      </c>
      <c r="N81" s="27">
        <f>IF(OR(L81="",$E81=""),"",IFERROR(L81*INDEX(Werkstoffe!$E$5:$E$304,MATCH($E81,lst_Werkstoff,0))/1000,""))</f>
        <v/>
      </c>
      <c r="O81" s="27">
        <f>IF(OR(N81="",$F81=""),"",N81*$F81/1000)</f>
        <v/>
      </c>
      <c r="P81" s="16">
        <f>IF(OR($F81="",$G81=""),"",$F81*$G81)</f>
        <v/>
      </c>
      <c r="Q81" s="16">
        <f>IF($D81="","",IF($J81&lt;&gt;"",$J81,$C$9))</f>
        <v/>
      </c>
      <c r="R81" s="12">
        <f>IF($D81="","",IFERROR(IF(INDEX(Profile!$G$5:$G$304,MATCH($D81,lst_Profil,0))&lt;&gt;"",INDEX(Profile!$G$5:$G$304,MATCH($D81,lst_Profil,0)),$H$4),$H$4))</f>
        <v/>
      </c>
      <c r="S81" s="12">
        <f>IF($D81="","",IFERROR(IF(INDEX(Profile!$H$5:$H$304,MATCH($D81,lst_Profil,0))&lt;&gt;"",INDEX(Profile!$H$5:$H$304,MATCH($D81,lst_Profil,0)),$H$5),$H$5))</f>
        <v/>
      </c>
      <c r="T81" s="16">
        <f>IF(OR(Q81="",NOT(ISNUMBER(R81)),NOT(ISNUMBER(S81))),"",Q81-R81-S81)</f>
        <v/>
      </c>
      <c r="U81" s="28">
        <f>IF(OR($D81="",$E81=""),"",IF(OR(N($AP81)&gt;0,COUNTIFS(Preise!$A$5:$A$304,$D81,Preise!$B$5:$B$304,$E81,Preise!$I$5:$I$304,"OK")&gt;0,N(INDEX(Werkstoffe!$G$5:$G$304,MATCH($E81,lst_Werkstoff,0)))&gt;0),"ja","nein"))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28">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Materialpreis",IF(AND($AQ81&lt;&gt;"",N($AR81)&gt;0,MOD($G81,$AR81)&lt;&gt;0),"WARNUNG: Stückzahl ist kein Vielfaches von Stück je Satz",IF($H81="","HINWEIS: Schneidweg fehlt",IF(V81="","HINWEIS: keine Schneiddaten",IF(AND($AF81&lt;&gt;"",$AG81=""),"HINWEIS: Gewinde-Vorschlag prüfen","OK")))))))))))))))</f>
        <v/>
      </c>
      <c r="X81" s="18">
        <f>IF(OR(O81="",$G81=""),"",O81*$G81)</f>
        <v/>
      </c>
      <c r="Y81" s="9" t="n"/>
      <c r="Z81" s="23" t="n"/>
      <c r="AA81" s="9" t="n"/>
      <c r="AB81" s="23" t="n"/>
      <c r="AC81" s="23" t="n"/>
      <c r="AD81" s="23" t="n"/>
      <c r="AE81" s="9" t="n"/>
      <c r="AF81" s="9" t="n"/>
      <c r="AG81" s="9" t="n"/>
      <c r="AH81" s="24" t="n"/>
      <c r="AI81" s="23" t="n"/>
      <c r="AJ81" s="24" t="n"/>
      <c r="AK81" s="23" t="n"/>
      <c r="AL81" s="24" t="n"/>
      <c r="AM81" s="23" t="n"/>
      <c r="AN81" s="28">
        <f>IF($D81="","",COUNTIFS(Stangenbelegung!$E$5:$E$10004,ROW()))</f>
        <v/>
      </c>
      <c r="AO81" s="28">
        <f>IF(OR($G81="",COUNTA(Stangenbelegung!$A$5:$A$10004)=0),"",$G81-AN81)</f>
        <v/>
      </c>
      <c r="AP81" s="29" t="n"/>
      <c r="AQ81" s="9" t="n"/>
      <c r="AR81" s="19" t="n"/>
    </row>
    <row r="82">
      <c r="A82" s="9" t="n"/>
      <c r="B82" s="9" t="n"/>
      <c r="C82" s="9" t="n"/>
      <c r="D82" s="9" t="n"/>
      <c r="E82" s="9" t="n"/>
      <c r="F82" s="23" t="n"/>
      <c r="G82" s="19" t="n"/>
      <c r="H82" s="23" t="n"/>
      <c r="I82" s="24" t="n"/>
      <c r="J82" s="19" t="n"/>
      <c r="K82" s="25">
        <f>IF($D82="","",IFERROR(INDEX(Profile!$B$5:$B$304,MATCH($D82,lst_Profil,0)),""))</f>
        <v/>
      </c>
      <c r="L82" s="13">
        <f>IF($D82="","",IFERROR(INDEX(Profile!$K$5:$K$304,MATCH($D82,lst_Profil,0))+0,""))</f>
        <v/>
      </c>
      <c r="M82" s="26">
        <f>IF($D82="","",IFERROR(INDEX(Profile!$E$5:$E$304,MATCH($D82,lst_Profil,0))+0,""))</f>
        <v/>
      </c>
      <c r="N82" s="27">
        <f>IF(OR(L82="",$E82=""),"",IFERROR(L82*INDEX(Werkstoffe!$E$5:$E$304,MATCH($E82,lst_Werkstoff,0))/1000,""))</f>
        <v/>
      </c>
      <c r="O82" s="27">
        <f>IF(OR(N82="",$F82=""),"",N82*$F82/1000)</f>
        <v/>
      </c>
      <c r="P82" s="16">
        <f>IF(OR($F82="",$G82=""),"",$F82*$G82)</f>
        <v/>
      </c>
      <c r="Q82" s="16">
        <f>IF($D82="","",IF($J82&lt;&gt;"",$J82,$C$9))</f>
        <v/>
      </c>
      <c r="R82" s="12">
        <f>IF($D82="","",IFERROR(IF(INDEX(Profile!$G$5:$G$304,MATCH($D82,lst_Profil,0))&lt;&gt;"",INDEX(Profile!$G$5:$G$304,MATCH($D82,lst_Profil,0)),$H$4),$H$4))</f>
        <v/>
      </c>
      <c r="S82" s="12">
        <f>IF($D82="","",IFERROR(IF(INDEX(Profile!$H$5:$H$304,MATCH($D82,lst_Profil,0))&lt;&gt;"",INDEX(Profile!$H$5:$H$304,MATCH($D82,lst_Profil,0)),$H$5),$H$5))</f>
        <v/>
      </c>
      <c r="T82" s="16">
        <f>IF(OR(Q82="",NOT(ISNUMBER(R82)),NOT(ISNUMBER(S82))),"",Q82-R82-S82)</f>
        <v/>
      </c>
      <c r="U82" s="28">
        <f>IF(OR($D82="",$E82=""),"",IF(OR(N($AP82)&gt;0,COUNTIFS(Preise!$A$5:$A$304,$D82,Preise!$B$5:$B$304,$E82,Preise!$I$5:$I$304,"OK")&gt;0,N(INDEX(Werkstoffe!$G$5:$G$304,MATCH($E82,lst_Werkstoff,0)))&gt;0),"ja","nein"))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28">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Materialpreis",IF(AND($AQ82&lt;&gt;"",N($AR82)&gt;0,MOD($G82,$AR82)&lt;&gt;0),"WARNUNG: Stückzahl ist kein Vielfaches von Stück je Satz",IF($H82="","HINWEIS: Schneidweg fehlt",IF(V82="","HINWEIS: keine Schneiddaten",IF(AND($AF82&lt;&gt;"",$AG82=""),"HINWEIS: Gewinde-Vorschlag prüfen","OK")))))))))))))))</f>
        <v/>
      </c>
      <c r="X82" s="18">
        <f>IF(OR(O82="",$G82=""),"",O82*$G82)</f>
        <v/>
      </c>
      <c r="Y82" s="9" t="n"/>
      <c r="Z82" s="23" t="n"/>
      <c r="AA82" s="9" t="n"/>
      <c r="AB82" s="23" t="n"/>
      <c r="AC82" s="23" t="n"/>
      <c r="AD82" s="23" t="n"/>
      <c r="AE82" s="9" t="n"/>
      <c r="AF82" s="9" t="n"/>
      <c r="AG82" s="9" t="n"/>
      <c r="AH82" s="24" t="n"/>
      <c r="AI82" s="23" t="n"/>
      <c r="AJ82" s="24" t="n"/>
      <c r="AK82" s="23" t="n"/>
      <c r="AL82" s="24" t="n"/>
      <c r="AM82" s="23" t="n"/>
      <c r="AN82" s="28">
        <f>IF($D82="","",COUNTIFS(Stangenbelegung!$E$5:$E$10004,ROW()))</f>
        <v/>
      </c>
      <c r="AO82" s="28">
        <f>IF(OR($G82="",COUNTA(Stangenbelegung!$A$5:$A$10004)=0),"",$G82-AN82)</f>
        <v/>
      </c>
      <c r="AP82" s="29" t="n"/>
      <c r="AQ82" s="9" t="n"/>
      <c r="AR82" s="19" t="n"/>
    </row>
    <row r="83">
      <c r="A83" s="9" t="n"/>
      <c r="B83" s="9" t="n"/>
      <c r="C83" s="9" t="n"/>
      <c r="D83" s="9" t="n"/>
      <c r="E83" s="9" t="n"/>
      <c r="F83" s="23" t="n"/>
      <c r="G83" s="19" t="n"/>
      <c r="H83" s="23" t="n"/>
      <c r="I83" s="24" t="n"/>
      <c r="J83" s="19" t="n"/>
      <c r="K83" s="25">
        <f>IF($D83="","",IFERROR(INDEX(Profile!$B$5:$B$304,MATCH($D83,lst_Profil,0)),""))</f>
        <v/>
      </c>
      <c r="L83" s="13">
        <f>IF($D83="","",IFERROR(INDEX(Profile!$K$5:$K$304,MATCH($D83,lst_Profil,0))+0,""))</f>
        <v/>
      </c>
      <c r="M83" s="26">
        <f>IF($D83="","",IFERROR(INDEX(Profile!$E$5:$E$304,MATCH($D83,lst_Profil,0))+0,""))</f>
        <v/>
      </c>
      <c r="N83" s="27">
        <f>IF(OR(L83="",$E83=""),"",IFERROR(L83*INDEX(Werkstoffe!$E$5:$E$304,MATCH($E83,lst_Werkstoff,0))/1000,""))</f>
        <v/>
      </c>
      <c r="O83" s="27">
        <f>IF(OR(N83="",$F83=""),"",N83*$F83/1000)</f>
        <v/>
      </c>
      <c r="P83" s="16">
        <f>IF(OR($F83="",$G83=""),"",$F83*$G83)</f>
        <v/>
      </c>
      <c r="Q83" s="16">
        <f>IF($D83="","",IF($J83&lt;&gt;"",$J83,$C$9))</f>
        <v/>
      </c>
      <c r="R83" s="12">
        <f>IF($D83="","",IFERROR(IF(INDEX(Profile!$G$5:$G$304,MATCH($D83,lst_Profil,0))&lt;&gt;"",INDEX(Profile!$G$5:$G$304,MATCH($D83,lst_Profil,0)),$H$4),$H$4))</f>
        <v/>
      </c>
      <c r="S83" s="12">
        <f>IF($D83="","",IFERROR(IF(INDEX(Profile!$H$5:$H$304,MATCH($D83,lst_Profil,0))&lt;&gt;"",INDEX(Profile!$H$5:$H$304,MATCH($D83,lst_Profil,0)),$H$5),$H$5))</f>
        <v/>
      </c>
      <c r="T83" s="16">
        <f>IF(OR(Q83="",NOT(ISNUMBER(R83)),NOT(ISNUMBER(S83))),"",Q83-R83-S83)</f>
        <v/>
      </c>
      <c r="U83" s="28">
        <f>IF(OR($D83="",$E83=""),"",IF(OR(N($AP83)&gt;0,COUNTIFS(Preise!$A$5:$A$304,$D83,Preise!$B$5:$B$304,$E83,Preise!$I$5:$I$304,"OK")&gt;0,N(INDEX(Werkstoffe!$G$5:$G$304,MATCH($E83,lst_Werkstoff,0)))&gt;0),"ja","nein"))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28">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Materialpreis",IF(AND($AQ83&lt;&gt;"",N($AR83)&gt;0,MOD($G83,$AR83)&lt;&gt;0),"WARNUNG: Stückzahl ist kein Vielfaches von Stück je Satz",IF($H83="","HINWEIS: Schneidweg fehlt",IF(V83="","HINWEIS: keine Schneiddaten",IF(AND($AF83&lt;&gt;"",$AG83=""),"HINWEIS: Gewinde-Vorschlag prüfen","OK")))))))))))))))</f>
        <v/>
      </c>
      <c r="X83" s="18">
        <f>IF(OR(O83="",$G83=""),"",O83*$G83)</f>
        <v/>
      </c>
      <c r="Y83" s="9" t="n"/>
      <c r="Z83" s="23" t="n"/>
      <c r="AA83" s="9" t="n"/>
      <c r="AB83" s="23" t="n"/>
      <c r="AC83" s="23" t="n"/>
      <c r="AD83" s="23" t="n"/>
      <c r="AE83" s="9" t="n"/>
      <c r="AF83" s="9" t="n"/>
      <c r="AG83" s="9" t="n"/>
      <c r="AH83" s="24" t="n"/>
      <c r="AI83" s="23" t="n"/>
      <c r="AJ83" s="24" t="n"/>
      <c r="AK83" s="23" t="n"/>
      <c r="AL83" s="24" t="n"/>
      <c r="AM83" s="23" t="n"/>
      <c r="AN83" s="28">
        <f>IF($D83="","",COUNTIFS(Stangenbelegung!$E$5:$E$10004,ROW()))</f>
        <v/>
      </c>
      <c r="AO83" s="28">
        <f>IF(OR($G83="",COUNTA(Stangenbelegung!$A$5:$A$10004)=0),"",$G83-AN83)</f>
        <v/>
      </c>
      <c r="AP83" s="29" t="n"/>
      <c r="AQ83" s="9" t="n"/>
      <c r="AR83" s="19" t="n"/>
    </row>
    <row r="84">
      <c r="A84" s="9" t="n"/>
      <c r="B84" s="9" t="n"/>
      <c r="C84" s="9" t="n"/>
      <c r="D84" s="9" t="n"/>
      <c r="E84" s="9" t="n"/>
      <c r="F84" s="23" t="n"/>
      <c r="G84" s="19" t="n"/>
      <c r="H84" s="23" t="n"/>
      <c r="I84" s="24" t="n"/>
      <c r="J84" s="19" t="n"/>
      <c r="K84" s="25">
        <f>IF($D84="","",IFERROR(INDEX(Profile!$B$5:$B$304,MATCH($D84,lst_Profil,0)),""))</f>
        <v/>
      </c>
      <c r="L84" s="13">
        <f>IF($D84="","",IFERROR(INDEX(Profile!$K$5:$K$304,MATCH($D84,lst_Profil,0))+0,""))</f>
        <v/>
      </c>
      <c r="M84" s="26">
        <f>IF($D84="","",IFERROR(INDEX(Profile!$E$5:$E$304,MATCH($D84,lst_Profil,0))+0,""))</f>
        <v/>
      </c>
      <c r="N84" s="27">
        <f>IF(OR(L84="",$E84=""),"",IFERROR(L84*INDEX(Werkstoffe!$E$5:$E$304,MATCH($E84,lst_Werkstoff,0))/1000,""))</f>
        <v/>
      </c>
      <c r="O84" s="27">
        <f>IF(OR(N84="",$F84=""),"",N84*$F84/1000)</f>
        <v/>
      </c>
      <c r="P84" s="16">
        <f>IF(OR($F84="",$G84=""),"",$F84*$G84)</f>
        <v/>
      </c>
      <c r="Q84" s="16">
        <f>IF($D84="","",IF($J84&lt;&gt;"",$J84,$C$9))</f>
        <v/>
      </c>
      <c r="R84" s="12">
        <f>IF($D84="","",IFERROR(IF(INDEX(Profile!$G$5:$G$304,MATCH($D84,lst_Profil,0))&lt;&gt;"",INDEX(Profile!$G$5:$G$304,MATCH($D84,lst_Profil,0)),$H$4),$H$4))</f>
        <v/>
      </c>
      <c r="S84" s="12">
        <f>IF($D84="","",IFERROR(IF(INDEX(Profile!$H$5:$H$304,MATCH($D84,lst_Profil,0))&lt;&gt;"",INDEX(Profile!$H$5:$H$304,MATCH($D84,lst_Profil,0)),$H$5),$H$5))</f>
        <v/>
      </c>
      <c r="T84" s="16">
        <f>IF(OR(Q84="",NOT(ISNUMBER(R84)),NOT(ISNUMBER(S84))),"",Q84-R84-S84)</f>
        <v/>
      </c>
      <c r="U84" s="28">
        <f>IF(OR($D84="",$E84=""),"",IF(OR(N($AP84)&gt;0,COUNTIFS(Preise!$A$5:$A$304,$D84,Preise!$B$5:$B$304,$E84,Preise!$I$5:$I$304,"OK")&gt;0,N(INDEX(Werkstoffe!$G$5:$G$304,MATCH($E84,lst_Werkstoff,0)))&gt;0),"ja","nein"))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28">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Materialpreis",IF(AND($AQ84&lt;&gt;"",N($AR84)&gt;0,MOD($G84,$AR84)&lt;&gt;0),"WARNUNG: Stückzahl ist kein Vielfaches von Stück je Satz",IF($H84="","HINWEIS: Schneidweg fehlt",IF(V84="","HINWEIS: keine Schneiddaten",IF(AND($AF84&lt;&gt;"",$AG84=""),"HINWEIS: Gewinde-Vorschlag prüfen","OK")))))))))))))))</f>
        <v/>
      </c>
      <c r="X84" s="18">
        <f>IF(OR(O84="",$G84=""),"",O84*$G84)</f>
        <v/>
      </c>
      <c r="Y84" s="9" t="n"/>
      <c r="Z84" s="23" t="n"/>
      <c r="AA84" s="9" t="n"/>
      <c r="AB84" s="23" t="n"/>
      <c r="AC84" s="23" t="n"/>
      <c r="AD84" s="23" t="n"/>
      <c r="AE84" s="9" t="n"/>
      <c r="AF84" s="9" t="n"/>
      <c r="AG84" s="9" t="n"/>
      <c r="AH84" s="24" t="n"/>
      <c r="AI84" s="23" t="n"/>
      <c r="AJ84" s="24" t="n"/>
      <c r="AK84" s="23" t="n"/>
      <c r="AL84" s="24" t="n"/>
      <c r="AM84" s="23" t="n"/>
      <c r="AN84" s="28">
        <f>IF($D84="","",COUNTIFS(Stangenbelegung!$E$5:$E$10004,ROW()))</f>
        <v/>
      </c>
      <c r="AO84" s="28">
        <f>IF(OR($G84="",COUNTA(Stangenbelegung!$A$5:$A$10004)=0),"",$G84-AN84)</f>
        <v/>
      </c>
      <c r="AP84" s="29" t="n"/>
      <c r="AQ84" s="9" t="n"/>
      <c r="AR84" s="19" t="n"/>
    </row>
    <row r="85">
      <c r="A85" s="9" t="n"/>
      <c r="B85" s="9" t="n"/>
      <c r="C85" s="9" t="n"/>
      <c r="D85" s="9" t="n"/>
      <c r="E85" s="9" t="n"/>
      <c r="F85" s="23" t="n"/>
      <c r="G85" s="19" t="n"/>
      <c r="H85" s="23" t="n"/>
      <c r="I85" s="24" t="n"/>
      <c r="J85" s="19" t="n"/>
      <c r="K85" s="25">
        <f>IF($D85="","",IFERROR(INDEX(Profile!$B$5:$B$304,MATCH($D85,lst_Profil,0)),""))</f>
        <v/>
      </c>
      <c r="L85" s="13">
        <f>IF($D85="","",IFERROR(INDEX(Profile!$K$5:$K$304,MATCH($D85,lst_Profil,0))+0,""))</f>
        <v/>
      </c>
      <c r="M85" s="26">
        <f>IF($D85="","",IFERROR(INDEX(Profile!$E$5:$E$304,MATCH($D85,lst_Profil,0))+0,""))</f>
        <v/>
      </c>
      <c r="N85" s="27">
        <f>IF(OR(L85="",$E85=""),"",IFERROR(L85*INDEX(Werkstoffe!$E$5:$E$304,MATCH($E85,lst_Werkstoff,0))/1000,""))</f>
        <v/>
      </c>
      <c r="O85" s="27">
        <f>IF(OR(N85="",$F85=""),"",N85*$F85/1000)</f>
        <v/>
      </c>
      <c r="P85" s="16">
        <f>IF(OR($F85="",$G85=""),"",$F85*$G85)</f>
        <v/>
      </c>
      <c r="Q85" s="16">
        <f>IF($D85="","",IF($J85&lt;&gt;"",$J85,$C$9))</f>
        <v/>
      </c>
      <c r="R85" s="12">
        <f>IF($D85="","",IFERROR(IF(INDEX(Profile!$G$5:$G$304,MATCH($D85,lst_Profil,0))&lt;&gt;"",INDEX(Profile!$G$5:$G$304,MATCH($D85,lst_Profil,0)),$H$4),$H$4))</f>
        <v/>
      </c>
      <c r="S85" s="12">
        <f>IF($D85="","",IFERROR(IF(INDEX(Profile!$H$5:$H$304,MATCH($D85,lst_Profil,0))&lt;&gt;"",INDEX(Profile!$H$5:$H$304,MATCH($D85,lst_Profil,0)),$H$5),$H$5))</f>
        <v/>
      </c>
      <c r="T85" s="16">
        <f>IF(OR(Q85="",NOT(ISNUMBER(R85)),NOT(ISNUMBER(S85))),"",Q85-R85-S85)</f>
        <v/>
      </c>
      <c r="U85" s="28">
        <f>IF(OR($D85="",$E85=""),"",IF(OR(N($AP85)&gt;0,COUNTIFS(Preise!$A$5:$A$304,$D85,Preise!$B$5:$B$304,$E85,Preise!$I$5:$I$304,"OK")&gt;0,N(INDEX(Werkstoffe!$G$5:$G$304,MATCH($E85,lst_Werkstoff,0)))&gt;0),"ja","nein"))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28">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Materialpreis",IF(AND($AQ85&lt;&gt;"",N($AR85)&gt;0,MOD($G85,$AR85)&lt;&gt;0),"WARNUNG: Stückzahl ist kein Vielfaches von Stück je Satz",IF($H85="","HINWEIS: Schneidweg fehlt",IF(V85="","HINWEIS: keine Schneiddaten",IF(AND($AF85&lt;&gt;"",$AG85=""),"HINWEIS: Gewinde-Vorschlag prüfen","OK")))))))))))))))</f>
        <v/>
      </c>
      <c r="X85" s="18">
        <f>IF(OR(O85="",$G85=""),"",O85*$G85)</f>
        <v/>
      </c>
      <c r="Y85" s="9" t="n"/>
      <c r="Z85" s="23" t="n"/>
      <c r="AA85" s="9" t="n"/>
      <c r="AB85" s="23" t="n"/>
      <c r="AC85" s="23" t="n"/>
      <c r="AD85" s="23" t="n"/>
      <c r="AE85" s="9" t="n"/>
      <c r="AF85" s="9" t="n"/>
      <c r="AG85" s="9" t="n"/>
      <c r="AH85" s="24" t="n"/>
      <c r="AI85" s="23" t="n"/>
      <c r="AJ85" s="24" t="n"/>
      <c r="AK85" s="23" t="n"/>
      <c r="AL85" s="24" t="n"/>
      <c r="AM85" s="23" t="n"/>
      <c r="AN85" s="28">
        <f>IF($D85="","",COUNTIFS(Stangenbelegung!$E$5:$E$10004,ROW()))</f>
        <v/>
      </c>
      <c r="AO85" s="28">
        <f>IF(OR($G85="",COUNTA(Stangenbelegung!$A$5:$A$10004)=0),"",$G85-AN85)</f>
        <v/>
      </c>
      <c r="AP85" s="29" t="n"/>
      <c r="AQ85" s="9" t="n"/>
      <c r="AR85" s="19" t="n"/>
    </row>
    <row r="86">
      <c r="A86" s="9" t="n"/>
      <c r="B86" s="9" t="n"/>
      <c r="C86" s="9" t="n"/>
      <c r="D86" s="9" t="n"/>
      <c r="E86" s="9" t="n"/>
      <c r="F86" s="23" t="n"/>
      <c r="G86" s="19" t="n"/>
      <c r="H86" s="23" t="n"/>
      <c r="I86" s="24" t="n"/>
      <c r="J86" s="19" t="n"/>
      <c r="K86" s="25">
        <f>IF($D86="","",IFERROR(INDEX(Profile!$B$5:$B$304,MATCH($D86,lst_Profil,0)),""))</f>
        <v/>
      </c>
      <c r="L86" s="13">
        <f>IF($D86="","",IFERROR(INDEX(Profile!$K$5:$K$304,MATCH($D86,lst_Profil,0))+0,""))</f>
        <v/>
      </c>
      <c r="M86" s="26">
        <f>IF($D86="","",IFERROR(INDEX(Profile!$E$5:$E$304,MATCH($D86,lst_Profil,0))+0,""))</f>
        <v/>
      </c>
      <c r="N86" s="27">
        <f>IF(OR(L86="",$E86=""),"",IFERROR(L86*INDEX(Werkstoffe!$E$5:$E$304,MATCH($E86,lst_Werkstoff,0))/1000,""))</f>
        <v/>
      </c>
      <c r="O86" s="27">
        <f>IF(OR(N86="",$F86=""),"",N86*$F86/1000)</f>
        <v/>
      </c>
      <c r="P86" s="16">
        <f>IF(OR($F86="",$G86=""),"",$F86*$G86)</f>
        <v/>
      </c>
      <c r="Q86" s="16">
        <f>IF($D86="","",IF($J86&lt;&gt;"",$J86,$C$9))</f>
        <v/>
      </c>
      <c r="R86" s="12">
        <f>IF($D86="","",IFERROR(IF(INDEX(Profile!$G$5:$G$304,MATCH($D86,lst_Profil,0))&lt;&gt;"",INDEX(Profile!$G$5:$G$304,MATCH($D86,lst_Profil,0)),$H$4),$H$4))</f>
        <v/>
      </c>
      <c r="S86" s="12">
        <f>IF($D86="","",IFERROR(IF(INDEX(Profile!$H$5:$H$304,MATCH($D86,lst_Profil,0))&lt;&gt;"",INDEX(Profile!$H$5:$H$304,MATCH($D86,lst_Profil,0)),$H$5),$H$5))</f>
        <v/>
      </c>
      <c r="T86" s="16">
        <f>IF(OR(Q86="",NOT(ISNUMBER(R86)),NOT(ISNUMBER(S86))),"",Q86-R86-S86)</f>
        <v/>
      </c>
      <c r="U86" s="28">
        <f>IF(OR($D86="",$E86=""),"",IF(OR(N($AP86)&gt;0,COUNTIFS(Preise!$A$5:$A$304,$D86,Preise!$B$5:$B$304,$E86,Preise!$I$5:$I$304,"OK")&gt;0,N(INDEX(Werkstoffe!$G$5:$G$304,MATCH($E86,lst_Werkstoff,0)))&gt;0),"ja","nein"))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28">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Materialpreis",IF(AND($AQ86&lt;&gt;"",N($AR86)&gt;0,MOD($G86,$AR86)&lt;&gt;0),"WARNUNG: Stückzahl ist kein Vielfaches von Stück je Satz",IF($H86="","HINWEIS: Schneidweg fehlt",IF(V86="","HINWEIS: keine Schneiddaten",IF(AND($AF86&lt;&gt;"",$AG86=""),"HINWEIS: Gewinde-Vorschlag prüfen","OK")))))))))))))))</f>
        <v/>
      </c>
      <c r="X86" s="18">
        <f>IF(OR(O86="",$G86=""),"",O86*$G86)</f>
        <v/>
      </c>
      <c r="Y86" s="9" t="n"/>
      <c r="Z86" s="23" t="n"/>
      <c r="AA86" s="9" t="n"/>
      <c r="AB86" s="23" t="n"/>
      <c r="AC86" s="23" t="n"/>
      <c r="AD86" s="23" t="n"/>
      <c r="AE86" s="9" t="n"/>
      <c r="AF86" s="9" t="n"/>
      <c r="AG86" s="9" t="n"/>
      <c r="AH86" s="24" t="n"/>
      <c r="AI86" s="23" t="n"/>
      <c r="AJ86" s="24" t="n"/>
      <c r="AK86" s="23" t="n"/>
      <c r="AL86" s="24" t="n"/>
      <c r="AM86" s="23" t="n"/>
      <c r="AN86" s="28">
        <f>IF($D86="","",COUNTIFS(Stangenbelegung!$E$5:$E$10004,ROW()))</f>
        <v/>
      </c>
      <c r="AO86" s="28">
        <f>IF(OR($G86="",COUNTA(Stangenbelegung!$A$5:$A$10004)=0),"",$G86-AN86)</f>
        <v/>
      </c>
      <c r="AP86" s="29" t="n"/>
      <c r="AQ86" s="9" t="n"/>
      <c r="AR86" s="19" t="n"/>
    </row>
    <row r="87">
      <c r="A87" s="9" t="n"/>
      <c r="B87" s="9" t="n"/>
      <c r="C87" s="9" t="n"/>
      <c r="D87" s="9" t="n"/>
      <c r="E87" s="9" t="n"/>
      <c r="F87" s="23" t="n"/>
      <c r="G87" s="19" t="n"/>
      <c r="H87" s="23" t="n"/>
      <c r="I87" s="24" t="n"/>
      <c r="J87" s="19" t="n"/>
      <c r="K87" s="25">
        <f>IF($D87="","",IFERROR(INDEX(Profile!$B$5:$B$304,MATCH($D87,lst_Profil,0)),""))</f>
        <v/>
      </c>
      <c r="L87" s="13">
        <f>IF($D87="","",IFERROR(INDEX(Profile!$K$5:$K$304,MATCH($D87,lst_Profil,0))+0,""))</f>
        <v/>
      </c>
      <c r="M87" s="26">
        <f>IF($D87="","",IFERROR(INDEX(Profile!$E$5:$E$304,MATCH($D87,lst_Profil,0))+0,""))</f>
        <v/>
      </c>
      <c r="N87" s="27">
        <f>IF(OR(L87="",$E87=""),"",IFERROR(L87*INDEX(Werkstoffe!$E$5:$E$304,MATCH($E87,lst_Werkstoff,0))/1000,""))</f>
        <v/>
      </c>
      <c r="O87" s="27">
        <f>IF(OR(N87="",$F87=""),"",N87*$F87/1000)</f>
        <v/>
      </c>
      <c r="P87" s="16">
        <f>IF(OR($F87="",$G87=""),"",$F87*$G87)</f>
        <v/>
      </c>
      <c r="Q87" s="16">
        <f>IF($D87="","",IF($J87&lt;&gt;"",$J87,$C$9))</f>
        <v/>
      </c>
      <c r="R87" s="12">
        <f>IF($D87="","",IFERROR(IF(INDEX(Profile!$G$5:$G$304,MATCH($D87,lst_Profil,0))&lt;&gt;"",INDEX(Profile!$G$5:$G$304,MATCH($D87,lst_Profil,0)),$H$4),$H$4))</f>
        <v/>
      </c>
      <c r="S87" s="12">
        <f>IF($D87="","",IFERROR(IF(INDEX(Profile!$H$5:$H$304,MATCH($D87,lst_Profil,0))&lt;&gt;"",INDEX(Profile!$H$5:$H$304,MATCH($D87,lst_Profil,0)),$H$5),$H$5))</f>
        <v/>
      </c>
      <c r="T87" s="16">
        <f>IF(OR(Q87="",NOT(ISNUMBER(R87)),NOT(ISNUMBER(S87))),"",Q87-R87-S87)</f>
        <v/>
      </c>
      <c r="U87" s="28">
        <f>IF(OR($D87="",$E87=""),"",IF(OR(N($AP87)&gt;0,COUNTIFS(Preise!$A$5:$A$304,$D87,Preise!$B$5:$B$304,$E87,Preise!$I$5:$I$304,"OK")&gt;0,N(INDEX(Werkstoffe!$G$5:$G$304,MATCH($E87,lst_Werkstoff,0)))&gt;0),"ja","nein"))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28">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Materialpreis",IF(AND($AQ87&lt;&gt;"",N($AR87)&gt;0,MOD($G87,$AR87)&lt;&gt;0),"WARNUNG: Stückzahl ist kein Vielfaches von Stück je Satz",IF($H87="","HINWEIS: Schneidweg fehlt",IF(V87="","HINWEIS: keine Schneiddaten",IF(AND($AF87&lt;&gt;"",$AG87=""),"HINWEIS: Gewinde-Vorschlag prüfen","OK")))))))))))))))</f>
        <v/>
      </c>
      <c r="X87" s="18">
        <f>IF(OR(O87="",$G87=""),"",O87*$G87)</f>
        <v/>
      </c>
      <c r="Y87" s="9" t="n"/>
      <c r="Z87" s="23" t="n"/>
      <c r="AA87" s="9" t="n"/>
      <c r="AB87" s="23" t="n"/>
      <c r="AC87" s="23" t="n"/>
      <c r="AD87" s="23" t="n"/>
      <c r="AE87" s="9" t="n"/>
      <c r="AF87" s="9" t="n"/>
      <c r="AG87" s="9" t="n"/>
      <c r="AH87" s="24" t="n"/>
      <c r="AI87" s="23" t="n"/>
      <c r="AJ87" s="24" t="n"/>
      <c r="AK87" s="23" t="n"/>
      <c r="AL87" s="24" t="n"/>
      <c r="AM87" s="23" t="n"/>
      <c r="AN87" s="28">
        <f>IF($D87="","",COUNTIFS(Stangenbelegung!$E$5:$E$10004,ROW()))</f>
        <v/>
      </c>
      <c r="AO87" s="28">
        <f>IF(OR($G87="",COUNTA(Stangenbelegung!$A$5:$A$10004)=0),"",$G87-AN87)</f>
        <v/>
      </c>
      <c r="AP87" s="29" t="n"/>
      <c r="AQ87" s="9" t="n"/>
      <c r="AR87" s="19" t="n"/>
    </row>
    <row r="88">
      <c r="A88" s="9" t="n"/>
      <c r="B88" s="9" t="n"/>
      <c r="C88" s="9" t="n"/>
      <c r="D88" s="9" t="n"/>
      <c r="E88" s="9" t="n"/>
      <c r="F88" s="23" t="n"/>
      <c r="G88" s="19" t="n"/>
      <c r="H88" s="23" t="n"/>
      <c r="I88" s="24" t="n"/>
      <c r="J88" s="19" t="n"/>
      <c r="K88" s="25">
        <f>IF($D88="","",IFERROR(INDEX(Profile!$B$5:$B$304,MATCH($D88,lst_Profil,0)),""))</f>
        <v/>
      </c>
      <c r="L88" s="13">
        <f>IF($D88="","",IFERROR(INDEX(Profile!$K$5:$K$304,MATCH($D88,lst_Profil,0))+0,""))</f>
        <v/>
      </c>
      <c r="M88" s="26">
        <f>IF($D88="","",IFERROR(INDEX(Profile!$E$5:$E$304,MATCH($D88,lst_Profil,0))+0,""))</f>
        <v/>
      </c>
      <c r="N88" s="27">
        <f>IF(OR(L88="",$E88=""),"",IFERROR(L88*INDEX(Werkstoffe!$E$5:$E$304,MATCH($E88,lst_Werkstoff,0))/1000,""))</f>
        <v/>
      </c>
      <c r="O88" s="27">
        <f>IF(OR(N88="",$F88=""),"",N88*$F88/1000)</f>
        <v/>
      </c>
      <c r="P88" s="16">
        <f>IF(OR($F88="",$G88=""),"",$F88*$G88)</f>
        <v/>
      </c>
      <c r="Q88" s="16">
        <f>IF($D88="","",IF($J88&lt;&gt;"",$J88,$C$9))</f>
        <v/>
      </c>
      <c r="R88" s="12">
        <f>IF($D88="","",IFERROR(IF(INDEX(Profile!$G$5:$G$304,MATCH($D88,lst_Profil,0))&lt;&gt;"",INDEX(Profile!$G$5:$G$304,MATCH($D88,lst_Profil,0)),$H$4),$H$4))</f>
        <v/>
      </c>
      <c r="S88" s="12">
        <f>IF($D88="","",IFERROR(IF(INDEX(Profile!$H$5:$H$304,MATCH($D88,lst_Profil,0))&lt;&gt;"",INDEX(Profile!$H$5:$H$304,MATCH($D88,lst_Profil,0)),$H$5),$H$5))</f>
        <v/>
      </c>
      <c r="T88" s="16">
        <f>IF(OR(Q88="",NOT(ISNUMBER(R88)),NOT(ISNUMBER(S88))),"",Q88-R88-S88)</f>
        <v/>
      </c>
      <c r="U88" s="28">
        <f>IF(OR($D88="",$E88=""),"",IF(OR(N($AP88)&gt;0,COUNTIFS(Preise!$A$5:$A$304,$D88,Preise!$B$5:$B$304,$E88,Preise!$I$5:$I$304,"OK")&gt;0,N(INDEX(Werkstoffe!$G$5:$G$304,MATCH($E88,lst_Werkstoff,0)))&gt;0),"ja","nein"))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28">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Materialpreis",IF(AND($AQ88&lt;&gt;"",N($AR88)&gt;0,MOD($G88,$AR88)&lt;&gt;0),"WARNUNG: Stückzahl ist kein Vielfaches von Stück je Satz",IF($H88="","HINWEIS: Schneidweg fehlt",IF(V88="","HINWEIS: keine Schneiddaten",IF(AND($AF88&lt;&gt;"",$AG88=""),"HINWEIS: Gewinde-Vorschlag prüfen","OK")))))))))))))))</f>
        <v/>
      </c>
      <c r="X88" s="18">
        <f>IF(OR(O88="",$G88=""),"",O88*$G88)</f>
        <v/>
      </c>
      <c r="Y88" s="9" t="n"/>
      <c r="Z88" s="23" t="n"/>
      <c r="AA88" s="9" t="n"/>
      <c r="AB88" s="23" t="n"/>
      <c r="AC88" s="23" t="n"/>
      <c r="AD88" s="23" t="n"/>
      <c r="AE88" s="9" t="n"/>
      <c r="AF88" s="9" t="n"/>
      <c r="AG88" s="9" t="n"/>
      <c r="AH88" s="24" t="n"/>
      <c r="AI88" s="23" t="n"/>
      <c r="AJ88" s="24" t="n"/>
      <c r="AK88" s="23" t="n"/>
      <c r="AL88" s="24" t="n"/>
      <c r="AM88" s="23" t="n"/>
      <c r="AN88" s="28">
        <f>IF($D88="","",COUNTIFS(Stangenbelegung!$E$5:$E$10004,ROW()))</f>
        <v/>
      </c>
      <c r="AO88" s="28">
        <f>IF(OR($G88="",COUNTA(Stangenbelegung!$A$5:$A$10004)=0),"",$G88-AN88)</f>
        <v/>
      </c>
      <c r="AP88" s="29" t="n"/>
      <c r="AQ88" s="9" t="n"/>
      <c r="AR88" s="19" t="n"/>
    </row>
    <row r="89">
      <c r="A89" s="9" t="n"/>
      <c r="B89" s="9" t="n"/>
      <c r="C89" s="9" t="n"/>
      <c r="D89" s="9" t="n"/>
      <c r="E89" s="9" t="n"/>
      <c r="F89" s="23" t="n"/>
      <c r="G89" s="19" t="n"/>
      <c r="H89" s="23" t="n"/>
      <c r="I89" s="24" t="n"/>
      <c r="J89" s="19" t="n"/>
      <c r="K89" s="25">
        <f>IF($D89="","",IFERROR(INDEX(Profile!$B$5:$B$304,MATCH($D89,lst_Profil,0)),""))</f>
        <v/>
      </c>
      <c r="L89" s="13">
        <f>IF($D89="","",IFERROR(INDEX(Profile!$K$5:$K$304,MATCH($D89,lst_Profil,0))+0,""))</f>
        <v/>
      </c>
      <c r="M89" s="26">
        <f>IF($D89="","",IFERROR(INDEX(Profile!$E$5:$E$304,MATCH($D89,lst_Profil,0))+0,""))</f>
        <v/>
      </c>
      <c r="N89" s="27">
        <f>IF(OR(L89="",$E89=""),"",IFERROR(L89*INDEX(Werkstoffe!$E$5:$E$304,MATCH($E89,lst_Werkstoff,0))/1000,""))</f>
        <v/>
      </c>
      <c r="O89" s="27">
        <f>IF(OR(N89="",$F89=""),"",N89*$F89/1000)</f>
        <v/>
      </c>
      <c r="P89" s="16">
        <f>IF(OR($F89="",$G89=""),"",$F89*$G89)</f>
        <v/>
      </c>
      <c r="Q89" s="16">
        <f>IF($D89="","",IF($J89&lt;&gt;"",$J89,$C$9))</f>
        <v/>
      </c>
      <c r="R89" s="12">
        <f>IF($D89="","",IFERROR(IF(INDEX(Profile!$G$5:$G$304,MATCH($D89,lst_Profil,0))&lt;&gt;"",INDEX(Profile!$G$5:$G$304,MATCH($D89,lst_Profil,0)),$H$4),$H$4))</f>
        <v/>
      </c>
      <c r="S89" s="12">
        <f>IF($D89="","",IFERROR(IF(INDEX(Profile!$H$5:$H$304,MATCH($D89,lst_Profil,0))&lt;&gt;"",INDEX(Profile!$H$5:$H$304,MATCH($D89,lst_Profil,0)),$H$5),$H$5))</f>
        <v/>
      </c>
      <c r="T89" s="16">
        <f>IF(OR(Q89="",NOT(ISNUMBER(R89)),NOT(ISNUMBER(S89))),"",Q89-R89-S89)</f>
        <v/>
      </c>
      <c r="U89" s="28">
        <f>IF(OR($D89="",$E89=""),"",IF(OR(N($AP89)&gt;0,COUNTIFS(Preise!$A$5:$A$304,$D89,Preise!$B$5:$B$304,$E89,Preise!$I$5:$I$304,"OK")&gt;0,N(INDEX(Werkstoffe!$G$5:$G$304,MATCH($E89,lst_Werkstoff,0)))&gt;0),"ja","nein"))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28">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Materialpreis",IF(AND($AQ89&lt;&gt;"",N($AR89)&gt;0,MOD($G89,$AR89)&lt;&gt;0),"WARNUNG: Stückzahl ist kein Vielfaches von Stück je Satz",IF($H89="","HINWEIS: Schneidweg fehlt",IF(V89="","HINWEIS: keine Schneiddaten",IF(AND($AF89&lt;&gt;"",$AG89=""),"HINWEIS: Gewinde-Vorschlag prüfen","OK")))))))))))))))</f>
        <v/>
      </c>
      <c r="X89" s="18">
        <f>IF(OR(O89="",$G89=""),"",O89*$G89)</f>
        <v/>
      </c>
      <c r="Y89" s="9" t="n"/>
      <c r="Z89" s="23" t="n"/>
      <c r="AA89" s="9" t="n"/>
      <c r="AB89" s="23" t="n"/>
      <c r="AC89" s="23" t="n"/>
      <c r="AD89" s="23" t="n"/>
      <c r="AE89" s="9" t="n"/>
      <c r="AF89" s="9" t="n"/>
      <c r="AG89" s="9" t="n"/>
      <c r="AH89" s="24" t="n"/>
      <c r="AI89" s="23" t="n"/>
      <c r="AJ89" s="24" t="n"/>
      <c r="AK89" s="23" t="n"/>
      <c r="AL89" s="24" t="n"/>
      <c r="AM89" s="23" t="n"/>
      <c r="AN89" s="28">
        <f>IF($D89="","",COUNTIFS(Stangenbelegung!$E$5:$E$10004,ROW()))</f>
        <v/>
      </c>
      <c r="AO89" s="28">
        <f>IF(OR($G89="",COUNTA(Stangenbelegung!$A$5:$A$10004)=0),"",$G89-AN89)</f>
        <v/>
      </c>
      <c r="AP89" s="29" t="n"/>
      <c r="AQ89" s="9" t="n"/>
      <c r="AR89" s="19" t="n"/>
    </row>
    <row r="90">
      <c r="A90" s="9" t="n"/>
      <c r="B90" s="9" t="n"/>
      <c r="C90" s="9" t="n"/>
      <c r="D90" s="9" t="n"/>
      <c r="E90" s="9" t="n"/>
      <c r="F90" s="23" t="n"/>
      <c r="G90" s="19" t="n"/>
      <c r="H90" s="23" t="n"/>
      <c r="I90" s="24" t="n"/>
      <c r="J90" s="19" t="n"/>
      <c r="K90" s="25">
        <f>IF($D90="","",IFERROR(INDEX(Profile!$B$5:$B$304,MATCH($D90,lst_Profil,0)),""))</f>
        <v/>
      </c>
      <c r="L90" s="13">
        <f>IF($D90="","",IFERROR(INDEX(Profile!$K$5:$K$304,MATCH($D90,lst_Profil,0))+0,""))</f>
        <v/>
      </c>
      <c r="M90" s="26">
        <f>IF($D90="","",IFERROR(INDEX(Profile!$E$5:$E$304,MATCH($D90,lst_Profil,0))+0,""))</f>
        <v/>
      </c>
      <c r="N90" s="27">
        <f>IF(OR(L90="",$E90=""),"",IFERROR(L90*INDEX(Werkstoffe!$E$5:$E$304,MATCH($E90,lst_Werkstoff,0))/1000,""))</f>
        <v/>
      </c>
      <c r="O90" s="27">
        <f>IF(OR(N90="",$F90=""),"",N90*$F90/1000)</f>
        <v/>
      </c>
      <c r="P90" s="16">
        <f>IF(OR($F90="",$G90=""),"",$F90*$G90)</f>
        <v/>
      </c>
      <c r="Q90" s="16">
        <f>IF($D90="","",IF($J90&lt;&gt;"",$J90,$C$9))</f>
        <v/>
      </c>
      <c r="R90" s="12">
        <f>IF($D90="","",IFERROR(IF(INDEX(Profile!$G$5:$G$304,MATCH($D90,lst_Profil,0))&lt;&gt;"",INDEX(Profile!$G$5:$G$304,MATCH($D90,lst_Profil,0)),$H$4),$H$4))</f>
        <v/>
      </c>
      <c r="S90" s="12">
        <f>IF($D90="","",IFERROR(IF(INDEX(Profile!$H$5:$H$304,MATCH($D90,lst_Profil,0))&lt;&gt;"",INDEX(Profile!$H$5:$H$304,MATCH($D90,lst_Profil,0)),$H$5),$H$5))</f>
        <v/>
      </c>
      <c r="T90" s="16">
        <f>IF(OR(Q90="",NOT(ISNUMBER(R90)),NOT(ISNUMBER(S90))),"",Q90-R90-S90)</f>
        <v/>
      </c>
      <c r="U90" s="28">
        <f>IF(OR($D90="",$E90=""),"",IF(OR(N($AP90)&gt;0,COUNTIFS(Preise!$A$5:$A$304,$D90,Preise!$B$5:$B$304,$E90,Preise!$I$5:$I$304,"OK")&gt;0,N(INDEX(Werkstoffe!$G$5:$G$304,MATCH($E90,lst_Werkstoff,0)))&gt;0),"ja","nein"))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28">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Materialpreis",IF(AND($AQ90&lt;&gt;"",N($AR90)&gt;0,MOD($G90,$AR90)&lt;&gt;0),"WARNUNG: Stückzahl ist kein Vielfaches von Stück je Satz",IF($H90="","HINWEIS: Schneidweg fehlt",IF(V90="","HINWEIS: keine Schneiddaten",IF(AND($AF90&lt;&gt;"",$AG90=""),"HINWEIS: Gewinde-Vorschlag prüfen","OK")))))))))))))))</f>
        <v/>
      </c>
      <c r="X90" s="18">
        <f>IF(OR(O90="",$G90=""),"",O90*$G90)</f>
        <v/>
      </c>
      <c r="Y90" s="9" t="n"/>
      <c r="Z90" s="23" t="n"/>
      <c r="AA90" s="9" t="n"/>
      <c r="AB90" s="23" t="n"/>
      <c r="AC90" s="23" t="n"/>
      <c r="AD90" s="23" t="n"/>
      <c r="AE90" s="9" t="n"/>
      <c r="AF90" s="9" t="n"/>
      <c r="AG90" s="9" t="n"/>
      <c r="AH90" s="24" t="n"/>
      <c r="AI90" s="23" t="n"/>
      <c r="AJ90" s="24" t="n"/>
      <c r="AK90" s="23" t="n"/>
      <c r="AL90" s="24" t="n"/>
      <c r="AM90" s="23" t="n"/>
      <c r="AN90" s="28">
        <f>IF($D90="","",COUNTIFS(Stangenbelegung!$E$5:$E$10004,ROW()))</f>
        <v/>
      </c>
      <c r="AO90" s="28">
        <f>IF(OR($G90="",COUNTA(Stangenbelegung!$A$5:$A$10004)=0),"",$G90-AN90)</f>
        <v/>
      </c>
      <c r="AP90" s="29" t="n"/>
      <c r="AQ90" s="9" t="n"/>
      <c r="AR90" s="19" t="n"/>
    </row>
    <row r="91">
      <c r="A91" s="9" t="n"/>
      <c r="B91" s="9" t="n"/>
      <c r="C91" s="9" t="n"/>
      <c r="D91" s="9" t="n"/>
      <c r="E91" s="9" t="n"/>
      <c r="F91" s="23" t="n"/>
      <c r="G91" s="19" t="n"/>
      <c r="H91" s="23" t="n"/>
      <c r="I91" s="24" t="n"/>
      <c r="J91" s="19" t="n"/>
      <c r="K91" s="25">
        <f>IF($D91="","",IFERROR(INDEX(Profile!$B$5:$B$304,MATCH($D91,lst_Profil,0)),""))</f>
        <v/>
      </c>
      <c r="L91" s="13">
        <f>IF($D91="","",IFERROR(INDEX(Profile!$K$5:$K$304,MATCH($D91,lst_Profil,0))+0,""))</f>
        <v/>
      </c>
      <c r="M91" s="26">
        <f>IF($D91="","",IFERROR(INDEX(Profile!$E$5:$E$304,MATCH($D91,lst_Profil,0))+0,""))</f>
        <v/>
      </c>
      <c r="N91" s="27">
        <f>IF(OR(L91="",$E91=""),"",IFERROR(L91*INDEX(Werkstoffe!$E$5:$E$304,MATCH($E91,lst_Werkstoff,0))/1000,""))</f>
        <v/>
      </c>
      <c r="O91" s="27">
        <f>IF(OR(N91="",$F91=""),"",N91*$F91/1000)</f>
        <v/>
      </c>
      <c r="P91" s="16">
        <f>IF(OR($F91="",$G91=""),"",$F91*$G91)</f>
        <v/>
      </c>
      <c r="Q91" s="16">
        <f>IF($D91="","",IF($J91&lt;&gt;"",$J91,$C$9))</f>
        <v/>
      </c>
      <c r="R91" s="12">
        <f>IF($D91="","",IFERROR(IF(INDEX(Profile!$G$5:$G$304,MATCH($D91,lst_Profil,0))&lt;&gt;"",INDEX(Profile!$G$5:$G$304,MATCH($D91,lst_Profil,0)),$H$4),$H$4))</f>
        <v/>
      </c>
      <c r="S91" s="12">
        <f>IF($D91="","",IFERROR(IF(INDEX(Profile!$H$5:$H$304,MATCH($D91,lst_Profil,0))&lt;&gt;"",INDEX(Profile!$H$5:$H$304,MATCH($D91,lst_Profil,0)),$H$5),$H$5))</f>
        <v/>
      </c>
      <c r="T91" s="16">
        <f>IF(OR(Q91="",NOT(ISNUMBER(R91)),NOT(ISNUMBER(S91))),"",Q91-R91-S91)</f>
        <v/>
      </c>
      <c r="U91" s="28">
        <f>IF(OR($D91="",$E91=""),"",IF(OR(N($AP91)&gt;0,COUNTIFS(Preise!$A$5:$A$304,$D91,Preise!$B$5:$B$304,$E91,Preise!$I$5:$I$304,"OK")&gt;0,N(INDEX(Werkstoffe!$G$5:$G$304,MATCH($E91,lst_Werkstoff,0)))&gt;0),"ja","nein"))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28">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Materialpreis",IF(AND($AQ91&lt;&gt;"",N($AR91)&gt;0,MOD($G91,$AR91)&lt;&gt;0),"WARNUNG: Stückzahl ist kein Vielfaches von Stück je Satz",IF($H91="","HINWEIS: Schneidweg fehlt",IF(V91="","HINWEIS: keine Schneiddaten",IF(AND($AF91&lt;&gt;"",$AG91=""),"HINWEIS: Gewinde-Vorschlag prüfen","OK")))))))))))))))</f>
        <v/>
      </c>
      <c r="X91" s="18">
        <f>IF(OR(O91="",$G91=""),"",O91*$G91)</f>
        <v/>
      </c>
      <c r="Y91" s="9" t="n"/>
      <c r="Z91" s="23" t="n"/>
      <c r="AA91" s="9" t="n"/>
      <c r="AB91" s="23" t="n"/>
      <c r="AC91" s="23" t="n"/>
      <c r="AD91" s="23" t="n"/>
      <c r="AE91" s="9" t="n"/>
      <c r="AF91" s="9" t="n"/>
      <c r="AG91" s="9" t="n"/>
      <c r="AH91" s="24" t="n"/>
      <c r="AI91" s="23" t="n"/>
      <c r="AJ91" s="24" t="n"/>
      <c r="AK91" s="23" t="n"/>
      <c r="AL91" s="24" t="n"/>
      <c r="AM91" s="23" t="n"/>
      <c r="AN91" s="28">
        <f>IF($D91="","",COUNTIFS(Stangenbelegung!$E$5:$E$10004,ROW()))</f>
        <v/>
      </c>
      <c r="AO91" s="28">
        <f>IF(OR($G91="",COUNTA(Stangenbelegung!$A$5:$A$10004)=0),"",$G91-AN91)</f>
        <v/>
      </c>
      <c r="AP91" s="29" t="n"/>
      <c r="AQ91" s="9" t="n"/>
      <c r="AR91" s="19" t="n"/>
    </row>
    <row r="92">
      <c r="A92" s="9" t="n"/>
      <c r="B92" s="9" t="n"/>
      <c r="C92" s="9" t="n"/>
      <c r="D92" s="9" t="n"/>
      <c r="E92" s="9" t="n"/>
      <c r="F92" s="23" t="n"/>
      <c r="G92" s="19" t="n"/>
      <c r="H92" s="23" t="n"/>
      <c r="I92" s="24" t="n"/>
      <c r="J92" s="19" t="n"/>
      <c r="K92" s="25">
        <f>IF($D92="","",IFERROR(INDEX(Profile!$B$5:$B$304,MATCH($D92,lst_Profil,0)),""))</f>
        <v/>
      </c>
      <c r="L92" s="13">
        <f>IF($D92="","",IFERROR(INDEX(Profile!$K$5:$K$304,MATCH($D92,lst_Profil,0))+0,""))</f>
        <v/>
      </c>
      <c r="M92" s="26">
        <f>IF($D92="","",IFERROR(INDEX(Profile!$E$5:$E$304,MATCH($D92,lst_Profil,0))+0,""))</f>
        <v/>
      </c>
      <c r="N92" s="27">
        <f>IF(OR(L92="",$E92=""),"",IFERROR(L92*INDEX(Werkstoffe!$E$5:$E$304,MATCH($E92,lst_Werkstoff,0))/1000,""))</f>
        <v/>
      </c>
      <c r="O92" s="27">
        <f>IF(OR(N92="",$F92=""),"",N92*$F92/1000)</f>
        <v/>
      </c>
      <c r="P92" s="16">
        <f>IF(OR($F92="",$G92=""),"",$F92*$G92)</f>
        <v/>
      </c>
      <c r="Q92" s="16">
        <f>IF($D92="","",IF($J92&lt;&gt;"",$J92,$C$9))</f>
        <v/>
      </c>
      <c r="R92" s="12">
        <f>IF($D92="","",IFERROR(IF(INDEX(Profile!$G$5:$G$304,MATCH($D92,lst_Profil,0))&lt;&gt;"",INDEX(Profile!$G$5:$G$304,MATCH($D92,lst_Profil,0)),$H$4),$H$4))</f>
        <v/>
      </c>
      <c r="S92" s="12">
        <f>IF($D92="","",IFERROR(IF(INDEX(Profile!$H$5:$H$304,MATCH($D92,lst_Profil,0))&lt;&gt;"",INDEX(Profile!$H$5:$H$304,MATCH($D92,lst_Profil,0)),$H$5),$H$5))</f>
        <v/>
      </c>
      <c r="T92" s="16">
        <f>IF(OR(Q92="",NOT(ISNUMBER(R92)),NOT(ISNUMBER(S92))),"",Q92-R92-S92)</f>
        <v/>
      </c>
      <c r="U92" s="28">
        <f>IF(OR($D92="",$E92=""),"",IF(OR(N($AP92)&gt;0,COUNTIFS(Preise!$A$5:$A$304,$D92,Preise!$B$5:$B$304,$E92,Preise!$I$5:$I$304,"OK")&gt;0,N(INDEX(Werkstoffe!$G$5:$G$304,MATCH($E92,lst_Werkstoff,0)))&gt;0),"ja","nein"))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28">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Materialpreis",IF(AND($AQ92&lt;&gt;"",N($AR92)&gt;0,MOD($G92,$AR92)&lt;&gt;0),"WARNUNG: Stückzahl ist kein Vielfaches von Stück je Satz",IF($H92="","HINWEIS: Schneidweg fehlt",IF(V92="","HINWEIS: keine Schneiddaten",IF(AND($AF92&lt;&gt;"",$AG92=""),"HINWEIS: Gewinde-Vorschlag prüfen","OK")))))))))))))))</f>
        <v/>
      </c>
      <c r="X92" s="18">
        <f>IF(OR(O92="",$G92=""),"",O92*$G92)</f>
        <v/>
      </c>
      <c r="Y92" s="9" t="n"/>
      <c r="Z92" s="23" t="n"/>
      <c r="AA92" s="9" t="n"/>
      <c r="AB92" s="23" t="n"/>
      <c r="AC92" s="23" t="n"/>
      <c r="AD92" s="23" t="n"/>
      <c r="AE92" s="9" t="n"/>
      <c r="AF92" s="9" t="n"/>
      <c r="AG92" s="9" t="n"/>
      <c r="AH92" s="24" t="n"/>
      <c r="AI92" s="23" t="n"/>
      <c r="AJ92" s="24" t="n"/>
      <c r="AK92" s="23" t="n"/>
      <c r="AL92" s="24" t="n"/>
      <c r="AM92" s="23" t="n"/>
      <c r="AN92" s="28">
        <f>IF($D92="","",COUNTIFS(Stangenbelegung!$E$5:$E$10004,ROW()))</f>
        <v/>
      </c>
      <c r="AO92" s="28">
        <f>IF(OR($G92="",COUNTA(Stangenbelegung!$A$5:$A$10004)=0),"",$G92-AN92)</f>
        <v/>
      </c>
      <c r="AP92" s="29" t="n"/>
      <c r="AQ92" s="9" t="n"/>
      <c r="AR92" s="19" t="n"/>
    </row>
    <row r="93">
      <c r="A93" s="9" t="n"/>
      <c r="B93" s="9" t="n"/>
      <c r="C93" s="9" t="n"/>
      <c r="D93" s="9" t="n"/>
      <c r="E93" s="9" t="n"/>
      <c r="F93" s="23" t="n"/>
      <c r="G93" s="19" t="n"/>
      <c r="H93" s="23" t="n"/>
      <c r="I93" s="24" t="n"/>
      <c r="J93" s="19" t="n"/>
      <c r="K93" s="25">
        <f>IF($D93="","",IFERROR(INDEX(Profile!$B$5:$B$304,MATCH($D93,lst_Profil,0)),""))</f>
        <v/>
      </c>
      <c r="L93" s="13">
        <f>IF($D93="","",IFERROR(INDEX(Profile!$K$5:$K$304,MATCH($D93,lst_Profil,0))+0,""))</f>
        <v/>
      </c>
      <c r="M93" s="26">
        <f>IF($D93="","",IFERROR(INDEX(Profile!$E$5:$E$304,MATCH($D93,lst_Profil,0))+0,""))</f>
        <v/>
      </c>
      <c r="N93" s="27">
        <f>IF(OR(L93="",$E93=""),"",IFERROR(L93*INDEX(Werkstoffe!$E$5:$E$304,MATCH($E93,lst_Werkstoff,0))/1000,""))</f>
        <v/>
      </c>
      <c r="O93" s="27">
        <f>IF(OR(N93="",$F93=""),"",N93*$F93/1000)</f>
        <v/>
      </c>
      <c r="P93" s="16">
        <f>IF(OR($F93="",$G93=""),"",$F93*$G93)</f>
        <v/>
      </c>
      <c r="Q93" s="16">
        <f>IF($D93="","",IF($J93&lt;&gt;"",$J93,$C$9))</f>
        <v/>
      </c>
      <c r="R93" s="12">
        <f>IF($D93="","",IFERROR(IF(INDEX(Profile!$G$5:$G$304,MATCH($D93,lst_Profil,0))&lt;&gt;"",INDEX(Profile!$G$5:$G$304,MATCH($D93,lst_Profil,0)),$H$4),$H$4))</f>
        <v/>
      </c>
      <c r="S93" s="12">
        <f>IF($D93="","",IFERROR(IF(INDEX(Profile!$H$5:$H$304,MATCH($D93,lst_Profil,0))&lt;&gt;"",INDEX(Profile!$H$5:$H$304,MATCH($D93,lst_Profil,0)),$H$5),$H$5))</f>
        <v/>
      </c>
      <c r="T93" s="16">
        <f>IF(OR(Q93="",NOT(ISNUMBER(R93)),NOT(ISNUMBER(S93))),"",Q93-R93-S93)</f>
        <v/>
      </c>
      <c r="U93" s="28">
        <f>IF(OR($D93="",$E93=""),"",IF(OR(N($AP93)&gt;0,COUNTIFS(Preise!$A$5:$A$304,$D93,Preise!$B$5:$B$304,$E93,Preise!$I$5:$I$304,"OK")&gt;0,N(INDEX(Werkstoffe!$G$5:$G$304,MATCH($E93,lst_Werkstoff,0)))&gt;0),"ja","nein"))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28">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Materialpreis",IF(AND($AQ93&lt;&gt;"",N($AR93)&gt;0,MOD($G93,$AR93)&lt;&gt;0),"WARNUNG: Stückzahl ist kein Vielfaches von Stück je Satz",IF($H93="","HINWEIS: Schneidweg fehlt",IF(V93="","HINWEIS: keine Schneiddaten",IF(AND($AF93&lt;&gt;"",$AG93=""),"HINWEIS: Gewinde-Vorschlag prüfen","OK")))))))))))))))</f>
        <v/>
      </c>
      <c r="X93" s="18">
        <f>IF(OR(O93="",$G93=""),"",O93*$G93)</f>
        <v/>
      </c>
      <c r="Y93" s="9" t="n"/>
      <c r="Z93" s="23" t="n"/>
      <c r="AA93" s="9" t="n"/>
      <c r="AB93" s="23" t="n"/>
      <c r="AC93" s="23" t="n"/>
      <c r="AD93" s="23" t="n"/>
      <c r="AE93" s="9" t="n"/>
      <c r="AF93" s="9" t="n"/>
      <c r="AG93" s="9" t="n"/>
      <c r="AH93" s="24" t="n"/>
      <c r="AI93" s="23" t="n"/>
      <c r="AJ93" s="24" t="n"/>
      <c r="AK93" s="23" t="n"/>
      <c r="AL93" s="24" t="n"/>
      <c r="AM93" s="23" t="n"/>
      <c r="AN93" s="28">
        <f>IF($D93="","",COUNTIFS(Stangenbelegung!$E$5:$E$10004,ROW()))</f>
        <v/>
      </c>
      <c r="AO93" s="28">
        <f>IF(OR($G93="",COUNTA(Stangenbelegung!$A$5:$A$10004)=0),"",$G93-AN93)</f>
        <v/>
      </c>
      <c r="AP93" s="29" t="n"/>
      <c r="AQ93" s="9" t="n"/>
      <c r="AR93" s="19" t="n"/>
    </row>
    <row r="94">
      <c r="A94" s="9" t="n"/>
      <c r="B94" s="9" t="n"/>
      <c r="C94" s="9" t="n"/>
      <c r="D94" s="9" t="n"/>
      <c r="E94" s="9" t="n"/>
      <c r="F94" s="23" t="n"/>
      <c r="G94" s="19" t="n"/>
      <c r="H94" s="23" t="n"/>
      <c r="I94" s="24" t="n"/>
      <c r="J94" s="19" t="n"/>
      <c r="K94" s="25">
        <f>IF($D94="","",IFERROR(INDEX(Profile!$B$5:$B$304,MATCH($D94,lst_Profil,0)),""))</f>
        <v/>
      </c>
      <c r="L94" s="13">
        <f>IF($D94="","",IFERROR(INDEX(Profile!$K$5:$K$304,MATCH($D94,lst_Profil,0))+0,""))</f>
        <v/>
      </c>
      <c r="M94" s="26">
        <f>IF($D94="","",IFERROR(INDEX(Profile!$E$5:$E$304,MATCH($D94,lst_Profil,0))+0,""))</f>
        <v/>
      </c>
      <c r="N94" s="27">
        <f>IF(OR(L94="",$E94=""),"",IFERROR(L94*INDEX(Werkstoffe!$E$5:$E$304,MATCH($E94,lst_Werkstoff,0))/1000,""))</f>
        <v/>
      </c>
      <c r="O94" s="27">
        <f>IF(OR(N94="",$F94=""),"",N94*$F94/1000)</f>
        <v/>
      </c>
      <c r="P94" s="16">
        <f>IF(OR($F94="",$G94=""),"",$F94*$G94)</f>
        <v/>
      </c>
      <c r="Q94" s="16">
        <f>IF($D94="","",IF($J94&lt;&gt;"",$J94,$C$9))</f>
        <v/>
      </c>
      <c r="R94" s="12">
        <f>IF($D94="","",IFERROR(IF(INDEX(Profile!$G$5:$G$304,MATCH($D94,lst_Profil,0))&lt;&gt;"",INDEX(Profile!$G$5:$G$304,MATCH($D94,lst_Profil,0)),$H$4),$H$4))</f>
        <v/>
      </c>
      <c r="S94" s="12">
        <f>IF($D94="","",IFERROR(IF(INDEX(Profile!$H$5:$H$304,MATCH($D94,lst_Profil,0))&lt;&gt;"",INDEX(Profile!$H$5:$H$304,MATCH($D94,lst_Profil,0)),$H$5),$H$5))</f>
        <v/>
      </c>
      <c r="T94" s="16">
        <f>IF(OR(Q94="",NOT(ISNUMBER(R94)),NOT(ISNUMBER(S94))),"",Q94-R94-S94)</f>
        <v/>
      </c>
      <c r="U94" s="28">
        <f>IF(OR($D94="",$E94=""),"",IF(OR(N($AP94)&gt;0,COUNTIFS(Preise!$A$5:$A$304,$D94,Preise!$B$5:$B$304,$E94,Preise!$I$5:$I$304,"OK")&gt;0,N(INDEX(Werkstoffe!$G$5:$G$304,MATCH($E94,lst_Werkstoff,0)))&gt;0),"ja","nein"))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28">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Materialpreis",IF(AND($AQ94&lt;&gt;"",N($AR94)&gt;0,MOD($G94,$AR94)&lt;&gt;0),"WARNUNG: Stückzahl ist kein Vielfaches von Stück je Satz",IF($H94="","HINWEIS: Schneidweg fehlt",IF(V94="","HINWEIS: keine Schneiddaten",IF(AND($AF94&lt;&gt;"",$AG94=""),"HINWEIS: Gewinde-Vorschlag prüfen","OK")))))))))))))))</f>
        <v/>
      </c>
      <c r="X94" s="18">
        <f>IF(OR(O94="",$G94=""),"",O94*$G94)</f>
        <v/>
      </c>
      <c r="Y94" s="9" t="n"/>
      <c r="Z94" s="23" t="n"/>
      <c r="AA94" s="9" t="n"/>
      <c r="AB94" s="23" t="n"/>
      <c r="AC94" s="23" t="n"/>
      <c r="AD94" s="23" t="n"/>
      <c r="AE94" s="9" t="n"/>
      <c r="AF94" s="9" t="n"/>
      <c r="AG94" s="9" t="n"/>
      <c r="AH94" s="24" t="n"/>
      <c r="AI94" s="23" t="n"/>
      <c r="AJ94" s="24" t="n"/>
      <c r="AK94" s="23" t="n"/>
      <c r="AL94" s="24" t="n"/>
      <c r="AM94" s="23" t="n"/>
      <c r="AN94" s="28">
        <f>IF($D94="","",COUNTIFS(Stangenbelegung!$E$5:$E$10004,ROW()))</f>
        <v/>
      </c>
      <c r="AO94" s="28">
        <f>IF(OR($G94="",COUNTA(Stangenbelegung!$A$5:$A$10004)=0),"",$G94-AN94)</f>
        <v/>
      </c>
      <c r="AP94" s="29" t="n"/>
      <c r="AQ94" s="9" t="n"/>
      <c r="AR94" s="19" t="n"/>
    </row>
    <row r="95">
      <c r="A95" s="9" t="n"/>
      <c r="B95" s="9" t="n"/>
      <c r="C95" s="9" t="n"/>
      <c r="D95" s="9" t="n"/>
      <c r="E95" s="9" t="n"/>
      <c r="F95" s="23" t="n"/>
      <c r="G95" s="19" t="n"/>
      <c r="H95" s="23" t="n"/>
      <c r="I95" s="24" t="n"/>
      <c r="J95" s="19" t="n"/>
      <c r="K95" s="25">
        <f>IF($D95="","",IFERROR(INDEX(Profile!$B$5:$B$304,MATCH($D95,lst_Profil,0)),""))</f>
        <v/>
      </c>
      <c r="L95" s="13">
        <f>IF($D95="","",IFERROR(INDEX(Profile!$K$5:$K$304,MATCH($D95,lst_Profil,0))+0,""))</f>
        <v/>
      </c>
      <c r="M95" s="26">
        <f>IF($D95="","",IFERROR(INDEX(Profile!$E$5:$E$304,MATCH($D95,lst_Profil,0))+0,""))</f>
        <v/>
      </c>
      <c r="N95" s="27">
        <f>IF(OR(L95="",$E95=""),"",IFERROR(L95*INDEX(Werkstoffe!$E$5:$E$304,MATCH($E95,lst_Werkstoff,0))/1000,""))</f>
        <v/>
      </c>
      <c r="O95" s="27">
        <f>IF(OR(N95="",$F95=""),"",N95*$F95/1000)</f>
        <v/>
      </c>
      <c r="P95" s="16">
        <f>IF(OR($F95="",$G95=""),"",$F95*$G95)</f>
        <v/>
      </c>
      <c r="Q95" s="16">
        <f>IF($D95="","",IF($J95&lt;&gt;"",$J95,$C$9))</f>
        <v/>
      </c>
      <c r="R95" s="12">
        <f>IF($D95="","",IFERROR(IF(INDEX(Profile!$G$5:$G$304,MATCH($D95,lst_Profil,0))&lt;&gt;"",INDEX(Profile!$G$5:$G$304,MATCH($D95,lst_Profil,0)),$H$4),$H$4))</f>
        <v/>
      </c>
      <c r="S95" s="12">
        <f>IF($D95="","",IFERROR(IF(INDEX(Profile!$H$5:$H$304,MATCH($D95,lst_Profil,0))&lt;&gt;"",INDEX(Profile!$H$5:$H$304,MATCH($D95,lst_Profil,0)),$H$5),$H$5))</f>
        <v/>
      </c>
      <c r="T95" s="16">
        <f>IF(OR(Q95="",NOT(ISNUMBER(R95)),NOT(ISNUMBER(S95))),"",Q95-R95-S95)</f>
        <v/>
      </c>
      <c r="U95" s="28">
        <f>IF(OR($D95="",$E95=""),"",IF(OR(N($AP95)&gt;0,COUNTIFS(Preise!$A$5:$A$304,$D95,Preise!$B$5:$B$304,$E95,Preise!$I$5:$I$304,"OK")&gt;0,N(INDEX(Werkstoffe!$G$5:$G$304,MATCH($E95,lst_Werkstoff,0)))&gt;0),"ja","nein"))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28">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Materialpreis",IF(AND($AQ95&lt;&gt;"",N($AR95)&gt;0,MOD($G95,$AR95)&lt;&gt;0),"WARNUNG: Stückzahl ist kein Vielfaches von Stück je Satz",IF($H95="","HINWEIS: Schneidweg fehlt",IF(V95="","HINWEIS: keine Schneiddaten",IF(AND($AF95&lt;&gt;"",$AG95=""),"HINWEIS: Gewinde-Vorschlag prüfen","OK")))))))))))))))</f>
        <v/>
      </c>
      <c r="X95" s="18">
        <f>IF(OR(O95="",$G95=""),"",O95*$G95)</f>
        <v/>
      </c>
      <c r="Y95" s="9" t="n"/>
      <c r="Z95" s="23" t="n"/>
      <c r="AA95" s="9" t="n"/>
      <c r="AB95" s="23" t="n"/>
      <c r="AC95" s="23" t="n"/>
      <c r="AD95" s="23" t="n"/>
      <c r="AE95" s="9" t="n"/>
      <c r="AF95" s="9" t="n"/>
      <c r="AG95" s="9" t="n"/>
      <c r="AH95" s="24" t="n"/>
      <c r="AI95" s="23" t="n"/>
      <c r="AJ95" s="24" t="n"/>
      <c r="AK95" s="23" t="n"/>
      <c r="AL95" s="24" t="n"/>
      <c r="AM95" s="23" t="n"/>
      <c r="AN95" s="28">
        <f>IF($D95="","",COUNTIFS(Stangenbelegung!$E$5:$E$10004,ROW()))</f>
        <v/>
      </c>
      <c r="AO95" s="28">
        <f>IF(OR($G95="",COUNTA(Stangenbelegung!$A$5:$A$10004)=0),"",$G95-AN95)</f>
        <v/>
      </c>
      <c r="AP95" s="29" t="n"/>
      <c r="AQ95" s="9" t="n"/>
      <c r="AR95" s="19" t="n"/>
    </row>
    <row r="96">
      <c r="A96" s="9" t="n"/>
      <c r="B96" s="9" t="n"/>
      <c r="C96" s="9" t="n"/>
      <c r="D96" s="9" t="n"/>
      <c r="E96" s="9" t="n"/>
      <c r="F96" s="23" t="n"/>
      <c r="G96" s="19" t="n"/>
      <c r="H96" s="23" t="n"/>
      <c r="I96" s="24" t="n"/>
      <c r="J96" s="19" t="n"/>
      <c r="K96" s="25">
        <f>IF($D96="","",IFERROR(INDEX(Profile!$B$5:$B$304,MATCH($D96,lst_Profil,0)),""))</f>
        <v/>
      </c>
      <c r="L96" s="13">
        <f>IF($D96="","",IFERROR(INDEX(Profile!$K$5:$K$304,MATCH($D96,lst_Profil,0))+0,""))</f>
        <v/>
      </c>
      <c r="M96" s="26">
        <f>IF($D96="","",IFERROR(INDEX(Profile!$E$5:$E$304,MATCH($D96,lst_Profil,0))+0,""))</f>
        <v/>
      </c>
      <c r="N96" s="27">
        <f>IF(OR(L96="",$E96=""),"",IFERROR(L96*INDEX(Werkstoffe!$E$5:$E$304,MATCH($E96,lst_Werkstoff,0))/1000,""))</f>
        <v/>
      </c>
      <c r="O96" s="27">
        <f>IF(OR(N96="",$F96=""),"",N96*$F96/1000)</f>
        <v/>
      </c>
      <c r="P96" s="16">
        <f>IF(OR($F96="",$G96=""),"",$F96*$G96)</f>
        <v/>
      </c>
      <c r="Q96" s="16">
        <f>IF($D96="","",IF($J96&lt;&gt;"",$J96,$C$9))</f>
        <v/>
      </c>
      <c r="R96" s="12">
        <f>IF($D96="","",IFERROR(IF(INDEX(Profile!$G$5:$G$304,MATCH($D96,lst_Profil,0))&lt;&gt;"",INDEX(Profile!$G$5:$G$304,MATCH($D96,lst_Profil,0)),$H$4),$H$4))</f>
        <v/>
      </c>
      <c r="S96" s="12">
        <f>IF($D96="","",IFERROR(IF(INDEX(Profile!$H$5:$H$304,MATCH($D96,lst_Profil,0))&lt;&gt;"",INDEX(Profile!$H$5:$H$304,MATCH($D96,lst_Profil,0)),$H$5),$H$5))</f>
        <v/>
      </c>
      <c r="T96" s="16">
        <f>IF(OR(Q96="",NOT(ISNUMBER(R96)),NOT(ISNUMBER(S96))),"",Q96-R96-S96)</f>
        <v/>
      </c>
      <c r="U96" s="28">
        <f>IF(OR($D96="",$E96=""),"",IF(OR(N($AP96)&gt;0,COUNTIFS(Preise!$A$5:$A$304,$D96,Preise!$B$5:$B$304,$E96,Preise!$I$5:$I$304,"OK")&gt;0,N(INDEX(Werkstoffe!$G$5:$G$304,MATCH($E96,lst_Werkstoff,0)))&gt;0),"ja","nein"))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28">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Materialpreis",IF(AND($AQ96&lt;&gt;"",N($AR96)&gt;0,MOD($G96,$AR96)&lt;&gt;0),"WARNUNG: Stückzahl ist kein Vielfaches von Stück je Satz",IF($H96="","HINWEIS: Schneidweg fehlt",IF(V96="","HINWEIS: keine Schneiddaten",IF(AND($AF96&lt;&gt;"",$AG96=""),"HINWEIS: Gewinde-Vorschlag prüfen","OK")))))))))))))))</f>
        <v/>
      </c>
      <c r="X96" s="18">
        <f>IF(OR(O96="",$G96=""),"",O96*$G96)</f>
        <v/>
      </c>
      <c r="Y96" s="9" t="n"/>
      <c r="Z96" s="23" t="n"/>
      <c r="AA96" s="9" t="n"/>
      <c r="AB96" s="23" t="n"/>
      <c r="AC96" s="23" t="n"/>
      <c r="AD96" s="23" t="n"/>
      <c r="AE96" s="9" t="n"/>
      <c r="AF96" s="9" t="n"/>
      <c r="AG96" s="9" t="n"/>
      <c r="AH96" s="24" t="n"/>
      <c r="AI96" s="23" t="n"/>
      <c r="AJ96" s="24" t="n"/>
      <c r="AK96" s="23" t="n"/>
      <c r="AL96" s="24" t="n"/>
      <c r="AM96" s="23" t="n"/>
      <c r="AN96" s="28">
        <f>IF($D96="","",COUNTIFS(Stangenbelegung!$E$5:$E$10004,ROW()))</f>
        <v/>
      </c>
      <c r="AO96" s="28">
        <f>IF(OR($G96="",COUNTA(Stangenbelegung!$A$5:$A$10004)=0),"",$G96-AN96)</f>
        <v/>
      </c>
      <c r="AP96" s="29" t="n"/>
      <c r="AQ96" s="9" t="n"/>
      <c r="AR96" s="19" t="n"/>
    </row>
    <row r="97">
      <c r="A97" s="9" t="n"/>
      <c r="B97" s="9" t="n"/>
      <c r="C97" s="9" t="n"/>
      <c r="D97" s="9" t="n"/>
      <c r="E97" s="9" t="n"/>
      <c r="F97" s="23" t="n"/>
      <c r="G97" s="19" t="n"/>
      <c r="H97" s="23" t="n"/>
      <c r="I97" s="24" t="n"/>
      <c r="J97" s="19" t="n"/>
      <c r="K97" s="25">
        <f>IF($D97="","",IFERROR(INDEX(Profile!$B$5:$B$304,MATCH($D97,lst_Profil,0)),""))</f>
        <v/>
      </c>
      <c r="L97" s="13">
        <f>IF($D97="","",IFERROR(INDEX(Profile!$K$5:$K$304,MATCH($D97,lst_Profil,0))+0,""))</f>
        <v/>
      </c>
      <c r="M97" s="26">
        <f>IF($D97="","",IFERROR(INDEX(Profile!$E$5:$E$304,MATCH($D97,lst_Profil,0))+0,""))</f>
        <v/>
      </c>
      <c r="N97" s="27">
        <f>IF(OR(L97="",$E97=""),"",IFERROR(L97*INDEX(Werkstoffe!$E$5:$E$304,MATCH($E97,lst_Werkstoff,0))/1000,""))</f>
        <v/>
      </c>
      <c r="O97" s="27">
        <f>IF(OR(N97="",$F97=""),"",N97*$F97/1000)</f>
        <v/>
      </c>
      <c r="P97" s="16">
        <f>IF(OR($F97="",$G97=""),"",$F97*$G97)</f>
        <v/>
      </c>
      <c r="Q97" s="16">
        <f>IF($D97="","",IF($J97&lt;&gt;"",$J97,$C$9))</f>
        <v/>
      </c>
      <c r="R97" s="12">
        <f>IF($D97="","",IFERROR(IF(INDEX(Profile!$G$5:$G$304,MATCH($D97,lst_Profil,0))&lt;&gt;"",INDEX(Profile!$G$5:$G$304,MATCH($D97,lst_Profil,0)),$H$4),$H$4))</f>
        <v/>
      </c>
      <c r="S97" s="12">
        <f>IF($D97="","",IFERROR(IF(INDEX(Profile!$H$5:$H$304,MATCH($D97,lst_Profil,0))&lt;&gt;"",INDEX(Profile!$H$5:$H$304,MATCH($D97,lst_Profil,0)),$H$5),$H$5))</f>
        <v/>
      </c>
      <c r="T97" s="16">
        <f>IF(OR(Q97="",NOT(ISNUMBER(R97)),NOT(ISNUMBER(S97))),"",Q97-R97-S97)</f>
        <v/>
      </c>
      <c r="U97" s="28">
        <f>IF(OR($D97="",$E97=""),"",IF(OR(N($AP97)&gt;0,COUNTIFS(Preise!$A$5:$A$304,$D97,Preise!$B$5:$B$304,$E97,Preise!$I$5:$I$304,"OK")&gt;0,N(INDEX(Werkstoffe!$G$5:$G$304,MATCH($E97,lst_Werkstoff,0)))&gt;0),"ja","nein"))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28">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Materialpreis",IF(AND($AQ97&lt;&gt;"",N($AR97)&gt;0,MOD($G97,$AR97)&lt;&gt;0),"WARNUNG: Stückzahl ist kein Vielfaches von Stück je Satz",IF($H97="","HINWEIS: Schneidweg fehlt",IF(V97="","HINWEIS: keine Schneiddaten",IF(AND($AF97&lt;&gt;"",$AG97=""),"HINWEIS: Gewinde-Vorschlag prüfen","OK")))))))))))))))</f>
        <v/>
      </c>
      <c r="X97" s="18">
        <f>IF(OR(O97="",$G97=""),"",O97*$G97)</f>
        <v/>
      </c>
      <c r="Y97" s="9" t="n"/>
      <c r="Z97" s="23" t="n"/>
      <c r="AA97" s="9" t="n"/>
      <c r="AB97" s="23" t="n"/>
      <c r="AC97" s="23" t="n"/>
      <c r="AD97" s="23" t="n"/>
      <c r="AE97" s="9" t="n"/>
      <c r="AF97" s="9" t="n"/>
      <c r="AG97" s="9" t="n"/>
      <c r="AH97" s="24" t="n"/>
      <c r="AI97" s="23" t="n"/>
      <c r="AJ97" s="24" t="n"/>
      <c r="AK97" s="23" t="n"/>
      <c r="AL97" s="24" t="n"/>
      <c r="AM97" s="23" t="n"/>
      <c r="AN97" s="28">
        <f>IF($D97="","",COUNTIFS(Stangenbelegung!$E$5:$E$10004,ROW()))</f>
        <v/>
      </c>
      <c r="AO97" s="28">
        <f>IF(OR($G97="",COUNTA(Stangenbelegung!$A$5:$A$10004)=0),"",$G97-AN97)</f>
        <v/>
      </c>
      <c r="AP97" s="29" t="n"/>
      <c r="AQ97" s="9" t="n"/>
      <c r="AR97" s="19" t="n"/>
    </row>
    <row r="98">
      <c r="A98" s="9" t="n"/>
      <c r="B98" s="9" t="n"/>
      <c r="C98" s="9" t="n"/>
      <c r="D98" s="9" t="n"/>
      <c r="E98" s="9" t="n"/>
      <c r="F98" s="23" t="n"/>
      <c r="G98" s="19" t="n"/>
      <c r="H98" s="23" t="n"/>
      <c r="I98" s="24" t="n"/>
      <c r="J98" s="19" t="n"/>
      <c r="K98" s="25">
        <f>IF($D98="","",IFERROR(INDEX(Profile!$B$5:$B$304,MATCH($D98,lst_Profil,0)),""))</f>
        <v/>
      </c>
      <c r="L98" s="13">
        <f>IF($D98="","",IFERROR(INDEX(Profile!$K$5:$K$304,MATCH($D98,lst_Profil,0))+0,""))</f>
        <v/>
      </c>
      <c r="M98" s="26">
        <f>IF($D98="","",IFERROR(INDEX(Profile!$E$5:$E$304,MATCH($D98,lst_Profil,0))+0,""))</f>
        <v/>
      </c>
      <c r="N98" s="27">
        <f>IF(OR(L98="",$E98=""),"",IFERROR(L98*INDEX(Werkstoffe!$E$5:$E$304,MATCH($E98,lst_Werkstoff,0))/1000,""))</f>
        <v/>
      </c>
      <c r="O98" s="27">
        <f>IF(OR(N98="",$F98=""),"",N98*$F98/1000)</f>
        <v/>
      </c>
      <c r="P98" s="16">
        <f>IF(OR($F98="",$G98=""),"",$F98*$G98)</f>
        <v/>
      </c>
      <c r="Q98" s="16">
        <f>IF($D98="","",IF($J98&lt;&gt;"",$J98,$C$9))</f>
        <v/>
      </c>
      <c r="R98" s="12">
        <f>IF($D98="","",IFERROR(IF(INDEX(Profile!$G$5:$G$304,MATCH($D98,lst_Profil,0))&lt;&gt;"",INDEX(Profile!$G$5:$G$304,MATCH($D98,lst_Profil,0)),$H$4),$H$4))</f>
        <v/>
      </c>
      <c r="S98" s="12">
        <f>IF($D98="","",IFERROR(IF(INDEX(Profile!$H$5:$H$304,MATCH($D98,lst_Profil,0))&lt;&gt;"",INDEX(Profile!$H$5:$H$304,MATCH($D98,lst_Profil,0)),$H$5),$H$5))</f>
        <v/>
      </c>
      <c r="T98" s="16">
        <f>IF(OR(Q98="",NOT(ISNUMBER(R98)),NOT(ISNUMBER(S98))),"",Q98-R98-S98)</f>
        <v/>
      </c>
      <c r="U98" s="28">
        <f>IF(OR($D98="",$E98=""),"",IF(OR(N($AP98)&gt;0,COUNTIFS(Preise!$A$5:$A$304,$D98,Preise!$B$5:$B$304,$E98,Preise!$I$5:$I$304,"OK")&gt;0,N(INDEX(Werkstoffe!$G$5:$G$304,MATCH($E98,lst_Werkstoff,0)))&gt;0),"ja","nein"))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28">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Materialpreis",IF(AND($AQ98&lt;&gt;"",N($AR98)&gt;0,MOD($G98,$AR98)&lt;&gt;0),"WARNUNG: Stückzahl ist kein Vielfaches von Stück je Satz",IF($H98="","HINWEIS: Schneidweg fehlt",IF(V98="","HINWEIS: keine Schneiddaten",IF(AND($AF98&lt;&gt;"",$AG98=""),"HINWEIS: Gewinde-Vorschlag prüfen","OK")))))))))))))))</f>
        <v/>
      </c>
      <c r="X98" s="18">
        <f>IF(OR(O98="",$G98=""),"",O98*$G98)</f>
        <v/>
      </c>
      <c r="Y98" s="9" t="n"/>
      <c r="Z98" s="23" t="n"/>
      <c r="AA98" s="9" t="n"/>
      <c r="AB98" s="23" t="n"/>
      <c r="AC98" s="23" t="n"/>
      <c r="AD98" s="23" t="n"/>
      <c r="AE98" s="9" t="n"/>
      <c r="AF98" s="9" t="n"/>
      <c r="AG98" s="9" t="n"/>
      <c r="AH98" s="24" t="n"/>
      <c r="AI98" s="23" t="n"/>
      <c r="AJ98" s="24" t="n"/>
      <c r="AK98" s="23" t="n"/>
      <c r="AL98" s="24" t="n"/>
      <c r="AM98" s="23" t="n"/>
      <c r="AN98" s="28">
        <f>IF($D98="","",COUNTIFS(Stangenbelegung!$E$5:$E$10004,ROW()))</f>
        <v/>
      </c>
      <c r="AO98" s="28">
        <f>IF(OR($G98="",COUNTA(Stangenbelegung!$A$5:$A$10004)=0),"",$G98-AN98)</f>
        <v/>
      </c>
      <c r="AP98" s="29" t="n"/>
      <c r="AQ98" s="9" t="n"/>
      <c r="AR98" s="19" t="n"/>
    </row>
    <row r="99">
      <c r="A99" s="9" t="n"/>
      <c r="B99" s="9" t="n"/>
      <c r="C99" s="9" t="n"/>
      <c r="D99" s="9" t="n"/>
      <c r="E99" s="9" t="n"/>
      <c r="F99" s="23" t="n"/>
      <c r="G99" s="19" t="n"/>
      <c r="H99" s="23" t="n"/>
      <c r="I99" s="24" t="n"/>
      <c r="J99" s="19" t="n"/>
      <c r="K99" s="25">
        <f>IF($D99="","",IFERROR(INDEX(Profile!$B$5:$B$304,MATCH($D99,lst_Profil,0)),""))</f>
        <v/>
      </c>
      <c r="L99" s="13">
        <f>IF($D99="","",IFERROR(INDEX(Profile!$K$5:$K$304,MATCH($D99,lst_Profil,0))+0,""))</f>
        <v/>
      </c>
      <c r="M99" s="26">
        <f>IF($D99="","",IFERROR(INDEX(Profile!$E$5:$E$304,MATCH($D99,lst_Profil,0))+0,""))</f>
        <v/>
      </c>
      <c r="N99" s="27">
        <f>IF(OR(L99="",$E99=""),"",IFERROR(L99*INDEX(Werkstoffe!$E$5:$E$304,MATCH($E99,lst_Werkstoff,0))/1000,""))</f>
        <v/>
      </c>
      <c r="O99" s="27">
        <f>IF(OR(N99="",$F99=""),"",N99*$F99/1000)</f>
        <v/>
      </c>
      <c r="P99" s="16">
        <f>IF(OR($F99="",$G99=""),"",$F99*$G99)</f>
        <v/>
      </c>
      <c r="Q99" s="16">
        <f>IF($D99="","",IF($J99&lt;&gt;"",$J99,$C$9))</f>
        <v/>
      </c>
      <c r="R99" s="12">
        <f>IF($D99="","",IFERROR(IF(INDEX(Profile!$G$5:$G$304,MATCH($D99,lst_Profil,0))&lt;&gt;"",INDEX(Profile!$G$5:$G$304,MATCH($D99,lst_Profil,0)),$H$4),$H$4))</f>
        <v/>
      </c>
      <c r="S99" s="12">
        <f>IF($D99="","",IFERROR(IF(INDEX(Profile!$H$5:$H$304,MATCH($D99,lst_Profil,0))&lt;&gt;"",INDEX(Profile!$H$5:$H$304,MATCH($D99,lst_Profil,0)),$H$5),$H$5))</f>
        <v/>
      </c>
      <c r="T99" s="16">
        <f>IF(OR(Q99="",NOT(ISNUMBER(R99)),NOT(ISNUMBER(S99))),"",Q99-R99-S99)</f>
        <v/>
      </c>
      <c r="U99" s="28">
        <f>IF(OR($D99="",$E99=""),"",IF(OR(N($AP99)&gt;0,COUNTIFS(Preise!$A$5:$A$304,$D99,Preise!$B$5:$B$304,$E99,Preise!$I$5:$I$304,"OK")&gt;0,N(INDEX(Werkstoffe!$G$5:$G$304,MATCH($E99,lst_Werkstoff,0)))&gt;0),"ja","nein"))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28">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Materialpreis",IF(AND($AQ99&lt;&gt;"",N($AR99)&gt;0,MOD($G99,$AR99)&lt;&gt;0),"WARNUNG: Stückzahl ist kein Vielfaches von Stück je Satz",IF($H99="","HINWEIS: Schneidweg fehlt",IF(V99="","HINWEIS: keine Schneiddaten",IF(AND($AF99&lt;&gt;"",$AG99=""),"HINWEIS: Gewinde-Vorschlag prüfen","OK")))))))))))))))</f>
        <v/>
      </c>
      <c r="X99" s="18">
        <f>IF(OR(O99="",$G99=""),"",O99*$G99)</f>
        <v/>
      </c>
      <c r="Y99" s="9" t="n"/>
      <c r="Z99" s="23" t="n"/>
      <c r="AA99" s="9" t="n"/>
      <c r="AB99" s="23" t="n"/>
      <c r="AC99" s="23" t="n"/>
      <c r="AD99" s="23" t="n"/>
      <c r="AE99" s="9" t="n"/>
      <c r="AF99" s="9" t="n"/>
      <c r="AG99" s="9" t="n"/>
      <c r="AH99" s="24" t="n"/>
      <c r="AI99" s="23" t="n"/>
      <c r="AJ99" s="24" t="n"/>
      <c r="AK99" s="23" t="n"/>
      <c r="AL99" s="24" t="n"/>
      <c r="AM99" s="23" t="n"/>
      <c r="AN99" s="28">
        <f>IF($D99="","",COUNTIFS(Stangenbelegung!$E$5:$E$10004,ROW()))</f>
        <v/>
      </c>
      <c r="AO99" s="28">
        <f>IF(OR($G99="",COUNTA(Stangenbelegung!$A$5:$A$10004)=0),"",$G99-AN99)</f>
        <v/>
      </c>
      <c r="AP99" s="29" t="n"/>
      <c r="AQ99" s="9" t="n"/>
      <c r="AR99" s="19" t="n"/>
    </row>
    <row r="100">
      <c r="A100" s="9" t="n"/>
      <c r="B100" s="9" t="n"/>
      <c r="C100" s="9" t="n"/>
      <c r="D100" s="9" t="n"/>
      <c r="E100" s="9" t="n"/>
      <c r="F100" s="23" t="n"/>
      <c r="G100" s="19" t="n"/>
      <c r="H100" s="23" t="n"/>
      <c r="I100" s="24" t="n"/>
      <c r="J100" s="19" t="n"/>
      <c r="K100" s="25">
        <f>IF($D100="","",IFERROR(INDEX(Profile!$B$5:$B$304,MATCH($D100,lst_Profil,0)),""))</f>
        <v/>
      </c>
      <c r="L100" s="13">
        <f>IF($D100="","",IFERROR(INDEX(Profile!$K$5:$K$304,MATCH($D100,lst_Profil,0))+0,""))</f>
        <v/>
      </c>
      <c r="M100" s="26">
        <f>IF($D100="","",IFERROR(INDEX(Profile!$E$5:$E$304,MATCH($D100,lst_Profil,0))+0,""))</f>
        <v/>
      </c>
      <c r="N100" s="27">
        <f>IF(OR(L100="",$E100=""),"",IFERROR(L100*INDEX(Werkstoffe!$E$5:$E$304,MATCH($E100,lst_Werkstoff,0))/1000,""))</f>
        <v/>
      </c>
      <c r="O100" s="27">
        <f>IF(OR(N100="",$F100=""),"",N100*$F100/1000)</f>
        <v/>
      </c>
      <c r="P100" s="16">
        <f>IF(OR($F100="",$G100=""),"",$F100*$G100)</f>
        <v/>
      </c>
      <c r="Q100" s="16">
        <f>IF($D100="","",IF($J100&lt;&gt;"",$J100,$C$9))</f>
        <v/>
      </c>
      <c r="R100" s="12">
        <f>IF($D100="","",IFERROR(IF(INDEX(Profile!$G$5:$G$304,MATCH($D100,lst_Profil,0))&lt;&gt;"",INDEX(Profile!$G$5:$G$304,MATCH($D100,lst_Profil,0)),$H$4),$H$4))</f>
        <v/>
      </c>
      <c r="S100" s="12">
        <f>IF($D100="","",IFERROR(IF(INDEX(Profile!$H$5:$H$304,MATCH($D100,lst_Profil,0))&lt;&gt;"",INDEX(Profile!$H$5:$H$304,MATCH($D100,lst_Profil,0)),$H$5),$H$5))</f>
        <v/>
      </c>
      <c r="T100" s="16">
        <f>IF(OR(Q100="",NOT(ISNUMBER(R100)),NOT(ISNUMBER(S100))),"",Q100-R100-S100)</f>
        <v/>
      </c>
      <c r="U100" s="28">
        <f>IF(OR($D100="",$E100=""),"",IF(OR(N($AP100)&gt;0,COUNTIFS(Preise!$A$5:$A$304,$D100,Preise!$B$5:$B$304,$E100,Preise!$I$5:$I$304,"OK")&gt;0,N(INDEX(Werkstoffe!$G$5:$G$304,MATCH($E100,lst_Werkstoff,0)))&gt;0),"ja","nein"))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28">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Materialpreis",IF(AND($AQ100&lt;&gt;"",N($AR100)&gt;0,MOD($G100,$AR100)&lt;&gt;0),"WARNUNG: Stückzahl ist kein Vielfaches von Stück je Satz",IF($H100="","HINWEIS: Schneidweg fehlt",IF(V100="","HINWEIS: keine Schneiddaten",IF(AND($AF100&lt;&gt;"",$AG100=""),"HINWEIS: Gewinde-Vorschlag prüfen","OK")))))))))))))))</f>
        <v/>
      </c>
      <c r="X100" s="18">
        <f>IF(OR(O100="",$G100=""),"",O100*$G100)</f>
        <v/>
      </c>
      <c r="Y100" s="9" t="n"/>
      <c r="Z100" s="23" t="n"/>
      <c r="AA100" s="9" t="n"/>
      <c r="AB100" s="23" t="n"/>
      <c r="AC100" s="23" t="n"/>
      <c r="AD100" s="23" t="n"/>
      <c r="AE100" s="9" t="n"/>
      <c r="AF100" s="9" t="n"/>
      <c r="AG100" s="9" t="n"/>
      <c r="AH100" s="24" t="n"/>
      <c r="AI100" s="23" t="n"/>
      <c r="AJ100" s="24" t="n"/>
      <c r="AK100" s="23" t="n"/>
      <c r="AL100" s="24" t="n"/>
      <c r="AM100" s="23" t="n"/>
      <c r="AN100" s="28">
        <f>IF($D100="","",COUNTIFS(Stangenbelegung!$E$5:$E$10004,ROW()))</f>
        <v/>
      </c>
      <c r="AO100" s="28">
        <f>IF(OR($G100="",COUNTA(Stangenbelegung!$A$5:$A$10004)=0),"",$G100-AN100)</f>
        <v/>
      </c>
      <c r="AP100" s="29" t="n"/>
      <c r="AQ100" s="9" t="n"/>
      <c r="AR100" s="19" t="n"/>
    </row>
    <row r="101">
      <c r="A101" s="9" t="n"/>
      <c r="B101" s="9" t="n"/>
      <c r="C101" s="9" t="n"/>
      <c r="D101" s="9" t="n"/>
      <c r="E101" s="9" t="n"/>
      <c r="F101" s="23" t="n"/>
      <c r="G101" s="19" t="n"/>
      <c r="H101" s="23" t="n"/>
      <c r="I101" s="24" t="n"/>
      <c r="J101" s="19" t="n"/>
      <c r="K101" s="25">
        <f>IF($D101="","",IFERROR(INDEX(Profile!$B$5:$B$304,MATCH($D101,lst_Profil,0)),""))</f>
        <v/>
      </c>
      <c r="L101" s="13">
        <f>IF($D101="","",IFERROR(INDEX(Profile!$K$5:$K$304,MATCH($D101,lst_Profil,0))+0,""))</f>
        <v/>
      </c>
      <c r="M101" s="26">
        <f>IF($D101="","",IFERROR(INDEX(Profile!$E$5:$E$304,MATCH($D101,lst_Profil,0))+0,""))</f>
        <v/>
      </c>
      <c r="N101" s="27">
        <f>IF(OR(L101="",$E101=""),"",IFERROR(L101*INDEX(Werkstoffe!$E$5:$E$304,MATCH($E101,lst_Werkstoff,0))/1000,""))</f>
        <v/>
      </c>
      <c r="O101" s="27">
        <f>IF(OR(N101="",$F101=""),"",N101*$F101/1000)</f>
        <v/>
      </c>
      <c r="P101" s="16">
        <f>IF(OR($F101="",$G101=""),"",$F101*$G101)</f>
        <v/>
      </c>
      <c r="Q101" s="16">
        <f>IF($D101="","",IF($J101&lt;&gt;"",$J101,$C$9))</f>
        <v/>
      </c>
      <c r="R101" s="12">
        <f>IF($D101="","",IFERROR(IF(INDEX(Profile!$G$5:$G$304,MATCH($D101,lst_Profil,0))&lt;&gt;"",INDEX(Profile!$G$5:$G$304,MATCH($D101,lst_Profil,0)),$H$4),$H$4))</f>
        <v/>
      </c>
      <c r="S101" s="12">
        <f>IF($D101="","",IFERROR(IF(INDEX(Profile!$H$5:$H$304,MATCH($D101,lst_Profil,0))&lt;&gt;"",INDEX(Profile!$H$5:$H$304,MATCH($D101,lst_Profil,0)),$H$5),$H$5))</f>
        <v/>
      </c>
      <c r="T101" s="16">
        <f>IF(OR(Q101="",NOT(ISNUMBER(R101)),NOT(ISNUMBER(S101))),"",Q101-R101-S101)</f>
        <v/>
      </c>
      <c r="U101" s="28">
        <f>IF(OR($D101="",$E101=""),"",IF(OR(N($AP101)&gt;0,COUNTIFS(Preise!$A$5:$A$304,$D101,Preise!$B$5:$B$304,$E101,Preise!$I$5:$I$304,"OK")&gt;0,N(INDEX(Werkstoffe!$G$5:$G$304,MATCH($E101,lst_Werkstoff,0)))&gt;0),"ja","nein"))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28">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Materialpreis",IF(AND($AQ101&lt;&gt;"",N($AR101)&gt;0,MOD($G101,$AR101)&lt;&gt;0),"WARNUNG: Stückzahl ist kein Vielfaches von Stück je Satz",IF($H101="","HINWEIS: Schneidweg fehlt",IF(V101="","HINWEIS: keine Schneiddaten",IF(AND($AF101&lt;&gt;"",$AG101=""),"HINWEIS: Gewinde-Vorschlag prüfen","OK")))))))))))))))</f>
        <v/>
      </c>
      <c r="X101" s="18">
        <f>IF(OR(O101="",$G101=""),"",O101*$G101)</f>
        <v/>
      </c>
      <c r="Y101" s="9" t="n"/>
      <c r="Z101" s="23" t="n"/>
      <c r="AA101" s="9" t="n"/>
      <c r="AB101" s="23" t="n"/>
      <c r="AC101" s="23" t="n"/>
      <c r="AD101" s="23" t="n"/>
      <c r="AE101" s="9" t="n"/>
      <c r="AF101" s="9" t="n"/>
      <c r="AG101" s="9" t="n"/>
      <c r="AH101" s="24" t="n"/>
      <c r="AI101" s="23" t="n"/>
      <c r="AJ101" s="24" t="n"/>
      <c r="AK101" s="23" t="n"/>
      <c r="AL101" s="24" t="n"/>
      <c r="AM101" s="23" t="n"/>
      <c r="AN101" s="28">
        <f>IF($D101="","",COUNTIFS(Stangenbelegung!$E$5:$E$10004,ROW()))</f>
        <v/>
      </c>
      <c r="AO101" s="28">
        <f>IF(OR($G101="",COUNTA(Stangenbelegung!$A$5:$A$10004)=0),"",$G101-AN101)</f>
        <v/>
      </c>
      <c r="AP101" s="29" t="n"/>
      <c r="AQ101" s="9" t="n"/>
      <c r="AR101" s="19" t="n"/>
    </row>
    <row r="102">
      <c r="A102" s="9" t="n"/>
      <c r="B102" s="9" t="n"/>
      <c r="C102" s="9" t="n"/>
      <c r="D102" s="9" t="n"/>
      <c r="E102" s="9" t="n"/>
      <c r="F102" s="23" t="n"/>
      <c r="G102" s="19" t="n"/>
      <c r="H102" s="23" t="n"/>
      <c r="I102" s="24" t="n"/>
      <c r="J102" s="19" t="n"/>
      <c r="K102" s="25">
        <f>IF($D102="","",IFERROR(INDEX(Profile!$B$5:$B$304,MATCH($D102,lst_Profil,0)),""))</f>
        <v/>
      </c>
      <c r="L102" s="13">
        <f>IF($D102="","",IFERROR(INDEX(Profile!$K$5:$K$304,MATCH($D102,lst_Profil,0))+0,""))</f>
        <v/>
      </c>
      <c r="M102" s="26">
        <f>IF($D102="","",IFERROR(INDEX(Profile!$E$5:$E$304,MATCH($D102,lst_Profil,0))+0,""))</f>
        <v/>
      </c>
      <c r="N102" s="27">
        <f>IF(OR(L102="",$E102=""),"",IFERROR(L102*INDEX(Werkstoffe!$E$5:$E$304,MATCH($E102,lst_Werkstoff,0))/1000,""))</f>
        <v/>
      </c>
      <c r="O102" s="27">
        <f>IF(OR(N102="",$F102=""),"",N102*$F102/1000)</f>
        <v/>
      </c>
      <c r="P102" s="16">
        <f>IF(OR($F102="",$G102=""),"",$F102*$G102)</f>
        <v/>
      </c>
      <c r="Q102" s="16">
        <f>IF($D102="","",IF($J102&lt;&gt;"",$J102,$C$9))</f>
        <v/>
      </c>
      <c r="R102" s="12">
        <f>IF($D102="","",IFERROR(IF(INDEX(Profile!$G$5:$G$304,MATCH($D102,lst_Profil,0))&lt;&gt;"",INDEX(Profile!$G$5:$G$304,MATCH($D102,lst_Profil,0)),$H$4),$H$4))</f>
        <v/>
      </c>
      <c r="S102" s="12">
        <f>IF($D102="","",IFERROR(IF(INDEX(Profile!$H$5:$H$304,MATCH($D102,lst_Profil,0))&lt;&gt;"",INDEX(Profile!$H$5:$H$304,MATCH($D102,lst_Profil,0)),$H$5),$H$5))</f>
        <v/>
      </c>
      <c r="T102" s="16">
        <f>IF(OR(Q102="",NOT(ISNUMBER(R102)),NOT(ISNUMBER(S102))),"",Q102-R102-S102)</f>
        <v/>
      </c>
      <c r="U102" s="28">
        <f>IF(OR($D102="",$E102=""),"",IF(OR(N($AP102)&gt;0,COUNTIFS(Preise!$A$5:$A$304,$D102,Preise!$B$5:$B$304,$E102,Preise!$I$5:$I$304,"OK")&gt;0,N(INDEX(Werkstoffe!$G$5:$G$304,MATCH($E102,lst_Werkstoff,0)))&gt;0),"ja","nein"))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28">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Materialpreis",IF(AND($AQ102&lt;&gt;"",N($AR102)&gt;0,MOD($G102,$AR102)&lt;&gt;0),"WARNUNG: Stückzahl ist kein Vielfaches von Stück je Satz",IF($H102="","HINWEIS: Schneidweg fehlt",IF(V102="","HINWEIS: keine Schneiddaten",IF(AND($AF102&lt;&gt;"",$AG102=""),"HINWEIS: Gewinde-Vorschlag prüfen","OK")))))))))))))))</f>
        <v/>
      </c>
      <c r="X102" s="18">
        <f>IF(OR(O102="",$G102=""),"",O102*$G102)</f>
        <v/>
      </c>
      <c r="Y102" s="9" t="n"/>
      <c r="Z102" s="23" t="n"/>
      <c r="AA102" s="9" t="n"/>
      <c r="AB102" s="23" t="n"/>
      <c r="AC102" s="23" t="n"/>
      <c r="AD102" s="23" t="n"/>
      <c r="AE102" s="9" t="n"/>
      <c r="AF102" s="9" t="n"/>
      <c r="AG102" s="9" t="n"/>
      <c r="AH102" s="24" t="n"/>
      <c r="AI102" s="23" t="n"/>
      <c r="AJ102" s="24" t="n"/>
      <c r="AK102" s="23" t="n"/>
      <c r="AL102" s="24" t="n"/>
      <c r="AM102" s="23" t="n"/>
      <c r="AN102" s="28">
        <f>IF($D102="","",COUNTIFS(Stangenbelegung!$E$5:$E$10004,ROW()))</f>
        <v/>
      </c>
      <c r="AO102" s="28">
        <f>IF(OR($G102="",COUNTA(Stangenbelegung!$A$5:$A$10004)=0),"",$G102-AN102)</f>
        <v/>
      </c>
      <c r="AP102" s="29" t="n"/>
      <c r="AQ102" s="9" t="n"/>
      <c r="AR102" s="19" t="n"/>
    </row>
    <row r="103">
      <c r="A103" s="9" t="n"/>
      <c r="B103" s="9" t="n"/>
      <c r="C103" s="9" t="n"/>
      <c r="D103" s="9" t="n"/>
      <c r="E103" s="9" t="n"/>
      <c r="F103" s="23" t="n"/>
      <c r="G103" s="19" t="n"/>
      <c r="H103" s="23" t="n"/>
      <c r="I103" s="24" t="n"/>
      <c r="J103" s="19" t="n"/>
      <c r="K103" s="25">
        <f>IF($D103="","",IFERROR(INDEX(Profile!$B$5:$B$304,MATCH($D103,lst_Profil,0)),""))</f>
        <v/>
      </c>
      <c r="L103" s="13">
        <f>IF($D103="","",IFERROR(INDEX(Profile!$K$5:$K$304,MATCH($D103,lst_Profil,0))+0,""))</f>
        <v/>
      </c>
      <c r="M103" s="26">
        <f>IF($D103="","",IFERROR(INDEX(Profile!$E$5:$E$304,MATCH($D103,lst_Profil,0))+0,""))</f>
        <v/>
      </c>
      <c r="N103" s="27">
        <f>IF(OR(L103="",$E103=""),"",IFERROR(L103*INDEX(Werkstoffe!$E$5:$E$304,MATCH($E103,lst_Werkstoff,0))/1000,""))</f>
        <v/>
      </c>
      <c r="O103" s="27">
        <f>IF(OR(N103="",$F103=""),"",N103*$F103/1000)</f>
        <v/>
      </c>
      <c r="P103" s="16">
        <f>IF(OR($F103="",$G103=""),"",$F103*$G103)</f>
        <v/>
      </c>
      <c r="Q103" s="16">
        <f>IF($D103="","",IF($J103&lt;&gt;"",$J103,$C$9))</f>
        <v/>
      </c>
      <c r="R103" s="12">
        <f>IF($D103="","",IFERROR(IF(INDEX(Profile!$G$5:$G$304,MATCH($D103,lst_Profil,0))&lt;&gt;"",INDEX(Profile!$G$5:$G$304,MATCH($D103,lst_Profil,0)),$H$4),$H$4))</f>
        <v/>
      </c>
      <c r="S103" s="12">
        <f>IF($D103="","",IFERROR(IF(INDEX(Profile!$H$5:$H$304,MATCH($D103,lst_Profil,0))&lt;&gt;"",INDEX(Profile!$H$5:$H$304,MATCH($D103,lst_Profil,0)),$H$5),$H$5))</f>
        <v/>
      </c>
      <c r="T103" s="16">
        <f>IF(OR(Q103="",NOT(ISNUMBER(R103)),NOT(ISNUMBER(S103))),"",Q103-R103-S103)</f>
        <v/>
      </c>
      <c r="U103" s="28">
        <f>IF(OR($D103="",$E103=""),"",IF(OR(N($AP103)&gt;0,COUNTIFS(Preise!$A$5:$A$304,$D103,Preise!$B$5:$B$304,$E103,Preise!$I$5:$I$304,"OK")&gt;0,N(INDEX(Werkstoffe!$G$5:$G$304,MATCH($E103,lst_Werkstoff,0)))&gt;0),"ja","nein"))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28">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Materialpreis",IF(AND($AQ103&lt;&gt;"",N($AR103)&gt;0,MOD($G103,$AR103)&lt;&gt;0),"WARNUNG: Stückzahl ist kein Vielfaches von Stück je Satz",IF($H103="","HINWEIS: Schneidweg fehlt",IF(V103="","HINWEIS: keine Schneiddaten",IF(AND($AF103&lt;&gt;"",$AG103=""),"HINWEIS: Gewinde-Vorschlag prüfen","OK")))))))))))))))</f>
        <v/>
      </c>
      <c r="X103" s="18">
        <f>IF(OR(O103="",$G103=""),"",O103*$G103)</f>
        <v/>
      </c>
      <c r="Y103" s="9" t="n"/>
      <c r="Z103" s="23" t="n"/>
      <c r="AA103" s="9" t="n"/>
      <c r="AB103" s="23" t="n"/>
      <c r="AC103" s="23" t="n"/>
      <c r="AD103" s="23" t="n"/>
      <c r="AE103" s="9" t="n"/>
      <c r="AF103" s="9" t="n"/>
      <c r="AG103" s="9" t="n"/>
      <c r="AH103" s="24" t="n"/>
      <c r="AI103" s="23" t="n"/>
      <c r="AJ103" s="24" t="n"/>
      <c r="AK103" s="23" t="n"/>
      <c r="AL103" s="24" t="n"/>
      <c r="AM103" s="23" t="n"/>
      <c r="AN103" s="28">
        <f>IF($D103="","",COUNTIFS(Stangenbelegung!$E$5:$E$10004,ROW()))</f>
        <v/>
      </c>
      <c r="AO103" s="28">
        <f>IF(OR($G103="",COUNTA(Stangenbelegung!$A$5:$A$10004)=0),"",$G103-AN103)</f>
        <v/>
      </c>
      <c r="AP103" s="29" t="n"/>
      <c r="AQ103" s="9" t="n"/>
      <c r="AR103" s="19" t="n"/>
    </row>
    <row r="104">
      <c r="A104" s="9" t="n"/>
      <c r="B104" s="9" t="n"/>
      <c r="C104" s="9" t="n"/>
      <c r="D104" s="9" t="n"/>
      <c r="E104" s="9" t="n"/>
      <c r="F104" s="23" t="n"/>
      <c r="G104" s="19" t="n"/>
      <c r="H104" s="23" t="n"/>
      <c r="I104" s="24" t="n"/>
      <c r="J104" s="19" t="n"/>
      <c r="K104" s="25">
        <f>IF($D104="","",IFERROR(INDEX(Profile!$B$5:$B$304,MATCH($D104,lst_Profil,0)),""))</f>
        <v/>
      </c>
      <c r="L104" s="13">
        <f>IF($D104="","",IFERROR(INDEX(Profile!$K$5:$K$304,MATCH($D104,lst_Profil,0))+0,""))</f>
        <v/>
      </c>
      <c r="M104" s="26">
        <f>IF($D104="","",IFERROR(INDEX(Profile!$E$5:$E$304,MATCH($D104,lst_Profil,0))+0,""))</f>
        <v/>
      </c>
      <c r="N104" s="27">
        <f>IF(OR(L104="",$E104=""),"",IFERROR(L104*INDEX(Werkstoffe!$E$5:$E$304,MATCH($E104,lst_Werkstoff,0))/1000,""))</f>
        <v/>
      </c>
      <c r="O104" s="27">
        <f>IF(OR(N104="",$F104=""),"",N104*$F104/1000)</f>
        <v/>
      </c>
      <c r="P104" s="16">
        <f>IF(OR($F104="",$G104=""),"",$F104*$G104)</f>
        <v/>
      </c>
      <c r="Q104" s="16">
        <f>IF($D104="","",IF($J104&lt;&gt;"",$J104,$C$9))</f>
        <v/>
      </c>
      <c r="R104" s="12">
        <f>IF($D104="","",IFERROR(IF(INDEX(Profile!$G$5:$G$304,MATCH($D104,lst_Profil,0))&lt;&gt;"",INDEX(Profile!$G$5:$G$304,MATCH($D104,lst_Profil,0)),$H$4),$H$4))</f>
        <v/>
      </c>
      <c r="S104" s="12">
        <f>IF($D104="","",IFERROR(IF(INDEX(Profile!$H$5:$H$304,MATCH($D104,lst_Profil,0))&lt;&gt;"",INDEX(Profile!$H$5:$H$304,MATCH($D104,lst_Profil,0)),$H$5),$H$5))</f>
        <v/>
      </c>
      <c r="T104" s="16">
        <f>IF(OR(Q104="",NOT(ISNUMBER(R104)),NOT(ISNUMBER(S104))),"",Q104-R104-S104)</f>
        <v/>
      </c>
      <c r="U104" s="28">
        <f>IF(OR($D104="",$E104=""),"",IF(OR(N($AP104)&gt;0,COUNTIFS(Preise!$A$5:$A$304,$D104,Preise!$B$5:$B$304,$E104,Preise!$I$5:$I$304,"OK")&gt;0,N(INDEX(Werkstoffe!$G$5:$G$304,MATCH($E104,lst_Werkstoff,0)))&gt;0),"ja","nein"))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28">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Materialpreis",IF(AND($AQ104&lt;&gt;"",N($AR104)&gt;0,MOD($G104,$AR104)&lt;&gt;0),"WARNUNG: Stückzahl ist kein Vielfaches von Stück je Satz",IF($H104="","HINWEIS: Schneidweg fehlt",IF(V104="","HINWEIS: keine Schneiddaten",IF(AND($AF104&lt;&gt;"",$AG104=""),"HINWEIS: Gewinde-Vorschlag prüfen","OK")))))))))))))))</f>
        <v/>
      </c>
      <c r="X104" s="18">
        <f>IF(OR(O104="",$G104=""),"",O104*$G104)</f>
        <v/>
      </c>
      <c r="Y104" s="9" t="n"/>
      <c r="Z104" s="23" t="n"/>
      <c r="AA104" s="9" t="n"/>
      <c r="AB104" s="23" t="n"/>
      <c r="AC104" s="23" t="n"/>
      <c r="AD104" s="23" t="n"/>
      <c r="AE104" s="9" t="n"/>
      <c r="AF104" s="9" t="n"/>
      <c r="AG104" s="9" t="n"/>
      <c r="AH104" s="24" t="n"/>
      <c r="AI104" s="23" t="n"/>
      <c r="AJ104" s="24" t="n"/>
      <c r="AK104" s="23" t="n"/>
      <c r="AL104" s="24" t="n"/>
      <c r="AM104" s="23" t="n"/>
      <c r="AN104" s="28">
        <f>IF($D104="","",COUNTIFS(Stangenbelegung!$E$5:$E$10004,ROW()))</f>
        <v/>
      </c>
      <c r="AO104" s="28">
        <f>IF(OR($G104="",COUNTA(Stangenbelegung!$A$5:$A$10004)=0),"",$G104-AN104)</f>
        <v/>
      </c>
      <c r="AP104" s="29" t="n"/>
      <c r="AQ104" s="9" t="n"/>
      <c r="AR104" s="19" t="n"/>
    </row>
    <row r="105">
      <c r="A105" s="9" t="n"/>
      <c r="B105" s="9" t="n"/>
      <c r="C105" s="9" t="n"/>
      <c r="D105" s="9" t="n"/>
      <c r="E105" s="9" t="n"/>
      <c r="F105" s="23" t="n"/>
      <c r="G105" s="19" t="n"/>
      <c r="H105" s="23" t="n"/>
      <c r="I105" s="24" t="n"/>
      <c r="J105" s="19" t="n"/>
      <c r="K105" s="25">
        <f>IF($D105="","",IFERROR(INDEX(Profile!$B$5:$B$304,MATCH($D105,lst_Profil,0)),""))</f>
        <v/>
      </c>
      <c r="L105" s="13">
        <f>IF($D105="","",IFERROR(INDEX(Profile!$K$5:$K$304,MATCH($D105,lst_Profil,0))+0,""))</f>
        <v/>
      </c>
      <c r="M105" s="26">
        <f>IF($D105="","",IFERROR(INDEX(Profile!$E$5:$E$304,MATCH($D105,lst_Profil,0))+0,""))</f>
        <v/>
      </c>
      <c r="N105" s="27">
        <f>IF(OR(L105="",$E105=""),"",IFERROR(L105*INDEX(Werkstoffe!$E$5:$E$304,MATCH($E105,lst_Werkstoff,0))/1000,""))</f>
        <v/>
      </c>
      <c r="O105" s="27">
        <f>IF(OR(N105="",$F105=""),"",N105*$F105/1000)</f>
        <v/>
      </c>
      <c r="P105" s="16">
        <f>IF(OR($F105="",$G105=""),"",$F105*$G105)</f>
        <v/>
      </c>
      <c r="Q105" s="16">
        <f>IF($D105="","",IF($J105&lt;&gt;"",$J105,$C$9))</f>
        <v/>
      </c>
      <c r="R105" s="12">
        <f>IF($D105="","",IFERROR(IF(INDEX(Profile!$G$5:$G$304,MATCH($D105,lst_Profil,0))&lt;&gt;"",INDEX(Profile!$G$5:$G$304,MATCH($D105,lst_Profil,0)),$H$4),$H$4))</f>
        <v/>
      </c>
      <c r="S105" s="12">
        <f>IF($D105="","",IFERROR(IF(INDEX(Profile!$H$5:$H$304,MATCH($D105,lst_Profil,0))&lt;&gt;"",INDEX(Profile!$H$5:$H$304,MATCH($D105,lst_Profil,0)),$H$5),$H$5))</f>
        <v/>
      </c>
      <c r="T105" s="16">
        <f>IF(OR(Q105="",NOT(ISNUMBER(R105)),NOT(ISNUMBER(S105))),"",Q105-R105-S105)</f>
        <v/>
      </c>
      <c r="U105" s="28">
        <f>IF(OR($D105="",$E105=""),"",IF(OR(N($AP105)&gt;0,COUNTIFS(Preise!$A$5:$A$304,$D105,Preise!$B$5:$B$304,$E105,Preise!$I$5:$I$304,"OK")&gt;0,N(INDEX(Werkstoffe!$G$5:$G$304,MATCH($E105,lst_Werkstoff,0)))&gt;0),"ja","nein"))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28">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Materialpreis",IF(AND($AQ105&lt;&gt;"",N($AR105)&gt;0,MOD($G105,$AR105)&lt;&gt;0),"WARNUNG: Stückzahl ist kein Vielfaches von Stück je Satz",IF($H105="","HINWEIS: Schneidweg fehlt",IF(V105="","HINWEIS: keine Schneiddaten",IF(AND($AF105&lt;&gt;"",$AG105=""),"HINWEIS: Gewinde-Vorschlag prüfen","OK")))))))))))))))</f>
        <v/>
      </c>
      <c r="X105" s="18">
        <f>IF(OR(O105="",$G105=""),"",O105*$G105)</f>
        <v/>
      </c>
      <c r="Y105" s="9" t="n"/>
      <c r="Z105" s="23" t="n"/>
      <c r="AA105" s="9" t="n"/>
      <c r="AB105" s="23" t="n"/>
      <c r="AC105" s="23" t="n"/>
      <c r="AD105" s="23" t="n"/>
      <c r="AE105" s="9" t="n"/>
      <c r="AF105" s="9" t="n"/>
      <c r="AG105" s="9" t="n"/>
      <c r="AH105" s="24" t="n"/>
      <c r="AI105" s="23" t="n"/>
      <c r="AJ105" s="24" t="n"/>
      <c r="AK105" s="23" t="n"/>
      <c r="AL105" s="24" t="n"/>
      <c r="AM105" s="23" t="n"/>
      <c r="AN105" s="28">
        <f>IF($D105="","",COUNTIFS(Stangenbelegung!$E$5:$E$10004,ROW()))</f>
        <v/>
      </c>
      <c r="AO105" s="28">
        <f>IF(OR($G105="",COUNTA(Stangenbelegung!$A$5:$A$10004)=0),"",$G105-AN105)</f>
        <v/>
      </c>
      <c r="AP105" s="29" t="n"/>
      <c r="AQ105" s="9" t="n"/>
      <c r="AR105" s="19" t="n"/>
    </row>
    <row r="106">
      <c r="A106" s="9" t="n"/>
      <c r="B106" s="9" t="n"/>
      <c r="C106" s="9" t="n"/>
      <c r="D106" s="9" t="n"/>
      <c r="E106" s="9" t="n"/>
      <c r="F106" s="23" t="n"/>
      <c r="G106" s="19" t="n"/>
      <c r="H106" s="23" t="n"/>
      <c r="I106" s="24" t="n"/>
      <c r="J106" s="19" t="n"/>
      <c r="K106" s="25">
        <f>IF($D106="","",IFERROR(INDEX(Profile!$B$5:$B$304,MATCH($D106,lst_Profil,0)),""))</f>
        <v/>
      </c>
      <c r="L106" s="13">
        <f>IF($D106="","",IFERROR(INDEX(Profile!$K$5:$K$304,MATCH($D106,lst_Profil,0))+0,""))</f>
        <v/>
      </c>
      <c r="M106" s="26">
        <f>IF($D106="","",IFERROR(INDEX(Profile!$E$5:$E$304,MATCH($D106,lst_Profil,0))+0,""))</f>
        <v/>
      </c>
      <c r="N106" s="27">
        <f>IF(OR(L106="",$E106=""),"",IFERROR(L106*INDEX(Werkstoffe!$E$5:$E$304,MATCH($E106,lst_Werkstoff,0))/1000,""))</f>
        <v/>
      </c>
      <c r="O106" s="27">
        <f>IF(OR(N106="",$F106=""),"",N106*$F106/1000)</f>
        <v/>
      </c>
      <c r="P106" s="16">
        <f>IF(OR($F106="",$G106=""),"",$F106*$G106)</f>
        <v/>
      </c>
      <c r="Q106" s="16">
        <f>IF($D106="","",IF($J106&lt;&gt;"",$J106,$C$9))</f>
        <v/>
      </c>
      <c r="R106" s="12">
        <f>IF($D106="","",IFERROR(IF(INDEX(Profile!$G$5:$G$304,MATCH($D106,lst_Profil,0))&lt;&gt;"",INDEX(Profile!$G$5:$G$304,MATCH($D106,lst_Profil,0)),$H$4),$H$4))</f>
        <v/>
      </c>
      <c r="S106" s="12">
        <f>IF($D106="","",IFERROR(IF(INDEX(Profile!$H$5:$H$304,MATCH($D106,lst_Profil,0))&lt;&gt;"",INDEX(Profile!$H$5:$H$304,MATCH($D106,lst_Profil,0)),$H$5),$H$5))</f>
        <v/>
      </c>
      <c r="T106" s="16">
        <f>IF(OR(Q106="",NOT(ISNUMBER(R106)),NOT(ISNUMBER(S106))),"",Q106-R106-S106)</f>
        <v/>
      </c>
      <c r="U106" s="28">
        <f>IF(OR($D106="",$E106=""),"",IF(OR(N($AP106)&gt;0,COUNTIFS(Preise!$A$5:$A$304,$D106,Preise!$B$5:$B$304,$E106,Preise!$I$5:$I$304,"OK")&gt;0,N(INDEX(Werkstoffe!$G$5:$G$304,MATCH($E106,lst_Werkstoff,0)))&gt;0),"ja","nein"))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28">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Materialpreis",IF(AND($AQ106&lt;&gt;"",N($AR106)&gt;0,MOD($G106,$AR106)&lt;&gt;0),"WARNUNG: Stückzahl ist kein Vielfaches von Stück je Satz",IF($H106="","HINWEIS: Schneidweg fehlt",IF(V106="","HINWEIS: keine Schneiddaten",IF(AND($AF106&lt;&gt;"",$AG106=""),"HINWEIS: Gewinde-Vorschlag prüfen","OK")))))))))))))))</f>
        <v/>
      </c>
      <c r="X106" s="18">
        <f>IF(OR(O106="",$G106=""),"",O106*$G106)</f>
        <v/>
      </c>
      <c r="Y106" s="9" t="n"/>
      <c r="Z106" s="23" t="n"/>
      <c r="AA106" s="9" t="n"/>
      <c r="AB106" s="23" t="n"/>
      <c r="AC106" s="23" t="n"/>
      <c r="AD106" s="23" t="n"/>
      <c r="AE106" s="9" t="n"/>
      <c r="AF106" s="9" t="n"/>
      <c r="AG106" s="9" t="n"/>
      <c r="AH106" s="24" t="n"/>
      <c r="AI106" s="23" t="n"/>
      <c r="AJ106" s="24" t="n"/>
      <c r="AK106" s="23" t="n"/>
      <c r="AL106" s="24" t="n"/>
      <c r="AM106" s="23" t="n"/>
      <c r="AN106" s="28">
        <f>IF($D106="","",COUNTIFS(Stangenbelegung!$E$5:$E$10004,ROW()))</f>
        <v/>
      </c>
      <c r="AO106" s="28">
        <f>IF(OR($G106="",COUNTA(Stangenbelegung!$A$5:$A$10004)=0),"",$G106-AN106)</f>
        <v/>
      </c>
      <c r="AP106" s="29" t="n"/>
      <c r="AQ106" s="9" t="n"/>
      <c r="AR106" s="19" t="n"/>
    </row>
    <row r="107">
      <c r="A107" s="9" t="n"/>
      <c r="B107" s="9" t="n"/>
      <c r="C107" s="9" t="n"/>
      <c r="D107" s="9" t="n"/>
      <c r="E107" s="9" t="n"/>
      <c r="F107" s="23" t="n"/>
      <c r="G107" s="19" t="n"/>
      <c r="H107" s="23" t="n"/>
      <c r="I107" s="24" t="n"/>
      <c r="J107" s="19" t="n"/>
      <c r="K107" s="25">
        <f>IF($D107="","",IFERROR(INDEX(Profile!$B$5:$B$304,MATCH($D107,lst_Profil,0)),""))</f>
        <v/>
      </c>
      <c r="L107" s="13">
        <f>IF($D107="","",IFERROR(INDEX(Profile!$K$5:$K$304,MATCH($D107,lst_Profil,0))+0,""))</f>
        <v/>
      </c>
      <c r="M107" s="26">
        <f>IF($D107="","",IFERROR(INDEX(Profile!$E$5:$E$304,MATCH($D107,lst_Profil,0))+0,""))</f>
        <v/>
      </c>
      <c r="N107" s="27">
        <f>IF(OR(L107="",$E107=""),"",IFERROR(L107*INDEX(Werkstoffe!$E$5:$E$304,MATCH($E107,lst_Werkstoff,0))/1000,""))</f>
        <v/>
      </c>
      <c r="O107" s="27">
        <f>IF(OR(N107="",$F107=""),"",N107*$F107/1000)</f>
        <v/>
      </c>
      <c r="P107" s="16">
        <f>IF(OR($F107="",$G107=""),"",$F107*$G107)</f>
        <v/>
      </c>
      <c r="Q107" s="16">
        <f>IF($D107="","",IF($J107&lt;&gt;"",$J107,$C$9))</f>
        <v/>
      </c>
      <c r="R107" s="12">
        <f>IF($D107="","",IFERROR(IF(INDEX(Profile!$G$5:$G$304,MATCH($D107,lst_Profil,0))&lt;&gt;"",INDEX(Profile!$G$5:$G$304,MATCH($D107,lst_Profil,0)),$H$4),$H$4))</f>
        <v/>
      </c>
      <c r="S107" s="12">
        <f>IF($D107="","",IFERROR(IF(INDEX(Profile!$H$5:$H$304,MATCH($D107,lst_Profil,0))&lt;&gt;"",INDEX(Profile!$H$5:$H$304,MATCH($D107,lst_Profil,0)),$H$5),$H$5))</f>
        <v/>
      </c>
      <c r="T107" s="16">
        <f>IF(OR(Q107="",NOT(ISNUMBER(R107)),NOT(ISNUMBER(S107))),"",Q107-R107-S107)</f>
        <v/>
      </c>
      <c r="U107" s="28">
        <f>IF(OR($D107="",$E107=""),"",IF(OR(N($AP107)&gt;0,COUNTIFS(Preise!$A$5:$A$304,$D107,Preise!$B$5:$B$304,$E107,Preise!$I$5:$I$304,"OK")&gt;0,N(INDEX(Werkstoffe!$G$5:$G$304,MATCH($E107,lst_Werkstoff,0)))&gt;0),"ja","nein"))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28">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Materialpreis",IF(AND($AQ107&lt;&gt;"",N($AR107)&gt;0,MOD($G107,$AR107)&lt;&gt;0),"WARNUNG: Stückzahl ist kein Vielfaches von Stück je Satz",IF($H107="","HINWEIS: Schneidweg fehlt",IF(V107="","HINWEIS: keine Schneiddaten",IF(AND($AF107&lt;&gt;"",$AG107=""),"HINWEIS: Gewinde-Vorschlag prüfen","OK")))))))))))))))</f>
        <v/>
      </c>
      <c r="X107" s="18">
        <f>IF(OR(O107="",$G107=""),"",O107*$G107)</f>
        <v/>
      </c>
      <c r="Y107" s="9" t="n"/>
      <c r="Z107" s="23" t="n"/>
      <c r="AA107" s="9" t="n"/>
      <c r="AB107" s="23" t="n"/>
      <c r="AC107" s="23" t="n"/>
      <c r="AD107" s="23" t="n"/>
      <c r="AE107" s="9" t="n"/>
      <c r="AF107" s="9" t="n"/>
      <c r="AG107" s="9" t="n"/>
      <c r="AH107" s="24" t="n"/>
      <c r="AI107" s="23" t="n"/>
      <c r="AJ107" s="24" t="n"/>
      <c r="AK107" s="23" t="n"/>
      <c r="AL107" s="24" t="n"/>
      <c r="AM107" s="23" t="n"/>
      <c r="AN107" s="28">
        <f>IF($D107="","",COUNTIFS(Stangenbelegung!$E$5:$E$10004,ROW()))</f>
        <v/>
      </c>
      <c r="AO107" s="28">
        <f>IF(OR($G107="",COUNTA(Stangenbelegung!$A$5:$A$10004)=0),"",$G107-AN107)</f>
        <v/>
      </c>
      <c r="AP107" s="29" t="n"/>
      <c r="AQ107" s="9" t="n"/>
      <c r="AR107" s="19" t="n"/>
    </row>
    <row r="108">
      <c r="A108" s="9" t="n"/>
      <c r="B108" s="9" t="n"/>
      <c r="C108" s="9" t="n"/>
      <c r="D108" s="9" t="n"/>
      <c r="E108" s="9" t="n"/>
      <c r="F108" s="23" t="n"/>
      <c r="G108" s="19" t="n"/>
      <c r="H108" s="23" t="n"/>
      <c r="I108" s="24" t="n"/>
      <c r="J108" s="19" t="n"/>
      <c r="K108" s="25">
        <f>IF($D108="","",IFERROR(INDEX(Profile!$B$5:$B$304,MATCH($D108,lst_Profil,0)),""))</f>
        <v/>
      </c>
      <c r="L108" s="13">
        <f>IF($D108="","",IFERROR(INDEX(Profile!$K$5:$K$304,MATCH($D108,lst_Profil,0))+0,""))</f>
        <v/>
      </c>
      <c r="M108" s="26">
        <f>IF($D108="","",IFERROR(INDEX(Profile!$E$5:$E$304,MATCH($D108,lst_Profil,0))+0,""))</f>
        <v/>
      </c>
      <c r="N108" s="27">
        <f>IF(OR(L108="",$E108=""),"",IFERROR(L108*INDEX(Werkstoffe!$E$5:$E$304,MATCH($E108,lst_Werkstoff,0))/1000,""))</f>
        <v/>
      </c>
      <c r="O108" s="27">
        <f>IF(OR(N108="",$F108=""),"",N108*$F108/1000)</f>
        <v/>
      </c>
      <c r="P108" s="16">
        <f>IF(OR($F108="",$G108=""),"",$F108*$G108)</f>
        <v/>
      </c>
      <c r="Q108" s="16">
        <f>IF($D108="","",IF($J108&lt;&gt;"",$J108,$C$9))</f>
        <v/>
      </c>
      <c r="R108" s="12">
        <f>IF($D108="","",IFERROR(IF(INDEX(Profile!$G$5:$G$304,MATCH($D108,lst_Profil,0))&lt;&gt;"",INDEX(Profile!$G$5:$G$304,MATCH($D108,lst_Profil,0)),$H$4),$H$4))</f>
        <v/>
      </c>
      <c r="S108" s="12">
        <f>IF($D108="","",IFERROR(IF(INDEX(Profile!$H$5:$H$304,MATCH($D108,lst_Profil,0))&lt;&gt;"",INDEX(Profile!$H$5:$H$304,MATCH($D108,lst_Profil,0)),$H$5),$H$5))</f>
        <v/>
      </c>
      <c r="T108" s="16">
        <f>IF(OR(Q108="",NOT(ISNUMBER(R108)),NOT(ISNUMBER(S108))),"",Q108-R108-S108)</f>
        <v/>
      </c>
      <c r="U108" s="28">
        <f>IF(OR($D108="",$E108=""),"",IF(OR(N($AP108)&gt;0,COUNTIFS(Preise!$A$5:$A$304,$D108,Preise!$B$5:$B$304,$E108,Preise!$I$5:$I$304,"OK")&gt;0,N(INDEX(Werkstoffe!$G$5:$G$304,MATCH($E108,lst_Werkstoff,0)))&gt;0),"ja","nein"))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28">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Materialpreis",IF(AND($AQ108&lt;&gt;"",N($AR108)&gt;0,MOD($G108,$AR108)&lt;&gt;0),"WARNUNG: Stückzahl ist kein Vielfaches von Stück je Satz",IF($H108="","HINWEIS: Schneidweg fehlt",IF(V108="","HINWEIS: keine Schneiddaten",IF(AND($AF108&lt;&gt;"",$AG108=""),"HINWEIS: Gewinde-Vorschlag prüfen","OK")))))))))))))))</f>
        <v/>
      </c>
      <c r="X108" s="18">
        <f>IF(OR(O108="",$G108=""),"",O108*$G108)</f>
        <v/>
      </c>
      <c r="Y108" s="9" t="n"/>
      <c r="Z108" s="23" t="n"/>
      <c r="AA108" s="9" t="n"/>
      <c r="AB108" s="23" t="n"/>
      <c r="AC108" s="23" t="n"/>
      <c r="AD108" s="23" t="n"/>
      <c r="AE108" s="9" t="n"/>
      <c r="AF108" s="9" t="n"/>
      <c r="AG108" s="9" t="n"/>
      <c r="AH108" s="24" t="n"/>
      <c r="AI108" s="23" t="n"/>
      <c r="AJ108" s="24" t="n"/>
      <c r="AK108" s="23" t="n"/>
      <c r="AL108" s="24" t="n"/>
      <c r="AM108" s="23" t="n"/>
      <c r="AN108" s="28">
        <f>IF($D108="","",COUNTIFS(Stangenbelegung!$E$5:$E$10004,ROW()))</f>
        <v/>
      </c>
      <c r="AO108" s="28">
        <f>IF(OR($G108="",COUNTA(Stangenbelegung!$A$5:$A$10004)=0),"",$G108-AN108)</f>
        <v/>
      </c>
      <c r="AP108" s="29" t="n"/>
      <c r="AQ108" s="9" t="n"/>
      <c r="AR108" s="19" t="n"/>
    </row>
    <row r="109">
      <c r="A109" s="9" t="n"/>
      <c r="B109" s="9" t="n"/>
      <c r="C109" s="9" t="n"/>
      <c r="D109" s="9" t="n"/>
      <c r="E109" s="9" t="n"/>
      <c r="F109" s="23" t="n"/>
      <c r="G109" s="19" t="n"/>
      <c r="H109" s="23" t="n"/>
      <c r="I109" s="24" t="n"/>
      <c r="J109" s="19" t="n"/>
      <c r="K109" s="25">
        <f>IF($D109="","",IFERROR(INDEX(Profile!$B$5:$B$304,MATCH($D109,lst_Profil,0)),""))</f>
        <v/>
      </c>
      <c r="L109" s="13">
        <f>IF($D109="","",IFERROR(INDEX(Profile!$K$5:$K$304,MATCH($D109,lst_Profil,0))+0,""))</f>
        <v/>
      </c>
      <c r="M109" s="26">
        <f>IF($D109="","",IFERROR(INDEX(Profile!$E$5:$E$304,MATCH($D109,lst_Profil,0))+0,""))</f>
        <v/>
      </c>
      <c r="N109" s="27">
        <f>IF(OR(L109="",$E109=""),"",IFERROR(L109*INDEX(Werkstoffe!$E$5:$E$304,MATCH($E109,lst_Werkstoff,0))/1000,""))</f>
        <v/>
      </c>
      <c r="O109" s="27">
        <f>IF(OR(N109="",$F109=""),"",N109*$F109/1000)</f>
        <v/>
      </c>
      <c r="P109" s="16">
        <f>IF(OR($F109="",$G109=""),"",$F109*$G109)</f>
        <v/>
      </c>
      <c r="Q109" s="16">
        <f>IF($D109="","",IF($J109&lt;&gt;"",$J109,$C$9))</f>
        <v/>
      </c>
      <c r="R109" s="12">
        <f>IF($D109="","",IFERROR(IF(INDEX(Profile!$G$5:$G$304,MATCH($D109,lst_Profil,0))&lt;&gt;"",INDEX(Profile!$G$5:$G$304,MATCH($D109,lst_Profil,0)),$H$4),$H$4))</f>
        <v/>
      </c>
      <c r="S109" s="12">
        <f>IF($D109="","",IFERROR(IF(INDEX(Profile!$H$5:$H$304,MATCH($D109,lst_Profil,0))&lt;&gt;"",INDEX(Profile!$H$5:$H$304,MATCH($D109,lst_Profil,0)),$H$5),$H$5))</f>
        <v/>
      </c>
      <c r="T109" s="16">
        <f>IF(OR(Q109="",NOT(ISNUMBER(R109)),NOT(ISNUMBER(S109))),"",Q109-R109-S109)</f>
        <v/>
      </c>
      <c r="U109" s="28">
        <f>IF(OR($D109="",$E109=""),"",IF(OR(N($AP109)&gt;0,COUNTIFS(Preise!$A$5:$A$304,$D109,Preise!$B$5:$B$304,$E109,Preise!$I$5:$I$304,"OK")&gt;0,N(INDEX(Werkstoffe!$G$5:$G$304,MATCH($E109,lst_Werkstoff,0)))&gt;0),"ja","nein"))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28">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Materialpreis",IF(AND($AQ109&lt;&gt;"",N($AR109)&gt;0,MOD($G109,$AR109)&lt;&gt;0),"WARNUNG: Stückzahl ist kein Vielfaches von Stück je Satz",IF($H109="","HINWEIS: Schneidweg fehlt",IF(V109="","HINWEIS: keine Schneiddaten",IF(AND($AF109&lt;&gt;"",$AG109=""),"HINWEIS: Gewinde-Vorschlag prüfen","OK")))))))))))))))</f>
        <v/>
      </c>
      <c r="X109" s="18">
        <f>IF(OR(O109="",$G109=""),"",O109*$G109)</f>
        <v/>
      </c>
      <c r="Y109" s="9" t="n"/>
      <c r="Z109" s="23" t="n"/>
      <c r="AA109" s="9" t="n"/>
      <c r="AB109" s="23" t="n"/>
      <c r="AC109" s="23" t="n"/>
      <c r="AD109" s="23" t="n"/>
      <c r="AE109" s="9" t="n"/>
      <c r="AF109" s="9" t="n"/>
      <c r="AG109" s="9" t="n"/>
      <c r="AH109" s="24" t="n"/>
      <c r="AI109" s="23" t="n"/>
      <c r="AJ109" s="24" t="n"/>
      <c r="AK109" s="23" t="n"/>
      <c r="AL109" s="24" t="n"/>
      <c r="AM109" s="23" t="n"/>
      <c r="AN109" s="28">
        <f>IF($D109="","",COUNTIFS(Stangenbelegung!$E$5:$E$10004,ROW()))</f>
        <v/>
      </c>
      <c r="AO109" s="28">
        <f>IF(OR($G109="",COUNTA(Stangenbelegung!$A$5:$A$10004)=0),"",$G109-AN109)</f>
        <v/>
      </c>
      <c r="AP109" s="29" t="n"/>
      <c r="AQ109" s="9" t="n"/>
      <c r="AR109" s="19" t="n"/>
    </row>
    <row r="110">
      <c r="A110" s="9" t="n"/>
      <c r="B110" s="9" t="n"/>
      <c r="C110" s="9" t="n"/>
      <c r="D110" s="9" t="n"/>
      <c r="E110" s="9" t="n"/>
      <c r="F110" s="23" t="n"/>
      <c r="G110" s="19" t="n"/>
      <c r="H110" s="23" t="n"/>
      <c r="I110" s="24" t="n"/>
      <c r="J110" s="19" t="n"/>
      <c r="K110" s="25">
        <f>IF($D110="","",IFERROR(INDEX(Profile!$B$5:$B$304,MATCH($D110,lst_Profil,0)),""))</f>
        <v/>
      </c>
      <c r="L110" s="13">
        <f>IF($D110="","",IFERROR(INDEX(Profile!$K$5:$K$304,MATCH($D110,lst_Profil,0))+0,""))</f>
        <v/>
      </c>
      <c r="M110" s="26">
        <f>IF($D110="","",IFERROR(INDEX(Profile!$E$5:$E$304,MATCH($D110,lst_Profil,0))+0,""))</f>
        <v/>
      </c>
      <c r="N110" s="27">
        <f>IF(OR(L110="",$E110=""),"",IFERROR(L110*INDEX(Werkstoffe!$E$5:$E$304,MATCH($E110,lst_Werkstoff,0))/1000,""))</f>
        <v/>
      </c>
      <c r="O110" s="27">
        <f>IF(OR(N110="",$F110=""),"",N110*$F110/1000)</f>
        <v/>
      </c>
      <c r="P110" s="16">
        <f>IF(OR($F110="",$G110=""),"",$F110*$G110)</f>
        <v/>
      </c>
      <c r="Q110" s="16">
        <f>IF($D110="","",IF($J110&lt;&gt;"",$J110,$C$9))</f>
        <v/>
      </c>
      <c r="R110" s="12">
        <f>IF($D110="","",IFERROR(IF(INDEX(Profile!$G$5:$G$304,MATCH($D110,lst_Profil,0))&lt;&gt;"",INDEX(Profile!$G$5:$G$304,MATCH($D110,lst_Profil,0)),$H$4),$H$4))</f>
        <v/>
      </c>
      <c r="S110" s="12">
        <f>IF($D110="","",IFERROR(IF(INDEX(Profile!$H$5:$H$304,MATCH($D110,lst_Profil,0))&lt;&gt;"",INDEX(Profile!$H$5:$H$304,MATCH($D110,lst_Profil,0)),$H$5),$H$5))</f>
        <v/>
      </c>
      <c r="T110" s="16">
        <f>IF(OR(Q110="",NOT(ISNUMBER(R110)),NOT(ISNUMBER(S110))),"",Q110-R110-S110)</f>
        <v/>
      </c>
      <c r="U110" s="28">
        <f>IF(OR($D110="",$E110=""),"",IF(OR(N($AP110)&gt;0,COUNTIFS(Preise!$A$5:$A$304,$D110,Preise!$B$5:$B$304,$E110,Preise!$I$5:$I$304,"OK")&gt;0,N(INDEX(Werkstoffe!$G$5:$G$304,MATCH($E110,lst_Werkstoff,0)))&gt;0),"ja","nein"))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28">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Materialpreis",IF(AND($AQ110&lt;&gt;"",N($AR110)&gt;0,MOD($G110,$AR110)&lt;&gt;0),"WARNUNG: Stückzahl ist kein Vielfaches von Stück je Satz",IF($H110="","HINWEIS: Schneidweg fehlt",IF(V110="","HINWEIS: keine Schneiddaten",IF(AND($AF110&lt;&gt;"",$AG110=""),"HINWEIS: Gewinde-Vorschlag prüfen","OK")))))))))))))))</f>
        <v/>
      </c>
      <c r="X110" s="18">
        <f>IF(OR(O110="",$G110=""),"",O110*$G110)</f>
        <v/>
      </c>
      <c r="Y110" s="9" t="n"/>
      <c r="Z110" s="23" t="n"/>
      <c r="AA110" s="9" t="n"/>
      <c r="AB110" s="23" t="n"/>
      <c r="AC110" s="23" t="n"/>
      <c r="AD110" s="23" t="n"/>
      <c r="AE110" s="9" t="n"/>
      <c r="AF110" s="9" t="n"/>
      <c r="AG110" s="9" t="n"/>
      <c r="AH110" s="24" t="n"/>
      <c r="AI110" s="23" t="n"/>
      <c r="AJ110" s="24" t="n"/>
      <c r="AK110" s="23" t="n"/>
      <c r="AL110" s="24" t="n"/>
      <c r="AM110" s="23" t="n"/>
      <c r="AN110" s="28">
        <f>IF($D110="","",COUNTIFS(Stangenbelegung!$E$5:$E$10004,ROW()))</f>
        <v/>
      </c>
      <c r="AO110" s="28">
        <f>IF(OR($G110="",COUNTA(Stangenbelegung!$A$5:$A$10004)=0),"",$G110-AN110)</f>
        <v/>
      </c>
      <c r="AP110" s="29" t="n"/>
      <c r="AQ110" s="9" t="n"/>
      <c r="AR110" s="19" t="n"/>
    </row>
    <row r="111">
      <c r="A111" s="9" t="n"/>
      <c r="B111" s="9" t="n"/>
      <c r="C111" s="9" t="n"/>
      <c r="D111" s="9" t="n"/>
      <c r="E111" s="9" t="n"/>
      <c r="F111" s="23" t="n"/>
      <c r="G111" s="19" t="n"/>
      <c r="H111" s="23" t="n"/>
      <c r="I111" s="24" t="n"/>
      <c r="J111" s="19" t="n"/>
      <c r="K111" s="25">
        <f>IF($D111="","",IFERROR(INDEX(Profile!$B$5:$B$304,MATCH($D111,lst_Profil,0)),""))</f>
        <v/>
      </c>
      <c r="L111" s="13">
        <f>IF($D111="","",IFERROR(INDEX(Profile!$K$5:$K$304,MATCH($D111,lst_Profil,0))+0,""))</f>
        <v/>
      </c>
      <c r="M111" s="26">
        <f>IF($D111="","",IFERROR(INDEX(Profile!$E$5:$E$304,MATCH($D111,lst_Profil,0))+0,""))</f>
        <v/>
      </c>
      <c r="N111" s="27">
        <f>IF(OR(L111="",$E111=""),"",IFERROR(L111*INDEX(Werkstoffe!$E$5:$E$304,MATCH($E111,lst_Werkstoff,0))/1000,""))</f>
        <v/>
      </c>
      <c r="O111" s="27">
        <f>IF(OR(N111="",$F111=""),"",N111*$F111/1000)</f>
        <v/>
      </c>
      <c r="P111" s="16">
        <f>IF(OR($F111="",$G111=""),"",$F111*$G111)</f>
        <v/>
      </c>
      <c r="Q111" s="16">
        <f>IF($D111="","",IF($J111&lt;&gt;"",$J111,$C$9))</f>
        <v/>
      </c>
      <c r="R111" s="12">
        <f>IF($D111="","",IFERROR(IF(INDEX(Profile!$G$5:$G$304,MATCH($D111,lst_Profil,0))&lt;&gt;"",INDEX(Profile!$G$5:$G$304,MATCH($D111,lst_Profil,0)),$H$4),$H$4))</f>
        <v/>
      </c>
      <c r="S111" s="12">
        <f>IF($D111="","",IFERROR(IF(INDEX(Profile!$H$5:$H$304,MATCH($D111,lst_Profil,0))&lt;&gt;"",INDEX(Profile!$H$5:$H$304,MATCH($D111,lst_Profil,0)),$H$5),$H$5))</f>
        <v/>
      </c>
      <c r="T111" s="16">
        <f>IF(OR(Q111="",NOT(ISNUMBER(R111)),NOT(ISNUMBER(S111))),"",Q111-R111-S111)</f>
        <v/>
      </c>
      <c r="U111" s="28">
        <f>IF(OR($D111="",$E111=""),"",IF(OR(N($AP111)&gt;0,COUNTIFS(Preise!$A$5:$A$304,$D111,Preise!$B$5:$B$304,$E111,Preise!$I$5:$I$304,"OK")&gt;0,N(INDEX(Werkstoffe!$G$5:$G$304,MATCH($E111,lst_Werkstoff,0)))&gt;0),"ja","nein"))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28">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Materialpreis",IF(AND($AQ111&lt;&gt;"",N($AR111)&gt;0,MOD($G111,$AR111)&lt;&gt;0),"WARNUNG: Stückzahl ist kein Vielfaches von Stück je Satz",IF($H111="","HINWEIS: Schneidweg fehlt",IF(V111="","HINWEIS: keine Schneiddaten",IF(AND($AF111&lt;&gt;"",$AG111=""),"HINWEIS: Gewinde-Vorschlag prüfen","OK")))))))))))))))</f>
        <v/>
      </c>
      <c r="X111" s="18">
        <f>IF(OR(O111="",$G111=""),"",O111*$G111)</f>
        <v/>
      </c>
      <c r="Y111" s="9" t="n"/>
      <c r="Z111" s="23" t="n"/>
      <c r="AA111" s="9" t="n"/>
      <c r="AB111" s="23" t="n"/>
      <c r="AC111" s="23" t="n"/>
      <c r="AD111" s="23" t="n"/>
      <c r="AE111" s="9" t="n"/>
      <c r="AF111" s="9" t="n"/>
      <c r="AG111" s="9" t="n"/>
      <c r="AH111" s="24" t="n"/>
      <c r="AI111" s="23" t="n"/>
      <c r="AJ111" s="24" t="n"/>
      <c r="AK111" s="23" t="n"/>
      <c r="AL111" s="24" t="n"/>
      <c r="AM111" s="23" t="n"/>
      <c r="AN111" s="28">
        <f>IF($D111="","",COUNTIFS(Stangenbelegung!$E$5:$E$10004,ROW()))</f>
        <v/>
      </c>
      <c r="AO111" s="28">
        <f>IF(OR($G111="",COUNTA(Stangenbelegung!$A$5:$A$10004)=0),"",$G111-AN111)</f>
        <v/>
      </c>
      <c r="AP111" s="29" t="n"/>
      <c r="AQ111" s="9" t="n"/>
      <c r="AR111" s="19" t="n"/>
    </row>
    <row r="112">
      <c r="A112" s="9" t="n"/>
      <c r="B112" s="9" t="n"/>
      <c r="C112" s="9" t="n"/>
      <c r="D112" s="9" t="n"/>
      <c r="E112" s="9" t="n"/>
      <c r="F112" s="23" t="n"/>
      <c r="G112" s="19" t="n"/>
      <c r="H112" s="23" t="n"/>
      <c r="I112" s="24" t="n"/>
      <c r="J112" s="19" t="n"/>
      <c r="K112" s="25">
        <f>IF($D112="","",IFERROR(INDEX(Profile!$B$5:$B$304,MATCH($D112,lst_Profil,0)),""))</f>
        <v/>
      </c>
      <c r="L112" s="13">
        <f>IF($D112="","",IFERROR(INDEX(Profile!$K$5:$K$304,MATCH($D112,lst_Profil,0))+0,""))</f>
        <v/>
      </c>
      <c r="M112" s="26">
        <f>IF($D112="","",IFERROR(INDEX(Profile!$E$5:$E$304,MATCH($D112,lst_Profil,0))+0,""))</f>
        <v/>
      </c>
      <c r="N112" s="27">
        <f>IF(OR(L112="",$E112=""),"",IFERROR(L112*INDEX(Werkstoffe!$E$5:$E$304,MATCH($E112,lst_Werkstoff,0))/1000,""))</f>
        <v/>
      </c>
      <c r="O112" s="27">
        <f>IF(OR(N112="",$F112=""),"",N112*$F112/1000)</f>
        <v/>
      </c>
      <c r="P112" s="16">
        <f>IF(OR($F112="",$G112=""),"",$F112*$G112)</f>
        <v/>
      </c>
      <c r="Q112" s="16">
        <f>IF($D112="","",IF($J112&lt;&gt;"",$J112,$C$9))</f>
        <v/>
      </c>
      <c r="R112" s="12">
        <f>IF($D112="","",IFERROR(IF(INDEX(Profile!$G$5:$G$304,MATCH($D112,lst_Profil,0))&lt;&gt;"",INDEX(Profile!$G$5:$G$304,MATCH($D112,lst_Profil,0)),$H$4),$H$4))</f>
        <v/>
      </c>
      <c r="S112" s="12">
        <f>IF($D112="","",IFERROR(IF(INDEX(Profile!$H$5:$H$304,MATCH($D112,lst_Profil,0))&lt;&gt;"",INDEX(Profile!$H$5:$H$304,MATCH($D112,lst_Profil,0)),$H$5),$H$5))</f>
        <v/>
      </c>
      <c r="T112" s="16">
        <f>IF(OR(Q112="",NOT(ISNUMBER(R112)),NOT(ISNUMBER(S112))),"",Q112-R112-S112)</f>
        <v/>
      </c>
      <c r="U112" s="28">
        <f>IF(OR($D112="",$E112=""),"",IF(OR(N($AP112)&gt;0,COUNTIFS(Preise!$A$5:$A$304,$D112,Preise!$B$5:$B$304,$E112,Preise!$I$5:$I$304,"OK")&gt;0,N(INDEX(Werkstoffe!$G$5:$G$304,MATCH($E112,lst_Werkstoff,0)))&gt;0),"ja","nein"))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28">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Materialpreis",IF(AND($AQ112&lt;&gt;"",N($AR112)&gt;0,MOD($G112,$AR112)&lt;&gt;0),"WARNUNG: Stückzahl ist kein Vielfaches von Stück je Satz",IF($H112="","HINWEIS: Schneidweg fehlt",IF(V112="","HINWEIS: keine Schneiddaten",IF(AND($AF112&lt;&gt;"",$AG112=""),"HINWEIS: Gewinde-Vorschlag prüfen","OK")))))))))))))))</f>
        <v/>
      </c>
      <c r="X112" s="18">
        <f>IF(OR(O112="",$G112=""),"",O112*$G112)</f>
        <v/>
      </c>
      <c r="Y112" s="9" t="n"/>
      <c r="Z112" s="23" t="n"/>
      <c r="AA112" s="9" t="n"/>
      <c r="AB112" s="23" t="n"/>
      <c r="AC112" s="23" t="n"/>
      <c r="AD112" s="23" t="n"/>
      <c r="AE112" s="9" t="n"/>
      <c r="AF112" s="9" t="n"/>
      <c r="AG112" s="9" t="n"/>
      <c r="AH112" s="24" t="n"/>
      <c r="AI112" s="23" t="n"/>
      <c r="AJ112" s="24" t="n"/>
      <c r="AK112" s="23" t="n"/>
      <c r="AL112" s="24" t="n"/>
      <c r="AM112" s="23" t="n"/>
      <c r="AN112" s="28">
        <f>IF($D112="","",COUNTIFS(Stangenbelegung!$E$5:$E$10004,ROW()))</f>
        <v/>
      </c>
      <c r="AO112" s="28">
        <f>IF(OR($G112="",COUNTA(Stangenbelegung!$A$5:$A$10004)=0),"",$G112-AN112)</f>
        <v/>
      </c>
      <c r="AP112" s="29" t="n"/>
      <c r="AQ112" s="9" t="n"/>
      <c r="AR112" s="19" t="n"/>
    </row>
    <row r="113">
      <c r="A113" s="9" t="n"/>
      <c r="B113" s="9" t="n"/>
      <c r="C113" s="9" t="n"/>
      <c r="D113" s="9" t="n"/>
      <c r="E113" s="9" t="n"/>
      <c r="F113" s="23" t="n"/>
      <c r="G113" s="19" t="n"/>
      <c r="H113" s="23" t="n"/>
      <c r="I113" s="24" t="n"/>
      <c r="J113" s="19" t="n"/>
      <c r="K113" s="25">
        <f>IF($D113="","",IFERROR(INDEX(Profile!$B$5:$B$304,MATCH($D113,lst_Profil,0)),""))</f>
        <v/>
      </c>
      <c r="L113" s="13">
        <f>IF($D113="","",IFERROR(INDEX(Profile!$K$5:$K$304,MATCH($D113,lst_Profil,0))+0,""))</f>
        <v/>
      </c>
      <c r="M113" s="26">
        <f>IF($D113="","",IFERROR(INDEX(Profile!$E$5:$E$304,MATCH($D113,lst_Profil,0))+0,""))</f>
        <v/>
      </c>
      <c r="N113" s="27">
        <f>IF(OR(L113="",$E113=""),"",IFERROR(L113*INDEX(Werkstoffe!$E$5:$E$304,MATCH($E113,lst_Werkstoff,0))/1000,""))</f>
        <v/>
      </c>
      <c r="O113" s="27">
        <f>IF(OR(N113="",$F113=""),"",N113*$F113/1000)</f>
        <v/>
      </c>
      <c r="P113" s="16">
        <f>IF(OR($F113="",$G113=""),"",$F113*$G113)</f>
        <v/>
      </c>
      <c r="Q113" s="16">
        <f>IF($D113="","",IF($J113&lt;&gt;"",$J113,$C$9))</f>
        <v/>
      </c>
      <c r="R113" s="12">
        <f>IF($D113="","",IFERROR(IF(INDEX(Profile!$G$5:$G$304,MATCH($D113,lst_Profil,0))&lt;&gt;"",INDEX(Profile!$G$5:$G$304,MATCH($D113,lst_Profil,0)),$H$4),$H$4))</f>
        <v/>
      </c>
      <c r="S113" s="12">
        <f>IF($D113="","",IFERROR(IF(INDEX(Profile!$H$5:$H$304,MATCH($D113,lst_Profil,0))&lt;&gt;"",INDEX(Profile!$H$5:$H$304,MATCH($D113,lst_Profil,0)),$H$5),$H$5))</f>
        <v/>
      </c>
      <c r="T113" s="16">
        <f>IF(OR(Q113="",NOT(ISNUMBER(R113)),NOT(ISNUMBER(S113))),"",Q113-R113-S113)</f>
        <v/>
      </c>
      <c r="U113" s="28">
        <f>IF(OR($D113="",$E113=""),"",IF(OR(N($AP113)&gt;0,COUNTIFS(Preise!$A$5:$A$304,$D113,Preise!$B$5:$B$304,$E113,Preise!$I$5:$I$304,"OK")&gt;0,N(INDEX(Werkstoffe!$G$5:$G$304,MATCH($E113,lst_Werkstoff,0)))&gt;0),"ja","nein"))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28">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Materialpreis",IF(AND($AQ113&lt;&gt;"",N($AR113)&gt;0,MOD($G113,$AR113)&lt;&gt;0),"WARNUNG: Stückzahl ist kein Vielfaches von Stück je Satz",IF($H113="","HINWEIS: Schneidweg fehlt",IF(V113="","HINWEIS: keine Schneiddaten",IF(AND($AF113&lt;&gt;"",$AG113=""),"HINWEIS: Gewinde-Vorschlag prüfen","OK")))))))))))))))</f>
        <v/>
      </c>
      <c r="X113" s="18">
        <f>IF(OR(O113="",$G113=""),"",O113*$G113)</f>
        <v/>
      </c>
      <c r="Y113" s="9" t="n"/>
      <c r="Z113" s="23" t="n"/>
      <c r="AA113" s="9" t="n"/>
      <c r="AB113" s="23" t="n"/>
      <c r="AC113" s="23" t="n"/>
      <c r="AD113" s="23" t="n"/>
      <c r="AE113" s="9" t="n"/>
      <c r="AF113" s="9" t="n"/>
      <c r="AG113" s="9" t="n"/>
      <c r="AH113" s="24" t="n"/>
      <c r="AI113" s="23" t="n"/>
      <c r="AJ113" s="24" t="n"/>
      <c r="AK113" s="23" t="n"/>
      <c r="AL113" s="24" t="n"/>
      <c r="AM113" s="23" t="n"/>
      <c r="AN113" s="28">
        <f>IF($D113="","",COUNTIFS(Stangenbelegung!$E$5:$E$10004,ROW()))</f>
        <v/>
      </c>
      <c r="AO113" s="28">
        <f>IF(OR($G113="",COUNTA(Stangenbelegung!$A$5:$A$10004)=0),"",$G113-AN113)</f>
        <v/>
      </c>
      <c r="AP113" s="29" t="n"/>
      <c r="AQ113" s="9" t="n"/>
      <c r="AR113" s="19" t="n"/>
    </row>
    <row r="114">
      <c r="A114" s="9" t="n"/>
      <c r="B114" s="9" t="n"/>
      <c r="C114" s="9" t="n"/>
      <c r="D114" s="9" t="n"/>
      <c r="E114" s="9" t="n"/>
      <c r="F114" s="23" t="n"/>
      <c r="G114" s="19" t="n"/>
      <c r="H114" s="23" t="n"/>
      <c r="I114" s="24" t="n"/>
      <c r="J114" s="19" t="n"/>
      <c r="K114" s="25">
        <f>IF($D114="","",IFERROR(INDEX(Profile!$B$5:$B$304,MATCH($D114,lst_Profil,0)),""))</f>
        <v/>
      </c>
      <c r="L114" s="13">
        <f>IF($D114="","",IFERROR(INDEX(Profile!$K$5:$K$304,MATCH($D114,lst_Profil,0))+0,""))</f>
        <v/>
      </c>
      <c r="M114" s="26">
        <f>IF($D114="","",IFERROR(INDEX(Profile!$E$5:$E$304,MATCH($D114,lst_Profil,0))+0,""))</f>
        <v/>
      </c>
      <c r="N114" s="27">
        <f>IF(OR(L114="",$E114=""),"",IFERROR(L114*INDEX(Werkstoffe!$E$5:$E$304,MATCH($E114,lst_Werkstoff,0))/1000,""))</f>
        <v/>
      </c>
      <c r="O114" s="27">
        <f>IF(OR(N114="",$F114=""),"",N114*$F114/1000)</f>
        <v/>
      </c>
      <c r="P114" s="16">
        <f>IF(OR($F114="",$G114=""),"",$F114*$G114)</f>
        <v/>
      </c>
      <c r="Q114" s="16">
        <f>IF($D114="","",IF($J114&lt;&gt;"",$J114,$C$9))</f>
        <v/>
      </c>
      <c r="R114" s="12">
        <f>IF($D114="","",IFERROR(IF(INDEX(Profile!$G$5:$G$304,MATCH($D114,lst_Profil,0))&lt;&gt;"",INDEX(Profile!$G$5:$G$304,MATCH($D114,lst_Profil,0)),$H$4),$H$4))</f>
        <v/>
      </c>
      <c r="S114" s="12">
        <f>IF($D114="","",IFERROR(IF(INDEX(Profile!$H$5:$H$304,MATCH($D114,lst_Profil,0))&lt;&gt;"",INDEX(Profile!$H$5:$H$304,MATCH($D114,lst_Profil,0)),$H$5),$H$5))</f>
        <v/>
      </c>
      <c r="T114" s="16">
        <f>IF(OR(Q114="",NOT(ISNUMBER(R114)),NOT(ISNUMBER(S114))),"",Q114-R114-S114)</f>
        <v/>
      </c>
      <c r="U114" s="28">
        <f>IF(OR($D114="",$E114=""),"",IF(OR(N($AP114)&gt;0,COUNTIFS(Preise!$A$5:$A$304,$D114,Preise!$B$5:$B$304,$E114,Preise!$I$5:$I$304,"OK")&gt;0,N(INDEX(Werkstoffe!$G$5:$G$304,MATCH($E114,lst_Werkstoff,0)))&gt;0),"ja","nein"))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28">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Materialpreis",IF(AND($AQ114&lt;&gt;"",N($AR114)&gt;0,MOD($G114,$AR114)&lt;&gt;0),"WARNUNG: Stückzahl ist kein Vielfaches von Stück je Satz",IF($H114="","HINWEIS: Schneidweg fehlt",IF(V114="","HINWEIS: keine Schneiddaten",IF(AND($AF114&lt;&gt;"",$AG114=""),"HINWEIS: Gewinde-Vorschlag prüfen","OK")))))))))))))))</f>
        <v/>
      </c>
      <c r="X114" s="18">
        <f>IF(OR(O114="",$G114=""),"",O114*$G114)</f>
        <v/>
      </c>
      <c r="Y114" s="9" t="n"/>
      <c r="Z114" s="23" t="n"/>
      <c r="AA114" s="9" t="n"/>
      <c r="AB114" s="23" t="n"/>
      <c r="AC114" s="23" t="n"/>
      <c r="AD114" s="23" t="n"/>
      <c r="AE114" s="9" t="n"/>
      <c r="AF114" s="9" t="n"/>
      <c r="AG114" s="9" t="n"/>
      <c r="AH114" s="24" t="n"/>
      <c r="AI114" s="23" t="n"/>
      <c r="AJ114" s="24" t="n"/>
      <c r="AK114" s="23" t="n"/>
      <c r="AL114" s="24" t="n"/>
      <c r="AM114" s="23" t="n"/>
      <c r="AN114" s="28">
        <f>IF($D114="","",COUNTIFS(Stangenbelegung!$E$5:$E$10004,ROW()))</f>
        <v/>
      </c>
      <c r="AO114" s="28">
        <f>IF(OR($G114="",COUNTA(Stangenbelegung!$A$5:$A$10004)=0),"",$G114-AN114)</f>
        <v/>
      </c>
      <c r="AP114" s="29" t="n"/>
      <c r="AQ114" s="9" t="n"/>
      <c r="AR114" s="19" t="n"/>
    </row>
    <row r="115">
      <c r="A115" s="9" t="n"/>
      <c r="B115" s="9" t="n"/>
      <c r="C115" s="9" t="n"/>
      <c r="D115" s="9" t="n"/>
      <c r="E115" s="9" t="n"/>
      <c r="F115" s="23" t="n"/>
      <c r="G115" s="19" t="n"/>
      <c r="H115" s="23" t="n"/>
      <c r="I115" s="24" t="n"/>
      <c r="J115" s="19" t="n"/>
      <c r="K115" s="25">
        <f>IF($D115="","",IFERROR(INDEX(Profile!$B$5:$B$304,MATCH($D115,lst_Profil,0)),""))</f>
        <v/>
      </c>
      <c r="L115" s="13">
        <f>IF($D115="","",IFERROR(INDEX(Profile!$K$5:$K$304,MATCH($D115,lst_Profil,0))+0,""))</f>
        <v/>
      </c>
      <c r="M115" s="26">
        <f>IF($D115="","",IFERROR(INDEX(Profile!$E$5:$E$304,MATCH($D115,lst_Profil,0))+0,""))</f>
        <v/>
      </c>
      <c r="N115" s="27">
        <f>IF(OR(L115="",$E115=""),"",IFERROR(L115*INDEX(Werkstoffe!$E$5:$E$304,MATCH($E115,lst_Werkstoff,0))/1000,""))</f>
        <v/>
      </c>
      <c r="O115" s="27">
        <f>IF(OR(N115="",$F115=""),"",N115*$F115/1000)</f>
        <v/>
      </c>
      <c r="P115" s="16">
        <f>IF(OR($F115="",$G115=""),"",$F115*$G115)</f>
        <v/>
      </c>
      <c r="Q115" s="16">
        <f>IF($D115="","",IF($J115&lt;&gt;"",$J115,$C$9))</f>
        <v/>
      </c>
      <c r="R115" s="12">
        <f>IF($D115="","",IFERROR(IF(INDEX(Profile!$G$5:$G$304,MATCH($D115,lst_Profil,0))&lt;&gt;"",INDEX(Profile!$G$5:$G$304,MATCH($D115,lst_Profil,0)),$H$4),$H$4))</f>
        <v/>
      </c>
      <c r="S115" s="12">
        <f>IF($D115="","",IFERROR(IF(INDEX(Profile!$H$5:$H$304,MATCH($D115,lst_Profil,0))&lt;&gt;"",INDEX(Profile!$H$5:$H$304,MATCH($D115,lst_Profil,0)),$H$5),$H$5))</f>
        <v/>
      </c>
      <c r="T115" s="16">
        <f>IF(OR(Q115="",NOT(ISNUMBER(R115)),NOT(ISNUMBER(S115))),"",Q115-R115-S115)</f>
        <v/>
      </c>
      <c r="U115" s="28">
        <f>IF(OR($D115="",$E115=""),"",IF(OR(N($AP115)&gt;0,COUNTIFS(Preise!$A$5:$A$304,$D115,Preise!$B$5:$B$304,$E115,Preise!$I$5:$I$304,"OK")&gt;0,N(INDEX(Werkstoffe!$G$5:$G$304,MATCH($E115,lst_Werkstoff,0)))&gt;0),"ja","nein"))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28">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Materialpreis",IF(AND($AQ115&lt;&gt;"",N($AR115)&gt;0,MOD($G115,$AR115)&lt;&gt;0),"WARNUNG: Stückzahl ist kein Vielfaches von Stück je Satz",IF($H115="","HINWEIS: Schneidweg fehlt",IF(V115="","HINWEIS: keine Schneiddaten",IF(AND($AF115&lt;&gt;"",$AG115=""),"HINWEIS: Gewinde-Vorschlag prüfen","OK")))))))))))))))</f>
        <v/>
      </c>
      <c r="X115" s="18">
        <f>IF(OR(O115="",$G115=""),"",O115*$G115)</f>
        <v/>
      </c>
      <c r="Y115" s="9" t="n"/>
      <c r="Z115" s="23" t="n"/>
      <c r="AA115" s="9" t="n"/>
      <c r="AB115" s="23" t="n"/>
      <c r="AC115" s="23" t="n"/>
      <c r="AD115" s="23" t="n"/>
      <c r="AE115" s="9" t="n"/>
      <c r="AF115" s="9" t="n"/>
      <c r="AG115" s="9" t="n"/>
      <c r="AH115" s="24" t="n"/>
      <c r="AI115" s="23" t="n"/>
      <c r="AJ115" s="24" t="n"/>
      <c r="AK115" s="23" t="n"/>
      <c r="AL115" s="24" t="n"/>
      <c r="AM115" s="23" t="n"/>
      <c r="AN115" s="28">
        <f>IF($D115="","",COUNTIFS(Stangenbelegung!$E$5:$E$10004,ROW()))</f>
        <v/>
      </c>
      <c r="AO115" s="28">
        <f>IF(OR($G115="",COUNTA(Stangenbelegung!$A$5:$A$10004)=0),"",$G115-AN115)</f>
        <v/>
      </c>
      <c r="AP115" s="29" t="n"/>
      <c r="AQ115" s="9" t="n"/>
      <c r="AR115" s="19" t="n"/>
    </row>
    <row r="116">
      <c r="A116" s="9" t="n"/>
      <c r="B116" s="9" t="n"/>
      <c r="C116" s="9" t="n"/>
      <c r="D116" s="9" t="n"/>
      <c r="E116" s="9" t="n"/>
      <c r="F116" s="23" t="n"/>
      <c r="G116" s="19" t="n"/>
      <c r="H116" s="23" t="n"/>
      <c r="I116" s="24" t="n"/>
      <c r="J116" s="19" t="n"/>
      <c r="K116" s="25">
        <f>IF($D116="","",IFERROR(INDEX(Profile!$B$5:$B$304,MATCH($D116,lst_Profil,0)),""))</f>
        <v/>
      </c>
      <c r="L116" s="13">
        <f>IF($D116="","",IFERROR(INDEX(Profile!$K$5:$K$304,MATCH($D116,lst_Profil,0))+0,""))</f>
        <v/>
      </c>
      <c r="M116" s="26">
        <f>IF($D116="","",IFERROR(INDEX(Profile!$E$5:$E$304,MATCH($D116,lst_Profil,0))+0,""))</f>
        <v/>
      </c>
      <c r="N116" s="27">
        <f>IF(OR(L116="",$E116=""),"",IFERROR(L116*INDEX(Werkstoffe!$E$5:$E$304,MATCH($E116,lst_Werkstoff,0))/1000,""))</f>
        <v/>
      </c>
      <c r="O116" s="27">
        <f>IF(OR(N116="",$F116=""),"",N116*$F116/1000)</f>
        <v/>
      </c>
      <c r="P116" s="16">
        <f>IF(OR($F116="",$G116=""),"",$F116*$G116)</f>
        <v/>
      </c>
      <c r="Q116" s="16">
        <f>IF($D116="","",IF($J116&lt;&gt;"",$J116,$C$9))</f>
        <v/>
      </c>
      <c r="R116" s="12">
        <f>IF($D116="","",IFERROR(IF(INDEX(Profile!$G$5:$G$304,MATCH($D116,lst_Profil,0))&lt;&gt;"",INDEX(Profile!$G$5:$G$304,MATCH($D116,lst_Profil,0)),$H$4),$H$4))</f>
        <v/>
      </c>
      <c r="S116" s="12">
        <f>IF($D116="","",IFERROR(IF(INDEX(Profile!$H$5:$H$304,MATCH($D116,lst_Profil,0))&lt;&gt;"",INDEX(Profile!$H$5:$H$304,MATCH($D116,lst_Profil,0)),$H$5),$H$5))</f>
        <v/>
      </c>
      <c r="T116" s="16">
        <f>IF(OR(Q116="",NOT(ISNUMBER(R116)),NOT(ISNUMBER(S116))),"",Q116-R116-S116)</f>
        <v/>
      </c>
      <c r="U116" s="28">
        <f>IF(OR($D116="",$E116=""),"",IF(OR(N($AP116)&gt;0,COUNTIFS(Preise!$A$5:$A$304,$D116,Preise!$B$5:$B$304,$E116,Preise!$I$5:$I$304,"OK")&gt;0,N(INDEX(Werkstoffe!$G$5:$G$304,MATCH($E116,lst_Werkstoff,0)))&gt;0),"ja","nein"))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28">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Materialpreis",IF(AND($AQ116&lt;&gt;"",N($AR116)&gt;0,MOD($G116,$AR116)&lt;&gt;0),"WARNUNG: Stückzahl ist kein Vielfaches von Stück je Satz",IF($H116="","HINWEIS: Schneidweg fehlt",IF(V116="","HINWEIS: keine Schneiddaten",IF(AND($AF116&lt;&gt;"",$AG116=""),"HINWEIS: Gewinde-Vorschlag prüfen","OK")))))))))))))))</f>
        <v/>
      </c>
      <c r="X116" s="18">
        <f>IF(OR(O116="",$G116=""),"",O116*$G116)</f>
        <v/>
      </c>
      <c r="Y116" s="9" t="n"/>
      <c r="Z116" s="23" t="n"/>
      <c r="AA116" s="9" t="n"/>
      <c r="AB116" s="23" t="n"/>
      <c r="AC116" s="23" t="n"/>
      <c r="AD116" s="23" t="n"/>
      <c r="AE116" s="9" t="n"/>
      <c r="AF116" s="9" t="n"/>
      <c r="AG116" s="9" t="n"/>
      <c r="AH116" s="24" t="n"/>
      <c r="AI116" s="23" t="n"/>
      <c r="AJ116" s="24" t="n"/>
      <c r="AK116" s="23" t="n"/>
      <c r="AL116" s="24" t="n"/>
      <c r="AM116" s="23" t="n"/>
      <c r="AN116" s="28">
        <f>IF($D116="","",COUNTIFS(Stangenbelegung!$E$5:$E$10004,ROW()))</f>
        <v/>
      </c>
      <c r="AO116" s="28">
        <f>IF(OR($G116="",COUNTA(Stangenbelegung!$A$5:$A$10004)=0),"",$G116-AN116)</f>
        <v/>
      </c>
      <c r="AP116" s="29" t="n"/>
      <c r="AQ116" s="9" t="n"/>
      <c r="AR116" s="19" t="n"/>
    </row>
    <row r="117">
      <c r="A117" s="9" t="n"/>
      <c r="B117" s="9" t="n"/>
      <c r="C117" s="9" t="n"/>
      <c r="D117" s="9" t="n"/>
      <c r="E117" s="9" t="n"/>
      <c r="F117" s="23" t="n"/>
      <c r="G117" s="19" t="n"/>
      <c r="H117" s="23" t="n"/>
      <c r="I117" s="24" t="n"/>
      <c r="J117" s="19" t="n"/>
      <c r="K117" s="25">
        <f>IF($D117="","",IFERROR(INDEX(Profile!$B$5:$B$304,MATCH($D117,lst_Profil,0)),""))</f>
        <v/>
      </c>
      <c r="L117" s="13">
        <f>IF($D117="","",IFERROR(INDEX(Profile!$K$5:$K$304,MATCH($D117,lst_Profil,0))+0,""))</f>
        <v/>
      </c>
      <c r="M117" s="26">
        <f>IF($D117="","",IFERROR(INDEX(Profile!$E$5:$E$304,MATCH($D117,lst_Profil,0))+0,""))</f>
        <v/>
      </c>
      <c r="N117" s="27">
        <f>IF(OR(L117="",$E117=""),"",IFERROR(L117*INDEX(Werkstoffe!$E$5:$E$304,MATCH($E117,lst_Werkstoff,0))/1000,""))</f>
        <v/>
      </c>
      <c r="O117" s="27">
        <f>IF(OR(N117="",$F117=""),"",N117*$F117/1000)</f>
        <v/>
      </c>
      <c r="P117" s="16">
        <f>IF(OR($F117="",$G117=""),"",$F117*$G117)</f>
        <v/>
      </c>
      <c r="Q117" s="16">
        <f>IF($D117="","",IF($J117&lt;&gt;"",$J117,$C$9))</f>
        <v/>
      </c>
      <c r="R117" s="12">
        <f>IF($D117="","",IFERROR(IF(INDEX(Profile!$G$5:$G$304,MATCH($D117,lst_Profil,0))&lt;&gt;"",INDEX(Profile!$G$5:$G$304,MATCH($D117,lst_Profil,0)),$H$4),$H$4))</f>
        <v/>
      </c>
      <c r="S117" s="12">
        <f>IF($D117="","",IFERROR(IF(INDEX(Profile!$H$5:$H$304,MATCH($D117,lst_Profil,0))&lt;&gt;"",INDEX(Profile!$H$5:$H$304,MATCH($D117,lst_Profil,0)),$H$5),$H$5))</f>
        <v/>
      </c>
      <c r="T117" s="16">
        <f>IF(OR(Q117="",NOT(ISNUMBER(R117)),NOT(ISNUMBER(S117))),"",Q117-R117-S117)</f>
        <v/>
      </c>
      <c r="U117" s="28">
        <f>IF(OR($D117="",$E117=""),"",IF(OR(N($AP117)&gt;0,COUNTIFS(Preise!$A$5:$A$304,$D117,Preise!$B$5:$B$304,$E117,Preise!$I$5:$I$304,"OK")&gt;0,N(INDEX(Werkstoffe!$G$5:$G$304,MATCH($E117,lst_Werkstoff,0)))&gt;0),"ja","nein"))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28">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Materialpreis",IF(AND($AQ117&lt;&gt;"",N($AR117)&gt;0,MOD($G117,$AR117)&lt;&gt;0),"WARNUNG: Stückzahl ist kein Vielfaches von Stück je Satz",IF($H117="","HINWEIS: Schneidweg fehlt",IF(V117="","HINWEIS: keine Schneiddaten",IF(AND($AF117&lt;&gt;"",$AG117=""),"HINWEIS: Gewinde-Vorschlag prüfen","OK")))))))))))))))</f>
        <v/>
      </c>
      <c r="X117" s="18">
        <f>IF(OR(O117="",$G117=""),"",O117*$G117)</f>
        <v/>
      </c>
      <c r="Y117" s="9" t="n"/>
      <c r="Z117" s="23" t="n"/>
      <c r="AA117" s="9" t="n"/>
      <c r="AB117" s="23" t="n"/>
      <c r="AC117" s="23" t="n"/>
      <c r="AD117" s="23" t="n"/>
      <c r="AE117" s="9" t="n"/>
      <c r="AF117" s="9" t="n"/>
      <c r="AG117" s="9" t="n"/>
      <c r="AH117" s="24" t="n"/>
      <c r="AI117" s="23" t="n"/>
      <c r="AJ117" s="24" t="n"/>
      <c r="AK117" s="23" t="n"/>
      <c r="AL117" s="24" t="n"/>
      <c r="AM117" s="23" t="n"/>
      <c r="AN117" s="28">
        <f>IF($D117="","",COUNTIFS(Stangenbelegung!$E$5:$E$10004,ROW()))</f>
        <v/>
      </c>
      <c r="AO117" s="28">
        <f>IF(OR($G117="",COUNTA(Stangenbelegung!$A$5:$A$10004)=0),"",$G117-AN117)</f>
        <v/>
      </c>
      <c r="AP117" s="29" t="n"/>
      <c r="AQ117" s="9" t="n"/>
      <c r="AR117" s="19" t="n"/>
    </row>
    <row r="118">
      <c r="A118" s="9" t="n"/>
      <c r="B118" s="9" t="n"/>
      <c r="C118" s="9" t="n"/>
      <c r="D118" s="9" t="n"/>
      <c r="E118" s="9" t="n"/>
      <c r="F118" s="23" t="n"/>
      <c r="G118" s="19" t="n"/>
      <c r="H118" s="23" t="n"/>
      <c r="I118" s="24" t="n"/>
      <c r="J118" s="19" t="n"/>
      <c r="K118" s="25">
        <f>IF($D118="","",IFERROR(INDEX(Profile!$B$5:$B$304,MATCH($D118,lst_Profil,0)),""))</f>
        <v/>
      </c>
      <c r="L118" s="13">
        <f>IF($D118="","",IFERROR(INDEX(Profile!$K$5:$K$304,MATCH($D118,lst_Profil,0))+0,""))</f>
        <v/>
      </c>
      <c r="M118" s="26">
        <f>IF($D118="","",IFERROR(INDEX(Profile!$E$5:$E$304,MATCH($D118,lst_Profil,0))+0,""))</f>
        <v/>
      </c>
      <c r="N118" s="27">
        <f>IF(OR(L118="",$E118=""),"",IFERROR(L118*INDEX(Werkstoffe!$E$5:$E$304,MATCH($E118,lst_Werkstoff,0))/1000,""))</f>
        <v/>
      </c>
      <c r="O118" s="27">
        <f>IF(OR(N118="",$F118=""),"",N118*$F118/1000)</f>
        <v/>
      </c>
      <c r="P118" s="16">
        <f>IF(OR($F118="",$G118=""),"",$F118*$G118)</f>
        <v/>
      </c>
      <c r="Q118" s="16">
        <f>IF($D118="","",IF($J118&lt;&gt;"",$J118,$C$9))</f>
        <v/>
      </c>
      <c r="R118" s="12">
        <f>IF($D118="","",IFERROR(IF(INDEX(Profile!$G$5:$G$304,MATCH($D118,lst_Profil,0))&lt;&gt;"",INDEX(Profile!$G$5:$G$304,MATCH($D118,lst_Profil,0)),$H$4),$H$4))</f>
        <v/>
      </c>
      <c r="S118" s="12">
        <f>IF($D118="","",IFERROR(IF(INDEX(Profile!$H$5:$H$304,MATCH($D118,lst_Profil,0))&lt;&gt;"",INDEX(Profile!$H$5:$H$304,MATCH($D118,lst_Profil,0)),$H$5),$H$5))</f>
        <v/>
      </c>
      <c r="T118" s="16">
        <f>IF(OR(Q118="",NOT(ISNUMBER(R118)),NOT(ISNUMBER(S118))),"",Q118-R118-S118)</f>
        <v/>
      </c>
      <c r="U118" s="28">
        <f>IF(OR($D118="",$E118=""),"",IF(OR(N($AP118)&gt;0,COUNTIFS(Preise!$A$5:$A$304,$D118,Preise!$B$5:$B$304,$E118,Preise!$I$5:$I$304,"OK")&gt;0,N(INDEX(Werkstoffe!$G$5:$G$304,MATCH($E118,lst_Werkstoff,0)))&gt;0),"ja","nein"))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28">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Materialpreis",IF(AND($AQ118&lt;&gt;"",N($AR118)&gt;0,MOD($G118,$AR118)&lt;&gt;0),"WARNUNG: Stückzahl ist kein Vielfaches von Stück je Satz",IF($H118="","HINWEIS: Schneidweg fehlt",IF(V118="","HINWEIS: keine Schneiddaten",IF(AND($AF118&lt;&gt;"",$AG118=""),"HINWEIS: Gewinde-Vorschlag prüfen","OK")))))))))))))))</f>
        <v/>
      </c>
      <c r="X118" s="18">
        <f>IF(OR(O118="",$G118=""),"",O118*$G118)</f>
        <v/>
      </c>
      <c r="Y118" s="9" t="n"/>
      <c r="Z118" s="23" t="n"/>
      <c r="AA118" s="9" t="n"/>
      <c r="AB118" s="23" t="n"/>
      <c r="AC118" s="23" t="n"/>
      <c r="AD118" s="23" t="n"/>
      <c r="AE118" s="9" t="n"/>
      <c r="AF118" s="9" t="n"/>
      <c r="AG118" s="9" t="n"/>
      <c r="AH118" s="24" t="n"/>
      <c r="AI118" s="23" t="n"/>
      <c r="AJ118" s="24" t="n"/>
      <c r="AK118" s="23" t="n"/>
      <c r="AL118" s="24" t="n"/>
      <c r="AM118" s="23" t="n"/>
      <c r="AN118" s="28">
        <f>IF($D118="","",COUNTIFS(Stangenbelegung!$E$5:$E$10004,ROW()))</f>
        <v/>
      </c>
      <c r="AO118" s="28">
        <f>IF(OR($G118="",COUNTA(Stangenbelegung!$A$5:$A$10004)=0),"",$G118-AN118)</f>
        <v/>
      </c>
      <c r="AP118" s="29" t="n"/>
      <c r="AQ118" s="9" t="n"/>
      <c r="AR118" s="19" t="n"/>
    </row>
    <row r="119">
      <c r="A119" s="9" t="n"/>
      <c r="B119" s="9" t="n"/>
      <c r="C119" s="9" t="n"/>
      <c r="D119" s="9" t="n"/>
      <c r="E119" s="9" t="n"/>
      <c r="F119" s="23" t="n"/>
      <c r="G119" s="19" t="n"/>
      <c r="H119" s="23" t="n"/>
      <c r="I119" s="24" t="n"/>
      <c r="J119" s="19" t="n"/>
      <c r="K119" s="25">
        <f>IF($D119="","",IFERROR(INDEX(Profile!$B$5:$B$304,MATCH($D119,lst_Profil,0)),""))</f>
        <v/>
      </c>
      <c r="L119" s="13">
        <f>IF($D119="","",IFERROR(INDEX(Profile!$K$5:$K$304,MATCH($D119,lst_Profil,0))+0,""))</f>
        <v/>
      </c>
      <c r="M119" s="26">
        <f>IF($D119="","",IFERROR(INDEX(Profile!$E$5:$E$304,MATCH($D119,lst_Profil,0))+0,""))</f>
        <v/>
      </c>
      <c r="N119" s="27">
        <f>IF(OR(L119="",$E119=""),"",IFERROR(L119*INDEX(Werkstoffe!$E$5:$E$304,MATCH($E119,lst_Werkstoff,0))/1000,""))</f>
        <v/>
      </c>
      <c r="O119" s="27">
        <f>IF(OR(N119="",$F119=""),"",N119*$F119/1000)</f>
        <v/>
      </c>
      <c r="P119" s="16">
        <f>IF(OR($F119="",$G119=""),"",$F119*$G119)</f>
        <v/>
      </c>
      <c r="Q119" s="16">
        <f>IF($D119="","",IF($J119&lt;&gt;"",$J119,$C$9))</f>
        <v/>
      </c>
      <c r="R119" s="12">
        <f>IF($D119="","",IFERROR(IF(INDEX(Profile!$G$5:$G$304,MATCH($D119,lst_Profil,0))&lt;&gt;"",INDEX(Profile!$G$5:$G$304,MATCH($D119,lst_Profil,0)),$H$4),$H$4))</f>
        <v/>
      </c>
      <c r="S119" s="12">
        <f>IF($D119="","",IFERROR(IF(INDEX(Profile!$H$5:$H$304,MATCH($D119,lst_Profil,0))&lt;&gt;"",INDEX(Profile!$H$5:$H$304,MATCH($D119,lst_Profil,0)),$H$5),$H$5))</f>
        <v/>
      </c>
      <c r="T119" s="16">
        <f>IF(OR(Q119="",NOT(ISNUMBER(R119)),NOT(ISNUMBER(S119))),"",Q119-R119-S119)</f>
        <v/>
      </c>
      <c r="U119" s="28">
        <f>IF(OR($D119="",$E119=""),"",IF(OR(N($AP119)&gt;0,COUNTIFS(Preise!$A$5:$A$304,$D119,Preise!$B$5:$B$304,$E119,Preise!$I$5:$I$304,"OK")&gt;0,N(INDEX(Werkstoffe!$G$5:$G$304,MATCH($E119,lst_Werkstoff,0)))&gt;0),"ja","nein"))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28">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Materialpreis",IF(AND($AQ119&lt;&gt;"",N($AR119)&gt;0,MOD($G119,$AR119)&lt;&gt;0),"WARNUNG: Stückzahl ist kein Vielfaches von Stück je Satz",IF($H119="","HINWEIS: Schneidweg fehlt",IF(V119="","HINWEIS: keine Schneiddaten",IF(AND($AF119&lt;&gt;"",$AG119=""),"HINWEIS: Gewinde-Vorschlag prüfen","OK")))))))))))))))</f>
        <v/>
      </c>
      <c r="X119" s="18">
        <f>IF(OR(O119="",$G119=""),"",O119*$G119)</f>
        <v/>
      </c>
      <c r="Y119" s="9" t="n"/>
      <c r="Z119" s="23" t="n"/>
      <c r="AA119" s="9" t="n"/>
      <c r="AB119" s="23" t="n"/>
      <c r="AC119" s="23" t="n"/>
      <c r="AD119" s="23" t="n"/>
      <c r="AE119" s="9" t="n"/>
      <c r="AF119" s="9" t="n"/>
      <c r="AG119" s="9" t="n"/>
      <c r="AH119" s="24" t="n"/>
      <c r="AI119" s="23" t="n"/>
      <c r="AJ119" s="24" t="n"/>
      <c r="AK119" s="23" t="n"/>
      <c r="AL119" s="24" t="n"/>
      <c r="AM119" s="23" t="n"/>
      <c r="AN119" s="28">
        <f>IF($D119="","",COUNTIFS(Stangenbelegung!$E$5:$E$10004,ROW()))</f>
        <v/>
      </c>
      <c r="AO119" s="28">
        <f>IF(OR($G119="",COUNTA(Stangenbelegung!$A$5:$A$10004)=0),"",$G119-AN119)</f>
        <v/>
      </c>
      <c r="AP119" s="29" t="n"/>
      <c r="AQ119" s="9" t="n"/>
      <c r="AR119" s="19" t="n"/>
    </row>
    <row r="120">
      <c r="A120" s="9" t="n"/>
      <c r="B120" s="9" t="n"/>
      <c r="C120" s="9" t="n"/>
      <c r="D120" s="9" t="n"/>
      <c r="E120" s="9" t="n"/>
      <c r="F120" s="23" t="n"/>
      <c r="G120" s="19" t="n"/>
      <c r="H120" s="23" t="n"/>
      <c r="I120" s="24" t="n"/>
      <c r="J120" s="19" t="n"/>
      <c r="K120" s="25">
        <f>IF($D120="","",IFERROR(INDEX(Profile!$B$5:$B$304,MATCH($D120,lst_Profil,0)),""))</f>
        <v/>
      </c>
      <c r="L120" s="13">
        <f>IF($D120="","",IFERROR(INDEX(Profile!$K$5:$K$304,MATCH($D120,lst_Profil,0))+0,""))</f>
        <v/>
      </c>
      <c r="M120" s="26">
        <f>IF($D120="","",IFERROR(INDEX(Profile!$E$5:$E$304,MATCH($D120,lst_Profil,0))+0,""))</f>
        <v/>
      </c>
      <c r="N120" s="27">
        <f>IF(OR(L120="",$E120=""),"",IFERROR(L120*INDEX(Werkstoffe!$E$5:$E$304,MATCH($E120,lst_Werkstoff,0))/1000,""))</f>
        <v/>
      </c>
      <c r="O120" s="27">
        <f>IF(OR(N120="",$F120=""),"",N120*$F120/1000)</f>
        <v/>
      </c>
      <c r="P120" s="16">
        <f>IF(OR($F120="",$G120=""),"",$F120*$G120)</f>
        <v/>
      </c>
      <c r="Q120" s="16">
        <f>IF($D120="","",IF($J120&lt;&gt;"",$J120,$C$9))</f>
        <v/>
      </c>
      <c r="R120" s="12">
        <f>IF($D120="","",IFERROR(IF(INDEX(Profile!$G$5:$G$304,MATCH($D120,lst_Profil,0))&lt;&gt;"",INDEX(Profile!$G$5:$G$304,MATCH($D120,lst_Profil,0)),$H$4),$H$4))</f>
        <v/>
      </c>
      <c r="S120" s="12">
        <f>IF($D120="","",IFERROR(IF(INDEX(Profile!$H$5:$H$304,MATCH($D120,lst_Profil,0))&lt;&gt;"",INDEX(Profile!$H$5:$H$304,MATCH($D120,lst_Profil,0)),$H$5),$H$5))</f>
        <v/>
      </c>
      <c r="T120" s="16">
        <f>IF(OR(Q120="",NOT(ISNUMBER(R120)),NOT(ISNUMBER(S120))),"",Q120-R120-S120)</f>
        <v/>
      </c>
      <c r="U120" s="28">
        <f>IF(OR($D120="",$E120=""),"",IF(OR(N($AP120)&gt;0,COUNTIFS(Preise!$A$5:$A$304,$D120,Preise!$B$5:$B$304,$E120,Preise!$I$5:$I$304,"OK")&gt;0,N(INDEX(Werkstoffe!$G$5:$G$304,MATCH($E120,lst_Werkstoff,0)))&gt;0),"ja","nein"))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28">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Materialpreis",IF(AND($AQ120&lt;&gt;"",N($AR120)&gt;0,MOD($G120,$AR120)&lt;&gt;0),"WARNUNG: Stückzahl ist kein Vielfaches von Stück je Satz",IF($H120="","HINWEIS: Schneidweg fehlt",IF(V120="","HINWEIS: keine Schneiddaten",IF(AND($AF120&lt;&gt;"",$AG120=""),"HINWEIS: Gewinde-Vorschlag prüfen","OK")))))))))))))))</f>
        <v/>
      </c>
      <c r="X120" s="18">
        <f>IF(OR(O120="",$G120=""),"",O120*$G120)</f>
        <v/>
      </c>
      <c r="Y120" s="9" t="n"/>
      <c r="Z120" s="23" t="n"/>
      <c r="AA120" s="9" t="n"/>
      <c r="AB120" s="23" t="n"/>
      <c r="AC120" s="23" t="n"/>
      <c r="AD120" s="23" t="n"/>
      <c r="AE120" s="9" t="n"/>
      <c r="AF120" s="9" t="n"/>
      <c r="AG120" s="9" t="n"/>
      <c r="AH120" s="24" t="n"/>
      <c r="AI120" s="23" t="n"/>
      <c r="AJ120" s="24" t="n"/>
      <c r="AK120" s="23" t="n"/>
      <c r="AL120" s="24" t="n"/>
      <c r="AM120" s="23" t="n"/>
      <c r="AN120" s="28">
        <f>IF($D120="","",COUNTIFS(Stangenbelegung!$E$5:$E$10004,ROW()))</f>
        <v/>
      </c>
      <c r="AO120" s="28">
        <f>IF(OR($G120="",COUNTA(Stangenbelegung!$A$5:$A$10004)=0),"",$G120-AN120)</f>
        <v/>
      </c>
      <c r="AP120" s="29" t="n"/>
      <c r="AQ120" s="9" t="n"/>
      <c r="AR120" s="19" t="n"/>
    </row>
    <row r="121">
      <c r="A121" s="9" t="n"/>
      <c r="B121" s="9" t="n"/>
      <c r="C121" s="9" t="n"/>
      <c r="D121" s="9" t="n"/>
      <c r="E121" s="9" t="n"/>
      <c r="F121" s="23" t="n"/>
      <c r="G121" s="19" t="n"/>
      <c r="H121" s="23" t="n"/>
      <c r="I121" s="24" t="n"/>
      <c r="J121" s="19" t="n"/>
      <c r="K121" s="25">
        <f>IF($D121="","",IFERROR(INDEX(Profile!$B$5:$B$304,MATCH($D121,lst_Profil,0)),""))</f>
        <v/>
      </c>
      <c r="L121" s="13">
        <f>IF($D121="","",IFERROR(INDEX(Profile!$K$5:$K$304,MATCH($D121,lst_Profil,0))+0,""))</f>
        <v/>
      </c>
      <c r="M121" s="26">
        <f>IF($D121="","",IFERROR(INDEX(Profile!$E$5:$E$304,MATCH($D121,lst_Profil,0))+0,""))</f>
        <v/>
      </c>
      <c r="N121" s="27">
        <f>IF(OR(L121="",$E121=""),"",IFERROR(L121*INDEX(Werkstoffe!$E$5:$E$304,MATCH($E121,lst_Werkstoff,0))/1000,""))</f>
        <v/>
      </c>
      <c r="O121" s="27">
        <f>IF(OR(N121="",$F121=""),"",N121*$F121/1000)</f>
        <v/>
      </c>
      <c r="P121" s="16">
        <f>IF(OR($F121="",$G121=""),"",$F121*$G121)</f>
        <v/>
      </c>
      <c r="Q121" s="16">
        <f>IF($D121="","",IF($J121&lt;&gt;"",$J121,$C$9))</f>
        <v/>
      </c>
      <c r="R121" s="12">
        <f>IF($D121="","",IFERROR(IF(INDEX(Profile!$G$5:$G$304,MATCH($D121,lst_Profil,0))&lt;&gt;"",INDEX(Profile!$G$5:$G$304,MATCH($D121,lst_Profil,0)),$H$4),$H$4))</f>
        <v/>
      </c>
      <c r="S121" s="12">
        <f>IF($D121="","",IFERROR(IF(INDEX(Profile!$H$5:$H$304,MATCH($D121,lst_Profil,0))&lt;&gt;"",INDEX(Profile!$H$5:$H$304,MATCH($D121,lst_Profil,0)),$H$5),$H$5))</f>
        <v/>
      </c>
      <c r="T121" s="16">
        <f>IF(OR(Q121="",NOT(ISNUMBER(R121)),NOT(ISNUMBER(S121))),"",Q121-R121-S121)</f>
        <v/>
      </c>
      <c r="U121" s="28">
        <f>IF(OR($D121="",$E121=""),"",IF(OR(N($AP121)&gt;0,COUNTIFS(Preise!$A$5:$A$304,$D121,Preise!$B$5:$B$304,$E121,Preise!$I$5:$I$304,"OK")&gt;0,N(INDEX(Werkstoffe!$G$5:$G$304,MATCH($E121,lst_Werkstoff,0)))&gt;0),"ja","nein"))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28">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Materialpreis",IF(AND($AQ121&lt;&gt;"",N($AR121)&gt;0,MOD($G121,$AR121)&lt;&gt;0),"WARNUNG: Stückzahl ist kein Vielfaches von Stück je Satz",IF($H121="","HINWEIS: Schneidweg fehlt",IF(V121="","HINWEIS: keine Schneiddaten",IF(AND($AF121&lt;&gt;"",$AG121=""),"HINWEIS: Gewinde-Vorschlag prüfen","OK")))))))))))))))</f>
        <v/>
      </c>
      <c r="X121" s="18">
        <f>IF(OR(O121="",$G121=""),"",O121*$G121)</f>
        <v/>
      </c>
      <c r="Y121" s="9" t="n"/>
      <c r="Z121" s="23" t="n"/>
      <c r="AA121" s="9" t="n"/>
      <c r="AB121" s="23" t="n"/>
      <c r="AC121" s="23" t="n"/>
      <c r="AD121" s="23" t="n"/>
      <c r="AE121" s="9" t="n"/>
      <c r="AF121" s="9" t="n"/>
      <c r="AG121" s="9" t="n"/>
      <c r="AH121" s="24" t="n"/>
      <c r="AI121" s="23" t="n"/>
      <c r="AJ121" s="24" t="n"/>
      <c r="AK121" s="23" t="n"/>
      <c r="AL121" s="24" t="n"/>
      <c r="AM121" s="23" t="n"/>
      <c r="AN121" s="28">
        <f>IF($D121="","",COUNTIFS(Stangenbelegung!$E$5:$E$10004,ROW()))</f>
        <v/>
      </c>
      <c r="AO121" s="28">
        <f>IF(OR($G121="",COUNTA(Stangenbelegung!$A$5:$A$10004)=0),"",$G121-AN121)</f>
        <v/>
      </c>
      <c r="AP121" s="29" t="n"/>
      <c r="AQ121" s="9" t="n"/>
      <c r="AR121" s="19" t="n"/>
    </row>
    <row r="122">
      <c r="A122" s="9" t="n"/>
      <c r="B122" s="9" t="n"/>
      <c r="C122" s="9" t="n"/>
      <c r="D122" s="9" t="n"/>
      <c r="E122" s="9" t="n"/>
      <c r="F122" s="23" t="n"/>
      <c r="G122" s="19" t="n"/>
      <c r="H122" s="23" t="n"/>
      <c r="I122" s="24" t="n"/>
      <c r="J122" s="19" t="n"/>
      <c r="K122" s="25">
        <f>IF($D122="","",IFERROR(INDEX(Profile!$B$5:$B$304,MATCH($D122,lst_Profil,0)),""))</f>
        <v/>
      </c>
      <c r="L122" s="13">
        <f>IF($D122="","",IFERROR(INDEX(Profile!$K$5:$K$304,MATCH($D122,lst_Profil,0))+0,""))</f>
        <v/>
      </c>
      <c r="M122" s="26">
        <f>IF($D122="","",IFERROR(INDEX(Profile!$E$5:$E$304,MATCH($D122,lst_Profil,0))+0,""))</f>
        <v/>
      </c>
      <c r="N122" s="27">
        <f>IF(OR(L122="",$E122=""),"",IFERROR(L122*INDEX(Werkstoffe!$E$5:$E$304,MATCH($E122,lst_Werkstoff,0))/1000,""))</f>
        <v/>
      </c>
      <c r="O122" s="27">
        <f>IF(OR(N122="",$F122=""),"",N122*$F122/1000)</f>
        <v/>
      </c>
      <c r="P122" s="16">
        <f>IF(OR($F122="",$G122=""),"",$F122*$G122)</f>
        <v/>
      </c>
      <c r="Q122" s="16">
        <f>IF($D122="","",IF($J122&lt;&gt;"",$J122,$C$9))</f>
        <v/>
      </c>
      <c r="R122" s="12">
        <f>IF($D122="","",IFERROR(IF(INDEX(Profile!$G$5:$G$304,MATCH($D122,lst_Profil,0))&lt;&gt;"",INDEX(Profile!$G$5:$G$304,MATCH($D122,lst_Profil,0)),$H$4),$H$4))</f>
        <v/>
      </c>
      <c r="S122" s="12">
        <f>IF($D122="","",IFERROR(IF(INDEX(Profile!$H$5:$H$304,MATCH($D122,lst_Profil,0))&lt;&gt;"",INDEX(Profile!$H$5:$H$304,MATCH($D122,lst_Profil,0)),$H$5),$H$5))</f>
        <v/>
      </c>
      <c r="T122" s="16">
        <f>IF(OR(Q122="",NOT(ISNUMBER(R122)),NOT(ISNUMBER(S122))),"",Q122-R122-S122)</f>
        <v/>
      </c>
      <c r="U122" s="28">
        <f>IF(OR($D122="",$E122=""),"",IF(OR(N($AP122)&gt;0,COUNTIFS(Preise!$A$5:$A$304,$D122,Preise!$B$5:$B$304,$E122,Preise!$I$5:$I$304,"OK")&gt;0,N(INDEX(Werkstoffe!$G$5:$G$304,MATCH($E122,lst_Werkstoff,0)))&gt;0),"ja","nein"))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28">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Materialpreis",IF(AND($AQ122&lt;&gt;"",N($AR122)&gt;0,MOD($G122,$AR122)&lt;&gt;0),"WARNUNG: Stückzahl ist kein Vielfaches von Stück je Satz",IF($H122="","HINWEIS: Schneidweg fehlt",IF(V122="","HINWEIS: keine Schneiddaten",IF(AND($AF122&lt;&gt;"",$AG122=""),"HINWEIS: Gewinde-Vorschlag prüfen","OK")))))))))))))))</f>
        <v/>
      </c>
      <c r="X122" s="18">
        <f>IF(OR(O122="",$G122=""),"",O122*$G122)</f>
        <v/>
      </c>
      <c r="Y122" s="9" t="n"/>
      <c r="Z122" s="23" t="n"/>
      <c r="AA122" s="9" t="n"/>
      <c r="AB122" s="23" t="n"/>
      <c r="AC122" s="23" t="n"/>
      <c r="AD122" s="23" t="n"/>
      <c r="AE122" s="9" t="n"/>
      <c r="AF122" s="9" t="n"/>
      <c r="AG122" s="9" t="n"/>
      <c r="AH122" s="24" t="n"/>
      <c r="AI122" s="23" t="n"/>
      <c r="AJ122" s="24" t="n"/>
      <c r="AK122" s="23" t="n"/>
      <c r="AL122" s="24" t="n"/>
      <c r="AM122" s="23" t="n"/>
      <c r="AN122" s="28">
        <f>IF($D122="","",COUNTIFS(Stangenbelegung!$E$5:$E$10004,ROW()))</f>
        <v/>
      </c>
      <c r="AO122" s="28">
        <f>IF(OR($G122="",COUNTA(Stangenbelegung!$A$5:$A$10004)=0),"",$G122-AN122)</f>
        <v/>
      </c>
      <c r="AP122" s="29" t="n"/>
      <c r="AQ122" s="9" t="n"/>
      <c r="AR122" s="19" t="n"/>
    </row>
    <row r="123">
      <c r="A123" s="9" t="n"/>
      <c r="B123" s="9" t="n"/>
      <c r="C123" s="9" t="n"/>
      <c r="D123" s="9" t="n"/>
      <c r="E123" s="9" t="n"/>
      <c r="F123" s="23" t="n"/>
      <c r="G123" s="19" t="n"/>
      <c r="H123" s="23" t="n"/>
      <c r="I123" s="24" t="n"/>
      <c r="J123" s="19" t="n"/>
      <c r="K123" s="25">
        <f>IF($D123="","",IFERROR(INDEX(Profile!$B$5:$B$304,MATCH($D123,lst_Profil,0)),""))</f>
        <v/>
      </c>
      <c r="L123" s="13">
        <f>IF($D123="","",IFERROR(INDEX(Profile!$K$5:$K$304,MATCH($D123,lst_Profil,0))+0,""))</f>
        <v/>
      </c>
      <c r="M123" s="26">
        <f>IF($D123="","",IFERROR(INDEX(Profile!$E$5:$E$304,MATCH($D123,lst_Profil,0))+0,""))</f>
        <v/>
      </c>
      <c r="N123" s="27">
        <f>IF(OR(L123="",$E123=""),"",IFERROR(L123*INDEX(Werkstoffe!$E$5:$E$304,MATCH($E123,lst_Werkstoff,0))/1000,""))</f>
        <v/>
      </c>
      <c r="O123" s="27">
        <f>IF(OR(N123="",$F123=""),"",N123*$F123/1000)</f>
        <v/>
      </c>
      <c r="P123" s="16">
        <f>IF(OR($F123="",$G123=""),"",$F123*$G123)</f>
        <v/>
      </c>
      <c r="Q123" s="16">
        <f>IF($D123="","",IF($J123&lt;&gt;"",$J123,$C$9))</f>
        <v/>
      </c>
      <c r="R123" s="12">
        <f>IF($D123="","",IFERROR(IF(INDEX(Profile!$G$5:$G$304,MATCH($D123,lst_Profil,0))&lt;&gt;"",INDEX(Profile!$G$5:$G$304,MATCH($D123,lst_Profil,0)),$H$4),$H$4))</f>
        <v/>
      </c>
      <c r="S123" s="12">
        <f>IF($D123="","",IFERROR(IF(INDEX(Profile!$H$5:$H$304,MATCH($D123,lst_Profil,0))&lt;&gt;"",INDEX(Profile!$H$5:$H$304,MATCH($D123,lst_Profil,0)),$H$5),$H$5))</f>
        <v/>
      </c>
      <c r="T123" s="16">
        <f>IF(OR(Q123="",NOT(ISNUMBER(R123)),NOT(ISNUMBER(S123))),"",Q123-R123-S123)</f>
        <v/>
      </c>
      <c r="U123" s="28">
        <f>IF(OR($D123="",$E123=""),"",IF(OR(N($AP123)&gt;0,COUNTIFS(Preise!$A$5:$A$304,$D123,Preise!$B$5:$B$304,$E123,Preise!$I$5:$I$304,"OK")&gt;0,N(INDEX(Werkstoffe!$G$5:$G$304,MATCH($E123,lst_Werkstoff,0)))&gt;0),"ja","nein"))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28">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Materialpreis",IF(AND($AQ123&lt;&gt;"",N($AR123)&gt;0,MOD($G123,$AR123)&lt;&gt;0),"WARNUNG: Stückzahl ist kein Vielfaches von Stück je Satz",IF($H123="","HINWEIS: Schneidweg fehlt",IF(V123="","HINWEIS: keine Schneiddaten",IF(AND($AF123&lt;&gt;"",$AG123=""),"HINWEIS: Gewinde-Vorschlag prüfen","OK")))))))))))))))</f>
        <v/>
      </c>
      <c r="X123" s="18">
        <f>IF(OR(O123="",$G123=""),"",O123*$G123)</f>
        <v/>
      </c>
      <c r="Y123" s="9" t="n"/>
      <c r="Z123" s="23" t="n"/>
      <c r="AA123" s="9" t="n"/>
      <c r="AB123" s="23" t="n"/>
      <c r="AC123" s="23" t="n"/>
      <c r="AD123" s="23" t="n"/>
      <c r="AE123" s="9" t="n"/>
      <c r="AF123" s="9" t="n"/>
      <c r="AG123" s="9" t="n"/>
      <c r="AH123" s="24" t="n"/>
      <c r="AI123" s="23" t="n"/>
      <c r="AJ123" s="24" t="n"/>
      <c r="AK123" s="23" t="n"/>
      <c r="AL123" s="24" t="n"/>
      <c r="AM123" s="23" t="n"/>
      <c r="AN123" s="28">
        <f>IF($D123="","",COUNTIFS(Stangenbelegung!$E$5:$E$10004,ROW()))</f>
        <v/>
      </c>
      <c r="AO123" s="28">
        <f>IF(OR($G123="",COUNTA(Stangenbelegung!$A$5:$A$10004)=0),"",$G123-AN123)</f>
        <v/>
      </c>
      <c r="AP123" s="29" t="n"/>
      <c r="AQ123" s="9" t="n"/>
      <c r="AR123" s="19" t="n"/>
    </row>
    <row r="124">
      <c r="A124" s="9" t="n"/>
      <c r="B124" s="9" t="n"/>
      <c r="C124" s="9" t="n"/>
      <c r="D124" s="9" t="n"/>
      <c r="E124" s="9" t="n"/>
      <c r="F124" s="23" t="n"/>
      <c r="G124" s="19" t="n"/>
      <c r="H124" s="23" t="n"/>
      <c r="I124" s="24" t="n"/>
      <c r="J124" s="19" t="n"/>
      <c r="K124" s="25">
        <f>IF($D124="","",IFERROR(INDEX(Profile!$B$5:$B$304,MATCH($D124,lst_Profil,0)),""))</f>
        <v/>
      </c>
      <c r="L124" s="13">
        <f>IF($D124="","",IFERROR(INDEX(Profile!$K$5:$K$304,MATCH($D124,lst_Profil,0))+0,""))</f>
        <v/>
      </c>
      <c r="M124" s="26">
        <f>IF($D124="","",IFERROR(INDEX(Profile!$E$5:$E$304,MATCH($D124,lst_Profil,0))+0,""))</f>
        <v/>
      </c>
      <c r="N124" s="27">
        <f>IF(OR(L124="",$E124=""),"",IFERROR(L124*INDEX(Werkstoffe!$E$5:$E$304,MATCH($E124,lst_Werkstoff,0))/1000,""))</f>
        <v/>
      </c>
      <c r="O124" s="27">
        <f>IF(OR(N124="",$F124=""),"",N124*$F124/1000)</f>
        <v/>
      </c>
      <c r="P124" s="16">
        <f>IF(OR($F124="",$G124=""),"",$F124*$G124)</f>
        <v/>
      </c>
      <c r="Q124" s="16">
        <f>IF($D124="","",IF($J124&lt;&gt;"",$J124,$C$9))</f>
        <v/>
      </c>
      <c r="R124" s="12">
        <f>IF($D124="","",IFERROR(IF(INDEX(Profile!$G$5:$G$304,MATCH($D124,lst_Profil,0))&lt;&gt;"",INDEX(Profile!$G$5:$G$304,MATCH($D124,lst_Profil,0)),$H$4),$H$4))</f>
        <v/>
      </c>
      <c r="S124" s="12">
        <f>IF($D124="","",IFERROR(IF(INDEX(Profile!$H$5:$H$304,MATCH($D124,lst_Profil,0))&lt;&gt;"",INDEX(Profile!$H$5:$H$304,MATCH($D124,lst_Profil,0)),$H$5),$H$5))</f>
        <v/>
      </c>
      <c r="T124" s="16">
        <f>IF(OR(Q124="",NOT(ISNUMBER(R124)),NOT(ISNUMBER(S124))),"",Q124-R124-S124)</f>
        <v/>
      </c>
      <c r="U124" s="28">
        <f>IF(OR($D124="",$E124=""),"",IF(OR(N($AP124)&gt;0,COUNTIFS(Preise!$A$5:$A$304,$D124,Preise!$B$5:$B$304,$E124,Preise!$I$5:$I$304,"OK")&gt;0,N(INDEX(Werkstoffe!$G$5:$G$304,MATCH($E124,lst_Werkstoff,0)))&gt;0),"ja","nein"))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28">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Materialpreis",IF(AND($AQ124&lt;&gt;"",N($AR124)&gt;0,MOD($G124,$AR124)&lt;&gt;0),"WARNUNG: Stückzahl ist kein Vielfaches von Stück je Satz",IF($H124="","HINWEIS: Schneidweg fehlt",IF(V124="","HINWEIS: keine Schneiddaten",IF(AND($AF124&lt;&gt;"",$AG124=""),"HINWEIS: Gewinde-Vorschlag prüfen","OK")))))))))))))))</f>
        <v/>
      </c>
      <c r="X124" s="18">
        <f>IF(OR(O124="",$G124=""),"",O124*$G124)</f>
        <v/>
      </c>
      <c r="Y124" s="9" t="n"/>
      <c r="Z124" s="23" t="n"/>
      <c r="AA124" s="9" t="n"/>
      <c r="AB124" s="23" t="n"/>
      <c r="AC124" s="23" t="n"/>
      <c r="AD124" s="23" t="n"/>
      <c r="AE124" s="9" t="n"/>
      <c r="AF124" s="9" t="n"/>
      <c r="AG124" s="9" t="n"/>
      <c r="AH124" s="24" t="n"/>
      <c r="AI124" s="23" t="n"/>
      <c r="AJ124" s="24" t="n"/>
      <c r="AK124" s="23" t="n"/>
      <c r="AL124" s="24" t="n"/>
      <c r="AM124" s="23" t="n"/>
      <c r="AN124" s="28">
        <f>IF($D124="","",COUNTIFS(Stangenbelegung!$E$5:$E$10004,ROW()))</f>
        <v/>
      </c>
      <c r="AO124" s="28">
        <f>IF(OR($G124="",COUNTA(Stangenbelegung!$A$5:$A$10004)=0),"",$G124-AN124)</f>
        <v/>
      </c>
      <c r="AP124" s="29" t="n"/>
      <c r="AQ124" s="9" t="n"/>
      <c r="AR124" s="19" t="n"/>
    </row>
    <row r="125">
      <c r="A125" s="9" t="n"/>
      <c r="B125" s="9" t="n"/>
      <c r="C125" s="9" t="n"/>
      <c r="D125" s="9" t="n"/>
      <c r="E125" s="9" t="n"/>
      <c r="F125" s="23" t="n"/>
      <c r="G125" s="19" t="n"/>
      <c r="H125" s="23" t="n"/>
      <c r="I125" s="24" t="n"/>
      <c r="J125" s="19" t="n"/>
      <c r="K125" s="25">
        <f>IF($D125="","",IFERROR(INDEX(Profile!$B$5:$B$304,MATCH($D125,lst_Profil,0)),""))</f>
        <v/>
      </c>
      <c r="L125" s="13">
        <f>IF($D125="","",IFERROR(INDEX(Profile!$K$5:$K$304,MATCH($D125,lst_Profil,0))+0,""))</f>
        <v/>
      </c>
      <c r="M125" s="26">
        <f>IF($D125="","",IFERROR(INDEX(Profile!$E$5:$E$304,MATCH($D125,lst_Profil,0))+0,""))</f>
        <v/>
      </c>
      <c r="N125" s="27">
        <f>IF(OR(L125="",$E125=""),"",IFERROR(L125*INDEX(Werkstoffe!$E$5:$E$304,MATCH($E125,lst_Werkstoff,0))/1000,""))</f>
        <v/>
      </c>
      <c r="O125" s="27">
        <f>IF(OR(N125="",$F125=""),"",N125*$F125/1000)</f>
        <v/>
      </c>
      <c r="P125" s="16">
        <f>IF(OR($F125="",$G125=""),"",$F125*$G125)</f>
        <v/>
      </c>
      <c r="Q125" s="16">
        <f>IF($D125="","",IF($J125&lt;&gt;"",$J125,$C$9))</f>
        <v/>
      </c>
      <c r="R125" s="12">
        <f>IF($D125="","",IFERROR(IF(INDEX(Profile!$G$5:$G$304,MATCH($D125,lst_Profil,0))&lt;&gt;"",INDEX(Profile!$G$5:$G$304,MATCH($D125,lst_Profil,0)),$H$4),$H$4))</f>
        <v/>
      </c>
      <c r="S125" s="12">
        <f>IF($D125="","",IFERROR(IF(INDEX(Profile!$H$5:$H$304,MATCH($D125,lst_Profil,0))&lt;&gt;"",INDEX(Profile!$H$5:$H$304,MATCH($D125,lst_Profil,0)),$H$5),$H$5))</f>
        <v/>
      </c>
      <c r="T125" s="16">
        <f>IF(OR(Q125="",NOT(ISNUMBER(R125)),NOT(ISNUMBER(S125))),"",Q125-R125-S125)</f>
        <v/>
      </c>
      <c r="U125" s="28">
        <f>IF(OR($D125="",$E125=""),"",IF(OR(N($AP125)&gt;0,COUNTIFS(Preise!$A$5:$A$304,$D125,Preise!$B$5:$B$304,$E125,Preise!$I$5:$I$304,"OK")&gt;0,N(INDEX(Werkstoffe!$G$5:$G$304,MATCH($E125,lst_Werkstoff,0)))&gt;0),"ja","nein"))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28">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Materialpreis",IF(AND($AQ125&lt;&gt;"",N($AR125)&gt;0,MOD($G125,$AR125)&lt;&gt;0),"WARNUNG: Stückzahl ist kein Vielfaches von Stück je Satz",IF($H125="","HINWEIS: Schneidweg fehlt",IF(V125="","HINWEIS: keine Schneiddaten",IF(AND($AF125&lt;&gt;"",$AG125=""),"HINWEIS: Gewinde-Vorschlag prüfen","OK")))))))))))))))</f>
        <v/>
      </c>
      <c r="X125" s="18">
        <f>IF(OR(O125="",$G125=""),"",O125*$G125)</f>
        <v/>
      </c>
      <c r="Y125" s="9" t="n"/>
      <c r="Z125" s="23" t="n"/>
      <c r="AA125" s="9" t="n"/>
      <c r="AB125" s="23" t="n"/>
      <c r="AC125" s="23" t="n"/>
      <c r="AD125" s="23" t="n"/>
      <c r="AE125" s="9" t="n"/>
      <c r="AF125" s="9" t="n"/>
      <c r="AG125" s="9" t="n"/>
      <c r="AH125" s="24" t="n"/>
      <c r="AI125" s="23" t="n"/>
      <c r="AJ125" s="24" t="n"/>
      <c r="AK125" s="23" t="n"/>
      <c r="AL125" s="24" t="n"/>
      <c r="AM125" s="23" t="n"/>
      <c r="AN125" s="28">
        <f>IF($D125="","",COUNTIFS(Stangenbelegung!$E$5:$E$10004,ROW()))</f>
        <v/>
      </c>
      <c r="AO125" s="28">
        <f>IF(OR($G125="",COUNTA(Stangenbelegung!$A$5:$A$10004)=0),"",$G125-AN125)</f>
        <v/>
      </c>
      <c r="AP125" s="29" t="n"/>
      <c r="AQ125" s="9" t="n"/>
      <c r="AR125" s="19" t="n"/>
    </row>
    <row r="126">
      <c r="A126" s="9" t="n"/>
      <c r="B126" s="9" t="n"/>
      <c r="C126" s="9" t="n"/>
      <c r="D126" s="9" t="n"/>
      <c r="E126" s="9" t="n"/>
      <c r="F126" s="23" t="n"/>
      <c r="G126" s="19" t="n"/>
      <c r="H126" s="23" t="n"/>
      <c r="I126" s="24" t="n"/>
      <c r="J126" s="19" t="n"/>
      <c r="K126" s="25">
        <f>IF($D126="","",IFERROR(INDEX(Profile!$B$5:$B$304,MATCH($D126,lst_Profil,0)),""))</f>
        <v/>
      </c>
      <c r="L126" s="13">
        <f>IF($D126="","",IFERROR(INDEX(Profile!$K$5:$K$304,MATCH($D126,lst_Profil,0))+0,""))</f>
        <v/>
      </c>
      <c r="M126" s="26">
        <f>IF($D126="","",IFERROR(INDEX(Profile!$E$5:$E$304,MATCH($D126,lst_Profil,0))+0,""))</f>
        <v/>
      </c>
      <c r="N126" s="27">
        <f>IF(OR(L126="",$E126=""),"",IFERROR(L126*INDEX(Werkstoffe!$E$5:$E$304,MATCH($E126,lst_Werkstoff,0))/1000,""))</f>
        <v/>
      </c>
      <c r="O126" s="27">
        <f>IF(OR(N126="",$F126=""),"",N126*$F126/1000)</f>
        <v/>
      </c>
      <c r="P126" s="16">
        <f>IF(OR($F126="",$G126=""),"",$F126*$G126)</f>
        <v/>
      </c>
      <c r="Q126" s="16">
        <f>IF($D126="","",IF($J126&lt;&gt;"",$J126,$C$9))</f>
        <v/>
      </c>
      <c r="R126" s="12">
        <f>IF($D126="","",IFERROR(IF(INDEX(Profile!$G$5:$G$304,MATCH($D126,lst_Profil,0))&lt;&gt;"",INDEX(Profile!$G$5:$G$304,MATCH($D126,lst_Profil,0)),$H$4),$H$4))</f>
        <v/>
      </c>
      <c r="S126" s="12">
        <f>IF($D126="","",IFERROR(IF(INDEX(Profile!$H$5:$H$304,MATCH($D126,lst_Profil,0))&lt;&gt;"",INDEX(Profile!$H$5:$H$304,MATCH($D126,lst_Profil,0)),$H$5),$H$5))</f>
        <v/>
      </c>
      <c r="T126" s="16">
        <f>IF(OR(Q126="",NOT(ISNUMBER(R126)),NOT(ISNUMBER(S126))),"",Q126-R126-S126)</f>
        <v/>
      </c>
      <c r="U126" s="28">
        <f>IF(OR($D126="",$E126=""),"",IF(OR(N($AP126)&gt;0,COUNTIFS(Preise!$A$5:$A$304,$D126,Preise!$B$5:$B$304,$E126,Preise!$I$5:$I$304,"OK")&gt;0,N(INDEX(Werkstoffe!$G$5:$G$304,MATCH($E126,lst_Werkstoff,0)))&gt;0),"ja","nein"))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28">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Materialpreis",IF(AND($AQ126&lt;&gt;"",N($AR126)&gt;0,MOD($G126,$AR126)&lt;&gt;0),"WARNUNG: Stückzahl ist kein Vielfaches von Stück je Satz",IF($H126="","HINWEIS: Schneidweg fehlt",IF(V126="","HINWEIS: keine Schneiddaten",IF(AND($AF126&lt;&gt;"",$AG126=""),"HINWEIS: Gewinde-Vorschlag prüfen","OK")))))))))))))))</f>
        <v/>
      </c>
      <c r="X126" s="18">
        <f>IF(OR(O126="",$G126=""),"",O126*$G126)</f>
        <v/>
      </c>
      <c r="Y126" s="9" t="n"/>
      <c r="Z126" s="23" t="n"/>
      <c r="AA126" s="9" t="n"/>
      <c r="AB126" s="23" t="n"/>
      <c r="AC126" s="23" t="n"/>
      <c r="AD126" s="23" t="n"/>
      <c r="AE126" s="9" t="n"/>
      <c r="AF126" s="9" t="n"/>
      <c r="AG126" s="9" t="n"/>
      <c r="AH126" s="24" t="n"/>
      <c r="AI126" s="23" t="n"/>
      <c r="AJ126" s="24" t="n"/>
      <c r="AK126" s="23" t="n"/>
      <c r="AL126" s="24" t="n"/>
      <c r="AM126" s="23" t="n"/>
      <c r="AN126" s="28">
        <f>IF($D126="","",COUNTIFS(Stangenbelegung!$E$5:$E$10004,ROW()))</f>
        <v/>
      </c>
      <c r="AO126" s="28">
        <f>IF(OR($G126="",COUNTA(Stangenbelegung!$A$5:$A$10004)=0),"",$G126-AN126)</f>
        <v/>
      </c>
      <c r="AP126" s="29" t="n"/>
      <c r="AQ126" s="9" t="n"/>
      <c r="AR126" s="19" t="n"/>
    </row>
    <row r="127">
      <c r="A127" s="9" t="n"/>
      <c r="B127" s="9" t="n"/>
      <c r="C127" s="9" t="n"/>
      <c r="D127" s="9" t="n"/>
      <c r="E127" s="9" t="n"/>
      <c r="F127" s="23" t="n"/>
      <c r="G127" s="19" t="n"/>
      <c r="H127" s="23" t="n"/>
      <c r="I127" s="24" t="n"/>
      <c r="J127" s="19" t="n"/>
      <c r="K127" s="25">
        <f>IF($D127="","",IFERROR(INDEX(Profile!$B$5:$B$304,MATCH($D127,lst_Profil,0)),""))</f>
        <v/>
      </c>
      <c r="L127" s="13">
        <f>IF($D127="","",IFERROR(INDEX(Profile!$K$5:$K$304,MATCH($D127,lst_Profil,0))+0,""))</f>
        <v/>
      </c>
      <c r="M127" s="26">
        <f>IF($D127="","",IFERROR(INDEX(Profile!$E$5:$E$304,MATCH($D127,lst_Profil,0))+0,""))</f>
        <v/>
      </c>
      <c r="N127" s="27">
        <f>IF(OR(L127="",$E127=""),"",IFERROR(L127*INDEX(Werkstoffe!$E$5:$E$304,MATCH($E127,lst_Werkstoff,0))/1000,""))</f>
        <v/>
      </c>
      <c r="O127" s="27">
        <f>IF(OR(N127="",$F127=""),"",N127*$F127/1000)</f>
        <v/>
      </c>
      <c r="P127" s="16">
        <f>IF(OR($F127="",$G127=""),"",$F127*$G127)</f>
        <v/>
      </c>
      <c r="Q127" s="16">
        <f>IF($D127="","",IF($J127&lt;&gt;"",$J127,$C$9))</f>
        <v/>
      </c>
      <c r="R127" s="12">
        <f>IF($D127="","",IFERROR(IF(INDEX(Profile!$G$5:$G$304,MATCH($D127,lst_Profil,0))&lt;&gt;"",INDEX(Profile!$G$5:$G$304,MATCH($D127,lst_Profil,0)),$H$4),$H$4))</f>
        <v/>
      </c>
      <c r="S127" s="12">
        <f>IF($D127="","",IFERROR(IF(INDEX(Profile!$H$5:$H$304,MATCH($D127,lst_Profil,0))&lt;&gt;"",INDEX(Profile!$H$5:$H$304,MATCH($D127,lst_Profil,0)),$H$5),$H$5))</f>
        <v/>
      </c>
      <c r="T127" s="16">
        <f>IF(OR(Q127="",NOT(ISNUMBER(R127)),NOT(ISNUMBER(S127))),"",Q127-R127-S127)</f>
        <v/>
      </c>
      <c r="U127" s="28">
        <f>IF(OR($D127="",$E127=""),"",IF(OR(N($AP127)&gt;0,COUNTIFS(Preise!$A$5:$A$304,$D127,Preise!$B$5:$B$304,$E127,Preise!$I$5:$I$304,"OK")&gt;0,N(INDEX(Werkstoffe!$G$5:$G$304,MATCH($E127,lst_Werkstoff,0)))&gt;0),"ja","nein"))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28">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Materialpreis",IF(AND($AQ127&lt;&gt;"",N($AR127)&gt;0,MOD($G127,$AR127)&lt;&gt;0),"WARNUNG: Stückzahl ist kein Vielfaches von Stück je Satz",IF($H127="","HINWEIS: Schneidweg fehlt",IF(V127="","HINWEIS: keine Schneiddaten",IF(AND($AF127&lt;&gt;"",$AG127=""),"HINWEIS: Gewinde-Vorschlag prüfen","OK")))))))))))))))</f>
        <v/>
      </c>
      <c r="X127" s="18">
        <f>IF(OR(O127="",$G127=""),"",O127*$G127)</f>
        <v/>
      </c>
      <c r="Y127" s="9" t="n"/>
      <c r="Z127" s="23" t="n"/>
      <c r="AA127" s="9" t="n"/>
      <c r="AB127" s="23" t="n"/>
      <c r="AC127" s="23" t="n"/>
      <c r="AD127" s="23" t="n"/>
      <c r="AE127" s="9" t="n"/>
      <c r="AF127" s="9" t="n"/>
      <c r="AG127" s="9" t="n"/>
      <c r="AH127" s="24" t="n"/>
      <c r="AI127" s="23" t="n"/>
      <c r="AJ127" s="24" t="n"/>
      <c r="AK127" s="23" t="n"/>
      <c r="AL127" s="24" t="n"/>
      <c r="AM127" s="23" t="n"/>
      <c r="AN127" s="28">
        <f>IF($D127="","",COUNTIFS(Stangenbelegung!$E$5:$E$10004,ROW()))</f>
        <v/>
      </c>
      <c r="AO127" s="28">
        <f>IF(OR($G127="",COUNTA(Stangenbelegung!$A$5:$A$10004)=0),"",$G127-AN127)</f>
        <v/>
      </c>
      <c r="AP127" s="29" t="n"/>
      <c r="AQ127" s="9" t="n"/>
      <c r="AR127" s="19" t="n"/>
    </row>
    <row r="128">
      <c r="A128" s="9" t="n"/>
      <c r="B128" s="9" t="n"/>
      <c r="C128" s="9" t="n"/>
      <c r="D128" s="9" t="n"/>
      <c r="E128" s="9" t="n"/>
      <c r="F128" s="23" t="n"/>
      <c r="G128" s="19" t="n"/>
      <c r="H128" s="23" t="n"/>
      <c r="I128" s="24" t="n"/>
      <c r="J128" s="19" t="n"/>
      <c r="K128" s="25">
        <f>IF($D128="","",IFERROR(INDEX(Profile!$B$5:$B$304,MATCH($D128,lst_Profil,0)),""))</f>
        <v/>
      </c>
      <c r="L128" s="13">
        <f>IF($D128="","",IFERROR(INDEX(Profile!$K$5:$K$304,MATCH($D128,lst_Profil,0))+0,""))</f>
        <v/>
      </c>
      <c r="M128" s="26">
        <f>IF($D128="","",IFERROR(INDEX(Profile!$E$5:$E$304,MATCH($D128,lst_Profil,0))+0,""))</f>
        <v/>
      </c>
      <c r="N128" s="27">
        <f>IF(OR(L128="",$E128=""),"",IFERROR(L128*INDEX(Werkstoffe!$E$5:$E$304,MATCH($E128,lst_Werkstoff,0))/1000,""))</f>
        <v/>
      </c>
      <c r="O128" s="27">
        <f>IF(OR(N128="",$F128=""),"",N128*$F128/1000)</f>
        <v/>
      </c>
      <c r="P128" s="16">
        <f>IF(OR($F128="",$G128=""),"",$F128*$G128)</f>
        <v/>
      </c>
      <c r="Q128" s="16">
        <f>IF($D128="","",IF($J128&lt;&gt;"",$J128,$C$9))</f>
        <v/>
      </c>
      <c r="R128" s="12">
        <f>IF($D128="","",IFERROR(IF(INDEX(Profile!$G$5:$G$304,MATCH($D128,lst_Profil,0))&lt;&gt;"",INDEX(Profile!$G$5:$G$304,MATCH($D128,lst_Profil,0)),$H$4),$H$4))</f>
        <v/>
      </c>
      <c r="S128" s="12">
        <f>IF($D128="","",IFERROR(IF(INDEX(Profile!$H$5:$H$304,MATCH($D128,lst_Profil,0))&lt;&gt;"",INDEX(Profile!$H$5:$H$304,MATCH($D128,lst_Profil,0)),$H$5),$H$5))</f>
        <v/>
      </c>
      <c r="T128" s="16">
        <f>IF(OR(Q128="",NOT(ISNUMBER(R128)),NOT(ISNUMBER(S128))),"",Q128-R128-S128)</f>
        <v/>
      </c>
      <c r="U128" s="28">
        <f>IF(OR($D128="",$E128=""),"",IF(OR(N($AP128)&gt;0,COUNTIFS(Preise!$A$5:$A$304,$D128,Preise!$B$5:$B$304,$E128,Preise!$I$5:$I$304,"OK")&gt;0,N(INDEX(Werkstoffe!$G$5:$G$304,MATCH($E128,lst_Werkstoff,0)))&gt;0),"ja","nein"))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28">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Materialpreis",IF(AND($AQ128&lt;&gt;"",N($AR128)&gt;0,MOD($G128,$AR128)&lt;&gt;0),"WARNUNG: Stückzahl ist kein Vielfaches von Stück je Satz",IF($H128="","HINWEIS: Schneidweg fehlt",IF(V128="","HINWEIS: keine Schneiddaten",IF(AND($AF128&lt;&gt;"",$AG128=""),"HINWEIS: Gewinde-Vorschlag prüfen","OK")))))))))))))))</f>
        <v/>
      </c>
      <c r="X128" s="18">
        <f>IF(OR(O128="",$G128=""),"",O128*$G128)</f>
        <v/>
      </c>
      <c r="Y128" s="9" t="n"/>
      <c r="Z128" s="23" t="n"/>
      <c r="AA128" s="9" t="n"/>
      <c r="AB128" s="23" t="n"/>
      <c r="AC128" s="23" t="n"/>
      <c r="AD128" s="23" t="n"/>
      <c r="AE128" s="9" t="n"/>
      <c r="AF128" s="9" t="n"/>
      <c r="AG128" s="9" t="n"/>
      <c r="AH128" s="24" t="n"/>
      <c r="AI128" s="23" t="n"/>
      <c r="AJ128" s="24" t="n"/>
      <c r="AK128" s="23" t="n"/>
      <c r="AL128" s="24" t="n"/>
      <c r="AM128" s="23" t="n"/>
      <c r="AN128" s="28">
        <f>IF($D128="","",COUNTIFS(Stangenbelegung!$E$5:$E$10004,ROW()))</f>
        <v/>
      </c>
      <c r="AO128" s="28">
        <f>IF(OR($G128="",COUNTA(Stangenbelegung!$A$5:$A$10004)=0),"",$G128-AN128)</f>
        <v/>
      </c>
      <c r="AP128" s="29" t="n"/>
      <c r="AQ128" s="9" t="n"/>
      <c r="AR128" s="19" t="n"/>
    </row>
    <row r="129">
      <c r="A129" s="9" t="n"/>
      <c r="B129" s="9" t="n"/>
      <c r="C129" s="9" t="n"/>
      <c r="D129" s="9" t="n"/>
      <c r="E129" s="9" t="n"/>
      <c r="F129" s="23" t="n"/>
      <c r="G129" s="19" t="n"/>
      <c r="H129" s="23" t="n"/>
      <c r="I129" s="24" t="n"/>
      <c r="J129" s="19" t="n"/>
      <c r="K129" s="25">
        <f>IF($D129="","",IFERROR(INDEX(Profile!$B$5:$B$304,MATCH($D129,lst_Profil,0)),""))</f>
        <v/>
      </c>
      <c r="L129" s="13">
        <f>IF($D129="","",IFERROR(INDEX(Profile!$K$5:$K$304,MATCH($D129,lst_Profil,0))+0,""))</f>
        <v/>
      </c>
      <c r="M129" s="26">
        <f>IF($D129="","",IFERROR(INDEX(Profile!$E$5:$E$304,MATCH($D129,lst_Profil,0))+0,""))</f>
        <v/>
      </c>
      <c r="N129" s="27">
        <f>IF(OR(L129="",$E129=""),"",IFERROR(L129*INDEX(Werkstoffe!$E$5:$E$304,MATCH($E129,lst_Werkstoff,0))/1000,""))</f>
        <v/>
      </c>
      <c r="O129" s="27">
        <f>IF(OR(N129="",$F129=""),"",N129*$F129/1000)</f>
        <v/>
      </c>
      <c r="P129" s="16">
        <f>IF(OR($F129="",$G129=""),"",$F129*$G129)</f>
        <v/>
      </c>
      <c r="Q129" s="16">
        <f>IF($D129="","",IF($J129&lt;&gt;"",$J129,$C$9))</f>
        <v/>
      </c>
      <c r="R129" s="12">
        <f>IF($D129="","",IFERROR(IF(INDEX(Profile!$G$5:$G$304,MATCH($D129,lst_Profil,0))&lt;&gt;"",INDEX(Profile!$G$5:$G$304,MATCH($D129,lst_Profil,0)),$H$4),$H$4))</f>
        <v/>
      </c>
      <c r="S129" s="12">
        <f>IF($D129="","",IFERROR(IF(INDEX(Profile!$H$5:$H$304,MATCH($D129,lst_Profil,0))&lt;&gt;"",INDEX(Profile!$H$5:$H$304,MATCH($D129,lst_Profil,0)),$H$5),$H$5))</f>
        <v/>
      </c>
      <c r="T129" s="16">
        <f>IF(OR(Q129="",NOT(ISNUMBER(R129)),NOT(ISNUMBER(S129))),"",Q129-R129-S129)</f>
        <v/>
      </c>
      <c r="U129" s="28">
        <f>IF(OR($D129="",$E129=""),"",IF(OR(N($AP129)&gt;0,COUNTIFS(Preise!$A$5:$A$304,$D129,Preise!$B$5:$B$304,$E129,Preise!$I$5:$I$304,"OK")&gt;0,N(INDEX(Werkstoffe!$G$5:$G$304,MATCH($E129,lst_Werkstoff,0)))&gt;0),"ja","nein"))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28">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Materialpreis",IF(AND($AQ129&lt;&gt;"",N($AR129)&gt;0,MOD($G129,$AR129)&lt;&gt;0),"WARNUNG: Stückzahl ist kein Vielfaches von Stück je Satz",IF($H129="","HINWEIS: Schneidweg fehlt",IF(V129="","HINWEIS: keine Schneiddaten",IF(AND($AF129&lt;&gt;"",$AG129=""),"HINWEIS: Gewinde-Vorschlag prüfen","OK")))))))))))))))</f>
        <v/>
      </c>
      <c r="X129" s="18">
        <f>IF(OR(O129="",$G129=""),"",O129*$G129)</f>
        <v/>
      </c>
      <c r="Y129" s="9" t="n"/>
      <c r="Z129" s="23" t="n"/>
      <c r="AA129" s="9" t="n"/>
      <c r="AB129" s="23" t="n"/>
      <c r="AC129" s="23" t="n"/>
      <c r="AD129" s="23" t="n"/>
      <c r="AE129" s="9" t="n"/>
      <c r="AF129" s="9" t="n"/>
      <c r="AG129" s="9" t="n"/>
      <c r="AH129" s="24" t="n"/>
      <c r="AI129" s="23" t="n"/>
      <c r="AJ129" s="24" t="n"/>
      <c r="AK129" s="23" t="n"/>
      <c r="AL129" s="24" t="n"/>
      <c r="AM129" s="23" t="n"/>
      <c r="AN129" s="28">
        <f>IF($D129="","",COUNTIFS(Stangenbelegung!$E$5:$E$10004,ROW()))</f>
        <v/>
      </c>
      <c r="AO129" s="28">
        <f>IF(OR($G129="",COUNTA(Stangenbelegung!$A$5:$A$10004)=0),"",$G129-AN129)</f>
        <v/>
      </c>
      <c r="AP129" s="29" t="n"/>
      <c r="AQ129" s="9" t="n"/>
      <c r="AR129" s="19" t="n"/>
    </row>
    <row r="130">
      <c r="A130" s="9" t="n"/>
      <c r="B130" s="9" t="n"/>
      <c r="C130" s="9" t="n"/>
      <c r="D130" s="9" t="n"/>
      <c r="E130" s="9" t="n"/>
      <c r="F130" s="23" t="n"/>
      <c r="G130" s="19" t="n"/>
      <c r="H130" s="23" t="n"/>
      <c r="I130" s="24" t="n"/>
      <c r="J130" s="19" t="n"/>
      <c r="K130" s="25">
        <f>IF($D130="","",IFERROR(INDEX(Profile!$B$5:$B$304,MATCH($D130,lst_Profil,0)),""))</f>
        <v/>
      </c>
      <c r="L130" s="13">
        <f>IF($D130="","",IFERROR(INDEX(Profile!$K$5:$K$304,MATCH($D130,lst_Profil,0))+0,""))</f>
        <v/>
      </c>
      <c r="M130" s="26">
        <f>IF($D130="","",IFERROR(INDEX(Profile!$E$5:$E$304,MATCH($D130,lst_Profil,0))+0,""))</f>
        <v/>
      </c>
      <c r="N130" s="27">
        <f>IF(OR(L130="",$E130=""),"",IFERROR(L130*INDEX(Werkstoffe!$E$5:$E$304,MATCH($E130,lst_Werkstoff,0))/1000,""))</f>
        <v/>
      </c>
      <c r="O130" s="27">
        <f>IF(OR(N130="",$F130=""),"",N130*$F130/1000)</f>
        <v/>
      </c>
      <c r="P130" s="16">
        <f>IF(OR($F130="",$G130=""),"",$F130*$G130)</f>
        <v/>
      </c>
      <c r="Q130" s="16">
        <f>IF($D130="","",IF($J130&lt;&gt;"",$J130,$C$9))</f>
        <v/>
      </c>
      <c r="R130" s="12">
        <f>IF($D130="","",IFERROR(IF(INDEX(Profile!$G$5:$G$304,MATCH($D130,lst_Profil,0))&lt;&gt;"",INDEX(Profile!$G$5:$G$304,MATCH($D130,lst_Profil,0)),$H$4),$H$4))</f>
        <v/>
      </c>
      <c r="S130" s="12">
        <f>IF($D130="","",IFERROR(IF(INDEX(Profile!$H$5:$H$304,MATCH($D130,lst_Profil,0))&lt;&gt;"",INDEX(Profile!$H$5:$H$304,MATCH($D130,lst_Profil,0)),$H$5),$H$5))</f>
        <v/>
      </c>
      <c r="T130" s="16">
        <f>IF(OR(Q130="",NOT(ISNUMBER(R130)),NOT(ISNUMBER(S130))),"",Q130-R130-S130)</f>
        <v/>
      </c>
      <c r="U130" s="28">
        <f>IF(OR($D130="",$E130=""),"",IF(OR(N($AP130)&gt;0,COUNTIFS(Preise!$A$5:$A$304,$D130,Preise!$B$5:$B$304,$E130,Preise!$I$5:$I$304,"OK")&gt;0,N(INDEX(Werkstoffe!$G$5:$G$304,MATCH($E130,lst_Werkstoff,0)))&gt;0),"ja","nein"))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28">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Materialpreis",IF(AND($AQ130&lt;&gt;"",N($AR130)&gt;0,MOD($G130,$AR130)&lt;&gt;0),"WARNUNG: Stückzahl ist kein Vielfaches von Stück je Satz",IF($H130="","HINWEIS: Schneidweg fehlt",IF(V130="","HINWEIS: keine Schneiddaten",IF(AND($AF130&lt;&gt;"",$AG130=""),"HINWEIS: Gewinde-Vorschlag prüfen","OK")))))))))))))))</f>
        <v/>
      </c>
      <c r="X130" s="18">
        <f>IF(OR(O130="",$G130=""),"",O130*$G130)</f>
        <v/>
      </c>
      <c r="Y130" s="9" t="n"/>
      <c r="Z130" s="23" t="n"/>
      <c r="AA130" s="9" t="n"/>
      <c r="AB130" s="23" t="n"/>
      <c r="AC130" s="23" t="n"/>
      <c r="AD130" s="23" t="n"/>
      <c r="AE130" s="9" t="n"/>
      <c r="AF130" s="9" t="n"/>
      <c r="AG130" s="9" t="n"/>
      <c r="AH130" s="24" t="n"/>
      <c r="AI130" s="23" t="n"/>
      <c r="AJ130" s="24" t="n"/>
      <c r="AK130" s="23" t="n"/>
      <c r="AL130" s="24" t="n"/>
      <c r="AM130" s="23" t="n"/>
      <c r="AN130" s="28">
        <f>IF($D130="","",COUNTIFS(Stangenbelegung!$E$5:$E$10004,ROW()))</f>
        <v/>
      </c>
      <c r="AO130" s="28">
        <f>IF(OR($G130="",COUNTA(Stangenbelegung!$A$5:$A$10004)=0),"",$G130-AN130)</f>
        <v/>
      </c>
      <c r="AP130" s="29" t="n"/>
      <c r="AQ130" s="9" t="n"/>
      <c r="AR130" s="19" t="n"/>
    </row>
    <row r="131">
      <c r="A131" s="9" t="n"/>
      <c r="B131" s="9" t="n"/>
      <c r="C131" s="9" t="n"/>
      <c r="D131" s="9" t="n"/>
      <c r="E131" s="9" t="n"/>
      <c r="F131" s="23" t="n"/>
      <c r="G131" s="19" t="n"/>
      <c r="H131" s="23" t="n"/>
      <c r="I131" s="24" t="n"/>
      <c r="J131" s="19" t="n"/>
      <c r="K131" s="25">
        <f>IF($D131="","",IFERROR(INDEX(Profile!$B$5:$B$304,MATCH($D131,lst_Profil,0)),""))</f>
        <v/>
      </c>
      <c r="L131" s="13">
        <f>IF($D131="","",IFERROR(INDEX(Profile!$K$5:$K$304,MATCH($D131,lst_Profil,0))+0,""))</f>
        <v/>
      </c>
      <c r="M131" s="26">
        <f>IF($D131="","",IFERROR(INDEX(Profile!$E$5:$E$304,MATCH($D131,lst_Profil,0))+0,""))</f>
        <v/>
      </c>
      <c r="N131" s="27">
        <f>IF(OR(L131="",$E131=""),"",IFERROR(L131*INDEX(Werkstoffe!$E$5:$E$304,MATCH($E131,lst_Werkstoff,0))/1000,""))</f>
        <v/>
      </c>
      <c r="O131" s="27">
        <f>IF(OR(N131="",$F131=""),"",N131*$F131/1000)</f>
        <v/>
      </c>
      <c r="P131" s="16">
        <f>IF(OR($F131="",$G131=""),"",$F131*$G131)</f>
        <v/>
      </c>
      <c r="Q131" s="16">
        <f>IF($D131="","",IF($J131&lt;&gt;"",$J131,$C$9))</f>
        <v/>
      </c>
      <c r="R131" s="12">
        <f>IF($D131="","",IFERROR(IF(INDEX(Profile!$G$5:$G$304,MATCH($D131,lst_Profil,0))&lt;&gt;"",INDEX(Profile!$G$5:$G$304,MATCH($D131,lst_Profil,0)),$H$4),$H$4))</f>
        <v/>
      </c>
      <c r="S131" s="12">
        <f>IF($D131="","",IFERROR(IF(INDEX(Profile!$H$5:$H$304,MATCH($D131,lst_Profil,0))&lt;&gt;"",INDEX(Profile!$H$5:$H$304,MATCH($D131,lst_Profil,0)),$H$5),$H$5))</f>
        <v/>
      </c>
      <c r="T131" s="16">
        <f>IF(OR(Q131="",NOT(ISNUMBER(R131)),NOT(ISNUMBER(S131))),"",Q131-R131-S131)</f>
        <v/>
      </c>
      <c r="U131" s="28">
        <f>IF(OR($D131="",$E131=""),"",IF(OR(N($AP131)&gt;0,COUNTIFS(Preise!$A$5:$A$304,$D131,Preise!$B$5:$B$304,$E131,Preise!$I$5:$I$304,"OK")&gt;0,N(INDEX(Werkstoffe!$G$5:$G$304,MATCH($E131,lst_Werkstoff,0)))&gt;0),"ja","nein"))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28">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Materialpreis",IF(AND($AQ131&lt;&gt;"",N($AR131)&gt;0,MOD($G131,$AR131)&lt;&gt;0),"WARNUNG: Stückzahl ist kein Vielfaches von Stück je Satz",IF($H131="","HINWEIS: Schneidweg fehlt",IF(V131="","HINWEIS: keine Schneiddaten",IF(AND($AF131&lt;&gt;"",$AG131=""),"HINWEIS: Gewinde-Vorschlag prüfen","OK")))))))))))))))</f>
        <v/>
      </c>
      <c r="X131" s="18">
        <f>IF(OR(O131="",$G131=""),"",O131*$G131)</f>
        <v/>
      </c>
      <c r="Y131" s="9" t="n"/>
      <c r="Z131" s="23" t="n"/>
      <c r="AA131" s="9" t="n"/>
      <c r="AB131" s="23" t="n"/>
      <c r="AC131" s="23" t="n"/>
      <c r="AD131" s="23" t="n"/>
      <c r="AE131" s="9" t="n"/>
      <c r="AF131" s="9" t="n"/>
      <c r="AG131" s="9" t="n"/>
      <c r="AH131" s="24" t="n"/>
      <c r="AI131" s="23" t="n"/>
      <c r="AJ131" s="24" t="n"/>
      <c r="AK131" s="23" t="n"/>
      <c r="AL131" s="24" t="n"/>
      <c r="AM131" s="23" t="n"/>
      <c r="AN131" s="28">
        <f>IF($D131="","",COUNTIFS(Stangenbelegung!$E$5:$E$10004,ROW()))</f>
        <v/>
      </c>
      <c r="AO131" s="28">
        <f>IF(OR($G131="",COUNTA(Stangenbelegung!$A$5:$A$10004)=0),"",$G131-AN131)</f>
        <v/>
      </c>
      <c r="AP131" s="29" t="n"/>
      <c r="AQ131" s="9" t="n"/>
      <c r="AR131" s="19" t="n"/>
    </row>
    <row r="132">
      <c r="A132" s="9" t="n"/>
      <c r="B132" s="9" t="n"/>
      <c r="C132" s="9" t="n"/>
      <c r="D132" s="9" t="n"/>
      <c r="E132" s="9" t="n"/>
      <c r="F132" s="23" t="n"/>
      <c r="G132" s="19" t="n"/>
      <c r="H132" s="23" t="n"/>
      <c r="I132" s="24" t="n"/>
      <c r="J132" s="19" t="n"/>
      <c r="K132" s="25">
        <f>IF($D132="","",IFERROR(INDEX(Profile!$B$5:$B$304,MATCH($D132,lst_Profil,0)),""))</f>
        <v/>
      </c>
      <c r="L132" s="13">
        <f>IF($D132="","",IFERROR(INDEX(Profile!$K$5:$K$304,MATCH($D132,lst_Profil,0))+0,""))</f>
        <v/>
      </c>
      <c r="M132" s="26">
        <f>IF($D132="","",IFERROR(INDEX(Profile!$E$5:$E$304,MATCH($D132,lst_Profil,0))+0,""))</f>
        <v/>
      </c>
      <c r="N132" s="27">
        <f>IF(OR(L132="",$E132=""),"",IFERROR(L132*INDEX(Werkstoffe!$E$5:$E$304,MATCH($E132,lst_Werkstoff,0))/1000,""))</f>
        <v/>
      </c>
      <c r="O132" s="27">
        <f>IF(OR(N132="",$F132=""),"",N132*$F132/1000)</f>
        <v/>
      </c>
      <c r="P132" s="16">
        <f>IF(OR($F132="",$G132=""),"",$F132*$G132)</f>
        <v/>
      </c>
      <c r="Q132" s="16">
        <f>IF($D132="","",IF($J132&lt;&gt;"",$J132,$C$9))</f>
        <v/>
      </c>
      <c r="R132" s="12">
        <f>IF($D132="","",IFERROR(IF(INDEX(Profile!$G$5:$G$304,MATCH($D132,lst_Profil,0))&lt;&gt;"",INDEX(Profile!$G$5:$G$304,MATCH($D132,lst_Profil,0)),$H$4),$H$4))</f>
        <v/>
      </c>
      <c r="S132" s="12">
        <f>IF($D132="","",IFERROR(IF(INDEX(Profile!$H$5:$H$304,MATCH($D132,lst_Profil,0))&lt;&gt;"",INDEX(Profile!$H$5:$H$304,MATCH($D132,lst_Profil,0)),$H$5),$H$5))</f>
        <v/>
      </c>
      <c r="T132" s="16">
        <f>IF(OR(Q132="",NOT(ISNUMBER(R132)),NOT(ISNUMBER(S132))),"",Q132-R132-S132)</f>
        <v/>
      </c>
      <c r="U132" s="28">
        <f>IF(OR($D132="",$E132=""),"",IF(OR(N($AP132)&gt;0,COUNTIFS(Preise!$A$5:$A$304,$D132,Preise!$B$5:$B$304,$E132,Preise!$I$5:$I$304,"OK")&gt;0,N(INDEX(Werkstoffe!$G$5:$G$304,MATCH($E132,lst_Werkstoff,0)))&gt;0),"ja","nein"))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28">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Materialpreis",IF(AND($AQ132&lt;&gt;"",N($AR132)&gt;0,MOD($G132,$AR132)&lt;&gt;0),"WARNUNG: Stückzahl ist kein Vielfaches von Stück je Satz",IF($H132="","HINWEIS: Schneidweg fehlt",IF(V132="","HINWEIS: keine Schneiddaten",IF(AND($AF132&lt;&gt;"",$AG132=""),"HINWEIS: Gewinde-Vorschlag prüfen","OK")))))))))))))))</f>
        <v/>
      </c>
      <c r="X132" s="18">
        <f>IF(OR(O132="",$G132=""),"",O132*$G132)</f>
        <v/>
      </c>
      <c r="Y132" s="9" t="n"/>
      <c r="Z132" s="23" t="n"/>
      <c r="AA132" s="9" t="n"/>
      <c r="AB132" s="23" t="n"/>
      <c r="AC132" s="23" t="n"/>
      <c r="AD132" s="23" t="n"/>
      <c r="AE132" s="9" t="n"/>
      <c r="AF132" s="9" t="n"/>
      <c r="AG132" s="9" t="n"/>
      <c r="AH132" s="24" t="n"/>
      <c r="AI132" s="23" t="n"/>
      <c r="AJ132" s="24" t="n"/>
      <c r="AK132" s="23" t="n"/>
      <c r="AL132" s="24" t="n"/>
      <c r="AM132" s="23" t="n"/>
      <c r="AN132" s="28">
        <f>IF($D132="","",COUNTIFS(Stangenbelegung!$E$5:$E$10004,ROW()))</f>
        <v/>
      </c>
      <c r="AO132" s="28">
        <f>IF(OR($G132="",COUNTA(Stangenbelegung!$A$5:$A$10004)=0),"",$G132-AN132)</f>
        <v/>
      </c>
      <c r="AP132" s="29" t="n"/>
      <c r="AQ132" s="9" t="n"/>
      <c r="AR132" s="19" t="n"/>
    </row>
    <row r="133">
      <c r="A133" s="9" t="n"/>
      <c r="B133" s="9" t="n"/>
      <c r="C133" s="9" t="n"/>
      <c r="D133" s="9" t="n"/>
      <c r="E133" s="9" t="n"/>
      <c r="F133" s="23" t="n"/>
      <c r="G133" s="19" t="n"/>
      <c r="H133" s="23" t="n"/>
      <c r="I133" s="24" t="n"/>
      <c r="J133" s="19" t="n"/>
      <c r="K133" s="25">
        <f>IF($D133="","",IFERROR(INDEX(Profile!$B$5:$B$304,MATCH($D133,lst_Profil,0)),""))</f>
        <v/>
      </c>
      <c r="L133" s="13">
        <f>IF($D133="","",IFERROR(INDEX(Profile!$K$5:$K$304,MATCH($D133,lst_Profil,0))+0,""))</f>
        <v/>
      </c>
      <c r="M133" s="26">
        <f>IF($D133="","",IFERROR(INDEX(Profile!$E$5:$E$304,MATCH($D133,lst_Profil,0))+0,""))</f>
        <v/>
      </c>
      <c r="N133" s="27">
        <f>IF(OR(L133="",$E133=""),"",IFERROR(L133*INDEX(Werkstoffe!$E$5:$E$304,MATCH($E133,lst_Werkstoff,0))/1000,""))</f>
        <v/>
      </c>
      <c r="O133" s="27">
        <f>IF(OR(N133="",$F133=""),"",N133*$F133/1000)</f>
        <v/>
      </c>
      <c r="P133" s="16">
        <f>IF(OR($F133="",$G133=""),"",$F133*$G133)</f>
        <v/>
      </c>
      <c r="Q133" s="16">
        <f>IF($D133="","",IF($J133&lt;&gt;"",$J133,$C$9))</f>
        <v/>
      </c>
      <c r="R133" s="12">
        <f>IF($D133="","",IFERROR(IF(INDEX(Profile!$G$5:$G$304,MATCH($D133,lst_Profil,0))&lt;&gt;"",INDEX(Profile!$G$5:$G$304,MATCH($D133,lst_Profil,0)),$H$4),$H$4))</f>
        <v/>
      </c>
      <c r="S133" s="12">
        <f>IF($D133="","",IFERROR(IF(INDEX(Profile!$H$5:$H$304,MATCH($D133,lst_Profil,0))&lt;&gt;"",INDEX(Profile!$H$5:$H$304,MATCH($D133,lst_Profil,0)),$H$5),$H$5))</f>
        <v/>
      </c>
      <c r="T133" s="16">
        <f>IF(OR(Q133="",NOT(ISNUMBER(R133)),NOT(ISNUMBER(S133))),"",Q133-R133-S133)</f>
        <v/>
      </c>
      <c r="U133" s="28">
        <f>IF(OR($D133="",$E133=""),"",IF(OR(N($AP133)&gt;0,COUNTIFS(Preise!$A$5:$A$304,$D133,Preise!$B$5:$B$304,$E133,Preise!$I$5:$I$304,"OK")&gt;0,N(INDEX(Werkstoffe!$G$5:$G$304,MATCH($E133,lst_Werkstoff,0)))&gt;0),"ja","nein"))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28">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Materialpreis",IF(AND($AQ133&lt;&gt;"",N($AR133)&gt;0,MOD($G133,$AR133)&lt;&gt;0),"WARNUNG: Stückzahl ist kein Vielfaches von Stück je Satz",IF($H133="","HINWEIS: Schneidweg fehlt",IF(V133="","HINWEIS: keine Schneiddaten",IF(AND($AF133&lt;&gt;"",$AG133=""),"HINWEIS: Gewinde-Vorschlag prüfen","OK")))))))))))))))</f>
        <v/>
      </c>
      <c r="X133" s="18">
        <f>IF(OR(O133="",$G133=""),"",O133*$G133)</f>
        <v/>
      </c>
      <c r="Y133" s="9" t="n"/>
      <c r="Z133" s="23" t="n"/>
      <c r="AA133" s="9" t="n"/>
      <c r="AB133" s="23" t="n"/>
      <c r="AC133" s="23" t="n"/>
      <c r="AD133" s="23" t="n"/>
      <c r="AE133" s="9" t="n"/>
      <c r="AF133" s="9" t="n"/>
      <c r="AG133" s="9" t="n"/>
      <c r="AH133" s="24" t="n"/>
      <c r="AI133" s="23" t="n"/>
      <c r="AJ133" s="24" t="n"/>
      <c r="AK133" s="23" t="n"/>
      <c r="AL133" s="24" t="n"/>
      <c r="AM133" s="23" t="n"/>
      <c r="AN133" s="28">
        <f>IF($D133="","",COUNTIFS(Stangenbelegung!$E$5:$E$10004,ROW()))</f>
        <v/>
      </c>
      <c r="AO133" s="28">
        <f>IF(OR($G133="",COUNTA(Stangenbelegung!$A$5:$A$10004)=0),"",$G133-AN133)</f>
        <v/>
      </c>
      <c r="AP133" s="29" t="n"/>
      <c r="AQ133" s="9" t="n"/>
      <c r="AR133" s="19" t="n"/>
    </row>
    <row r="134">
      <c r="A134" s="9" t="n"/>
      <c r="B134" s="9" t="n"/>
      <c r="C134" s="9" t="n"/>
      <c r="D134" s="9" t="n"/>
      <c r="E134" s="9" t="n"/>
      <c r="F134" s="23" t="n"/>
      <c r="G134" s="19" t="n"/>
      <c r="H134" s="23" t="n"/>
      <c r="I134" s="24" t="n"/>
      <c r="J134" s="19" t="n"/>
      <c r="K134" s="25">
        <f>IF($D134="","",IFERROR(INDEX(Profile!$B$5:$B$304,MATCH($D134,lst_Profil,0)),""))</f>
        <v/>
      </c>
      <c r="L134" s="13">
        <f>IF($D134="","",IFERROR(INDEX(Profile!$K$5:$K$304,MATCH($D134,lst_Profil,0))+0,""))</f>
        <v/>
      </c>
      <c r="M134" s="26">
        <f>IF($D134="","",IFERROR(INDEX(Profile!$E$5:$E$304,MATCH($D134,lst_Profil,0))+0,""))</f>
        <v/>
      </c>
      <c r="N134" s="27">
        <f>IF(OR(L134="",$E134=""),"",IFERROR(L134*INDEX(Werkstoffe!$E$5:$E$304,MATCH($E134,lst_Werkstoff,0))/1000,""))</f>
        <v/>
      </c>
      <c r="O134" s="27">
        <f>IF(OR(N134="",$F134=""),"",N134*$F134/1000)</f>
        <v/>
      </c>
      <c r="P134" s="16">
        <f>IF(OR($F134="",$G134=""),"",$F134*$G134)</f>
        <v/>
      </c>
      <c r="Q134" s="16">
        <f>IF($D134="","",IF($J134&lt;&gt;"",$J134,$C$9))</f>
        <v/>
      </c>
      <c r="R134" s="12">
        <f>IF($D134="","",IFERROR(IF(INDEX(Profile!$G$5:$G$304,MATCH($D134,lst_Profil,0))&lt;&gt;"",INDEX(Profile!$G$5:$G$304,MATCH($D134,lst_Profil,0)),$H$4),$H$4))</f>
        <v/>
      </c>
      <c r="S134" s="12">
        <f>IF($D134="","",IFERROR(IF(INDEX(Profile!$H$5:$H$304,MATCH($D134,lst_Profil,0))&lt;&gt;"",INDEX(Profile!$H$5:$H$304,MATCH($D134,lst_Profil,0)),$H$5),$H$5))</f>
        <v/>
      </c>
      <c r="T134" s="16">
        <f>IF(OR(Q134="",NOT(ISNUMBER(R134)),NOT(ISNUMBER(S134))),"",Q134-R134-S134)</f>
        <v/>
      </c>
      <c r="U134" s="28">
        <f>IF(OR($D134="",$E134=""),"",IF(OR(N($AP134)&gt;0,COUNTIFS(Preise!$A$5:$A$304,$D134,Preise!$B$5:$B$304,$E134,Preise!$I$5:$I$304,"OK")&gt;0,N(INDEX(Werkstoffe!$G$5:$G$304,MATCH($E134,lst_Werkstoff,0)))&gt;0),"ja","nein"))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28">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Materialpreis",IF(AND($AQ134&lt;&gt;"",N($AR134)&gt;0,MOD($G134,$AR134)&lt;&gt;0),"WARNUNG: Stückzahl ist kein Vielfaches von Stück je Satz",IF($H134="","HINWEIS: Schneidweg fehlt",IF(V134="","HINWEIS: keine Schneiddaten",IF(AND($AF134&lt;&gt;"",$AG134=""),"HINWEIS: Gewinde-Vorschlag prüfen","OK")))))))))))))))</f>
        <v/>
      </c>
      <c r="X134" s="18">
        <f>IF(OR(O134="",$G134=""),"",O134*$G134)</f>
        <v/>
      </c>
      <c r="Y134" s="9" t="n"/>
      <c r="Z134" s="23" t="n"/>
      <c r="AA134" s="9" t="n"/>
      <c r="AB134" s="23" t="n"/>
      <c r="AC134" s="23" t="n"/>
      <c r="AD134" s="23" t="n"/>
      <c r="AE134" s="9" t="n"/>
      <c r="AF134" s="9" t="n"/>
      <c r="AG134" s="9" t="n"/>
      <c r="AH134" s="24" t="n"/>
      <c r="AI134" s="23" t="n"/>
      <c r="AJ134" s="24" t="n"/>
      <c r="AK134" s="23" t="n"/>
      <c r="AL134" s="24" t="n"/>
      <c r="AM134" s="23" t="n"/>
      <c r="AN134" s="28">
        <f>IF($D134="","",COUNTIFS(Stangenbelegung!$E$5:$E$10004,ROW()))</f>
        <v/>
      </c>
      <c r="AO134" s="28">
        <f>IF(OR($G134="",COUNTA(Stangenbelegung!$A$5:$A$10004)=0),"",$G134-AN134)</f>
        <v/>
      </c>
      <c r="AP134" s="29" t="n"/>
      <c r="AQ134" s="9" t="n"/>
      <c r="AR134" s="19" t="n"/>
    </row>
    <row r="135">
      <c r="A135" s="9" t="n"/>
      <c r="B135" s="9" t="n"/>
      <c r="C135" s="9" t="n"/>
      <c r="D135" s="9" t="n"/>
      <c r="E135" s="9" t="n"/>
      <c r="F135" s="23" t="n"/>
      <c r="G135" s="19" t="n"/>
      <c r="H135" s="23" t="n"/>
      <c r="I135" s="24" t="n"/>
      <c r="J135" s="19" t="n"/>
      <c r="K135" s="25">
        <f>IF($D135="","",IFERROR(INDEX(Profile!$B$5:$B$304,MATCH($D135,lst_Profil,0)),""))</f>
        <v/>
      </c>
      <c r="L135" s="13">
        <f>IF($D135="","",IFERROR(INDEX(Profile!$K$5:$K$304,MATCH($D135,lst_Profil,0))+0,""))</f>
        <v/>
      </c>
      <c r="M135" s="26">
        <f>IF($D135="","",IFERROR(INDEX(Profile!$E$5:$E$304,MATCH($D135,lst_Profil,0))+0,""))</f>
        <v/>
      </c>
      <c r="N135" s="27">
        <f>IF(OR(L135="",$E135=""),"",IFERROR(L135*INDEX(Werkstoffe!$E$5:$E$304,MATCH($E135,lst_Werkstoff,0))/1000,""))</f>
        <v/>
      </c>
      <c r="O135" s="27">
        <f>IF(OR(N135="",$F135=""),"",N135*$F135/1000)</f>
        <v/>
      </c>
      <c r="P135" s="16">
        <f>IF(OR($F135="",$G135=""),"",$F135*$G135)</f>
        <v/>
      </c>
      <c r="Q135" s="16">
        <f>IF($D135="","",IF($J135&lt;&gt;"",$J135,$C$9))</f>
        <v/>
      </c>
      <c r="R135" s="12">
        <f>IF($D135="","",IFERROR(IF(INDEX(Profile!$G$5:$G$304,MATCH($D135,lst_Profil,0))&lt;&gt;"",INDEX(Profile!$G$5:$G$304,MATCH($D135,lst_Profil,0)),$H$4),$H$4))</f>
        <v/>
      </c>
      <c r="S135" s="12">
        <f>IF($D135="","",IFERROR(IF(INDEX(Profile!$H$5:$H$304,MATCH($D135,lst_Profil,0))&lt;&gt;"",INDEX(Profile!$H$5:$H$304,MATCH($D135,lst_Profil,0)),$H$5),$H$5))</f>
        <v/>
      </c>
      <c r="T135" s="16">
        <f>IF(OR(Q135="",NOT(ISNUMBER(R135)),NOT(ISNUMBER(S135))),"",Q135-R135-S135)</f>
        <v/>
      </c>
      <c r="U135" s="28">
        <f>IF(OR($D135="",$E135=""),"",IF(OR(N($AP135)&gt;0,COUNTIFS(Preise!$A$5:$A$304,$D135,Preise!$B$5:$B$304,$E135,Preise!$I$5:$I$304,"OK")&gt;0,N(INDEX(Werkstoffe!$G$5:$G$304,MATCH($E135,lst_Werkstoff,0)))&gt;0),"ja","nein"))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28">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Materialpreis",IF(AND($AQ135&lt;&gt;"",N($AR135)&gt;0,MOD($G135,$AR135)&lt;&gt;0),"WARNUNG: Stückzahl ist kein Vielfaches von Stück je Satz",IF($H135="","HINWEIS: Schneidweg fehlt",IF(V135="","HINWEIS: keine Schneiddaten",IF(AND($AF135&lt;&gt;"",$AG135=""),"HINWEIS: Gewinde-Vorschlag prüfen","OK")))))))))))))))</f>
        <v/>
      </c>
      <c r="X135" s="18">
        <f>IF(OR(O135="",$G135=""),"",O135*$G135)</f>
        <v/>
      </c>
      <c r="Y135" s="9" t="n"/>
      <c r="Z135" s="23" t="n"/>
      <c r="AA135" s="9" t="n"/>
      <c r="AB135" s="23" t="n"/>
      <c r="AC135" s="23" t="n"/>
      <c r="AD135" s="23" t="n"/>
      <c r="AE135" s="9" t="n"/>
      <c r="AF135" s="9" t="n"/>
      <c r="AG135" s="9" t="n"/>
      <c r="AH135" s="24" t="n"/>
      <c r="AI135" s="23" t="n"/>
      <c r="AJ135" s="24" t="n"/>
      <c r="AK135" s="23" t="n"/>
      <c r="AL135" s="24" t="n"/>
      <c r="AM135" s="23" t="n"/>
      <c r="AN135" s="28">
        <f>IF($D135="","",COUNTIFS(Stangenbelegung!$E$5:$E$10004,ROW()))</f>
        <v/>
      </c>
      <c r="AO135" s="28">
        <f>IF(OR($G135="",COUNTA(Stangenbelegung!$A$5:$A$10004)=0),"",$G135-AN135)</f>
        <v/>
      </c>
      <c r="AP135" s="29" t="n"/>
      <c r="AQ135" s="9" t="n"/>
      <c r="AR135" s="19" t="n"/>
    </row>
    <row r="136">
      <c r="A136" s="9" t="n"/>
      <c r="B136" s="9" t="n"/>
      <c r="C136" s="9" t="n"/>
      <c r="D136" s="9" t="n"/>
      <c r="E136" s="9" t="n"/>
      <c r="F136" s="23" t="n"/>
      <c r="G136" s="19" t="n"/>
      <c r="H136" s="23" t="n"/>
      <c r="I136" s="24" t="n"/>
      <c r="J136" s="19" t="n"/>
      <c r="K136" s="25">
        <f>IF($D136="","",IFERROR(INDEX(Profile!$B$5:$B$304,MATCH($D136,lst_Profil,0)),""))</f>
        <v/>
      </c>
      <c r="L136" s="13">
        <f>IF($D136="","",IFERROR(INDEX(Profile!$K$5:$K$304,MATCH($D136,lst_Profil,0))+0,""))</f>
        <v/>
      </c>
      <c r="M136" s="26">
        <f>IF($D136="","",IFERROR(INDEX(Profile!$E$5:$E$304,MATCH($D136,lst_Profil,0))+0,""))</f>
        <v/>
      </c>
      <c r="N136" s="27">
        <f>IF(OR(L136="",$E136=""),"",IFERROR(L136*INDEX(Werkstoffe!$E$5:$E$304,MATCH($E136,lst_Werkstoff,0))/1000,""))</f>
        <v/>
      </c>
      <c r="O136" s="27">
        <f>IF(OR(N136="",$F136=""),"",N136*$F136/1000)</f>
        <v/>
      </c>
      <c r="P136" s="16">
        <f>IF(OR($F136="",$G136=""),"",$F136*$G136)</f>
        <v/>
      </c>
      <c r="Q136" s="16">
        <f>IF($D136="","",IF($J136&lt;&gt;"",$J136,$C$9))</f>
        <v/>
      </c>
      <c r="R136" s="12">
        <f>IF($D136="","",IFERROR(IF(INDEX(Profile!$G$5:$G$304,MATCH($D136,lst_Profil,0))&lt;&gt;"",INDEX(Profile!$G$5:$G$304,MATCH($D136,lst_Profil,0)),$H$4),$H$4))</f>
        <v/>
      </c>
      <c r="S136" s="12">
        <f>IF($D136="","",IFERROR(IF(INDEX(Profile!$H$5:$H$304,MATCH($D136,lst_Profil,0))&lt;&gt;"",INDEX(Profile!$H$5:$H$304,MATCH($D136,lst_Profil,0)),$H$5),$H$5))</f>
        <v/>
      </c>
      <c r="T136" s="16">
        <f>IF(OR(Q136="",NOT(ISNUMBER(R136)),NOT(ISNUMBER(S136))),"",Q136-R136-S136)</f>
        <v/>
      </c>
      <c r="U136" s="28">
        <f>IF(OR($D136="",$E136=""),"",IF(OR(N($AP136)&gt;0,COUNTIFS(Preise!$A$5:$A$304,$D136,Preise!$B$5:$B$304,$E136,Preise!$I$5:$I$304,"OK")&gt;0,N(INDEX(Werkstoffe!$G$5:$G$304,MATCH($E136,lst_Werkstoff,0)))&gt;0),"ja","nein"))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28">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Materialpreis",IF(AND($AQ136&lt;&gt;"",N($AR136)&gt;0,MOD($G136,$AR136)&lt;&gt;0),"WARNUNG: Stückzahl ist kein Vielfaches von Stück je Satz",IF($H136="","HINWEIS: Schneidweg fehlt",IF(V136="","HINWEIS: keine Schneiddaten",IF(AND($AF136&lt;&gt;"",$AG136=""),"HINWEIS: Gewinde-Vorschlag prüfen","OK")))))))))))))))</f>
        <v/>
      </c>
      <c r="X136" s="18">
        <f>IF(OR(O136="",$G136=""),"",O136*$G136)</f>
        <v/>
      </c>
      <c r="Y136" s="9" t="n"/>
      <c r="Z136" s="23" t="n"/>
      <c r="AA136" s="9" t="n"/>
      <c r="AB136" s="23" t="n"/>
      <c r="AC136" s="23" t="n"/>
      <c r="AD136" s="23" t="n"/>
      <c r="AE136" s="9" t="n"/>
      <c r="AF136" s="9" t="n"/>
      <c r="AG136" s="9" t="n"/>
      <c r="AH136" s="24" t="n"/>
      <c r="AI136" s="23" t="n"/>
      <c r="AJ136" s="24" t="n"/>
      <c r="AK136" s="23" t="n"/>
      <c r="AL136" s="24" t="n"/>
      <c r="AM136" s="23" t="n"/>
      <c r="AN136" s="28">
        <f>IF($D136="","",COUNTIFS(Stangenbelegung!$E$5:$E$10004,ROW()))</f>
        <v/>
      </c>
      <c r="AO136" s="28">
        <f>IF(OR($G136="",COUNTA(Stangenbelegung!$A$5:$A$10004)=0),"",$G136-AN136)</f>
        <v/>
      </c>
      <c r="AP136" s="29" t="n"/>
      <c r="AQ136" s="9" t="n"/>
      <c r="AR136" s="19" t="n"/>
    </row>
    <row r="137">
      <c r="A137" s="9" t="n"/>
      <c r="B137" s="9" t="n"/>
      <c r="C137" s="9" t="n"/>
      <c r="D137" s="9" t="n"/>
      <c r="E137" s="9" t="n"/>
      <c r="F137" s="23" t="n"/>
      <c r="G137" s="19" t="n"/>
      <c r="H137" s="23" t="n"/>
      <c r="I137" s="24" t="n"/>
      <c r="J137" s="19" t="n"/>
      <c r="K137" s="25">
        <f>IF($D137="","",IFERROR(INDEX(Profile!$B$5:$B$304,MATCH($D137,lst_Profil,0)),""))</f>
        <v/>
      </c>
      <c r="L137" s="13">
        <f>IF($D137="","",IFERROR(INDEX(Profile!$K$5:$K$304,MATCH($D137,lst_Profil,0))+0,""))</f>
        <v/>
      </c>
      <c r="M137" s="26">
        <f>IF($D137="","",IFERROR(INDEX(Profile!$E$5:$E$304,MATCH($D137,lst_Profil,0))+0,""))</f>
        <v/>
      </c>
      <c r="N137" s="27">
        <f>IF(OR(L137="",$E137=""),"",IFERROR(L137*INDEX(Werkstoffe!$E$5:$E$304,MATCH($E137,lst_Werkstoff,0))/1000,""))</f>
        <v/>
      </c>
      <c r="O137" s="27">
        <f>IF(OR(N137="",$F137=""),"",N137*$F137/1000)</f>
        <v/>
      </c>
      <c r="P137" s="16">
        <f>IF(OR($F137="",$G137=""),"",$F137*$G137)</f>
        <v/>
      </c>
      <c r="Q137" s="16">
        <f>IF($D137="","",IF($J137&lt;&gt;"",$J137,$C$9))</f>
        <v/>
      </c>
      <c r="R137" s="12">
        <f>IF($D137="","",IFERROR(IF(INDEX(Profile!$G$5:$G$304,MATCH($D137,lst_Profil,0))&lt;&gt;"",INDEX(Profile!$G$5:$G$304,MATCH($D137,lst_Profil,0)),$H$4),$H$4))</f>
        <v/>
      </c>
      <c r="S137" s="12">
        <f>IF($D137="","",IFERROR(IF(INDEX(Profile!$H$5:$H$304,MATCH($D137,lst_Profil,0))&lt;&gt;"",INDEX(Profile!$H$5:$H$304,MATCH($D137,lst_Profil,0)),$H$5),$H$5))</f>
        <v/>
      </c>
      <c r="T137" s="16">
        <f>IF(OR(Q137="",NOT(ISNUMBER(R137)),NOT(ISNUMBER(S137))),"",Q137-R137-S137)</f>
        <v/>
      </c>
      <c r="U137" s="28">
        <f>IF(OR($D137="",$E137=""),"",IF(OR(N($AP137)&gt;0,COUNTIFS(Preise!$A$5:$A$304,$D137,Preise!$B$5:$B$304,$E137,Preise!$I$5:$I$304,"OK")&gt;0,N(INDEX(Werkstoffe!$G$5:$G$304,MATCH($E137,lst_Werkstoff,0)))&gt;0),"ja","nein"))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28">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Materialpreis",IF(AND($AQ137&lt;&gt;"",N($AR137)&gt;0,MOD($G137,$AR137)&lt;&gt;0),"WARNUNG: Stückzahl ist kein Vielfaches von Stück je Satz",IF($H137="","HINWEIS: Schneidweg fehlt",IF(V137="","HINWEIS: keine Schneiddaten",IF(AND($AF137&lt;&gt;"",$AG137=""),"HINWEIS: Gewinde-Vorschlag prüfen","OK")))))))))))))))</f>
        <v/>
      </c>
      <c r="X137" s="18">
        <f>IF(OR(O137="",$G137=""),"",O137*$G137)</f>
        <v/>
      </c>
      <c r="Y137" s="9" t="n"/>
      <c r="Z137" s="23" t="n"/>
      <c r="AA137" s="9" t="n"/>
      <c r="AB137" s="23" t="n"/>
      <c r="AC137" s="23" t="n"/>
      <c r="AD137" s="23" t="n"/>
      <c r="AE137" s="9" t="n"/>
      <c r="AF137" s="9" t="n"/>
      <c r="AG137" s="9" t="n"/>
      <c r="AH137" s="24" t="n"/>
      <c r="AI137" s="23" t="n"/>
      <c r="AJ137" s="24" t="n"/>
      <c r="AK137" s="23" t="n"/>
      <c r="AL137" s="24" t="n"/>
      <c r="AM137" s="23" t="n"/>
      <c r="AN137" s="28">
        <f>IF($D137="","",COUNTIFS(Stangenbelegung!$E$5:$E$10004,ROW()))</f>
        <v/>
      </c>
      <c r="AO137" s="28">
        <f>IF(OR($G137="",COUNTA(Stangenbelegung!$A$5:$A$10004)=0),"",$G137-AN137)</f>
        <v/>
      </c>
      <c r="AP137" s="29" t="n"/>
      <c r="AQ137" s="9" t="n"/>
      <c r="AR137" s="19" t="n"/>
    </row>
    <row r="138">
      <c r="A138" s="9" t="n"/>
      <c r="B138" s="9" t="n"/>
      <c r="C138" s="9" t="n"/>
      <c r="D138" s="9" t="n"/>
      <c r="E138" s="9" t="n"/>
      <c r="F138" s="23" t="n"/>
      <c r="G138" s="19" t="n"/>
      <c r="H138" s="23" t="n"/>
      <c r="I138" s="24" t="n"/>
      <c r="J138" s="19" t="n"/>
      <c r="K138" s="25">
        <f>IF($D138="","",IFERROR(INDEX(Profile!$B$5:$B$304,MATCH($D138,lst_Profil,0)),""))</f>
        <v/>
      </c>
      <c r="L138" s="13">
        <f>IF($D138="","",IFERROR(INDEX(Profile!$K$5:$K$304,MATCH($D138,lst_Profil,0))+0,""))</f>
        <v/>
      </c>
      <c r="M138" s="26">
        <f>IF($D138="","",IFERROR(INDEX(Profile!$E$5:$E$304,MATCH($D138,lst_Profil,0))+0,""))</f>
        <v/>
      </c>
      <c r="N138" s="27">
        <f>IF(OR(L138="",$E138=""),"",IFERROR(L138*INDEX(Werkstoffe!$E$5:$E$304,MATCH($E138,lst_Werkstoff,0))/1000,""))</f>
        <v/>
      </c>
      <c r="O138" s="27">
        <f>IF(OR(N138="",$F138=""),"",N138*$F138/1000)</f>
        <v/>
      </c>
      <c r="P138" s="16">
        <f>IF(OR($F138="",$G138=""),"",$F138*$G138)</f>
        <v/>
      </c>
      <c r="Q138" s="16">
        <f>IF($D138="","",IF($J138&lt;&gt;"",$J138,$C$9))</f>
        <v/>
      </c>
      <c r="R138" s="12">
        <f>IF($D138="","",IFERROR(IF(INDEX(Profile!$G$5:$G$304,MATCH($D138,lst_Profil,0))&lt;&gt;"",INDEX(Profile!$G$5:$G$304,MATCH($D138,lst_Profil,0)),$H$4),$H$4))</f>
        <v/>
      </c>
      <c r="S138" s="12">
        <f>IF($D138="","",IFERROR(IF(INDEX(Profile!$H$5:$H$304,MATCH($D138,lst_Profil,0))&lt;&gt;"",INDEX(Profile!$H$5:$H$304,MATCH($D138,lst_Profil,0)),$H$5),$H$5))</f>
        <v/>
      </c>
      <c r="T138" s="16">
        <f>IF(OR(Q138="",NOT(ISNUMBER(R138)),NOT(ISNUMBER(S138))),"",Q138-R138-S138)</f>
        <v/>
      </c>
      <c r="U138" s="28">
        <f>IF(OR($D138="",$E138=""),"",IF(OR(N($AP138)&gt;0,COUNTIFS(Preise!$A$5:$A$304,$D138,Preise!$B$5:$B$304,$E138,Preise!$I$5:$I$304,"OK")&gt;0,N(INDEX(Werkstoffe!$G$5:$G$304,MATCH($E138,lst_Werkstoff,0)))&gt;0),"ja","nein"))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28">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Materialpreis",IF(AND($AQ138&lt;&gt;"",N($AR138)&gt;0,MOD($G138,$AR138)&lt;&gt;0),"WARNUNG: Stückzahl ist kein Vielfaches von Stück je Satz",IF($H138="","HINWEIS: Schneidweg fehlt",IF(V138="","HINWEIS: keine Schneiddaten",IF(AND($AF138&lt;&gt;"",$AG138=""),"HINWEIS: Gewinde-Vorschlag prüfen","OK")))))))))))))))</f>
        <v/>
      </c>
      <c r="X138" s="18">
        <f>IF(OR(O138="",$G138=""),"",O138*$G138)</f>
        <v/>
      </c>
      <c r="Y138" s="9" t="n"/>
      <c r="Z138" s="23" t="n"/>
      <c r="AA138" s="9" t="n"/>
      <c r="AB138" s="23" t="n"/>
      <c r="AC138" s="23" t="n"/>
      <c r="AD138" s="23" t="n"/>
      <c r="AE138" s="9" t="n"/>
      <c r="AF138" s="9" t="n"/>
      <c r="AG138" s="9" t="n"/>
      <c r="AH138" s="24" t="n"/>
      <c r="AI138" s="23" t="n"/>
      <c r="AJ138" s="24" t="n"/>
      <c r="AK138" s="23" t="n"/>
      <c r="AL138" s="24" t="n"/>
      <c r="AM138" s="23" t="n"/>
      <c r="AN138" s="28">
        <f>IF($D138="","",COUNTIFS(Stangenbelegung!$E$5:$E$10004,ROW()))</f>
        <v/>
      </c>
      <c r="AO138" s="28">
        <f>IF(OR($G138="",COUNTA(Stangenbelegung!$A$5:$A$10004)=0),"",$G138-AN138)</f>
        <v/>
      </c>
      <c r="AP138" s="29" t="n"/>
      <c r="AQ138" s="9" t="n"/>
      <c r="AR138" s="19" t="n"/>
    </row>
    <row r="139">
      <c r="A139" s="9" t="n"/>
      <c r="B139" s="9" t="n"/>
      <c r="C139" s="9" t="n"/>
      <c r="D139" s="9" t="n"/>
      <c r="E139" s="9" t="n"/>
      <c r="F139" s="23" t="n"/>
      <c r="G139" s="19" t="n"/>
      <c r="H139" s="23" t="n"/>
      <c r="I139" s="24" t="n"/>
      <c r="J139" s="19" t="n"/>
      <c r="K139" s="25">
        <f>IF($D139="","",IFERROR(INDEX(Profile!$B$5:$B$304,MATCH($D139,lst_Profil,0)),""))</f>
        <v/>
      </c>
      <c r="L139" s="13">
        <f>IF($D139="","",IFERROR(INDEX(Profile!$K$5:$K$304,MATCH($D139,lst_Profil,0))+0,""))</f>
        <v/>
      </c>
      <c r="M139" s="26">
        <f>IF($D139="","",IFERROR(INDEX(Profile!$E$5:$E$304,MATCH($D139,lst_Profil,0))+0,""))</f>
        <v/>
      </c>
      <c r="N139" s="27">
        <f>IF(OR(L139="",$E139=""),"",IFERROR(L139*INDEX(Werkstoffe!$E$5:$E$304,MATCH($E139,lst_Werkstoff,0))/1000,""))</f>
        <v/>
      </c>
      <c r="O139" s="27">
        <f>IF(OR(N139="",$F139=""),"",N139*$F139/1000)</f>
        <v/>
      </c>
      <c r="P139" s="16">
        <f>IF(OR($F139="",$G139=""),"",$F139*$G139)</f>
        <v/>
      </c>
      <c r="Q139" s="16">
        <f>IF($D139="","",IF($J139&lt;&gt;"",$J139,$C$9))</f>
        <v/>
      </c>
      <c r="R139" s="12">
        <f>IF($D139="","",IFERROR(IF(INDEX(Profile!$G$5:$G$304,MATCH($D139,lst_Profil,0))&lt;&gt;"",INDEX(Profile!$G$5:$G$304,MATCH($D139,lst_Profil,0)),$H$4),$H$4))</f>
        <v/>
      </c>
      <c r="S139" s="12">
        <f>IF($D139="","",IFERROR(IF(INDEX(Profile!$H$5:$H$304,MATCH($D139,lst_Profil,0))&lt;&gt;"",INDEX(Profile!$H$5:$H$304,MATCH($D139,lst_Profil,0)),$H$5),$H$5))</f>
        <v/>
      </c>
      <c r="T139" s="16">
        <f>IF(OR(Q139="",NOT(ISNUMBER(R139)),NOT(ISNUMBER(S139))),"",Q139-R139-S139)</f>
        <v/>
      </c>
      <c r="U139" s="28">
        <f>IF(OR($D139="",$E139=""),"",IF(OR(N($AP139)&gt;0,COUNTIFS(Preise!$A$5:$A$304,$D139,Preise!$B$5:$B$304,$E139,Preise!$I$5:$I$304,"OK")&gt;0,N(INDEX(Werkstoffe!$G$5:$G$304,MATCH($E139,lst_Werkstoff,0)))&gt;0),"ja","nein"))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28">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Materialpreis",IF(AND($AQ139&lt;&gt;"",N($AR139)&gt;0,MOD($G139,$AR139)&lt;&gt;0),"WARNUNG: Stückzahl ist kein Vielfaches von Stück je Satz",IF($H139="","HINWEIS: Schneidweg fehlt",IF(V139="","HINWEIS: keine Schneiddaten",IF(AND($AF139&lt;&gt;"",$AG139=""),"HINWEIS: Gewinde-Vorschlag prüfen","OK")))))))))))))))</f>
        <v/>
      </c>
      <c r="X139" s="18">
        <f>IF(OR(O139="",$G139=""),"",O139*$G139)</f>
        <v/>
      </c>
      <c r="Y139" s="9" t="n"/>
      <c r="Z139" s="23" t="n"/>
      <c r="AA139" s="9" t="n"/>
      <c r="AB139" s="23" t="n"/>
      <c r="AC139" s="23" t="n"/>
      <c r="AD139" s="23" t="n"/>
      <c r="AE139" s="9" t="n"/>
      <c r="AF139" s="9" t="n"/>
      <c r="AG139" s="9" t="n"/>
      <c r="AH139" s="24" t="n"/>
      <c r="AI139" s="23" t="n"/>
      <c r="AJ139" s="24" t="n"/>
      <c r="AK139" s="23" t="n"/>
      <c r="AL139" s="24" t="n"/>
      <c r="AM139" s="23" t="n"/>
      <c r="AN139" s="28">
        <f>IF($D139="","",COUNTIFS(Stangenbelegung!$E$5:$E$10004,ROW()))</f>
        <v/>
      </c>
      <c r="AO139" s="28">
        <f>IF(OR($G139="",COUNTA(Stangenbelegung!$A$5:$A$10004)=0),"",$G139-AN139)</f>
        <v/>
      </c>
      <c r="AP139" s="29" t="n"/>
      <c r="AQ139" s="9" t="n"/>
      <c r="AR139" s="19" t="n"/>
    </row>
    <row r="140">
      <c r="A140" s="9" t="n"/>
      <c r="B140" s="9" t="n"/>
      <c r="C140" s="9" t="n"/>
      <c r="D140" s="9" t="n"/>
      <c r="E140" s="9" t="n"/>
      <c r="F140" s="23" t="n"/>
      <c r="G140" s="19" t="n"/>
      <c r="H140" s="23" t="n"/>
      <c r="I140" s="24" t="n"/>
      <c r="J140" s="19" t="n"/>
      <c r="K140" s="25">
        <f>IF($D140="","",IFERROR(INDEX(Profile!$B$5:$B$304,MATCH($D140,lst_Profil,0)),""))</f>
        <v/>
      </c>
      <c r="L140" s="13">
        <f>IF($D140="","",IFERROR(INDEX(Profile!$K$5:$K$304,MATCH($D140,lst_Profil,0))+0,""))</f>
        <v/>
      </c>
      <c r="M140" s="26">
        <f>IF($D140="","",IFERROR(INDEX(Profile!$E$5:$E$304,MATCH($D140,lst_Profil,0))+0,""))</f>
        <v/>
      </c>
      <c r="N140" s="27">
        <f>IF(OR(L140="",$E140=""),"",IFERROR(L140*INDEX(Werkstoffe!$E$5:$E$304,MATCH($E140,lst_Werkstoff,0))/1000,""))</f>
        <v/>
      </c>
      <c r="O140" s="27">
        <f>IF(OR(N140="",$F140=""),"",N140*$F140/1000)</f>
        <v/>
      </c>
      <c r="P140" s="16">
        <f>IF(OR($F140="",$G140=""),"",$F140*$G140)</f>
        <v/>
      </c>
      <c r="Q140" s="16">
        <f>IF($D140="","",IF($J140&lt;&gt;"",$J140,$C$9))</f>
        <v/>
      </c>
      <c r="R140" s="12">
        <f>IF($D140="","",IFERROR(IF(INDEX(Profile!$G$5:$G$304,MATCH($D140,lst_Profil,0))&lt;&gt;"",INDEX(Profile!$G$5:$G$304,MATCH($D140,lst_Profil,0)),$H$4),$H$4))</f>
        <v/>
      </c>
      <c r="S140" s="12">
        <f>IF($D140="","",IFERROR(IF(INDEX(Profile!$H$5:$H$304,MATCH($D140,lst_Profil,0))&lt;&gt;"",INDEX(Profile!$H$5:$H$304,MATCH($D140,lst_Profil,0)),$H$5),$H$5))</f>
        <v/>
      </c>
      <c r="T140" s="16">
        <f>IF(OR(Q140="",NOT(ISNUMBER(R140)),NOT(ISNUMBER(S140))),"",Q140-R140-S140)</f>
        <v/>
      </c>
      <c r="U140" s="28">
        <f>IF(OR($D140="",$E140=""),"",IF(OR(N($AP140)&gt;0,COUNTIFS(Preise!$A$5:$A$304,$D140,Preise!$B$5:$B$304,$E140,Preise!$I$5:$I$304,"OK")&gt;0,N(INDEX(Werkstoffe!$G$5:$G$304,MATCH($E140,lst_Werkstoff,0)))&gt;0),"ja","nein"))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28">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Materialpreis",IF(AND($AQ140&lt;&gt;"",N($AR140)&gt;0,MOD($G140,$AR140)&lt;&gt;0),"WARNUNG: Stückzahl ist kein Vielfaches von Stück je Satz",IF($H140="","HINWEIS: Schneidweg fehlt",IF(V140="","HINWEIS: keine Schneiddaten",IF(AND($AF140&lt;&gt;"",$AG140=""),"HINWEIS: Gewinde-Vorschlag prüfen","OK")))))))))))))))</f>
        <v/>
      </c>
      <c r="X140" s="18">
        <f>IF(OR(O140="",$G140=""),"",O140*$G140)</f>
        <v/>
      </c>
      <c r="Y140" s="9" t="n"/>
      <c r="Z140" s="23" t="n"/>
      <c r="AA140" s="9" t="n"/>
      <c r="AB140" s="23" t="n"/>
      <c r="AC140" s="23" t="n"/>
      <c r="AD140" s="23" t="n"/>
      <c r="AE140" s="9" t="n"/>
      <c r="AF140" s="9" t="n"/>
      <c r="AG140" s="9" t="n"/>
      <c r="AH140" s="24" t="n"/>
      <c r="AI140" s="23" t="n"/>
      <c r="AJ140" s="24" t="n"/>
      <c r="AK140" s="23" t="n"/>
      <c r="AL140" s="24" t="n"/>
      <c r="AM140" s="23" t="n"/>
      <c r="AN140" s="28">
        <f>IF($D140="","",COUNTIFS(Stangenbelegung!$E$5:$E$10004,ROW()))</f>
        <v/>
      </c>
      <c r="AO140" s="28">
        <f>IF(OR($G140="",COUNTA(Stangenbelegung!$A$5:$A$10004)=0),"",$G140-AN140)</f>
        <v/>
      </c>
      <c r="AP140" s="29" t="n"/>
      <c r="AQ140" s="9" t="n"/>
      <c r="AR140" s="19" t="n"/>
    </row>
    <row r="141">
      <c r="A141" s="9" t="n"/>
      <c r="B141" s="9" t="n"/>
      <c r="C141" s="9" t="n"/>
      <c r="D141" s="9" t="n"/>
      <c r="E141" s="9" t="n"/>
      <c r="F141" s="23" t="n"/>
      <c r="G141" s="19" t="n"/>
      <c r="H141" s="23" t="n"/>
      <c r="I141" s="24" t="n"/>
      <c r="J141" s="19" t="n"/>
      <c r="K141" s="25">
        <f>IF($D141="","",IFERROR(INDEX(Profile!$B$5:$B$304,MATCH($D141,lst_Profil,0)),""))</f>
        <v/>
      </c>
      <c r="L141" s="13">
        <f>IF($D141="","",IFERROR(INDEX(Profile!$K$5:$K$304,MATCH($D141,lst_Profil,0))+0,""))</f>
        <v/>
      </c>
      <c r="M141" s="26">
        <f>IF($D141="","",IFERROR(INDEX(Profile!$E$5:$E$304,MATCH($D141,lst_Profil,0))+0,""))</f>
        <v/>
      </c>
      <c r="N141" s="27">
        <f>IF(OR(L141="",$E141=""),"",IFERROR(L141*INDEX(Werkstoffe!$E$5:$E$304,MATCH($E141,lst_Werkstoff,0))/1000,""))</f>
        <v/>
      </c>
      <c r="O141" s="27">
        <f>IF(OR(N141="",$F141=""),"",N141*$F141/1000)</f>
        <v/>
      </c>
      <c r="P141" s="16">
        <f>IF(OR($F141="",$G141=""),"",$F141*$G141)</f>
        <v/>
      </c>
      <c r="Q141" s="16">
        <f>IF($D141="","",IF($J141&lt;&gt;"",$J141,$C$9))</f>
        <v/>
      </c>
      <c r="R141" s="12">
        <f>IF($D141="","",IFERROR(IF(INDEX(Profile!$G$5:$G$304,MATCH($D141,lst_Profil,0))&lt;&gt;"",INDEX(Profile!$G$5:$G$304,MATCH($D141,lst_Profil,0)),$H$4),$H$4))</f>
        <v/>
      </c>
      <c r="S141" s="12">
        <f>IF($D141="","",IFERROR(IF(INDEX(Profile!$H$5:$H$304,MATCH($D141,lst_Profil,0))&lt;&gt;"",INDEX(Profile!$H$5:$H$304,MATCH($D141,lst_Profil,0)),$H$5),$H$5))</f>
        <v/>
      </c>
      <c r="T141" s="16">
        <f>IF(OR(Q141="",NOT(ISNUMBER(R141)),NOT(ISNUMBER(S141))),"",Q141-R141-S141)</f>
        <v/>
      </c>
      <c r="U141" s="28">
        <f>IF(OR($D141="",$E141=""),"",IF(OR(N($AP141)&gt;0,COUNTIFS(Preise!$A$5:$A$304,$D141,Preise!$B$5:$B$304,$E141,Preise!$I$5:$I$304,"OK")&gt;0,N(INDEX(Werkstoffe!$G$5:$G$304,MATCH($E141,lst_Werkstoff,0)))&gt;0),"ja","nein"))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28">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Materialpreis",IF(AND($AQ141&lt;&gt;"",N($AR141)&gt;0,MOD($G141,$AR141)&lt;&gt;0),"WARNUNG: Stückzahl ist kein Vielfaches von Stück je Satz",IF($H141="","HINWEIS: Schneidweg fehlt",IF(V141="","HINWEIS: keine Schneiddaten",IF(AND($AF141&lt;&gt;"",$AG141=""),"HINWEIS: Gewinde-Vorschlag prüfen","OK")))))))))))))))</f>
        <v/>
      </c>
      <c r="X141" s="18">
        <f>IF(OR(O141="",$G141=""),"",O141*$G141)</f>
        <v/>
      </c>
      <c r="Y141" s="9" t="n"/>
      <c r="Z141" s="23" t="n"/>
      <c r="AA141" s="9" t="n"/>
      <c r="AB141" s="23" t="n"/>
      <c r="AC141" s="23" t="n"/>
      <c r="AD141" s="23" t="n"/>
      <c r="AE141" s="9" t="n"/>
      <c r="AF141" s="9" t="n"/>
      <c r="AG141" s="9" t="n"/>
      <c r="AH141" s="24" t="n"/>
      <c r="AI141" s="23" t="n"/>
      <c r="AJ141" s="24" t="n"/>
      <c r="AK141" s="23" t="n"/>
      <c r="AL141" s="24" t="n"/>
      <c r="AM141" s="23" t="n"/>
      <c r="AN141" s="28">
        <f>IF($D141="","",COUNTIFS(Stangenbelegung!$E$5:$E$10004,ROW()))</f>
        <v/>
      </c>
      <c r="AO141" s="28">
        <f>IF(OR($G141="",COUNTA(Stangenbelegung!$A$5:$A$10004)=0),"",$G141-AN141)</f>
        <v/>
      </c>
      <c r="AP141" s="29" t="n"/>
      <c r="AQ141" s="9" t="n"/>
      <c r="AR141" s="19" t="n"/>
    </row>
    <row r="142">
      <c r="A142" s="9" t="n"/>
      <c r="B142" s="9" t="n"/>
      <c r="C142" s="9" t="n"/>
      <c r="D142" s="9" t="n"/>
      <c r="E142" s="9" t="n"/>
      <c r="F142" s="23" t="n"/>
      <c r="G142" s="19" t="n"/>
      <c r="H142" s="23" t="n"/>
      <c r="I142" s="24" t="n"/>
      <c r="J142" s="19" t="n"/>
      <c r="K142" s="25">
        <f>IF($D142="","",IFERROR(INDEX(Profile!$B$5:$B$304,MATCH($D142,lst_Profil,0)),""))</f>
        <v/>
      </c>
      <c r="L142" s="13">
        <f>IF($D142="","",IFERROR(INDEX(Profile!$K$5:$K$304,MATCH($D142,lst_Profil,0))+0,""))</f>
        <v/>
      </c>
      <c r="M142" s="26">
        <f>IF($D142="","",IFERROR(INDEX(Profile!$E$5:$E$304,MATCH($D142,lst_Profil,0))+0,""))</f>
        <v/>
      </c>
      <c r="N142" s="27">
        <f>IF(OR(L142="",$E142=""),"",IFERROR(L142*INDEX(Werkstoffe!$E$5:$E$304,MATCH($E142,lst_Werkstoff,0))/1000,""))</f>
        <v/>
      </c>
      <c r="O142" s="27">
        <f>IF(OR(N142="",$F142=""),"",N142*$F142/1000)</f>
        <v/>
      </c>
      <c r="P142" s="16">
        <f>IF(OR($F142="",$G142=""),"",$F142*$G142)</f>
        <v/>
      </c>
      <c r="Q142" s="16">
        <f>IF($D142="","",IF($J142&lt;&gt;"",$J142,$C$9))</f>
        <v/>
      </c>
      <c r="R142" s="12">
        <f>IF($D142="","",IFERROR(IF(INDEX(Profile!$G$5:$G$304,MATCH($D142,lst_Profil,0))&lt;&gt;"",INDEX(Profile!$G$5:$G$304,MATCH($D142,lst_Profil,0)),$H$4),$H$4))</f>
        <v/>
      </c>
      <c r="S142" s="12">
        <f>IF($D142="","",IFERROR(IF(INDEX(Profile!$H$5:$H$304,MATCH($D142,lst_Profil,0))&lt;&gt;"",INDEX(Profile!$H$5:$H$304,MATCH($D142,lst_Profil,0)),$H$5),$H$5))</f>
        <v/>
      </c>
      <c r="T142" s="16">
        <f>IF(OR(Q142="",NOT(ISNUMBER(R142)),NOT(ISNUMBER(S142))),"",Q142-R142-S142)</f>
        <v/>
      </c>
      <c r="U142" s="28">
        <f>IF(OR($D142="",$E142=""),"",IF(OR(N($AP142)&gt;0,COUNTIFS(Preise!$A$5:$A$304,$D142,Preise!$B$5:$B$304,$E142,Preise!$I$5:$I$304,"OK")&gt;0,N(INDEX(Werkstoffe!$G$5:$G$304,MATCH($E142,lst_Werkstoff,0)))&gt;0),"ja","nein"))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28">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Materialpreis",IF(AND($AQ142&lt;&gt;"",N($AR142)&gt;0,MOD($G142,$AR142)&lt;&gt;0),"WARNUNG: Stückzahl ist kein Vielfaches von Stück je Satz",IF($H142="","HINWEIS: Schneidweg fehlt",IF(V142="","HINWEIS: keine Schneiddaten",IF(AND($AF142&lt;&gt;"",$AG142=""),"HINWEIS: Gewinde-Vorschlag prüfen","OK")))))))))))))))</f>
        <v/>
      </c>
      <c r="X142" s="18">
        <f>IF(OR(O142="",$G142=""),"",O142*$G142)</f>
        <v/>
      </c>
      <c r="Y142" s="9" t="n"/>
      <c r="Z142" s="23" t="n"/>
      <c r="AA142" s="9" t="n"/>
      <c r="AB142" s="23" t="n"/>
      <c r="AC142" s="23" t="n"/>
      <c r="AD142" s="23" t="n"/>
      <c r="AE142" s="9" t="n"/>
      <c r="AF142" s="9" t="n"/>
      <c r="AG142" s="9" t="n"/>
      <c r="AH142" s="24" t="n"/>
      <c r="AI142" s="23" t="n"/>
      <c r="AJ142" s="24" t="n"/>
      <c r="AK142" s="23" t="n"/>
      <c r="AL142" s="24" t="n"/>
      <c r="AM142" s="23" t="n"/>
      <c r="AN142" s="28">
        <f>IF($D142="","",COUNTIFS(Stangenbelegung!$E$5:$E$10004,ROW()))</f>
        <v/>
      </c>
      <c r="AO142" s="28">
        <f>IF(OR($G142="",COUNTA(Stangenbelegung!$A$5:$A$10004)=0),"",$G142-AN142)</f>
        <v/>
      </c>
      <c r="AP142" s="29" t="n"/>
      <c r="AQ142" s="9" t="n"/>
      <c r="AR142" s="19" t="n"/>
    </row>
    <row r="143">
      <c r="A143" s="9" t="n"/>
      <c r="B143" s="9" t="n"/>
      <c r="C143" s="9" t="n"/>
      <c r="D143" s="9" t="n"/>
      <c r="E143" s="9" t="n"/>
      <c r="F143" s="23" t="n"/>
      <c r="G143" s="19" t="n"/>
      <c r="H143" s="23" t="n"/>
      <c r="I143" s="24" t="n"/>
      <c r="J143" s="19" t="n"/>
      <c r="K143" s="25">
        <f>IF($D143="","",IFERROR(INDEX(Profile!$B$5:$B$304,MATCH($D143,lst_Profil,0)),""))</f>
        <v/>
      </c>
      <c r="L143" s="13">
        <f>IF($D143="","",IFERROR(INDEX(Profile!$K$5:$K$304,MATCH($D143,lst_Profil,0))+0,""))</f>
        <v/>
      </c>
      <c r="M143" s="26">
        <f>IF($D143="","",IFERROR(INDEX(Profile!$E$5:$E$304,MATCH($D143,lst_Profil,0))+0,""))</f>
        <v/>
      </c>
      <c r="N143" s="27">
        <f>IF(OR(L143="",$E143=""),"",IFERROR(L143*INDEX(Werkstoffe!$E$5:$E$304,MATCH($E143,lst_Werkstoff,0))/1000,""))</f>
        <v/>
      </c>
      <c r="O143" s="27">
        <f>IF(OR(N143="",$F143=""),"",N143*$F143/1000)</f>
        <v/>
      </c>
      <c r="P143" s="16">
        <f>IF(OR($F143="",$G143=""),"",$F143*$G143)</f>
        <v/>
      </c>
      <c r="Q143" s="16">
        <f>IF($D143="","",IF($J143&lt;&gt;"",$J143,$C$9))</f>
        <v/>
      </c>
      <c r="R143" s="12">
        <f>IF($D143="","",IFERROR(IF(INDEX(Profile!$G$5:$G$304,MATCH($D143,lst_Profil,0))&lt;&gt;"",INDEX(Profile!$G$5:$G$304,MATCH($D143,lst_Profil,0)),$H$4),$H$4))</f>
        <v/>
      </c>
      <c r="S143" s="12">
        <f>IF($D143="","",IFERROR(IF(INDEX(Profile!$H$5:$H$304,MATCH($D143,lst_Profil,0))&lt;&gt;"",INDEX(Profile!$H$5:$H$304,MATCH($D143,lst_Profil,0)),$H$5),$H$5))</f>
        <v/>
      </c>
      <c r="T143" s="16">
        <f>IF(OR(Q143="",NOT(ISNUMBER(R143)),NOT(ISNUMBER(S143))),"",Q143-R143-S143)</f>
        <v/>
      </c>
      <c r="U143" s="28">
        <f>IF(OR($D143="",$E143=""),"",IF(OR(N($AP143)&gt;0,COUNTIFS(Preise!$A$5:$A$304,$D143,Preise!$B$5:$B$304,$E143,Preise!$I$5:$I$304,"OK")&gt;0,N(INDEX(Werkstoffe!$G$5:$G$304,MATCH($E143,lst_Werkstoff,0)))&gt;0),"ja","nein"))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28">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Materialpreis",IF(AND($AQ143&lt;&gt;"",N($AR143)&gt;0,MOD($G143,$AR143)&lt;&gt;0),"WARNUNG: Stückzahl ist kein Vielfaches von Stück je Satz",IF($H143="","HINWEIS: Schneidweg fehlt",IF(V143="","HINWEIS: keine Schneiddaten",IF(AND($AF143&lt;&gt;"",$AG143=""),"HINWEIS: Gewinde-Vorschlag prüfen","OK")))))))))))))))</f>
        <v/>
      </c>
      <c r="X143" s="18">
        <f>IF(OR(O143="",$G143=""),"",O143*$G143)</f>
        <v/>
      </c>
      <c r="Y143" s="9" t="n"/>
      <c r="Z143" s="23" t="n"/>
      <c r="AA143" s="9" t="n"/>
      <c r="AB143" s="23" t="n"/>
      <c r="AC143" s="23" t="n"/>
      <c r="AD143" s="23" t="n"/>
      <c r="AE143" s="9" t="n"/>
      <c r="AF143" s="9" t="n"/>
      <c r="AG143" s="9" t="n"/>
      <c r="AH143" s="24" t="n"/>
      <c r="AI143" s="23" t="n"/>
      <c r="AJ143" s="24" t="n"/>
      <c r="AK143" s="23" t="n"/>
      <c r="AL143" s="24" t="n"/>
      <c r="AM143" s="23" t="n"/>
      <c r="AN143" s="28">
        <f>IF($D143="","",COUNTIFS(Stangenbelegung!$E$5:$E$10004,ROW()))</f>
        <v/>
      </c>
      <c r="AO143" s="28">
        <f>IF(OR($G143="",COUNTA(Stangenbelegung!$A$5:$A$10004)=0),"",$G143-AN143)</f>
        <v/>
      </c>
      <c r="AP143" s="29" t="n"/>
      <c r="AQ143" s="9" t="n"/>
      <c r="AR143" s="19" t="n"/>
    </row>
    <row r="144">
      <c r="A144" s="9" t="n"/>
      <c r="B144" s="9" t="n"/>
      <c r="C144" s="9" t="n"/>
      <c r="D144" s="9" t="n"/>
      <c r="E144" s="9" t="n"/>
      <c r="F144" s="23" t="n"/>
      <c r="G144" s="19" t="n"/>
      <c r="H144" s="23" t="n"/>
      <c r="I144" s="24" t="n"/>
      <c r="J144" s="19" t="n"/>
      <c r="K144" s="25">
        <f>IF($D144="","",IFERROR(INDEX(Profile!$B$5:$B$304,MATCH($D144,lst_Profil,0)),""))</f>
        <v/>
      </c>
      <c r="L144" s="13">
        <f>IF($D144="","",IFERROR(INDEX(Profile!$K$5:$K$304,MATCH($D144,lst_Profil,0))+0,""))</f>
        <v/>
      </c>
      <c r="M144" s="26">
        <f>IF($D144="","",IFERROR(INDEX(Profile!$E$5:$E$304,MATCH($D144,lst_Profil,0))+0,""))</f>
        <v/>
      </c>
      <c r="N144" s="27">
        <f>IF(OR(L144="",$E144=""),"",IFERROR(L144*INDEX(Werkstoffe!$E$5:$E$304,MATCH($E144,lst_Werkstoff,0))/1000,""))</f>
        <v/>
      </c>
      <c r="O144" s="27">
        <f>IF(OR(N144="",$F144=""),"",N144*$F144/1000)</f>
        <v/>
      </c>
      <c r="P144" s="16">
        <f>IF(OR($F144="",$G144=""),"",$F144*$G144)</f>
        <v/>
      </c>
      <c r="Q144" s="16">
        <f>IF($D144="","",IF($J144&lt;&gt;"",$J144,$C$9))</f>
        <v/>
      </c>
      <c r="R144" s="12">
        <f>IF($D144="","",IFERROR(IF(INDEX(Profile!$G$5:$G$304,MATCH($D144,lst_Profil,0))&lt;&gt;"",INDEX(Profile!$G$5:$G$304,MATCH($D144,lst_Profil,0)),$H$4),$H$4))</f>
        <v/>
      </c>
      <c r="S144" s="12">
        <f>IF($D144="","",IFERROR(IF(INDEX(Profile!$H$5:$H$304,MATCH($D144,lst_Profil,0))&lt;&gt;"",INDEX(Profile!$H$5:$H$304,MATCH($D144,lst_Profil,0)),$H$5),$H$5))</f>
        <v/>
      </c>
      <c r="T144" s="16">
        <f>IF(OR(Q144="",NOT(ISNUMBER(R144)),NOT(ISNUMBER(S144))),"",Q144-R144-S144)</f>
        <v/>
      </c>
      <c r="U144" s="28">
        <f>IF(OR($D144="",$E144=""),"",IF(OR(N($AP144)&gt;0,COUNTIFS(Preise!$A$5:$A$304,$D144,Preise!$B$5:$B$304,$E144,Preise!$I$5:$I$304,"OK")&gt;0,N(INDEX(Werkstoffe!$G$5:$G$304,MATCH($E144,lst_Werkstoff,0)))&gt;0),"ja","nein"))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28">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Materialpreis",IF(AND($AQ144&lt;&gt;"",N($AR144)&gt;0,MOD($G144,$AR144)&lt;&gt;0),"WARNUNG: Stückzahl ist kein Vielfaches von Stück je Satz",IF($H144="","HINWEIS: Schneidweg fehlt",IF(V144="","HINWEIS: keine Schneiddaten",IF(AND($AF144&lt;&gt;"",$AG144=""),"HINWEIS: Gewinde-Vorschlag prüfen","OK")))))))))))))))</f>
        <v/>
      </c>
      <c r="X144" s="18">
        <f>IF(OR(O144="",$G144=""),"",O144*$G144)</f>
        <v/>
      </c>
      <c r="Y144" s="9" t="n"/>
      <c r="Z144" s="23" t="n"/>
      <c r="AA144" s="9" t="n"/>
      <c r="AB144" s="23" t="n"/>
      <c r="AC144" s="23" t="n"/>
      <c r="AD144" s="23" t="n"/>
      <c r="AE144" s="9" t="n"/>
      <c r="AF144" s="9" t="n"/>
      <c r="AG144" s="9" t="n"/>
      <c r="AH144" s="24" t="n"/>
      <c r="AI144" s="23" t="n"/>
      <c r="AJ144" s="24" t="n"/>
      <c r="AK144" s="23" t="n"/>
      <c r="AL144" s="24" t="n"/>
      <c r="AM144" s="23" t="n"/>
      <c r="AN144" s="28">
        <f>IF($D144="","",COUNTIFS(Stangenbelegung!$E$5:$E$10004,ROW()))</f>
        <v/>
      </c>
      <c r="AO144" s="28">
        <f>IF(OR($G144="",COUNTA(Stangenbelegung!$A$5:$A$10004)=0),"",$G144-AN144)</f>
        <v/>
      </c>
      <c r="AP144" s="29" t="n"/>
      <c r="AQ144" s="9" t="n"/>
      <c r="AR144" s="19" t="n"/>
    </row>
    <row r="145">
      <c r="A145" s="9" t="n"/>
      <c r="B145" s="9" t="n"/>
      <c r="C145" s="9" t="n"/>
      <c r="D145" s="9" t="n"/>
      <c r="E145" s="9" t="n"/>
      <c r="F145" s="23" t="n"/>
      <c r="G145" s="19" t="n"/>
      <c r="H145" s="23" t="n"/>
      <c r="I145" s="24" t="n"/>
      <c r="J145" s="19" t="n"/>
      <c r="K145" s="25">
        <f>IF($D145="","",IFERROR(INDEX(Profile!$B$5:$B$304,MATCH($D145,lst_Profil,0)),""))</f>
        <v/>
      </c>
      <c r="L145" s="13">
        <f>IF($D145="","",IFERROR(INDEX(Profile!$K$5:$K$304,MATCH($D145,lst_Profil,0))+0,""))</f>
        <v/>
      </c>
      <c r="M145" s="26">
        <f>IF($D145="","",IFERROR(INDEX(Profile!$E$5:$E$304,MATCH($D145,lst_Profil,0))+0,""))</f>
        <v/>
      </c>
      <c r="N145" s="27">
        <f>IF(OR(L145="",$E145=""),"",IFERROR(L145*INDEX(Werkstoffe!$E$5:$E$304,MATCH($E145,lst_Werkstoff,0))/1000,""))</f>
        <v/>
      </c>
      <c r="O145" s="27">
        <f>IF(OR(N145="",$F145=""),"",N145*$F145/1000)</f>
        <v/>
      </c>
      <c r="P145" s="16">
        <f>IF(OR($F145="",$G145=""),"",$F145*$G145)</f>
        <v/>
      </c>
      <c r="Q145" s="16">
        <f>IF($D145="","",IF($J145&lt;&gt;"",$J145,$C$9))</f>
        <v/>
      </c>
      <c r="R145" s="12">
        <f>IF($D145="","",IFERROR(IF(INDEX(Profile!$G$5:$G$304,MATCH($D145,lst_Profil,0))&lt;&gt;"",INDEX(Profile!$G$5:$G$304,MATCH($D145,lst_Profil,0)),$H$4),$H$4))</f>
        <v/>
      </c>
      <c r="S145" s="12">
        <f>IF($D145="","",IFERROR(IF(INDEX(Profile!$H$5:$H$304,MATCH($D145,lst_Profil,0))&lt;&gt;"",INDEX(Profile!$H$5:$H$304,MATCH($D145,lst_Profil,0)),$H$5),$H$5))</f>
        <v/>
      </c>
      <c r="T145" s="16">
        <f>IF(OR(Q145="",NOT(ISNUMBER(R145)),NOT(ISNUMBER(S145))),"",Q145-R145-S145)</f>
        <v/>
      </c>
      <c r="U145" s="28">
        <f>IF(OR($D145="",$E145=""),"",IF(OR(N($AP145)&gt;0,COUNTIFS(Preise!$A$5:$A$304,$D145,Preise!$B$5:$B$304,$E145,Preise!$I$5:$I$304,"OK")&gt;0,N(INDEX(Werkstoffe!$G$5:$G$304,MATCH($E145,lst_Werkstoff,0)))&gt;0),"ja","nein"))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28">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Materialpreis",IF(AND($AQ145&lt;&gt;"",N($AR145)&gt;0,MOD($G145,$AR145)&lt;&gt;0),"WARNUNG: Stückzahl ist kein Vielfaches von Stück je Satz",IF($H145="","HINWEIS: Schneidweg fehlt",IF(V145="","HINWEIS: keine Schneiddaten",IF(AND($AF145&lt;&gt;"",$AG145=""),"HINWEIS: Gewinde-Vorschlag prüfen","OK")))))))))))))))</f>
        <v/>
      </c>
      <c r="X145" s="18">
        <f>IF(OR(O145="",$G145=""),"",O145*$G145)</f>
        <v/>
      </c>
      <c r="Y145" s="9" t="n"/>
      <c r="Z145" s="23" t="n"/>
      <c r="AA145" s="9" t="n"/>
      <c r="AB145" s="23" t="n"/>
      <c r="AC145" s="23" t="n"/>
      <c r="AD145" s="23" t="n"/>
      <c r="AE145" s="9" t="n"/>
      <c r="AF145" s="9" t="n"/>
      <c r="AG145" s="9" t="n"/>
      <c r="AH145" s="24" t="n"/>
      <c r="AI145" s="23" t="n"/>
      <c r="AJ145" s="24" t="n"/>
      <c r="AK145" s="23" t="n"/>
      <c r="AL145" s="24" t="n"/>
      <c r="AM145" s="23" t="n"/>
      <c r="AN145" s="28">
        <f>IF($D145="","",COUNTIFS(Stangenbelegung!$E$5:$E$10004,ROW()))</f>
        <v/>
      </c>
      <c r="AO145" s="28">
        <f>IF(OR($G145="",COUNTA(Stangenbelegung!$A$5:$A$10004)=0),"",$G145-AN145)</f>
        <v/>
      </c>
      <c r="AP145" s="29" t="n"/>
      <c r="AQ145" s="9" t="n"/>
      <c r="AR145" s="19" t="n"/>
    </row>
    <row r="146">
      <c r="A146" s="9" t="n"/>
      <c r="B146" s="9" t="n"/>
      <c r="C146" s="9" t="n"/>
      <c r="D146" s="9" t="n"/>
      <c r="E146" s="9" t="n"/>
      <c r="F146" s="23" t="n"/>
      <c r="G146" s="19" t="n"/>
      <c r="H146" s="23" t="n"/>
      <c r="I146" s="24" t="n"/>
      <c r="J146" s="19" t="n"/>
      <c r="K146" s="25">
        <f>IF($D146="","",IFERROR(INDEX(Profile!$B$5:$B$304,MATCH($D146,lst_Profil,0)),""))</f>
        <v/>
      </c>
      <c r="L146" s="13">
        <f>IF($D146="","",IFERROR(INDEX(Profile!$K$5:$K$304,MATCH($D146,lst_Profil,0))+0,""))</f>
        <v/>
      </c>
      <c r="M146" s="26">
        <f>IF($D146="","",IFERROR(INDEX(Profile!$E$5:$E$304,MATCH($D146,lst_Profil,0))+0,""))</f>
        <v/>
      </c>
      <c r="N146" s="27">
        <f>IF(OR(L146="",$E146=""),"",IFERROR(L146*INDEX(Werkstoffe!$E$5:$E$304,MATCH($E146,lst_Werkstoff,0))/1000,""))</f>
        <v/>
      </c>
      <c r="O146" s="27">
        <f>IF(OR(N146="",$F146=""),"",N146*$F146/1000)</f>
        <v/>
      </c>
      <c r="P146" s="16">
        <f>IF(OR($F146="",$G146=""),"",$F146*$G146)</f>
        <v/>
      </c>
      <c r="Q146" s="16">
        <f>IF($D146="","",IF($J146&lt;&gt;"",$J146,$C$9))</f>
        <v/>
      </c>
      <c r="R146" s="12">
        <f>IF($D146="","",IFERROR(IF(INDEX(Profile!$G$5:$G$304,MATCH($D146,lst_Profil,0))&lt;&gt;"",INDEX(Profile!$G$5:$G$304,MATCH($D146,lst_Profil,0)),$H$4),$H$4))</f>
        <v/>
      </c>
      <c r="S146" s="12">
        <f>IF($D146="","",IFERROR(IF(INDEX(Profile!$H$5:$H$304,MATCH($D146,lst_Profil,0))&lt;&gt;"",INDEX(Profile!$H$5:$H$304,MATCH($D146,lst_Profil,0)),$H$5),$H$5))</f>
        <v/>
      </c>
      <c r="T146" s="16">
        <f>IF(OR(Q146="",NOT(ISNUMBER(R146)),NOT(ISNUMBER(S146))),"",Q146-R146-S146)</f>
        <v/>
      </c>
      <c r="U146" s="28">
        <f>IF(OR($D146="",$E146=""),"",IF(OR(N($AP146)&gt;0,COUNTIFS(Preise!$A$5:$A$304,$D146,Preise!$B$5:$B$304,$E146,Preise!$I$5:$I$304,"OK")&gt;0,N(INDEX(Werkstoffe!$G$5:$G$304,MATCH($E146,lst_Werkstoff,0)))&gt;0),"ja","nein"))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28">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Materialpreis",IF(AND($AQ146&lt;&gt;"",N($AR146)&gt;0,MOD($G146,$AR146)&lt;&gt;0),"WARNUNG: Stückzahl ist kein Vielfaches von Stück je Satz",IF($H146="","HINWEIS: Schneidweg fehlt",IF(V146="","HINWEIS: keine Schneiddaten",IF(AND($AF146&lt;&gt;"",$AG146=""),"HINWEIS: Gewinde-Vorschlag prüfen","OK")))))))))))))))</f>
        <v/>
      </c>
      <c r="X146" s="18">
        <f>IF(OR(O146="",$G146=""),"",O146*$G146)</f>
        <v/>
      </c>
      <c r="Y146" s="9" t="n"/>
      <c r="Z146" s="23" t="n"/>
      <c r="AA146" s="9" t="n"/>
      <c r="AB146" s="23" t="n"/>
      <c r="AC146" s="23" t="n"/>
      <c r="AD146" s="23" t="n"/>
      <c r="AE146" s="9" t="n"/>
      <c r="AF146" s="9" t="n"/>
      <c r="AG146" s="9" t="n"/>
      <c r="AH146" s="24" t="n"/>
      <c r="AI146" s="23" t="n"/>
      <c r="AJ146" s="24" t="n"/>
      <c r="AK146" s="23" t="n"/>
      <c r="AL146" s="24" t="n"/>
      <c r="AM146" s="23" t="n"/>
      <c r="AN146" s="28">
        <f>IF($D146="","",COUNTIFS(Stangenbelegung!$E$5:$E$10004,ROW()))</f>
        <v/>
      </c>
      <c r="AO146" s="28">
        <f>IF(OR($G146="",COUNTA(Stangenbelegung!$A$5:$A$10004)=0),"",$G146-AN146)</f>
        <v/>
      </c>
      <c r="AP146" s="29" t="n"/>
      <c r="AQ146" s="9" t="n"/>
      <c r="AR146" s="19" t="n"/>
    </row>
    <row r="147">
      <c r="A147" s="9" t="n"/>
      <c r="B147" s="9" t="n"/>
      <c r="C147" s="9" t="n"/>
      <c r="D147" s="9" t="n"/>
      <c r="E147" s="9" t="n"/>
      <c r="F147" s="23" t="n"/>
      <c r="G147" s="19" t="n"/>
      <c r="H147" s="23" t="n"/>
      <c r="I147" s="24" t="n"/>
      <c r="J147" s="19" t="n"/>
      <c r="K147" s="25">
        <f>IF($D147="","",IFERROR(INDEX(Profile!$B$5:$B$304,MATCH($D147,lst_Profil,0)),""))</f>
        <v/>
      </c>
      <c r="L147" s="13">
        <f>IF($D147="","",IFERROR(INDEX(Profile!$K$5:$K$304,MATCH($D147,lst_Profil,0))+0,""))</f>
        <v/>
      </c>
      <c r="M147" s="26">
        <f>IF($D147="","",IFERROR(INDEX(Profile!$E$5:$E$304,MATCH($D147,lst_Profil,0))+0,""))</f>
        <v/>
      </c>
      <c r="N147" s="27">
        <f>IF(OR(L147="",$E147=""),"",IFERROR(L147*INDEX(Werkstoffe!$E$5:$E$304,MATCH($E147,lst_Werkstoff,0))/1000,""))</f>
        <v/>
      </c>
      <c r="O147" s="27">
        <f>IF(OR(N147="",$F147=""),"",N147*$F147/1000)</f>
        <v/>
      </c>
      <c r="P147" s="16">
        <f>IF(OR($F147="",$G147=""),"",$F147*$G147)</f>
        <v/>
      </c>
      <c r="Q147" s="16">
        <f>IF($D147="","",IF($J147&lt;&gt;"",$J147,$C$9))</f>
        <v/>
      </c>
      <c r="R147" s="12">
        <f>IF($D147="","",IFERROR(IF(INDEX(Profile!$G$5:$G$304,MATCH($D147,lst_Profil,0))&lt;&gt;"",INDEX(Profile!$G$5:$G$304,MATCH($D147,lst_Profil,0)),$H$4),$H$4))</f>
        <v/>
      </c>
      <c r="S147" s="12">
        <f>IF($D147="","",IFERROR(IF(INDEX(Profile!$H$5:$H$304,MATCH($D147,lst_Profil,0))&lt;&gt;"",INDEX(Profile!$H$5:$H$304,MATCH($D147,lst_Profil,0)),$H$5),$H$5))</f>
        <v/>
      </c>
      <c r="T147" s="16">
        <f>IF(OR(Q147="",NOT(ISNUMBER(R147)),NOT(ISNUMBER(S147))),"",Q147-R147-S147)</f>
        <v/>
      </c>
      <c r="U147" s="28">
        <f>IF(OR($D147="",$E147=""),"",IF(OR(N($AP147)&gt;0,COUNTIFS(Preise!$A$5:$A$304,$D147,Preise!$B$5:$B$304,$E147,Preise!$I$5:$I$304,"OK")&gt;0,N(INDEX(Werkstoffe!$G$5:$G$304,MATCH($E147,lst_Werkstoff,0)))&gt;0),"ja","nein"))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28">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Materialpreis",IF(AND($AQ147&lt;&gt;"",N($AR147)&gt;0,MOD($G147,$AR147)&lt;&gt;0),"WARNUNG: Stückzahl ist kein Vielfaches von Stück je Satz",IF($H147="","HINWEIS: Schneidweg fehlt",IF(V147="","HINWEIS: keine Schneiddaten",IF(AND($AF147&lt;&gt;"",$AG147=""),"HINWEIS: Gewinde-Vorschlag prüfen","OK")))))))))))))))</f>
        <v/>
      </c>
      <c r="X147" s="18">
        <f>IF(OR(O147="",$G147=""),"",O147*$G147)</f>
        <v/>
      </c>
      <c r="Y147" s="9" t="n"/>
      <c r="Z147" s="23" t="n"/>
      <c r="AA147" s="9" t="n"/>
      <c r="AB147" s="23" t="n"/>
      <c r="AC147" s="23" t="n"/>
      <c r="AD147" s="23" t="n"/>
      <c r="AE147" s="9" t="n"/>
      <c r="AF147" s="9" t="n"/>
      <c r="AG147" s="9" t="n"/>
      <c r="AH147" s="24" t="n"/>
      <c r="AI147" s="23" t="n"/>
      <c r="AJ147" s="24" t="n"/>
      <c r="AK147" s="23" t="n"/>
      <c r="AL147" s="24" t="n"/>
      <c r="AM147" s="23" t="n"/>
      <c r="AN147" s="28">
        <f>IF($D147="","",COUNTIFS(Stangenbelegung!$E$5:$E$10004,ROW()))</f>
        <v/>
      </c>
      <c r="AO147" s="28">
        <f>IF(OR($G147="",COUNTA(Stangenbelegung!$A$5:$A$10004)=0),"",$G147-AN147)</f>
        <v/>
      </c>
      <c r="AP147" s="29" t="n"/>
      <c r="AQ147" s="9" t="n"/>
      <c r="AR147" s="19" t="n"/>
    </row>
    <row r="148">
      <c r="A148" s="9" t="n"/>
      <c r="B148" s="9" t="n"/>
      <c r="C148" s="9" t="n"/>
      <c r="D148" s="9" t="n"/>
      <c r="E148" s="9" t="n"/>
      <c r="F148" s="23" t="n"/>
      <c r="G148" s="19" t="n"/>
      <c r="H148" s="23" t="n"/>
      <c r="I148" s="24" t="n"/>
      <c r="J148" s="19" t="n"/>
      <c r="K148" s="25">
        <f>IF($D148="","",IFERROR(INDEX(Profile!$B$5:$B$304,MATCH($D148,lst_Profil,0)),""))</f>
        <v/>
      </c>
      <c r="L148" s="13">
        <f>IF($D148="","",IFERROR(INDEX(Profile!$K$5:$K$304,MATCH($D148,lst_Profil,0))+0,""))</f>
        <v/>
      </c>
      <c r="M148" s="26">
        <f>IF($D148="","",IFERROR(INDEX(Profile!$E$5:$E$304,MATCH($D148,lst_Profil,0))+0,""))</f>
        <v/>
      </c>
      <c r="N148" s="27">
        <f>IF(OR(L148="",$E148=""),"",IFERROR(L148*INDEX(Werkstoffe!$E$5:$E$304,MATCH($E148,lst_Werkstoff,0))/1000,""))</f>
        <v/>
      </c>
      <c r="O148" s="27">
        <f>IF(OR(N148="",$F148=""),"",N148*$F148/1000)</f>
        <v/>
      </c>
      <c r="P148" s="16">
        <f>IF(OR($F148="",$G148=""),"",$F148*$G148)</f>
        <v/>
      </c>
      <c r="Q148" s="16">
        <f>IF($D148="","",IF($J148&lt;&gt;"",$J148,$C$9))</f>
        <v/>
      </c>
      <c r="R148" s="12">
        <f>IF($D148="","",IFERROR(IF(INDEX(Profile!$G$5:$G$304,MATCH($D148,lst_Profil,0))&lt;&gt;"",INDEX(Profile!$G$5:$G$304,MATCH($D148,lst_Profil,0)),$H$4),$H$4))</f>
        <v/>
      </c>
      <c r="S148" s="12">
        <f>IF($D148="","",IFERROR(IF(INDEX(Profile!$H$5:$H$304,MATCH($D148,lst_Profil,0))&lt;&gt;"",INDEX(Profile!$H$5:$H$304,MATCH($D148,lst_Profil,0)),$H$5),$H$5))</f>
        <v/>
      </c>
      <c r="T148" s="16">
        <f>IF(OR(Q148="",NOT(ISNUMBER(R148)),NOT(ISNUMBER(S148))),"",Q148-R148-S148)</f>
        <v/>
      </c>
      <c r="U148" s="28">
        <f>IF(OR($D148="",$E148=""),"",IF(OR(N($AP148)&gt;0,COUNTIFS(Preise!$A$5:$A$304,$D148,Preise!$B$5:$B$304,$E148,Preise!$I$5:$I$304,"OK")&gt;0,N(INDEX(Werkstoffe!$G$5:$G$304,MATCH($E148,lst_Werkstoff,0)))&gt;0),"ja","nein"))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28">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Materialpreis",IF(AND($AQ148&lt;&gt;"",N($AR148)&gt;0,MOD($G148,$AR148)&lt;&gt;0),"WARNUNG: Stückzahl ist kein Vielfaches von Stück je Satz",IF($H148="","HINWEIS: Schneidweg fehlt",IF(V148="","HINWEIS: keine Schneiddaten",IF(AND($AF148&lt;&gt;"",$AG148=""),"HINWEIS: Gewinde-Vorschlag prüfen","OK")))))))))))))))</f>
        <v/>
      </c>
      <c r="X148" s="18">
        <f>IF(OR(O148="",$G148=""),"",O148*$G148)</f>
        <v/>
      </c>
      <c r="Y148" s="9" t="n"/>
      <c r="Z148" s="23" t="n"/>
      <c r="AA148" s="9" t="n"/>
      <c r="AB148" s="23" t="n"/>
      <c r="AC148" s="23" t="n"/>
      <c r="AD148" s="23" t="n"/>
      <c r="AE148" s="9" t="n"/>
      <c r="AF148" s="9" t="n"/>
      <c r="AG148" s="9" t="n"/>
      <c r="AH148" s="24" t="n"/>
      <c r="AI148" s="23" t="n"/>
      <c r="AJ148" s="24" t="n"/>
      <c r="AK148" s="23" t="n"/>
      <c r="AL148" s="24" t="n"/>
      <c r="AM148" s="23" t="n"/>
      <c r="AN148" s="28">
        <f>IF($D148="","",COUNTIFS(Stangenbelegung!$E$5:$E$10004,ROW()))</f>
        <v/>
      </c>
      <c r="AO148" s="28">
        <f>IF(OR($G148="",COUNTA(Stangenbelegung!$A$5:$A$10004)=0),"",$G148-AN148)</f>
        <v/>
      </c>
      <c r="AP148" s="29" t="n"/>
      <c r="AQ148" s="9" t="n"/>
      <c r="AR148" s="19" t="n"/>
    </row>
    <row r="149">
      <c r="A149" s="9" t="n"/>
      <c r="B149" s="9" t="n"/>
      <c r="C149" s="9" t="n"/>
      <c r="D149" s="9" t="n"/>
      <c r="E149" s="9" t="n"/>
      <c r="F149" s="23" t="n"/>
      <c r="G149" s="19" t="n"/>
      <c r="H149" s="23" t="n"/>
      <c r="I149" s="24" t="n"/>
      <c r="J149" s="19" t="n"/>
      <c r="K149" s="25">
        <f>IF($D149="","",IFERROR(INDEX(Profile!$B$5:$B$304,MATCH($D149,lst_Profil,0)),""))</f>
        <v/>
      </c>
      <c r="L149" s="13">
        <f>IF($D149="","",IFERROR(INDEX(Profile!$K$5:$K$304,MATCH($D149,lst_Profil,0))+0,""))</f>
        <v/>
      </c>
      <c r="M149" s="26">
        <f>IF($D149="","",IFERROR(INDEX(Profile!$E$5:$E$304,MATCH($D149,lst_Profil,0))+0,""))</f>
        <v/>
      </c>
      <c r="N149" s="27">
        <f>IF(OR(L149="",$E149=""),"",IFERROR(L149*INDEX(Werkstoffe!$E$5:$E$304,MATCH($E149,lst_Werkstoff,0))/1000,""))</f>
        <v/>
      </c>
      <c r="O149" s="27">
        <f>IF(OR(N149="",$F149=""),"",N149*$F149/1000)</f>
        <v/>
      </c>
      <c r="P149" s="16">
        <f>IF(OR($F149="",$G149=""),"",$F149*$G149)</f>
        <v/>
      </c>
      <c r="Q149" s="16">
        <f>IF($D149="","",IF($J149&lt;&gt;"",$J149,$C$9))</f>
        <v/>
      </c>
      <c r="R149" s="12">
        <f>IF($D149="","",IFERROR(IF(INDEX(Profile!$G$5:$G$304,MATCH($D149,lst_Profil,0))&lt;&gt;"",INDEX(Profile!$G$5:$G$304,MATCH($D149,lst_Profil,0)),$H$4),$H$4))</f>
        <v/>
      </c>
      <c r="S149" s="12">
        <f>IF($D149="","",IFERROR(IF(INDEX(Profile!$H$5:$H$304,MATCH($D149,lst_Profil,0))&lt;&gt;"",INDEX(Profile!$H$5:$H$304,MATCH($D149,lst_Profil,0)),$H$5),$H$5))</f>
        <v/>
      </c>
      <c r="T149" s="16">
        <f>IF(OR(Q149="",NOT(ISNUMBER(R149)),NOT(ISNUMBER(S149))),"",Q149-R149-S149)</f>
        <v/>
      </c>
      <c r="U149" s="28">
        <f>IF(OR($D149="",$E149=""),"",IF(OR(N($AP149)&gt;0,COUNTIFS(Preise!$A$5:$A$304,$D149,Preise!$B$5:$B$304,$E149,Preise!$I$5:$I$304,"OK")&gt;0,N(INDEX(Werkstoffe!$G$5:$G$304,MATCH($E149,lst_Werkstoff,0)))&gt;0),"ja","nein"))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28">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Materialpreis",IF(AND($AQ149&lt;&gt;"",N($AR149)&gt;0,MOD($G149,$AR149)&lt;&gt;0),"WARNUNG: Stückzahl ist kein Vielfaches von Stück je Satz",IF($H149="","HINWEIS: Schneidweg fehlt",IF(V149="","HINWEIS: keine Schneiddaten",IF(AND($AF149&lt;&gt;"",$AG149=""),"HINWEIS: Gewinde-Vorschlag prüfen","OK")))))))))))))))</f>
        <v/>
      </c>
      <c r="X149" s="18">
        <f>IF(OR(O149="",$G149=""),"",O149*$G149)</f>
        <v/>
      </c>
      <c r="Y149" s="9" t="n"/>
      <c r="Z149" s="23" t="n"/>
      <c r="AA149" s="9" t="n"/>
      <c r="AB149" s="23" t="n"/>
      <c r="AC149" s="23" t="n"/>
      <c r="AD149" s="23" t="n"/>
      <c r="AE149" s="9" t="n"/>
      <c r="AF149" s="9" t="n"/>
      <c r="AG149" s="9" t="n"/>
      <c r="AH149" s="24" t="n"/>
      <c r="AI149" s="23" t="n"/>
      <c r="AJ149" s="24" t="n"/>
      <c r="AK149" s="23" t="n"/>
      <c r="AL149" s="24" t="n"/>
      <c r="AM149" s="23" t="n"/>
      <c r="AN149" s="28">
        <f>IF($D149="","",COUNTIFS(Stangenbelegung!$E$5:$E$10004,ROW()))</f>
        <v/>
      </c>
      <c r="AO149" s="28">
        <f>IF(OR($G149="",COUNTA(Stangenbelegung!$A$5:$A$10004)=0),"",$G149-AN149)</f>
        <v/>
      </c>
      <c r="AP149" s="29" t="n"/>
      <c r="AQ149" s="9" t="n"/>
      <c r="AR149" s="19" t="n"/>
    </row>
    <row r="150">
      <c r="A150" s="9" t="n"/>
      <c r="B150" s="9" t="n"/>
      <c r="C150" s="9" t="n"/>
      <c r="D150" s="9" t="n"/>
      <c r="E150" s="9" t="n"/>
      <c r="F150" s="23" t="n"/>
      <c r="G150" s="19" t="n"/>
      <c r="H150" s="23" t="n"/>
      <c r="I150" s="24" t="n"/>
      <c r="J150" s="19" t="n"/>
      <c r="K150" s="25">
        <f>IF($D150="","",IFERROR(INDEX(Profile!$B$5:$B$304,MATCH($D150,lst_Profil,0)),""))</f>
        <v/>
      </c>
      <c r="L150" s="13">
        <f>IF($D150="","",IFERROR(INDEX(Profile!$K$5:$K$304,MATCH($D150,lst_Profil,0))+0,""))</f>
        <v/>
      </c>
      <c r="M150" s="26">
        <f>IF($D150="","",IFERROR(INDEX(Profile!$E$5:$E$304,MATCH($D150,lst_Profil,0))+0,""))</f>
        <v/>
      </c>
      <c r="N150" s="27">
        <f>IF(OR(L150="",$E150=""),"",IFERROR(L150*INDEX(Werkstoffe!$E$5:$E$304,MATCH($E150,lst_Werkstoff,0))/1000,""))</f>
        <v/>
      </c>
      <c r="O150" s="27">
        <f>IF(OR(N150="",$F150=""),"",N150*$F150/1000)</f>
        <v/>
      </c>
      <c r="P150" s="16">
        <f>IF(OR($F150="",$G150=""),"",$F150*$G150)</f>
        <v/>
      </c>
      <c r="Q150" s="16">
        <f>IF($D150="","",IF($J150&lt;&gt;"",$J150,$C$9))</f>
        <v/>
      </c>
      <c r="R150" s="12">
        <f>IF($D150="","",IFERROR(IF(INDEX(Profile!$G$5:$G$304,MATCH($D150,lst_Profil,0))&lt;&gt;"",INDEX(Profile!$G$5:$G$304,MATCH($D150,lst_Profil,0)),$H$4),$H$4))</f>
        <v/>
      </c>
      <c r="S150" s="12">
        <f>IF($D150="","",IFERROR(IF(INDEX(Profile!$H$5:$H$304,MATCH($D150,lst_Profil,0))&lt;&gt;"",INDEX(Profile!$H$5:$H$304,MATCH($D150,lst_Profil,0)),$H$5),$H$5))</f>
        <v/>
      </c>
      <c r="T150" s="16">
        <f>IF(OR(Q150="",NOT(ISNUMBER(R150)),NOT(ISNUMBER(S150))),"",Q150-R150-S150)</f>
        <v/>
      </c>
      <c r="U150" s="28">
        <f>IF(OR($D150="",$E150=""),"",IF(OR(N($AP150)&gt;0,COUNTIFS(Preise!$A$5:$A$304,$D150,Preise!$B$5:$B$304,$E150,Preise!$I$5:$I$304,"OK")&gt;0,N(INDEX(Werkstoffe!$G$5:$G$304,MATCH($E150,lst_Werkstoff,0)))&gt;0),"ja","nein"))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28">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Materialpreis",IF(AND($AQ150&lt;&gt;"",N($AR150)&gt;0,MOD($G150,$AR150)&lt;&gt;0),"WARNUNG: Stückzahl ist kein Vielfaches von Stück je Satz",IF($H150="","HINWEIS: Schneidweg fehlt",IF(V150="","HINWEIS: keine Schneiddaten",IF(AND($AF150&lt;&gt;"",$AG150=""),"HINWEIS: Gewinde-Vorschlag prüfen","OK")))))))))))))))</f>
        <v/>
      </c>
      <c r="X150" s="18">
        <f>IF(OR(O150="",$G150=""),"",O150*$G150)</f>
        <v/>
      </c>
      <c r="Y150" s="9" t="n"/>
      <c r="Z150" s="23" t="n"/>
      <c r="AA150" s="9" t="n"/>
      <c r="AB150" s="23" t="n"/>
      <c r="AC150" s="23" t="n"/>
      <c r="AD150" s="23" t="n"/>
      <c r="AE150" s="9" t="n"/>
      <c r="AF150" s="9" t="n"/>
      <c r="AG150" s="9" t="n"/>
      <c r="AH150" s="24" t="n"/>
      <c r="AI150" s="23" t="n"/>
      <c r="AJ150" s="24" t="n"/>
      <c r="AK150" s="23" t="n"/>
      <c r="AL150" s="24" t="n"/>
      <c r="AM150" s="23" t="n"/>
      <c r="AN150" s="28">
        <f>IF($D150="","",COUNTIFS(Stangenbelegung!$E$5:$E$10004,ROW()))</f>
        <v/>
      </c>
      <c r="AO150" s="28">
        <f>IF(OR($G150="",COUNTA(Stangenbelegung!$A$5:$A$10004)=0),"",$G150-AN150)</f>
        <v/>
      </c>
      <c r="AP150" s="29" t="n"/>
      <c r="AQ150" s="9" t="n"/>
      <c r="AR150" s="19" t="n"/>
    </row>
    <row r="151">
      <c r="A151" s="9" t="n"/>
      <c r="B151" s="9" t="n"/>
      <c r="C151" s="9" t="n"/>
      <c r="D151" s="9" t="n"/>
      <c r="E151" s="9" t="n"/>
      <c r="F151" s="23" t="n"/>
      <c r="G151" s="19" t="n"/>
      <c r="H151" s="23" t="n"/>
      <c r="I151" s="24" t="n"/>
      <c r="J151" s="19" t="n"/>
      <c r="K151" s="25">
        <f>IF($D151="","",IFERROR(INDEX(Profile!$B$5:$B$304,MATCH($D151,lst_Profil,0)),""))</f>
        <v/>
      </c>
      <c r="L151" s="13">
        <f>IF($D151="","",IFERROR(INDEX(Profile!$K$5:$K$304,MATCH($D151,lst_Profil,0))+0,""))</f>
        <v/>
      </c>
      <c r="M151" s="26">
        <f>IF($D151="","",IFERROR(INDEX(Profile!$E$5:$E$304,MATCH($D151,lst_Profil,0))+0,""))</f>
        <v/>
      </c>
      <c r="N151" s="27">
        <f>IF(OR(L151="",$E151=""),"",IFERROR(L151*INDEX(Werkstoffe!$E$5:$E$304,MATCH($E151,lst_Werkstoff,0))/1000,""))</f>
        <v/>
      </c>
      <c r="O151" s="27">
        <f>IF(OR(N151="",$F151=""),"",N151*$F151/1000)</f>
        <v/>
      </c>
      <c r="P151" s="16">
        <f>IF(OR($F151="",$G151=""),"",$F151*$G151)</f>
        <v/>
      </c>
      <c r="Q151" s="16">
        <f>IF($D151="","",IF($J151&lt;&gt;"",$J151,$C$9))</f>
        <v/>
      </c>
      <c r="R151" s="12">
        <f>IF($D151="","",IFERROR(IF(INDEX(Profile!$G$5:$G$304,MATCH($D151,lst_Profil,0))&lt;&gt;"",INDEX(Profile!$G$5:$G$304,MATCH($D151,lst_Profil,0)),$H$4),$H$4))</f>
        <v/>
      </c>
      <c r="S151" s="12">
        <f>IF($D151="","",IFERROR(IF(INDEX(Profile!$H$5:$H$304,MATCH($D151,lst_Profil,0))&lt;&gt;"",INDEX(Profile!$H$5:$H$304,MATCH($D151,lst_Profil,0)),$H$5),$H$5))</f>
        <v/>
      </c>
      <c r="T151" s="16">
        <f>IF(OR(Q151="",NOT(ISNUMBER(R151)),NOT(ISNUMBER(S151))),"",Q151-R151-S151)</f>
        <v/>
      </c>
      <c r="U151" s="28">
        <f>IF(OR($D151="",$E151=""),"",IF(OR(N($AP151)&gt;0,COUNTIFS(Preise!$A$5:$A$304,$D151,Preise!$B$5:$B$304,$E151,Preise!$I$5:$I$304,"OK")&gt;0,N(INDEX(Werkstoffe!$G$5:$G$304,MATCH($E151,lst_Werkstoff,0)))&gt;0),"ja","nein"))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28">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Materialpreis",IF(AND($AQ151&lt;&gt;"",N($AR151)&gt;0,MOD($G151,$AR151)&lt;&gt;0),"WARNUNG: Stückzahl ist kein Vielfaches von Stück je Satz",IF($H151="","HINWEIS: Schneidweg fehlt",IF(V151="","HINWEIS: keine Schneiddaten",IF(AND($AF151&lt;&gt;"",$AG151=""),"HINWEIS: Gewinde-Vorschlag prüfen","OK")))))))))))))))</f>
        <v/>
      </c>
      <c r="X151" s="18">
        <f>IF(OR(O151="",$G151=""),"",O151*$G151)</f>
        <v/>
      </c>
      <c r="Y151" s="9" t="n"/>
      <c r="Z151" s="23" t="n"/>
      <c r="AA151" s="9" t="n"/>
      <c r="AB151" s="23" t="n"/>
      <c r="AC151" s="23" t="n"/>
      <c r="AD151" s="23" t="n"/>
      <c r="AE151" s="9" t="n"/>
      <c r="AF151" s="9" t="n"/>
      <c r="AG151" s="9" t="n"/>
      <c r="AH151" s="24" t="n"/>
      <c r="AI151" s="23" t="n"/>
      <c r="AJ151" s="24" t="n"/>
      <c r="AK151" s="23" t="n"/>
      <c r="AL151" s="24" t="n"/>
      <c r="AM151" s="23" t="n"/>
      <c r="AN151" s="28">
        <f>IF($D151="","",COUNTIFS(Stangenbelegung!$E$5:$E$10004,ROW()))</f>
        <v/>
      </c>
      <c r="AO151" s="28">
        <f>IF(OR($G151="",COUNTA(Stangenbelegung!$A$5:$A$10004)=0),"",$G151-AN151)</f>
        <v/>
      </c>
      <c r="AP151" s="29" t="n"/>
      <c r="AQ151" s="9" t="n"/>
      <c r="AR151" s="19" t="n"/>
    </row>
    <row r="152">
      <c r="A152" s="9" t="n"/>
      <c r="B152" s="9" t="n"/>
      <c r="C152" s="9" t="n"/>
      <c r="D152" s="9" t="n"/>
      <c r="E152" s="9" t="n"/>
      <c r="F152" s="23" t="n"/>
      <c r="G152" s="19" t="n"/>
      <c r="H152" s="23" t="n"/>
      <c r="I152" s="24" t="n"/>
      <c r="J152" s="19" t="n"/>
      <c r="K152" s="25">
        <f>IF($D152="","",IFERROR(INDEX(Profile!$B$5:$B$304,MATCH($D152,lst_Profil,0)),""))</f>
        <v/>
      </c>
      <c r="L152" s="13">
        <f>IF($D152="","",IFERROR(INDEX(Profile!$K$5:$K$304,MATCH($D152,lst_Profil,0))+0,""))</f>
        <v/>
      </c>
      <c r="M152" s="26">
        <f>IF($D152="","",IFERROR(INDEX(Profile!$E$5:$E$304,MATCH($D152,lst_Profil,0))+0,""))</f>
        <v/>
      </c>
      <c r="N152" s="27">
        <f>IF(OR(L152="",$E152=""),"",IFERROR(L152*INDEX(Werkstoffe!$E$5:$E$304,MATCH($E152,lst_Werkstoff,0))/1000,""))</f>
        <v/>
      </c>
      <c r="O152" s="27">
        <f>IF(OR(N152="",$F152=""),"",N152*$F152/1000)</f>
        <v/>
      </c>
      <c r="P152" s="16">
        <f>IF(OR($F152="",$G152=""),"",$F152*$G152)</f>
        <v/>
      </c>
      <c r="Q152" s="16">
        <f>IF($D152="","",IF($J152&lt;&gt;"",$J152,$C$9))</f>
        <v/>
      </c>
      <c r="R152" s="12">
        <f>IF($D152="","",IFERROR(IF(INDEX(Profile!$G$5:$G$304,MATCH($D152,lst_Profil,0))&lt;&gt;"",INDEX(Profile!$G$5:$G$304,MATCH($D152,lst_Profil,0)),$H$4),$H$4))</f>
        <v/>
      </c>
      <c r="S152" s="12">
        <f>IF($D152="","",IFERROR(IF(INDEX(Profile!$H$5:$H$304,MATCH($D152,lst_Profil,0))&lt;&gt;"",INDEX(Profile!$H$5:$H$304,MATCH($D152,lst_Profil,0)),$H$5),$H$5))</f>
        <v/>
      </c>
      <c r="T152" s="16">
        <f>IF(OR(Q152="",NOT(ISNUMBER(R152)),NOT(ISNUMBER(S152))),"",Q152-R152-S152)</f>
        <v/>
      </c>
      <c r="U152" s="28">
        <f>IF(OR($D152="",$E152=""),"",IF(OR(N($AP152)&gt;0,COUNTIFS(Preise!$A$5:$A$304,$D152,Preise!$B$5:$B$304,$E152,Preise!$I$5:$I$304,"OK")&gt;0,N(INDEX(Werkstoffe!$G$5:$G$304,MATCH($E152,lst_Werkstoff,0)))&gt;0),"ja","nein"))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28">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Materialpreis",IF(AND($AQ152&lt;&gt;"",N($AR152)&gt;0,MOD($G152,$AR152)&lt;&gt;0),"WARNUNG: Stückzahl ist kein Vielfaches von Stück je Satz",IF($H152="","HINWEIS: Schneidweg fehlt",IF(V152="","HINWEIS: keine Schneiddaten",IF(AND($AF152&lt;&gt;"",$AG152=""),"HINWEIS: Gewinde-Vorschlag prüfen","OK")))))))))))))))</f>
        <v/>
      </c>
      <c r="X152" s="18">
        <f>IF(OR(O152="",$G152=""),"",O152*$G152)</f>
        <v/>
      </c>
      <c r="Y152" s="9" t="n"/>
      <c r="Z152" s="23" t="n"/>
      <c r="AA152" s="9" t="n"/>
      <c r="AB152" s="23" t="n"/>
      <c r="AC152" s="23" t="n"/>
      <c r="AD152" s="23" t="n"/>
      <c r="AE152" s="9" t="n"/>
      <c r="AF152" s="9" t="n"/>
      <c r="AG152" s="9" t="n"/>
      <c r="AH152" s="24" t="n"/>
      <c r="AI152" s="23" t="n"/>
      <c r="AJ152" s="24" t="n"/>
      <c r="AK152" s="23" t="n"/>
      <c r="AL152" s="24" t="n"/>
      <c r="AM152" s="23" t="n"/>
      <c r="AN152" s="28">
        <f>IF($D152="","",COUNTIFS(Stangenbelegung!$E$5:$E$10004,ROW()))</f>
        <v/>
      </c>
      <c r="AO152" s="28">
        <f>IF(OR($G152="",COUNTA(Stangenbelegung!$A$5:$A$10004)=0),"",$G152-AN152)</f>
        <v/>
      </c>
      <c r="AP152" s="29" t="n"/>
      <c r="AQ152" s="9" t="n"/>
      <c r="AR152" s="19" t="n"/>
    </row>
    <row r="153">
      <c r="A153" s="9" t="n"/>
      <c r="B153" s="9" t="n"/>
      <c r="C153" s="9" t="n"/>
      <c r="D153" s="9" t="n"/>
      <c r="E153" s="9" t="n"/>
      <c r="F153" s="23" t="n"/>
      <c r="G153" s="19" t="n"/>
      <c r="H153" s="23" t="n"/>
      <c r="I153" s="24" t="n"/>
      <c r="J153" s="19" t="n"/>
      <c r="K153" s="25">
        <f>IF($D153="","",IFERROR(INDEX(Profile!$B$5:$B$304,MATCH($D153,lst_Profil,0)),""))</f>
        <v/>
      </c>
      <c r="L153" s="13">
        <f>IF($D153="","",IFERROR(INDEX(Profile!$K$5:$K$304,MATCH($D153,lst_Profil,0))+0,""))</f>
        <v/>
      </c>
      <c r="M153" s="26">
        <f>IF($D153="","",IFERROR(INDEX(Profile!$E$5:$E$304,MATCH($D153,lst_Profil,0))+0,""))</f>
        <v/>
      </c>
      <c r="N153" s="27">
        <f>IF(OR(L153="",$E153=""),"",IFERROR(L153*INDEX(Werkstoffe!$E$5:$E$304,MATCH($E153,lst_Werkstoff,0))/1000,""))</f>
        <v/>
      </c>
      <c r="O153" s="27">
        <f>IF(OR(N153="",$F153=""),"",N153*$F153/1000)</f>
        <v/>
      </c>
      <c r="P153" s="16">
        <f>IF(OR($F153="",$G153=""),"",$F153*$G153)</f>
        <v/>
      </c>
      <c r="Q153" s="16">
        <f>IF($D153="","",IF($J153&lt;&gt;"",$J153,$C$9))</f>
        <v/>
      </c>
      <c r="R153" s="12">
        <f>IF($D153="","",IFERROR(IF(INDEX(Profile!$G$5:$G$304,MATCH($D153,lst_Profil,0))&lt;&gt;"",INDEX(Profile!$G$5:$G$304,MATCH($D153,lst_Profil,0)),$H$4),$H$4))</f>
        <v/>
      </c>
      <c r="S153" s="12">
        <f>IF($D153="","",IFERROR(IF(INDEX(Profile!$H$5:$H$304,MATCH($D153,lst_Profil,0))&lt;&gt;"",INDEX(Profile!$H$5:$H$304,MATCH($D153,lst_Profil,0)),$H$5),$H$5))</f>
        <v/>
      </c>
      <c r="T153" s="16">
        <f>IF(OR(Q153="",NOT(ISNUMBER(R153)),NOT(ISNUMBER(S153))),"",Q153-R153-S153)</f>
        <v/>
      </c>
      <c r="U153" s="28">
        <f>IF(OR($D153="",$E153=""),"",IF(OR(N($AP153)&gt;0,COUNTIFS(Preise!$A$5:$A$304,$D153,Preise!$B$5:$B$304,$E153,Preise!$I$5:$I$304,"OK")&gt;0,N(INDEX(Werkstoffe!$G$5:$G$304,MATCH($E153,lst_Werkstoff,0)))&gt;0),"ja","nein"))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28">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Materialpreis",IF(AND($AQ153&lt;&gt;"",N($AR153)&gt;0,MOD($G153,$AR153)&lt;&gt;0),"WARNUNG: Stückzahl ist kein Vielfaches von Stück je Satz",IF($H153="","HINWEIS: Schneidweg fehlt",IF(V153="","HINWEIS: keine Schneiddaten",IF(AND($AF153&lt;&gt;"",$AG153=""),"HINWEIS: Gewinde-Vorschlag prüfen","OK")))))))))))))))</f>
        <v/>
      </c>
      <c r="X153" s="18">
        <f>IF(OR(O153="",$G153=""),"",O153*$G153)</f>
        <v/>
      </c>
      <c r="Y153" s="9" t="n"/>
      <c r="Z153" s="23" t="n"/>
      <c r="AA153" s="9" t="n"/>
      <c r="AB153" s="23" t="n"/>
      <c r="AC153" s="23" t="n"/>
      <c r="AD153" s="23" t="n"/>
      <c r="AE153" s="9" t="n"/>
      <c r="AF153" s="9" t="n"/>
      <c r="AG153" s="9" t="n"/>
      <c r="AH153" s="24" t="n"/>
      <c r="AI153" s="23" t="n"/>
      <c r="AJ153" s="24" t="n"/>
      <c r="AK153" s="23" t="n"/>
      <c r="AL153" s="24" t="n"/>
      <c r="AM153" s="23" t="n"/>
      <c r="AN153" s="28">
        <f>IF($D153="","",COUNTIFS(Stangenbelegung!$E$5:$E$10004,ROW()))</f>
        <v/>
      </c>
      <c r="AO153" s="28">
        <f>IF(OR($G153="",COUNTA(Stangenbelegung!$A$5:$A$10004)=0),"",$G153-AN153)</f>
        <v/>
      </c>
      <c r="AP153" s="29" t="n"/>
      <c r="AQ153" s="9" t="n"/>
      <c r="AR153" s="19" t="n"/>
    </row>
    <row r="154">
      <c r="A154" s="9" t="n"/>
      <c r="B154" s="9" t="n"/>
      <c r="C154" s="9" t="n"/>
      <c r="D154" s="9" t="n"/>
      <c r="E154" s="9" t="n"/>
      <c r="F154" s="23" t="n"/>
      <c r="G154" s="19" t="n"/>
      <c r="H154" s="23" t="n"/>
      <c r="I154" s="24" t="n"/>
      <c r="J154" s="19" t="n"/>
      <c r="K154" s="25">
        <f>IF($D154="","",IFERROR(INDEX(Profile!$B$5:$B$304,MATCH($D154,lst_Profil,0)),""))</f>
        <v/>
      </c>
      <c r="L154" s="13">
        <f>IF($D154="","",IFERROR(INDEX(Profile!$K$5:$K$304,MATCH($D154,lst_Profil,0))+0,""))</f>
        <v/>
      </c>
      <c r="M154" s="26">
        <f>IF($D154="","",IFERROR(INDEX(Profile!$E$5:$E$304,MATCH($D154,lst_Profil,0))+0,""))</f>
        <v/>
      </c>
      <c r="N154" s="27">
        <f>IF(OR(L154="",$E154=""),"",IFERROR(L154*INDEX(Werkstoffe!$E$5:$E$304,MATCH($E154,lst_Werkstoff,0))/1000,""))</f>
        <v/>
      </c>
      <c r="O154" s="27">
        <f>IF(OR(N154="",$F154=""),"",N154*$F154/1000)</f>
        <v/>
      </c>
      <c r="P154" s="16">
        <f>IF(OR($F154="",$G154=""),"",$F154*$G154)</f>
        <v/>
      </c>
      <c r="Q154" s="16">
        <f>IF($D154="","",IF($J154&lt;&gt;"",$J154,$C$9))</f>
        <v/>
      </c>
      <c r="R154" s="12">
        <f>IF($D154="","",IFERROR(IF(INDEX(Profile!$G$5:$G$304,MATCH($D154,lst_Profil,0))&lt;&gt;"",INDEX(Profile!$G$5:$G$304,MATCH($D154,lst_Profil,0)),$H$4),$H$4))</f>
        <v/>
      </c>
      <c r="S154" s="12">
        <f>IF($D154="","",IFERROR(IF(INDEX(Profile!$H$5:$H$304,MATCH($D154,lst_Profil,0))&lt;&gt;"",INDEX(Profile!$H$5:$H$304,MATCH($D154,lst_Profil,0)),$H$5),$H$5))</f>
        <v/>
      </c>
      <c r="T154" s="16">
        <f>IF(OR(Q154="",NOT(ISNUMBER(R154)),NOT(ISNUMBER(S154))),"",Q154-R154-S154)</f>
        <v/>
      </c>
      <c r="U154" s="28">
        <f>IF(OR($D154="",$E154=""),"",IF(OR(N($AP154)&gt;0,COUNTIFS(Preise!$A$5:$A$304,$D154,Preise!$B$5:$B$304,$E154,Preise!$I$5:$I$304,"OK")&gt;0,N(INDEX(Werkstoffe!$G$5:$G$304,MATCH($E154,lst_Werkstoff,0)))&gt;0),"ja","nein"))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28">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Materialpreis",IF(AND($AQ154&lt;&gt;"",N($AR154)&gt;0,MOD($G154,$AR154)&lt;&gt;0),"WARNUNG: Stückzahl ist kein Vielfaches von Stück je Satz",IF($H154="","HINWEIS: Schneidweg fehlt",IF(V154="","HINWEIS: keine Schneiddaten",IF(AND($AF154&lt;&gt;"",$AG154=""),"HINWEIS: Gewinde-Vorschlag prüfen","OK")))))))))))))))</f>
        <v/>
      </c>
      <c r="X154" s="18">
        <f>IF(OR(O154="",$G154=""),"",O154*$G154)</f>
        <v/>
      </c>
      <c r="Y154" s="9" t="n"/>
      <c r="Z154" s="23" t="n"/>
      <c r="AA154" s="9" t="n"/>
      <c r="AB154" s="23" t="n"/>
      <c r="AC154" s="23" t="n"/>
      <c r="AD154" s="23" t="n"/>
      <c r="AE154" s="9" t="n"/>
      <c r="AF154" s="9" t="n"/>
      <c r="AG154" s="9" t="n"/>
      <c r="AH154" s="24" t="n"/>
      <c r="AI154" s="23" t="n"/>
      <c r="AJ154" s="24" t="n"/>
      <c r="AK154" s="23" t="n"/>
      <c r="AL154" s="24" t="n"/>
      <c r="AM154" s="23" t="n"/>
      <c r="AN154" s="28">
        <f>IF($D154="","",COUNTIFS(Stangenbelegung!$E$5:$E$10004,ROW()))</f>
        <v/>
      </c>
      <c r="AO154" s="28">
        <f>IF(OR($G154="",COUNTA(Stangenbelegung!$A$5:$A$10004)=0),"",$G154-AN154)</f>
        <v/>
      </c>
      <c r="AP154" s="29" t="n"/>
      <c r="AQ154" s="9" t="n"/>
      <c r="AR154" s="19" t="n"/>
    </row>
    <row r="155">
      <c r="A155" s="9" t="n"/>
      <c r="B155" s="9" t="n"/>
      <c r="C155" s="9" t="n"/>
      <c r="D155" s="9" t="n"/>
      <c r="E155" s="9" t="n"/>
      <c r="F155" s="23" t="n"/>
      <c r="G155" s="19" t="n"/>
      <c r="H155" s="23" t="n"/>
      <c r="I155" s="24" t="n"/>
      <c r="J155" s="19" t="n"/>
      <c r="K155" s="25">
        <f>IF($D155="","",IFERROR(INDEX(Profile!$B$5:$B$304,MATCH($D155,lst_Profil,0)),""))</f>
        <v/>
      </c>
      <c r="L155" s="13">
        <f>IF($D155="","",IFERROR(INDEX(Profile!$K$5:$K$304,MATCH($D155,lst_Profil,0))+0,""))</f>
        <v/>
      </c>
      <c r="M155" s="26">
        <f>IF($D155="","",IFERROR(INDEX(Profile!$E$5:$E$304,MATCH($D155,lst_Profil,0))+0,""))</f>
        <v/>
      </c>
      <c r="N155" s="27">
        <f>IF(OR(L155="",$E155=""),"",IFERROR(L155*INDEX(Werkstoffe!$E$5:$E$304,MATCH($E155,lst_Werkstoff,0))/1000,""))</f>
        <v/>
      </c>
      <c r="O155" s="27">
        <f>IF(OR(N155="",$F155=""),"",N155*$F155/1000)</f>
        <v/>
      </c>
      <c r="P155" s="16">
        <f>IF(OR($F155="",$G155=""),"",$F155*$G155)</f>
        <v/>
      </c>
      <c r="Q155" s="16">
        <f>IF($D155="","",IF($J155&lt;&gt;"",$J155,$C$9))</f>
        <v/>
      </c>
      <c r="R155" s="12">
        <f>IF($D155="","",IFERROR(IF(INDEX(Profile!$G$5:$G$304,MATCH($D155,lst_Profil,0))&lt;&gt;"",INDEX(Profile!$G$5:$G$304,MATCH($D155,lst_Profil,0)),$H$4),$H$4))</f>
        <v/>
      </c>
      <c r="S155" s="12">
        <f>IF($D155="","",IFERROR(IF(INDEX(Profile!$H$5:$H$304,MATCH($D155,lst_Profil,0))&lt;&gt;"",INDEX(Profile!$H$5:$H$304,MATCH($D155,lst_Profil,0)),$H$5),$H$5))</f>
        <v/>
      </c>
      <c r="T155" s="16">
        <f>IF(OR(Q155="",NOT(ISNUMBER(R155)),NOT(ISNUMBER(S155))),"",Q155-R155-S155)</f>
        <v/>
      </c>
      <c r="U155" s="28">
        <f>IF(OR($D155="",$E155=""),"",IF(OR(N($AP155)&gt;0,COUNTIFS(Preise!$A$5:$A$304,$D155,Preise!$B$5:$B$304,$E155,Preise!$I$5:$I$304,"OK")&gt;0,N(INDEX(Werkstoffe!$G$5:$G$304,MATCH($E155,lst_Werkstoff,0)))&gt;0),"ja","nein"))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28">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Materialpreis",IF(AND($AQ155&lt;&gt;"",N($AR155)&gt;0,MOD($G155,$AR155)&lt;&gt;0),"WARNUNG: Stückzahl ist kein Vielfaches von Stück je Satz",IF($H155="","HINWEIS: Schneidweg fehlt",IF(V155="","HINWEIS: keine Schneiddaten",IF(AND($AF155&lt;&gt;"",$AG155=""),"HINWEIS: Gewinde-Vorschlag prüfen","OK")))))))))))))))</f>
        <v/>
      </c>
      <c r="X155" s="18">
        <f>IF(OR(O155="",$G155=""),"",O155*$G155)</f>
        <v/>
      </c>
      <c r="Y155" s="9" t="n"/>
      <c r="Z155" s="23" t="n"/>
      <c r="AA155" s="9" t="n"/>
      <c r="AB155" s="23" t="n"/>
      <c r="AC155" s="23" t="n"/>
      <c r="AD155" s="23" t="n"/>
      <c r="AE155" s="9" t="n"/>
      <c r="AF155" s="9" t="n"/>
      <c r="AG155" s="9" t="n"/>
      <c r="AH155" s="24" t="n"/>
      <c r="AI155" s="23" t="n"/>
      <c r="AJ155" s="24" t="n"/>
      <c r="AK155" s="23" t="n"/>
      <c r="AL155" s="24" t="n"/>
      <c r="AM155" s="23" t="n"/>
      <c r="AN155" s="28">
        <f>IF($D155="","",COUNTIFS(Stangenbelegung!$E$5:$E$10004,ROW()))</f>
        <v/>
      </c>
      <c r="AO155" s="28">
        <f>IF(OR($G155="",COUNTA(Stangenbelegung!$A$5:$A$10004)=0),"",$G155-AN155)</f>
        <v/>
      </c>
      <c r="AP155" s="29" t="n"/>
      <c r="AQ155" s="9" t="n"/>
      <c r="AR155" s="19" t="n"/>
    </row>
    <row r="156">
      <c r="A156" s="9" t="n"/>
      <c r="B156" s="9" t="n"/>
      <c r="C156" s="9" t="n"/>
      <c r="D156" s="9" t="n"/>
      <c r="E156" s="9" t="n"/>
      <c r="F156" s="23" t="n"/>
      <c r="G156" s="19" t="n"/>
      <c r="H156" s="23" t="n"/>
      <c r="I156" s="24" t="n"/>
      <c r="J156" s="19" t="n"/>
      <c r="K156" s="25">
        <f>IF($D156="","",IFERROR(INDEX(Profile!$B$5:$B$304,MATCH($D156,lst_Profil,0)),""))</f>
        <v/>
      </c>
      <c r="L156" s="13">
        <f>IF($D156="","",IFERROR(INDEX(Profile!$K$5:$K$304,MATCH($D156,lst_Profil,0))+0,""))</f>
        <v/>
      </c>
      <c r="M156" s="26">
        <f>IF($D156="","",IFERROR(INDEX(Profile!$E$5:$E$304,MATCH($D156,lst_Profil,0))+0,""))</f>
        <v/>
      </c>
      <c r="N156" s="27">
        <f>IF(OR(L156="",$E156=""),"",IFERROR(L156*INDEX(Werkstoffe!$E$5:$E$304,MATCH($E156,lst_Werkstoff,0))/1000,""))</f>
        <v/>
      </c>
      <c r="O156" s="27">
        <f>IF(OR(N156="",$F156=""),"",N156*$F156/1000)</f>
        <v/>
      </c>
      <c r="P156" s="16">
        <f>IF(OR($F156="",$G156=""),"",$F156*$G156)</f>
        <v/>
      </c>
      <c r="Q156" s="16">
        <f>IF($D156="","",IF($J156&lt;&gt;"",$J156,$C$9))</f>
        <v/>
      </c>
      <c r="R156" s="12">
        <f>IF($D156="","",IFERROR(IF(INDEX(Profile!$G$5:$G$304,MATCH($D156,lst_Profil,0))&lt;&gt;"",INDEX(Profile!$G$5:$G$304,MATCH($D156,lst_Profil,0)),$H$4),$H$4))</f>
        <v/>
      </c>
      <c r="S156" s="12">
        <f>IF($D156="","",IFERROR(IF(INDEX(Profile!$H$5:$H$304,MATCH($D156,lst_Profil,0))&lt;&gt;"",INDEX(Profile!$H$5:$H$304,MATCH($D156,lst_Profil,0)),$H$5),$H$5))</f>
        <v/>
      </c>
      <c r="T156" s="16">
        <f>IF(OR(Q156="",NOT(ISNUMBER(R156)),NOT(ISNUMBER(S156))),"",Q156-R156-S156)</f>
        <v/>
      </c>
      <c r="U156" s="28">
        <f>IF(OR($D156="",$E156=""),"",IF(OR(N($AP156)&gt;0,COUNTIFS(Preise!$A$5:$A$304,$D156,Preise!$B$5:$B$304,$E156,Preise!$I$5:$I$304,"OK")&gt;0,N(INDEX(Werkstoffe!$G$5:$G$304,MATCH($E156,lst_Werkstoff,0)))&gt;0),"ja","nein"))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28">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Materialpreis",IF(AND($AQ156&lt;&gt;"",N($AR156)&gt;0,MOD($G156,$AR156)&lt;&gt;0),"WARNUNG: Stückzahl ist kein Vielfaches von Stück je Satz",IF($H156="","HINWEIS: Schneidweg fehlt",IF(V156="","HINWEIS: keine Schneiddaten",IF(AND($AF156&lt;&gt;"",$AG156=""),"HINWEIS: Gewinde-Vorschlag prüfen","OK")))))))))))))))</f>
        <v/>
      </c>
      <c r="X156" s="18">
        <f>IF(OR(O156="",$G156=""),"",O156*$G156)</f>
        <v/>
      </c>
      <c r="Y156" s="9" t="n"/>
      <c r="Z156" s="23" t="n"/>
      <c r="AA156" s="9" t="n"/>
      <c r="AB156" s="23" t="n"/>
      <c r="AC156" s="23" t="n"/>
      <c r="AD156" s="23" t="n"/>
      <c r="AE156" s="9" t="n"/>
      <c r="AF156" s="9" t="n"/>
      <c r="AG156" s="9" t="n"/>
      <c r="AH156" s="24" t="n"/>
      <c r="AI156" s="23" t="n"/>
      <c r="AJ156" s="24" t="n"/>
      <c r="AK156" s="23" t="n"/>
      <c r="AL156" s="24" t="n"/>
      <c r="AM156" s="23" t="n"/>
      <c r="AN156" s="28">
        <f>IF($D156="","",COUNTIFS(Stangenbelegung!$E$5:$E$10004,ROW()))</f>
        <v/>
      </c>
      <c r="AO156" s="28">
        <f>IF(OR($G156="",COUNTA(Stangenbelegung!$A$5:$A$10004)=0),"",$G156-AN156)</f>
        <v/>
      </c>
      <c r="AP156" s="29" t="n"/>
      <c r="AQ156" s="9" t="n"/>
      <c r="AR156" s="19" t="n"/>
    </row>
    <row r="157">
      <c r="A157" s="9" t="n"/>
      <c r="B157" s="9" t="n"/>
      <c r="C157" s="9" t="n"/>
      <c r="D157" s="9" t="n"/>
      <c r="E157" s="9" t="n"/>
      <c r="F157" s="23" t="n"/>
      <c r="G157" s="19" t="n"/>
      <c r="H157" s="23" t="n"/>
      <c r="I157" s="24" t="n"/>
      <c r="J157" s="19" t="n"/>
      <c r="K157" s="25">
        <f>IF($D157="","",IFERROR(INDEX(Profile!$B$5:$B$304,MATCH($D157,lst_Profil,0)),""))</f>
        <v/>
      </c>
      <c r="L157" s="13">
        <f>IF($D157="","",IFERROR(INDEX(Profile!$K$5:$K$304,MATCH($D157,lst_Profil,0))+0,""))</f>
        <v/>
      </c>
      <c r="M157" s="26">
        <f>IF($D157="","",IFERROR(INDEX(Profile!$E$5:$E$304,MATCH($D157,lst_Profil,0))+0,""))</f>
        <v/>
      </c>
      <c r="N157" s="27">
        <f>IF(OR(L157="",$E157=""),"",IFERROR(L157*INDEX(Werkstoffe!$E$5:$E$304,MATCH($E157,lst_Werkstoff,0))/1000,""))</f>
        <v/>
      </c>
      <c r="O157" s="27">
        <f>IF(OR(N157="",$F157=""),"",N157*$F157/1000)</f>
        <v/>
      </c>
      <c r="P157" s="16">
        <f>IF(OR($F157="",$G157=""),"",$F157*$G157)</f>
        <v/>
      </c>
      <c r="Q157" s="16">
        <f>IF($D157="","",IF($J157&lt;&gt;"",$J157,$C$9))</f>
        <v/>
      </c>
      <c r="R157" s="12">
        <f>IF($D157="","",IFERROR(IF(INDEX(Profile!$G$5:$G$304,MATCH($D157,lst_Profil,0))&lt;&gt;"",INDEX(Profile!$G$5:$G$304,MATCH($D157,lst_Profil,0)),$H$4),$H$4))</f>
        <v/>
      </c>
      <c r="S157" s="12">
        <f>IF($D157="","",IFERROR(IF(INDEX(Profile!$H$5:$H$304,MATCH($D157,lst_Profil,0))&lt;&gt;"",INDEX(Profile!$H$5:$H$304,MATCH($D157,lst_Profil,0)),$H$5),$H$5))</f>
        <v/>
      </c>
      <c r="T157" s="16">
        <f>IF(OR(Q157="",NOT(ISNUMBER(R157)),NOT(ISNUMBER(S157))),"",Q157-R157-S157)</f>
        <v/>
      </c>
      <c r="U157" s="28">
        <f>IF(OR($D157="",$E157=""),"",IF(OR(N($AP157)&gt;0,COUNTIFS(Preise!$A$5:$A$304,$D157,Preise!$B$5:$B$304,$E157,Preise!$I$5:$I$304,"OK")&gt;0,N(INDEX(Werkstoffe!$G$5:$G$304,MATCH($E157,lst_Werkstoff,0)))&gt;0),"ja","nein"))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28">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Materialpreis",IF(AND($AQ157&lt;&gt;"",N($AR157)&gt;0,MOD($G157,$AR157)&lt;&gt;0),"WARNUNG: Stückzahl ist kein Vielfaches von Stück je Satz",IF($H157="","HINWEIS: Schneidweg fehlt",IF(V157="","HINWEIS: keine Schneiddaten",IF(AND($AF157&lt;&gt;"",$AG157=""),"HINWEIS: Gewinde-Vorschlag prüfen","OK")))))))))))))))</f>
        <v/>
      </c>
      <c r="X157" s="18">
        <f>IF(OR(O157="",$G157=""),"",O157*$G157)</f>
        <v/>
      </c>
      <c r="Y157" s="9" t="n"/>
      <c r="Z157" s="23" t="n"/>
      <c r="AA157" s="9" t="n"/>
      <c r="AB157" s="23" t="n"/>
      <c r="AC157" s="23" t="n"/>
      <c r="AD157" s="23" t="n"/>
      <c r="AE157" s="9" t="n"/>
      <c r="AF157" s="9" t="n"/>
      <c r="AG157" s="9" t="n"/>
      <c r="AH157" s="24" t="n"/>
      <c r="AI157" s="23" t="n"/>
      <c r="AJ157" s="24" t="n"/>
      <c r="AK157" s="23" t="n"/>
      <c r="AL157" s="24" t="n"/>
      <c r="AM157" s="23" t="n"/>
      <c r="AN157" s="28">
        <f>IF($D157="","",COUNTIFS(Stangenbelegung!$E$5:$E$10004,ROW()))</f>
        <v/>
      </c>
      <c r="AO157" s="28">
        <f>IF(OR($G157="",COUNTA(Stangenbelegung!$A$5:$A$10004)=0),"",$G157-AN157)</f>
        <v/>
      </c>
      <c r="AP157" s="29" t="n"/>
      <c r="AQ157" s="9" t="n"/>
      <c r="AR157" s="19" t="n"/>
    </row>
    <row r="158">
      <c r="A158" s="9" t="n"/>
      <c r="B158" s="9" t="n"/>
      <c r="C158" s="9" t="n"/>
      <c r="D158" s="9" t="n"/>
      <c r="E158" s="9" t="n"/>
      <c r="F158" s="23" t="n"/>
      <c r="G158" s="19" t="n"/>
      <c r="H158" s="23" t="n"/>
      <c r="I158" s="24" t="n"/>
      <c r="J158" s="19" t="n"/>
      <c r="K158" s="25">
        <f>IF($D158="","",IFERROR(INDEX(Profile!$B$5:$B$304,MATCH($D158,lst_Profil,0)),""))</f>
        <v/>
      </c>
      <c r="L158" s="13">
        <f>IF($D158="","",IFERROR(INDEX(Profile!$K$5:$K$304,MATCH($D158,lst_Profil,0))+0,""))</f>
        <v/>
      </c>
      <c r="M158" s="26">
        <f>IF($D158="","",IFERROR(INDEX(Profile!$E$5:$E$304,MATCH($D158,lst_Profil,0))+0,""))</f>
        <v/>
      </c>
      <c r="N158" s="27">
        <f>IF(OR(L158="",$E158=""),"",IFERROR(L158*INDEX(Werkstoffe!$E$5:$E$304,MATCH($E158,lst_Werkstoff,0))/1000,""))</f>
        <v/>
      </c>
      <c r="O158" s="27">
        <f>IF(OR(N158="",$F158=""),"",N158*$F158/1000)</f>
        <v/>
      </c>
      <c r="P158" s="16">
        <f>IF(OR($F158="",$G158=""),"",$F158*$G158)</f>
        <v/>
      </c>
      <c r="Q158" s="16">
        <f>IF($D158="","",IF($J158&lt;&gt;"",$J158,$C$9))</f>
        <v/>
      </c>
      <c r="R158" s="12">
        <f>IF($D158="","",IFERROR(IF(INDEX(Profile!$G$5:$G$304,MATCH($D158,lst_Profil,0))&lt;&gt;"",INDEX(Profile!$G$5:$G$304,MATCH($D158,lst_Profil,0)),$H$4),$H$4))</f>
        <v/>
      </c>
      <c r="S158" s="12">
        <f>IF($D158="","",IFERROR(IF(INDEX(Profile!$H$5:$H$304,MATCH($D158,lst_Profil,0))&lt;&gt;"",INDEX(Profile!$H$5:$H$304,MATCH($D158,lst_Profil,0)),$H$5),$H$5))</f>
        <v/>
      </c>
      <c r="T158" s="16">
        <f>IF(OR(Q158="",NOT(ISNUMBER(R158)),NOT(ISNUMBER(S158))),"",Q158-R158-S158)</f>
        <v/>
      </c>
      <c r="U158" s="28">
        <f>IF(OR($D158="",$E158=""),"",IF(OR(N($AP158)&gt;0,COUNTIFS(Preise!$A$5:$A$304,$D158,Preise!$B$5:$B$304,$E158,Preise!$I$5:$I$304,"OK")&gt;0,N(INDEX(Werkstoffe!$G$5:$G$304,MATCH($E158,lst_Werkstoff,0)))&gt;0),"ja","nein"))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28">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Materialpreis",IF(AND($AQ158&lt;&gt;"",N($AR158)&gt;0,MOD($G158,$AR158)&lt;&gt;0),"WARNUNG: Stückzahl ist kein Vielfaches von Stück je Satz",IF($H158="","HINWEIS: Schneidweg fehlt",IF(V158="","HINWEIS: keine Schneiddaten",IF(AND($AF158&lt;&gt;"",$AG158=""),"HINWEIS: Gewinde-Vorschlag prüfen","OK")))))))))))))))</f>
        <v/>
      </c>
      <c r="X158" s="18">
        <f>IF(OR(O158="",$G158=""),"",O158*$G158)</f>
        <v/>
      </c>
      <c r="Y158" s="9" t="n"/>
      <c r="Z158" s="23" t="n"/>
      <c r="AA158" s="9" t="n"/>
      <c r="AB158" s="23" t="n"/>
      <c r="AC158" s="23" t="n"/>
      <c r="AD158" s="23" t="n"/>
      <c r="AE158" s="9" t="n"/>
      <c r="AF158" s="9" t="n"/>
      <c r="AG158" s="9" t="n"/>
      <c r="AH158" s="24" t="n"/>
      <c r="AI158" s="23" t="n"/>
      <c r="AJ158" s="24" t="n"/>
      <c r="AK158" s="23" t="n"/>
      <c r="AL158" s="24" t="n"/>
      <c r="AM158" s="23" t="n"/>
      <c r="AN158" s="28">
        <f>IF($D158="","",COUNTIFS(Stangenbelegung!$E$5:$E$10004,ROW()))</f>
        <v/>
      </c>
      <c r="AO158" s="28">
        <f>IF(OR($G158="",COUNTA(Stangenbelegung!$A$5:$A$10004)=0),"",$G158-AN158)</f>
        <v/>
      </c>
      <c r="AP158" s="29" t="n"/>
      <c r="AQ158" s="9" t="n"/>
      <c r="AR158" s="19" t="n"/>
    </row>
    <row r="159">
      <c r="A159" s="9" t="n"/>
      <c r="B159" s="9" t="n"/>
      <c r="C159" s="9" t="n"/>
      <c r="D159" s="9" t="n"/>
      <c r="E159" s="9" t="n"/>
      <c r="F159" s="23" t="n"/>
      <c r="G159" s="19" t="n"/>
      <c r="H159" s="23" t="n"/>
      <c r="I159" s="24" t="n"/>
      <c r="J159" s="19" t="n"/>
      <c r="K159" s="25">
        <f>IF($D159="","",IFERROR(INDEX(Profile!$B$5:$B$304,MATCH($D159,lst_Profil,0)),""))</f>
        <v/>
      </c>
      <c r="L159" s="13">
        <f>IF($D159="","",IFERROR(INDEX(Profile!$K$5:$K$304,MATCH($D159,lst_Profil,0))+0,""))</f>
        <v/>
      </c>
      <c r="M159" s="26">
        <f>IF($D159="","",IFERROR(INDEX(Profile!$E$5:$E$304,MATCH($D159,lst_Profil,0))+0,""))</f>
        <v/>
      </c>
      <c r="N159" s="27">
        <f>IF(OR(L159="",$E159=""),"",IFERROR(L159*INDEX(Werkstoffe!$E$5:$E$304,MATCH($E159,lst_Werkstoff,0))/1000,""))</f>
        <v/>
      </c>
      <c r="O159" s="27">
        <f>IF(OR(N159="",$F159=""),"",N159*$F159/1000)</f>
        <v/>
      </c>
      <c r="P159" s="16">
        <f>IF(OR($F159="",$G159=""),"",$F159*$G159)</f>
        <v/>
      </c>
      <c r="Q159" s="16">
        <f>IF($D159="","",IF($J159&lt;&gt;"",$J159,$C$9))</f>
        <v/>
      </c>
      <c r="R159" s="12">
        <f>IF($D159="","",IFERROR(IF(INDEX(Profile!$G$5:$G$304,MATCH($D159,lst_Profil,0))&lt;&gt;"",INDEX(Profile!$G$5:$G$304,MATCH($D159,lst_Profil,0)),$H$4),$H$4))</f>
        <v/>
      </c>
      <c r="S159" s="12">
        <f>IF($D159="","",IFERROR(IF(INDEX(Profile!$H$5:$H$304,MATCH($D159,lst_Profil,0))&lt;&gt;"",INDEX(Profile!$H$5:$H$304,MATCH($D159,lst_Profil,0)),$H$5),$H$5))</f>
        <v/>
      </c>
      <c r="T159" s="16">
        <f>IF(OR(Q159="",NOT(ISNUMBER(R159)),NOT(ISNUMBER(S159))),"",Q159-R159-S159)</f>
        <v/>
      </c>
      <c r="U159" s="28">
        <f>IF(OR($D159="",$E159=""),"",IF(OR(N($AP159)&gt;0,COUNTIFS(Preise!$A$5:$A$304,$D159,Preise!$B$5:$B$304,$E159,Preise!$I$5:$I$304,"OK")&gt;0,N(INDEX(Werkstoffe!$G$5:$G$304,MATCH($E159,lst_Werkstoff,0)))&gt;0),"ja","nein"))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28">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Materialpreis",IF(AND($AQ159&lt;&gt;"",N($AR159)&gt;0,MOD($G159,$AR159)&lt;&gt;0),"WARNUNG: Stückzahl ist kein Vielfaches von Stück je Satz",IF($H159="","HINWEIS: Schneidweg fehlt",IF(V159="","HINWEIS: keine Schneiddaten",IF(AND($AF159&lt;&gt;"",$AG159=""),"HINWEIS: Gewinde-Vorschlag prüfen","OK")))))))))))))))</f>
        <v/>
      </c>
      <c r="X159" s="18">
        <f>IF(OR(O159="",$G159=""),"",O159*$G159)</f>
        <v/>
      </c>
      <c r="Y159" s="9" t="n"/>
      <c r="Z159" s="23" t="n"/>
      <c r="AA159" s="9" t="n"/>
      <c r="AB159" s="23" t="n"/>
      <c r="AC159" s="23" t="n"/>
      <c r="AD159" s="23" t="n"/>
      <c r="AE159" s="9" t="n"/>
      <c r="AF159" s="9" t="n"/>
      <c r="AG159" s="9" t="n"/>
      <c r="AH159" s="24" t="n"/>
      <c r="AI159" s="23" t="n"/>
      <c r="AJ159" s="24" t="n"/>
      <c r="AK159" s="23" t="n"/>
      <c r="AL159" s="24" t="n"/>
      <c r="AM159" s="23" t="n"/>
      <c r="AN159" s="28">
        <f>IF($D159="","",COUNTIFS(Stangenbelegung!$E$5:$E$10004,ROW()))</f>
        <v/>
      </c>
      <c r="AO159" s="28">
        <f>IF(OR($G159="",COUNTA(Stangenbelegung!$A$5:$A$10004)=0),"",$G159-AN159)</f>
        <v/>
      </c>
      <c r="AP159" s="29" t="n"/>
      <c r="AQ159" s="9" t="n"/>
      <c r="AR159" s="19" t="n"/>
    </row>
    <row r="160">
      <c r="A160" s="9" t="n"/>
      <c r="B160" s="9" t="n"/>
      <c r="C160" s="9" t="n"/>
      <c r="D160" s="9" t="n"/>
      <c r="E160" s="9" t="n"/>
      <c r="F160" s="23" t="n"/>
      <c r="G160" s="19" t="n"/>
      <c r="H160" s="23" t="n"/>
      <c r="I160" s="24" t="n"/>
      <c r="J160" s="19" t="n"/>
      <c r="K160" s="25">
        <f>IF($D160="","",IFERROR(INDEX(Profile!$B$5:$B$304,MATCH($D160,lst_Profil,0)),""))</f>
        <v/>
      </c>
      <c r="L160" s="13">
        <f>IF($D160="","",IFERROR(INDEX(Profile!$K$5:$K$304,MATCH($D160,lst_Profil,0))+0,""))</f>
        <v/>
      </c>
      <c r="M160" s="26">
        <f>IF($D160="","",IFERROR(INDEX(Profile!$E$5:$E$304,MATCH($D160,lst_Profil,0))+0,""))</f>
        <v/>
      </c>
      <c r="N160" s="27">
        <f>IF(OR(L160="",$E160=""),"",IFERROR(L160*INDEX(Werkstoffe!$E$5:$E$304,MATCH($E160,lst_Werkstoff,0))/1000,""))</f>
        <v/>
      </c>
      <c r="O160" s="27">
        <f>IF(OR(N160="",$F160=""),"",N160*$F160/1000)</f>
        <v/>
      </c>
      <c r="P160" s="16">
        <f>IF(OR($F160="",$G160=""),"",$F160*$G160)</f>
        <v/>
      </c>
      <c r="Q160" s="16">
        <f>IF($D160="","",IF($J160&lt;&gt;"",$J160,$C$9))</f>
        <v/>
      </c>
      <c r="R160" s="12">
        <f>IF($D160="","",IFERROR(IF(INDEX(Profile!$G$5:$G$304,MATCH($D160,lst_Profil,0))&lt;&gt;"",INDEX(Profile!$G$5:$G$304,MATCH($D160,lst_Profil,0)),$H$4),$H$4))</f>
        <v/>
      </c>
      <c r="S160" s="12">
        <f>IF($D160="","",IFERROR(IF(INDEX(Profile!$H$5:$H$304,MATCH($D160,lst_Profil,0))&lt;&gt;"",INDEX(Profile!$H$5:$H$304,MATCH($D160,lst_Profil,0)),$H$5),$H$5))</f>
        <v/>
      </c>
      <c r="T160" s="16">
        <f>IF(OR(Q160="",NOT(ISNUMBER(R160)),NOT(ISNUMBER(S160))),"",Q160-R160-S160)</f>
        <v/>
      </c>
      <c r="U160" s="28">
        <f>IF(OR($D160="",$E160=""),"",IF(OR(N($AP160)&gt;0,COUNTIFS(Preise!$A$5:$A$304,$D160,Preise!$B$5:$B$304,$E160,Preise!$I$5:$I$304,"OK")&gt;0,N(INDEX(Werkstoffe!$G$5:$G$304,MATCH($E160,lst_Werkstoff,0)))&gt;0),"ja","nein"))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28">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Materialpreis",IF(AND($AQ160&lt;&gt;"",N($AR160)&gt;0,MOD($G160,$AR160)&lt;&gt;0),"WARNUNG: Stückzahl ist kein Vielfaches von Stück je Satz",IF($H160="","HINWEIS: Schneidweg fehlt",IF(V160="","HINWEIS: keine Schneiddaten",IF(AND($AF160&lt;&gt;"",$AG160=""),"HINWEIS: Gewinde-Vorschlag prüfen","OK")))))))))))))))</f>
        <v/>
      </c>
      <c r="X160" s="18">
        <f>IF(OR(O160="",$G160=""),"",O160*$G160)</f>
        <v/>
      </c>
      <c r="Y160" s="9" t="n"/>
      <c r="Z160" s="23" t="n"/>
      <c r="AA160" s="9" t="n"/>
      <c r="AB160" s="23" t="n"/>
      <c r="AC160" s="23" t="n"/>
      <c r="AD160" s="23" t="n"/>
      <c r="AE160" s="9" t="n"/>
      <c r="AF160" s="9" t="n"/>
      <c r="AG160" s="9" t="n"/>
      <c r="AH160" s="24" t="n"/>
      <c r="AI160" s="23" t="n"/>
      <c r="AJ160" s="24" t="n"/>
      <c r="AK160" s="23" t="n"/>
      <c r="AL160" s="24" t="n"/>
      <c r="AM160" s="23" t="n"/>
      <c r="AN160" s="28">
        <f>IF($D160="","",COUNTIFS(Stangenbelegung!$E$5:$E$10004,ROW()))</f>
        <v/>
      </c>
      <c r="AO160" s="28">
        <f>IF(OR($G160="",COUNTA(Stangenbelegung!$A$5:$A$10004)=0),"",$G160-AN160)</f>
        <v/>
      </c>
      <c r="AP160" s="29" t="n"/>
      <c r="AQ160" s="9" t="n"/>
      <c r="AR160" s="19" t="n"/>
    </row>
    <row r="161">
      <c r="A161" s="9" t="n"/>
      <c r="B161" s="9" t="n"/>
      <c r="C161" s="9" t="n"/>
      <c r="D161" s="9" t="n"/>
      <c r="E161" s="9" t="n"/>
      <c r="F161" s="23" t="n"/>
      <c r="G161" s="19" t="n"/>
      <c r="H161" s="23" t="n"/>
      <c r="I161" s="24" t="n"/>
      <c r="J161" s="19" t="n"/>
      <c r="K161" s="25">
        <f>IF($D161="","",IFERROR(INDEX(Profile!$B$5:$B$304,MATCH($D161,lst_Profil,0)),""))</f>
        <v/>
      </c>
      <c r="L161" s="13">
        <f>IF($D161="","",IFERROR(INDEX(Profile!$K$5:$K$304,MATCH($D161,lst_Profil,0))+0,""))</f>
        <v/>
      </c>
      <c r="M161" s="26">
        <f>IF($D161="","",IFERROR(INDEX(Profile!$E$5:$E$304,MATCH($D161,lst_Profil,0))+0,""))</f>
        <v/>
      </c>
      <c r="N161" s="27">
        <f>IF(OR(L161="",$E161=""),"",IFERROR(L161*INDEX(Werkstoffe!$E$5:$E$304,MATCH($E161,lst_Werkstoff,0))/1000,""))</f>
        <v/>
      </c>
      <c r="O161" s="27">
        <f>IF(OR(N161="",$F161=""),"",N161*$F161/1000)</f>
        <v/>
      </c>
      <c r="P161" s="16">
        <f>IF(OR($F161="",$G161=""),"",$F161*$G161)</f>
        <v/>
      </c>
      <c r="Q161" s="16">
        <f>IF($D161="","",IF($J161&lt;&gt;"",$J161,$C$9))</f>
        <v/>
      </c>
      <c r="R161" s="12">
        <f>IF($D161="","",IFERROR(IF(INDEX(Profile!$G$5:$G$304,MATCH($D161,lst_Profil,0))&lt;&gt;"",INDEX(Profile!$G$5:$G$304,MATCH($D161,lst_Profil,0)),$H$4),$H$4))</f>
        <v/>
      </c>
      <c r="S161" s="12">
        <f>IF($D161="","",IFERROR(IF(INDEX(Profile!$H$5:$H$304,MATCH($D161,lst_Profil,0))&lt;&gt;"",INDEX(Profile!$H$5:$H$304,MATCH($D161,lst_Profil,0)),$H$5),$H$5))</f>
        <v/>
      </c>
      <c r="T161" s="16">
        <f>IF(OR(Q161="",NOT(ISNUMBER(R161)),NOT(ISNUMBER(S161))),"",Q161-R161-S161)</f>
        <v/>
      </c>
      <c r="U161" s="28">
        <f>IF(OR($D161="",$E161=""),"",IF(OR(N($AP161)&gt;0,COUNTIFS(Preise!$A$5:$A$304,$D161,Preise!$B$5:$B$304,$E161,Preise!$I$5:$I$304,"OK")&gt;0,N(INDEX(Werkstoffe!$G$5:$G$304,MATCH($E161,lst_Werkstoff,0)))&gt;0),"ja","nein"))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28">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Materialpreis",IF(AND($AQ161&lt;&gt;"",N($AR161)&gt;0,MOD($G161,$AR161)&lt;&gt;0),"WARNUNG: Stückzahl ist kein Vielfaches von Stück je Satz",IF($H161="","HINWEIS: Schneidweg fehlt",IF(V161="","HINWEIS: keine Schneiddaten",IF(AND($AF161&lt;&gt;"",$AG161=""),"HINWEIS: Gewinde-Vorschlag prüfen","OK")))))))))))))))</f>
        <v/>
      </c>
      <c r="X161" s="18">
        <f>IF(OR(O161="",$G161=""),"",O161*$G161)</f>
        <v/>
      </c>
      <c r="Y161" s="9" t="n"/>
      <c r="Z161" s="23" t="n"/>
      <c r="AA161" s="9" t="n"/>
      <c r="AB161" s="23" t="n"/>
      <c r="AC161" s="23" t="n"/>
      <c r="AD161" s="23" t="n"/>
      <c r="AE161" s="9" t="n"/>
      <c r="AF161" s="9" t="n"/>
      <c r="AG161" s="9" t="n"/>
      <c r="AH161" s="24" t="n"/>
      <c r="AI161" s="23" t="n"/>
      <c r="AJ161" s="24" t="n"/>
      <c r="AK161" s="23" t="n"/>
      <c r="AL161" s="24" t="n"/>
      <c r="AM161" s="23" t="n"/>
      <c r="AN161" s="28">
        <f>IF($D161="","",COUNTIFS(Stangenbelegung!$E$5:$E$10004,ROW()))</f>
        <v/>
      </c>
      <c r="AO161" s="28">
        <f>IF(OR($G161="",COUNTA(Stangenbelegung!$A$5:$A$10004)=0),"",$G161-AN161)</f>
        <v/>
      </c>
      <c r="AP161" s="29" t="n"/>
      <c r="AQ161" s="9" t="n"/>
      <c r="AR161" s="19" t="n"/>
    </row>
    <row r="162">
      <c r="A162" s="9" t="n"/>
      <c r="B162" s="9" t="n"/>
      <c r="C162" s="9" t="n"/>
      <c r="D162" s="9" t="n"/>
      <c r="E162" s="9" t="n"/>
      <c r="F162" s="23" t="n"/>
      <c r="G162" s="19" t="n"/>
      <c r="H162" s="23" t="n"/>
      <c r="I162" s="24" t="n"/>
      <c r="J162" s="19" t="n"/>
      <c r="K162" s="25">
        <f>IF($D162="","",IFERROR(INDEX(Profile!$B$5:$B$304,MATCH($D162,lst_Profil,0)),""))</f>
        <v/>
      </c>
      <c r="L162" s="13">
        <f>IF($D162="","",IFERROR(INDEX(Profile!$K$5:$K$304,MATCH($D162,lst_Profil,0))+0,""))</f>
        <v/>
      </c>
      <c r="M162" s="26">
        <f>IF($D162="","",IFERROR(INDEX(Profile!$E$5:$E$304,MATCH($D162,lst_Profil,0))+0,""))</f>
        <v/>
      </c>
      <c r="N162" s="27">
        <f>IF(OR(L162="",$E162=""),"",IFERROR(L162*INDEX(Werkstoffe!$E$5:$E$304,MATCH($E162,lst_Werkstoff,0))/1000,""))</f>
        <v/>
      </c>
      <c r="O162" s="27">
        <f>IF(OR(N162="",$F162=""),"",N162*$F162/1000)</f>
        <v/>
      </c>
      <c r="P162" s="16">
        <f>IF(OR($F162="",$G162=""),"",$F162*$G162)</f>
        <v/>
      </c>
      <c r="Q162" s="16">
        <f>IF($D162="","",IF($J162&lt;&gt;"",$J162,$C$9))</f>
        <v/>
      </c>
      <c r="R162" s="12">
        <f>IF($D162="","",IFERROR(IF(INDEX(Profile!$G$5:$G$304,MATCH($D162,lst_Profil,0))&lt;&gt;"",INDEX(Profile!$G$5:$G$304,MATCH($D162,lst_Profil,0)),$H$4),$H$4))</f>
        <v/>
      </c>
      <c r="S162" s="12">
        <f>IF($D162="","",IFERROR(IF(INDEX(Profile!$H$5:$H$304,MATCH($D162,lst_Profil,0))&lt;&gt;"",INDEX(Profile!$H$5:$H$304,MATCH($D162,lst_Profil,0)),$H$5),$H$5))</f>
        <v/>
      </c>
      <c r="T162" s="16">
        <f>IF(OR(Q162="",NOT(ISNUMBER(R162)),NOT(ISNUMBER(S162))),"",Q162-R162-S162)</f>
        <v/>
      </c>
      <c r="U162" s="28">
        <f>IF(OR($D162="",$E162=""),"",IF(OR(N($AP162)&gt;0,COUNTIFS(Preise!$A$5:$A$304,$D162,Preise!$B$5:$B$304,$E162,Preise!$I$5:$I$304,"OK")&gt;0,N(INDEX(Werkstoffe!$G$5:$G$304,MATCH($E162,lst_Werkstoff,0)))&gt;0),"ja","nein"))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28">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Materialpreis",IF(AND($AQ162&lt;&gt;"",N($AR162)&gt;0,MOD($G162,$AR162)&lt;&gt;0),"WARNUNG: Stückzahl ist kein Vielfaches von Stück je Satz",IF($H162="","HINWEIS: Schneidweg fehlt",IF(V162="","HINWEIS: keine Schneiddaten",IF(AND($AF162&lt;&gt;"",$AG162=""),"HINWEIS: Gewinde-Vorschlag prüfen","OK")))))))))))))))</f>
        <v/>
      </c>
      <c r="X162" s="18">
        <f>IF(OR(O162="",$G162=""),"",O162*$G162)</f>
        <v/>
      </c>
      <c r="Y162" s="9" t="n"/>
      <c r="Z162" s="23" t="n"/>
      <c r="AA162" s="9" t="n"/>
      <c r="AB162" s="23" t="n"/>
      <c r="AC162" s="23" t="n"/>
      <c r="AD162" s="23" t="n"/>
      <c r="AE162" s="9" t="n"/>
      <c r="AF162" s="9" t="n"/>
      <c r="AG162" s="9" t="n"/>
      <c r="AH162" s="24" t="n"/>
      <c r="AI162" s="23" t="n"/>
      <c r="AJ162" s="24" t="n"/>
      <c r="AK162" s="23" t="n"/>
      <c r="AL162" s="24" t="n"/>
      <c r="AM162" s="23" t="n"/>
      <c r="AN162" s="28">
        <f>IF($D162="","",COUNTIFS(Stangenbelegung!$E$5:$E$10004,ROW()))</f>
        <v/>
      </c>
      <c r="AO162" s="28">
        <f>IF(OR($G162="",COUNTA(Stangenbelegung!$A$5:$A$10004)=0),"",$G162-AN162)</f>
        <v/>
      </c>
      <c r="AP162" s="29" t="n"/>
      <c r="AQ162" s="9" t="n"/>
      <c r="AR162" s="19" t="n"/>
    </row>
    <row r="163">
      <c r="A163" s="9" t="n"/>
      <c r="B163" s="9" t="n"/>
      <c r="C163" s="9" t="n"/>
      <c r="D163" s="9" t="n"/>
      <c r="E163" s="9" t="n"/>
      <c r="F163" s="23" t="n"/>
      <c r="G163" s="19" t="n"/>
      <c r="H163" s="23" t="n"/>
      <c r="I163" s="24" t="n"/>
      <c r="J163" s="19" t="n"/>
      <c r="K163" s="25">
        <f>IF($D163="","",IFERROR(INDEX(Profile!$B$5:$B$304,MATCH($D163,lst_Profil,0)),""))</f>
        <v/>
      </c>
      <c r="L163" s="13">
        <f>IF($D163="","",IFERROR(INDEX(Profile!$K$5:$K$304,MATCH($D163,lst_Profil,0))+0,""))</f>
        <v/>
      </c>
      <c r="M163" s="26">
        <f>IF($D163="","",IFERROR(INDEX(Profile!$E$5:$E$304,MATCH($D163,lst_Profil,0))+0,""))</f>
        <v/>
      </c>
      <c r="N163" s="27">
        <f>IF(OR(L163="",$E163=""),"",IFERROR(L163*INDEX(Werkstoffe!$E$5:$E$304,MATCH($E163,lst_Werkstoff,0))/1000,""))</f>
        <v/>
      </c>
      <c r="O163" s="27">
        <f>IF(OR(N163="",$F163=""),"",N163*$F163/1000)</f>
        <v/>
      </c>
      <c r="P163" s="16">
        <f>IF(OR($F163="",$G163=""),"",$F163*$G163)</f>
        <v/>
      </c>
      <c r="Q163" s="16">
        <f>IF($D163="","",IF($J163&lt;&gt;"",$J163,$C$9))</f>
        <v/>
      </c>
      <c r="R163" s="12">
        <f>IF($D163="","",IFERROR(IF(INDEX(Profile!$G$5:$G$304,MATCH($D163,lst_Profil,0))&lt;&gt;"",INDEX(Profile!$G$5:$G$304,MATCH($D163,lst_Profil,0)),$H$4),$H$4))</f>
        <v/>
      </c>
      <c r="S163" s="12">
        <f>IF($D163="","",IFERROR(IF(INDEX(Profile!$H$5:$H$304,MATCH($D163,lst_Profil,0))&lt;&gt;"",INDEX(Profile!$H$5:$H$304,MATCH($D163,lst_Profil,0)),$H$5),$H$5))</f>
        <v/>
      </c>
      <c r="T163" s="16">
        <f>IF(OR(Q163="",NOT(ISNUMBER(R163)),NOT(ISNUMBER(S163))),"",Q163-R163-S163)</f>
        <v/>
      </c>
      <c r="U163" s="28">
        <f>IF(OR($D163="",$E163=""),"",IF(OR(N($AP163)&gt;0,COUNTIFS(Preise!$A$5:$A$304,$D163,Preise!$B$5:$B$304,$E163,Preise!$I$5:$I$304,"OK")&gt;0,N(INDEX(Werkstoffe!$G$5:$G$304,MATCH($E163,lst_Werkstoff,0)))&gt;0),"ja","nein"))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28">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Materialpreis",IF(AND($AQ163&lt;&gt;"",N($AR163)&gt;0,MOD($G163,$AR163)&lt;&gt;0),"WARNUNG: Stückzahl ist kein Vielfaches von Stück je Satz",IF($H163="","HINWEIS: Schneidweg fehlt",IF(V163="","HINWEIS: keine Schneiddaten",IF(AND($AF163&lt;&gt;"",$AG163=""),"HINWEIS: Gewinde-Vorschlag prüfen","OK")))))))))))))))</f>
        <v/>
      </c>
      <c r="X163" s="18">
        <f>IF(OR(O163="",$G163=""),"",O163*$G163)</f>
        <v/>
      </c>
      <c r="Y163" s="9" t="n"/>
      <c r="Z163" s="23" t="n"/>
      <c r="AA163" s="9" t="n"/>
      <c r="AB163" s="23" t="n"/>
      <c r="AC163" s="23" t="n"/>
      <c r="AD163" s="23" t="n"/>
      <c r="AE163" s="9" t="n"/>
      <c r="AF163" s="9" t="n"/>
      <c r="AG163" s="9" t="n"/>
      <c r="AH163" s="24" t="n"/>
      <c r="AI163" s="23" t="n"/>
      <c r="AJ163" s="24" t="n"/>
      <c r="AK163" s="23" t="n"/>
      <c r="AL163" s="24" t="n"/>
      <c r="AM163" s="23" t="n"/>
      <c r="AN163" s="28">
        <f>IF($D163="","",COUNTIFS(Stangenbelegung!$E$5:$E$10004,ROW()))</f>
        <v/>
      </c>
      <c r="AO163" s="28">
        <f>IF(OR($G163="",COUNTA(Stangenbelegung!$A$5:$A$10004)=0),"",$G163-AN163)</f>
        <v/>
      </c>
      <c r="AP163" s="29" t="n"/>
      <c r="AQ163" s="9" t="n"/>
      <c r="AR163" s="19" t="n"/>
    </row>
    <row r="164">
      <c r="A164" s="9" t="n"/>
      <c r="B164" s="9" t="n"/>
      <c r="C164" s="9" t="n"/>
      <c r="D164" s="9" t="n"/>
      <c r="E164" s="9" t="n"/>
      <c r="F164" s="23" t="n"/>
      <c r="G164" s="19" t="n"/>
      <c r="H164" s="23" t="n"/>
      <c r="I164" s="24" t="n"/>
      <c r="J164" s="19" t="n"/>
      <c r="K164" s="25">
        <f>IF($D164="","",IFERROR(INDEX(Profile!$B$5:$B$304,MATCH($D164,lst_Profil,0)),""))</f>
        <v/>
      </c>
      <c r="L164" s="13">
        <f>IF($D164="","",IFERROR(INDEX(Profile!$K$5:$K$304,MATCH($D164,lst_Profil,0))+0,""))</f>
        <v/>
      </c>
      <c r="M164" s="26">
        <f>IF($D164="","",IFERROR(INDEX(Profile!$E$5:$E$304,MATCH($D164,lst_Profil,0))+0,""))</f>
        <v/>
      </c>
      <c r="N164" s="27">
        <f>IF(OR(L164="",$E164=""),"",IFERROR(L164*INDEX(Werkstoffe!$E$5:$E$304,MATCH($E164,lst_Werkstoff,0))/1000,""))</f>
        <v/>
      </c>
      <c r="O164" s="27">
        <f>IF(OR(N164="",$F164=""),"",N164*$F164/1000)</f>
        <v/>
      </c>
      <c r="P164" s="16">
        <f>IF(OR($F164="",$G164=""),"",$F164*$G164)</f>
        <v/>
      </c>
      <c r="Q164" s="16">
        <f>IF($D164="","",IF($J164&lt;&gt;"",$J164,$C$9))</f>
        <v/>
      </c>
      <c r="R164" s="12">
        <f>IF($D164="","",IFERROR(IF(INDEX(Profile!$G$5:$G$304,MATCH($D164,lst_Profil,0))&lt;&gt;"",INDEX(Profile!$G$5:$G$304,MATCH($D164,lst_Profil,0)),$H$4),$H$4))</f>
        <v/>
      </c>
      <c r="S164" s="12">
        <f>IF($D164="","",IFERROR(IF(INDEX(Profile!$H$5:$H$304,MATCH($D164,lst_Profil,0))&lt;&gt;"",INDEX(Profile!$H$5:$H$304,MATCH($D164,lst_Profil,0)),$H$5),$H$5))</f>
        <v/>
      </c>
      <c r="T164" s="16">
        <f>IF(OR(Q164="",NOT(ISNUMBER(R164)),NOT(ISNUMBER(S164))),"",Q164-R164-S164)</f>
        <v/>
      </c>
      <c r="U164" s="28">
        <f>IF(OR($D164="",$E164=""),"",IF(OR(N($AP164)&gt;0,COUNTIFS(Preise!$A$5:$A$304,$D164,Preise!$B$5:$B$304,$E164,Preise!$I$5:$I$304,"OK")&gt;0,N(INDEX(Werkstoffe!$G$5:$G$304,MATCH($E164,lst_Werkstoff,0)))&gt;0),"ja","nein"))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28">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Materialpreis",IF(AND($AQ164&lt;&gt;"",N($AR164)&gt;0,MOD($G164,$AR164)&lt;&gt;0),"WARNUNG: Stückzahl ist kein Vielfaches von Stück je Satz",IF($H164="","HINWEIS: Schneidweg fehlt",IF(V164="","HINWEIS: keine Schneiddaten",IF(AND($AF164&lt;&gt;"",$AG164=""),"HINWEIS: Gewinde-Vorschlag prüfen","OK")))))))))))))))</f>
        <v/>
      </c>
      <c r="X164" s="18">
        <f>IF(OR(O164="",$G164=""),"",O164*$G164)</f>
        <v/>
      </c>
      <c r="Y164" s="9" t="n"/>
      <c r="Z164" s="23" t="n"/>
      <c r="AA164" s="9" t="n"/>
      <c r="AB164" s="23" t="n"/>
      <c r="AC164" s="23" t="n"/>
      <c r="AD164" s="23" t="n"/>
      <c r="AE164" s="9" t="n"/>
      <c r="AF164" s="9" t="n"/>
      <c r="AG164" s="9" t="n"/>
      <c r="AH164" s="24" t="n"/>
      <c r="AI164" s="23" t="n"/>
      <c r="AJ164" s="24" t="n"/>
      <c r="AK164" s="23" t="n"/>
      <c r="AL164" s="24" t="n"/>
      <c r="AM164" s="23" t="n"/>
      <c r="AN164" s="28">
        <f>IF($D164="","",COUNTIFS(Stangenbelegung!$E$5:$E$10004,ROW()))</f>
        <v/>
      </c>
      <c r="AO164" s="28">
        <f>IF(OR($G164="",COUNTA(Stangenbelegung!$A$5:$A$10004)=0),"",$G164-AN164)</f>
        <v/>
      </c>
      <c r="AP164" s="29" t="n"/>
      <c r="AQ164" s="9" t="n"/>
      <c r="AR164" s="19" t="n"/>
    </row>
    <row r="165">
      <c r="A165" s="9" t="n"/>
      <c r="B165" s="9" t="n"/>
      <c r="C165" s="9" t="n"/>
      <c r="D165" s="9" t="n"/>
      <c r="E165" s="9" t="n"/>
      <c r="F165" s="23" t="n"/>
      <c r="G165" s="19" t="n"/>
      <c r="H165" s="23" t="n"/>
      <c r="I165" s="24" t="n"/>
      <c r="J165" s="19" t="n"/>
      <c r="K165" s="25">
        <f>IF($D165="","",IFERROR(INDEX(Profile!$B$5:$B$304,MATCH($D165,lst_Profil,0)),""))</f>
        <v/>
      </c>
      <c r="L165" s="13">
        <f>IF($D165="","",IFERROR(INDEX(Profile!$K$5:$K$304,MATCH($D165,lst_Profil,0))+0,""))</f>
        <v/>
      </c>
      <c r="M165" s="26">
        <f>IF($D165="","",IFERROR(INDEX(Profile!$E$5:$E$304,MATCH($D165,lst_Profil,0))+0,""))</f>
        <v/>
      </c>
      <c r="N165" s="27">
        <f>IF(OR(L165="",$E165=""),"",IFERROR(L165*INDEX(Werkstoffe!$E$5:$E$304,MATCH($E165,lst_Werkstoff,0))/1000,""))</f>
        <v/>
      </c>
      <c r="O165" s="27">
        <f>IF(OR(N165="",$F165=""),"",N165*$F165/1000)</f>
        <v/>
      </c>
      <c r="P165" s="16">
        <f>IF(OR($F165="",$G165=""),"",$F165*$G165)</f>
        <v/>
      </c>
      <c r="Q165" s="16">
        <f>IF($D165="","",IF($J165&lt;&gt;"",$J165,$C$9))</f>
        <v/>
      </c>
      <c r="R165" s="12">
        <f>IF($D165="","",IFERROR(IF(INDEX(Profile!$G$5:$G$304,MATCH($D165,lst_Profil,0))&lt;&gt;"",INDEX(Profile!$G$5:$G$304,MATCH($D165,lst_Profil,0)),$H$4),$H$4))</f>
        <v/>
      </c>
      <c r="S165" s="12">
        <f>IF($D165="","",IFERROR(IF(INDEX(Profile!$H$5:$H$304,MATCH($D165,lst_Profil,0))&lt;&gt;"",INDEX(Profile!$H$5:$H$304,MATCH($D165,lst_Profil,0)),$H$5),$H$5))</f>
        <v/>
      </c>
      <c r="T165" s="16">
        <f>IF(OR(Q165="",NOT(ISNUMBER(R165)),NOT(ISNUMBER(S165))),"",Q165-R165-S165)</f>
        <v/>
      </c>
      <c r="U165" s="28">
        <f>IF(OR($D165="",$E165=""),"",IF(OR(N($AP165)&gt;0,COUNTIFS(Preise!$A$5:$A$304,$D165,Preise!$B$5:$B$304,$E165,Preise!$I$5:$I$304,"OK")&gt;0,N(INDEX(Werkstoffe!$G$5:$G$304,MATCH($E165,lst_Werkstoff,0)))&gt;0),"ja","nein"))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28">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Materialpreis",IF(AND($AQ165&lt;&gt;"",N($AR165)&gt;0,MOD($G165,$AR165)&lt;&gt;0),"WARNUNG: Stückzahl ist kein Vielfaches von Stück je Satz",IF($H165="","HINWEIS: Schneidweg fehlt",IF(V165="","HINWEIS: keine Schneiddaten",IF(AND($AF165&lt;&gt;"",$AG165=""),"HINWEIS: Gewinde-Vorschlag prüfen","OK")))))))))))))))</f>
        <v/>
      </c>
      <c r="X165" s="18">
        <f>IF(OR(O165="",$G165=""),"",O165*$G165)</f>
        <v/>
      </c>
      <c r="Y165" s="9" t="n"/>
      <c r="Z165" s="23" t="n"/>
      <c r="AA165" s="9" t="n"/>
      <c r="AB165" s="23" t="n"/>
      <c r="AC165" s="23" t="n"/>
      <c r="AD165" s="23" t="n"/>
      <c r="AE165" s="9" t="n"/>
      <c r="AF165" s="9" t="n"/>
      <c r="AG165" s="9" t="n"/>
      <c r="AH165" s="24" t="n"/>
      <c r="AI165" s="23" t="n"/>
      <c r="AJ165" s="24" t="n"/>
      <c r="AK165" s="23" t="n"/>
      <c r="AL165" s="24" t="n"/>
      <c r="AM165" s="23" t="n"/>
      <c r="AN165" s="28">
        <f>IF($D165="","",COUNTIFS(Stangenbelegung!$E$5:$E$10004,ROW()))</f>
        <v/>
      </c>
      <c r="AO165" s="28">
        <f>IF(OR($G165="",COUNTA(Stangenbelegung!$A$5:$A$10004)=0),"",$G165-AN165)</f>
        <v/>
      </c>
      <c r="AP165" s="29" t="n"/>
      <c r="AQ165" s="9" t="n"/>
      <c r="AR165" s="19" t="n"/>
    </row>
    <row r="166">
      <c r="A166" s="9" t="n"/>
      <c r="B166" s="9" t="n"/>
      <c r="C166" s="9" t="n"/>
      <c r="D166" s="9" t="n"/>
      <c r="E166" s="9" t="n"/>
      <c r="F166" s="23" t="n"/>
      <c r="G166" s="19" t="n"/>
      <c r="H166" s="23" t="n"/>
      <c r="I166" s="24" t="n"/>
      <c r="J166" s="19" t="n"/>
      <c r="K166" s="25">
        <f>IF($D166="","",IFERROR(INDEX(Profile!$B$5:$B$304,MATCH($D166,lst_Profil,0)),""))</f>
        <v/>
      </c>
      <c r="L166" s="13">
        <f>IF($D166="","",IFERROR(INDEX(Profile!$K$5:$K$304,MATCH($D166,lst_Profil,0))+0,""))</f>
        <v/>
      </c>
      <c r="M166" s="26">
        <f>IF($D166="","",IFERROR(INDEX(Profile!$E$5:$E$304,MATCH($D166,lst_Profil,0))+0,""))</f>
        <v/>
      </c>
      <c r="N166" s="27">
        <f>IF(OR(L166="",$E166=""),"",IFERROR(L166*INDEX(Werkstoffe!$E$5:$E$304,MATCH($E166,lst_Werkstoff,0))/1000,""))</f>
        <v/>
      </c>
      <c r="O166" s="27">
        <f>IF(OR(N166="",$F166=""),"",N166*$F166/1000)</f>
        <v/>
      </c>
      <c r="P166" s="16">
        <f>IF(OR($F166="",$G166=""),"",$F166*$G166)</f>
        <v/>
      </c>
      <c r="Q166" s="16">
        <f>IF($D166="","",IF($J166&lt;&gt;"",$J166,$C$9))</f>
        <v/>
      </c>
      <c r="R166" s="12">
        <f>IF($D166="","",IFERROR(IF(INDEX(Profile!$G$5:$G$304,MATCH($D166,lst_Profil,0))&lt;&gt;"",INDEX(Profile!$G$5:$G$304,MATCH($D166,lst_Profil,0)),$H$4),$H$4))</f>
        <v/>
      </c>
      <c r="S166" s="12">
        <f>IF($D166="","",IFERROR(IF(INDEX(Profile!$H$5:$H$304,MATCH($D166,lst_Profil,0))&lt;&gt;"",INDEX(Profile!$H$5:$H$304,MATCH($D166,lst_Profil,0)),$H$5),$H$5))</f>
        <v/>
      </c>
      <c r="T166" s="16">
        <f>IF(OR(Q166="",NOT(ISNUMBER(R166)),NOT(ISNUMBER(S166))),"",Q166-R166-S166)</f>
        <v/>
      </c>
      <c r="U166" s="28">
        <f>IF(OR($D166="",$E166=""),"",IF(OR(N($AP166)&gt;0,COUNTIFS(Preise!$A$5:$A$304,$D166,Preise!$B$5:$B$304,$E166,Preise!$I$5:$I$304,"OK")&gt;0,N(INDEX(Werkstoffe!$G$5:$G$304,MATCH($E166,lst_Werkstoff,0)))&gt;0),"ja","nein"))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28">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Materialpreis",IF(AND($AQ166&lt;&gt;"",N($AR166)&gt;0,MOD($G166,$AR166)&lt;&gt;0),"WARNUNG: Stückzahl ist kein Vielfaches von Stück je Satz",IF($H166="","HINWEIS: Schneidweg fehlt",IF(V166="","HINWEIS: keine Schneiddaten",IF(AND($AF166&lt;&gt;"",$AG166=""),"HINWEIS: Gewinde-Vorschlag prüfen","OK")))))))))))))))</f>
        <v/>
      </c>
      <c r="X166" s="18">
        <f>IF(OR(O166="",$G166=""),"",O166*$G166)</f>
        <v/>
      </c>
      <c r="Y166" s="9" t="n"/>
      <c r="Z166" s="23" t="n"/>
      <c r="AA166" s="9" t="n"/>
      <c r="AB166" s="23" t="n"/>
      <c r="AC166" s="23" t="n"/>
      <c r="AD166" s="23" t="n"/>
      <c r="AE166" s="9" t="n"/>
      <c r="AF166" s="9" t="n"/>
      <c r="AG166" s="9" t="n"/>
      <c r="AH166" s="24" t="n"/>
      <c r="AI166" s="23" t="n"/>
      <c r="AJ166" s="24" t="n"/>
      <c r="AK166" s="23" t="n"/>
      <c r="AL166" s="24" t="n"/>
      <c r="AM166" s="23" t="n"/>
      <c r="AN166" s="28">
        <f>IF($D166="","",COUNTIFS(Stangenbelegung!$E$5:$E$10004,ROW()))</f>
        <v/>
      </c>
      <c r="AO166" s="28">
        <f>IF(OR($G166="",COUNTA(Stangenbelegung!$A$5:$A$10004)=0),"",$G166-AN166)</f>
        <v/>
      </c>
      <c r="AP166" s="29" t="n"/>
      <c r="AQ166" s="9" t="n"/>
      <c r="AR166" s="19" t="n"/>
    </row>
    <row r="167">
      <c r="A167" s="9" t="n"/>
      <c r="B167" s="9" t="n"/>
      <c r="C167" s="9" t="n"/>
      <c r="D167" s="9" t="n"/>
      <c r="E167" s="9" t="n"/>
      <c r="F167" s="23" t="n"/>
      <c r="G167" s="19" t="n"/>
      <c r="H167" s="23" t="n"/>
      <c r="I167" s="24" t="n"/>
      <c r="J167" s="19" t="n"/>
      <c r="K167" s="25">
        <f>IF($D167="","",IFERROR(INDEX(Profile!$B$5:$B$304,MATCH($D167,lst_Profil,0)),""))</f>
        <v/>
      </c>
      <c r="L167" s="13">
        <f>IF($D167="","",IFERROR(INDEX(Profile!$K$5:$K$304,MATCH($D167,lst_Profil,0))+0,""))</f>
        <v/>
      </c>
      <c r="M167" s="26">
        <f>IF($D167="","",IFERROR(INDEX(Profile!$E$5:$E$304,MATCH($D167,lst_Profil,0))+0,""))</f>
        <v/>
      </c>
      <c r="N167" s="27">
        <f>IF(OR(L167="",$E167=""),"",IFERROR(L167*INDEX(Werkstoffe!$E$5:$E$304,MATCH($E167,lst_Werkstoff,0))/1000,""))</f>
        <v/>
      </c>
      <c r="O167" s="27">
        <f>IF(OR(N167="",$F167=""),"",N167*$F167/1000)</f>
        <v/>
      </c>
      <c r="P167" s="16">
        <f>IF(OR($F167="",$G167=""),"",$F167*$G167)</f>
        <v/>
      </c>
      <c r="Q167" s="16">
        <f>IF($D167="","",IF($J167&lt;&gt;"",$J167,$C$9))</f>
        <v/>
      </c>
      <c r="R167" s="12">
        <f>IF($D167="","",IFERROR(IF(INDEX(Profile!$G$5:$G$304,MATCH($D167,lst_Profil,0))&lt;&gt;"",INDEX(Profile!$G$5:$G$304,MATCH($D167,lst_Profil,0)),$H$4),$H$4))</f>
        <v/>
      </c>
      <c r="S167" s="12">
        <f>IF($D167="","",IFERROR(IF(INDEX(Profile!$H$5:$H$304,MATCH($D167,lst_Profil,0))&lt;&gt;"",INDEX(Profile!$H$5:$H$304,MATCH($D167,lst_Profil,0)),$H$5),$H$5))</f>
        <v/>
      </c>
      <c r="T167" s="16">
        <f>IF(OR(Q167="",NOT(ISNUMBER(R167)),NOT(ISNUMBER(S167))),"",Q167-R167-S167)</f>
        <v/>
      </c>
      <c r="U167" s="28">
        <f>IF(OR($D167="",$E167=""),"",IF(OR(N($AP167)&gt;0,COUNTIFS(Preise!$A$5:$A$304,$D167,Preise!$B$5:$B$304,$E167,Preise!$I$5:$I$304,"OK")&gt;0,N(INDEX(Werkstoffe!$G$5:$G$304,MATCH($E167,lst_Werkstoff,0)))&gt;0),"ja","nein"))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28">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Materialpreis",IF(AND($AQ167&lt;&gt;"",N($AR167)&gt;0,MOD($G167,$AR167)&lt;&gt;0),"WARNUNG: Stückzahl ist kein Vielfaches von Stück je Satz",IF($H167="","HINWEIS: Schneidweg fehlt",IF(V167="","HINWEIS: keine Schneiddaten",IF(AND($AF167&lt;&gt;"",$AG167=""),"HINWEIS: Gewinde-Vorschlag prüfen","OK")))))))))))))))</f>
        <v/>
      </c>
      <c r="X167" s="18">
        <f>IF(OR(O167="",$G167=""),"",O167*$G167)</f>
        <v/>
      </c>
      <c r="Y167" s="9" t="n"/>
      <c r="Z167" s="23" t="n"/>
      <c r="AA167" s="9" t="n"/>
      <c r="AB167" s="23" t="n"/>
      <c r="AC167" s="23" t="n"/>
      <c r="AD167" s="23" t="n"/>
      <c r="AE167" s="9" t="n"/>
      <c r="AF167" s="9" t="n"/>
      <c r="AG167" s="9" t="n"/>
      <c r="AH167" s="24" t="n"/>
      <c r="AI167" s="23" t="n"/>
      <c r="AJ167" s="24" t="n"/>
      <c r="AK167" s="23" t="n"/>
      <c r="AL167" s="24" t="n"/>
      <c r="AM167" s="23" t="n"/>
      <c r="AN167" s="28">
        <f>IF($D167="","",COUNTIFS(Stangenbelegung!$E$5:$E$10004,ROW()))</f>
        <v/>
      </c>
      <c r="AO167" s="28">
        <f>IF(OR($G167="",COUNTA(Stangenbelegung!$A$5:$A$10004)=0),"",$G167-AN167)</f>
        <v/>
      </c>
      <c r="AP167" s="29" t="n"/>
      <c r="AQ167" s="9" t="n"/>
      <c r="AR167" s="19" t="n"/>
    </row>
    <row r="168">
      <c r="A168" s="9" t="n"/>
      <c r="B168" s="9" t="n"/>
      <c r="C168" s="9" t="n"/>
      <c r="D168" s="9" t="n"/>
      <c r="E168" s="9" t="n"/>
      <c r="F168" s="23" t="n"/>
      <c r="G168" s="19" t="n"/>
      <c r="H168" s="23" t="n"/>
      <c r="I168" s="24" t="n"/>
      <c r="J168" s="19" t="n"/>
      <c r="K168" s="25">
        <f>IF($D168="","",IFERROR(INDEX(Profile!$B$5:$B$304,MATCH($D168,lst_Profil,0)),""))</f>
        <v/>
      </c>
      <c r="L168" s="13">
        <f>IF($D168="","",IFERROR(INDEX(Profile!$K$5:$K$304,MATCH($D168,lst_Profil,0))+0,""))</f>
        <v/>
      </c>
      <c r="M168" s="26">
        <f>IF($D168="","",IFERROR(INDEX(Profile!$E$5:$E$304,MATCH($D168,lst_Profil,0))+0,""))</f>
        <v/>
      </c>
      <c r="N168" s="27">
        <f>IF(OR(L168="",$E168=""),"",IFERROR(L168*INDEX(Werkstoffe!$E$5:$E$304,MATCH($E168,lst_Werkstoff,0))/1000,""))</f>
        <v/>
      </c>
      <c r="O168" s="27">
        <f>IF(OR(N168="",$F168=""),"",N168*$F168/1000)</f>
        <v/>
      </c>
      <c r="P168" s="16">
        <f>IF(OR($F168="",$G168=""),"",$F168*$G168)</f>
        <v/>
      </c>
      <c r="Q168" s="16">
        <f>IF($D168="","",IF($J168&lt;&gt;"",$J168,$C$9))</f>
        <v/>
      </c>
      <c r="R168" s="12">
        <f>IF($D168="","",IFERROR(IF(INDEX(Profile!$G$5:$G$304,MATCH($D168,lst_Profil,0))&lt;&gt;"",INDEX(Profile!$G$5:$G$304,MATCH($D168,lst_Profil,0)),$H$4),$H$4))</f>
        <v/>
      </c>
      <c r="S168" s="12">
        <f>IF($D168="","",IFERROR(IF(INDEX(Profile!$H$5:$H$304,MATCH($D168,lst_Profil,0))&lt;&gt;"",INDEX(Profile!$H$5:$H$304,MATCH($D168,lst_Profil,0)),$H$5),$H$5))</f>
        <v/>
      </c>
      <c r="T168" s="16">
        <f>IF(OR(Q168="",NOT(ISNUMBER(R168)),NOT(ISNUMBER(S168))),"",Q168-R168-S168)</f>
        <v/>
      </c>
      <c r="U168" s="28">
        <f>IF(OR($D168="",$E168=""),"",IF(OR(N($AP168)&gt;0,COUNTIFS(Preise!$A$5:$A$304,$D168,Preise!$B$5:$B$304,$E168,Preise!$I$5:$I$304,"OK")&gt;0,N(INDEX(Werkstoffe!$G$5:$G$304,MATCH($E168,lst_Werkstoff,0)))&gt;0),"ja","nein"))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28">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Materialpreis",IF(AND($AQ168&lt;&gt;"",N($AR168)&gt;0,MOD($G168,$AR168)&lt;&gt;0),"WARNUNG: Stückzahl ist kein Vielfaches von Stück je Satz",IF($H168="","HINWEIS: Schneidweg fehlt",IF(V168="","HINWEIS: keine Schneiddaten",IF(AND($AF168&lt;&gt;"",$AG168=""),"HINWEIS: Gewinde-Vorschlag prüfen","OK")))))))))))))))</f>
        <v/>
      </c>
      <c r="X168" s="18">
        <f>IF(OR(O168="",$G168=""),"",O168*$G168)</f>
        <v/>
      </c>
      <c r="Y168" s="9" t="n"/>
      <c r="Z168" s="23" t="n"/>
      <c r="AA168" s="9" t="n"/>
      <c r="AB168" s="23" t="n"/>
      <c r="AC168" s="23" t="n"/>
      <c r="AD168" s="23" t="n"/>
      <c r="AE168" s="9" t="n"/>
      <c r="AF168" s="9" t="n"/>
      <c r="AG168" s="9" t="n"/>
      <c r="AH168" s="24" t="n"/>
      <c r="AI168" s="23" t="n"/>
      <c r="AJ168" s="24" t="n"/>
      <c r="AK168" s="23" t="n"/>
      <c r="AL168" s="24" t="n"/>
      <c r="AM168" s="23" t="n"/>
      <c r="AN168" s="28">
        <f>IF($D168="","",COUNTIFS(Stangenbelegung!$E$5:$E$10004,ROW()))</f>
        <v/>
      </c>
      <c r="AO168" s="28">
        <f>IF(OR($G168="",COUNTA(Stangenbelegung!$A$5:$A$10004)=0),"",$G168-AN168)</f>
        <v/>
      </c>
      <c r="AP168" s="29" t="n"/>
      <c r="AQ168" s="9" t="n"/>
      <c r="AR168" s="19" t="n"/>
    </row>
    <row r="169">
      <c r="A169" s="9" t="n"/>
      <c r="B169" s="9" t="n"/>
      <c r="C169" s="9" t="n"/>
      <c r="D169" s="9" t="n"/>
      <c r="E169" s="9" t="n"/>
      <c r="F169" s="23" t="n"/>
      <c r="G169" s="19" t="n"/>
      <c r="H169" s="23" t="n"/>
      <c r="I169" s="24" t="n"/>
      <c r="J169" s="19" t="n"/>
      <c r="K169" s="25">
        <f>IF($D169="","",IFERROR(INDEX(Profile!$B$5:$B$304,MATCH($D169,lst_Profil,0)),""))</f>
        <v/>
      </c>
      <c r="L169" s="13">
        <f>IF($D169="","",IFERROR(INDEX(Profile!$K$5:$K$304,MATCH($D169,lst_Profil,0))+0,""))</f>
        <v/>
      </c>
      <c r="M169" s="26">
        <f>IF($D169="","",IFERROR(INDEX(Profile!$E$5:$E$304,MATCH($D169,lst_Profil,0))+0,""))</f>
        <v/>
      </c>
      <c r="N169" s="27">
        <f>IF(OR(L169="",$E169=""),"",IFERROR(L169*INDEX(Werkstoffe!$E$5:$E$304,MATCH($E169,lst_Werkstoff,0))/1000,""))</f>
        <v/>
      </c>
      <c r="O169" s="27">
        <f>IF(OR(N169="",$F169=""),"",N169*$F169/1000)</f>
        <v/>
      </c>
      <c r="P169" s="16">
        <f>IF(OR($F169="",$G169=""),"",$F169*$G169)</f>
        <v/>
      </c>
      <c r="Q169" s="16">
        <f>IF($D169="","",IF($J169&lt;&gt;"",$J169,$C$9))</f>
        <v/>
      </c>
      <c r="R169" s="12">
        <f>IF($D169="","",IFERROR(IF(INDEX(Profile!$G$5:$G$304,MATCH($D169,lst_Profil,0))&lt;&gt;"",INDEX(Profile!$G$5:$G$304,MATCH($D169,lst_Profil,0)),$H$4),$H$4))</f>
        <v/>
      </c>
      <c r="S169" s="12">
        <f>IF($D169="","",IFERROR(IF(INDEX(Profile!$H$5:$H$304,MATCH($D169,lst_Profil,0))&lt;&gt;"",INDEX(Profile!$H$5:$H$304,MATCH($D169,lst_Profil,0)),$H$5),$H$5))</f>
        <v/>
      </c>
      <c r="T169" s="16">
        <f>IF(OR(Q169="",NOT(ISNUMBER(R169)),NOT(ISNUMBER(S169))),"",Q169-R169-S169)</f>
        <v/>
      </c>
      <c r="U169" s="28">
        <f>IF(OR($D169="",$E169=""),"",IF(OR(N($AP169)&gt;0,COUNTIFS(Preise!$A$5:$A$304,$D169,Preise!$B$5:$B$304,$E169,Preise!$I$5:$I$304,"OK")&gt;0,N(INDEX(Werkstoffe!$G$5:$G$304,MATCH($E169,lst_Werkstoff,0)))&gt;0),"ja","nein"))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28">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Materialpreis",IF(AND($AQ169&lt;&gt;"",N($AR169)&gt;0,MOD($G169,$AR169)&lt;&gt;0),"WARNUNG: Stückzahl ist kein Vielfaches von Stück je Satz",IF($H169="","HINWEIS: Schneidweg fehlt",IF(V169="","HINWEIS: keine Schneiddaten",IF(AND($AF169&lt;&gt;"",$AG169=""),"HINWEIS: Gewinde-Vorschlag prüfen","OK")))))))))))))))</f>
        <v/>
      </c>
      <c r="X169" s="18">
        <f>IF(OR(O169="",$G169=""),"",O169*$G169)</f>
        <v/>
      </c>
      <c r="Y169" s="9" t="n"/>
      <c r="Z169" s="23" t="n"/>
      <c r="AA169" s="9" t="n"/>
      <c r="AB169" s="23" t="n"/>
      <c r="AC169" s="23" t="n"/>
      <c r="AD169" s="23" t="n"/>
      <c r="AE169" s="9" t="n"/>
      <c r="AF169" s="9" t="n"/>
      <c r="AG169" s="9" t="n"/>
      <c r="AH169" s="24" t="n"/>
      <c r="AI169" s="23" t="n"/>
      <c r="AJ169" s="24" t="n"/>
      <c r="AK169" s="23" t="n"/>
      <c r="AL169" s="24" t="n"/>
      <c r="AM169" s="23" t="n"/>
      <c r="AN169" s="28">
        <f>IF($D169="","",COUNTIFS(Stangenbelegung!$E$5:$E$10004,ROW()))</f>
        <v/>
      </c>
      <c r="AO169" s="28">
        <f>IF(OR($G169="",COUNTA(Stangenbelegung!$A$5:$A$10004)=0),"",$G169-AN169)</f>
        <v/>
      </c>
      <c r="AP169" s="29" t="n"/>
      <c r="AQ169" s="9" t="n"/>
      <c r="AR169" s="19" t="n"/>
    </row>
    <row r="170">
      <c r="A170" s="9" t="n"/>
      <c r="B170" s="9" t="n"/>
      <c r="C170" s="9" t="n"/>
      <c r="D170" s="9" t="n"/>
      <c r="E170" s="9" t="n"/>
      <c r="F170" s="23" t="n"/>
      <c r="G170" s="19" t="n"/>
      <c r="H170" s="23" t="n"/>
      <c r="I170" s="24" t="n"/>
      <c r="J170" s="19" t="n"/>
      <c r="K170" s="25">
        <f>IF($D170="","",IFERROR(INDEX(Profile!$B$5:$B$304,MATCH($D170,lst_Profil,0)),""))</f>
        <v/>
      </c>
      <c r="L170" s="13">
        <f>IF($D170="","",IFERROR(INDEX(Profile!$K$5:$K$304,MATCH($D170,lst_Profil,0))+0,""))</f>
        <v/>
      </c>
      <c r="M170" s="26">
        <f>IF($D170="","",IFERROR(INDEX(Profile!$E$5:$E$304,MATCH($D170,lst_Profil,0))+0,""))</f>
        <v/>
      </c>
      <c r="N170" s="27">
        <f>IF(OR(L170="",$E170=""),"",IFERROR(L170*INDEX(Werkstoffe!$E$5:$E$304,MATCH($E170,lst_Werkstoff,0))/1000,""))</f>
        <v/>
      </c>
      <c r="O170" s="27">
        <f>IF(OR(N170="",$F170=""),"",N170*$F170/1000)</f>
        <v/>
      </c>
      <c r="P170" s="16">
        <f>IF(OR($F170="",$G170=""),"",$F170*$G170)</f>
        <v/>
      </c>
      <c r="Q170" s="16">
        <f>IF($D170="","",IF($J170&lt;&gt;"",$J170,$C$9))</f>
        <v/>
      </c>
      <c r="R170" s="12">
        <f>IF($D170="","",IFERROR(IF(INDEX(Profile!$G$5:$G$304,MATCH($D170,lst_Profil,0))&lt;&gt;"",INDEX(Profile!$G$5:$G$304,MATCH($D170,lst_Profil,0)),$H$4),$H$4))</f>
        <v/>
      </c>
      <c r="S170" s="12">
        <f>IF($D170="","",IFERROR(IF(INDEX(Profile!$H$5:$H$304,MATCH($D170,lst_Profil,0))&lt;&gt;"",INDEX(Profile!$H$5:$H$304,MATCH($D170,lst_Profil,0)),$H$5),$H$5))</f>
        <v/>
      </c>
      <c r="T170" s="16">
        <f>IF(OR(Q170="",NOT(ISNUMBER(R170)),NOT(ISNUMBER(S170))),"",Q170-R170-S170)</f>
        <v/>
      </c>
      <c r="U170" s="28">
        <f>IF(OR($D170="",$E170=""),"",IF(OR(N($AP170)&gt;0,COUNTIFS(Preise!$A$5:$A$304,$D170,Preise!$B$5:$B$304,$E170,Preise!$I$5:$I$304,"OK")&gt;0,N(INDEX(Werkstoffe!$G$5:$G$304,MATCH($E170,lst_Werkstoff,0)))&gt;0),"ja","nein"))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28">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Materialpreis",IF(AND($AQ170&lt;&gt;"",N($AR170)&gt;0,MOD($G170,$AR170)&lt;&gt;0),"WARNUNG: Stückzahl ist kein Vielfaches von Stück je Satz",IF($H170="","HINWEIS: Schneidweg fehlt",IF(V170="","HINWEIS: keine Schneiddaten",IF(AND($AF170&lt;&gt;"",$AG170=""),"HINWEIS: Gewinde-Vorschlag prüfen","OK")))))))))))))))</f>
        <v/>
      </c>
      <c r="X170" s="18">
        <f>IF(OR(O170="",$G170=""),"",O170*$G170)</f>
        <v/>
      </c>
      <c r="Y170" s="9" t="n"/>
      <c r="Z170" s="23" t="n"/>
      <c r="AA170" s="9" t="n"/>
      <c r="AB170" s="23" t="n"/>
      <c r="AC170" s="23" t="n"/>
      <c r="AD170" s="23" t="n"/>
      <c r="AE170" s="9" t="n"/>
      <c r="AF170" s="9" t="n"/>
      <c r="AG170" s="9" t="n"/>
      <c r="AH170" s="24" t="n"/>
      <c r="AI170" s="23" t="n"/>
      <c r="AJ170" s="24" t="n"/>
      <c r="AK170" s="23" t="n"/>
      <c r="AL170" s="24" t="n"/>
      <c r="AM170" s="23" t="n"/>
      <c r="AN170" s="28">
        <f>IF($D170="","",COUNTIFS(Stangenbelegung!$E$5:$E$10004,ROW()))</f>
        <v/>
      </c>
      <c r="AO170" s="28">
        <f>IF(OR($G170="",COUNTA(Stangenbelegung!$A$5:$A$10004)=0),"",$G170-AN170)</f>
        <v/>
      </c>
      <c r="AP170" s="29" t="n"/>
      <c r="AQ170" s="9" t="n"/>
      <c r="AR170" s="19" t="n"/>
    </row>
    <row r="171">
      <c r="A171" s="9" t="n"/>
      <c r="B171" s="9" t="n"/>
      <c r="C171" s="9" t="n"/>
      <c r="D171" s="9" t="n"/>
      <c r="E171" s="9" t="n"/>
      <c r="F171" s="23" t="n"/>
      <c r="G171" s="19" t="n"/>
      <c r="H171" s="23" t="n"/>
      <c r="I171" s="24" t="n"/>
      <c r="J171" s="19" t="n"/>
      <c r="K171" s="25">
        <f>IF($D171="","",IFERROR(INDEX(Profile!$B$5:$B$304,MATCH($D171,lst_Profil,0)),""))</f>
        <v/>
      </c>
      <c r="L171" s="13">
        <f>IF($D171="","",IFERROR(INDEX(Profile!$K$5:$K$304,MATCH($D171,lst_Profil,0))+0,""))</f>
        <v/>
      </c>
      <c r="M171" s="26">
        <f>IF($D171="","",IFERROR(INDEX(Profile!$E$5:$E$304,MATCH($D171,lst_Profil,0))+0,""))</f>
        <v/>
      </c>
      <c r="N171" s="27">
        <f>IF(OR(L171="",$E171=""),"",IFERROR(L171*INDEX(Werkstoffe!$E$5:$E$304,MATCH($E171,lst_Werkstoff,0))/1000,""))</f>
        <v/>
      </c>
      <c r="O171" s="27">
        <f>IF(OR(N171="",$F171=""),"",N171*$F171/1000)</f>
        <v/>
      </c>
      <c r="P171" s="16">
        <f>IF(OR($F171="",$G171=""),"",$F171*$G171)</f>
        <v/>
      </c>
      <c r="Q171" s="16">
        <f>IF($D171="","",IF($J171&lt;&gt;"",$J171,$C$9))</f>
        <v/>
      </c>
      <c r="R171" s="12">
        <f>IF($D171="","",IFERROR(IF(INDEX(Profile!$G$5:$G$304,MATCH($D171,lst_Profil,0))&lt;&gt;"",INDEX(Profile!$G$5:$G$304,MATCH($D171,lst_Profil,0)),$H$4),$H$4))</f>
        <v/>
      </c>
      <c r="S171" s="12">
        <f>IF($D171="","",IFERROR(IF(INDEX(Profile!$H$5:$H$304,MATCH($D171,lst_Profil,0))&lt;&gt;"",INDEX(Profile!$H$5:$H$304,MATCH($D171,lst_Profil,0)),$H$5),$H$5))</f>
        <v/>
      </c>
      <c r="T171" s="16">
        <f>IF(OR(Q171="",NOT(ISNUMBER(R171)),NOT(ISNUMBER(S171))),"",Q171-R171-S171)</f>
        <v/>
      </c>
      <c r="U171" s="28">
        <f>IF(OR($D171="",$E171=""),"",IF(OR(N($AP171)&gt;0,COUNTIFS(Preise!$A$5:$A$304,$D171,Preise!$B$5:$B$304,$E171,Preise!$I$5:$I$304,"OK")&gt;0,N(INDEX(Werkstoffe!$G$5:$G$304,MATCH($E171,lst_Werkstoff,0)))&gt;0),"ja","nein"))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28">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Materialpreis",IF(AND($AQ171&lt;&gt;"",N($AR171)&gt;0,MOD($G171,$AR171)&lt;&gt;0),"WARNUNG: Stückzahl ist kein Vielfaches von Stück je Satz",IF($H171="","HINWEIS: Schneidweg fehlt",IF(V171="","HINWEIS: keine Schneiddaten",IF(AND($AF171&lt;&gt;"",$AG171=""),"HINWEIS: Gewinde-Vorschlag prüfen","OK")))))))))))))))</f>
        <v/>
      </c>
      <c r="X171" s="18">
        <f>IF(OR(O171="",$G171=""),"",O171*$G171)</f>
        <v/>
      </c>
      <c r="Y171" s="9" t="n"/>
      <c r="Z171" s="23" t="n"/>
      <c r="AA171" s="9" t="n"/>
      <c r="AB171" s="23" t="n"/>
      <c r="AC171" s="23" t="n"/>
      <c r="AD171" s="23" t="n"/>
      <c r="AE171" s="9" t="n"/>
      <c r="AF171" s="9" t="n"/>
      <c r="AG171" s="9" t="n"/>
      <c r="AH171" s="24" t="n"/>
      <c r="AI171" s="23" t="n"/>
      <c r="AJ171" s="24" t="n"/>
      <c r="AK171" s="23" t="n"/>
      <c r="AL171" s="24" t="n"/>
      <c r="AM171" s="23" t="n"/>
      <c r="AN171" s="28">
        <f>IF($D171="","",COUNTIFS(Stangenbelegung!$E$5:$E$10004,ROW()))</f>
        <v/>
      </c>
      <c r="AO171" s="28">
        <f>IF(OR($G171="",COUNTA(Stangenbelegung!$A$5:$A$10004)=0),"",$G171-AN171)</f>
        <v/>
      </c>
      <c r="AP171" s="29" t="n"/>
      <c r="AQ171" s="9" t="n"/>
      <c r="AR171" s="19" t="n"/>
    </row>
    <row r="172">
      <c r="A172" s="9" t="n"/>
      <c r="B172" s="9" t="n"/>
      <c r="C172" s="9" t="n"/>
      <c r="D172" s="9" t="n"/>
      <c r="E172" s="9" t="n"/>
      <c r="F172" s="23" t="n"/>
      <c r="G172" s="19" t="n"/>
      <c r="H172" s="23" t="n"/>
      <c r="I172" s="24" t="n"/>
      <c r="J172" s="19" t="n"/>
      <c r="K172" s="25">
        <f>IF($D172="","",IFERROR(INDEX(Profile!$B$5:$B$304,MATCH($D172,lst_Profil,0)),""))</f>
        <v/>
      </c>
      <c r="L172" s="13">
        <f>IF($D172="","",IFERROR(INDEX(Profile!$K$5:$K$304,MATCH($D172,lst_Profil,0))+0,""))</f>
        <v/>
      </c>
      <c r="M172" s="26">
        <f>IF($D172="","",IFERROR(INDEX(Profile!$E$5:$E$304,MATCH($D172,lst_Profil,0))+0,""))</f>
        <v/>
      </c>
      <c r="N172" s="27">
        <f>IF(OR(L172="",$E172=""),"",IFERROR(L172*INDEX(Werkstoffe!$E$5:$E$304,MATCH($E172,lst_Werkstoff,0))/1000,""))</f>
        <v/>
      </c>
      <c r="O172" s="27">
        <f>IF(OR(N172="",$F172=""),"",N172*$F172/1000)</f>
        <v/>
      </c>
      <c r="P172" s="16">
        <f>IF(OR($F172="",$G172=""),"",$F172*$G172)</f>
        <v/>
      </c>
      <c r="Q172" s="16">
        <f>IF($D172="","",IF($J172&lt;&gt;"",$J172,$C$9))</f>
        <v/>
      </c>
      <c r="R172" s="12">
        <f>IF($D172="","",IFERROR(IF(INDEX(Profile!$G$5:$G$304,MATCH($D172,lst_Profil,0))&lt;&gt;"",INDEX(Profile!$G$5:$G$304,MATCH($D172,lst_Profil,0)),$H$4),$H$4))</f>
        <v/>
      </c>
      <c r="S172" s="12">
        <f>IF($D172="","",IFERROR(IF(INDEX(Profile!$H$5:$H$304,MATCH($D172,lst_Profil,0))&lt;&gt;"",INDEX(Profile!$H$5:$H$304,MATCH($D172,lst_Profil,0)),$H$5),$H$5))</f>
        <v/>
      </c>
      <c r="T172" s="16">
        <f>IF(OR(Q172="",NOT(ISNUMBER(R172)),NOT(ISNUMBER(S172))),"",Q172-R172-S172)</f>
        <v/>
      </c>
      <c r="U172" s="28">
        <f>IF(OR($D172="",$E172=""),"",IF(OR(N($AP172)&gt;0,COUNTIFS(Preise!$A$5:$A$304,$D172,Preise!$B$5:$B$304,$E172,Preise!$I$5:$I$304,"OK")&gt;0,N(INDEX(Werkstoffe!$G$5:$G$304,MATCH($E172,lst_Werkstoff,0)))&gt;0),"ja","nein"))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28">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Materialpreis",IF(AND($AQ172&lt;&gt;"",N($AR172)&gt;0,MOD($G172,$AR172)&lt;&gt;0),"WARNUNG: Stückzahl ist kein Vielfaches von Stück je Satz",IF($H172="","HINWEIS: Schneidweg fehlt",IF(V172="","HINWEIS: keine Schneiddaten",IF(AND($AF172&lt;&gt;"",$AG172=""),"HINWEIS: Gewinde-Vorschlag prüfen","OK")))))))))))))))</f>
        <v/>
      </c>
      <c r="X172" s="18">
        <f>IF(OR(O172="",$G172=""),"",O172*$G172)</f>
        <v/>
      </c>
      <c r="Y172" s="9" t="n"/>
      <c r="Z172" s="23" t="n"/>
      <c r="AA172" s="9" t="n"/>
      <c r="AB172" s="23" t="n"/>
      <c r="AC172" s="23" t="n"/>
      <c r="AD172" s="23" t="n"/>
      <c r="AE172" s="9" t="n"/>
      <c r="AF172" s="9" t="n"/>
      <c r="AG172" s="9" t="n"/>
      <c r="AH172" s="24" t="n"/>
      <c r="AI172" s="23" t="n"/>
      <c r="AJ172" s="24" t="n"/>
      <c r="AK172" s="23" t="n"/>
      <c r="AL172" s="24" t="n"/>
      <c r="AM172" s="23" t="n"/>
      <c r="AN172" s="28">
        <f>IF($D172="","",COUNTIFS(Stangenbelegung!$E$5:$E$10004,ROW()))</f>
        <v/>
      </c>
      <c r="AO172" s="28">
        <f>IF(OR($G172="",COUNTA(Stangenbelegung!$A$5:$A$10004)=0),"",$G172-AN172)</f>
        <v/>
      </c>
      <c r="AP172" s="29" t="n"/>
      <c r="AQ172" s="9" t="n"/>
      <c r="AR172" s="19" t="n"/>
    </row>
    <row r="173">
      <c r="A173" s="9" t="n"/>
      <c r="B173" s="9" t="n"/>
      <c r="C173" s="9" t="n"/>
      <c r="D173" s="9" t="n"/>
      <c r="E173" s="9" t="n"/>
      <c r="F173" s="23" t="n"/>
      <c r="G173" s="19" t="n"/>
      <c r="H173" s="23" t="n"/>
      <c r="I173" s="24" t="n"/>
      <c r="J173" s="19" t="n"/>
      <c r="K173" s="25">
        <f>IF($D173="","",IFERROR(INDEX(Profile!$B$5:$B$304,MATCH($D173,lst_Profil,0)),""))</f>
        <v/>
      </c>
      <c r="L173" s="13">
        <f>IF($D173="","",IFERROR(INDEX(Profile!$K$5:$K$304,MATCH($D173,lst_Profil,0))+0,""))</f>
        <v/>
      </c>
      <c r="M173" s="26">
        <f>IF($D173="","",IFERROR(INDEX(Profile!$E$5:$E$304,MATCH($D173,lst_Profil,0))+0,""))</f>
        <v/>
      </c>
      <c r="N173" s="27">
        <f>IF(OR(L173="",$E173=""),"",IFERROR(L173*INDEX(Werkstoffe!$E$5:$E$304,MATCH($E173,lst_Werkstoff,0))/1000,""))</f>
        <v/>
      </c>
      <c r="O173" s="27">
        <f>IF(OR(N173="",$F173=""),"",N173*$F173/1000)</f>
        <v/>
      </c>
      <c r="P173" s="16">
        <f>IF(OR($F173="",$G173=""),"",$F173*$G173)</f>
        <v/>
      </c>
      <c r="Q173" s="16">
        <f>IF($D173="","",IF($J173&lt;&gt;"",$J173,$C$9))</f>
        <v/>
      </c>
      <c r="R173" s="12">
        <f>IF($D173="","",IFERROR(IF(INDEX(Profile!$G$5:$G$304,MATCH($D173,lst_Profil,0))&lt;&gt;"",INDEX(Profile!$G$5:$G$304,MATCH($D173,lst_Profil,0)),$H$4),$H$4))</f>
        <v/>
      </c>
      <c r="S173" s="12">
        <f>IF($D173="","",IFERROR(IF(INDEX(Profile!$H$5:$H$304,MATCH($D173,lst_Profil,0))&lt;&gt;"",INDEX(Profile!$H$5:$H$304,MATCH($D173,lst_Profil,0)),$H$5),$H$5))</f>
        <v/>
      </c>
      <c r="T173" s="16">
        <f>IF(OR(Q173="",NOT(ISNUMBER(R173)),NOT(ISNUMBER(S173))),"",Q173-R173-S173)</f>
        <v/>
      </c>
      <c r="U173" s="28">
        <f>IF(OR($D173="",$E173=""),"",IF(OR(N($AP173)&gt;0,COUNTIFS(Preise!$A$5:$A$304,$D173,Preise!$B$5:$B$304,$E173,Preise!$I$5:$I$304,"OK")&gt;0,N(INDEX(Werkstoffe!$G$5:$G$304,MATCH($E173,lst_Werkstoff,0)))&gt;0),"ja","nein"))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28">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Materialpreis",IF(AND($AQ173&lt;&gt;"",N($AR173)&gt;0,MOD($G173,$AR173)&lt;&gt;0),"WARNUNG: Stückzahl ist kein Vielfaches von Stück je Satz",IF($H173="","HINWEIS: Schneidweg fehlt",IF(V173="","HINWEIS: keine Schneiddaten",IF(AND($AF173&lt;&gt;"",$AG173=""),"HINWEIS: Gewinde-Vorschlag prüfen","OK")))))))))))))))</f>
        <v/>
      </c>
      <c r="X173" s="18">
        <f>IF(OR(O173="",$G173=""),"",O173*$G173)</f>
        <v/>
      </c>
      <c r="Y173" s="9" t="n"/>
      <c r="Z173" s="23" t="n"/>
      <c r="AA173" s="9" t="n"/>
      <c r="AB173" s="23" t="n"/>
      <c r="AC173" s="23" t="n"/>
      <c r="AD173" s="23" t="n"/>
      <c r="AE173" s="9" t="n"/>
      <c r="AF173" s="9" t="n"/>
      <c r="AG173" s="9" t="n"/>
      <c r="AH173" s="24" t="n"/>
      <c r="AI173" s="23" t="n"/>
      <c r="AJ173" s="24" t="n"/>
      <c r="AK173" s="23" t="n"/>
      <c r="AL173" s="24" t="n"/>
      <c r="AM173" s="23" t="n"/>
      <c r="AN173" s="28">
        <f>IF($D173="","",COUNTIFS(Stangenbelegung!$E$5:$E$10004,ROW()))</f>
        <v/>
      </c>
      <c r="AO173" s="28">
        <f>IF(OR($G173="",COUNTA(Stangenbelegung!$A$5:$A$10004)=0),"",$G173-AN173)</f>
        <v/>
      </c>
      <c r="AP173" s="29" t="n"/>
      <c r="AQ173" s="9" t="n"/>
      <c r="AR173" s="19" t="n"/>
    </row>
    <row r="174">
      <c r="A174" s="9" t="n"/>
      <c r="B174" s="9" t="n"/>
      <c r="C174" s="9" t="n"/>
      <c r="D174" s="9" t="n"/>
      <c r="E174" s="9" t="n"/>
      <c r="F174" s="23" t="n"/>
      <c r="G174" s="19" t="n"/>
      <c r="H174" s="23" t="n"/>
      <c r="I174" s="24" t="n"/>
      <c r="J174" s="19" t="n"/>
      <c r="K174" s="25">
        <f>IF($D174="","",IFERROR(INDEX(Profile!$B$5:$B$304,MATCH($D174,lst_Profil,0)),""))</f>
        <v/>
      </c>
      <c r="L174" s="13">
        <f>IF($D174="","",IFERROR(INDEX(Profile!$K$5:$K$304,MATCH($D174,lst_Profil,0))+0,""))</f>
        <v/>
      </c>
      <c r="M174" s="26">
        <f>IF($D174="","",IFERROR(INDEX(Profile!$E$5:$E$304,MATCH($D174,lst_Profil,0))+0,""))</f>
        <v/>
      </c>
      <c r="N174" s="27">
        <f>IF(OR(L174="",$E174=""),"",IFERROR(L174*INDEX(Werkstoffe!$E$5:$E$304,MATCH($E174,lst_Werkstoff,0))/1000,""))</f>
        <v/>
      </c>
      <c r="O174" s="27">
        <f>IF(OR(N174="",$F174=""),"",N174*$F174/1000)</f>
        <v/>
      </c>
      <c r="P174" s="16">
        <f>IF(OR($F174="",$G174=""),"",$F174*$G174)</f>
        <v/>
      </c>
      <c r="Q174" s="16">
        <f>IF($D174="","",IF($J174&lt;&gt;"",$J174,$C$9))</f>
        <v/>
      </c>
      <c r="R174" s="12">
        <f>IF($D174="","",IFERROR(IF(INDEX(Profile!$G$5:$G$304,MATCH($D174,lst_Profil,0))&lt;&gt;"",INDEX(Profile!$G$5:$G$304,MATCH($D174,lst_Profil,0)),$H$4),$H$4))</f>
        <v/>
      </c>
      <c r="S174" s="12">
        <f>IF($D174="","",IFERROR(IF(INDEX(Profile!$H$5:$H$304,MATCH($D174,lst_Profil,0))&lt;&gt;"",INDEX(Profile!$H$5:$H$304,MATCH($D174,lst_Profil,0)),$H$5),$H$5))</f>
        <v/>
      </c>
      <c r="T174" s="16">
        <f>IF(OR(Q174="",NOT(ISNUMBER(R174)),NOT(ISNUMBER(S174))),"",Q174-R174-S174)</f>
        <v/>
      </c>
      <c r="U174" s="28">
        <f>IF(OR($D174="",$E174=""),"",IF(OR(N($AP174)&gt;0,COUNTIFS(Preise!$A$5:$A$304,$D174,Preise!$B$5:$B$304,$E174,Preise!$I$5:$I$304,"OK")&gt;0,N(INDEX(Werkstoffe!$G$5:$G$304,MATCH($E174,lst_Werkstoff,0)))&gt;0),"ja","nein"))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28">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Materialpreis",IF(AND($AQ174&lt;&gt;"",N($AR174)&gt;0,MOD($G174,$AR174)&lt;&gt;0),"WARNUNG: Stückzahl ist kein Vielfaches von Stück je Satz",IF($H174="","HINWEIS: Schneidweg fehlt",IF(V174="","HINWEIS: keine Schneiddaten",IF(AND($AF174&lt;&gt;"",$AG174=""),"HINWEIS: Gewinde-Vorschlag prüfen","OK")))))))))))))))</f>
        <v/>
      </c>
      <c r="X174" s="18">
        <f>IF(OR(O174="",$G174=""),"",O174*$G174)</f>
        <v/>
      </c>
      <c r="Y174" s="9" t="n"/>
      <c r="Z174" s="23" t="n"/>
      <c r="AA174" s="9" t="n"/>
      <c r="AB174" s="23" t="n"/>
      <c r="AC174" s="23" t="n"/>
      <c r="AD174" s="23" t="n"/>
      <c r="AE174" s="9" t="n"/>
      <c r="AF174" s="9" t="n"/>
      <c r="AG174" s="9" t="n"/>
      <c r="AH174" s="24" t="n"/>
      <c r="AI174" s="23" t="n"/>
      <c r="AJ174" s="24" t="n"/>
      <c r="AK174" s="23" t="n"/>
      <c r="AL174" s="24" t="n"/>
      <c r="AM174" s="23" t="n"/>
      <c r="AN174" s="28">
        <f>IF($D174="","",COUNTIFS(Stangenbelegung!$E$5:$E$10004,ROW()))</f>
        <v/>
      </c>
      <c r="AO174" s="28">
        <f>IF(OR($G174="",COUNTA(Stangenbelegung!$A$5:$A$10004)=0),"",$G174-AN174)</f>
        <v/>
      </c>
      <c r="AP174" s="29" t="n"/>
      <c r="AQ174" s="9" t="n"/>
      <c r="AR174" s="19" t="n"/>
    </row>
    <row r="175">
      <c r="A175" s="9" t="n"/>
      <c r="B175" s="9" t="n"/>
      <c r="C175" s="9" t="n"/>
      <c r="D175" s="9" t="n"/>
      <c r="E175" s="9" t="n"/>
      <c r="F175" s="23" t="n"/>
      <c r="G175" s="19" t="n"/>
      <c r="H175" s="23" t="n"/>
      <c r="I175" s="24" t="n"/>
      <c r="J175" s="19" t="n"/>
      <c r="K175" s="25">
        <f>IF($D175="","",IFERROR(INDEX(Profile!$B$5:$B$304,MATCH($D175,lst_Profil,0)),""))</f>
        <v/>
      </c>
      <c r="L175" s="13">
        <f>IF($D175="","",IFERROR(INDEX(Profile!$K$5:$K$304,MATCH($D175,lst_Profil,0))+0,""))</f>
        <v/>
      </c>
      <c r="M175" s="26">
        <f>IF($D175="","",IFERROR(INDEX(Profile!$E$5:$E$304,MATCH($D175,lst_Profil,0))+0,""))</f>
        <v/>
      </c>
      <c r="N175" s="27">
        <f>IF(OR(L175="",$E175=""),"",IFERROR(L175*INDEX(Werkstoffe!$E$5:$E$304,MATCH($E175,lst_Werkstoff,0))/1000,""))</f>
        <v/>
      </c>
      <c r="O175" s="27">
        <f>IF(OR(N175="",$F175=""),"",N175*$F175/1000)</f>
        <v/>
      </c>
      <c r="P175" s="16">
        <f>IF(OR($F175="",$G175=""),"",$F175*$G175)</f>
        <v/>
      </c>
      <c r="Q175" s="16">
        <f>IF($D175="","",IF($J175&lt;&gt;"",$J175,$C$9))</f>
        <v/>
      </c>
      <c r="R175" s="12">
        <f>IF($D175="","",IFERROR(IF(INDEX(Profile!$G$5:$G$304,MATCH($D175,lst_Profil,0))&lt;&gt;"",INDEX(Profile!$G$5:$G$304,MATCH($D175,lst_Profil,0)),$H$4),$H$4))</f>
        <v/>
      </c>
      <c r="S175" s="12">
        <f>IF($D175="","",IFERROR(IF(INDEX(Profile!$H$5:$H$304,MATCH($D175,lst_Profil,0))&lt;&gt;"",INDEX(Profile!$H$5:$H$304,MATCH($D175,lst_Profil,0)),$H$5),$H$5))</f>
        <v/>
      </c>
      <c r="T175" s="16">
        <f>IF(OR(Q175="",NOT(ISNUMBER(R175)),NOT(ISNUMBER(S175))),"",Q175-R175-S175)</f>
        <v/>
      </c>
      <c r="U175" s="28">
        <f>IF(OR($D175="",$E175=""),"",IF(OR(N($AP175)&gt;0,COUNTIFS(Preise!$A$5:$A$304,$D175,Preise!$B$5:$B$304,$E175,Preise!$I$5:$I$304,"OK")&gt;0,N(INDEX(Werkstoffe!$G$5:$G$304,MATCH($E175,lst_Werkstoff,0)))&gt;0),"ja","nein"))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28">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Materialpreis",IF(AND($AQ175&lt;&gt;"",N($AR175)&gt;0,MOD($G175,$AR175)&lt;&gt;0),"WARNUNG: Stückzahl ist kein Vielfaches von Stück je Satz",IF($H175="","HINWEIS: Schneidweg fehlt",IF(V175="","HINWEIS: keine Schneiddaten",IF(AND($AF175&lt;&gt;"",$AG175=""),"HINWEIS: Gewinde-Vorschlag prüfen","OK")))))))))))))))</f>
        <v/>
      </c>
      <c r="X175" s="18">
        <f>IF(OR(O175="",$G175=""),"",O175*$G175)</f>
        <v/>
      </c>
      <c r="Y175" s="9" t="n"/>
      <c r="Z175" s="23" t="n"/>
      <c r="AA175" s="9" t="n"/>
      <c r="AB175" s="23" t="n"/>
      <c r="AC175" s="23" t="n"/>
      <c r="AD175" s="23" t="n"/>
      <c r="AE175" s="9" t="n"/>
      <c r="AF175" s="9" t="n"/>
      <c r="AG175" s="9" t="n"/>
      <c r="AH175" s="24" t="n"/>
      <c r="AI175" s="23" t="n"/>
      <c r="AJ175" s="24" t="n"/>
      <c r="AK175" s="23" t="n"/>
      <c r="AL175" s="24" t="n"/>
      <c r="AM175" s="23" t="n"/>
      <c r="AN175" s="28">
        <f>IF($D175="","",COUNTIFS(Stangenbelegung!$E$5:$E$10004,ROW()))</f>
        <v/>
      </c>
      <c r="AO175" s="28">
        <f>IF(OR($G175="",COUNTA(Stangenbelegung!$A$5:$A$10004)=0),"",$G175-AN175)</f>
        <v/>
      </c>
      <c r="AP175" s="29" t="n"/>
      <c r="AQ175" s="9" t="n"/>
      <c r="AR175" s="19" t="n"/>
    </row>
    <row r="176">
      <c r="A176" s="9" t="n"/>
      <c r="B176" s="9" t="n"/>
      <c r="C176" s="9" t="n"/>
      <c r="D176" s="9" t="n"/>
      <c r="E176" s="9" t="n"/>
      <c r="F176" s="23" t="n"/>
      <c r="G176" s="19" t="n"/>
      <c r="H176" s="23" t="n"/>
      <c r="I176" s="24" t="n"/>
      <c r="J176" s="19" t="n"/>
      <c r="K176" s="25">
        <f>IF($D176="","",IFERROR(INDEX(Profile!$B$5:$B$304,MATCH($D176,lst_Profil,0)),""))</f>
        <v/>
      </c>
      <c r="L176" s="13">
        <f>IF($D176="","",IFERROR(INDEX(Profile!$K$5:$K$304,MATCH($D176,lst_Profil,0))+0,""))</f>
        <v/>
      </c>
      <c r="M176" s="26">
        <f>IF($D176="","",IFERROR(INDEX(Profile!$E$5:$E$304,MATCH($D176,lst_Profil,0))+0,""))</f>
        <v/>
      </c>
      <c r="N176" s="27">
        <f>IF(OR(L176="",$E176=""),"",IFERROR(L176*INDEX(Werkstoffe!$E$5:$E$304,MATCH($E176,lst_Werkstoff,0))/1000,""))</f>
        <v/>
      </c>
      <c r="O176" s="27">
        <f>IF(OR(N176="",$F176=""),"",N176*$F176/1000)</f>
        <v/>
      </c>
      <c r="P176" s="16">
        <f>IF(OR($F176="",$G176=""),"",$F176*$G176)</f>
        <v/>
      </c>
      <c r="Q176" s="16">
        <f>IF($D176="","",IF($J176&lt;&gt;"",$J176,$C$9))</f>
        <v/>
      </c>
      <c r="R176" s="12">
        <f>IF($D176="","",IFERROR(IF(INDEX(Profile!$G$5:$G$304,MATCH($D176,lst_Profil,0))&lt;&gt;"",INDEX(Profile!$G$5:$G$304,MATCH($D176,lst_Profil,0)),$H$4),$H$4))</f>
        <v/>
      </c>
      <c r="S176" s="12">
        <f>IF($D176="","",IFERROR(IF(INDEX(Profile!$H$5:$H$304,MATCH($D176,lst_Profil,0))&lt;&gt;"",INDEX(Profile!$H$5:$H$304,MATCH($D176,lst_Profil,0)),$H$5),$H$5))</f>
        <v/>
      </c>
      <c r="T176" s="16">
        <f>IF(OR(Q176="",NOT(ISNUMBER(R176)),NOT(ISNUMBER(S176))),"",Q176-R176-S176)</f>
        <v/>
      </c>
      <c r="U176" s="28">
        <f>IF(OR($D176="",$E176=""),"",IF(OR(N($AP176)&gt;0,COUNTIFS(Preise!$A$5:$A$304,$D176,Preise!$B$5:$B$304,$E176,Preise!$I$5:$I$304,"OK")&gt;0,N(INDEX(Werkstoffe!$G$5:$G$304,MATCH($E176,lst_Werkstoff,0)))&gt;0),"ja","nein"))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28">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Materialpreis",IF(AND($AQ176&lt;&gt;"",N($AR176)&gt;0,MOD($G176,$AR176)&lt;&gt;0),"WARNUNG: Stückzahl ist kein Vielfaches von Stück je Satz",IF($H176="","HINWEIS: Schneidweg fehlt",IF(V176="","HINWEIS: keine Schneiddaten",IF(AND($AF176&lt;&gt;"",$AG176=""),"HINWEIS: Gewinde-Vorschlag prüfen","OK")))))))))))))))</f>
        <v/>
      </c>
      <c r="X176" s="18">
        <f>IF(OR(O176="",$G176=""),"",O176*$G176)</f>
        <v/>
      </c>
      <c r="Y176" s="9" t="n"/>
      <c r="Z176" s="23" t="n"/>
      <c r="AA176" s="9" t="n"/>
      <c r="AB176" s="23" t="n"/>
      <c r="AC176" s="23" t="n"/>
      <c r="AD176" s="23" t="n"/>
      <c r="AE176" s="9" t="n"/>
      <c r="AF176" s="9" t="n"/>
      <c r="AG176" s="9" t="n"/>
      <c r="AH176" s="24" t="n"/>
      <c r="AI176" s="23" t="n"/>
      <c r="AJ176" s="24" t="n"/>
      <c r="AK176" s="23" t="n"/>
      <c r="AL176" s="24" t="n"/>
      <c r="AM176" s="23" t="n"/>
      <c r="AN176" s="28">
        <f>IF($D176="","",COUNTIFS(Stangenbelegung!$E$5:$E$10004,ROW()))</f>
        <v/>
      </c>
      <c r="AO176" s="28">
        <f>IF(OR($G176="",COUNTA(Stangenbelegung!$A$5:$A$10004)=0),"",$G176-AN176)</f>
        <v/>
      </c>
      <c r="AP176" s="29" t="n"/>
      <c r="AQ176" s="9" t="n"/>
      <c r="AR176" s="19" t="n"/>
    </row>
    <row r="177">
      <c r="A177" s="9" t="n"/>
      <c r="B177" s="9" t="n"/>
      <c r="C177" s="9" t="n"/>
      <c r="D177" s="9" t="n"/>
      <c r="E177" s="9" t="n"/>
      <c r="F177" s="23" t="n"/>
      <c r="G177" s="19" t="n"/>
      <c r="H177" s="23" t="n"/>
      <c r="I177" s="24" t="n"/>
      <c r="J177" s="19" t="n"/>
      <c r="K177" s="25">
        <f>IF($D177="","",IFERROR(INDEX(Profile!$B$5:$B$304,MATCH($D177,lst_Profil,0)),""))</f>
        <v/>
      </c>
      <c r="L177" s="13">
        <f>IF($D177="","",IFERROR(INDEX(Profile!$K$5:$K$304,MATCH($D177,lst_Profil,0))+0,""))</f>
        <v/>
      </c>
      <c r="M177" s="26">
        <f>IF($D177="","",IFERROR(INDEX(Profile!$E$5:$E$304,MATCH($D177,lst_Profil,0))+0,""))</f>
        <v/>
      </c>
      <c r="N177" s="27">
        <f>IF(OR(L177="",$E177=""),"",IFERROR(L177*INDEX(Werkstoffe!$E$5:$E$304,MATCH($E177,lst_Werkstoff,0))/1000,""))</f>
        <v/>
      </c>
      <c r="O177" s="27">
        <f>IF(OR(N177="",$F177=""),"",N177*$F177/1000)</f>
        <v/>
      </c>
      <c r="P177" s="16">
        <f>IF(OR($F177="",$G177=""),"",$F177*$G177)</f>
        <v/>
      </c>
      <c r="Q177" s="16">
        <f>IF($D177="","",IF($J177&lt;&gt;"",$J177,$C$9))</f>
        <v/>
      </c>
      <c r="R177" s="12">
        <f>IF($D177="","",IFERROR(IF(INDEX(Profile!$G$5:$G$304,MATCH($D177,lst_Profil,0))&lt;&gt;"",INDEX(Profile!$G$5:$G$304,MATCH($D177,lst_Profil,0)),$H$4),$H$4))</f>
        <v/>
      </c>
      <c r="S177" s="12">
        <f>IF($D177="","",IFERROR(IF(INDEX(Profile!$H$5:$H$304,MATCH($D177,lst_Profil,0))&lt;&gt;"",INDEX(Profile!$H$5:$H$304,MATCH($D177,lst_Profil,0)),$H$5),$H$5))</f>
        <v/>
      </c>
      <c r="T177" s="16">
        <f>IF(OR(Q177="",NOT(ISNUMBER(R177)),NOT(ISNUMBER(S177))),"",Q177-R177-S177)</f>
        <v/>
      </c>
      <c r="U177" s="28">
        <f>IF(OR($D177="",$E177=""),"",IF(OR(N($AP177)&gt;0,COUNTIFS(Preise!$A$5:$A$304,$D177,Preise!$B$5:$B$304,$E177,Preise!$I$5:$I$304,"OK")&gt;0,N(INDEX(Werkstoffe!$G$5:$G$304,MATCH($E177,lst_Werkstoff,0)))&gt;0),"ja","nein"))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28">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Materialpreis",IF(AND($AQ177&lt;&gt;"",N($AR177)&gt;0,MOD($G177,$AR177)&lt;&gt;0),"WARNUNG: Stückzahl ist kein Vielfaches von Stück je Satz",IF($H177="","HINWEIS: Schneidweg fehlt",IF(V177="","HINWEIS: keine Schneiddaten",IF(AND($AF177&lt;&gt;"",$AG177=""),"HINWEIS: Gewinde-Vorschlag prüfen","OK")))))))))))))))</f>
        <v/>
      </c>
      <c r="X177" s="18">
        <f>IF(OR(O177="",$G177=""),"",O177*$G177)</f>
        <v/>
      </c>
      <c r="Y177" s="9" t="n"/>
      <c r="Z177" s="23" t="n"/>
      <c r="AA177" s="9" t="n"/>
      <c r="AB177" s="23" t="n"/>
      <c r="AC177" s="23" t="n"/>
      <c r="AD177" s="23" t="n"/>
      <c r="AE177" s="9" t="n"/>
      <c r="AF177" s="9" t="n"/>
      <c r="AG177" s="9" t="n"/>
      <c r="AH177" s="24" t="n"/>
      <c r="AI177" s="23" t="n"/>
      <c r="AJ177" s="24" t="n"/>
      <c r="AK177" s="23" t="n"/>
      <c r="AL177" s="24" t="n"/>
      <c r="AM177" s="23" t="n"/>
      <c r="AN177" s="28">
        <f>IF($D177="","",COUNTIFS(Stangenbelegung!$E$5:$E$10004,ROW()))</f>
        <v/>
      </c>
      <c r="AO177" s="28">
        <f>IF(OR($G177="",COUNTA(Stangenbelegung!$A$5:$A$10004)=0),"",$G177-AN177)</f>
        <v/>
      </c>
      <c r="AP177" s="29" t="n"/>
      <c r="AQ177" s="9" t="n"/>
      <c r="AR177" s="19" t="n"/>
    </row>
    <row r="178">
      <c r="A178" s="9" t="n"/>
      <c r="B178" s="9" t="n"/>
      <c r="C178" s="9" t="n"/>
      <c r="D178" s="9" t="n"/>
      <c r="E178" s="9" t="n"/>
      <c r="F178" s="23" t="n"/>
      <c r="G178" s="19" t="n"/>
      <c r="H178" s="23" t="n"/>
      <c r="I178" s="24" t="n"/>
      <c r="J178" s="19" t="n"/>
      <c r="K178" s="25">
        <f>IF($D178="","",IFERROR(INDEX(Profile!$B$5:$B$304,MATCH($D178,lst_Profil,0)),""))</f>
        <v/>
      </c>
      <c r="L178" s="13">
        <f>IF($D178="","",IFERROR(INDEX(Profile!$K$5:$K$304,MATCH($D178,lst_Profil,0))+0,""))</f>
        <v/>
      </c>
      <c r="M178" s="26">
        <f>IF($D178="","",IFERROR(INDEX(Profile!$E$5:$E$304,MATCH($D178,lst_Profil,0))+0,""))</f>
        <v/>
      </c>
      <c r="N178" s="27">
        <f>IF(OR(L178="",$E178=""),"",IFERROR(L178*INDEX(Werkstoffe!$E$5:$E$304,MATCH($E178,lst_Werkstoff,0))/1000,""))</f>
        <v/>
      </c>
      <c r="O178" s="27">
        <f>IF(OR(N178="",$F178=""),"",N178*$F178/1000)</f>
        <v/>
      </c>
      <c r="P178" s="16">
        <f>IF(OR($F178="",$G178=""),"",$F178*$G178)</f>
        <v/>
      </c>
      <c r="Q178" s="16">
        <f>IF($D178="","",IF($J178&lt;&gt;"",$J178,$C$9))</f>
        <v/>
      </c>
      <c r="R178" s="12">
        <f>IF($D178="","",IFERROR(IF(INDEX(Profile!$G$5:$G$304,MATCH($D178,lst_Profil,0))&lt;&gt;"",INDEX(Profile!$G$5:$G$304,MATCH($D178,lst_Profil,0)),$H$4),$H$4))</f>
        <v/>
      </c>
      <c r="S178" s="12">
        <f>IF($D178="","",IFERROR(IF(INDEX(Profile!$H$5:$H$304,MATCH($D178,lst_Profil,0))&lt;&gt;"",INDEX(Profile!$H$5:$H$304,MATCH($D178,lst_Profil,0)),$H$5),$H$5))</f>
        <v/>
      </c>
      <c r="T178" s="16">
        <f>IF(OR(Q178="",NOT(ISNUMBER(R178)),NOT(ISNUMBER(S178))),"",Q178-R178-S178)</f>
        <v/>
      </c>
      <c r="U178" s="28">
        <f>IF(OR($D178="",$E178=""),"",IF(OR(N($AP178)&gt;0,COUNTIFS(Preise!$A$5:$A$304,$D178,Preise!$B$5:$B$304,$E178,Preise!$I$5:$I$304,"OK")&gt;0,N(INDEX(Werkstoffe!$G$5:$G$304,MATCH($E178,lst_Werkstoff,0)))&gt;0),"ja","nein"))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28">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Materialpreis",IF(AND($AQ178&lt;&gt;"",N($AR178)&gt;0,MOD($G178,$AR178)&lt;&gt;0),"WARNUNG: Stückzahl ist kein Vielfaches von Stück je Satz",IF($H178="","HINWEIS: Schneidweg fehlt",IF(V178="","HINWEIS: keine Schneiddaten",IF(AND($AF178&lt;&gt;"",$AG178=""),"HINWEIS: Gewinde-Vorschlag prüfen","OK")))))))))))))))</f>
        <v/>
      </c>
      <c r="X178" s="18">
        <f>IF(OR(O178="",$G178=""),"",O178*$G178)</f>
        <v/>
      </c>
      <c r="Y178" s="9" t="n"/>
      <c r="Z178" s="23" t="n"/>
      <c r="AA178" s="9" t="n"/>
      <c r="AB178" s="23" t="n"/>
      <c r="AC178" s="23" t="n"/>
      <c r="AD178" s="23" t="n"/>
      <c r="AE178" s="9" t="n"/>
      <c r="AF178" s="9" t="n"/>
      <c r="AG178" s="9" t="n"/>
      <c r="AH178" s="24" t="n"/>
      <c r="AI178" s="23" t="n"/>
      <c r="AJ178" s="24" t="n"/>
      <c r="AK178" s="23" t="n"/>
      <c r="AL178" s="24" t="n"/>
      <c r="AM178" s="23" t="n"/>
      <c r="AN178" s="28">
        <f>IF($D178="","",COUNTIFS(Stangenbelegung!$E$5:$E$10004,ROW()))</f>
        <v/>
      </c>
      <c r="AO178" s="28">
        <f>IF(OR($G178="",COUNTA(Stangenbelegung!$A$5:$A$10004)=0),"",$G178-AN178)</f>
        <v/>
      </c>
      <c r="AP178" s="29" t="n"/>
      <c r="AQ178" s="9" t="n"/>
      <c r="AR178" s="19" t="n"/>
    </row>
    <row r="179">
      <c r="A179" s="9" t="n"/>
      <c r="B179" s="9" t="n"/>
      <c r="C179" s="9" t="n"/>
      <c r="D179" s="9" t="n"/>
      <c r="E179" s="9" t="n"/>
      <c r="F179" s="23" t="n"/>
      <c r="G179" s="19" t="n"/>
      <c r="H179" s="23" t="n"/>
      <c r="I179" s="24" t="n"/>
      <c r="J179" s="19" t="n"/>
      <c r="K179" s="25">
        <f>IF($D179="","",IFERROR(INDEX(Profile!$B$5:$B$304,MATCH($D179,lst_Profil,0)),""))</f>
        <v/>
      </c>
      <c r="L179" s="13">
        <f>IF($D179="","",IFERROR(INDEX(Profile!$K$5:$K$304,MATCH($D179,lst_Profil,0))+0,""))</f>
        <v/>
      </c>
      <c r="M179" s="26">
        <f>IF($D179="","",IFERROR(INDEX(Profile!$E$5:$E$304,MATCH($D179,lst_Profil,0))+0,""))</f>
        <v/>
      </c>
      <c r="N179" s="27">
        <f>IF(OR(L179="",$E179=""),"",IFERROR(L179*INDEX(Werkstoffe!$E$5:$E$304,MATCH($E179,lst_Werkstoff,0))/1000,""))</f>
        <v/>
      </c>
      <c r="O179" s="27">
        <f>IF(OR(N179="",$F179=""),"",N179*$F179/1000)</f>
        <v/>
      </c>
      <c r="P179" s="16">
        <f>IF(OR($F179="",$G179=""),"",$F179*$G179)</f>
        <v/>
      </c>
      <c r="Q179" s="16">
        <f>IF($D179="","",IF($J179&lt;&gt;"",$J179,$C$9))</f>
        <v/>
      </c>
      <c r="R179" s="12">
        <f>IF($D179="","",IFERROR(IF(INDEX(Profile!$G$5:$G$304,MATCH($D179,lst_Profil,0))&lt;&gt;"",INDEX(Profile!$G$5:$G$304,MATCH($D179,lst_Profil,0)),$H$4),$H$4))</f>
        <v/>
      </c>
      <c r="S179" s="12">
        <f>IF($D179="","",IFERROR(IF(INDEX(Profile!$H$5:$H$304,MATCH($D179,lst_Profil,0))&lt;&gt;"",INDEX(Profile!$H$5:$H$304,MATCH($D179,lst_Profil,0)),$H$5),$H$5))</f>
        <v/>
      </c>
      <c r="T179" s="16">
        <f>IF(OR(Q179="",NOT(ISNUMBER(R179)),NOT(ISNUMBER(S179))),"",Q179-R179-S179)</f>
        <v/>
      </c>
      <c r="U179" s="28">
        <f>IF(OR($D179="",$E179=""),"",IF(OR(N($AP179)&gt;0,COUNTIFS(Preise!$A$5:$A$304,$D179,Preise!$B$5:$B$304,$E179,Preise!$I$5:$I$304,"OK")&gt;0,N(INDEX(Werkstoffe!$G$5:$G$304,MATCH($E179,lst_Werkstoff,0)))&gt;0),"ja","nein"))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28">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Materialpreis",IF(AND($AQ179&lt;&gt;"",N($AR179)&gt;0,MOD($G179,$AR179)&lt;&gt;0),"WARNUNG: Stückzahl ist kein Vielfaches von Stück je Satz",IF($H179="","HINWEIS: Schneidweg fehlt",IF(V179="","HINWEIS: keine Schneiddaten",IF(AND($AF179&lt;&gt;"",$AG179=""),"HINWEIS: Gewinde-Vorschlag prüfen","OK")))))))))))))))</f>
        <v/>
      </c>
      <c r="X179" s="18">
        <f>IF(OR(O179="",$G179=""),"",O179*$G179)</f>
        <v/>
      </c>
      <c r="Y179" s="9" t="n"/>
      <c r="Z179" s="23" t="n"/>
      <c r="AA179" s="9" t="n"/>
      <c r="AB179" s="23" t="n"/>
      <c r="AC179" s="23" t="n"/>
      <c r="AD179" s="23" t="n"/>
      <c r="AE179" s="9" t="n"/>
      <c r="AF179" s="9" t="n"/>
      <c r="AG179" s="9" t="n"/>
      <c r="AH179" s="24" t="n"/>
      <c r="AI179" s="23" t="n"/>
      <c r="AJ179" s="24" t="n"/>
      <c r="AK179" s="23" t="n"/>
      <c r="AL179" s="24" t="n"/>
      <c r="AM179" s="23" t="n"/>
      <c r="AN179" s="28">
        <f>IF($D179="","",COUNTIFS(Stangenbelegung!$E$5:$E$10004,ROW()))</f>
        <v/>
      </c>
      <c r="AO179" s="28">
        <f>IF(OR($G179="",COUNTA(Stangenbelegung!$A$5:$A$10004)=0),"",$G179-AN179)</f>
        <v/>
      </c>
      <c r="AP179" s="29" t="n"/>
      <c r="AQ179" s="9" t="n"/>
      <c r="AR179" s="19" t="n"/>
    </row>
    <row r="180">
      <c r="A180" s="9" t="n"/>
      <c r="B180" s="9" t="n"/>
      <c r="C180" s="9" t="n"/>
      <c r="D180" s="9" t="n"/>
      <c r="E180" s="9" t="n"/>
      <c r="F180" s="23" t="n"/>
      <c r="G180" s="19" t="n"/>
      <c r="H180" s="23" t="n"/>
      <c r="I180" s="24" t="n"/>
      <c r="J180" s="19" t="n"/>
      <c r="K180" s="25">
        <f>IF($D180="","",IFERROR(INDEX(Profile!$B$5:$B$304,MATCH($D180,lst_Profil,0)),""))</f>
        <v/>
      </c>
      <c r="L180" s="13">
        <f>IF($D180="","",IFERROR(INDEX(Profile!$K$5:$K$304,MATCH($D180,lst_Profil,0))+0,""))</f>
        <v/>
      </c>
      <c r="M180" s="26">
        <f>IF($D180="","",IFERROR(INDEX(Profile!$E$5:$E$304,MATCH($D180,lst_Profil,0))+0,""))</f>
        <v/>
      </c>
      <c r="N180" s="27">
        <f>IF(OR(L180="",$E180=""),"",IFERROR(L180*INDEX(Werkstoffe!$E$5:$E$304,MATCH($E180,lst_Werkstoff,0))/1000,""))</f>
        <v/>
      </c>
      <c r="O180" s="27">
        <f>IF(OR(N180="",$F180=""),"",N180*$F180/1000)</f>
        <v/>
      </c>
      <c r="P180" s="16">
        <f>IF(OR($F180="",$G180=""),"",$F180*$G180)</f>
        <v/>
      </c>
      <c r="Q180" s="16">
        <f>IF($D180="","",IF($J180&lt;&gt;"",$J180,$C$9))</f>
        <v/>
      </c>
      <c r="R180" s="12">
        <f>IF($D180="","",IFERROR(IF(INDEX(Profile!$G$5:$G$304,MATCH($D180,lst_Profil,0))&lt;&gt;"",INDEX(Profile!$G$5:$G$304,MATCH($D180,lst_Profil,0)),$H$4),$H$4))</f>
        <v/>
      </c>
      <c r="S180" s="12">
        <f>IF($D180="","",IFERROR(IF(INDEX(Profile!$H$5:$H$304,MATCH($D180,lst_Profil,0))&lt;&gt;"",INDEX(Profile!$H$5:$H$304,MATCH($D180,lst_Profil,0)),$H$5),$H$5))</f>
        <v/>
      </c>
      <c r="T180" s="16">
        <f>IF(OR(Q180="",NOT(ISNUMBER(R180)),NOT(ISNUMBER(S180))),"",Q180-R180-S180)</f>
        <v/>
      </c>
      <c r="U180" s="28">
        <f>IF(OR($D180="",$E180=""),"",IF(OR(N($AP180)&gt;0,COUNTIFS(Preise!$A$5:$A$304,$D180,Preise!$B$5:$B$304,$E180,Preise!$I$5:$I$304,"OK")&gt;0,N(INDEX(Werkstoffe!$G$5:$G$304,MATCH($E180,lst_Werkstoff,0)))&gt;0),"ja","nein"))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28">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Materialpreis",IF(AND($AQ180&lt;&gt;"",N($AR180)&gt;0,MOD($G180,$AR180)&lt;&gt;0),"WARNUNG: Stückzahl ist kein Vielfaches von Stück je Satz",IF($H180="","HINWEIS: Schneidweg fehlt",IF(V180="","HINWEIS: keine Schneiddaten",IF(AND($AF180&lt;&gt;"",$AG180=""),"HINWEIS: Gewinde-Vorschlag prüfen","OK")))))))))))))))</f>
        <v/>
      </c>
      <c r="X180" s="18">
        <f>IF(OR(O180="",$G180=""),"",O180*$G180)</f>
        <v/>
      </c>
      <c r="Y180" s="9" t="n"/>
      <c r="Z180" s="23" t="n"/>
      <c r="AA180" s="9" t="n"/>
      <c r="AB180" s="23" t="n"/>
      <c r="AC180" s="23" t="n"/>
      <c r="AD180" s="23" t="n"/>
      <c r="AE180" s="9" t="n"/>
      <c r="AF180" s="9" t="n"/>
      <c r="AG180" s="9" t="n"/>
      <c r="AH180" s="24" t="n"/>
      <c r="AI180" s="23" t="n"/>
      <c r="AJ180" s="24" t="n"/>
      <c r="AK180" s="23" t="n"/>
      <c r="AL180" s="24" t="n"/>
      <c r="AM180" s="23" t="n"/>
      <c r="AN180" s="28">
        <f>IF($D180="","",COUNTIFS(Stangenbelegung!$E$5:$E$10004,ROW()))</f>
        <v/>
      </c>
      <c r="AO180" s="28">
        <f>IF(OR($G180="",COUNTA(Stangenbelegung!$A$5:$A$10004)=0),"",$G180-AN180)</f>
        <v/>
      </c>
      <c r="AP180" s="29" t="n"/>
      <c r="AQ180" s="9" t="n"/>
      <c r="AR180" s="19" t="n"/>
    </row>
    <row r="181">
      <c r="A181" s="9" t="n"/>
      <c r="B181" s="9" t="n"/>
      <c r="C181" s="9" t="n"/>
      <c r="D181" s="9" t="n"/>
      <c r="E181" s="9" t="n"/>
      <c r="F181" s="23" t="n"/>
      <c r="G181" s="19" t="n"/>
      <c r="H181" s="23" t="n"/>
      <c r="I181" s="24" t="n"/>
      <c r="J181" s="19" t="n"/>
      <c r="K181" s="25">
        <f>IF($D181="","",IFERROR(INDEX(Profile!$B$5:$B$304,MATCH($D181,lst_Profil,0)),""))</f>
        <v/>
      </c>
      <c r="L181" s="13">
        <f>IF($D181="","",IFERROR(INDEX(Profile!$K$5:$K$304,MATCH($D181,lst_Profil,0))+0,""))</f>
        <v/>
      </c>
      <c r="M181" s="26">
        <f>IF($D181="","",IFERROR(INDEX(Profile!$E$5:$E$304,MATCH($D181,lst_Profil,0))+0,""))</f>
        <v/>
      </c>
      <c r="N181" s="27">
        <f>IF(OR(L181="",$E181=""),"",IFERROR(L181*INDEX(Werkstoffe!$E$5:$E$304,MATCH($E181,lst_Werkstoff,0))/1000,""))</f>
        <v/>
      </c>
      <c r="O181" s="27">
        <f>IF(OR(N181="",$F181=""),"",N181*$F181/1000)</f>
        <v/>
      </c>
      <c r="P181" s="16">
        <f>IF(OR($F181="",$G181=""),"",$F181*$G181)</f>
        <v/>
      </c>
      <c r="Q181" s="16">
        <f>IF($D181="","",IF($J181&lt;&gt;"",$J181,$C$9))</f>
        <v/>
      </c>
      <c r="R181" s="12">
        <f>IF($D181="","",IFERROR(IF(INDEX(Profile!$G$5:$G$304,MATCH($D181,lst_Profil,0))&lt;&gt;"",INDEX(Profile!$G$5:$G$304,MATCH($D181,lst_Profil,0)),$H$4),$H$4))</f>
        <v/>
      </c>
      <c r="S181" s="12">
        <f>IF($D181="","",IFERROR(IF(INDEX(Profile!$H$5:$H$304,MATCH($D181,lst_Profil,0))&lt;&gt;"",INDEX(Profile!$H$5:$H$304,MATCH($D181,lst_Profil,0)),$H$5),$H$5))</f>
        <v/>
      </c>
      <c r="T181" s="16">
        <f>IF(OR(Q181="",NOT(ISNUMBER(R181)),NOT(ISNUMBER(S181))),"",Q181-R181-S181)</f>
        <v/>
      </c>
      <c r="U181" s="28">
        <f>IF(OR($D181="",$E181=""),"",IF(OR(N($AP181)&gt;0,COUNTIFS(Preise!$A$5:$A$304,$D181,Preise!$B$5:$B$304,$E181,Preise!$I$5:$I$304,"OK")&gt;0,N(INDEX(Werkstoffe!$G$5:$G$304,MATCH($E181,lst_Werkstoff,0)))&gt;0),"ja","nein"))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28">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Materialpreis",IF(AND($AQ181&lt;&gt;"",N($AR181)&gt;0,MOD($G181,$AR181)&lt;&gt;0),"WARNUNG: Stückzahl ist kein Vielfaches von Stück je Satz",IF($H181="","HINWEIS: Schneidweg fehlt",IF(V181="","HINWEIS: keine Schneiddaten",IF(AND($AF181&lt;&gt;"",$AG181=""),"HINWEIS: Gewinde-Vorschlag prüfen","OK")))))))))))))))</f>
        <v/>
      </c>
      <c r="X181" s="18">
        <f>IF(OR(O181="",$G181=""),"",O181*$G181)</f>
        <v/>
      </c>
      <c r="Y181" s="9" t="n"/>
      <c r="Z181" s="23" t="n"/>
      <c r="AA181" s="9" t="n"/>
      <c r="AB181" s="23" t="n"/>
      <c r="AC181" s="23" t="n"/>
      <c r="AD181" s="23" t="n"/>
      <c r="AE181" s="9" t="n"/>
      <c r="AF181" s="9" t="n"/>
      <c r="AG181" s="9" t="n"/>
      <c r="AH181" s="24" t="n"/>
      <c r="AI181" s="23" t="n"/>
      <c r="AJ181" s="24" t="n"/>
      <c r="AK181" s="23" t="n"/>
      <c r="AL181" s="24" t="n"/>
      <c r="AM181" s="23" t="n"/>
      <c r="AN181" s="28">
        <f>IF($D181="","",COUNTIFS(Stangenbelegung!$E$5:$E$10004,ROW()))</f>
        <v/>
      </c>
      <c r="AO181" s="28">
        <f>IF(OR($G181="",COUNTA(Stangenbelegung!$A$5:$A$10004)=0),"",$G181-AN181)</f>
        <v/>
      </c>
      <c r="AP181" s="29" t="n"/>
      <c r="AQ181" s="9" t="n"/>
      <c r="AR181" s="19" t="n"/>
    </row>
    <row r="182">
      <c r="A182" s="9" t="n"/>
      <c r="B182" s="9" t="n"/>
      <c r="C182" s="9" t="n"/>
      <c r="D182" s="9" t="n"/>
      <c r="E182" s="9" t="n"/>
      <c r="F182" s="23" t="n"/>
      <c r="G182" s="19" t="n"/>
      <c r="H182" s="23" t="n"/>
      <c r="I182" s="24" t="n"/>
      <c r="J182" s="19" t="n"/>
      <c r="K182" s="25">
        <f>IF($D182="","",IFERROR(INDEX(Profile!$B$5:$B$304,MATCH($D182,lst_Profil,0)),""))</f>
        <v/>
      </c>
      <c r="L182" s="13">
        <f>IF($D182="","",IFERROR(INDEX(Profile!$K$5:$K$304,MATCH($D182,lst_Profil,0))+0,""))</f>
        <v/>
      </c>
      <c r="M182" s="26">
        <f>IF($D182="","",IFERROR(INDEX(Profile!$E$5:$E$304,MATCH($D182,lst_Profil,0))+0,""))</f>
        <v/>
      </c>
      <c r="N182" s="27">
        <f>IF(OR(L182="",$E182=""),"",IFERROR(L182*INDEX(Werkstoffe!$E$5:$E$304,MATCH($E182,lst_Werkstoff,0))/1000,""))</f>
        <v/>
      </c>
      <c r="O182" s="27">
        <f>IF(OR(N182="",$F182=""),"",N182*$F182/1000)</f>
        <v/>
      </c>
      <c r="P182" s="16">
        <f>IF(OR($F182="",$G182=""),"",$F182*$G182)</f>
        <v/>
      </c>
      <c r="Q182" s="16">
        <f>IF($D182="","",IF($J182&lt;&gt;"",$J182,$C$9))</f>
        <v/>
      </c>
      <c r="R182" s="12">
        <f>IF($D182="","",IFERROR(IF(INDEX(Profile!$G$5:$G$304,MATCH($D182,lst_Profil,0))&lt;&gt;"",INDEX(Profile!$G$5:$G$304,MATCH($D182,lst_Profil,0)),$H$4),$H$4))</f>
        <v/>
      </c>
      <c r="S182" s="12">
        <f>IF($D182="","",IFERROR(IF(INDEX(Profile!$H$5:$H$304,MATCH($D182,lst_Profil,0))&lt;&gt;"",INDEX(Profile!$H$5:$H$304,MATCH($D182,lst_Profil,0)),$H$5),$H$5))</f>
        <v/>
      </c>
      <c r="T182" s="16">
        <f>IF(OR(Q182="",NOT(ISNUMBER(R182)),NOT(ISNUMBER(S182))),"",Q182-R182-S182)</f>
        <v/>
      </c>
      <c r="U182" s="28">
        <f>IF(OR($D182="",$E182=""),"",IF(OR(N($AP182)&gt;0,COUNTIFS(Preise!$A$5:$A$304,$D182,Preise!$B$5:$B$304,$E182,Preise!$I$5:$I$304,"OK")&gt;0,N(INDEX(Werkstoffe!$G$5:$G$304,MATCH($E182,lst_Werkstoff,0)))&gt;0),"ja","nein"))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28">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Materialpreis",IF(AND($AQ182&lt;&gt;"",N($AR182)&gt;0,MOD($G182,$AR182)&lt;&gt;0),"WARNUNG: Stückzahl ist kein Vielfaches von Stück je Satz",IF($H182="","HINWEIS: Schneidweg fehlt",IF(V182="","HINWEIS: keine Schneiddaten",IF(AND($AF182&lt;&gt;"",$AG182=""),"HINWEIS: Gewinde-Vorschlag prüfen","OK")))))))))))))))</f>
        <v/>
      </c>
      <c r="X182" s="18">
        <f>IF(OR(O182="",$G182=""),"",O182*$G182)</f>
        <v/>
      </c>
      <c r="Y182" s="9" t="n"/>
      <c r="Z182" s="23" t="n"/>
      <c r="AA182" s="9" t="n"/>
      <c r="AB182" s="23" t="n"/>
      <c r="AC182" s="23" t="n"/>
      <c r="AD182" s="23" t="n"/>
      <c r="AE182" s="9" t="n"/>
      <c r="AF182" s="9" t="n"/>
      <c r="AG182" s="9" t="n"/>
      <c r="AH182" s="24" t="n"/>
      <c r="AI182" s="23" t="n"/>
      <c r="AJ182" s="24" t="n"/>
      <c r="AK182" s="23" t="n"/>
      <c r="AL182" s="24" t="n"/>
      <c r="AM182" s="23" t="n"/>
      <c r="AN182" s="28">
        <f>IF($D182="","",COUNTIFS(Stangenbelegung!$E$5:$E$10004,ROW()))</f>
        <v/>
      </c>
      <c r="AO182" s="28">
        <f>IF(OR($G182="",COUNTA(Stangenbelegung!$A$5:$A$10004)=0),"",$G182-AN182)</f>
        <v/>
      </c>
      <c r="AP182" s="29" t="n"/>
      <c r="AQ182" s="9" t="n"/>
      <c r="AR182" s="19" t="n"/>
    </row>
    <row r="183">
      <c r="A183" s="9" t="n"/>
      <c r="B183" s="9" t="n"/>
      <c r="C183" s="9" t="n"/>
      <c r="D183" s="9" t="n"/>
      <c r="E183" s="9" t="n"/>
      <c r="F183" s="23" t="n"/>
      <c r="G183" s="19" t="n"/>
      <c r="H183" s="23" t="n"/>
      <c r="I183" s="24" t="n"/>
      <c r="J183" s="19" t="n"/>
      <c r="K183" s="25">
        <f>IF($D183="","",IFERROR(INDEX(Profile!$B$5:$B$304,MATCH($D183,lst_Profil,0)),""))</f>
        <v/>
      </c>
      <c r="L183" s="13">
        <f>IF($D183="","",IFERROR(INDEX(Profile!$K$5:$K$304,MATCH($D183,lst_Profil,0))+0,""))</f>
        <v/>
      </c>
      <c r="M183" s="26">
        <f>IF($D183="","",IFERROR(INDEX(Profile!$E$5:$E$304,MATCH($D183,lst_Profil,0))+0,""))</f>
        <v/>
      </c>
      <c r="N183" s="27">
        <f>IF(OR(L183="",$E183=""),"",IFERROR(L183*INDEX(Werkstoffe!$E$5:$E$304,MATCH($E183,lst_Werkstoff,0))/1000,""))</f>
        <v/>
      </c>
      <c r="O183" s="27">
        <f>IF(OR(N183="",$F183=""),"",N183*$F183/1000)</f>
        <v/>
      </c>
      <c r="P183" s="16">
        <f>IF(OR($F183="",$G183=""),"",$F183*$G183)</f>
        <v/>
      </c>
      <c r="Q183" s="16">
        <f>IF($D183="","",IF($J183&lt;&gt;"",$J183,$C$9))</f>
        <v/>
      </c>
      <c r="R183" s="12">
        <f>IF($D183="","",IFERROR(IF(INDEX(Profile!$G$5:$G$304,MATCH($D183,lst_Profil,0))&lt;&gt;"",INDEX(Profile!$G$5:$G$304,MATCH($D183,lst_Profil,0)),$H$4),$H$4))</f>
        <v/>
      </c>
      <c r="S183" s="12">
        <f>IF($D183="","",IFERROR(IF(INDEX(Profile!$H$5:$H$304,MATCH($D183,lst_Profil,0))&lt;&gt;"",INDEX(Profile!$H$5:$H$304,MATCH($D183,lst_Profil,0)),$H$5),$H$5))</f>
        <v/>
      </c>
      <c r="T183" s="16">
        <f>IF(OR(Q183="",NOT(ISNUMBER(R183)),NOT(ISNUMBER(S183))),"",Q183-R183-S183)</f>
        <v/>
      </c>
      <c r="U183" s="28">
        <f>IF(OR($D183="",$E183=""),"",IF(OR(N($AP183)&gt;0,COUNTIFS(Preise!$A$5:$A$304,$D183,Preise!$B$5:$B$304,$E183,Preise!$I$5:$I$304,"OK")&gt;0,N(INDEX(Werkstoffe!$G$5:$G$304,MATCH($E183,lst_Werkstoff,0)))&gt;0),"ja","nein"))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28">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Materialpreis",IF(AND($AQ183&lt;&gt;"",N($AR183)&gt;0,MOD($G183,$AR183)&lt;&gt;0),"WARNUNG: Stückzahl ist kein Vielfaches von Stück je Satz",IF($H183="","HINWEIS: Schneidweg fehlt",IF(V183="","HINWEIS: keine Schneiddaten",IF(AND($AF183&lt;&gt;"",$AG183=""),"HINWEIS: Gewinde-Vorschlag prüfen","OK")))))))))))))))</f>
        <v/>
      </c>
      <c r="X183" s="18">
        <f>IF(OR(O183="",$G183=""),"",O183*$G183)</f>
        <v/>
      </c>
      <c r="Y183" s="9" t="n"/>
      <c r="Z183" s="23" t="n"/>
      <c r="AA183" s="9" t="n"/>
      <c r="AB183" s="23" t="n"/>
      <c r="AC183" s="23" t="n"/>
      <c r="AD183" s="23" t="n"/>
      <c r="AE183" s="9" t="n"/>
      <c r="AF183" s="9" t="n"/>
      <c r="AG183" s="9" t="n"/>
      <c r="AH183" s="24" t="n"/>
      <c r="AI183" s="23" t="n"/>
      <c r="AJ183" s="24" t="n"/>
      <c r="AK183" s="23" t="n"/>
      <c r="AL183" s="24" t="n"/>
      <c r="AM183" s="23" t="n"/>
      <c r="AN183" s="28">
        <f>IF($D183="","",COUNTIFS(Stangenbelegung!$E$5:$E$10004,ROW()))</f>
        <v/>
      </c>
      <c r="AO183" s="28">
        <f>IF(OR($G183="",COUNTA(Stangenbelegung!$A$5:$A$10004)=0),"",$G183-AN183)</f>
        <v/>
      </c>
      <c r="AP183" s="29" t="n"/>
      <c r="AQ183" s="9" t="n"/>
      <c r="AR183" s="19" t="n"/>
    </row>
    <row r="184">
      <c r="A184" s="9" t="n"/>
      <c r="B184" s="9" t="n"/>
      <c r="C184" s="9" t="n"/>
      <c r="D184" s="9" t="n"/>
      <c r="E184" s="9" t="n"/>
      <c r="F184" s="23" t="n"/>
      <c r="G184" s="19" t="n"/>
      <c r="H184" s="23" t="n"/>
      <c r="I184" s="24" t="n"/>
      <c r="J184" s="19" t="n"/>
      <c r="K184" s="25">
        <f>IF($D184="","",IFERROR(INDEX(Profile!$B$5:$B$304,MATCH($D184,lst_Profil,0)),""))</f>
        <v/>
      </c>
      <c r="L184" s="13">
        <f>IF($D184="","",IFERROR(INDEX(Profile!$K$5:$K$304,MATCH($D184,lst_Profil,0))+0,""))</f>
        <v/>
      </c>
      <c r="M184" s="26">
        <f>IF($D184="","",IFERROR(INDEX(Profile!$E$5:$E$304,MATCH($D184,lst_Profil,0))+0,""))</f>
        <v/>
      </c>
      <c r="N184" s="27">
        <f>IF(OR(L184="",$E184=""),"",IFERROR(L184*INDEX(Werkstoffe!$E$5:$E$304,MATCH($E184,lst_Werkstoff,0))/1000,""))</f>
        <v/>
      </c>
      <c r="O184" s="27">
        <f>IF(OR(N184="",$F184=""),"",N184*$F184/1000)</f>
        <v/>
      </c>
      <c r="P184" s="16">
        <f>IF(OR($F184="",$G184=""),"",$F184*$G184)</f>
        <v/>
      </c>
      <c r="Q184" s="16">
        <f>IF($D184="","",IF($J184&lt;&gt;"",$J184,$C$9))</f>
        <v/>
      </c>
      <c r="R184" s="12">
        <f>IF($D184="","",IFERROR(IF(INDEX(Profile!$G$5:$G$304,MATCH($D184,lst_Profil,0))&lt;&gt;"",INDEX(Profile!$G$5:$G$304,MATCH($D184,lst_Profil,0)),$H$4),$H$4))</f>
        <v/>
      </c>
      <c r="S184" s="12">
        <f>IF($D184="","",IFERROR(IF(INDEX(Profile!$H$5:$H$304,MATCH($D184,lst_Profil,0))&lt;&gt;"",INDEX(Profile!$H$5:$H$304,MATCH($D184,lst_Profil,0)),$H$5),$H$5))</f>
        <v/>
      </c>
      <c r="T184" s="16">
        <f>IF(OR(Q184="",NOT(ISNUMBER(R184)),NOT(ISNUMBER(S184))),"",Q184-R184-S184)</f>
        <v/>
      </c>
      <c r="U184" s="28">
        <f>IF(OR($D184="",$E184=""),"",IF(OR(N($AP184)&gt;0,COUNTIFS(Preise!$A$5:$A$304,$D184,Preise!$B$5:$B$304,$E184,Preise!$I$5:$I$304,"OK")&gt;0,N(INDEX(Werkstoffe!$G$5:$G$304,MATCH($E184,lst_Werkstoff,0)))&gt;0),"ja","nein"))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28">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Materialpreis",IF(AND($AQ184&lt;&gt;"",N($AR184)&gt;0,MOD($G184,$AR184)&lt;&gt;0),"WARNUNG: Stückzahl ist kein Vielfaches von Stück je Satz",IF($H184="","HINWEIS: Schneidweg fehlt",IF(V184="","HINWEIS: keine Schneiddaten",IF(AND($AF184&lt;&gt;"",$AG184=""),"HINWEIS: Gewinde-Vorschlag prüfen","OK")))))))))))))))</f>
        <v/>
      </c>
      <c r="X184" s="18">
        <f>IF(OR(O184="",$G184=""),"",O184*$G184)</f>
        <v/>
      </c>
      <c r="Y184" s="9" t="n"/>
      <c r="Z184" s="23" t="n"/>
      <c r="AA184" s="9" t="n"/>
      <c r="AB184" s="23" t="n"/>
      <c r="AC184" s="23" t="n"/>
      <c r="AD184" s="23" t="n"/>
      <c r="AE184" s="9" t="n"/>
      <c r="AF184" s="9" t="n"/>
      <c r="AG184" s="9" t="n"/>
      <c r="AH184" s="24" t="n"/>
      <c r="AI184" s="23" t="n"/>
      <c r="AJ184" s="24" t="n"/>
      <c r="AK184" s="23" t="n"/>
      <c r="AL184" s="24" t="n"/>
      <c r="AM184" s="23" t="n"/>
      <c r="AN184" s="28">
        <f>IF($D184="","",COUNTIFS(Stangenbelegung!$E$5:$E$10004,ROW()))</f>
        <v/>
      </c>
      <c r="AO184" s="28">
        <f>IF(OR($G184="",COUNTA(Stangenbelegung!$A$5:$A$10004)=0),"",$G184-AN184)</f>
        <v/>
      </c>
      <c r="AP184" s="29" t="n"/>
      <c r="AQ184" s="9" t="n"/>
      <c r="AR184" s="19" t="n"/>
    </row>
    <row r="185">
      <c r="A185" s="9" t="n"/>
      <c r="B185" s="9" t="n"/>
      <c r="C185" s="9" t="n"/>
      <c r="D185" s="9" t="n"/>
      <c r="E185" s="9" t="n"/>
      <c r="F185" s="23" t="n"/>
      <c r="G185" s="19" t="n"/>
      <c r="H185" s="23" t="n"/>
      <c r="I185" s="24" t="n"/>
      <c r="J185" s="19" t="n"/>
      <c r="K185" s="25">
        <f>IF($D185="","",IFERROR(INDEX(Profile!$B$5:$B$304,MATCH($D185,lst_Profil,0)),""))</f>
        <v/>
      </c>
      <c r="L185" s="13">
        <f>IF($D185="","",IFERROR(INDEX(Profile!$K$5:$K$304,MATCH($D185,lst_Profil,0))+0,""))</f>
        <v/>
      </c>
      <c r="M185" s="26">
        <f>IF($D185="","",IFERROR(INDEX(Profile!$E$5:$E$304,MATCH($D185,lst_Profil,0))+0,""))</f>
        <v/>
      </c>
      <c r="N185" s="27">
        <f>IF(OR(L185="",$E185=""),"",IFERROR(L185*INDEX(Werkstoffe!$E$5:$E$304,MATCH($E185,lst_Werkstoff,0))/1000,""))</f>
        <v/>
      </c>
      <c r="O185" s="27">
        <f>IF(OR(N185="",$F185=""),"",N185*$F185/1000)</f>
        <v/>
      </c>
      <c r="P185" s="16">
        <f>IF(OR($F185="",$G185=""),"",$F185*$G185)</f>
        <v/>
      </c>
      <c r="Q185" s="16">
        <f>IF($D185="","",IF($J185&lt;&gt;"",$J185,$C$9))</f>
        <v/>
      </c>
      <c r="R185" s="12">
        <f>IF($D185="","",IFERROR(IF(INDEX(Profile!$G$5:$G$304,MATCH($D185,lst_Profil,0))&lt;&gt;"",INDEX(Profile!$G$5:$G$304,MATCH($D185,lst_Profil,0)),$H$4),$H$4))</f>
        <v/>
      </c>
      <c r="S185" s="12">
        <f>IF($D185="","",IFERROR(IF(INDEX(Profile!$H$5:$H$304,MATCH($D185,lst_Profil,0))&lt;&gt;"",INDEX(Profile!$H$5:$H$304,MATCH($D185,lst_Profil,0)),$H$5),$H$5))</f>
        <v/>
      </c>
      <c r="T185" s="16">
        <f>IF(OR(Q185="",NOT(ISNUMBER(R185)),NOT(ISNUMBER(S185))),"",Q185-R185-S185)</f>
        <v/>
      </c>
      <c r="U185" s="28">
        <f>IF(OR($D185="",$E185=""),"",IF(OR(N($AP185)&gt;0,COUNTIFS(Preise!$A$5:$A$304,$D185,Preise!$B$5:$B$304,$E185,Preise!$I$5:$I$304,"OK")&gt;0,N(INDEX(Werkstoffe!$G$5:$G$304,MATCH($E185,lst_Werkstoff,0)))&gt;0),"ja","nein"))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28">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Materialpreis",IF(AND($AQ185&lt;&gt;"",N($AR185)&gt;0,MOD($G185,$AR185)&lt;&gt;0),"WARNUNG: Stückzahl ist kein Vielfaches von Stück je Satz",IF($H185="","HINWEIS: Schneidweg fehlt",IF(V185="","HINWEIS: keine Schneiddaten",IF(AND($AF185&lt;&gt;"",$AG185=""),"HINWEIS: Gewinde-Vorschlag prüfen","OK")))))))))))))))</f>
        <v/>
      </c>
      <c r="X185" s="18">
        <f>IF(OR(O185="",$G185=""),"",O185*$G185)</f>
        <v/>
      </c>
      <c r="Y185" s="9" t="n"/>
      <c r="Z185" s="23" t="n"/>
      <c r="AA185" s="9" t="n"/>
      <c r="AB185" s="23" t="n"/>
      <c r="AC185" s="23" t="n"/>
      <c r="AD185" s="23" t="n"/>
      <c r="AE185" s="9" t="n"/>
      <c r="AF185" s="9" t="n"/>
      <c r="AG185" s="9" t="n"/>
      <c r="AH185" s="24" t="n"/>
      <c r="AI185" s="23" t="n"/>
      <c r="AJ185" s="24" t="n"/>
      <c r="AK185" s="23" t="n"/>
      <c r="AL185" s="24" t="n"/>
      <c r="AM185" s="23" t="n"/>
      <c r="AN185" s="28">
        <f>IF($D185="","",COUNTIFS(Stangenbelegung!$E$5:$E$10004,ROW()))</f>
        <v/>
      </c>
      <c r="AO185" s="28">
        <f>IF(OR($G185="",COUNTA(Stangenbelegung!$A$5:$A$10004)=0),"",$G185-AN185)</f>
        <v/>
      </c>
      <c r="AP185" s="29" t="n"/>
      <c r="AQ185" s="9" t="n"/>
      <c r="AR185" s="19" t="n"/>
    </row>
    <row r="186">
      <c r="A186" s="9" t="n"/>
      <c r="B186" s="9" t="n"/>
      <c r="C186" s="9" t="n"/>
      <c r="D186" s="9" t="n"/>
      <c r="E186" s="9" t="n"/>
      <c r="F186" s="23" t="n"/>
      <c r="G186" s="19" t="n"/>
      <c r="H186" s="23" t="n"/>
      <c r="I186" s="24" t="n"/>
      <c r="J186" s="19" t="n"/>
      <c r="K186" s="25">
        <f>IF($D186="","",IFERROR(INDEX(Profile!$B$5:$B$304,MATCH($D186,lst_Profil,0)),""))</f>
        <v/>
      </c>
      <c r="L186" s="13">
        <f>IF($D186="","",IFERROR(INDEX(Profile!$K$5:$K$304,MATCH($D186,lst_Profil,0))+0,""))</f>
        <v/>
      </c>
      <c r="M186" s="26">
        <f>IF($D186="","",IFERROR(INDEX(Profile!$E$5:$E$304,MATCH($D186,lst_Profil,0))+0,""))</f>
        <v/>
      </c>
      <c r="N186" s="27">
        <f>IF(OR(L186="",$E186=""),"",IFERROR(L186*INDEX(Werkstoffe!$E$5:$E$304,MATCH($E186,lst_Werkstoff,0))/1000,""))</f>
        <v/>
      </c>
      <c r="O186" s="27">
        <f>IF(OR(N186="",$F186=""),"",N186*$F186/1000)</f>
        <v/>
      </c>
      <c r="P186" s="16">
        <f>IF(OR($F186="",$G186=""),"",$F186*$G186)</f>
        <v/>
      </c>
      <c r="Q186" s="16">
        <f>IF($D186="","",IF($J186&lt;&gt;"",$J186,$C$9))</f>
        <v/>
      </c>
      <c r="R186" s="12">
        <f>IF($D186="","",IFERROR(IF(INDEX(Profile!$G$5:$G$304,MATCH($D186,lst_Profil,0))&lt;&gt;"",INDEX(Profile!$G$5:$G$304,MATCH($D186,lst_Profil,0)),$H$4),$H$4))</f>
        <v/>
      </c>
      <c r="S186" s="12">
        <f>IF($D186="","",IFERROR(IF(INDEX(Profile!$H$5:$H$304,MATCH($D186,lst_Profil,0))&lt;&gt;"",INDEX(Profile!$H$5:$H$304,MATCH($D186,lst_Profil,0)),$H$5),$H$5))</f>
        <v/>
      </c>
      <c r="T186" s="16">
        <f>IF(OR(Q186="",NOT(ISNUMBER(R186)),NOT(ISNUMBER(S186))),"",Q186-R186-S186)</f>
        <v/>
      </c>
      <c r="U186" s="28">
        <f>IF(OR($D186="",$E186=""),"",IF(OR(N($AP186)&gt;0,COUNTIFS(Preise!$A$5:$A$304,$D186,Preise!$B$5:$B$304,$E186,Preise!$I$5:$I$304,"OK")&gt;0,N(INDEX(Werkstoffe!$G$5:$G$304,MATCH($E186,lst_Werkstoff,0)))&gt;0),"ja","nein"))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28">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Materialpreis",IF(AND($AQ186&lt;&gt;"",N($AR186)&gt;0,MOD($G186,$AR186)&lt;&gt;0),"WARNUNG: Stückzahl ist kein Vielfaches von Stück je Satz",IF($H186="","HINWEIS: Schneidweg fehlt",IF(V186="","HINWEIS: keine Schneiddaten",IF(AND($AF186&lt;&gt;"",$AG186=""),"HINWEIS: Gewinde-Vorschlag prüfen","OK")))))))))))))))</f>
        <v/>
      </c>
      <c r="X186" s="18">
        <f>IF(OR(O186="",$G186=""),"",O186*$G186)</f>
        <v/>
      </c>
      <c r="Y186" s="9" t="n"/>
      <c r="Z186" s="23" t="n"/>
      <c r="AA186" s="9" t="n"/>
      <c r="AB186" s="23" t="n"/>
      <c r="AC186" s="23" t="n"/>
      <c r="AD186" s="23" t="n"/>
      <c r="AE186" s="9" t="n"/>
      <c r="AF186" s="9" t="n"/>
      <c r="AG186" s="9" t="n"/>
      <c r="AH186" s="24" t="n"/>
      <c r="AI186" s="23" t="n"/>
      <c r="AJ186" s="24" t="n"/>
      <c r="AK186" s="23" t="n"/>
      <c r="AL186" s="24" t="n"/>
      <c r="AM186" s="23" t="n"/>
      <c r="AN186" s="28">
        <f>IF($D186="","",COUNTIFS(Stangenbelegung!$E$5:$E$10004,ROW()))</f>
        <v/>
      </c>
      <c r="AO186" s="28">
        <f>IF(OR($G186="",COUNTA(Stangenbelegung!$A$5:$A$10004)=0),"",$G186-AN186)</f>
        <v/>
      </c>
      <c r="AP186" s="29" t="n"/>
      <c r="AQ186" s="9" t="n"/>
      <c r="AR186" s="19" t="n"/>
    </row>
    <row r="187">
      <c r="A187" s="9" t="n"/>
      <c r="B187" s="9" t="n"/>
      <c r="C187" s="9" t="n"/>
      <c r="D187" s="9" t="n"/>
      <c r="E187" s="9" t="n"/>
      <c r="F187" s="23" t="n"/>
      <c r="G187" s="19" t="n"/>
      <c r="H187" s="23" t="n"/>
      <c r="I187" s="24" t="n"/>
      <c r="J187" s="19" t="n"/>
      <c r="K187" s="25">
        <f>IF($D187="","",IFERROR(INDEX(Profile!$B$5:$B$304,MATCH($D187,lst_Profil,0)),""))</f>
        <v/>
      </c>
      <c r="L187" s="13">
        <f>IF($D187="","",IFERROR(INDEX(Profile!$K$5:$K$304,MATCH($D187,lst_Profil,0))+0,""))</f>
        <v/>
      </c>
      <c r="M187" s="26">
        <f>IF($D187="","",IFERROR(INDEX(Profile!$E$5:$E$304,MATCH($D187,lst_Profil,0))+0,""))</f>
        <v/>
      </c>
      <c r="N187" s="27">
        <f>IF(OR(L187="",$E187=""),"",IFERROR(L187*INDEX(Werkstoffe!$E$5:$E$304,MATCH($E187,lst_Werkstoff,0))/1000,""))</f>
        <v/>
      </c>
      <c r="O187" s="27">
        <f>IF(OR(N187="",$F187=""),"",N187*$F187/1000)</f>
        <v/>
      </c>
      <c r="P187" s="16">
        <f>IF(OR($F187="",$G187=""),"",$F187*$G187)</f>
        <v/>
      </c>
      <c r="Q187" s="16">
        <f>IF($D187="","",IF($J187&lt;&gt;"",$J187,$C$9))</f>
        <v/>
      </c>
      <c r="R187" s="12">
        <f>IF($D187="","",IFERROR(IF(INDEX(Profile!$G$5:$G$304,MATCH($D187,lst_Profil,0))&lt;&gt;"",INDEX(Profile!$G$5:$G$304,MATCH($D187,lst_Profil,0)),$H$4),$H$4))</f>
        <v/>
      </c>
      <c r="S187" s="12">
        <f>IF($D187="","",IFERROR(IF(INDEX(Profile!$H$5:$H$304,MATCH($D187,lst_Profil,0))&lt;&gt;"",INDEX(Profile!$H$5:$H$304,MATCH($D187,lst_Profil,0)),$H$5),$H$5))</f>
        <v/>
      </c>
      <c r="T187" s="16">
        <f>IF(OR(Q187="",NOT(ISNUMBER(R187)),NOT(ISNUMBER(S187))),"",Q187-R187-S187)</f>
        <v/>
      </c>
      <c r="U187" s="28">
        <f>IF(OR($D187="",$E187=""),"",IF(OR(N($AP187)&gt;0,COUNTIFS(Preise!$A$5:$A$304,$D187,Preise!$B$5:$B$304,$E187,Preise!$I$5:$I$304,"OK")&gt;0,N(INDEX(Werkstoffe!$G$5:$G$304,MATCH($E187,lst_Werkstoff,0)))&gt;0),"ja","nein"))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28">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Materialpreis",IF(AND($AQ187&lt;&gt;"",N($AR187)&gt;0,MOD($G187,$AR187)&lt;&gt;0),"WARNUNG: Stückzahl ist kein Vielfaches von Stück je Satz",IF($H187="","HINWEIS: Schneidweg fehlt",IF(V187="","HINWEIS: keine Schneiddaten",IF(AND($AF187&lt;&gt;"",$AG187=""),"HINWEIS: Gewinde-Vorschlag prüfen","OK")))))))))))))))</f>
        <v/>
      </c>
      <c r="X187" s="18">
        <f>IF(OR(O187="",$G187=""),"",O187*$G187)</f>
        <v/>
      </c>
      <c r="Y187" s="9" t="n"/>
      <c r="Z187" s="23" t="n"/>
      <c r="AA187" s="9" t="n"/>
      <c r="AB187" s="23" t="n"/>
      <c r="AC187" s="23" t="n"/>
      <c r="AD187" s="23" t="n"/>
      <c r="AE187" s="9" t="n"/>
      <c r="AF187" s="9" t="n"/>
      <c r="AG187" s="9" t="n"/>
      <c r="AH187" s="24" t="n"/>
      <c r="AI187" s="23" t="n"/>
      <c r="AJ187" s="24" t="n"/>
      <c r="AK187" s="23" t="n"/>
      <c r="AL187" s="24" t="n"/>
      <c r="AM187" s="23" t="n"/>
      <c r="AN187" s="28">
        <f>IF($D187="","",COUNTIFS(Stangenbelegung!$E$5:$E$10004,ROW()))</f>
        <v/>
      </c>
      <c r="AO187" s="28">
        <f>IF(OR($G187="",COUNTA(Stangenbelegung!$A$5:$A$10004)=0),"",$G187-AN187)</f>
        <v/>
      </c>
      <c r="AP187" s="29" t="n"/>
      <c r="AQ187" s="9" t="n"/>
      <c r="AR187" s="19" t="n"/>
    </row>
    <row r="188">
      <c r="A188" s="9" t="n"/>
      <c r="B188" s="9" t="n"/>
      <c r="C188" s="9" t="n"/>
      <c r="D188" s="9" t="n"/>
      <c r="E188" s="9" t="n"/>
      <c r="F188" s="23" t="n"/>
      <c r="G188" s="19" t="n"/>
      <c r="H188" s="23" t="n"/>
      <c r="I188" s="24" t="n"/>
      <c r="J188" s="19" t="n"/>
      <c r="K188" s="25">
        <f>IF($D188="","",IFERROR(INDEX(Profile!$B$5:$B$304,MATCH($D188,lst_Profil,0)),""))</f>
        <v/>
      </c>
      <c r="L188" s="13">
        <f>IF($D188="","",IFERROR(INDEX(Profile!$K$5:$K$304,MATCH($D188,lst_Profil,0))+0,""))</f>
        <v/>
      </c>
      <c r="M188" s="26">
        <f>IF($D188="","",IFERROR(INDEX(Profile!$E$5:$E$304,MATCH($D188,lst_Profil,0))+0,""))</f>
        <v/>
      </c>
      <c r="N188" s="27">
        <f>IF(OR(L188="",$E188=""),"",IFERROR(L188*INDEX(Werkstoffe!$E$5:$E$304,MATCH($E188,lst_Werkstoff,0))/1000,""))</f>
        <v/>
      </c>
      <c r="O188" s="27">
        <f>IF(OR(N188="",$F188=""),"",N188*$F188/1000)</f>
        <v/>
      </c>
      <c r="P188" s="16">
        <f>IF(OR($F188="",$G188=""),"",$F188*$G188)</f>
        <v/>
      </c>
      <c r="Q188" s="16">
        <f>IF($D188="","",IF($J188&lt;&gt;"",$J188,$C$9))</f>
        <v/>
      </c>
      <c r="R188" s="12">
        <f>IF($D188="","",IFERROR(IF(INDEX(Profile!$G$5:$G$304,MATCH($D188,lst_Profil,0))&lt;&gt;"",INDEX(Profile!$G$5:$G$304,MATCH($D188,lst_Profil,0)),$H$4),$H$4))</f>
        <v/>
      </c>
      <c r="S188" s="12">
        <f>IF($D188="","",IFERROR(IF(INDEX(Profile!$H$5:$H$304,MATCH($D188,lst_Profil,0))&lt;&gt;"",INDEX(Profile!$H$5:$H$304,MATCH($D188,lst_Profil,0)),$H$5),$H$5))</f>
        <v/>
      </c>
      <c r="T188" s="16">
        <f>IF(OR(Q188="",NOT(ISNUMBER(R188)),NOT(ISNUMBER(S188))),"",Q188-R188-S188)</f>
        <v/>
      </c>
      <c r="U188" s="28">
        <f>IF(OR($D188="",$E188=""),"",IF(OR(N($AP188)&gt;0,COUNTIFS(Preise!$A$5:$A$304,$D188,Preise!$B$5:$B$304,$E188,Preise!$I$5:$I$304,"OK")&gt;0,N(INDEX(Werkstoffe!$G$5:$G$304,MATCH($E188,lst_Werkstoff,0)))&gt;0),"ja","nein"))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28">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Materialpreis",IF(AND($AQ188&lt;&gt;"",N($AR188)&gt;0,MOD($G188,$AR188)&lt;&gt;0),"WARNUNG: Stückzahl ist kein Vielfaches von Stück je Satz",IF($H188="","HINWEIS: Schneidweg fehlt",IF(V188="","HINWEIS: keine Schneiddaten",IF(AND($AF188&lt;&gt;"",$AG188=""),"HINWEIS: Gewinde-Vorschlag prüfen","OK")))))))))))))))</f>
        <v/>
      </c>
      <c r="X188" s="18">
        <f>IF(OR(O188="",$G188=""),"",O188*$G188)</f>
        <v/>
      </c>
      <c r="Y188" s="9" t="n"/>
      <c r="Z188" s="23" t="n"/>
      <c r="AA188" s="9" t="n"/>
      <c r="AB188" s="23" t="n"/>
      <c r="AC188" s="23" t="n"/>
      <c r="AD188" s="23" t="n"/>
      <c r="AE188" s="9" t="n"/>
      <c r="AF188" s="9" t="n"/>
      <c r="AG188" s="9" t="n"/>
      <c r="AH188" s="24" t="n"/>
      <c r="AI188" s="23" t="n"/>
      <c r="AJ188" s="24" t="n"/>
      <c r="AK188" s="23" t="n"/>
      <c r="AL188" s="24" t="n"/>
      <c r="AM188" s="23" t="n"/>
      <c r="AN188" s="28">
        <f>IF($D188="","",COUNTIFS(Stangenbelegung!$E$5:$E$10004,ROW()))</f>
        <v/>
      </c>
      <c r="AO188" s="28">
        <f>IF(OR($G188="",COUNTA(Stangenbelegung!$A$5:$A$10004)=0),"",$G188-AN188)</f>
        <v/>
      </c>
      <c r="AP188" s="29" t="n"/>
      <c r="AQ188" s="9" t="n"/>
      <c r="AR188" s="19" t="n"/>
    </row>
    <row r="189">
      <c r="A189" s="9" t="n"/>
      <c r="B189" s="9" t="n"/>
      <c r="C189" s="9" t="n"/>
      <c r="D189" s="9" t="n"/>
      <c r="E189" s="9" t="n"/>
      <c r="F189" s="23" t="n"/>
      <c r="G189" s="19" t="n"/>
      <c r="H189" s="23" t="n"/>
      <c r="I189" s="24" t="n"/>
      <c r="J189" s="19" t="n"/>
      <c r="K189" s="25">
        <f>IF($D189="","",IFERROR(INDEX(Profile!$B$5:$B$304,MATCH($D189,lst_Profil,0)),""))</f>
        <v/>
      </c>
      <c r="L189" s="13">
        <f>IF($D189="","",IFERROR(INDEX(Profile!$K$5:$K$304,MATCH($D189,lst_Profil,0))+0,""))</f>
        <v/>
      </c>
      <c r="M189" s="26">
        <f>IF($D189="","",IFERROR(INDEX(Profile!$E$5:$E$304,MATCH($D189,lst_Profil,0))+0,""))</f>
        <v/>
      </c>
      <c r="N189" s="27">
        <f>IF(OR(L189="",$E189=""),"",IFERROR(L189*INDEX(Werkstoffe!$E$5:$E$304,MATCH($E189,lst_Werkstoff,0))/1000,""))</f>
        <v/>
      </c>
      <c r="O189" s="27">
        <f>IF(OR(N189="",$F189=""),"",N189*$F189/1000)</f>
        <v/>
      </c>
      <c r="P189" s="16">
        <f>IF(OR($F189="",$G189=""),"",$F189*$G189)</f>
        <v/>
      </c>
      <c r="Q189" s="16">
        <f>IF($D189="","",IF($J189&lt;&gt;"",$J189,$C$9))</f>
        <v/>
      </c>
      <c r="R189" s="12">
        <f>IF($D189="","",IFERROR(IF(INDEX(Profile!$G$5:$G$304,MATCH($D189,lst_Profil,0))&lt;&gt;"",INDEX(Profile!$G$5:$G$304,MATCH($D189,lst_Profil,0)),$H$4),$H$4))</f>
        <v/>
      </c>
      <c r="S189" s="12">
        <f>IF($D189="","",IFERROR(IF(INDEX(Profile!$H$5:$H$304,MATCH($D189,lst_Profil,0))&lt;&gt;"",INDEX(Profile!$H$5:$H$304,MATCH($D189,lst_Profil,0)),$H$5),$H$5))</f>
        <v/>
      </c>
      <c r="T189" s="16">
        <f>IF(OR(Q189="",NOT(ISNUMBER(R189)),NOT(ISNUMBER(S189))),"",Q189-R189-S189)</f>
        <v/>
      </c>
      <c r="U189" s="28">
        <f>IF(OR($D189="",$E189=""),"",IF(OR(N($AP189)&gt;0,COUNTIFS(Preise!$A$5:$A$304,$D189,Preise!$B$5:$B$304,$E189,Preise!$I$5:$I$304,"OK")&gt;0,N(INDEX(Werkstoffe!$G$5:$G$304,MATCH($E189,lst_Werkstoff,0)))&gt;0),"ja","nein"))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28">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Materialpreis",IF(AND($AQ189&lt;&gt;"",N($AR189)&gt;0,MOD($G189,$AR189)&lt;&gt;0),"WARNUNG: Stückzahl ist kein Vielfaches von Stück je Satz",IF($H189="","HINWEIS: Schneidweg fehlt",IF(V189="","HINWEIS: keine Schneiddaten",IF(AND($AF189&lt;&gt;"",$AG189=""),"HINWEIS: Gewinde-Vorschlag prüfen","OK")))))))))))))))</f>
        <v/>
      </c>
      <c r="X189" s="18">
        <f>IF(OR(O189="",$G189=""),"",O189*$G189)</f>
        <v/>
      </c>
      <c r="Y189" s="9" t="n"/>
      <c r="Z189" s="23" t="n"/>
      <c r="AA189" s="9" t="n"/>
      <c r="AB189" s="23" t="n"/>
      <c r="AC189" s="23" t="n"/>
      <c r="AD189" s="23" t="n"/>
      <c r="AE189" s="9" t="n"/>
      <c r="AF189" s="9" t="n"/>
      <c r="AG189" s="9" t="n"/>
      <c r="AH189" s="24" t="n"/>
      <c r="AI189" s="23" t="n"/>
      <c r="AJ189" s="24" t="n"/>
      <c r="AK189" s="23" t="n"/>
      <c r="AL189" s="24" t="n"/>
      <c r="AM189" s="23" t="n"/>
      <c r="AN189" s="28">
        <f>IF($D189="","",COUNTIFS(Stangenbelegung!$E$5:$E$10004,ROW()))</f>
        <v/>
      </c>
      <c r="AO189" s="28">
        <f>IF(OR($G189="",COUNTA(Stangenbelegung!$A$5:$A$10004)=0),"",$G189-AN189)</f>
        <v/>
      </c>
      <c r="AP189" s="29" t="n"/>
      <c r="AQ189" s="9" t="n"/>
      <c r="AR189" s="19" t="n"/>
    </row>
    <row r="190">
      <c r="A190" s="9" t="n"/>
      <c r="B190" s="9" t="n"/>
      <c r="C190" s="9" t="n"/>
      <c r="D190" s="9" t="n"/>
      <c r="E190" s="9" t="n"/>
      <c r="F190" s="23" t="n"/>
      <c r="G190" s="19" t="n"/>
      <c r="H190" s="23" t="n"/>
      <c r="I190" s="24" t="n"/>
      <c r="J190" s="19" t="n"/>
      <c r="K190" s="25">
        <f>IF($D190="","",IFERROR(INDEX(Profile!$B$5:$B$304,MATCH($D190,lst_Profil,0)),""))</f>
        <v/>
      </c>
      <c r="L190" s="13">
        <f>IF($D190="","",IFERROR(INDEX(Profile!$K$5:$K$304,MATCH($D190,lst_Profil,0))+0,""))</f>
        <v/>
      </c>
      <c r="M190" s="26">
        <f>IF($D190="","",IFERROR(INDEX(Profile!$E$5:$E$304,MATCH($D190,lst_Profil,0))+0,""))</f>
        <v/>
      </c>
      <c r="N190" s="27">
        <f>IF(OR(L190="",$E190=""),"",IFERROR(L190*INDEX(Werkstoffe!$E$5:$E$304,MATCH($E190,lst_Werkstoff,0))/1000,""))</f>
        <v/>
      </c>
      <c r="O190" s="27">
        <f>IF(OR(N190="",$F190=""),"",N190*$F190/1000)</f>
        <v/>
      </c>
      <c r="P190" s="16">
        <f>IF(OR($F190="",$G190=""),"",$F190*$G190)</f>
        <v/>
      </c>
      <c r="Q190" s="16">
        <f>IF($D190="","",IF($J190&lt;&gt;"",$J190,$C$9))</f>
        <v/>
      </c>
      <c r="R190" s="12">
        <f>IF($D190="","",IFERROR(IF(INDEX(Profile!$G$5:$G$304,MATCH($D190,lst_Profil,0))&lt;&gt;"",INDEX(Profile!$G$5:$G$304,MATCH($D190,lst_Profil,0)),$H$4),$H$4))</f>
        <v/>
      </c>
      <c r="S190" s="12">
        <f>IF($D190="","",IFERROR(IF(INDEX(Profile!$H$5:$H$304,MATCH($D190,lst_Profil,0))&lt;&gt;"",INDEX(Profile!$H$5:$H$304,MATCH($D190,lst_Profil,0)),$H$5),$H$5))</f>
        <v/>
      </c>
      <c r="T190" s="16">
        <f>IF(OR(Q190="",NOT(ISNUMBER(R190)),NOT(ISNUMBER(S190))),"",Q190-R190-S190)</f>
        <v/>
      </c>
      <c r="U190" s="28">
        <f>IF(OR($D190="",$E190=""),"",IF(OR(N($AP190)&gt;0,COUNTIFS(Preise!$A$5:$A$304,$D190,Preise!$B$5:$B$304,$E190,Preise!$I$5:$I$304,"OK")&gt;0,N(INDEX(Werkstoffe!$G$5:$G$304,MATCH($E190,lst_Werkstoff,0)))&gt;0),"ja","nein"))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28">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Materialpreis",IF(AND($AQ190&lt;&gt;"",N($AR190)&gt;0,MOD($G190,$AR190)&lt;&gt;0),"WARNUNG: Stückzahl ist kein Vielfaches von Stück je Satz",IF($H190="","HINWEIS: Schneidweg fehlt",IF(V190="","HINWEIS: keine Schneiddaten",IF(AND($AF190&lt;&gt;"",$AG190=""),"HINWEIS: Gewinde-Vorschlag prüfen","OK")))))))))))))))</f>
        <v/>
      </c>
      <c r="X190" s="18">
        <f>IF(OR(O190="",$G190=""),"",O190*$G190)</f>
        <v/>
      </c>
      <c r="Y190" s="9" t="n"/>
      <c r="Z190" s="23" t="n"/>
      <c r="AA190" s="9" t="n"/>
      <c r="AB190" s="23" t="n"/>
      <c r="AC190" s="23" t="n"/>
      <c r="AD190" s="23" t="n"/>
      <c r="AE190" s="9" t="n"/>
      <c r="AF190" s="9" t="n"/>
      <c r="AG190" s="9" t="n"/>
      <c r="AH190" s="24" t="n"/>
      <c r="AI190" s="23" t="n"/>
      <c r="AJ190" s="24" t="n"/>
      <c r="AK190" s="23" t="n"/>
      <c r="AL190" s="24" t="n"/>
      <c r="AM190" s="23" t="n"/>
      <c r="AN190" s="28">
        <f>IF($D190="","",COUNTIFS(Stangenbelegung!$E$5:$E$10004,ROW()))</f>
        <v/>
      </c>
      <c r="AO190" s="28">
        <f>IF(OR($G190="",COUNTA(Stangenbelegung!$A$5:$A$10004)=0),"",$G190-AN190)</f>
        <v/>
      </c>
      <c r="AP190" s="29" t="n"/>
      <c r="AQ190" s="9" t="n"/>
      <c r="AR190" s="19" t="n"/>
    </row>
    <row r="191">
      <c r="A191" s="9" t="n"/>
      <c r="B191" s="9" t="n"/>
      <c r="C191" s="9" t="n"/>
      <c r="D191" s="9" t="n"/>
      <c r="E191" s="9" t="n"/>
      <c r="F191" s="23" t="n"/>
      <c r="G191" s="19" t="n"/>
      <c r="H191" s="23" t="n"/>
      <c r="I191" s="24" t="n"/>
      <c r="J191" s="19" t="n"/>
      <c r="K191" s="25">
        <f>IF($D191="","",IFERROR(INDEX(Profile!$B$5:$B$304,MATCH($D191,lst_Profil,0)),""))</f>
        <v/>
      </c>
      <c r="L191" s="13">
        <f>IF($D191="","",IFERROR(INDEX(Profile!$K$5:$K$304,MATCH($D191,lst_Profil,0))+0,""))</f>
        <v/>
      </c>
      <c r="M191" s="26">
        <f>IF($D191="","",IFERROR(INDEX(Profile!$E$5:$E$304,MATCH($D191,lst_Profil,0))+0,""))</f>
        <v/>
      </c>
      <c r="N191" s="27">
        <f>IF(OR(L191="",$E191=""),"",IFERROR(L191*INDEX(Werkstoffe!$E$5:$E$304,MATCH($E191,lst_Werkstoff,0))/1000,""))</f>
        <v/>
      </c>
      <c r="O191" s="27">
        <f>IF(OR(N191="",$F191=""),"",N191*$F191/1000)</f>
        <v/>
      </c>
      <c r="P191" s="16">
        <f>IF(OR($F191="",$G191=""),"",$F191*$G191)</f>
        <v/>
      </c>
      <c r="Q191" s="16">
        <f>IF($D191="","",IF($J191&lt;&gt;"",$J191,$C$9))</f>
        <v/>
      </c>
      <c r="R191" s="12">
        <f>IF($D191="","",IFERROR(IF(INDEX(Profile!$G$5:$G$304,MATCH($D191,lst_Profil,0))&lt;&gt;"",INDEX(Profile!$G$5:$G$304,MATCH($D191,lst_Profil,0)),$H$4),$H$4))</f>
        <v/>
      </c>
      <c r="S191" s="12">
        <f>IF($D191="","",IFERROR(IF(INDEX(Profile!$H$5:$H$304,MATCH($D191,lst_Profil,0))&lt;&gt;"",INDEX(Profile!$H$5:$H$304,MATCH($D191,lst_Profil,0)),$H$5),$H$5))</f>
        <v/>
      </c>
      <c r="T191" s="16">
        <f>IF(OR(Q191="",NOT(ISNUMBER(R191)),NOT(ISNUMBER(S191))),"",Q191-R191-S191)</f>
        <v/>
      </c>
      <c r="U191" s="28">
        <f>IF(OR($D191="",$E191=""),"",IF(OR(N($AP191)&gt;0,COUNTIFS(Preise!$A$5:$A$304,$D191,Preise!$B$5:$B$304,$E191,Preise!$I$5:$I$304,"OK")&gt;0,N(INDEX(Werkstoffe!$G$5:$G$304,MATCH($E191,lst_Werkstoff,0)))&gt;0),"ja","nein"))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28">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Materialpreis",IF(AND($AQ191&lt;&gt;"",N($AR191)&gt;0,MOD($G191,$AR191)&lt;&gt;0),"WARNUNG: Stückzahl ist kein Vielfaches von Stück je Satz",IF($H191="","HINWEIS: Schneidweg fehlt",IF(V191="","HINWEIS: keine Schneiddaten",IF(AND($AF191&lt;&gt;"",$AG191=""),"HINWEIS: Gewinde-Vorschlag prüfen","OK")))))))))))))))</f>
        <v/>
      </c>
      <c r="X191" s="18">
        <f>IF(OR(O191="",$G191=""),"",O191*$G191)</f>
        <v/>
      </c>
      <c r="Y191" s="9" t="n"/>
      <c r="Z191" s="23" t="n"/>
      <c r="AA191" s="9" t="n"/>
      <c r="AB191" s="23" t="n"/>
      <c r="AC191" s="23" t="n"/>
      <c r="AD191" s="23" t="n"/>
      <c r="AE191" s="9" t="n"/>
      <c r="AF191" s="9" t="n"/>
      <c r="AG191" s="9" t="n"/>
      <c r="AH191" s="24" t="n"/>
      <c r="AI191" s="23" t="n"/>
      <c r="AJ191" s="24" t="n"/>
      <c r="AK191" s="23" t="n"/>
      <c r="AL191" s="24" t="n"/>
      <c r="AM191" s="23" t="n"/>
      <c r="AN191" s="28">
        <f>IF($D191="","",COUNTIFS(Stangenbelegung!$E$5:$E$10004,ROW()))</f>
        <v/>
      </c>
      <c r="AO191" s="28">
        <f>IF(OR($G191="",COUNTA(Stangenbelegung!$A$5:$A$10004)=0),"",$G191-AN191)</f>
        <v/>
      </c>
      <c r="AP191" s="29" t="n"/>
      <c r="AQ191" s="9" t="n"/>
      <c r="AR191" s="19" t="n"/>
    </row>
    <row r="192">
      <c r="A192" s="9" t="n"/>
      <c r="B192" s="9" t="n"/>
      <c r="C192" s="9" t="n"/>
      <c r="D192" s="9" t="n"/>
      <c r="E192" s="9" t="n"/>
      <c r="F192" s="23" t="n"/>
      <c r="G192" s="19" t="n"/>
      <c r="H192" s="23" t="n"/>
      <c r="I192" s="24" t="n"/>
      <c r="J192" s="19" t="n"/>
      <c r="K192" s="25">
        <f>IF($D192="","",IFERROR(INDEX(Profile!$B$5:$B$304,MATCH($D192,lst_Profil,0)),""))</f>
        <v/>
      </c>
      <c r="L192" s="13">
        <f>IF($D192="","",IFERROR(INDEX(Profile!$K$5:$K$304,MATCH($D192,lst_Profil,0))+0,""))</f>
        <v/>
      </c>
      <c r="M192" s="26">
        <f>IF($D192="","",IFERROR(INDEX(Profile!$E$5:$E$304,MATCH($D192,lst_Profil,0))+0,""))</f>
        <v/>
      </c>
      <c r="N192" s="27">
        <f>IF(OR(L192="",$E192=""),"",IFERROR(L192*INDEX(Werkstoffe!$E$5:$E$304,MATCH($E192,lst_Werkstoff,0))/1000,""))</f>
        <v/>
      </c>
      <c r="O192" s="27">
        <f>IF(OR(N192="",$F192=""),"",N192*$F192/1000)</f>
        <v/>
      </c>
      <c r="P192" s="16">
        <f>IF(OR($F192="",$G192=""),"",$F192*$G192)</f>
        <v/>
      </c>
      <c r="Q192" s="16">
        <f>IF($D192="","",IF($J192&lt;&gt;"",$J192,$C$9))</f>
        <v/>
      </c>
      <c r="R192" s="12">
        <f>IF($D192="","",IFERROR(IF(INDEX(Profile!$G$5:$G$304,MATCH($D192,lst_Profil,0))&lt;&gt;"",INDEX(Profile!$G$5:$G$304,MATCH($D192,lst_Profil,0)),$H$4),$H$4))</f>
        <v/>
      </c>
      <c r="S192" s="12">
        <f>IF($D192="","",IFERROR(IF(INDEX(Profile!$H$5:$H$304,MATCH($D192,lst_Profil,0))&lt;&gt;"",INDEX(Profile!$H$5:$H$304,MATCH($D192,lst_Profil,0)),$H$5),$H$5))</f>
        <v/>
      </c>
      <c r="T192" s="16">
        <f>IF(OR(Q192="",NOT(ISNUMBER(R192)),NOT(ISNUMBER(S192))),"",Q192-R192-S192)</f>
        <v/>
      </c>
      <c r="U192" s="28">
        <f>IF(OR($D192="",$E192=""),"",IF(OR(N($AP192)&gt;0,COUNTIFS(Preise!$A$5:$A$304,$D192,Preise!$B$5:$B$304,$E192,Preise!$I$5:$I$304,"OK")&gt;0,N(INDEX(Werkstoffe!$G$5:$G$304,MATCH($E192,lst_Werkstoff,0)))&gt;0),"ja","nein"))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28">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Materialpreis",IF(AND($AQ192&lt;&gt;"",N($AR192)&gt;0,MOD($G192,$AR192)&lt;&gt;0),"WARNUNG: Stückzahl ist kein Vielfaches von Stück je Satz",IF($H192="","HINWEIS: Schneidweg fehlt",IF(V192="","HINWEIS: keine Schneiddaten",IF(AND($AF192&lt;&gt;"",$AG192=""),"HINWEIS: Gewinde-Vorschlag prüfen","OK")))))))))))))))</f>
        <v/>
      </c>
      <c r="X192" s="18">
        <f>IF(OR(O192="",$G192=""),"",O192*$G192)</f>
        <v/>
      </c>
      <c r="Y192" s="9" t="n"/>
      <c r="Z192" s="23" t="n"/>
      <c r="AA192" s="9" t="n"/>
      <c r="AB192" s="23" t="n"/>
      <c r="AC192" s="23" t="n"/>
      <c r="AD192" s="23" t="n"/>
      <c r="AE192" s="9" t="n"/>
      <c r="AF192" s="9" t="n"/>
      <c r="AG192" s="9" t="n"/>
      <c r="AH192" s="24" t="n"/>
      <c r="AI192" s="23" t="n"/>
      <c r="AJ192" s="24" t="n"/>
      <c r="AK192" s="23" t="n"/>
      <c r="AL192" s="24" t="n"/>
      <c r="AM192" s="23" t="n"/>
      <c r="AN192" s="28">
        <f>IF($D192="","",COUNTIFS(Stangenbelegung!$E$5:$E$10004,ROW()))</f>
        <v/>
      </c>
      <c r="AO192" s="28">
        <f>IF(OR($G192="",COUNTA(Stangenbelegung!$A$5:$A$10004)=0),"",$G192-AN192)</f>
        <v/>
      </c>
      <c r="AP192" s="29" t="n"/>
      <c r="AQ192" s="9" t="n"/>
      <c r="AR192" s="19" t="n"/>
    </row>
    <row r="193">
      <c r="A193" s="9" t="n"/>
      <c r="B193" s="9" t="n"/>
      <c r="C193" s="9" t="n"/>
      <c r="D193" s="9" t="n"/>
      <c r="E193" s="9" t="n"/>
      <c r="F193" s="23" t="n"/>
      <c r="G193" s="19" t="n"/>
      <c r="H193" s="23" t="n"/>
      <c r="I193" s="24" t="n"/>
      <c r="J193" s="19" t="n"/>
      <c r="K193" s="25">
        <f>IF($D193="","",IFERROR(INDEX(Profile!$B$5:$B$304,MATCH($D193,lst_Profil,0)),""))</f>
        <v/>
      </c>
      <c r="L193" s="13">
        <f>IF($D193="","",IFERROR(INDEX(Profile!$K$5:$K$304,MATCH($D193,lst_Profil,0))+0,""))</f>
        <v/>
      </c>
      <c r="M193" s="26">
        <f>IF($D193="","",IFERROR(INDEX(Profile!$E$5:$E$304,MATCH($D193,lst_Profil,0))+0,""))</f>
        <v/>
      </c>
      <c r="N193" s="27">
        <f>IF(OR(L193="",$E193=""),"",IFERROR(L193*INDEX(Werkstoffe!$E$5:$E$304,MATCH($E193,lst_Werkstoff,0))/1000,""))</f>
        <v/>
      </c>
      <c r="O193" s="27">
        <f>IF(OR(N193="",$F193=""),"",N193*$F193/1000)</f>
        <v/>
      </c>
      <c r="P193" s="16">
        <f>IF(OR($F193="",$G193=""),"",$F193*$G193)</f>
        <v/>
      </c>
      <c r="Q193" s="16">
        <f>IF($D193="","",IF($J193&lt;&gt;"",$J193,$C$9))</f>
        <v/>
      </c>
      <c r="R193" s="12">
        <f>IF($D193="","",IFERROR(IF(INDEX(Profile!$G$5:$G$304,MATCH($D193,lst_Profil,0))&lt;&gt;"",INDEX(Profile!$G$5:$G$304,MATCH($D193,lst_Profil,0)),$H$4),$H$4))</f>
        <v/>
      </c>
      <c r="S193" s="12">
        <f>IF($D193="","",IFERROR(IF(INDEX(Profile!$H$5:$H$304,MATCH($D193,lst_Profil,0))&lt;&gt;"",INDEX(Profile!$H$5:$H$304,MATCH($D193,lst_Profil,0)),$H$5),$H$5))</f>
        <v/>
      </c>
      <c r="T193" s="16">
        <f>IF(OR(Q193="",NOT(ISNUMBER(R193)),NOT(ISNUMBER(S193))),"",Q193-R193-S193)</f>
        <v/>
      </c>
      <c r="U193" s="28">
        <f>IF(OR($D193="",$E193=""),"",IF(OR(N($AP193)&gt;0,COUNTIFS(Preise!$A$5:$A$304,$D193,Preise!$B$5:$B$304,$E193,Preise!$I$5:$I$304,"OK")&gt;0,N(INDEX(Werkstoffe!$G$5:$G$304,MATCH($E193,lst_Werkstoff,0)))&gt;0),"ja","nein"))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28">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Materialpreis",IF(AND($AQ193&lt;&gt;"",N($AR193)&gt;0,MOD($G193,$AR193)&lt;&gt;0),"WARNUNG: Stückzahl ist kein Vielfaches von Stück je Satz",IF($H193="","HINWEIS: Schneidweg fehlt",IF(V193="","HINWEIS: keine Schneiddaten",IF(AND($AF193&lt;&gt;"",$AG193=""),"HINWEIS: Gewinde-Vorschlag prüfen","OK")))))))))))))))</f>
        <v/>
      </c>
      <c r="X193" s="18">
        <f>IF(OR(O193="",$G193=""),"",O193*$G193)</f>
        <v/>
      </c>
      <c r="Y193" s="9" t="n"/>
      <c r="Z193" s="23" t="n"/>
      <c r="AA193" s="9" t="n"/>
      <c r="AB193" s="23" t="n"/>
      <c r="AC193" s="23" t="n"/>
      <c r="AD193" s="23" t="n"/>
      <c r="AE193" s="9" t="n"/>
      <c r="AF193" s="9" t="n"/>
      <c r="AG193" s="9" t="n"/>
      <c r="AH193" s="24" t="n"/>
      <c r="AI193" s="23" t="n"/>
      <c r="AJ193" s="24" t="n"/>
      <c r="AK193" s="23" t="n"/>
      <c r="AL193" s="24" t="n"/>
      <c r="AM193" s="23" t="n"/>
      <c r="AN193" s="28">
        <f>IF($D193="","",COUNTIFS(Stangenbelegung!$E$5:$E$10004,ROW()))</f>
        <v/>
      </c>
      <c r="AO193" s="28">
        <f>IF(OR($G193="",COUNTA(Stangenbelegung!$A$5:$A$10004)=0),"",$G193-AN193)</f>
        <v/>
      </c>
      <c r="AP193" s="29" t="n"/>
      <c r="AQ193" s="9" t="n"/>
      <c r="AR193" s="19" t="n"/>
    </row>
    <row r="194">
      <c r="A194" s="9" t="n"/>
      <c r="B194" s="9" t="n"/>
      <c r="C194" s="9" t="n"/>
      <c r="D194" s="9" t="n"/>
      <c r="E194" s="9" t="n"/>
      <c r="F194" s="23" t="n"/>
      <c r="G194" s="19" t="n"/>
      <c r="H194" s="23" t="n"/>
      <c r="I194" s="24" t="n"/>
      <c r="J194" s="19" t="n"/>
      <c r="K194" s="25">
        <f>IF($D194="","",IFERROR(INDEX(Profile!$B$5:$B$304,MATCH($D194,lst_Profil,0)),""))</f>
        <v/>
      </c>
      <c r="L194" s="13">
        <f>IF($D194="","",IFERROR(INDEX(Profile!$K$5:$K$304,MATCH($D194,lst_Profil,0))+0,""))</f>
        <v/>
      </c>
      <c r="M194" s="26">
        <f>IF($D194="","",IFERROR(INDEX(Profile!$E$5:$E$304,MATCH($D194,lst_Profil,0))+0,""))</f>
        <v/>
      </c>
      <c r="N194" s="27">
        <f>IF(OR(L194="",$E194=""),"",IFERROR(L194*INDEX(Werkstoffe!$E$5:$E$304,MATCH($E194,lst_Werkstoff,0))/1000,""))</f>
        <v/>
      </c>
      <c r="O194" s="27">
        <f>IF(OR(N194="",$F194=""),"",N194*$F194/1000)</f>
        <v/>
      </c>
      <c r="P194" s="16">
        <f>IF(OR($F194="",$G194=""),"",$F194*$G194)</f>
        <v/>
      </c>
      <c r="Q194" s="16">
        <f>IF($D194="","",IF($J194&lt;&gt;"",$J194,$C$9))</f>
        <v/>
      </c>
      <c r="R194" s="12">
        <f>IF($D194="","",IFERROR(IF(INDEX(Profile!$G$5:$G$304,MATCH($D194,lst_Profil,0))&lt;&gt;"",INDEX(Profile!$G$5:$G$304,MATCH($D194,lst_Profil,0)),$H$4),$H$4))</f>
        <v/>
      </c>
      <c r="S194" s="12">
        <f>IF($D194="","",IFERROR(IF(INDEX(Profile!$H$5:$H$304,MATCH($D194,lst_Profil,0))&lt;&gt;"",INDEX(Profile!$H$5:$H$304,MATCH($D194,lst_Profil,0)),$H$5),$H$5))</f>
        <v/>
      </c>
      <c r="T194" s="16">
        <f>IF(OR(Q194="",NOT(ISNUMBER(R194)),NOT(ISNUMBER(S194))),"",Q194-R194-S194)</f>
        <v/>
      </c>
      <c r="U194" s="28">
        <f>IF(OR($D194="",$E194=""),"",IF(OR(N($AP194)&gt;0,COUNTIFS(Preise!$A$5:$A$304,$D194,Preise!$B$5:$B$304,$E194,Preise!$I$5:$I$304,"OK")&gt;0,N(INDEX(Werkstoffe!$G$5:$G$304,MATCH($E194,lst_Werkstoff,0)))&gt;0),"ja","nein"))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28">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Materialpreis",IF(AND($AQ194&lt;&gt;"",N($AR194)&gt;0,MOD($G194,$AR194)&lt;&gt;0),"WARNUNG: Stückzahl ist kein Vielfaches von Stück je Satz",IF($H194="","HINWEIS: Schneidweg fehlt",IF(V194="","HINWEIS: keine Schneiddaten",IF(AND($AF194&lt;&gt;"",$AG194=""),"HINWEIS: Gewinde-Vorschlag prüfen","OK")))))))))))))))</f>
        <v/>
      </c>
      <c r="X194" s="18">
        <f>IF(OR(O194="",$G194=""),"",O194*$G194)</f>
        <v/>
      </c>
      <c r="Y194" s="9" t="n"/>
      <c r="Z194" s="23" t="n"/>
      <c r="AA194" s="9" t="n"/>
      <c r="AB194" s="23" t="n"/>
      <c r="AC194" s="23" t="n"/>
      <c r="AD194" s="23" t="n"/>
      <c r="AE194" s="9" t="n"/>
      <c r="AF194" s="9" t="n"/>
      <c r="AG194" s="9" t="n"/>
      <c r="AH194" s="24" t="n"/>
      <c r="AI194" s="23" t="n"/>
      <c r="AJ194" s="24" t="n"/>
      <c r="AK194" s="23" t="n"/>
      <c r="AL194" s="24" t="n"/>
      <c r="AM194" s="23" t="n"/>
      <c r="AN194" s="28">
        <f>IF($D194="","",COUNTIFS(Stangenbelegung!$E$5:$E$10004,ROW()))</f>
        <v/>
      </c>
      <c r="AO194" s="28">
        <f>IF(OR($G194="",COUNTA(Stangenbelegung!$A$5:$A$10004)=0),"",$G194-AN194)</f>
        <v/>
      </c>
      <c r="AP194" s="29" t="n"/>
      <c r="AQ194" s="9" t="n"/>
      <c r="AR194" s="19" t="n"/>
    </row>
    <row r="195">
      <c r="A195" s="9" t="n"/>
      <c r="B195" s="9" t="n"/>
      <c r="C195" s="9" t="n"/>
      <c r="D195" s="9" t="n"/>
      <c r="E195" s="9" t="n"/>
      <c r="F195" s="23" t="n"/>
      <c r="G195" s="19" t="n"/>
      <c r="H195" s="23" t="n"/>
      <c r="I195" s="24" t="n"/>
      <c r="J195" s="19" t="n"/>
      <c r="K195" s="25">
        <f>IF($D195="","",IFERROR(INDEX(Profile!$B$5:$B$304,MATCH($D195,lst_Profil,0)),""))</f>
        <v/>
      </c>
      <c r="L195" s="13">
        <f>IF($D195="","",IFERROR(INDEX(Profile!$K$5:$K$304,MATCH($D195,lst_Profil,0))+0,""))</f>
        <v/>
      </c>
      <c r="M195" s="26">
        <f>IF($D195="","",IFERROR(INDEX(Profile!$E$5:$E$304,MATCH($D195,lst_Profil,0))+0,""))</f>
        <v/>
      </c>
      <c r="N195" s="27">
        <f>IF(OR(L195="",$E195=""),"",IFERROR(L195*INDEX(Werkstoffe!$E$5:$E$304,MATCH($E195,lst_Werkstoff,0))/1000,""))</f>
        <v/>
      </c>
      <c r="O195" s="27">
        <f>IF(OR(N195="",$F195=""),"",N195*$F195/1000)</f>
        <v/>
      </c>
      <c r="P195" s="16">
        <f>IF(OR($F195="",$G195=""),"",$F195*$G195)</f>
        <v/>
      </c>
      <c r="Q195" s="16">
        <f>IF($D195="","",IF($J195&lt;&gt;"",$J195,$C$9))</f>
        <v/>
      </c>
      <c r="R195" s="12">
        <f>IF($D195="","",IFERROR(IF(INDEX(Profile!$G$5:$G$304,MATCH($D195,lst_Profil,0))&lt;&gt;"",INDEX(Profile!$G$5:$G$304,MATCH($D195,lst_Profil,0)),$H$4),$H$4))</f>
        <v/>
      </c>
      <c r="S195" s="12">
        <f>IF($D195="","",IFERROR(IF(INDEX(Profile!$H$5:$H$304,MATCH($D195,lst_Profil,0))&lt;&gt;"",INDEX(Profile!$H$5:$H$304,MATCH($D195,lst_Profil,0)),$H$5),$H$5))</f>
        <v/>
      </c>
      <c r="T195" s="16">
        <f>IF(OR(Q195="",NOT(ISNUMBER(R195)),NOT(ISNUMBER(S195))),"",Q195-R195-S195)</f>
        <v/>
      </c>
      <c r="U195" s="28">
        <f>IF(OR($D195="",$E195=""),"",IF(OR(N($AP195)&gt;0,COUNTIFS(Preise!$A$5:$A$304,$D195,Preise!$B$5:$B$304,$E195,Preise!$I$5:$I$304,"OK")&gt;0,N(INDEX(Werkstoffe!$G$5:$G$304,MATCH($E195,lst_Werkstoff,0)))&gt;0),"ja","nein"))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28">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Materialpreis",IF(AND($AQ195&lt;&gt;"",N($AR195)&gt;0,MOD($G195,$AR195)&lt;&gt;0),"WARNUNG: Stückzahl ist kein Vielfaches von Stück je Satz",IF($H195="","HINWEIS: Schneidweg fehlt",IF(V195="","HINWEIS: keine Schneiddaten",IF(AND($AF195&lt;&gt;"",$AG195=""),"HINWEIS: Gewinde-Vorschlag prüfen","OK")))))))))))))))</f>
        <v/>
      </c>
      <c r="X195" s="18">
        <f>IF(OR(O195="",$G195=""),"",O195*$G195)</f>
        <v/>
      </c>
      <c r="Y195" s="9" t="n"/>
      <c r="Z195" s="23" t="n"/>
      <c r="AA195" s="9" t="n"/>
      <c r="AB195" s="23" t="n"/>
      <c r="AC195" s="23" t="n"/>
      <c r="AD195" s="23" t="n"/>
      <c r="AE195" s="9" t="n"/>
      <c r="AF195" s="9" t="n"/>
      <c r="AG195" s="9" t="n"/>
      <c r="AH195" s="24" t="n"/>
      <c r="AI195" s="23" t="n"/>
      <c r="AJ195" s="24" t="n"/>
      <c r="AK195" s="23" t="n"/>
      <c r="AL195" s="24" t="n"/>
      <c r="AM195" s="23" t="n"/>
      <c r="AN195" s="28">
        <f>IF($D195="","",COUNTIFS(Stangenbelegung!$E$5:$E$10004,ROW()))</f>
        <v/>
      </c>
      <c r="AO195" s="28">
        <f>IF(OR($G195="",COUNTA(Stangenbelegung!$A$5:$A$10004)=0),"",$G195-AN195)</f>
        <v/>
      </c>
      <c r="AP195" s="29" t="n"/>
      <c r="AQ195" s="9" t="n"/>
      <c r="AR195" s="19" t="n"/>
    </row>
    <row r="196">
      <c r="A196" s="9" t="n"/>
      <c r="B196" s="9" t="n"/>
      <c r="C196" s="9" t="n"/>
      <c r="D196" s="9" t="n"/>
      <c r="E196" s="9" t="n"/>
      <c r="F196" s="23" t="n"/>
      <c r="G196" s="19" t="n"/>
      <c r="H196" s="23" t="n"/>
      <c r="I196" s="24" t="n"/>
      <c r="J196" s="19" t="n"/>
      <c r="K196" s="25">
        <f>IF($D196="","",IFERROR(INDEX(Profile!$B$5:$B$304,MATCH($D196,lst_Profil,0)),""))</f>
        <v/>
      </c>
      <c r="L196" s="13">
        <f>IF($D196="","",IFERROR(INDEX(Profile!$K$5:$K$304,MATCH($D196,lst_Profil,0))+0,""))</f>
        <v/>
      </c>
      <c r="M196" s="26">
        <f>IF($D196="","",IFERROR(INDEX(Profile!$E$5:$E$304,MATCH($D196,lst_Profil,0))+0,""))</f>
        <v/>
      </c>
      <c r="N196" s="27">
        <f>IF(OR(L196="",$E196=""),"",IFERROR(L196*INDEX(Werkstoffe!$E$5:$E$304,MATCH($E196,lst_Werkstoff,0))/1000,""))</f>
        <v/>
      </c>
      <c r="O196" s="27">
        <f>IF(OR(N196="",$F196=""),"",N196*$F196/1000)</f>
        <v/>
      </c>
      <c r="P196" s="16">
        <f>IF(OR($F196="",$G196=""),"",$F196*$G196)</f>
        <v/>
      </c>
      <c r="Q196" s="16">
        <f>IF($D196="","",IF($J196&lt;&gt;"",$J196,$C$9))</f>
        <v/>
      </c>
      <c r="R196" s="12">
        <f>IF($D196="","",IFERROR(IF(INDEX(Profile!$G$5:$G$304,MATCH($D196,lst_Profil,0))&lt;&gt;"",INDEX(Profile!$G$5:$G$304,MATCH($D196,lst_Profil,0)),$H$4),$H$4))</f>
        <v/>
      </c>
      <c r="S196" s="12">
        <f>IF($D196="","",IFERROR(IF(INDEX(Profile!$H$5:$H$304,MATCH($D196,lst_Profil,0))&lt;&gt;"",INDEX(Profile!$H$5:$H$304,MATCH($D196,lst_Profil,0)),$H$5),$H$5))</f>
        <v/>
      </c>
      <c r="T196" s="16">
        <f>IF(OR(Q196="",NOT(ISNUMBER(R196)),NOT(ISNUMBER(S196))),"",Q196-R196-S196)</f>
        <v/>
      </c>
      <c r="U196" s="28">
        <f>IF(OR($D196="",$E196=""),"",IF(OR(N($AP196)&gt;0,COUNTIFS(Preise!$A$5:$A$304,$D196,Preise!$B$5:$B$304,$E196,Preise!$I$5:$I$304,"OK")&gt;0,N(INDEX(Werkstoffe!$G$5:$G$304,MATCH($E196,lst_Werkstoff,0)))&gt;0),"ja","nein"))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28">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Materialpreis",IF(AND($AQ196&lt;&gt;"",N($AR196)&gt;0,MOD($G196,$AR196)&lt;&gt;0),"WARNUNG: Stückzahl ist kein Vielfaches von Stück je Satz",IF($H196="","HINWEIS: Schneidweg fehlt",IF(V196="","HINWEIS: keine Schneiddaten",IF(AND($AF196&lt;&gt;"",$AG196=""),"HINWEIS: Gewinde-Vorschlag prüfen","OK")))))))))))))))</f>
        <v/>
      </c>
      <c r="X196" s="18">
        <f>IF(OR(O196="",$G196=""),"",O196*$G196)</f>
        <v/>
      </c>
      <c r="Y196" s="9" t="n"/>
      <c r="Z196" s="23" t="n"/>
      <c r="AA196" s="9" t="n"/>
      <c r="AB196" s="23" t="n"/>
      <c r="AC196" s="23" t="n"/>
      <c r="AD196" s="23" t="n"/>
      <c r="AE196" s="9" t="n"/>
      <c r="AF196" s="9" t="n"/>
      <c r="AG196" s="9" t="n"/>
      <c r="AH196" s="24" t="n"/>
      <c r="AI196" s="23" t="n"/>
      <c r="AJ196" s="24" t="n"/>
      <c r="AK196" s="23" t="n"/>
      <c r="AL196" s="24" t="n"/>
      <c r="AM196" s="23" t="n"/>
      <c r="AN196" s="28">
        <f>IF($D196="","",COUNTIFS(Stangenbelegung!$E$5:$E$10004,ROW()))</f>
        <v/>
      </c>
      <c r="AO196" s="28">
        <f>IF(OR($G196="",COUNTA(Stangenbelegung!$A$5:$A$10004)=0),"",$G196-AN196)</f>
        <v/>
      </c>
      <c r="AP196" s="29" t="n"/>
      <c r="AQ196" s="9" t="n"/>
      <c r="AR196" s="19" t="n"/>
    </row>
    <row r="197">
      <c r="A197" s="9" t="n"/>
      <c r="B197" s="9" t="n"/>
      <c r="C197" s="9" t="n"/>
      <c r="D197" s="9" t="n"/>
      <c r="E197" s="9" t="n"/>
      <c r="F197" s="23" t="n"/>
      <c r="G197" s="19" t="n"/>
      <c r="H197" s="23" t="n"/>
      <c r="I197" s="24" t="n"/>
      <c r="J197" s="19" t="n"/>
      <c r="K197" s="25">
        <f>IF($D197="","",IFERROR(INDEX(Profile!$B$5:$B$304,MATCH($D197,lst_Profil,0)),""))</f>
        <v/>
      </c>
      <c r="L197" s="13">
        <f>IF($D197="","",IFERROR(INDEX(Profile!$K$5:$K$304,MATCH($D197,lst_Profil,0))+0,""))</f>
        <v/>
      </c>
      <c r="M197" s="26">
        <f>IF($D197="","",IFERROR(INDEX(Profile!$E$5:$E$304,MATCH($D197,lst_Profil,0))+0,""))</f>
        <v/>
      </c>
      <c r="N197" s="27">
        <f>IF(OR(L197="",$E197=""),"",IFERROR(L197*INDEX(Werkstoffe!$E$5:$E$304,MATCH($E197,lst_Werkstoff,0))/1000,""))</f>
        <v/>
      </c>
      <c r="O197" s="27">
        <f>IF(OR(N197="",$F197=""),"",N197*$F197/1000)</f>
        <v/>
      </c>
      <c r="P197" s="16">
        <f>IF(OR($F197="",$G197=""),"",$F197*$G197)</f>
        <v/>
      </c>
      <c r="Q197" s="16">
        <f>IF($D197="","",IF($J197&lt;&gt;"",$J197,$C$9))</f>
        <v/>
      </c>
      <c r="R197" s="12">
        <f>IF($D197="","",IFERROR(IF(INDEX(Profile!$G$5:$G$304,MATCH($D197,lst_Profil,0))&lt;&gt;"",INDEX(Profile!$G$5:$G$304,MATCH($D197,lst_Profil,0)),$H$4),$H$4))</f>
        <v/>
      </c>
      <c r="S197" s="12">
        <f>IF($D197="","",IFERROR(IF(INDEX(Profile!$H$5:$H$304,MATCH($D197,lst_Profil,0))&lt;&gt;"",INDEX(Profile!$H$5:$H$304,MATCH($D197,lst_Profil,0)),$H$5),$H$5))</f>
        <v/>
      </c>
      <c r="T197" s="16">
        <f>IF(OR(Q197="",NOT(ISNUMBER(R197)),NOT(ISNUMBER(S197))),"",Q197-R197-S197)</f>
        <v/>
      </c>
      <c r="U197" s="28">
        <f>IF(OR($D197="",$E197=""),"",IF(OR(N($AP197)&gt;0,COUNTIFS(Preise!$A$5:$A$304,$D197,Preise!$B$5:$B$304,$E197,Preise!$I$5:$I$304,"OK")&gt;0,N(INDEX(Werkstoffe!$G$5:$G$304,MATCH($E197,lst_Werkstoff,0)))&gt;0),"ja","nein"))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28">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Materialpreis",IF(AND($AQ197&lt;&gt;"",N($AR197)&gt;0,MOD($G197,$AR197)&lt;&gt;0),"WARNUNG: Stückzahl ist kein Vielfaches von Stück je Satz",IF($H197="","HINWEIS: Schneidweg fehlt",IF(V197="","HINWEIS: keine Schneiddaten",IF(AND($AF197&lt;&gt;"",$AG197=""),"HINWEIS: Gewinde-Vorschlag prüfen","OK")))))))))))))))</f>
        <v/>
      </c>
      <c r="X197" s="18">
        <f>IF(OR(O197="",$G197=""),"",O197*$G197)</f>
        <v/>
      </c>
      <c r="Y197" s="9" t="n"/>
      <c r="Z197" s="23" t="n"/>
      <c r="AA197" s="9" t="n"/>
      <c r="AB197" s="23" t="n"/>
      <c r="AC197" s="23" t="n"/>
      <c r="AD197" s="23" t="n"/>
      <c r="AE197" s="9" t="n"/>
      <c r="AF197" s="9" t="n"/>
      <c r="AG197" s="9" t="n"/>
      <c r="AH197" s="24" t="n"/>
      <c r="AI197" s="23" t="n"/>
      <c r="AJ197" s="24" t="n"/>
      <c r="AK197" s="23" t="n"/>
      <c r="AL197" s="24" t="n"/>
      <c r="AM197" s="23" t="n"/>
      <c r="AN197" s="28">
        <f>IF($D197="","",COUNTIFS(Stangenbelegung!$E$5:$E$10004,ROW()))</f>
        <v/>
      </c>
      <c r="AO197" s="28">
        <f>IF(OR($G197="",COUNTA(Stangenbelegung!$A$5:$A$10004)=0),"",$G197-AN197)</f>
        <v/>
      </c>
      <c r="AP197" s="29" t="n"/>
      <c r="AQ197" s="9" t="n"/>
      <c r="AR197" s="19" t="n"/>
    </row>
    <row r="198">
      <c r="A198" s="9" t="n"/>
      <c r="B198" s="9" t="n"/>
      <c r="C198" s="9" t="n"/>
      <c r="D198" s="9" t="n"/>
      <c r="E198" s="9" t="n"/>
      <c r="F198" s="23" t="n"/>
      <c r="G198" s="19" t="n"/>
      <c r="H198" s="23" t="n"/>
      <c r="I198" s="24" t="n"/>
      <c r="J198" s="19" t="n"/>
      <c r="K198" s="25">
        <f>IF($D198="","",IFERROR(INDEX(Profile!$B$5:$B$304,MATCH($D198,lst_Profil,0)),""))</f>
        <v/>
      </c>
      <c r="L198" s="13">
        <f>IF($D198="","",IFERROR(INDEX(Profile!$K$5:$K$304,MATCH($D198,lst_Profil,0))+0,""))</f>
        <v/>
      </c>
      <c r="M198" s="26">
        <f>IF($D198="","",IFERROR(INDEX(Profile!$E$5:$E$304,MATCH($D198,lst_Profil,0))+0,""))</f>
        <v/>
      </c>
      <c r="N198" s="27">
        <f>IF(OR(L198="",$E198=""),"",IFERROR(L198*INDEX(Werkstoffe!$E$5:$E$304,MATCH($E198,lst_Werkstoff,0))/1000,""))</f>
        <v/>
      </c>
      <c r="O198" s="27">
        <f>IF(OR(N198="",$F198=""),"",N198*$F198/1000)</f>
        <v/>
      </c>
      <c r="P198" s="16">
        <f>IF(OR($F198="",$G198=""),"",$F198*$G198)</f>
        <v/>
      </c>
      <c r="Q198" s="16">
        <f>IF($D198="","",IF($J198&lt;&gt;"",$J198,$C$9))</f>
        <v/>
      </c>
      <c r="R198" s="12">
        <f>IF($D198="","",IFERROR(IF(INDEX(Profile!$G$5:$G$304,MATCH($D198,lst_Profil,0))&lt;&gt;"",INDEX(Profile!$G$5:$G$304,MATCH($D198,lst_Profil,0)),$H$4),$H$4))</f>
        <v/>
      </c>
      <c r="S198" s="12">
        <f>IF($D198="","",IFERROR(IF(INDEX(Profile!$H$5:$H$304,MATCH($D198,lst_Profil,0))&lt;&gt;"",INDEX(Profile!$H$5:$H$304,MATCH($D198,lst_Profil,0)),$H$5),$H$5))</f>
        <v/>
      </c>
      <c r="T198" s="16">
        <f>IF(OR(Q198="",NOT(ISNUMBER(R198)),NOT(ISNUMBER(S198))),"",Q198-R198-S198)</f>
        <v/>
      </c>
      <c r="U198" s="28">
        <f>IF(OR($D198="",$E198=""),"",IF(OR(N($AP198)&gt;0,COUNTIFS(Preise!$A$5:$A$304,$D198,Preise!$B$5:$B$304,$E198,Preise!$I$5:$I$304,"OK")&gt;0,N(INDEX(Werkstoffe!$G$5:$G$304,MATCH($E198,lst_Werkstoff,0)))&gt;0),"ja","nein"))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28">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Materialpreis",IF(AND($AQ198&lt;&gt;"",N($AR198)&gt;0,MOD($G198,$AR198)&lt;&gt;0),"WARNUNG: Stückzahl ist kein Vielfaches von Stück je Satz",IF($H198="","HINWEIS: Schneidweg fehlt",IF(V198="","HINWEIS: keine Schneiddaten",IF(AND($AF198&lt;&gt;"",$AG198=""),"HINWEIS: Gewinde-Vorschlag prüfen","OK")))))))))))))))</f>
        <v/>
      </c>
      <c r="X198" s="18">
        <f>IF(OR(O198="",$G198=""),"",O198*$G198)</f>
        <v/>
      </c>
      <c r="Y198" s="9" t="n"/>
      <c r="Z198" s="23" t="n"/>
      <c r="AA198" s="9" t="n"/>
      <c r="AB198" s="23" t="n"/>
      <c r="AC198" s="23" t="n"/>
      <c r="AD198" s="23" t="n"/>
      <c r="AE198" s="9" t="n"/>
      <c r="AF198" s="9" t="n"/>
      <c r="AG198" s="9" t="n"/>
      <c r="AH198" s="24" t="n"/>
      <c r="AI198" s="23" t="n"/>
      <c r="AJ198" s="24" t="n"/>
      <c r="AK198" s="23" t="n"/>
      <c r="AL198" s="24" t="n"/>
      <c r="AM198" s="23" t="n"/>
      <c r="AN198" s="28">
        <f>IF($D198="","",COUNTIFS(Stangenbelegung!$E$5:$E$10004,ROW()))</f>
        <v/>
      </c>
      <c r="AO198" s="28">
        <f>IF(OR($G198="",COUNTA(Stangenbelegung!$A$5:$A$10004)=0),"",$G198-AN198)</f>
        <v/>
      </c>
      <c r="AP198" s="29" t="n"/>
      <c r="AQ198" s="9" t="n"/>
      <c r="AR198" s="19" t="n"/>
    </row>
    <row r="199">
      <c r="A199" s="9" t="n"/>
      <c r="B199" s="9" t="n"/>
      <c r="C199" s="9" t="n"/>
      <c r="D199" s="9" t="n"/>
      <c r="E199" s="9" t="n"/>
      <c r="F199" s="23" t="n"/>
      <c r="G199" s="19" t="n"/>
      <c r="H199" s="23" t="n"/>
      <c r="I199" s="24" t="n"/>
      <c r="J199" s="19" t="n"/>
      <c r="K199" s="25">
        <f>IF($D199="","",IFERROR(INDEX(Profile!$B$5:$B$304,MATCH($D199,lst_Profil,0)),""))</f>
        <v/>
      </c>
      <c r="L199" s="13">
        <f>IF($D199="","",IFERROR(INDEX(Profile!$K$5:$K$304,MATCH($D199,lst_Profil,0))+0,""))</f>
        <v/>
      </c>
      <c r="M199" s="26">
        <f>IF($D199="","",IFERROR(INDEX(Profile!$E$5:$E$304,MATCH($D199,lst_Profil,0))+0,""))</f>
        <v/>
      </c>
      <c r="N199" s="27">
        <f>IF(OR(L199="",$E199=""),"",IFERROR(L199*INDEX(Werkstoffe!$E$5:$E$304,MATCH($E199,lst_Werkstoff,0))/1000,""))</f>
        <v/>
      </c>
      <c r="O199" s="27">
        <f>IF(OR(N199="",$F199=""),"",N199*$F199/1000)</f>
        <v/>
      </c>
      <c r="P199" s="16">
        <f>IF(OR($F199="",$G199=""),"",$F199*$G199)</f>
        <v/>
      </c>
      <c r="Q199" s="16">
        <f>IF($D199="","",IF($J199&lt;&gt;"",$J199,$C$9))</f>
        <v/>
      </c>
      <c r="R199" s="12">
        <f>IF($D199="","",IFERROR(IF(INDEX(Profile!$G$5:$G$304,MATCH($D199,lst_Profil,0))&lt;&gt;"",INDEX(Profile!$G$5:$G$304,MATCH($D199,lst_Profil,0)),$H$4),$H$4))</f>
        <v/>
      </c>
      <c r="S199" s="12">
        <f>IF($D199="","",IFERROR(IF(INDEX(Profile!$H$5:$H$304,MATCH($D199,lst_Profil,0))&lt;&gt;"",INDEX(Profile!$H$5:$H$304,MATCH($D199,lst_Profil,0)),$H$5),$H$5))</f>
        <v/>
      </c>
      <c r="T199" s="16">
        <f>IF(OR(Q199="",NOT(ISNUMBER(R199)),NOT(ISNUMBER(S199))),"",Q199-R199-S199)</f>
        <v/>
      </c>
      <c r="U199" s="28">
        <f>IF(OR($D199="",$E199=""),"",IF(OR(N($AP199)&gt;0,COUNTIFS(Preise!$A$5:$A$304,$D199,Preise!$B$5:$B$304,$E199,Preise!$I$5:$I$304,"OK")&gt;0,N(INDEX(Werkstoffe!$G$5:$G$304,MATCH($E199,lst_Werkstoff,0)))&gt;0),"ja","nein"))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28">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Materialpreis",IF(AND($AQ199&lt;&gt;"",N($AR199)&gt;0,MOD($G199,$AR199)&lt;&gt;0),"WARNUNG: Stückzahl ist kein Vielfaches von Stück je Satz",IF($H199="","HINWEIS: Schneidweg fehlt",IF(V199="","HINWEIS: keine Schneiddaten",IF(AND($AF199&lt;&gt;"",$AG199=""),"HINWEIS: Gewinde-Vorschlag prüfen","OK")))))))))))))))</f>
        <v/>
      </c>
      <c r="X199" s="18">
        <f>IF(OR(O199="",$G199=""),"",O199*$G199)</f>
        <v/>
      </c>
      <c r="Y199" s="9" t="n"/>
      <c r="Z199" s="23" t="n"/>
      <c r="AA199" s="9" t="n"/>
      <c r="AB199" s="23" t="n"/>
      <c r="AC199" s="23" t="n"/>
      <c r="AD199" s="23" t="n"/>
      <c r="AE199" s="9" t="n"/>
      <c r="AF199" s="9" t="n"/>
      <c r="AG199" s="9" t="n"/>
      <c r="AH199" s="24" t="n"/>
      <c r="AI199" s="23" t="n"/>
      <c r="AJ199" s="24" t="n"/>
      <c r="AK199" s="23" t="n"/>
      <c r="AL199" s="24" t="n"/>
      <c r="AM199" s="23" t="n"/>
      <c r="AN199" s="28">
        <f>IF($D199="","",COUNTIFS(Stangenbelegung!$E$5:$E$10004,ROW()))</f>
        <v/>
      </c>
      <c r="AO199" s="28">
        <f>IF(OR($G199="",COUNTA(Stangenbelegung!$A$5:$A$10004)=0),"",$G199-AN199)</f>
        <v/>
      </c>
      <c r="AP199" s="29" t="n"/>
      <c r="AQ199" s="9" t="n"/>
      <c r="AR199" s="19" t="n"/>
    </row>
    <row r="200">
      <c r="A200" s="9" t="n"/>
      <c r="B200" s="9" t="n"/>
      <c r="C200" s="9" t="n"/>
      <c r="D200" s="9" t="n"/>
      <c r="E200" s="9" t="n"/>
      <c r="F200" s="23" t="n"/>
      <c r="G200" s="19" t="n"/>
      <c r="H200" s="23" t="n"/>
      <c r="I200" s="24" t="n"/>
      <c r="J200" s="19" t="n"/>
      <c r="K200" s="25">
        <f>IF($D200="","",IFERROR(INDEX(Profile!$B$5:$B$304,MATCH($D200,lst_Profil,0)),""))</f>
        <v/>
      </c>
      <c r="L200" s="13">
        <f>IF($D200="","",IFERROR(INDEX(Profile!$K$5:$K$304,MATCH($D200,lst_Profil,0))+0,""))</f>
        <v/>
      </c>
      <c r="M200" s="26">
        <f>IF($D200="","",IFERROR(INDEX(Profile!$E$5:$E$304,MATCH($D200,lst_Profil,0))+0,""))</f>
        <v/>
      </c>
      <c r="N200" s="27">
        <f>IF(OR(L200="",$E200=""),"",IFERROR(L200*INDEX(Werkstoffe!$E$5:$E$304,MATCH($E200,lst_Werkstoff,0))/1000,""))</f>
        <v/>
      </c>
      <c r="O200" s="27">
        <f>IF(OR(N200="",$F200=""),"",N200*$F200/1000)</f>
        <v/>
      </c>
      <c r="P200" s="16">
        <f>IF(OR($F200="",$G200=""),"",$F200*$G200)</f>
        <v/>
      </c>
      <c r="Q200" s="16">
        <f>IF($D200="","",IF($J200&lt;&gt;"",$J200,$C$9))</f>
        <v/>
      </c>
      <c r="R200" s="12">
        <f>IF($D200="","",IFERROR(IF(INDEX(Profile!$G$5:$G$304,MATCH($D200,lst_Profil,0))&lt;&gt;"",INDEX(Profile!$G$5:$G$304,MATCH($D200,lst_Profil,0)),$H$4),$H$4))</f>
        <v/>
      </c>
      <c r="S200" s="12">
        <f>IF($D200="","",IFERROR(IF(INDEX(Profile!$H$5:$H$304,MATCH($D200,lst_Profil,0))&lt;&gt;"",INDEX(Profile!$H$5:$H$304,MATCH($D200,lst_Profil,0)),$H$5),$H$5))</f>
        <v/>
      </c>
      <c r="T200" s="16">
        <f>IF(OR(Q200="",NOT(ISNUMBER(R200)),NOT(ISNUMBER(S200))),"",Q200-R200-S200)</f>
        <v/>
      </c>
      <c r="U200" s="28">
        <f>IF(OR($D200="",$E200=""),"",IF(OR(N($AP200)&gt;0,COUNTIFS(Preise!$A$5:$A$304,$D200,Preise!$B$5:$B$304,$E200,Preise!$I$5:$I$304,"OK")&gt;0,N(INDEX(Werkstoffe!$G$5:$G$304,MATCH($E200,lst_Werkstoff,0)))&gt;0),"ja","nein"))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28">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Materialpreis",IF(AND($AQ200&lt;&gt;"",N($AR200)&gt;0,MOD($G200,$AR200)&lt;&gt;0),"WARNUNG: Stückzahl ist kein Vielfaches von Stück je Satz",IF($H200="","HINWEIS: Schneidweg fehlt",IF(V200="","HINWEIS: keine Schneiddaten",IF(AND($AF200&lt;&gt;"",$AG200=""),"HINWEIS: Gewinde-Vorschlag prüfen","OK")))))))))))))))</f>
        <v/>
      </c>
      <c r="X200" s="18">
        <f>IF(OR(O200="",$G200=""),"",O200*$G200)</f>
        <v/>
      </c>
      <c r="Y200" s="9" t="n"/>
      <c r="Z200" s="23" t="n"/>
      <c r="AA200" s="9" t="n"/>
      <c r="AB200" s="23" t="n"/>
      <c r="AC200" s="23" t="n"/>
      <c r="AD200" s="23" t="n"/>
      <c r="AE200" s="9" t="n"/>
      <c r="AF200" s="9" t="n"/>
      <c r="AG200" s="9" t="n"/>
      <c r="AH200" s="24" t="n"/>
      <c r="AI200" s="23" t="n"/>
      <c r="AJ200" s="24" t="n"/>
      <c r="AK200" s="23" t="n"/>
      <c r="AL200" s="24" t="n"/>
      <c r="AM200" s="23" t="n"/>
      <c r="AN200" s="28">
        <f>IF($D200="","",COUNTIFS(Stangenbelegung!$E$5:$E$10004,ROW()))</f>
        <v/>
      </c>
      <c r="AO200" s="28">
        <f>IF(OR($G200="",COUNTA(Stangenbelegung!$A$5:$A$10004)=0),"",$G200-AN200)</f>
        <v/>
      </c>
      <c r="AP200" s="29" t="n"/>
      <c r="AQ200" s="9" t="n"/>
      <c r="AR200" s="19" t="n"/>
    </row>
    <row r="201">
      <c r="A201" s="9" t="n"/>
      <c r="B201" s="9" t="n"/>
      <c r="C201" s="9" t="n"/>
      <c r="D201" s="9" t="n"/>
      <c r="E201" s="9" t="n"/>
      <c r="F201" s="23" t="n"/>
      <c r="G201" s="19" t="n"/>
      <c r="H201" s="23" t="n"/>
      <c r="I201" s="24" t="n"/>
      <c r="J201" s="19" t="n"/>
      <c r="K201" s="25">
        <f>IF($D201="","",IFERROR(INDEX(Profile!$B$5:$B$304,MATCH($D201,lst_Profil,0)),""))</f>
        <v/>
      </c>
      <c r="L201" s="13">
        <f>IF($D201="","",IFERROR(INDEX(Profile!$K$5:$K$304,MATCH($D201,lst_Profil,0))+0,""))</f>
        <v/>
      </c>
      <c r="M201" s="26">
        <f>IF($D201="","",IFERROR(INDEX(Profile!$E$5:$E$304,MATCH($D201,lst_Profil,0))+0,""))</f>
        <v/>
      </c>
      <c r="N201" s="27">
        <f>IF(OR(L201="",$E201=""),"",IFERROR(L201*INDEX(Werkstoffe!$E$5:$E$304,MATCH($E201,lst_Werkstoff,0))/1000,""))</f>
        <v/>
      </c>
      <c r="O201" s="27">
        <f>IF(OR(N201="",$F201=""),"",N201*$F201/1000)</f>
        <v/>
      </c>
      <c r="P201" s="16">
        <f>IF(OR($F201="",$G201=""),"",$F201*$G201)</f>
        <v/>
      </c>
      <c r="Q201" s="16">
        <f>IF($D201="","",IF($J201&lt;&gt;"",$J201,$C$9))</f>
        <v/>
      </c>
      <c r="R201" s="12">
        <f>IF($D201="","",IFERROR(IF(INDEX(Profile!$G$5:$G$304,MATCH($D201,lst_Profil,0))&lt;&gt;"",INDEX(Profile!$G$5:$G$304,MATCH($D201,lst_Profil,0)),$H$4),$H$4))</f>
        <v/>
      </c>
      <c r="S201" s="12">
        <f>IF($D201="","",IFERROR(IF(INDEX(Profile!$H$5:$H$304,MATCH($D201,lst_Profil,0))&lt;&gt;"",INDEX(Profile!$H$5:$H$304,MATCH($D201,lst_Profil,0)),$H$5),$H$5))</f>
        <v/>
      </c>
      <c r="T201" s="16">
        <f>IF(OR(Q201="",NOT(ISNUMBER(R201)),NOT(ISNUMBER(S201))),"",Q201-R201-S201)</f>
        <v/>
      </c>
      <c r="U201" s="28">
        <f>IF(OR($D201="",$E201=""),"",IF(OR(N($AP201)&gt;0,COUNTIFS(Preise!$A$5:$A$304,$D201,Preise!$B$5:$B$304,$E201,Preise!$I$5:$I$304,"OK")&gt;0,N(INDEX(Werkstoffe!$G$5:$G$304,MATCH($E201,lst_Werkstoff,0)))&gt;0),"ja","nein"))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28">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Materialpreis",IF(AND($AQ201&lt;&gt;"",N($AR201)&gt;0,MOD($G201,$AR201)&lt;&gt;0),"WARNUNG: Stückzahl ist kein Vielfaches von Stück je Satz",IF($H201="","HINWEIS: Schneidweg fehlt",IF(V201="","HINWEIS: keine Schneiddaten",IF(AND($AF201&lt;&gt;"",$AG201=""),"HINWEIS: Gewinde-Vorschlag prüfen","OK")))))))))))))))</f>
        <v/>
      </c>
      <c r="X201" s="18">
        <f>IF(OR(O201="",$G201=""),"",O201*$G201)</f>
        <v/>
      </c>
      <c r="Y201" s="9" t="n"/>
      <c r="Z201" s="23" t="n"/>
      <c r="AA201" s="9" t="n"/>
      <c r="AB201" s="23" t="n"/>
      <c r="AC201" s="23" t="n"/>
      <c r="AD201" s="23" t="n"/>
      <c r="AE201" s="9" t="n"/>
      <c r="AF201" s="9" t="n"/>
      <c r="AG201" s="9" t="n"/>
      <c r="AH201" s="24" t="n"/>
      <c r="AI201" s="23" t="n"/>
      <c r="AJ201" s="24" t="n"/>
      <c r="AK201" s="23" t="n"/>
      <c r="AL201" s="24" t="n"/>
      <c r="AM201" s="23" t="n"/>
      <c r="AN201" s="28">
        <f>IF($D201="","",COUNTIFS(Stangenbelegung!$E$5:$E$10004,ROW()))</f>
        <v/>
      </c>
      <c r="AO201" s="28">
        <f>IF(OR($G201="",COUNTA(Stangenbelegung!$A$5:$A$10004)=0),"",$G201-AN201)</f>
        <v/>
      </c>
      <c r="AP201" s="29" t="n"/>
      <c r="AQ201" s="9" t="n"/>
      <c r="AR201" s="19" t="n"/>
    </row>
    <row r="202">
      <c r="A202" s="9" t="n"/>
      <c r="B202" s="9" t="n"/>
      <c r="C202" s="9" t="n"/>
      <c r="D202" s="9" t="n"/>
      <c r="E202" s="9" t="n"/>
      <c r="F202" s="23" t="n"/>
      <c r="G202" s="19" t="n"/>
      <c r="H202" s="23" t="n"/>
      <c r="I202" s="24" t="n"/>
      <c r="J202" s="19" t="n"/>
      <c r="K202" s="25">
        <f>IF($D202="","",IFERROR(INDEX(Profile!$B$5:$B$304,MATCH($D202,lst_Profil,0)),""))</f>
        <v/>
      </c>
      <c r="L202" s="13">
        <f>IF($D202="","",IFERROR(INDEX(Profile!$K$5:$K$304,MATCH($D202,lst_Profil,0))+0,""))</f>
        <v/>
      </c>
      <c r="M202" s="26">
        <f>IF($D202="","",IFERROR(INDEX(Profile!$E$5:$E$304,MATCH($D202,lst_Profil,0))+0,""))</f>
        <v/>
      </c>
      <c r="N202" s="27">
        <f>IF(OR(L202="",$E202=""),"",IFERROR(L202*INDEX(Werkstoffe!$E$5:$E$304,MATCH($E202,lst_Werkstoff,0))/1000,""))</f>
        <v/>
      </c>
      <c r="O202" s="27">
        <f>IF(OR(N202="",$F202=""),"",N202*$F202/1000)</f>
        <v/>
      </c>
      <c r="P202" s="16">
        <f>IF(OR($F202="",$G202=""),"",$F202*$G202)</f>
        <v/>
      </c>
      <c r="Q202" s="16">
        <f>IF($D202="","",IF($J202&lt;&gt;"",$J202,$C$9))</f>
        <v/>
      </c>
      <c r="R202" s="12">
        <f>IF($D202="","",IFERROR(IF(INDEX(Profile!$G$5:$G$304,MATCH($D202,lst_Profil,0))&lt;&gt;"",INDEX(Profile!$G$5:$G$304,MATCH($D202,lst_Profil,0)),$H$4),$H$4))</f>
        <v/>
      </c>
      <c r="S202" s="12">
        <f>IF($D202="","",IFERROR(IF(INDEX(Profile!$H$5:$H$304,MATCH($D202,lst_Profil,0))&lt;&gt;"",INDEX(Profile!$H$5:$H$304,MATCH($D202,lst_Profil,0)),$H$5),$H$5))</f>
        <v/>
      </c>
      <c r="T202" s="16">
        <f>IF(OR(Q202="",NOT(ISNUMBER(R202)),NOT(ISNUMBER(S202))),"",Q202-R202-S202)</f>
        <v/>
      </c>
      <c r="U202" s="28">
        <f>IF(OR($D202="",$E202=""),"",IF(OR(N($AP202)&gt;0,COUNTIFS(Preise!$A$5:$A$304,$D202,Preise!$B$5:$B$304,$E202,Preise!$I$5:$I$304,"OK")&gt;0,N(INDEX(Werkstoffe!$G$5:$G$304,MATCH($E202,lst_Werkstoff,0)))&gt;0),"ja","nein"))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28">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Materialpreis",IF(AND($AQ202&lt;&gt;"",N($AR202)&gt;0,MOD($G202,$AR202)&lt;&gt;0),"WARNUNG: Stückzahl ist kein Vielfaches von Stück je Satz",IF($H202="","HINWEIS: Schneidweg fehlt",IF(V202="","HINWEIS: keine Schneiddaten",IF(AND($AF202&lt;&gt;"",$AG202=""),"HINWEIS: Gewinde-Vorschlag prüfen","OK")))))))))))))))</f>
        <v/>
      </c>
      <c r="X202" s="18">
        <f>IF(OR(O202="",$G202=""),"",O202*$G202)</f>
        <v/>
      </c>
      <c r="Y202" s="9" t="n"/>
      <c r="Z202" s="23" t="n"/>
      <c r="AA202" s="9" t="n"/>
      <c r="AB202" s="23" t="n"/>
      <c r="AC202" s="23" t="n"/>
      <c r="AD202" s="23" t="n"/>
      <c r="AE202" s="9" t="n"/>
      <c r="AF202" s="9" t="n"/>
      <c r="AG202" s="9" t="n"/>
      <c r="AH202" s="24" t="n"/>
      <c r="AI202" s="23" t="n"/>
      <c r="AJ202" s="24" t="n"/>
      <c r="AK202" s="23" t="n"/>
      <c r="AL202" s="24" t="n"/>
      <c r="AM202" s="23" t="n"/>
      <c r="AN202" s="28">
        <f>IF($D202="","",COUNTIFS(Stangenbelegung!$E$5:$E$10004,ROW()))</f>
        <v/>
      </c>
      <c r="AO202" s="28">
        <f>IF(OR($G202="",COUNTA(Stangenbelegung!$A$5:$A$10004)=0),"",$G202-AN202)</f>
        <v/>
      </c>
      <c r="AP202" s="29" t="n"/>
      <c r="AQ202" s="9" t="n"/>
      <c r="AR202" s="19" t="n"/>
    </row>
    <row r="203">
      <c r="A203" s="9" t="n"/>
      <c r="B203" s="9" t="n"/>
      <c r="C203" s="9" t="n"/>
      <c r="D203" s="9" t="n"/>
      <c r="E203" s="9" t="n"/>
      <c r="F203" s="23" t="n"/>
      <c r="G203" s="19" t="n"/>
      <c r="H203" s="23" t="n"/>
      <c r="I203" s="24" t="n"/>
      <c r="J203" s="19" t="n"/>
      <c r="K203" s="25">
        <f>IF($D203="","",IFERROR(INDEX(Profile!$B$5:$B$304,MATCH($D203,lst_Profil,0)),""))</f>
        <v/>
      </c>
      <c r="L203" s="13">
        <f>IF($D203="","",IFERROR(INDEX(Profile!$K$5:$K$304,MATCH($D203,lst_Profil,0))+0,""))</f>
        <v/>
      </c>
      <c r="M203" s="26">
        <f>IF($D203="","",IFERROR(INDEX(Profile!$E$5:$E$304,MATCH($D203,lst_Profil,0))+0,""))</f>
        <v/>
      </c>
      <c r="N203" s="27">
        <f>IF(OR(L203="",$E203=""),"",IFERROR(L203*INDEX(Werkstoffe!$E$5:$E$304,MATCH($E203,lst_Werkstoff,0))/1000,""))</f>
        <v/>
      </c>
      <c r="O203" s="27">
        <f>IF(OR(N203="",$F203=""),"",N203*$F203/1000)</f>
        <v/>
      </c>
      <c r="P203" s="16">
        <f>IF(OR($F203="",$G203=""),"",$F203*$G203)</f>
        <v/>
      </c>
      <c r="Q203" s="16">
        <f>IF($D203="","",IF($J203&lt;&gt;"",$J203,$C$9))</f>
        <v/>
      </c>
      <c r="R203" s="12">
        <f>IF($D203="","",IFERROR(IF(INDEX(Profile!$G$5:$G$304,MATCH($D203,lst_Profil,0))&lt;&gt;"",INDEX(Profile!$G$5:$G$304,MATCH($D203,lst_Profil,0)),$H$4),$H$4))</f>
        <v/>
      </c>
      <c r="S203" s="12">
        <f>IF($D203="","",IFERROR(IF(INDEX(Profile!$H$5:$H$304,MATCH($D203,lst_Profil,0))&lt;&gt;"",INDEX(Profile!$H$5:$H$304,MATCH($D203,lst_Profil,0)),$H$5),$H$5))</f>
        <v/>
      </c>
      <c r="T203" s="16">
        <f>IF(OR(Q203="",NOT(ISNUMBER(R203)),NOT(ISNUMBER(S203))),"",Q203-R203-S203)</f>
        <v/>
      </c>
      <c r="U203" s="28">
        <f>IF(OR($D203="",$E203=""),"",IF(OR(N($AP203)&gt;0,COUNTIFS(Preise!$A$5:$A$304,$D203,Preise!$B$5:$B$304,$E203,Preise!$I$5:$I$304,"OK")&gt;0,N(INDEX(Werkstoffe!$G$5:$G$304,MATCH($E203,lst_Werkstoff,0)))&gt;0),"ja","nein"))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28">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Materialpreis",IF(AND($AQ203&lt;&gt;"",N($AR203)&gt;0,MOD($G203,$AR203)&lt;&gt;0),"WARNUNG: Stückzahl ist kein Vielfaches von Stück je Satz",IF($H203="","HINWEIS: Schneidweg fehlt",IF(V203="","HINWEIS: keine Schneiddaten",IF(AND($AF203&lt;&gt;"",$AG203=""),"HINWEIS: Gewinde-Vorschlag prüfen","OK")))))))))))))))</f>
        <v/>
      </c>
      <c r="X203" s="18">
        <f>IF(OR(O203="",$G203=""),"",O203*$G203)</f>
        <v/>
      </c>
      <c r="Y203" s="9" t="n"/>
      <c r="Z203" s="23" t="n"/>
      <c r="AA203" s="9" t="n"/>
      <c r="AB203" s="23" t="n"/>
      <c r="AC203" s="23" t="n"/>
      <c r="AD203" s="23" t="n"/>
      <c r="AE203" s="9" t="n"/>
      <c r="AF203" s="9" t="n"/>
      <c r="AG203" s="9" t="n"/>
      <c r="AH203" s="24" t="n"/>
      <c r="AI203" s="23" t="n"/>
      <c r="AJ203" s="24" t="n"/>
      <c r="AK203" s="23" t="n"/>
      <c r="AL203" s="24" t="n"/>
      <c r="AM203" s="23" t="n"/>
      <c r="AN203" s="28">
        <f>IF($D203="","",COUNTIFS(Stangenbelegung!$E$5:$E$10004,ROW()))</f>
        <v/>
      </c>
      <c r="AO203" s="28">
        <f>IF(OR($G203="",COUNTA(Stangenbelegung!$A$5:$A$10004)=0),"",$G203-AN203)</f>
        <v/>
      </c>
      <c r="AP203" s="29" t="n"/>
      <c r="AQ203" s="9" t="n"/>
      <c r="AR203" s="19" t="n"/>
    </row>
    <row r="204">
      <c r="A204" s="9" t="n"/>
      <c r="B204" s="9" t="n"/>
      <c r="C204" s="9" t="n"/>
      <c r="D204" s="9" t="n"/>
      <c r="E204" s="9" t="n"/>
      <c r="F204" s="23" t="n"/>
      <c r="G204" s="19" t="n"/>
      <c r="H204" s="23" t="n"/>
      <c r="I204" s="24" t="n"/>
      <c r="J204" s="19" t="n"/>
      <c r="K204" s="25">
        <f>IF($D204="","",IFERROR(INDEX(Profile!$B$5:$B$304,MATCH($D204,lst_Profil,0)),""))</f>
        <v/>
      </c>
      <c r="L204" s="13">
        <f>IF($D204="","",IFERROR(INDEX(Profile!$K$5:$K$304,MATCH($D204,lst_Profil,0))+0,""))</f>
        <v/>
      </c>
      <c r="M204" s="26">
        <f>IF($D204="","",IFERROR(INDEX(Profile!$E$5:$E$304,MATCH($D204,lst_Profil,0))+0,""))</f>
        <v/>
      </c>
      <c r="N204" s="27">
        <f>IF(OR(L204="",$E204=""),"",IFERROR(L204*INDEX(Werkstoffe!$E$5:$E$304,MATCH($E204,lst_Werkstoff,0))/1000,""))</f>
        <v/>
      </c>
      <c r="O204" s="27">
        <f>IF(OR(N204="",$F204=""),"",N204*$F204/1000)</f>
        <v/>
      </c>
      <c r="P204" s="16">
        <f>IF(OR($F204="",$G204=""),"",$F204*$G204)</f>
        <v/>
      </c>
      <c r="Q204" s="16">
        <f>IF($D204="","",IF($J204&lt;&gt;"",$J204,$C$9))</f>
        <v/>
      </c>
      <c r="R204" s="12">
        <f>IF($D204="","",IFERROR(IF(INDEX(Profile!$G$5:$G$304,MATCH($D204,lst_Profil,0))&lt;&gt;"",INDEX(Profile!$G$5:$G$304,MATCH($D204,lst_Profil,0)),$H$4),$H$4))</f>
        <v/>
      </c>
      <c r="S204" s="12">
        <f>IF($D204="","",IFERROR(IF(INDEX(Profile!$H$5:$H$304,MATCH($D204,lst_Profil,0))&lt;&gt;"",INDEX(Profile!$H$5:$H$304,MATCH($D204,lst_Profil,0)),$H$5),$H$5))</f>
        <v/>
      </c>
      <c r="T204" s="16">
        <f>IF(OR(Q204="",NOT(ISNUMBER(R204)),NOT(ISNUMBER(S204))),"",Q204-R204-S204)</f>
        <v/>
      </c>
      <c r="U204" s="28">
        <f>IF(OR($D204="",$E204=""),"",IF(OR(N($AP204)&gt;0,COUNTIFS(Preise!$A$5:$A$304,$D204,Preise!$B$5:$B$304,$E204,Preise!$I$5:$I$304,"OK")&gt;0,N(INDEX(Werkstoffe!$G$5:$G$304,MATCH($E204,lst_Werkstoff,0)))&gt;0),"ja","nein"))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28">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Materialpreis",IF(AND($AQ204&lt;&gt;"",N($AR204)&gt;0,MOD($G204,$AR204)&lt;&gt;0),"WARNUNG: Stückzahl ist kein Vielfaches von Stück je Satz",IF($H204="","HINWEIS: Schneidweg fehlt",IF(V204="","HINWEIS: keine Schneiddaten",IF(AND($AF204&lt;&gt;"",$AG204=""),"HINWEIS: Gewinde-Vorschlag prüfen","OK")))))))))))))))</f>
        <v/>
      </c>
      <c r="X204" s="18">
        <f>IF(OR(O204="",$G204=""),"",O204*$G204)</f>
        <v/>
      </c>
      <c r="Y204" s="9" t="n"/>
      <c r="Z204" s="23" t="n"/>
      <c r="AA204" s="9" t="n"/>
      <c r="AB204" s="23" t="n"/>
      <c r="AC204" s="23" t="n"/>
      <c r="AD204" s="23" t="n"/>
      <c r="AE204" s="9" t="n"/>
      <c r="AF204" s="9" t="n"/>
      <c r="AG204" s="9" t="n"/>
      <c r="AH204" s="24" t="n"/>
      <c r="AI204" s="23" t="n"/>
      <c r="AJ204" s="24" t="n"/>
      <c r="AK204" s="23" t="n"/>
      <c r="AL204" s="24" t="n"/>
      <c r="AM204" s="23" t="n"/>
      <c r="AN204" s="28">
        <f>IF($D204="","",COUNTIFS(Stangenbelegung!$E$5:$E$10004,ROW()))</f>
        <v/>
      </c>
      <c r="AO204" s="28">
        <f>IF(OR($G204="",COUNTA(Stangenbelegung!$A$5:$A$10004)=0),"",$G204-AN204)</f>
        <v/>
      </c>
      <c r="AP204" s="29" t="n"/>
      <c r="AQ204" s="9" t="n"/>
      <c r="AR204" s="19" t="n"/>
    </row>
    <row r="205">
      <c r="A205" s="9" t="n"/>
      <c r="B205" s="9" t="n"/>
      <c r="C205" s="9" t="n"/>
      <c r="D205" s="9" t="n"/>
      <c r="E205" s="9" t="n"/>
      <c r="F205" s="23" t="n"/>
      <c r="G205" s="19" t="n"/>
      <c r="H205" s="23" t="n"/>
      <c r="I205" s="24" t="n"/>
      <c r="J205" s="19" t="n"/>
      <c r="K205" s="25">
        <f>IF($D205="","",IFERROR(INDEX(Profile!$B$5:$B$304,MATCH($D205,lst_Profil,0)),""))</f>
        <v/>
      </c>
      <c r="L205" s="13">
        <f>IF($D205="","",IFERROR(INDEX(Profile!$K$5:$K$304,MATCH($D205,lst_Profil,0))+0,""))</f>
        <v/>
      </c>
      <c r="M205" s="26">
        <f>IF($D205="","",IFERROR(INDEX(Profile!$E$5:$E$304,MATCH($D205,lst_Profil,0))+0,""))</f>
        <v/>
      </c>
      <c r="N205" s="27">
        <f>IF(OR(L205="",$E205=""),"",IFERROR(L205*INDEX(Werkstoffe!$E$5:$E$304,MATCH($E205,lst_Werkstoff,0))/1000,""))</f>
        <v/>
      </c>
      <c r="O205" s="27">
        <f>IF(OR(N205="",$F205=""),"",N205*$F205/1000)</f>
        <v/>
      </c>
      <c r="P205" s="16">
        <f>IF(OR($F205="",$G205=""),"",$F205*$G205)</f>
        <v/>
      </c>
      <c r="Q205" s="16">
        <f>IF($D205="","",IF($J205&lt;&gt;"",$J205,$C$9))</f>
        <v/>
      </c>
      <c r="R205" s="12">
        <f>IF($D205="","",IFERROR(IF(INDEX(Profile!$G$5:$G$304,MATCH($D205,lst_Profil,0))&lt;&gt;"",INDEX(Profile!$G$5:$G$304,MATCH($D205,lst_Profil,0)),$H$4),$H$4))</f>
        <v/>
      </c>
      <c r="S205" s="12">
        <f>IF($D205="","",IFERROR(IF(INDEX(Profile!$H$5:$H$304,MATCH($D205,lst_Profil,0))&lt;&gt;"",INDEX(Profile!$H$5:$H$304,MATCH($D205,lst_Profil,0)),$H$5),$H$5))</f>
        <v/>
      </c>
      <c r="T205" s="16">
        <f>IF(OR(Q205="",NOT(ISNUMBER(R205)),NOT(ISNUMBER(S205))),"",Q205-R205-S205)</f>
        <v/>
      </c>
      <c r="U205" s="28">
        <f>IF(OR($D205="",$E205=""),"",IF(OR(N($AP205)&gt;0,COUNTIFS(Preise!$A$5:$A$304,$D205,Preise!$B$5:$B$304,$E205,Preise!$I$5:$I$304,"OK")&gt;0,N(INDEX(Werkstoffe!$G$5:$G$304,MATCH($E205,lst_Werkstoff,0)))&gt;0),"ja","nein"))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28">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Materialpreis",IF(AND($AQ205&lt;&gt;"",N($AR205)&gt;0,MOD($G205,$AR205)&lt;&gt;0),"WARNUNG: Stückzahl ist kein Vielfaches von Stück je Satz",IF($H205="","HINWEIS: Schneidweg fehlt",IF(V205="","HINWEIS: keine Schneiddaten",IF(AND($AF205&lt;&gt;"",$AG205=""),"HINWEIS: Gewinde-Vorschlag prüfen","OK")))))))))))))))</f>
        <v/>
      </c>
      <c r="X205" s="18">
        <f>IF(OR(O205="",$G205=""),"",O205*$G205)</f>
        <v/>
      </c>
      <c r="Y205" s="9" t="n"/>
      <c r="Z205" s="23" t="n"/>
      <c r="AA205" s="9" t="n"/>
      <c r="AB205" s="23" t="n"/>
      <c r="AC205" s="23" t="n"/>
      <c r="AD205" s="23" t="n"/>
      <c r="AE205" s="9" t="n"/>
      <c r="AF205" s="9" t="n"/>
      <c r="AG205" s="9" t="n"/>
      <c r="AH205" s="24" t="n"/>
      <c r="AI205" s="23" t="n"/>
      <c r="AJ205" s="24" t="n"/>
      <c r="AK205" s="23" t="n"/>
      <c r="AL205" s="24" t="n"/>
      <c r="AM205" s="23" t="n"/>
      <c r="AN205" s="28">
        <f>IF($D205="","",COUNTIFS(Stangenbelegung!$E$5:$E$10004,ROW()))</f>
        <v/>
      </c>
      <c r="AO205" s="28">
        <f>IF(OR($G205="",COUNTA(Stangenbelegung!$A$5:$A$10004)=0),"",$G205-AN205)</f>
        <v/>
      </c>
      <c r="AP205" s="29" t="n"/>
      <c r="AQ205" s="9" t="n"/>
      <c r="AR205" s="19" t="n"/>
    </row>
    <row r="206">
      <c r="A206" s="9" t="n"/>
      <c r="B206" s="9" t="n"/>
      <c r="C206" s="9" t="n"/>
      <c r="D206" s="9" t="n"/>
      <c r="E206" s="9" t="n"/>
      <c r="F206" s="23" t="n"/>
      <c r="G206" s="19" t="n"/>
      <c r="H206" s="23" t="n"/>
      <c r="I206" s="24" t="n"/>
      <c r="J206" s="19" t="n"/>
      <c r="K206" s="25">
        <f>IF($D206="","",IFERROR(INDEX(Profile!$B$5:$B$304,MATCH($D206,lst_Profil,0)),""))</f>
        <v/>
      </c>
      <c r="L206" s="13">
        <f>IF($D206="","",IFERROR(INDEX(Profile!$K$5:$K$304,MATCH($D206,lst_Profil,0))+0,""))</f>
        <v/>
      </c>
      <c r="M206" s="26">
        <f>IF($D206="","",IFERROR(INDEX(Profile!$E$5:$E$304,MATCH($D206,lst_Profil,0))+0,""))</f>
        <v/>
      </c>
      <c r="N206" s="27">
        <f>IF(OR(L206="",$E206=""),"",IFERROR(L206*INDEX(Werkstoffe!$E$5:$E$304,MATCH($E206,lst_Werkstoff,0))/1000,""))</f>
        <v/>
      </c>
      <c r="O206" s="27">
        <f>IF(OR(N206="",$F206=""),"",N206*$F206/1000)</f>
        <v/>
      </c>
      <c r="P206" s="16">
        <f>IF(OR($F206="",$G206=""),"",$F206*$G206)</f>
        <v/>
      </c>
      <c r="Q206" s="16">
        <f>IF($D206="","",IF($J206&lt;&gt;"",$J206,$C$9))</f>
        <v/>
      </c>
      <c r="R206" s="12">
        <f>IF($D206="","",IFERROR(IF(INDEX(Profile!$G$5:$G$304,MATCH($D206,lst_Profil,0))&lt;&gt;"",INDEX(Profile!$G$5:$G$304,MATCH($D206,lst_Profil,0)),$H$4),$H$4))</f>
        <v/>
      </c>
      <c r="S206" s="12">
        <f>IF($D206="","",IFERROR(IF(INDEX(Profile!$H$5:$H$304,MATCH($D206,lst_Profil,0))&lt;&gt;"",INDEX(Profile!$H$5:$H$304,MATCH($D206,lst_Profil,0)),$H$5),$H$5))</f>
        <v/>
      </c>
      <c r="T206" s="16">
        <f>IF(OR(Q206="",NOT(ISNUMBER(R206)),NOT(ISNUMBER(S206))),"",Q206-R206-S206)</f>
        <v/>
      </c>
      <c r="U206" s="28">
        <f>IF(OR($D206="",$E206=""),"",IF(OR(N($AP206)&gt;0,COUNTIFS(Preise!$A$5:$A$304,$D206,Preise!$B$5:$B$304,$E206,Preise!$I$5:$I$304,"OK")&gt;0,N(INDEX(Werkstoffe!$G$5:$G$304,MATCH($E206,lst_Werkstoff,0)))&gt;0),"ja","nein"))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28">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Materialpreis",IF(AND($AQ206&lt;&gt;"",N($AR206)&gt;0,MOD($G206,$AR206)&lt;&gt;0),"WARNUNG: Stückzahl ist kein Vielfaches von Stück je Satz",IF($H206="","HINWEIS: Schneidweg fehlt",IF(V206="","HINWEIS: keine Schneiddaten",IF(AND($AF206&lt;&gt;"",$AG206=""),"HINWEIS: Gewinde-Vorschlag prüfen","OK")))))))))))))))</f>
        <v/>
      </c>
      <c r="X206" s="18">
        <f>IF(OR(O206="",$G206=""),"",O206*$G206)</f>
        <v/>
      </c>
      <c r="Y206" s="9" t="n"/>
      <c r="Z206" s="23" t="n"/>
      <c r="AA206" s="9" t="n"/>
      <c r="AB206" s="23" t="n"/>
      <c r="AC206" s="23" t="n"/>
      <c r="AD206" s="23" t="n"/>
      <c r="AE206" s="9" t="n"/>
      <c r="AF206" s="9" t="n"/>
      <c r="AG206" s="9" t="n"/>
      <c r="AH206" s="24" t="n"/>
      <c r="AI206" s="23" t="n"/>
      <c r="AJ206" s="24" t="n"/>
      <c r="AK206" s="23" t="n"/>
      <c r="AL206" s="24" t="n"/>
      <c r="AM206" s="23" t="n"/>
      <c r="AN206" s="28">
        <f>IF($D206="","",COUNTIFS(Stangenbelegung!$E$5:$E$10004,ROW()))</f>
        <v/>
      </c>
      <c r="AO206" s="28">
        <f>IF(OR($G206="",COUNTA(Stangenbelegung!$A$5:$A$10004)=0),"",$G206-AN206)</f>
        <v/>
      </c>
      <c r="AP206" s="29" t="n"/>
      <c r="AQ206" s="9" t="n"/>
      <c r="AR206" s="19" t="n"/>
    </row>
    <row r="207">
      <c r="A207" s="9" t="n"/>
      <c r="B207" s="9" t="n"/>
      <c r="C207" s="9" t="n"/>
      <c r="D207" s="9" t="n"/>
      <c r="E207" s="9" t="n"/>
      <c r="F207" s="23" t="n"/>
      <c r="G207" s="19" t="n"/>
      <c r="H207" s="23" t="n"/>
      <c r="I207" s="24" t="n"/>
      <c r="J207" s="19" t="n"/>
      <c r="K207" s="25">
        <f>IF($D207="","",IFERROR(INDEX(Profile!$B$5:$B$304,MATCH($D207,lst_Profil,0)),""))</f>
        <v/>
      </c>
      <c r="L207" s="13">
        <f>IF($D207="","",IFERROR(INDEX(Profile!$K$5:$K$304,MATCH($D207,lst_Profil,0))+0,""))</f>
        <v/>
      </c>
      <c r="M207" s="26">
        <f>IF($D207="","",IFERROR(INDEX(Profile!$E$5:$E$304,MATCH($D207,lst_Profil,0))+0,""))</f>
        <v/>
      </c>
      <c r="N207" s="27">
        <f>IF(OR(L207="",$E207=""),"",IFERROR(L207*INDEX(Werkstoffe!$E$5:$E$304,MATCH($E207,lst_Werkstoff,0))/1000,""))</f>
        <v/>
      </c>
      <c r="O207" s="27">
        <f>IF(OR(N207="",$F207=""),"",N207*$F207/1000)</f>
        <v/>
      </c>
      <c r="P207" s="16">
        <f>IF(OR($F207="",$G207=""),"",$F207*$G207)</f>
        <v/>
      </c>
      <c r="Q207" s="16">
        <f>IF($D207="","",IF($J207&lt;&gt;"",$J207,$C$9))</f>
        <v/>
      </c>
      <c r="R207" s="12">
        <f>IF($D207="","",IFERROR(IF(INDEX(Profile!$G$5:$G$304,MATCH($D207,lst_Profil,0))&lt;&gt;"",INDEX(Profile!$G$5:$G$304,MATCH($D207,lst_Profil,0)),$H$4),$H$4))</f>
        <v/>
      </c>
      <c r="S207" s="12">
        <f>IF($D207="","",IFERROR(IF(INDEX(Profile!$H$5:$H$304,MATCH($D207,lst_Profil,0))&lt;&gt;"",INDEX(Profile!$H$5:$H$304,MATCH($D207,lst_Profil,0)),$H$5),$H$5))</f>
        <v/>
      </c>
      <c r="T207" s="16">
        <f>IF(OR(Q207="",NOT(ISNUMBER(R207)),NOT(ISNUMBER(S207))),"",Q207-R207-S207)</f>
        <v/>
      </c>
      <c r="U207" s="28">
        <f>IF(OR($D207="",$E207=""),"",IF(OR(N($AP207)&gt;0,COUNTIFS(Preise!$A$5:$A$304,$D207,Preise!$B$5:$B$304,$E207,Preise!$I$5:$I$304,"OK")&gt;0,N(INDEX(Werkstoffe!$G$5:$G$304,MATCH($E207,lst_Werkstoff,0)))&gt;0),"ja","nein"))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28">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Materialpreis",IF(AND($AQ207&lt;&gt;"",N($AR207)&gt;0,MOD($G207,$AR207)&lt;&gt;0),"WARNUNG: Stückzahl ist kein Vielfaches von Stück je Satz",IF($H207="","HINWEIS: Schneidweg fehlt",IF(V207="","HINWEIS: keine Schneiddaten",IF(AND($AF207&lt;&gt;"",$AG207=""),"HINWEIS: Gewinde-Vorschlag prüfen","OK")))))))))))))))</f>
        <v/>
      </c>
      <c r="X207" s="18">
        <f>IF(OR(O207="",$G207=""),"",O207*$G207)</f>
        <v/>
      </c>
      <c r="Y207" s="9" t="n"/>
      <c r="Z207" s="23" t="n"/>
      <c r="AA207" s="9" t="n"/>
      <c r="AB207" s="23" t="n"/>
      <c r="AC207" s="23" t="n"/>
      <c r="AD207" s="23" t="n"/>
      <c r="AE207" s="9" t="n"/>
      <c r="AF207" s="9" t="n"/>
      <c r="AG207" s="9" t="n"/>
      <c r="AH207" s="24" t="n"/>
      <c r="AI207" s="23" t="n"/>
      <c r="AJ207" s="24" t="n"/>
      <c r="AK207" s="23" t="n"/>
      <c r="AL207" s="24" t="n"/>
      <c r="AM207" s="23" t="n"/>
      <c r="AN207" s="28">
        <f>IF($D207="","",COUNTIFS(Stangenbelegung!$E$5:$E$10004,ROW()))</f>
        <v/>
      </c>
      <c r="AO207" s="28">
        <f>IF(OR($G207="",COUNTA(Stangenbelegung!$A$5:$A$10004)=0),"",$G207-AN207)</f>
        <v/>
      </c>
      <c r="AP207" s="29" t="n"/>
      <c r="AQ207" s="9" t="n"/>
      <c r="AR207" s="19" t="n"/>
    </row>
    <row r="208">
      <c r="A208" s="9" t="n"/>
      <c r="B208" s="9" t="n"/>
      <c r="C208" s="9" t="n"/>
      <c r="D208" s="9" t="n"/>
      <c r="E208" s="9" t="n"/>
      <c r="F208" s="23" t="n"/>
      <c r="G208" s="19" t="n"/>
      <c r="H208" s="23" t="n"/>
      <c r="I208" s="24" t="n"/>
      <c r="J208" s="19" t="n"/>
      <c r="K208" s="25">
        <f>IF($D208="","",IFERROR(INDEX(Profile!$B$5:$B$304,MATCH($D208,lst_Profil,0)),""))</f>
        <v/>
      </c>
      <c r="L208" s="13">
        <f>IF($D208="","",IFERROR(INDEX(Profile!$K$5:$K$304,MATCH($D208,lst_Profil,0))+0,""))</f>
        <v/>
      </c>
      <c r="M208" s="26">
        <f>IF($D208="","",IFERROR(INDEX(Profile!$E$5:$E$304,MATCH($D208,lst_Profil,0))+0,""))</f>
        <v/>
      </c>
      <c r="N208" s="27">
        <f>IF(OR(L208="",$E208=""),"",IFERROR(L208*INDEX(Werkstoffe!$E$5:$E$304,MATCH($E208,lst_Werkstoff,0))/1000,""))</f>
        <v/>
      </c>
      <c r="O208" s="27">
        <f>IF(OR(N208="",$F208=""),"",N208*$F208/1000)</f>
        <v/>
      </c>
      <c r="P208" s="16">
        <f>IF(OR($F208="",$G208=""),"",$F208*$G208)</f>
        <v/>
      </c>
      <c r="Q208" s="16">
        <f>IF($D208="","",IF($J208&lt;&gt;"",$J208,$C$9))</f>
        <v/>
      </c>
      <c r="R208" s="12">
        <f>IF($D208="","",IFERROR(IF(INDEX(Profile!$G$5:$G$304,MATCH($D208,lst_Profil,0))&lt;&gt;"",INDEX(Profile!$G$5:$G$304,MATCH($D208,lst_Profil,0)),$H$4),$H$4))</f>
        <v/>
      </c>
      <c r="S208" s="12">
        <f>IF($D208="","",IFERROR(IF(INDEX(Profile!$H$5:$H$304,MATCH($D208,lst_Profil,0))&lt;&gt;"",INDEX(Profile!$H$5:$H$304,MATCH($D208,lst_Profil,0)),$H$5),$H$5))</f>
        <v/>
      </c>
      <c r="T208" s="16">
        <f>IF(OR(Q208="",NOT(ISNUMBER(R208)),NOT(ISNUMBER(S208))),"",Q208-R208-S208)</f>
        <v/>
      </c>
      <c r="U208" s="28">
        <f>IF(OR($D208="",$E208=""),"",IF(OR(N($AP208)&gt;0,COUNTIFS(Preise!$A$5:$A$304,$D208,Preise!$B$5:$B$304,$E208,Preise!$I$5:$I$304,"OK")&gt;0,N(INDEX(Werkstoffe!$G$5:$G$304,MATCH($E208,lst_Werkstoff,0)))&gt;0),"ja","nein"))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28">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Materialpreis",IF(AND($AQ208&lt;&gt;"",N($AR208)&gt;0,MOD($G208,$AR208)&lt;&gt;0),"WARNUNG: Stückzahl ist kein Vielfaches von Stück je Satz",IF($H208="","HINWEIS: Schneidweg fehlt",IF(V208="","HINWEIS: keine Schneiddaten",IF(AND($AF208&lt;&gt;"",$AG208=""),"HINWEIS: Gewinde-Vorschlag prüfen","OK")))))))))))))))</f>
        <v/>
      </c>
      <c r="X208" s="18">
        <f>IF(OR(O208="",$G208=""),"",O208*$G208)</f>
        <v/>
      </c>
      <c r="Y208" s="9" t="n"/>
      <c r="Z208" s="23" t="n"/>
      <c r="AA208" s="9" t="n"/>
      <c r="AB208" s="23" t="n"/>
      <c r="AC208" s="23" t="n"/>
      <c r="AD208" s="23" t="n"/>
      <c r="AE208" s="9" t="n"/>
      <c r="AF208" s="9" t="n"/>
      <c r="AG208" s="9" t="n"/>
      <c r="AH208" s="24" t="n"/>
      <c r="AI208" s="23" t="n"/>
      <c r="AJ208" s="24" t="n"/>
      <c r="AK208" s="23" t="n"/>
      <c r="AL208" s="24" t="n"/>
      <c r="AM208" s="23" t="n"/>
      <c r="AN208" s="28">
        <f>IF($D208="","",COUNTIFS(Stangenbelegung!$E$5:$E$10004,ROW()))</f>
        <v/>
      </c>
      <c r="AO208" s="28">
        <f>IF(OR($G208="",COUNTA(Stangenbelegung!$A$5:$A$10004)=0),"",$G208-AN208)</f>
        <v/>
      </c>
      <c r="AP208" s="29" t="n"/>
      <c r="AQ208" s="9" t="n"/>
      <c r="AR208" s="19" t="n"/>
    </row>
    <row r="209">
      <c r="A209" s="9" t="n"/>
      <c r="B209" s="9" t="n"/>
      <c r="C209" s="9" t="n"/>
      <c r="D209" s="9" t="n"/>
      <c r="E209" s="9" t="n"/>
      <c r="F209" s="23" t="n"/>
      <c r="G209" s="19" t="n"/>
      <c r="H209" s="23" t="n"/>
      <c r="I209" s="24" t="n"/>
      <c r="J209" s="19" t="n"/>
      <c r="K209" s="25">
        <f>IF($D209="","",IFERROR(INDEX(Profile!$B$5:$B$304,MATCH($D209,lst_Profil,0)),""))</f>
        <v/>
      </c>
      <c r="L209" s="13">
        <f>IF($D209="","",IFERROR(INDEX(Profile!$K$5:$K$304,MATCH($D209,lst_Profil,0))+0,""))</f>
        <v/>
      </c>
      <c r="M209" s="26">
        <f>IF($D209="","",IFERROR(INDEX(Profile!$E$5:$E$304,MATCH($D209,lst_Profil,0))+0,""))</f>
        <v/>
      </c>
      <c r="N209" s="27">
        <f>IF(OR(L209="",$E209=""),"",IFERROR(L209*INDEX(Werkstoffe!$E$5:$E$304,MATCH($E209,lst_Werkstoff,0))/1000,""))</f>
        <v/>
      </c>
      <c r="O209" s="27">
        <f>IF(OR(N209="",$F209=""),"",N209*$F209/1000)</f>
        <v/>
      </c>
      <c r="P209" s="16">
        <f>IF(OR($F209="",$G209=""),"",$F209*$G209)</f>
        <v/>
      </c>
      <c r="Q209" s="16">
        <f>IF($D209="","",IF($J209&lt;&gt;"",$J209,$C$9))</f>
        <v/>
      </c>
      <c r="R209" s="12">
        <f>IF($D209="","",IFERROR(IF(INDEX(Profile!$G$5:$G$304,MATCH($D209,lst_Profil,0))&lt;&gt;"",INDEX(Profile!$G$5:$G$304,MATCH($D209,lst_Profil,0)),$H$4),$H$4))</f>
        <v/>
      </c>
      <c r="S209" s="12">
        <f>IF($D209="","",IFERROR(IF(INDEX(Profile!$H$5:$H$304,MATCH($D209,lst_Profil,0))&lt;&gt;"",INDEX(Profile!$H$5:$H$304,MATCH($D209,lst_Profil,0)),$H$5),$H$5))</f>
        <v/>
      </c>
      <c r="T209" s="16">
        <f>IF(OR(Q209="",NOT(ISNUMBER(R209)),NOT(ISNUMBER(S209))),"",Q209-R209-S209)</f>
        <v/>
      </c>
      <c r="U209" s="28">
        <f>IF(OR($D209="",$E209=""),"",IF(OR(N($AP209)&gt;0,COUNTIFS(Preise!$A$5:$A$304,$D209,Preise!$B$5:$B$304,$E209,Preise!$I$5:$I$304,"OK")&gt;0,N(INDEX(Werkstoffe!$G$5:$G$304,MATCH($E209,lst_Werkstoff,0)))&gt;0),"ja","nein"))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28">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Materialpreis",IF(AND($AQ209&lt;&gt;"",N($AR209)&gt;0,MOD($G209,$AR209)&lt;&gt;0),"WARNUNG: Stückzahl ist kein Vielfaches von Stück je Satz",IF($H209="","HINWEIS: Schneidweg fehlt",IF(V209="","HINWEIS: keine Schneiddaten",IF(AND($AF209&lt;&gt;"",$AG209=""),"HINWEIS: Gewinde-Vorschlag prüfen","OK")))))))))))))))</f>
        <v/>
      </c>
      <c r="X209" s="18">
        <f>IF(OR(O209="",$G209=""),"",O209*$G209)</f>
        <v/>
      </c>
      <c r="Y209" s="9" t="n"/>
      <c r="Z209" s="23" t="n"/>
      <c r="AA209" s="9" t="n"/>
      <c r="AB209" s="23" t="n"/>
      <c r="AC209" s="23" t="n"/>
      <c r="AD209" s="23" t="n"/>
      <c r="AE209" s="9" t="n"/>
      <c r="AF209" s="9" t="n"/>
      <c r="AG209" s="9" t="n"/>
      <c r="AH209" s="24" t="n"/>
      <c r="AI209" s="23" t="n"/>
      <c r="AJ209" s="24" t="n"/>
      <c r="AK209" s="23" t="n"/>
      <c r="AL209" s="24" t="n"/>
      <c r="AM209" s="23" t="n"/>
      <c r="AN209" s="28">
        <f>IF($D209="","",COUNTIFS(Stangenbelegung!$E$5:$E$10004,ROW()))</f>
        <v/>
      </c>
      <c r="AO209" s="28">
        <f>IF(OR($G209="",COUNTA(Stangenbelegung!$A$5:$A$10004)=0),"",$G209-AN209)</f>
        <v/>
      </c>
      <c r="AP209" s="29" t="n"/>
      <c r="AQ209" s="9" t="n"/>
      <c r="AR209" s="19" t="n"/>
    </row>
    <row r="210">
      <c r="A210" s="9" t="n"/>
      <c r="B210" s="9" t="n"/>
      <c r="C210" s="9" t="n"/>
      <c r="D210" s="9" t="n"/>
      <c r="E210" s="9" t="n"/>
      <c r="F210" s="23" t="n"/>
      <c r="G210" s="19" t="n"/>
      <c r="H210" s="23" t="n"/>
      <c r="I210" s="24" t="n"/>
      <c r="J210" s="19" t="n"/>
      <c r="K210" s="25">
        <f>IF($D210="","",IFERROR(INDEX(Profile!$B$5:$B$304,MATCH($D210,lst_Profil,0)),""))</f>
        <v/>
      </c>
      <c r="L210" s="13">
        <f>IF($D210="","",IFERROR(INDEX(Profile!$K$5:$K$304,MATCH($D210,lst_Profil,0))+0,""))</f>
        <v/>
      </c>
      <c r="M210" s="26">
        <f>IF($D210="","",IFERROR(INDEX(Profile!$E$5:$E$304,MATCH($D210,lst_Profil,0))+0,""))</f>
        <v/>
      </c>
      <c r="N210" s="27">
        <f>IF(OR(L210="",$E210=""),"",IFERROR(L210*INDEX(Werkstoffe!$E$5:$E$304,MATCH($E210,lst_Werkstoff,0))/1000,""))</f>
        <v/>
      </c>
      <c r="O210" s="27">
        <f>IF(OR(N210="",$F210=""),"",N210*$F210/1000)</f>
        <v/>
      </c>
      <c r="P210" s="16">
        <f>IF(OR($F210="",$G210=""),"",$F210*$G210)</f>
        <v/>
      </c>
      <c r="Q210" s="16">
        <f>IF($D210="","",IF($J210&lt;&gt;"",$J210,$C$9))</f>
        <v/>
      </c>
      <c r="R210" s="12">
        <f>IF($D210="","",IFERROR(IF(INDEX(Profile!$G$5:$G$304,MATCH($D210,lst_Profil,0))&lt;&gt;"",INDEX(Profile!$G$5:$G$304,MATCH($D210,lst_Profil,0)),$H$4),$H$4))</f>
        <v/>
      </c>
      <c r="S210" s="12">
        <f>IF($D210="","",IFERROR(IF(INDEX(Profile!$H$5:$H$304,MATCH($D210,lst_Profil,0))&lt;&gt;"",INDEX(Profile!$H$5:$H$304,MATCH($D210,lst_Profil,0)),$H$5),$H$5))</f>
        <v/>
      </c>
      <c r="T210" s="16">
        <f>IF(OR(Q210="",NOT(ISNUMBER(R210)),NOT(ISNUMBER(S210))),"",Q210-R210-S210)</f>
        <v/>
      </c>
      <c r="U210" s="28">
        <f>IF(OR($D210="",$E210=""),"",IF(OR(N($AP210)&gt;0,COUNTIFS(Preise!$A$5:$A$304,$D210,Preise!$B$5:$B$304,$E210,Preise!$I$5:$I$304,"OK")&gt;0,N(INDEX(Werkstoffe!$G$5:$G$304,MATCH($E210,lst_Werkstoff,0)))&gt;0),"ja","nein"))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28">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Materialpreis",IF(AND($AQ210&lt;&gt;"",N($AR210)&gt;0,MOD($G210,$AR210)&lt;&gt;0),"WARNUNG: Stückzahl ist kein Vielfaches von Stück je Satz",IF($H210="","HINWEIS: Schneidweg fehlt",IF(V210="","HINWEIS: keine Schneiddaten",IF(AND($AF210&lt;&gt;"",$AG210=""),"HINWEIS: Gewinde-Vorschlag prüfen","OK")))))))))))))))</f>
        <v/>
      </c>
      <c r="X210" s="18">
        <f>IF(OR(O210="",$G210=""),"",O210*$G210)</f>
        <v/>
      </c>
      <c r="Y210" s="9" t="n"/>
      <c r="Z210" s="23" t="n"/>
      <c r="AA210" s="9" t="n"/>
      <c r="AB210" s="23" t="n"/>
      <c r="AC210" s="23" t="n"/>
      <c r="AD210" s="23" t="n"/>
      <c r="AE210" s="9" t="n"/>
      <c r="AF210" s="9" t="n"/>
      <c r="AG210" s="9" t="n"/>
      <c r="AH210" s="24" t="n"/>
      <c r="AI210" s="23" t="n"/>
      <c r="AJ210" s="24" t="n"/>
      <c r="AK210" s="23" t="n"/>
      <c r="AL210" s="24" t="n"/>
      <c r="AM210" s="23" t="n"/>
      <c r="AN210" s="28">
        <f>IF($D210="","",COUNTIFS(Stangenbelegung!$E$5:$E$10004,ROW()))</f>
        <v/>
      </c>
      <c r="AO210" s="28">
        <f>IF(OR($G210="",COUNTA(Stangenbelegung!$A$5:$A$10004)=0),"",$G210-AN210)</f>
        <v/>
      </c>
      <c r="AP210" s="29" t="n"/>
      <c r="AQ210" s="9" t="n"/>
      <c r="AR210" s="19" t="n"/>
    </row>
    <row r="211">
      <c r="A211" s="9" t="n"/>
      <c r="B211" s="9" t="n"/>
      <c r="C211" s="9" t="n"/>
      <c r="D211" s="9" t="n"/>
      <c r="E211" s="9" t="n"/>
      <c r="F211" s="23" t="n"/>
      <c r="G211" s="19" t="n"/>
      <c r="H211" s="23" t="n"/>
      <c r="I211" s="24" t="n"/>
      <c r="J211" s="19" t="n"/>
      <c r="K211" s="25">
        <f>IF($D211="","",IFERROR(INDEX(Profile!$B$5:$B$304,MATCH($D211,lst_Profil,0)),""))</f>
        <v/>
      </c>
      <c r="L211" s="13">
        <f>IF($D211="","",IFERROR(INDEX(Profile!$K$5:$K$304,MATCH($D211,lst_Profil,0))+0,""))</f>
        <v/>
      </c>
      <c r="M211" s="26">
        <f>IF($D211="","",IFERROR(INDEX(Profile!$E$5:$E$304,MATCH($D211,lst_Profil,0))+0,""))</f>
        <v/>
      </c>
      <c r="N211" s="27">
        <f>IF(OR(L211="",$E211=""),"",IFERROR(L211*INDEX(Werkstoffe!$E$5:$E$304,MATCH($E211,lst_Werkstoff,0))/1000,""))</f>
        <v/>
      </c>
      <c r="O211" s="27">
        <f>IF(OR(N211="",$F211=""),"",N211*$F211/1000)</f>
        <v/>
      </c>
      <c r="P211" s="16">
        <f>IF(OR($F211="",$G211=""),"",$F211*$G211)</f>
        <v/>
      </c>
      <c r="Q211" s="16">
        <f>IF($D211="","",IF($J211&lt;&gt;"",$J211,$C$9))</f>
        <v/>
      </c>
      <c r="R211" s="12">
        <f>IF($D211="","",IFERROR(IF(INDEX(Profile!$G$5:$G$304,MATCH($D211,lst_Profil,0))&lt;&gt;"",INDEX(Profile!$G$5:$G$304,MATCH($D211,lst_Profil,0)),$H$4),$H$4))</f>
        <v/>
      </c>
      <c r="S211" s="12">
        <f>IF($D211="","",IFERROR(IF(INDEX(Profile!$H$5:$H$304,MATCH($D211,lst_Profil,0))&lt;&gt;"",INDEX(Profile!$H$5:$H$304,MATCH($D211,lst_Profil,0)),$H$5),$H$5))</f>
        <v/>
      </c>
      <c r="T211" s="16">
        <f>IF(OR(Q211="",NOT(ISNUMBER(R211)),NOT(ISNUMBER(S211))),"",Q211-R211-S211)</f>
        <v/>
      </c>
      <c r="U211" s="28">
        <f>IF(OR($D211="",$E211=""),"",IF(OR(N($AP211)&gt;0,COUNTIFS(Preise!$A$5:$A$304,$D211,Preise!$B$5:$B$304,$E211,Preise!$I$5:$I$304,"OK")&gt;0,N(INDEX(Werkstoffe!$G$5:$G$304,MATCH($E211,lst_Werkstoff,0)))&gt;0),"ja","nein"))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28">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Materialpreis",IF(AND($AQ211&lt;&gt;"",N($AR211)&gt;0,MOD($G211,$AR211)&lt;&gt;0),"WARNUNG: Stückzahl ist kein Vielfaches von Stück je Satz",IF($H211="","HINWEIS: Schneidweg fehlt",IF(V211="","HINWEIS: keine Schneiddaten",IF(AND($AF211&lt;&gt;"",$AG211=""),"HINWEIS: Gewinde-Vorschlag prüfen","OK")))))))))))))))</f>
        <v/>
      </c>
      <c r="X211" s="18">
        <f>IF(OR(O211="",$G211=""),"",O211*$G211)</f>
        <v/>
      </c>
      <c r="Y211" s="9" t="n"/>
      <c r="Z211" s="23" t="n"/>
      <c r="AA211" s="9" t="n"/>
      <c r="AB211" s="23" t="n"/>
      <c r="AC211" s="23" t="n"/>
      <c r="AD211" s="23" t="n"/>
      <c r="AE211" s="9" t="n"/>
      <c r="AF211" s="9" t="n"/>
      <c r="AG211" s="9" t="n"/>
      <c r="AH211" s="24" t="n"/>
      <c r="AI211" s="23" t="n"/>
      <c r="AJ211" s="24" t="n"/>
      <c r="AK211" s="23" t="n"/>
      <c r="AL211" s="24" t="n"/>
      <c r="AM211" s="23" t="n"/>
      <c r="AN211" s="28">
        <f>IF($D211="","",COUNTIFS(Stangenbelegung!$E$5:$E$10004,ROW()))</f>
        <v/>
      </c>
      <c r="AO211" s="28">
        <f>IF(OR($G211="",COUNTA(Stangenbelegung!$A$5:$A$10004)=0),"",$G211-AN211)</f>
        <v/>
      </c>
      <c r="AP211" s="29" t="n"/>
      <c r="AQ211" s="9" t="n"/>
      <c r="AR211" s="19" t="n"/>
    </row>
    <row r="212">
      <c r="A212" s="9" t="n"/>
      <c r="B212" s="9" t="n"/>
      <c r="C212" s="9" t="n"/>
      <c r="D212" s="9" t="n"/>
      <c r="E212" s="9" t="n"/>
      <c r="F212" s="23" t="n"/>
      <c r="G212" s="19" t="n"/>
      <c r="H212" s="23" t="n"/>
      <c r="I212" s="24" t="n"/>
      <c r="J212" s="19" t="n"/>
      <c r="K212" s="25">
        <f>IF($D212="","",IFERROR(INDEX(Profile!$B$5:$B$304,MATCH($D212,lst_Profil,0)),""))</f>
        <v/>
      </c>
      <c r="L212" s="13">
        <f>IF($D212="","",IFERROR(INDEX(Profile!$K$5:$K$304,MATCH($D212,lst_Profil,0))+0,""))</f>
        <v/>
      </c>
      <c r="M212" s="26">
        <f>IF($D212="","",IFERROR(INDEX(Profile!$E$5:$E$304,MATCH($D212,lst_Profil,0))+0,""))</f>
        <v/>
      </c>
      <c r="N212" s="27">
        <f>IF(OR(L212="",$E212=""),"",IFERROR(L212*INDEX(Werkstoffe!$E$5:$E$304,MATCH($E212,lst_Werkstoff,0))/1000,""))</f>
        <v/>
      </c>
      <c r="O212" s="27">
        <f>IF(OR(N212="",$F212=""),"",N212*$F212/1000)</f>
        <v/>
      </c>
      <c r="P212" s="16">
        <f>IF(OR($F212="",$G212=""),"",$F212*$G212)</f>
        <v/>
      </c>
      <c r="Q212" s="16">
        <f>IF($D212="","",IF($J212&lt;&gt;"",$J212,$C$9))</f>
        <v/>
      </c>
      <c r="R212" s="12">
        <f>IF($D212="","",IFERROR(IF(INDEX(Profile!$G$5:$G$304,MATCH($D212,lst_Profil,0))&lt;&gt;"",INDEX(Profile!$G$5:$G$304,MATCH($D212,lst_Profil,0)),$H$4),$H$4))</f>
        <v/>
      </c>
      <c r="S212" s="12">
        <f>IF($D212="","",IFERROR(IF(INDEX(Profile!$H$5:$H$304,MATCH($D212,lst_Profil,0))&lt;&gt;"",INDEX(Profile!$H$5:$H$304,MATCH($D212,lst_Profil,0)),$H$5),$H$5))</f>
        <v/>
      </c>
      <c r="T212" s="16">
        <f>IF(OR(Q212="",NOT(ISNUMBER(R212)),NOT(ISNUMBER(S212))),"",Q212-R212-S212)</f>
        <v/>
      </c>
      <c r="U212" s="28">
        <f>IF(OR($D212="",$E212=""),"",IF(OR(N($AP212)&gt;0,COUNTIFS(Preise!$A$5:$A$304,$D212,Preise!$B$5:$B$304,$E212,Preise!$I$5:$I$304,"OK")&gt;0,N(INDEX(Werkstoffe!$G$5:$G$304,MATCH($E212,lst_Werkstoff,0)))&gt;0),"ja","nein"))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28">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Materialpreis",IF(AND($AQ212&lt;&gt;"",N($AR212)&gt;0,MOD($G212,$AR212)&lt;&gt;0),"WARNUNG: Stückzahl ist kein Vielfaches von Stück je Satz",IF($H212="","HINWEIS: Schneidweg fehlt",IF(V212="","HINWEIS: keine Schneiddaten",IF(AND($AF212&lt;&gt;"",$AG212=""),"HINWEIS: Gewinde-Vorschlag prüfen","OK")))))))))))))))</f>
        <v/>
      </c>
      <c r="X212" s="18">
        <f>IF(OR(O212="",$G212=""),"",O212*$G212)</f>
        <v/>
      </c>
      <c r="Y212" s="9" t="n"/>
      <c r="Z212" s="23" t="n"/>
      <c r="AA212" s="9" t="n"/>
      <c r="AB212" s="23" t="n"/>
      <c r="AC212" s="23" t="n"/>
      <c r="AD212" s="23" t="n"/>
      <c r="AE212" s="9" t="n"/>
      <c r="AF212" s="9" t="n"/>
      <c r="AG212" s="9" t="n"/>
      <c r="AH212" s="24" t="n"/>
      <c r="AI212" s="23" t="n"/>
      <c r="AJ212" s="24" t="n"/>
      <c r="AK212" s="23" t="n"/>
      <c r="AL212" s="24" t="n"/>
      <c r="AM212" s="23" t="n"/>
      <c r="AN212" s="28">
        <f>IF($D212="","",COUNTIFS(Stangenbelegung!$E$5:$E$10004,ROW()))</f>
        <v/>
      </c>
      <c r="AO212" s="28">
        <f>IF(OR($G212="",COUNTA(Stangenbelegung!$A$5:$A$10004)=0),"",$G212-AN212)</f>
        <v/>
      </c>
      <c r="AP212" s="29" t="n"/>
      <c r="AQ212" s="9" t="n"/>
      <c r="AR212" s="19" t="n"/>
    </row>
    <row r="213">
      <c r="A213" s="9" t="n"/>
      <c r="B213" s="9" t="n"/>
      <c r="C213" s="9" t="n"/>
      <c r="D213" s="9" t="n"/>
      <c r="E213" s="9" t="n"/>
      <c r="F213" s="23" t="n"/>
      <c r="G213" s="19" t="n"/>
      <c r="H213" s="23" t="n"/>
      <c r="I213" s="24" t="n"/>
      <c r="J213" s="19" t="n"/>
      <c r="K213" s="25">
        <f>IF($D213="","",IFERROR(INDEX(Profile!$B$5:$B$304,MATCH($D213,lst_Profil,0)),""))</f>
        <v/>
      </c>
      <c r="L213" s="13">
        <f>IF($D213="","",IFERROR(INDEX(Profile!$K$5:$K$304,MATCH($D213,lst_Profil,0))+0,""))</f>
        <v/>
      </c>
      <c r="M213" s="26">
        <f>IF($D213="","",IFERROR(INDEX(Profile!$E$5:$E$304,MATCH($D213,lst_Profil,0))+0,""))</f>
        <v/>
      </c>
      <c r="N213" s="27">
        <f>IF(OR(L213="",$E213=""),"",IFERROR(L213*INDEX(Werkstoffe!$E$5:$E$304,MATCH($E213,lst_Werkstoff,0))/1000,""))</f>
        <v/>
      </c>
      <c r="O213" s="27">
        <f>IF(OR(N213="",$F213=""),"",N213*$F213/1000)</f>
        <v/>
      </c>
      <c r="P213" s="16">
        <f>IF(OR($F213="",$G213=""),"",$F213*$G213)</f>
        <v/>
      </c>
      <c r="Q213" s="16">
        <f>IF($D213="","",IF($J213&lt;&gt;"",$J213,$C$9))</f>
        <v/>
      </c>
      <c r="R213" s="12">
        <f>IF($D213="","",IFERROR(IF(INDEX(Profile!$G$5:$G$304,MATCH($D213,lst_Profil,0))&lt;&gt;"",INDEX(Profile!$G$5:$G$304,MATCH($D213,lst_Profil,0)),$H$4),$H$4))</f>
        <v/>
      </c>
      <c r="S213" s="12">
        <f>IF($D213="","",IFERROR(IF(INDEX(Profile!$H$5:$H$304,MATCH($D213,lst_Profil,0))&lt;&gt;"",INDEX(Profile!$H$5:$H$304,MATCH($D213,lst_Profil,0)),$H$5),$H$5))</f>
        <v/>
      </c>
      <c r="T213" s="16">
        <f>IF(OR(Q213="",NOT(ISNUMBER(R213)),NOT(ISNUMBER(S213))),"",Q213-R213-S213)</f>
        <v/>
      </c>
      <c r="U213" s="28">
        <f>IF(OR($D213="",$E213=""),"",IF(OR(N($AP213)&gt;0,COUNTIFS(Preise!$A$5:$A$304,$D213,Preise!$B$5:$B$304,$E213,Preise!$I$5:$I$304,"OK")&gt;0,N(INDEX(Werkstoffe!$G$5:$G$304,MATCH($E213,lst_Werkstoff,0)))&gt;0),"ja","nein"))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28">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Materialpreis",IF(AND($AQ213&lt;&gt;"",N($AR213)&gt;0,MOD($G213,$AR213)&lt;&gt;0),"WARNUNG: Stückzahl ist kein Vielfaches von Stück je Satz",IF($H213="","HINWEIS: Schneidweg fehlt",IF(V213="","HINWEIS: keine Schneiddaten",IF(AND($AF213&lt;&gt;"",$AG213=""),"HINWEIS: Gewinde-Vorschlag prüfen","OK")))))))))))))))</f>
        <v/>
      </c>
      <c r="X213" s="18">
        <f>IF(OR(O213="",$G213=""),"",O213*$G213)</f>
        <v/>
      </c>
      <c r="Y213" s="9" t="n"/>
      <c r="Z213" s="23" t="n"/>
      <c r="AA213" s="9" t="n"/>
      <c r="AB213" s="23" t="n"/>
      <c r="AC213" s="23" t="n"/>
      <c r="AD213" s="23" t="n"/>
      <c r="AE213" s="9" t="n"/>
      <c r="AF213" s="9" t="n"/>
      <c r="AG213" s="9" t="n"/>
      <c r="AH213" s="24" t="n"/>
      <c r="AI213" s="23" t="n"/>
      <c r="AJ213" s="24" t="n"/>
      <c r="AK213" s="23" t="n"/>
      <c r="AL213" s="24" t="n"/>
      <c r="AM213" s="23" t="n"/>
      <c r="AN213" s="28">
        <f>IF($D213="","",COUNTIFS(Stangenbelegung!$E$5:$E$10004,ROW()))</f>
        <v/>
      </c>
      <c r="AO213" s="28">
        <f>IF(OR($G213="",COUNTA(Stangenbelegung!$A$5:$A$10004)=0),"",$G213-AN213)</f>
        <v/>
      </c>
      <c r="AP213" s="29" t="n"/>
      <c r="AQ213" s="9" t="n"/>
      <c r="AR213" s="19" t="n"/>
    </row>
    <row r="214">
      <c r="A214" s="9" t="n"/>
      <c r="B214" s="9" t="n"/>
      <c r="C214" s="9" t="n"/>
      <c r="D214" s="9" t="n"/>
      <c r="E214" s="9" t="n"/>
      <c r="F214" s="23" t="n"/>
      <c r="G214" s="19" t="n"/>
      <c r="H214" s="23" t="n"/>
      <c r="I214" s="24" t="n"/>
      <c r="J214" s="19" t="n"/>
      <c r="K214" s="25">
        <f>IF($D214="","",IFERROR(INDEX(Profile!$B$5:$B$304,MATCH($D214,lst_Profil,0)),""))</f>
        <v/>
      </c>
      <c r="L214" s="13">
        <f>IF($D214="","",IFERROR(INDEX(Profile!$K$5:$K$304,MATCH($D214,lst_Profil,0))+0,""))</f>
        <v/>
      </c>
      <c r="M214" s="26">
        <f>IF($D214="","",IFERROR(INDEX(Profile!$E$5:$E$304,MATCH($D214,lst_Profil,0))+0,""))</f>
        <v/>
      </c>
      <c r="N214" s="27">
        <f>IF(OR(L214="",$E214=""),"",IFERROR(L214*INDEX(Werkstoffe!$E$5:$E$304,MATCH($E214,lst_Werkstoff,0))/1000,""))</f>
        <v/>
      </c>
      <c r="O214" s="27">
        <f>IF(OR(N214="",$F214=""),"",N214*$F214/1000)</f>
        <v/>
      </c>
      <c r="P214" s="16">
        <f>IF(OR($F214="",$G214=""),"",$F214*$G214)</f>
        <v/>
      </c>
      <c r="Q214" s="16">
        <f>IF($D214="","",IF($J214&lt;&gt;"",$J214,$C$9))</f>
        <v/>
      </c>
      <c r="R214" s="12">
        <f>IF($D214="","",IFERROR(IF(INDEX(Profile!$G$5:$G$304,MATCH($D214,lst_Profil,0))&lt;&gt;"",INDEX(Profile!$G$5:$G$304,MATCH($D214,lst_Profil,0)),$H$4),$H$4))</f>
        <v/>
      </c>
      <c r="S214" s="12">
        <f>IF($D214="","",IFERROR(IF(INDEX(Profile!$H$5:$H$304,MATCH($D214,lst_Profil,0))&lt;&gt;"",INDEX(Profile!$H$5:$H$304,MATCH($D214,lst_Profil,0)),$H$5),$H$5))</f>
        <v/>
      </c>
      <c r="T214" s="16">
        <f>IF(OR(Q214="",NOT(ISNUMBER(R214)),NOT(ISNUMBER(S214))),"",Q214-R214-S214)</f>
        <v/>
      </c>
      <c r="U214" s="28">
        <f>IF(OR($D214="",$E214=""),"",IF(OR(N($AP214)&gt;0,COUNTIFS(Preise!$A$5:$A$304,$D214,Preise!$B$5:$B$304,$E214,Preise!$I$5:$I$304,"OK")&gt;0,N(INDEX(Werkstoffe!$G$5:$G$304,MATCH($E214,lst_Werkstoff,0)))&gt;0),"ja","nein"))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28">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Materialpreis",IF(AND($AQ214&lt;&gt;"",N($AR214)&gt;0,MOD($G214,$AR214)&lt;&gt;0),"WARNUNG: Stückzahl ist kein Vielfaches von Stück je Satz",IF($H214="","HINWEIS: Schneidweg fehlt",IF(V214="","HINWEIS: keine Schneiddaten",IF(AND($AF214&lt;&gt;"",$AG214=""),"HINWEIS: Gewinde-Vorschlag prüfen","OK")))))))))))))))</f>
        <v/>
      </c>
      <c r="X214" s="18">
        <f>IF(OR(O214="",$G214=""),"",O214*$G214)</f>
        <v/>
      </c>
      <c r="Y214" s="9" t="n"/>
      <c r="Z214" s="23" t="n"/>
      <c r="AA214" s="9" t="n"/>
      <c r="AB214" s="23" t="n"/>
      <c r="AC214" s="23" t="n"/>
      <c r="AD214" s="23" t="n"/>
      <c r="AE214" s="9" t="n"/>
      <c r="AF214" s="9" t="n"/>
      <c r="AG214" s="9" t="n"/>
      <c r="AH214" s="24" t="n"/>
      <c r="AI214" s="23" t="n"/>
      <c r="AJ214" s="24" t="n"/>
      <c r="AK214" s="23" t="n"/>
      <c r="AL214" s="24" t="n"/>
      <c r="AM214" s="23" t="n"/>
      <c r="AN214" s="28">
        <f>IF($D214="","",COUNTIFS(Stangenbelegung!$E$5:$E$10004,ROW()))</f>
        <v/>
      </c>
      <c r="AO214" s="28">
        <f>IF(OR($G214="",COUNTA(Stangenbelegung!$A$5:$A$10004)=0),"",$G214-AN214)</f>
        <v/>
      </c>
      <c r="AP214" s="29" t="n"/>
      <c r="AQ214" s="9" t="n"/>
      <c r="AR214" s="19" t="n"/>
    </row>
    <row r="215">
      <c r="A215" s="9" t="n"/>
      <c r="B215" s="9" t="n"/>
      <c r="C215" s="9" t="n"/>
      <c r="D215" s="9" t="n"/>
      <c r="E215" s="9" t="n"/>
      <c r="F215" s="23" t="n"/>
      <c r="G215" s="19" t="n"/>
      <c r="H215" s="23" t="n"/>
      <c r="I215" s="24" t="n"/>
      <c r="J215" s="19" t="n"/>
      <c r="K215" s="25">
        <f>IF($D215="","",IFERROR(INDEX(Profile!$B$5:$B$304,MATCH($D215,lst_Profil,0)),""))</f>
        <v/>
      </c>
      <c r="L215" s="13">
        <f>IF($D215="","",IFERROR(INDEX(Profile!$K$5:$K$304,MATCH($D215,lst_Profil,0))+0,""))</f>
        <v/>
      </c>
      <c r="M215" s="26">
        <f>IF($D215="","",IFERROR(INDEX(Profile!$E$5:$E$304,MATCH($D215,lst_Profil,0))+0,""))</f>
        <v/>
      </c>
      <c r="N215" s="27">
        <f>IF(OR(L215="",$E215=""),"",IFERROR(L215*INDEX(Werkstoffe!$E$5:$E$304,MATCH($E215,lst_Werkstoff,0))/1000,""))</f>
        <v/>
      </c>
      <c r="O215" s="27">
        <f>IF(OR(N215="",$F215=""),"",N215*$F215/1000)</f>
        <v/>
      </c>
      <c r="P215" s="16">
        <f>IF(OR($F215="",$G215=""),"",$F215*$G215)</f>
        <v/>
      </c>
      <c r="Q215" s="16">
        <f>IF($D215="","",IF($J215&lt;&gt;"",$J215,$C$9))</f>
        <v/>
      </c>
      <c r="R215" s="12">
        <f>IF($D215="","",IFERROR(IF(INDEX(Profile!$G$5:$G$304,MATCH($D215,lst_Profil,0))&lt;&gt;"",INDEX(Profile!$G$5:$G$304,MATCH($D215,lst_Profil,0)),$H$4),$H$4))</f>
        <v/>
      </c>
      <c r="S215" s="12">
        <f>IF($D215="","",IFERROR(IF(INDEX(Profile!$H$5:$H$304,MATCH($D215,lst_Profil,0))&lt;&gt;"",INDEX(Profile!$H$5:$H$304,MATCH($D215,lst_Profil,0)),$H$5),$H$5))</f>
        <v/>
      </c>
      <c r="T215" s="16">
        <f>IF(OR(Q215="",NOT(ISNUMBER(R215)),NOT(ISNUMBER(S215))),"",Q215-R215-S215)</f>
        <v/>
      </c>
      <c r="U215" s="28">
        <f>IF(OR($D215="",$E215=""),"",IF(OR(N($AP215)&gt;0,COUNTIFS(Preise!$A$5:$A$304,$D215,Preise!$B$5:$B$304,$E215,Preise!$I$5:$I$304,"OK")&gt;0,N(INDEX(Werkstoffe!$G$5:$G$304,MATCH($E215,lst_Werkstoff,0)))&gt;0),"ja","nein"))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28">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Materialpreis",IF(AND($AQ215&lt;&gt;"",N($AR215)&gt;0,MOD($G215,$AR215)&lt;&gt;0),"WARNUNG: Stückzahl ist kein Vielfaches von Stück je Satz",IF($H215="","HINWEIS: Schneidweg fehlt",IF(V215="","HINWEIS: keine Schneiddaten",IF(AND($AF215&lt;&gt;"",$AG215=""),"HINWEIS: Gewinde-Vorschlag prüfen","OK")))))))))))))))</f>
        <v/>
      </c>
      <c r="X215" s="18">
        <f>IF(OR(O215="",$G215=""),"",O215*$G215)</f>
        <v/>
      </c>
      <c r="Y215" s="9" t="n"/>
      <c r="Z215" s="23" t="n"/>
      <c r="AA215" s="9" t="n"/>
      <c r="AB215" s="23" t="n"/>
      <c r="AC215" s="23" t="n"/>
      <c r="AD215" s="23" t="n"/>
      <c r="AE215" s="9" t="n"/>
      <c r="AF215" s="9" t="n"/>
      <c r="AG215" s="9" t="n"/>
      <c r="AH215" s="24" t="n"/>
      <c r="AI215" s="23" t="n"/>
      <c r="AJ215" s="24" t="n"/>
      <c r="AK215" s="23" t="n"/>
      <c r="AL215" s="24" t="n"/>
      <c r="AM215" s="23" t="n"/>
      <c r="AN215" s="28">
        <f>IF($D215="","",COUNTIFS(Stangenbelegung!$E$5:$E$10004,ROW()))</f>
        <v/>
      </c>
      <c r="AO215" s="28">
        <f>IF(OR($G215="",COUNTA(Stangenbelegung!$A$5:$A$10004)=0),"",$G215-AN215)</f>
        <v/>
      </c>
      <c r="AP215" s="29" t="n"/>
      <c r="AQ215" s="9" t="n"/>
      <c r="AR215" s="19" t="n"/>
    </row>
    <row r="216">
      <c r="A216" s="9" t="n"/>
      <c r="B216" s="9" t="n"/>
      <c r="C216" s="9" t="n"/>
      <c r="D216" s="9" t="n"/>
      <c r="E216" s="9" t="n"/>
      <c r="F216" s="23" t="n"/>
      <c r="G216" s="19" t="n"/>
      <c r="H216" s="23" t="n"/>
      <c r="I216" s="24" t="n"/>
      <c r="J216" s="19" t="n"/>
      <c r="K216" s="25">
        <f>IF($D216="","",IFERROR(INDEX(Profile!$B$5:$B$304,MATCH($D216,lst_Profil,0)),""))</f>
        <v/>
      </c>
      <c r="L216" s="13">
        <f>IF($D216="","",IFERROR(INDEX(Profile!$K$5:$K$304,MATCH($D216,lst_Profil,0))+0,""))</f>
        <v/>
      </c>
      <c r="M216" s="26">
        <f>IF($D216="","",IFERROR(INDEX(Profile!$E$5:$E$304,MATCH($D216,lst_Profil,0))+0,""))</f>
        <v/>
      </c>
      <c r="N216" s="27">
        <f>IF(OR(L216="",$E216=""),"",IFERROR(L216*INDEX(Werkstoffe!$E$5:$E$304,MATCH($E216,lst_Werkstoff,0))/1000,""))</f>
        <v/>
      </c>
      <c r="O216" s="27">
        <f>IF(OR(N216="",$F216=""),"",N216*$F216/1000)</f>
        <v/>
      </c>
      <c r="P216" s="16">
        <f>IF(OR($F216="",$G216=""),"",$F216*$G216)</f>
        <v/>
      </c>
      <c r="Q216" s="16">
        <f>IF($D216="","",IF($J216&lt;&gt;"",$J216,$C$9))</f>
        <v/>
      </c>
      <c r="R216" s="12">
        <f>IF($D216="","",IFERROR(IF(INDEX(Profile!$G$5:$G$304,MATCH($D216,lst_Profil,0))&lt;&gt;"",INDEX(Profile!$G$5:$G$304,MATCH($D216,lst_Profil,0)),$H$4),$H$4))</f>
        <v/>
      </c>
      <c r="S216" s="12">
        <f>IF($D216="","",IFERROR(IF(INDEX(Profile!$H$5:$H$304,MATCH($D216,lst_Profil,0))&lt;&gt;"",INDEX(Profile!$H$5:$H$304,MATCH($D216,lst_Profil,0)),$H$5),$H$5))</f>
        <v/>
      </c>
      <c r="T216" s="16">
        <f>IF(OR(Q216="",NOT(ISNUMBER(R216)),NOT(ISNUMBER(S216))),"",Q216-R216-S216)</f>
        <v/>
      </c>
      <c r="U216" s="28">
        <f>IF(OR($D216="",$E216=""),"",IF(OR(N($AP216)&gt;0,COUNTIFS(Preise!$A$5:$A$304,$D216,Preise!$B$5:$B$304,$E216,Preise!$I$5:$I$304,"OK")&gt;0,N(INDEX(Werkstoffe!$G$5:$G$304,MATCH($E216,lst_Werkstoff,0)))&gt;0),"ja","nein"))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28">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Materialpreis",IF(AND($AQ216&lt;&gt;"",N($AR216)&gt;0,MOD($G216,$AR216)&lt;&gt;0),"WARNUNG: Stückzahl ist kein Vielfaches von Stück je Satz",IF($H216="","HINWEIS: Schneidweg fehlt",IF(V216="","HINWEIS: keine Schneiddaten",IF(AND($AF216&lt;&gt;"",$AG216=""),"HINWEIS: Gewinde-Vorschlag prüfen","OK")))))))))))))))</f>
        <v/>
      </c>
      <c r="X216" s="18">
        <f>IF(OR(O216="",$G216=""),"",O216*$G216)</f>
        <v/>
      </c>
      <c r="Y216" s="9" t="n"/>
      <c r="Z216" s="23" t="n"/>
      <c r="AA216" s="9" t="n"/>
      <c r="AB216" s="23" t="n"/>
      <c r="AC216" s="23" t="n"/>
      <c r="AD216" s="23" t="n"/>
      <c r="AE216" s="9" t="n"/>
      <c r="AF216" s="9" t="n"/>
      <c r="AG216" s="9" t="n"/>
      <c r="AH216" s="24" t="n"/>
      <c r="AI216" s="23" t="n"/>
      <c r="AJ216" s="24" t="n"/>
      <c r="AK216" s="23" t="n"/>
      <c r="AL216" s="24" t="n"/>
      <c r="AM216" s="23" t="n"/>
      <c r="AN216" s="28">
        <f>IF($D216="","",COUNTIFS(Stangenbelegung!$E$5:$E$10004,ROW()))</f>
        <v/>
      </c>
      <c r="AO216" s="28">
        <f>IF(OR($G216="",COUNTA(Stangenbelegung!$A$5:$A$10004)=0),"",$G216-AN216)</f>
        <v/>
      </c>
      <c r="AP216" s="29" t="n"/>
      <c r="AQ216" s="9" t="n"/>
      <c r="AR216" s="19" t="n"/>
    </row>
    <row r="217">
      <c r="A217" s="9" t="n"/>
      <c r="B217" s="9" t="n"/>
      <c r="C217" s="9" t="n"/>
      <c r="D217" s="9" t="n"/>
      <c r="E217" s="9" t="n"/>
      <c r="F217" s="23" t="n"/>
      <c r="G217" s="19" t="n"/>
      <c r="H217" s="23" t="n"/>
      <c r="I217" s="24" t="n"/>
      <c r="J217" s="19" t="n"/>
      <c r="K217" s="25">
        <f>IF($D217="","",IFERROR(INDEX(Profile!$B$5:$B$304,MATCH($D217,lst_Profil,0)),""))</f>
        <v/>
      </c>
      <c r="L217" s="13">
        <f>IF($D217="","",IFERROR(INDEX(Profile!$K$5:$K$304,MATCH($D217,lst_Profil,0))+0,""))</f>
        <v/>
      </c>
      <c r="M217" s="26">
        <f>IF($D217="","",IFERROR(INDEX(Profile!$E$5:$E$304,MATCH($D217,lst_Profil,0))+0,""))</f>
        <v/>
      </c>
      <c r="N217" s="27">
        <f>IF(OR(L217="",$E217=""),"",IFERROR(L217*INDEX(Werkstoffe!$E$5:$E$304,MATCH($E217,lst_Werkstoff,0))/1000,""))</f>
        <v/>
      </c>
      <c r="O217" s="27">
        <f>IF(OR(N217="",$F217=""),"",N217*$F217/1000)</f>
        <v/>
      </c>
      <c r="P217" s="16">
        <f>IF(OR($F217="",$G217=""),"",$F217*$G217)</f>
        <v/>
      </c>
      <c r="Q217" s="16">
        <f>IF($D217="","",IF($J217&lt;&gt;"",$J217,$C$9))</f>
        <v/>
      </c>
      <c r="R217" s="12">
        <f>IF($D217="","",IFERROR(IF(INDEX(Profile!$G$5:$G$304,MATCH($D217,lst_Profil,0))&lt;&gt;"",INDEX(Profile!$G$5:$G$304,MATCH($D217,lst_Profil,0)),$H$4),$H$4))</f>
        <v/>
      </c>
      <c r="S217" s="12">
        <f>IF($D217="","",IFERROR(IF(INDEX(Profile!$H$5:$H$304,MATCH($D217,lst_Profil,0))&lt;&gt;"",INDEX(Profile!$H$5:$H$304,MATCH($D217,lst_Profil,0)),$H$5),$H$5))</f>
        <v/>
      </c>
      <c r="T217" s="16">
        <f>IF(OR(Q217="",NOT(ISNUMBER(R217)),NOT(ISNUMBER(S217))),"",Q217-R217-S217)</f>
        <v/>
      </c>
      <c r="U217" s="28">
        <f>IF(OR($D217="",$E217=""),"",IF(OR(N($AP217)&gt;0,COUNTIFS(Preise!$A$5:$A$304,$D217,Preise!$B$5:$B$304,$E217,Preise!$I$5:$I$304,"OK")&gt;0,N(INDEX(Werkstoffe!$G$5:$G$304,MATCH($E217,lst_Werkstoff,0)))&gt;0),"ja","nein"))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28">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Materialpreis",IF(AND($AQ217&lt;&gt;"",N($AR217)&gt;0,MOD($G217,$AR217)&lt;&gt;0),"WARNUNG: Stückzahl ist kein Vielfaches von Stück je Satz",IF($H217="","HINWEIS: Schneidweg fehlt",IF(V217="","HINWEIS: keine Schneiddaten",IF(AND($AF217&lt;&gt;"",$AG217=""),"HINWEIS: Gewinde-Vorschlag prüfen","OK")))))))))))))))</f>
        <v/>
      </c>
      <c r="X217" s="18">
        <f>IF(OR(O217="",$G217=""),"",O217*$G217)</f>
        <v/>
      </c>
      <c r="Y217" s="9" t="n"/>
      <c r="Z217" s="23" t="n"/>
      <c r="AA217" s="9" t="n"/>
      <c r="AB217" s="23" t="n"/>
      <c r="AC217" s="23" t="n"/>
      <c r="AD217" s="23" t="n"/>
      <c r="AE217" s="9" t="n"/>
      <c r="AF217" s="9" t="n"/>
      <c r="AG217" s="9" t="n"/>
      <c r="AH217" s="24" t="n"/>
      <c r="AI217" s="23" t="n"/>
      <c r="AJ217" s="24" t="n"/>
      <c r="AK217" s="23" t="n"/>
      <c r="AL217" s="24" t="n"/>
      <c r="AM217" s="23" t="n"/>
      <c r="AN217" s="28">
        <f>IF($D217="","",COUNTIFS(Stangenbelegung!$E$5:$E$10004,ROW()))</f>
        <v/>
      </c>
      <c r="AO217" s="28">
        <f>IF(OR($G217="",COUNTA(Stangenbelegung!$A$5:$A$10004)=0),"",$G217-AN217)</f>
        <v/>
      </c>
      <c r="AP217" s="29" t="n"/>
      <c r="AQ217" s="9" t="n"/>
      <c r="AR217" s="19" t="n"/>
    </row>
    <row r="218">
      <c r="A218" s="9" t="n"/>
      <c r="B218" s="9" t="n"/>
      <c r="C218" s="9" t="n"/>
      <c r="D218" s="9" t="n"/>
      <c r="E218" s="9" t="n"/>
      <c r="F218" s="23" t="n"/>
      <c r="G218" s="19" t="n"/>
      <c r="H218" s="23" t="n"/>
      <c r="I218" s="24" t="n"/>
      <c r="J218" s="19" t="n"/>
      <c r="K218" s="25">
        <f>IF($D218="","",IFERROR(INDEX(Profile!$B$5:$B$304,MATCH($D218,lst_Profil,0)),""))</f>
        <v/>
      </c>
      <c r="L218" s="13">
        <f>IF($D218="","",IFERROR(INDEX(Profile!$K$5:$K$304,MATCH($D218,lst_Profil,0))+0,""))</f>
        <v/>
      </c>
      <c r="M218" s="26">
        <f>IF($D218="","",IFERROR(INDEX(Profile!$E$5:$E$304,MATCH($D218,lst_Profil,0))+0,""))</f>
        <v/>
      </c>
      <c r="N218" s="27">
        <f>IF(OR(L218="",$E218=""),"",IFERROR(L218*INDEX(Werkstoffe!$E$5:$E$304,MATCH($E218,lst_Werkstoff,0))/1000,""))</f>
        <v/>
      </c>
      <c r="O218" s="27">
        <f>IF(OR(N218="",$F218=""),"",N218*$F218/1000)</f>
        <v/>
      </c>
      <c r="P218" s="16">
        <f>IF(OR($F218="",$G218=""),"",$F218*$G218)</f>
        <v/>
      </c>
      <c r="Q218" s="16">
        <f>IF($D218="","",IF($J218&lt;&gt;"",$J218,$C$9))</f>
        <v/>
      </c>
      <c r="R218" s="12">
        <f>IF($D218="","",IFERROR(IF(INDEX(Profile!$G$5:$G$304,MATCH($D218,lst_Profil,0))&lt;&gt;"",INDEX(Profile!$G$5:$G$304,MATCH($D218,lst_Profil,0)),$H$4),$H$4))</f>
        <v/>
      </c>
      <c r="S218" s="12">
        <f>IF($D218="","",IFERROR(IF(INDEX(Profile!$H$5:$H$304,MATCH($D218,lst_Profil,0))&lt;&gt;"",INDEX(Profile!$H$5:$H$304,MATCH($D218,lst_Profil,0)),$H$5),$H$5))</f>
        <v/>
      </c>
      <c r="T218" s="16">
        <f>IF(OR(Q218="",NOT(ISNUMBER(R218)),NOT(ISNUMBER(S218))),"",Q218-R218-S218)</f>
        <v/>
      </c>
      <c r="U218" s="28">
        <f>IF(OR($D218="",$E218=""),"",IF(OR(N($AP218)&gt;0,COUNTIFS(Preise!$A$5:$A$304,$D218,Preise!$B$5:$B$304,$E218,Preise!$I$5:$I$304,"OK")&gt;0,N(INDEX(Werkstoffe!$G$5:$G$304,MATCH($E218,lst_Werkstoff,0)))&gt;0),"ja","nein"))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28">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Materialpreis",IF(AND($AQ218&lt;&gt;"",N($AR218)&gt;0,MOD($G218,$AR218)&lt;&gt;0),"WARNUNG: Stückzahl ist kein Vielfaches von Stück je Satz",IF($H218="","HINWEIS: Schneidweg fehlt",IF(V218="","HINWEIS: keine Schneiddaten",IF(AND($AF218&lt;&gt;"",$AG218=""),"HINWEIS: Gewinde-Vorschlag prüfen","OK")))))))))))))))</f>
        <v/>
      </c>
      <c r="X218" s="18">
        <f>IF(OR(O218="",$G218=""),"",O218*$G218)</f>
        <v/>
      </c>
      <c r="Y218" s="9" t="n"/>
      <c r="Z218" s="23" t="n"/>
      <c r="AA218" s="9" t="n"/>
      <c r="AB218" s="23" t="n"/>
      <c r="AC218" s="23" t="n"/>
      <c r="AD218" s="23" t="n"/>
      <c r="AE218" s="9" t="n"/>
      <c r="AF218" s="9" t="n"/>
      <c r="AG218" s="9" t="n"/>
      <c r="AH218" s="24" t="n"/>
      <c r="AI218" s="23" t="n"/>
      <c r="AJ218" s="24" t="n"/>
      <c r="AK218" s="23" t="n"/>
      <c r="AL218" s="24" t="n"/>
      <c r="AM218" s="23" t="n"/>
      <c r="AN218" s="28">
        <f>IF($D218="","",COUNTIFS(Stangenbelegung!$E$5:$E$10004,ROW()))</f>
        <v/>
      </c>
      <c r="AO218" s="28">
        <f>IF(OR($G218="",COUNTA(Stangenbelegung!$A$5:$A$10004)=0),"",$G218-AN218)</f>
        <v/>
      </c>
      <c r="AP218" s="29" t="n"/>
      <c r="AQ218" s="9" t="n"/>
      <c r="AR218" s="19" t="n"/>
    </row>
    <row r="219">
      <c r="A219" s="9" t="n"/>
      <c r="B219" s="9" t="n"/>
      <c r="C219" s="9" t="n"/>
      <c r="D219" s="9" t="n"/>
      <c r="E219" s="9" t="n"/>
      <c r="F219" s="23" t="n"/>
      <c r="G219" s="19" t="n"/>
      <c r="H219" s="23" t="n"/>
      <c r="I219" s="24" t="n"/>
      <c r="J219" s="19" t="n"/>
      <c r="K219" s="25">
        <f>IF($D219="","",IFERROR(INDEX(Profile!$B$5:$B$304,MATCH($D219,lst_Profil,0)),""))</f>
        <v/>
      </c>
      <c r="L219" s="13">
        <f>IF($D219="","",IFERROR(INDEX(Profile!$K$5:$K$304,MATCH($D219,lst_Profil,0))+0,""))</f>
        <v/>
      </c>
      <c r="M219" s="26">
        <f>IF($D219="","",IFERROR(INDEX(Profile!$E$5:$E$304,MATCH($D219,lst_Profil,0))+0,""))</f>
        <v/>
      </c>
      <c r="N219" s="27">
        <f>IF(OR(L219="",$E219=""),"",IFERROR(L219*INDEX(Werkstoffe!$E$5:$E$304,MATCH($E219,lst_Werkstoff,0))/1000,""))</f>
        <v/>
      </c>
      <c r="O219" s="27">
        <f>IF(OR(N219="",$F219=""),"",N219*$F219/1000)</f>
        <v/>
      </c>
      <c r="P219" s="16">
        <f>IF(OR($F219="",$G219=""),"",$F219*$G219)</f>
        <v/>
      </c>
      <c r="Q219" s="16">
        <f>IF($D219="","",IF($J219&lt;&gt;"",$J219,$C$9))</f>
        <v/>
      </c>
      <c r="R219" s="12">
        <f>IF($D219="","",IFERROR(IF(INDEX(Profile!$G$5:$G$304,MATCH($D219,lst_Profil,0))&lt;&gt;"",INDEX(Profile!$G$5:$G$304,MATCH($D219,lst_Profil,0)),$H$4),$H$4))</f>
        <v/>
      </c>
      <c r="S219" s="12">
        <f>IF($D219="","",IFERROR(IF(INDEX(Profile!$H$5:$H$304,MATCH($D219,lst_Profil,0))&lt;&gt;"",INDEX(Profile!$H$5:$H$304,MATCH($D219,lst_Profil,0)),$H$5),$H$5))</f>
        <v/>
      </c>
      <c r="T219" s="16">
        <f>IF(OR(Q219="",NOT(ISNUMBER(R219)),NOT(ISNUMBER(S219))),"",Q219-R219-S219)</f>
        <v/>
      </c>
      <c r="U219" s="28">
        <f>IF(OR($D219="",$E219=""),"",IF(OR(N($AP219)&gt;0,COUNTIFS(Preise!$A$5:$A$304,$D219,Preise!$B$5:$B$304,$E219,Preise!$I$5:$I$304,"OK")&gt;0,N(INDEX(Werkstoffe!$G$5:$G$304,MATCH($E219,lst_Werkstoff,0)))&gt;0),"ja","nein"))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28">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Materialpreis",IF(AND($AQ219&lt;&gt;"",N($AR219)&gt;0,MOD($G219,$AR219)&lt;&gt;0),"WARNUNG: Stückzahl ist kein Vielfaches von Stück je Satz",IF($H219="","HINWEIS: Schneidweg fehlt",IF(V219="","HINWEIS: keine Schneiddaten",IF(AND($AF219&lt;&gt;"",$AG219=""),"HINWEIS: Gewinde-Vorschlag prüfen","OK")))))))))))))))</f>
        <v/>
      </c>
      <c r="X219" s="18">
        <f>IF(OR(O219="",$G219=""),"",O219*$G219)</f>
        <v/>
      </c>
      <c r="Y219" s="9" t="n"/>
      <c r="Z219" s="23" t="n"/>
      <c r="AA219" s="9" t="n"/>
      <c r="AB219" s="23" t="n"/>
      <c r="AC219" s="23" t="n"/>
      <c r="AD219" s="23" t="n"/>
      <c r="AE219" s="9" t="n"/>
      <c r="AF219" s="9" t="n"/>
      <c r="AG219" s="9" t="n"/>
      <c r="AH219" s="24" t="n"/>
      <c r="AI219" s="23" t="n"/>
      <c r="AJ219" s="24" t="n"/>
      <c r="AK219" s="23" t="n"/>
      <c r="AL219" s="24" t="n"/>
      <c r="AM219" s="23" t="n"/>
      <c r="AN219" s="28">
        <f>IF($D219="","",COUNTIFS(Stangenbelegung!$E$5:$E$10004,ROW()))</f>
        <v/>
      </c>
      <c r="AO219" s="28">
        <f>IF(OR($G219="",COUNTA(Stangenbelegung!$A$5:$A$10004)=0),"",$G219-AN219)</f>
        <v/>
      </c>
      <c r="AP219" s="29" t="n"/>
      <c r="AQ219" s="9" t="n"/>
      <c r="AR219" s="19" t="n"/>
    </row>
    <row r="220">
      <c r="A220" s="9" t="n"/>
      <c r="B220" s="9" t="n"/>
      <c r="C220" s="9" t="n"/>
      <c r="D220" s="9" t="n"/>
      <c r="E220" s="9" t="n"/>
      <c r="F220" s="23" t="n"/>
      <c r="G220" s="19" t="n"/>
      <c r="H220" s="23" t="n"/>
      <c r="I220" s="24" t="n"/>
      <c r="J220" s="19" t="n"/>
      <c r="K220" s="25">
        <f>IF($D220="","",IFERROR(INDEX(Profile!$B$5:$B$304,MATCH($D220,lst_Profil,0)),""))</f>
        <v/>
      </c>
      <c r="L220" s="13">
        <f>IF($D220="","",IFERROR(INDEX(Profile!$K$5:$K$304,MATCH($D220,lst_Profil,0))+0,""))</f>
        <v/>
      </c>
      <c r="M220" s="26">
        <f>IF($D220="","",IFERROR(INDEX(Profile!$E$5:$E$304,MATCH($D220,lst_Profil,0))+0,""))</f>
        <v/>
      </c>
      <c r="N220" s="27">
        <f>IF(OR(L220="",$E220=""),"",IFERROR(L220*INDEX(Werkstoffe!$E$5:$E$304,MATCH($E220,lst_Werkstoff,0))/1000,""))</f>
        <v/>
      </c>
      <c r="O220" s="27">
        <f>IF(OR(N220="",$F220=""),"",N220*$F220/1000)</f>
        <v/>
      </c>
      <c r="P220" s="16">
        <f>IF(OR($F220="",$G220=""),"",$F220*$G220)</f>
        <v/>
      </c>
      <c r="Q220" s="16">
        <f>IF($D220="","",IF($J220&lt;&gt;"",$J220,$C$9))</f>
        <v/>
      </c>
      <c r="R220" s="12">
        <f>IF($D220="","",IFERROR(IF(INDEX(Profile!$G$5:$G$304,MATCH($D220,lst_Profil,0))&lt;&gt;"",INDEX(Profile!$G$5:$G$304,MATCH($D220,lst_Profil,0)),$H$4),$H$4))</f>
        <v/>
      </c>
      <c r="S220" s="12">
        <f>IF($D220="","",IFERROR(IF(INDEX(Profile!$H$5:$H$304,MATCH($D220,lst_Profil,0))&lt;&gt;"",INDEX(Profile!$H$5:$H$304,MATCH($D220,lst_Profil,0)),$H$5),$H$5))</f>
        <v/>
      </c>
      <c r="T220" s="16">
        <f>IF(OR(Q220="",NOT(ISNUMBER(R220)),NOT(ISNUMBER(S220))),"",Q220-R220-S220)</f>
        <v/>
      </c>
      <c r="U220" s="28">
        <f>IF(OR($D220="",$E220=""),"",IF(OR(N($AP220)&gt;0,COUNTIFS(Preise!$A$5:$A$304,$D220,Preise!$B$5:$B$304,$E220,Preise!$I$5:$I$304,"OK")&gt;0,N(INDEX(Werkstoffe!$G$5:$G$304,MATCH($E220,lst_Werkstoff,0)))&gt;0),"ja","nein"))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28">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Materialpreis",IF(AND($AQ220&lt;&gt;"",N($AR220)&gt;0,MOD($G220,$AR220)&lt;&gt;0),"WARNUNG: Stückzahl ist kein Vielfaches von Stück je Satz",IF($H220="","HINWEIS: Schneidweg fehlt",IF(V220="","HINWEIS: keine Schneiddaten",IF(AND($AF220&lt;&gt;"",$AG220=""),"HINWEIS: Gewinde-Vorschlag prüfen","OK")))))))))))))))</f>
        <v/>
      </c>
      <c r="X220" s="18">
        <f>IF(OR(O220="",$G220=""),"",O220*$G220)</f>
        <v/>
      </c>
      <c r="Y220" s="9" t="n"/>
      <c r="Z220" s="23" t="n"/>
      <c r="AA220" s="9" t="n"/>
      <c r="AB220" s="23" t="n"/>
      <c r="AC220" s="23" t="n"/>
      <c r="AD220" s="23" t="n"/>
      <c r="AE220" s="9" t="n"/>
      <c r="AF220" s="9" t="n"/>
      <c r="AG220" s="9" t="n"/>
      <c r="AH220" s="24" t="n"/>
      <c r="AI220" s="23" t="n"/>
      <c r="AJ220" s="24" t="n"/>
      <c r="AK220" s="23" t="n"/>
      <c r="AL220" s="24" t="n"/>
      <c r="AM220" s="23" t="n"/>
      <c r="AN220" s="28">
        <f>IF($D220="","",COUNTIFS(Stangenbelegung!$E$5:$E$10004,ROW()))</f>
        <v/>
      </c>
      <c r="AO220" s="28">
        <f>IF(OR($G220="",COUNTA(Stangenbelegung!$A$5:$A$10004)=0),"",$G220-AN220)</f>
        <v/>
      </c>
      <c r="AP220" s="29" t="n"/>
      <c r="AQ220" s="9" t="n"/>
      <c r="AR220" s="19" t="n"/>
    </row>
    <row r="221">
      <c r="A221" s="9" t="n"/>
      <c r="B221" s="9" t="n"/>
      <c r="C221" s="9" t="n"/>
      <c r="D221" s="9" t="n"/>
      <c r="E221" s="9" t="n"/>
      <c r="F221" s="23" t="n"/>
      <c r="G221" s="19" t="n"/>
      <c r="H221" s="23" t="n"/>
      <c r="I221" s="24" t="n"/>
      <c r="J221" s="19" t="n"/>
      <c r="K221" s="25">
        <f>IF($D221="","",IFERROR(INDEX(Profile!$B$5:$B$304,MATCH($D221,lst_Profil,0)),""))</f>
        <v/>
      </c>
      <c r="L221" s="13">
        <f>IF($D221="","",IFERROR(INDEX(Profile!$K$5:$K$304,MATCH($D221,lst_Profil,0))+0,""))</f>
        <v/>
      </c>
      <c r="M221" s="26">
        <f>IF($D221="","",IFERROR(INDEX(Profile!$E$5:$E$304,MATCH($D221,lst_Profil,0))+0,""))</f>
        <v/>
      </c>
      <c r="N221" s="27">
        <f>IF(OR(L221="",$E221=""),"",IFERROR(L221*INDEX(Werkstoffe!$E$5:$E$304,MATCH($E221,lst_Werkstoff,0))/1000,""))</f>
        <v/>
      </c>
      <c r="O221" s="27">
        <f>IF(OR(N221="",$F221=""),"",N221*$F221/1000)</f>
        <v/>
      </c>
      <c r="P221" s="16">
        <f>IF(OR($F221="",$G221=""),"",$F221*$G221)</f>
        <v/>
      </c>
      <c r="Q221" s="16">
        <f>IF($D221="","",IF($J221&lt;&gt;"",$J221,$C$9))</f>
        <v/>
      </c>
      <c r="R221" s="12">
        <f>IF($D221="","",IFERROR(IF(INDEX(Profile!$G$5:$G$304,MATCH($D221,lst_Profil,0))&lt;&gt;"",INDEX(Profile!$G$5:$G$304,MATCH($D221,lst_Profil,0)),$H$4),$H$4))</f>
        <v/>
      </c>
      <c r="S221" s="12">
        <f>IF($D221="","",IFERROR(IF(INDEX(Profile!$H$5:$H$304,MATCH($D221,lst_Profil,0))&lt;&gt;"",INDEX(Profile!$H$5:$H$304,MATCH($D221,lst_Profil,0)),$H$5),$H$5))</f>
        <v/>
      </c>
      <c r="T221" s="16">
        <f>IF(OR(Q221="",NOT(ISNUMBER(R221)),NOT(ISNUMBER(S221))),"",Q221-R221-S221)</f>
        <v/>
      </c>
      <c r="U221" s="28">
        <f>IF(OR($D221="",$E221=""),"",IF(OR(N($AP221)&gt;0,COUNTIFS(Preise!$A$5:$A$304,$D221,Preise!$B$5:$B$304,$E221,Preise!$I$5:$I$304,"OK")&gt;0,N(INDEX(Werkstoffe!$G$5:$G$304,MATCH($E221,lst_Werkstoff,0)))&gt;0),"ja","nein"))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28">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Materialpreis",IF(AND($AQ221&lt;&gt;"",N($AR221)&gt;0,MOD($G221,$AR221)&lt;&gt;0),"WARNUNG: Stückzahl ist kein Vielfaches von Stück je Satz",IF($H221="","HINWEIS: Schneidweg fehlt",IF(V221="","HINWEIS: keine Schneiddaten",IF(AND($AF221&lt;&gt;"",$AG221=""),"HINWEIS: Gewinde-Vorschlag prüfen","OK")))))))))))))))</f>
        <v/>
      </c>
      <c r="X221" s="18">
        <f>IF(OR(O221="",$G221=""),"",O221*$G221)</f>
        <v/>
      </c>
      <c r="Y221" s="9" t="n"/>
      <c r="Z221" s="23" t="n"/>
      <c r="AA221" s="9" t="n"/>
      <c r="AB221" s="23" t="n"/>
      <c r="AC221" s="23" t="n"/>
      <c r="AD221" s="23" t="n"/>
      <c r="AE221" s="9" t="n"/>
      <c r="AF221" s="9" t="n"/>
      <c r="AG221" s="9" t="n"/>
      <c r="AH221" s="24" t="n"/>
      <c r="AI221" s="23" t="n"/>
      <c r="AJ221" s="24" t="n"/>
      <c r="AK221" s="23" t="n"/>
      <c r="AL221" s="24" t="n"/>
      <c r="AM221" s="23" t="n"/>
      <c r="AN221" s="28">
        <f>IF($D221="","",COUNTIFS(Stangenbelegung!$E$5:$E$10004,ROW()))</f>
        <v/>
      </c>
      <c r="AO221" s="28">
        <f>IF(OR($G221="",COUNTA(Stangenbelegung!$A$5:$A$10004)=0),"",$G221-AN221)</f>
        <v/>
      </c>
      <c r="AP221" s="29" t="n"/>
      <c r="AQ221" s="9" t="n"/>
      <c r="AR221" s="19" t="n"/>
    </row>
    <row r="222">
      <c r="A222" s="9" t="n"/>
      <c r="B222" s="9" t="n"/>
      <c r="C222" s="9" t="n"/>
      <c r="D222" s="9" t="n"/>
      <c r="E222" s="9" t="n"/>
      <c r="F222" s="23" t="n"/>
      <c r="G222" s="19" t="n"/>
      <c r="H222" s="23" t="n"/>
      <c r="I222" s="24" t="n"/>
      <c r="J222" s="19" t="n"/>
      <c r="K222" s="25">
        <f>IF($D222="","",IFERROR(INDEX(Profile!$B$5:$B$304,MATCH($D222,lst_Profil,0)),""))</f>
        <v/>
      </c>
      <c r="L222" s="13">
        <f>IF($D222="","",IFERROR(INDEX(Profile!$K$5:$K$304,MATCH($D222,lst_Profil,0))+0,""))</f>
        <v/>
      </c>
      <c r="M222" s="26">
        <f>IF($D222="","",IFERROR(INDEX(Profile!$E$5:$E$304,MATCH($D222,lst_Profil,0))+0,""))</f>
        <v/>
      </c>
      <c r="N222" s="27">
        <f>IF(OR(L222="",$E222=""),"",IFERROR(L222*INDEX(Werkstoffe!$E$5:$E$304,MATCH($E222,lst_Werkstoff,0))/1000,""))</f>
        <v/>
      </c>
      <c r="O222" s="27">
        <f>IF(OR(N222="",$F222=""),"",N222*$F222/1000)</f>
        <v/>
      </c>
      <c r="P222" s="16">
        <f>IF(OR($F222="",$G222=""),"",$F222*$G222)</f>
        <v/>
      </c>
      <c r="Q222" s="16">
        <f>IF($D222="","",IF($J222&lt;&gt;"",$J222,$C$9))</f>
        <v/>
      </c>
      <c r="R222" s="12">
        <f>IF($D222="","",IFERROR(IF(INDEX(Profile!$G$5:$G$304,MATCH($D222,lst_Profil,0))&lt;&gt;"",INDEX(Profile!$G$5:$G$304,MATCH($D222,lst_Profil,0)),$H$4),$H$4))</f>
        <v/>
      </c>
      <c r="S222" s="12">
        <f>IF($D222="","",IFERROR(IF(INDEX(Profile!$H$5:$H$304,MATCH($D222,lst_Profil,0))&lt;&gt;"",INDEX(Profile!$H$5:$H$304,MATCH($D222,lst_Profil,0)),$H$5),$H$5))</f>
        <v/>
      </c>
      <c r="T222" s="16">
        <f>IF(OR(Q222="",NOT(ISNUMBER(R222)),NOT(ISNUMBER(S222))),"",Q222-R222-S222)</f>
        <v/>
      </c>
      <c r="U222" s="28">
        <f>IF(OR($D222="",$E222=""),"",IF(OR(N($AP222)&gt;0,COUNTIFS(Preise!$A$5:$A$304,$D222,Preise!$B$5:$B$304,$E222,Preise!$I$5:$I$304,"OK")&gt;0,N(INDEX(Werkstoffe!$G$5:$G$304,MATCH($E222,lst_Werkstoff,0)))&gt;0),"ja","nein"))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28">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Materialpreis",IF(AND($AQ222&lt;&gt;"",N($AR222)&gt;0,MOD($G222,$AR222)&lt;&gt;0),"WARNUNG: Stückzahl ist kein Vielfaches von Stück je Satz",IF($H222="","HINWEIS: Schneidweg fehlt",IF(V222="","HINWEIS: keine Schneiddaten",IF(AND($AF222&lt;&gt;"",$AG222=""),"HINWEIS: Gewinde-Vorschlag prüfen","OK")))))))))))))))</f>
        <v/>
      </c>
      <c r="X222" s="18">
        <f>IF(OR(O222="",$G222=""),"",O222*$G222)</f>
        <v/>
      </c>
      <c r="Y222" s="9" t="n"/>
      <c r="Z222" s="23" t="n"/>
      <c r="AA222" s="9" t="n"/>
      <c r="AB222" s="23" t="n"/>
      <c r="AC222" s="23" t="n"/>
      <c r="AD222" s="23" t="n"/>
      <c r="AE222" s="9" t="n"/>
      <c r="AF222" s="9" t="n"/>
      <c r="AG222" s="9" t="n"/>
      <c r="AH222" s="24" t="n"/>
      <c r="AI222" s="23" t="n"/>
      <c r="AJ222" s="24" t="n"/>
      <c r="AK222" s="23" t="n"/>
      <c r="AL222" s="24" t="n"/>
      <c r="AM222" s="23" t="n"/>
      <c r="AN222" s="28">
        <f>IF($D222="","",COUNTIFS(Stangenbelegung!$E$5:$E$10004,ROW()))</f>
        <v/>
      </c>
      <c r="AO222" s="28">
        <f>IF(OR($G222="",COUNTA(Stangenbelegung!$A$5:$A$10004)=0),"",$G222-AN222)</f>
        <v/>
      </c>
      <c r="AP222" s="29" t="n"/>
      <c r="AQ222" s="9" t="n"/>
      <c r="AR222" s="19" t="n"/>
    </row>
    <row r="223">
      <c r="A223" s="9" t="n"/>
      <c r="B223" s="9" t="n"/>
      <c r="C223" s="9" t="n"/>
      <c r="D223" s="9" t="n"/>
      <c r="E223" s="9" t="n"/>
      <c r="F223" s="23" t="n"/>
      <c r="G223" s="19" t="n"/>
      <c r="H223" s="23" t="n"/>
      <c r="I223" s="24" t="n"/>
      <c r="J223" s="19" t="n"/>
      <c r="K223" s="25">
        <f>IF($D223="","",IFERROR(INDEX(Profile!$B$5:$B$304,MATCH($D223,lst_Profil,0)),""))</f>
        <v/>
      </c>
      <c r="L223" s="13">
        <f>IF($D223="","",IFERROR(INDEX(Profile!$K$5:$K$304,MATCH($D223,lst_Profil,0))+0,""))</f>
        <v/>
      </c>
      <c r="M223" s="26">
        <f>IF($D223="","",IFERROR(INDEX(Profile!$E$5:$E$304,MATCH($D223,lst_Profil,0))+0,""))</f>
        <v/>
      </c>
      <c r="N223" s="27">
        <f>IF(OR(L223="",$E223=""),"",IFERROR(L223*INDEX(Werkstoffe!$E$5:$E$304,MATCH($E223,lst_Werkstoff,0))/1000,""))</f>
        <v/>
      </c>
      <c r="O223" s="27">
        <f>IF(OR(N223="",$F223=""),"",N223*$F223/1000)</f>
        <v/>
      </c>
      <c r="P223" s="16">
        <f>IF(OR($F223="",$G223=""),"",$F223*$G223)</f>
        <v/>
      </c>
      <c r="Q223" s="16">
        <f>IF($D223="","",IF($J223&lt;&gt;"",$J223,$C$9))</f>
        <v/>
      </c>
      <c r="R223" s="12">
        <f>IF($D223="","",IFERROR(IF(INDEX(Profile!$G$5:$G$304,MATCH($D223,lst_Profil,0))&lt;&gt;"",INDEX(Profile!$G$5:$G$304,MATCH($D223,lst_Profil,0)),$H$4),$H$4))</f>
        <v/>
      </c>
      <c r="S223" s="12">
        <f>IF($D223="","",IFERROR(IF(INDEX(Profile!$H$5:$H$304,MATCH($D223,lst_Profil,0))&lt;&gt;"",INDEX(Profile!$H$5:$H$304,MATCH($D223,lst_Profil,0)),$H$5),$H$5))</f>
        <v/>
      </c>
      <c r="T223" s="16">
        <f>IF(OR(Q223="",NOT(ISNUMBER(R223)),NOT(ISNUMBER(S223))),"",Q223-R223-S223)</f>
        <v/>
      </c>
      <c r="U223" s="28">
        <f>IF(OR($D223="",$E223=""),"",IF(OR(N($AP223)&gt;0,COUNTIFS(Preise!$A$5:$A$304,$D223,Preise!$B$5:$B$304,$E223,Preise!$I$5:$I$304,"OK")&gt;0,N(INDEX(Werkstoffe!$G$5:$G$304,MATCH($E223,lst_Werkstoff,0)))&gt;0),"ja","nein"))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28">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Materialpreis",IF(AND($AQ223&lt;&gt;"",N($AR223)&gt;0,MOD($G223,$AR223)&lt;&gt;0),"WARNUNG: Stückzahl ist kein Vielfaches von Stück je Satz",IF($H223="","HINWEIS: Schneidweg fehlt",IF(V223="","HINWEIS: keine Schneiddaten",IF(AND($AF223&lt;&gt;"",$AG223=""),"HINWEIS: Gewinde-Vorschlag prüfen","OK")))))))))))))))</f>
        <v/>
      </c>
      <c r="X223" s="18">
        <f>IF(OR(O223="",$G223=""),"",O223*$G223)</f>
        <v/>
      </c>
      <c r="Y223" s="9" t="n"/>
      <c r="Z223" s="23" t="n"/>
      <c r="AA223" s="9" t="n"/>
      <c r="AB223" s="23" t="n"/>
      <c r="AC223" s="23" t="n"/>
      <c r="AD223" s="23" t="n"/>
      <c r="AE223" s="9" t="n"/>
      <c r="AF223" s="9" t="n"/>
      <c r="AG223" s="9" t="n"/>
      <c r="AH223" s="24" t="n"/>
      <c r="AI223" s="23" t="n"/>
      <c r="AJ223" s="24" t="n"/>
      <c r="AK223" s="23" t="n"/>
      <c r="AL223" s="24" t="n"/>
      <c r="AM223" s="23" t="n"/>
      <c r="AN223" s="28">
        <f>IF($D223="","",COUNTIFS(Stangenbelegung!$E$5:$E$10004,ROW()))</f>
        <v/>
      </c>
      <c r="AO223" s="28">
        <f>IF(OR($G223="",COUNTA(Stangenbelegung!$A$5:$A$10004)=0),"",$G223-AN223)</f>
        <v/>
      </c>
      <c r="AP223" s="29" t="n"/>
      <c r="AQ223" s="9" t="n"/>
      <c r="AR223" s="19" t="n"/>
    </row>
    <row r="224">
      <c r="A224" s="9" t="n"/>
      <c r="B224" s="9" t="n"/>
      <c r="C224" s="9" t="n"/>
      <c r="D224" s="9" t="n"/>
      <c r="E224" s="9" t="n"/>
      <c r="F224" s="23" t="n"/>
      <c r="G224" s="19" t="n"/>
      <c r="H224" s="23" t="n"/>
      <c r="I224" s="24" t="n"/>
      <c r="J224" s="19" t="n"/>
      <c r="K224" s="25">
        <f>IF($D224="","",IFERROR(INDEX(Profile!$B$5:$B$304,MATCH($D224,lst_Profil,0)),""))</f>
        <v/>
      </c>
      <c r="L224" s="13">
        <f>IF($D224="","",IFERROR(INDEX(Profile!$K$5:$K$304,MATCH($D224,lst_Profil,0))+0,""))</f>
        <v/>
      </c>
      <c r="M224" s="26">
        <f>IF($D224="","",IFERROR(INDEX(Profile!$E$5:$E$304,MATCH($D224,lst_Profil,0))+0,""))</f>
        <v/>
      </c>
      <c r="N224" s="27">
        <f>IF(OR(L224="",$E224=""),"",IFERROR(L224*INDEX(Werkstoffe!$E$5:$E$304,MATCH($E224,lst_Werkstoff,0))/1000,""))</f>
        <v/>
      </c>
      <c r="O224" s="27">
        <f>IF(OR(N224="",$F224=""),"",N224*$F224/1000)</f>
        <v/>
      </c>
      <c r="P224" s="16">
        <f>IF(OR($F224="",$G224=""),"",$F224*$G224)</f>
        <v/>
      </c>
      <c r="Q224" s="16">
        <f>IF($D224="","",IF($J224&lt;&gt;"",$J224,$C$9))</f>
        <v/>
      </c>
      <c r="R224" s="12">
        <f>IF($D224="","",IFERROR(IF(INDEX(Profile!$G$5:$G$304,MATCH($D224,lst_Profil,0))&lt;&gt;"",INDEX(Profile!$G$5:$G$304,MATCH($D224,lst_Profil,0)),$H$4),$H$4))</f>
        <v/>
      </c>
      <c r="S224" s="12">
        <f>IF($D224="","",IFERROR(IF(INDEX(Profile!$H$5:$H$304,MATCH($D224,lst_Profil,0))&lt;&gt;"",INDEX(Profile!$H$5:$H$304,MATCH($D224,lst_Profil,0)),$H$5),$H$5))</f>
        <v/>
      </c>
      <c r="T224" s="16">
        <f>IF(OR(Q224="",NOT(ISNUMBER(R224)),NOT(ISNUMBER(S224))),"",Q224-R224-S224)</f>
        <v/>
      </c>
      <c r="U224" s="28">
        <f>IF(OR($D224="",$E224=""),"",IF(OR(N($AP224)&gt;0,COUNTIFS(Preise!$A$5:$A$304,$D224,Preise!$B$5:$B$304,$E224,Preise!$I$5:$I$304,"OK")&gt;0,N(INDEX(Werkstoffe!$G$5:$G$304,MATCH($E224,lst_Werkstoff,0)))&gt;0),"ja","nein"))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28">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Materialpreis",IF(AND($AQ224&lt;&gt;"",N($AR224)&gt;0,MOD($G224,$AR224)&lt;&gt;0),"WARNUNG: Stückzahl ist kein Vielfaches von Stück je Satz",IF($H224="","HINWEIS: Schneidweg fehlt",IF(V224="","HINWEIS: keine Schneiddaten",IF(AND($AF224&lt;&gt;"",$AG224=""),"HINWEIS: Gewinde-Vorschlag prüfen","OK")))))))))))))))</f>
        <v/>
      </c>
      <c r="X224" s="18">
        <f>IF(OR(O224="",$G224=""),"",O224*$G224)</f>
        <v/>
      </c>
      <c r="Y224" s="9" t="n"/>
      <c r="Z224" s="23" t="n"/>
      <c r="AA224" s="9" t="n"/>
      <c r="AB224" s="23" t="n"/>
      <c r="AC224" s="23" t="n"/>
      <c r="AD224" s="23" t="n"/>
      <c r="AE224" s="9" t="n"/>
      <c r="AF224" s="9" t="n"/>
      <c r="AG224" s="9" t="n"/>
      <c r="AH224" s="24" t="n"/>
      <c r="AI224" s="23" t="n"/>
      <c r="AJ224" s="24" t="n"/>
      <c r="AK224" s="23" t="n"/>
      <c r="AL224" s="24" t="n"/>
      <c r="AM224" s="23" t="n"/>
      <c r="AN224" s="28">
        <f>IF($D224="","",COUNTIFS(Stangenbelegung!$E$5:$E$10004,ROW()))</f>
        <v/>
      </c>
      <c r="AO224" s="28">
        <f>IF(OR($G224="",COUNTA(Stangenbelegung!$A$5:$A$10004)=0),"",$G224-AN224)</f>
        <v/>
      </c>
      <c r="AP224" s="29" t="n"/>
      <c r="AQ224" s="9" t="n"/>
      <c r="AR224" s="19" t="n"/>
    </row>
    <row r="225">
      <c r="A225" s="9" t="n"/>
      <c r="B225" s="9" t="n"/>
      <c r="C225" s="9" t="n"/>
      <c r="D225" s="9" t="n"/>
      <c r="E225" s="9" t="n"/>
      <c r="F225" s="23" t="n"/>
      <c r="G225" s="19" t="n"/>
      <c r="H225" s="23" t="n"/>
      <c r="I225" s="24" t="n"/>
      <c r="J225" s="19" t="n"/>
      <c r="K225" s="25">
        <f>IF($D225="","",IFERROR(INDEX(Profile!$B$5:$B$304,MATCH($D225,lst_Profil,0)),""))</f>
        <v/>
      </c>
      <c r="L225" s="13">
        <f>IF($D225="","",IFERROR(INDEX(Profile!$K$5:$K$304,MATCH($D225,lst_Profil,0))+0,""))</f>
        <v/>
      </c>
      <c r="M225" s="26">
        <f>IF($D225="","",IFERROR(INDEX(Profile!$E$5:$E$304,MATCH($D225,lst_Profil,0))+0,""))</f>
        <v/>
      </c>
      <c r="N225" s="27">
        <f>IF(OR(L225="",$E225=""),"",IFERROR(L225*INDEX(Werkstoffe!$E$5:$E$304,MATCH($E225,lst_Werkstoff,0))/1000,""))</f>
        <v/>
      </c>
      <c r="O225" s="27">
        <f>IF(OR(N225="",$F225=""),"",N225*$F225/1000)</f>
        <v/>
      </c>
      <c r="P225" s="16">
        <f>IF(OR($F225="",$G225=""),"",$F225*$G225)</f>
        <v/>
      </c>
      <c r="Q225" s="16">
        <f>IF($D225="","",IF($J225&lt;&gt;"",$J225,$C$9))</f>
        <v/>
      </c>
      <c r="R225" s="12">
        <f>IF($D225="","",IFERROR(IF(INDEX(Profile!$G$5:$G$304,MATCH($D225,lst_Profil,0))&lt;&gt;"",INDEX(Profile!$G$5:$G$304,MATCH($D225,lst_Profil,0)),$H$4),$H$4))</f>
        <v/>
      </c>
      <c r="S225" s="12">
        <f>IF($D225="","",IFERROR(IF(INDEX(Profile!$H$5:$H$304,MATCH($D225,lst_Profil,0))&lt;&gt;"",INDEX(Profile!$H$5:$H$304,MATCH($D225,lst_Profil,0)),$H$5),$H$5))</f>
        <v/>
      </c>
      <c r="T225" s="16">
        <f>IF(OR(Q225="",NOT(ISNUMBER(R225)),NOT(ISNUMBER(S225))),"",Q225-R225-S225)</f>
        <v/>
      </c>
      <c r="U225" s="28">
        <f>IF(OR($D225="",$E225=""),"",IF(OR(N($AP225)&gt;0,COUNTIFS(Preise!$A$5:$A$304,$D225,Preise!$B$5:$B$304,$E225,Preise!$I$5:$I$304,"OK")&gt;0,N(INDEX(Werkstoffe!$G$5:$G$304,MATCH($E225,lst_Werkstoff,0)))&gt;0),"ja","nein"))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28">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Materialpreis",IF(AND($AQ225&lt;&gt;"",N($AR225)&gt;0,MOD($G225,$AR225)&lt;&gt;0),"WARNUNG: Stückzahl ist kein Vielfaches von Stück je Satz",IF($H225="","HINWEIS: Schneidweg fehlt",IF(V225="","HINWEIS: keine Schneiddaten",IF(AND($AF225&lt;&gt;"",$AG225=""),"HINWEIS: Gewinde-Vorschlag prüfen","OK")))))))))))))))</f>
        <v/>
      </c>
      <c r="X225" s="18">
        <f>IF(OR(O225="",$G225=""),"",O225*$G225)</f>
        <v/>
      </c>
      <c r="Y225" s="9" t="n"/>
      <c r="Z225" s="23" t="n"/>
      <c r="AA225" s="9" t="n"/>
      <c r="AB225" s="23" t="n"/>
      <c r="AC225" s="23" t="n"/>
      <c r="AD225" s="23" t="n"/>
      <c r="AE225" s="9" t="n"/>
      <c r="AF225" s="9" t="n"/>
      <c r="AG225" s="9" t="n"/>
      <c r="AH225" s="24" t="n"/>
      <c r="AI225" s="23" t="n"/>
      <c r="AJ225" s="24" t="n"/>
      <c r="AK225" s="23" t="n"/>
      <c r="AL225" s="24" t="n"/>
      <c r="AM225" s="23" t="n"/>
      <c r="AN225" s="28">
        <f>IF($D225="","",COUNTIFS(Stangenbelegung!$E$5:$E$10004,ROW()))</f>
        <v/>
      </c>
      <c r="AO225" s="28">
        <f>IF(OR($G225="",COUNTA(Stangenbelegung!$A$5:$A$10004)=0),"",$G225-AN225)</f>
        <v/>
      </c>
      <c r="AP225" s="29" t="n"/>
      <c r="AQ225" s="9" t="n"/>
      <c r="AR225" s="19" t="n"/>
    </row>
    <row r="226">
      <c r="A226" s="9" t="n"/>
      <c r="B226" s="9" t="n"/>
      <c r="C226" s="9" t="n"/>
      <c r="D226" s="9" t="n"/>
      <c r="E226" s="9" t="n"/>
      <c r="F226" s="23" t="n"/>
      <c r="G226" s="19" t="n"/>
      <c r="H226" s="23" t="n"/>
      <c r="I226" s="24" t="n"/>
      <c r="J226" s="19" t="n"/>
      <c r="K226" s="25">
        <f>IF($D226="","",IFERROR(INDEX(Profile!$B$5:$B$304,MATCH($D226,lst_Profil,0)),""))</f>
        <v/>
      </c>
      <c r="L226" s="13">
        <f>IF($D226="","",IFERROR(INDEX(Profile!$K$5:$K$304,MATCH($D226,lst_Profil,0))+0,""))</f>
        <v/>
      </c>
      <c r="M226" s="26">
        <f>IF($D226="","",IFERROR(INDEX(Profile!$E$5:$E$304,MATCH($D226,lst_Profil,0))+0,""))</f>
        <v/>
      </c>
      <c r="N226" s="27">
        <f>IF(OR(L226="",$E226=""),"",IFERROR(L226*INDEX(Werkstoffe!$E$5:$E$304,MATCH($E226,lst_Werkstoff,0))/1000,""))</f>
        <v/>
      </c>
      <c r="O226" s="27">
        <f>IF(OR(N226="",$F226=""),"",N226*$F226/1000)</f>
        <v/>
      </c>
      <c r="P226" s="16">
        <f>IF(OR($F226="",$G226=""),"",$F226*$G226)</f>
        <v/>
      </c>
      <c r="Q226" s="16">
        <f>IF($D226="","",IF($J226&lt;&gt;"",$J226,$C$9))</f>
        <v/>
      </c>
      <c r="R226" s="12">
        <f>IF($D226="","",IFERROR(IF(INDEX(Profile!$G$5:$G$304,MATCH($D226,lst_Profil,0))&lt;&gt;"",INDEX(Profile!$G$5:$G$304,MATCH($D226,lst_Profil,0)),$H$4),$H$4))</f>
        <v/>
      </c>
      <c r="S226" s="12">
        <f>IF($D226="","",IFERROR(IF(INDEX(Profile!$H$5:$H$304,MATCH($D226,lst_Profil,0))&lt;&gt;"",INDEX(Profile!$H$5:$H$304,MATCH($D226,lst_Profil,0)),$H$5),$H$5))</f>
        <v/>
      </c>
      <c r="T226" s="16">
        <f>IF(OR(Q226="",NOT(ISNUMBER(R226)),NOT(ISNUMBER(S226))),"",Q226-R226-S226)</f>
        <v/>
      </c>
      <c r="U226" s="28">
        <f>IF(OR($D226="",$E226=""),"",IF(OR(N($AP226)&gt;0,COUNTIFS(Preise!$A$5:$A$304,$D226,Preise!$B$5:$B$304,$E226,Preise!$I$5:$I$304,"OK")&gt;0,N(INDEX(Werkstoffe!$G$5:$G$304,MATCH($E226,lst_Werkstoff,0)))&gt;0),"ja","nein"))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28">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Materialpreis",IF(AND($AQ226&lt;&gt;"",N($AR226)&gt;0,MOD($G226,$AR226)&lt;&gt;0),"WARNUNG: Stückzahl ist kein Vielfaches von Stück je Satz",IF($H226="","HINWEIS: Schneidweg fehlt",IF(V226="","HINWEIS: keine Schneiddaten",IF(AND($AF226&lt;&gt;"",$AG226=""),"HINWEIS: Gewinde-Vorschlag prüfen","OK")))))))))))))))</f>
        <v/>
      </c>
      <c r="X226" s="18">
        <f>IF(OR(O226="",$G226=""),"",O226*$G226)</f>
        <v/>
      </c>
      <c r="Y226" s="9" t="n"/>
      <c r="Z226" s="23" t="n"/>
      <c r="AA226" s="9" t="n"/>
      <c r="AB226" s="23" t="n"/>
      <c r="AC226" s="23" t="n"/>
      <c r="AD226" s="23" t="n"/>
      <c r="AE226" s="9" t="n"/>
      <c r="AF226" s="9" t="n"/>
      <c r="AG226" s="9" t="n"/>
      <c r="AH226" s="24" t="n"/>
      <c r="AI226" s="23" t="n"/>
      <c r="AJ226" s="24" t="n"/>
      <c r="AK226" s="23" t="n"/>
      <c r="AL226" s="24" t="n"/>
      <c r="AM226" s="23" t="n"/>
      <c r="AN226" s="28">
        <f>IF($D226="","",COUNTIFS(Stangenbelegung!$E$5:$E$10004,ROW()))</f>
        <v/>
      </c>
      <c r="AO226" s="28">
        <f>IF(OR($G226="",COUNTA(Stangenbelegung!$A$5:$A$10004)=0),"",$G226-AN226)</f>
        <v/>
      </c>
      <c r="AP226" s="29" t="n"/>
      <c r="AQ226" s="9" t="n"/>
      <c r="AR226" s="19" t="n"/>
    </row>
    <row r="227">
      <c r="A227" s="9" t="n"/>
      <c r="B227" s="9" t="n"/>
      <c r="C227" s="9" t="n"/>
      <c r="D227" s="9" t="n"/>
      <c r="E227" s="9" t="n"/>
      <c r="F227" s="23" t="n"/>
      <c r="G227" s="19" t="n"/>
      <c r="H227" s="23" t="n"/>
      <c r="I227" s="24" t="n"/>
      <c r="J227" s="19" t="n"/>
      <c r="K227" s="25">
        <f>IF($D227="","",IFERROR(INDEX(Profile!$B$5:$B$304,MATCH($D227,lst_Profil,0)),""))</f>
        <v/>
      </c>
      <c r="L227" s="13">
        <f>IF($D227="","",IFERROR(INDEX(Profile!$K$5:$K$304,MATCH($D227,lst_Profil,0))+0,""))</f>
        <v/>
      </c>
      <c r="M227" s="26">
        <f>IF($D227="","",IFERROR(INDEX(Profile!$E$5:$E$304,MATCH($D227,lst_Profil,0))+0,""))</f>
        <v/>
      </c>
      <c r="N227" s="27">
        <f>IF(OR(L227="",$E227=""),"",IFERROR(L227*INDEX(Werkstoffe!$E$5:$E$304,MATCH($E227,lst_Werkstoff,0))/1000,""))</f>
        <v/>
      </c>
      <c r="O227" s="27">
        <f>IF(OR(N227="",$F227=""),"",N227*$F227/1000)</f>
        <v/>
      </c>
      <c r="P227" s="16">
        <f>IF(OR($F227="",$G227=""),"",$F227*$G227)</f>
        <v/>
      </c>
      <c r="Q227" s="16">
        <f>IF($D227="","",IF($J227&lt;&gt;"",$J227,$C$9))</f>
        <v/>
      </c>
      <c r="R227" s="12">
        <f>IF($D227="","",IFERROR(IF(INDEX(Profile!$G$5:$G$304,MATCH($D227,lst_Profil,0))&lt;&gt;"",INDEX(Profile!$G$5:$G$304,MATCH($D227,lst_Profil,0)),$H$4),$H$4))</f>
        <v/>
      </c>
      <c r="S227" s="12">
        <f>IF($D227="","",IFERROR(IF(INDEX(Profile!$H$5:$H$304,MATCH($D227,lst_Profil,0))&lt;&gt;"",INDEX(Profile!$H$5:$H$304,MATCH($D227,lst_Profil,0)),$H$5),$H$5))</f>
        <v/>
      </c>
      <c r="T227" s="16">
        <f>IF(OR(Q227="",NOT(ISNUMBER(R227)),NOT(ISNUMBER(S227))),"",Q227-R227-S227)</f>
        <v/>
      </c>
      <c r="U227" s="28">
        <f>IF(OR($D227="",$E227=""),"",IF(OR(N($AP227)&gt;0,COUNTIFS(Preise!$A$5:$A$304,$D227,Preise!$B$5:$B$304,$E227,Preise!$I$5:$I$304,"OK")&gt;0,N(INDEX(Werkstoffe!$G$5:$G$304,MATCH($E227,lst_Werkstoff,0)))&gt;0),"ja","nein"))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28">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Materialpreis",IF(AND($AQ227&lt;&gt;"",N($AR227)&gt;0,MOD($G227,$AR227)&lt;&gt;0),"WARNUNG: Stückzahl ist kein Vielfaches von Stück je Satz",IF($H227="","HINWEIS: Schneidweg fehlt",IF(V227="","HINWEIS: keine Schneiddaten",IF(AND($AF227&lt;&gt;"",$AG227=""),"HINWEIS: Gewinde-Vorschlag prüfen","OK")))))))))))))))</f>
        <v/>
      </c>
      <c r="X227" s="18">
        <f>IF(OR(O227="",$G227=""),"",O227*$G227)</f>
        <v/>
      </c>
      <c r="Y227" s="9" t="n"/>
      <c r="Z227" s="23" t="n"/>
      <c r="AA227" s="9" t="n"/>
      <c r="AB227" s="23" t="n"/>
      <c r="AC227" s="23" t="n"/>
      <c r="AD227" s="23" t="n"/>
      <c r="AE227" s="9" t="n"/>
      <c r="AF227" s="9" t="n"/>
      <c r="AG227" s="9" t="n"/>
      <c r="AH227" s="24" t="n"/>
      <c r="AI227" s="23" t="n"/>
      <c r="AJ227" s="24" t="n"/>
      <c r="AK227" s="23" t="n"/>
      <c r="AL227" s="24" t="n"/>
      <c r="AM227" s="23" t="n"/>
      <c r="AN227" s="28">
        <f>IF($D227="","",COUNTIFS(Stangenbelegung!$E$5:$E$10004,ROW()))</f>
        <v/>
      </c>
      <c r="AO227" s="28">
        <f>IF(OR($G227="",COUNTA(Stangenbelegung!$A$5:$A$10004)=0),"",$G227-AN227)</f>
        <v/>
      </c>
      <c r="AP227" s="29" t="n"/>
      <c r="AQ227" s="9" t="n"/>
      <c r="AR227" s="19" t="n"/>
    </row>
    <row r="228">
      <c r="A228" s="9" t="n"/>
      <c r="B228" s="9" t="n"/>
      <c r="C228" s="9" t="n"/>
      <c r="D228" s="9" t="n"/>
      <c r="E228" s="9" t="n"/>
      <c r="F228" s="23" t="n"/>
      <c r="G228" s="19" t="n"/>
      <c r="H228" s="23" t="n"/>
      <c r="I228" s="24" t="n"/>
      <c r="J228" s="19" t="n"/>
      <c r="K228" s="25">
        <f>IF($D228="","",IFERROR(INDEX(Profile!$B$5:$B$304,MATCH($D228,lst_Profil,0)),""))</f>
        <v/>
      </c>
      <c r="L228" s="13">
        <f>IF($D228="","",IFERROR(INDEX(Profile!$K$5:$K$304,MATCH($D228,lst_Profil,0))+0,""))</f>
        <v/>
      </c>
      <c r="M228" s="26">
        <f>IF($D228="","",IFERROR(INDEX(Profile!$E$5:$E$304,MATCH($D228,lst_Profil,0))+0,""))</f>
        <v/>
      </c>
      <c r="N228" s="27">
        <f>IF(OR(L228="",$E228=""),"",IFERROR(L228*INDEX(Werkstoffe!$E$5:$E$304,MATCH($E228,lst_Werkstoff,0))/1000,""))</f>
        <v/>
      </c>
      <c r="O228" s="27">
        <f>IF(OR(N228="",$F228=""),"",N228*$F228/1000)</f>
        <v/>
      </c>
      <c r="P228" s="16">
        <f>IF(OR($F228="",$G228=""),"",$F228*$G228)</f>
        <v/>
      </c>
      <c r="Q228" s="16">
        <f>IF($D228="","",IF($J228&lt;&gt;"",$J228,$C$9))</f>
        <v/>
      </c>
      <c r="R228" s="12">
        <f>IF($D228="","",IFERROR(IF(INDEX(Profile!$G$5:$G$304,MATCH($D228,lst_Profil,0))&lt;&gt;"",INDEX(Profile!$G$5:$G$304,MATCH($D228,lst_Profil,0)),$H$4),$H$4))</f>
        <v/>
      </c>
      <c r="S228" s="12">
        <f>IF($D228="","",IFERROR(IF(INDEX(Profile!$H$5:$H$304,MATCH($D228,lst_Profil,0))&lt;&gt;"",INDEX(Profile!$H$5:$H$304,MATCH($D228,lst_Profil,0)),$H$5),$H$5))</f>
        <v/>
      </c>
      <c r="T228" s="16">
        <f>IF(OR(Q228="",NOT(ISNUMBER(R228)),NOT(ISNUMBER(S228))),"",Q228-R228-S228)</f>
        <v/>
      </c>
      <c r="U228" s="28">
        <f>IF(OR($D228="",$E228=""),"",IF(OR(N($AP228)&gt;0,COUNTIFS(Preise!$A$5:$A$304,$D228,Preise!$B$5:$B$304,$E228,Preise!$I$5:$I$304,"OK")&gt;0,N(INDEX(Werkstoffe!$G$5:$G$304,MATCH($E228,lst_Werkstoff,0)))&gt;0),"ja","nein"))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28">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Materialpreis",IF(AND($AQ228&lt;&gt;"",N($AR228)&gt;0,MOD($G228,$AR228)&lt;&gt;0),"WARNUNG: Stückzahl ist kein Vielfaches von Stück je Satz",IF($H228="","HINWEIS: Schneidweg fehlt",IF(V228="","HINWEIS: keine Schneiddaten",IF(AND($AF228&lt;&gt;"",$AG228=""),"HINWEIS: Gewinde-Vorschlag prüfen","OK")))))))))))))))</f>
        <v/>
      </c>
      <c r="X228" s="18">
        <f>IF(OR(O228="",$G228=""),"",O228*$G228)</f>
        <v/>
      </c>
      <c r="Y228" s="9" t="n"/>
      <c r="Z228" s="23" t="n"/>
      <c r="AA228" s="9" t="n"/>
      <c r="AB228" s="23" t="n"/>
      <c r="AC228" s="23" t="n"/>
      <c r="AD228" s="23" t="n"/>
      <c r="AE228" s="9" t="n"/>
      <c r="AF228" s="9" t="n"/>
      <c r="AG228" s="9" t="n"/>
      <c r="AH228" s="24" t="n"/>
      <c r="AI228" s="23" t="n"/>
      <c r="AJ228" s="24" t="n"/>
      <c r="AK228" s="23" t="n"/>
      <c r="AL228" s="24" t="n"/>
      <c r="AM228" s="23" t="n"/>
      <c r="AN228" s="28">
        <f>IF($D228="","",COUNTIFS(Stangenbelegung!$E$5:$E$10004,ROW()))</f>
        <v/>
      </c>
      <c r="AO228" s="28">
        <f>IF(OR($G228="",COUNTA(Stangenbelegung!$A$5:$A$10004)=0),"",$G228-AN228)</f>
        <v/>
      </c>
      <c r="AP228" s="29" t="n"/>
      <c r="AQ228" s="9" t="n"/>
      <c r="AR228" s="19" t="n"/>
    </row>
    <row r="229">
      <c r="A229" s="9" t="n"/>
      <c r="B229" s="9" t="n"/>
      <c r="C229" s="9" t="n"/>
      <c r="D229" s="9" t="n"/>
      <c r="E229" s="9" t="n"/>
      <c r="F229" s="23" t="n"/>
      <c r="G229" s="19" t="n"/>
      <c r="H229" s="23" t="n"/>
      <c r="I229" s="24" t="n"/>
      <c r="J229" s="19" t="n"/>
      <c r="K229" s="25">
        <f>IF($D229="","",IFERROR(INDEX(Profile!$B$5:$B$304,MATCH($D229,lst_Profil,0)),""))</f>
        <v/>
      </c>
      <c r="L229" s="13">
        <f>IF($D229="","",IFERROR(INDEX(Profile!$K$5:$K$304,MATCH($D229,lst_Profil,0))+0,""))</f>
        <v/>
      </c>
      <c r="M229" s="26">
        <f>IF($D229="","",IFERROR(INDEX(Profile!$E$5:$E$304,MATCH($D229,lst_Profil,0))+0,""))</f>
        <v/>
      </c>
      <c r="N229" s="27">
        <f>IF(OR(L229="",$E229=""),"",IFERROR(L229*INDEX(Werkstoffe!$E$5:$E$304,MATCH($E229,lst_Werkstoff,0))/1000,""))</f>
        <v/>
      </c>
      <c r="O229" s="27">
        <f>IF(OR(N229="",$F229=""),"",N229*$F229/1000)</f>
        <v/>
      </c>
      <c r="P229" s="16">
        <f>IF(OR($F229="",$G229=""),"",$F229*$G229)</f>
        <v/>
      </c>
      <c r="Q229" s="16">
        <f>IF($D229="","",IF($J229&lt;&gt;"",$J229,$C$9))</f>
        <v/>
      </c>
      <c r="R229" s="12">
        <f>IF($D229="","",IFERROR(IF(INDEX(Profile!$G$5:$G$304,MATCH($D229,lst_Profil,0))&lt;&gt;"",INDEX(Profile!$G$5:$G$304,MATCH($D229,lst_Profil,0)),$H$4),$H$4))</f>
        <v/>
      </c>
      <c r="S229" s="12">
        <f>IF($D229="","",IFERROR(IF(INDEX(Profile!$H$5:$H$304,MATCH($D229,lst_Profil,0))&lt;&gt;"",INDEX(Profile!$H$5:$H$304,MATCH($D229,lst_Profil,0)),$H$5),$H$5))</f>
        <v/>
      </c>
      <c r="T229" s="16">
        <f>IF(OR(Q229="",NOT(ISNUMBER(R229)),NOT(ISNUMBER(S229))),"",Q229-R229-S229)</f>
        <v/>
      </c>
      <c r="U229" s="28">
        <f>IF(OR($D229="",$E229=""),"",IF(OR(N($AP229)&gt;0,COUNTIFS(Preise!$A$5:$A$304,$D229,Preise!$B$5:$B$304,$E229,Preise!$I$5:$I$304,"OK")&gt;0,N(INDEX(Werkstoffe!$G$5:$G$304,MATCH($E229,lst_Werkstoff,0)))&gt;0),"ja","nein"))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28">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Materialpreis",IF(AND($AQ229&lt;&gt;"",N($AR229)&gt;0,MOD($G229,$AR229)&lt;&gt;0),"WARNUNG: Stückzahl ist kein Vielfaches von Stück je Satz",IF($H229="","HINWEIS: Schneidweg fehlt",IF(V229="","HINWEIS: keine Schneiddaten",IF(AND($AF229&lt;&gt;"",$AG229=""),"HINWEIS: Gewinde-Vorschlag prüfen","OK")))))))))))))))</f>
        <v/>
      </c>
      <c r="X229" s="18">
        <f>IF(OR(O229="",$G229=""),"",O229*$G229)</f>
        <v/>
      </c>
      <c r="Y229" s="9" t="n"/>
      <c r="Z229" s="23" t="n"/>
      <c r="AA229" s="9" t="n"/>
      <c r="AB229" s="23" t="n"/>
      <c r="AC229" s="23" t="n"/>
      <c r="AD229" s="23" t="n"/>
      <c r="AE229" s="9" t="n"/>
      <c r="AF229" s="9" t="n"/>
      <c r="AG229" s="9" t="n"/>
      <c r="AH229" s="24" t="n"/>
      <c r="AI229" s="23" t="n"/>
      <c r="AJ229" s="24" t="n"/>
      <c r="AK229" s="23" t="n"/>
      <c r="AL229" s="24" t="n"/>
      <c r="AM229" s="23" t="n"/>
      <c r="AN229" s="28">
        <f>IF($D229="","",COUNTIFS(Stangenbelegung!$E$5:$E$10004,ROW()))</f>
        <v/>
      </c>
      <c r="AO229" s="28">
        <f>IF(OR($G229="",COUNTA(Stangenbelegung!$A$5:$A$10004)=0),"",$G229-AN229)</f>
        <v/>
      </c>
      <c r="AP229" s="29" t="n"/>
      <c r="AQ229" s="9" t="n"/>
      <c r="AR229" s="19" t="n"/>
    </row>
    <row r="230">
      <c r="A230" s="9" t="n"/>
      <c r="B230" s="9" t="n"/>
      <c r="C230" s="9" t="n"/>
      <c r="D230" s="9" t="n"/>
      <c r="E230" s="9" t="n"/>
      <c r="F230" s="23" t="n"/>
      <c r="G230" s="19" t="n"/>
      <c r="H230" s="23" t="n"/>
      <c r="I230" s="24" t="n"/>
      <c r="J230" s="19" t="n"/>
      <c r="K230" s="25">
        <f>IF($D230="","",IFERROR(INDEX(Profile!$B$5:$B$304,MATCH($D230,lst_Profil,0)),""))</f>
        <v/>
      </c>
      <c r="L230" s="13">
        <f>IF($D230="","",IFERROR(INDEX(Profile!$K$5:$K$304,MATCH($D230,lst_Profil,0))+0,""))</f>
        <v/>
      </c>
      <c r="M230" s="26">
        <f>IF($D230="","",IFERROR(INDEX(Profile!$E$5:$E$304,MATCH($D230,lst_Profil,0))+0,""))</f>
        <v/>
      </c>
      <c r="N230" s="27">
        <f>IF(OR(L230="",$E230=""),"",IFERROR(L230*INDEX(Werkstoffe!$E$5:$E$304,MATCH($E230,lst_Werkstoff,0))/1000,""))</f>
        <v/>
      </c>
      <c r="O230" s="27">
        <f>IF(OR(N230="",$F230=""),"",N230*$F230/1000)</f>
        <v/>
      </c>
      <c r="P230" s="16">
        <f>IF(OR($F230="",$G230=""),"",$F230*$G230)</f>
        <v/>
      </c>
      <c r="Q230" s="16">
        <f>IF($D230="","",IF($J230&lt;&gt;"",$J230,$C$9))</f>
        <v/>
      </c>
      <c r="R230" s="12">
        <f>IF($D230="","",IFERROR(IF(INDEX(Profile!$G$5:$G$304,MATCH($D230,lst_Profil,0))&lt;&gt;"",INDEX(Profile!$G$5:$G$304,MATCH($D230,lst_Profil,0)),$H$4),$H$4))</f>
        <v/>
      </c>
      <c r="S230" s="12">
        <f>IF($D230="","",IFERROR(IF(INDEX(Profile!$H$5:$H$304,MATCH($D230,lst_Profil,0))&lt;&gt;"",INDEX(Profile!$H$5:$H$304,MATCH($D230,lst_Profil,0)),$H$5),$H$5))</f>
        <v/>
      </c>
      <c r="T230" s="16">
        <f>IF(OR(Q230="",NOT(ISNUMBER(R230)),NOT(ISNUMBER(S230))),"",Q230-R230-S230)</f>
        <v/>
      </c>
      <c r="U230" s="28">
        <f>IF(OR($D230="",$E230=""),"",IF(OR(N($AP230)&gt;0,COUNTIFS(Preise!$A$5:$A$304,$D230,Preise!$B$5:$B$304,$E230,Preise!$I$5:$I$304,"OK")&gt;0,N(INDEX(Werkstoffe!$G$5:$G$304,MATCH($E230,lst_Werkstoff,0)))&gt;0),"ja","nein"))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28">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Materialpreis",IF(AND($AQ230&lt;&gt;"",N($AR230)&gt;0,MOD($G230,$AR230)&lt;&gt;0),"WARNUNG: Stückzahl ist kein Vielfaches von Stück je Satz",IF($H230="","HINWEIS: Schneidweg fehlt",IF(V230="","HINWEIS: keine Schneiddaten",IF(AND($AF230&lt;&gt;"",$AG230=""),"HINWEIS: Gewinde-Vorschlag prüfen","OK")))))))))))))))</f>
        <v/>
      </c>
      <c r="X230" s="18">
        <f>IF(OR(O230="",$G230=""),"",O230*$G230)</f>
        <v/>
      </c>
      <c r="Y230" s="9" t="n"/>
      <c r="Z230" s="23" t="n"/>
      <c r="AA230" s="9" t="n"/>
      <c r="AB230" s="23" t="n"/>
      <c r="AC230" s="23" t="n"/>
      <c r="AD230" s="23" t="n"/>
      <c r="AE230" s="9" t="n"/>
      <c r="AF230" s="9" t="n"/>
      <c r="AG230" s="9" t="n"/>
      <c r="AH230" s="24" t="n"/>
      <c r="AI230" s="23" t="n"/>
      <c r="AJ230" s="24" t="n"/>
      <c r="AK230" s="23" t="n"/>
      <c r="AL230" s="24" t="n"/>
      <c r="AM230" s="23" t="n"/>
      <c r="AN230" s="28">
        <f>IF($D230="","",COUNTIFS(Stangenbelegung!$E$5:$E$10004,ROW()))</f>
        <v/>
      </c>
      <c r="AO230" s="28">
        <f>IF(OR($G230="",COUNTA(Stangenbelegung!$A$5:$A$10004)=0),"",$G230-AN230)</f>
        <v/>
      </c>
      <c r="AP230" s="29" t="n"/>
      <c r="AQ230" s="9" t="n"/>
      <c r="AR230" s="19" t="n"/>
    </row>
    <row r="231">
      <c r="A231" s="9" t="n"/>
      <c r="B231" s="9" t="n"/>
      <c r="C231" s="9" t="n"/>
      <c r="D231" s="9" t="n"/>
      <c r="E231" s="9" t="n"/>
      <c r="F231" s="23" t="n"/>
      <c r="G231" s="19" t="n"/>
      <c r="H231" s="23" t="n"/>
      <c r="I231" s="24" t="n"/>
      <c r="J231" s="19" t="n"/>
      <c r="K231" s="25">
        <f>IF($D231="","",IFERROR(INDEX(Profile!$B$5:$B$304,MATCH($D231,lst_Profil,0)),""))</f>
        <v/>
      </c>
      <c r="L231" s="13">
        <f>IF($D231="","",IFERROR(INDEX(Profile!$K$5:$K$304,MATCH($D231,lst_Profil,0))+0,""))</f>
        <v/>
      </c>
      <c r="M231" s="26">
        <f>IF($D231="","",IFERROR(INDEX(Profile!$E$5:$E$304,MATCH($D231,lst_Profil,0))+0,""))</f>
        <v/>
      </c>
      <c r="N231" s="27">
        <f>IF(OR(L231="",$E231=""),"",IFERROR(L231*INDEX(Werkstoffe!$E$5:$E$304,MATCH($E231,lst_Werkstoff,0))/1000,""))</f>
        <v/>
      </c>
      <c r="O231" s="27">
        <f>IF(OR(N231="",$F231=""),"",N231*$F231/1000)</f>
        <v/>
      </c>
      <c r="P231" s="16">
        <f>IF(OR($F231="",$G231=""),"",$F231*$G231)</f>
        <v/>
      </c>
      <c r="Q231" s="16">
        <f>IF($D231="","",IF($J231&lt;&gt;"",$J231,$C$9))</f>
        <v/>
      </c>
      <c r="R231" s="12">
        <f>IF($D231="","",IFERROR(IF(INDEX(Profile!$G$5:$G$304,MATCH($D231,lst_Profil,0))&lt;&gt;"",INDEX(Profile!$G$5:$G$304,MATCH($D231,lst_Profil,0)),$H$4),$H$4))</f>
        <v/>
      </c>
      <c r="S231" s="12">
        <f>IF($D231="","",IFERROR(IF(INDEX(Profile!$H$5:$H$304,MATCH($D231,lst_Profil,0))&lt;&gt;"",INDEX(Profile!$H$5:$H$304,MATCH($D231,lst_Profil,0)),$H$5),$H$5))</f>
        <v/>
      </c>
      <c r="T231" s="16">
        <f>IF(OR(Q231="",NOT(ISNUMBER(R231)),NOT(ISNUMBER(S231))),"",Q231-R231-S231)</f>
        <v/>
      </c>
      <c r="U231" s="28">
        <f>IF(OR($D231="",$E231=""),"",IF(OR(N($AP231)&gt;0,COUNTIFS(Preise!$A$5:$A$304,$D231,Preise!$B$5:$B$304,$E231,Preise!$I$5:$I$304,"OK")&gt;0,N(INDEX(Werkstoffe!$G$5:$G$304,MATCH($E231,lst_Werkstoff,0)))&gt;0),"ja","nein"))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28">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Materialpreis",IF(AND($AQ231&lt;&gt;"",N($AR231)&gt;0,MOD($G231,$AR231)&lt;&gt;0),"WARNUNG: Stückzahl ist kein Vielfaches von Stück je Satz",IF($H231="","HINWEIS: Schneidweg fehlt",IF(V231="","HINWEIS: keine Schneiddaten",IF(AND($AF231&lt;&gt;"",$AG231=""),"HINWEIS: Gewinde-Vorschlag prüfen","OK")))))))))))))))</f>
        <v/>
      </c>
      <c r="X231" s="18">
        <f>IF(OR(O231="",$G231=""),"",O231*$G231)</f>
        <v/>
      </c>
      <c r="Y231" s="9" t="n"/>
      <c r="Z231" s="23" t="n"/>
      <c r="AA231" s="9" t="n"/>
      <c r="AB231" s="23" t="n"/>
      <c r="AC231" s="23" t="n"/>
      <c r="AD231" s="23" t="n"/>
      <c r="AE231" s="9" t="n"/>
      <c r="AF231" s="9" t="n"/>
      <c r="AG231" s="9" t="n"/>
      <c r="AH231" s="24" t="n"/>
      <c r="AI231" s="23" t="n"/>
      <c r="AJ231" s="24" t="n"/>
      <c r="AK231" s="23" t="n"/>
      <c r="AL231" s="24" t="n"/>
      <c r="AM231" s="23" t="n"/>
      <c r="AN231" s="28">
        <f>IF($D231="","",COUNTIFS(Stangenbelegung!$E$5:$E$10004,ROW()))</f>
        <v/>
      </c>
      <c r="AO231" s="28">
        <f>IF(OR($G231="",COUNTA(Stangenbelegung!$A$5:$A$10004)=0),"",$G231-AN231)</f>
        <v/>
      </c>
      <c r="AP231" s="29" t="n"/>
      <c r="AQ231" s="9" t="n"/>
      <c r="AR231" s="19" t="n"/>
    </row>
    <row r="232">
      <c r="A232" s="9" t="n"/>
      <c r="B232" s="9" t="n"/>
      <c r="C232" s="9" t="n"/>
      <c r="D232" s="9" t="n"/>
      <c r="E232" s="9" t="n"/>
      <c r="F232" s="23" t="n"/>
      <c r="G232" s="19" t="n"/>
      <c r="H232" s="23" t="n"/>
      <c r="I232" s="24" t="n"/>
      <c r="J232" s="19" t="n"/>
      <c r="K232" s="25">
        <f>IF($D232="","",IFERROR(INDEX(Profile!$B$5:$B$304,MATCH($D232,lst_Profil,0)),""))</f>
        <v/>
      </c>
      <c r="L232" s="13">
        <f>IF($D232="","",IFERROR(INDEX(Profile!$K$5:$K$304,MATCH($D232,lst_Profil,0))+0,""))</f>
        <v/>
      </c>
      <c r="M232" s="26">
        <f>IF($D232="","",IFERROR(INDEX(Profile!$E$5:$E$304,MATCH($D232,lst_Profil,0))+0,""))</f>
        <v/>
      </c>
      <c r="N232" s="27">
        <f>IF(OR(L232="",$E232=""),"",IFERROR(L232*INDEX(Werkstoffe!$E$5:$E$304,MATCH($E232,lst_Werkstoff,0))/1000,""))</f>
        <v/>
      </c>
      <c r="O232" s="27">
        <f>IF(OR(N232="",$F232=""),"",N232*$F232/1000)</f>
        <v/>
      </c>
      <c r="P232" s="16">
        <f>IF(OR($F232="",$G232=""),"",$F232*$G232)</f>
        <v/>
      </c>
      <c r="Q232" s="16">
        <f>IF($D232="","",IF($J232&lt;&gt;"",$J232,$C$9))</f>
        <v/>
      </c>
      <c r="R232" s="12">
        <f>IF($D232="","",IFERROR(IF(INDEX(Profile!$G$5:$G$304,MATCH($D232,lst_Profil,0))&lt;&gt;"",INDEX(Profile!$G$5:$G$304,MATCH($D232,lst_Profil,0)),$H$4),$H$4))</f>
        <v/>
      </c>
      <c r="S232" s="12">
        <f>IF($D232="","",IFERROR(IF(INDEX(Profile!$H$5:$H$304,MATCH($D232,lst_Profil,0))&lt;&gt;"",INDEX(Profile!$H$5:$H$304,MATCH($D232,lst_Profil,0)),$H$5),$H$5))</f>
        <v/>
      </c>
      <c r="T232" s="16">
        <f>IF(OR(Q232="",NOT(ISNUMBER(R232)),NOT(ISNUMBER(S232))),"",Q232-R232-S232)</f>
        <v/>
      </c>
      <c r="U232" s="28">
        <f>IF(OR($D232="",$E232=""),"",IF(OR(N($AP232)&gt;0,COUNTIFS(Preise!$A$5:$A$304,$D232,Preise!$B$5:$B$304,$E232,Preise!$I$5:$I$304,"OK")&gt;0,N(INDEX(Werkstoffe!$G$5:$G$304,MATCH($E232,lst_Werkstoff,0)))&gt;0),"ja","nein"))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28">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Materialpreis",IF(AND($AQ232&lt;&gt;"",N($AR232)&gt;0,MOD($G232,$AR232)&lt;&gt;0),"WARNUNG: Stückzahl ist kein Vielfaches von Stück je Satz",IF($H232="","HINWEIS: Schneidweg fehlt",IF(V232="","HINWEIS: keine Schneiddaten",IF(AND($AF232&lt;&gt;"",$AG232=""),"HINWEIS: Gewinde-Vorschlag prüfen","OK")))))))))))))))</f>
        <v/>
      </c>
      <c r="X232" s="18">
        <f>IF(OR(O232="",$G232=""),"",O232*$G232)</f>
        <v/>
      </c>
      <c r="Y232" s="9" t="n"/>
      <c r="Z232" s="23" t="n"/>
      <c r="AA232" s="9" t="n"/>
      <c r="AB232" s="23" t="n"/>
      <c r="AC232" s="23" t="n"/>
      <c r="AD232" s="23" t="n"/>
      <c r="AE232" s="9" t="n"/>
      <c r="AF232" s="9" t="n"/>
      <c r="AG232" s="9" t="n"/>
      <c r="AH232" s="24" t="n"/>
      <c r="AI232" s="23" t="n"/>
      <c r="AJ232" s="24" t="n"/>
      <c r="AK232" s="23" t="n"/>
      <c r="AL232" s="24" t="n"/>
      <c r="AM232" s="23" t="n"/>
      <c r="AN232" s="28">
        <f>IF($D232="","",COUNTIFS(Stangenbelegung!$E$5:$E$10004,ROW()))</f>
        <v/>
      </c>
      <c r="AO232" s="28">
        <f>IF(OR($G232="",COUNTA(Stangenbelegung!$A$5:$A$10004)=0),"",$G232-AN232)</f>
        <v/>
      </c>
      <c r="AP232" s="29" t="n"/>
      <c r="AQ232" s="9" t="n"/>
      <c r="AR232" s="19" t="n"/>
    </row>
    <row r="233">
      <c r="A233" s="9" t="n"/>
      <c r="B233" s="9" t="n"/>
      <c r="C233" s="9" t="n"/>
      <c r="D233" s="9" t="n"/>
      <c r="E233" s="9" t="n"/>
      <c r="F233" s="23" t="n"/>
      <c r="G233" s="19" t="n"/>
      <c r="H233" s="23" t="n"/>
      <c r="I233" s="24" t="n"/>
      <c r="J233" s="19" t="n"/>
      <c r="K233" s="25">
        <f>IF($D233="","",IFERROR(INDEX(Profile!$B$5:$B$304,MATCH($D233,lst_Profil,0)),""))</f>
        <v/>
      </c>
      <c r="L233" s="13">
        <f>IF($D233="","",IFERROR(INDEX(Profile!$K$5:$K$304,MATCH($D233,lst_Profil,0))+0,""))</f>
        <v/>
      </c>
      <c r="M233" s="26">
        <f>IF($D233="","",IFERROR(INDEX(Profile!$E$5:$E$304,MATCH($D233,lst_Profil,0))+0,""))</f>
        <v/>
      </c>
      <c r="N233" s="27">
        <f>IF(OR(L233="",$E233=""),"",IFERROR(L233*INDEX(Werkstoffe!$E$5:$E$304,MATCH($E233,lst_Werkstoff,0))/1000,""))</f>
        <v/>
      </c>
      <c r="O233" s="27">
        <f>IF(OR(N233="",$F233=""),"",N233*$F233/1000)</f>
        <v/>
      </c>
      <c r="P233" s="16">
        <f>IF(OR($F233="",$G233=""),"",$F233*$G233)</f>
        <v/>
      </c>
      <c r="Q233" s="16">
        <f>IF($D233="","",IF($J233&lt;&gt;"",$J233,$C$9))</f>
        <v/>
      </c>
      <c r="R233" s="12">
        <f>IF($D233="","",IFERROR(IF(INDEX(Profile!$G$5:$G$304,MATCH($D233,lst_Profil,0))&lt;&gt;"",INDEX(Profile!$G$5:$G$304,MATCH($D233,lst_Profil,0)),$H$4),$H$4))</f>
        <v/>
      </c>
      <c r="S233" s="12">
        <f>IF($D233="","",IFERROR(IF(INDEX(Profile!$H$5:$H$304,MATCH($D233,lst_Profil,0))&lt;&gt;"",INDEX(Profile!$H$5:$H$304,MATCH($D233,lst_Profil,0)),$H$5),$H$5))</f>
        <v/>
      </c>
      <c r="T233" s="16">
        <f>IF(OR(Q233="",NOT(ISNUMBER(R233)),NOT(ISNUMBER(S233))),"",Q233-R233-S233)</f>
        <v/>
      </c>
      <c r="U233" s="28">
        <f>IF(OR($D233="",$E233=""),"",IF(OR(N($AP233)&gt;0,COUNTIFS(Preise!$A$5:$A$304,$D233,Preise!$B$5:$B$304,$E233,Preise!$I$5:$I$304,"OK")&gt;0,N(INDEX(Werkstoffe!$G$5:$G$304,MATCH($E233,lst_Werkstoff,0)))&gt;0),"ja","nein"))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28">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Materialpreis",IF(AND($AQ233&lt;&gt;"",N($AR233)&gt;0,MOD($G233,$AR233)&lt;&gt;0),"WARNUNG: Stückzahl ist kein Vielfaches von Stück je Satz",IF($H233="","HINWEIS: Schneidweg fehlt",IF(V233="","HINWEIS: keine Schneiddaten",IF(AND($AF233&lt;&gt;"",$AG233=""),"HINWEIS: Gewinde-Vorschlag prüfen","OK")))))))))))))))</f>
        <v/>
      </c>
      <c r="X233" s="18">
        <f>IF(OR(O233="",$G233=""),"",O233*$G233)</f>
        <v/>
      </c>
      <c r="Y233" s="9" t="n"/>
      <c r="Z233" s="23" t="n"/>
      <c r="AA233" s="9" t="n"/>
      <c r="AB233" s="23" t="n"/>
      <c r="AC233" s="23" t="n"/>
      <c r="AD233" s="23" t="n"/>
      <c r="AE233" s="9" t="n"/>
      <c r="AF233" s="9" t="n"/>
      <c r="AG233" s="9" t="n"/>
      <c r="AH233" s="24" t="n"/>
      <c r="AI233" s="23" t="n"/>
      <c r="AJ233" s="24" t="n"/>
      <c r="AK233" s="23" t="n"/>
      <c r="AL233" s="24" t="n"/>
      <c r="AM233" s="23" t="n"/>
      <c r="AN233" s="28">
        <f>IF($D233="","",COUNTIFS(Stangenbelegung!$E$5:$E$10004,ROW()))</f>
        <v/>
      </c>
      <c r="AO233" s="28">
        <f>IF(OR($G233="",COUNTA(Stangenbelegung!$A$5:$A$10004)=0),"",$G233-AN233)</f>
        <v/>
      </c>
      <c r="AP233" s="29" t="n"/>
      <c r="AQ233" s="9" t="n"/>
      <c r="AR233" s="19" t="n"/>
    </row>
    <row r="234">
      <c r="A234" s="9" t="n"/>
      <c r="B234" s="9" t="n"/>
      <c r="C234" s="9" t="n"/>
      <c r="D234" s="9" t="n"/>
      <c r="E234" s="9" t="n"/>
      <c r="F234" s="23" t="n"/>
      <c r="G234" s="19" t="n"/>
      <c r="H234" s="23" t="n"/>
      <c r="I234" s="24" t="n"/>
      <c r="J234" s="19" t="n"/>
      <c r="K234" s="25">
        <f>IF($D234="","",IFERROR(INDEX(Profile!$B$5:$B$304,MATCH($D234,lst_Profil,0)),""))</f>
        <v/>
      </c>
      <c r="L234" s="13">
        <f>IF($D234="","",IFERROR(INDEX(Profile!$K$5:$K$304,MATCH($D234,lst_Profil,0))+0,""))</f>
        <v/>
      </c>
      <c r="M234" s="26">
        <f>IF($D234="","",IFERROR(INDEX(Profile!$E$5:$E$304,MATCH($D234,lst_Profil,0))+0,""))</f>
        <v/>
      </c>
      <c r="N234" s="27">
        <f>IF(OR(L234="",$E234=""),"",IFERROR(L234*INDEX(Werkstoffe!$E$5:$E$304,MATCH($E234,lst_Werkstoff,0))/1000,""))</f>
        <v/>
      </c>
      <c r="O234" s="27">
        <f>IF(OR(N234="",$F234=""),"",N234*$F234/1000)</f>
        <v/>
      </c>
      <c r="P234" s="16">
        <f>IF(OR($F234="",$G234=""),"",$F234*$G234)</f>
        <v/>
      </c>
      <c r="Q234" s="16">
        <f>IF($D234="","",IF($J234&lt;&gt;"",$J234,$C$9))</f>
        <v/>
      </c>
      <c r="R234" s="12">
        <f>IF($D234="","",IFERROR(IF(INDEX(Profile!$G$5:$G$304,MATCH($D234,lst_Profil,0))&lt;&gt;"",INDEX(Profile!$G$5:$G$304,MATCH($D234,lst_Profil,0)),$H$4),$H$4))</f>
        <v/>
      </c>
      <c r="S234" s="12">
        <f>IF($D234="","",IFERROR(IF(INDEX(Profile!$H$5:$H$304,MATCH($D234,lst_Profil,0))&lt;&gt;"",INDEX(Profile!$H$5:$H$304,MATCH($D234,lst_Profil,0)),$H$5),$H$5))</f>
        <v/>
      </c>
      <c r="T234" s="16">
        <f>IF(OR(Q234="",NOT(ISNUMBER(R234)),NOT(ISNUMBER(S234))),"",Q234-R234-S234)</f>
        <v/>
      </c>
      <c r="U234" s="28">
        <f>IF(OR($D234="",$E234=""),"",IF(OR(N($AP234)&gt;0,COUNTIFS(Preise!$A$5:$A$304,$D234,Preise!$B$5:$B$304,$E234,Preise!$I$5:$I$304,"OK")&gt;0,N(INDEX(Werkstoffe!$G$5:$G$304,MATCH($E234,lst_Werkstoff,0)))&gt;0),"ja","nein"))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28">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Materialpreis",IF(AND($AQ234&lt;&gt;"",N($AR234)&gt;0,MOD($G234,$AR234)&lt;&gt;0),"WARNUNG: Stückzahl ist kein Vielfaches von Stück je Satz",IF($H234="","HINWEIS: Schneidweg fehlt",IF(V234="","HINWEIS: keine Schneiddaten",IF(AND($AF234&lt;&gt;"",$AG234=""),"HINWEIS: Gewinde-Vorschlag prüfen","OK")))))))))))))))</f>
        <v/>
      </c>
      <c r="X234" s="18">
        <f>IF(OR(O234="",$G234=""),"",O234*$G234)</f>
        <v/>
      </c>
      <c r="Y234" s="9" t="n"/>
      <c r="Z234" s="23" t="n"/>
      <c r="AA234" s="9" t="n"/>
      <c r="AB234" s="23" t="n"/>
      <c r="AC234" s="23" t="n"/>
      <c r="AD234" s="23" t="n"/>
      <c r="AE234" s="9" t="n"/>
      <c r="AF234" s="9" t="n"/>
      <c r="AG234" s="9" t="n"/>
      <c r="AH234" s="24" t="n"/>
      <c r="AI234" s="23" t="n"/>
      <c r="AJ234" s="24" t="n"/>
      <c r="AK234" s="23" t="n"/>
      <c r="AL234" s="24" t="n"/>
      <c r="AM234" s="23" t="n"/>
      <c r="AN234" s="28">
        <f>IF($D234="","",COUNTIFS(Stangenbelegung!$E$5:$E$10004,ROW()))</f>
        <v/>
      </c>
      <c r="AO234" s="28">
        <f>IF(OR($G234="",COUNTA(Stangenbelegung!$A$5:$A$10004)=0),"",$G234-AN234)</f>
        <v/>
      </c>
      <c r="AP234" s="29" t="n"/>
      <c r="AQ234" s="9" t="n"/>
      <c r="AR234" s="19" t="n"/>
    </row>
    <row r="235">
      <c r="A235" s="9" t="n"/>
      <c r="B235" s="9" t="n"/>
      <c r="C235" s="9" t="n"/>
      <c r="D235" s="9" t="n"/>
      <c r="E235" s="9" t="n"/>
      <c r="F235" s="23" t="n"/>
      <c r="G235" s="19" t="n"/>
      <c r="H235" s="23" t="n"/>
      <c r="I235" s="24" t="n"/>
      <c r="J235" s="19" t="n"/>
      <c r="K235" s="25">
        <f>IF($D235="","",IFERROR(INDEX(Profile!$B$5:$B$304,MATCH($D235,lst_Profil,0)),""))</f>
        <v/>
      </c>
      <c r="L235" s="13">
        <f>IF($D235="","",IFERROR(INDEX(Profile!$K$5:$K$304,MATCH($D235,lst_Profil,0))+0,""))</f>
        <v/>
      </c>
      <c r="M235" s="26">
        <f>IF($D235="","",IFERROR(INDEX(Profile!$E$5:$E$304,MATCH($D235,lst_Profil,0))+0,""))</f>
        <v/>
      </c>
      <c r="N235" s="27">
        <f>IF(OR(L235="",$E235=""),"",IFERROR(L235*INDEX(Werkstoffe!$E$5:$E$304,MATCH($E235,lst_Werkstoff,0))/1000,""))</f>
        <v/>
      </c>
      <c r="O235" s="27">
        <f>IF(OR(N235="",$F235=""),"",N235*$F235/1000)</f>
        <v/>
      </c>
      <c r="P235" s="16">
        <f>IF(OR($F235="",$G235=""),"",$F235*$G235)</f>
        <v/>
      </c>
      <c r="Q235" s="16">
        <f>IF($D235="","",IF($J235&lt;&gt;"",$J235,$C$9))</f>
        <v/>
      </c>
      <c r="R235" s="12">
        <f>IF($D235="","",IFERROR(IF(INDEX(Profile!$G$5:$G$304,MATCH($D235,lst_Profil,0))&lt;&gt;"",INDEX(Profile!$G$5:$G$304,MATCH($D235,lst_Profil,0)),$H$4),$H$4))</f>
        <v/>
      </c>
      <c r="S235" s="12">
        <f>IF($D235="","",IFERROR(IF(INDEX(Profile!$H$5:$H$304,MATCH($D235,lst_Profil,0))&lt;&gt;"",INDEX(Profile!$H$5:$H$304,MATCH($D235,lst_Profil,0)),$H$5),$H$5))</f>
        <v/>
      </c>
      <c r="T235" s="16">
        <f>IF(OR(Q235="",NOT(ISNUMBER(R235)),NOT(ISNUMBER(S235))),"",Q235-R235-S235)</f>
        <v/>
      </c>
      <c r="U235" s="28">
        <f>IF(OR($D235="",$E235=""),"",IF(OR(N($AP235)&gt;0,COUNTIFS(Preise!$A$5:$A$304,$D235,Preise!$B$5:$B$304,$E235,Preise!$I$5:$I$304,"OK")&gt;0,N(INDEX(Werkstoffe!$G$5:$G$304,MATCH($E235,lst_Werkstoff,0)))&gt;0),"ja","nein"))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28">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Materialpreis",IF(AND($AQ235&lt;&gt;"",N($AR235)&gt;0,MOD($G235,$AR235)&lt;&gt;0),"WARNUNG: Stückzahl ist kein Vielfaches von Stück je Satz",IF($H235="","HINWEIS: Schneidweg fehlt",IF(V235="","HINWEIS: keine Schneiddaten",IF(AND($AF235&lt;&gt;"",$AG235=""),"HINWEIS: Gewinde-Vorschlag prüfen","OK")))))))))))))))</f>
        <v/>
      </c>
      <c r="X235" s="18">
        <f>IF(OR(O235="",$G235=""),"",O235*$G235)</f>
        <v/>
      </c>
      <c r="Y235" s="9" t="n"/>
      <c r="Z235" s="23" t="n"/>
      <c r="AA235" s="9" t="n"/>
      <c r="AB235" s="23" t="n"/>
      <c r="AC235" s="23" t="n"/>
      <c r="AD235" s="23" t="n"/>
      <c r="AE235" s="9" t="n"/>
      <c r="AF235" s="9" t="n"/>
      <c r="AG235" s="9" t="n"/>
      <c r="AH235" s="24" t="n"/>
      <c r="AI235" s="23" t="n"/>
      <c r="AJ235" s="24" t="n"/>
      <c r="AK235" s="23" t="n"/>
      <c r="AL235" s="24" t="n"/>
      <c r="AM235" s="23" t="n"/>
      <c r="AN235" s="28">
        <f>IF($D235="","",COUNTIFS(Stangenbelegung!$E$5:$E$10004,ROW()))</f>
        <v/>
      </c>
      <c r="AO235" s="28">
        <f>IF(OR($G235="",COUNTA(Stangenbelegung!$A$5:$A$10004)=0),"",$G235-AN235)</f>
        <v/>
      </c>
      <c r="AP235" s="29" t="n"/>
      <c r="AQ235" s="9" t="n"/>
      <c r="AR235" s="19" t="n"/>
    </row>
    <row r="236">
      <c r="A236" s="9" t="n"/>
      <c r="B236" s="9" t="n"/>
      <c r="C236" s="9" t="n"/>
      <c r="D236" s="9" t="n"/>
      <c r="E236" s="9" t="n"/>
      <c r="F236" s="23" t="n"/>
      <c r="G236" s="19" t="n"/>
      <c r="H236" s="23" t="n"/>
      <c r="I236" s="24" t="n"/>
      <c r="J236" s="19" t="n"/>
      <c r="K236" s="25">
        <f>IF($D236="","",IFERROR(INDEX(Profile!$B$5:$B$304,MATCH($D236,lst_Profil,0)),""))</f>
        <v/>
      </c>
      <c r="L236" s="13">
        <f>IF($D236="","",IFERROR(INDEX(Profile!$K$5:$K$304,MATCH($D236,lst_Profil,0))+0,""))</f>
        <v/>
      </c>
      <c r="M236" s="26">
        <f>IF($D236="","",IFERROR(INDEX(Profile!$E$5:$E$304,MATCH($D236,lst_Profil,0))+0,""))</f>
        <v/>
      </c>
      <c r="N236" s="27">
        <f>IF(OR(L236="",$E236=""),"",IFERROR(L236*INDEX(Werkstoffe!$E$5:$E$304,MATCH($E236,lst_Werkstoff,0))/1000,""))</f>
        <v/>
      </c>
      <c r="O236" s="27">
        <f>IF(OR(N236="",$F236=""),"",N236*$F236/1000)</f>
        <v/>
      </c>
      <c r="P236" s="16">
        <f>IF(OR($F236="",$G236=""),"",$F236*$G236)</f>
        <v/>
      </c>
      <c r="Q236" s="16">
        <f>IF($D236="","",IF($J236&lt;&gt;"",$J236,$C$9))</f>
        <v/>
      </c>
      <c r="R236" s="12">
        <f>IF($D236="","",IFERROR(IF(INDEX(Profile!$G$5:$G$304,MATCH($D236,lst_Profil,0))&lt;&gt;"",INDEX(Profile!$G$5:$G$304,MATCH($D236,lst_Profil,0)),$H$4),$H$4))</f>
        <v/>
      </c>
      <c r="S236" s="12">
        <f>IF($D236="","",IFERROR(IF(INDEX(Profile!$H$5:$H$304,MATCH($D236,lst_Profil,0))&lt;&gt;"",INDEX(Profile!$H$5:$H$304,MATCH($D236,lst_Profil,0)),$H$5),$H$5))</f>
        <v/>
      </c>
      <c r="T236" s="16">
        <f>IF(OR(Q236="",NOT(ISNUMBER(R236)),NOT(ISNUMBER(S236))),"",Q236-R236-S236)</f>
        <v/>
      </c>
      <c r="U236" s="28">
        <f>IF(OR($D236="",$E236=""),"",IF(OR(N($AP236)&gt;0,COUNTIFS(Preise!$A$5:$A$304,$D236,Preise!$B$5:$B$304,$E236,Preise!$I$5:$I$304,"OK")&gt;0,N(INDEX(Werkstoffe!$G$5:$G$304,MATCH($E236,lst_Werkstoff,0)))&gt;0),"ja","nein"))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28">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Materialpreis",IF(AND($AQ236&lt;&gt;"",N($AR236)&gt;0,MOD($G236,$AR236)&lt;&gt;0),"WARNUNG: Stückzahl ist kein Vielfaches von Stück je Satz",IF($H236="","HINWEIS: Schneidweg fehlt",IF(V236="","HINWEIS: keine Schneiddaten",IF(AND($AF236&lt;&gt;"",$AG236=""),"HINWEIS: Gewinde-Vorschlag prüfen","OK")))))))))))))))</f>
        <v/>
      </c>
      <c r="X236" s="18">
        <f>IF(OR(O236="",$G236=""),"",O236*$G236)</f>
        <v/>
      </c>
      <c r="Y236" s="9" t="n"/>
      <c r="Z236" s="23" t="n"/>
      <c r="AA236" s="9" t="n"/>
      <c r="AB236" s="23" t="n"/>
      <c r="AC236" s="23" t="n"/>
      <c r="AD236" s="23" t="n"/>
      <c r="AE236" s="9" t="n"/>
      <c r="AF236" s="9" t="n"/>
      <c r="AG236" s="9" t="n"/>
      <c r="AH236" s="24" t="n"/>
      <c r="AI236" s="23" t="n"/>
      <c r="AJ236" s="24" t="n"/>
      <c r="AK236" s="23" t="n"/>
      <c r="AL236" s="24" t="n"/>
      <c r="AM236" s="23" t="n"/>
      <c r="AN236" s="28">
        <f>IF($D236="","",COUNTIFS(Stangenbelegung!$E$5:$E$10004,ROW()))</f>
        <v/>
      </c>
      <c r="AO236" s="28">
        <f>IF(OR($G236="",COUNTA(Stangenbelegung!$A$5:$A$10004)=0),"",$G236-AN236)</f>
        <v/>
      </c>
      <c r="AP236" s="29" t="n"/>
      <c r="AQ236" s="9" t="n"/>
      <c r="AR236" s="19" t="n"/>
    </row>
    <row r="237">
      <c r="A237" s="9" t="n"/>
      <c r="B237" s="9" t="n"/>
      <c r="C237" s="9" t="n"/>
      <c r="D237" s="9" t="n"/>
      <c r="E237" s="9" t="n"/>
      <c r="F237" s="23" t="n"/>
      <c r="G237" s="19" t="n"/>
      <c r="H237" s="23" t="n"/>
      <c r="I237" s="24" t="n"/>
      <c r="J237" s="19" t="n"/>
      <c r="K237" s="25">
        <f>IF($D237="","",IFERROR(INDEX(Profile!$B$5:$B$304,MATCH($D237,lst_Profil,0)),""))</f>
        <v/>
      </c>
      <c r="L237" s="13">
        <f>IF($D237="","",IFERROR(INDEX(Profile!$K$5:$K$304,MATCH($D237,lst_Profil,0))+0,""))</f>
        <v/>
      </c>
      <c r="M237" s="26">
        <f>IF($D237="","",IFERROR(INDEX(Profile!$E$5:$E$304,MATCH($D237,lst_Profil,0))+0,""))</f>
        <v/>
      </c>
      <c r="N237" s="27">
        <f>IF(OR(L237="",$E237=""),"",IFERROR(L237*INDEX(Werkstoffe!$E$5:$E$304,MATCH($E237,lst_Werkstoff,0))/1000,""))</f>
        <v/>
      </c>
      <c r="O237" s="27">
        <f>IF(OR(N237="",$F237=""),"",N237*$F237/1000)</f>
        <v/>
      </c>
      <c r="P237" s="16">
        <f>IF(OR($F237="",$G237=""),"",$F237*$G237)</f>
        <v/>
      </c>
      <c r="Q237" s="16">
        <f>IF($D237="","",IF($J237&lt;&gt;"",$J237,$C$9))</f>
        <v/>
      </c>
      <c r="R237" s="12">
        <f>IF($D237="","",IFERROR(IF(INDEX(Profile!$G$5:$G$304,MATCH($D237,lst_Profil,0))&lt;&gt;"",INDEX(Profile!$G$5:$G$304,MATCH($D237,lst_Profil,0)),$H$4),$H$4))</f>
        <v/>
      </c>
      <c r="S237" s="12">
        <f>IF($D237="","",IFERROR(IF(INDEX(Profile!$H$5:$H$304,MATCH($D237,lst_Profil,0))&lt;&gt;"",INDEX(Profile!$H$5:$H$304,MATCH($D237,lst_Profil,0)),$H$5),$H$5))</f>
        <v/>
      </c>
      <c r="T237" s="16">
        <f>IF(OR(Q237="",NOT(ISNUMBER(R237)),NOT(ISNUMBER(S237))),"",Q237-R237-S237)</f>
        <v/>
      </c>
      <c r="U237" s="28">
        <f>IF(OR($D237="",$E237=""),"",IF(OR(N($AP237)&gt;0,COUNTIFS(Preise!$A$5:$A$304,$D237,Preise!$B$5:$B$304,$E237,Preise!$I$5:$I$304,"OK")&gt;0,N(INDEX(Werkstoffe!$G$5:$G$304,MATCH($E237,lst_Werkstoff,0)))&gt;0),"ja","nein"))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28">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Materialpreis",IF(AND($AQ237&lt;&gt;"",N($AR237)&gt;0,MOD($G237,$AR237)&lt;&gt;0),"WARNUNG: Stückzahl ist kein Vielfaches von Stück je Satz",IF($H237="","HINWEIS: Schneidweg fehlt",IF(V237="","HINWEIS: keine Schneiddaten",IF(AND($AF237&lt;&gt;"",$AG237=""),"HINWEIS: Gewinde-Vorschlag prüfen","OK")))))))))))))))</f>
        <v/>
      </c>
      <c r="X237" s="18">
        <f>IF(OR(O237="",$G237=""),"",O237*$G237)</f>
        <v/>
      </c>
      <c r="Y237" s="9" t="n"/>
      <c r="Z237" s="23" t="n"/>
      <c r="AA237" s="9" t="n"/>
      <c r="AB237" s="23" t="n"/>
      <c r="AC237" s="23" t="n"/>
      <c r="AD237" s="23" t="n"/>
      <c r="AE237" s="9" t="n"/>
      <c r="AF237" s="9" t="n"/>
      <c r="AG237" s="9" t="n"/>
      <c r="AH237" s="24" t="n"/>
      <c r="AI237" s="23" t="n"/>
      <c r="AJ237" s="24" t="n"/>
      <c r="AK237" s="23" t="n"/>
      <c r="AL237" s="24" t="n"/>
      <c r="AM237" s="23" t="n"/>
      <c r="AN237" s="28">
        <f>IF($D237="","",COUNTIFS(Stangenbelegung!$E$5:$E$10004,ROW()))</f>
        <v/>
      </c>
      <c r="AO237" s="28">
        <f>IF(OR($G237="",COUNTA(Stangenbelegung!$A$5:$A$10004)=0),"",$G237-AN237)</f>
        <v/>
      </c>
      <c r="AP237" s="29" t="n"/>
      <c r="AQ237" s="9" t="n"/>
      <c r="AR237" s="19" t="n"/>
    </row>
    <row r="238">
      <c r="A238" s="9" t="n"/>
      <c r="B238" s="9" t="n"/>
      <c r="C238" s="9" t="n"/>
      <c r="D238" s="9" t="n"/>
      <c r="E238" s="9" t="n"/>
      <c r="F238" s="23" t="n"/>
      <c r="G238" s="19" t="n"/>
      <c r="H238" s="23" t="n"/>
      <c r="I238" s="24" t="n"/>
      <c r="J238" s="19" t="n"/>
      <c r="K238" s="25">
        <f>IF($D238="","",IFERROR(INDEX(Profile!$B$5:$B$304,MATCH($D238,lst_Profil,0)),""))</f>
        <v/>
      </c>
      <c r="L238" s="13">
        <f>IF($D238="","",IFERROR(INDEX(Profile!$K$5:$K$304,MATCH($D238,lst_Profil,0))+0,""))</f>
        <v/>
      </c>
      <c r="M238" s="26">
        <f>IF($D238="","",IFERROR(INDEX(Profile!$E$5:$E$304,MATCH($D238,lst_Profil,0))+0,""))</f>
        <v/>
      </c>
      <c r="N238" s="27">
        <f>IF(OR(L238="",$E238=""),"",IFERROR(L238*INDEX(Werkstoffe!$E$5:$E$304,MATCH($E238,lst_Werkstoff,0))/1000,""))</f>
        <v/>
      </c>
      <c r="O238" s="27">
        <f>IF(OR(N238="",$F238=""),"",N238*$F238/1000)</f>
        <v/>
      </c>
      <c r="P238" s="16">
        <f>IF(OR($F238="",$G238=""),"",$F238*$G238)</f>
        <v/>
      </c>
      <c r="Q238" s="16">
        <f>IF($D238="","",IF($J238&lt;&gt;"",$J238,$C$9))</f>
        <v/>
      </c>
      <c r="R238" s="12">
        <f>IF($D238="","",IFERROR(IF(INDEX(Profile!$G$5:$G$304,MATCH($D238,lst_Profil,0))&lt;&gt;"",INDEX(Profile!$G$5:$G$304,MATCH($D238,lst_Profil,0)),$H$4),$H$4))</f>
        <v/>
      </c>
      <c r="S238" s="12">
        <f>IF($D238="","",IFERROR(IF(INDEX(Profile!$H$5:$H$304,MATCH($D238,lst_Profil,0))&lt;&gt;"",INDEX(Profile!$H$5:$H$304,MATCH($D238,lst_Profil,0)),$H$5),$H$5))</f>
        <v/>
      </c>
      <c r="T238" s="16">
        <f>IF(OR(Q238="",NOT(ISNUMBER(R238)),NOT(ISNUMBER(S238))),"",Q238-R238-S238)</f>
        <v/>
      </c>
      <c r="U238" s="28">
        <f>IF(OR($D238="",$E238=""),"",IF(OR(N($AP238)&gt;0,COUNTIFS(Preise!$A$5:$A$304,$D238,Preise!$B$5:$B$304,$E238,Preise!$I$5:$I$304,"OK")&gt;0,N(INDEX(Werkstoffe!$G$5:$G$304,MATCH($E238,lst_Werkstoff,0)))&gt;0),"ja","nein"))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28">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Materialpreis",IF(AND($AQ238&lt;&gt;"",N($AR238)&gt;0,MOD($G238,$AR238)&lt;&gt;0),"WARNUNG: Stückzahl ist kein Vielfaches von Stück je Satz",IF($H238="","HINWEIS: Schneidweg fehlt",IF(V238="","HINWEIS: keine Schneiddaten",IF(AND($AF238&lt;&gt;"",$AG238=""),"HINWEIS: Gewinde-Vorschlag prüfen","OK")))))))))))))))</f>
        <v/>
      </c>
      <c r="X238" s="18">
        <f>IF(OR(O238="",$G238=""),"",O238*$G238)</f>
        <v/>
      </c>
      <c r="Y238" s="9" t="n"/>
      <c r="Z238" s="23" t="n"/>
      <c r="AA238" s="9" t="n"/>
      <c r="AB238" s="23" t="n"/>
      <c r="AC238" s="23" t="n"/>
      <c r="AD238" s="23" t="n"/>
      <c r="AE238" s="9" t="n"/>
      <c r="AF238" s="9" t="n"/>
      <c r="AG238" s="9" t="n"/>
      <c r="AH238" s="24" t="n"/>
      <c r="AI238" s="23" t="n"/>
      <c r="AJ238" s="24" t="n"/>
      <c r="AK238" s="23" t="n"/>
      <c r="AL238" s="24" t="n"/>
      <c r="AM238" s="23" t="n"/>
      <c r="AN238" s="28">
        <f>IF($D238="","",COUNTIFS(Stangenbelegung!$E$5:$E$10004,ROW()))</f>
        <v/>
      </c>
      <c r="AO238" s="28">
        <f>IF(OR($G238="",COUNTA(Stangenbelegung!$A$5:$A$10004)=0),"",$G238-AN238)</f>
        <v/>
      </c>
      <c r="AP238" s="29" t="n"/>
      <c r="AQ238" s="9" t="n"/>
      <c r="AR238" s="19" t="n"/>
    </row>
    <row r="239">
      <c r="A239" s="9" t="n"/>
      <c r="B239" s="9" t="n"/>
      <c r="C239" s="9" t="n"/>
      <c r="D239" s="9" t="n"/>
      <c r="E239" s="9" t="n"/>
      <c r="F239" s="23" t="n"/>
      <c r="G239" s="19" t="n"/>
      <c r="H239" s="23" t="n"/>
      <c r="I239" s="24" t="n"/>
      <c r="J239" s="19" t="n"/>
      <c r="K239" s="25">
        <f>IF($D239="","",IFERROR(INDEX(Profile!$B$5:$B$304,MATCH($D239,lst_Profil,0)),""))</f>
        <v/>
      </c>
      <c r="L239" s="13">
        <f>IF($D239="","",IFERROR(INDEX(Profile!$K$5:$K$304,MATCH($D239,lst_Profil,0))+0,""))</f>
        <v/>
      </c>
      <c r="M239" s="26">
        <f>IF($D239="","",IFERROR(INDEX(Profile!$E$5:$E$304,MATCH($D239,lst_Profil,0))+0,""))</f>
        <v/>
      </c>
      <c r="N239" s="27">
        <f>IF(OR(L239="",$E239=""),"",IFERROR(L239*INDEX(Werkstoffe!$E$5:$E$304,MATCH($E239,lst_Werkstoff,0))/1000,""))</f>
        <v/>
      </c>
      <c r="O239" s="27">
        <f>IF(OR(N239="",$F239=""),"",N239*$F239/1000)</f>
        <v/>
      </c>
      <c r="P239" s="16">
        <f>IF(OR($F239="",$G239=""),"",$F239*$G239)</f>
        <v/>
      </c>
      <c r="Q239" s="16">
        <f>IF($D239="","",IF($J239&lt;&gt;"",$J239,$C$9))</f>
        <v/>
      </c>
      <c r="R239" s="12">
        <f>IF($D239="","",IFERROR(IF(INDEX(Profile!$G$5:$G$304,MATCH($D239,lst_Profil,0))&lt;&gt;"",INDEX(Profile!$G$5:$G$304,MATCH($D239,lst_Profil,0)),$H$4),$H$4))</f>
        <v/>
      </c>
      <c r="S239" s="12">
        <f>IF($D239="","",IFERROR(IF(INDEX(Profile!$H$5:$H$304,MATCH($D239,lst_Profil,0))&lt;&gt;"",INDEX(Profile!$H$5:$H$304,MATCH($D239,lst_Profil,0)),$H$5),$H$5))</f>
        <v/>
      </c>
      <c r="T239" s="16">
        <f>IF(OR(Q239="",NOT(ISNUMBER(R239)),NOT(ISNUMBER(S239))),"",Q239-R239-S239)</f>
        <v/>
      </c>
      <c r="U239" s="28">
        <f>IF(OR($D239="",$E239=""),"",IF(OR(N($AP239)&gt;0,COUNTIFS(Preise!$A$5:$A$304,$D239,Preise!$B$5:$B$304,$E239,Preise!$I$5:$I$304,"OK")&gt;0,N(INDEX(Werkstoffe!$G$5:$G$304,MATCH($E239,lst_Werkstoff,0)))&gt;0),"ja","nein"))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28">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Materialpreis",IF(AND($AQ239&lt;&gt;"",N($AR239)&gt;0,MOD($G239,$AR239)&lt;&gt;0),"WARNUNG: Stückzahl ist kein Vielfaches von Stück je Satz",IF($H239="","HINWEIS: Schneidweg fehlt",IF(V239="","HINWEIS: keine Schneiddaten",IF(AND($AF239&lt;&gt;"",$AG239=""),"HINWEIS: Gewinde-Vorschlag prüfen","OK")))))))))))))))</f>
        <v/>
      </c>
      <c r="X239" s="18">
        <f>IF(OR(O239="",$G239=""),"",O239*$G239)</f>
        <v/>
      </c>
      <c r="Y239" s="9" t="n"/>
      <c r="Z239" s="23" t="n"/>
      <c r="AA239" s="9" t="n"/>
      <c r="AB239" s="23" t="n"/>
      <c r="AC239" s="23" t="n"/>
      <c r="AD239" s="23" t="n"/>
      <c r="AE239" s="9" t="n"/>
      <c r="AF239" s="9" t="n"/>
      <c r="AG239" s="9" t="n"/>
      <c r="AH239" s="24" t="n"/>
      <c r="AI239" s="23" t="n"/>
      <c r="AJ239" s="24" t="n"/>
      <c r="AK239" s="23" t="n"/>
      <c r="AL239" s="24" t="n"/>
      <c r="AM239" s="23" t="n"/>
      <c r="AN239" s="28">
        <f>IF($D239="","",COUNTIFS(Stangenbelegung!$E$5:$E$10004,ROW()))</f>
        <v/>
      </c>
      <c r="AO239" s="28">
        <f>IF(OR($G239="",COUNTA(Stangenbelegung!$A$5:$A$10004)=0),"",$G239-AN239)</f>
        <v/>
      </c>
      <c r="AP239" s="29" t="n"/>
      <c r="AQ239" s="9" t="n"/>
      <c r="AR239" s="19" t="n"/>
    </row>
    <row r="240">
      <c r="A240" s="9" t="n"/>
      <c r="B240" s="9" t="n"/>
      <c r="C240" s="9" t="n"/>
      <c r="D240" s="9" t="n"/>
      <c r="E240" s="9" t="n"/>
      <c r="F240" s="23" t="n"/>
      <c r="G240" s="19" t="n"/>
      <c r="H240" s="23" t="n"/>
      <c r="I240" s="24" t="n"/>
      <c r="J240" s="19" t="n"/>
      <c r="K240" s="25">
        <f>IF($D240="","",IFERROR(INDEX(Profile!$B$5:$B$304,MATCH($D240,lst_Profil,0)),""))</f>
        <v/>
      </c>
      <c r="L240" s="13">
        <f>IF($D240="","",IFERROR(INDEX(Profile!$K$5:$K$304,MATCH($D240,lst_Profil,0))+0,""))</f>
        <v/>
      </c>
      <c r="M240" s="26">
        <f>IF($D240="","",IFERROR(INDEX(Profile!$E$5:$E$304,MATCH($D240,lst_Profil,0))+0,""))</f>
        <v/>
      </c>
      <c r="N240" s="27">
        <f>IF(OR(L240="",$E240=""),"",IFERROR(L240*INDEX(Werkstoffe!$E$5:$E$304,MATCH($E240,lst_Werkstoff,0))/1000,""))</f>
        <v/>
      </c>
      <c r="O240" s="27">
        <f>IF(OR(N240="",$F240=""),"",N240*$F240/1000)</f>
        <v/>
      </c>
      <c r="P240" s="16">
        <f>IF(OR($F240="",$G240=""),"",$F240*$G240)</f>
        <v/>
      </c>
      <c r="Q240" s="16">
        <f>IF($D240="","",IF($J240&lt;&gt;"",$J240,$C$9))</f>
        <v/>
      </c>
      <c r="R240" s="12">
        <f>IF($D240="","",IFERROR(IF(INDEX(Profile!$G$5:$G$304,MATCH($D240,lst_Profil,0))&lt;&gt;"",INDEX(Profile!$G$5:$G$304,MATCH($D240,lst_Profil,0)),$H$4),$H$4))</f>
        <v/>
      </c>
      <c r="S240" s="12">
        <f>IF($D240="","",IFERROR(IF(INDEX(Profile!$H$5:$H$304,MATCH($D240,lst_Profil,0))&lt;&gt;"",INDEX(Profile!$H$5:$H$304,MATCH($D240,lst_Profil,0)),$H$5),$H$5))</f>
        <v/>
      </c>
      <c r="T240" s="16">
        <f>IF(OR(Q240="",NOT(ISNUMBER(R240)),NOT(ISNUMBER(S240))),"",Q240-R240-S240)</f>
        <v/>
      </c>
      <c r="U240" s="28">
        <f>IF(OR($D240="",$E240=""),"",IF(OR(N($AP240)&gt;0,COUNTIFS(Preise!$A$5:$A$304,$D240,Preise!$B$5:$B$304,$E240,Preise!$I$5:$I$304,"OK")&gt;0,N(INDEX(Werkstoffe!$G$5:$G$304,MATCH($E240,lst_Werkstoff,0)))&gt;0),"ja","nein"))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28">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Materialpreis",IF(AND($AQ240&lt;&gt;"",N($AR240)&gt;0,MOD($G240,$AR240)&lt;&gt;0),"WARNUNG: Stückzahl ist kein Vielfaches von Stück je Satz",IF($H240="","HINWEIS: Schneidweg fehlt",IF(V240="","HINWEIS: keine Schneiddaten",IF(AND($AF240&lt;&gt;"",$AG240=""),"HINWEIS: Gewinde-Vorschlag prüfen","OK")))))))))))))))</f>
        <v/>
      </c>
      <c r="X240" s="18">
        <f>IF(OR(O240="",$G240=""),"",O240*$G240)</f>
        <v/>
      </c>
      <c r="Y240" s="9" t="n"/>
      <c r="Z240" s="23" t="n"/>
      <c r="AA240" s="9" t="n"/>
      <c r="AB240" s="23" t="n"/>
      <c r="AC240" s="23" t="n"/>
      <c r="AD240" s="23" t="n"/>
      <c r="AE240" s="9" t="n"/>
      <c r="AF240" s="9" t="n"/>
      <c r="AG240" s="9" t="n"/>
      <c r="AH240" s="24" t="n"/>
      <c r="AI240" s="23" t="n"/>
      <c r="AJ240" s="24" t="n"/>
      <c r="AK240" s="23" t="n"/>
      <c r="AL240" s="24" t="n"/>
      <c r="AM240" s="23" t="n"/>
      <c r="AN240" s="28">
        <f>IF($D240="","",COUNTIFS(Stangenbelegung!$E$5:$E$10004,ROW()))</f>
        <v/>
      </c>
      <c r="AO240" s="28">
        <f>IF(OR($G240="",COUNTA(Stangenbelegung!$A$5:$A$10004)=0),"",$G240-AN240)</f>
        <v/>
      </c>
      <c r="AP240" s="29" t="n"/>
      <c r="AQ240" s="9" t="n"/>
      <c r="AR240" s="19" t="n"/>
    </row>
    <row r="241">
      <c r="A241" s="9" t="n"/>
      <c r="B241" s="9" t="n"/>
      <c r="C241" s="9" t="n"/>
      <c r="D241" s="9" t="n"/>
      <c r="E241" s="9" t="n"/>
      <c r="F241" s="23" t="n"/>
      <c r="G241" s="19" t="n"/>
      <c r="H241" s="23" t="n"/>
      <c r="I241" s="24" t="n"/>
      <c r="J241" s="19" t="n"/>
      <c r="K241" s="25">
        <f>IF($D241="","",IFERROR(INDEX(Profile!$B$5:$B$304,MATCH($D241,lst_Profil,0)),""))</f>
        <v/>
      </c>
      <c r="L241" s="13">
        <f>IF($D241="","",IFERROR(INDEX(Profile!$K$5:$K$304,MATCH($D241,lst_Profil,0))+0,""))</f>
        <v/>
      </c>
      <c r="M241" s="26">
        <f>IF($D241="","",IFERROR(INDEX(Profile!$E$5:$E$304,MATCH($D241,lst_Profil,0))+0,""))</f>
        <v/>
      </c>
      <c r="N241" s="27">
        <f>IF(OR(L241="",$E241=""),"",IFERROR(L241*INDEX(Werkstoffe!$E$5:$E$304,MATCH($E241,lst_Werkstoff,0))/1000,""))</f>
        <v/>
      </c>
      <c r="O241" s="27">
        <f>IF(OR(N241="",$F241=""),"",N241*$F241/1000)</f>
        <v/>
      </c>
      <c r="P241" s="16">
        <f>IF(OR($F241="",$G241=""),"",$F241*$G241)</f>
        <v/>
      </c>
      <c r="Q241" s="16">
        <f>IF($D241="","",IF($J241&lt;&gt;"",$J241,$C$9))</f>
        <v/>
      </c>
      <c r="R241" s="12">
        <f>IF($D241="","",IFERROR(IF(INDEX(Profile!$G$5:$G$304,MATCH($D241,lst_Profil,0))&lt;&gt;"",INDEX(Profile!$G$5:$G$304,MATCH($D241,lst_Profil,0)),$H$4),$H$4))</f>
        <v/>
      </c>
      <c r="S241" s="12">
        <f>IF($D241="","",IFERROR(IF(INDEX(Profile!$H$5:$H$304,MATCH($D241,lst_Profil,0))&lt;&gt;"",INDEX(Profile!$H$5:$H$304,MATCH($D241,lst_Profil,0)),$H$5),$H$5))</f>
        <v/>
      </c>
      <c r="T241" s="16">
        <f>IF(OR(Q241="",NOT(ISNUMBER(R241)),NOT(ISNUMBER(S241))),"",Q241-R241-S241)</f>
        <v/>
      </c>
      <c r="U241" s="28">
        <f>IF(OR($D241="",$E241=""),"",IF(OR(N($AP241)&gt;0,COUNTIFS(Preise!$A$5:$A$304,$D241,Preise!$B$5:$B$304,$E241,Preise!$I$5:$I$304,"OK")&gt;0,N(INDEX(Werkstoffe!$G$5:$G$304,MATCH($E241,lst_Werkstoff,0)))&gt;0),"ja","nein"))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28">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Materialpreis",IF(AND($AQ241&lt;&gt;"",N($AR241)&gt;0,MOD($G241,$AR241)&lt;&gt;0),"WARNUNG: Stückzahl ist kein Vielfaches von Stück je Satz",IF($H241="","HINWEIS: Schneidweg fehlt",IF(V241="","HINWEIS: keine Schneiddaten",IF(AND($AF241&lt;&gt;"",$AG241=""),"HINWEIS: Gewinde-Vorschlag prüfen","OK")))))))))))))))</f>
        <v/>
      </c>
      <c r="X241" s="18">
        <f>IF(OR(O241="",$G241=""),"",O241*$G241)</f>
        <v/>
      </c>
      <c r="Y241" s="9" t="n"/>
      <c r="Z241" s="23" t="n"/>
      <c r="AA241" s="9" t="n"/>
      <c r="AB241" s="23" t="n"/>
      <c r="AC241" s="23" t="n"/>
      <c r="AD241" s="23" t="n"/>
      <c r="AE241" s="9" t="n"/>
      <c r="AF241" s="9" t="n"/>
      <c r="AG241" s="9" t="n"/>
      <c r="AH241" s="24" t="n"/>
      <c r="AI241" s="23" t="n"/>
      <c r="AJ241" s="24" t="n"/>
      <c r="AK241" s="23" t="n"/>
      <c r="AL241" s="24" t="n"/>
      <c r="AM241" s="23" t="n"/>
      <c r="AN241" s="28">
        <f>IF($D241="","",COUNTIFS(Stangenbelegung!$E$5:$E$10004,ROW()))</f>
        <v/>
      </c>
      <c r="AO241" s="28">
        <f>IF(OR($G241="",COUNTA(Stangenbelegung!$A$5:$A$10004)=0),"",$G241-AN241)</f>
        <v/>
      </c>
      <c r="AP241" s="29" t="n"/>
      <c r="AQ241" s="9" t="n"/>
      <c r="AR241" s="19" t="n"/>
    </row>
    <row r="242">
      <c r="A242" s="9" t="n"/>
      <c r="B242" s="9" t="n"/>
      <c r="C242" s="9" t="n"/>
      <c r="D242" s="9" t="n"/>
      <c r="E242" s="9" t="n"/>
      <c r="F242" s="23" t="n"/>
      <c r="G242" s="19" t="n"/>
      <c r="H242" s="23" t="n"/>
      <c r="I242" s="24" t="n"/>
      <c r="J242" s="19" t="n"/>
      <c r="K242" s="25">
        <f>IF($D242="","",IFERROR(INDEX(Profile!$B$5:$B$304,MATCH($D242,lst_Profil,0)),""))</f>
        <v/>
      </c>
      <c r="L242" s="13">
        <f>IF($D242="","",IFERROR(INDEX(Profile!$K$5:$K$304,MATCH($D242,lst_Profil,0))+0,""))</f>
        <v/>
      </c>
      <c r="M242" s="26">
        <f>IF($D242="","",IFERROR(INDEX(Profile!$E$5:$E$304,MATCH($D242,lst_Profil,0))+0,""))</f>
        <v/>
      </c>
      <c r="N242" s="27">
        <f>IF(OR(L242="",$E242=""),"",IFERROR(L242*INDEX(Werkstoffe!$E$5:$E$304,MATCH($E242,lst_Werkstoff,0))/1000,""))</f>
        <v/>
      </c>
      <c r="O242" s="27">
        <f>IF(OR(N242="",$F242=""),"",N242*$F242/1000)</f>
        <v/>
      </c>
      <c r="P242" s="16">
        <f>IF(OR($F242="",$G242=""),"",$F242*$G242)</f>
        <v/>
      </c>
      <c r="Q242" s="16">
        <f>IF($D242="","",IF($J242&lt;&gt;"",$J242,$C$9))</f>
        <v/>
      </c>
      <c r="R242" s="12">
        <f>IF($D242="","",IFERROR(IF(INDEX(Profile!$G$5:$G$304,MATCH($D242,lst_Profil,0))&lt;&gt;"",INDEX(Profile!$G$5:$G$304,MATCH($D242,lst_Profil,0)),$H$4),$H$4))</f>
        <v/>
      </c>
      <c r="S242" s="12">
        <f>IF($D242="","",IFERROR(IF(INDEX(Profile!$H$5:$H$304,MATCH($D242,lst_Profil,0))&lt;&gt;"",INDEX(Profile!$H$5:$H$304,MATCH($D242,lst_Profil,0)),$H$5),$H$5))</f>
        <v/>
      </c>
      <c r="T242" s="16">
        <f>IF(OR(Q242="",NOT(ISNUMBER(R242)),NOT(ISNUMBER(S242))),"",Q242-R242-S242)</f>
        <v/>
      </c>
      <c r="U242" s="28">
        <f>IF(OR($D242="",$E242=""),"",IF(OR(N($AP242)&gt;0,COUNTIFS(Preise!$A$5:$A$304,$D242,Preise!$B$5:$B$304,$E242,Preise!$I$5:$I$304,"OK")&gt;0,N(INDEX(Werkstoffe!$G$5:$G$304,MATCH($E242,lst_Werkstoff,0)))&gt;0),"ja","nein"))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28">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Materialpreis",IF(AND($AQ242&lt;&gt;"",N($AR242)&gt;0,MOD($G242,$AR242)&lt;&gt;0),"WARNUNG: Stückzahl ist kein Vielfaches von Stück je Satz",IF($H242="","HINWEIS: Schneidweg fehlt",IF(V242="","HINWEIS: keine Schneiddaten",IF(AND($AF242&lt;&gt;"",$AG242=""),"HINWEIS: Gewinde-Vorschlag prüfen","OK")))))))))))))))</f>
        <v/>
      </c>
      <c r="X242" s="18">
        <f>IF(OR(O242="",$G242=""),"",O242*$G242)</f>
        <v/>
      </c>
      <c r="Y242" s="9" t="n"/>
      <c r="Z242" s="23" t="n"/>
      <c r="AA242" s="9" t="n"/>
      <c r="AB242" s="23" t="n"/>
      <c r="AC242" s="23" t="n"/>
      <c r="AD242" s="23" t="n"/>
      <c r="AE242" s="9" t="n"/>
      <c r="AF242" s="9" t="n"/>
      <c r="AG242" s="9" t="n"/>
      <c r="AH242" s="24" t="n"/>
      <c r="AI242" s="23" t="n"/>
      <c r="AJ242" s="24" t="n"/>
      <c r="AK242" s="23" t="n"/>
      <c r="AL242" s="24" t="n"/>
      <c r="AM242" s="23" t="n"/>
      <c r="AN242" s="28">
        <f>IF($D242="","",COUNTIFS(Stangenbelegung!$E$5:$E$10004,ROW()))</f>
        <v/>
      </c>
      <c r="AO242" s="28">
        <f>IF(OR($G242="",COUNTA(Stangenbelegung!$A$5:$A$10004)=0),"",$G242-AN242)</f>
        <v/>
      </c>
      <c r="AP242" s="29" t="n"/>
      <c r="AQ242" s="9" t="n"/>
      <c r="AR242" s="19" t="n"/>
    </row>
    <row r="243">
      <c r="A243" s="9" t="n"/>
      <c r="B243" s="9" t="n"/>
      <c r="C243" s="9" t="n"/>
      <c r="D243" s="9" t="n"/>
      <c r="E243" s="9" t="n"/>
      <c r="F243" s="23" t="n"/>
      <c r="G243" s="19" t="n"/>
      <c r="H243" s="23" t="n"/>
      <c r="I243" s="24" t="n"/>
      <c r="J243" s="19" t="n"/>
      <c r="K243" s="25">
        <f>IF($D243="","",IFERROR(INDEX(Profile!$B$5:$B$304,MATCH($D243,lst_Profil,0)),""))</f>
        <v/>
      </c>
      <c r="L243" s="13">
        <f>IF($D243="","",IFERROR(INDEX(Profile!$K$5:$K$304,MATCH($D243,lst_Profil,0))+0,""))</f>
        <v/>
      </c>
      <c r="M243" s="26">
        <f>IF($D243="","",IFERROR(INDEX(Profile!$E$5:$E$304,MATCH($D243,lst_Profil,0))+0,""))</f>
        <v/>
      </c>
      <c r="N243" s="27">
        <f>IF(OR(L243="",$E243=""),"",IFERROR(L243*INDEX(Werkstoffe!$E$5:$E$304,MATCH($E243,lst_Werkstoff,0))/1000,""))</f>
        <v/>
      </c>
      <c r="O243" s="27">
        <f>IF(OR(N243="",$F243=""),"",N243*$F243/1000)</f>
        <v/>
      </c>
      <c r="P243" s="16">
        <f>IF(OR($F243="",$G243=""),"",$F243*$G243)</f>
        <v/>
      </c>
      <c r="Q243" s="16">
        <f>IF($D243="","",IF($J243&lt;&gt;"",$J243,$C$9))</f>
        <v/>
      </c>
      <c r="R243" s="12">
        <f>IF($D243="","",IFERROR(IF(INDEX(Profile!$G$5:$G$304,MATCH($D243,lst_Profil,0))&lt;&gt;"",INDEX(Profile!$G$5:$G$304,MATCH($D243,lst_Profil,0)),$H$4),$H$4))</f>
        <v/>
      </c>
      <c r="S243" s="12">
        <f>IF($D243="","",IFERROR(IF(INDEX(Profile!$H$5:$H$304,MATCH($D243,lst_Profil,0))&lt;&gt;"",INDEX(Profile!$H$5:$H$304,MATCH($D243,lst_Profil,0)),$H$5),$H$5))</f>
        <v/>
      </c>
      <c r="T243" s="16">
        <f>IF(OR(Q243="",NOT(ISNUMBER(R243)),NOT(ISNUMBER(S243))),"",Q243-R243-S243)</f>
        <v/>
      </c>
      <c r="U243" s="28">
        <f>IF(OR($D243="",$E243=""),"",IF(OR(N($AP243)&gt;0,COUNTIFS(Preise!$A$5:$A$304,$D243,Preise!$B$5:$B$304,$E243,Preise!$I$5:$I$304,"OK")&gt;0,N(INDEX(Werkstoffe!$G$5:$G$304,MATCH($E243,lst_Werkstoff,0)))&gt;0),"ja","nein"))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28">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Materialpreis",IF(AND($AQ243&lt;&gt;"",N($AR243)&gt;0,MOD($G243,$AR243)&lt;&gt;0),"WARNUNG: Stückzahl ist kein Vielfaches von Stück je Satz",IF($H243="","HINWEIS: Schneidweg fehlt",IF(V243="","HINWEIS: keine Schneiddaten",IF(AND($AF243&lt;&gt;"",$AG243=""),"HINWEIS: Gewinde-Vorschlag prüfen","OK")))))))))))))))</f>
        <v/>
      </c>
      <c r="X243" s="18">
        <f>IF(OR(O243="",$G243=""),"",O243*$G243)</f>
        <v/>
      </c>
      <c r="Y243" s="9" t="n"/>
      <c r="Z243" s="23" t="n"/>
      <c r="AA243" s="9" t="n"/>
      <c r="AB243" s="23" t="n"/>
      <c r="AC243" s="23" t="n"/>
      <c r="AD243" s="23" t="n"/>
      <c r="AE243" s="9" t="n"/>
      <c r="AF243" s="9" t="n"/>
      <c r="AG243" s="9" t="n"/>
      <c r="AH243" s="24" t="n"/>
      <c r="AI243" s="23" t="n"/>
      <c r="AJ243" s="24" t="n"/>
      <c r="AK243" s="23" t="n"/>
      <c r="AL243" s="24" t="n"/>
      <c r="AM243" s="23" t="n"/>
      <c r="AN243" s="28">
        <f>IF($D243="","",COUNTIFS(Stangenbelegung!$E$5:$E$10004,ROW()))</f>
        <v/>
      </c>
      <c r="AO243" s="28">
        <f>IF(OR($G243="",COUNTA(Stangenbelegung!$A$5:$A$10004)=0),"",$G243-AN243)</f>
        <v/>
      </c>
      <c r="AP243" s="29" t="n"/>
      <c r="AQ243" s="9" t="n"/>
      <c r="AR243" s="19" t="n"/>
    </row>
    <row r="244">
      <c r="A244" s="9" t="n"/>
      <c r="B244" s="9" t="n"/>
      <c r="C244" s="9" t="n"/>
      <c r="D244" s="9" t="n"/>
      <c r="E244" s="9" t="n"/>
      <c r="F244" s="23" t="n"/>
      <c r="G244" s="19" t="n"/>
      <c r="H244" s="23" t="n"/>
      <c r="I244" s="24" t="n"/>
      <c r="J244" s="19" t="n"/>
      <c r="K244" s="25">
        <f>IF($D244="","",IFERROR(INDEX(Profile!$B$5:$B$304,MATCH($D244,lst_Profil,0)),""))</f>
        <v/>
      </c>
      <c r="L244" s="13">
        <f>IF($D244="","",IFERROR(INDEX(Profile!$K$5:$K$304,MATCH($D244,lst_Profil,0))+0,""))</f>
        <v/>
      </c>
      <c r="M244" s="26">
        <f>IF($D244="","",IFERROR(INDEX(Profile!$E$5:$E$304,MATCH($D244,lst_Profil,0))+0,""))</f>
        <v/>
      </c>
      <c r="N244" s="27">
        <f>IF(OR(L244="",$E244=""),"",IFERROR(L244*INDEX(Werkstoffe!$E$5:$E$304,MATCH($E244,lst_Werkstoff,0))/1000,""))</f>
        <v/>
      </c>
      <c r="O244" s="27">
        <f>IF(OR(N244="",$F244=""),"",N244*$F244/1000)</f>
        <v/>
      </c>
      <c r="P244" s="16">
        <f>IF(OR($F244="",$G244=""),"",$F244*$G244)</f>
        <v/>
      </c>
      <c r="Q244" s="16">
        <f>IF($D244="","",IF($J244&lt;&gt;"",$J244,$C$9))</f>
        <v/>
      </c>
      <c r="R244" s="12">
        <f>IF($D244="","",IFERROR(IF(INDEX(Profile!$G$5:$G$304,MATCH($D244,lst_Profil,0))&lt;&gt;"",INDEX(Profile!$G$5:$G$304,MATCH($D244,lst_Profil,0)),$H$4),$H$4))</f>
        <v/>
      </c>
      <c r="S244" s="12">
        <f>IF($D244="","",IFERROR(IF(INDEX(Profile!$H$5:$H$304,MATCH($D244,lst_Profil,0))&lt;&gt;"",INDEX(Profile!$H$5:$H$304,MATCH($D244,lst_Profil,0)),$H$5),$H$5))</f>
        <v/>
      </c>
      <c r="T244" s="16">
        <f>IF(OR(Q244="",NOT(ISNUMBER(R244)),NOT(ISNUMBER(S244))),"",Q244-R244-S244)</f>
        <v/>
      </c>
      <c r="U244" s="28">
        <f>IF(OR($D244="",$E244=""),"",IF(OR(N($AP244)&gt;0,COUNTIFS(Preise!$A$5:$A$304,$D244,Preise!$B$5:$B$304,$E244,Preise!$I$5:$I$304,"OK")&gt;0,N(INDEX(Werkstoffe!$G$5:$G$304,MATCH($E244,lst_Werkstoff,0)))&gt;0),"ja","nein"))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28">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Materialpreis",IF(AND($AQ244&lt;&gt;"",N($AR244)&gt;0,MOD($G244,$AR244)&lt;&gt;0),"WARNUNG: Stückzahl ist kein Vielfaches von Stück je Satz",IF($H244="","HINWEIS: Schneidweg fehlt",IF(V244="","HINWEIS: keine Schneiddaten",IF(AND($AF244&lt;&gt;"",$AG244=""),"HINWEIS: Gewinde-Vorschlag prüfen","OK")))))))))))))))</f>
        <v/>
      </c>
      <c r="X244" s="18">
        <f>IF(OR(O244="",$G244=""),"",O244*$G244)</f>
        <v/>
      </c>
      <c r="Y244" s="9" t="n"/>
      <c r="Z244" s="23" t="n"/>
      <c r="AA244" s="9" t="n"/>
      <c r="AB244" s="23" t="n"/>
      <c r="AC244" s="23" t="n"/>
      <c r="AD244" s="23" t="n"/>
      <c r="AE244" s="9" t="n"/>
      <c r="AF244" s="9" t="n"/>
      <c r="AG244" s="9" t="n"/>
      <c r="AH244" s="24" t="n"/>
      <c r="AI244" s="23" t="n"/>
      <c r="AJ244" s="24" t="n"/>
      <c r="AK244" s="23" t="n"/>
      <c r="AL244" s="24" t="n"/>
      <c r="AM244" s="23" t="n"/>
      <c r="AN244" s="28">
        <f>IF($D244="","",COUNTIFS(Stangenbelegung!$E$5:$E$10004,ROW()))</f>
        <v/>
      </c>
      <c r="AO244" s="28">
        <f>IF(OR($G244="",COUNTA(Stangenbelegung!$A$5:$A$10004)=0),"",$G244-AN244)</f>
        <v/>
      </c>
      <c r="AP244" s="29" t="n"/>
      <c r="AQ244" s="9" t="n"/>
      <c r="AR244" s="19" t="n"/>
    </row>
    <row r="245">
      <c r="A245" s="9" t="n"/>
      <c r="B245" s="9" t="n"/>
      <c r="C245" s="9" t="n"/>
      <c r="D245" s="9" t="n"/>
      <c r="E245" s="9" t="n"/>
      <c r="F245" s="23" t="n"/>
      <c r="G245" s="19" t="n"/>
      <c r="H245" s="23" t="n"/>
      <c r="I245" s="24" t="n"/>
      <c r="J245" s="19" t="n"/>
      <c r="K245" s="25">
        <f>IF($D245="","",IFERROR(INDEX(Profile!$B$5:$B$304,MATCH($D245,lst_Profil,0)),""))</f>
        <v/>
      </c>
      <c r="L245" s="13">
        <f>IF($D245="","",IFERROR(INDEX(Profile!$K$5:$K$304,MATCH($D245,lst_Profil,0))+0,""))</f>
        <v/>
      </c>
      <c r="M245" s="26">
        <f>IF($D245="","",IFERROR(INDEX(Profile!$E$5:$E$304,MATCH($D245,lst_Profil,0))+0,""))</f>
        <v/>
      </c>
      <c r="N245" s="27">
        <f>IF(OR(L245="",$E245=""),"",IFERROR(L245*INDEX(Werkstoffe!$E$5:$E$304,MATCH($E245,lst_Werkstoff,0))/1000,""))</f>
        <v/>
      </c>
      <c r="O245" s="27">
        <f>IF(OR(N245="",$F245=""),"",N245*$F245/1000)</f>
        <v/>
      </c>
      <c r="P245" s="16">
        <f>IF(OR($F245="",$G245=""),"",$F245*$G245)</f>
        <v/>
      </c>
      <c r="Q245" s="16">
        <f>IF($D245="","",IF($J245&lt;&gt;"",$J245,$C$9))</f>
        <v/>
      </c>
      <c r="R245" s="12">
        <f>IF($D245="","",IFERROR(IF(INDEX(Profile!$G$5:$G$304,MATCH($D245,lst_Profil,0))&lt;&gt;"",INDEX(Profile!$G$5:$G$304,MATCH($D245,lst_Profil,0)),$H$4),$H$4))</f>
        <v/>
      </c>
      <c r="S245" s="12">
        <f>IF($D245="","",IFERROR(IF(INDEX(Profile!$H$5:$H$304,MATCH($D245,lst_Profil,0))&lt;&gt;"",INDEX(Profile!$H$5:$H$304,MATCH($D245,lst_Profil,0)),$H$5),$H$5))</f>
        <v/>
      </c>
      <c r="T245" s="16">
        <f>IF(OR(Q245="",NOT(ISNUMBER(R245)),NOT(ISNUMBER(S245))),"",Q245-R245-S245)</f>
        <v/>
      </c>
      <c r="U245" s="28">
        <f>IF(OR($D245="",$E245=""),"",IF(OR(N($AP245)&gt;0,COUNTIFS(Preise!$A$5:$A$304,$D245,Preise!$B$5:$B$304,$E245,Preise!$I$5:$I$304,"OK")&gt;0,N(INDEX(Werkstoffe!$G$5:$G$304,MATCH($E245,lst_Werkstoff,0)))&gt;0),"ja","nein"))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28">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Materialpreis",IF(AND($AQ245&lt;&gt;"",N($AR245)&gt;0,MOD($G245,$AR245)&lt;&gt;0),"WARNUNG: Stückzahl ist kein Vielfaches von Stück je Satz",IF($H245="","HINWEIS: Schneidweg fehlt",IF(V245="","HINWEIS: keine Schneiddaten",IF(AND($AF245&lt;&gt;"",$AG245=""),"HINWEIS: Gewinde-Vorschlag prüfen","OK")))))))))))))))</f>
        <v/>
      </c>
      <c r="X245" s="18">
        <f>IF(OR(O245="",$G245=""),"",O245*$G245)</f>
        <v/>
      </c>
      <c r="Y245" s="9" t="n"/>
      <c r="Z245" s="23" t="n"/>
      <c r="AA245" s="9" t="n"/>
      <c r="AB245" s="23" t="n"/>
      <c r="AC245" s="23" t="n"/>
      <c r="AD245" s="23" t="n"/>
      <c r="AE245" s="9" t="n"/>
      <c r="AF245" s="9" t="n"/>
      <c r="AG245" s="9" t="n"/>
      <c r="AH245" s="24" t="n"/>
      <c r="AI245" s="23" t="n"/>
      <c r="AJ245" s="24" t="n"/>
      <c r="AK245" s="23" t="n"/>
      <c r="AL245" s="24" t="n"/>
      <c r="AM245" s="23" t="n"/>
      <c r="AN245" s="28">
        <f>IF($D245="","",COUNTIFS(Stangenbelegung!$E$5:$E$10004,ROW()))</f>
        <v/>
      </c>
      <c r="AO245" s="28">
        <f>IF(OR($G245="",COUNTA(Stangenbelegung!$A$5:$A$10004)=0),"",$G245-AN245)</f>
        <v/>
      </c>
      <c r="AP245" s="29" t="n"/>
      <c r="AQ245" s="9" t="n"/>
      <c r="AR245" s="19" t="n"/>
    </row>
    <row r="246">
      <c r="A246" s="9" t="n"/>
      <c r="B246" s="9" t="n"/>
      <c r="C246" s="9" t="n"/>
      <c r="D246" s="9" t="n"/>
      <c r="E246" s="9" t="n"/>
      <c r="F246" s="23" t="n"/>
      <c r="G246" s="19" t="n"/>
      <c r="H246" s="23" t="n"/>
      <c r="I246" s="24" t="n"/>
      <c r="J246" s="19" t="n"/>
      <c r="K246" s="25">
        <f>IF($D246="","",IFERROR(INDEX(Profile!$B$5:$B$304,MATCH($D246,lst_Profil,0)),""))</f>
        <v/>
      </c>
      <c r="L246" s="13">
        <f>IF($D246="","",IFERROR(INDEX(Profile!$K$5:$K$304,MATCH($D246,lst_Profil,0))+0,""))</f>
        <v/>
      </c>
      <c r="M246" s="26">
        <f>IF($D246="","",IFERROR(INDEX(Profile!$E$5:$E$304,MATCH($D246,lst_Profil,0))+0,""))</f>
        <v/>
      </c>
      <c r="N246" s="27">
        <f>IF(OR(L246="",$E246=""),"",IFERROR(L246*INDEX(Werkstoffe!$E$5:$E$304,MATCH($E246,lst_Werkstoff,0))/1000,""))</f>
        <v/>
      </c>
      <c r="O246" s="27">
        <f>IF(OR(N246="",$F246=""),"",N246*$F246/1000)</f>
        <v/>
      </c>
      <c r="P246" s="16">
        <f>IF(OR($F246="",$G246=""),"",$F246*$G246)</f>
        <v/>
      </c>
      <c r="Q246" s="16">
        <f>IF($D246="","",IF($J246&lt;&gt;"",$J246,$C$9))</f>
        <v/>
      </c>
      <c r="R246" s="12">
        <f>IF($D246="","",IFERROR(IF(INDEX(Profile!$G$5:$G$304,MATCH($D246,lst_Profil,0))&lt;&gt;"",INDEX(Profile!$G$5:$G$304,MATCH($D246,lst_Profil,0)),$H$4),$H$4))</f>
        <v/>
      </c>
      <c r="S246" s="12">
        <f>IF($D246="","",IFERROR(IF(INDEX(Profile!$H$5:$H$304,MATCH($D246,lst_Profil,0))&lt;&gt;"",INDEX(Profile!$H$5:$H$304,MATCH($D246,lst_Profil,0)),$H$5),$H$5))</f>
        <v/>
      </c>
      <c r="T246" s="16">
        <f>IF(OR(Q246="",NOT(ISNUMBER(R246)),NOT(ISNUMBER(S246))),"",Q246-R246-S246)</f>
        <v/>
      </c>
      <c r="U246" s="28">
        <f>IF(OR($D246="",$E246=""),"",IF(OR(N($AP246)&gt;0,COUNTIFS(Preise!$A$5:$A$304,$D246,Preise!$B$5:$B$304,$E246,Preise!$I$5:$I$304,"OK")&gt;0,N(INDEX(Werkstoffe!$G$5:$G$304,MATCH($E246,lst_Werkstoff,0)))&gt;0),"ja","nein"))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28">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Materialpreis",IF(AND($AQ246&lt;&gt;"",N($AR246)&gt;0,MOD($G246,$AR246)&lt;&gt;0),"WARNUNG: Stückzahl ist kein Vielfaches von Stück je Satz",IF($H246="","HINWEIS: Schneidweg fehlt",IF(V246="","HINWEIS: keine Schneiddaten",IF(AND($AF246&lt;&gt;"",$AG246=""),"HINWEIS: Gewinde-Vorschlag prüfen","OK")))))))))))))))</f>
        <v/>
      </c>
      <c r="X246" s="18">
        <f>IF(OR(O246="",$G246=""),"",O246*$G246)</f>
        <v/>
      </c>
      <c r="Y246" s="9" t="n"/>
      <c r="Z246" s="23" t="n"/>
      <c r="AA246" s="9" t="n"/>
      <c r="AB246" s="23" t="n"/>
      <c r="AC246" s="23" t="n"/>
      <c r="AD246" s="23" t="n"/>
      <c r="AE246" s="9" t="n"/>
      <c r="AF246" s="9" t="n"/>
      <c r="AG246" s="9" t="n"/>
      <c r="AH246" s="24" t="n"/>
      <c r="AI246" s="23" t="n"/>
      <c r="AJ246" s="24" t="n"/>
      <c r="AK246" s="23" t="n"/>
      <c r="AL246" s="24" t="n"/>
      <c r="AM246" s="23" t="n"/>
      <c r="AN246" s="28">
        <f>IF($D246="","",COUNTIFS(Stangenbelegung!$E$5:$E$10004,ROW()))</f>
        <v/>
      </c>
      <c r="AO246" s="28">
        <f>IF(OR($G246="",COUNTA(Stangenbelegung!$A$5:$A$10004)=0),"",$G246-AN246)</f>
        <v/>
      </c>
      <c r="AP246" s="29" t="n"/>
      <c r="AQ246" s="9" t="n"/>
      <c r="AR246" s="19" t="n"/>
    </row>
    <row r="247">
      <c r="A247" s="9" t="n"/>
      <c r="B247" s="9" t="n"/>
      <c r="C247" s="9" t="n"/>
      <c r="D247" s="9" t="n"/>
      <c r="E247" s="9" t="n"/>
      <c r="F247" s="23" t="n"/>
      <c r="G247" s="19" t="n"/>
      <c r="H247" s="23" t="n"/>
      <c r="I247" s="24" t="n"/>
      <c r="J247" s="19" t="n"/>
      <c r="K247" s="25">
        <f>IF($D247="","",IFERROR(INDEX(Profile!$B$5:$B$304,MATCH($D247,lst_Profil,0)),""))</f>
        <v/>
      </c>
      <c r="L247" s="13">
        <f>IF($D247="","",IFERROR(INDEX(Profile!$K$5:$K$304,MATCH($D247,lst_Profil,0))+0,""))</f>
        <v/>
      </c>
      <c r="M247" s="26">
        <f>IF($D247="","",IFERROR(INDEX(Profile!$E$5:$E$304,MATCH($D247,lst_Profil,0))+0,""))</f>
        <v/>
      </c>
      <c r="N247" s="27">
        <f>IF(OR(L247="",$E247=""),"",IFERROR(L247*INDEX(Werkstoffe!$E$5:$E$304,MATCH($E247,lst_Werkstoff,0))/1000,""))</f>
        <v/>
      </c>
      <c r="O247" s="27">
        <f>IF(OR(N247="",$F247=""),"",N247*$F247/1000)</f>
        <v/>
      </c>
      <c r="P247" s="16">
        <f>IF(OR($F247="",$G247=""),"",$F247*$G247)</f>
        <v/>
      </c>
      <c r="Q247" s="16">
        <f>IF($D247="","",IF($J247&lt;&gt;"",$J247,$C$9))</f>
        <v/>
      </c>
      <c r="R247" s="12">
        <f>IF($D247="","",IFERROR(IF(INDEX(Profile!$G$5:$G$304,MATCH($D247,lst_Profil,0))&lt;&gt;"",INDEX(Profile!$G$5:$G$304,MATCH($D247,lst_Profil,0)),$H$4),$H$4))</f>
        <v/>
      </c>
      <c r="S247" s="12">
        <f>IF($D247="","",IFERROR(IF(INDEX(Profile!$H$5:$H$304,MATCH($D247,lst_Profil,0))&lt;&gt;"",INDEX(Profile!$H$5:$H$304,MATCH($D247,lst_Profil,0)),$H$5),$H$5))</f>
        <v/>
      </c>
      <c r="T247" s="16">
        <f>IF(OR(Q247="",NOT(ISNUMBER(R247)),NOT(ISNUMBER(S247))),"",Q247-R247-S247)</f>
        <v/>
      </c>
      <c r="U247" s="28">
        <f>IF(OR($D247="",$E247=""),"",IF(OR(N($AP247)&gt;0,COUNTIFS(Preise!$A$5:$A$304,$D247,Preise!$B$5:$B$304,$E247,Preise!$I$5:$I$304,"OK")&gt;0,N(INDEX(Werkstoffe!$G$5:$G$304,MATCH($E247,lst_Werkstoff,0)))&gt;0),"ja","nein"))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28">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Materialpreis",IF(AND($AQ247&lt;&gt;"",N($AR247)&gt;0,MOD($G247,$AR247)&lt;&gt;0),"WARNUNG: Stückzahl ist kein Vielfaches von Stück je Satz",IF($H247="","HINWEIS: Schneidweg fehlt",IF(V247="","HINWEIS: keine Schneiddaten",IF(AND($AF247&lt;&gt;"",$AG247=""),"HINWEIS: Gewinde-Vorschlag prüfen","OK")))))))))))))))</f>
        <v/>
      </c>
      <c r="X247" s="18">
        <f>IF(OR(O247="",$G247=""),"",O247*$G247)</f>
        <v/>
      </c>
      <c r="Y247" s="9" t="n"/>
      <c r="Z247" s="23" t="n"/>
      <c r="AA247" s="9" t="n"/>
      <c r="AB247" s="23" t="n"/>
      <c r="AC247" s="23" t="n"/>
      <c r="AD247" s="23" t="n"/>
      <c r="AE247" s="9" t="n"/>
      <c r="AF247" s="9" t="n"/>
      <c r="AG247" s="9" t="n"/>
      <c r="AH247" s="24" t="n"/>
      <c r="AI247" s="23" t="n"/>
      <c r="AJ247" s="24" t="n"/>
      <c r="AK247" s="23" t="n"/>
      <c r="AL247" s="24" t="n"/>
      <c r="AM247" s="23" t="n"/>
      <c r="AN247" s="28">
        <f>IF($D247="","",COUNTIFS(Stangenbelegung!$E$5:$E$10004,ROW()))</f>
        <v/>
      </c>
      <c r="AO247" s="28">
        <f>IF(OR($G247="",COUNTA(Stangenbelegung!$A$5:$A$10004)=0),"",$G247-AN247)</f>
        <v/>
      </c>
      <c r="AP247" s="29" t="n"/>
      <c r="AQ247" s="9" t="n"/>
      <c r="AR247" s="19" t="n"/>
    </row>
    <row r="248">
      <c r="A248" s="9" t="n"/>
      <c r="B248" s="9" t="n"/>
      <c r="C248" s="9" t="n"/>
      <c r="D248" s="9" t="n"/>
      <c r="E248" s="9" t="n"/>
      <c r="F248" s="23" t="n"/>
      <c r="G248" s="19" t="n"/>
      <c r="H248" s="23" t="n"/>
      <c r="I248" s="24" t="n"/>
      <c r="J248" s="19" t="n"/>
      <c r="K248" s="25">
        <f>IF($D248="","",IFERROR(INDEX(Profile!$B$5:$B$304,MATCH($D248,lst_Profil,0)),""))</f>
        <v/>
      </c>
      <c r="L248" s="13">
        <f>IF($D248="","",IFERROR(INDEX(Profile!$K$5:$K$304,MATCH($D248,lst_Profil,0))+0,""))</f>
        <v/>
      </c>
      <c r="M248" s="26">
        <f>IF($D248="","",IFERROR(INDEX(Profile!$E$5:$E$304,MATCH($D248,lst_Profil,0))+0,""))</f>
        <v/>
      </c>
      <c r="N248" s="27">
        <f>IF(OR(L248="",$E248=""),"",IFERROR(L248*INDEX(Werkstoffe!$E$5:$E$304,MATCH($E248,lst_Werkstoff,0))/1000,""))</f>
        <v/>
      </c>
      <c r="O248" s="27">
        <f>IF(OR(N248="",$F248=""),"",N248*$F248/1000)</f>
        <v/>
      </c>
      <c r="P248" s="16">
        <f>IF(OR($F248="",$G248=""),"",$F248*$G248)</f>
        <v/>
      </c>
      <c r="Q248" s="16">
        <f>IF($D248="","",IF($J248&lt;&gt;"",$J248,$C$9))</f>
        <v/>
      </c>
      <c r="R248" s="12">
        <f>IF($D248="","",IFERROR(IF(INDEX(Profile!$G$5:$G$304,MATCH($D248,lst_Profil,0))&lt;&gt;"",INDEX(Profile!$G$5:$G$304,MATCH($D248,lst_Profil,0)),$H$4),$H$4))</f>
        <v/>
      </c>
      <c r="S248" s="12">
        <f>IF($D248="","",IFERROR(IF(INDEX(Profile!$H$5:$H$304,MATCH($D248,lst_Profil,0))&lt;&gt;"",INDEX(Profile!$H$5:$H$304,MATCH($D248,lst_Profil,0)),$H$5),$H$5))</f>
        <v/>
      </c>
      <c r="T248" s="16">
        <f>IF(OR(Q248="",NOT(ISNUMBER(R248)),NOT(ISNUMBER(S248))),"",Q248-R248-S248)</f>
        <v/>
      </c>
      <c r="U248" s="28">
        <f>IF(OR($D248="",$E248=""),"",IF(OR(N($AP248)&gt;0,COUNTIFS(Preise!$A$5:$A$304,$D248,Preise!$B$5:$B$304,$E248,Preise!$I$5:$I$304,"OK")&gt;0,N(INDEX(Werkstoffe!$G$5:$G$304,MATCH($E248,lst_Werkstoff,0)))&gt;0),"ja","nein"))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28">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Materialpreis",IF(AND($AQ248&lt;&gt;"",N($AR248)&gt;0,MOD($G248,$AR248)&lt;&gt;0),"WARNUNG: Stückzahl ist kein Vielfaches von Stück je Satz",IF($H248="","HINWEIS: Schneidweg fehlt",IF(V248="","HINWEIS: keine Schneiddaten",IF(AND($AF248&lt;&gt;"",$AG248=""),"HINWEIS: Gewinde-Vorschlag prüfen","OK")))))))))))))))</f>
        <v/>
      </c>
      <c r="X248" s="18">
        <f>IF(OR(O248="",$G248=""),"",O248*$G248)</f>
        <v/>
      </c>
      <c r="Y248" s="9" t="n"/>
      <c r="Z248" s="23" t="n"/>
      <c r="AA248" s="9" t="n"/>
      <c r="AB248" s="23" t="n"/>
      <c r="AC248" s="23" t="n"/>
      <c r="AD248" s="23" t="n"/>
      <c r="AE248" s="9" t="n"/>
      <c r="AF248" s="9" t="n"/>
      <c r="AG248" s="9" t="n"/>
      <c r="AH248" s="24" t="n"/>
      <c r="AI248" s="23" t="n"/>
      <c r="AJ248" s="24" t="n"/>
      <c r="AK248" s="23" t="n"/>
      <c r="AL248" s="24" t="n"/>
      <c r="AM248" s="23" t="n"/>
      <c r="AN248" s="28">
        <f>IF($D248="","",COUNTIFS(Stangenbelegung!$E$5:$E$10004,ROW()))</f>
        <v/>
      </c>
      <c r="AO248" s="28">
        <f>IF(OR($G248="",COUNTA(Stangenbelegung!$A$5:$A$10004)=0),"",$G248-AN248)</f>
        <v/>
      </c>
      <c r="AP248" s="29" t="n"/>
      <c r="AQ248" s="9" t="n"/>
      <c r="AR248" s="19" t="n"/>
    </row>
    <row r="249">
      <c r="A249" s="9" t="n"/>
      <c r="B249" s="9" t="n"/>
      <c r="C249" s="9" t="n"/>
      <c r="D249" s="9" t="n"/>
      <c r="E249" s="9" t="n"/>
      <c r="F249" s="23" t="n"/>
      <c r="G249" s="19" t="n"/>
      <c r="H249" s="23" t="n"/>
      <c r="I249" s="24" t="n"/>
      <c r="J249" s="19" t="n"/>
      <c r="K249" s="25">
        <f>IF($D249="","",IFERROR(INDEX(Profile!$B$5:$B$304,MATCH($D249,lst_Profil,0)),""))</f>
        <v/>
      </c>
      <c r="L249" s="13">
        <f>IF($D249="","",IFERROR(INDEX(Profile!$K$5:$K$304,MATCH($D249,lst_Profil,0))+0,""))</f>
        <v/>
      </c>
      <c r="M249" s="26">
        <f>IF($D249="","",IFERROR(INDEX(Profile!$E$5:$E$304,MATCH($D249,lst_Profil,0))+0,""))</f>
        <v/>
      </c>
      <c r="N249" s="27">
        <f>IF(OR(L249="",$E249=""),"",IFERROR(L249*INDEX(Werkstoffe!$E$5:$E$304,MATCH($E249,lst_Werkstoff,0))/1000,""))</f>
        <v/>
      </c>
      <c r="O249" s="27">
        <f>IF(OR(N249="",$F249=""),"",N249*$F249/1000)</f>
        <v/>
      </c>
      <c r="P249" s="16">
        <f>IF(OR($F249="",$G249=""),"",$F249*$G249)</f>
        <v/>
      </c>
      <c r="Q249" s="16">
        <f>IF($D249="","",IF($J249&lt;&gt;"",$J249,$C$9))</f>
        <v/>
      </c>
      <c r="R249" s="12">
        <f>IF($D249="","",IFERROR(IF(INDEX(Profile!$G$5:$G$304,MATCH($D249,lst_Profil,0))&lt;&gt;"",INDEX(Profile!$G$5:$G$304,MATCH($D249,lst_Profil,0)),$H$4),$H$4))</f>
        <v/>
      </c>
      <c r="S249" s="12">
        <f>IF($D249="","",IFERROR(IF(INDEX(Profile!$H$5:$H$304,MATCH($D249,lst_Profil,0))&lt;&gt;"",INDEX(Profile!$H$5:$H$304,MATCH($D249,lst_Profil,0)),$H$5),$H$5))</f>
        <v/>
      </c>
      <c r="T249" s="16">
        <f>IF(OR(Q249="",NOT(ISNUMBER(R249)),NOT(ISNUMBER(S249))),"",Q249-R249-S249)</f>
        <v/>
      </c>
      <c r="U249" s="28">
        <f>IF(OR($D249="",$E249=""),"",IF(OR(N($AP249)&gt;0,COUNTIFS(Preise!$A$5:$A$304,$D249,Preise!$B$5:$B$304,$E249,Preise!$I$5:$I$304,"OK")&gt;0,N(INDEX(Werkstoffe!$G$5:$G$304,MATCH($E249,lst_Werkstoff,0)))&gt;0),"ja","nein"))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28">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Materialpreis",IF(AND($AQ249&lt;&gt;"",N($AR249)&gt;0,MOD($G249,$AR249)&lt;&gt;0),"WARNUNG: Stückzahl ist kein Vielfaches von Stück je Satz",IF($H249="","HINWEIS: Schneidweg fehlt",IF(V249="","HINWEIS: keine Schneiddaten",IF(AND($AF249&lt;&gt;"",$AG249=""),"HINWEIS: Gewinde-Vorschlag prüfen","OK")))))))))))))))</f>
        <v/>
      </c>
      <c r="X249" s="18">
        <f>IF(OR(O249="",$G249=""),"",O249*$G249)</f>
        <v/>
      </c>
      <c r="Y249" s="9" t="n"/>
      <c r="Z249" s="23" t="n"/>
      <c r="AA249" s="9" t="n"/>
      <c r="AB249" s="23" t="n"/>
      <c r="AC249" s="23" t="n"/>
      <c r="AD249" s="23" t="n"/>
      <c r="AE249" s="9" t="n"/>
      <c r="AF249" s="9" t="n"/>
      <c r="AG249" s="9" t="n"/>
      <c r="AH249" s="24" t="n"/>
      <c r="AI249" s="23" t="n"/>
      <c r="AJ249" s="24" t="n"/>
      <c r="AK249" s="23" t="n"/>
      <c r="AL249" s="24" t="n"/>
      <c r="AM249" s="23" t="n"/>
      <c r="AN249" s="28">
        <f>IF($D249="","",COUNTIFS(Stangenbelegung!$E$5:$E$10004,ROW()))</f>
        <v/>
      </c>
      <c r="AO249" s="28">
        <f>IF(OR($G249="",COUNTA(Stangenbelegung!$A$5:$A$10004)=0),"",$G249-AN249)</f>
        <v/>
      </c>
      <c r="AP249" s="29" t="n"/>
      <c r="AQ249" s="9" t="n"/>
      <c r="AR249" s="19" t="n"/>
    </row>
    <row r="250">
      <c r="A250" s="9" t="n"/>
      <c r="B250" s="9" t="n"/>
      <c r="C250" s="9" t="n"/>
      <c r="D250" s="9" t="n"/>
      <c r="E250" s="9" t="n"/>
      <c r="F250" s="23" t="n"/>
      <c r="G250" s="19" t="n"/>
      <c r="H250" s="23" t="n"/>
      <c r="I250" s="24" t="n"/>
      <c r="J250" s="19" t="n"/>
      <c r="K250" s="25">
        <f>IF($D250="","",IFERROR(INDEX(Profile!$B$5:$B$304,MATCH($D250,lst_Profil,0)),""))</f>
        <v/>
      </c>
      <c r="L250" s="13">
        <f>IF($D250="","",IFERROR(INDEX(Profile!$K$5:$K$304,MATCH($D250,lst_Profil,0))+0,""))</f>
        <v/>
      </c>
      <c r="M250" s="26">
        <f>IF($D250="","",IFERROR(INDEX(Profile!$E$5:$E$304,MATCH($D250,lst_Profil,0))+0,""))</f>
        <v/>
      </c>
      <c r="N250" s="27">
        <f>IF(OR(L250="",$E250=""),"",IFERROR(L250*INDEX(Werkstoffe!$E$5:$E$304,MATCH($E250,lst_Werkstoff,0))/1000,""))</f>
        <v/>
      </c>
      <c r="O250" s="27">
        <f>IF(OR(N250="",$F250=""),"",N250*$F250/1000)</f>
        <v/>
      </c>
      <c r="P250" s="16">
        <f>IF(OR($F250="",$G250=""),"",$F250*$G250)</f>
        <v/>
      </c>
      <c r="Q250" s="16">
        <f>IF($D250="","",IF($J250&lt;&gt;"",$J250,$C$9))</f>
        <v/>
      </c>
      <c r="R250" s="12">
        <f>IF($D250="","",IFERROR(IF(INDEX(Profile!$G$5:$G$304,MATCH($D250,lst_Profil,0))&lt;&gt;"",INDEX(Profile!$G$5:$G$304,MATCH($D250,lst_Profil,0)),$H$4),$H$4))</f>
        <v/>
      </c>
      <c r="S250" s="12">
        <f>IF($D250="","",IFERROR(IF(INDEX(Profile!$H$5:$H$304,MATCH($D250,lst_Profil,0))&lt;&gt;"",INDEX(Profile!$H$5:$H$304,MATCH($D250,lst_Profil,0)),$H$5),$H$5))</f>
        <v/>
      </c>
      <c r="T250" s="16">
        <f>IF(OR(Q250="",NOT(ISNUMBER(R250)),NOT(ISNUMBER(S250))),"",Q250-R250-S250)</f>
        <v/>
      </c>
      <c r="U250" s="28">
        <f>IF(OR($D250="",$E250=""),"",IF(OR(N($AP250)&gt;0,COUNTIFS(Preise!$A$5:$A$304,$D250,Preise!$B$5:$B$304,$E250,Preise!$I$5:$I$304,"OK")&gt;0,N(INDEX(Werkstoffe!$G$5:$G$304,MATCH($E250,lst_Werkstoff,0)))&gt;0),"ja","nein"))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28">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Materialpreis",IF(AND($AQ250&lt;&gt;"",N($AR250)&gt;0,MOD($G250,$AR250)&lt;&gt;0),"WARNUNG: Stückzahl ist kein Vielfaches von Stück je Satz",IF($H250="","HINWEIS: Schneidweg fehlt",IF(V250="","HINWEIS: keine Schneiddaten",IF(AND($AF250&lt;&gt;"",$AG250=""),"HINWEIS: Gewinde-Vorschlag prüfen","OK")))))))))))))))</f>
        <v/>
      </c>
      <c r="X250" s="18">
        <f>IF(OR(O250="",$G250=""),"",O250*$G250)</f>
        <v/>
      </c>
      <c r="Y250" s="9" t="n"/>
      <c r="Z250" s="23" t="n"/>
      <c r="AA250" s="9" t="n"/>
      <c r="AB250" s="23" t="n"/>
      <c r="AC250" s="23" t="n"/>
      <c r="AD250" s="23" t="n"/>
      <c r="AE250" s="9" t="n"/>
      <c r="AF250" s="9" t="n"/>
      <c r="AG250" s="9" t="n"/>
      <c r="AH250" s="24" t="n"/>
      <c r="AI250" s="23" t="n"/>
      <c r="AJ250" s="24" t="n"/>
      <c r="AK250" s="23" t="n"/>
      <c r="AL250" s="24" t="n"/>
      <c r="AM250" s="23" t="n"/>
      <c r="AN250" s="28">
        <f>IF($D250="","",COUNTIFS(Stangenbelegung!$E$5:$E$10004,ROW()))</f>
        <v/>
      </c>
      <c r="AO250" s="28">
        <f>IF(OR($G250="",COUNTA(Stangenbelegung!$A$5:$A$10004)=0),"",$G250-AN250)</f>
        <v/>
      </c>
      <c r="AP250" s="29" t="n"/>
      <c r="AQ250" s="9" t="n"/>
      <c r="AR250" s="19" t="n"/>
    </row>
    <row r="251">
      <c r="A251" s="9" t="n"/>
      <c r="B251" s="9" t="n"/>
      <c r="C251" s="9" t="n"/>
      <c r="D251" s="9" t="n"/>
      <c r="E251" s="9" t="n"/>
      <c r="F251" s="23" t="n"/>
      <c r="G251" s="19" t="n"/>
      <c r="H251" s="23" t="n"/>
      <c r="I251" s="24" t="n"/>
      <c r="J251" s="19" t="n"/>
      <c r="K251" s="25">
        <f>IF($D251="","",IFERROR(INDEX(Profile!$B$5:$B$304,MATCH($D251,lst_Profil,0)),""))</f>
        <v/>
      </c>
      <c r="L251" s="13">
        <f>IF($D251="","",IFERROR(INDEX(Profile!$K$5:$K$304,MATCH($D251,lst_Profil,0))+0,""))</f>
        <v/>
      </c>
      <c r="M251" s="26">
        <f>IF($D251="","",IFERROR(INDEX(Profile!$E$5:$E$304,MATCH($D251,lst_Profil,0))+0,""))</f>
        <v/>
      </c>
      <c r="N251" s="27">
        <f>IF(OR(L251="",$E251=""),"",IFERROR(L251*INDEX(Werkstoffe!$E$5:$E$304,MATCH($E251,lst_Werkstoff,0))/1000,""))</f>
        <v/>
      </c>
      <c r="O251" s="27">
        <f>IF(OR(N251="",$F251=""),"",N251*$F251/1000)</f>
        <v/>
      </c>
      <c r="P251" s="16">
        <f>IF(OR($F251="",$G251=""),"",$F251*$G251)</f>
        <v/>
      </c>
      <c r="Q251" s="16">
        <f>IF($D251="","",IF($J251&lt;&gt;"",$J251,$C$9))</f>
        <v/>
      </c>
      <c r="R251" s="12">
        <f>IF($D251="","",IFERROR(IF(INDEX(Profile!$G$5:$G$304,MATCH($D251,lst_Profil,0))&lt;&gt;"",INDEX(Profile!$G$5:$G$304,MATCH($D251,lst_Profil,0)),$H$4),$H$4))</f>
        <v/>
      </c>
      <c r="S251" s="12">
        <f>IF($D251="","",IFERROR(IF(INDEX(Profile!$H$5:$H$304,MATCH($D251,lst_Profil,0))&lt;&gt;"",INDEX(Profile!$H$5:$H$304,MATCH($D251,lst_Profil,0)),$H$5),$H$5))</f>
        <v/>
      </c>
      <c r="T251" s="16">
        <f>IF(OR(Q251="",NOT(ISNUMBER(R251)),NOT(ISNUMBER(S251))),"",Q251-R251-S251)</f>
        <v/>
      </c>
      <c r="U251" s="28">
        <f>IF(OR($D251="",$E251=""),"",IF(OR(N($AP251)&gt;0,COUNTIFS(Preise!$A$5:$A$304,$D251,Preise!$B$5:$B$304,$E251,Preise!$I$5:$I$304,"OK")&gt;0,N(INDEX(Werkstoffe!$G$5:$G$304,MATCH($E251,lst_Werkstoff,0)))&gt;0),"ja","nein"))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28">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Materialpreis",IF(AND($AQ251&lt;&gt;"",N($AR251)&gt;0,MOD($G251,$AR251)&lt;&gt;0),"WARNUNG: Stückzahl ist kein Vielfaches von Stück je Satz",IF($H251="","HINWEIS: Schneidweg fehlt",IF(V251="","HINWEIS: keine Schneiddaten",IF(AND($AF251&lt;&gt;"",$AG251=""),"HINWEIS: Gewinde-Vorschlag prüfen","OK")))))))))))))))</f>
        <v/>
      </c>
      <c r="X251" s="18">
        <f>IF(OR(O251="",$G251=""),"",O251*$G251)</f>
        <v/>
      </c>
      <c r="Y251" s="9" t="n"/>
      <c r="Z251" s="23" t="n"/>
      <c r="AA251" s="9" t="n"/>
      <c r="AB251" s="23" t="n"/>
      <c r="AC251" s="23" t="n"/>
      <c r="AD251" s="23" t="n"/>
      <c r="AE251" s="9" t="n"/>
      <c r="AF251" s="9" t="n"/>
      <c r="AG251" s="9" t="n"/>
      <c r="AH251" s="24" t="n"/>
      <c r="AI251" s="23" t="n"/>
      <c r="AJ251" s="24" t="n"/>
      <c r="AK251" s="23" t="n"/>
      <c r="AL251" s="24" t="n"/>
      <c r="AM251" s="23" t="n"/>
      <c r="AN251" s="28">
        <f>IF($D251="","",COUNTIFS(Stangenbelegung!$E$5:$E$10004,ROW()))</f>
        <v/>
      </c>
      <c r="AO251" s="28">
        <f>IF(OR($G251="",COUNTA(Stangenbelegung!$A$5:$A$10004)=0),"",$G251-AN251)</f>
        <v/>
      </c>
      <c r="AP251" s="29" t="n"/>
      <c r="AQ251" s="9" t="n"/>
      <c r="AR251" s="19" t="n"/>
    </row>
    <row r="252">
      <c r="A252" s="9" t="n"/>
      <c r="B252" s="9" t="n"/>
      <c r="C252" s="9" t="n"/>
      <c r="D252" s="9" t="n"/>
      <c r="E252" s="9" t="n"/>
      <c r="F252" s="23" t="n"/>
      <c r="G252" s="19" t="n"/>
      <c r="H252" s="23" t="n"/>
      <c r="I252" s="24" t="n"/>
      <c r="J252" s="19" t="n"/>
      <c r="K252" s="25">
        <f>IF($D252="","",IFERROR(INDEX(Profile!$B$5:$B$304,MATCH($D252,lst_Profil,0)),""))</f>
        <v/>
      </c>
      <c r="L252" s="13">
        <f>IF($D252="","",IFERROR(INDEX(Profile!$K$5:$K$304,MATCH($D252,lst_Profil,0))+0,""))</f>
        <v/>
      </c>
      <c r="M252" s="26">
        <f>IF($D252="","",IFERROR(INDEX(Profile!$E$5:$E$304,MATCH($D252,lst_Profil,0))+0,""))</f>
        <v/>
      </c>
      <c r="N252" s="27">
        <f>IF(OR(L252="",$E252=""),"",IFERROR(L252*INDEX(Werkstoffe!$E$5:$E$304,MATCH($E252,lst_Werkstoff,0))/1000,""))</f>
        <v/>
      </c>
      <c r="O252" s="27">
        <f>IF(OR(N252="",$F252=""),"",N252*$F252/1000)</f>
        <v/>
      </c>
      <c r="P252" s="16">
        <f>IF(OR($F252="",$G252=""),"",$F252*$G252)</f>
        <v/>
      </c>
      <c r="Q252" s="16">
        <f>IF($D252="","",IF($J252&lt;&gt;"",$J252,$C$9))</f>
        <v/>
      </c>
      <c r="R252" s="12">
        <f>IF($D252="","",IFERROR(IF(INDEX(Profile!$G$5:$G$304,MATCH($D252,lst_Profil,0))&lt;&gt;"",INDEX(Profile!$G$5:$G$304,MATCH($D252,lst_Profil,0)),$H$4),$H$4))</f>
        <v/>
      </c>
      <c r="S252" s="12">
        <f>IF($D252="","",IFERROR(IF(INDEX(Profile!$H$5:$H$304,MATCH($D252,lst_Profil,0))&lt;&gt;"",INDEX(Profile!$H$5:$H$304,MATCH($D252,lst_Profil,0)),$H$5),$H$5))</f>
        <v/>
      </c>
      <c r="T252" s="16">
        <f>IF(OR(Q252="",NOT(ISNUMBER(R252)),NOT(ISNUMBER(S252))),"",Q252-R252-S252)</f>
        <v/>
      </c>
      <c r="U252" s="28">
        <f>IF(OR($D252="",$E252=""),"",IF(OR(N($AP252)&gt;0,COUNTIFS(Preise!$A$5:$A$304,$D252,Preise!$B$5:$B$304,$E252,Preise!$I$5:$I$304,"OK")&gt;0,N(INDEX(Werkstoffe!$G$5:$G$304,MATCH($E252,lst_Werkstoff,0)))&gt;0),"ja","nein"))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28">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Materialpreis",IF(AND($AQ252&lt;&gt;"",N($AR252)&gt;0,MOD($G252,$AR252)&lt;&gt;0),"WARNUNG: Stückzahl ist kein Vielfaches von Stück je Satz",IF($H252="","HINWEIS: Schneidweg fehlt",IF(V252="","HINWEIS: keine Schneiddaten",IF(AND($AF252&lt;&gt;"",$AG252=""),"HINWEIS: Gewinde-Vorschlag prüfen","OK")))))))))))))))</f>
        <v/>
      </c>
      <c r="X252" s="18">
        <f>IF(OR(O252="",$G252=""),"",O252*$G252)</f>
        <v/>
      </c>
      <c r="Y252" s="9" t="n"/>
      <c r="Z252" s="23" t="n"/>
      <c r="AA252" s="9" t="n"/>
      <c r="AB252" s="23" t="n"/>
      <c r="AC252" s="23" t="n"/>
      <c r="AD252" s="23" t="n"/>
      <c r="AE252" s="9" t="n"/>
      <c r="AF252" s="9" t="n"/>
      <c r="AG252" s="9" t="n"/>
      <c r="AH252" s="24" t="n"/>
      <c r="AI252" s="23" t="n"/>
      <c r="AJ252" s="24" t="n"/>
      <c r="AK252" s="23" t="n"/>
      <c r="AL252" s="24" t="n"/>
      <c r="AM252" s="23" t="n"/>
      <c r="AN252" s="28">
        <f>IF($D252="","",COUNTIFS(Stangenbelegung!$E$5:$E$10004,ROW()))</f>
        <v/>
      </c>
      <c r="AO252" s="28">
        <f>IF(OR($G252="",COUNTA(Stangenbelegung!$A$5:$A$10004)=0),"",$G252-AN252)</f>
        <v/>
      </c>
      <c r="AP252" s="29" t="n"/>
      <c r="AQ252" s="9" t="n"/>
      <c r="AR252" s="19" t="n"/>
    </row>
    <row r="253">
      <c r="A253" s="9" t="n"/>
      <c r="B253" s="9" t="n"/>
      <c r="C253" s="9" t="n"/>
      <c r="D253" s="9" t="n"/>
      <c r="E253" s="9" t="n"/>
      <c r="F253" s="23" t="n"/>
      <c r="G253" s="19" t="n"/>
      <c r="H253" s="23" t="n"/>
      <c r="I253" s="24" t="n"/>
      <c r="J253" s="19" t="n"/>
      <c r="K253" s="25">
        <f>IF($D253="","",IFERROR(INDEX(Profile!$B$5:$B$304,MATCH($D253,lst_Profil,0)),""))</f>
        <v/>
      </c>
      <c r="L253" s="13">
        <f>IF($D253="","",IFERROR(INDEX(Profile!$K$5:$K$304,MATCH($D253,lst_Profil,0))+0,""))</f>
        <v/>
      </c>
      <c r="M253" s="26">
        <f>IF($D253="","",IFERROR(INDEX(Profile!$E$5:$E$304,MATCH($D253,lst_Profil,0))+0,""))</f>
        <v/>
      </c>
      <c r="N253" s="27">
        <f>IF(OR(L253="",$E253=""),"",IFERROR(L253*INDEX(Werkstoffe!$E$5:$E$304,MATCH($E253,lst_Werkstoff,0))/1000,""))</f>
        <v/>
      </c>
      <c r="O253" s="27">
        <f>IF(OR(N253="",$F253=""),"",N253*$F253/1000)</f>
        <v/>
      </c>
      <c r="P253" s="16">
        <f>IF(OR($F253="",$G253=""),"",$F253*$G253)</f>
        <v/>
      </c>
      <c r="Q253" s="16">
        <f>IF($D253="","",IF($J253&lt;&gt;"",$J253,$C$9))</f>
        <v/>
      </c>
      <c r="R253" s="12">
        <f>IF($D253="","",IFERROR(IF(INDEX(Profile!$G$5:$G$304,MATCH($D253,lst_Profil,0))&lt;&gt;"",INDEX(Profile!$G$5:$G$304,MATCH($D253,lst_Profil,0)),$H$4),$H$4))</f>
        <v/>
      </c>
      <c r="S253" s="12">
        <f>IF($D253="","",IFERROR(IF(INDEX(Profile!$H$5:$H$304,MATCH($D253,lst_Profil,0))&lt;&gt;"",INDEX(Profile!$H$5:$H$304,MATCH($D253,lst_Profil,0)),$H$5),$H$5))</f>
        <v/>
      </c>
      <c r="T253" s="16">
        <f>IF(OR(Q253="",NOT(ISNUMBER(R253)),NOT(ISNUMBER(S253))),"",Q253-R253-S253)</f>
        <v/>
      </c>
      <c r="U253" s="28">
        <f>IF(OR($D253="",$E253=""),"",IF(OR(N($AP253)&gt;0,COUNTIFS(Preise!$A$5:$A$304,$D253,Preise!$B$5:$B$304,$E253,Preise!$I$5:$I$304,"OK")&gt;0,N(INDEX(Werkstoffe!$G$5:$G$304,MATCH($E253,lst_Werkstoff,0)))&gt;0),"ja","nein"))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28">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Materialpreis",IF(AND($AQ253&lt;&gt;"",N($AR253)&gt;0,MOD($G253,$AR253)&lt;&gt;0),"WARNUNG: Stückzahl ist kein Vielfaches von Stück je Satz",IF($H253="","HINWEIS: Schneidweg fehlt",IF(V253="","HINWEIS: keine Schneiddaten",IF(AND($AF253&lt;&gt;"",$AG253=""),"HINWEIS: Gewinde-Vorschlag prüfen","OK")))))))))))))))</f>
        <v/>
      </c>
      <c r="X253" s="18">
        <f>IF(OR(O253="",$G253=""),"",O253*$G253)</f>
        <v/>
      </c>
      <c r="Y253" s="9" t="n"/>
      <c r="Z253" s="23" t="n"/>
      <c r="AA253" s="9" t="n"/>
      <c r="AB253" s="23" t="n"/>
      <c r="AC253" s="23" t="n"/>
      <c r="AD253" s="23" t="n"/>
      <c r="AE253" s="9" t="n"/>
      <c r="AF253" s="9" t="n"/>
      <c r="AG253" s="9" t="n"/>
      <c r="AH253" s="24" t="n"/>
      <c r="AI253" s="23" t="n"/>
      <c r="AJ253" s="24" t="n"/>
      <c r="AK253" s="23" t="n"/>
      <c r="AL253" s="24" t="n"/>
      <c r="AM253" s="23" t="n"/>
      <c r="AN253" s="28">
        <f>IF($D253="","",COUNTIFS(Stangenbelegung!$E$5:$E$10004,ROW()))</f>
        <v/>
      </c>
      <c r="AO253" s="28">
        <f>IF(OR($G253="",COUNTA(Stangenbelegung!$A$5:$A$10004)=0),"",$G253-AN253)</f>
        <v/>
      </c>
      <c r="AP253" s="29" t="n"/>
      <c r="AQ253" s="9" t="n"/>
      <c r="AR253" s="19" t="n"/>
    </row>
    <row r="254">
      <c r="A254" s="9" t="n"/>
      <c r="B254" s="9" t="n"/>
      <c r="C254" s="9" t="n"/>
      <c r="D254" s="9" t="n"/>
      <c r="E254" s="9" t="n"/>
      <c r="F254" s="23" t="n"/>
      <c r="G254" s="19" t="n"/>
      <c r="H254" s="23" t="n"/>
      <c r="I254" s="24" t="n"/>
      <c r="J254" s="19" t="n"/>
      <c r="K254" s="25">
        <f>IF($D254="","",IFERROR(INDEX(Profile!$B$5:$B$304,MATCH($D254,lst_Profil,0)),""))</f>
        <v/>
      </c>
      <c r="L254" s="13">
        <f>IF($D254="","",IFERROR(INDEX(Profile!$K$5:$K$304,MATCH($D254,lst_Profil,0))+0,""))</f>
        <v/>
      </c>
      <c r="M254" s="26">
        <f>IF($D254="","",IFERROR(INDEX(Profile!$E$5:$E$304,MATCH($D254,lst_Profil,0))+0,""))</f>
        <v/>
      </c>
      <c r="N254" s="27">
        <f>IF(OR(L254="",$E254=""),"",IFERROR(L254*INDEX(Werkstoffe!$E$5:$E$304,MATCH($E254,lst_Werkstoff,0))/1000,""))</f>
        <v/>
      </c>
      <c r="O254" s="27">
        <f>IF(OR(N254="",$F254=""),"",N254*$F254/1000)</f>
        <v/>
      </c>
      <c r="P254" s="16">
        <f>IF(OR($F254="",$G254=""),"",$F254*$G254)</f>
        <v/>
      </c>
      <c r="Q254" s="16">
        <f>IF($D254="","",IF($J254&lt;&gt;"",$J254,$C$9))</f>
        <v/>
      </c>
      <c r="R254" s="12">
        <f>IF($D254="","",IFERROR(IF(INDEX(Profile!$G$5:$G$304,MATCH($D254,lst_Profil,0))&lt;&gt;"",INDEX(Profile!$G$5:$G$304,MATCH($D254,lst_Profil,0)),$H$4),$H$4))</f>
        <v/>
      </c>
      <c r="S254" s="12">
        <f>IF($D254="","",IFERROR(IF(INDEX(Profile!$H$5:$H$304,MATCH($D254,lst_Profil,0))&lt;&gt;"",INDEX(Profile!$H$5:$H$304,MATCH($D254,lst_Profil,0)),$H$5),$H$5))</f>
        <v/>
      </c>
      <c r="T254" s="16">
        <f>IF(OR(Q254="",NOT(ISNUMBER(R254)),NOT(ISNUMBER(S254))),"",Q254-R254-S254)</f>
        <v/>
      </c>
      <c r="U254" s="28">
        <f>IF(OR($D254="",$E254=""),"",IF(OR(N($AP254)&gt;0,COUNTIFS(Preise!$A$5:$A$304,$D254,Preise!$B$5:$B$304,$E254,Preise!$I$5:$I$304,"OK")&gt;0,N(INDEX(Werkstoffe!$G$5:$G$304,MATCH($E254,lst_Werkstoff,0)))&gt;0),"ja","nein"))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28">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Materialpreis",IF(AND($AQ254&lt;&gt;"",N($AR254)&gt;0,MOD($G254,$AR254)&lt;&gt;0),"WARNUNG: Stückzahl ist kein Vielfaches von Stück je Satz",IF($H254="","HINWEIS: Schneidweg fehlt",IF(V254="","HINWEIS: keine Schneiddaten",IF(AND($AF254&lt;&gt;"",$AG254=""),"HINWEIS: Gewinde-Vorschlag prüfen","OK")))))))))))))))</f>
        <v/>
      </c>
      <c r="X254" s="18">
        <f>IF(OR(O254="",$G254=""),"",O254*$G254)</f>
        <v/>
      </c>
      <c r="Y254" s="9" t="n"/>
      <c r="Z254" s="23" t="n"/>
      <c r="AA254" s="9" t="n"/>
      <c r="AB254" s="23" t="n"/>
      <c r="AC254" s="23" t="n"/>
      <c r="AD254" s="23" t="n"/>
      <c r="AE254" s="9" t="n"/>
      <c r="AF254" s="9" t="n"/>
      <c r="AG254" s="9" t="n"/>
      <c r="AH254" s="24" t="n"/>
      <c r="AI254" s="23" t="n"/>
      <c r="AJ254" s="24" t="n"/>
      <c r="AK254" s="23" t="n"/>
      <c r="AL254" s="24" t="n"/>
      <c r="AM254" s="23" t="n"/>
      <c r="AN254" s="28">
        <f>IF($D254="","",COUNTIFS(Stangenbelegung!$E$5:$E$10004,ROW()))</f>
        <v/>
      </c>
      <c r="AO254" s="28">
        <f>IF(OR($G254="",COUNTA(Stangenbelegung!$A$5:$A$10004)=0),"",$G254-AN254)</f>
        <v/>
      </c>
      <c r="AP254" s="29" t="n"/>
      <c r="AQ254" s="9" t="n"/>
      <c r="AR254" s="19" t="n"/>
    </row>
    <row r="255">
      <c r="A255" s="9" t="n"/>
      <c r="B255" s="9" t="n"/>
      <c r="C255" s="9" t="n"/>
      <c r="D255" s="9" t="n"/>
      <c r="E255" s="9" t="n"/>
      <c r="F255" s="23" t="n"/>
      <c r="G255" s="19" t="n"/>
      <c r="H255" s="23" t="n"/>
      <c r="I255" s="24" t="n"/>
      <c r="J255" s="19" t="n"/>
      <c r="K255" s="25">
        <f>IF($D255="","",IFERROR(INDEX(Profile!$B$5:$B$304,MATCH($D255,lst_Profil,0)),""))</f>
        <v/>
      </c>
      <c r="L255" s="13">
        <f>IF($D255="","",IFERROR(INDEX(Profile!$K$5:$K$304,MATCH($D255,lst_Profil,0))+0,""))</f>
        <v/>
      </c>
      <c r="M255" s="26">
        <f>IF($D255="","",IFERROR(INDEX(Profile!$E$5:$E$304,MATCH($D255,lst_Profil,0))+0,""))</f>
        <v/>
      </c>
      <c r="N255" s="27">
        <f>IF(OR(L255="",$E255=""),"",IFERROR(L255*INDEX(Werkstoffe!$E$5:$E$304,MATCH($E255,lst_Werkstoff,0))/1000,""))</f>
        <v/>
      </c>
      <c r="O255" s="27">
        <f>IF(OR(N255="",$F255=""),"",N255*$F255/1000)</f>
        <v/>
      </c>
      <c r="P255" s="16">
        <f>IF(OR($F255="",$G255=""),"",$F255*$G255)</f>
        <v/>
      </c>
      <c r="Q255" s="16">
        <f>IF($D255="","",IF($J255&lt;&gt;"",$J255,$C$9))</f>
        <v/>
      </c>
      <c r="R255" s="12">
        <f>IF($D255="","",IFERROR(IF(INDEX(Profile!$G$5:$G$304,MATCH($D255,lst_Profil,0))&lt;&gt;"",INDEX(Profile!$G$5:$G$304,MATCH($D255,lst_Profil,0)),$H$4),$H$4))</f>
        <v/>
      </c>
      <c r="S255" s="12">
        <f>IF($D255="","",IFERROR(IF(INDEX(Profile!$H$5:$H$304,MATCH($D255,lst_Profil,0))&lt;&gt;"",INDEX(Profile!$H$5:$H$304,MATCH($D255,lst_Profil,0)),$H$5),$H$5))</f>
        <v/>
      </c>
      <c r="T255" s="16">
        <f>IF(OR(Q255="",NOT(ISNUMBER(R255)),NOT(ISNUMBER(S255))),"",Q255-R255-S255)</f>
        <v/>
      </c>
      <c r="U255" s="28">
        <f>IF(OR($D255="",$E255=""),"",IF(OR(N($AP255)&gt;0,COUNTIFS(Preise!$A$5:$A$304,$D255,Preise!$B$5:$B$304,$E255,Preise!$I$5:$I$304,"OK")&gt;0,N(INDEX(Werkstoffe!$G$5:$G$304,MATCH($E255,lst_Werkstoff,0)))&gt;0),"ja","nein"))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28">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Materialpreis",IF(AND($AQ255&lt;&gt;"",N($AR255)&gt;0,MOD($G255,$AR255)&lt;&gt;0),"WARNUNG: Stückzahl ist kein Vielfaches von Stück je Satz",IF($H255="","HINWEIS: Schneidweg fehlt",IF(V255="","HINWEIS: keine Schneiddaten",IF(AND($AF255&lt;&gt;"",$AG255=""),"HINWEIS: Gewinde-Vorschlag prüfen","OK")))))))))))))))</f>
        <v/>
      </c>
      <c r="X255" s="18">
        <f>IF(OR(O255="",$G255=""),"",O255*$G255)</f>
        <v/>
      </c>
      <c r="Y255" s="9" t="n"/>
      <c r="Z255" s="23" t="n"/>
      <c r="AA255" s="9" t="n"/>
      <c r="AB255" s="23" t="n"/>
      <c r="AC255" s="23" t="n"/>
      <c r="AD255" s="23" t="n"/>
      <c r="AE255" s="9" t="n"/>
      <c r="AF255" s="9" t="n"/>
      <c r="AG255" s="9" t="n"/>
      <c r="AH255" s="24" t="n"/>
      <c r="AI255" s="23" t="n"/>
      <c r="AJ255" s="24" t="n"/>
      <c r="AK255" s="23" t="n"/>
      <c r="AL255" s="24" t="n"/>
      <c r="AM255" s="23" t="n"/>
      <c r="AN255" s="28">
        <f>IF($D255="","",COUNTIFS(Stangenbelegung!$E$5:$E$10004,ROW()))</f>
        <v/>
      </c>
      <c r="AO255" s="28">
        <f>IF(OR($G255="",COUNTA(Stangenbelegung!$A$5:$A$10004)=0),"",$G255-AN255)</f>
        <v/>
      </c>
      <c r="AP255" s="29" t="n"/>
      <c r="AQ255" s="9" t="n"/>
      <c r="AR255" s="19" t="n"/>
    </row>
    <row r="256">
      <c r="A256" s="9" t="n"/>
      <c r="B256" s="9" t="n"/>
      <c r="C256" s="9" t="n"/>
      <c r="D256" s="9" t="n"/>
      <c r="E256" s="9" t="n"/>
      <c r="F256" s="23" t="n"/>
      <c r="G256" s="19" t="n"/>
      <c r="H256" s="23" t="n"/>
      <c r="I256" s="24" t="n"/>
      <c r="J256" s="19" t="n"/>
      <c r="K256" s="25">
        <f>IF($D256="","",IFERROR(INDEX(Profile!$B$5:$B$304,MATCH($D256,lst_Profil,0)),""))</f>
        <v/>
      </c>
      <c r="L256" s="13">
        <f>IF($D256="","",IFERROR(INDEX(Profile!$K$5:$K$304,MATCH($D256,lst_Profil,0))+0,""))</f>
        <v/>
      </c>
      <c r="M256" s="26">
        <f>IF($D256="","",IFERROR(INDEX(Profile!$E$5:$E$304,MATCH($D256,lst_Profil,0))+0,""))</f>
        <v/>
      </c>
      <c r="N256" s="27">
        <f>IF(OR(L256="",$E256=""),"",IFERROR(L256*INDEX(Werkstoffe!$E$5:$E$304,MATCH($E256,lst_Werkstoff,0))/1000,""))</f>
        <v/>
      </c>
      <c r="O256" s="27">
        <f>IF(OR(N256="",$F256=""),"",N256*$F256/1000)</f>
        <v/>
      </c>
      <c r="P256" s="16">
        <f>IF(OR($F256="",$G256=""),"",$F256*$G256)</f>
        <v/>
      </c>
      <c r="Q256" s="16">
        <f>IF($D256="","",IF($J256&lt;&gt;"",$J256,$C$9))</f>
        <v/>
      </c>
      <c r="R256" s="12">
        <f>IF($D256="","",IFERROR(IF(INDEX(Profile!$G$5:$G$304,MATCH($D256,lst_Profil,0))&lt;&gt;"",INDEX(Profile!$G$5:$G$304,MATCH($D256,lst_Profil,0)),$H$4),$H$4))</f>
        <v/>
      </c>
      <c r="S256" s="12">
        <f>IF($D256="","",IFERROR(IF(INDEX(Profile!$H$5:$H$304,MATCH($D256,lst_Profil,0))&lt;&gt;"",INDEX(Profile!$H$5:$H$304,MATCH($D256,lst_Profil,0)),$H$5),$H$5))</f>
        <v/>
      </c>
      <c r="T256" s="16">
        <f>IF(OR(Q256="",NOT(ISNUMBER(R256)),NOT(ISNUMBER(S256))),"",Q256-R256-S256)</f>
        <v/>
      </c>
      <c r="U256" s="28">
        <f>IF(OR($D256="",$E256=""),"",IF(OR(N($AP256)&gt;0,COUNTIFS(Preise!$A$5:$A$304,$D256,Preise!$B$5:$B$304,$E256,Preise!$I$5:$I$304,"OK")&gt;0,N(INDEX(Werkstoffe!$G$5:$G$304,MATCH($E256,lst_Werkstoff,0)))&gt;0),"ja","nein"))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28">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Materialpreis",IF(AND($AQ256&lt;&gt;"",N($AR256)&gt;0,MOD($G256,$AR256)&lt;&gt;0),"WARNUNG: Stückzahl ist kein Vielfaches von Stück je Satz",IF($H256="","HINWEIS: Schneidweg fehlt",IF(V256="","HINWEIS: keine Schneiddaten",IF(AND($AF256&lt;&gt;"",$AG256=""),"HINWEIS: Gewinde-Vorschlag prüfen","OK")))))))))))))))</f>
        <v/>
      </c>
      <c r="X256" s="18">
        <f>IF(OR(O256="",$G256=""),"",O256*$G256)</f>
        <v/>
      </c>
      <c r="Y256" s="9" t="n"/>
      <c r="Z256" s="23" t="n"/>
      <c r="AA256" s="9" t="n"/>
      <c r="AB256" s="23" t="n"/>
      <c r="AC256" s="23" t="n"/>
      <c r="AD256" s="23" t="n"/>
      <c r="AE256" s="9" t="n"/>
      <c r="AF256" s="9" t="n"/>
      <c r="AG256" s="9" t="n"/>
      <c r="AH256" s="24" t="n"/>
      <c r="AI256" s="23" t="n"/>
      <c r="AJ256" s="24" t="n"/>
      <c r="AK256" s="23" t="n"/>
      <c r="AL256" s="24" t="n"/>
      <c r="AM256" s="23" t="n"/>
      <c r="AN256" s="28">
        <f>IF($D256="","",COUNTIFS(Stangenbelegung!$E$5:$E$10004,ROW()))</f>
        <v/>
      </c>
      <c r="AO256" s="28">
        <f>IF(OR($G256="",COUNTA(Stangenbelegung!$A$5:$A$10004)=0),"",$G256-AN256)</f>
        <v/>
      </c>
      <c r="AP256" s="29" t="n"/>
      <c r="AQ256" s="9" t="n"/>
      <c r="AR256" s="19" t="n"/>
    </row>
    <row r="257">
      <c r="A257" s="9" t="n"/>
      <c r="B257" s="9" t="n"/>
      <c r="C257" s="9" t="n"/>
      <c r="D257" s="9" t="n"/>
      <c r="E257" s="9" t="n"/>
      <c r="F257" s="23" t="n"/>
      <c r="G257" s="19" t="n"/>
      <c r="H257" s="23" t="n"/>
      <c r="I257" s="24" t="n"/>
      <c r="J257" s="19" t="n"/>
      <c r="K257" s="25">
        <f>IF($D257="","",IFERROR(INDEX(Profile!$B$5:$B$304,MATCH($D257,lst_Profil,0)),""))</f>
        <v/>
      </c>
      <c r="L257" s="13">
        <f>IF($D257="","",IFERROR(INDEX(Profile!$K$5:$K$304,MATCH($D257,lst_Profil,0))+0,""))</f>
        <v/>
      </c>
      <c r="M257" s="26">
        <f>IF($D257="","",IFERROR(INDEX(Profile!$E$5:$E$304,MATCH($D257,lst_Profil,0))+0,""))</f>
        <v/>
      </c>
      <c r="N257" s="27">
        <f>IF(OR(L257="",$E257=""),"",IFERROR(L257*INDEX(Werkstoffe!$E$5:$E$304,MATCH($E257,lst_Werkstoff,0))/1000,""))</f>
        <v/>
      </c>
      <c r="O257" s="27">
        <f>IF(OR(N257="",$F257=""),"",N257*$F257/1000)</f>
        <v/>
      </c>
      <c r="P257" s="16">
        <f>IF(OR($F257="",$G257=""),"",$F257*$G257)</f>
        <v/>
      </c>
      <c r="Q257" s="16">
        <f>IF($D257="","",IF($J257&lt;&gt;"",$J257,$C$9))</f>
        <v/>
      </c>
      <c r="R257" s="12">
        <f>IF($D257="","",IFERROR(IF(INDEX(Profile!$G$5:$G$304,MATCH($D257,lst_Profil,0))&lt;&gt;"",INDEX(Profile!$G$5:$G$304,MATCH($D257,lst_Profil,0)),$H$4),$H$4))</f>
        <v/>
      </c>
      <c r="S257" s="12">
        <f>IF($D257="","",IFERROR(IF(INDEX(Profile!$H$5:$H$304,MATCH($D257,lst_Profil,0))&lt;&gt;"",INDEX(Profile!$H$5:$H$304,MATCH($D257,lst_Profil,0)),$H$5),$H$5))</f>
        <v/>
      </c>
      <c r="T257" s="16">
        <f>IF(OR(Q257="",NOT(ISNUMBER(R257)),NOT(ISNUMBER(S257))),"",Q257-R257-S257)</f>
        <v/>
      </c>
      <c r="U257" s="28">
        <f>IF(OR($D257="",$E257=""),"",IF(OR(N($AP257)&gt;0,COUNTIFS(Preise!$A$5:$A$304,$D257,Preise!$B$5:$B$304,$E257,Preise!$I$5:$I$304,"OK")&gt;0,N(INDEX(Werkstoffe!$G$5:$G$304,MATCH($E257,lst_Werkstoff,0)))&gt;0),"ja","nein"))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28">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Materialpreis",IF(AND($AQ257&lt;&gt;"",N($AR257)&gt;0,MOD($G257,$AR257)&lt;&gt;0),"WARNUNG: Stückzahl ist kein Vielfaches von Stück je Satz",IF($H257="","HINWEIS: Schneidweg fehlt",IF(V257="","HINWEIS: keine Schneiddaten",IF(AND($AF257&lt;&gt;"",$AG257=""),"HINWEIS: Gewinde-Vorschlag prüfen","OK")))))))))))))))</f>
        <v/>
      </c>
      <c r="X257" s="18">
        <f>IF(OR(O257="",$G257=""),"",O257*$G257)</f>
        <v/>
      </c>
      <c r="Y257" s="9" t="n"/>
      <c r="Z257" s="23" t="n"/>
      <c r="AA257" s="9" t="n"/>
      <c r="AB257" s="23" t="n"/>
      <c r="AC257" s="23" t="n"/>
      <c r="AD257" s="23" t="n"/>
      <c r="AE257" s="9" t="n"/>
      <c r="AF257" s="9" t="n"/>
      <c r="AG257" s="9" t="n"/>
      <c r="AH257" s="24" t="n"/>
      <c r="AI257" s="23" t="n"/>
      <c r="AJ257" s="24" t="n"/>
      <c r="AK257" s="23" t="n"/>
      <c r="AL257" s="24" t="n"/>
      <c r="AM257" s="23" t="n"/>
      <c r="AN257" s="28">
        <f>IF($D257="","",COUNTIFS(Stangenbelegung!$E$5:$E$10004,ROW()))</f>
        <v/>
      </c>
      <c r="AO257" s="28">
        <f>IF(OR($G257="",COUNTA(Stangenbelegung!$A$5:$A$10004)=0),"",$G257-AN257)</f>
        <v/>
      </c>
      <c r="AP257" s="29" t="n"/>
      <c r="AQ257" s="9" t="n"/>
      <c r="AR257" s="19" t="n"/>
    </row>
    <row r="258">
      <c r="A258" s="9" t="n"/>
      <c r="B258" s="9" t="n"/>
      <c r="C258" s="9" t="n"/>
      <c r="D258" s="9" t="n"/>
      <c r="E258" s="9" t="n"/>
      <c r="F258" s="23" t="n"/>
      <c r="G258" s="19" t="n"/>
      <c r="H258" s="23" t="n"/>
      <c r="I258" s="24" t="n"/>
      <c r="J258" s="19" t="n"/>
      <c r="K258" s="25">
        <f>IF($D258="","",IFERROR(INDEX(Profile!$B$5:$B$304,MATCH($D258,lst_Profil,0)),""))</f>
        <v/>
      </c>
      <c r="L258" s="13">
        <f>IF($D258="","",IFERROR(INDEX(Profile!$K$5:$K$304,MATCH($D258,lst_Profil,0))+0,""))</f>
        <v/>
      </c>
      <c r="M258" s="26">
        <f>IF($D258="","",IFERROR(INDEX(Profile!$E$5:$E$304,MATCH($D258,lst_Profil,0))+0,""))</f>
        <v/>
      </c>
      <c r="N258" s="27">
        <f>IF(OR(L258="",$E258=""),"",IFERROR(L258*INDEX(Werkstoffe!$E$5:$E$304,MATCH($E258,lst_Werkstoff,0))/1000,""))</f>
        <v/>
      </c>
      <c r="O258" s="27">
        <f>IF(OR(N258="",$F258=""),"",N258*$F258/1000)</f>
        <v/>
      </c>
      <c r="P258" s="16">
        <f>IF(OR($F258="",$G258=""),"",$F258*$G258)</f>
        <v/>
      </c>
      <c r="Q258" s="16">
        <f>IF($D258="","",IF($J258&lt;&gt;"",$J258,$C$9))</f>
        <v/>
      </c>
      <c r="R258" s="12">
        <f>IF($D258="","",IFERROR(IF(INDEX(Profile!$G$5:$G$304,MATCH($D258,lst_Profil,0))&lt;&gt;"",INDEX(Profile!$G$5:$G$304,MATCH($D258,lst_Profil,0)),$H$4),$H$4))</f>
        <v/>
      </c>
      <c r="S258" s="12">
        <f>IF($D258="","",IFERROR(IF(INDEX(Profile!$H$5:$H$304,MATCH($D258,lst_Profil,0))&lt;&gt;"",INDEX(Profile!$H$5:$H$304,MATCH($D258,lst_Profil,0)),$H$5),$H$5))</f>
        <v/>
      </c>
      <c r="T258" s="16">
        <f>IF(OR(Q258="",NOT(ISNUMBER(R258)),NOT(ISNUMBER(S258))),"",Q258-R258-S258)</f>
        <v/>
      </c>
      <c r="U258" s="28">
        <f>IF(OR($D258="",$E258=""),"",IF(OR(N($AP258)&gt;0,COUNTIFS(Preise!$A$5:$A$304,$D258,Preise!$B$5:$B$304,$E258,Preise!$I$5:$I$304,"OK")&gt;0,N(INDEX(Werkstoffe!$G$5:$G$304,MATCH($E258,lst_Werkstoff,0)))&gt;0),"ja","nein"))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28">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Materialpreis",IF(AND($AQ258&lt;&gt;"",N($AR258)&gt;0,MOD($G258,$AR258)&lt;&gt;0),"WARNUNG: Stückzahl ist kein Vielfaches von Stück je Satz",IF($H258="","HINWEIS: Schneidweg fehlt",IF(V258="","HINWEIS: keine Schneiddaten",IF(AND($AF258&lt;&gt;"",$AG258=""),"HINWEIS: Gewinde-Vorschlag prüfen","OK")))))))))))))))</f>
        <v/>
      </c>
      <c r="X258" s="18">
        <f>IF(OR(O258="",$G258=""),"",O258*$G258)</f>
        <v/>
      </c>
      <c r="Y258" s="9" t="n"/>
      <c r="Z258" s="23" t="n"/>
      <c r="AA258" s="9" t="n"/>
      <c r="AB258" s="23" t="n"/>
      <c r="AC258" s="23" t="n"/>
      <c r="AD258" s="23" t="n"/>
      <c r="AE258" s="9" t="n"/>
      <c r="AF258" s="9" t="n"/>
      <c r="AG258" s="9" t="n"/>
      <c r="AH258" s="24" t="n"/>
      <c r="AI258" s="23" t="n"/>
      <c r="AJ258" s="24" t="n"/>
      <c r="AK258" s="23" t="n"/>
      <c r="AL258" s="24" t="n"/>
      <c r="AM258" s="23" t="n"/>
      <c r="AN258" s="28">
        <f>IF($D258="","",COUNTIFS(Stangenbelegung!$E$5:$E$10004,ROW()))</f>
        <v/>
      </c>
      <c r="AO258" s="28">
        <f>IF(OR($G258="",COUNTA(Stangenbelegung!$A$5:$A$10004)=0),"",$G258-AN258)</f>
        <v/>
      </c>
      <c r="AP258" s="29" t="n"/>
      <c r="AQ258" s="9" t="n"/>
      <c r="AR258" s="19" t="n"/>
    </row>
    <row r="259">
      <c r="A259" s="9" t="n"/>
      <c r="B259" s="9" t="n"/>
      <c r="C259" s="9" t="n"/>
      <c r="D259" s="9" t="n"/>
      <c r="E259" s="9" t="n"/>
      <c r="F259" s="23" t="n"/>
      <c r="G259" s="19" t="n"/>
      <c r="H259" s="23" t="n"/>
      <c r="I259" s="24" t="n"/>
      <c r="J259" s="19" t="n"/>
      <c r="K259" s="25">
        <f>IF($D259="","",IFERROR(INDEX(Profile!$B$5:$B$304,MATCH($D259,lst_Profil,0)),""))</f>
        <v/>
      </c>
      <c r="L259" s="13">
        <f>IF($D259="","",IFERROR(INDEX(Profile!$K$5:$K$304,MATCH($D259,lst_Profil,0))+0,""))</f>
        <v/>
      </c>
      <c r="M259" s="26">
        <f>IF($D259="","",IFERROR(INDEX(Profile!$E$5:$E$304,MATCH($D259,lst_Profil,0))+0,""))</f>
        <v/>
      </c>
      <c r="N259" s="27">
        <f>IF(OR(L259="",$E259=""),"",IFERROR(L259*INDEX(Werkstoffe!$E$5:$E$304,MATCH($E259,lst_Werkstoff,0))/1000,""))</f>
        <v/>
      </c>
      <c r="O259" s="27">
        <f>IF(OR(N259="",$F259=""),"",N259*$F259/1000)</f>
        <v/>
      </c>
      <c r="P259" s="16">
        <f>IF(OR($F259="",$G259=""),"",$F259*$G259)</f>
        <v/>
      </c>
      <c r="Q259" s="16">
        <f>IF($D259="","",IF($J259&lt;&gt;"",$J259,$C$9))</f>
        <v/>
      </c>
      <c r="R259" s="12">
        <f>IF($D259="","",IFERROR(IF(INDEX(Profile!$G$5:$G$304,MATCH($D259,lst_Profil,0))&lt;&gt;"",INDEX(Profile!$G$5:$G$304,MATCH($D259,lst_Profil,0)),$H$4),$H$4))</f>
        <v/>
      </c>
      <c r="S259" s="12">
        <f>IF($D259="","",IFERROR(IF(INDEX(Profile!$H$5:$H$304,MATCH($D259,lst_Profil,0))&lt;&gt;"",INDEX(Profile!$H$5:$H$304,MATCH($D259,lst_Profil,0)),$H$5),$H$5))</f>
        <v/>
      </c>
      <c r="T259" s="16">
        <f>IF(OR(Q259="",NOT(ISNUMBER(R259)),NOT(ISNUMBER(S259))),"",Q259-R259-S259)</f>
        <v/>
      </c>
      <c r="U259" s="28">
        <f>IF(OR($D259="",$E259=""),"",IF(OR(N($AP259)&gt;0,COUNTIFS(Preise!$A$5:$A$304,$D259,Preise!$B$5:$B$304,$E259,Preise!$I$5:$I$304,"OK")&gt;0,N(INDEX(Werkstoffe!$G$5:$G$304,MATCH($E259,lst_Werkstoff,0)))&gt;0),"ja","nein"))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28">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Materialpreis",IF(AND($AQ259&lt;&gt;"",N($AR259)&gt;0,MOD($G259,$AR259)&lt;&gt;0),"WARNUNG: Stückzahl ist kein Vielfaches von Stück je Satz",IF($H259="","HINWEIS: Schneidweg fehlt",IF(V259="","HINWEIS: keine Schneiddaten",IF(AND($AF259&lt;&gt;"",$AG259=""),"HINWEIS: Gewinde-Vorschlag prüfen","OK")))))))))))))))</f>
        <v/>
      </c>
      <c r="X259" s="18">
        <f>IF(OR(O259="",$G259=""),"",O259*$G259)</f>
        <v/>
      </c>
      <c r="Y259" s="9" t="n"/>
      <c r="Z259" s="23" t="n"/>
      <c r="AA259" s="9" t="n"/>
      <c r="AB259" s="23" t="n"/>
      <c r="AC259" s="23" t="n"/>
      <c r="AD259" s="23" t="n"/>
      <c r="AE259" s="9" t="n"/>
      <c r="AF259" s="9" t="n"/>
      <c r="AG259" s="9" t="n"/>
      <c r="AH259" s="24" t="n"/>
      <c r="AI259" s="23" t="n"/>
      <c r="AJ259" s="24" t="n"/>
      <c r="AK259" s="23" t="n"/>
      <c r="AL259" s="24" t="n"/>
      <c r="AM259" s="23" t="n"/>
      <c r="AN259" s="28">
        <f>IF($D259="","",COUNTIFS(Stangenbelegung!$E$5:$E$10004,ROW()))</f>
        <v/>
      </c>
      <c r="AO259" s="28">
        <f>IF(OR($G259="",COUNTA(Stangenbelegung!$A$5:$A$10004)=0),"",$G259-AN259)</f>
        <v/>
      </c>
      <c r="AP259" s="29" t="n"/>
      <c r="AQ259" s="9" t="n"/>
      <c r="AR259" s="19" t="n"/>
    </row>
    <row r="260">
      <c r="A260" s="9" t="n"/>
      <c r="B260" s="9" t="n"/>
      <c r="C260" s="9" t="n"/>
      <c r="D260" s="9" t="n"/>
      <c r="E260" s="9" t="n"/>
      <c r="F260" s="23" t="n"/>
      <c r="G260" s="19" t="n"/>
      <c r="H260" s="23" t="n"/>
      <c r="I260" s="24" t="n"/>
      <c r="J260" s="19" t="n"/>
      <c r="K260" s="25">
        <f>IF($D260="","",IFERROR(INDEX(Profile!$B$5:$B$304,MATCH($D260,lst_Profil,0)),""))</f>
        <v/>
      </c>
      <c r="L260" s="13">
        <f>IF($D260="","",IFERROR(INDEX(Profile!$K$5:$K$304,MATCH($D260,lst_Profil,0))+0,""))</f>
        <v/>
      </c>
      <c r="M260" s="26">
        <f>IF($D260="","",IFERROR(INDEX(Profile!$E$5:$E$304,MATCH($D260,lst_Profil,0))+0,""))</f>
        <v/>
      </c>
      <c r="N260" s="27">
        <f>IF(OR(L260="",$E260=""),"",IFERROR(L260*INDEX(Werkstoffe!$E$5:$E$304,MATCH($E260,lst_Werkstoff,0))/1000,""))</f>
        <v/>
      </c>
      <c r="O260" s="27">
        <f>IF(OR(N260="",$F260=""),"",N260*$F260/1000)</f>
        <v/>
      </c>
      <c r="P260" s="16">
        <f>IF(OR($F260="",$G260=""),"",$F260*$G260)</f>
        <v/>
      </c>
      <c r="Q260" s="16">
        <f>IF($D260="","",IF($J260&lt;&gt;"",$J260,$C$9))</f>
        <v/>
      </c>
      <c r="R260" s="12">
        <f>IF($D260="","",IFERROR(IF(INDEX(Profile!$G$5:$G$304,MATCH($D260,lst_Profil,0))&lt;&gt;"",INDEX(Profile!$G$5:$G$304,MATCH($D260,lst_Profil,0)),$H$4),$H$4))</f>
        <v/>
      </c>
      <c r="S260" s="12">
        <f>IF($D260="","",IFERROR(IF(INDEX(Profile!$H$5:$H$304,MATCH($D260,lst_Profil,0))&lt;&gt;"",INDEX(Profile!$H$5:$H$304,MATCH($D260,lst_Profil,0)),$H$5),$H$5))</f>
        <v/>
      </c>
      <c r="T260" s="16">
        <f>IF(OR(Q260="",NOT(ISNUMBER(R260)),NOT(ISNUMBER(S260))),"",Q260-R260-S260)</f>
        <v/>
      </c>
      <c r="U260" s="28">
        <f>IF(OR($D260="",$E260=""),"",IF(OR(N($AP260)&gt;0,COUNTIFS(Preise!$A$5:$A$304,$D260,Preise!$B$5:$B$304,$E260,Preise!$I$5:$I$304,"OK")&gt;0,N(INDEX(Werkstoffe!$G$5:$G$304,MATCH($E260,lst_Werkstoff,0)))&gt;0),"ja","nein"))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28">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Materialpreis",IF(AND($AQ260&lt;&gt;"",N($AR260)&gt;0,MOD($G260,$AR260)&lt;&gt;0),"WARNUNG: Stückzahl ist kein Vielfaches von Stück je Satz",IF($H260="","HINWEIS: Schneidweg fehlt",IF(V260="","HINWEIS: keine Schneiddaten",IF(AND($AF260&lt;&gt;"",$AG260=""),"HINWEIS: Gewinde-Vorschlag prüfen","OK")))))))))))))))</f>
        <v/>
      </c>
      <c r="X260" s="18">
        <f>IF(OR(O260="",$G260=""),"",O260*$G260)</f>
        <v/>
      </c>
      <c r="Y260" s="9" t="n"/>
      <c r="Z260" s="23" t="n"/>
      <c r="AA260" s="9" t="n"/>
      <c r="AB260" s="23" t="n"/>
      <c r="AC260" s="23" t="n"/>
      <c r="AD260" s="23" t="n"/>
      <c r="AE260" s="9" t="n"/>
      <c r="AF260" s="9" t="n"/>
      <c r="AG260" s="9" t="n"/>
      <c r="AH260" s="24" t="n"/>
      <c r="AI260" s="23" t="n"/>
      <c r="AJ260" s="24" t="n"/>
      <c r="AK260" s="23" t="n"/>
      <c r="AL260" s="24" t="n"/>
      <c r="AM260" s="23" t="n"/>
      <c r="AN260" s="28">
        <f>IF($D260="","",COUNTIFS(Stangenbelegung!$E$5:$E$10004,ROW()))</f>
        <v/>
      </c>
      <c r="AO260" s="28">
        <f>IF(OR($G260="",COUNTA(Stangenbelegung!$A$5:$A$10004)=0),"",$G260-AN260)</f>
        <v/>
      </c>
      <c r="AP260" s="29" t="n"/>
      <c r="AQ260" s="9" t="n"/>
      <c r="AR260" s="19" t="n"/>
    </row>
    <row r="261">
      <c r="A261" s="9" t="n"/>
      <c r="B261" s="9" t="n"/>
      <c r="C261" s="9" t="n"/>
      <c r="D261" s="9" t="n"/>
      <c r="E261" s="9" t="n"/>
      <c r="F261" s="23" t="n"/>
      <c r="G261" s="19" t="n"/>
      <c r="H261" s="23" t="n"/>
      <c r="I261" s="24" t="n"/>
      <c r="J261" s="19" t="n"/>
      <c r="K261" s="25">
        <f>IF($D261="","",IFERROR(INDEX(Profile!$B$5:$B$304,MATCH($D261,lst_Profil,0)),""))</f>
        <v/>
      </c>
      <c r="L261" s="13">
        <f>IF($D261="","",IFERROR(INDEX(Profile!$K$5:$K$304,MATCH($D261,lst_Profil,0))+0,""))</f>
        <v/>
      </c>
      <c r="M261" s="26">
        <f>IF($D261="","",IFERROR(INDEX(Profile!$E$5:$E$304,MATCH($D261,lst_Profil,0))+0,""))</f>
        <v/>
      </c>
      <c r="N261" s="27">
        <f>IF(OR(L261="",$E261=""),"",IFERROR(L261*INDEX(Werkstoffe!$E$5:$E$304,MATCH($E261,lst_Werkstoff,0))/1000,""))</f>
        <v/>
      </c>
      <c r="O261" s="27">
        <f>IF(OR(N261="",$F261=""),"",N261*$F261/1000)</f>
        <v/>
      </c>
      <c r="P261" s="16">
        <f>IF(OR($F261="",$G261=""),"",$F261*$G261)</f>
        <v/>
      </c>
      <c r="Q261" s="16">
        <f>IF($D261="","",IF($J261&lt;&gt;"",$J261,$C$9))</f>
        <v/>
      </c>
      <c r="R261" s="12">
        <f>IF($D261="","",IFERROR(IF(INDEX(Profile!$G$5:$G$304,MATCH($D261,lst_Profil,0))&lt;&gt;"",INDEX(Profile!$G$5:$G$304,MATCH($D261,lst_Profil,0)),$H$4),$H$4))</f>
        <v/>
      </c>
      <c r="S261" s="12">
        <f>IF($D261="","",IFERROR(IF(INDEX(Profile!$H$5:$H$304,MATCH($D261,lst_Profil,0))&lt;&gt;"",INDEX(Profile!$H$5:$H$304,MATCH($D261,lst_Profil,0)),$H$5),$H$5))</f>
        <v/>
      </c>
      <c r="T261" s="16">
        <f>IF(OR(Q261="",NOT(ISNUMBER(R261)),NOT(ISNUMBER(S261))),"",Q261-R261-S261)</f>
        <v/>
      </c>
      <c r="U261" s="28">
        <f>IF(OR($D261="",$E261=""),"",IF(OR(N($AP261)&gt;0,COUNTIFS(Preise!$A$5:$A$304,$D261,Preise!$B$5:$B$304,$E261,Preise!$I$5:$I$304,"OK")&gt;0,N(INDEX(Werkstoffe!$G$5:$G$304,MATCH($E261,lst_Werkstoff,0)))&gt;0),"ja","nein"))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28">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Materialpreis",IF(AND($AQ261&lt;&gt;"",N($AR261)&gt;0,MOD($G261,$AR261)&lt;&gt;0),"WARNUNG: Stückzahl ist kein Vielfaches von Stück je Satz",IF($H261="","HINWEIS: Schneidweg fehlt",IF(V261="","HINWEIS: keine Schneiddaten",IF(AND($AF261&lt;&gt;"",$AG261=""),"HINWEIS: Gewinde-Vorschlag prüfen","OK")))))))))))))))</f>
        <v/>
      </c>
      <c r="X261" s="18">
        <f>IF(OR(O261="",$G261=""),"",O261*$G261)</f>
        <v/>
      </c>
      <c r="Y261" s="9" t="n"/>
      <c r="Z261" s="23" t="n"/>
      <c r="AA261" s="9" t="n"/>
      <c r="AB261" s="23" t="n"/>
      <c r="AC261" s="23" t="n"/>
      <c r="AD261" s="23" t="n"/>
      <c r="AE261" s="9" t="n"/>
      <c r="AF261" s="9" t="n"/>
      <c r="AG261" s="9" t="n"/>
      <c r="AH261" s="24" t="n"/>
      <c r="AI261" s="23" t="n"/>
      <c r="AJ261" s="24" t="n"/>
      <c r="AK261" s="23" t="n"/>
      <c r="AL261" s="24" t="n"/>
      <c r="AM261" s="23" t="n"/>
      <c r="AN261" s="28">
        <f>IF($D261="","",COUNTIFS(Stangenbelegung!$E$5:$E$10004,ROW()))</f>
        <v/>
      </c>
      <c r="AO261" s="28">
        <f>IF(OR($G261="",COUNTA(Stangenbelegung!$A$5:$A$10004)=0),"",$G261-AN261)</f>
        <v/>
      </c>
      <c r="AP261" s="29" t="n"/>
      <c r="AQ261" s="9" t="n"/>
      <c r="AR261" s="19" t="n"/>
    </row>
    <row r="262">
      <c r="A262" s="9" t="n"/>
      <c r="B262" s="9" t="n"/>
      <c r="C262" s="9" t="n"/>
      <c r="D262" s="9" t="n"/>
      <c r="E262" s="9" t="n"/>
      <c r="F262" s="23" t="n"/>
      <c r="G262" s="19" t="n"/>
      <c r="H262" s="23" t="n"/>
      <c r="I262" s="24" t="n"/>
      <c r="J262" s="19" t="n"/>
      <c r="K262" s="25">
        <f>IF($D262="","",IFERROR(INDEX(Profile!$B$5:$B$304,MATCH($D262,lst_Profil,0)),""))</f>
        <v/>
      </c>
      <c r="L262" s="13">
        <f>IF($D262="","",IFERROR(INDEX(Profile!$K$5:$K$304,MATCH($D262,lst_Profil,0))+0,""))</f>
        <v/>
      </c>
      <c r="M262" s="26">
        <f>IF($D262="","",IFERROR(INDEX(Profile!$E$5:$E$304,MATCH($D262,lst_Profil,0))+0,""))</f>
        <v/>
      </c>
      <c r="N262" s="27">
        <f>IF(OR(L262="",$E262=""),"",IFERROR(L262*INDEX(Werkstoffe!$E$5:$E$304,MATCH($E262,lst_Werkstoff,0))/1000,""))</f>
        <v/>
      </c>
      <c r="O262" s="27">
        <f>IF(OR(N262="",$F262=""),"",N262*$F262/1000)</f>
        <v/>
      </c>
      <c r="P262" s="16">
        <f>IF(OR($F262="",$G262=""),"",$F262*$G262)</f>
        <v/>
      </c>
      <c r="Q262" s="16">
        <f>IF($D262="","",IF($J262&lt;&gt;"",$J262,$C$9))</f>
        <v/>
      </c>
      <c r="R262" s="12">
        <f>IF($D262="","",IFERROR(IF(INDEX(Profile!$G$5:$G$304,MATCH($D262,lst_Profil,0))&lt;&gt;"",INDEX(Profile!$G$5:$G$304,MATCH($D262,lst_Profil,0)),$H$4),$H$4))</f>
        <v/>
      </c>
      <c r="S262" s="12">
        <f>IF($D262="","",IFERROR(IF(INDEX(Profile!$H$5:$H$304,MATCH($D262,lst_Profil,0))&lt;&gt;"",INDEX(Profile!$H$5:$H$304,MATCH($D262,lst_Profil,0)),$H$5),$H$5))</f>
        <v/>
      </c>
      <c r="T262" s="16">
        <f>IF(OR(Q262="",NOT(ISNUMBER(R262)),NOT(ISNUMBER(S262))),"",Q262-R262-S262)</f>
        <v/>
      </c>
      <c r="U262" s="28">
        <f>IF(OR($D262="",$E262=""),"",IF(OR(N($AP262)&gt;0,COUNTIFS(Preise!$A$5:$A$304,$D262,Preise!$B$5:$B$304,$E262,Preise!$I$5:$I$304,"OK")&gt;0,N(INDEX(Werkstoffe!$G$5:$G$304,MATCH($E262,lst_Werkstoff,0)))&gt;0),"ja","nein"))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28">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Materialpreis",IF(AND($AQ262&lt;&gt;"",N($AR262)&gt;0,MOD($G262,$AR262)&lt;&gt;0),"WARNUNG: Stückzahl ist kein Vielfaches von Stück je Satz",IF($H262="","HINWEIS: Schneidweg fehlt",IF(V262="","HINWEIS: keine Schneiddaten",IF(AND($AF262&lt;&gt;"",$AG262=""),"HINWEIS: Gewinde-Vorschlag prüfen","OK")))))))))))))))</f>
        <v/>
      </c>
      <c r="X262" s="18">
        <f>IF(OR(O262="",$G262=""),"",O262*$G262)</f>
        <v/>
      </c>
      <c r="Y262" s="9" t="n"/>
      <c r="Z262" s="23" t="n"/>
      <c r="AA262" s="9" t="n"/>
      <c r="AB262" s="23" t="n"/>
      <c r="AC262" s="23" t="n"/>
      <c r="AD262" s="23" t="n"/>
      <c r="AE262" s="9" t="n"/>
      <c r="AF262" s="9" t="n"/>
      <c r="AG262" s="9" t="n"/>
      <c r="AH262" s="24" t="n"/>
      <c r="AI262" s="23" t="n"/>
      <c r="AJ262" s="24" t="n"/>
      <c r="AK262" s="23" t="n"/>
      <c r="AL262" s="24" t="n"/>
      <c r="AM262" s="23" t="n"/>
      <c r="AN262" s="28">
        <f>IF($D262="","",COUNTIFS(Stangenbelegung!$E$5:$E$10004,ROW()))</f>
        <v/>
      </c>
      <c r="AO262" s="28">
        <f>IF(OR($G262="",COUNTA(Stangenbelegung!$A$5:$A$10004)=0),"",$G262-AN262)</f>
        <v/>
      </c>
      <c r="AP262" s="29" t="n"/>
      <c r="AQ262" s="9" t="n"/>
      <c r="AR262" s="19" t="n"/>
    </row>
    <row r="263">
      <c r="A263" s="9" t="n"/>
      <c r="B263" s="9" t="n"/>
      <c r="C263" s="9" t="n"/>
      <c r="D263" s="9" t="n"/>
      <c r="E263" s="9" t="n"/>
      <c r="F263" s="23" t="n"/>
      <c r="G263" s="19" t="n"/>
      <c r="H263" s="23" t="n"/>
      <c r="I263" s="24" t="n"/>
      <c r="J263" s="19" t="n"/>
      <c r="K263" s="25">
        <f>IF($D263="","",IFERROR(INDEX(Profile!$B$5:$B$304,MATCH($D263,lst_Profil,0)),""))</f>
        <v/>
      </c>
      <c r="L263" s="13">
        <f>IF($D263="","",IFERROR(INDEX(Profile!$K$5:$K$304,MATCH($D263,lst_Profil,0))+0,""))</f>
        <v/>
      </c>
      <c r="M263" s="26">
        <f>IF($D263="","",IFERROR(INDEX(Profile!$E$5:$E$304,MATCH($D263,lst_Profil,0))+0,""))</f>
        <v/>
      </c>
      <c r="N263" s="27">
        <f>IF(OR(L263="",$E263=""),"",IFERROR(L263*INDEX(Werkstoffe!$E$5:$E$304,MATCH($E263,lst_Werkstoff,0))/1000,""))</f>
        <v/>
      </c>
      <c r="O263" s="27">
        <f>IF(OR(N263="",$F263=""),"",N263*$F263/1000)</f>
        <v/>
      </c>
      <c r="P263" s="16">
        <f>IF(OR($F263="",$G263=""),"",$F263*$G263)</f>
        <v/>
      </c>
      <c r="Q263" s="16">
        <f>IF($D263="","",IF($J263&lt;&gt;"",$J263,$C$9))</f>
        <v/>
      </c>
      <c r="R263" s="12">
        <f>IF($D263="","",IFERROR(IF(INDEX(Profile!$G$5:$G$304,MATCH($D263,lst_Profil,0))&lt;&gt;"",INDEX(Profile!$G$5:$G$304,MATCH($D263,lst_Profil,0)),$H$4),$H$4))</f>
        <v/>
      </c>
      <c r="S263" s="12">
        <f>IF($D263="","",IFERROR(IF(INDEX(Profile!$H$5:$H$304,MATCH($D263,lst_Profil,0))&lt;&gt;"",INDEX(Profile!$H$5:$H$304,MATCH($D263,lst_Profil,0)),$H$5),$H$5))</f>
        <v/>
      </c>
      <c r="T263" s="16">
        <f>IF(OR(Q263="",NOT(ISNUMBER(R263)),NOT(ISNUMBER(S263))),"",Q263-R263-S263)</f>
        <v/>
      </c>
      <c r="U263" s="28">
        <f>IF(OR($D263="",$E263=""),"",IF(OR(N($AP263)&gt;0,COUNTIFS(Preise!$A$5:$A$304,$D263,Preise!$B$5:$B$304,$E263,Preise!$I$5:$I$304,"OK")&gt;0,N(INDEX(Werkstoffe!$G$5:$G$304,MATCH($E263,lst_Werkstoff,0)))&gt;0),"ja","nein"))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28">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Materialpreis",IF(AND($AQ263&lt;&gt;"",N($AR263)&gt;0,MOD($G263,$AR263)&lt;&gt;0),"WARNUNG: Stückzahl ist kein Vielfaches von Stück je Satz",IF($H263="","HINWEIS: Schneidweg fehlt",IF(V263="","HINWEIS: keine Schneiddaten",IF(AND($AF263&lt;&gt;"",$AG263=""),"HINWEIS: Gewinde-Vorschlag prüfen","OK")))))))))))))))</f>
        <v/>
      </c>
      <c r="X263" s="18">
        <f>IF(OR(O263="",$G263=""),"",O263*$G263)</f>
        <v/>
      </c>
      <c r="Y263" s="9" t="n"/>
      <c r="Z263" s="23" t="n"/>
      <c r="AA263" s="9" t="n"/>
      <c r="AB263" s="23" t="n"/>
      <c r="AC263" s="23" t="n"/>
      <c r="AD263" s="23" t="n"/>
      <c r="AE263" s="9" t="n"/>
      <c r="AF263" s="9" t="n"/>
      <c r="AG263" s="9" t="n"/>
      <c r="AH263" s="24" t="n"/>
      <c r="AI263" s="23" t="n"/>
      <c r="AJ263" s="24" t="n"/>
      <c r="AK263" s="23" t="n"/>
      <c r="AL263" s="24" t="n"/>
      <c r="AM263" s="23" t="n"/>
      <c r="AN263" s="28">
        <f>IF($D263="","",COUNTIFS(Stangenbelegung!$E$5:$E$10004,ROW()))</f>
        <v/>
      </c>
      <c r="AO263" s="28">
        <f>IF(OR($G263="",COUNTA(Stangenbelegung!$A$5:$A$10004)=0),"",$G263-AN263)</f>
        <v/>
      </c>
      <c r="AP263" s="29" t="n"/>
      <c r="AQ263" s="9" t="n"/>
      <c r="AR263" s="19" t="n"/>
    </row>
    <row r="264">
      <c r="A264" s="9" t="n"/>
      <c r="B264" s="9" t="n"/>
      <c r="C264" s="9" t="n"/>
      <c r="D264" s="9" t="n"/>
      <c r="E264" s="9" t="n"/>
      <c r="F264" s="23" t="n"/>
      <c r="G264" s="19" t="n"/>
      <c r="H264" s="23" t="n"/>
      <c r="I264" s="24" t="n"/>
      <c r="J264" s="19" t="n"/>
      <c r="K264" s="25">
        <f>IF($D264="","",IFERROR(INDEX(Profile!$B$5:$B$304,MATCH($D264,lst_Profil,0)),""))</f>
        <v/>
      </c>
      <c r="L264" s="13">
        <f>IF($D264="","",IFERROR(INDEX(Profile!$K$5:$K$304,MATCH($D264,lst_Profil,0))+0,""))</f>
        <v/>
      </c>
      <c r="M264" s="26">
        <f>IF($D264="","",IFERROR(INDEX(Profile!$E$5:$E$304,MATCH($D264,lst_Profil,0))+0,""))</f>
        <v/>
      </c>
      <c r="N264" s="27">
        <f>IF(OR(L264="",$E264=""),"",IFERROR(L264*INDEX(Werkstoffe!$E$5:$E$304,MATCH($E264,lst_Werkstoff,0))/1000,""))</f>
        <v/>
      </c>
      <c r="O264" s="27">
        <f>IF(OR(N264="",$F264=""),"",N264*$F264/1000)</f>
        <v/>
      </c>
      <c r="P264" s="16">
        <f>IF(OR($F264="",$G264=""),"",$F264*$G264)</f>
        <v/>
      </c>
      <c r="Q264" s="16">
        <f>IF($D264="","",IF($J264&lt;&gt;"",$J264,$C$9))</f>
        <v/>
      </c>
      <c r="R264" s="12">
        <f>IF($D264="","",IFERROR(IF(INDEX(Profile!$G$5:$G$304,MATCH($D264,lst_Profil,0))&lt;&gt;"",INDEX(Profile!$G$5:$G$304,MATCH($D264,lst_Profil,0)),$H$4),$H$4))</f>
        <v/>
      </c>
      <c r="S264" s="12">
        <f>IF($D264="","",IFERROR(IF(INDEX(Profile!$H$5:$H$304,MATCH($D264,lst_Profil,0))&lt;&gt;"",INDEX(Profile!$H$5:$H$304,MATCH($D264,lst_Profil,0)),$H$5),$H$5))</f>
        <v/>
      </c>
      <c r="T264" s="16">
        <f>IF(OR(Q264="",NOT(ISNUMBER(R264)),NOT(ISNUMBER(S264))),"",Q264-R264-S264)</f>
        <v/>
      </c>
      <c r="U264" s="28">
        <f>IF(OR($D264="",$E264=""),"",IF(OR(N($AP264)&gt;0,COUNTIFS(Preise!$A$5:$A$304,$D264,Preise!$B$5:$B$304,$E264,Preise!$I$5:$I$304,"OK")&gt;0,N(INDEX(Werkstoffe!$G$5:$G$304,MATCH($E264,lst_Werkstoff,0)))&gt;0),"ja","nein"))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28">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Materialpreis",IF(AND($AQ264&lt;&gt;"",N($AR264)&gt;0,MOD($G264,$AR264)&lt;&gt;0),"WARNUNG: Stückzahl ist kein Vielfaches von Stück je Satz",IF($H264="","HINWEIS: Schneidweg fehlt",IF(V264="","HINWEIS: keine Schneiddaten",IF(AND($AF264&lt;&gt;"",$AG264=""),"HINWEIS: Gewinde-Vorschlag prüfen","OK")))))))))))))))</f>
        <v/>
      </c>
      <c r="X264" s="18">
        <f>IF(OR(O264="",$G264=""),"",O264*$G264)</f>
        <v/>
      </c>
      <c r="Y264" s="9" t="n"/>
      <c r="Z264" s="23" t="n"/>
      <c r="AA264" s="9" t="n"/>
      <c r="AB264" s="23" t="n"/>
      <c r="AC264" s="23" t="n"/>
      <c r="AD264" s="23" t="n"/>
      <c r="AE264" s="9" t="n"/>
      <c r="AF264" s="9" t="n"/>
      <c r="AG264" s="9" t="n"/>
      <c r="AH264" s="24" t="n"/>
      <c r="AI264" s="23" t="n"/>
      <c r="AJ264" s="24" t="n"/>
      <c r="AK264" s="23" t="n"/>
      <c r="AL264" s="24" t="n"/>
      <c r="AM264" s="23" t="n"/>
      <c r="AN264" s="28">
        <f>IF($D264="","",COUNTIFS(Stangenbelegung!$E$5:$E$10004,ROW()))</f>
        <v/>
      </c>
      <c r="AO264" s="28">
        <f>IF(OR($G264="",COUNTA(Stangenbelegung!$A$5:$A$10004)=0),"",$G264-AN264)</f>
        <v/>
      </c>
      <c r="AP264" s="29" t="n"/>
      <c r="AQ264" s="9" t="n"/>
      <c r="AR264" s="19" t="n"/>
    </row>
    <row r="265">
      <c r="A265" s="9" t="n"/>
      <c r="B265" s="9" t="n"/>
      <c r="C265" s="9" t="n"/>
      <c r="D265" s="9" t="n"/>
      <c r="E265" s="9" t="n"/>
      <c r="F265" s="23" t="n"/>
      <c r="G265" s="19" t="n"/>
      <c r="H265" s="23" t="n"/>
      <c r="I265" s="24" t="n"/>
      <c r="J265" s="19" t="n"/>
      <c r="K265" s="25">
        <f>IF($D265="","",IFERROR(INDEX(Profile!$B$5:$B$304,MATCH($D265,lst_Profil,0)),""))</f>
        <v/>
      </c>
      <c r="L265" s="13">
        <f>IF($D265="","",IFERROR(INDEX(Profile!$K$5:$K$304,MATCH($D265,lst_Profil,0))+0,""))</f>
        <v/>
      </c>
      <c r="M265" s="26">
        <f>IF($D265="","",IFERROR(INDEX(Profile!$E$5:$E$304,MATCH($D265,lst_Profil,0))+0,""))</f>
        <v/>
      </c>
      <c r="N265" s="27">
        <f>IF(OR(L265="",$E265=""),"",IFERROR(L265*INDEX(Werkstoffe!$E$5:$E$304,MATCH($E265,lst_Werkstoff,0))/1000,""))</f>
        <v/>
      </c>
      <c r="O265" s="27">
        <f>IF(OR(N265="",$F265=""),"",N265*$F265/1000)</f>
        <v/>
      </c>
      <c r="P265" s="16">
        <f>IF(OR($F265="",$G265=""),"",$F265*$G265)</f>
        <v/>
      </c>
      <c r="Q265" s="16">
        <f>IF($D265="","",IF($J265&lt;&gt;"",$J265,$C$9))</f>
        <v/>
      </c>
      <c r="R265" s="12">
        <f>IF($D265="","",IFERROR(IF(INDEX(Profile!$G$5:$G$304,MATCH($D265,lst_Profil,0))&lt;&gt;"",INDEX(Profile!$G$5:$G$304,MATCH($D265,lst_Profil,0)),$H$4),$H$4))</f>
        <v/>
      </c>
      <c r="S265" s="12">
        <f>IF($D265="","",IFERROR(IF(INDEX(Profile!$H$5:$H$304,MATCH($D265,lst_Profil,0))&lt;&gt;"",INDEX(Profile!$H$5:$H$304,MATCH($D265,lst_Profil,0)),$H$5),$H$5))</f>
        <v/>
      </c>
      <c r="T265" s="16">
        <f>IF(OR(Q265="",NOT(ISNUMBER(R265)),NOT(ISNUMBER(S265))),"",Q265-R265-S265)</f>
        <v/>
      </c>
      <c r="U265" s="28">
        <f>IF(OR($D265="",$E265=""),"",IF(OR(N($AP265)&gt;0,COUNTIFS(Preise!$A$5:$A$304,$D265,Preise!$B$5:$B$304,$E265,Preise!$I$5:$I$304,"OK")&gt;0,N(INDEX(Werkstoffe!$G$5:$G$304,MATCH($E265,lst_Werkstoff,0)))&gt;0),"ja","nein"))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28">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Materialpreis",IF(AND($AQ265&lt;&gt;"",N($AR265)&gt;0,MOD($G265,$AR265)&lt;&gt;0),"WARNUNG: Stückzahl ist kein Vielfaches von Stück je Satz",IF($H265="","HINWEIS: Schneidweg fehlt",IF(V265="","HINWEIS: keine Schneiddaten",IF(AND($AF265&lt;&gt;"",$AG265=""),"HINWEIS: Gewinde-Vorschlag prüfen","OK")))))))))))))))</f>
        <v/>
      </c>
      <c r="X265" s="18">
        <f>IF(OR(O265="",$G265=""),"",O265*$G265)</f>
        <v/>
      </c>
      <c r="Y265" s="9" t="n"/>
      <c r="Z265" s="23" t="n"/>
      <c r="AA265" s="9" t="n"/>
      <c r="AB265" s="23" t="n"/>
      <c r="AC265" s="23" t="n"/>
      <c r="AD265" s="23" t="n"/>
      <c r="AE265" s="9" t="n"/>
      <c r="AF265" s="9" t="n"/>
      <c r="AG265" s="9" t="n"/>
      <c r="AH265" s="24" t="n"/>
      <c r="AI265" s="23" t="n"/>
      <c r="AJ265" s="24" t="n"/>
      <c r="AK265" s="23" t="n"/>
      <c r="AL265" s="24" t="n"/>
      <c r="AM265" s="23" t="n"/>
      <c r="AN265" s="28">
        <f>IF($D265="","",COUNTIFS(Stangenbelegung!$E$5:$E$10004,ROW()))</f>
        <v/>
      </c>
      <c r="AO265" s="28">
        <f>IF(OR($G265="",COUNTA(Stangenbelegung!$A$5:$A$10004)=0),"",$G265-AN265)</f>
        <v/>
      </c>
      <c r="AP265" s="29" t="n"/>
      <c r="AQ265" s="9" t="n"/>
      <c r="AR265" s="19" t="n"/>
    </row>
    <row r="266">
      <c r="A266" s="9" t="n"/>
      <c r="B266" s="9" t="n"/>
      <c r="C266" s="9" t="n"/>
      <c r="D266" s="9" t="n"/>
      <c r="E266" s="9" t="n"/>
      <c r="F266" s="23" t="n"/>
      <c r="G266" s="19" t="n"/>
      <c r="H266" s="23" t="n"/>
      <c r="I266" s="24" t="n"/>
      <c r="J266" s="19" t="n"/>
      <c r="K266" s="25">
        <f>IF($D266="","",IFERROR(INDEX(Profile!$B$5:$B$304,MATCH($D266,lst_Profil,0)),""))</f>
        <v/>
      </c>
      <c r="L266" s="13">
        <f>IF($D266="","",IFERROR(INDEX(Profile!$K$5:$K$304,MATCH($D266,lst_Profil,0))+0,""))</f>
        <v/>
      </c>
      <c r="M266" s="26">
        <f>IF($D266="","",IFERROR(INDEX(Profile!$E$5:$E$304,MATCH($D266,lst_Profil,0))+0,""))</f>
        <v/>
      </c>
      <c r="N266" s="27">
        <f>IF(OR(L266="",$E266=""),"",IFERROR(L266*INDEX(Werkstoffe!$E$5:$E$304,MATCH($E266,lst_Werkstoff,0))/1000,""))</f>
        <v/>
      </c>
      <c r="O266" s="27">
        <f>IF(OR(N266="",$F266=""),"",N266*$F266/1000)</f>
        <v/>
      </c>
      <c r="P266" s="16">
        <f>IF(OR($F266="",$G266=""),"",$F266*$G266)</f>
        <v/>
      </c>
      <c r="Q266" s="16">
        <f>IF($D266="","",IF($J266&lt;&gt;"",$J266,$C$9))</f>
        <v/>
      </c>
      <c r="R266" s="12">
        <f>IF($D266="","",IFERROR(IF(INDEX(Profile!$G$5:$G$304,MATCH($D266,lst_Profil,0))&lt;&gt;"",INDEX(Profile!$G$5:$G$304,MATCH($D266,lst_Profil,0)),$H$4),$H$4))</f>
        <v/>
      </c>
      <c r="S266" s="12">
        <f>IF($D266="","",IFERROR(IF(INDEX(Profile!$H$5:$H$304,MATCH($D266,lst_Profil,0))&lt;&gt;"",INDEX(Profile!$H$5:$H$304,MATCH($D266,lst_Profil,0)),$H$5),$H$5))</f>
        <v/>
      </c>
      <c r="T266" s="16">
        <f>IF(OR(Q266="",NOT(ISNUMBER(R266)),NOT(ISNUMBER(S266))),"",Q266-R266-S266)</f>
        <v/>
      </c>
      <c r="U266" s="28">
        <f>IF(OR($D266="",$E266=""),"",IF(OR(N($AP266)&gt;0,COUNTIFS(Preise!$A$5:$A$304,$D266,Preise!$B$5:$B$304,$E266,Preise!$I$5:$I$304,"OK")&gt;0,N(INDEX(Werkstoffe!$G$5:$G$304,MATCH($E266,lst_Werkstoff,0)))&gt;0),"ja","nein"))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28">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Materialpreis",IF(AND($AQ266&lt;&gt;"",N($AR266)&gt;0,MOD($G266,$AR266)&lt;&gt;0),"WARNUNG: Stückzahl ist kein Vielfaches von Stück je Satz",IF($H266="","HINWEIS: Schneidweg fehlt",IF(V266="","HINWEIS: keine Schneiddaten",IF(AND($AF266&lt;&gt;"",$AG266=""),"HINWEIS: Gewinde-Vorschlag prüfen","OK")))))))))))))))</f>
        <v/>
      </c>
      <c r="X266" s="18">
        <f>IF(OR(O266="",$G266=""),"",O266*$G266)</f>
        <v/>
      </c>
      <c r="Y266" s="9" t="n"/>
      <c r="Z266" s="23" t="n"/>
      <c r="AA266" s="9" t="n"/>
      <c r="AB266" s="23" t="n"/>
      <c r="AC266" s="23" t="n"/>
      <c r="AD266" s="23" t="n"/>
      <c r="AE266" s="9" t="n"/>
      <c r="AF266" s="9" t="n"/>
      <c r="AG266" s="9" t="n"/>
      <c r="AH266" s="24" t="n"/>
      <c r="AI266" s="23" t="n"/>
      <c r="AJ266" s="24" t="n"/>
      <c r="AK266" s="23" t="n"/>
      <c r="AL266" s="24" t="n"/>
      <c r="AM266" s="23" t="n"/>
      <c r="AN266" s="28">
        <f>IF($D266="","",COUNTIFS(Stangenbelegung!$E$5:$E$10004,ROW()))</f>
        <v/>
      </c>
      <c r="AO266" s="28">
        <f>IF(OR($G266="",COUNTA(Stangenbelegung!$A$5:$A$10004)=0),"",$G266-AN266)</f>
        <v/>
      </c>
      <c r="AP266" s="29" t="n"/>
      <c r="AQ266" s="9" t="n"/>
      <c r="AR266" s="19" t="n"/>
    </row>
    <row r="267">
      <c r="A267" s="9" t="n"/>
      <c r="B267" s="9" t="n"/>
      <c r="C267" s="9" t="n"/>
      <c r="D267" s="9" t="n"/>
      <c r="E267" s="9" t="n"/>
      <c r="F267" s="23" t="n"/>
      <c r="G267" s="19" t="n"/>
      <c r="H267" s="23" t="n"/>
      <c r="I267" s="24" t="n"/>
      <c r="J267" s="19" t="n"/>
      <c r="K267" s="25">
        <f>IF($D267="","",IFERROR(INDEX(Profile!$B$5:$B$304,MATCH($D267,lst_Profil,0)),""))</f>
        <v/>
      </c>
      <c r="L267" s="13">
        <f>IF($D267="","",IFERROR(INDEX(Profile!$K$5:$K$304,MATCH($D267,lst_Profil,0))+0,""))</f>
        <v/>
      </c>
      <c r="M267" s="26">
        <f>IF($D267="","",IFERROR(INDEX(Profile!$E$5:$E$304,MATCH($D267,lst_Profil,0))+0,""))</f>
        <v/>
      </c>
      <c r="N267" s="27">
        <f>IF(OR(L267="",$E267=""),"",IFERROR(L267*INDEX(Werkstoffe!$E$5:$E$304,MATCH($E267,lst_Werkstoff,0))/1000,""))</f>
        <v/>
      </c>
      <c r="O267" s="27">
        <f>IF(OR(N267="",$F267=""),"",N267*$F267/1000)</f>
        <v/>
      </c>
      <c r="P267" s="16">
        <f>IF(OR($F267="",$G267=""),"",$F267*$G267)</f>
        <v/>
      </c>
      <c r="Q267" s="16">
        <f>IF($D267="","",IF($J267&lt;&gt;"",$J267,$C$9))</f>
        <v/>
      </c>
      <c r="R267" s="12">
        <f>IF($D267="","",IFERROR(IF(INDEX(Profile!$G$5:$G$304,MATCH($D267,lst_Profil,0))&lt;&gt;"",INDEX(Profile!$G$5:$G$304,MATCH($D267,lst_Profil,0)),$H$4),$H$4))</f>
        <v/>
      </c>
      <c r="S267" s="12">
        <f>IF($D267="","",IFERROR(IF(INDEX(Profile!$H$5:$H$304,MATCH($D267,lst_Profil,0))&lt;&gt;"",INDEX(Profile!$H$5:$H$304,MATCH($D267,lst_Profil,0)),$H$5),$H$5))</f>
        <v/>
      </c>
      <c r="T267" s="16">
        <f>IF(OR(Q267="",NOT(ISNUMBER(R267)),NOT(ISNUMBER(S267))),"",Q267-R267-S267)</f>
        <v/>
      </c>
      <c r="U267" s="28">
        <f>IF(OR($D267="",$E267=""),"",IF(OR(N($AP267)&gt;0,COUNTIFS(Preise!$A$5:$A$304,$D267,Preise!$B$5:$B$304,$E267,Preise!$I$5:$I$304,"OK")&gt;0,N(INDEX(Werkstoffe!$G$5:$G$304,MATCH($E267,lst_Werkstoff,0)))&gt;0),"ja","nein"))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28">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Materialpreis",IF(AND($AQ267&lt;&gt;"",N($AR267)&gt;0,MOD($G267,$AR267)&lt;&gt;0),"WARNUNG: Stückzahl ist kein Vielfaches von Stück je Satz",IF($H267="","HINWEIS: Schneidweg fehlt",IF(V267="","HINWEIS: keine Schneiddaten",IF(AND($AF267&lt;&gt;"",$AG267=""),"HINWEIS: Gewinde-Vorschlag prüfen","OK")))))))))))))))</f>
        <v/>
      </c>
      <c r="X267" s="18">
        <f>IF(OR(O267="",$G267=""),"",O267*$G267)</f>
        <v/>
      </c>
      <c r="Y267" s="9" t="n"/>
      <c r="Z267" s="23" t="n"/>
      <c r="AA267" s="9" t="n"/>
      <c r="AB267" s="23" t="n"/>
      <c r="AC267" s="23" t="n"/>
      <c r="AD267" s="23" t="n"/>
      <c r="AE267" s="9" t="n"/>
      <c r="AF267" s="9" t="n"/>
      <c r="AG267" s="9" t="n"/>
      <c r="AH267" s="24" t="n"/>
      <c r="AI267" s="23" t="n"/>
      <c r="AJ267" s="24" t="n"/>
      <c r="AK267" s="23" t="n"/>
      <c r="AL267" s="24" t="n"/>
      <c r="AM267" s="23" t="n"/>
      <c r="AN267" s="28">
        <f>IF($D267="","",COUNTIFS(Stangenbelegung!$E$5:$E$10004,ROW()))</f>
        <v/>
      </c>
      <c r="AO267" s="28">
        <f>IF(OR($G267="",COUNTA(Stangenbelegung!$A$5:$A$10004)=0),"",$G267-AN267)</f>
        <v/>
      </c>
      <c r="AP267" s="29" t="n"/>
      <c r="AQ267" s="9" t="n"/>
      <c r="AR267" s="19" t="n"/>
    </row>
    <row r="268">
      <c r="A268" s="9" t="n"/>
      <c r="B268" s="9" t="n"/>
      <c r="C268" s="9" t="n"/>
      <c r="D268" s="9" t="n"/>
      <c r="E268" s="9" t="n"/>
      <c r="F268" s="23" t="n"/>
      <c r="G268" s="19" t="n"/>
      <c r="H268" s="23" t="n"/>
      <c r="I268" s="24" t="n"/>
      <c r="J268" s="19" t="n"/>
      <c r="K268" s="25">
        <f>IF($D268="","",IFERROR(INDEX(Profile!$B$5:$B$304,MATCH($D268,lst_Profil,0)),""))</f>
        <v/>
      </c>
      <c r="L268" s="13">
        <f>IF($D268="","",IFERROR(INDEX(Profile!$K$5:$K$304,MATCH($D268,lst_Profil,0))+0,""))</f>
        <v/>
      </c>
      <c r="M268" s="26">
        <f>IF($D268="","",IFERROR(INDEX(Profile!$E$5:$E$304,MATCH($D268,lst_Profil,0))+0,""))</f>
        <v/>
      </c>
      <c r="N268" s="27">
        <f>IF(OR(L268="",$E268=""),"",IFERROR(L268*INDEX(Werkstoffe!$E$5:$E$304,MATCH($E268,lst_Werkstoff,0))/1000,""))</f>
        <v/>
      </c>
      <c r="O268" s="27">
        <f>IF(OR(N268="",$F268=""),"",N268*$F268/1000)</f>
        <v/>
      </c>
      <c r="P268" s="16">
        <f>IF(OR($F268="",$G268=""),"",$F268*$G268)</f>
        <v/>
      </c>
      <c r="Q268" s="16">
        <f>IF($D268="","",IF($J268&lt;&gt;"",$J268,$C$9))</f>
        <v/>
      </c>
      <c r="R268" s="12">
        <f>IF($D268="","",IFERROR(IF(INDEX(Profile!$G$5:$G$304,MATCH($D268,lst_Profil,0))&lt;&gt;"",INDEX(Profile!$G$5:$G$304,MATCH($D268,lst_Profil,0)),$H$4),$H$4))</f>
        <v/>
      </c>
      <c r="S268" s="12">
        <f>IF($D268="","",IFERROR(IF(INDEX(Profile!$H$5:$H$304,MATCH($D268,lst_Profil,0))&lt;&gt;"",INDEX(Profile!$H$5:$H$304,MATCH($D268,lst_Profil,0)),$H$5),$H$5))</f>
        <v/>
      </c>
      <c r="T268" s="16">
        <f>IF(OR(Q268="",NOT(ISNUMBER(R268)),NOT(ISNUMBER(S268))),"",Q268-R268-S268)</f>
        <v/>
      </c>
      <c r="U268" s="28">
        <f>IF(OR($D268="",$E268=""),"",IF(OR(N($AP268)&gt;0,COUNTIFS(Preise!$A$5:$A$304,$D268,Preise!$B$5:$B$304,$E268,Preise!$I$5:$I$304,"OK")&gt;0,N(INDEX(Werkstoffe!$G$5:$G$304,MATCH($E268,lst_Werkstoff,0)))&gt;0),"ja","nein"))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28">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Materialpreis",IF(AND($AQ268&lt;&gt;"",N($AR268)&gt;0,MOD($G268,$AR268)&lt;&gt;0),"WARNUNG: Stückzahl ist kein Vielfaches von Stück je Satz",IF($H268="","HINWEIS: Schneidweg fehlt",IF(V268="","HINWEIS: keine Schneiddaten",IF(AND($AF268&lt;&gt;"",$AG268=""),"HINWEIS: Gewinde-Vorschlag prüfen","OK")))))))))))))))</f>
        <v/>
      </c>
      <c r="X268" s="18">
        <f>IF(OR(O268="",$G268=""),"",O268*$G268)</f>
        <v/>
      </c>
      <c r="Y268" s="9" t="n"/>
      <c r="Z268" s="23" t="n"/>
      <c r="AA268" s="9" t="n"/>
      <c r="AB268" s="23" t="n"/>
      <c r="AC268" s="23" t="n"/>
      <c r="AD268" s="23" t="n"/>
      <c r="AE268" s="9" t="n"/>
      <c r="AF268" s="9" t="n"/>
      <c r="AG268" s="9" t="n"/>
      <c r="AH268" s="24" t="n"/>
      <c r="AI268" s="23" t="n"/>
      <c r="AJ268" s="24" t="n"/>
      <c r="AK268" s="23" t="n"/>
      <c r="AL268" s="24" t="n"/>
      <c r="AM268" s="23" t="n"/>
      <c r="AN268" s="28">
        <f>IF($D268="","",COUNTIFS(Stangenbelegung!$E$5:$E$10004,ROW()))</f>
        <v/>
      </c>
      <c r="AO268" s="28">
        <f>IF(OR($G268="",COUNTA(Stangenbelegung!$A$5:$A$10004)=0),"",$G268-AN268)</f>
        <v/>
      </c>
      <c r="AP268" s="29" t="n"/>
      <c r="AQ268" s="9" t="n"/>
      <c r="AR268" s="19" t="n"/>
    </row>
    <row r="269">
      <c r="A269" s="9" t="n"/>
      <c r="B269" s="9" t="n"/>
      <c r="C269" s="9" t="n"/>
      <c r="D269" s="9" t="n"/>
      <c r="E269" s="9" t="n"/>
      <c r="F269" s="23" t="n"/>
      <c r="G269" s="19" t="n"/>
      <c r="H269" s="23" t="n"/>
      <c r="I269" s="24" t="n"/>
      <c r="J269" s="19" t="n"/>
      <c r="K269" s="25">
        <f>IF($D269="","",IFERROR(INDEX(Profile!$B$5:$B$304,MATCH($D269,lst_Profil,0)),""))</f>
        <v/>
      </c>
      <c r="L269" s="13">
        <f>IF($D269="","",IFERROR(INDEX(Profile!$K$5:$K$304,MATCH($D269,lst_Profil,0))+0,""))</f>
        <v/>
      </c>
      <c r="M269" s="26">
        <f>IF($D269="","",IFERROR(INDEX(Profile!$E$5:$E$304,MATCH($D269,lst_Profil,0))+0,""))</f>
        <v/>
      </c>
      <c r="N269" s="27">
        <f>IF(OR(L269="",$E269=""),"",IFERROR(L269*INDEX(Werkstoffe!$E$5:$E$304,MATCH($E269,lst_Werkstoff,0))/1000,""))</f>
        <v/>
      </c>
      <c r="O269" s="27">
        <f>IF(OR(N269="",$F269=""),"",N269*$F269/1000)</f>
        <v/>
      </c>
      <c r="P269" s="16">
        <f>IF(OR($F269="",$G269=""),"",$F269*$G269)</f>
        <v/>
      </c>
      <c r="Q269" s="16">
        <f>IF($D269="","",IF($J269&lt;&gt;"",$J269,$C$9))</f>
        <v/>
      </c>
      <c r="R269" s="12">
        <f>IF($D269="","",IFERROR(IF(INDEX(Profile!$G$5:$G$304,MATCH($D269,lst_Profil,0))&lt;&gt;"",INDEX(Profile!$G$5:$G$304,MATCH($D269,lst_Profil,0)),$H$4),$H$4))</f>
        <v/>
      </c>
      <c r="S269" s="12">
        <f>IF($D269="","",IFERROR(IF(INDEX(Profile!$H$5:$H$304,MATCH($D269,lst_Profil,0))&lt;&gt;"",INDEX(Profile!$H$5:$H$304,MATCH($D269,lst_Profil,0)),$H$5),$H$5))</f>
        <v/>
      </c>
      <c r="T269" s="16">
        <f>IF(OR(Q269="",NOT(ISNUMBER(R269)),NOT(ISNUMBER(S269))),"",Q269-R269-S269)</f>
        <v/>
      </c>
      <c r="U269" s="28">
        <f>IF(OR($D269="",$E269=""),"",IF(OR(N($AP269)&gt;0,COUNTIFS(Preise!$A$5:$A$304,$D269,Preise!$B$5:$B$304,$E269,Preise!$I$5:$I$304,"OK")&gt;0,N(INDEX(Werkstoffe!$G$5:$G$304,MATCH($E269,lst_Werkstoff,0)))&gt;0),"ja","nein"))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28">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Materialpreis",IF(AND($AQ269&lt;&gt;"",N($AR269)&gt;0,MOD($G269,$AR269)&lt;&gt;0),"WARNUNG: Stückzahl ist kein Vielfaches von Stück je Satz",IF($H269="","HINWEIS: Schneidweg fehlt",IF(V269="","HINWEIS: keine Schneiddaten",IF(AND($AF269&lt;&gt;"",$AG269=""),"HINWEIS: Gewinde-Vorschlag prüfen","OK")))))))))))))))</f>
        <v/>
      </c>
      <c r="X269" s="18">
        <f>IF(OR(O269="",$G269=""),"",O269*$G269)</f>
        <v/>
      </c>
      <c r="Y269" s="9" t="n"/>
      <c r="Z269" s="23" t="n"/>
      <c r="AA269" s="9" t="n"/>
      <c r="AB269" s="23" t="n"/>
      <c r="AC269" s="23" t="n"/>
      <c r="AD269" s="23" t="n"/>
      <c r="AE269" s="9" t="n"/>
      <c r="AF269" s="9" t="n"/>
      <c r="AG269" s="9" t="n"/>
      <c r="AH269" s="24" t="n"/>
      <c r="AI269" s="23" t="n"/>
      <c r="AJ269" s="24" t="n"/>
      <c r="AK269" s="23" t="n"/>
      <c r="AL269" s="24" t="n"/>
      <c r="AM269" s="23" t="n"/>
      <c r="AN269" s="28">
        <f>IF($D269="","",COUNTIFS(Stangenbelegung!$E$5:$E$10004,ROW()))</f>
        <v/>
      </c>
      <c r="AO269" s="28">
        <f>IF(OR($G269="",COUNTA(Stangenbelegung!$A$5:$A$10004)=0),"",$G269-AN269)</f>
        <v/>
      </c>
      <c r="AP269" s="29" t="n"/>
      <c r="AQ269" s="9" t="n"/>
      <c r="AR269" s="19" t="n"/>
    </row>
    <row r="270">
      <c r="A270" s="9" t="n"/>
      <c r="B270" s="9" t="n"/>
      <c r="C270" s="9" t="n"/>
      <c r="D270" s="9" t="n"/>
      <c r="E270" s="9" t="n"/>
      <c r="F270" s="23" t="n"/>
      <c r="G270" s="19" t="n"/>
      <c r="H270" s="23" t="n"/>
      <c r="I270" s="24" t="n"/>
      <c r="J270" s="19" t="n"/>
      <c r="K270" s="25">
        <f>IF($D270="","",IFERROR(INDEX(Profile!$B$5:$B$304,MATCH($D270,lst_Profil,0)),""))</f>
        <v/>
      </c>
      <c r="L270" s="13">
        <f>IF($D270="","",IFERROR(INDEX(Profile!$K$5:$K$304,MATCH($D270,lst_Profil,0))+0,""))</f>
        <v/>
      </c>
      <c r="M270" s="26">
        <f>IF($D270="","",IFERROR(INDEX(Profile!$E$5:$E$304,MATCH($D270,lst_Profil,0))+0,""))</f>
        <v/>
      </c>
      <c r="N270" s="27">
        <f>IF(OR(L270="",$E270=""),"",IFERROR(L270*INDEX(Werkstoffe!$E$5:$E$304,MATCH($E270,lst_Werkstoff,0))/1000,""))</f>
        <v/>
      </c>
      <c r="O270" s="27">
        <f>IF(OR(N270="",$F270=""),"",N270*$F270/1000)</f>
        <v/>
      </c>
      <c r="P270" s="16">
        <f>IF(OR($F270="",$G270=""),"",$F270*$G270)</f>
        <v/>
      </c>
      <c r="Q270" s="16">
        <f>IF($D270="","",IF($J270&lt;&gt;"",$J270,$C$9))</f>
        <v/>
      </c>
      <c r="R270" s="12">
        <f>IF($D270="","",IFERROR(IF(INDEX(Profile!$G$5:$G$304,MATCH($D270,lst_Profil,0))&lt;&gt;"",INDEX(Profile!$G$5:$G$304,MATCH($D270,lst_Profil,0)),$H$4),$H$4))</f>
        <v/>
      </c>
      <c r="S270" s="12">
        <f>IF($D270="","",IFERROR(IF(INDEX(Profile!$H$5:$H$304,MATCH($D270,lst_Profil,0))&lt;&gt;"",INDEX(Profile!$H$5:$H$304,MATCH($D270,lst_Profil,0)),$H$5),$H$5))</f>
        <v/>
      </c>
      <c r="T270" s="16">
        <f>IF(OR(Q270="",NOT(ISNUMBER(R270)),NOT(ISNUMBER(S270))),"",Q270-R270-S270)</f>
        <v/>
      </c>
      <c r="U270" s="28">
        <f>IF(OR($D270="",$E270=""),"",IF(OR(N($AP270)&gt;0,COUNTIFS(Preise!$A$5:$A$304,$D270,Preise!$B$5:$B$304,$E270,Preise!$I$5:$I$304,"OK")&gt;0,N(INDEX(Werkstoffe!$G$5:$G$304,MATCH($E270,lst_Werkstoff,0)))&gt;0),"ja","nein"))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28">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Materialpreis",IF(AND($AQ270&lt;&gt;"",N($AR270)&gt;0,MOD($G270,$AR270)&lt;&gt;0),"WARNUNG: Stückzahl ist kein Vielfaches von Stück je Satz",IF($H270="","HINWEIS: Schneidweg fehlt",IF(V270="","HINWEIS: keine Schneiddaten",IF(AND($AF270&lt;&gt;"",$AG270=""),"HINWEIS: Gewinde-Vorschlag prüfen","OK")))))))))))))))</f>
        <v/>
      </c>
      <c r="X270" s="18">
        <f>IF(OR(O270="",$G270=""),"",O270*$G270)</f>
        <v/>
      </c>
      <c r="Y270" s="9" t="n"/>
      <c r="Z270" s="23" t="n"/>
      <c r="AA270" s="9" t="n"/>
      <c r="AB270" s="23" t="n"/>
      <c r="AC270" s="23" t="n"/>
      <c r="AD270" s="23" t="n"/>
      <c r="AE270" s="9" t="n"/>
      <c r="AF270" s="9" t="n"/>
      <c r="AG270" s="9" t="n"/>
      <c r="AH270" s="24" t="n"/>
      <c r="AI270" s="23" t="n"/>
      <c r="AJ270" s="24" t="n"/>
      <c r="AK270" s="23" t="n"/>
      <c r="AL270" s="24" t="n"/>
      <c r="AM270" s="23" t="n"/>
      <c r="AN270" s="28">
        <f>IF($D270="","",COUNTIFS(Stangenbelegung!$E$5:$E$10004,ROW()))</f>
        <v/>
      </c>
      <c r="AO270" s="28">
        <f>IF(OR($G270="",COUNTA(Stangenbelegung!$A$5:$A$10004)=0),"",$G270-AN270)</f>
        <v/>
      </c>
      <c r="AP270" s="29" t="n"/>
      <c r="AQ270" s="9" t="n"/>
      <c r="AR270" s="19" t="n"/>
    </row>
    <row r="271">
      <c r="A271" s="9" t="n"/>
      <c r="B271" s="9" t="n"/>
      <c r="C271" s="9" t="n"/>
      <c r="D271" s="9" t="n"/>
      <c r="E271" s="9" t="n"/>
      <c r="F271" s="23" t="n"/>
      <c r="G271" s="19" t="n"/>
      <c r="H271" s="23" t="n"/>
      <c r="I271" s="24" t="n"/>
      <c r="J271" s="19" t="n"/>
      <c r="K271" s="25">
        <f>IF($D271="","",IFERROR(INDEX(Profile!$B$5:$B$304,MATCH($D271,lst_Profil,0)),""))</f>
        <v/>
      </c>
      <c r="L271" s="13">
        <f>IF($D271="","",IFERROR(INDEX(Profile!$K$5:$K$304,MATCH($D271,lst_Profil,0))+0,""))</f>
        <v/>
      </c>
      <c r="M271" s="26">
        <f>IF($D271="","",IFERROR(INDEX(Profile!$E$5:$E$304,MATCH($D271,lst_Profil,0))+0,""))</f>
        <v/>
      </c>
      <c r="N271" s="27">
        <f>IF(OR(L271="",$E271=""),"",IFERROR(L271*INDEX(Werkstoffe!$E$5:$E$304,MATCH($E271,lst_Werkstoff,0))/1000,""))</f>
        <v/>
      </c>
      <c r="O271" s="27">
        <f>IF(OR(N271="",$F271=""),"",N271*$F271/1000)</f>
        <v/>
      </c>
      <c r="P271" s="16">
        <f>IF(OR($F271="",$G271=""),"",$F271*$G271)</f>
        <v/>
      </c>
      <c r="Q271" s="16">
        <f>IF($D271="","",IF($J271&lt;&gt;"",$J271,$C$9))</f>
        <v/>
      </c>
      <c r="R271" s="12">
        <f>IF($D271="","",IFERROR(IF(INDEX(Profile!$G$5:$G$304,MATCH($D271,lst_Profil,0))&lt;&gt;"",INDEX(Profile!$G$5:$G$304,MATCH($D271,lst_Profil,0)),$H$4),$H$4))</f>
        <v/>
      </c>
      <c r="S271" s="12">
        <f>IF($D271="","",IFERROR(IF(INDEX(Profile!$H$5:$H$304,MATCH($D271,lst_Profil,0))&lt;&gt;"",INDEX(Profile!$H$5:$H$304,MATCH($D271,lst_Profil,0)),$H$5),$H$5))</f>
        <v/>
      </c>
      <c r="T271" s="16">
        <f>IF(OR(Q271="",NOT(ISNUMBER(R271)),NOT(ISNUMBER(S271))),"",Q271-R271-S271)</f>
        <v/>
      </c>
      <c r="U271" s="28">
        <f>IF(OR($D271="",$E271=""),"",IF(OR(N($AP271)&gt;0,COUNTIFS(Preise!$A$5:$A$304,$D271,Preise!$B$5:$B$304,$E271,Preise!$I$5:$I$304,"OK")&gt;0,N(INDEX(Werkstoffe!$G$5:$G$304,MATCH($E271,lst_Werkstoff,0)))&gt;0),"ja","nein"))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28">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Materialpreis",IF(AND($AQ271&lt;&gt;"",N($AR271)&gt;0,MOD($G271,$AR271)&lt;&gt;0),"WARNUNG: Stückzahl ist kein Vielfaches von Stück je Satz",IF($H271="","HINWEIS: Schneidweg fehlt",IF(V271="","HINWEIS: keine Schneiddaten",IF(AND($AF271&lt;&gt;"",$AG271=""),"HINWEIS: Gewinde-Vorschlag prüfen","OK")))))))))))))))</f>
        <v/>
      </c>
      <c r="X271" s="18">
        <f>IF(OR(O271="",$G271=""),"",O271*$G271)</f>
        <v/>
      </c>
      <c r="Y271" s="9" t="n"/>
      <c r="Z271" s="23" t="n"/>
      <c r="AA271" s="9" t="n"/>
      <c r="AB271" s="23" t="n"/>
      <c r="AC271" s="23" t="n"/>
      <c r="AD271" s="23" t="n"/>
      <c r="AE271" s="9" t="n"/>
      <c r="AF271" s="9" t="n"/>
      <c r="AG271" s="9" t="n"/>
      <c r="AH271" s="24" t="n"/>
      <c r="AI271" s="23" t="n"/>
      <c r="AJ271" s="24" t="n"/>
      <c r="AK271" s="23" t="n"/>
      <c r="AL271" s="24" t="n"/>
      <c r="AM271" s="23" t="n"/>
      <c r="AN271" s="28">
        <f>IF($D271="","",COUNTIFS(Stangenbelegung!$E$5:$E$10004,ROW()))</f>
        <v/>
      </c>
      <c r="AO271" s="28">
        <f>IF(OR($G271="",COUNTA(Stangenbelegung!$A$5:$A$10004)=0),"",$G271-AN271)</f>
        <v/>
      </c>
      <c r="AP271" s="29" t="n"/>
      <c r="AQ271" s="9" t="n"/>
      <c r="AR271" s="19" t="n"/>
    </row>
    <row r="272">
      <c r="A272" s="9" t="n"/>
      <c r="B272" s="9" t="n"/>
      <c r="C272" s="9" t="n"/>
      <c r="D272" s="9" t="n"/>
      <c r="E272" s="9" t="n"/>
      <c r="F272" s="23" t="n"/>
      <c r="G272" s="19" t="n"/>
      <c r="H272" s="23" t="n"/>
      <c r="I272" s="24" t="n"/>
      <c r="J272" s="19" t="n"/>
      <c r="K272" s="25">
        <f>IF($D272="","",IFERROR(INDEX(Profile!$B$5:$B$304,MATCH($D272,lst_Profil,0)),""))</f>
        <v/>
      </c>
      <c r="L272" s="13">
        <f>IF($D272="","",IFERROR(INDEX(Profile!$K$5:$K$304,MATCH($D272,lst_Profil,0))+0,""))</f>
        <v/>
      </c>
      <c r="M272" s="26">
        <f>IF($D272="","",IFERROR(INDEX(Profile!$E$5:$E$304,MATCH($D272,lst_Profil,0))+0,""))</f>
        <v/>
      </c>
      <c r="N272" s="27">
        <f>IF(OR(L272="",$E272=""),"",IFERROR(L272*INDEX(Werkstoffe!$E$5:$E$304,MATCH($E272,lst_Werkstoff,0))/1000,""))</f>
        <v/>
      </c>
      <c r="O272" s="27">
        <f>IF(OR(N272="",$F272=""),"",N272*$F272/1000)</f>
        <v/>
      </c>
      <c r="P272" s="16">
        <f>IF(OR($F272="",$G272=""),"",$F272*$G272)</f>
        <v/>
      </c>
      <c r="Q272" s="16">
        <f>IF($D272="","",IF($J272&lt;&gt;"",$J272,$C$9))</f>
        <v/>
      </c>
      <c r="R272" s="12">
        <f>IF($D272="","",IFERROR(IF(INDEX(Profile!$G$5:$G$304,MATCH($D272,lst_Profil,0))&lt;&gt;"",INDEX(Profile!$G$5:$G$304,MATCH($D272,lst_Profil,0)),$H$4),$H$4))</f>
        <v/>
      </c>
      <c r="S272" s="12">
        <f>IF($D272="","",IFERROR(IF(INDEX(Profile!$H$5:$H$304,MATCH($D272,lst_Profil,0))&lt;&gt;"",INDEX(Profile!$H$5:$H$304,MATCH($D272,lst_Profil,0)),$H$5),$H$5))</f>
        <v/>
      </c>
      <c r="T272" s="16">
        <f>IF(OR(Q272="",NOT(ISNUMBER(R272)),NOT(ISNUMBER(S272))),"",Q272-R272-S272)</f>
        <v/>
      </c>
      <c r="U272" s="28">
        <f>IF(OR($D272="",$E272=""),"",IF(OR(N($AP272)&gt;0,COUNTIFS(Preise!$A$5:$A$304,$D272,Preise!$B$5:$B$304,$E272,Preise!$I$5:$I$304,"OK")&gt;0,N(INDEX(Werkstoffe!$G$5:$G$304,MATCH($E272,lst_Werkstoff,0)))&gt;0),"ja","nein"))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28">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Materialpreis",IF(AND($AQ272&lt;&gt;"",N($AR272)&gt;0,MOD($G272,$AR272)&lt;&gt;0),"WARNUNG: Stückzahl ist kein Vielfaches von Stück je Satz",IF($H272="","HINWEIS: Schneidweg fehlt",IF(V272="","HINWEIS: keine Schneiddaten",IF(AND($AF272&lt;&gt;"",$AG272=""),"HINWEIS: Gewinde-Vorschlag prüfen","OK")))))))))))))))</f>
        <v/>
      </c>
      <c r="X272" s="18">
        <f>IF(OR(O272="",$G272=""),"",O272*$G272)</f>
        <v/>
      </c>
      <c r="Y272" s="9" t="n"/>
      <c r="Z272" s="23" t="n"/>
      <c r="AA272" s="9" t="n"/>
      <c r="AB272" s="23" t="n"/>
      <c r="AC272" s="23" t="n"/>
      <c r="AD272" s="23" t="n"/>
      <c r="AE272" s="9" t="n"/>
      <c r="AF272" s="9" t="n"/>
      <c r="AG272" s="9" t="n"/>
      <c r="AH272" s="24" t="n"/>
      <c r="AI272" s="23" t="n"/>
      <c r="AJ272" s="24" t="n"/>
      <c r="AK272" s="23" t="n"/>
      <c r="AL272" s="24" t="n"/>
      <c r="AM272" s="23" t="n"/>
      <c r="AN272" s="28">
        <f>IF($D272="","",COUNTIFS(Stangenbelegung!$E$5:$E$10004,ROW()))</f>
        <v/>
      </c>
      <c r="AO272" s="28">
        <f>IF(OR($G272="",COUNTA(Stangenbelegung!$A$5:$A$10004)=0),"",$G272-AN272)</f>
        <v/>
      </c>
      <c r="AP272" s="29" t="n"/>
      <c r="AQ272" s="9" t="n"/>
      <c r="AR272" s="19" t="n"/>
    </row>
    <row r="273">
      <c r="A273" s="9" t="n"/>
      <c r="B273" s="9" t="n"/>
      <c r="C273" s="9" t="n"/>
      <c r="D273" s="9" t="n"/>
      <c r="E273" s="9" t="n"/>
      <c r="F273" s="23" t="n"/>
      <c r="G273" s="19" t="n"/>
      <c r="H273" s="23" t="n"/>
      <c r="I273" s="24" t="n"/>
      <c r="J273" s="19" t="n"/>
      <c r="K273" s="25">
        <f>IF($D273="","",IFERROR(INDEX(Profile!$B$5:$B$304,MATCH($D273,lst_Profil,0)),""))</f>
        <v/>
      </c>
      <c r="L273" s="13">
        <f>IF($D273="","",IFERROR(INDEX(Profile!$K$5:$K$304,MATCH($D273,lst_Profil,0))+0,""))</f>
        <v/>
      </c>
      <c r="M273" s="26">
        <f>IF($D273="","",IFERROR(INDEX(Profile!$E$5:$E$304,MATCH($D273,lst_Profil,0))+0,""))</f>
        <v/>
      </c>
      <c r="N273" s="27">
        <f>IF(OR(L273="",$E273=""),"",IFERROR(L273*INDEX(Werkstoffe!$E$5:$E$304,MATCH($E273,lst_Werkstoff,0))/1000,""))</f>
        <v/>
      </c>
      <c r="O273" s="27">
        <f>IF(OR(N273="",$F273=""),"",N273*$F273/1000)</f>
        <v/>
      </c>
      <c r="P273" s="16">
        <f>IF(OR($F273="",$G273=""),"",$F273*$G273)</f>
        <v/>
      </c>
      <c r="Q273" s="16">
        <f>IF($D273="","",IF($J273&lt;&gt;"",$J273,$C$9))</f>
        <v/>
      </c>
      <c r="R273" s="12">
        <f>IF($D273="","",IFERROR(IF(INDEX(Profile!$G$5:$G$304,MATCH($D273,lst_Profil,0))&lt;&gt;"",INDEX(Profile!$G$5:$G$304,MATCH($D273,lst_Profil,0)),$H$4),$H$4))</f>
        <v/>
      </c>
      <c r="S273" s="12">
        <f>IF($D273="","",IFERROR(IF(INDEX(Profile!$H$5:$H$304,MATCH($D273,lst_Profil,0))&lt;&gt;"",INDEX(Profile!$H$5:$H$304,MATCH($D273,lst_Profil,0)),$H$5),$H$5))</f>
        <v/>
      </c>
      <c r="T273" s="16">
        <f>IF(OR(Q273="",NOT(ISNUMBER(R273)),NOT(ISNUMBER(S273))),"",Q273-R273-S273)</f>
        <v/>
      </c>
      <c r="U273" s="28">
        <f>IF(OR($D273="",$E273=""),"",IF(OR(N($AP273)&gt;0,COUNTIFS(Preise!$A$5:$A$304,$D273,Preise!$B$5:$B$304,$E273,Preise!$I$5:$I$304,"OK")&gt;0,N(INDEX(Werkstoffe!$G$5:$G$304,MATCH($E273,lst_Werkstoff,0)))&gt;0),"ja","nein"))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28">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Materialpreis",IF(AND($AQ273&lt;&gt;"",N($AR273)&gt;0,MOD($G273,$AR273)&lt;&gt;0),"WARNUNG: Stückzahl ist kein Vielfaches von Stück je Satz",IF($H273="","HINWEIS: Schneidweg fehlt",IF(V273="","HINWEIS: keine Schneiddaten",IF(AND($AF273&lt;&gt;"",$AG273=""),"HINWEIS: Gewinde-Vorschlag prüfen","OK")))))))))))))))</f>
        <v/>
      </c>
      <c r="X273" s="18">
        <f>IF(OR(O273="",$G273=""),"",O273*$G273)</f>
        <v/>
      </c>
      <c r="Y273" s="9" t="n"/>
      <c r="Z273" s="23" t="n"/>
      <c r="AA273" s="9" t="n"/>
      <c r="AB273" s="23" t="n"/>
      <c r="AC273" s="23" t="n"/>
      <c r="AD273" s="23" t="n"/>
      <c r="AE273" s="9" t="n"/>
      <c r="AF273" s="9" t="n"/>
      <c r="AG273" s="9" t="n"/>
      <c r="AH273" s="24" t="n"/>
      <c r="AI273" s="23" t="n"/>
      <c r="AJ273" s="24" t="n"/>
      <c r="AK273" s="23" t="n"/>
      <c r="AL273" s="24" t="n"/>
      <c r="AM273" s="23" t="n"/>
      <c r="AN273" s="28">
        <f>IF($D273="","",COUNTIFS(Stangenbelegung!$E$5:$E$10004,ROW()))</f>
        <v/>
      </c>
      <c r="AO273" s="28">
        <f>IF(OR($G273="",COUNTA(Stangenbelegung!$A$5:$A$10004)=0),"",$G273-AN273)</f>
        <v/>
      </c>
      <c r="AP273" s="29" t="n"/>
      <c r="AQ273" s="9" t="n"/>
      <c r="AR273" s="19" t="n"/>
    </row>
    <row r="274">
      <c r="A274" s="9" t="n"/>
      <c r="B274" s="9" t="n"/>
      <c r="C274" s="9" t="n"/>
      <c r="D274" s="9" t="n"/>
      <c r="E274" s="9" t="n"/>
      <c r="F274" s="23" t="n"/>
      <c r="G274" s="19" t="n"/>
      <c r="H274" s="23" t="n"/>
      <c r="I274" s="24" t="n"/>
      <c r="J274" s="19" t="n"/>
      <c r="K274" s="25">
        <f>IF($D274="","",IFERROR(INDEX(Profile!$B$5:$B$304,MATCH($D274,lst_Profil,0)),""))</f>
        <v/>
      </c>
      <c r="L274" s="13">
        <f>IF($D274="","",IFERROR(INDEX(Profile!$K$5:$K$304,MATCH($D274,lst_Profil,0))+0,""))</f>
        <v/>
      </c>
      <c r="M274" s="26">
        <f>IF($D274="","",IFERROR(INDEX(Profile!$E$5:$E$304,MATCH($D274,lst_Profil,0))+0,""))</f>
        <v/>
      </c>
      <c r="N274" s="27">
        <f>IF(OR(L274="",$E274=""),"",IFERROR(L274*INDEX(Werkstoffe!$E$5:$E$304,MATCH($E274,lst_Werkstoff,0))/1000,""))</f>
        <v/>
      </c>
      <c r="O274" s="27">
        <f>IF(OR(N274="",$F274=""),"",N274*$F274/1000)</f>
        <v/>
      </c>
      <c r="P274" s="16">
        <f>IF(OR($F274="",$G274=""),"",$F274*$G274)</f>
        <v/>
      </c>
      <c r="Q274" s="16">
        <f>IF($D274="","",IF($J274&lt;&gt;"",$J274,$C$9))</f>
        <v/>
      </c>
      <c r="R274" s="12">
        <f>IF($D274="","",IFERROR(IF(INDEX(Profile!$G$5:$G$304,MATCH($D274,lst_Profil,0))&lt;&gt;"",INDEX(Profile!$G$5:$G$304,MATCH($D274,lst_Profil,0)),$H$4),$H$4))</f>
        <v/>
      </c>
      <c r="S274" s="12">
        <f>IF($D274="","",IFERROR(IF(INDEX(Profile!$H$5:$H$304,MATCH($D274,lst_Profil,0))&lt;&gt;"",INDEX(Profile!$H$5:$H$304,MATCH($D274,lst_Profil,0)),$H$5),$H$5))</f>
        <v/>
      </c>
      <c r="T274" s="16">
        <f>IF(OR(Q274="",NOT(ISNUMBER(R274)),NOT(ISNUMBER(S274))),"",Q274-R274-S274)</f>
        <v/>
      </c>
      <c r="U274" s="28">
        <f>IF(OR($D274="",$E274=""),"",IF(OR(N($AP274)&gt;0,COUNTIFS(Preise!$A$5:$A$304,$D274,Preise!$B$5:$B$304,$E274,Preise!$I$5:$I$304,"OK")&gt;0,N(INDEX(Werkstoffe!$G$5:$G$304,MATCH($E274,lst_Werkstoff,0)))&gt;0),"ja","nein"))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28">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Materialpreis",IF(AND($AQ274&lt;&gt;"",N($AR274)&gt;0,MOD($G274,$AR274)&lt;&gt;0),"WARNUNG: Stückzahl ist kein Vielfaches von Stück je Satz",IF($H274="","HINWEIS: Schneidweg fehlt",IF(V274="","HINWEIS: keine Schneiddaten",IF(AND($AF274&lt;&gt;"",$AG274=""),"HINWEIS: Gewinde-Vorschlag prüfen","OK")))))))))))))))</f>
        <v/>
      </c>
      <c r="X274" s="18">
        <f>IF(OR(O274="",$G274=""),"",O274*$G274)</f>
        <v/>
      </c>
      <c r="Y274" s="9" t="n"/>
      <c r="Z274" s="23" t="n"/>
      <c r="AA274" s="9" t="n"/>
      <c r="AB274" s="23" t="n"/>
      <c r="AC274" s="23" t="n"/>
      <c r="AD274" s="23" t="n"/>
      <c r="AE274" s="9" t="n"/>
      <c r="AF274" s="9" t="n"/>
      <c r="AG274" s="9" t="n"/>
      <c r="AH274" s="24" t="n"/>
      <c r="AI274" s="23" t="n"/>
      <c r="AJ274" s="24" t="n"/>
      <c r="AK274" s="23" t="n"/>
      <c r="AL274" s="24" t="n"/>
      <c r="AM274" s="23" t="n"/>
      <c r="AN274" s="28">
        <f>IF($D274="","",COUNTIFS(Stangenbelegung!$E$5:$E$10004,ROW()))</f>
        <v/>
      </c>
      <c r="AO274" s="28">
        <f>IF(OR($G274="",COUNTA(Stangenbelegung!$A$5:$A$10004)=0),"",$G274-AN274)</f>
        <v/>
      </c>
      <c r="AP274" s="29" t="n"/>
      <c r="AQ274" s="9" t="n"/>
      <c r="AR274" s="19" t="n"/>
    </row>
    <row r="275">
      <c r="A275" s="9" t="n"/>
      <c r="B275" s="9" t="n"/>
      <c r="C275" s="9" t="n"/>
      <c r="D275" s="9" t="n"/>
      <c r="E275" s="9" t="n"/>
      <c r="F275" s="23" t="n"/>
      <c r="G275" s="19" t="n"/>
      <c r="H275" s="23" t="n"/>
      <c r="I275" s="24" t="n"/>
      <c r="J275" s="19" t="n"/>
      <c r="K275" s="25">
        <f>IF($D275="","",IFERROR(INDEX(Profile!$B$5:$B$304,MATCH($D275,lst_Profil,0)),""))</f>
        <v/>
      </c>
      <c r="L275" s="13">
        <f>IF($D275="","",IFERROR(INDEX(Profile!$K$5:$K$304,MATCH($D275,lst_Profil,0))+0,""))</f>
        <v/>
      </c>
      <c r="M275" s="26">
        <f>IF($D275="","",IFERROR(INDEX(Profile!$E$5:$E$304,MATCH($D275,lst_Profil,0))+0,""))</f>
        <v/>
      </c>
      <c r="N275" s="27">
        <f>IF(OR(L275="",$E275=""),"",IFERROR(L275*INDEX(Werkstoffe!$E$5:$E$304,MATCH($E275,lst_Werkstoff,0))/1000,""))</f>
        <v/>
      </c>
      <c r="O275" s="27">
        <f>IF(OR(N275="",$F275=""),"",N275*$F275/1000)</f>
        <v/>
      </c>
      <c r="P275" s="16">
        <f>IF(OR($F275="",$G275=""),"",$F275*$G275)</f>
        <v/>
      </c>
      <c r="Q275" s="16">
        <f>IF($D275="","",IF($J275&lt;&gt;"",$J275,$C$9))</f>
        <v/>
      </c>
      <c r="R275" s="12">
        <f>IF($D275="","",IFERROR(IF(INDEX(Profile!$G$5:$G$304,MATCH($D275,lst_Profil,0))&lt;&gt;"",INDEX(Profile!$G$5:$G$304,MATCH($D275,lst_Profil,0)),$H$4),$H$4))</f>
        <v/>
      </c>
      <c r="S275" s="12">
        <f>IF($D275="","",IFERROR(IF(INDEX(Profile!$H$5:$H$304,MATCH($D275,lst_Profil,0))&lt;&gt;"",INDEX(Profile!$H$5:$H$304,MATCH($D275,lst_Profil,0)),$H$5),$H$5))</f>
        <v/>
      </c>
      <c r="T275" s="16">
        <f>IF(OR(Q275="",NOT(ISNUMBER(R275)),NOT(ISNUMBER(S275))),"",Q275-R275-S275)</f>
        <v/>
      </c>
      <c r="U275" s="28">
        <f>IF(OR($D275="",$E275=""),"",IF(OR(N($AP275)&gt;0,COUNTIFS(Preise!$A$5:$A$304,$D275,Preise!$B$5:$B$304,$E275,Preise!$I$5:$I$304,"OK")&gt;0,N(INDEX(Werkstoffe!$G$5:$G$304,MATCH($E275,lst_Werkstoff,0)))&gt;0),"ja","nein"))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28">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Materialpreis",IF(AND($AQ275&lt;&gt;"",N($AR275)&gt;0,MOD($G275,$AR275)&lt;&gt;0),"WARNUNG: Stückzahl ist kein Vielfaches von Stück je Satz",IF($H275="","HINWEIS: Schneidweg fehlt",IF(V275="","HINWEIS: keine Schneiddaten",IF(AND($AF275&lt;&gt;"",$AG275=""),"HINWEIS: Gewinde-Vorschlag prüfen","OK")))))))))))))))</f>
        <v/>
      </c>
      <c r="X275" s="18">
        <f>IF(OR(O275="",$G275=""),"",O275*$G275)</f>
        <v/>
      </c>
      <c r="Y275" s="9" t="n"/>
      <c r="Z275" s="23" t="n"/>
      <c r="AA275" s="9" t="n"/>
      <c r="AB275" s="23" t="n"/>
      <c r="AC275" s="23" t="n"/>
      <c r="AD275" s="23" t="n"/>
      <c r="AE275" s="9" t="n"/>
      <c r="AF275" s="9" t="n"/>
      <c r="AG275" s="9" t="n"/>
      <c r="AH275" s="24" t="n"/>
      <c r="AI275" s="23" t="n"/>
      <c r="AJ275" s="24" t="n"/>
      <c r="AK275" s="23" t="n"/>
      <c r="AL275" s="24" t="n"/>
      <c r="AM275" s="23" t="n"/>
      <c r="AN275" s="28">
        <f>IF($D275="","",COUNTIFS(Stangenbelegung!$E$5:$E$10004,ROW()))</f>
        <v/>
      </c>
      <c r="AO275" s="28">
        <f>IF(OR($G275="",COUNTA(Stangenbelegung!$A$5:$A$10004)=0),"",$G275-AN275)</f>
        <v/>
      </c>
      <c r="AP275" s="29" t="n"/>
      <c r="AQ275" s="9" t="n"/>
      <c r="AR275" s="19" t="n"/>
    </row>
    <row r="276">
      <c r="A276" s="9" t="n"/>
      <c r="B276" s="9" t="n"/>
      <c r="C276" s="9" t="n"/>
      <c r="D276" s="9" t="n"/>
      <c r="E276" s="9" t="n"/>
      <c r="F276" s="23" t="n"/>
      <c r="G276" s="19" t="n"/>
      <c r="H276" s="23" t="n"/>
      <c r="I276" s="24" t="n"/>
      <c r="J276" s="19" t="n"/>
      <c r="K276" s="25">
        <f>IF($D276="","",IFERROR(INDEX(Profile!$B$5:$B$304,MATCH($D276,lst_Profil,0)),""))</f>
        <v/>
      </c>
      <c r="L276" s="13">
        <f>IF($D276="","",IFERROR(INDEX(Profile!$K$5:$K$304,MATCH($D276,lst_Profil,0))+0,""))</f>
        <v/>
      </c>
      <c r="M276" s="26">
        <f>IF($D276="","",IFERROR(INDEX(Profile!$E$5:$E$304,MATCH($D276,lst_Profil,0))+0,""))</f>
        <v/>
      </c>
      <c r="N276" s="27">
        <f>IF(OR(L276="",$E276=""),"",IFERROR(L276*INDEX(Werkstoffe!$E$5:$E$304,MATCH($E276,lst_Werkstoff,0))/1000,""))</f>
        <v/>
      </c>
      <c r="O276" s="27">
        <f>IF(OR(N276="",$F276=""),"",N276*$F276/1000)</f>
        <v/>
      </c>
      <c r="P276" s="16">
        <f>IF(OR($F276="",$G276=""),"",$F276*$G276)</f>
        <v/>
      </c>
      <c r="Q276" s="16">
        <f>IF($D276="","",IF($J276&lt;&gt;"",$J276,$C$9))</f>
        <v/>
      </c>
      <c r="R276" s="12">
        <f>IF($D276="","",IFERROR(IF(INDEX(Profile!$G$5:$G$304,MATCH($D276,lst_Profil,0))&lt;&gt;"",INDEX(Profile!$G$5:$G$304,MATCH($D276,lst_Profil,0)),$H$4),$H$4))</f>
        <v/>
      </c>
      <c r="S276" s="12">
        <f>IF($D276="","",IFERROR(IF(INDEX(Profile!$H$5:$H$304,MATCH($D276,lst_Profil,0))&lt;&gt;"",INDEX(Profile!$H$5:$H$304,MATCH($D276,lst_Profil,0)),$H$5),$H$5))</f>
        <v/>
      </c>
      <c r="T276" s="16">
        <f>IF(OR(Q276="",NOT(ISNUMBER(R276)),NOT(ISNUMBER(S276))),"",Q276-R276-S276)</f>
        <v/>
      </c>
      <c r="U276" s="28">
        <f>IF(OR($D276="",$E276=""),"",IF(OR(N($AP276)&gt;0,COUNTIFS(Preise!$A$5:$A$304,$D276,Preise!$B$5:$B$304,$E276,Preise!$I$5:$I$304,"OK")&gt;0,N(INDEX(Werkstoffe!$G$5:$G$304,MATCH($E276,lst_Werkstoff,0)))&gt;0),"ja","nein"))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28">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Materialpreis",IF(AND($AQ276&lt;&gt;"",N($AR276)&gt;0,MOD($G276,$AR276)&lt;&gt;0),"WARNUNG: Stückzahl ist kein Vielfaches von Stück je Satz",IF($H276="","HINWEIS: Schneidweg fehlt",IF(V276="","HINWEIS: keine Schneiddaten",IF(AND($AF276&lt;&gt;"",$AG276=""),"HINWEIS: Gewinde-Vorschlag prüfen","OK")))))))))))))))</f>
        <v/>
      </c>
      <c r="X276" s="18">
        <f>IF(OR(O276="",$G276=""),"",O276*$G276)</f>
        <v/>
      </c>
      <c r="Y276" s="9" t="n"/>
      <c r="Z276" s="23" t="n"/>
      <c r="AA276" s="9" t="n"/>
      <c r="AB276" s="23" t="n"/>
      <c r="AC276" s="23" t="n"/>
      <c r="AD276" s="23" t="n"/>
      <c r="AE276" s="9" t="n"/>
      <c r="AF276" s="9" t="n"/>
      <c r="AG276" s="9" t="n"/>
      <c r="AH276" s="24" t="n"/>
      <c r="AI276" s="23" t="n"/>
      <c r="AJ276" s="24" t="n"/>
      <c r="AK276" s="23" t="n"/>
      <c r="AL276" s="24" t="n"/>
      <c r="AM276" s="23" t="n"/>
      <c r="AN276" s="28">
        <f>IF($D276="","",COUNTIFS(Stangenbelegung!$E$5:$E$10004,ROW()))</f>
        <v/>
      </c>
      <c r="AO276" s="28">
        <f>IF(OR($G276="",COUNTA(Stangenbelegung!$A$5:$A$10004)=0),"",$G276-AN276)</f>
        <v/>
      </c>
      <c r="AP276" s="29" t="n"/>
      <c r="AQ276" s="9" t="n"/>
      <c r="AR276" s="19" t="n"/>
    </row>
    <row r="277">
      <c r="A277" s="9" t="n"/>
      <c r="B277" s="9" t="n"/>
      <c r="C277" s="9" t="n"/>
      <c r="D277" s="9" t="n"/>
      <c r="E277" s="9" t="n"/>
      <c r="F277" s="23" t="n"/>
      <c r="G277" s="19" t="n"/>
      <c r="H277" s="23" t="n"/>
      <c r="I277" s="24" t="n"/>
      <c r="J277" s="19" t="n"/>
      <c r="K277" s="25">
        <f>IF($D277="","",IFERROR(INDEX(Profile!$B$5:$B$304,MATCH($D277,lst_Profil,0)),""))</f>
        <v/>
      </c>
      <c r="L277" s="13">
        <f>IF($D277="","",IFERROR(INDEX(Profile!$K$5:$K$304,MATCH($D277,lst_Profil,0))+0,""))</f>
        <v/>
      </c>
      <c r="M277" s="26">
        <f>IF($D277="","",IFERROR(INDEX(Profile!$E$5:$E$304,MATCH($D277,lst_Profil,0))+0,""))</f>
        <v/>
      </c>
      <c r="N277" s="27">
        <f>IF(OR(L277="",$E277=""),"",IFERROR(L277*INDEX(Werkstoffe!$E$5:$E$304,MATCH($E277,lst_Werkstoff,0))/1000,""))</f>
        <v/>
      </c>
      <c r="O277" s="27">
        <f>IF(OR(N277="",$F277=""),"",N277*$F277/1000)</f>
        <v/>
      </c>
      <c r="P277" s="16">
        <f>IF(OR($F277="",$G277=""),"",$F277*$G277)</f>
        <v/>
      </c>
      <c r="Q277" s="16">
        <f>IF($D277="","",IF($J277&lt;&gt;"",$J277,$C$9))</f>
        <v/>
      </c>
      <c r="R277" s="12">
        <f>IF($D277="","",IFERROR(IF(INDEX(Profile!$G$5:$G$304,MATCH($D277,lst_Profil,0))&lt;&gt;"",INDEX(Profile!$G$5:$G$304,MATCH($D277,lst_Profil,0)),$H$4),$H$4))</f>
        <v/>
      </c>
      <c r="S277" s="12">
        <f>IF($D277="","",IFERROR(IF(INDEX(Profile!$H$5:$H$304,MATCH($D277,lst_Profil,0))&lt;&gt;"",INDEX(Profile!$H$5:$H$304,MATCH($D277,lst_Profil,0)),$H$5),$H$5))</f>
        <v/>
      </c>
      <c r="T277" s="16">
        <f>IF(OR(Q277="",NOT(ISNUMBER(R277)),NOT(ISNUMBER(S277))),"",Q277-R277-S277)</f>
        <v/>
      </c>
      <c r="U277" s="28">
        <f>IF(OR($D277="",$E277=""),"",IF(OR(N($AP277)&gt;0,COUNTIFS(Preise!$A$5:$A$304,$D277,Preise!$B$5:$B$304,$E277,Preise!$I$5:$I$304,"OK")&gt;0,N(INDEX(Werkstoffe!$G$5:$G$304,MATCH($E277,lst_Werkstoff,0)))&gt;0),"ja","nein"))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28">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Materialpreis",IF(AND($AQ277&lt;&gt;"",N($AR277)&gt;0,MOD($G277,$AR277)&lt;&gt;0),"WARNUNG: Stückzahl ist kein Vielfaches von Stück je Satz",IF($H277="","HINWEIS: Schneidweg fehlt",IF(V277="","HINWEIS: keine Schneiddaten",IF(AND($AF277&lt;&gt;"",$AG277=""),"HINWEIS: Gewinde-Vorschlag prüfen","OK")))))))))))))))</f>
        <v/>
      </c>
      <c r="X277" s="18">
        <f>IF(OR(O277="",$G277=""),"",O277*$G277)</f>
        <v/>
      </c>
      <c r="Y277" s="9" t="n"/>
      <c r="Z277" s="23" t="n"/>
      <c r="AA277" s="9" t="n"/>
      <c r="AB277" s="23" t="n"/>
      <c r="AC277" s="23" t="n"/>
      <c r="AD277" s="23" t="n"/>
      <c r="AE277" s="9" t="n"/>
      <c r="AF277" s="9" t="n"/>
      <c r="AG277" s="9" t="n"/>
      <c r="AH277" s="24" t="n"/>
      <c r="AI277" s="23" t="n"/>
      <c r="AJ277" s="24" t="n"/>
      <c r="AK277" s="23" t="n"/>
      <c r="AL277" s="24" t="n"/>
      <c r="AM277" s="23" t="n"/>
      <c r="AN277" s="28">
        <f>IF($D277="","",COUNTIFS(Stangenbelegung!$E$5:$E$10004,ROW()))</f>
        <v/>
      </c>
      <c r="AO277" s="28">
        <f>IF(OR($G277="",COUNTA(Stangenbelegung!$A$5:$A$10004)=0),"",$G277-AN277)</f>
        <v/>
      </c>
      <c r="AP277" s="29" t="n"/>
      <c r="AQ277" s="9" t="n"/>
      <c r="AR277" s="19" t="n"/>
    </row>
    <row r="278">
      <c r="A278" s="9" t="n"/>
      <c r="B278" s="9" t="n"/>
      <c r="C278" s="9" t="n"/>
      <c r="D278" s="9" t="n"/>
      <c r="E278" s="9" t="n"/>
      <c r="F278" s="23" t="n"/>
      <c r="G278" s="19" t="n"/>
      <c r="H278" s="23" t="n"/>
      <c r="I278" s="24" t="n"/>
      <c r="J278" s="19" t="n"/>
      <c r="K278" s="25">
        <f>IF($D278="","",IFERROR(INDEX(Profile!$B$5:$B$304,MATCH($D278,lst_Profil,0)),""))</f>
        <v/>
      </c>
      <c r="L278" s="13">
        <f>IF($D278="","",IFERROR(INDEX(Profile!$K$5:$K$304,MATCH($D278,lst_Profil,0))+0,""))</f>
        <v/>
      </c>
      <c r="M278" s="26">
        <f>IF($D278="","",IFERROR(INDEX(Profile!$E$5:$E$304,MATCH($D278,lst_Profil,0))+0,""))</f>
        <v/>
      </c>
      <c r="N278" s="27">
        <f>IF(OR(L278="",$E278=""),"",IFERROR(L278*INDEX(Werkstoffe!$E$5:$E$304,MATCH($E278,lst_Werkstoff,0))/1000,""))</f>
        <v/>
      </c>
      <c r="O278" s="27">
        <f>IF(OR(N278="",$F278=""),"",N278*$F278/1000)</f>
        <v/>
      </c>
      <c r="P278" s="16">
        <f>IF(OR($F278="",$G278=""),"",$F278*$G278)</f>
        <v/>
      </c>
      <c r="Q278" s="16">
        <f>IF($D278="","",IF($J278&lt;&gt;"",$J278,$C$9))</f>
        <v/>
      </c>
      <c r="R278" s="12">
        <f>IF($D278="","",IFERROR(IF(INDEX(Profile!$G$5:$G$304,MATCH($D278,lst_Profil,0))&lt;&gt;"",INDEX(Profile!$G$5:$G$304,MATCH($D278,lst_Profil,0)),$H$4),$H$4))</f>
        <v/>
      </c>
      <c r="S278" s="12">
        <f>IF($D278="","",IFERROR(IF(INDEX(Profile!$H$5:$H$304,MATCH($D278,lst_Profil,0))&lt;&gt;"",INDEX(Profile!$H$5:$H$304,MATCH($D278,lst_Profil,0)),$H$5),$H$5))</f>
        <v/>
      </c>
      <c r="T278" s="16">
        <f>IF(OR(Q278="",NOT(ISNUMBER(R278)),NOT(ISNUMBER(S278))),"",Q278-R278-S278)</f>
        <v/>
      </c>
      <c r="U278" s="28">
        <f>IF(OR($D278="",$E278=""),"",IF(OR(N($AP278)&gt;0,COUNTIFS(Preise!$A$5:$A$304,$D278,Preise!$B$5:$B$304,$E278,Preise!$I$5:$I$304,"OK")&gt;0,N(INDEX(Werkstoffe!$G$5:$G$304,MATCH($E278,lst_Werkstoff,0)))&gt;0),"ja","nein"))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28">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Materialpreis",IF(AND($AQ278&lt;&gt;"",N($AR278)&gt;0,MOD($G278,$AR278)&lt;&gt;0),"WARNUNG: Stückzahl ist kein Vielfaches von Stück je Satz",IF($H278="","HINWEIS: Schneidweg fehlt",IF(V278="","HINWEIS: keine Schneiddaten",IF(AND($AF278&lt;&gt;"",$AG278=""),"HINWEIS: Gewinde-Vorschlag prüfen","OK")))))))))))))))</f>
        <v/>
      </c>
      <c r="X278" s="18">
        <f>IF(OR(O278="",$G278=""),"",O278*$G278)</f>
        <v/>
      </c>
      <c r="Y278" s="9" t="n"/>
      <c r="Z278" s="23" t="n"/>
      <c r="AA278" s="9" t="n"/>
      <c r="AB278" s="23" t="n"/>
      <c r="AC278" s="23" t="n"/>
      <c r="AD278" s="23" t="n"/>
      <c r="AE278" s="9" t="n"/>
      <c r="AF278" s="9" t="n"/>
      <c r="AG278" s="9" t="n"/>
      <c r="AH278" s="24" t="n"/>
      <c r="AI278" s="23" t="n"/>
      <c r="AJ278" s="24" t="n"/>
      <c r="AK278" s="23" t="n"/>
      <c r="AL278" s="24" t="n"/>
      <c r="AM278" s="23" t="n"/>
      <c r="AN278" s="28">
        <f>IF($D278="","",COUNTIFS(Stangenbelegung!$E$5:$E$10004,ROW()))</f>
        <v/>
      </c>
      <c r="AO278" s="28">
        <f>IF(OR($G278="",COUNTA(Stangenbelegung!$A$5:$A$10004)=0),"",$G278-AN278)</f>
        <v/>
      </c>
      <c r="AP278" s="29" t="n"/>
      <c r="AQ278" s="9" t="n"/>
      <c r="AR278" s="19" t="n"/>
    </row>
    <row r="279">
      <c r="A279" s="9" t="n"/>
      <c r="B279" s="9" t="n"/>
      <c r="C279" s="9" t="n"/>
      <c r="D279" s="9" t="n"/>
      <c r="E279" s="9" t="n"/>
      <c r="F279" s="23" t="n"/>
      <c r="G279" s="19" t="n"/>
      <c r="H279" s="23" t="n"/>
      <c r="I279" s="24" t="n"/>
      <c r="J279" s="19" t="n"/>
      <c r="K279" s="25">
        <f>IF($D279="","",IFERROR(INDEX(Profile!$B$5:$B$304,MATCH($D279,lst_Profil,0)),""))</f>
        <v/>
      </c>
      <c r="L279" s="13">
        <f>IF($D279="","",IFERROR(INDEX(Profile!$K$5:$K$304,MATCH($D279,lst_Profil,0))+0,""))</f>
        <v/>
      </c>
      <c r="M279" s="26">
        <f>IF($D279="","",IFERROR(INDEX(Profile!$E$5:$E$304,MATCH($D279,lst_Profil,0))+0,""))</f>
        <v/>
      </c>
      <c r="N279" s="27">
        <f>IF(OR(L279="",$E279=""),"",IFERROR(L279*INDEX(Werkstoffe!$E$5:$E$304,MATCH($E279,lst_Werkstoff,0))/1000,""))</f>
        <v/>
      </c>
      <c r="O279" s="27">
        <f>IF(OR(N279="",$F279=""),"",N279*$F279/1000)</f>
        <v/>
      </c>
      <c r="P279" s="16">
        <f>IF(OR($F279="",$G279=""),"",$F279*$G279)</f>
        <v/>
      </c>
      <c r="Q279" s="16">
        <f>IF($D279="","",IF($J279&lt;&gt;"",$J279,$C$9))</f>
        <v/>
      </c>
      <c r="R279" s="12">
        <f>IF($D279="","",IFERROR(IF(INDEX(Profile!$G$5:$G$304,MATCH($D279,lst_Profil,0))&lt;&gt;"",INDEX(Profile!$G$5:$G$304,MATCH($D279,lst_Profil,0)),$H$4),$H$4))</f>
        <v/>
      </c>
      <c r="S279" s="12">
        <f>IF($D279="","",IFERROR(IF(INDEX(Profile!$H$5:$H$304,MATCH($D279,lst_Profil,0))&lt;&gt;"",INDEX(Profile!$H$5:$H$304,MATCH($D279,lst_Profil,0)),$H$5),$H$5))</f>
        <v/>
      </c>
      <c r="T279" s="16">
        <f>IF(OR(Q279="",NOT(ISNUMBER(R279)),NOT(ISNUMBER(S279))),"",Q279-R279-S279)</f>
        <v/>
      </c>
      <c r="U279" s="28">
        <f>IF(OR($D279="",$E279=""),"",IF(OR(N($AP279)&gt;0,COUNTIFS(Preise!$A$5:$A$304,$D279,Preise!$B$5:$B$304,$E279,Preise!$I$5:$I$304,"OK")&gt;0,N(INDEX(Werkstoffe!$G$5:$G$304,MATCH($E279,lst_Werkstoff,0)))&gt;0),"ja","nein"))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28">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Materialpreis",IF(AND($AQ279&lt;&gt;"",N($AR279)&gt;0,MOD($G279,$AR279)&lt;&gt;0),"WARNUNG: Stückzahl ist kein Vielfaches von Stück je Satz",IF($H279="","HINWEIS: Schneidweg fehlt",IF(V279="","HINWEIS: keine Schneiddaten",IF(AND($AF279&lt;&gt;"",$AG279=""),"HINWEIS: Gewinde-Vorschlag prüfen","OK")))))))))))))))</f>
        <v/>
      </c>
      <c r="X279" s="18">
        <f>IF(OR(O279="",$G279=""),"",O279*$G279)</f>
        <v/>
      </c>
      <c r="Y279" s="9" t="n"/>
      <c r="Z279" s="23" t="n"/>
      <c r="AA279" s="9" t="n"/>
      <c r="AB279" s="23" t="n"/>
      <c r="AC279" s="23" t="n"/>
      <c r="AD279" s="23" t="n"/>
      <c r="AE279" s="9" t="n"/>
      <c r="AF279" s="9" t="n"/>
      <c r="AG279" s="9" t="n"/>
      <c r="AH279" s="24" t="n"/>
      <c r="AI279" s="23" t="n"/>
      <c r="AJ279" s="24" t="n"/>
      <c r="AK279" s="23" t="n"/>
      <c r="AL279" s="24" t="n"/>
      <c r="AM279" s="23" t="n"/>
      <c r="AN279" s="28">
        <f>IF($D279="","",COUNTIFS(Stangenbelegung!$E$5:$E$10004,ROW()))</f>
        <v/>
      </c>
      <c r="AO279" s="28">
        <f>IF(OR($G279="",COUNTA(Stangenbelegung!$A$5:$A$10004)=0),"",$G279-AN279)</f>
        <v/>
      </c>
      <c r="AP279" s="29" t="n"/>
      <c r="AQ279" s="9" t="n"/>
      <c r="AR279" s="19" t="n"/>
    </row>
    <row r="280">
      <c r="A280" s="9" t="n"/>
      <c r="B280" s="9" t="n"/>
      <c r="C280" s="9" t="n"/>
      <c r="D280" s="9" t="n"/>
      <c r="E280" s="9" t="n"/>
      <c r="F280" s="23" t="n"/>
      <c r="G280" s="19" t="n"/>
      <c r="H280" s="23" t="n"/>
      <c r="I280" s="24" t="n"/>
      <c r="J280" s="19" t="n"/>
      <c r="K280" s="25">
        <f>IF($D280="","",IFERROR(INDEX(Profile!$B$5:$B$304,MATCH($D280,lst_Profil,0)),""))</f>
        <v/>
      </c>
      <c r="L280" s="13">
        <f>IF($D280="","",IFERROR(INDEX(Profile!$K$5:$K$304,MATCH($D280,lst_Profil,0))+0,""))</f>
        <v/>
      </c>
      <c r="M280" s="26">
        <f>IF($D280="","",IFERROR(INDEX(Profile!$E$5:$E$304,MATCH($D280,lst_Profil,0))+0,""))</f>
        <v/>
      </c>
      <c r="N280" s="27">
        <f>IF(OR(L280="",$E280=""),"",IFERROR(L280*INDEX(Werkstoffe!$E$5:$E$304,MATCH($E280,lst_Werkstoff,0))/1000,""))</f>
        <v/>
      </c>
      <c r="O280" s="27">
        <f>IF(OR(N280="",$F280=""),"",N280*$F280/1000)</f>
        <v/>
      </c>
      <c r="P280" s="16">
        <f>IF(OR($F280="",$G280=""),"",$F280*$G280)</f>
        <v/>
      </c>
      <c r="Q280" s="16">
        <f>IF($D280="","",IF($J280&lt;&gt;"",$J280,$C$9))</f>
        <v/>
      </c>
      <c r="R280" s="12">
        <f>IF($D280="","",IFERROR(IF(INDEX(Profile!$G$5:$G$304,MATCH($D280,lst_Profil,0))&lt;&gt;"",INDEX(Profile!$G$5:$G$304,MATCH($D280,lst_Profil,0)),$H$4),$H$4))</f>
        <v/>
      </c>
      <c r="S280" s="12">
        <f>IF($D280="","",IFERROR(IF(INDEX(Profile!$H$5:$H$304,MATCH($D280,lst_Profil,0))&lt;&gt;"",INDEX(Profile!$H$5:$H$304,MATCH($D280,lst_Profil,0)),$H$5),$H$5))</f>
        <v/>
      </c>
      <c r="T280" s="16">
        <f>IF(OR(Q280="",NOT(ISNUMBER(R280)),NOT(ISNUMBER(S280))),"",Q280-R280-S280)</f>
        <v/>
      </c>
      <c r="U280" s="28">
        <f>IF(OR($D280="",$E280=""),"",IF(OR(N($AP280)&gt;0,COUNTIFS(Preise!$A$5:$A$304,$D280,Preise!$B$5:$B$304,$E280,Preise!$I$5:$I$304,"OK")&gt;0,N(INDEX(Werkstoffe!$G$5:$G$304,MATCH($E280,lst_Werkstoff,0)))&gt;0),"ja","nein"))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28">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Materialpreis",IF(AND($AQ280&lt;&gt;"",N($AR280)&gt;0,MOD($G280,$AR280)&lt;&gt;0),"WARNUNG: Stückzahl ist kein Vielfaches von Stück je Satz",IF($H280="","HINWEIS: Schneidweg fehlt",IF(V280="","HINWEIS: keine Schneiddaten",IF(AND($AF280&lt;&gt;"",$AG280=""),"HINWEIS: Gewinde-Vorschlag prüfen","OK")))))))))))))))</f>
        <v/>
      </c>
      <c r="X280" s="18">
        <f>IF(OR(O280="",$G280=""),"",O280*$G280)</f>
        <v/>
      </c>
      <c r="Y280" s="9" t="n"/>
      <c r="Z280" s="23" t="n"/>
      <c r="AA280" s="9" t="n"/>
      <c r="AB280" s="23" t="n"/>
      <c r="AC280" s="23" t="n"/>
      <c r="AD280" s="23" t="n"/>
      <c r="AE280" s="9" t="n"/>
      <c r="AF280" s="9" t="n"/>
      <c r="AG280" s="9" t="n"/>
      <c r="AH280" s="24" t="n"/>
      <c r="AI280" s="23" t="n"/>
      <c r="AJ280" s="24" t="n"/>
      <c r="AK280" s="23" t="n"/>
      <c r="AL280" s="24" t="n"/>
      <c r="AM280" s="23" t="n"/>
      <c r="AN280" s="28">
        <f>IF($D280="","",COUNTIFS(Stangenbelegung!$E$5:$E$10004,ROW()))</f>
        <v/>
      </c>
      <c r="AO280" s="28">
        <f>IF(OR($G280="",COUNTA(Stangenbelegung!$A$5:$A$10004)=0),"",$G280-AN280)</f>
        <v/>
      </c>
      <c r="AP280" s="29" t="n"/>
      <c r="AQ280" s="9" t="n"/>
      <c r="AR280" s="19" t="n"/>
    </row>
    <row r="281">
      <c r="A281" s="9" t="n"/>
      <c r="B281" s="9" t="n"/>
      <c r="C281" s="9" t="n"/>
      <c r="D281" s="9" t="n"/>
      <c r="E281" s="9" t="n"/>
      <c r="F281" s="23" t="n"/>
      <c r="G281" s="19" t="n"/>
      <c r="H281" s="23" t="n"/>
      <c r="I281" s="24" t="n"/>
      <c r="J281" s="19" t="n"/>
      <c r="K281" s="25">
        <f>IF($D281="","",IFERROR(INDEX(Profile!$B$5:$B$304,MATCH($D281,lst_Profil,0)),""))</f>
        <v/>
      </c>
      <c r="L281" s="13">
        <f>IF($D281="","",IFERROR(INDEX(Profile!$K$5:$K$304,MATCH($D281,lst_Profil,0))+0,""))</f>
        <v/>
      </c>
      <c r="M281" s="26">
        <f>IF($D281="","",IFERROR(INDEX(Profile!$E$5:$E$304,MATCH($D281,lst_Profil,0))+0,""))</f>
        <v/>
      </c>
      <c r="N281" s="27">
        <f>IF(OR(L281="",$E281=""),"",IFERROR(L281*INDEX(Werkstoffe!$E$5:$E$304,MATCH($E281,lst_Werkstoff,0))/1000,""))</f>
        <v/>
      </c>
      <c r="O281" s="27">
        <f>IF(OR(N281="",$F281=""),"",N281*$F281/1000)</f>
        <v/>
      </c>
      <c r="P281" s="16">
        <f>IF(OR($F281="",$G281=""),"",$F281*$G281)</f>
        <v/>
      </c>
      <c r="Q281" s="16">
        <f>IF($D281="","",IF($J281&lt;&gt;"",$J281,$C$9))</f>
        <v/>
      </c>
      <c r="R281" s="12">
        <f>IF($D281="","",IFERROR(IF(INDEX(Profile!$G$5:$G$304,MATCH($D281,lst_Profil,0))&lt;&gt;"",INDEX(Profile!$G$5:$G$304,MATCH($D281,lst_Profil,0)),$H$4),$H$4))</f>
        <v/>
      </c>
      <c r="S281" s="12">
        <f>IF($D281="","",IFERROR(IF(INDEX(Profile!$H$5:$H$304,MATCH($D281,lst_Profil,0))&lt;&gt;"",INDEX(Profile!$H$5:$H$304,MATCH($D281,lst_Profil,0)),$H$5),$H$5))</f>
        <v/>
      </c>
      <c r="T281" s="16">
        <f>IF(OR(Q281="",NOT(ISNUMBER(R281)),NOT(ISNUMBER(S281))),"",Q281-R281-S281)</f>
        <v/>
      </c>
      <c r="U281" s="28">
        <f>IF(OR($D281="",$E281=""),"",IF(OR(N($AP281)&gt;0,COUNTIFS(Preise!$A$5:$A$304,$D281,Preise!$B$5:$B$304,$E281,Preise!$I$5:$I$304,"OK")&gt;0,N(INDEX(Werkstoffe!$G$5:$G$304,MATCH($E281,lst_Werkstoff,0)))&gt;0),"ja","nein"))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28">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Materialpreis",IF(AND($AQ281&lt;&gt;"",N($AR281)&gt;0,MOD($G281,$AR281)&lt;&gt;0),"WARNUNG: Stückzahl ist kein Vielfaches von Stück je Satz",IF($H281="","HINWEIS: Schneidweg fehlt",IF(V281="","HINWEIS: keine Schneiddaten",IF(AND($AF281&lt;&gt;"",$AG281=""),"HINWEIS: Gewinde-Vorschlag prüfen","OK")))))))))))))))</f>
        <v/>
      </c>
      <c r="X281" s="18">
        <f>IF(OR(O281="",$G281=""),"",O281*$G281)</f>
        <v/>
      </c>
      <c r="Y281" s="9" t="n"/>
      <c r="Z281" s="23" t="n"/>
      <c r="AA281" s="9" t="n"/>
      <c r="AB281" s="23" t="n"/>
      <c r="AC281" s="23" t="n"/>
      <c r="AD281" s="23" t="n"/>
      <c r="AE281" s="9" t="n"/>
      <c r="AF281" s="9" t="n"/>
      <c r="AG281" s="9" t="n"/>
      <c r="AH281" s="24" t="n"/>
      <c r="AI281" s="23" t="n"/>
      <c r="AJ281" s="24" t="n"/>
      <c r="AK281" s="23" t="n"/>
      <c r="AL281" s="24" t="n"/>
      <c r="AM281" s="23" t="n"/>
      <c r="AN281" s="28">
        <f>IF($D281="","",COUNTIFS(Stangenbelegung!$E$5:$E$10004,ROW()))</f>
        <v/>
      </c>
      <c r="AO281" s="28">
        <f>IF(OR($G281="",COUNTA(Stangenbelegung!$A$5:$A$10004)=0),"",$G281-AN281)</f>
        <v/>
      </c>
      <c r="AP281" s="29" t="n"/>
      <c r="AQ281" s="9" t="n"/>
      <c r="AR281" s="19" t="n"/>
    </row>
    <row r="282">
      <c r="A282" s="9" t="n"/>
      <c r="B282" s="9" t="n"/>
      <c r="C282" s="9" t="n"/>
      <c r="D282" s="9" t="n"/>
      <c r="E282" s="9" t="n"/>
      <c r="F282" s="23" t="n"/>
      <c r="G282" s="19" t="n"/>
      <c r="H282" s="23" t="n"/>
      <c r="I282" s="24" t="n"/>
      <c r="J282" s="19" t="n"/>
      <c r="K282" s="25">
        <f>IF($D282="","",IFERROR(INDEX(Profile!$B$5:$B$304,MATCH($D282,lst_Profil,0)),""))</f>
        <v/>
      </c>
      <c r="L282" s="13">
        <f>IF($D282="","",IFERROR(INDEX(Profile!$K$5:$K$304,MATCH($D282,lst_Profil,0))+0,""))</f>
        <v/>
      </c>
      <c r="M282" s="26">
        <f>IF($D282="","",IFERROR(INDEX(Profile!$E$5:$E$304,MATCH($D282,lst_Profil,0))+0,""))</f>
        <v/>
      </c>
      <c r="N282" s="27">
        <f>IF(OR(L282="",$E282=""),"",IFERROR(L282*INDEX(Werkstoffe!$E$5:$E$304,MATCH($E282,lst_Werkstoff,0))/1000,""))</f>
        <v/>
      </c>
      <c r="O282" s="27">
        <f>IF(OR(N282="",$F282=""),"",N282*$F282/1000)</f>
        <v/>
      </c>
      <c r="P282" s="16">
        <f>IF(OR($F282="",$G282=""),"",$F282*$G282)</f>
        <v/>
      </c>
      <c r="Q282" s="16">
        <f>IF($D282="","",IF($J282&lt;&gt;"",$J282,$C$9))</f>
        <v/>
      </c>
      <c r="R282" s="12">
        <f>IF($D282="","",IFERROR(IF(INDEX(Profile!$G$5:$G$304,MATCH($D282,lst_Profil,0))&lt;&gt;"",INDEX(Profile!$G$5:$G$304,MATCH($D282,lst_Profil,0)),$H$4),$H$4))</f>
        <v/>
      </c>
      <c r="S282" s="12">
        <f>IF($D282="","",IFERROR(IF(INDEX(Profile!$H$5:$H$304,MATCH($D282,lst_Profil,0))&lt;&gt;"",INDEX(Profile!$H$5:$H$304,MATCH($D282,lst_Profil,0)),$H$5),$H$5))</f>
        <v/>
      </c>
      <c r="T282" s="16">
        <f>IF(OR(Q282="",NOT(ISNUMBER(R282)),NOT(ISNUMBER(S282))),"",Q282-R282-S282)</f>
        <v/>
      </c>
      <c r="U282" s="28">
        <f>IF(OR($D282="",$E282=""),"",IF(OR(N($AP282)&gt;0,COUNTIFS(Preise!$A$5:$A$304,$D282,Preise!$B$5:$B$304,$E282,Preise!$I$5:$I$304,"OK")&gt;0,N(INDEX(Werkstoffe!$G$5:$G$304,MATCH($E282,lst_Werkstoff,0)))&gt;0),"ja","nein"))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28">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Materialpreis",IF(AND($AQ282&lt;&gt;"",N($AR282)&gt;0,MOD($G282,$AR282)&lt;&gt;0),"WARNUNG: Stückzahl ist kein Vielfaches von Stück je Satz",IF($H282="","HINWEIS: Schneidweg fehlt",IF(V282="","HINWEIS: keine Schneiddaten",IF(AND($AF282&lt;&gt;"",$AG282=""),"HINWEIS: Gewinde-Vorschlag prüfen","OK")))))))))))))))</f>
        <v/>
      </c>
      <c r="X282" s="18">
        <f>IF(OR(O282="",$G282=""),"",O282*$G282)</f>
        <v/>
      </c>
      <c r="Y282" s="9" t="n"/>
      <c r="Z282" s="23" t="n"/>
      <c r="AA282" s="9" t="n"/>
      <c r="AB282" s="23" t="n"/>
      <c r="AC282" s="23" t="n"/>
      <c r="AD282" s="23" t="n"/>
      <c r="AE282" s="9" t="n"/>
      <c r="AF282" s="9" t="n"/>
      <c r="AG282" s="9" t="n"/>
      <c r="AH282" s="24" t="n"/>
      <c r="AI282" s="23" t="n"/>
      <c r="AJ282" s="24" t="n"/>
      <c r="AK282" s="23" t="n"/>
      <c r="AL282" s="24" t="n"/>
      <c r="AM282" s="23" t="n"/>
      <c r="AN282" s="28">
        <f>IF($D282="","",COUNTIFS(Stangenbelegung!$E$5:$E$10004,ROW()))</f>
        <v/>
      </c>
      <c r="AO282" s="28">
        <f>IF(OR($G282="",COUNTA(Stangenbelegung!$A$5:$A$10004)=0),"",$G282-AN282)</f>
        <v/>
      </c>
      <c r="AP282" s="29" t="n"/>
      <c r="AQ282" s="9" t="n"/>
      <c r="AR282" s="19" t="n"/>
    </row>
    <row r="283">
      <c r="A283" s="9" t="n"/>
      <c r="B283" s="9" t="n"/>
      <c r="C283" s="9" t="n"/>
      <c r="D283" s="9" t="n"/>
      <c r="E283" s="9" t="n"/>
      <c r="F283" s="23" t="n"/>
      <c r="G283" s="19" t="n"/>
      <c r="H283" s="23" t="n"/>
      <c r="I283" s="24" t="n"/>
      <c r="J283" s="19" t="n"/>
      <c r="K283" s="25">
        <f>IF($D283="","",IFERROR(INDEX(Profile!$B$5:$B$304,MATCH($D283,lst_Profil,0)),""))</f>
        <v/>
      </c>
      <c r="L283" s="13">
        <f>IF($D283="","",IFERROR(INDEX(Profile!$K$5:$K$304,MATCH($D283,lst_Profil,0))+0,""))</f>
        <v/>
      </c>
      <c r="M283" s="26">
        <f>IF($D283="","",IFERROR(INDEX(Profile!$E$5:$E$304,MATCH($D283,lst_Profil,0))+0,""))</f>
        <v/>
      </c>
      <c r="N283" s="27">
        <f>IF(OR(L283="",$E283=""),"",IFERROR(L283*INDEX(Werkstoffe!$E$5:$E$304,MATCH($E283,lst_Werkstoff,0))/1000,""))</f>
        <v/>
      </c>
      <c r="O283" s="27">
        <f>IF(OR(N283="",$F283=""),"",N283*$F283/1000)</f>
        <v/>
      </c>
      <c r="P283" s="16">
        <f>IF(OR($F283="",$G283=""),"",$F283*$G283)</f>
        <v/>
      </c>
      <c r="Q283" s="16">
        <f>IF($D283="","",IF($J283&lt;&gt;"",$J283,$C$9))</f>
        <v/>
      </c>
      <c r="R283" s="12">
        <f>IF($D283="","",IFERROR(IF(INDEX(Profile!$G$5:$G$304,MATCH($D283,lst_Profil,0))&lt;&gt;"",INDEX(Profile!$G$5:$G$304,MATCH($D283,lst_Profil,0)),$H$4),$H$4))</f>
        <v/>
      </c>
      <c r="S283" s="12">
        <f>IF($D283="","",IFERROR(IF(INDEX(Profile!$H$5:$H$304,MATCH($D283,lst_Profil,0))&lt;&gt;"",INDEX(Profile!$H$5:$H$304,MATCH($D283,lst_Profil,0)),$H$5),$H$5))</f>
        <v/>
      </c>
      <c r="T283" s="16">
        <f>IF(OR(Q283="",NOT(ISNUMBER(R283)),NOT(ISNUMBER(S283))),"",Q283-R283-S283)</f>
        <v/>
      </c>
      <c r="U283" s="28">
        <f>IF(OR($D283="",$E283=""),"",IF(OR(N($AP283)&gt;0,COUNTIFS(Preise!$A$5:$A$304,$D283,Preise!$B$5:$B$304,$E283,Preise!$I$5:$I$304,"OK")&gt;0,N(INDEX(Werkstoffe!$G$5:$G$304,MATCH($E283,lst_Werkstoff,0)))&gt;0),"ja","nein"))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28">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Materialpreis",IF(AND($AQ283&lt;&gt;"",N($AR283)&gt;0,MOD($G283,$AR283)&lt;&gt;0),"WARNUNG: Stückzahl ist kein Vielfaches von Stück je Satz",IF($H283="","HINWEIS: Schneidweg fehlt",IF(V283="","HINWEIS: keine Schneiddaten",IF(AND($AF283&lt;&gt;"",$AG283=""),"HINWEIS: Gewinde-Vorschlag prüfen","OK")))))))))))))))</f>
        <v/>
      </c>
      <c r="X283" s="18">
        <f>IF(OR(O283="",$G283=""),"",O283*$G283)</f>
        <v/>
      </c>
      <c r="Y283" s="9" t="n"/>
      <c r="Z283" s="23" t="n"/>
      <c r="AA283" s="9" t="n"/>
      <c r="AB283" s="23" t="n"/>
      <c r="AC283" s="23" t="n"/>
      <c r="AD283" s="23" t="n"/>
      <c r="AE283" s="9" t="n"/>
      <c r="AF283" s="9" t="n"/>
      <c r="AG283" s="9" t="n"/>
      <c r="AH283" s="24" t="n"/>
      <c r="AI283" s="23" t="n"/>
      <c r="AJ283" s="24" t="n"/>
      <c r="AK283" s="23" t="n"/>
      <c r="AL283" s="24" t="n"/>
      <c r="AM283" s="23" t="n"/>
      <c r="AN283" s="28">
        <f>IF($D283="","",COUNTIFS(Stangenbelegung!$E$5:$E$10004,ROW()))</f>
        <v/>
      </c>
      <c r="AO283" s="28">
        <f>IF(OR($G283="",COUNTA(Stangenbelegung!$A$5:$A$10004)=0),"",$G283-AN283)</f>
        <v/>
      </c>
      <c r="AP283" s="29" t="n"/>
      <c r="AQ283" s="9" t="n"/>
      <c r="AR283" s="19" t="n"/>
    </row>
    <row r="284">
      <c r="A284" s="9" t="n"/>
      <c r="B284" s="9" t="n"/>
      <c r="C284" s="9" t="n"/>
      <c r="D284" s="9" t="n"/>
      <c r="E284" s="9" t="n"/>
      <c r="F284" s="23" t="n"/>
      <c r="G284" s="19" t="n"/>
      <c r="H284" s="23" t="n"/>
      <c r="I284" s="24" t="n"/>
      <c r="J284" s="19" t="n"/>
      <c r="K284" s="25">
        <f>IF($D284="","",IFERROR(INDEX(Profile!$B$5:$B$304,MATCH($D284,lst_Profil,0)),""))</f>
        <v/>
      </c>
      <c r="L284" s="13">
        <f>IF($D284="","",IFERROR(INDEX(Profile!$K$5:$K$304,MATCH($D284,lst_Profil,0))+0,""))</f>
        <v/>
      </c>
      <c r="M284" s="26">
        <f>IF($D284="","",IFERROR(INDEX(Profile!$E$5:$E$304,MATCH($D284,lst_Profil,0))+0,""))</f>
        <v/>
      </c>
      <c r="N284" s="27">
        <f>IF(OR(L284="",$E284=""),"",IFERROR(L284*INDEX(Werkstoffe!$E$5:$E$304,MATCH($E284,lst_Werkstoff,0))/1000,""))</f>
        <v/>
      </c>
      <c r="O284" s="27">
        <f>IF(OR(N284="",$F284=""),"",N284*$F284/1000)</f>
        <v/>
      </c>
      <c r="P284" s="16">
        <f>IF(OR($F284="",$G284=""),"",$F284*$G284)</f>
        <v/>
      </c>
      <c r="Q284" s="16">
        <f>IF($D284="","",IF($J284&lt;&gt;"",$J284,$C$9))</f>
        <v/>
      </c>
      <c r="R284" s="12">
        <f>IF($D284="","",IFERROR(IF(INDEX(Profile!$G$5:$G$304,MATCH($D284,lst_Profil,0))&lt;&gt;"",INDEX(Profile!$G$5:$G$304,MATCH($D284,lst_Profil,0)),$H$4),$H$4))</f>
        <v/>
      </c>
      <c r="S284" s="12">
        <f>IF($D284="","",IFERROR(IF(INDEX(Profile!$H$5:$H$304,MATCH($D284,lst_Profil,0))&lt;&gt;"",INDEX(Profile!$H$5:$H$304,MATCH($D284,lst_Profil,0)),$H$5),$H$5))</f>
        <v/>
      </c>
      <c r="T284" s="16">
        <f>IF(OR(Q284="",NOT(ISNUMBER(R284)),NOT(ISNUMBER(S284))),"",Q284-R284-S284)</f>
        <v/>
      </c>
      <c r="U284" s="28">
        <f>IF(OR($D284="",$E284=""),"",IF(OR(N($AP284)&gt;0,COUNTIFS(Preise!$A$5:$A$304,$D284,Preise!$B$5:$B$304,$E284,Preise!$I$5:$I$304,"OK")&gt;0,N(INDEX(Werkstoffe!$G$5:$G$304,MATCH($E284,lst_Werkstoff,0)))&gt;0),"ja","nein"))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28">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Materialpreis",IF(AND($AQ284&lt;&gt;"",N($AR284)&gt;0,MOD($G284,$AR284)&lt;&gt;0),"WARNUNG: Stückzahl ist kein Vielfaches von Stück je Satz",IF($H284="","HINWEIS: Schneidweg fehlt",IF(V284="","HINWEIS: keine Schneiddaten",IF(AND($AF284&lt;&gt;"",$AG284=""),"HINWEIS: Gewinde-Vorschlag prüfen","OK")))))))))))))))</f>
        <v/>
      </c>
      <c r="X284" s="18">
        <f>IF(OR(O284="",$G284=""),"",O284*$G284)</f>
        <v/>
      </c>
      <c r="Y284" s="9" t="n"/>
      <c r="Z284" s="23" t="n"/>
      <c r="AA284" s="9" t="n"/>
      <c r="AB284" s="23" t="n"/>
      <c r="AC284" s="23" t="n"/>
      <c r="AD284" s="23" t="n"/>
      <c r="AE284" s="9" t="n"/>
      <c r="AF284" s="9" t="n"/>
      <c r="AG284" s="9" t="n"/>
      <c r="AH284" s="24" t="n"/>
      <c r="AI284" s="23" t="n"/>
      <c r="AJ284" s="24" t="n"/>
      <c r="AK284" s="23" t="n"/>
      <c r="AL284" s="24" t="n"/>
      <c r="AM284" s="23" t="n"/>
      <c r="AN284" s="28">
        <f>IF($D284="","",COUNTIFS(Stangenbelegung!$E$5:$E$10004,ROW()))</f>
        <v/>
      </c>
      <c r="AO284" s="28">
        <f>IF(OR($G284="",COUNTA(Stangenbelegung!$A$5:$A$10004)=0),"",$G284-AN284)</f>
        <v/>
      </c>
      <c r="AP284" s="29" t="n"/>
      <c r="AQ284" s="9" t="n"/>
      <c r="AR284" s="19" t="n"/>
    </row>
    <row r="285">
      <c r="A285" s="9" t="n"/>
      <c r="B285" s="9" t="n"/>
      <c r="C285" s="9" t="n"/>
      <c r="D285" s="9" t="n"/>
      <c r="E285" s="9" t="n"/>
      <c r="F285" s="23" t="n"/>
      <c r="G285" s="19" t="n"/>
      <c r="H285" s="23" t="n"/>
      <c r="I285" s="24" t="n"/>
      <c r="J285" s="19" t="n"/>
      <c r="K285" s="25">
        <f>IF($D285="","",IFERROR(INDEX(Profile!$B$5:$B$304,MATCH($D285,lst_Profil,0)),""))</f>
        <v/>
      </c>
      <c r="L285" s="13">
        <f>IF($D285="","",IFERROR(INDEX(Profile!$K$5:$K$304,MATCH($D285,lst_Profil,0))+0,""))</f>
        <v/>
      </c>
      <c r="M285" s="26">
        <f>IF($D285="","",IFERROR(INDEX(Profile!$E$5:$E$304,MATCH($D285,lst_Profil,0))+0,""))</f>
        <v/>
      </c>
      <c r="N285" s="27">
        <f>IF(OR(L285="",$E285=""),"",IFERROR(L285*INDEX(Werkstoffe!$E$5:$E$304,MATCH($E285,lst_Werkstoff,0))/1000,""))</f>
        <v/>
      </c>
      <c r="O285" s="27">
        <f>IF(OR(N285="",$F285=""),"",N285*$F285/1000)</f>
        <v/>
      </c>
      <c r="P285" s="16">
        <f>IF(OR($F285="",$G285=""),"",$F285*$G285)</f>
        <v/>
      </c>
      <c r="Q285" s="16">
        <f>IF($D285="","",IF($J285&lt;&gt;"",$J285,$C$9))</f>
        <v/>
      </c>
      <c r="R285" s="12">
        <f>IF($D285="","",IFERROR(IF(INDEX(Profile!$G$5:$G$304,MATCH($D285,lst_Profil,0))&lt;&gt;"",INDEX(Profile!$G$5:$G$304,MATCH($D285,lst_Profil,0)),$H$4),$H$4))</f>
        <v/>
      </c>
      <c r="S285" s="12">
        <f>IF($D285="","",IFERROR(IF(INDEX(Profile!$H$5:$H$304,MATCH($D285,lst_Profil,0))&lt;&gt;"",INDEX(Profile!$H$5:$H$304,MATCH($D285,lst_Profil,0)),$H$5),$H$5))</f>
        <v/>
      </c>
      <c r="T285" s="16">
        <f>IF(OR(Q285="",NOT(ISNUMBER(R285)),NOT(ISNUMBER(S285))),"",Q285-R285-S285)</f>
        <v/>
      </c>
      <c r="U285" s="28">
        <f>IF(OR($D285="",$E285=""),"",IF(OR(N($AP285)&gt;0,COUNTIFS(Preise!$A$5:$A$304,$D285,Preise!$B$5:$B$304,$E285,Preise!$I$5:$I$304,"OK")&gt;0,N(INDEX(Werkstoffe!$G$5:$G$304,MATCH($E285,lst_Werkstoff,0)))&gt;0),"ja","nein"))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28">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Materialpreis",IF(AND($AQ285&lt;&gt;"",N($AR285)&gt;0,MOD($G285,$AR285)&lt;&gt;0),"WARNUNG: Stückzahl ist kein Vielfaches von Stück je Satz",IF($H285="","HINWEIS: Schneidweg fehlt",IF(V285="","HINWEIS: keine Schneiddaten",IF(AND($AF285&lt;&gt;"",$AG285=""),"HINWEIS: Gewinde-Vorschlag prüfen","OK")))))))))))))))</f>
        <v/>
      </c>
      <c r="X285" s="18">
        <f>IF(OR(O285="",$G285=""),"",O285*$G285)</f>
        <v/>
      </c>
      <c r="Y285" s="9" t="n"/>
      <c r="Z285" s="23" t="n"/>
      <c r="AA285" s="9" t="n"/>
      <c r="AB285" s="23" t="n"/>
      <c r="AC285" s="23" t="n"/>
      <c r="AD285" s="23" t="n"/>
      <c r="AE285" s="9" t="n"/>
      <c r="AF285" s="9" t="n"/>
      <c r="AG285" s="9" t="n"/>
      <c r="AH285" s="24" t="n"/>
      <c r="AI285" s="23" t="n"/>
      <c r="AJ285" s="24" t="n"/>
      <c r="AK285" s="23" t="n"/>
      <c r="AL285" s="24" t="n"/>
      <c r="AM285" s="23" t="n"/>
      <c r="AN285" s="28">
        <f>IF($D285="","",COUNTIFS(Stangenbelegung!$E$5:$E$10004,ROW()))</f>
        <v/>
      </c>
      <c r="AO285" s="28">
        <f>IF(OR($G285="",COUNTA(Stangenbelegung!$A$5:$A$10004)=0),"",$G285-AN285)</f>
        <v/>
      </c>
      <c r="AP285" s="29" t="n"/>
      <c r="AQ285" s="9" t="n"/>
      <c r="AR285" s="19" t="n"/>
    </row>
    <row r="286">
      <c r="A286" s="9" t="n"/>
      <c r="B286" s="9" t="n"/>
      <c r="C286" s="9" t="n"/>
      <c r="D286" s="9" t="n"/>
      <c r="E286" s="9" t="n"/>
      <c r="F286" s="23" t="n"/>
      <c r="G286" s="19" t="n"/>
      <c r="H286" s="23" t="n"/>
      <c r="I286" s="24" t="n"/>
      <c r="J286" s="19" t="n"/>
      <c r="K286" s="25">
        <f>IF($D286="","",IFERROR(INDEX(Profile!$B$5:$B$304,MATCH($D286,lst_Profil,0)),""))</f>
        <v/>
      </c>
      <c r="L286" s="13">
        <f>IF($D286="","",IFERROR(INDEX(Profile!$K$5:$K$304,MATCH($D286,lst_Profil,0))+0,""))</f>
        <v/>
      </c>
      <c r="M286" s="26">
        <f>IF($D286="","",IFERROR(INDEX(Profile!$E$5:$E$304,MATCH($D286,lst_Profil,0))+0,""))</f>
        <v/>
      </c>
      <c r="N286" s="27">
        <f>IF(OR(L286="",$E286=""),"",IFERROR(L286*INDEX(Werkstoffe!$E$5:$E$304,MATCH($E286,lst_Werkstoff,0))/1000,""))</f>
        <v/>
      </c>
      <c r="O286" s="27">
        <f>IF(OR(N286="",$F286=""),"",N286*$F286/1000)</f>
        <v/>
      </c>
      <c r="P286" s="16">
        <f>IF(OR($F286="",$G286=""),"",$F286*$G286)</f>
        <v/>
      </c>
      <c r="Q286" s="16">
        <f>IF($D286="","",IF($J286&lt;&gt;"",$J286,$C$9))</f>
        <v/>
      </c>
      <c r="R286" s="12">
        <f>IF($D286="","",IFERROR(IF(INDEX(Profile!$G$5:$G$304,MATCH($D286,lst_Profil,0))&lt;&gt;"",INDEX(Profile!$G$5:$G$304,MATCH($D286,lst_Profil,0)),$H$4),$H$4))</f>
        <v/>
      </c>
      <c r="S286" s="12">
        <f>IF($D286="","",IFERROR(IF(INDEX(Profile!$H$5:$H$304,MATCH($D286,lst_Profil,0))&lt;&gt;"",INDEX(Profile!$H$5:$H$304,MATCH($D286,lst_Profil,0)),$H$5),$H$5))</f>
        <v/>
      </c>
      <c r="T286" s="16">
        <f>IF(OR(Q286="",NOT(ISNUMBER(R286)),NOT(ISNUMBER(S286))),"",Q286-R286-S286)</f>
        <v/>
      </c>
      <c r="U286" s="28">
        <f>IF(OR($D286="",$E286=""),"",IF(OR(N($AP286)&gt;0,COUNTIFS(Preise!$A$5:$A$304,$D286,Preise!$B$5:$B$304,$E286,Preise!$I$5:$I$304,"OK")&gt;0,N(INDEX(Werkstoffe!$G$5:$G$304,MATCH($E286,lst_Werkstoff,0)))&gt;0),"ja","nein"))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28">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Materialpreis",IF(AND($AQ286&lt;&gt;"",N($AR286)&gt;0,MOD($G286,$AR286)&lt;&gt;0),"WARNUNG: Stückzahl ist kein Vielfaches von Stück je Satz",IF($H286="","HINWEIS: Schneidweg fehlt",IF(V286="","HINWEIS: keine Schneiddaten",IF(AND($AF286&lt;&gt;"",$AG286=""),"HINWEIS: Gewinde-Vorschlag prüfen","OK")))))))))))))))</f>
        <v/>
      </c>
      <c r="X286" s="18">
        <f>IF(OR(O286="",$G286=""),"",O286*$G286)</f>
        <v/>
      </c>
      <c r="Y286" s="9" t="n"/>
      <c r="Z286" s="23" t="n"/>
      <c r="AA286" s="9" t="n"/>
      <c r="AB286" s="23" t="n"/>
      <c r="AC286" s="23" t="n"/>
      <c r="AD286" s="23" t="n"/>
      <c r="AE286" s="9" t="n"/>
      <c r="AF286" s="9" t="n"/>
      <c r="AG286" s="9" t="n"/>
      <c r="AH286" s="24" t="n"/>
      <c r="AI286" s="23" t="n"/>
      <c r="AJ286" s="24" t="n"/>
      <c r="AK286" s="23" t="n"/>
      <c r="AL286" s="24" t="n"/>
      <c r="AM286" s="23" t="n"/>
      <c r="AN286" s="28">
        <f>IF($D286="","",COUNTIFS(Stangenbelegung!$E$5:$E$10004,ROW()))</f>
        <v/>
      </c>
      <c r="AO286" s="28">
        <f>IF(OR($G286="",COUNTA(Stangenbelegung!$A$5:$A$10004)=0),"",$G286-AN286)</f>
        <v/>
      </c>
      <c r="AP286" s="29" t="n"/>
      <c r="AQ286" s="9" t="n"/>
      <c r="AR286" s="19" t="n"/>
    </row>
    <row r="287">
      <c r="A287" s="9" t="n"/>
      <c r="B287" s="9" t="n"/>
      <c r="C287" s="9" t="n"/>
      <c r="D287" s="9" t="n"/>
      <c r="E287" s="9" t="n"/>
      <c r="F287" s="23" t="n"/>
      <c r="G287" s="19" t="n"/>
      <c r="H287" s="23" t="n"/>
      <c r="I287" s="24" t="n"/>
      <c r="J287" s="19" t="n"/>
      <c r="K287" s="25">
        <f>IF($D287="","",IFERROR(INDEX(Profile!$B$5:$B$304,MATCH($D287,lst_Profil,0)),""))</f>
        <v/>
      </c>
      <c r="L287" s="13">
        <f>IF($D287="","",IFERROR(INDEX(Profile!$K$5:$K$304,MATCH($D287,lst_Profil,0))+0,""))</f>
        <v/>
      </c>
      <c r="M287" s="26">
        <f>IF($D287="","",IFERROR(INDEX(Profile!$E$5:$E$304,MATCH($D287,lst_Profil,0))+0,""))</f>
        <v/>
      </c>
      <c r="N287" s="27">
        <f>IF(OR(L287="",$E287=""),"",IFERROR(L287*INDEX(Werkstoffe!$E$5:$E$304,MATCH($E287,lst_Werkstoff,0))/1000,""))</f>
        <v/>
      </c>
      <c r="O287" s="27">
        <f>IF(OR(N287="",$F287=""),"",N287*$F287/1000)</f>
        <v/>
      </c>
      <c r="P287" s="16">
        <f>IF(OR($F287="",$G287=""),"",$F287*$G287)</f>
        <v/>
      </c>
      <c r="Q287" s="16">
        <f>IF($D287="","",IF($J287&lt;&gt;"",$J287,$C$9))</f>
        <v/>
      </c>
      <c r="R287" s="12">
        <f>IF($D287="","",IFERROR(IF(INDEX(Profile!$G$5:$G$304,MATCH($D287,lst_Profil,0))&lt;&gt;"",INDEX(Profile!$G$5:$G$304,MATCH($D287,lst_Profil,0)),$H$4),$H$4))</f>
        <v/>
      </c>
      <c r="S287" s="12">
        <f>IF($D287="","",IFERROR(IF(INDEX(Profile!$H$5:$H$304,MATCH($D287,lst_Profil,0))&lt;&gt;"",INDEX(Profile!$H$5:$H$304,MATCH($D287,lst_Profil,0)),$H$5),$H$5))</f>
        <v/>
      </c>
      <c r="T287" s="16">
        <f>IF(OR(Q287="",NOT(ISNUMBER(R287)),NOT(ISNUMBER(S287))),"",Q287-R287-S287)</f>
        <v/>
      </c>
      <c r="U287" s="28">
        <f>IF(OR($D287="",$E287=""),"",IF(OR(N($AP287)&gt;0,COUNTIFS(Preise!$A$5:$A$304,$D287,Preise!$B$5:$B$304,$E287,Preise!$I$5:$I$304,"OK")&gt;0,N(INDEX(Werkstoffe!$G$5:$G$304,MATCH($E287,lst_Werkstoff,0)))&gt;0),"ja","nein"))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28">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Materialpreis",IF(AND($AQ287&lt;&gt;"",N($AR287)&gt;0,MOD($G287,$AR287)&lt;&gt;0),"WARNUNG: Stückzahl ist kein Vielfaches von Stück je Satz",IF($H287="","HINWEIS: Schneidweg fehlt",IF(V287="","HINWEIS: keine Schneiddaten",IF(AND($AF287&lt;&gt;"",$AG287=""),"HINWEIS: Gewinde-Vorschlag prüfen","OK")))))))))))))))</f>
        <v/>
      </c>
      <c r="X287" s="18">
        <f>IF(OR(O287="",$G287=""),"",O287*$G287)</f>
        <v/>
      </c>
      <c r="Y287" s="9" t="n"/>
      <c r="Z287" s="23" t="n"/>
      <c r="AA287" s="9" t="n"/>
      <c r="AB287" s="23" t="n"/>
      <c r="AC287" s="23" t="n"/>
      <c r="AD287" s="23" t="n"/>
      <c r="AE287" s="9" t="n"/>
      <c r="AF287" s="9" t="n"/>
      <c r="AG287" s="9" t="n"/>
      <c r="AH287" s="24" t="n"/>
      <c r="AI287" s="23" t="n"/>
      <c r="AJ287" s="24" t="n"/>
      <c r="AK287" s="23" t="n"/>
      <c r="AL287" s="24" t="n"/>
      <c r="AM287" s="23" t="n"/>
      <c r="AN287" s="28">
        <f>IF($D287="","",COUNTIFS(Stangenbelegung!$E$5:$E$10004,ROW()))</f>
        <v/>
      </c>
      <c r="AO287" s="28">
        <f>IF(OR($G287="",COUNTA(Stangenbelegung!$A$5:$A$10004)=0),"",$G287-AN287)</f>
        <v/>
      </c>
      <c r="AP287" s="29" t="n"/>
      <c r="AQ287" s="9" t="n"/>
      <c r="AR287" s="19" t="n"/>
    </row>
    <row r="288">
      <c r="A288" s="9" t="n"/>
      <c r="B288" s="9" t="n"/>
      <c r="C288" s="9" t="n"/>
      <c r="D288" s="9" t="n"/>
      <c r="E288" s="9" t="n"/>
      <c r="F288" s="23" t="n"/>
      <c r="G288" s="19" t="n"/>
      <c r="H288" s="23" t="n"/>
      <c r="I288" s="24" t="n"/>
      <c r="J288" s="19" t="n"/>
      <c r="K288" s="25">
        <f>IF($D288="","",IFERROR(INDEX(Profile!$B$5:$B$304,MATCH($D288,lst_Profil,0)),""))</f>
        <v/>
      </c>
      <c r="L288" s="13">
        <f>IF($D288="","",IFERROR(INDEX(Profile!$K$5:$K$304,MATCH($D288,lst_Profil,0))+0,""))</f>
        <v/>
      </c>
      <c r="M288" s="26">
        <f>IF($D288="","",IFERROR(INDEX(Profile!$E$5:$E$304,MATCH($D288,lst_Profil,0))+0,""))</f>
        <v/>
      </c>
      <c r="N288" s="27">
        <f>IF(OR(L288="",$E288=""),"",IFERROR(L288*INDEX(Werkstoffe!$E$5:$E$304,MATCH($E288,lst_Werkstoff,0))/1000,""))</f>
        <v/>
      </c>
      <c r="O288" s="27">
        <f>IF(OR(N288="",$F288=""),"",N288*$F288/1000)</f>
        <v/>
      </c>
      <c r="P288" s="16">
        <f>IF(OR($F288="",$G288=""),"",$F288*$G288)</f>
        <v/>
      </c>
      <c r="Q288" s="16">
        <f>IF($D288="","",IF($J288&lt;&gt;"",$J288,$C$9))</f>
        <v/>
      </c>
      <c r="R288" s="12">
        <f>IF($D288="","",IFERROR(IF(INDEX(Profile!$G$5:$G$304,MATCH($D288,lst_Profil,0))&lt;&gt;"",INDEX(Profile!$G$5:$G$304,MATCH($D288,lst_Profil,0)),$H$4),$H$4))</f>
        <v/>
      </c>
      <c r="S288" s="12">
        <f>IF($D288="","",IFERROR(IF(INDEX(Profile!$H$5:$H$304,MATCH($D288,lst_Profil,0))&lt;&gt;"",INDEX(Profile!$H$5:$H$304,MATCH($D288,lst_Profil,0)),$H$5),$H$5))</f>
        <v/>
      </c>
      <c r="T288" s="16">
        <f>IF(OR(Q288="",NOT(ISNUMBER(R288)),NOT(ISNUMBER(S288))),"",Q288-R288-S288)</f>
        <v/>
      </c>
      <c r="U288" s="28">
        <f>IF(OR($D288="",$E288=""),"",IF(OR(N($AP288)&gt;0,COUNTIFS(Preise!$A$5:$A$304,$D288,Preise!$B$5:$B$304,$E288,Preise!$I$5:$I$304,"OK")&gt;0,N(INDEX(Werkstoffe!$G$5:$G$304,MATCH($E288,lst_Werkstoff,0)))&gt;0),"ja","nein"))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28">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Materialpreis",IF(AND($AQ288&lt;&gt;"",N($AR288)&gt;0,MOD($G288,$AR288)&lt;&gt;0),"WARNUNG: Stückzahl ist kein Vielfaches von Stück je Satz",IF($H288="","HINWEIS: Schneidweg fehlt",IF(V288="","HINWEIS: keine Schneiddaten",IF(AND($AF288&lt;&gt;"",$AG288=""),"HINWEIS: Gewinde-Vorschlag prüfen","OK")))))))))))))))</f>
        <v/>
      </c>
      <c r="X288" s="18">
        <f>IF(OR(O288="",$G288=""),"",O288*$G288)</f>
        <v/>
      </c>
      <c r="Y288" s="9" t="n"/>
      <c r="Z288" s="23" t="n"/>
      <c r="AA288" s="9" t="n"/>
      <c r="AB288" s="23" t="n"/>
      <c r="AC288" s="23" t="n"/>
      <c r="AD288" s="23" t="n"/>
      <c r="AE288" s="9" t="n"/>
      <c r="AF288" s="9" t="n"/>
      <c r="AG288" s="9" t="n"/>
      <c r="AH288" s="24" t="n"/>
      <c r="AI288" s="23" t="n"/>
      <c r="AJ288" s="24" t="n"/>
      <c r="AK288" s="23" t="n"/>
      <c r="AL288" s="24" t="n"/>
      <c r="AM288" s="23" t="n"/>
      <c r="AN288" s="28">
        <f>IF($D288="","",COUNTIFS(Stangenbelegung!$E$5:$E$10004,ROW()))</f>
        <v/>
      </c>
      <c r="AO288" s="28">
        <f>IF(OR($G288="",COUNTA(Stangenbelegung!$A$5:$A$10004)=0),"",$G288-AN288)</f>
        <v/>
      </c>
      <c r="AP288" s="29" t="n"/>
      <c r="AQ288" s="9" t="n"/>
      <c r="AR288" s="19" t="n"/>
    </row>
    <row r="289">
      <c r="A289" s="9" t="n"/>
      <c r="B289" s="9" t="n"/>
      <c r="C289" s="9" t="n"/>
      <c r="D289" s="9" t="n"/>
      <c r="E289" s="9" t="n"/>
      <c r="F289" s="23" t="n"/>
      <c r="G289" s="19" t="n"/>
      <c r="H289" s="23" t="n"/>
      <c r="I289" s="24" t="n"/>
      <c r="J289" s="19" t="n"/>
      <c r="K289" s="25">
        <f>IF($D289="","",IFERROR(INDEX(Profile!$B$5:$B$304,MATCH($D289,lst_Profil,0)),""))</f>
        <v/>
      </c>
      <c r="L289" s="13">
        <f>IF($D289="","",IFERROR(INDEX(Profile!$K$5:$K$304,MATCH($D289,lst_Profil,0))+0,""))</f>
        <v/>
      </c>
      <c r="M289" s="26">
        <f>IF($D289="","",IFERROR(INDEX(Profile!$E$5:$E$304,MATCH($D289,lst_Profil,0))+0,""))</f>
        <v/>
      </c>
      <c r="N289" s="27">
        <f>IF(OR(L289="",$E289=""),"",IFERROR(L289*INDEX(Werkstoffe!$E$5:$E$304,MATCH($E289,lst_Werkstoff,0))/1000,""))</f>
        <v/>
      </c>
      <c r="O289" s="27">
        <f>IF(OR(N289="",$F289=""),"",N289*$F289/1000)</f>
        <v/>
      </c>
      <c r="P289" s="16">
        <f>IF(OR($F289="",$G289=""),"",$F289*$G289)</f>
        <v/>
      </c>
      <c r="Q289" s="16">
        <f>IF($D289="","",IF($J289&lt;&gt;"",$J289,$C$9))</f>
        <v/>
      </c>
      <c r="R289" s="12">
        <f>IF($D289="","",IFERROR(IF(INDEX(Profile!$G$5:$G$304,MATCH($D289,lst_Profil,0))&lt;&gt;"",INDEX(Profile!$G$5:$G$304,MATCH($D289,lst_Profil,0)),$H$4),$H$4))</f>
        <v/>
      </c>
      <c r="S289" s="12">
        <f>IF($D289="","",IFERROR(IF(INDEX(Profile!$H$5:$H$304,MATCH($D289,lst_Profil,0))&lt;&gt;"",INDEX(Profile!$H$5:$H$304,MATCH($D289,lst_Profil,0)),$H$5),$H$5))</f>
        <v/>
      </c>
      <c r="T289" s="16">
        <f>IF(OR(Q289="",NOT(ISNUMBER(R289)),NOT(ISNUMBER(S289))),"",Q289-R289-S289)</f>
        <v/>
      </c>
      <c r="U289" s="28">
        <f>IF(OR($D289="",$E289=""),"",IF(OR(N($AP289)&gt;0,COUNTIFS(Preise!$A$5:$A$304,$D289,Preise!$B$5:$B$304,$E289,Preise!$I$5:$I$304,"OK")&gt;0,N(INDEX(Werkstoffe!$G$5:$G$304,MATCH($E289,lst_Werkstoff,0)))&gt;0),"ja","nein"))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28">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Materialpreis",IF(AND($AQ289&lt;&gt;"",N($AR289)&gt;0,MOD($G289,$AR289)&lt;&gt;0),"WARNUNG: Stückzahl ist kein Vielfaches von Stück je Satz",IF($H289="","HINWEIS: Schneidweg fehlt",IF(V289="","HINWEIS: keine Schneiddaten",IF(AND($AF289&lt;&gt;"",$AG289=""),"HINWEIS: Gewinde-Vorschlag prüfen","OK")))))))))))))))</f>
        <v/>
      </c>
      <c r="X289" s="18">
        <f>IF(OR(O289="",$G289=""),"",O289*$G289)</f>
        <v/>
      </c>
      <c r="Y289" s="9" t="n"/>
      <c r="Z289" s="23" t="n"/>
      <c r="AA289" s="9" t="n"/>
      <c r="AB289" s="23" t="n"/>
      <c r="AC289" s="23" t="n"/>
      <c r="AD289" s="23" t="n"/>
      <c r="AE289" s="9" t="n"/>
      <c r="AF289" s="9" t="n"/>
      <c r="AG289" s="9" t="n"/>
      <c r="AH289" s="24" t="n"/>
      <c r="AI289" s="23" t="n"/>
      <c r="AJ289" s="24" t="n"/>
      <c r="AK289" s="23" t="n"/>
      <c r="AL289" s="24" t="n"/>
      <c r="AM289" s="23" t="n"/>
      <c r="AN289" s="28">
        <f>IF($D289="","",COUNTIFS(Stangenbelegung!$E$5:$E$10004,ROW()))</f>
        <v/>
      </c>
      <c r="AO289" s="28">
        <f>IF(OR($G289="",COUNTA(Stangenbelegung!$A$5:$A$10004)=0),"",$G289-AN289)</f>
        <v/>
      </c>
      <c r="AP289" s="29" t="n"/>
      <c r="AQ289" s="9" t="n"/>
      <c r="AR289" s="19" t="n"/>
    </row>
    <row r="290">
      <c r="A290" s="9" t="n"/>
      <c r="B290" s="9" t="n"/>
      <c r="C290" s="9" t="n"/>
      <c r="D290" s="9" t="n"/>
      <c r="E290" s="9" t="n"/>
      <c r="F290" s="23" t="n"/>
      <c r="G290" s="19" t="n"/>
      <c r="H290" s="23" t="n"/>
      <c r="I290" s="24" t="n"/>
      <c r="J290" s="19" t="n"/>
      <c r="K290" s="25">
        <f>IF($D290="","",IFERROR(INDEX(Profile!$B$5:$B$304,MATCH($D290,lst_Profil,0)),""))</f>
        <v/>
      </c>
      <c r="L290" s="13">
        <f>IF($D290="","",IFERROR(INDEX(Profile!$K$5:$K$304,MATCH($D290,lst_Profil,0))+0,""))</f>
        <v/>
      </c>
      <c r="M290" s="26">
        <f>IF($D290="","",IFERROR(INDEX(Profile!$E$5:$E$304,MATCH($D290,lst_Profil,0))+0,""))</f>
        <v/>
      </c>
      <c r="N290" s="27">
        <f>IF(OR(L290="",$E290=""),"",IFERROR(L290*INDEX(Werkstoffe!$E$5:$E$304,MATCH($E290,lst_Werkstoff,0))/1000,""))</f>
        <v/>
      </c>
      <c r="O290" s="27">
        <f>IF(OR(N290="",$F290=""),"",N290*$F290/1000)</f>
        <v/>
      </c>
      <c r="P290" s="16">
        <f>IF(OR($F290="",$G290=""),"",$F290*$G290)</f>
        <v/>
      </c>
      <c r="Q290" s="16">
        <f>IF($D290="","",IF($J290&lt;&gt;"",$J290,$C$9))</f>
        <v/>
      </c>
      <c r="R290" s="12">
        <f>IF($D290="","",IFERROR(IF(INDEX(Profile!$G$5:$G$304,MATCH($D290,lst_Profil,0))&lt;&gt;"",INDEX(Profile!$G$5:$G$304,MATCH($D290,lst_Profil,0)),$H$4),$H$4))</f>
        <v/>
      </c>
      <c r="S290" s="12">
        <f>IF($D290="","",IFERROR(IF(INDEX(Profile!$H$5:$H$304,MATCH($D290,lst_Profil,0))&lt;&gt;"",INDEX(Profile!$H$5:$H$304,MATCH($D290,lst_Profil,0)),$H$5),$H$5))</f>
        <v/>
      </c>
      <c r="T290" s="16">
        <f>IF(OR(Q290="",NOT(ISNUMBER(R290)),NOT(ISNUMBER(S290))),"",Q290-R290-S290)</f>
        <v/>
      </c>
      <c r="U290" s="28">
        <f>IF(OR($D290="",$E290=""),"",IF(OR(N($AP290)&gt;0,COUNTIFS(Preise!$A$5:$A$304,$D290,Preise!$B$5:$B$304,$E290,Preise!$I$5:$I$304,"OK")&gt;0,N(INDEX(Werkstoffe!$G$5:$G$304,MATCH($E290,lst_Werkstoff,0)))&gt;0),"ja","nein"))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28">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Materialpreis",IF(AND($AQ290&lt;&gt;"",N($AR290)&gt;0,MOD($G290,$AR290)&lt;&gt;0),"WARNUNG: Stückzahl ist kein Vielfaches von Stück je Satz",IF($H290="","HINWEIS: Schneidweg fehlt",IF(V290="","HINWEIS: keine Schneiddaten",IF(AND($AF290&lt;&gt;"",$AG290=""),"HINWEIS: Gewinde-Vorschlag prüfen","OK")))))))))))))))</f>
        <v/>
      </c>
      <c r="X290" s="18">
        <f>IF(OR(O290="",$G290=""),"",O290*$G290)</f>
        <v/>
      </c>
      <c r="Y290" s="9" t="n"/>
      <c r="Z290" s="23" t="n"/>
      <c r="AA290" s="9" t="n"/>
      <c r="AB290" s="23" t="n"/>
      <c r="AC290" s="23" t="n"/>
      <c r="AD290" s="23" t="n"/>
      <c r="AE290" s="9" t="n"/>
      <c r="AF290" s="9" t="n"/>
      <c r="AG290" s="9" t="n"/>
      <c r="AH290" s="24" t="n"/>
      <c r="AI290" s="23" t="n"/>
      <c r="AJ290" s="24" t="n"/>
      <c r="AK290" s="23" t="n"/>
      <c r="AL290" s="24" t="n"/>
      <c r="AM290" s="23" t="n"/>
      <c r="AN290" s="28">
        <f>IF($D290="","",COUNTIFS(Stangenbelegung!$E$5:$E$10004,ROW()))</f>
        <v/>
      </c>
      <c r="AO290" s="28">
        <f>IF(OR($G290="",COUNTA(Stangenbelegung!$A$5:$A$10004)=0),"",$G290-AN290)</f>
        <v/>
      </c>
      <c r="AP290" s="29" t="n"/>
      <c r="AQ290" s="9" t="n"/>
      <c r="AR290" s="19" t="n"/>
    </row>
    <row r="291">
      <c r="A291" s="9" t="n"/>
      <c r="B291" s="9" t="n"/>
      <c r="C291" s="9" t="n"/>
      <c r="D291" s="9" t="n"/>
      <c r="E291" s="9" t="n"/>
      <c r="F291" s="23" t="n"/>
      <c r="G291" s="19" t="n"/>
      <c r="H291" s="23" t="n"/>
      <c r="I291" s="24" t="n"/>
      <c r="J291" s="19" t="n"/>
      <c r="K291" s="25">
        <f>IF($D291="","",IFERROR(INDEX(Profile!$B$5:$B$304,MATCH($D291,lst_Profil,0)),""))</f>
        <v/>
      </c>
      <c r="L291" s="13">
        <f>IF($D291="","",IFERROR(INDEX(Profile!$K$5:$K$304,MATCH($D291,lst_Profil,0))+0,""))</f>
        <v/>
      </c>
      <c r="M291" s="26">
        <f>IF($D291="","",IFERROR(INDEX(Profile!$E$5:$E$304,MATCH($D291,lst_Profil,0))+0,""))</f>
        <v/>
      </c>
      <c r="N291" s="27">
        <f>IF(OR(L291="",$E291=""),"",IFERROR(L291*INDEX(Werkstoffe!$E$5:$E$304,MATCH($E291,lst_Werkstoff,0))/1000,""))</f>
        <v/>
      </c>
      <c r="O291" s="27">
        <f>IF(OR(N291="",$F291=""),"",N291*$F291/1000)</f>
        <v/>
      </c>
      <c r="P291" s="16">
        <f>IF(OR($F291="",$G291=""),"",$F291*$G291)</f>
        <v/>
      </c>
      <c r="Q291" s="16">
        <f>IF($D291="","",IF($J291&lt;&gt;"",$J291,$C$9))</f>
        <v/>
      </c>
      <c r="R291" s="12">
        <f>IF($D291="","",IFERROR(IF(INDEX(Profile!$G$5:$G$304,MATCH($D291,lst_Profil,0))&lt;&gt;"",INDEX(Profile!$G$5:$G$304,MATCH($D291,lst_Profil,0)),$H$4),$H$4))</f>
        <v/>
      </c>
      <c r="S291" s="12">
        <f>IF($D291="","",IFERROR(IF(INDEX(Profile!$H$5:$H$304,MATCH($D291,lst_Profil,0))&lt;&gt;"",INDEX(Profile!$H$5:$H$304,MATCH($D291,lst_Profil,0)),$H$5),$H$5))</f>
        <v/>
      </c>
      <c r="T291" s="16">
        <f>IF(OR(Q291="",NOT(ISNUMBER(R291)),NOT(ISNUMBER(S291))),"",Q291-R291-S291)</f>
        <v/>
      </c>
      <c r="U291" s="28">
        <f>IF(OR($D291="",$E291=""),"",IF(OR(N($AP291)&gt;0,COUNTIFS(Preise!$A$5:$A$304,$D291,Preise!$B$5:$B$304,$E291,Preise!$I$5:$I$304,"OK")&gt;0,N(INDEX(Werkstoffe!$G$5:$G$304,MATCH($E291,lst_Werkstoff,0)))&gt;0),"ja","nein"))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28">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Materialpreis",IF(AND($AQ291&lt;&gt;"",N($AR291)&gt;0,MOD($G291,$AR291)&lt;&gt;0),"WARNUNG: Stückzahl ist kein Vielfaches von Stück je Satz",IF($H291="","HINWEIS: Schneidweg fehlt",IF(V291="","HINWEIS: keine Schneiddaten",IF(AND($AF291&lt;&gt;"",$AG291=""),"HINWEIS: Gewinde-Vorschlag prüfen","OK")))))))))))))))</f>
        <v/>
      </c>
      <c r="X291" s="18">
        <f>IF(OR(O291="",$G291=""),"",O291*$G291)</f>
        <v/>
      </c>
      <c r="Y291" s="9" t="n"/>
      <c r="Z291" s="23" t="n"/>
      <c r="AA291" s="9" t="n"/>
      <c r="AB291" s="23" t="n"/>
      <c r="AC291" s="23" t="n"/>
      <c r="AD291" s="23" t="n"/>
      <c r="AE291" s="9" t="n"/>
      <c r="AF291" s="9" t="n"/>
      <c r="AG291" s="9" t="n"/>
      <c r="AH291" s="24" t="n"/>
      <c r="AI291" s="23" t="n"/>
      <c r="AJ291" s="24" t="n"/>
      <c r="AK291" s="23" t="n"/>
      <c r="AL291" s="24" t="n"/>
      <c r="AM291" s="23" t="n"/>
      <c r="AN291" s="28">
        <f>IF($D291="","",COUNTIFS(Stangenbelegung!$E$5:$E$10004,ROW()))</f>
        <v/>
      </c>
      <c r="AO291" s="28">
        <f>IF(OR($G291="",COUNTA(Stangenbelegung!$A$5:$A$10004)=0),"",$G291-AN291)</f>
        <v/>
      </c>
      <c r="AP291" s="29" t="n"/>
      <c r="AQ291" s="9" t="n"/>
      <c r="AR291" s="19" t="n"/>
    </row>
    <row r="292">
      <c r="A292" s="9" t="n"/>
      <c r="B292" s="9" t="n"/>
      <c r="C292" s="9" t="n"/>
      <c r="D292" s="9" t="n"/>
      <c r="E292" s="9" t="n"/>
      <c r="F292" s="23" t="n"/>
      <c r="G292" s="19" t="n"/>
      <c r="H292" s="23" t="n"/>
      <c r="I292" s="24" t="n"/>
      <c r="J292" s="19" t="n"/>
      <c r="K292" s="25">
        <f>IF($D292="","",IFERROR(INDEX(Profile!$B$5:$B$304,MATCH($D292,lst_Profil,0)),""))</f>
        <v/>
      </c>
      <c r="L292" s="13">
        <f>IF($D292="","",IFERROR(INDEX(Profile!$K$5:$K$304,MATCH($D292,lst_Profil,0))+0,""))</f>
        <v/>
      </c>
      <c r="M292" s="26">
        <f>IF($D292="","",IFERROR(INDEX(Profile!$E$5:$E$304,MATCH($D292,lst_Profil,0))+0,""))</f>
        <v/>
      </c>
      <c r="N292" s="27">
        <f>IF(OR(L292="",$E292=""),"",IFERROR(L292*INDEX(Werkstoffe!$E$5:$E$304,MATCH($E292,lst_Werkstoff,0))/1000,""))</f>
        <v/>
      </c>
      <c r="O292" s="27">
        <f>IF(OR(N292="",$F292=""),"",N292*$F292/1000)</f>
        <v/>
      </c>
      <c r="P292" s="16">
        <f>IF(OR($F292="",$G292=""),"",$F292*$G292)</f>
        <v/>
      </c>
      <c r="Q292" s="16">
        <f>IF($D292="","",IF($J292&lt;&gt;"",$J292,$C$9))</f>
        <v/>
      </c>
      <c r="R292" s="12">
        <f>IF($D292="","",IFERROR(IF(INDEX(Profile!$G$5:$G$304,MATCH($D292,lst_Profil,0))&lt;&gt;"",INDEX(Profile!$G$5:$G$304,MATCH($D292,lst_Profil,0)),$H$4),$H$4))</f>
        <v/>
      </c>
      <c r="S292" s="12">
        <f>IF($D292="","",IFERROR(IF(INDEX(Profile!$H$5:$H$304,MATCH($D292,lst_Profil,0))&lt;&gt;"",INDEX(Profile!$H$5:$H$304,MATCH($D292,lst_Profil,0)),$H$5),$H$5))</f>
        <v/>
      </c>
      <c r="T292" s="16">
        <f>IF(OR(Q292="",NOT(ISNUMBER(R292)),NOT(ISNUMBER(S292))),"",Q292-R292-S292)</f>
        <v/>
      </c>
      <c r="U292" s="28">
        <f>IF(OR($D292="",$E292=""),"",IF(OR(N($AP292)&gt;0,COUNTIFS(Preise!$A$5:$A$304,$D292,Preise!$B$5:$B$304,$E292,Preise!$I$5:$I$304,"OK")&gt;0,N(INDEX(Werkstoffe!$G$5:$G$304,MATCH($E292,lst_Werkstoff,0)))&gt;0),"ja","nein"))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28">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Materialpreis",IF(AND($AQ292&lt;&gt;"",N($AR292)&gt;0,MOD($G292,$AR292)&lt;&gt;0),"WARNUNG: Stückzahl ist kein Vielfaches von Stück je Satz",IF($H292="","HINWEIS: Schneidweg fehlt",IF(V292="","HINWEIS: keine Schneiddaten",IF(AND($AF292&lt;&gt;"",$AG292=""),"HINWEIS: Gewinde-Vorschlag prüfen","OK")))))))))))))))</f>
        <v/>
      </c>
      <c r="X292" s="18">
        <f>IF(OR(O292="",$G292=""),"",O292*$G292)</f>
        <v/>
      </c>
      <c r="Y292" s="9" t="n"/>
      <c r="Z292" s="23" t="n"/>
      <c r="AA292" s="9" t="n"/>
      <c r="AB292" s="23" t="n"/>
      <c r="AC292" s="23" t="n"/>
      <c r="AD292" s="23" t="n"/>
      <c r="AE292" s="9" t="n"/>
      <c r="AF292" s="9" t="n"/>
      <c r="AG292" s="9" t="n"/>
      <c r="AH292" s="24" t="n"/>
      <c r="AI292" s="23" t="n"/>
      <c r="AJ292" s="24" t="n"/>
      <c r="AK292" s="23" t="n"/>
      <c r="AL292" s="24" t="n"/>
      <c r="AM292" s="23" t="n"/>
      <c r="AN292" s="28">
        <f>IF($D292="","",COUNTIFS(Stangenbelegung!$E$5:$E$10004,ROW()))</f>
        <v/>
      </c>
      <c r="AO292" s="28">
        <f>IF(OR($G292="",COUNTA(Stangenbelegung!$A$5:$A$10004)=0),"",$G292-AN292)</f>
        <v/>
      </c>
      <c r="AP292" s="29" t="n"/>
      <c r="AQ292" s="9" t="n"/>
      <c r="AR292" s="19" t="n"/>
    </row>
    <row r="293">
      <c r="A293" s="9" t="n"/>
      <c r="B293" s="9" t="n"/>
      <c r="C293" s="9" t="n"/>
      <c r="D293" s="9" t="n"/>
      <c r="E293" s="9" t="n"/>
      <c r="F293" s="23" t="n"/>
      <c r="G293" s="19" t="n"/>
      <c r="H293" s="23" t="n"/>
      <c r="I293" s="24" t="n"/>
      <c r="J293" s="19" t="n"/>
      <c r="K293" s="25">
        <f>IF($D293="","",IFERROR(INDEX(Profile!$B$5:$B$304,MATCH($D293,lst_Profil,0)),""))</f>
        <v/>
      </c>
      <c r="L293" s="13">
        <f>IF($D293="","",IFERROR(INDEX(Profile!$K$5:$K$304,MATCH($D293,lst_Profil,0))+0,""))</f>
        <v/>
      </c>
      <c r="M293" s="26">
        <f>IF($D293="","",IFERROR(INDEX(Profile!$E$5:$E$304,MATCH($D293,lst_Profil,0))+0,""))</f>
        <v/>
      </c>
      <c r="N293" s="27">
        <f>IF(OR(L293="",$E293=""),"",IFERROR(L293*INDEX(Werkstoffe!$E$5:$E$304,MATCH($E293,lst_Werkstoff,0))/1000,""))</f>
        <v/>
      </c>
      <c r="O293" s="27">
        <f>IF(OR(N293="",$F293=""),"",N293*$F293/1000)</f>
        <v/>
      </c>
      <c r="P293" s="16">
        <f>IF(OR($F293="",$G293=""),"",$F293*$G293)</f>
        <v/>
      </c>
      <c r="Q293" s="16">
        <f>IF($D293="","",IF($J293&lt;&gt;"",$J293,$C$9))</f>
        <v/>
      </c>
      <c r="R293" s="12">
        <f>IF($D293="","",IFERROR(IF(INDEX(Profile!$G$5:$G$304,MATCH($D293,lst_Profil,0))&lt;&gt;"",INDEX(Profile!$G$5:$G$304,MATCH($D293,lst_Profil,0)),$H$4),$H$4))</f>
        <v/>
      </c>
      <c r="S293" s="12">
        <f>IF($D293="","",IFERROR(IF(INDEX(Profile!$H$5:$H$304,MATCH($D293,lst_Profil,0))&lt;&gt;"",INDEX(Profile!$H$5:$H$304,MATCH($D293,lst_Profil,0)),$H$5),$H$5))</f>
        <v/>
      </c>
      <c r="T293" s="16">
        <f>IF(OR(Q293="",NOT(ISNUMBER(R293)),NOT(ISNUMBER(S293))),"",Q293-R293-S293)</f>
        <v/>
      </c>
      <c r="U293" s="28">
        <f>IF(OR($D293="",$E293=""),"",IF(OR(N($AP293)&gt;0,COUNTIFS(Preise!$A$5:$A$304,$D293,Preise!$B$5:$B$304,$E293,Preise!$I$5:$I$304,"OK")&gt;0,N(INDEX(Werkstoffe!$G$5:$G$304,MATCH($E293,lst_Werkstoff,0)))&gt;0),"ja","nein"))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28">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Materialpreis",IF(AND($AQ293&lt;&gt;"",N($AR293)&gt;0,MOD($G293,$AR293)&lt;&gt;0),"WARNUNG: Stückzahl ist kein Vielfaches von Stück je Satz",IF($H293="","HINWEIS: Schneidweg fehlt",IF(V293="","HINWEIS: keine Schneiddaten",IF(AND($AF293&lt;&gt;"",$AG293=""),"HINWEIS: Gewinde-Vorschlag prüfen","OK")))))))))))))))</f>
        <v/>
      </c>
      <c r="X293" s="18">
        <f>IF(OR(O293="",$G293=""),"",O293*$G293)</f>
        <v/>
      </c>
      <c r="Y293" s="9" t="n"/>
      <c r="Z293" s="23" t="n"/>
      <c r="AA293" s="9" t="n"/>
      <c r="AB293" s="23" t="n"/>
      <c r="AC293" s="23" t="n"/>
      <c r="AD293" s="23" t="n"/>
      <c r="AE293" s="9" t="n"/>
      <c r="AF293" s="9" t="n"/>
      <c r="AG293" s="9" t="n"/>
      <c r="AH293" s="24" t="n"/>
      <c r="AI293" s="23" t="n"/>
      <c r="AJ293" s="24" t="n"/>
      <c r="AK293" s="23" t="n"/>
      <c r="AL293" s="24" t="n"/>
      <c r="AM293" s="23" t="n"/>
      <c r="AN293" s="28">
        <f>IF($D293="","",COUNTIFS(Stangenbelegung!$E$5:$E$10004,ROW()))</f>
        <v/>
      </c>
      <c r="AO293" s="28">
        <f>IF(OR($G293="",COUNTA(Stangenbelegung!$A$5:$A$10004)=0),"",$G293-AN293)</f>
        <v/>
      </c>
      <c r="AP293" s="29" t="n"/>
      <c r="AQ293" s="9" t="n"/>
      <c r="AR293" s="19" t="n"/>
    </row>
    <row r="294">
      <c r="A294" s="9" t="n"/>
      <c r="B294" s="9" t="n"/>
      <c r="C294" s="9" t="n"/>
      <c r="D294" s="9" t="n"/>
      <c r="E294" s="9" t="n"/>
      <c r="F294" s="23" t="n"/>
      <c r="G294" s="19" t="n"/>
      <c r="H294" s="23" t="n"/>
      <c r="I294" s="24" t="n"/>
      <c r="J294" s="19" t="n"/>
      <c r="K294" s="25">
        <f>IF($D294="","",IFERROR(INDEX(Profile!$B$5:$B$304,MATCH($D294,lst_Profil,0)),""))</f>
        <v/>
      </c>
      <c r="L294" s="13">
        <f>IF($D294="","",IFERROR(INDEX(Profile!$K$5:$K$304,MATCH($D294,lst_Profil,0))+0,""))</f>
        <v/>
      </c>
      <c r="M294" s="26">
        <f>IF($D294="","",IFERROR(INDEX(Profile!$E$5:$E$304,MATCH($D294,lst_Profil,0))+0,""))</f>
        <v/>
      </c>
      <c r="N294" s="27">
        <f>IF(OR(L294="",$E294=""),"",IFERROR(L294*INDEX(Werkstoffe!$E$5:$E$304,MATCH($E294,lst_Werkstoff,0))/1000,""))</f>
        <v/>
      </c>
      <c r="O294" s="27">
        <f>IF(OR(N294="",$F294=""),"",N294*$F294/1000)</f>
        <v/>
      </c>
      <c r="P294" s="16">
        <f>IF(OR($F294="",$G294=""),"",$F294*$G294)</f>
        <v/>
      </c>
      <c r="Q294" s="16">
        <f>IF($D294="","",IF($J294&lt;&gt;"",$J294,$C$9))</f>
        <v/>
      </c>
      <c r="R294" s="12">
        <f>IF($D294="","",IFERROR(IF(INDEX(Profile!$G$5:$G$304,MATCH($D294,lst_Profil,0))&lt;&gt;"",INDEX(Profile!$G$5:$G$304,MATCH($D294,lst_Profil,0)),$H$4),$H$4))</f>
        <v/>
      </c>
      <c r="S294" s="12">
        <f>IF($D294="","",IFERROR(IF(INDEX(Profile!$H$5:$H$304,MATCH($D294,lst_Profil,0))&lt;&gt;"",INDEX(Profile!$H$5:$H$304,MATCH($D294,lst_Profil,0)),$H$5),$H$5))</f>
        <v/>
      </c>
      <c r="T294" s="16">
        <f>IF(OR(Q294="",NOT(ISNUMBER(R294)),NOT(ISNUMBER(S294))),"",Q294-R294-S294)</f>
        <v/>
      </c>
      <c r="U294" s="28">
        <f>IF(OR($D294="",$E294=""),"",IF(OR(N($AP294)&gt;0,COUNTIFS(Preise!$A$5:$A$304,$D294,Preise!$B$5:$B$304,$E294,Preise!$I$5:$I$304,"OK")&gt;0,N(INDEX(Werkstoffe!$G$5:$G$304,MATCH($E294,lst_Werkstoff,0)))&gt;0),"ja","nein"))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28">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Materialpreis",IF(AND($AQ294&lt;&gt;"",N($AR294)&gt;0,MOD($G294,$AR294)&lt;&gt;0),"WARNUNG: Stückzahl ist kein Vielfaches von Stück je Satz",IF($H294="","HINWEIS: Schneidweg fehlt",IF(V294="","HINWEIS: keine Schneiddaten",IF(AND($AF294&lt;&gt;"",$AG294=""),"HINWEIS: Gewinde-Vorschlag prüfen","OK")))))))))))))))</f>
        <v/>
      </c>
      <c r="X294" s="18">
        <f>IF(OR(O294="",$G294=""),"",O294*$G294)</f>
        <v/>
      </c>
      <c r="Y294" s="9" t="n"/>
      <c r="Z294" s="23" t="n"/>
      <c r="AA294" s="9" t="n"/>
      <c r="AB294" s="23" t="n"/>
      <c r="AC294" s="23" t="n"/>
      <c r="AD294" s="23" t="n"/>
      <c r="AE294" s="9" t="n"/>
      <c r="AF294" s="9" t="n"/>
      <c r="AG294" s="9" t="n"/>
      <c r="AH294" s="24" t="n"/>
      <c r="AI294" s="23" t="n"/>
      <c r="AJ294" s="24" t="n"/>
      <c r="AK294" s="23" t="n"/>
      <c r="AL294" s="24" t="n"/>
      <c r="AM294" s="23" t="n"/>
      <c r="AN294" s="28">
        <f>IF($D294="","",COUNTIFS(Stangenbelegung!$E$5:$E$10004,ROW()))</f>
        <v/>
      </c>
      <c r="AO294" s="28">
        <f>IF(OR($G294="",COUNTA(Stangenbelegung!$A$5:$A$10004)=0),"",$G294-AN294)</f>
        <v/>
      </c>
      <c r="AP294" s="29" t="n"/>
      <c r="AQ294" s="9" t="n"/>
      <c r="AR294" s="19" t="n"/>
    </row>
    <row r="295">
      <c r="A295" s="9" t="n"/>
      <c r="B295" s="9" t="n"/>
      <c r="C295" s="9" t="n"/>
      <c r="D295" s="9" t="n"/>
      <c r="E295" s="9" t="n"/>
      <c r="F295" s="23" t="n"/>
      <c r="G295" s="19" t="n"/>
      <c r="H295" s="23" t="n"/>
      <c r="I295" s="24" t="n"/>
      <c r="J295" s="19" t="n"/>
      <c r="K295" s="25">
        <f>IF($D295="","",IFERROR(INDEX(Profile!$B$5:$B$304,MATCH($D295,lst_Profil,0)),""))</f>
        <v/>
      </c>
      <c r="L295" s="13">
        <f>IF($D295="","",IFERROR(INDEX(Profile!$K$5:$K$304,MATCH($D295,lst_Profil,0))+0,""))</f>
        <v/>
      </c>
      <c r="M295" s="26">
        <f>IF($D295="","",IFERROR(INDEX(Profile!$E$5:$E$304,MATCH($D295,lst_Profil,0))+0,""))</f>
        <v/>
      </c>
      <c r="N295" s="27">
        <f>IF(OR(L295="",$E295=""),"",IFERROR(L295*INDEX(Werkstoffe!$E$5:$E$304,MATCH($E295,lst_Werkstoff,0))/1000,""))</f>
        <v/>
      </c>
      <c r="O295" s="27">
        <f>IF(OR(N295="",$F295=""),"",N295*$F295/1000)</f>
        <v/>
      </c>
      <c r="P295" s="16">
        <f>IF(OR($F295="",$G295=""),"",$F295*$G295)</f>
        <v/>
      </c>
      <c r="Q295" s="16">
        <f>IF($D295="","",IF($J295&lt;&gt;"",$J295,$C$9))</f>
        <v/>
      </c>
      <c r="R295" s="12">
        <f>IF($D295="","",IFERROR(IF(INDEX(Profile!$G$5:$G$304,MATCH($D295,lst_Profil,0))&lt;&gt;"",INDEX(Profile!$G$5:$G$304,MATCH($D295,lst_Profil,0)),$H$4),$H$4))</f>
        <v/>
      </c>
      <c r="S295" s="12">
        <f>IF($D295="","",IFERROR(IF(INDEX(Profile!$H$5:$H$304,MATCH($D295,lst_Profil,0))&lt;&gt;"",INDEX(Profile!$H$5:$H$304,MATCH($D295,lst_Profil,0)),$H$5),$H$5))</f>
        <v/>
      </c>
      <c r="T295" s="16">
        <f>IF(OR(Q295="",NOT(ISNUMBER(R295)),NOT(ISNUMBER(S295))),"",Q295-R295-S295)</f>
        <v/>
      </c>
      <c r="U295" s="28">
        <f>IF(OR($D295="",$E295=""),"",IF(OR(N($AP295)&gt;0,COUNTIFS(Preise!$A$5:$A$304,$D295,Preise!$B$5:$B$304,$E295,Preise!$I$5:$I$304,"OK")&gt;0,N(INDEX(Werkstoffe!$G$5:$G$304,MATCH($E295,lst_Werkstoff,0)))&gt;0),"ja","nein"))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28">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Materialpreis",IF(AND($AQ295&lt;&gt;"",N($AR295)&gt;0,MOD($G295,$AR295)&lt;&gt;0),"WARNUNG: Stückzahl ist kein Vielfaches von Stück je Satz",IF($H295="","HINWEIS: Schneidweg fehlt",IF(V295="","HINWEIS: keine Schneiddaten",IF(AND($AF295&lt;&gt;"",$AG295=""),"HINWEIS: Gewinde-Vorschlag prüfen","OK")))))))))))))))</f>
        <v/>
      </c>
      <c r="X295" s="18">
        <f>IF(OR(O295="",$G295=""),"",O295*$G295)</f>
        <v/>
      </c>
      <c r="Y295" s="9" t="n"/>
      <c r="Z295" s="23" t="n"/>
      <c r="AA295" s="9" t="n"/>
      <c r="AB295" s="23" t="n"/>
      <c r="AC295" s="23" t="n"/>
      <c r="AD295" s="23" t="n"/>
      <c r="AE295" s="9" t="n"/>
      <c r="AF295" s="9" t="n"/>
      <c r="AG295" s="9" t="n"/>
      <c r="AH295" s="24" t="n"/>
      <c r="AI295" s="23" t="n"/>
      <c r="AJ295" s="24" t="n"/>
      <c r="AK295" s="23" t="n"/>
      <c r="AL295" s="24" t="n"/>
      <c r="AM295" s="23" t="n"/>
      <c r="AN295" s="28">
        <f>IF($D295="","",COUNTIFS(Stangenbelegung!$E$5:$E$10004,ROW()))</f>
        <v/>
      </c>
      <c r="AO295" s="28">
        <f>IF(OR($G295="",COUNTA(Stangenbelegung!$A$5:$A$10004)=0),"",$G295-AN295)</f>
        <v/>
      </c>
      <c r="AP295" s="29" t="n"/>
      <c r="AQ295" s="9" t="n"/>
      <c r="AR295" s="19" t="n"/>
    </row>
    <row r="296">
      <c r="A296" s="9" t="n"/>
      <c r="B296" s="9" t="n"/>
      <c r="C296" s="9" t="n"/>
      <c r="D296" s="9" t="n"/>
      <c r="E296" s="9" t="n"/>
      <c r="F296" s="23" t="n"/>
      <c r="G296" s="19" t="n"/>
      <c r="H296" s="23" t="n"/>
      <c r="I296" s="24" t="n"/>
      <c r="J296" s="19" t="n"/>
      <c r="K296" s="25">
        <f>IF($D296="","",IFERROR(INDEX(Profile!$B$5:$B$304,MATCH($D296,lst_Profil,0)),""))</f>
        <v/>
      </c>
      <c r="L296" s="13">
        <f>IF($D296="","",IFERROR(INDEX(Profile!$K$5:$K$304,MATCH($D296,lst_Profil,0))+0,""))</f>
        <v/>
      </c>
      <c r="M296" s="26">
        <f>IF($D296="","",IFERROR(INDEX(Profile!$E$5:$E$304,MATCH($D296,lst_Profil,0))+0,""))</f>
        <v/>
      </c>
      <c r="N296" s="27">
        <f>IF(OR(L296="",$E296=""),"",IFERROR(L296*INDEX(Werkstoffe!$E$5:$E$304,MATCH($E296,lst_Werkstoff,0))/1000,""))</f>
        <v/>
      </c>
      <c r="O296" s="27">
        <f>IF(OR(N296="",$F296=""),"",N296*$F296/1000)</f>
        <v/>
      </c>
      <c r="P296" s="16">
        <f>IF(OR($F296="",$G296=""),"",$F296*$G296)</f>
        <v/>
      </c>
      <c r="Q296" s="16">
        <f>IF($D296="","",IF($J296&lt;&gt;"",$J296,$C$9))</f>
        <v/>
      </c>
      <c r="R296" s="12">
        <f>IF($D296="","",IFERROR(IF(INDEX(Profile!$G$5:$G$304,MATCH($D296,lst_Profil,0))&lt;&gt;"",INDEX(Profile!$G$5:$G$304,MATCH($D296,lst_Profil,0)),$H$4),$H$4))</f>
        <v/>
      </c>
      <c r="S296" s="12">
        <f>IF($D296="","",IFERROR(IF(INDEX(Profile!$H$5:$H$304,MATCH($D296,lst_Profil,0))&lt;&gt;"",INDEX(Profile!$H$5:$H$304,MATCH($D296,lst_Profil,0)),$H$5),$H$5))</f>
        <v/>
      </c>
      <c r="T296" s="16">
        <f>IF(OR(Q296="",NOT(ISNUMBER(R296)),NOT(ISNUMBER(S296))),"",Q296-R296-S296)</f>
        <v/>
      </c>
      <c r="U296" s="28">
        <f>IF(OR($D296="",$E296=""),"",IF(OR(N($AP296)&gt;0,COUNTIFS(Preise!$A$5:$A$304,$D296,Preise!$B$5:$B$304,$E296,Preise!$I$5:$I$304,"OK")&gt;0,N(INDEX(Werkstoffe!$G$5:$G$304,MATCH($E296,lst_Werkstoff,0)))&gt;0),"ja","nein"))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28">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Materialpreis",IF(AND($AQ296&lt;&gt;"",N($AR296)&gt;0,MOD($G296,$AR296)&lt;&gt;0),"WARNUNG: Stückzahl ist kein Vielfaches von Stück je Satz",IF($H296="","HINWEIS: Schneidweg fehlt",IF(V296="","HINWEIS: keine Schneiddaten",IF(AND($AF296&lt;&gt;"",$AG296=""),"HINWEIS: Gewinde-Vorschlag prüfen","OK")))))))))))))))</f>
        <v/>
      </c>
      <c r="X296" s="18">
        <f>IF(OR(O296="",$G296=""),"",O296*$G296)</f>
        <v/>
      </c>
      <c r="Y296" s="9" t="n"/>
      <c r="Z296" s="23" t="n"/>
      <c r="AA296" s="9" t="n"/>
      <c r="AB296" s="23" t="n"/>
      <c r="AC296" s="23" t="n"/>
      <c r="AD296" s="23" t="n"/>
      <c r="AE296" s="9" t="n"/>
      <c r="AF296" s="9" t="n"/>
      <c r="AG296" s="9" t="n"/>
      <c r="AH296" s="24" t="n"/>
      <c r="AI296" s="23" t="n"/>
      <c r="AJ296" s="24" t="n"/>
      <c r="AK296" s="23" t="n"/>
      <c r="AL296" s="24" t="n"/>
      <c r="AM296" s="23" t="n"/>
      <c r="AN296" s="28">
        <f>IF($D296="","",COUNTIFS(Stangenbelegung!$E$5:$E$10004,ROW()))</f>
        <v/>
      </c>
      <c r="AO296" s="28">
        <f>IF(OR($G296="",COUNTA(Stangenbelegung!$A$5:$A$10004)=0),"",$G296-AN296)</f>
        <v/>
      </c>
      <c r="AP296" s="29" t="n"/>
      <c r="AQ296" s="9" t="n"/>
      <c r="AR296" s="19" t="n"/>
    </row>
    <row r="297">
      <c r="A297" s="9" t="n"/>
      <c r="B297" s="9" t="n"/>
      <c r="C297" s="9" t="n"/>
      <c r="D297" s="9" t="n"/>
      <c r="E297" s="9" t="n"/>
      <c r="F297" s="23" t="n"/>
      <c r="G297" s="19" t="n"/>
      <c r="H297" s="23" t="n"/>
      <c r="I297" s="24" t="n"/>
      <c r="J297" s="19" t="n"/>
      <c r="K297" s="25">
        <f>IF($D297="","",IFERROR(INDEX(Profile!$B$5:$B$304,MATCH($D297,lst_Profil,0)),""))</f>
        <v/>
      </c>
      <c r="L297" s="13">
        <f>IF($D297="","",IFERROR(INDEX(Profile!$K$5:$K$304,MATCH($D297,lst_Profil,0))+0,""))</f>
        <v/>
      </c>
      <c r="M297" s="26">
        <f>IF($D297="","",IFERROR(INDEX(Profile!$E$5:$E$304,MATCH($D297,lst_Profil,0))+0,""))</f>
        <v/>
      </c>
      <c r="N297" s="27">
        <f>IF(OR(L297="",$E297=""),"",IFERROR(L297*INDEX(Werkstoffe!$E$5:$E$304,MATCH($E297,lst_Werkstoff,0))/1000,""))</f>
        <v/>
      </c>
      <c r="O297" s="27">
        <f>IF(OR(N297="",$F297=""),"",N297*$F297/1000)</f>
        <v/>
      </c>
      <c r="P297" s="16">
        <f>IF(OR($F297="",$G297=""),"",$F297*$G297)</f>
        <v/>
      </c>
      <c r="Q297" s="16">
        <f>IF($D297="","",IF($J297&lt;&gt;"",$J297,$C$9))</f>
        <v/>
      </c>
      <c r="R297" s="12">
        <f>IF($D297="","",IFERROR(IF(INDEX(Profile!$G$5:$G$304,MATCH($D297,lst_Profil,0))&lt;&gt;"",INDEX(Profile!$G$5:$G$304,MATCH($D297,lst_Profil,0)),$H$4),$H$4))</f>
        <v/>
      </c>
      <c r="S297" s="12">
        <f>IF($D297="","",IFERROR(IF(INDEX(Profile!$H$5:$H$304,MATCH($D297,lst_Profil,0))&lt;&gt;"",INDEX(Profile!$H$5:$H$304,MATCH($D297,lst_Profil,0)),$H$5),$H$5))</f>
        <v/>
      </c>
      <c r="T297" s="16">
        <f>IF(OR(Q297="",NOT(ISNUMBER(R297)),NOT(ISNUMBER(S297))),"",Q297-R297-S297)</f>
        <v/>
      </c>
      <c r="U297" s="28">
        <f>IF(OR($D297="",$E297=""),"",IF(OR(N($AP297)&gt;0,COUNTIFS(Preise!$A$5:$A$304,$D297,Preise!$B$5:$B$304,$E297,Preise!$I$5:$I$304,"OK")&gt;0,N(INDEX(Werkstoffe!$G$5:$G$304,MATCH($E297,lst_Werkstoff,0)))&gt;0),"ja","nein"))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28">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Materialpreis",IF(AND($AQ297&lt;&gt;"",N($AR297)&gt;0,MOD($G297,$AR297)&lt;&gt;0),"WARNUNG: Stückzahl ist kein Vielfaches von Stück je Satz",IF($H297="","HINWEIS: Schneidweg fehlt",IF(V297="","HINWEIS: keine Schneiddaten",IF(AND($AF297&lt;&gt;"",$AG297=""),"HINWEIS: Gewinde-Vorschlag prüfen","OK")))))))))))))))</f>
        <v/>
      </c>
      <c r="X297" s="18">
        <f>IF(OR(O297="",$G297=""),"",O297*$G297)</f>
        <v/>
      </c>
      <c r="Y297" s="9" t="n"/>
      <c r="Z297" s="23" t="n"/>
      <c r="AA297" s="9" t="n"/>
      <c r="AB297" s="23" t="n"/>
      <c r="AC297" s="23" t="n"/>
      <c r="AD297" s="23" t="n"/>
      <c r="AE297" s="9" t="n"/>
      <c r="AF297" s="9" t="n"/>
      <c r="AG297" s="9" t="n"/>
      <c r="AH297" s="24" t="n"/>
      <c r="AI297" s="23" t="n"/>
      <c r="AJ297" s="24" t="n"/>
      <c r="AK297" s="23" t="n"/>
      <c r="AL297" s="24" t="n"/>
      <c r="AM297" s="23" t="n"/>
      <c r="AN297" s="28">
        <f>IF($D297="","",COUNTIFS(Stangenbelegung!$E$5:$E$10004,ROW()))</f>
        <v/>
      </c>
      <c r="AO297" s="28">
        <f>IF(OR($G297="",COUNTA(Stangenbelegung!$A$5:$A$10004)=0),"",$G297-AN297)</f>
        <v/>
      </c>
      <c r="AP297" s="29" t="n"/>
      <c r="AQ297" s="9" t="n"/>
      <c r="AR297" s="19" t="n"/>
    </row>
    <row r="298">
      <c r="A298" s="9" t="n"/>
      <c r="B298" s="9" t="n"/>
      <c r="C298" s="9" t="n"/>
      <c r="D298" s="9" t="n"/>
      <c r="E298" s="9" t="n"/>
      <c r="F298" s="23" t="n"/>
      <c r="G298" s="19" t="n"/>
      <c r="H298" s="23" t="n"/>
      <c r="I298" s="24" t="n"/>
      <c r="J298" s="19" t="n"/>
      <c r="K298" s="25">
        <f>IF($D298="","",IFERROR(INDEX(Profile!$B$5:$B$304,MATCH($D298,lst_Profil,0)),""))</f>
        <v/>
      </c>
      <c r="L298" s="13">
        <f>IF($D298="","",IFERROR(INDEX(Profile!$K$5:$K$304,MATCH($D298,lst_Profil,0))+0,""))</f>
        <v/>
      </c>
      <c r="M298" s="26">
        <f>IF($D298="","",IFERROR(INDEX(Profile!$E$5:$E$304,MATCH($D298,lst_Profil,0))+0,""))</f>
        <v/>
      </c>
      <c r="N298" s="27">
        <f>IF(OR(L298="",$E298=""),"",IFERROR(L298*INDEX(Werkstoffe!$E$5:$E$304,MATCH($E298,lst_Werkstoff,0))/1000,""))</f>
        <v/>
      </c>
      <c r="O298" s="27">
        <f>IF(OR(N298="",$F298=""),"",N298*$F298/1000)</f>
        <v/>
      </c>
      <c r="P298" s="16">
        <f>IF(OR($F298="",$G298=""),"",$F298*$G298)</f>
        <v/>
      </c>
      <c r="Q298" s="16">
        <f>IF($D298="","",IF($J298&lt;&gt;"",$J298,$C$9))</f>
        <v/>
      </c>
      <c r="R298" s="12">
        <f>IF($D298="","",IFERROR(IF(INDEX(Profile!$G$5:$G$304,MATCH($D298,lst_Profil,0))&lt;&gt;"",INDEX(Profile!$G$5:$G$304,MATCH($D298,lst_Profil,0)),$H$4),$H$4))</f>
        <v/>
      </c>
      <c r="S298" s="12">
        <f>IF($D298="","",IFERROR(IF(INDEX(Profile!$H$5:$H$304,MATCH($D298,lst_Profil,0))&lt;&gt;"",INDEX(Profile!$H$5:$H$304,MATCH($D298,lst_Profil,0)),$H$5),$H$5))</f>
        <v/>
      </c>
      <c r="T298" s="16">
        <f>IF(OR(Q298="",NOT(ISNUMBER(R298)),NOT(ISNUMBER(S298))),"",Q298-R298-S298)</f>
        <v/>
      </c>
      <c r="U298" s="28">
        <f>IF(OR($D298="",$E298=""),"",IF(OR(N($AP298)&gt;0,COUNTIFS(Preise!$A$5:$A$304,$D298,Preise!$B$5:$B$304,$E298,Preise!$I$5:$I$304,"OK")&gt;0,N(INDEX(Werkstoffe!$G$5:$G$304,MATCH($E298,lst_Werkstoff,0)))&gt;0),"ja","nein"))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28">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Materialpreis",IF(AND($AQ298&lt;&gt;"",N($AR298)&gt;0,MOD($G298,$AR298)&lt;&gt;0),"WARNUNG: Stückzahl ist kein Vielfaches von Stück je Satz",IF($H298="","HINWEIS: Schneidweg fehlt",IF(V298="","HINWEIS: keine Schneiddaten",IF(AND($AF298&lt;&gt;"",$AG298=""),"HINWEIS: Gewinde-Vorschlag prüfen","OK")))))))))))))))</f>
        <v/>
      </c>
      <c r="X298" s="18">
        <f>IF(OR(O298="",$G298=""),"",O298*$G298)</f>
        <v/>
      </c>
      <c r="Y298" s="9" t="n"/>
      <c r="Z298" s="23" t="n"/>
      <c r="AA298" s="9" t="n"/>
      <c r="AB298" s="23" t="n"/>
      <c r="AC298" s="23" t="n"/>
      <c r="AD298" s="23" t="n"/>
      <c r="AE298" s="9" t="n"/>
      <c r="AF298" s="9" t="n"/>
      <c r="AG298" s="9" t="n"/>
      <c r="AH298" s="24" t="n"/>
      <c r="AI298" s="23" t="n"/>
      <c r="AJ298" s="24" t="n"/>
      <c r="AK298" s="23" t="n"/>
      <c r="AL298" s="24" t="n"/>
      <c r="AM298" s="23" t="n"/>
      <c r="AN298" s="28">
        <f>IF($D298="","",COUNTIFS(Stangenbelegung!$E$5:$E$10004,ROW()))</f>
        <v/>
      </c>
      <c r="AO298" s="28">
        <f>IF(OR($G298="",COUNTA(Stangenbelegung!$A$5:$A$10004)=0),"",$G298-AN298)</f>
        <v/>
      </c>
      <c r="AP298" s="29" t="n"/>
      <c r="AQ298" s="9" t="n"/>
      <c r="AR298" s="19" t="n"/>
    </row>
    <row r="299">
      <c r="A299" s="9" t="n"/>
      <c r="B299" s="9" t="n"/>
      <c r="C299" s="9" t="n"/>
      <c r="D299" s="9" t="n"/>
      <c r="E299" s="9" t="n"/>
      <c r="F299" s="23" t="n"/>
      <c r="G299" s="19" t="n"/>
      <c r="H299" s="23" t="n"/>
      <c r="I299" s="24" t="n"/>
      <c r="J299" s="19" t="n"/>
      <c r="K299" s="25">
        <f>IF($D299="","",IFERROR(INDEX(Profile!$B$5:$B$304,MATCH($D299,lst_Profil,0)),""))</f>
        <v/>
      </c>
      <c r="L299" s="13">
        <f>IF($D299="","",IFERROR(INDEX(Profile!$K$5:$K$304,MATCH($D299,lst_Profil,0))+0,""))</f>
        <v/>
      </c>
      <c r="M299" s="26">
        <f>IF($D299="","",IFERROR(INDEX(Profile!$E$5:$E$304,MATCH($D299,lst_Profil,0))+0,""))</f>
        <v/>
      </c>
      <c r="N299" s="27">
        <f>IF(OR(L299="",$E299=""),"",IFERROR(L299*INDEX(Werkstoffe!$E$5:$E$304,MATCH($E299,lst_Werkstoff,0))/1000,""))</f>
        <v/>
      </c>
      <c r="O299" s="27">
        <f>IF(OR(N299="",$F299=""),"",N299*$F299/1000)</f>
        <v/>
      </c>
      <c r="P299" s="16">
        <f>IF(OR($F299="",$G299=""),"",$F299*$G299)</f>
        <v/>
      </c>
      <c r="Q299" s="16">
        <f>IF($D299="","",IF($J299&lt;&gt;"",$J299,$C$9))</f>
        <v/>
      </c>
      <c r="R299" s="12">
        <f>IF($D299="","",IFERROR(IF(INDEX(Profile!$G$5:$G$304,MATCH($D299,lst_Profil,0))&lt;&gt;"",INDEX(Profile!$G$5:$G$304,MATCH($D299,lst_Profil,0)),$H$4),$H$4))</f>
        <v/>
      </c>
      <c r="S299" s="12">
        <f>IF($D299="","",IFERROR(IF(INDEX(Profile!$H$5:$H$304,MATCH($D299,lst_Profil,0))&lt;&gt;"",INDEX(Profile!$H$5:$H$304,MATCH($D299,lst_Profil,0)),$H$5),$H$5))</f>
        <v/>
      </c>
      <c r="T299" s="16">
        <f>IF(OR(Q299="",NOT(ISNUMBER(R299)),NOT(ISNUMBER(S299))),"",Q299-R299-S299)</f>
        <v/>
      </c>
      <c r="U299" s="28">
        <f>IF(OR($D299="",$E299=""),"",IF(OR(N($AP299)&gt;0,COUNTIFS(Preise!$A$5:$A$304,$D299,Preise!$B$5:$B$304,$E299,Preise!$I$5:$I$304,"OK")&gt;0,N(INDEX(Werkstoffe!$G$5:$G$304,MATCH($E299,lst_Werkstoff,0)))&gt;0),"ja","nein"))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28">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Materialpreis",IF(AND($AQ299&lt;&gt;"",N($AR299)&gt;0,MOD($G299,$AR299)&lt;&gt;0),"WARNUNG: Stückzahl ist kein Vielfaches von Stück je Satz",IF($H299="","HINWEIS: Schneidweg fehlt",IF(V299="","HINWEIS: keine Schneiddaten",IF(AND($AF299&lt;&gt;"",$AG299=""),"HINWEIS: Gewinde-Vorschlag prüfen","OK")))))))))))))))</f>
        <v/>
      </c>
      <c r="X299" s="18">
        <f>IF(OR(O299="",$G299=""),"",O299*$G299)</f>
        <v/>
      </c>
      <c r="Y299" s="9" t="n"/>
      <c r="Z299" s="23" t="n"/>
      <c r="AA299" s="9" t="n"/>
      <c r="AB299" s="23" t="n"/>
      <c r="AC299" s="23" t="n"/>
      <c r="AD299" s="23" t="n"/>
      <c r="AE299" s="9" t="n"/>
      <c r="AF299" s="9" t="n"/>
      <c r="AG299" s="9" t="n"/>
      <c r="AH299" s="24" t="n"/>
      <c r="AI299" s="23" t="n"/>
      <c r="AJ299" s="24" t="n"/>
      <c r="AK299" s="23" t="n"/>
      <c r="AL299" s="24" t="n"/>
      <c r="AM299" s="23" t="n"/>
      <c r="AN299" s="28">
        <f>IF($D299="","",COUNTIFS(Stangenbelegung!$E$5:$E$10004,ROW()))</f>
        <v/>
      </c>
      <c r="AO299" s="28">
        <f>IF(OR($G299="",COUNTA(Stangenbelegung!$A$5:$A$10004)=0),"",$G299-AN299)</f>
        <v/>
      </c>
      <c r="AP299" s="29" t="n"/>
      <c r="AQ299" s="9" t="n"/>
      <c r="AR299" s="19" t="n"/>
    </row>
    <row r="300">
      <c r="A300" s="9" t="n"/>
      <c r="B300" s="9" t="n"/>
      <c r="C300" s="9" t="n"/>
      <c r="D300" s="9" t="n"/>
      <c r="E300" s="9" t="n"/>
      <c r="F300" s="23" t="n"/>
      <c r="G300" s="19" t="n"/>
      <c r="H300" s="23" t="n"/>
      <c r="I300" s="24" t="n"/>
      <c r="J300" s="19" t="n"/>
      <c r="K300" s="25">
        <f>IF($D300="","",IFERROR(INDEX(Profile!$B$5:$B$304,MATCH($D300,lst_Profil,0)),""))</f>
        <v/>
      </c>
      <c r="L300" s="13">
        <f>IF($D300="","",IFERROR(INDEX(Profile!$K$5:$K$304,MATCH($D300,lst_Profil,0))+0,""))</f>
        <v/>
      </c>
      <c r="M300" s="26">
        <f>IF($D300="","",IFERROR(INDEX(Profile!$E$5:$E$304,MATCH($D300,lst_Profil,0))+0,""))</f>
        <v/>
      </c>
      <c r="N300" s="27">
        <f>IF(OR(L300="",$E300=""),"",IFERROR(L300*INDEX(Werkstoffe!$E$5:$E$304,MATCH($E300,lst_Werkstoff,0))/1000,""))</f>
        <v/>
      </c>
      <c r="O300" s="27">
        <f>IF(OR(N300="",$F300=""),"",N300*$F300/1000)</f>
        <v/>
      </c>
      <c r="P300" s="16">
        <f>IF(OR($F300="",$G300=""),"",$F300*$G300)</f>
        <v/>
      </c>
      <c r="Q300" s="16">
        <f>IF($D300="","",IF($J300&lt;&gt;"",$J300,$C$9))</f>
        <v/>
      </c>
      <c r="R300" s="12">
        <f>IF($D300="","",IFERROR(IF(INDEX(Profile!$G$5:$G$304,MATCH($D300,lst_Profil,0))&lt;&gt;"",INDEX(Profile!$G$5:$G$304,MATCH($D300,lst_Profil,0)),$H$4),$H$4))</f>
        <v/>
      </c>
      <c r="S300" s="12">
        <f>IF($D300="","",IFERROR(IF(INDEX(Profile!$H$5:$H$304,MATCH($D300,lst_Profil,0))&lt;&gt;"",INDEX(Profile!$H$5:$H$304,MATCH($D300,lst_Profil,0)),$H$5),$H$5))</f>
        <v/>
      </c>
      <c r="T300" s="16">
        <f>IF(OR(Q300="",NOT(ISNUMBER(R300)),NOT(ISNUMBER(S300))),"",Q300-R300-S300)</f>
        <v/>
      </c>
      <c r="U300" s="28">
        <f>IF(OR($D300="",$E300=""),"",IF(OR(N($AP300)&gt;0,COUNTIFS(Preise!$A$5:$A$304,$D300,Preise!$B$5:$B$304,$E300,Preise!$I$5:$I$304,"OK")&gt;0,N(INDEX(Werkstoffe!$G$5:$G$304,MATCH($E300,lst_Werkstoff,0)))&gt;0),"ja","nein"))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28">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Materialpreis",IF(AND($AQ300&lt;&gt;"",N($AR300)&gt;0,MOD($G300,$AR300)&lt;&gt;0),"WARNUNG: Stückzahl ist kein Vielfaches von Stück je Satz",IF($H300="","HINWEIS: Schneidweg fehlt",IF(V300="","HINWEIS: keine Schneiddaten",IF(AND($AF300&lt;&gt;"",$AG300=""),"HINWEIS: Gewinde-Vorschlag prüfen","OK")))))))))))))))</f>
        <v/>
      </c>
      <c r="X300" s="18">
        <f>IF(OR(O300="",$G300=""),"",O300*$G300)</f>
        <v/>
      </c>
      <c r="Y300" s="9" t="n"/>
      <c r="Z300" s="23" t="n"/>
      <c r="AA300" s="9" t="n"/>
      <c r="AB300" s="23" t="n"/>
      <c r="AC300" s="23" t="n"/>
      <c r="AD300" s="23" t="n"/>
      <c r="AE300" s="9" t="n"/>
      <c r="AF300" s="9" t="n"/>
      <c r="AG300" s="9" t="n"/>
      <c r="AH300" s="24" t="n"/>
      <c r="AI300" s="23" t="n"/>
      <c r="AJ300" s="24" t="n"/>
      <c r="AK300" s="23" t="n"/>
      <c r="AL300" s="24" t="n"/>
      <c r="AM300" s="23" t="n"/>
      <c r="AN300" s="28">
        <f>IF($D300="","",COUNTIFS(Stangenbelegung!$E$5:$E$10004,ROW()))</f>
        <v/>
      </c>
      <c r="AO300" s="28">
        <f>IF(OR($G300="",COUNTA(Stangenbelegung!$A$5:$A$10004)=0),"",$G300-AN300)</f>
        <v/>
      </c>
      <c r="AP300" s="29" t="n"/>
      <c r="AQ300" s="9" t="n"/>
      <c r="AR300" s="19" t="n"/>
    </row>
    <row r="301">
      <c r="A301" s="9" t="n"/>
      <c r="B301" s="9" t="n"/>
      <c r="C301" s="9" t="n"/>
      <c r="D301" s="9" t="n"/>
      <c r="E301" s="9" t="n"/>
      <c r="F301" s="23" t="n"/>
      <c r="G301" s="19" t="n"/>
      <c r="H301" s="23" t="n"/>
      <c r="I301" s="24" t="n"/>
      <c r="J301" s="19" t="n"/>
      <c r="K301" s="25">
        <f>IF($D301="","",IFERROR(INDEX(Profile!$B$5:$B$304,MATCH($D301,lst_Profil,0)),""))</f>
        <v/>
      </c>
      <c r="L301" s="13">
        <f>IF($D301="","",IFERROR(INDEX(Profile!$K$5:$K$304,MATCH($D301,lst_Profil,0))+0,""))</f>
        <v/>
      </c>
      <c r="M301" s="26">
        <f>IF($D301="","",IFERROR(INDEX(Profile!$E$5:$E$304,MATCH($D301,lst_Profil,0))+0,""))</f>
        <v/>
      </c>
      <c r="N301" s="27">
        <f>IF(OR(L301="",$E301=""),"",IFERROR(L301*INDEX(Werkstoffe!$E$5:$E$304,MATCH($E301,lst_Werkstoff,0))/1000,""))</f>
        <v/>
      </c>
      <c r="O301" s="27">
        <f>IF(OR(N301="",$F301=""),"",N301*$F301/1000)</f>
        <v/>
      </c>
      <c r="P301" s="16">
        <f>IF(OR($F301="",$G301=""),"",$F301*$G301)</f>
        <v/>
      </c>
      <c r="Q301" s="16">
        <f>IF($D301="","",IF($J301&lt;&gt;"",$J301,$C$9))</f>
        <v/>
      </c>
      <c r="R301" s="12">
        <f>IF($D301="","",IFERROR(IF(INDEX(Profile!$G$5:$G$304,MATCH($D301,lst_Profil,0))&lt;&gt;"",INDEX(Profile!$G$5:$G$304,MATCH($D301,lst_Profil,0)),$H$4),$H$4))</f>
        <v/>
      </c>
      <c r="S301" s="12">
        <f>IF($D301="","",IFERROR(IF(INDEX(Profile!$H$5:$H$304,MATCH($D301,lst_Profil,0))&lt;&gt;"",INDEX(Profile!$H$5:$H$304,MATCH($D301,lst_Profil,0)),$H$5),$H$5))</f>
        <v/>
      </c>
      <c r="T301" s="16">
        <f>IF(OR(Q301="",NOT(ISNUMBER(R301)),NOT(ISNUMBER(S301))),"",Q301-R301-S301)</f>
        <v/>
      </c>
      <c r="U301" s="28">
        <f>IF(OR($D301="",$E301=""),"",IF(OR(N($AP301)&gt;0,COUNTIFS(Preise!$A$5:$A$304,$D301,Preise!$B$5:$B$304,$E301,Preise!$I$5:$I$304,"OK")&gt;0,N(INDEX(Werkstoffe!$G$5:$G$304,MATCH($E301,lst_Werkstoff,0)))&gt;0),"ja","nein"))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28">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Materialpreis",IF(AND($AQ301&lt;&gt;"",N($AR301)&gt;0,MOD($G301,$AR301)&lt;&gt;0),"WARNUNG: Stückzahl ist kein Vielfaches von Stück je Satz",IF($H301="","HINWEIS: Schneidweg fehlt",IF(V301="","HINWEIS: keine Schneiddaten",IF(AND($AF301&lt;&gt;"",$AG301=""),"HINWEIS: Gewinde-Vorschlag prüfen","OK")))))))))))))))</f>
        <v/>
      </c>
      <c r="X301" s="18">
        <f>IF(OR(O301="",$G301=""),"",O301*$G301)</f>
        <v/>
      </c>
      <c r="Y301" s="9" t="n"/>
      <c r="Z301" s="23" t="n"/>
      <c r="AA301" s="9" t="n"/>
      <c r="AB301" s="23" t="n"/>
      <c r="AC301" s="23" t="n"/>
      <c r="AD301" s="23" t="n"/>
      <c r="AE301" s="9" t="n"/>
      <c r="AF301" s="9" t="n"/>
      <c r="AG301" s="9" t="n"/>
      <c r="AH301" s="24" t="n"/>
      <c r="AI301" s="23" t="n"/>
      <c r="AJ301" s="24" t="n"/>
      <c r="AK301" s="23" t="n"/>
      <c r="AL301" s="24" t="n"/>
      <c r="AM301" s="23" t="n"/>
      <c r="AN301" s="28">
        <f>IF($D301="","",COUNTIFS(Stangenbelegung!$E$5:$E$10004,ROW()))</f>
        <v/>
      </c>
      <c r="AO301" s="28">
        <f>IF(OR($G301="",COUNTA(Stangenbelegung!$A$5:$A$10004)=0),"",$G301-AN301)</f>
        <v/>
      </c>
      <c r="AP301" s="29" t="n"/>
      <c r="AQ301" s="9" t="n"/>
      <c r="AR301" s="19" t="n"/>
    </row>
    <row r="302">
      <c r="A302" s="9" t="n"/>
      <c r="B302" s="9" t="n"/>
      <c r="C302" s="9" t="n"/>
      <c r="D302" s="9" t="n"/>
      <c r="E302" s="9" t="n"/>
      <c r="F302" s="23" t="n"/>
      <c r="G302" s="19" t="n"/>
      <c r="H302" s="23" t="n"/>
      <c r="I302" s="24" t="n"/>
      <c r="J302" s="19" t="n"/>
      <c r="K302" s="25">
        <f>IF($D302="","",IFERROR(INDEX(Profile!$B$5:$B$304,MATCH($D302,lst_Profil,0)),""))</f>
        <v/>
      </c>
      <c r="L302" s="13">
        <f>IF($D302="","",IFERROR(INDEX(Profile!$K$5:$K$304,MATCH($D302,lst_Profil,0))+0,""))</f>
        <v/>
      </c>
      <c r="M302" s="26">
        <f>IF($D302="","",IFERROR(INDEX(Profile!$E$5:$E$304,MATCH($D302,lst_Profil,0))+0,""))</f>
        <v/>
      </c>
      <c r="N302" s="27">
        <f>IF(OR(L302="",$E302=""),"",IFERROR(L302*INDEX(Werkstoffe!$E$5:$E$304,MATCH($E302,lst_Werkstoff,0))/1000,""))</f>
        <v/>
      </c>
      <c r="O302" s="27">
        <f>IF(OR(N302="",$F302=""),"",N302*$F302/1000)</f>
        <v/>
      </c>
      <c r="P302" s="16">
        <f>IF(OR($F302="",$G302=""),"",$F302*$G302)</f>
        <v/>
      </c>
      <c r="Q302" s="16">
        <f>IF($D302="","",IF($J302&lt;&gt;"",$J302,$C$9))</f>
        <v/>
      </c>
      <c r="R302" s="12">
        <f>IF($D302="","",IFERROR(IF(INDEX(Profile!$G$5:$G$304,MATCH($D302,lst_Profil,0))&lt;&gt;"",INDEX(Profile!$G$5:$G$304,MATCH($D302,lst_Profil,0)),$H$4),$H$4))</f>
        <v/>
      </c>
      <c r="S302" s="12">
        <f>IF($D302="","",IFERROR(IF(INDEX(Profile!$H$5:$H$304,MATCH($D302,lst_Profil,0))&lt;&gt;"",INDEX(Profile!$H$5:$H$304,MATCH($D302,lst_Profil,0)),$H$5),$H$5))</f>
        <v/>
      </c>
      <c r="T302" s="16">
        <f>IF(OR(Q302="",NOT(ISNUMBER(R302)),NOT(ISNUMBER(S302))),"",Q302-R302-S302)</f>
        <v/>
      </c>
      <c r="U302" s="28">
        <f>IF(OR($D302="",$E302=""),"",IF(OR(N($AP302)&gt;0,COUNTIFS(Preise!$A$5:$A$304,$D302,Preise!$B$5:$B$304,$E302,Preise!$I$5:$I$304,"OK")&gt;0,N(INDEX(Werkstoffe!$G$5:$G$304,MATCH($E302,lst_Werkstoff,0)))&gt;0),"ja","nein"))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28">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Materialpreis",IF(AND($AQ302&lt;&gt;"",N($AR302)&gt;0,MOD($G302,$AR302)&lt;&gt;0),"WARNUNG: Stückzahl ist kein Vielfaches von Stück je Satz",IF($H302="","HINWEIS: Schneidweg fehlt",IF(V302="","HINWEIS: keine Schneiddaten",IF(AND($AF302&lt;&gt;"",$AG302=""),"HINWEIS: Gewinde-Vorschlag prüfen","OK")))))))))))))))</f>
        <v/>
      </c>
      <c r="X302" s="18">
        <f>IF(OR(O302="",$G302=""),"",O302*$G302)</f>
        <v/>
      </c>
      <c r="Y302" s="9" t="n"/>
      <c r="Z302" s="23" t="n"/>
      <c r="AA302" s="9" t="n"/>
      <c r="AB302" s="23" t="n"/>
      <c r="AC302" s="23" t="n"/>
      <c r="AD302" s="23" t="n"/>
      <c r="AE302" s="9" t="n"/>
      <c r="AF302" s="9" t="n"/>
      <c r="AG302" s="9" t="n"/>
      <c r="AH302" s="24" t="n"/>
      <c r="AI302" s="23" t="n"/>
      <c r="AJ302" s="24" t="n"/>
      <c r="AK302" s="23" t="n"/>
      <c r="AL302" s="24" t="n"/>
      <c r="AM302" s="23" t="n"/>
      <c r="AN302" s="28">
        <f>IF($D302="","",COUNTIFS(Stangenbelegung!$E$5:$E$10004,ROW()))</f>
        <v/>
      </c>
      <c r="AO302" s="28">
        <f>IF(OR($G302="",COUNTA(Stangenbelegung!$A$5:$A$10004)=0),"",$G302-AN302)</f>
        <v/>
      </c>
      <c r="AP302" s="29" t="n"/>
      <c r="AQ302" s="9" t="n"/>
      <c r="AR302" s="19" t="n"/>
    </row>
    <row r="303">
      <c r="A303" s="9" t="n"/>
      <c r="B303" s="9" t="n"/>
      <c r="C303" s="9" t="n"/>
      <c r="D303" s="9" t="n"/>
      <c r="E303" s="9" t="n"/>
      <c r="F303" s="23" t="n"/>
      <c r="G303" s="19" t="n"/>
      <c r="H303" s="23" t="n"/>
      <c r="I303" s="24" t="n"/>
      <c r="J303" s="19" t="n"/>
      <c r="K303" s="25">
        <f>IF($D303="","",IFERROR(INDEX(Profile!$B$5:$B$304,MATCH($D303,lst_Profil,0)),""))</f>
        <v/>
      </c>
      <c r="L303" s="13">
        <f>IF($D303="","",IFERROR(INDEX(Profile!$K$5:$K$304,MATCH($D303,lst_Profil,0))+0,""))</f>
        <v/>
      </c>
      <c r="M303" s="26">
        <f>IF($D303="","",IFERROR(INDEX(Profile!$E$5:$E$304,MATCH($D303,lst_Profil,0))+0,""))</f>
        <v/>
      </c>
      <c r="N303" s="27">
        <f>IF(OR(L303="",$E303=""),"",IFERROR(L303*INDEX(Werkstoffe!$E$5:$E$304,MATCH($E303,lst_Werkstoff,0))/1000,""))</f>
        <v/>
      </c>
      <c r="O303" s="27">
        <f>IF(OR(N303="",$F303=""),"",N303*$F303/1000)</f>
        <v/>
      </c>
      <c r="P303" s="16">
        <f>IF(OR($F303="",$G303=""),"",$F303*$G303)</f>
        <v/>
      </c>
      <c r="Q303" s="16">
        <f>IF($D303="","",IF($J303&lt;&gt;"",$J303,$C$9))</f>
        <v/>
      </c>
      <c r="R303" s="12">
        <f>IF($D303="","",IFERROR(IF(INDEX(Profile!$G$5:$G$304,MATCH($D303,lst_Profil,0))&lt;&gt;"",INDEX(Profile!$G$5:$G$304,MATCH($D303,lst_Profil,0)),$H$4),$H$4))</f>
        <v/>
      </c>
      <c r="S303" s="12">
        <f>IF($D303="","",IFERROR(IF(INDEX(Profile!$H$5:$H$304,MATCH($D303,lst_Profil,0))&lt;&gt;"",INDEX(Profile!$H$5:$H$304,MATCH($D303,lst_Profil,0)),$H$5),$H$5))</f>
        <v/>
      </c>
      <c r="T303" s="16">
        <f>IF(OR(Q303="",NOT(ISNUMBER(R303)),NOT(ISNUMBER(S303))),"",Q303-R303-S303)</f>
        <v/>
      </c>
      <c r="U303" s="28">
        <f>IF(OR($D303="",$E303=""),"",IF(OR(N($AP303)&gt;0,COUNTIFS(Preise!$A$5:$A$304,$D303,Preise!$B$5:$B$304,$E303,Preise!$I$5:$I$304,"OK")&gt;0,N(INDEX(Werkstoffe!$G$5:$G$304,MATCH($E303,lst_Werkstoff,0)))&gt;0),"ja","nein"))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28">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Materialpreis",IF(AND($AQ303&lt;&gt;"",N($AR303)&gt;0,MOD($G303,$AR303)&lt;&gt;0),"WARNUNG: Stückzahl ist kein Vielfaches von Stück je Satz",IF($H303="","HINWEIS: Schneidweg fehlt",IF(V303="","HINWEIS: keine Schneiddaten",IF(AND($AF303&lt;&gt;"",$AG303=""),"HINWEIS: Gewinde-Vorschlag prüfen","OK")))))))))))))))</f>
        <v/>
      </c>
      <c r="X303" s="18">
        <f>IF(OR(O303="",$G303=""),"",O303*$G303)</f>
        <v/>
      </c>
      <c r="Y303" s="9" t="n"/>
      <c r="Z303" s="23" t="n"/>
      <c r="AA303" s="9" t="n"/>
      <c r="AB303" s="23" t="n"/>
      <c r="AC303" s="23" t="n"/>
      <c r="AD303" s="23" t="n"/>
      <c r="AE303" s="9" t="n"/>
      <c r="AF303" s="9" t="n"/>
      <c r="AG303" s="9" t="n"/>
      <c r="AH303" s="24" t="n"/>
      <c r="AI303" s="23" t="n"/>
      <c r="AJ303" s="24" t="n"/>
      <c r="AK303" s="23" t="n"/>
      <c r="AL303" s="24" t="n"/>
      <c r="AM303" s="23" t="n"/>
      <c r="AN303" s="28">
        <f>IF($D303="","",COUNTIFS(Stangenbelegung!$E$5:$E$10004,ROW()))</f>
        <v/>
      </c>
      <c r="AO303" s="28">
        <f>IF(OR($G303="",COUNTA(Stangenbelegung!$A$5:$A$10004)=0),"",$G303-AN303)</f>
        <v/>
      </c>
      <c r="AP303" s="29" t="n"/>
      <c r="AQ303" s="9" t="n"/>
      <c r="AR303" s="19" t="n"/>
    </row>
    <row r="304">
      <c r="A304" s="9" t="n"/>
      <c r="B304" s="9" t="n"/>
      <c r="C304" s="9" t="n"/>
      <c r="D304" s="9" t="n"/>
      <c r="E304" s="9" t="n"/>
      <c r="F304" s="23" t="n"/>
      <c r="G304" s="19" t="n"/>
      <c r="H304" s="23" t="n"/>
      <c r="I304" s="24" t="n"/>
      <c r="J304" s="19" t="n"/>
      <c r="K304" s="25">
        <f>IF($D304="","",IFERROR(INDEX(Profile!$B$5:$B$304,MATCH($D304,lst_Profil,0)),""))</f>
        <v/>
      </c>
      <c r="L304" s="13">
        <f>IF($D304="","",IFERROR(INDEX(Profile!$K$5:$K$304,MATCH($D304,lst_Profil,0))+0,""))</f>
        <v/>
      </c>
      <c r="M304" s="26">
        <f>IF($D304="","",IFERROR(INDEX(Profile!$E$5:$E$304,MATCH($D304,lst_Profil,0))+0,""))</f>
        <v/>
      </c>
      <c r="N304" s="27">
        <f>IF(OR(L304="",$E304=""),"",IFERROR(L304*INDEX(Werkstoffe!$E$5:$E$304,MATCH($E304,lst_Werkstoff,0))/1000,""))</f>
        <v/>
      </c>
      <c r="O304" s="27">
        <f>IF(OR(N304="",$F304=""),"",N304*$F304/1000)</f>
        <v/>
      </c>
      <c r="P304" s="16">
        <f>IF(OR($F304="",$G304=""),"",$F304*$G304)</f>
        <v/>
      </c>
      <c r="Q304" s="16">
        <f>IF($D304="","",IF($J304&lt;&gt;"",$J304,$C$9))</f>
        <v/>
      </c>
      <c r="R304" s="12">
        <f>IF($D304="","",IFERROR(IF(INDEX(Profile!$G$5:$G$304,MATCH($D304,lst_Profil,0))&lt;&gt;"",INDEX(Profile!$G$5:$G$304,MATCH($D304,lst_Profil,0)),$H$4),$H$4))</f>
        <v/>
      </c>
      <c r="S304" s="12">
        <f>IF($D304="","",IFERROR(IF(INDEX(Profile!$H$5:$H$304,MATCH($D304,lst_Profil,0))&lt;&gt;"",INDEX(Profile!$H$5:$H$304,MATCH($D304,lst_Profil,0)),$H$5),$H$5))</f>
        <v/>
      </c>
      <c r="T304" s="16">
        <f>IF(OR(Q304="",NOT(ISNUMBER(R304)),NOT(ISNUMBER(S304))),"",Q304-R304-S304)</f>
        <v/>
      </c>
      <c r="U304" s="28">
        <f>IF(OR($D304="",$E304=""),"",IF(OR(N($AP304)&gt;0,COUNTIFS(Preise!$A$5:$A$304,$D304,Preise!$B$5:$B$304,$E304,Preise!$I$5:$I$304,"OK")&gt;0,N(INDEX(Werkstoffe!$G$5:$G$304,MATCH($E304,lst_Werkstoff,0)))&gt;0),"ja","nein"))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28">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Materialpreis",IF(AND($AQ304&lt;&gt;"",N($AR304)&gt;0,MOD($G304,$AR304)&lt;&gt;0),"WARNUNG: Stückzahl ist kein Vielfaches von Stück je Satz",IF($H304="","HINWEIS: Schneidweg fehlt",IF(V304="","HINWEIS: keine Schneiddaten",IF(AND($AF304&lt;&gt;"",$AG304=""),"HINWEIS: Gewinde-Vorschlag prüfen","OK")))))))))))))))</f>
        <v/>
      </c>
      <c r="X304" s="18">
        <f>IF(OR(O304="",$G304=""),"",O304*$G304)</f>
        <v/>
      </c>
      <c r="Y304" s="9" t="n"/>
      <c r="Z304" s="23" t="n"/>
      <c r="AA304" s="9" t="n"/>
      <c r="AB304" s="23" t="n"/>
      <c r="AC304" s="23" t="n"/>
      <c r="AD304" s="23" t="n"/>
      <c r="AE304" s="9" t="n"/>
      <c r="AF304" s="9" t="n"/>
      <c r="AG304" s="9" t="n"/>
      <c r="AH304" s="24" t="n"/>
      <c r="AI304" s="23" t="n"/>
      <c r="AJ304" s="24" t="n"/>
      <c r="AK304" s="23" t="n"/>
      <c r="AL304" s="24" t="n"/>
      <c r="AM304" s="23" t="n"/>
      <c r="AN304" s="28">
        <f>IF($D304="","",COUNTIFS(Stangenbelegung!$E$5:$E$10004,ROW()))</f>
        <v/>
      </c>
      <c r="AO304" s="28">
        <f>IF(OR($G304="",COUNTA(Stangenbelegung!$A$5:$A$10004)=0),"",$G304-AN304)</f>
        <v/>
      </c>
      <c r="AP304" s="29" t="n"/>
      <c r="AQ304" s="9" t="n"/>
      <c r="AR304" s="19" t="n"/>
    </row>
    <row r="305">
      <c r="A305" s="9" t="n"/>
      <c r="B305" s="9" t="n"/>
      <c r="C305" s="9" t="n"/>
      <c r="D305" s="9" t="n"/>
      <c r="E305" s="9" t="n"/>
      <c r="F305" s="23" t="n"/>
      <c r="G305" s="19" t="n"/>
      <c r="H305" s="23" t="n"/>
      <c r="I305" s="24" t="n"/>
      <c r="J305" s="19" t="n"/>
      <c r="K305" s="25">
        <f>IF($D305="","",IFERROR(INDEX(Profile!$B$5:$B$304,MATCH($D305,lst_Profil,0)),""))</f>
        <v/>
      </c>
      <c r="L305" s="13">
        <f>IF($D305="","",IFERROR(INDEX(Profile!$K$5:$K$304,MATCH($D305,lst_Profil,0))+0,""))</f>
        <v/>
      </c>
      <c r="M305" s="26">
        <f>IF($D305="","",IFERROR(INDEX(Profile!$E$5:$E$304,MATCH($D305,lst_Profil,0))+0,""))</f>
        <v/>
      </c>
      <c r="N305" s="27">
        <f>IF(OR(L305="",$E305=""),"",IFERROR(L305*INDEX(Werkstoffe!$E$5:$E$304,MATCH($E305,lst_Werkstoff,0))/1000,""))</f>
        <v/>
      </c>
      <c r="O305" s="27">
        <f>IF(OR(N305="",$F305=""),"",N305*$F305/1000)</f>
        <v/>
      </c>
      <c r="P305" s="16">
        <f>IF(OR($F305="",$G305=""),"",$F305*$G305)</f>
        <v/>
      </c>
      <c r="Q305" s="16">
        <f>IF($D305="","",IF($J305&lt;&gt;"",$J305,$C$9))</f>
        <v/>
      </c>
      <c r="R305" s="12">
        <f>IF($D305="","",IFERROR(IF(INDEX(Profile!$G$5:$G$304,MATCH($D305,lst_Profil,0))&lt;&gt;"",INDEX(Profile!$G$5:$G$304,MATCH($D305,lst_Profil,0)),$H$4),$H$4))</f>
        <v/>
      </c>
      <c r="S305" s="12">
        <f>IF($D305="","",IFERROR(IF(INDEX(Profile!$H$5:$H$304,MATCH($D305,lst_Profil,0))&lt;&gt;"",INDEX(Profile!$H$5:$H$304,MATCH($D305,lst_Profil,0)),$H$5),$H$5))</f>
        <v/>
      </c>
      <c r="T305" s="16">
        <f>IF(OR(Q305="",NOT(ISNUMBER(R305)),NOT(ISNUMBER(S305))),"",Q305-R305-S305)</f>
        <v/>
      </c>
      <c r="U305" s="28">
        <f>IF(OR($D305="",$E305=""),"",IF(OR(N($AP305)&gt;0,COUNTIFS(Preise!$A$5:$A$304,$D305,Preise!$B$5:$B$304,$E305,Preise!$I$5:$I$304,"OK")&gt;0,N(INDEX(Werkstoffe!$G$5:$G$304,MATCH($E305,lst_Werkstoff,0)))&gt;0),"ja","nein"))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28">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Materialpreis",IF(AND($AQ305&lt;&gt;"",N($AR305)&gt;0,MOD($G305,$AR305)&lt;&gt;0),"WARNUNG: Stückzahl ist kein Vielfaches von Stück je Satz",IF($H305="","HINWEIS: Schneidweg fehlt",IF(V305="","HINWEIS: keine Schneiddaten",IF(AND($AF305&lt;&gt;"",$AG305=""),"HINWEIS: Gewinde-Vorschlag prüfen","OK")))))))))))))))</f>
        <v/>
      </c>
      <c r="X305" s="18">
        <f>IF(OR(O305="",$G305=""),"",O305*$G305)</f>
        <v/>
      </c>
      <c r="Y305" s="9" t="n"/>
      <c r="Z305" s="23" t="n"/>
      <c r="AA305" s="9" t="n"/>
      <c r="AB305" s="23" t="n"/>
      <c r="AC305" s="23" t="n"/>
      <c r="AD305" s="23" t="n"/>
      <c r="AE305" s="9" t="n"/>
      <c r="AF305" s="9" t="n"/>
      <c r="AG305" s="9" t="n"/>
      <c r="AH305" s="24" t="n"/>
      <c r="AI305" s="23" t="n"/>
      <c r="AJ305" s="24" t="n"/>
      <c r="AK305" s="23" t="n"/>
      <c r="AL305" s="24" t="n"/>
      <c r="AM305" s="23" t="n"/>
      <c r="AN305" s="28">
        <f>IF($D305="","",COUNTIFS(Stangenbelegung!$E$5:$E$10004,ROW()))</f>
        <v/>
      </c>
      <c r="AO305" s="28">
        <f>IF(OR($G305="",COUNTA(Stangenbelegung!$A$5:$A$10004)=0),"",$G305-AN305)</f>
        <v/>
      </c>
      <c r="AP305" s="29" t="n"/>
      <c r="AQ305" s="9" t="n"/>
      <c r="AR305" s="19" t="n"/>
    </row>
    <row r="306">
      <c r="A306" s="9" t="n"/>
      <c r="B306" s="9" t="n"/>
      <c r="C306" s="9" t="n"/>
      <c r="D306" s="9" t="n"/>
      <c r="E306" s="9" t="n"/>
      <c r="F306" s="23" t="n"/>
      <c r="G306" s="19" t="n"/>
      <c r="H306" s="23" t="n"/>
      <c r="I306" s="24" t="n"/>
      <c r="J306" s="19" t="n"/>
      <c r="K306" s="25">
        <f>IF($D306="","",IFERROR(INDEX(Profile!$B$5:$B$304,MATCH($D306,lst_Profil,0)),""))</f>
        <v/>
      </c>
      <c r="L306" s="13">
        <f>IF($D306="","",IFERROR(INDEX(Profile!$K$5:$K$304,MATCH($D306,lst_Profil,0))+0,""))</f>
        <v/>
      </c>
      <c r="M306" s="26">
        <f>IF($D306="","",IFERROR(INDEX(Profile!$E$5:$E$304,MATCH($D306,lst_Profil,0))+0,""))</f>
        <v/>
      </c>
      <c r="N306" s="27">
        <f>IF(OR(L306="",$E306=""),"",IFERROR(L306*INDEX(Werkstoffe!$E$5:$E$304,MATCH($E306,lst_Werkstoff,0))/1000,""))</f>
        <v/>
      </c>
      <c r="O306" s="27">
        <f>IF(OR(N306="",$F306=""),"",N306*$F306/1000)</f>
        <v/>
      </c>
      <c r="P306" s="16">
        <f>IF(OR($F306="",$G306=""),"",$F306*$G306)</f>
        <v/>
      </c>
      <c r="Q306" s="16">
        <f>IF($D306="","",IF($J306&lt;&gt;"",$J306,$C$9))</f>
        <v/>
      </c>
      <c r="R306" s="12">
        <f>IF($D306="","",IFERROR(IF(INDEX(Profile!$G$5:$G$304,MATCH($D306,lst_Profil,0))&lt;&gt;"",INDEX(Profile!$G$5:$G$304,MATCH($D306,lst_Profil,0)),$H$4),$H$4))</f>
        <v/>
      </c>
      <c r="S306" s="12">
        <f>IF($D306="","",IFERROR(IF(INDEX(Profile!$H$5:$H$304,MATCH($D306,lst_Profil,0))&lt;&gt;"",INDEX(Profile!$H$5:$H$304,MATCH($D306,lst_Profil,0)),$H$5),$H$5))</f>
        <v/>
      </c>
      <c r="T306" s="16">
        <f>IF(OR(Q306="",NOT(ISNUMBER(R306)),NOT(ISNUMBER(S306))),"",Q306-R306-S306)</f>
        <v/>
      </c>
      <c r="U306" s="28">
        <f>IF(OR($D306="",$E306=""),"",IF(OR(N($AP306)&gt;0,COUNTIFS(Preise!$A$5:$A$304,$D306,Preise!$B$5:$B$304,$E306,Preise!$I$5:$I$304,"OK")&gt;0,N(INDEX(Werkstoffe!$G$5:$G$304,MATCH($E306,lst_Werkstoff,0)))&gt;0),"ja","nein"))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28">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Materialpreis",IF(AND($AQ306&lt;&gt;"",N($AR306)&gt;0,MOD($G306,$AR306)&lt;&gt;0),"WARNUNG: Stückzahl ist kein Vielfaches von Stück je Satz",IF($H306="","HINWEIS: Schneidweg fehlt",IF(V306="","HINWEIS: keine Schneiddaten",IF(AND($AF306&lt;&gt;"",$AG306=""),"HINWEIS: Gewinde-Vorschlag prüfen","OK")))))))))))))))</f>
        <v/>
      </c>
      <c r="X306" s="18">
        <f>IF(OR(O306="",$G306=""),"",O306*$G306)</f>
        <v/>
      </c>
      <c r="Y306" s="9" t="n"/>
      <c r="Z306" s="23" t="n"/>
      <c r="AA306" s="9" t="n"/>
      <c r="AB306" s="23" t="n"/>
      <c r="AC306" s="23" t="n"/>
      <c r="AD306" s="23" t="n"/>
      <c r="AE306" s="9" t="n"/>
      <c r="AF306" s="9" t="n"/>
      <c r="AG306" s="9" t="n"/>
      <c r="AH306" s="24" t="n"/>
      <c r="AI306" s="23" t="n"/>
      <c r="AJ306" s="24" t="n"/>
      <c r="AK306" s="23" t="n"/>
      <c r="AL306" s="24" t="n"/>
      <c r="AM306" s="23" t="n"/>
      <c r="AN306" s="28">
        <f>IF($D306="","",COUNTIFS(Stangenbelegung!$E$5:$E$10004,ROW()))</f>
        <v/>
      </c>
      <c r="AO306" s="28">
        <f>IF(OR($G306="",COUNTA(Stangenbelegung!$A$5:$A$10004)=0),"",$G306-AN306)</f>
        <v/>
      </c>
      <c r="AP306" s="29" t="n"/>
      <c r="AQ306" s="9" t="n"/>
      <c r="AR306" s="19" t="n"/>
    </row>
    <row r="307">
      <c r="A307" s="9" t="n"/>
      <c r="B307" s="9" t="n"/>
      <c r="C307" s="9" t="n"/>
      <c r="D307" s="9" t="n"/>
      <c r="E307" s="9" t="n"/>
      <c r="F307" s="23" t="n"/>
      <c r="G307" s="19" t="n"/>
      <c r="H307" s="23" t="n"/>
      <c r="I307" s="24" t="n"/>
      <c r="J307" s="19" t="n"/>
      <c r="K307" s="25">
        <f>IF($D307="","",IFERROR(INDEX(Profile!$B$5:$B$304,MATCH($D307,lst_Profil,0)),""))</f>
        <v/>
      </c>
      <c r="L307" s="13">
        <f>IF($D307="","",IFERROR(INDEX(Profile!$K$5:$K$304,MATCH($D307,lst_Profil,0))+0,""))</f>
        <v/>
      </c>
      <c r="M307" s="26">
        <f>IF($D307="","",IFERROR(INDEX(Profile!$E$5:$E$304,MATCH($D307,lst_Profil,0))+0,""))</f>
        <v/>
      </c>
      <c r="N307" s="27">
        <f>IF(OR(L307="",$E307=""),"",IFERROR(L307*INDEX(Werkstoffe!$E$5:$E$304,MATCH($E307,lst_Werkstoff,0))/1000,""))</f>
        <v/>
      </c>
      <c r="O307" s="27">
        <f>IF(OR(N307="",$F307=""),"",N307*$F307/1000)</f>
        <v/>
      </c>
      <c r="P307" s="16">
        <f>IF(OR($F307="",$G307=""),"",$F307*$G307)</f>
        <v/>
      </c>
      <c r="Q307" s="16">
        <f>IF($D307="","",IF($J307&lt;&gt;"",$J307,$C$9))</f>
        <v/>
      </c>
      <c r="R307" s="12">
        <f>IF($D307="","",IFERROR(IF(INDEX(Profile!$G$5:$G$304,MATCH($D307,lst_Profil,0))&lt;&gt;"",INDEX(Profile!$G$5:$G$304,MATCH($D307,lst_Profil,0)),$H$4),$H$4))</f>
        <v/>
      </c>
      <c r="S307" s="12">
        <f>IF($D307="","",IFERROR(IF(INDEX(Profile!$H$5:$H$304,MATCH($D307,lst_Profil,0))&lt;&gt;"",INDEX(Profile!$H$5:$H$304,MATCH($D307,lst_Profil,0)),$H$5),$H$5))</f>
        <v/>
      </c>
      <c r="T307" s="16">
        <f>IF(OR(Q307="",NOT(ISNUMBER(R307)),NOT(ISNUMBER(S307))),"",Q307-R307-S307)</f>
        <v/>
      </c>
      <c r="U307" s="28">
        <f>IF(OR($D307="",$E307=""),"",IF(OR(N($AP307)&gt;0,COUNTIFS(Preise!$A$5:$A$304,$D307,Preise!$B$5:$B$304,$E307,Preise!$I$5:$I$304,"OK")&gt;0,N(INDEX(Werkstoffe!$G$5:$G$304,MATCH($E307,lst_Werkstoff,0)))&gt;0),"ja","nein"))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28">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Materialpreis",IF(AND($AQ307&lt;&gt;"",N($AR307)&gt;0,MOD($G307,$AR307)&lt;&gt;0),"WARNUNG: Stückzahl ist kein Vielfaches von Stück je Satz",IF($H307="","HINWEIS: Schneidweg fehlt",IF(V307="","HINWEIS: keine Schneiddaten",IF(AND($AF307&lt;&gt;"",$AG307=""),"HINWEIS: Gewinde-Vorschlag prüfen","OK")))))))))))))))</f>
        <v/>
      </c>
      <c r="X307" s="18">
        <f>IF(OR(O307="",$G307=""),"",O307*$G307)</f>
        <v/>
      </c>
      <c r="Y307" s="9" t="n"/>
      <c r="Z307" s="23" t="n"/>
      <c r="AA307" s="9" t="n"/>
      <c r="AB307" s="23" t="n"/>
      <c r="AC307" s="23" t="n"/>
      <c r="AD307" s="23" t="n"/>
      <c r="AE307" s="9" t="n"/>
      <c r="AF307" s="9" t="n"/>
      <c r="AG307" s="9" t="n"/>
      <c r="AH307" s="24" t="n"/>
      <c r="AI307" s="23" t="n"/>
      <c r="AJ307" s="24" t="n"/>
      <c r="AK307" s="23" t="n"/>
      <c r="AL307" s="24" t="n"/>
      <c r="AM307" s="23" t="n"/>
      <c r="AN307" s="28">
        <f>IF($D307="","",COUNTIFS(Stangenbelegung!$E$5:$E$10004,ROW()))</f>
        <v/>
      </c>
      <c r="AO307" s="28">
        <f>IF(OR($G307="",COUNTA(Stangenbelegung!$A$5:$A$10004)=0),"",$G307-AN307)</f>
        <v/>
      </c>
      <c r="AP307" s="29" t="n"/>
      <c r="AQ307" s="9" t="n"/>
      <c r="AR307" s="19" t="n"/>
    </row>
    <row r="308">
      <c r="A308" s="9" t="n"/>
      <c r="B308" s="9" t="n"/>
      <c r="C308" s="9" t="n"/>
      <c r="D308" s="9" t="n"/>
      <c r="E308" s="9" t="n"/>
      <c r="F308" s="23" t="n"/>
      <c r="G308" s="19" t="n"/>
      <c r="H308" s="23" t="n"/>
      <c r="I308" s="24" t="n"/>
      <c r="J308" s="19" t="n"/>
      <c r="K308" s="25">
        <f>IF($D308="","",IFERROR(INDEX(Profile!$B$5:$B$304,MATCH($D308,lst_Profil,0)),""))</f>
        <v/>
      </c>
      <c r="L308" s="13">
        <f>IF($D308="","",IFERROR(INDEX(Profile!$K$5:$K$304,MATCH($D308,lst_Profil,0))+0,""))</f>
        <v/>
      </c>
      <c r="M308" s="26">
        <f>IF($D308="","",IFERROR(INDEX(Profile!$E$5:$E$304,MATCH($D308,lst_Profil,0))+0,""))</f>
        <v/>
      </c>
      <c r="N308" s="27">
        <f>IF(OR(L308="",$E308=""),"",IFERROR(L308*INDEX(Werkstoffe!$E$5:$E$304,MATCH($E308,lst_Werkstoff,0))/1000,""))</f>
        <v/>
      </c>
      <c r="O308" s="27">
        <f>IF(OR(N308="",$F308=""),"",N308*$F308/1000)</f>
        <v/>
      </c>
      <c r="P308" s="16">
        <f>IF(OR($F308="",$G308=""),"",$F308*$G308)</f>
        <v/>
      </c>
      <c r="Q308" s="16">
        <f>IF($D308="","",IF($J308&lt;&gt;"",$J308,$C$9))</f>
        <v/>
      </c>
      <c r="R308" s="12">
        <f>IF($D308="","",IFERROR(IF(INDEX(Profile!$G$5:$G$304,MATCH($D308,lst_Profil,0))&lt;&gt;"",INDEX(Profile!$G$5:$G$304,MATCH($D308,lst_Profil,0)),$H$4),$H$4))</f>
        <v/>
      </c>
      <c r="S308" s="12">
        <f>IF($D308="","",IFERROR(IF(INDEX(Profile!$H$5:$H$304,MATCH($D308,lst_Profil,0))&lt;&gt;"",INDEX(Profile!$H$5:$H$304,MATCH($D308,lst_Profil,0)),$H$5),$H$5))</f>
        <v/>
      </c>
      <c r="T308" s="16">
        <f>IF(OR(Q308="",NOT(ISNUMBER(R308)),NOT(ISNUMBER(S308))),"",Q308-R308-S308)</f>
        <v/>
      </c>
      <c r="U308" s="28">
        <f>IF(OR($D308="",$E308=""),"",IF(OR(N($AP308)&gt;0,COUNTIFS(Preise!$A$5:$A$304,$D308,Preise!$B$5:$B$304,$E308,Preise!$I$5:$I$304,"OK")&gt;0,N(INDEX(Werkstoffe!$G$5:$G$304,MATCH($E308,lst_Werkstoff,0)))&gt;0),"ja","nein"))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28">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Materialpreis",IF(AND($AQ308&lt;&gt;"",N($AR308)&gt;0,MOD($G308,$AR308)&lt;&gt;0),"WARNUNG: Stückzahl ist kein Vielfaches von Stück je Satz",IF($H308="","HINWEIS: Schneidweg fehlt",IF(V308="","HINWEIS: keine Schneiddaten",IF(AND($AF308&lt;&gt;"",$AG308=""),"HINWEIS: Gewinde-Vorschlag prüfen","OK")))))))))))))))</f>
        <v/>
      </c>
      <c r="X308" s="18">
        <f>IF(OR(O308="",$G308=""),"",O308*$G308)</f>
        <v/>
      </c>
      <c r="Y308" s="9" t="n"/>
      <c r="Z308" s="23" t="n"/>
      <c r="AA308" s="9" t="n"/>
      <c r="AB308" s="23" t="n"/>
      <c r="AC308" s="23" t="n"/>
      <c r="AD308" s="23" t="n"/>
      <c r="AE308" s="9" t="n"/>
      <c r="AF308" s="9" t="n"/>
      <c r="AG308" s="9" t="n"/>
      <c r="AH308" s="24" t="n"/>
      <c r="AI308" s="23" t="n"/>
      <c r="AJ308" s="24" t="n"/>
      <c r="AK308" s="23" t="n"/>
      <c r="AL308" s="24" t="n"/>
      <c r="AM308" s="23" t="n"/>
      <c r="AN308" s="28">
        <f>IF($D308="","",COUNTIFS(Stangenbelegung!$E$5:$E$10004,ROW()))</f>
        <v/>
      </c>
      <c r="AO308" s="28">
        <f>IF(OR($G308="",COUNTA(Stangenbelegung!$A$5:$A$10004)=0),"",$G308-AN308)</f>
        <v/>
      </c>
      <c r="AP308" s="29" t="n"/>
      <c r="AQ308" s="9" t="n"/>
      <c r="AR308" s="19" t="n"/>
    </row>
    <row r="309">
      <c r="A309" s="9" t="n"/>
      <c r="B309" s="9" t="n"/>
      <c r="C309" s="9" t="n"/>
      <c r="D309" s="9" t="n"/>
      <c r="E309" s="9" t="n"/>
      <c r="F309" s="23" t="n"/>
      <c r="G309" s="19" t="n"/>
      <c r="H309" s="23" t="n"/>
      <c r="I309" s="24" t="n"/>
      <c r="J309" s="19" t="n"/>
      <c r="K309" s="25">
        <f>IF($D309="","",IFERROR(INDEX(Profile!$B$5:$B$304,MATCH($D309,lst_Profil,0)),""))</f>
        <v/>
      </c>
      <c r="L309" s="13">
        <f>IF($D309="","",IFERROR(INDEX(Profile!$K$5:$K$304,MATCH($D309,lst_Profil,0))+0,""))</f>
        <v/>
      </c>
      <c r="M309" s="26">
        <f>IF($D309="","",IFERROR(INDEX(Profile!$E$5:$E$304,MATCH($D309,lst_Profil,0))+0,""))</f>
        <v/>
      </c>
      <c r="N309" s="27">
        <f>IF(OR(L309="",$E309=""),"",IFERROR(L309*INDEX(Werkstoffe!$E$5:$E$304,MATCH($E309,lst_Werkstoff,0))/1000,""))</f>
        <v/>
      </c>
      <c r="O309" s="27">
        <f>IF(OR(N309="",$F309=""),"",N309*$F309/1000)</f>
        <v/>
      </c>
      <c r="P309" s="16">
        <f>IF(OR($F309="",$G309=""),"",$F309*$G309)</f>
        <v/>
      </c>
      <c r="Q309" s="16">
        <f>IF($D309="","",IF($J309&lt;&gt;"",$J309,$C$9))</f>
        <v/>
      </c>
      <c r="R309" s="12">
        <f>IF($D309="","",IFERROR(IF(INDEX(Profile!$G$5:$G$304,MATCH($D309,lst_Profil,0))&lt;&gt;"",INDEX(Profile!$G$5:$G$304,MATCH($D309,lst_Profil,0)),$H$4),$H$4))</f>
        <v/>
      </c>
      <c r="S309" s="12">
        <f>IF($D309="","",IFERROR(IF(INDEX(Profile!$H$5:$H$304,MATCH($D309,lst_Profil,0))&lt;&gt;"",INDEX(Profile!$H$5:$H$304,MATCH($D309,lst_Profil,0)),$H$5),$H$5))</f>
        <v/>
      </c>
      <c r="T309" s="16">
        <f>IF(OR(Q309="",NOT(ISNUMBER(R309)),NOT(ISNUMBER(S309))),"",Q309-R309-S309)</f>
        <v/>
      </c>
      <c r="U309" s="28">
        <f>IF(OR($D309="",$E309=""),"",IF(OR(N($AP309)&gt;0,COUNTIFS(Preise!$A$5:$A$304,$D309,Preise!$B$5:$B$304,$E309,Preise!$I$5:$I$304,"OK")&gt;0,N(INDEX(Werkstoffe!$G$5:$G$304,MATCH($E309,lst_Werkstoff,0)))&gt;0),"ja","nein"))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28">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Materialpreis",IF(AND($AQ309&lt;&gt;"",N($AR309)&gt;0,MOD($G309,$AR309)&lt;&gt;0),"WARNUNG: Stückzahl ist kein Vielfaches von Stück je Satz",IF($H309="","HINWEIS: Schneidweg fehlt",IF(V309="","HINWEIS: keine Schneiddaten",IF(AND($AF309&lt;&gt;"",$AG309=""),"HINWEIS: Gewinde-Vorschlag prüfen","OK")))))))))))))))</f>
        <v/>
      </c>
      <c r="X309" s="18">
        <f>IF(OR(O309="",$G309=""),"",O309*$G309)</f>
        <v/>
      </c>
      <c r="Y309" s="9" t="n"/>
      <c r="Z309" s="23" t="n"/>
      <c r="AA309" s="9" t="n"/>
      <c r="AB309" s="23" t="n"/>
      <c r="AC309" s="23" t="n"/>
      <c r="AD309" s="23" t="n"/>
      <c r="AE309" s="9" t="n"/>
      <c r="AF309" s="9" t="n"/>
      <c r="AG309" s="9" t="n"/>
      <c r="AH309" s="24" t="n"/>
      <c r="AI309" s="23" t="n"/>
      <c r="AJ309" s="24" t="n"/>
      <c r="AK309" s="23" t="n"/>
      <c r="AL309" s="24" t="n"/>
      <c r="AM309" s="23" t="n"/>
      <c r="AN309" s="28">
        <f>IF($D309="","",COUNTIFS(Stangenbelegung!$E$5:$E$10004,ROW()))</f>
        <v/>
      </c>
      <c r="AO309" s="28">
        <f>IF(OR($G309="",COUNTA(Stangenbelegung!$A$5:$A$10004)=0),"",$G309-AN309)</f>
        <v/>
      </c>
      <c r="AP309" s="29" t="n"/>
      <c r="AQ309" s="9" t="n"/>
      <c r="AR309" s="19" t="n"/>
    </row>
    <row r="310">
      <c r="A310" s="9" t="n"/>
      <c r="B310" s="9" t="n"/>
      <c r="C310" s="9" t="n"/>
      <c r="D310" s="9" t="n"/>
      <c r="E310" s="9" t="n"/>
      <c r="F310" s="23" t="n"/>
      <c r="G310" s="19" t="n"/>
      <c r="H310" s="23" t="n"/>
      <c r="I310" s="24" t="n"/>
      <c r="J310" s="19" t="n"/>
      <c r="K310" s="25">
        <f>IF($D310="","",IFERROR(INDEX(Profile!$B$5:$B$304,MATCH($D310,lst_Profil,0)),""))</f>
        <v/>
      </c>
      <c r="L310" s="13">
        <f>IF($D310="","",IFERROR(INDEX(Profile!$K$5:$K$304,MATCH($D310,lst_Profil,0))+0,""))</f>
        <v/>
      </c>
      <c r="M310" s="26">
        <f>IF($D310="","",IFERROR(INDEX(Profile!$E$5:$E$304,MATCH($D310,lst_Profil,0))+0,""))</f>
        <v/>
      </c>
      <c r="N310" s="27">
        <f>IF(OR(L310="",$E310=""),"",IFERROR(L310*INDEX(Werkstoffe!$E$5:$E$304,MATCH($E310,lst_Werkstoff,0))/1000,""))</f>
        <v/>
      </c>
      <c r="O310" s="27">
        <f>IF(OR(N310="",$F310=""),"",N310*$F310/1000)</f>
        <v/>
      </c>
      <c r="P310" s="16">
        <f>IF(OR($F310="",$G310=""),"",$F310*$G310)</f>
        <v/>
      </c>
      <c r="Q310" s="16">
        <f>IF($D310="","",IF($J310&lt;&gt;"",$J310,$C$9))</f>
        <v/>
      </c>
      <c r="R310" s="12">
        <f>IF($D310="","",IFERROR(IF(INDEX(Profile!$G$5:$G$304,MATCH($D310,lst_Profil,0))&lt;&gt;"",INDEX(Profile!$G$5:$G$304,MATCH($D310,lst_Profil,0)),$H$4),$H$4))</f>
        <v/>
      </c>
      <c r="S310" s="12">
        <f>IF($D310="","",IFERROR(IF(INDEX(Profile!$H$5:$H$304,MATCH($D310,lst_Profil,0))&lt;&gt;"",INDEX(Profile!$H$5:$H$304,MATCH($D310,lst_Profil,0)),$H$5),$H$5))</f>
        <v/>
      </c>
      <c r="T310" s="16">
        <f>IF(OR(Q310="",NOT(ISNUMBER(R310)),NOT(ISNUMBER(S310))),"",Q310-R310-S310)</f>
        <v/>
      </c>
      <c r="U310" s="28">
        <f>IF(OR($D310="",$E310=""),"",IF(OR(N($AP310)&gt;0,COUNTIFS(Preise!$A$5:$A$304,$D310,Preise!$B$5:$B$304,$E310,Preise!$I$5:$I$304,"OK")&gt;0,N(INDEX(Werkstoffe!$G$5:$G$304,MATCH($E310,lst_Werkstoff,0)))&gt;0),"ja","nein"))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28">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Materialpreis",IF(AND($AQ310&lt;&gt;"",N($AR310)&gt;0,MOD($G310,$AR310)&lt;&gt;0),"WARNUNG: Stückzahl ist kein Vielfaches von Stück je Satz",IF($H310="","HINWEIS: Schneidweg fehlt",IF(V310="","HINWEIS: keine Schneiddaten",IF(AND($AF310&lt;&gt;"",$AG310=""),"HINWEIS: Gewinde-Vorschlag prüfen","OK")))))))))))))))</f>
        <v/>
      </c>
      <c r="X310" s="18">
        <f>IF(OR(O310="",$G310=""),"",O310*$G310)</f>
        <v/>
      </c>
      <c r="Y310" s="9" t="n"/>
      <c r="Z310" s="23" t="n"/>
      <c r="AA310" s="9" t="n"/>
      <c r="AB310" s="23" t="n"/>
      <c r="AC310" s="23" t="n"/>
      <c r="AD310" s="23" t="n"/>
      <c r="AE310" s="9" t="n"/>
      <c r="AF310" s="9" t="n"/>
      <c r="AG310" s="9" t="n"/>
      <c r="AH310" s="24" t="n"/>
      <c r="AI310" s="23" t="n"/>
      <c r="AJ310" s="24" t="n"/>
      <c r="AK310" s="23" t="n"/>
      <c r="AL310" s="24" t="n"/>
      <c r="AM310" s="23" t="n"/>
      <c r="AN310" s="28">
        <f>IF($D310="","",COUNTIFS(Stangenbelegung!$E$5:$E$10004,ROW()))</f>
        <v/>
      </c>
      <c r="AO310" s="28">
        <f>IF(OR($G310="",COUNTA(Stangenbelegung!$A$5:$A$10004)=0),"",$G310-AN310)</f>
        <v/>
      </c>
      <c r="AP310" s="29" t="n"/>
      <c r="AQ310" s="9" t="n"/>
      <c r="AR310" s="19" t="n"/>
    </row>
    <row r="311">
      <c r="A311" s="9" t="n"/>
      <c r="B311" s="9" t="n"/>
      <c r="C311" s="9" t="n"/>
      <c r="D311" s="9" t="n"/>
      <c r="E311" s="9" t="n"/>
      <c r="F311" s="23" t="n"/>
      <c r="G311" s="19" t="n"/>
      <c r="H311" s="23" t="n"/>
      <c r="I311" s="24" t="n"/>
      <c r="J311" s="19" t="n"/>
      <c r="K311" s="25">
        <f>IF($D311="","",IFERROR(INDEX(Profile!$B$5:$B$304,MATCH($D311,lst_Profil,0)),""))</f>
        <v/>
      </c>
      <c r="L311" s="13">
        <f>IF($D311="","",IFERROR(INDEX(Profile!$K$5:$K$304,MATCH($D311,lst_Profil,0))+0,""))</f>
        <v/>
      </c>
      <c r="M311" s="26">
        <f>IF($D311="","",IFERROR(INDEX(Profile!$E$5:$E$304,MATCH($D311,lst_Profil,0))+0,""))</f>
        <v/>
      </c>
      <c r="N311" s="27">
        <f>IF(OR(L311="",$E311=""),"",IFERROR(L311*INDEX(Werkstoffe!$E$5:$E$304,MATCH($E311,lst_Werkstoff,0))/1000,""))</f>
        <v/>
      </c>
      <c r="O311" s="27">
        <f>IF(OR(N311="",$F311=""),"",N311*$F311/1000)</f>
        <v/>
      </c>
      <c r="P311" s="16">
        <f>IF(OR($F311="",$G311=""),"",$F311*$G311)</f>
        <v/>
      </c>
      <c r="Q311" s="16">
        <f>IF($D311="","",IF($J311&lt;&gt;"",$J311,$C$9))</f>
        <v/>
      </c>
      <c r="R311" s="12">
        <f>IF($D311="","",IFERROR(IF(INDEX(Profile!$G$5:$G$304,MATCH($D311,lst_Profil,0))&lt;&gt;"",INDEX(Profile!$G$5:$G$304,MATCH($D311,lst_Profil,0)),$H$4),$H$4))</f>
        <v/>
      </c>
      <c r="S311" s="12">
        <f>IF($D311="","",IFERROR(IF(INDEX(Profile!$H$5:$H$304,MATCH($D311,lst_Profil,0))&lt;&gt;"",INDEX(Profile!$H$5:$H$304,MATCH($D311,lst_Profil,0)),$H$5),$H$5))</f>
        <v/>
      </c>
      <c r="T311" s="16">
        <f>IF(OR(Q311="",NOT(ISNUMBER(R311)),NOT(ISNUMBER(S311))),"",Q311-R311-S311)</f>
        <v/>
      </c>
      <c r="U311" s="28">
        <f>IF(OR($D311="",$E311=""),"",IF(OR(N($AP311)&gt;0,COUNTIFS(Preise!$A$5:$A$304,$D311,Preise!$B$5:$B$304,$E311,Preise!$I$5:$I$304,"OK")&gt;0,N(INDEX(Werkstoffe!$G$5:$G$304,MATCH($E311,lst_Werkstoff,0)))&gt;0),"ja","nein"))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28">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Materialpreis",IF(AND($AQ311&lt;&gt;"",N($AR311)&gt;0,MOD($G311,$AR311)&lt;&gt;0),"WARNUNG: Stückzahl ist kein Vielfaches von Stück je Satz",IF($H311="","HINWEIS: Schneidweg fehlt",IF(V311="","HINWEIS: keine Schneiddaten",IF(AND($AF311&lt;&gt;"",$AG311=""),"HINWEIS: Gewinde-Vorschlag prüfen","OK")))))))))))))))</f>
        <v/>
      </c>
      <c r="X311" s="18">
        <f>IF(OR(O311="",$G311=""),"",O311*$G311)</f>
        <v/>
      </c>
      <c r="Y311" s="9" t="n"/>
      <c r="Z311" s="23" t="n"/>
      <c r="AA311" s="9" t="n"/>
      <c r="AB311" s="23" t="n"/>
      <c r="AC311" s="23" t="n"/>
      <c r="AD311" s="23" t="n"/>
      <c r="AE311" s="9" t="n"/>
      <c r="AF311" s="9" t="n"/>
      <c r="AG311" s="9" t="n"/>
      <c r="AH311" s="24" t="n"/>
      <c r="AI311" s="23" t="n"/>
      <c r="AJ311" s="24" t="n"/>
      <c r="AK311" s="23" t="n"/>
      <c r="AL311" s="24" t="n"/>
      <c r="AM311" s="23" t="n"/>
      <c r="AN311" s="28">
        <f>IF($D311="","",COUNTIFS(Stangenbelegung!$E$5:$E$10004,ROW()))</f>
        <v/>
      </c>
      <c r="AO311" s="28">
        <f>IF(OR($G311="",COUNTA(Stangenbelegung!$A$5:$A$10004)=0),"",$G311-AN311)</f>
        <v/>
      </c>
      <c r="AP311" s="29" t="n"/>
      <c r="AQ311" s="9" t="n"/>
      <c r="AR311" s="19" t="n"/>
    </row>
    <row r="312">
      <c r="A312" s="9" t="n"/>
      <c r="B312" s="9" t="n"/>
      <c r="C312" s="9" t="n"/>
      <c r="D312" s="9" t="n"/>
      <c r="E312" s="9" t="n"/>
      <c r="F312" s="23" t="n"/>
      <c r="G312" s="19" t="n"/>
      <c r="H312" s="23" t="n"/>
      <c r="I312" s="24" t="n"/>
      <c r="J312" s="19" t="n"/>
      <c r="K312" s="25">
        <f>IF($D312="","",IFERROR(INDEX(Profile!$B$5:$B$304,MATCH($D312,lst_Profil,0)),""))</f>
        <v/>
      </c>
      <c r="L312" s="13">
        <f>IF($D312="","",IFERROR(INDEX(Profile!$K$5:$K$304,MATCH($D312,lst_Profil,0))+0,""))</f>
        <v/>
      </c>
      <c r="M312" s="26">
        <f>IF($D312="","",IFERROR(INDEX(Profile!$E$5:$E$304,MATCH($D312,lst_Profil,0))+0,""))</f>
        <v/>
      </c>
      <c r="N312" s="27">
        <f>IF(OR(L312="",$E312=""),"",IFERROR(L312*INDEX(Werkstoffe!$E$5:$E$304,MATCH($E312,lst_Werkstoff,0))/1000,""))</f>
        <v/>
      </c>
      <c r="O312" s="27">
        <f>IF(OR(N312="",$F312=""),"",N312*$F312/1000)</f>
        <v/>
      </c>
      <c r="P312" s="16">
        <f>IF(OR($F312="",$G312=""),"",$F312*$G312)</f>
        <v/>
      </c>
      <c r="Q312" s="16">
        <f>IF($D312="","",IF($J312&lt;&gt;"",$J312,$C$9))</f>
        <v/>
      </c>
      <c r="R312" s="12">
        <f>IF($D312="","",IFERROR(IF(INDEX(Profile!$G$5:$G$304,MATCH($D312,lst_Profil,0))&lt;&gt;"",INDEX(Profile!$G$5:$G$304,MATCH($D312,lst_Profil,0)),$H$4),$H$4))</f>
        <v/>
      </c>
      <c r="S312" s="12">
        <f>IF($D312="","",IFERROR(IF(INDEX(Profile!$H$5:$H$304,MATCH($D312,lst_Profil,0))&lt;&gt;"",INDEX(Profile!$H$5:$H$304,MATCH($D312,lst_Profil,0)),$H$5),$H$5))</f>
        <v/>
      </c>
      <c r="T312" s="16">
        <f>IF(OR(Q312="",NOT(ISNUMBER(R312)),NOT(ISNUMBER(S312))),"",Q312-R312-S312)</f>
        <v/>
      </c>
      <c r="U312" s="28">
        <f>IF(OR($D312="",$E312=""),"",IF(OR(N($AP312)&gt;0,COUNTIFS(Preise!$A$5:$A$304,$D312,Preise!$B$5:$B$304,$E312,Preise!$I$5:$I$304,"OK")&gt;0,N(INDEX(Werkstoffe!$G$5:$G$304,MATCH($E312,lst_Werkstoff,0)))&gt;0),"ja","nein"))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28">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Materialpreis",IF(AND($AQ312&lt;&gt;"",N($AR312)&gt;0,MOD($G312,$AR312)&lt;&gt;0),"WARNUNG: Stückzahl ist kein Vielfaches von Stück je Satz",IF($H312="","HINWEIS: Schneidweg fehlt",IF(V312="","HINWEIS: keine Schneiddaten",IF(AND($AF312&lt;&gt;"",$AG312=""),"HINWEIS: Gewinde-Vorschlag prüfen","OK")))))))))))))))</f>
        <v/>
      </c>
      <c r="X312" s="18">
        <f>IF(OR(O312="",$G312=""),"",O312*$G312)</f>
        <v/>
      </c>
      <c r="Y312" s="9" t="n"/>
      <c r="Z312" s="23" t="n"/>
      <c r="AA312" s="9" t="n"/>
      <c r="AB312" s="23" t="n"/>
      <c r="AC312" s="23" t="n"/>
      <c r="AD312" s="23" t="n"/>
      <c r="AE312" s="9" t="n"/>
      <c r="AF312" s="9" t="n"/>
      <c r="AG312" s="9" t="n"/>
      <c r="AH312" s="24" t="n"/>
      <c r="AI312" s="23" t="n"/>
      <c r="AJ312" s="24" t="n"/>
      <c r="AK312" s="23" t="n"/>
      <c r="AL312" s="24" t="n"/>
      <c r="AM312" s="23" t="n"/>
      <c r="AN312" s="28">
        <f>IF($D312="","",COUNTIFS(Stangenbelegung!$E$5:$E$10004,ROW()))</f>
        <v/>
      </c>
      <c r="AO312" s="28">
        <f>IF(OR($G312="",COUNTA(Stangenbelegung!$A$5:$A$10004)=0),"",$G312-AN312)</f>
        <v/>
      </c>
      <c r="AP312" s="29" t="n"/>
      <c r="AQ312" s="9" t="n"/>
      <c r="AR312" s="19" t="n"/>
    </row>
    <row r="313">
      <c r="A313" s="9" t="n"/>
      <c r="B313" s="9" t="n"/>
      <c r="C313" s="9" t="n"/>
      <c r="D313" s="9" t="n"/>
      <c r="E313" s="9" t="n"/>
      <c r="F313" s="23" t="n"/>
      <c r="G313" s="19" t="n"/>
      <c r="H313" s="23" t="n"/>
      <c r="I313" s="24" t="n"/>
      <c r="J313" s="19" t="n"/>
      <c r="K313" s="25">
        <f>IF($D313="","",IFERROR(INDEX(Profile!$B$5:$B$304,MATCH($D313,lst_Profil,0)),""))</f>
        <v/>
      </c>
      <c r="L313" s="13">
        <f>IF($D313="","",IFERROR(INDEX(Profile!$K$5:$K$304,MATCH($D313,lst_Profil,0))+0,""))</f>
        <v/>
      </c>
      <c r="M313" s="26">
        <f>IF($D313="","",IFERROR(INDEX(Profile!$E$5:$E$304,MATCH($D313,lst_Profil,0))+0,""))</f>
        <v/>
      </c>
      <c r="N313" s="27">
        <f>IF(OR(L313="",$E313=""),"",IFERROR(L313*INDEX(Werkstoffe!$E$5:$E$304,MATCH($E313,lst_Werkstoff,0))/1000,""))</f>
        <v/>
      </c>
      <c r="O313" s="27">
        <f>IF(OR(N313="",$F313=""),"",N313*$F313/1000)</f>
        <v/>
      </c>
      <c r="P313" s="16">
        <f>IF(OR($F313="",$G313=""),"",$F313*$G313)</f>
        <v/>
      </c>
      <c r="Q313" s="16">
        <f>IF($D313="","",IF($J313&lt;&gt;"",$J313,$C$9))</f>
        <v/>
      </c>
      <c r="R313" s="12">
        <f>IF($D313="","",IFERROR(IF(INDEX(Profile!$G$5:$G$304,MATCH($D313,lst_Profil,0))&lt;&gt;"",INDEX(Profile!$G$5:$G$304,MATCH($D313,lst_Profil,0)),$H$4),$H$4))</f>
        <v/>
      </c>
      <c r="S313" s="12">
        <f>IF($D313="","",IFERROR(IF(INDEX(Profile!$H$5:$H$304,MATCH($D313,lst_Profil,0))&lt;&gt;"",INDEX(Profile!$H$5:$H$304,MATCH($D313,lst_Profil,0)),$H$5),$H$5))</f>
        <v/>
      </c>
      <c r="T313" s="16">
        <f>IF(OR(Q313="",NOT(ISNUMBER(R313)),NOT(ISNUMBER(S313))),"",Q313-R313-S313)</f>
        <v/>
      </c>
      <c r="U313" s="28">
        <f>IF(OR($D313="",$E313=""),"",IF(OR(N($AP313)&gt;0,COUNTIFS(Preise!$A$5:$A$304,$D313,Preise!$B$5:$B$304,$E313,Preise!$I$5:$I$304,"OK")&gt;0,N(INDEX(Werkstoffe!$G$5:$G$304,MATCH($E313,lst_Werkstoff,0)))&gt;0),"ja","nein"))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28">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Materialpreis",IF(AND($AQ313&lt;&gt;"",N($AR313)&gt;0,MOD($G313,$AR313)&lt;&gt;0),"WARNUNG: Stückzahl ist kein Vielfaches von Stück je Satz",IF($H313="","HINWEIS: Schneidweg fehlt",IF(V313="","HINWEIS: keine Schneiddaten",IF(AND($AF313&lt;&gt;"",$AG313=""),"HINWEIS: Gewinde-Vorschlag prüfen","OK")))))))))))))))</f>
        <v/>
      </c>
      <c r="X313" s="18">
        <f>IF(OR(O313="",$G313=""),"",O313*$G313)</f>
        <v/>
      </c>
      <c r="Y313" s="9" t="n"/>
      <c r="Z313" s="23" t="n"/>
      <c r="AA313" s="9" t="n"/>
      <c r="AB313" s="23" t="n"/>
      <c r="AC313" s="23" t="n"/>
      <c r="AD313" s="23" t="n"/>
      <c r="AE313" s="9" t="n"/>
      <c r="AF313" s="9" t="n"/>
      <c r="AG313" s="9" t="n"/>
      <c r="AH313" s="24" t="n"/>
      <c r="AI313" s="23" t="n"/>
      <c r="AJ313" s="24" t="n"/>
      <c r="AK313" s="23" t="n"/>
      <c r="AL313" s="24" t="n"/>
      <c r="AM313" s="23" t="n"/>
      <c r="AN313" s="28">
        <f>IF($D313="","",COUNTIFS(Stangenbelegung!$E$5:$E$10004,ROW()))</f>
        <v/>
      </c>
      <c r="AO313" s="28">
        <f>IF(OR($G313="",COUNTA(Stangenbelegung!$A$5:$A$10004)=0),"",$G313-AN313)</f>
        <v/>
      </c>
      <c r="AP313" s="29" t="n"/>
      <c r="AQ313" s="9" t="n"/>
      <c r="AR313" s="19" t="n"/>
    </row>
    <row r="314">
      <c r="A314" s="9" t="n"/>
      <c r="B314" s="9" t="n"/>
      <c r="C314" s="9" t="n"/>
      <c r="D314" s="9" t="n"/>
      <c r="E314" s="9" t="n"/>
      <c r="F314" s="23" t="n"/>
      <c r="G314" s="19" t="n"/>
      <c r="H314" s="23" t="n"/>
      <c r="I314" s="24" t="n"/>
      <c r="J314" s="19" t="n"/>
      <c r="K314" s="25">
        <f>IF($D314="","",IFERROR(INDEX(Profile!$B$5:$B$304,MATCH($D314,lst_Profil,0)),""))</f>
        <v/>
      </c>
      <c r="L314" s="13">
        <f>IF($D314="","",IFERROR(INDEX(Profile!$K$5:$K$304,MATCH($D314,lst_Profil,0))+0,""))</f>
        <v/>
      </c>
      <c r="M314" s="26">
        <f>IF($D314="","",IFERROR(INDEX(Profile!$E$5:$E$304,MATCH($D314,lst_Profil,0))+0,""))</f>
        <v/>
      </c>
      <c r="N314" s="27">
        <f>IF(OR(L314="",$E314=""),"",IFERROR(L314*INDEX(Werkstoffe!$E$5:$E$304,MATCH($E314,lst_Werkstoff,0))/1000,""))</f>
        <v/>
      </c>
      <c r="O314" s="27">
        <f>IF(OR(N314="",$F314=""),"",N314*$F314/1000)</f>
        <v/>
      </c>
      <c r="P314" s="16">
        <f>IF(OR($F314="",$G314=""),"",$F314*$G314)</f>
        <v/>
      </c>
      <c r="Q314" s="16">
        <f>IF($D314="","",IF($J314&lt;&gt;"",$J314,$C$9))</f>
        <v/>
      </c>
      <c r="R314" s="12">
        <f>IF($D314="","",IFERROR(IF(INDEX(Profile!$G$5:$G$304,MATCH($D314,lst_Profil,0))&lt;&gt;"",INDEX(Profile!$G$5:$G$304,MATCH($D314,lst_Profil,0)),$H$4),$H$4))</f>
        <v/>
      </c>
      <c r="S314" s="12">
        <f>IF($D314="","",IFERROR(IF(INDEX(Profile!$H$5:$H$304,MATCH($D314,lst_Profil,0))&lt;&gt;"",INDEX(Profile!$H$5:$H$304,MATCH($D314,lst_Profil,0)),$H$5),$H$5))</f>
        <v/>
      </c>
      <c r="T314" s="16">
        <f>IF(OR(Q314="",NOT(ISNUMBER(R314)),NOT(ISNUMBER(S314))),"",Q314-R314-S314)</f>
        <v/>
      </c>
      <c r="U314" s="28">
        <f>IF(OR($D314="",$E314=""),"",IF(OR(N($AP314)&gt;0,COUNTIFS(Preise!$A$5:$A$304,$D314,Preise!$B$5:$B$304,$E314,Preise!$I$5:$I$304,"OK")&gt;0,N(INDEX(Werkstoffe!$G$5:$G$304,MATCH($E314,lst_Werkstoff,0)))&gt;0),"ja","nein"))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28">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Materialpreis",IF(AND($AQ314&lt;&gt;"",N($AR314)&gt;0,MOD($G314,$AR314)&lt;&gt;0),"WARNUNG: Stückzahl ist kein Vielfaches von Stück je Satz",IF($H314="","HINWEIS: Schneidweg fehlt",IF(V314="","HINWEIS: keine Schneiddaten",IF(AND($AF314&lt;&gt;"",$AG314=""),"HINWEIS: Gewinde-Vorschlag prüfen","OK")))))))))))))))</f>
        <v/>
      </c>
      <c r="X314" s="18">
        <f>IF(OR(O314="",$G314=""),"",O314*$G314)</f>
        <v/>
      </c>
      <c r="Y314" s="9" t="n"/>
      <c r="Z314" s="23" t="n"/>
      <c r="AA314" s="9" t="n"/>
      <c r="AB314" s="23" t="n"/>
      <c r="AC314" s="23" t="n"/>
      <c r="AD314" s="23" t="n"/>
      <c r="AE314" s="9" t="n"/>
      <c r="AF314" s="9" t="n"/>
      <c r="AG314" s="9" t="n"/>
      <c r="AH314" s="24" t="n"/>
      <c r="AI314" s="23" t="n"/>
      <c r="AJ314" s="24" t="n"/>
      <c r="AK314" s="23" t="n"/>
      <c r="AL314" s="24" t="n"/>
      <c r="AM314" s="23" t="n"/>
      <c r="AN314" s="28">
        <f>IF($D314="","",COUNTIFS(Stangenbelegung!$E$5:$E$10004,ROW()))</f>
        <v/>
      </c>
      <c r="AO314" s="28">
        <f>IF(OR($G314="",COUNTA(Stangenbelegung!$A$5:$A$10004)=0),"",$G314-AN314)</f>
        <v/>
      </c>
      <c r="AP314" s="29" t="n"/>
      <c r="AQ314" s="9" t="n"/>
      <c r="AR314" s="19" t="n"/>
    </row>
    <row r="315">
      <c r="A315" s="9" t="n"/>
      <c r="B315" s="9" t="n"/>
      <c r="C315" s="9" t="n"/>
      <c r="D315" s="9" t="n"/>
      <c r="E315" s="9" t="n"/>
      <c r="F315" s="23" t="n"/>
      <c r="G315" s="19" t="n"/>
      <c r="H315" s="23" t="n"/>
      <c r="I315" s="24" t="n"/>
      <c r="J315" s="19" t="n"/>
      <c r="K315" s="25">
        <f>IF($D315="","",IFERROR(INDEX(Profile!$B$5:$B$304,MATCH($D315,lst_Profil,0)),""))</f>
        <v/>
      </c>
      <c r="L315" s="13">
        <f>IF($D315="","",IFERROR(INDEX(Profile!$K$5:$K$304,MATCH($D315,lst_Profil,0))+0,""))</f>
        <v/>
      </c>
      <c r="M315" s="26">
        <f>IF($D315="","",IFERROR(INDEX(Profile!$E$5:$E$304,MATCH($D315,lst_Profil,0))+0,""))</f>
        <v/>
      </c>
      <c r="N315" s="27">
        <f>IF(OR(L315="",$E315=""),"",IFERROR(L315*INDEX(Werkstoffe!$E$5:$E$304,MATCH($E315,lst_Werkstoff,0))/1000,""))</f>
        <v/>
      </c>
      <c r="O315" s="27">
        <f>IF(OR(N315="",$F315=""),"",N315*$F315/1000)</f>
        <v/>
      </c>
      <c r="P315" s="16">
        <f>IF(OR($F315="",$G315=""),"",$F315*$G315)</f>
        <v/>
      </c>
      <c r="Q315" s="16">
        <f>IF($D315="","",IF($J315&lt;&gt;"",$J315,$C$9))</f>
        <v/>
      </c>
      <c r="R315" s="12">
        <f>IF($D315="","",IFERROR(IF(INDEX(Profile!$G$5:$G$304,MATCH($D315,lst_Profil,0))&lt;&gt;"",INDEX(Profile!$G$5:$G$304,MATCH($D315,lst_Profil,0)),$H$4),$H$4))</f>
        <v/>
      </c>
      <c r="S315" s="12">
        <f>IF($D315="","",IFERROR(IF(INDEX(Profile!$H$5:$H$304,MATCH($D315,lst_Profil,0))&lt;&gt;"",INDEX(Profile!$H$5:$H$304,MATCH($D315,lst_Profil,0)),$H$5),$H$5))</f>
        <v/>
      </c>
      <c r="T315" s="16">
        <f>IF(OR(Q315="",NOT(ISNUMBER(R315)),NOT(ISNUMBER(S315))),"",Q315-R315-S315)</f>
        <v/>
      </c>
      <c r="U315" s="28">
        <f>IF(OR($D315="",$E315=""),"",IF(OR(N($AP315)&gt;0,COUNTIFS(Preise!$A$5:$A$304,$D315,Preise!$B$5:$B$304,$E315,Preise!$I$5:$I$304,"OK")&gt;0,N(INDEX(Werkstoffe!$G$5:$G$304,MATCH($E315,lst_Werkstoff,0)))&gt;0),"ja","nein"))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28">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Materialpreis",IF(AND($AQ315&lt;&gt;"",N($AR315)&gt;0,MOD($G315,$AR315)&lt;&gt;0),"WARNUNG: Stückzahl ist kein Vielfaches von Stück je Satz",IF($H315="","HINWEIS: Schneidweg fehlt",IF(V315="","HINWEIS: keine Schneiddaten",IF(AND($AF315&lt;&gt;"",$AG315=""),"HINWEIS: Gewinde-Vorschlag prüfen","OK")))))))))))))))</f>
        <v/>
      </c>
      <c r="X315" s="18">
        <f>IF(OR(O315="",$G315=""),"",O315*$G315)</f>
        <v/>
      </c>
      <c r="Y315" s="9" t="n"/>
      <c r="Z315" s="23" t="n"/>
      <c r="AA315" s="9" t="n"/>
      <c r="AB315" s="23" t="n"/>
      <c r="AC315" s="23" t="n"/>
      <c r="AD315" s="23" t="n"/>
      <c r="AE315" s="9" t="n"/>
      <c r="AF315" s="9" t="n"/>
      <c r="AG315" s="9" t="n"/>
      <c r="AH315" s="24" t="n"/>
      <c r="AI315" s="23" t="n"/>
      <c r="AJ315" s="24" t="n"/>
      <c r="AK315" s="23" t="n"/>
      <c r="AL315" s="24" t="n"/>
      <c r="AM315" s="23" t="n"/>
      <c r="AN315" s="28">
        <f>IF($D315="","",COUNTIFS(Stangenbelegung!$E$5:$E$10004,ROW()))</f>
        <v/>
      </c>
      <c r="AO315" s="28">
        <f>IF(OR($G315="",COUNTA(Stangenbelegung!$A$5:$A$10004)=0),"",$G315-AN315)</f>
        <v/>
      </c>
      <c r="AP315" s="29" t="n"/>
      <c r="AQ315" s="9" t="n"/>
      <c r="AR315" s="19" t="n"/>
    </row>
    <row r="316">
      <c r="A316" s="9" t="n"/>
      <c r="B316" s="9" t="n"/>
      <c r="C316" s="9" t="n"/>
      <c r="D316" s="9" t="n"/>
      <c r="E316" s="9" t="n"/>
      <c r="F316" s="23" t="n"/>
      <c r="G316" s="19" t="n"/>
      <c r="H316" s="23" t="n"/>
      <c r="I316" s="24" t="n"/>
      <c r="J316" s="19" t="n"/>
      <c r="K316" s="25">
        <f>IF($D316="","",IFERROR(INDEX(Profile!$B$5:$B$304,MATCH($D316,lst_Profil,0)),""))</f>
        <v/>
      </c>
      <c r="L316" s="13">
        <f>IF($D316="","",IFERROR(INDEX(Profile!$K$5:$K$304,MATCH($D316,lst_Profil,0))+0,""))</f>
        <v/>
      </c>
      <c r="M316" s="26">
        <f>IF($D316="","",IFERROR(INDEX(Profile!$E$5:$E$304,MATCH($D316,lst_Profil,0))+0,""))</f>
        <v/>
      </c>
      <c r="N316" s="27">
        <f>IF(OR(L316="",$E316=""),"",IFERROR(L316*INDEX(Werkstoffe!$E$5:$E$304,MATCH($E316,lst_Werkstoff,0))/1000,""))</f>
        <v/>
      </c>
      <c r="O316" s="27">
        <f>IF(OR(N316="",$F316=""),"",N316*$F316/1000)</f>
        <v/>
      </c>
      <c r="P316" s="16">
        <f>IF(OR($F316="",$G316=""),"",$F316*$G316)</f>
        <v/>
      </c>
      <c r="Q316" s="16">
        <f>IF($D316="","",IF($J316&lt;&gt;"",$J316,$C$9))</f>
        <v/>
      </c>
      <c r="R316" s="12">
        <f>IF($D316="","",IFERROR(IF(INDEX(Profile!$G$5:$G$304,MATCH($D316,lst_Profil,0))&lt;&gt;"",INDEX(Profile!$G$5:$G$304,MATCH($D316,lst_Profil,0)),$H$4),$H$4))</f>
        <v/>
      </c>
      <c r="S316" s="12">
        <f>IF($D316="","",IFERROR(IF(INDEX(Profile!$H$5:$H$304,MATCH($D316,lst_Profil,0))&lt;&gt;"",INDEX(Profile!$H$5:$H$304,MATCH($D316,lst_Profil,0)),$H$5),$H$5))</f>
        <v/>
      </c>
      <c r="T316" s="16">
        <f>IF(OR(Q316="",NOT(ISNUMBER(R316)),NOT(ISNUMBER(S316))),"",Q316-R316-S316)</f>
        <v/>
      </c>
      <c r="U316" s="28">
        <f>IF(OR($D316="",$E316=""),"",IF(OR(N($AP316)&gt;0,COUNTIFS(Preise!$A$5:$A$304,$D316,Preise!$B$5:$B$304,$E316,Preise!$I$5:$I$304,"OK")&gt;0,N(INDEX(Werkstoffe!$G$5:$G$304,MATCH($E316,lst_Werkstoff,0)))&gt;0),"ja","nein"))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28">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Materialpreis",IF(AND($AQ316&lt;&gt;"",N($AR316)&gt;0,MOD($G316,$AR316)&lt;&gt;0),"WARNUNG: Stückzahl ist kein Vielfaches von Stück je Satz",IF($H316="","HINWEIS: Schneidweg fehlt",IF(V316="","HINWEIS: keine Schneiddaten",IF(AND($AF316&lt;&gt;"",$AG316=""),"HINWEIS: Gewinde-Vorschlag prüfen","OK")))))))))))))))</f>
        <v/>
      </c>
      <c r="X316" s="18">
        <f>IF(OR(O316="",$G316=""),"",O316*$G316)</f>
        <v/>
      </c>
      <c r="Y316" s="9" t="n"/>
      <c r="Z316" s="23" t="n"/>
      <c r="AA316" s="9" t="n"/>
      <c r="AB316" s="23" t="n"/>
      <c r="AC316" s="23" t="n"/>
      <c r="AD316" s="23" t="n"/>
      <c r="AE316" s="9" t="n"/>
      <c r="AF316" s="9" t="n"/>
      <c r="AG316" s="9" t="n"/>
      <c r="AH316" s="24" t="n"/>
      <c r="AI316" s="23" t="n"/>
      <c r="AJ316" s="24" t="n"/>
      <c r="AK316" s="23" t="n"/>
      <c r="AL316" s="24" t="n"/>
      <c r="AM316" s="23" t="n"/>
      <c r="AN316" s="28">
        <f>IF($D316="","",COUNTIFS(Stangenbelegung!$E$5:$E$10004,ROW()))</f>
        <v/>
      </c>
      <c r="AO316" s="28">
        <f>IF(OR($G316="",COUNTA(Stangenbelegung!$A$5:$A$10004)=0),"",$G316-AN316)</f>
        <v/>
      </c>
      <c r="AP316" s="29" t="n"/>
      <c r="AQ316" s="9" t="n"/>
      <c r="AR316" s="19" t="n"/>
    </row>
    <row r="317">
      <c r="A317" s="9" t="n"/>
      <c r="B317" s="9" t="n"/>
      <c r="C317" s="9" t="n"/>
      <c r="D317" s="9" t="n"/>
      <c r="E317" s="9" t="n"/>
      <c r="F317" s="23" t="n"/>
      <c r="G317" s="19" t="n"/>
      <c r="H317" s="23" t="n"/>
      <c r="I317" s="24" t="n"/>
      <c r="J317" s="19" t="n"/>
      <c r="K317" s="25">
        <f>IF($D317="","",IFERROR(INDEX(Profile!$B$5:$B$304,MATCH($D317,lst_Profil,0)),""))</f>
        <v/>
      </c>
      <c r="L317" s="13">
        <f>IF($D317="","",IFERROR(INDEX(Profile!$K$5:$K$304,MATCH($D317,lst_Profil,0))+0,""))</f>
        <v/>
      </c>
      <c r="M317" s="26">
        <f>IF($D317="","",IFERROR(INDEX(Profile!$E$5:$E$304,MATCH($D317,lst_Profil,0))+0,""))</f>
        <v/>
      </c>
      <c r="N317" s="27">
        <f>IF(OR(L317="",$E317=""),"",IFERROR(L317*INDEX(Werkstoffe!$E$5:$E$304,MATCH($E317,lst_Werkstoff,0))/1000,""))</f>
        <v/>
      </c>
      <c r="O317" s="27">
        <f>IF(OR(N317="",$F317=""),"",N317*$F317/1000)</f>
        <v/>
      </c>
      <c r="P317" s="16">
        <f>IF(OR($F317="",$G317=""),"",$F317*$G317)</f>
        <v/>
      </c>
      <c r="Q317" s="16">
        <f>IF($D317="","",IF($J317&lt;&gt;"",$J317,$C$9))</f>
        <v/>
      </c>
      <c r="R317" s="12">
        <f>IF($D317="","",IFERROR(IF(INDEX(Profile!$G$5:$G$304,MATCH($D317,lst_Profil,0))&lt;&gt;"",INDEX(Profile!$G$5:$G$304,MATCH($D317,lst_Profil,0)),$H$4),$H$4))</f>
        <v/>
      </c>
      <c r="S317" s="12">
        <f>IF($D317="","",IFERROR(IF(INDEX(Profile!$H$5:$H$304,MATCH($D317,lst_Profil,0))&lt;&gt;"",INDEX(Profile!$H$5:$H$304,MATCH($D317,lst_Profil,0)),$H$5),$H$5))</f>
        <v/>
      </c>
      <c r="T317" s="16">
        <f>IF(OR(Q317="",NOT(ISNUMBER(R317)),NOT(ISNUMBER(S317))),"",Q317-R317-S317)</f>
        <v/>
      </c>
      <c r="U317" s="28">
        <f>IF(OR($D317="",$E317=""),"",IF(OR(N($AP317)&gt;0,COUNTIFS(Preise!$A$5:$A$304,$D317,Preise!$B$5:$B$304,$E317,Preise!$I$5:$I$304,"OK")&gt;0,N(INDEX(Werkstoffe!$G$5:$G$304,MATCH($E317,lst_Werkstoff,0)))&gt;0),"ja","nein"))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28">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Materialpreis",IF(AND($AQ317&lt;&gt;"",N($AR317)&gt;0,MOD($G317,$AR317)&lt;&gt;0),"WARNUNG: Stückzahl ist kein Vielfaches von Stück je Satz",IF($H317="","HINWEIS: Schneidweg fehlt",IF(V317="","HINWEIS: keine Schneiddaten",IF(AND($AF317&lt;&gt;"",$AG317=""),"HINWEIS: Gewinde-Vorschlag prüfen","OK")))))))))))))))</f>
        <v/>
      </c>
      <c r="X317" s="18">
        <f>IF(OR(O317="",$G317=""),"",O317*$G317)</f>
        <v/>
      </c>
      <c r="Y317" s="9" t="n"/>
      <c r="Z317" s="23" t="n"/>
      <c r="AA317" s="9" t="n"/>
      <c r="AB317" s="23" t="n"/>
      <c r="AC317" s="23" t="n"/>
      <c r="AD317" s="23" t="n"/>
      <c r="AE317" s="9" t="n"/>
      <c r="AF317" s="9" t="n"/>
      <c r="AG317" s="9" t="n"/>
      <c r="AH317" s="24" t="n"/>
      <c r="AI317" s="23" t="n"/>
      <c r="AJ317" s="24" t="n"/>
      <c r="AK317" s="23" t="n"/>
      <c r="AL317" s="24" t="n"/>
      <c r="AM317" s="23" t="n"/>
      <c r="AN317" s="28">
        <f>IF($D317="","",COUNTIFS(Stangenbelegung!$E$5:$E$10004,ROW()))</f>
        <v/>
      </c>
      <c r="AO317" s="28">
        <f>IF(OR($G317="",COUNTA(Stangenbelegung!$A$5:$A$10004)=0),"",$G317-AN317)</f>
        <v/>
      </c>
      <c r="AP317" s="29" t="n"/>
      <c r="AQ317" s="9" t="n"/>
      <c r="AR317" s="19" t="n"/>
    </row>
    <row r="318">
      <c r="A318" s="9" t="n"/>
      <c r="B318" s="9" t="n"/>
      <c r="C318" s="9" t="n"/>
      <c r="D318" s="9" t="n"/>
      <c r="E318" s="9" t="n"/>
      <c r="F318" s="23" t="n"/>
      <c r="G318" s="19" t="n"/>
      <c r="H318" s="23" t="n"/>
      <c r="I318" s="24" t="n"/>
      <c r="J318" s="19" t="n"/>
      <c r="K318" s="25">
        <f>IF($D318="","",IFERROR(INDEX(Profile!$B$5:$B$304,MATCH($D318,lst_Profil,0)),""))</f>
        <v/>
      </c>
      <c r="L318" s="13">
        <f>IF($D318="","",IFERROR(INDEX(Profile!$K$5:$K$304,MATCH($D318,lst_Profil,0))+0,""))</f>
        <v/>
      </c>
      <c r="M318" s="26">
        <f>IF($D318="","",IFERROR(INDEX(Profile!$E$5:$E$304,MATCH($D318,lst_Profil,0))+0,""))</f>
        <v/>
      </c>
      <c r="N318" s="27">
        <f>IF(OR(L318="",$E318=""),"",IFERROR(L318*INDEX(Werkstoffe!$E$5:$E$304,MATCH($E318,lst_Werkstoff,0))/1000,""))</f>
        <v/>
      </c>
      <c r="O318" s="27">
        <f>IF(OR(N318="",$F318=""),"",N318*$F318/1000)</f>
        <v/>
      </c>
      <c r="P318" s="16">
        <f>IF(OR($F318="",$G318=""),"",$F318*$G318)</f>
        <v/>
      </c>
      <c r="Q318" s="16">
        <f>IF($D318="","",IF($J318&lt;&gt;"",$J318,$C$9))</f>
        <v/>
      </c>
      <c r="R318" s="12">
        <f>IF($D318="","",IFERROR(IF(INDEX(Profile!$G$5:$G$304,MATCH($D318,lst_Profil,0))&lt;&gt;"",INDEX(Profile!$G$5:$G$304,MATCH($D318,lst_Profil,0)),$H$4),$H$4))</f>
        <v/>
      </c>
      <c r="S318" s="12">
        <f>IF($D318="","",IFERROR(IF(INDEX(Profile!$H$5:$H$304,MATCH($D318,lst_Profil,0))&lt;&gt;"",INDEX(Profile!$H$5:$H$304,MATCH($D318,lst_Profil,0)),$H$5),$H$5))</f>
        <v/>
      </c>
      <c r="T318" s="16">
        <f>IF(OR(Q318="",NOT(ISNUMBER(R318)),NOT(ISNUMBER(S318))),"",Q318-R318-S318)</f>
        <v/>
      </c>
      <c r="U318" s="28">
        <f>IF(OR($D318="",$E318=""),"",IF(OR(N($AP318)&gt;0,COUNTIFS(Preise!$A$5:$A$304,$D318,Preise!$B$5:$B$304,$E318,Preise!$I$5:$I$304,"OK")&gt;0,N(INDEX(Werkstoffe!$G$5:$G$304,MATCH($E318,lst_Werkstoff,0)))&gt;0),"ja","nein"))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28">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Materialpreis",IF(AND($AQ318&lt;&gt;"",N($AR318)&gt;0,MOD($G318,$AR318)&lt;&gt;0),"WARNUNG: Stückzahl ist kein Vielfaches von Stück je Satz",IF($H318="","HINWEIS: Schneidweg fehlt",IF(V318="","HINWEIS: keine Schneiddaten",IF(AND($AF318&lt;&gt;"",$AG318=""),"HINWEIS: Gewinde-Vorschlag prüfen","OK")))))))))))))))</f>
        <v/>
      </c>
      <c r="X318" s="18">
        <f>IF(OR(O318="",$G318=""),"",O318*$G318)</f>
        <v/>
      </c>
      <c r="Y318" s="9" t="n"/>
      <c r="Z318" s="23" t="n"/>
      <c r="AA318" s="9" t="n"/>
      <c r="AB318" s="23" t="n"/>
      <c r="AC318" s="23" t="n"/>
      <c r="AD318" s="23" t="n"/>
      <c r="AE318" s="9" t="n"/>
      <c r="AF318" s="9" t="n"/>
      <c r="AG318" s="9" t="n"/>
      <c r="AH318" s="24" t="n"/>
      <c r="AI318" s="23" t="n"/>
      <c r="AJ318" s="24" t="n"/>
      <c r="AK318" s="23" t="n"/>
      <c r="AL318" s="24" t="n"/>
      <c r="AM318" s="23" t="n"/>
      <c r="AN318" s="28">
        <f>IF($D318="","",COUNTIFS(Stangenbelegung!$E$5:$E$10004,ROW()))</f>
        <v/>
      </c>
      <c r="AO318" s="28">
        <f>IF(OR($G318="",COUNTA(Stangenbelegung!$A$5:$A$10004)=0),"",$G318-AN318)</f>
        <v/>
      </c>
      <c r="AP318" s="29" t="n"/>
      <c r="AQ318" s="9" t="n"/>
      <c r="AR318" s="19" t="n"/>
    </row>
    <row r="319">
      <c r="A319" s="9" t="n"/>
      <c r="B319" s="9" t="n"/>
      <c r="C319" s="9" t="n"/>
      <c r="D319" s="9" t="n"/>
      <c r="E319" s="9" t="n"/>
      <c r="F319" s="23" t="n"/>
      <c r="G319" s="19" t="n"/>
      <c r="H319" s="23" t="n"/>
      <c r="I319" s="24" t="n"/>
      <c r="J319" s="19" t="n"/>
      <c r="K319" s="25">
        <f>IF($D319="","",IFERROR(INDEX(Profile!$B$5:$B$304,MATCH($D319,lst_Profil,0)),""))</f>
        <v/>
      </c>
      <c r="L319" s="13">
        <f>IF($D319="","",IFERROR(INDEX(Profile!$K$5:$K$304,MATCH($D319,lst_Profil,0))+0,""))</f>
        <v/>
      </c>
      <c r="M319" s="26">
        <f>IF($D319="","",IFERROR(INDEX(Profile!$E$5:$E$304,MATCH($D319,lst_Profil,0))+0,""))</f>
        <v/>
      </c>
      <c r="N319" s="27">
        <f>IF(OR(L319="",$E319=""),"",IFERROR(L319*INDEX(Werkstoffe!$E$5:$E$304,MATCH($E319,lst_Werkstoff,0))/1000,""))</f>
        <v/>
      </c>
      <c r="O319" s="27">
        <f>IF(OR(N319="",$F319=""),"",N319*$F319/1000)</f>
        <v/>
      </c>
      <c r="P319" s="16">
        <f>IF(OR($F319="",$G319=""),"",$F319*$G319)</f>
        <v/>
      </c>
      <c r="Q319" s="16">
        <f>IF($D319="","",IF($J319&lt;&gt;"",$J319,$C$9))</f>
        <v/>
      </c>
      <c r="R319" s="12">
        <f>IF($D319="","",IFERROR(IF(INDEX(Profile!$G$5:$G$304,MATCH($D319,lst_Profil,0))&lt;&gt;"",INDEX(Profile!$G$5:$G$304,MATCH($D319,lst_Profil,0)),$H$4),$H$4))</f>
        <v/>
      </c>
      <c r="S319" s="12">
        <f>IF($D319="","",IFERROR(IF(INDEX(Profile!$H$5:$H$304,MATCH($D319,lst_Profil,0))&lt;&gt;"",INDEX(Profile!$H$5:$H$304,MATCH($D319,lst_Profil,0)),$H$5),$H$5))</f>
        <v/>
      </c>
      <c r="T319" s="16">
        <f>IF(OR(Q319="",NOT(ISNUMBER(R319)),NOT(ISNUMBER(S319))),"",Q319-R319-S319)</f>
        <v/>
      </c>
      <c r="U319" s="28">
        <f>IF(OR($D319="",$E319=""),"",IF(OR(N($AP319)&gt;0,COUNTIFS(Preise!$A$5:$A$304,$D319,Preise!$B$5:$B$304,$E319,Preise!$I$5:$I$304,"OK")&gt;0,N(INDEX(Werkstoffe!$G$5:$G$304,MATCH($E319,lst_Werkstoff,0)))&gt;0),"ja","nein"))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28">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Materialpreis",IF(AND($AQ319&lt;&gt;"",N($AR319)&gt;0,MOD($G319,$AR319)&lt;&gt;0),"WARNUNG: Stückzahl ist kein Vielfaches von Stück je Satz",IF($H319="","HINWEIS: Schneidweg fehlt",IF(V319="","HINWEIS: keine Schneiddaten",IF(AND($AF319&lt;&gt;"",$AG319=""),"HINWEIS: Gewinde-Vorschlag prüfen","OK")))))))))))))))</f>
        <v/>
      </c>
      <c r="X319" s="18">
        <f>IF(OR(O319="",$G319=""),"",O319*$G319)</f>
        <v/>
      </c>
      <c r="Y319" s="9" t="n"/>
      <c r="Z319" s="23" t="n"/>
      <c r="AA319" s="9" t="n"/>
      <c r="AB319" s="23" t="n"/>
      <c r="AC319" s="23" t="n"/>
      <c r="AD319" s="23" t="n"/>
      <c r="AE319" s="9" t="n"/>
      <c r="AF319" s="9" t="n"/>
      <c r="AG319" s="9" t="n"/>
      <c r="AH319" s="24" t="n"/>
      <c r="AI319" s="23" t="n"/>
      <c r="AJ319" s="24" t="n"/>
      <c r="AK319" s="23" t="n"/>
      <c r="AL319" s="24" t="n"/>
      <c r="AM319" s="23" t="n"/>
      <c r="AN319" s="28">
        <f>IF($D319="","",COUNTIFS(Stangenbelegung!$E$5:$E$10004,ROW()))</f>
        <v/>
      </c>
      <c r="AO319" s="28">
        <f>IF(OR($G319="",COUNTA(Stangenbelegung!$A$5:$A$10004)=0),"",$G319-AN319)</f>
        <v/>
      </c>
      <c r="AP319" s="29" t="n"/>
      <c r="AQ319" s="9" t="n"/>
      <c r="AR319" s="19" t="n"/>
    </row>
    <row r="320">
      <c r="A320" s="9" t="n"/>
      <c r="B320" s="9" t="n"/>
      <c r="C320" s="9" t="n"/>
      <c r="D320" s="9" t="n"/>
      <c r="E320" s="9" t="n"/>
      <c r="F320" s="23" t="n"/>
      <c r="G320" s="19" t="n"/>
      <c r="H320" s="23" t="n"/>
      <c r="I320" s="24" t="n"/>
      <c r="J320" s="19" t="n"/>
      <c r="K320" s="25">
        <f>IF($D320="","",IFERROR(INDEX(Profile!$B$5:$B$304,MATCH($D320,lst_Profil,0)),""))</f>
        <v/>
      </c>
      <c r="L320" s="13">
        <f>IF($D320="","",IFERROR(INDEX(Profile!$K$5:$K$304,MATCH($D320,lst_Profil,0))+0,""))</f>
        <v/>
      </c>
      <c r="M320" s="26">
        <f>IF($D320="","",IFERROR(INDEX(Profile!$E$5:$E$304,MATCH($D320,lst_Profil,0))+0,""))</f>
        <v/>
      </c>
      <c r="N320" s="27">
        <f>IF(OR(L320="",$E320=""),"",IFERROR(L320*INDEX(Werkstoffe!$E$5:$E$304,MATCH($E320,lst_Werkstoff,0))/1000,""))</f>
        <v/>
      </c>
      <c r="O320" s="27">
        <f>IF(OR(N320="",$F320=""),"",N320*$F320/1000)</f>
        <v/>
      </c>
      <c r="P320" s="16">
        <f>IF(OR($F320="",$G320=""),"",$F320*$G320)</f>
        <v/>
      </c>
      <c r="Q320" s="16">
        <f>IF($D320="","",IF($J320&lt;&gt;"",$J320,$C$9))</f>
        <v/>
      </c>
      <c r="R320" s="12">
        <f>IF($D320="","",IFERROR(IF(INDEX(Profile!$G$5:$G$304,MATCH($D320,lst_Profil,0))&lt;&gt;"",INDEX(Profile!$G$5:$G$304,MATCH($D320,lst_Profil,0)),$H$4),$H$4))</f>
        <v/>
      </c>
      <c r="S320" s="12">
        <f>IF($D320="","",IFERROR(IF(INDEX(Profile!$H$5:$H$304,MATCH($D320,lst_Profil,0))&lt;&gt;"",INDEX(Profile!$H$5:$H$304,MATCH($D320,lst_Profil,0)),$H$5),$H$5))</f>
        <v/>
      </c>
      <c r="T320" s="16">
        <f>IF(OR(Q320="",NOT(ISNUMBER(R320)),NOT(ISNUMBER(S320))),"",Q320-R320-S320)</f>
        <v/>
      </c>
      <c r="U320" s="28">
        <f>IF(OR($D320="",$E320=""),"",IF(OR(N($AP320)&gt;0,COUNTIFS(Preise!$A$5:$A$304,$D320,Preise!$B$5:$B$304,$E320,Preise!$I$5:$I$304,"OK")&gt;0,N(INDEX(Werkstoffe!$G$5:$G$304,MATCH($E320,lst_Werkstoff,0)))&gt;0),"ja","nein"))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28">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Materialpreis",IF(AND($AQ320&lt;&gt;"",N($AR320)&gt;0,MOD($G320,$AR320)&lt;&gt;0),"WARNUNG: Stückzahl ist kein Vielfaches von Stück je Satz",IF($H320="","HINWEIS: Schneidweg fehlt",IF(V320="","HINWEIS: keine Schneiddaten",IF(AND($AF320&lt;&gt;"",$AG320=""),"HINWEIS: Gewinde-Vorschlag prüfen","OK")))))))))))))))</f>
        <v/>
      </c>
      <c r="X320" s="18">
        <f>IF(OR(O320="",$G320=""),"",O320*$G320)</f>
        <v/>
      </c>
      <c r="Y320" s="9" t="n"/>
      <c r="Z320" s="23" t="n"/>
      <c r="AA320" s="9" t="n"/>
      <c r="AB320" s="23" t="n"/>
      <c r="AC320" s="23" t="n"/>
      <c r="AD320" s="23" t="n"/>
      <c r="AE320" s="9" t="n"/>
      <c r="AF320" s="9" t="n"/>
      <c r="AG320" s="9" t="n"/>
      <c r="AH320" s="24" t="n"/>
      <c r="AI320" s="23" t="n"/>
      <c r="AJ320" s="24" t="n"/>
      <c r="AK320" s="23" t="n"/>
      <c r="AL320" s="24" t="n"/>
      <c r="AM320" s="23" t="n"/>
      <c r="AN320" s="28">
        <f>IF($D320="","",COUNTIFS(Stangenbelegung!$E$5:$E$10004,ROW()))</f>
        <v/>
      </c>
      <c r="AO320" s="28">
        <f>IF(OR($G320="",COUNTA(Stangenbelegung!$A$5:$A$10004)=0),"",$G320-AN320)</f>
        <v/>
      </c>
      <c r="AP320" s="29" t="n"/>
      <c r="AQ320" s="9" t="n"/>
      <c r="AR320" s="19" t="n"/>
    </row>
    <row r="321">
      <c r="A321" s="9" t="n"/>
      <c r="B321" s="9" t="n"/>
      <c r="C321" s="9" t="n"/>
      <c r="D321" s="9" t="n"/>
      <c r="E321" s="9" t="n"/>
      <c r="F321" s="23" t="n"/>
      <c r="G321" s="19" t="n"/>
      <c r="H321" s="23" t="n"/>
      <c r="I321" s="24" t="n"/>
      <c r="J321" s="19" t="n"/>
      <c r="K321" s="25">
        <f>IF($D321="","",IFERROR(INDEX(Profile!$B$5:$B$304,MATCH($D321,lst_Profil,0)),""))</f>
        <v/>
      </c>
      <c r="L321" s="13">
        <f>IF($D321="","",IFERROR(INDEX(Profile!$K$5:$K$304,MATCH($D321,lst_Profil,0))+0,""))</f>
        <v/>
      </c>
      <c r="M321" s="26">
        <f>IF($D321="","",IFERROR(INDEX(Profile!$E$5:$E$304,MATCH($D321,lst_Profil,0))+0,""))</f>
        <v/>
      </c>
      <c r="N321" s="27">
        <f>IF(OR(L321="",$E321=""),"",IFERROR(L321*INDEX(Werkstoffe!$E$5:$E$304,MATCH($E321,lst_Werkstoff,0))/1000,""))</f>
        <v/>
      </c>
      <c r="O321" s="27">
        <f>IF(OR(N321="",$F321=""),"",N321*$F321/1000)</f>
        <v/>
      </c>
      <c r="P321" s="16">
        <f>IF(OR($F321="",$G321=""),"",$F321*$G321)</f>
        <v/>
      </c>
      <c r="Q321" s="16">
        <f>IF($D321="","",IF($J321&lt;&gt;"",$J321,$C$9))</f>
        <v/>
      </c>
      <c r="R321" s="12">
        <f>IF($D321="","",IFERROR(IF(INDEX(Profile!$G$5:$G$304,MATCH($D321,lst_Profil,0))&lt;&gt;"",INDEX(Profile!$G$5:$G$304,MATCH($D321,lst_Profil,0)),$H$4),$H$4))</f>
        <v/>
      </c>
      <c r="S321" s="12">
        <f>IF($D321="","",IFERROR(IF(INDEX(Profile!$H$5:$H$304,MATCH($D321,lst_Profil,0))&lt;&gt;"",INDEX(Profile!$H$5:$H$304,MATCH($D321,lst_Profil,0)),$H$5),$H$5))</f>
        <v/>
      </c>
      <c r="T321" s="16">
        <f>IF(OR(Q321="",NOT(ISNUMBER(R321)),NOT(ISNUMBER(S321))),"",Q321-R321-S321)</f>
        <v/>
      </c>
      <c r="U321" s="28">
        <f>IF(OR($D321="",$E321=""),"",IF(OR(N($AP321)&gt;0,COUNTIFS(Preise!$A$5:$A$304,$D321,Preise!$B$5:$B$304,$E321,Preise!$I$5:$I$304,"OK")&gt;0,N(INDEX(Werkstoffe!$G$5:$G$304,MATCH($E321,lst_Werkstoff,0)))&gt;0),"ja","nein"))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28">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Materialpreis",IF(AND($AQ321&lt;&gt;"",N($AR321)&gt;0,MOD($G321,$AR321)&lt;&gt;0),"WARNUNG: Stückzahl ist kein Vielfaches von Stück je Satz",IF($H321="","HINWEIS: Schneidweg fehlt",IF(V321="","HINWEIS: keine Schneiddaten",IF(AND($AF321&lt;&gt;"",$AG321=""),"HINWEIS: Gewinde-Vorschlag prüfen","OK")))))))))))))))</f>
        <v/>
      </c>
      <c r="X321" s="18">
        <f>IF(OR(O321="",$G321=""),"",O321*$G321)</f>
        <v/>
      </c>
      <c r="Y321" s="9" t="n"/>
      <c r="Z321" s="23" t="n"/>
      <c r="AA321" s="9" t="n"/>
      <c r="AB321" s="23" t="n"/>
      <c r="AC321" s="23" t="n"/>
      <c r="AD321" s="23" t="n"/>
      <c r="AE321" s="9" t="n"/>
      <c r="AF321" s="9" t="n"/>
      <c r="AG321" s="9" t="n"/>
      <c r="AH321" s="24" t="n"/>
      <c r="AI321" s="23" t="n"/>
      <c r="AJ321" s="24" t="n"/>
      <c r="AK321" s="23" t="n"/>
      <c r="AL321" s="24" t="n"/>
      <c r="AM321" s="23" t="n"/>
      <c r="AN321" s="28">
        <f>IF($D321="","",COUNTIFS(Stangenbelegung!$E$5:$E$10004,ROW()))</f>
        <v/>
      </c>
      <c r="AO321" s="28">
        <f>IF(OR($G321="",COUNTA(Stangenbelegung!$A$5:$A$10004)=0),"",$G321-AN321)</f>
        <v/>
      </c>
      <c r="AP321" s="29" t="n"/>
      <c r="AQ321" s="9" t="n"/>
      <c r="AR321" s="19" t="n"/>
    </row>
    <row r="322">
      <c r="A322" s="9" t="n"/>
      <c r="B322" s="9" t="n"/>
      <c r="C322" s="9" t="n"/>
      <c r="D322" s="9" t="n"/>
      <c r="E322" s="9" t="n"/>
      <c r="F322" s="23" t="n"/>
      <c r="G322" s="19" t="n"/>
      <c r="H322" s="23" t="n"/>
      <c r="I322" s="24" t="n"/>
      <c r="J322" s="19" t="n"/>
      <c r="K322" s="25">
        <f>IF($D322="","",IFERROR(INDEX(Profile!$B$5:$B$304,MATCH($D322,lst_Profil,0)),""))</f>
        <v/>
      </c>
      <c r="L322" s="13">
        <f>IF($D322="","",IFERROR(INDEX(Profile!$K$5:$K$304,MATCH($D322,lst_Profil,0))+0,""))</f>
        <v/>
      </c>
      <c r="M322" s="26">
        <f>IF($D322="","",IFERROR(INDEX(Profile!$E$5:$E$304,MATCH($D322,lst_Profil,0))+0,""))</f>
        <v/>
      </c>
      <c r="N322" s="27">
        <f>IF(OR(L322="",$E322=""),"",IFERROR(L322*INDEX(Werkstoffe!$E$5:$E$304,MATCH($E322,lst_Werkstoff,0))/1000,""))</f>
        <v/>
      </c>
      <c r="O322" s="27">
        <f>IF(OR(N322="",$F322=""),"",N322*$F322/1000)</f>
        <v/>
      </c>
      <c r="P322" s="16">
        <f>IF(OR($F322="",$G322=""),"",$F322*$G322)</f>
        <v/>
      </c>
      <c r="Q322" s="16">
        <f>IF($D322="","",IF($J322&lt;&gt;"",$J322,$C$9))</f>
        <v/>
      </c>
      <c r="R322" s="12">
        <f>IF($D322="","",IFERROR(IF(INDEX(Profile!$G$5:$G$304,MATCH($D322,lst_Profil,0))&lt;&gt;"",INDEX(Profile!$G$5:$G$304,MATCH($D322,lst_Profil,0)),$H$4),$H$4))</f>
        <v/>
      </c>
      <c r="S322" s="12">
        <f>IF($D322="","",IFERROR(IF(INDEX(Profile!$H$5:$H$304,MATCH($D322,lst_Profil,0))&lt;&gt;"",INDEX(Profile!$H$5:$H$304,MATCH($D322,lst_Profil,0)),$H$5),$H$5))</f>
        <v/>
      </c>
      <c r="T322" s="16">
        <f>IF(OR(Q322="",NOT(ISNUMBER(R322)),NOT(ISNUMBER(S322))),"",Q322-R322-S322)</f>
        <v/>
      </c>
      <c r="U322" s="28">
        <f>IF(OR($D322="",$E322=""),"",IF(OR(N($AP322)&gt;0,COUNTIFS(Preise!$A$5:$A$304,$D322,Preise!$B$5:$B$304,$E322,Preise!$I$5:$I$304,"OK")&gt;0,N(INDEX(Werkstoffe!$G$5:$G$304,MATCH($E322,lst_Werkstoff,0)))&gt;0),"ja","nein"))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28">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Materialpreis",IF(AND($AQ322&lt;&gt;"",N($AR322)&gt;0,MOD($G322,$AR322)&lt;&gt;0),"WARNUNG: Stückzahl ist kein Vielfaches von Stück je Satz",IF($H322="","HINWEIS: Schneidweg fehlt",IF(V322="","HINWEIS: keine Schneiddaten",IF(AND($AF322&lt;&gt;"",$AG322=""),"HINWEIS: Gewinde-Vorschlag prüfen","OK")))))))))))))))</f>
        <v/>
      </c>
      <c r="X322" s="18">
        <f>IF(OR(O322="",$G322=""),"",O322*$G322)</f>
        <v/>
      </c>
      <c r="Y322" s="9" t="n"/>
      <c r="Z322" s="23" t="n"/>
      <c r="AA322" s="9" t="n"/>
      <c r="AB322" s="23" t="n"/>
      <c r="AC322" s="23" t="n"/>
      <c r="AD322" s="23" t="n"/>
      <c r="AE322" s="9" t="n"/>
      <c r="AF322" s="9" t="n"/>
      <c r="AG322" s="9" t="n"/>
      <c r="AH322" s="24" t="n"/>
      <c r="AI322" s="23" t="n"/>
      <c r="AJ322" s="24" t="n"/>
      <c r="AK322" s="23" t="n"/>
      <c r="AL322" s="24" t="n"/>
      <c r="AM322" s="23" t="n"/>
      <c r="AN322" s="28">
        <f>IF($D322="","",COUNTIFS(Stangenbelegung!$E$5:$E$10004,ROW()))</f>
        <v/>
      </c>
      <c r="AO322" s="28">
        <f>IF(OR($G322="",COUNTA(Stangenbelegung!$A$5:$A$10004)=0),"",$G322-AN322)</f>
        <v/>
      </c>
      <c r="AP322" s="29" t="n"/>
      <c r="AQ322" s="9" t="n"/>
      <c r="AR322" s="19" t="n"/>
    </row>
    <row r="323">
      <c r="A323" s="9" t="n"/>
      <c r="B323" s="9" t="n"/>
      <c r="C323" s="9" t="n"/>
      <c r="D323" s="9" t="n"/>
      <c r="E323" s="9" t="n"/>
      <c r="F323" s="23" t="n"/>
      <c r="G323" s="19" t="n"/>
      <c r="H323" s="23" t="n"/>
      <c r="I323" s="24" t="n"/>
      <c r="J323" s="19" t="n"/>
      <c r="K323" s="25">
        <f>IF($D323="","",IFERROR(INDEX(Profile!$B$5:$B$304,MATCH($D323,lst_Profil,0)),""))</f>
        <v/>
      </c>
      <c r="L323" s="13">
        <f>IF($D323="","",IFERROR(INDEX(Profile!$K$5:$K$304,MATCH($D323,lst_Profil,0))+0,""))</f>
        <v/>
      </c>
      <c r="M323" s="26">
        <f>IF($D323="","",IFERROR(INDEX(Profile!$E$5:$E$304,MATCH($D323,lst_Profil,0))+0,""))</f>
        <v/>
      </c>
      <c r="N323" s="27">
        <f>IF(OR(L323="",$E323=""),"",IFERROR(L323*INDEX(Werkstoffe!$E$5:$E$304,MATCH($E323,lst_Werkstoff,0))/1000,""))</f>
        <v/>
      </c>
      <c r="O323" s="27">
        <f>IF(OR(N323="",$F323=""),"",N323*$F323/1000)</f>
        <v/>
      </c>
      <c r="P323" s="16">
        <f>IF(OR($F323="",$G323=""),"",$F323*$G323)</f>
        <v/>
      </c>
      <c r="Q323" s="16">
        <f>IF($D323="","",IF($J323&lt;&gt;"",$J323,$C$9))</f>
        <v/>
      </c>
      <c r="R323" s="12">
        <f>IF($D323="","",IFERROR(IF(INDEX(Profile!$G$5:$G$304,MATCH($D323,lst_Profil,0))&lt;&gt;"",INDEX(Profile!$G$5:$G$304,MATCH($D323,lst_Profil,0)),$H$4),$H$4))</f>
        <v/>
      </c>
      <c r="S323" s="12">
        <f>IF($D323="","",IFERROR(IF(INDEX(Profile!$H$5:$H$304,MATCH($D323,lst_Profil,0))&lt;&gt;"",INDEX(Profile!$H$5:$H$304,MATCH($D323,lst_Profil,0)),$H$5),$H$5))</f>
        <v/>
      </c>
      <c r="T323" s="16">
        <f>IF(OR(Q323="",NOT(ISNUMBER(R323)),NOT(ISNUMBER(S323))),"",Q323-R323-S323)</f>
        <v/>
      </c>
      <c r="U323" s="28">
        <f>IF(OR($D323="",$E323=""),"",IF(OR(N($AP323)&gt;0,COUNTIFS(Preise!$A$5:$A$304,$D323,Preise!$B$5:$B$304,$E323,Preise!$I$5:$I$304,"OK")&gt;0,N(INDEX(Werkstoffe!$G$5:$G$304,MATCH($E323,lst_Werkstoff,0)))&gt;0),"ja","nein"))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28">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Materialpreis",IF(AND($AQ323&lt;&gt;"",N($AR323)&gt;0,MOD($G323,$AR323)&lt;&gt;0),"WARNUNG: Stückzahl ist kein Vielfaches von Stück je Satz",IF($H323="","HINWEIS: Schneidweg fehlt",IF(V323="","HINWEIS: keine Schneiddaten",IF(AND($AF323&lt;&gt;"",$AG323=""),"HINWEIS: Gewinde-Vorschlag prüfen","OK")))))))))))))))</f>
        <v/>
      </c>
      <c r="X323" s="18">
        <f>IF(OR(O323="",$G323=""),"",O323*$G323)</f>
        <v/>
      </c>
      <c r="Y323" s="9" t="n"/>
      <c r="Z323" s="23" t="n"/>
      <c r="AA323" s="9" t="n"/>
      <c r="AB323" s="23" t="n"/>
      <c r="AC323" s="23" t="n"/>
      <c r="AD323" s="23" t="n"/>
      <c r="AE323" s="9" t="n"/>
      <c r="AF323" s="9" t="n"/>
      <c r="AG323" s="9" t="n"/>
      <c r="AH323" s="24" t="n"/>
      <c r="AI323" s="23" t="n"/>
      <c r="AJ323" s="24" t="n"/>
      <c r="AK323" s="23" t="n"/>
      <c r="AL323" s="24" t="n"/>
      <c r="AM323" s="23" t="n"/>
      <c r="AN323" s="28">
        <f>IF($D323="","",COUNTIFS(Stangenbelegung!$E$5:$E$10004,ROW()))</f>
        <v/>
      </c>
      <c r="AO323" s="28">
        <f>IF(OR($G323="",COUNTA(Stangenbelegung!$A$5:$A$10004)=0),"",$G323-AN323)</f>
        <v/>
      </c>
      <c r="AP323" s="29" t="n"/>
      <c r="AQ323" s="9" t="n"/>
      <c r="AR323" s="19" t="n"/>
    </row>
    <row r="324">
      <c r="A324" s="9" t="n"/>
      <c r="B324" s="9" t="n"/>
      <c r="C324" s="9" t="n"/>
      <c r="D324" s="9" t="n"/>
      <c r="E324" s="9" t="n"/>
      <c r="F324" s="23" t="n"/>
      <c r="G324" s="19" t="n"/>
      <c r="H324" s="23" t="n"/>
      <c r="I324" s="24" t="n"/>
      <c r="J324" s="19" t="n"/>
      <c r="K324" s="25">
        <f>IF($D324="","",IFERROR(INDEX(Profile!$B$5:$B$304,MATCH($D324,lst_Profil,0)),""))</f>
        <v/>
      </c>
      <c r="L324" s="13">
        <f>IF($D324="","",IFERROR(INDEX(Profile!$K$5:$K$304,MATCH($D324,lst_Profil,0))+0,""))</f>
        <v/>
      </c>
      <c r="M324" s="26">
        <f>IF($D324="","",IFERROR(INDEX(Profile!$E$5:$E$304,MATCH($D324,lst_Profil,0))+0,""))</f>
        <v/>
      </c>
      <c r="N324" s="27">
        <f>IF(OR(L324="",$E324=""),"",IFERROR(L324*INDEX(Werkstoffe!$E$5:$E$304,MATCH($E324,lst_Werkstoff,0))/1000,""))</f>
        <v/>
      </c>
      <c r="O324" s="27">
        <f>IF(OR(N324="",$F324=""),"",N324*$F324/1000)</f>
        <v/>
      </c>
      <c r="P324" s="16">
        <f>IF(OR($F324="",$G324=""),"",$F324*$G324)</f>
        <v/>
      </c>
      <c r="Q324" s="16">
        <f>IF($D324="","",IF($J324&lt;&gt;"",$J324,$C$9))</f>
        <v/>
      </c>
      <c r="R324" s="12">
        <f>IF($D324="","",IFERROR(IF(INDEX(Profile!$G$5:$G$304,MATCH($D324,lst_Profil,0))&lt;&gt;"",INDEX(Profile!$G$5:$G$304,MATCH($D324,lst_Profil,0)),$H$4),$H$4))</f>
        <v/>
      </c>
      <c r="S324" s="12">
        <f>IF($D324="","",IFERROR(IF(INDEX(Profile!$H$5:$H$304,MATCH($D324,lst_Profil,0))&lt;&gt;"",INDEX(Profile!$H$5:$H$304,MATCH($D324,lst_Profil,0)),$H$5),$H$5))</f>
        <v/>
      </c>
      <c r="T324" s="16">
        <f>IF(OR(Q324="",NOT(ISNUMBER(R324)),NOT(ISNUMBER(S324))),"",Q324-R324-S324)</f>
        <v/>
      </c>
      <c r="U324" s="28">
        <f>IF(OR($D324="",$E324=""),"",IF(OR(N($AP324)&gt;0,COUNTIFS(Preise!$A$5:$A$304,$D324,Preise!$B$5:$B$304,$E324,Preise!$I$5:$I$304,"OK")&gt;0,N(INDEX(Werkstoffe!$G$5:$G$304,MATCH($E324,lst_Werkstoff,0)))&gt;0),"ja","nein"))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28">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Materialpreis",IF(AND($AQ324&lt;&gt;"",N($AR324)&gt;0,MOD($G324,$AR324)&lt;&gt;0),"WARNUNG: Stückzahl ist kein Vielfaches von Stück je Satz",IF($H324="","HINWEIS: Schneidweg fehlt",IF(V324="","HINWEIS: keine Schneiddaten",IF(AND($AF324&lt;&gt;"",$AG324=""),"HINWEIS: Gewinde-Vorschlag prüfen","OK")))))))))))))))</f>
        <v/>
      </c>
      <c r="X324" s="18">
        <f>IF(OR(O324="",$G324=""),"",O324*$G324)</f>
        <v/>
      </c>
      <c r="Y324" s="9" t="n"/>
      <c r="Z324" s="23" t="n"/>
      <c r="AA324" s="9" t="n"/>
      <c r="AB324" s="23" t="n"/>
      <c r="AC324" s="23" t="n"/>
      <c r="AD324" s="23" t="n"/>
      <c r="AE324" s="9" t="n"/>
      <c r="AF324" s="9" t="n"/>
      <c r="AG324" s="9" t="n"/>
      <c r="AH324" s="24" t="n"/>
      <c r="AI324" s="23" t="n"/>
      <c r="AJ324" s="24" t="n"/>
      <c r="AK324" s="23" t="n"/>
      <c r="AL324" s="24" t="n"/>
      <c r="AM324" s="23" t="n"/>
      <c r="AN324" s="28">
        <f>IF($D324="","",COUNTIFS(Stangenbelegung!$E$5:$E$10004,ROW()))</f>
        <v/>
      </c>
      <c r="AO324" s="28">
        <f>IF(OR($G324="",COUNTA(Stangenbelegung!$A$5:$A$10004)=0),"",$G324-AN324)</f>
        <v/>
      </c>
      <c r="AP324" s="29" t="n"/>
      <c r="AQ324" s="9" t="n"/>
      <c r="AR324" s="19" t="n"/>
    </row>
    <row r="325">
      <c r="A325" s="9" t="n"/>
      <c r="B325" s="9" t="n"/>
      <c r="C325" s="9" t="n"/>
      <c r="D325" s="9" t="n"/>
      <c r="E325" s="9" t="n"/>
      <c r="F325" s="23" t="n"/>
      <c r="G325" s="19" t="n"/>
      <c r="H325" s="23" t="n"/>
      <c r="I325" s="24" t="n"/>
      <c r="J325" s="19" t="n"/>
      <c r="K325" s="25">
        <f>IF($D325="","",IFERROR(INDEX(Profile!$B$5:$B$304,MATCH($D325,lst_Profil,0)),""))</f>
        <v/>
      </c>
      <c r="L325" s="13">
        <f>IF($D325="","",IFERROR(INDEX(Profile!$K$5:$K$304,MATCH($D325,lst_Profil,0))+0,""))</f>
        <v/>
      </c>
      <c r="M325" s="26">
        <f>IF($D325="","",IFERROR(INDEX(Profile!$E$5:$E$304,MATCH($D325,lst_Profil,0))+0,""))</f>
        <v/>
      </c>
      <c r="N325" s="27">
        <f>IF(OR(L325="",$E325=""),"",IFERROR(L325*INDEX(Werkstoffe!$E$5:$E$304,MATCH($E325,lst_Werkstoff,0))/1000,""))</f>
        <v/>
      </c>
      <c r="O325" s="27">
        <f>IF(OR(N325="",$F325=""),"",N325*$F325/1000)</f>
        <v/>
      </c>
      <c r="P325" s="16">
        <f>IF(OR($F325="",$G325=""),"",$F325*$G325)</f>
        <v/>
      </c>
      <c r="Q325" s="16">
        <f>IF($D325="","",IF($J325&lt;&gt;"",$J325,$C$9))</f>
        <v/>
      </c>
      <c r="R325" s="12">
        <f>IF($D325="","",IFERROR(IF(INDEX(Profile!$G$5:$G$304,MATCH($D325,lst_Profil,0))&lt;&gt;"",INDEX(Profile!$G$5:$G$304,MATCH($D325,lst_Profil,0)),$H$4),$H$4))</f>
        <v/>
      </c>
      <c r="S325" s="12">
        <f>IF($D325="","",IFERROR(IF(INDEX(Profile!$H$5:$H$304,MATCH($D325,lst_Profil,0))&lt;&gt;"",INDEX(Profile!$H$5:$H$304,MATCH($D325,lst_Profil,0)),$H$5),$H$5))</f>
        <v/>
      </c>
      <c r="T325" s="16">
        <f>IF(OR(Q325="",NOT(ISNUMBER(R325)),NOT(ISNUMBER(S325))),"",Q325-R325-S325)</f>
        <v/>
      </c>
      <c r="U325" s="28">
        <f>IF(OR($D325="",$E325=""),"",IF(OR(N($AP325)&gt;0,COUNTIFS(Preise!$A$5:$A$304,$D325,Preise!$B$5:$B$304,$E325,Preise!$I$5:$I$304,"OK")&gt;0,N(INDEX(Werkstoffe!$G$5:$G$304,MATCH($E325,lst_Werkstoff,0)))&gt;0),"ja","nein"))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28">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Materialpreis",IF(AND($AQ325&lt;&gt;"",N($AR325)&gt;0,MOD($G325,$AR325)&lt;&gt;0),"WARNUNG: Stückzahl ist kein Vielfaches von Stück je Satz",IF($H325="","HINWEIS: Schneidweg fehlt",IF(V325="","HINWEIS: keine Schneiddaten",IF(AND($AF325&lt;&gt;"",$AG325=""),"HINWEIS: Gewinde-Vorschlag prüfen","OK")))))))))))))))</f>
        <v/>
      </c>
      <c r="X325" s="18">
        <f>IF(OR(O325="",$G325=""),"",O325*$G325)</f>
        <v/>
      </c>
      <c r="Y325" s="9" t="n"/>
      <c r="Z325" s="23" t="n"/>
      <c r="AA325" s="9" t="n"/>
      <c r="AB325" s="23" t="n"/>
      <c r="AC325" s="23" t="n"/>
      <c r="AD325" s="23" t="n"/>
      <c r="AE325" s="9" t="n"/>
      <c r="AF325" s="9" t="n"/>
      <c r="AG325" s="9" t="n"/>
      <c r="AH325" s="24" t="n"/>
      <c r="AI325" s="23" t="n"/>
      <c r="AJ325" s="24" t="n"/>
      <c r="AK325" s="23" t="n"/>
      <c r="AL325" s="24" t="n"/>
      <c r="AM325" s="23" t="n"/>
      <c r="AN325" s="28">
        <f>IF($D325="","",COUNTIFS(Stangenbelegung!$E$5:$E$10004,ROW()))</f>
        <v/>
      </c>
      <c r="AO325" s="28">
        <f>IF(OR($G325="",COUNTA(Stangenbelegung!$A$5:$A$10004)=0),"",$G325-AN325)</f>
        <v/>
      </c>
      <c r="AP325" s="29" t="n"/>
      <c r="AQ325" s="9" t="n"/>
      <c r="AR325" s="19" t="n"/>
    </row>
    <row r="326">
      <c r="A326" s="9" t="n"/>
      <c r="B326" s="9" t="n"/>
      <c r="C326" s="9" t="n"/>
      <c r="D326" s="9" t="n"/>
      <c r="E326" s="9" t="n"/>
      <c r="F326" s="23" t="n"/>
      <c r="G326" s="19" t="n"/>
      <c r="H326" s="23" t="n"/>
      <c r="I326" s="24" t="n"/>
      <c r="J326" s="19" t="n"/>
      <c r="K326" s="25">
        <f>IF($D326="","",IFERROR(INDEX(Profile!$B$5:$B$304,MATCH($D326,lst_Profil,0)),""))</f>
        <v/>
      </c>
      <c r="L326" s="13">
        <f>IF($D326="","",IFERROR(INDEX(Profile!$K$5:$K$304,MATCH($D326,lst_Profil,0))+0,""))</f>
        <v/>
      </c>
      <c r="M326" s="26">
        <f>IF($D326="","",IFERROR(INDEX(Profile!$E$5:$E$304,MATCH($D326,lst_Profil,0))+0,""))</f>
        <v/>
      </c>
      <c r="N326" s="27">
        <f>IF(OR(L326="",$E326=""),"",IFERROR(L326*INDEX(Werkstoffe!$E$5:$E$304,MATCH($E326,lst_Werkstoff,0))/1000,""))</f>
        <v/>
      </c>
      <c r="O326" s="27">
        <f>IF(OR(N326="",$F326=""),"",N326*$F326/1000)</f>
        <v/>
      </c>
      <c r="P326" s="16">
        <f>IF(OR($F326="",$G326=""),"",$F326*$G326)</f>
        <v/>
      </c>
      <c r="Q326" s="16">
        <f>IF($D326="","",IF($J326&lt;&gt;"",$J326,$C$9))</f>
        <v/>
      </c>
      <c r="R326" s="12">
        <f>IF($D326="","",IFERROR(IF(INDEX(Profile!$G$5:$G$304,MATCH($D326,lst_Profil,0))&lt;&gt;"",INDEX(Profile!$G$5:$G$304,MATCH($D326,lst_Profil,0)),$H$4),$H$4))</f>
        <v/>
      </c>
      <c r="S326" s="12">
        <f>IF($D326="","",IFERROR(IF(INDEX(Profile!$H$5:$H$304,MATCH($D326,lst_Profil,0))&lt;&gt;"",INDEX(Profile!$H$5:$H$304,MATCH($D326,lst_Profil,0)),$H$5),$H$5))</f>
        <v/>
      </c>
      <c r="T326" s="16">
        <f>IF(OR(Q326="",NOT(ISNUMBER(R326)),NOT(ISNUMBER(S326))),"",Q326-R326-S326)</f>
        <v/>
      </c>
      <c r="U326" s="28">
        <f>IF(OR($D326="",$E326=""),"",IF(OR(N($AP326)&gt;0,COUNTIFS(Preise!$A$5:$A$304,$D326,Preise!$B$5:$B$304,$E326,Preise!$I$5:$I$304,"OK")&gt;0,N(INDEX(Werkstoffe!$G$5:$G$304,MATCH($E326,lst_Werkstoff,0)))&gt;0),"ja","nein"))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28">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Materialpreis",IF(AND($AQ326&lt;&gt;"",N($AR326)&gt;0,MOD($G326,$AR326)&lt;&gt;0),"WARNUNG: Stückzahl ist kein Vielfaches von Stück je Satz",IF($H326="","HINWEIS: Schneidweg fehlt",IF(V326="","HINWEIS: keine Schneiddaten",IF(AND($AF326&lt;&gt;"",$AG326=""),"HINWEIS: Gewinde-Vorschlag prüfen","OK")))))))))))))))</f>
        <v/>
      </c>
      <c r="X326" s="18">
        <f>IF(OR(O326="",$G326=""),"",O326*$G326)</f>
        <v/>
      </c>
      <c r="Y326" s="9" t="n"/>
      <c r="Z326" s="23" t="n"/>
      <c r="AA326" s="9" t="n"/>
      <c r="AB326" s="23" t="n"/>
      <c r="AC326" s="23" t="n"/>
      <c r="AD326" s="23" t="n"/>
      <c r="AE326" s="9" t="n"/>
      <c r="AF326" s="9" t="n"/>
      <c r="AG326" s="9" t="n"/>
      <c r="AH326" s="24" t="n"/>
      <c r="AI326" s="23" t="n"/>
      <c r="AJ326" s="24" t="n"/>
      <c r="AK326" s="23" t="n"/>
      <c r="AL326" s="24" t="n"/>
      <c r="AM326" s="23" t="n"/>
      <c r="AN326" s="28">
        <f>IF($D326="","",COUNTIFS(Stangenbelegung!$E$5:$E$10004,ROW()))</f>
        <v/>
      </c>
      <c r="AO326" s="28">
        <f>IF(OR($G326="",COUNTA(Stangenbelegung!$A$5:$A$10004)=0),"",$G326-AN326)</f>
        <v/>
      </c>
      <c r="AP326" s="29" t="n"/>
      <c r="AQ326" s="9" t="n"/>
      <c r="AR326" s="19" t="n"/>
    </row>
    <row r="327">
      <c r="A327" s="9" t="n"/>
      <c r="B327" s="9" t="n"/>
      <c r="C327" s="9" t="n"/>
      <c r="D327" s="9" t="n"/>
      <c r="E327" s="9" t="n"/>
      <c r="F327" s="23" t="n"/>
      <c r="G327" s="19" t="n"/>
      <c r="H327" s="23" t="n"/>
      <c r="I327" s="24" t="n"/>
      <c r="J327" s="19" t="n"/>
      <c r="K327" s="25">
        <f>IF($D327="","",IFERROR(INDEX(Profile!$B$5:$B$304,MATCH($D327,lst_Profil,0)),""))</f>
        <v/>
      </c>
      <c r="L327" s="13">
        <f>IF($D327="","",IFERROR(INDEX(Profile!$K$5:$K$304,MATCH($D327,lst_Profil,0))+0,""))</f>
        <v/>
      </c>
      <c r="M327" s="26">
        <f>IF($D327="","",IFERROR(INDEX(Profile!$E$5:$E$304,MATCH($D327,lst_Profil,0))+0,""))</f>
        <v/>
      </c>
      <c r="N327" s="27">
        <f>IF(OR(L327="",$E327=""),"",IFERROR(L327*INDEX(Werkstoffe!$E$5:$E$304,MATCH($E327,lst_Werkstoff,0))/1000,""))</f>
        <v/>
      </c>
      <c r="O327" s="27">
        <f>IF(OR(N327="",$F327=""),"",N327*$F327/1000)</f>
        <v/>
      </c>
      <c r="P327" s="16">
        <f>IF(OR($F327="",$G327=""),"",$F327*$G327)</f>
        <v/>
      </c>
      <c r="Q327" s="16">
        <f>IF($D327="","",IF($J327&lt;&gt;"",$J327,$C$9))</f>
        <v/>
      </c>
      <c r="R327" s="12">
        <f>IF($D327="","",IFERROR(IF(INDEX(Profile!$G$5:$G$304,MATCH($D327,lst_Profil,0))&lt;&gt;"",INDEX(Profile!$G$5:$G$304,MATCH($D327,lst_Profil,0)),$H$4),$H$4))</f>
        <v/>
      </c>
      <c r="S327" s="12">
        <f>IF($D327="","",IFERROR(IF(INDEX(Profile!$H$5:$H$304,MATCH($D327,lst_Profil,0))&lt;&gt;"",INDEX(Profile!$H$5:$H$304,MATCH($D327,lst_Profil,0)),$H$5),$H$5))</f>
        <v/>
      </c>
      <c r="T327" s="16">
        <f>IF(OR(Q327="",NOT(ISNUMBER(R327)),NOT(ISNUMBER(S327))),"",Q327-R327-S327)</f>
        <v/>
      </c>
      <c r="U327" s="28">
        <f>IF(OR($D327="",$E327=""),"",IF(OR(N($AP327)&gt;0,COUNTIFS(Preise!$A$5:$A$304,$D327,Preise!$B$5:$B$304,$E327,Preise!$I$5:$I$304,"OK")&gt;0,N(INDEX(Werkstoffe!$G$5:$G$304,MATCH($E327,lst_Werkstoff,0)))&gt;0),"ja","nein"))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28">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Materialpreis",IF(AND($AQ327&lt;&gt;"",N($AR327)&gt;0,MOD($G327,$AR327)&lt;&gt;0),"WARNUNG: Stückzahl ist kein Vielfaches von Stück je Satz",IF($H327="","HINWEIS: Schneidweg fehlt",IF(V327="","HINWEIS: keine Schneiddaten",IF(AND($AF327&lt;&gt;"",$AG327=""),"HINWEIS: Gewinde-Vorschlag prüfen","OK")))))))))))))))</f>
        <v/>
      </c>
      <c r="X327" s="18">
        <f>IF(OR(O327="",$G327=""),"",O327*$G327)</f>
        <v/>
      </c>
      <c r="Y327" s="9" t="n"/>
      <c r="Z327" s="23" t="n"/>
      <c r="AA327" s="9" t="n"/>
      <c r="AB327" s="23" t="n"/>
      <c r="AC327" s="23" t="n"/>
      <c r="AD327" s="23" t="n"/>
      <c r="AE327" s="9" t="n"/>
      <c r="AF327" s="9" t="n"/>
      <c r="AG327" s="9" t="n"/>
      <c r="AH327" s="24" t="n"/>
      <c r="AI327" s="23" t="n"/>
      <c r="AJ327" s="24" t="n"/>
      <c r="AK327" s="23" t="n"/>
      <c r="AL327" s="24" t="n"/>
      <c r="AM327" s="23" t="n"/>
      <c r="AN327" s="28">
        <f>IF($D327="","",COUNTIFS(Stangenbelegung!$E$5:$E$10004,ROW()))</f>
        <v/>
      </c>
      <c r="AO327" s="28">
        <f>IF(OR($G327="",COUNTA(Stangenbelegung!$A$5:$A$10004)=0),"",$G327-AN327)</f>
        <v/>
      </c>
      <c r="AP327" s="29" t="n"/>
      <c r="AQ327" s="9" t="n"/>
      <c r="AR327" s="19" t="n"/>
    </row>
    <row r="328">
      <c r="A328" s="9" t="n"/>
      <c r="B328" s="9" t="n"/>
      <c r="C328" s="9" t="n"/>
      <c r="D328" s="9" t="n"/>
      <c r="E328" s="9" t="n"/>
      <c r="F328" s="23" t="n"/>
      <c r="G328" s="19" t="n"/>
      <c r="H328" s="23" t="n"/>
      <c r="I328" s="24" t="n"/>
      <c r="J328" s="19" t="n"/>
      <c r="K328" s="25">
        <f>IF($D328="","",IFERROR(INDEX(Profile!$B$5:$B$304,MATCH($D328,lst_Profil,0)),""))</f>
        <v/>
      </c>
      <c r="L328" s="13">
        <f>IF($D328="","",IFERROR(INDEX(Profile!$K$5:$K$304,MATCH($D328,lst_Profil,0))+0,""))</f>
        <v/>
      </c>
      <c r="M328" s="26">
        <f>IF($D328="","",IFERROR(INDEX(Profile!$E$5:$E$304,MATCH($D328,lst_Profil,0))+0,""))</f>
        <v/>
      </c>
      <c r="N328" s="27">
        <f>IF(OR(L328="",$E328=""),"",IFERROR(L328*INDEX(Werkstoffe!$E$5:$E$304,MATCH($E328,lst_Werkstoff,0))/1000,""))</f>
        <v/>
      </c>
      <c r="O328" s="27">
        <f>IF(OR(N328="",$F328=""),"",N328*$F328/1000)</f>
        <v/>
      </c>
      <c r="P328" s="16">
        <f>IF(OR($F328="",$G328=""),"",$F328*$G328)</f>
        <v/>
      </c>
      <c r="Q328" s="16">
        <f>IF($D328="","",IF($J328&lt;&gt;"",$J328,$C$9))</f>
        <v/>
      </c>
      <c r="R328" s="12">
        <f>IF($D328="","",IFERROR(IF(INDEX(Profile!$G$5:$G$304,MATCH($D328,lst_Profil,0))&lt;&gt;"",INDEX(Profile!$G$5:$G$304,MATCH($D328,lst_Profil,0)),$H$4),$H$4))</f>
        <v/>
      </c>
      <c r="S328" s="12">
        <f>IF($D328="","",IFERROR(IF(INDEX(Profile!$H$5:$H$304,MATCH($D328,lst_Profil,0))&lt;&gt;"",INDEX(Profile!$H$5:$H$304,MATCH($D328,lst_Profil,0)),$H$5),$H$5))</f>
        <v/>
      </c>
      <c r="T328" s="16">
        <f>IF(OR(Q328="",NOT(ISNUMBER(R328)),NOT(ISNUMBER(S328))),"",Q328-R328-S328)</f>
        <v/>
      </c>
      <c r="U328" s="28">
        <f>IF(OR($D328="",$E328=""),"",IF(OR(N($AP328)&gt;0,COUNTIFS(Preise!$A$5:$A$304,$D328,Preise!$B$5:$B$304,$E328,Preise!$I$5:$I$304,"OK")&gt;0,N(INDEX(Werkstoffe!$G$5:$G$304,MATCH($E328,lst_Werkstoff,0)))&gt;0),"ja","nein"))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28">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Materialpreis",IF(AND($AQ328&lt;&gt;"",N($AR328)&gt;0,MOD($G328,$AR328)&lt;&gt;0),"WARNUNG: Stückzahl ist kein Vielfaches von Stück je Satz",IF($H328="","HINWEIS: Schneidweg fehlt",IF(V328="","HINWEIS: keine Schneiddaten",IF(AND($AF328&lt;&gt;"",$AG328=""),"HINWEIS: Gewinde-Vorschlag prüfen","OK")))))))))))))))</f>
        <v/>
      </c>
      <c r="X328" s="18">
        <f>IF(OR(O328="",$G328=""),"",O328*$G328)</f>
        <v/>
      </c>
      <c r="Y328" s="9" t="n"/>
      <c r="Z328" s="23" t="n"/>
      <c r="AA328" s="9" t="n"/>
      <c r="AB328" s="23" t="n"/>
      <c r="AC328" s="23" t="n"/>
      <c r="AD328" s="23" t="n"/>
      <c r="AE328" s="9" t="n"/>
      <c r="AF328" s="9" t="n"/>
      <c r="AG328" s="9" t="n"/>
      <c r="AH328" s="24" t="n"/>
      <c r="AI328" s="23" t="n"/>
      <c r="AJ328" s="24" t="n"/>
      <c r="AK328" s="23" t="n"/>
      <c r="AL328" s="24" t="n"/>
      <c r="AM328" s="23" t="n"/>
      <c r="AN328" s="28">
        <f>IF($D328="","",COUNTIFS(Stangenbelegung!$E$5:$E$10004,ROW()))</f>
        <v/>
      </c>
      <c r="AO328" s="28">
        <f>IF(OR($G328="",COUNTA(Stangenbelegung!$A$5:$A$10004)=0),"",$G328-AN328)</f>
        <v/>
      </c>
      <c r="AP328" s="29" t="n"/>
      <c r="AQ328" s="9" t="n"/>
      <c r="AR328" s="19" t="n"/>
    </row>
    <row r="329">
      <c r="A329" s="9" t="n"/>
      <c r="B329" s="9" t="n"/>
      <c r="C329" s="9" t="n"/>
      <c r="D329" s="9" t="n"/>
      <c r="E329" s="9" t="n"/>
      <c r="F329" s="23" t="n"/>
      <c r="G329" s="19" t="n"/>
      <c r="H329" s="23" t="n"/>
      <c r="I329" s="24" t="n"/>
      <c r="J329" s="19" t="n"/>
      <c r="K329" s="25">
        <f>IF($D329="","",IFERROR(INDEX(Profile!$B$5:$B$304,MATCH($D329,lst_Profil,0)),""))</f>
        <v/>
      </c>
      <c r="L329" s="13">
        <f>IF($D329="","",IFERROR(INDEX(Profile!$K$5:$K$304,MATCH($D329,lst_Profil,0))+0,""))</f>
        <v/>
      </c>
      <c r="M329" s="26">
        <f>IF($D329="","",IFERROR(INDEX(Profile!$E$5:$E$304,MATCH($D329,lst_Profil,0))+0,""))</f>
        <v/>
      </c>
      <c r="N329" s="27">
        <f>IF(OR(L329="",$E329=""),"",IFERROR(L329*INDEX(Werkstoffe!$E$5:$E$304,MATCH($E329,lst_Werkstoff,0))/1000,""))</f>
        <v/>
      </c>
      <c r="O329" s="27">
        <f>IF(OR(N329="",$F329=""),"",N329*$F329/1000)</f>
        <v/>
      </c>
      <c r="P329" s="16">
        <f>IF(OR($F329="",$G329=""),"",$F329*$G329)</f>
        <v/>
      </c>
      <c r="Q329" s="16">
        <f>IF($D329="","",IF($J329&lt;&gt;"",$J329,$C$9))</f>
        <v/>
      </c>
      <c r="R329" s="12">
        <f>IF($D329="","",IFERROR(IF(INDEX(Profile!$G$5:$G$304,MATCH($D329,lst_Profil,0))&lt;&gt;"",INDEX(Profile!$G$5:$G$304,MATCH($D329,lst_Profil,0)),$H$4),$H$4))</f>
        <v/>
      </c>
      <c r="S329" s="12">
        <f>IF($D329="","",IFERROR(IF(INDEX(Profile!$H$5:$H$304,MATCH($D329,lst_Profil,0))&lt;&gt;"",INDEX(Profile!$H$5:$H$304,MATCH($D329,lst_Profil,0)),$H$5),$H$5))</f>
        <v/>
      </c>
      <c r="T329" s="16">
        <f>IF(OR(Q329="",NOT(ISNUMBER(R329)),NOT(ISNUMBER(S329))),"",Q329-R329-S329)</f>
        <v/>
      </c>
      <c r="U329" s="28">
        <f>IF(OR($D329="",$E329=""),"",IF(OR(N($AP329)&gt;0,COUNTIFS(Preise!$A$5:$A$304,$D329,Preise!$B$5:$B$304,$E329,Preise!$I$5:$I$304,"OK")&gt;0,N(INDEX(Werkstoffe!$G$5:$G$304,MATCH($E329,lst_Werkstoff,0)))&gt;0),"ja","nein"))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28">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Materialpreis",IF(AND($AQ329&lt;&gt;"",N($AR329)&gt;0,MOD($G329,$AR329)&lt;&gt;0),"WARNUNG: Stückzahl ist kein Vielfaches von Stück je Satz",IF($H329="","HINWEIS: Schneidweg fehlt",IF(V329="","HINWEIS: keine Schneiddaten",IF(AND($AF329&lt;&gt;"",$AG329=""),"HINWEIS: Gewinde-Vorschlag prüfen","OK")))))))))))))))</f>
        <v/>
      </c>
      <c r="X329" s="18">
        <f>IF(OR(O329="",$G329=""),"",O329*$G329)</f>
        <v/>
      </c>
      <c r="Y329" s="9" t="n"/>
      <c r="Z329" s="23" t="n"/>
      <c r="AA329" s="9" t="n"/>
      <c r="AB329" s="23" t="n"/>
      <c r="AC329" s="23" t="n"/>
      <c r="AD329" s="23" t="n"/>
      <c r="AE329" s="9" t="n"/>
      <c r="AF329" s="9" t="n"/>
      <c r="AG329" s="9" t="n"/>
      <c r="AH329" s="24" t="n"/>
      <c r="AI329" s="23" t="n"/>
      <c r="AJ329" s="24" t="n"/>
      <c r="AK329" s="23" t="n"/>
      <c r="AL329" s="24" t="n"/>
      <c r="AM329" s="23" t="n"/>
      <c r="AN329" s="28">
        <f>IF($D329="","",COUNTIFS(Stangenbelegung!$E$5:$E$10004,ROW()))</f>
        <v/>
      </c>
      <c r="AO329" s="28">
        <f>IF(OR($G329="",COUNTA(Stangenbelegung!$A$5:$A$10004)=0),"",$G329-AN329)</f>
        <v/>
      </c>
      <c r="AP329" s="29" t="n"/>
      <c r="AQ329" s="9" t="n"/>
      <c r="AR329" s="19" t="n"/>
    </row>
    <row r="330">
      <c r="A330" s="9" t="n"/>
      <c r="B330" s="9" t="n"/>
      <c r="C330" s="9" t="n"/>
      <c r="D330" s="9" t="n"/>
      <c r="E330" s="9" t="n"/>
      <c r="F330" s="23" t="n"/>
      <c r="G330" s="19" t="n"/>
      <c r="H330" s="23" t="n"/>
      <c r="I330" s="24" t="n"/>
      <c r="J330" s="19" t="n"/>
      <c r="K330" s="25">
        <f>IF($D330="","",IFERROR(INDEX(Profile!$B$5:$B$304,MATCH($D330,lst_Profil,0)),""))</f>
        <v/>
      </c>
      <c r="L330" s="13">
        <f>IF($D330="","",IFERROR(INDEX(Profile!$K$5:$K$304,MATCH($D330,lst_Profil,0))+0,""))</f>
        <v/>
      </c>
      <c r="M330" s="26">
        <f>IF($D330="","",IFERROR(INDEX(Profile!$E$5:$E$304,MATCH($D330,lst_Profil,0))+0,""))</f>
        <v/>
      </c>
      <c r="N330" s="27">
        <f>IF(OR(L330="",$E330=""),"",IFERROR(L330*INDEX(Werkstoffe!$E$5:$E$304,MATCH($E330,lst_Werkstoff,0))/1000,""))</f>
        <v/>
      </c>
      <c r="O330" s="27">
        <f>IF(OR(N330="",$F330=""),"",N330*$F330/1000)</f>
        <v/>
      </c>
      <c r="P330" s="16">
        <f>IF(OR($F330="",$G330=""),"",$F330*$G330)</f>
        <v/>
      </c>
      <c r="Q330" s="16">
        <f>IF($D330="","",IF($J330&lt;&gt;"",$J330,$C$9))</f>
        <v/>
      </c>
      <c r="R330" s="12">
        <f>IF($D330="","",IFERROR(IF(INDEX(Profile!$G$5:$G$304,MATCH($D330,lst_Profil,0))&lt;&gt;"",INDEX(Profile!$G$5:$G$304,MATCH($D330,lst_Profil,0)),$H$4),$H$4))</f>
        <v/>
      </c>
      <c r="S330" s="12">
        <f>IF($D330="","",IFERROR(IF(INDEX(Profile!$H$5:$H$304,MATCH($D330,lst_Profil,0))&lt;&gt;"",INDEX(Profile!$H$5:$H$304,MATCH($D330,lst_Profil,0)),$H$5),$H$5))</f>
        <v/>
      </c>
      <c r="T330" s="16">
        <f>IF(OR(Q330="",NOT(ISNUMBER(R330)),NOT(ISNUMBER(S330))),"",Q330-R330-S330)</f>
        <v/>
      </c>
      <c r="U330" s="28">
        <f>IF(OR($D330="",$E330=""),"",IF(OR(N($AP330)&gt;0,COUNTIFS(Preise!$A$5:$A$304,$D330,Preise!$B$5:$B$304,$E330,Preise!$I$5:$I$304,"OK")&gt;0,N(INDEX(Werkstoffe!$G$5:$G$304,MATCH($E330,lst_Werkstoff,0)))&gt;0),"ja","nein"))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28">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Materialpreis",IF(AND($AQ330&lt;&gt;"",N($AR330)&gt;0,MOD($G330,$AR330)&lt;&gt;0),"WARNUNG: Stückzahl ist kein Vielfaches von Stück je Satz",IF($H330="","HINWEIS: Schneidweg fehlt",IF(V330="","HINWEIS: keine Schneiddaten",IF(AND($AF330&lt;&gt;"",$AG330=""),"HINWEIS: Gewinde-Vorschlag prüfen","OK")))))))))))))))</f>
        <v/>
      </c>
      <c r="X330" s="18">
        <f>IF(OR(O330="",$G330=""),"",O330*$G330)</f>
        <v/>
      </c>
      <c r="Y330" s="9" t="n"/>
      <c r="Z330" s="23" t="n"/>
      <c r="AA330" s="9" t="n"/>
      <c r="AB330" s="23" t="n"/>
      <c r="AC330" s="23" t="n"/>
      <c r="AD330" s="23" t="n"/>
      <c r="AE330" s="9" t="n"/>
      <c r="AF330" s="9" t="n"/>
      <c r="AG330" s="9" t="n"/>
      <c r="AH330" s="24" t="n"/>
      <c r="AI330" s="23" t="n"/>
      <c r="AJ330" s="24" t="n"/>
      <c r="AK330" s="23" t="n"/>
      <c r="AL330" s="24" t="n"/>
      <c r="AM330" s="23" t="n"/>
      <c r="AN330" s="28">
        <f>IF($D330="","",COUNTIFS(Stangenbelegung!$E$5:$E$10004,ROW()))</f>
        <v/>
      </c>
      <c r="AO330" s="28">
        <f>IF(OR($G330="",COUNTA(Stangenbelegung!$A$5:$A$10004)=0),"",$G330-AN330)</f>
        <v/>
      </c>
      <c r="AP330" s="29" t="n"/>
      <c r="AQ330" s="9" t="n"/>
      <c r="AR330" s="19" t="n"/>
    </row>
    <row r="331">
      <c r="A331" s="9" t="n"/>
      <c r="B331" s="9" t="n"/>
      <c r="C331" s="9" t="n"/>
      <c r="D331" s="9" t="n"/>
      <c r="E331" s="9" t="n"/>
      <c r="F331" s="23" t="n"/>
      <c r="G331" s="19" t="n"/>
      <c r="H331" s="23" t="n"/>
      <c r="I331" s="24" t="n"/>
      <c r="J331" s="19" t="n"/>
      <c r="K331" s="25">
        <f>IF($D331="","",IFERROR(INDEX(Profile!$B$5:$B$304,MATCH($D331,lst_Profil,0)),""))</f>
        <v/>
      </c>
      <c r="L331" s="13">
        <f>IF($D331="","",IFERROR(INDEX(Profile!$K$5:$K$304,MATCH($D331,lst_Profil,0))+0,""))</f>
        <v/>
      </c>
      <c r="M331" s="26">
        <f>IF($D331="","",IFERROR(INDEX(Profile!$E$5:$E$304,MATCH($D331,lst_Profil,0))+0,""))</f>
        <v/>
      </c>
      <c r="N331" s="27">
        <f>IF(OR(L331="",$E331=""),"",IFERROR(L331*INDEX(Werkstoffe!$E$5:$E$304,MATCH($E331,lst_Werkstoff,0))/1000,""))</f>
        <v/>
      </c>
      <c r="O331" s="27">
        <f>IF(OR(N331="",$F331=""),"",N331*$F331/1000)</f>
        <v/>
      </c>
      <c r="P331" s="16">
        <f>IF(OR($F331="",$G331=""),"",$F331*$G331)</f>
        <v/>
      </c>
      <c r="Q331" s="16">
        <f>IF($D331="","",IF($J331&lt;&gt;"",$J331,$C$9))</f>
        <v/>
      </c>
      <c r="R331" s="12">
        <f>IF($D331="","",IFERROR(IF(INDEX(Profile!$G$5:$G$304,MATCH($D331,lst_Profil,0))&lt;&gt;"",INDEX(Profile!$G$5:$G$304,MATCH($D331,lst_Profil,0)),$H$4),$H$4))</f>
        <v/>
      </c>
      <c r="S331" s="12">
        <f>IF($D331="","",IFERROR(IF(INDEX(Profile!$H$5:$H$304,MATCH($D331,lst_Profil,0))&lt;&gt;"",INDEX(Profile!$H$5:$H$304,MATCH($D331,lst_Profil,0)),$H$5),$H$5))</f>
        <v/>
      </c>
      <c r="T331" s="16">
        <f>IF(OR(Q331="",NOT(ISNUMBER(R331)),NOT(ISNUMBER(S331))),"",Q331-R331-S331)</f>
        <v/>
      </c>
      <c r="U331" s="28">
        <f>IF(OR($D331="",$E331=""),"",IF(OR(N($AP331)&gt;0,COUNTIFS(Preise!$A$5:$A$304,$D331,Preise!$B$5:$B$304,$E331,Preise!$I$5:$I$304,"OK")&gt;0,N(INDEX(Werkstoffe!$G$5:$G$304,MATCH($E331,lst_Werkstoff,0)))&gt;0),"ja","nein"))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28">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Materialpreis",IF(AND($AQ331&lt;&gt;"",N($AR331)&gt;0,MOD($G331,$AR331)&lt;&gt;0),"WARNUNG: Stückzahl ist kein Vielfaches von Stück je Satz",IF($H331="","HINWEIS: Schneidweg fehlt",IF(V331="","HINWEIS: keine Schneiddaten",IF(AND($AF331&lt;&gt;"",$AG331=""),"HINWEIS: Gewinde-Vorschlag prüfen","OK")))))))))))))))</f>
        <v/>
      </c>
      <c r="X331" s="18">
        <f>IF(OR(O331="",$G331=""),"",O331*$G331)</f>
        <v/>
      </c>
      <c r="Y331" s="9" t="n"/>
      <c r="Z331" s="23" t="n"/>
      <c r="AA331" s="9" t="n"/>
      <c r="AB331" s="23" t="n"/>
      <c r="AC331" s="23" t="n"/>
      <c r="AD331" s="23" t="n"/>
      <c r="AE331" s="9" t="n"/>
      <c r="AF331" s="9" t="n"/>
      <c r="AG331" s="9" t="n"/>
      <c r="AH331" s="24" t="n"/>
      <c r="AI331" s="23" t="n"/>
      <c r="AJ331" s="24" t="n"/>
      <c r="AK331" s="23" t="n"/>
      <c r="AL331" s="24" t="n"/>
      <c r="AM331" s="23" t="n"/>
      <c r="AN331" s="28">
        <f>IF($D331="","",COUNTIFS(Stangenbelegung!$E$5:$E$10004,ROW()))</f>
        <v/>
      </c>
      <c r="AO331" s="28">
        <f>IF(OR($G331="",COUNTA(Stangenbelegung!$A$5:$A$10004)=0),"",$G331-AN331)</f>
        <v/>
      </c>
      <c r="AP331" s="29" t="n"/>
      <c r="AQ331" s="9" t="n"/>
      <c r="AR331" s="19" t="n"/>
    </row>
    <row r="332">
      <c r="A332" s="9" t="n"/>
      <c r="B332" s="9" t="n"/>
      <c r="C332" s="9" t="n"/>
      <c r="D332" s="9" t="n"/>
      <c r="E332" s="9" t="n"/>
      <c r="F332" s="23" t="n"/>
      <c r="G332" s="19" t="n"/>
      <c r="H332" s="23" t="n"/>
      <c r="I332" s="24" t="n"/>
      <c r="J332" s="19" t="n"/>
      <c r="K332" s="25">
        <f>IF($D332="","",IFERROR(INDEX(Profile!$B$5:$B$304,MATCH($D332,lst_Profil,0)),""))</f>
        <v/>
      </c>
      <c r="L332" s="13">
        <f>IF($D332="","",IFERROR(INDEX(Profile!$K$5:$K$304,MATCH($D332,lst_Profil,0))+0,""))</f>
        <v/>
      </c>
      <c r="M332" s="26">
        <f>IF($D332="","",IFERROR(INDEX(Profile!$E$5:$E$304,MATCH($D332,lst_Profil,0))+0,""))</f>
        <v/>
      </c>
      <c r="N332" s="27">
        <f>IF(OR(L332="",$E332=""),"",IFERROR(L332*INDEX(Werkstoffe!$E$5:$E$304,MATCH($E332,lst_Werkstoff,0))/1000,""))</f>
        <v/>
      </c>
      <c r="O332" s="27">
        <f>IF(OR(N332="",$F332=""),"",N332*$F332/1000)</f>
        <v/>
      </c>
      <c r="P332" s="16">
        <f>IF(OR($F332="",$G332=""),"",$F332*$G332)</f>
        <v/>
      </c>
      <c r="Q332" s="16">
        <f>IF($D332="","",IF($J332&lt;&gt;"",$J332,$C$9))</f>
        <v/>
      </c>
      <c r="R332" s="12">
        <f>IF($D332="","",IFERROR(IF(INDEX(Profile!$G$5:$G$304,MATCH($D332,lst_Profil,0))&lt;&gt;"",INDEX(Profile!$G$5:$G$304,MATCH($D332,lst_Profil,0)),$H$4),$H$4))</f>
        <v/>
      </c>
      <c r="S332" s="12">
        <f>IF($D332="","",IFERROR(IF(INDEX(Profile!$H$5:$H$304,MATCH($D332,lst_Profil,0))&lt;&gt;"",INDEX(Profile!$H$5:$H$304,MATCH($D332,lst_Profil,0)),$H$5),$H$5))</f>
        <v/>
      </c>
      <c r="T332" s="16">
        <f>IF(OR(Q332="",NOT(ISNUMBER(R332)),NOT(ISNUMBER(S332))),"",Q332-R332-S332)</f>
        <v/>
      </c>
      <c r="U332" s="28">
        <f>IF(OR($D332="",$E332=""),"",IF(OR(N($AP332)&gt;0,COUNTIFS(Preise!$A$5:$A$304,$D332,Preise!$B$5:$B$304,$E332,Preise!$I$5:$I$304,"OK")&gt;0,N(INDEX(Werkstoffe!$G$5:$G$304,MATCH($E332,lst_Werkstoff,0)))&gt;0),"ja","nein"))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28">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Materialpreis",IF(AND($AQ332&lt;&gt;"",N($AR332)&gt;0,MOD($G332,$AR332)&lt;&gt;0),"WARNUNG: Stückzahl ist kein Vielfaches von Stück je Satz",IF($H332="","HINWEIS: Schneidweg fehlt",IF(V332="","HINWEIS: keine Schneiddaten",IF(AND($AF332&lt;&gt;"",$AG332=""),"HINWEIS: Gewinde-Vorschlag prüfen","OK")))))))))))))))</f>
        <v/>
      </c>
      <c r="X332" s="18">
        <f>IF(OR(O332="",$G332=""),"",O332*$G332)</f>
        <v/>
      </c>
      <c r="Y332" s="9" t="n"/>
      <c r="Z332" s="23" t="n"/>
      <c r="AA332" s="9" t="n"/>
      <c r="AB332" s="23" t="n"/>
      <c r="AC332" s="23" t="n"/>
      <c r="AD332" s="23" t="n"/>
      <c r="AE332" s="9" t="n"/>
      <c r="AF332" s="9" t="n"/>
      <c r="AG332" s="9" t="n"/>
      <c r="AH332" s="24" t="n"/>
      <c r="AI332" s="23" t="n"/>
      <c r="AJ332" s="24" t="n"/>
      <c r="AK332" s="23" t="n"/>
      <c r="AL332" s="24" t="n"/>
      <c r="AM332" s="23" t="n"/>
      <c r="AN332" s="28">
        <f>IF($D332="","",COUNTIFS(Stangenbelegung!$E$5:$E$10004,ROW()))</f>
        <v/>
      </c>
      <c r="AO332" s="28">
        <f>IF(OR($G332="",COUNTA(Stangenbelegung!$A$5:$A$10004)=0),"",$G332-AN332)</f>
        <v/>
      </c>
      <c r="AP332" s="29" t="n"/>
      <c r="AQ332" s="9" t="n"/>
      <c r="AR332" s="19" t="n"/>
    </row>
    <row r="333">
      <c r="A333" s="9" t="n"/>
      <c r="B333" s="9" t="n"/>
      <c r="C333" s="9" t="n"/>
      <c r="D333" s="9" t="n"/>
      <c r="E333" s="9" t="n"/>
      <c r="F333" s="23" t="n"/>
      <c r="G333" s="19" t="n"/>
      <c r="H333" s="23" t="n"/>
      <c r="I333" s="24" t="n"/>
      <c r="J333" s="19" t="n"/>
      <c r="K333" s="25">
        <f>IF($D333="","",IFERROR(INDEX(Profile!$B$5:$B$304,MATCH($D333,lst_Profil,0)),""))</f>
        <v/>
      </c>
      <c r="L333" s="13">
        <f>IF($D333="","",IFERROR(INDEX(Profile!$K$5:$K$304,MATCH($D333,lst_Profil,0))+0,""))</f>
        <v/>
      </c>
      <c r="M333" s="26">
        <f>IF($D333="","",IFERROR(INDEX(Profile!$E$5:$E$304,MATCH($D333,lst_Profil,0))+0,""))</f>
        <v/>
      </c>
      <c r="N333" s="27">
        <f>IF(OR(L333="",$E333=""),"",IFERROR(L333*INDEX(Werkstoffe!$E$5:$E$304,MATCH($E333,lst_Werkstoff,0))/1000,""))</f>
        <v/>
      </c>
      <c r="O333" s="27">
        <f>IF(OR(N333="",$F333=""),"",N333*$F333/1000)</f>
        <v/>
      </c>
      <c r="P333" s="16">
        <f>IF(OR($F333="",$G333=""),"",$F333*$G333)</f>
        <v/>
      </c>
      <c r="Q333" s="16">
        <f>IF($D333="","",IF($J333&lt;&gt;"",$J333,$C$9))</f>
        <v/>
      </c>
      <c r="R333" s="12">
        <f>IF($D333="","",IFERROR(IF(INDEX(Profile!$G$5:$G$304,MATCH($D333,lst_Profil,0))&lt;&gt;"",INDEX(Profile!$G$5:$G$304,MATCH($D333,lst_Profil,0)),$H$4),$H$4))</f>
        <v/>
      </c>
      <c r="S333" s="12">
        <f>IF($D333="","",IFERROR(IF(INDEX(Profile!$H$5:$H$304,MATCH($D333,lst_Profil,0))&lt;&gt;"",INDEX(Profile!$H$5:$H$304,MATCH($D333,lst_Profil,0)),$H$5),$H$5))</f>
        <v/>
      </c>
      <c r="T333" s="16">
        <f>IF(OR(Q333="",NOT(ISNUMBER(R333)),NOT(ISNUMBER(S333))),"",Q333-R333-S333)</f>
        <v/>
      </c>
      <c r="U333" s="28">
        <f>IF(OR($D333="",$E333=""),"",IF(OR(N($AP333)&gt;0,COUNTIFS(Preise!$A$5:$A$304,$D333,Preise!$B$5:$B$304,$E333,Preise!$I$5:$I$304,"OK")&gt;0,N(INDEX(Werkstoffe!$G$5:$G$304,MATCH($E333,lst_Werkstoff,0)))&gt;0),"ja","nein"))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28">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Materialpreis",IF(AND($AQ333&lt;&gt;"",N($AR333)&gt;0,MOD($G333,$AR333)&lt;&gt;0),"WARNUNG: Stückzahl ist kein Vielfaches von Stück je Satz",IF($H333="","HINWEIS: Schneidweg fehlt",IF(V333="","HINWEIS: keine Schneiddaten",IF(AND($AF333&lt;&gt;"",$AG333=""),"HINWEIS: Gewinde-Vorschlag prüfen","OK")))))))))))))))</f>
        <v/>
      </c>
      <c r="X333" s="18">
        <f>IF(OR(O333="",$G333=""),"",O333*$G333)</f>
        <v/>
      </c>
      <c r="Y333" s="9" t="n"/>
      <c r="Z333" s="23" t="n"/>
      <c r="AA333" s="9" t="n"/>
      <c r="AB333" s="23" t="n"/>
      <c r="AC333" s="23" t="n"/>
      <c r="AD333" s="23" t="n"/>
      <c r="AE333" s="9" t="n"/>
      <c r="AF333" s="9" t="n"/>
      <c r="AG333" s="9" t="n"/>
      <c r="AH333" s="24" t="n"/>
      <c r="AI333" s="23" t="n"/>
      <c r="AJ333" s="24" t="n"/>
      <c r="AK333" s="23" t="n"/>
      <c r="AL333" s="24" t="n"/>
      <c r="AM333" s="23" t="n"/>
      <c r="AN333" s="28">
        <f>IF($D333="","",COUNTIFS(Stangenbelegung!$E$5:$E$10004,ROW()))</f>
        <v/>
      </c>
      <c r="AO333" s="28">
        <f>IF(OR($G333="",COUNTA(Stangenbelegung!$A$5:$A$10004)=0),"",$G333-AN333)</f>
        <v/>
      </c>
      <c r="AP333" s="29" t="n"/>
      <c r="AQ333" s="9" t="n"/>
      <c r="AR333" s="19" t="n"/>
    </row>
    <row r="334">
      <c r="A334" s="9" t="n"/>
      <c r="B334" s="9" t="n"/>
      <c r="C334" s="9" t="n"/>
      <c r="D334" s="9" t="n"/>
      <c r="E334" s="9" t="n"/>
      <c r="F334" s="23" t="n"/>
      <c r="G334" s="19" t="n"/>
      <c r="H334" s="23" t="n"/>
      <c r="I334" s="24" t="n"/>
      <c r="J334" s="19" t="n"/>
      <c r="K334" s="25">
        <f>IF($D334="","",IFERROR(INDEX(Profile!$B$5:$B$304,MATCH($D334,lst_Profil,0)),""))</f>
        <v/>
      </c>
      <c r="L334" s="13">
        <f>IF($D334="","",IFERROR(INDEX(Profile!$K$5:$K$304,MATCH($D334,lst_Profil,0))+0,""))</f>
        <v/>
      </c>
      <c r="M334" s="26">
        <f>IF($D334="","",IFERROR(INDEX(Profile!$E$5:$E$304,MATCH($D334,lst_Profil,0))+0,""))</f>
        <v/>
      </c>
      <c r="N334" s="27">
        <f>IF(OR(L334="",$E334=""),"",IFERROR(L334*INDEX(Werkstoffe!$E$5:$E$304,MATCH($E334,lst_Werkstoff,0))/1000,""))</f>
        <v/>
      </c>
      <c r="O334" s="27">
        <f>IF(OR(N334="",$F334=""),"",N334*$F334/1000)</f>
        <v/>
      </c>
      <c r="P334" s="16">
        <f>IF(OR($F334="",$G334=""),"",$F334*$G334)</f>
        <v/>
      </c>
      <c r="Q334" s="16">
        <f>IF($D334="","",IF($J334&lt;&gt;"",$J334,$C$9))</f>
        <v/>
      </c>
      <c r="R334" s="12">
        <f>IF($D334="","",IFERROR(IF(INDEX(Profile!$G$5:$G$304,MATCH($D334,lst_Profil,0))&lt;&gt;"",INDEX(Profile!$G$5:$G$304,MATCH($D334,lst_Profil,0)),$H$4),$H$4))</f>
        <v/>
      </c>
      <c r="S334" s="12">
        <f>IF($D334="","",IFERROR(IF(INDEX(Profile!$H$5:$H$304,MATCH($D334,lst_Profil,0))&lt;&gt;"",INDEX(Profile!$H$5:$H$304,MATCH($D334,lst_Profil,0)),$H$5),$H$5))</f>
        <v/>
      </c>
      <c r="T334" s="16">
        <f>IF(OR(Q334="",NOT(ISNUMBER(R334)),NOT(ISNUMBER(S334))),"",Q334-R334-S334)</f>
        <v/>
      </c>
      <c r="U334" s="28">
        <f>IF(OR($D334="",$E334=""),"",IF(OR(N($AP334)&gt;0,COUNTIFS(Preise!$A$5:$A$304,$D334,Preise!$B$5:$B$304,$E334,Preise!$I$5:$I$304,"OK")&gt;0,N(INDEX(Werkstoffe!$G$5:$G$304,MATCH($E334,lst_Werkstoff,0)))&gt;0),"ja","nein"))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28">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Materialpreis",IF(AND($AQ334&lt;&gt;"",N($AR334)&gt;0,MOD($G334,$AR334)&lt;&gt;0),"WARNUNG: Stückzahl ist kein Vielfaches von Stück je Satz",IF($H334="","HINWEIS: Schneidweg fehlt",IF(V334="","HINWEIS: keine Schneiddaten",IF(AND($AF334&lt;&gt;"",$AG334=""),"HINWEIS: Gewinde-Vorschlag prüfen","OK")))))))))))))))</f>
        <v/>
      </c>
      <c r="X334" s="18">
        <f>IF(OR(O334="",$G334=""),"",O334*$G334)</f>
        <v/>
      </c>
      <c r="Y334" s="9" t="n"/>
      <c r="Z334" s="23" t="n"/>
      <c r="AA334" s="9" t="n"/>
      <c r="AB334" s="23" t="n"/>
      <c r="AC334" s="23" t="n"/>
      <c r="AD334" s="23" t="n"/>
      <c r="AE334" s="9" t="n"/>
      <c r="AF334" s="9" t="n"/>
      <c r="AG334" s="9" t="n"/>
      <c r="AH334" s="24" t="n"/>
      <c r="AI334" s="23" t="n"/>
      <c r="AJ334" s="24" t="n"/>
      <c r="AK334" s="23" t="n"/>
      <c r="AL334" s="24" t="n"/>
      <c r="AM334" s="23" t="n"/>
      <c r="AN334" s="28">
        <f>IF($D334="","",COUNTIFS(Stangenbelegung!$E$5:$E$10004,ROW()))</f>
        <v/>
      </c>
      <c r="AO334" s="28">
        <f>IF(OR($G334="",COUNTA(Stangenbelegung!$A$5:$A$10004)=0),"",$G334-AN334)</f>
        <v/>
      </c>
      <c r="AP334" s="29" t="n"/>
      <c r="AQ334" s="9" t="n"/>
      <c r="AR334" s="19" t="n"/>
    </row>
    <row r="335">
      <c r="A335" s="9" t="n"/>
      <c r="B335" s="9" t="n"/>
      <c r="C335" s="9" t="n"/>
      <c r="D335" s="9" t="n"/>
      <c r="E335" s="9" t="n"/>
      <c r="F335" s="23" t="n"/>
      <c r="G335" s="19" t="n"/>
      <c r="H335" s="23" t="n"/>
      <c r="I335" s="24" t="n"/>
      <c r="J335" s="19" t="n"/>
      <c r="K335" s="25">
        <f>IF($D335="","",IFERROR(INDEX(Profile!$B$5:$B$304,MATCH($D335,lst_Profil,0)),""))</f>
        <v/>
      </c>
      <c r="L335" s="13">
        <f>IF($D335="","",IFERROR(INDEX(Profile!$K$5:$K$304,MATCH($D335,lst_Profil,0))+0,""))</f>
        <v/>
      </c>
      <c r="M335" s="26">
        <f>IF($D335="","",IFERROR(INDEX(Profile!$E$5:$E$304,MATCH($D335,lst_Profil,0))+0,""))</f>
        <v/>
      </c>
      <c r="N335" s="27">
        <f>IF(OR(L335="",$E335=""),"",IFERROR(L335*INDEX(Werkstoffe!$E$5:$E$304,MATCH($E335,lst_Werkstoff,0))/1000,""))</f>
        <v/>
      </c>
      <c r="O335" s="27">
        <f>IF(OR(N335="",$F335=""),"",N335*$F335/1000)</f>
        <v/>
      </c>
      <c r="P335" s="16">
        <f>IF(OR($F335="",$G335=""),"",$F335*$G335)</f>
        <v/>
      </c>
      <c r="Q335" s="16">
        <f>IF($D335="","",IF($J335&lt;&gt;"",$J335,$C$9))</f>
        <v/>
      </c>
      <c r="R335" s="12">
        <f>IF($D335="","",IFERROR(IF(INDEX(Profile!$G$5:$G$304,MATCH($D335,lst_Profil,0))&lt;&gt;"",INDEX(Profile!$G$5:$G$304,MATCH($D335,lst_Profil,0)),$H$4),$H$4))</f>
        <v/>
      </c>
      <c r="S335" s="12">
        <f>IF($D335="","",IFERROR(IF(INDEX(Profile!$H$5:$H$304,MATCH($D335,lst_Profil,0))&lt;&gt;"",INDEX(Profile!$H$5:$H$304,MATCH($D335,lst_Profil,0)),$H$5),$H$5))</f>
        <v/>
      </c>
      <c r="T335" s="16">
        <f>IF(OR(Q335="",NOT(ISNUMBER(R335)),NOT(ISNUMBER(S335))),"",Q335-R335-S335)</f>
        <v/>
      </c>
      <c r="U335" s="28">
        <f>IF(OR($D335="",$E335=""),"",IF(OR(N($AP335)&gt;0,COUNTIFS(Preise!$A$5:$A$304,$D335,Preise!$B$5:$B$304,$E335,Preise!$I$5:$I$304,"OK")&gt;0,N(INDEX(Werkstoffe!$G$5:$G$304,MATCH($E335,lst_Werkstoff,0)))&gt;0),"ja","nein"))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28">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Materialpreis",IF(AND($AQ335&lt;&gt;"",N($AR335)&gt;0,MOD($G335,$AR335)&lt;&gt;0),"WARNUNG: Stückzahl ist kein Vielfaches von Stück je Satz",IF($H335="","HINWEIS: Schneidweg fehlt",IF(V335="","HINWEIS: keine Schneiddaten",IF(AND($AF335&lt;&gt;"",$AG335=""),"HINWEIS: Gewinde-Vorschlag prüfen","OK")))))))))))))))</f>
        <v/>
      </c>
      <c r="X335" s="18">
        <f>IF(OR(O335="",$G335=""),"",O335*$G335)</f>
        <v/>
      </c>
      <c r="Y335" s="9" t="n"/>
      <c r="Z335" s="23" t="n"/>
      <c r="AA335" s="9" t="n"/>
      <c r="AB335" s="23" t="n"/>
      <c r="AC335" s="23" t="n"/>
      <c r="AD335" s="23" t="n"/>
      <c r="AE335" s="9" t="n"/>
      <c r="AF335" s="9" t="n"/>
      <c r="AG335" s="9" t="n"/>
      <c r="AH335" s="24" t="n"/>
      <c r="AI335" s="23" t="n"/>
      <c r="AJ335" s="24" t="n"/>
      <c r="AK335" s="23" t="n"/>
      <c r="AL335" s="24" t="n"/>
      <c r="AM335" s="23" t="n"/>
      <c r="AN335" s="28">
        <f>IF($D335="","",COUNTIFS(Stangenbelegung!$E$5:$E$10004,ROW()))</f>
        <v/>
      </c>
      <c r="AO335" s="28">
        <f>IF(OR($G335="",COUNTA(Stangenbelegung!$A$5:$A$10004)=0),"",$G335-AN335)</f>
        <v/>
      </c>
      <c r="AP335" s="29" t="n"/>
      <c r="AQ335" s="9" t="n"/>
      <c r="AR335" s="19" t="n"/>
    </row>
    <row r="336">
      <c r="A336" s="9" t="n"/>
      <c r="B336" s="9" t="n"/>
      <c r="C336" s="9" t="n"/>
      <c r="D336" s="9" t="n"/>
      <c r="E336" s="9" t="n"/>
      <c r="F336" s="23" t="n"/>
      <c r="G336" s="19" t="n"/>
      <c r="H336" s="23" t="n"/>
      <c r="I336" s="24" t="n"/>
      <c r="J336" s="19" t="n"/>
      <c r="K336" s="25">
        <f>IF($D336="","",IFERROR(INDEX(Profile!$B$5:$B$304,MATCH($D336,lst_Profil,0)),""))</f>
        <v/>
      </c>
      <c r="L336" s="13">
        <f>IF($D336="","",IFERROR(INDEX(Profile!$K$5:$K$304,MATCH($D336,lst_Profil,0))+0,""))</f>
        <v/>
      </c>
      <c r="M336" s="26">
        <f>IF($D336="","",IFERROR(INDEX(Profile!$E$5:$E$304,MATCH($D336,lst_Profil,0))+0,""))</f>
        <v/>
      </c>
      <c r="N336" s="27">
        <f>IF(OR(L336="",$E336=""),"",IFERROR(L336*INDEX(Werkstoffe!$E$5:$E$304,MATCH($E336,lst_Werkstoff,0))/1000,""))</f>
        <v/>
      </c>
      <c r="O336" s="27">
        <f>IF(OR(N336="",$F336=""),"",N336*$F336/1000)</f>
        <v/>
      </c>
      <c r="P336" s="16">
        <f>IF(OR($F336="",$G336=""),"",$F336*$G336)</f>
        <v/>
      </c>
      <c r="Q336" s="16">
        <f>IF($D336="","",IF($J336&lt;&gt;"",$J336,$C$9))</f>
        <v/>
      </c>
      <c r="R336" s="12">
        <f>IF($D336="","",IFERROR(IF(INDEX(Profile!$G$5:$G$304,MATCH($D336,lst_Profil,0))&lt;&gt;"",INDEX(Profile!$G$5:$G$304,MATCH($D336,lst_Profil,0)),$H$4),$H$4))</f>
        <v/>
      </c>
      <c r="S336" s="12">
        <f>IF($D336="","",IFERROR(IF(INDEX(Profile!$H$5:$H$304,MATCH($D336,lst_Profil,0))&lt;&gt;"",INDEX(Profile!$H$5:$H$304,MATCH($D336,lst_Profil,0)),$H$5),$H$5))</f>
        <v/>
      </c>
      <c r="T336" s="16">
        <f>IF(OR(Q336="",NOT(ISNUMBER(R336)),NOT(ISNUMBER(S336))),"",Q336-R336-S336)</f>
        <v/>
      </c>
      <c r="U336" s="28">
        <f>IF(OR($D336="",$E336=""),"",IF(OR(N($AP336)&gt;0,COUNTIFS(Preise!$A$5:$A$304,$D336,Preise!$B$5:$B$304,$E336,Preise!$I$5:$I$304,"OK")&gt;0,N(INDEX(Werkstoffe!$G$5:$G$304,MATCH($E336,lst_Werkstoff,0)))&gt;0),"ja","nein"))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28">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Materialpreis",IF(AND($AQ336&lt;&gt;"",N($AR336)&gt;0,MOD($G336,$AR336)&lt;&gt;0),"WARNUNG: Stückzahl ist kein Vielfaches von Stück je Satz",IF($H336="","HINWEIS: Schneidweg fehlt",IF(V336="","HINWEIS: keine Schneiddaten",IF(AND($AF336&lt;&gt;"",$AG336=""),"HINWEIS: Gewinde-Vorschlag prüfen","OK")))))))))))))))</f>
        <v/>
      </c>
      <c r="X336" s="18">
        <f>IF(OR(O336="",$G336=""),"",O336*$G336)</f>
        <v/>
      </c>
      <c r="Y336" s="9" t="n"/>
      <c r="Z336" s="23" t="n"/>
      <c r="AA336" s="9" t="n"/>
      <c r="AB336" s="23" t="n"/>
      <c r="AC336" s="23" t="n"/>
      <c r="AD336" s="23" t="n"/>
      <c r="AE336" s="9" t="n"/>
      <c r="AF336" s="9" t="n"/>
      <c r="AG336" s="9" t="n"/>
      <c r="AH336" s="24" t="n"/>
      <c r="AI336" s="23" t="n"/>
      <c r="AJ336" s="24" t="n"/>
      <c r="AK336" s="23" t="n"/>
      <c r="AL336" s="24" t="n"/>
      <c r="AM336" s="23" t="n"/>
      <c r="AN336" s="28">
        <f>IF($D336="","",COUNTIFS(Stangenbelegung!$E$5:$E$10004,ROW()))</f>
        <v/>
      </c>
      <c r="AO336" s="28">
        <f>IF(OR($G336="",COUNTA(Stangenbelegung!$A$5:$A$10004)=0),"",$G336-AN336)</f>
        <v/>
      </c>
      <c r="AP336" s="29" t="n"/>
      <c r="AQ336" s="9" t="n"/>
      <c r="AR336" s="19" t="n"/>
    </row>
    <row r="337">
      <c r="A337" s="9" t="n"/>
      <c r="B337" s="9" t="n"/>
      <c r="C337" s="9" t="n"/>
      <c r="D337" s="9" t="n"/>
      <c r="E337" s="9" t="n"/>
      <c r="F337" s="23" t="n"/>
      <c r="G337" s="19" t="n"/>
      <c r="H337" s="23" t="n"/>
      <c r="I337" s="24" t="n"/>
      <c r="J337" s="19" t="n"/>
      <c r="K337" s="25">
        <f>IF($D337="","",IFERROR(INDEX(Profile!$B$5:$B$304,MATCH($D337,lst_Profil,0)),""))</f>
        <v/>
      </c>
      <c r="L337" s="13">
        <f>IF($D337="","",IFERROR(INDEX(Profile!$K$5:$K$304,MATCH($D337,lst_Profil,0))+0,""))</f>
        <v/>
      </c>
      <c r="M337" s="26">
        <f>IF($D337="","",IFERROR(INDEX(Profile!$E$5:$E$304,MATCH($D337,lst_Profil,0))+0,""))</f>
        <v/>
      </c>
      <c r="N337" s="27">
        <f>IF(OR(L337="",$E337=""),"",IFERROR(L337*INDEX(Werkstoffe!$E$5:$E$304,MATCH($E337,lst_Werkstoff,0))/1000,""))</f>
        <v/>
      </c>
      <c r="O337" s="27">
        <f>IF(OR(N337="",$F337=""),"",N337*$F337/1000)</f>
        <v/>
      </c>
      <c r="P337" s="16">
        <f>IF(OR($F337="",$G337=""),"",$F337*$G337)</f>
        <v/>
      </c>
      <c r="Q337" s="16">
        <f>IF($D337="","",IF($J337&lt;&gt;"",$J337,$C$9))</f>
        <v/>
      </c>
      <c r="R337" s="12">
        <f>IF($D337="","",IFERROR(IF(INDEX(Profile!$G$5:$G$304,MATCH($D337,lst_Profil,0))&lt;&gt;"",INDEX(Profile!$G$5:$G$304,MATCH($D337,lst_Profil,0)),$H$4),$H$4))</f>
        <v/>
      </c>
      <c r="S337" s="12">
        <f>IF($D337="","",IFERROR(IF(INDEX(Profile!$H$5:$H$304,MATCH($D337,lst_Profil,0))&lt;&gt;"",INDEX(Profile!$H$5:$H$304,MATCH($D337,lst_Profil,0)),$H$5),$H$5))</f>
        <v/>
      </c>
      <c r="T337" s="16">
        <f>IF(OR(Q337="",NOT(ISNUMBER(R337)),NOT(ISNUMBER(S337))),"",Q337-R337-S337)</f>
        <v/>
      </c>
      <c r="U337" s="28">
        <f>IF(OR($D337="",$E337=""),"",IF(OR(N($AP337)&gt;0,COUNTIFS(Preise!$A$5:$A$304,$D337,Preise!$B$5:$B$304,$E337,Preise!$I$5:$I$304,"OK")&gt;0,N(INDEX(Werkstoffe!$G$5:$G$304,MATCH($E337,lst_Werkstoff,0)))&gt;0),"ja","nein"))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28">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Materialpreis",IF(AND($AQ337&lt;&gt;"",N($AR337)&gt;0,MOD($G337,$AR337)&lt;&gt;0),"WARNUNG: Stückzahl ist kein Vielfaches von Stück je Satz",IF($H337="","HINWEIS: Schneidweg fehlt",IF(V337="","HINWEIS: keine Schneiddaten",IF(AND($AF337&lt;&gt;"",$AG337=""),"HINWEIS: Gewinde-Vorschlag prüfen","OK")))))))))))))))</f>
        <v/>
      </c>
      <c r="X337" s="18">
        <f>IF(OR(O337="",$G337=""),"",O337*$G337)</f>
        <v/>
      </c>
      <c r="Y337" s="9" t="n"/>
      <c r="Z337" s="23" t="n"/>
      <c r="AA337" s="9" t="n"/>
      <c r="AB337" s="23" t="n"/>
      <c r="AC337" s="23" t="n"/>
      <c r="AD337" s="23" t="n"/>
      <c r="AE337" s="9" t="n"/>
      <c r="AF337" s="9" t="n"/>
      <c r="AG337" s="9" t="n"/>
      <c r="AH337" s="24" t="n"/>
      <c r="AI337" s="23" t="n"/>
      <c r="AJ337" s="24" t="n"/>
      <c r="AK337" s="23" t="n"/>
      <c r="AL337" s="24" t="n"/>
      <c r="AM337" s="23" t="n"/>
      <c r="AN337" s="28">
        <f>IF($D337="","",COUNTIFS(Stangenbelegung!$E$5:$E$10004,ROW()))</f>
        <v/>
      </c>
      <c r="AO337" s="28">
        <f>IF(OR($G337="",COUNTA(Stangenbelegung!$A$5:$A$10004)=0),"",$G337-AN337)</f>
        <v/>
      </c>
      <c r="AP337" s="29" t="n"/>
      <c r="AQ337" s="9" t="n"/>
      <c r="AR337" s="19" t="n"/>
    </row>
    <row r="338">
      <c r="A338" s="9" t="n"/>
      <c r="B338" s="9" t="n"/>
      <c r="C338" s="9" t="n"/>
      <c r="D338" s="9" t="n"/>
      <c r="E338" s="9" t="n"/>
      <c r="F338" s="23" t="n"/>
      <c r="G338" s="19" t="n"/>
      <c r="H338" s="23" t="n"/>
      <c r="I338" s="24" t="n"/>
      <c r="J338" s="19" t="n"/>
      <c r="K338" s="25">
        <f>IF($D338="","",IFERROR(INDEX(Profile!$B$5:$B$304,MATCH($D338,lst_Profil,0)),""))</f>
        <v/>
      </c>
      <c r="L338" s="13">
        <f>IF($D338="","",IFERROR(INDEX(Profile!$K$5:$K$304,MATCH($D338,lst_Profil,0))+0,""))</f>
        <v/>
      </c>
      <c r="M338" s="26">
        <f>IF($D338="","",IFERROR(INDEX(Profile!$E$5:$E$304,MATCH($D338,lst_Profil,0))+0,""))</f>
        <v/>
      </c>
      <c r="N338" s="27">
        <f>IF(OR(L338="",$E338=""),"",IFERROR(L338*INDEX(Werkstoffe!$E$5:$E$304,MATCH($E338,lst_Werkstoff,0))/1000,""))</f>
        <v/>
      </c>
      <c r="O338" s="27">
        <f>IF(OR(N338="",$F338=""),"",N338*$F338/1000)</f>
        <v/>
      </c>
      <c r="P338" s="16">
        <f>IF(OR($F338="",$G338=""),"",$F338*$G338)</f>
        <v/>
      </c>
      <c r="Q338" s="16">
        <f>IF($D338="","",IF($J338&lt;&gt;"",$J338,$C$9))</f>
        <v/>
      </c>
      <c r="R338" s="12">
        <f>IF($D338="","",IFERROR(IF(INDEX(Profile!$G$5:$G$304,MATCH($D338,lst_Profil,0))&lt;&gt;"",INDEX(Profile!$G$5:$G$304,MATCH($D338,lst_Profil,0)),$H$4),$H$4))</f>
        <v/>
      </c>
      <c r="S338" s="12">
        <f>IF($D338="","",IFERROR(IF(INDEX(Profile!$H$5:$H$304,MATCH($D338,lst_Profil,0))&lt;&gt;"",INDEX(Profile!$H$5:$H$304,MATCH($D338,lst_Profil,0)),$H$5),$H$5))</f>
        <v/>
      </c>
      <c r="T338" s="16">
        <f>IF(OR(Q338="",NOT(ISNUMBER(R338)),NOT(ISNUMBER(S338))),"",Q338-R338-S338)</f>
        <v/>
      </c>
      <c r="U338" s="28">
        <f>IF(OR($D338="",$E338=""),"",IF(OR(N($AP338)&gt;0,COUNTIFS(Preise!$A$5:$A$304,$D338,Preise!$B$5:$B$304,$E338,Preise!$I$5:$I$304,"OK")&gt;0,N(INDEX(Werkstoffe!$G$5:$G$304,MATCH($E338,lst_Werkstoff,0)))&gt;0),"ja","nein"))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28">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Materialpreis",IF(AND($AQ338&lt;&gt;"",N($AR338)&gt;0,MOD($G338,$AR338)&lt;&gt;0),"WARNUNG: Stückzahl ist kein Vielfaches von Stück je Satz",IF($H338="","HINWEIS: Schneidweg fehlt",IF(V338="","HINWEIS: keine Schneiddaten",IF(AND($AF338&lt;&gt;"",$AG338=""),"HINWEIS: Gewinde-Vorschlag prüfen","OK")))))))))))))))</f>
        <v/>
      </c>
      <c r="X338" s="18">
        <f>IF(OR(O338="",$G338=""),"",O338*$G338)</f>
        <v/>
      </c>
      <c r="Y338" s="9" t="n"/>
      <c r="Z338" s="23" t="n"/>
      <c r="AA338" s="9" t="n"/>
      <c r="AB338" s="23" t="n"/>
      <c r="AC338" s="23" t="n"/>
      <c r="AD338" s="23" t="n"/>
      <c r="AE338" s="9" t="n"/>
      <c r="AF338" s="9" t="n"/>
      <c r="AG338" s="9" t="n"/>
      <c r="AH338" s="24" t="n"/>
      <c r="AI338" s="23" t="n"/>
      <c r="AJ338" s="24" t="n"/>
      <c r="AK338" s="23" t="n"/>
      <c r="AL338" s="24" t="n"/>
      <c r="AM338" s="23" t="n"/>
      <c r="AN338" s="28">
        <f>IF($D338="","",COUNTIFS(Stangenbelegung!$E$5:$E$10004,ROW()))</f>
        <v/>
      </c>
      <c r="AO338" s="28">
        <f>IF(OR($G338="",COUNTA(Stangenbelegung!$A$5:$A$10004)=0),"",$G338-AN338)</f>
        <v/>
      </c>
      <c r="AP338" s="29" t="n"/>
      <c r="AQ338" s="9" t="n"/>
      <c r="AR338" s="19" t="n"/>
    </row>
    <row r="339">
      <c r="A339" s="9" t="n"/>
      <c r="B339" s="9" t="n"/>
      <c r="C339" s="9" t="n"/>
      <c r="D339" s="9" t="n"/>
      <c r="E339" s="9" t="n"/>
      <c r="F339" s="23" t="n"/>
      <c r="G339" s="19" t="n"/>
      <c r="H339" s="23" t="n"/>
      <c r="I339" s="24" t="n"/>
      <c r="J339" s="19" t="n"/>
      <c r="K339" s="25">
        <f>IF($D339="","",IFERROR(INDEX(Profile!$B$5:$B$304,MATCH($D339,lst_Profil,0)),""))</f>
        <v/>
      </c>
      <c r="L339" s="13">
        <f>IF($D339="","",IFERROR(INDEX(Profile!$K$5:$K$304,MATCH($D339,lst_Profil,0))+0,""))</f>
        <v/>
      </c>
      <c r="M339" s="26">
        <f>IF($D339="","",IFERROR(INDEX(Profile!$E$5:$E$304,MATCH($D339,lst_Profil,0))+0,""))</f>
        <v/>
      </c>
      <c r="N339" s="27">
        <f>IF(OR(L339="",$E339=""),"",IFERROR(L339*INDEX(Werkstoffe!$E$5:$E$304,MATCH($E339,lst_Werkstoff,0))/1000,""))</f>
        <v/>
      </c>
      <c r="O339" s="27">
        <f>IF(OR(N339="",$F339=""),"",N339*$F339/1000)</f>
        <v/>
      </c>
      <c r="P339" s="16">
        <f>IF(OR($F339="",$G339=""),"",$F339*$G339)</f>
        <v/>
      </c>
      <c r="Q339" s="16">
        <f>IF($D339="","",IF($J339&lt;&gt;"",$J339,$C$9))</f>
        <v/>
      </c>
      <c r="R339" s="12">
        <f>IF($D339="","",IFERROR(IF(INDEX(Profile!$G$5:$G$304,MATCH($D339,lst_Profil,0))&lt;&gt;"",INDEX(Profile!$G$5:$G$304,MATCH($D339,lst_Profil,0)),$H$4),$H$4))</f>
        <v/>
      </c>
      <c r="S339" s="12">
        <f>IF($D339="","",IFERROR(IF(INDEX(Profile!$H$5:$H$304,MATCH($D339,lst_Profil,0))&lt;&gt;"",INDEX(Profile!$H$5:$H$304,MATCH($D339,lst_Profil,0)),$H$5),$H$5))</f>
        <v/>
      </c>
      <c r="T339" s="16">
        <f>IF(OR(Q339="",NOT(ISNUMBER(R339)),NOT(ISNUMBER(S339))),"",Q339-R339-S339)</f>
        <v/>
      </c>
      <c r="U339" s="28">
        <f>IF(OR($D339="",$E339=""),"",IF(OR(N($AP339)&gt;0,COUNTIFS(Preise!$A$5:$A$304,$D339,Preise!$B$5:$B$304,$E339,Preise!$I$5:$I$304,"OK")&gt;0,N(INDEX(Werkstoffe!$G$5:$G$304,MATCH($E339,lst_Werkstoff,0)))&gt;0),"ja","nein"))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28">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Materialpreis",IF(AND($AQ339&lt;&gt;"",N($AR339)&gt;0,MOD($G339,$AR339)&lt;&gt;0),"WARNUNG: Stückzahl ist kein Vielfaches von Stück je Satz",IF($H339="","HINWEIS: Schneidweg fehlt",IF(V339="","HINWEIS: keine Schneiddaten",IF(AND($AF339&lt;&gt;"",$AG339=""),"HINWEIS: Gewinde-Vorschlag prüfen","OK")))))))))))))))</f>
        <v/>
      </c>
      <c r="X339" s="18">
        <f>IF(OR(O339="",$G339=""),"",O339*$G339)</f>
        <v/>
      </c>
      <c r="Y339" s="9" t="n"/>
      <c r="Z339" s="23" t="n"/>
      <c r="AA339" s="9" t="n"/>
      <c r="AB339" s="23" t="n"/>
      <c r="AC339" s="23" t="n"/>
      <c r="AD339" s="23" t="n"/>
      <c r="AE339" s="9" t="n"/>
      <c r="AF339" s="9" t="n"/>
      <c r="AG339" s="9" t="n"/>
      <c r="AH339" s="24" t="n"/>
      <c r="AI339" s="23" t="n"/>
      <c r="AJ339" s="24" t="n"/>
      <c r="AK339" s="23" t="n"/>
      <c r="AL339" s="24" t="n"/>
      <c r="AM339" s="23" t="n"/>
      <c r="AN339" s="28">
        <f>IF($D339="","",COUNTIFS(Stangenbelegung!$E$5:$E$10004,ROW()))</f>
        <v/>
      </c>
      <c r="AO339" s="28">
        <f>IF(OR($G339="",COUNTA(Stangenbelegung!$A$5:$A$10004)=0),"",$G339-AN339)</f>
        <v/>
      </c>
      <c r="AP339" s="29" t="n"/>
      <c r="AQ339" s="9" t="n"/>
      <c r="AR339" s="19" t="n"/>
    </row>
    <row r="340">
      <c r="A340" s="9" t="n"/>
      <c r="B340" s="9" t="n"/>
      <c r="C340" s="9" t="n"/>
      <c r="D340" s="9" t="n"/>
      <c r="E340" s="9" t="n"/>
      <c r="F340" s="23" t="n"/>
      <c r="G340" s="19" t="n"/>
      <c r="H340" s="23" t="n"/>
      <c r="I340" s="24" t="n"/>
      <c r="J340" s="19" t="n"/>
      <c r="K340" s="25">
        <f>IF($D340="","",IFERROR(INDEX(Profile!$B$5:$B$304,MATCH($D340,lst_Profil,0)),""))</f>
        <v/>
      </c>
      <c r="L340" s="13">
        <f>IF($D340="","",IFERROR(INDEX(Profile!$K$5:$K$304,MATCH($D340,lst_Profil,0))+0,""))</f>
        <v/>
      </c>
      <c r="M340" s="26">
        <f>IF($D340="","",IFERROR(INDEX(Profile!$E$5:$E$304,MATCH($D340,lst_Profil,0))+0,""))</f>
        <v/>
      </c>
      <c r="N340" s="27">
        <f>IF(OR(L340="",$E340=""),"",IFERROR(L340*INDEX(Werkstoffe!$E$5:$E$304,MATCH($E340,lst_Werkstoff,0))/1000,""))</f>
        <v/>
      </c>
      <c r="O340" s="27">
        <f>IF(OR(N340="",$F340=""),"",N340*$F340/1000)</f>
        <v/>
      </c>
      <c r="P340" s="16">
        <f>IF(OR($F340="",$G340=""),"",$F340*$G340)</f>
        <v/>
      </c>
      <c r="Q340" s="16">
        <f>IF($D340="","",IF($J340&lt;&gt;"",$J340,$C$9))</f>
        <v/>
      </c>
      <c r="R340" s="12">
        <f>IF($D340="","",IFERROR(IF(INDEX(Profile!$G$5:$G$304,MATCH($D340,lst_Profil,0))&lt;&gt;"",INDEX(Profile!$G$5:$G$304,MATCH($D340,lst_Profil,0)),$H$4),$H$4))</f>
        <v/>
      </c>
      <c r="S340" s="12">
        <f>IF($D340="","",IFERROR(IF(INDEX(Profile!$H$5:$H$304,MATCH($D340,lst_Profil,0))&lt;&gt;"",INDEX(Profile!$H$5:$H$304,MATCH($D340,lst_Profil,0)),$H$5),$H$5))</f>
        <v/>
      </c>
      <c r="T340" s="16">
        <f>IF(OR(Q340="",NOT(ISNUMBER(R340)),NOT(ISNUMBER(S340))),"",Q340-R340-S340)</f>
        <v/>
      </c>
      <c r="U340" s="28">
        <f>IF(OR($D340="",$E340=""),"",IF(OR(N($AP340)&gt;0,COUNTIFS(Preise!$A$5:$A$304,$D340,Preise!$B$5:$B$304,$E340,Preise!$I$5:$I$304,"OK")&gt;0,N(INDEX(Werkstoffe!$G$5:$G$304,MATCH($E340,lst_Werkstoff,0)))&gt;0),"ja","nein"))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28">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Materialpreis",IF(AND($AQ340&lt;&gt;"",N($AR340)&gt;0,MOD($G340,$AR340)&lt;&gt;0),"WARNUNG: Stückzahl ist kein Vielfaches von Stück je Satz",IF($H340="","HINWEIS: Schneidweg fehlt",IF(V340="","HINWEIS: keine Schneiddaten",IF(AND($AF340&lt;&gt;"",$AG340=""),"HINWEIS: Gewinde-Vorschlag prüfen","OK")))))))))))))))</f>
        <v/>
      </c>
      <c r="X340" s="18">
        <f>IF(OR(O340="",$G340=""),"",O340*$G340)</f>
        <v/>
      </c>
      <c r="Y340" s="9" t="n"/>
      <c r="Z340" s="23" t="n"/>
      <c r="AA340" s="9" t="n"/>
      <c r="AB340" s="23" t="n"/>
      <c r="AC340" s="23" t="n"/>
      <c r="AD340" s="23" t="n"/>
      <c r="AE340" s="9" t="n"/>
      <c r="AF340" s="9" t="n"/>
      <c r="AG340" s="9" t="n"/>
      <c r="AH340" s="24" t="n"/>
      <c r="AI340" s="23" t="n"/>
      <c r="AJ340" s="24" t="n"/>
      <c r="AK340" s="23" t="n"/>
      <c r="AL340" s="24" t="n"/>
      <c r="AM340" s="23" t="n"/>
      <c r="AN340" s="28">
        <f>IF($D340="","",COUNTIFS(Stangenbelegung!$E$5:$E$10004,ROW()))</f>
        <v/>
      </c>
      <c r="AO340" s="28">
        <f>IF(OR($G340="",COUNTA(Stangenbelegung!$A$5:$A$10004)=0),"",$G340-AN340)</f>
        <v/>
      </c>
      <c r="AP340" s="29" t="n"/>
      <c r="AQ340" s="9" t="n"/>
      <c r="AR340" s="19" t="n"/>
    </row>
    <row r="341">
      <c r="A341" s="9" t="n"/>
      <c r="B341" s="9" t="n"/>
      <c r="C341" s="9" t="n"/>
      <c r="D341" s="9" t="n"/>
      <c r="E341" s="9" t="n"/>
      <c r="F341" s="23" t="n"/>
      <c r="G341" s="19" t="n"/>
      <c r="H341" s="23" t="n"/>
      <c r="I341" s="24" t="n"/>
      <c r="J341" s="19" t="n"/>
      <c r="K341" s="25">
        <f>IF($D341="","",IFERROR(INDEX(Profile!$B$5:$B$304,MATCH($D341,lst_Profil,0)),""))</f>
        <v/>
      </c>
      <c r="L341" s="13">
        <f>IF($D341="","",IFERROR(INDEX(Profile!$K$5:$K$304,MATCH($D341,lst_Profil,0))+0,""))</f>
        <v/>
      </c>
      <c r="M341" s="26">
        <f>IF($D341="","",IFERROR(INDEX(Profile!$E$5:$E$304,MATCH($D341,lst_Profil,0))+0,""))</f>
        <v/>
      </c>
      <c r="N341" s="27">
        <f>IF(OR(L341="",$E341=""),"",IFERROR(L341*INDEX(Werkstoffe!$E$5:$E$304,MATCH($E341,lst_Werkstoff,0))/1000,""))</f>
        <v/>
      </c>
      <c r="O341" s="27">
        <f>IF(OR(N341="",$F341=""),"",N341*$F341/1000)</f>
        <v/>
      </c>
      <c r="P341" s="16">
        <f>IF(OR($F341="",$G341=""),"",$F341*$G341)</f>
        <v/>
      </c>
      <c r="Q341" s="16">
        <f>IF($D341="","",IF($J341&lt;&gt;"",$J341,$C$9))</f>
        <v/>
      </c>
      <c r="R341" s="12">
        <f>IF($D341="","",IFERROR(IF(INDEX(Profile!$G$5:$G$304,MATCH($D341,lst_Profil,0))&lt;&gt;"",INDEX(Profile!$G$5:$G$304,MATCH($D341,lst_Profil,0)),$H$4),$H$4))</f>
        <v/>
      </c>
      <c r="S341" s="12">
        <f>IF($D341="","",IFERROR(IF(INDEX(Profile!$H$5:$H$304,MATCH($D341,lst_Profil,0))&lt;&gt;"",INDEX(Profile!$H$5:$H$304,MATCH($D341,lst_Profil,0)),$H$5),$H$5))</f>
        <v/>
      </c>
      <c r="T341" s="16">
        <f>IF(OR(Q341="",NOT(ISNUMBER(R341)),NOT(ISNUMBER(S341))),"",Q341-R341-S341)</f>
        <v/>
      </c>
      <c r="U341" s="28">
        <f>IF(OR($D341="",$E341=""),"",IF(OR(N($AP341)&gt;0,COUNTIFS(Preise!$A$5:$A$304,$D341,Preise!$B$5:$B$304,$E341,Preise!$I$5:$I$304,"OK")&gt;0,N(INDEX(Werkstoffe!$G$5:$G$304,MATCH($E341,lst_Werkstoff,0)))&gt;0),"ja","nein"))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28">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Materialpreis",IF(AND($AQ341&lt;&gt;"",N($AR341)&gt;0,MOD($G341,$AR341)&lt;&gt;0),"WARNUNG: Stückzahl ist kein Vielfaches von Stück je Satz",IF($H341="","HINWEIS: Schneidweg fehlt",IF(V341="","HINWEIS: keine Schneiddaten",IF(AND($AF341&lt;&gt;"",$AG341=""),"HINWEIS: Gewinde-Vorschlag prüfen","OK")))))))))))))))</f>
        <v/>
      </c>
      <c r="X341" s="18">
        <f>IF(OR(O341="",$G341=""),"",O341*$G341)</f>
        <v/>
      </c>
      <c r="Y341" s="9" t="n"/>
      <c r="Z341" s="23" t="n"/>
      <c r="AA341" s="9" t="n"/>
      <c r="AB341" s="23" t="n"/>
      <c r="AC341" s="23" t="n"/>
      <c r="AD341" s="23" t="n"/>
      <c r="AE341" s="9" t="n"/>
      <c r="AF341" s="9" t="n"/>
      <c r="AG341" s="9" t="n"/>
      <c r="AH341" s="24" t="n"/>
      <c r="AI341" s="23" t="n"/>
      <c r="AJ341" s="24" t="n"/>
      <c r="AK341" s="23" t="n"/>
      <c r="AL341" s="24" t="n"/>
      <c r="AM341" s="23" t="n"/>
      <c r="AN341" s="28">
        <f>IF($D341="","",COUNTIFS(Stangenbelegung!$E$5:$E$10004,ROW()))</f>
        <v/>
      </c>
      <c r="AO341" s="28">
        <f>IF(OR($G341="",COUNTA(Stangenbelegung!$A$5:$A$10004)=0),"",$G341-AN341)</f>
        <v/>
      </c>
      <c r="AP341" s="29" t="n"/>
      <c r="AQ341" s="9" t="n"/>
      <c r="AR341" s="19" t="n"/>
    </row>
    <row r="342">
      <c r="A342" s="9" t="n"/>
      <c r="B342" s="9" t="n"/>
      <c r="C342" s="9" t="n"/>
      <c r="D342" s="9" t="n"/>
      <c r="E342" s="9" t="n"/>
      <c r="F342" s="23" t="n"/>
      <c r="G342" s="19" t="n"/>
      <c r="H342" s="23" t="n"/>
      <c r="I342" s="24" t="n"/>
      <c r="J342" s="19" t="n"/>
      <c r="K342" s="25">
        <f>IF($D342="","",IFERROR(INDEX(Profile!$B$5:$B$304,MATCH($D342,lst_Profil,0)),""))</f>
        <v/>
      </c>
      <c r="L342" s="13">
        <f>IF($D342="","",IFERROR(INDEX(Profile!$K$5:$K$304,MATCH($D342,lst_Profil,0))+0,""))</f>
        <v/>
      </c>
      <c r="M342" s="26">
        <f>IF($D342="","",IFERROR(INDEX(Profile!$E$5:$E$304,MATCH($D342,lst_Profil,0))+0,""))</f>
        <v/>
      </c>
      <c r="N342" s="27">
        <f>IF(OR(L342="",$E342=""),"",IFERROR(L342*INDEX(Werkstoffe!$E$5:$E$304,MATCH($E342,lst_Werkstoff,0))/1000,""))</f>
        <v/>
      </c>
      <c r="O342" s="27">
        <f>IF(OR(N342="",$F342=""),"",N342*$F342/1000)</f>
        <v/>
      </c>
      <c r="P342" s="16">
        <f>IF(OR($F342="",$G342=""),"",$F342*$G342)</f>
        <v/>
      </c>
      <c r="Q342" s="16">
        <f>IF($D342="","",IF($J342&lt;&gt;"",$J342,$C$9))</f>
        <v/>
      </c>
      <c r="R342" s="12">
        <f>IF($D342="","",IFERROR(IF(INDEX(Profile!$G$5:$G$304,MATCH($D342,lst_Profil,0))&lt;&gt;"",INDEX(Profile!$G$5:$G$304,MATCH($D342,lst_Profil,0)),$H$4),$H$4))</f>
        <v/>
      </c>
      <c r="S342" s="12">
        <f>IF($D342="","",IFERROR(IF(INDEX(Profile!$H$5:$H$304,MATCH($D342,lst_Profil,0))&lt;&gt;"",INDEX(Profile!$H$5:$H$304,MATCH($D342,lst_Profil,0)),$H$5),$H$5))</f>
        <v/>
      </c>
      <c r="T342" s="16">
        <f>IF(OR(Q342="",NOT(ISNUMBER(R342)),NOT(ISNUMBER(S342))),"",Q342-R342-S342)</f>
        <v/>
      </c>
      <c r="U342" s="28">
        <f>IF(OR($D342="",$E342=""),"",IF(OR(N($AP342)&gt;0,COUNTIFS(Preise!$A$5:$A$304,$D342,Preise!$B$5:$B$304,$E342,Preise!$I$5:$I$304,"OK")&gt;0,N(INDEX(Werkstoffe!$G$5:$G$304,MATCH($E342,lst_Werkstoff,0)))&gt;0),"ja","nein"))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28">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Materialpreis",IF(AND($AQ342&lt;&gt;"",N($AR342)&gt;0,MOD($G342,$AR342)&lt;&gt;0),"WARNUNG: Stückzahl ist kein Vielfaches von Stück je Satz",IF($H342="","HINWEIS: Schneidweg fehlt",IF(V342="","HINWEIS: keine Schneiddaten",IF(AND($AF342&lt;&gt;"",$AG342=""),"HINWEIS: Gewinde-Vorschlag prüfen","OK")))))))))))))))</f>
        <v/>
      </c>
      <c r="X342" s="18">
        <f>IF(OR(O342="",$G342=""),"",O342*$G342)</f>
        <v/>
      </c>
      <c r="Y342" s="9" t="n"/>
      <c r="Z342" s="23" t="n"/>
      <c r="AA342" s="9" t="n"/>
      <c r="AB342" s="23" t="n"/>
      <c r="AC342" s="23" t="n"/>
      <c r="AD342" s="23" t="n"/>
      <c r="AE342" s="9" t="n"/>
      <c r="AF342" s="9" t="n"/>
      <c r="AG342" s="9" t="n"/>
      <c r="AH342" s="24" t="n"/>
      <c r="AI342" s="23" t="n"/>
      <c r="AJ342" s="24" t="n"/>
      <c r="AK342" s="23" t="n"/>
      <c r="AL342" s="24" t="n"/>
      <c r="AM342" s="23" t="n"/>
      <c r="AN342" s="28">
        <f>IF($D342="","",COUNTIFS(Stangenbelegung!$E$5:$E$10004,ROW()))</f>
        <v/>
      </c>
      <c r="AO342" s="28">
        <f>IF(OR($G342="",COUNTA(Stangenbelegung!$A$5:$A$10004)=0),"",$G342-AN342)</f>
        <v/>
      </c>
      <c r="AP342" s="29" t="n"/>
      <c r="AQ342" s="9" t="n"/>
      <c r="AR342" s="19" t="n"/>
    </row>
    <row r="343">
      <c r="A343" s="9" t="n"/>
      <c r="B343" s="9" t="n"/>
      <c r="C343" s="9" t="n"/>
      <c r="D343" s="9" t="n"/>
      <c r="E343" s="9" t="n"/>
      <c r="F343" s="23" t="n"/>
      <c r="G343" s="19" t="n"/>
      <c r="H343" s="23" t="n"/>
      <c r="I343" s="24" t="n"/>
      <c r="J343" s="19" t="n"/>
      <c r="K343" s="25">
        <f>IF($D343="","",IFERROR(INDEX(Profile!$B$5:$B$304,MATCH($D343,lst_Profil,0)),""))</f>
        <v/>
      </c>
      <c r="L343" s="13">
        <f>IF($D343="","",IFERROR(INDEX(Profile!$K$5:$K$304,MATCH($D343,lst_Profil,0))+0,""))</f>
        <v/>
      </c>
      <c r="M343" s="26">
        <f>IF($D343="","",IFERROR(INDEX(Profile!$E$5:$E$304,MATCH($D343,lst_Profil,0))+0,""))</f>
        <v/>
      </c>
      <c r="N343" s="27">
        <f>IF(OR(L343="",$E343=""),"",IFERROR(L343*INDEX(Werkstoffe!$E$5:$E$304,MATCH($E343,lst_Werkstoff,0))/1000,""))</f>
        <v/>
      </c>
      <c r="O343" s="27">
        <f>IF(OR(N343="",$F343=""),"",N343*$F343/1000)</f>
        <v/>
      </c>
      <c r="P343" s="16">
        <f>IF(OR($F343="",$G343=""),"",$F343*$G343)</f>
        <v/>
      </c>
      <c r="Q343" s="16">
        <f>IF($D343="","",IF($J343&lt;&gt;"",$J343,$C$9))</f>
        <v/>
      </c>
      <c r="R343" s="12">
        <f>IF($D343="","",IFERROR(IF(INDEX(Profile!$G$5:$G$304,MATCH($D343,lst_Profil,0))&lt;&gt;"",INDEX(Profile!$G$5:$G$304,MATCH($D343,lst_Profil,0)),$H$4),$H$4))</f>
        <v/>
      </c>
      <c r="S343" s="12">
        <f>IF($D343="","",IFERROR(IF(INDEX(Profile!$H$5:$H$304,MATCH($D343,lst_Profil,0))&lt;&gt;"",INDEX(Profile!$H$5:$H$304,MATCH($D343,lst_Profil,0)),$H$5),$H$5))</f>
        <v/>
      </c>
      <c r="T343" s="16">
        <f>IF(OR(Q343="",NOT(ISNUMBER(R343)),NOT(ISNUMBER(S343))),"",Q343-R343-S343)</f>
        <v/>
      </c>
      <c r="U343" s="28">
        <f>IF(OR($D343="",$E343=""),"",IF(OR(N($AP343)&gt;0,COUNTIFS(Preise!$A$5:$A$304,$D343,Preise!$B$5:$B$304,$E343,Preise!$I$5:$I$304,"OK")&gt;0,N(INDEX(Werkstoffe!$G$5:$G$304,MATCH($E343,lst_Werkstoff,0)))&gt;0),"ja","nein"))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28">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Materialpreis",IF(AND($AQ343&lt;&gt;"",N($AR343)&gt;0,MOD($G343,$AR343)&lt;&gt;0),"WARNUNG: Stückzahl ist kein Vielfaches von Stück je Satz",IF($H343="","HINWEIS: Schneidweg fehlt",IF(V343="","HINWEIS: keine Schneiddaten",IF(AND($AF343&lt;&gt;"",$AG343=""),"HINWEIS: Gewinde-Vorschlag prüfen","OK")))))))))))))))</f>
        <v/>
      </c>
      <c r="X343" s="18">
        <f>IF(OR(O343="",$G343=""),"",O343*$G343)</f>
        <v/>
      </c>
      <c r="Y343" s="9" t="n"/>
      <c r="Z343" s="23" t="n"/>
      <c r="AA343" s="9" t="n"/>
      <c r="AB343" s="23" t="n"/>
      <c r="AC343" s="23" t="n"/>
      <c r="AD343" s="23" t="n"/>
      <c r="AE343" s="9" t="n"/>
      <c r="AF343" s="9" t="n"/>
      <c r="AG343" s="9" t="n"/>
      <c r="AH343" s="24" t="n"/>
      <c r="AI343" s="23" t="n"/>
      <c r="AJ343" s="24" t="n"/>
      <c r="AK343" s="23" t="n"/>
      <c r="AL343" s="24" t="n"/>
      <c r="AM343" s="23" t="n"/>
      <c r="AN343" s="28">
        <f>IF($D343="","",COUNTIFS(Stangenbelegung!$E$5:$E$10004,ROW()))</f>
        <v/>
      </c>
      <c r="AO343" s="28">
        <f>IF(OR($G343="",COUNTA(Stangenbelegung!$A$5:$A$10004)=0),"",$G343-AN343)</f>
        <v/>
      </c>
      <c r="AP343" s="29" t="n"/>
      <c r="AQ343" s="9" t="n"/>
      <c r="AR343" s="19" t="n"/>
    </row>
    <row r="344">
      <c r="A344" s="9" t="n"/>
      <c r="B344" s="9" t="n"/>
      <c r="C344" s="9" t="n"/>
      <c r="D344" s="9" t="n"/>
      <c r="E344" s="9" t="n"/>
      <c r="F344" s="23" t="n"/>
      <c r="G344" s="19" t="n"/>
      <c r="H344" s="23" t="n"/>
      <c r="I344" s="24" t="n"/>
      <c r="J344" s="19" t="n"/>
      <c r="K344" s="25">
        <f>IF($D344="","",IFERROR(INDEX(Profile!$B$5:$B$304,MATCH($D344,lst_Profil,0)),""))</f>
        <v/>
      </c>
      <c r="L344" s="13">
        <f>IF($D344="","",IFERROR(INDEX(Profile!$K$5:$K$304,MATCH($D344,lst_Profil,0))+0,""))</f>
        <v/>
      </c>
      <c r="M344" s="26">
        <f>IF($D344="","",IFERROR(INDEX(Profile!$E$5:$E$304,MATCH($D344,lst_Profil,0))+0,""))</f>
        <v/>
      </c>
      <c r="N344" s="27">
        <f>IF(OR(L344="",$E344=""),"",IFERROR(L344*INDEX(Werkstoffe!$E$5:$E$304,MATCH($E344,lst_Werkstoff,0))/1000,""))</f>
        <v/>
      </c>
      <c r="O344" s="27">
        <f>IF(OR(N344="",$F344=""),"",N344*$F344/1000)</f>
        <v/>
      </c>
      <c r="P344" s="16">
        <f>IF(OR($F344="",$G344=""),"",$F344*$G344)</f>
        <v/>
      </c>
      <c r="Q344" s="16">
        <f>IF($D344="","",IF($J344&lt;&gt;"",$J344,$C$9))</f>
        <v/>
      </c>
      <c r="R344" s="12">
        <f>IF($D344="","",IFERROR(IF(INDEX(Profile!$G$5:$G$304,MATCH($D344,lst_Profil,0))&lt;&gt;"",INDEX(Profile!$G$5:$G$304,MATCH($D344,lst_Profil,0)),$H$4),$H$4))</f>
        <v/>
      </c>
      <c r="S344" s="12">
        <f>IF($D344="","",IFERROR(IF(INDEX(Profile!$H$5:$H$304,MATCH($D344,lst_Profil,0))&lt;&gt;"",INDEX(Profile!$H$5:$H$304,MATCH($D344,lst_Profil,0)),$H$5),$H$5))</f>
        <v/>
      </c>
      <c r="T344" s="16">
        <f>IF(OR(Q344="",NOT(ISNUMBER(R344)),NOT(ISNUMBER(S344))),"",Q344-R344-S344)</f>
        <v/>
      </c>
      <c r="U344" s="28">
        <f>IF(OR($D344="",$E344=""),"",IF(OR(N($AP344)&gt;0,COUNTIFS(Preise!$A$5:$A$304,$D344,Preise!$B$5:$B$304,$E344,Preise!$I$5:$I$304,"OK")&gt;0,N(INDEX(Werkstoffe!$G$5:$G$304,MATCH($E344,lst_Werkstoff,0)))&gt;0),"ja","nein"))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28">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Materialpreis",IF(AND($AQ344&lt;&gt;"",N($AR344)&gt;0,MOD($G344,$AR344)&lt;&gt;0),"WARNUNG: Stückzahl ist kein Vielfaches von Stück je Satz",IF($H344="","HINWEIS: Schneidweg fehlt",IF(V344="","HINWEIS: keine Schneiddaten",IF(AND($AF344&lt;&gt;"",$AG344=""),"HINWEIS: Gewinde-Vorschlag prüfen","OK")))))))))))))))</f>
        <v/>
      </c>
      <c r="X344" s="18">
        <f>IF(OR(O344="",$G344=""),"",O344*$G344)</f>
        <v/>
      </c>
      <c r="Y344" s="9" t="n"/>
      <c r="Z344" s="23" t="n"/>
      <c r="AA344" s="9" t="n"/>
      <c r="AB344" s="23" t="n"/>
      <c r="AC344" s="23" t="n"/>
      <c r="AD344" s="23" t="n"/>
      <c r="AE344" s="9" t="n"/>
      <c r="AF344" s="9" t="n"/>
      <c r="AG344" s="9" t="n"/>
      <c r="AH344" s="24" t="n"/>
      <c r="AI344" s="23" t="n"/>
      <c r="AJ344" s="24" t="n"/>
      <c r="AK344" s="23" t="n"/>
      <c r="AL344" s="24" t="n"/>
      <c r="AM344" s="23" t="n"/>
      <c r="AN344" s="28">
        <f>IF($D344="","",COUNTIFS(Stangenbelegung!$E$5:$E$10004,ROW()))</f>
        <v/>
      </c>
      <c r="AO344" s="28">
        <f>IF(OR($G344="",COUNTA(Stangenbelegung!$A$5:$A$10004)=0),"",$G344-AN344)</f>
        <v/>
      </c>
      <c r="AP344" s="29" t="n"/>
      <c r="AQ344" s="9" t="n"/>
      <c r="AR344" s="19" t="n"/>
    </row>
    <row r="345">
      <c r="A345" s="9" t="n"/>
      <c r="B345" s="9" t="n"/>
      <c r="C345" s="9" t="n"/>
      <c r="D345" s="9" t="n"/>
      <c r="E345" s="9" t="n"/>
      <c r="F345" s="23" t="n"/>
      <c r="G345" s="19" t="n"/>
      <c r="H345" s="23" t="n"/>
      <c r="I345" s="24" t="n"/>
      <c r="J345" s="19" t="n"/>
      <c r="K345" s="25">
        <f>IF($D345="","",IFERROR(INDEX(Profile!$B$5:$B$304,MATCH($D345,lst_Profil,0)),""))</f>
        <v/>
      </c>
      <c r="L345" s="13">
        <f>IF($D345="","",IFERROR(INDEX(Profile!$K$5:$K$304,MATCH($D345,lst_Profil,0))+0,""))</f>
        <v/>
      </c>
      <c r="M345" s="26">
        <f>IF($D345="","",IFERROR(INDEX(Profile!$E$5:$E$304,MATCH($D345,lst_Profil,0))+0,""))</f>
        <v/>
      </c>
      <c r="N345" s="27">
        <f>IF(OR(L345="",$E345=""),"",IFERROR(L345*INDEX(Werkstoffe!$E$5:$E$304,MATCH($E345,lst_Werkstoff,0))/1000,""))</f>
        <v/>
      </c>
      <c r="O345" s="27">
        <f>IF(OR(N345="",$F345=""),"",N345*$F345/1000)</f>
        <v/>
      </c>
      <c r="P345" s="16">
        <f>IF(OR($F345="",$G345=""),"",$F345*$G345)</f>
        <v/>
      </c>
      <c r="Q345" s="16">
        <f>IF($D345="","",IF($J345&lt;&gt;"",$J345,$C$9))</f>
        <v/>
      </c>
      <c r="R345" s="12">
        <f>IF($D345="","",IFERROR(IF(INDEX(Profile!$G$5:$G$304,MATCH($D345,lst_Profil,0))&lt;&gt;"",INDEX(Profile!$G$5:$G$304,MATCH($D345,lst_Profil,0)),$H$4),$H$4))</f>
        <v/>
      </c>
      <c r="S345" s="12">
        <f>IF($D345="","",IFERROR(IF(INDEX(Profile!$H$5:$H$304,MATCH($D345,lst_Profil,0))&lt;&gt;"",INDEX(Profile!$H$5:$H$304,MATCH($D345,lst_Profil,0)),$H$5),$H$5))</f>
        <v/>
      </c>
      <c r="T345" s="16">
        <f>IF(OR(Q345="",NOT(ISNUMBER(R345)),NOT(ISNUMBER(S345))),"",Q345-R345-S345)</f>
        <v/>
      </c>
      <c r="U345" s="28">
        <f>IF(OR($D345="",$E345=""),"",IF(OR(N($AP345)&gt;0,COUNTIFS(Preise!$A$5:$A$304,$D345,Preise!$B$5:$B$304,$E345,Preise!$I$5:$I$304,"OK")&gt;0,N(INDEX(Werkstoffe!$G$5:$G$304,MATCH($E345,lst_Werkstoff,0)))&gt;0),"ja","nein"))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28">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Materialpreis",IF(AND($AQ345&lt;&gt;"",N($AR345)&gt;0,MOD($G345,$AR345)&lt;&gt;0),"WARNUNG: Stückzahl ist kein Vielfaches von Stück je Satz",IF($H345="","HINWEIS: Schneidweg fehlt",IF(V345="","HINWEIS: keine Schneiddaten",IF(AND($AF345&lt;&gt;"",$AG345=""),"HINWEIS: Gewinde-Vorschlag prüfen","OK")))))))))))))))</f>
        <v/>
      </c>
      <c r="X345" s="18">
        <f>IF(OR(O345="",$G345=""),"",O345*$G345)</f>
        <v/>
      </c>
      <c r="Y345" s="9" t="n"/>
      <c r="Z345" s="23" t="n"/>
      <c r="AA345" s="9" t="n"/>
      <c r="AB345" s="23" t="n"/>
      <c r="AC345" s="23" t="n"/>
      <c r="AD345" s="23" t="n"/>
      <c r="AE345" s="9" t="n"/>
      <c r="AF345" s="9" t="n"/>
      <c r="AG345" s="9" t="n"/>
      <c r="AH345" s="24" t="n"/>
      <c r="AI345" s="23" t="n"/>
      <c r="AJ345" s="24" t="n"/>
      <c r="AK345" s="23" t="n"/>
      <c r="AL345" s="24" t="n"/>
      <c r="AM345" s="23" t="n"/>
      <c r="AN345" s="28">
        <f>IF($D345="","",COUNTIFS(Stangenbelegung!$E$5:$E$10004,ROW()))</f>
        <v/>
      </c>
      <c r="AO345" s="28">
        <f>IF(OR($G345="",COUNTA(Stangenbelegung!$A$5:$A$10004)=0),"",$G345-AN345)</f>
        <v/>
      </c>
      <c r="AP345" s="29" t="n"/>
      <c r="AQ345" s="9" t="n"/>
      <c r="AR345" s="19" t="n"/>
    </row>
    <row r="346">
      <c r="A346" s="9" t="n"/>
      <c r="B346" s="9" t="n"/>
      <c r="C346" s="9" t="n"/>
      <c r="D346" s="9" t="n"/>
      <c r="E346" s="9" t="n"/>
      <c r="F346" s="23" t="n"/>
      <c r="G346" s="19" t="n"/>
      <c r="H346" s="23" t="n"/>
      <c r="I346" s="24" t="n"/>
      <c r="J346" s="19" t="n"/>
      <c r="K346" s="25">
        <f>IF($D346="","",IFERROR(INDEX(Profile!$B$5:$B$304,MATCH($D346,lst_Profil,0)),""))</f>
        <v/>
      </c>
      <c r="L346" s="13">
        <f>IF($D346="","",IFERROR(INDEX(Profile!$K$5:$K$304,MATCH($D346,lst_Profil,0))+0,""))</f>
        <v/>
      </c>
      <c r="M346" s="26">
        <f>IF($D346="","",IFERROR(INDEX(Profile!$E$5:$E$304,MATCH($D346,lst_Profil,0))+0,""))</f>
        <v/>
      </c>
      <c r="N346" s="27">
        <f>IF(OR(L346="",$E346=""),"",IFERROR(L346*INDEX(Werkstoffe!$E$5:$E$304,MATCH($E346,lst_Werkstoff,0))/1000,""))</f>
        <v/>
      </c>
      <c r="O346" s="27">
        <f>IF(OR(N346="",$F346=""),"",N346*$F346/1000)</f>
        <v/>
      </c>
      <c r="P346" s="16">
        <f>IF(OR($F346="",$G346=""),"",$F346*$G346)</f>
        <v/>
      </c>
      <c r="Q346" s="16">
        <f>IF($D346="","",IF($J346&lt;&gt;"",$J346,$C$9))</f>
        <v/>
      </c>
      <c r="R346" s="12">
        <f>IF($D346="","",IFERROR(IF(INDEX(Profile!$G$5:$G$304,MATCH($D346,lst_Profil,0))&lt;&gt;"",INDEX(Profile!$G$5:$G$304,MATCH($D346,lst_Profil,0)),$H$4),$H$4))</f>
        <v/>
      </c>
      <c r="S346" s="12">
        <f>IF($D346="","",IFERROR(IF(INDEX(Profile!$H$5:$H$304,MATCH($D346,lst_Profil,0))&lt;&gt;"",INDEX(Profile!$H$5:$H$304,MATCH($D346,lst_Profil,0)),$H$5),$H$5))</f>
        <v/>
      </c>
      <c r="T346" s="16">
        <f>IF(OR(Q346="",NOT(ISNUMBER(R346)),NOT(ISNUMBER(S346))),"",Q346-R346-S346)</f>
        <v/>
      </c>
      <c r="U346" s="28">
        <f>IF(OR($D346="",$E346=""),"",IF(OR(N($AP346)&gt;0,COUNTIFS(Preise!$A$5:$A$304,$D346,Preise!$B$5:$B$304,$E346,Preise!$I$5:$I$304,"OK")&gt;0,N(INDEX(Werkstoffe!$G$5:$G$304,MATCH($E346,lst_Werkstoff,0)))&gt;0),"ja","nein"))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28">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Materialpreis",IF(AND($AQ346&lt;&gt;"",N($AR346)&gt;0,MOD($G346,$AR346)&lt;&gt;0),"WARNUNG: Stückzahl ist kein Vielfaches von Stück je Satz",IF($H346="","HINWEIS: Schneidweg fehlt",IF(V346="","HINWEIS: keine Schneiddaten",IF(AND($AF346&lt;&gt;"",$AG346=""),"HINWEIS: Gewinde-Vorschlag prüfen","OK")))))))))))))))</f>
        <v/>
      </c>
      <c r="X346" s="18">
        <f>IF(OR(O346="",$G346=""),"",O346*$G346)</f>
        <v/>
      </c>
      <c r="Y346" s="9" t="n"/>
      <c r="Z346" s="23" t="n"/>
      <c r="AA346" s="9" t="n"/>
      <c r="AB346" s="23" t="n"/>
      <c r="AC346" s="23" t="n"/>
      <c r="AD346" s="23" t="n"/>
      <c r="AE346" s="9" t="n"/>
      <c r="AF346" s="9" t="n"/>
      <c r="AG346" s="9" t="n"/>
      <c r="AH346" s="24" t="n"/>
      <c r="AI346" s="23" t="n"/>
      <c r="AJ346" s="24" t="n"/>
      <c r="AK346" s="23" t="n"/>
      <c r="AL346" s="24" t="n"/>
      <c r="AM346" s="23" t="n"/>
      <c r="AN346" s="28">
        <f>IF($D346="","",COUNTIFS(Stangenbelegung!$E$5:$E$10004,ROW()))</f>
        <v/>
      </c>
      <c r="AO346" s="28">
        <f>IF(OR($G346="",COUNTA(Stangenbelegung!$A$5:$A$10004)=0),"",$G346-AN346)</f>
        <v/>
      </c>
      <c r="AP346" s="29" t="n"/>
      <c r="AQ346" s="9" t="n"/>
      <c r="AR346" s="19" t="n"/>
    </row>
    <row r="347">
      <c r="A347" s="9" t="n"/>
      <c r="B347" s="9" t="n"/>
      <c r="C347" s="9" t="n"/>
      <c r="D347" s="9" t="n"/>
      <c r="E347" s="9" t="n"/>
      <c r="F347" s="23" t="n"/>
      <c r="G347" s="19" t="n"/>
      <c r="H347" s="23" t="n"/>
      <c r="I347" s="24" t="n"/>
      <c r="J347" s="19" t="n"/>
      <c r="K347" s="25">
        <f>IF($D347="","",IFERROR(INDEX(Profile!$B$5:$B$304,MATCH($D347,lst_Profil,0)),""))</f>
        <v/>
      </c>
      <c r="L347" s="13">
        <f>IF($D347="","",IFERROR(INDEX(Profile!$K$5:$K$304,MATCH($D347,lst_Profil,0))+0,""))</f>
        <v/>
      </c>
      <c r="M347" s="26">
        <f>IF($D347="","",IFERROR(INDEX(Profile!$E$5:$E$304,MATCH($D347,lst_Profil,0))+0,""))</f>
        <v/>
      </c>
      <c r="N347" s="27">
        <f>IF(OR(L347="",$E347=""),"",IFERROR(L347*INDEX(Werkstoffe!$E$5:$E$304,MATCH($E347,lst_Werkstoff,0))/1000,""))</f>
        <v/>
      </c>
      <c r="O347" s="27">
        <f>IF(OR(N347="",$F347=""),"",N347*$F347/1000)</f>
        <v/>
      </c>
      <c r="P347" s="16">
        <f>IF(OR($F347="",$G347=""),"",$F347*$G347)</f>
        <v/>
      </c>
      <c r="Q347" s="16">
        <f>IF($D347="","",IF($J347&lt;&gt;"",$J347,$C$9))</f>
        <v/>
      </c>
      <c r="R347" s="12">
        <f>IF($D347="","",IFERROR(IF(INDEX(Profile!$G$5:$G$304,MATCH($D347,lst_Profil,0))&lt;&gt;"",INDEX(Profile!$G$5:$G$304,MATCH($D347,lst_Profil,0)),$H$4),$H$4))</f>
        <v/>
      </c>
      <c r="S347" s="12">
        <f>IF($D347="","",IFERROR(IF(INDEX(Profile!$H$5:$H$304,MATCH($D347,lst_Profil,0))&lt;&gt;"",INDEX(Profile!$H$5:$H$304,MATCH($D347,lst_Profil,0)),$H$5),$H$5))</f>
        <v/>
      </c>
      <c r="T347" s="16">
        <f>IF(OR(Q347="",NOT(ISNUMBER(R347)),NOT(ISNUMBER(S347))),"",Q347-R347-S347)</f>
        <v/>
      </c>
      <c r="U347" s="28">
        <f>IF(OR($D347="",$E347=""),"",IF(OR(N($AP347)&gt;0,COUNTIFS(Preise!$A$5:$A$304,$D347,Preise!$B$5:$B$304,$E347,Preise!$I$5:$I$304,"OK")&gt;0,N(INDEX(Werkstoffe!$G$5:$G$304,MATCH($E347,lst_Werkstoff,0)))&gt;0),"ja","nein"))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28">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Materialpreis",IF(AND($AQ347&lt;&gt;"",N($AR347)&gt;0,MOD($G347,$AR347)&lt;&gt;0),"WARNUNG: Stückzahl ist kein Vielfaches von Stück je Satz",IF($H347="","HINWEIS: Schneidweg fehlt",IF(V347="","HINWEIS: keine Schneiddaten",IF(AND($AF347&lt;&gt;"",$AG347=""),"HINWEIS: Gewinde-Vorschlag prüfen","OK")))))))))))))))</f>
        <v/>
      </c>
      <c r="X347" s="18">
        <f>IF(OR(O347="",$G347=""),"",O347*$G347)</f>
        <v/>
      </c>
      <c r="Y347" s="9" t="n"/>
      <c r="Z347" s="23" t="n"/>
      <c r="AA347" s="9" t="n"/>
      <c r="AB347" s="23" t="n"/>
      <c r="AC347" s="23" t="n"/>
      <c r="AD347" s="23" t="n"/>
      <c r="AE347" s="9" t="n"/>
      <c r="AF347" s="9" t="n"/>
      <c r="AG347" s="9" t="n"/>
      <c r="AH347" s="24" t="n"/>
      <c r="AI347" s="23" t="n"/>
      <c r="AJ347" s="24" t="n"/>
      <c r="AK347" s="23" t="n"/>
      <c r="AL347" s="24" t="n"/>
      <c r="AM347" s="23" t="n"/>
      <c r="AN347" s="28">
        <f>IF($D347="","",COUNTIFS(Stangenbelegung!$E$5:$E$10004,ROW()))</f>
        <v/>
      </c>
      <c r="AO347" s="28">
        <f>IF(OR($G347="",COUNTA(Stangenbelegung!$A$5:$A$10004)=0),"",$G347-AN347)</f>
        <v/>
      </c>
      <c r="AP347" s="29" t="n"/>
      <c r="AQ347" s="9" t="n"/>
      <c r="AR347" s="19" t="n"/>
    </row>
    <row r="348">
      <c r="A348" s="9" t="n"/>
      <c r="B348" s="9" t="n"/>
      <c r="C348" s="9" t="n"/>
      <c r="D348" s="9" t="n"/>
      <c r="E348" s="9" t="n"/>
      <c r="F348" s="23" t="n"/>
      <c r="G348" s="19" t="n"/>
      <c r="H348" s="23" t="n"/>
      <c r="I348" s="24" t="n"/>
      <c r="J348" s="19" t="n"/>
      <c r="K348" s="25">
        <f>IF($D348="","",IFERROR(INDEX(Profile!$B$5:$B$304,MATCH($D348,lst_Profil,0)),""))</f>
        <v/>
      </c>
      <c r="L348" s="13">
        <f>IF($D348="","",IFERROR(INDEX(Profile!$K$5:$K$304,MATCH($D348,lst_Profil,0))+0,""))</f>
        <v/>
      </c>
      <c r="M348" s="26">
        <f>IF($D348="","",IFERROR(INDEX(Profile!$E$5:$E$304,MATCH($D348,lst_Profil,0))+0,""))</f>
        <v/>
      </c>
      <c r="N348" s="27">
        <f>IF(OR(L348="",$E348=""),"",IFERROR(L348*INDEX(Werkstoffe!$E$5:$E$304,MATCH($E348,lst_Werkstoff,0))/1000,""))</f>
        <v/>
      </c>
      <c r="O348" s="27">
        <f>IF(OR(N348="",$F348=""),"",N348*$F348/1000)</f>
        <v/>
      </c>
      <c r="P348" s="16">
        <f>IF(OR($F348="",$G348=""),"",$F348*$G348)</f>
        <v/>
      </c>
      <c r="Q348" s="16">
        <f>IF($D348="","",IF($J348&lt;&gt;"",$J348,$C$9))</f>
        <v/>
      </c>
      <c r="R348" s="12">
        <f>IF($D348="","",IFERROR(IF(INDEX(Profile!$G$5:$G$304,MATCH($D348,lst_Profil,0))&lt;&gt;"",INDEX(Profile!$G$5:$G$304,MATCH($D348,lst_Profil,0)),$H$4),$H$4))</f>
        <v/>
      </c>
      <c r="S348" s="12">
        <f>IF($D348="","",IFERROR(IF(INDEX(Profile!$H$5:$H$304,MATCH($D348,lst_Profil,0))&lt;&gt;"",INDEX(Profile!$H$5:$H$304,MATCH($D348,lst_Profil,0)),$H$5),$H$5))</f>
        <v/>
      </c>
      <c r="T348" s="16">
        <f>IF(OR(Q348="",NOT(ISNUMBER(R348)),NOT(ISNUMBER(S348))),"",Q348-R348-S348)</f>
        <v/>
      </c>
      <c r="U348" s="28">
        <f>IF(OR($D348="",$E348=""),"",IF(OR(N($AP348)&gt;0,COUNTIFS(Preise!$A$5:$A$304,$D348,Preise!$B$5:$B$304,$E348,Preise!$I$5:$I$304,"OK")&gt;0,N(INDEX(Werkstoffe!$G$5:$G$304,MATCH($E348,lst_Werkstoff,0)))&gt;0),"ja","nein"))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28">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Materialpreis",IF(AND($AQ348&lt;&gt;"",N($AR348)&gt;0,MOD($G348,$AR348)&lt;&gt;0),"WARNUNG: Stückzahl ist kein Vielfaches von Stück je Satz",IF($H348="","HINWEIS: Schneidweg fehlt",IF(V348="","HINWEIS: keine Schneiddaten",IF(AND($AF348&lt;&gt;"",$AG348=""),"HINWEIS: Gewinde-Vorschlag prüfen","OK")))))))))))))))</f>
        <v/>
      </c>
      <c r="X348" s="18">
        <f>IF(OR(O348="",$G348=""),"",O348*$G348)</f>
        <v/>
      </c>
      <c r="Y348" s="9" t="n"/>
      <c r="Z348" s="23" t="n"/>
      <c r="AA348" s="9" t="n"/>
      <c r="AB348" s="23" t="n"/>
      <c r="AC348" s="23" t="n"/>
      <c r="AD348" s="23" t="n"/>
      <c r="AE348" s="9" t="n"/>
      <c r="AF348" s="9" t="n"/>
      <c r="AG348" s="9" t="n"/>
      <c r="AH348" s="24" t="n"/>
      <c r="AI348" s="23" t="n"/>
      <c r="AJ348" s="24" t="n"/>
      <c r="AK348" s="23" t="n"/>
      <c r="AL348" s="24" t="n"/>
      <c r="AM348" s="23" t="n"/>
      <c r="AN348" s="28">
        <f>IF($D348="","",COUNTIFS(Stangenbelegung!$E$5:$E$10004,ROW()))</f>
        <v/>
      </c>
      <c r="AO348" s="28">
        <f>IF(OR($G348="",COUNTA(Stangenbelegung!$A$5:$A$10004)=0),"",$G348-AN348)</f>
        <v/>
      </c>
      <c r="AP348" s="29" t="n"/>
      <c r="AQ348" s="9" t="n"/>
      <c r="AR348" s="19" t="n"/>
    </row>
    <row r="349">
      <c r="A349" s="9" t="n"/>
      <c r="B349" s="9" t="n"/>
      <c r="C349" s="9" t="n"/>
      <c r="D349" s="9" t="n"/>
      <c r="E349" s="9" t="n"/>
      <c r="F349" s="23" t="n"/>
      <c r="G349" s="19" t="n"/>
      <c r="H349" s="23" t="n"/>
      <c r="I349" s="24" t="n"/>
      <c r="J349" s="19" t="n"/>
      <c r="K349" s="25">
        <f>IF($D349="","",IFERROR(INDEX(Profile!$B$5:$B$304,MATCH($D349,lst_Profil,0)),""))</f>
        <v/>
      </c>
      <c r="L349" s="13">
        <f>IF($D349="","",IFERROR(INDEX(Profile!$K$5:$K$304,MATCH($D349,lst_Profil,0))+0,""))</f>
        <v/>
      </c>
      <c r="M349" s="26">
        <f>IF($D349="","",IFERROR(INDEX(Profile!$E$5:$E$304,MATCH($D349,lst_Profil,0))+0,""))</f>
        <v/>
      </c>
      <c r="N349" s="27">
        <f>IF(OR(L349="",$E349=""),"",IFERROR(L349*INDEX(Werkstoffe!$E$5:$E$304,MATCH($E349,lst_Werkstoff,0))/1000,""))</f>
        <v/>
      </c>
      <c r="O349" s="27">
        <f>IF(OR(N349="",$F349=""),"",N349*$F349/1000)</f>
        <v/>
      </c>
      <c r="P349" s="16">
        <f>IF(OR($F349="",$G349=""),"",$F349*$G349)</f>
        <v/>
      </c>
      <c r="Q349" s="16">
        <f>IF($D349="","",IF($J349&lt;&gt;"",$J349,$C$9))</f>
        <v/>
      </c>
      <c r="R349" s="12">
        <f>IF($D349="","",IFERROR(IF(INDEX(Profile!$G$5:$G$304,MATCH($D349,lst_Profil,0))&lt;&gt;"",INDEX(Profile!$G$5:$G$304,MATCH($D349,lst_Profil,0)),$H$4),$H$4))</f>
        <v/>
      </c>
      <c r="S349" s="12">
        <f>IF($D349="","",IFERROR(IF(INDEX(Profile!$H$5:$H$304,MATCH($D349,lst_Profil,0))&lt;&gt;"",INDEX(Profile!$H$5:$H$304,MATCH($D349,lst_Profil,0)),$H$5),$H$5))</f>
        <v/>
      </c>
      <c r="T349" s="16">
        <f>IF(OR(Q349="",NOT(ISNUMBER(R349)),NOT(ISNUMBER(S349))),"",Q349-R349-S349)</f>
        <v/>
      </c>
      <c r="U349" s="28">
        <f>IF(OR($D349="",$E349=""),"",IF(OR(N($AP349)&gt;0,COUNTIFS(Preise!$A$5:$A$304,$D349,Preise!$B$5:$B$304,$E349,Preise!$I$5:$I$304,"OK")&gt;0,N(INDEX(Werkstoffe!$G$5:$G$304,MATCH($E349,lst_Werkstoff,0)))&gt;0),"ja","nein"))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28">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Materialpreis",IF(AND($AQ349&lt;&gt;"",N($AR349)&gt;0,MOD($G349,$AR349)&lt;&gt;0),"WARNUNG: Stückzahl ist kein Vielfaches von Stück je Satz",IF($H349="","HINWEIS: Schneidweg fehlt",IF(V349="","HINWEIS: keine Schneiddaten",IF(AND($AF349&lt;&gt;"",$AG349=""),"HINWEIS: Gewinde-Vorschlag prüfen","OK")))))))))))))))</f>
        <v/>
      </c>
      <c r="X349" s="18">
        <f>IF(OR(O349="",$G349=""),"",O349*$G349)</f>
        <v/>
      </c>
      <c r="Y349" s="9" t="n"/>
      <c r="Z349" s="23" t="n"/>
      <c r="AA349" s="9" t="n"/>
      <c r="AB349" s="23" t="n"/>
      <c r="AC349" s="23" t="n"/>
      <c r="AD349" s="23" t="n"/>
      <c r="AE349" s="9" t="n"/>
      <c r="AF349" s="9" t="n"/>
      <c r="AG349" s="9" t="n"/>
      <c r="AH349" s="24" t="n"/>
      <c r="AI349" s="23" t="n"/>
      <c r="AJ349" s="24" t="n"/>
      <c r="AK349" s="23" t="n"/>
      <c r="AL349" s="24" t="n"/>
      <c r="AM349" s="23" t="n"/>
      <c r="AN349" s="28">
        <f>IF($D349="","",COUNTIFS(Stangenbelegung!$E$5:$E$10004,ROW()))</f>
        <v/>
      </c>
      <c r="AO349" s="28">
        <f>IF(OR($G349="",COUNTA(Stangenbelegung!$A$5:$A$10004)=0),"",$G349-AN349)</f>
        <v/>
      </c>
      <c r="AP349" s="29" t="n"/>
      <c r="AQ349" s="9" t="n"/>
      <c r="AR349" s="19" t="n"/>
    </row>
    <row r="350">
      <c r="A350" s="9" t="n"/>
      <c r="B350" s="9" t="n"/>
      <c r="C350" s="9" t="n"/>
      <c r="D350" s="9" t="n"/>
      <c r="E350" s="9" t="n"/>
      <c r="F350" s="23" t="n"/>
      <c r="G350" s="19" t="n"/>
      <c r="H350" s="23" t="n"/>
      <c r="I350" s="24" t="n"/>
      <c r="J350" s="19" t="n"/>
      <c r="K350" s="25">
        <f>IF($D350="","",IFERROR(INDEX(Profile!$B$5:$B$304,MATCH($D350,lst_Profil,0)),""))</f>
        <v/>
      </c>
      <c r="L350" s="13">
        <f>IF($D350="","",IFERROR(INDEX(Profile!$K$5:$K$304,MATCH($D350,lst_Profil,0))+0,""))</f>
        <v/>
      </c>
      <c r="M350" s="26">
        <f>IF($D350="","",IFERROR(INDEX(Profile!$E$5:$E$304,MATCH($D350,lst_Profil,0))+0,""))</f>
        <v/>
      </c>
      <c r="N350" s="27">
        <f>IF(OR(L350="",$E350=""),"",IFERROR(L350*INDEX(Werkstoffe!$E$5:$E$304,MATCH($E350,lst_Werkstoff,0))/1000,""))</f>
        <v/>
      </c>
      <c r="O350" s="27">
        <f>IF(OR(N350="",$F350=""),"",N350*$F350/1000)</f>
        <v/>
      </c>
      <c r="P350" s="16">
        <f>IF(OR($F350="",$G350=""),"",$F350*$G350)</f>
        <v/>
      </c>
      <c r="Q350" s="16">
        <f>IF($D350="","",IF($J350&lt;&gt;"",$J350,$C$9))</f>
        <v/>
      </c>
      <c r="R350" s="12">
        <f>IF($D350="","",IFERROR(IF(INDEX(Profile!$G$5:$G$304,MATCH($D350,lst_Profil,0))&lt;&gt;"",INDEX(Profile!$G$5:$G$304,MATCH($D350,lst_Profil,0)),$H$4),$H$4))</f>
        <v/>
      </c>
      <c r="S350" s="12">
        <f>IF($D350="","",IFERROR(IF(INDEX(Profile!$H$5:$H$304,MATCH($D350,lst_Profil,0))&lt;&gt;"",INDEX(Profile!$H$5:$H$304,MATCH($D350,lst_Profil,0)),$H$5),$H$5))</f>
        <v/>
      </c>
      <c r="T350" s="16">
        <f>IF(OR(Q350="",NOT(ISNUMBER(R350)),NOT(ISNUMBER(S350))),"",Q350-R350-S350)</f>
        <v/>
      </c>
      <c r="U350" s="28">
        <f>IF(OR($D350="",$E350=""),"",IF(OR(N($AP350)&gt;0,COUNTIFS(Preise!$A$5:$A$304,$D350,Preise!$B$5:$B$304,$E350,Preise!$I$5:$I$304,"OK")&gt;0,N(INDEX(Werkstoffe!$G$5:$G$304,MATCH($E350,lst_Werkstoff,0)))&gt;0),"ja","nein"))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28">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Materialpreis",IF(AND($AQ350&lt;&gt;"",N($AR350)&gt;0,MOD($G350,$AR350)&lt;&gt;0),"WARNUNG: Stückzahl ist kein Vielfaches von Stück je Satz",IF($H350="","HINWEIS: Schneidweg fehlt",IF(V350="","HINWEIS: keine Schneiddaten",IF(AND($AF350&lt;&gt;"",$AG350=""),"HINWEIS: Gewinde-Vorschlag prüfen","OK")))))))))))))))</f>
        <v/>
      </c>
      <c r="X350" s="18">
        <f>IF(OR(O350="",$G350=""),"",O350*$G350)</f>
        <v/>
      </c>
      <c r="Y350" s="9" t="n"/>
      <c r="Z350" s="23" t="n"/>
      <c r="AA350" s="9" t="n"/>
      <c r="AB350" s="23" t="n"/>
      <c r="AC350" s="23" t="n"/>
      <c r="AD350" s="23" t="n"/>
      <c r="AE350" s="9" t="n"/>
      <c r="AF350" s="9" t="n"/>
      <c r="AG350" s="9" t="n"/>
      <c r="AH350" s="24" t="n"/>
      <c r="AI350" s="23" t="n"/>
      <c r="AJ350" s="24" t="n"/>
      <c r="AK350" s="23" t="n"/>
      <c r="AL350" s="24" t="n"/>
      <c r="AM350" s="23" t="n"/>
      <c r="AN350" s="28">
        <f>IF($D350="","",COUNTIFS(Stangenbelegung!$E$5:$E$10004,ROW()))</f>
        <v/>
      </c>
      <c r="AO350" s="28">
        <f>IF(OR($G350="",COUNTA(Stangenbelegung!$A$5:$A$10004)=0),"",$G350-AN350)</f>
        <v/>
      </c>
      <c r="AP350" s="29" t="n"/>
      <c r="AQ350" s="9" t="n"/>
      <c r="AR350" s="19" t="n"/>
    </row>
    <row r="351">
      <c r="A351" s="9" t="n"/>
      <c r="B351" s="9" t="n"/>
      <c r="C351" s="9" t="n"/>
      <c r="D351" s="9" t="n"/>
      <c r="E351" s="9" t="n"/>
      <c r="F351" s="23" t="n"/>
      <c r="G351" s="19" t="n"/>
      <c r="H351" s="23" t="n"/>
      <c r="I351" s="24" t="n"/>
      <c r="J351" s="19" t="n"/>
      <c r="K351" s="25">
        <f>IF($D351="","",IFERROR(INDEX(Profile!$B$5:$B$304,MATCH($D351,lst_Profil,0)),""))</f>
        <v/>
      </c>
      <c r="L351" s="13">
        <f>IF($D351="","",IFERROR(INDEX(Profile!$K$5:$K$304,MATCH($D351,lst_Profil,0))+0,""))</f>
        <v/>
      </c>
      <c r="M351" s="26">
        <f>IF($D351="","",IFERROR(INDEX(Profile!$E$5:$E$304,MATCH($D351,lst_Profil,0))+0,""))</f>
        <v/>
      </c>
      <c r="N351" s="27">
        <f>IF(OR(L351="",$E351=""),"",IFERROR(L351*INDEX(Werkstoffe!$E$5:$E$304,MATCH($E351,lst_Werkstoff,0))/1000,""))</f>
        <v/>
      </c>
      <c r="O351" s="27">
        <f>IF(OR(N351="",$F351=""),"",N351*$F351/1000)</f>
        <v/>
      </c>
      <c r="P351" s="16">
        <f>IF(OR($F351="",$G351=""),"",$F351*$G351)</f>
        <v/>
      </c>
      <c r="Q351" s="16">
        <f>IF($D351="","",IF($J351&lt;&gt;"",$J351,$C$9))</f>
        <v/>
      </c>
      <c r="R351" s="12">
        <f>IF($D351="","",IFERROR(IF(INDEX(Profile!$G$5:$G$304,MATCH($D351,lst_Profil,0))&lt;&gt;"",INDEX(Profile!$G$5:$G$304,MATCH($D351,lst_Profil,0)),$H$4),$H$4))</f>
        <v/>
      </c>
      <c r="S351" s="12">
        <f>IF($D351="","",IFERROR(IF(INDEX(Profile!$H$5:$H$304,MATCH($D351,lst_Profil,0))&lt;&gt;"",INDEX(Profile!$H$5:$H$304,MATCH($D351,lst_Profil,0)),$H$5),$H$5))</f>
        <v/>
      </c>
      <c r="T351" s="16">
        <f>IF(OR(Q351="",NOT(ISNUMBER(R351)),NOT(ISNUMBER(S351))),"",Q351-R351-S351)</f>
        <v/>
      </c>
      <c r="U351" s="28">
        <f>IF(OR($D351="",$E351=""),"",IF(OR(N($AP351)&gt;0,COUNTIFS(Preise!$A$5:$A$304,$D351,Preise!$B$5:$B$304,$E351,Preise!$I$5:$I$304,"OK")&gt;0,N(INDEX(Werkstoffe!$G$5:$G$304,MATCH($E351,lst_Werkstoff,0)))&gt;0),"ja","nein"))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28">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Materialpreis",IF(AND($AQ351&lt;&gt;"",N($AR351)&gt;0,MOD($G351,$AR351)&lt;&gt;0),"WARNUNG: Stückzahl ist kein Vielfaches von Stück je Satz",IF($H351="","HINWEIS: Schneidweg fehlt",IF(V351="","HINWEIS: keine Schneiddaten",IF(AND($AF351&lt;&gt;"",$AG351=""),"HINWEIS: Gewinde-Vorschlag prüfen","OK")))))))))))))))</f>
        <v/>
      </c>
      <c r="X351" s="18">
        <f>IF(OR(O351="",$G351=""),"",O351*$G351)</f>
        <v/>
      </c>
      <c r="Y351" s="9" t="n"/>
      <c r="Z351" s="23" t="n"/>
      <c r="AA351" s="9" t="n"/>
      <c r="AB351" s="23" t="n"/>
      <c r="AC351" s="23" t="n"/>
      <c r="AD351" s="23" t="n"/>
      <c r="AE351" s="9" t="n"/>
      <c r="AF351" s="9" t="n"/>
      <c r="AG351" s="9" t="n"/>
      <c r="AH351" s="24" t="n"/>
      <c r="AI351" s="23" t="n"/>
      <c r="AJ351" s="24" t="n"/>
      <c r="AK351" s="23" t="n"/>
      <c r="AL351" s="24" t="n"/>
      <c r="AM351" s="23" t="n"/>
      <c r="AN351" s="28">
        <f>IF($D351="","",COUNTIFS(Stangenbelegung!$E$5:$E$10004,ROW()))</f>
        <v/>
      </c>
      <c r="AO351" s="28">
        <f>IF(OR($G351="",COUNTA(Stangenbelegung!$A$5:$A$10004)=0),"",$G351-AN351)</f>
        <v/>
      </c>
      <c r="AP351" s="29" t="n"/>
      <c r="AQ351" s="9" t="n"/>
      <c r="AR351" s="19" t="n"/>
    </row>
    <row r="352">
      <c r="A352" s="9" t="n"/>
      <c r="B352" s="9" t="n"/>
      <c r="C352" s="9" t="n"/>
      <c r="D352" s="9" t="n"/>
      <c r="E352" s="9" t="n"/>
      <c r="F352" s="23" t="n"/>
      <c r="G352" s="19" t="n"/>
      <c r="H352" s="23" t="n"/>
      <c r="I352" s="24" t="n"/>
      <c r="J352" s="19" t="n"/>
      <c r="K352" s="25">
        <f>IF($D352="","",IFERROR(INDEX(Profile!$B$5:$B$304,MATCH($D352,lst_Profil,0)),""))</f>
        <v/>
      </c>
      <c r="L352" s="13">
        <f>IF($D352="","",IFERROR(INDEX(Profile!$K$5:$K$304,MATCH($D352,lst_Profil,0))+0,""))</f>
        <v/>
      </c>
      <c r="M352" s="26">
        <f>IF($D352="","",IFERROR(INDEX(Profile!$E$5:$E$304,MATCH($D352,lst_Profil,0))+0,""))</f>
        <v/>
      </c>
      <c r="N352" s="27">
        <f>IF(OR(L352="",$E352=""),"",IFERROR(L352*INDEX(Werkstoffe!$E$5:$E$304,MATCH($E352,lst_Werkstoff,0))/1000,""))</f>
        <v/>
      </c>
      <c r="O352" s="27">
        <f>IF(OR(N352="",$F352=""),"",N352*$F352/1000)</f>
        <v/>
      </c>
      <c r="P352" s="16">
        <f>IF(OR($F352="",$G352=""),"",$F352*$G352)</f>
        <v/>
      </c>
      <c r="Q352" s="16">
        <f>IF($D352="","",IF($J352&lt;&gt;"",$J352,$C$9))</f>
        <v/>
      </c>
      <c r="R352" s="12">
        <f>IF($D352="","",IFERROR(IF(INDEX(Profile!$G$5:$G$304,MATCH($D352,lst_Profil,0))&lt;&gt;"",INDEX(Profile!$G$5:$G$304,MATCH($D352,lst_Profil,0)),$H$4),$H$4))</f>
        <v/>
      </c>
      <c r="S352" s="12">
        <f>IF($D352="","",IFERROR(IF(INDEX(Profile!$H$5:$H$304,MATCH($D352,lst_Profil,0))&lt;&gt;"",INDEX(Profile!$H$5:$H$304,MATCH($D352,lst_Profil,0)),$H$5),$H$5))</f>
        <v/>
      </c>
      <c r="T352" s="16">
        <f>IF(OR(Q352="",NOT(ISNUMBER(R352)),NOT(ISNUMBER(S352))),"",Q352-R352-S352)</f>
        <v/>
      </c>
      <c r="U352" s="28">
        <f>IF(OR($D352="",$E352=""),"",IF(OR(N($AP352)&gt;0,COUNTIFS(Preise!$A$5:$A$304,$D352,Preise!$B$5:$B$304,$E352,Preise!$I$5:$I$304,"OK")&gt;0,N(INDEX(Werkstoffe!$G$5:$G$304,MATCH($E352,lst_Werkstoff,0)))&gt;0),"ja","nein"))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28">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Materialpreis",IF(AND($AQ352&lt;&gt;"",N($AR352)&gt;0,MOD($G352,$AR352)&lt;&gt;0),"WARNUNG: Stückzahl ist kein Vielfaches von Stück je Satz",IF($H352="","HINWEIS: Schneidweg fehlt",IF(V352="","HINWEIS: keine Schneiddaten",IF(AND($AF352&lt;&gt;"",$AG352=""),"HINWEIS: Gewinde-Vorschlag prüfen","OK")))))))))))))))</f>
        <v/>
      </c>
      <c r="X352" s="18">
        <f>IF(OR(O352="",$G352=""),"",O352*$G352)</f>
        <v/>
      </c>
      <c r="Y352" s="9" t="n"/>
      <c r="Z352" s="23" t="n"/>
      <c r="AA352" s="9" t="n"/>
      <c r="AB352" s="23" t="n"/>
      <c r="AC352" s="23" t="n"/>
      <c r="AD352" s="23" t="n"/>
      <c r="AE352" s="9" t="n"/>
      <c r="AF352" s="9" t="n"/>
      <c r="AG352" s="9" t="n"/>
      <c r="AH352" s="24" t="n"/>
      <c r="AI352" s="23" t="n"/>
      <c r="AJ352" s="24" t="n"/>
      <c r="AK352" s="23" t="n"/>
      <c r="AL352" s="24" t="n"/>
      <c r="AM352" s="23" t="n"/>
      <c r="AN352" s="28">
        <f>IF($D352="","",COUNTIFS(Stangenbelegung!$E$5:$E$10004,ROW()))</f>
        <v/>
      </c>
      <c r="AO352" s="28">
        <f>IF(OR($G352="",COUNTA(Stangenbelegung!$A$5:$A$10004)=0),"",$G352-AN352)</f>
        <v/>
      </c>
      <c r="AP352" s="29" t="n"/>
      <c r="AQ352" s="9" t="n"/>
      <c r="AR352" s="19" t="n"/>
    </row>
    <row r="353">
      <c r="A353" s="9" t="n"/>
      <c r="B353" s="9" t="n"/>
      <c r="C353" s="9" t="n"/>
      <c r="D353" s="9" t="n"/>
      <c r="E353" s="9" t="n"/>
      <c r="F353" s="23" t="n"/>
      <c r="G353" s="19" t="n"/>
      <c r="H353" s="23" t="n"/>
      <c r="I353" s="24" t="n"/>
      <c r="J353" s="19" t="n"/>
      <c r="K353" s="25">
        <f>IF($D353="","",IFERROR(INDEX(Profile!$B$5:$B$304,MATCH($D353,lst_Profil,0)),""))</f>
        <v/>
      </c>
      <c r="L353" s="13">
        <f>IF($D353="","",IFERROR(INDEX(Profile!$K$5:$K$304,MATCH($D353,lst_Profil,0))+0,""))</f>
        <v/>
      </c>
      <c r="M353" s="26">
        <f>IF($D353="","",IFERROR(INDEX(Profile!$E$5:$E$304,MATCH($D353,lst_Profil,0))+0,""))</f>
        <v/>
      </c>
      <c r="N353" s="27">
        <f>IF(OR(L353="",$E353=""),"",IFERROR(L353*INDEX(Werkstoffe!$E$5:$E$304,MATCH($E353,lst_Werkstoff,0))/1000,""))</f>
        <v/>
      </c>
      <c r="O353" s="27">
        <f>IF(OR(N353="",$F353=""),"",N353*$F353/1000)</f>
        <v/>
      </c>
      <c r="P353" s="16">
        <f>IF(OR($F353="",$G353=""),"",$F353*$G353)</f>
        <v/>
      </c>
      <c r="Q353" s="16">
        <f>IF($D353="","",IF($J353&lt;&gt;"",$J353,$C$9))</f>
        <v/>
      </c>
      <c r="R353" s="12">
        <f>IF($D353="","",IFERROR(IF(INDEX(Profile!$G$5:$G$304,MATCH($D353,lst_Profil,0))&lt;&gt;"",INDEX(Profile!$G$5:$G$304,MATCH($D353,lst_Profil,0)),$H$4),$H$4))</f>
        <v/>
      </c>
      <c r="S353" s="12">
        <f>IF($D353="","",IFERROR(IF(INDEX(Profile!$H$5:$H$304,MATCH($D353,lst_Profil,0))&lt;&gt;"",INDEX(Profile!$H$5:$H$304,MATCH($D353,lst_Profil,0)),$H$5),$H$5))</f>
        <v/>
      </c>
      <c r="T353" s="16">
        <f>IF(OR(Q353="",NOT(ISNUMBER(R353)),NOT(ISNUMBER(S353))),"",Q353-R353-S353)</f>
        <v/>
      </c>
      <c r="U353" s="28">
        <f>IF(OR($D353="",$E353=""),"",IF(OR(N($AP353)&gt;0,COUNTIFS(Preise!$A$5:$A$304,$D353,Preise!$B$5:$B$304,$E353,Preise!$I$5:$I$304,"OK")&gt;0,N(INDEX(Werkstoffe!$G$5:$G$304,MATCH($E353,lst_Werkstoff,0)))&gt;0),"ja","nein"))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28">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Materialpreis",IF(AND($AQ353&lt;&gt;"",N($AR353)&gt;0,MOD($G353,$AR353)&lt;&gt;0),"WARNUNG: Stückzahl ist kein Vielfaches von Stück je Satz",IF($H353="","HINWEIS: Schneidweg fehlt",IF(V353="","HINWEIS: keine Schneiddaten",IF(AND($AF353&lt;&gt;"",$AG353=""),"HINWEIS: Gewinde-Vorschlag prüfen","OK")))))))))))))))</f>
        <v/>
      </c>
      <c r="X353" s="18">
        <f>IF(OR(O353="",$G353=""),"",O353*$G353)</f>
        <v/>
      </c>
      <c r="Y353" s="9" t="n"/>
      <c r="Z353" s="23" t="n"/>
      <c r="AA353" s="9" t="n"/>
      <c r="AB353" s="23" t="n"/>
      <c r="AC353" s="23" t="n"/>
      <c r="AD353" s="23" t="n"/>
      <c r="AE353" s="9" t="n"/>
      <c r="AF353" s="9" t="n"/>
      <c r="AG353" s="9" t="n"/>
      <c r="AH353" s="24" t="n"/>
      <c r="AI353" s="23" t="n"/>
      <c r="AJ353" s="24" t="n"/>
      <c r="AK353" s="23" t="n"/>
      <c r="AL353" s="24" t="n"/>
      <c r="AM353" s="23" t="n"/>
      <c r="AN353" s="28">
        <f>IF($D353="","",COUNTIFS(Stangenbelegung!$E$5:$E$10004,ROW()))</f>
        <v/>
      </c>
      <c r="AO353" s="28">
        <f>IF(OR($G353="",COUNTA(Stangenbelegung!$A$5:$A$10004)=0),"",$G353-AN353)</f>
        <v/>
      </c>
      <c r="AP353" s="29" t="n"/>
      <c r="AQ353" s="9" t="n"/>
      <c r="AR353" s="19" t="n"/>
    </row>
    <row r="354">
      <c r="A354" s="9" t="n"/>
      <c r="B354" s="9" t="n"/>
      <c r="C354" s="9" t="n"/>
      <c r="D354" s="9" t="n"/>
      <c r="E354" s="9" t="n"/>
      <c r="F354" s="23" t="n"/>
      <c r="G354" s="19" t="n"/>
      <c r="H354" s="23" t="n"/>
      <c r="I354" s="24" t="n"/>
      <c r="J354" s="19" t="n"/>
      <c r="K354" s="25">
        <f>IF($D354="","",IFERROR(INDEX(Profile!$B$5:$B$304,MATCH($D354,lst_Profil,0)),""))</f>
        <v/>
      </c>
      <c r="L354" s="13">
        <f>IF($D354="","",IFERROR(INDEX(Profile!$K$5:$K$304,MATCH($D354,lst_Profil,0))+0,""))</f>
        <v/>
      </c>
      <c r="M354" s="26">
        <f>IF($D354="","",IFERROR(INDEX(Profile!$E$5:$E$304,MATCH($D354,lst_Profil,0))+0,""))</f>
        <v/>
      </c>
      <c r="N354" s="27">
        <f>IF(OR(L354="",$E354=""),"",IFERROR(L354*INDEX(Werkstoffe!$E$5:$E$304,MATCH($E354,lst_Werkstoff,0))/1000,""))</f>
        <v/>
      </c>
      <c r="O354" s="27">
        <f>IF(OR(N354="",$F354=""),"",N354*$F354/1000)</f>
        <v/>
      </c>
      <c r="P354" s="16">
        <f>IF(OR($F354="",$G354=""),"",$F354*$G354)</f>
        <v/>
      </c>
      <c r="Q354" s="16">
        <f>IF($D354="","",IF($J354&lt;&gt;"",$J354,$C$9))</f>
        <v/>
      </c>
      <c r="R354" s="12">
        <f>IF($D354="","",IFERROR(IF(INDEX(Profile!$G$5:$G$304,MATCH($D354,lst_Profil,0))&lt;&gt;"",INDEX(Profile!$G$5:$G$304,MATCH($D354,lst_Profil,0)),$H$4),$H$4))</f>
        <v/>
      </c>
      <c r="S354" s="12">
        <f>IF($D354="","",IFERROR(IF(INDEX(Profile!$H$5:$H$304,MATCH($D354,lst_Profil,0))&lt;&gt;"",INDEX(Profile!$H$5:$H$304,MATCH($D354,lst_Profil,0)),$H$5),$H$5))</f>
        <v/>
      </c>
      <c r="T354" s="16">
        <f>IF(OR(Q354="",NOT(ISNUMBER(R354)),NOT(ISNUMBER(S354))),"",Q354-R354-S354)</f>
        <v/>
      </c>
      <c r="U354" s="28">
        <f>IF(OR($D354="",$E354=""),"",IF(OR(N($AP354)&gt;0,COUNTIFS(Preise!$A$5:$A$304,$D354,Preise!$B$5:$B$304,$E354,Preise!$I$5:$I$304,"OK")&gt;0,N(INDEX(Werkstoffe!$G$5:$G$304,MATCH($E354,lst_Werkstoff,0)))&gt;0),"ja","nein"))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28">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Materialpreis",IF(AND($AQ354&lt;&gt;"",N($AR354)&gt;0,MOD($G354,$AR354)&lt;&gt;0),"WARNUNG: Stückzahl ist kein Vielfaches von Stück je Satz",IF($H354="","HINWEIS: Schneidweg fehlt",IF(V354="","HINWEIS: keine Schneiddaten",IF(AND($AF354&lt;&gt;"",$AG354=""),"HINWEIS: Gewinde-Vorschlag prüfen","OK")))))))))))))))</f>
        <v/>
      </c>
      <c r="X354" s="18">
        <f>IF(OR(O354="",$G354=""),"",O354*$G354)</f>
        <v/>
      </c>
      <c r="Y354" s="9" t="n"/>
      <c r="Z354" s="23" t="n"/>
      <c r="AA354" s="9" t="n"/>
      <c r="AB354" s="23" t="n"/>
      <c r="AC354" s="23" t="n"/>
      <c r="AD354" s="23" t="n"/>
      <c r="AE354" s="9" t="n"/>
      <c r="AF354" s="9" t="n"/>
      <c r="AG354" s="9" t="n"/>
      <c r="AH354" s="24" t="n"/>
      <c r="AI354" s="23" t="n"/>
      <c r="AJ354" s="24" t="n"/>
      <c r="AK354" s="23" t="n"/>
      <c r="AL354" s="24" t="n"/>
      <c r="AM354" s="23" t="n"/>
      <c r="AN354" s="28">
        <f>IF($D354="","",COUNTIFS(Stangenbelegung!$E$5:$E$10004,ROW()))</f>
        <v/>
      </c>
      <c r="AO354" s="28">
        <f>IF(OR($G354="",COUNTA(Stangenbelegung!$A$5:$A$10004)=0),"",$G354-AN354)</f>
        <v/>
      </c>
      <c r="AP354" s="29" t="n"/>
      <c r="AQ354" s="9" t="n"/>
      <c r="AR354" s="19" t="n"/>
    </row>
    <row r="355">
      <c r="A355" s="9" t="n"/>
      <c r="B355" s="9" t="n"/>
      <c r="C355" s="9" t="n"/>
      <c r="D355" s="9" t="n"/>
      <c r="E355" s="9" t="n"/>
      <c r="F355" s="23" t="n"/>
      <c r="G355" s="19" t="n"/>
      <c r="H355" s="23" t="n"/>
      <c r="I355" s="24" t="n"/>
      <c r="J355" s="19" t="n"/>
      <c r="K355" s="25">
        <f>IF($D355="","",IFERROR(INDEX(Profile!$B$5:$B$304,MATCH($D355,lst_Profil,0)),""))</f>
        <v/>
      </c>
      <c r="L355" s="13">
        <f>IF($D355="","",IFERROR(INDEX(Profile!$K$5:$K$304,MATCH($D355,lst_Profil,0))+0,""))</f>
        <v/>
      </c>
      <c r="M355" s="26">
        <f>IF($D355="","",IFERROR(INDEX(Profile!$E$5:$E$304,MATCH($D355,lst_Profil,0))+0,""))</f>
        <v/>
      </c>
      <c r="N355" s="27">
        <f>IF(OR(L355="",$E355=""),"",IFERROR(L355*INDEX(Werkstoffe!$E$5:$E$304,MATCH($E355,lst_Werkstoff,0))/1000,""))</f>
        <v/>
      </c>
      <c r="O355" s="27">
        <f>IF(OR(N355="",$F355=""),"",N355*$F355/1000)</f>
        <v/>
      </c>
      <c r="P355" s="16">
        <f>IF(OR($F355="",$G355=""),"",$F355*$G355)</f>
        <v/>
      </c>
      <c r="Q355" s="16">
        <f>IF($D355="","",IF($J355&lt;&gt;"",$J355,$C$9))</f>
        <v/>
      </c>
      <c r="R355" s="12">
        <f>IF($D355="","",IFERROR(IF(INDEX(Profile!$G$5:$G$304,MATCH($D355,lst_Profil,0))&lt;&gt;"",INDEX(Profile!$G$5:$G$304,MATCH($D355,lst_Profil,0)),$H$4),$H$4))</f>
        <v/>
      </c>
      <c r="S355" s="12">
        <f>IF($D355="","",IFERROR(IF(INDEX(Profile!$H$5:$H$304,MATCH($D355,lst_Profil,0))&lt;&gt;"",INDEX(Profile!$H$5:$H$304,MATCH($D355,lst_Profil,0)),$H$5),$H$5))</f>
        <v/>
      </c>
      <c r="T355" s="16">
        <f>IF(OR(Q355="",NOT(ISNUMBER(R355)),NOT(ISNUMBER(S355))),"",Q355-R355-S355)</f>
        <v/>
      </c>
      <c r="U355" s="28">
        <f>IF(OR($D355="",$E355=""),"",IF(OR(N($AP355)&gt;0,COUNTIFS(Preise!$A$5:$A$304,$D355,Preise!$B$5:$B$304,$E355,Preise!$I$5:$I$304,"OK")&gt;0,N(INDEX(Werkstoffe!$G$5:$G$304,MATCH($E355,lst_Werkstoff,0)))&gt;0),"ja","nein"))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28">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Materialpreis",IF(AND($AQ355&lt;&gt;"",N($AR355)&gt;0,MOD($G355,$AR355)&lt;&gt;0),"WARNUNG: Stückzahl ist kein Vielfaches von Stück je Satz",IF($H355="","HINWEIS: Schneidweg fehlt",IF(V355="","HINWEIS: keine Schneiddaten",IF(AND($AF355&lt;&gt;"",$AG355=""),"HINWEIS: Gewinde-Vorschlag prüfen","OK")))))))))))))))</f>
        <v/>
      </c>
      <c r="X355" s="18">
        <f>IF(OR(O355="",$G355=""),"",O355*$G355)</f>
        <v/>
      </c>
      <c r="Y355" s="9" t="n"/>
      <c r="Z355" s="23" t="n"/>
      <c r="AA355" s="9" t="n"/>
      <c r="AB355" s="23" t="n"/>
      <c r="AC355" s="23" t="n"/>
      <c r="AD355" s="23" t="n"/>
      <c r="AE355" s="9" t="n"/>
      <c r="AF355" s="9" t="n"/>
      <c r="AG355" s="9" t="n"/>
      <c r="AH355" s="24" t="n"/>
      <c r="AI355" s="23" t="n"/>
      <c r="AJ355" s="24" t="n"/>
      <c r="AK355" s="23" t="n"/>
      <c r="AL355" s="24" t="n"/>
      <c r="AM355" s="23" t="n"/>
      <c r="AN355" s="28">
        <f>IF($D355="","",COUNTIFS(Stangenbelegung!$E$5:$E$10004,ROW()))</f>
        <v/>
      </c>
      <c r="AO355" s="28">
        <f>IF(OR($G355="",COUNTA(Stangenbelegung!$A$5:$A$10004)=0),"",$G355-AN355)</f>
        <v/>
      </c>
      <c r="AP355" s="29" t="n"/>
      <c r="AQ355" s="9" t="n"/>
      <c r="AR355" s="19" t="n"/>
    </row>
    <row r="356">
      <c r="A356" s="9" t="n"/>
      <c r="B356" s="9" t="n"/>
      <c r="C356" s="9" t="n"/>
      <c r="D356" s="9" t="n"/>
      <c r="E356" s="9" t="n"/>
      <c r="F356" s="23" t="n"/>
      <c r="G356" s="19" t="n"/>
      <c r="H356" s="23" t="n"/>
      <c r="I356" s="24" t="n"/>
      <c r="J356" s="19" t="n"/>
      <c r="K356" s="25">
        <f>IF($D356="","",IFERROR(INDEX(Profile!$B$5:$B$304,MATCH($D356,lst_Profil,0)),""))</f>
        <v/>
      </c>
      <c r="L356" s="13">
        <f>IF($D356="","",IFERROR(INDEX(Profile!$K$5:$K$304,MATCH($D356,lst_Profil,0))+0,""))</f>
        <v/>
      </c>
      <c r="M356" s="26">
        <f>IF($D356="","",IFERROR(INDEX(Profile!$E$5:$E$304,MATCH($D356,lst_Profil,0))+0,""))</f>
        <v/>
      </c>
      <c r="N356" s="27">
        <f>IF(OR(L356="",$E356=""),"",IFERROR(L356*INDEX(Werkstoffe!$E$5:$E$304,MATCH($E356,lst_Werkstoff,0))/1000,""))</f>
        <v/>
      </c>
      <c r="O356" s="27">
        <f>IF(OR(N356="",$F356=""),"",N356*$F356/1000)</f>
        <v/>
      </c>
      <c r="P356" s="16">
        <f>IF(OR($F356="",$G356=""),"",$F356*$G356)</f>
        <v/>
      </c>
      <c r="Q356" s="16">
        <f>IF($D356="","",IF($J356&lt;&gt;"",$J356,$C$9))</f>
        <v/>
      </c>
      <c r="R356" s="12">
        <f>IF($D356="","",IFERROR(IF(INDEX(Profile!$G$5:$G$304,MATCH($D356,lst_Profil,0))&lt;&gt;"",INDEX(Profile!$G$5:$G$304,MATCH($D356,lst_Profil,0)),$H$4),$H$4))</f>
        <v/>
      </c>
      <c r="S356" s="12">
        <f>IF($D356="","",IFERROR(IF(INDEX(Profile!$H$5:$H$304,MATCH($D356,lst_Profil,0))&lt;&gt;"",INDEX(Profile!$H$5:$H$304,MATCH($D356,lst_Profil,0)),$H$5),$H$5))</f>
        <v/>
      </c>
      <c r="T356" s="16">
        <f>IF(OR(Q356="",NOT(ISNUMBER(R356)),NOT(ISNUMBER(S356))),"",Q356-R356-S356)</f>
        <v/>
      </c>
      <c r="U356" s="28">
        <f>IF(OR($D356="",$E356=""),"",IF(OR(N($AP356)&gt;0,COUNTIFS(Preise!$A$5:$A$304,$D356,Preise!$B$5:$B$304,$E356,Preise!$I$5:$I$304,"OK")&gt;0,N(INDEX(Werkstoffe!$G$5:$G$304,MATCH($E356,lst_Werkstoff,0)))&gt;0),"ja","nein"))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28">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Materialpreis",IF(AND($AQ356&lt;&gt;"",N($AR356)&gt;0,MOD($G356,$AR356)&lt;&gt;0),"WARNUNG: Stückzahl ist kein Vielfaches von Stück je Satz",IF($H356="","HINWEIS: Schneidweg fehlt",IF(V356="","HINWEIS: keine Schneiddaten",IF(AND($AF356&lt;&gt;"",$AG356=""),"HINWEIS: Gewinde-Vorschlag prüfen","OK")))))))))))))))</f>
        <v/>
      </c>
      <c r="X356" s="18">
        <f>IF(OR(O356="",$G356=""),"",O356*$G356)</f>
        <v/>
      </c>
      <c r="Y356" s="9" t="n"/>
      <c r="Z356" s="23" t="n"/>
      <c r="AA356" s="9" t="n"/>
      <c r="AB356" s="23" t="n"/>
      <c r="AC356" s="23" t="n"/>
      <c r="AD356" s="23" t="n"/>
      <c r="AE356" s="9" t="n"/>
      <c r="AF356" s="9" t="n"/>
      <c r="AG356" s="9" t="n"/>
      <c r="AH356" s="24" t="n"/>
      <c r="AI356" s="23" t="n"/>
      <c r="AJ356" s="24" t="n"/>
      <c r="AK356" s="23" t="n"/>
      <c r="AL356" s="24" t="n"/>
      <c r="AM356" s="23" t="n"/>
      <c r="AN356" s="28">
        <f>IF($D356="","",COUNTIFS(Stangenbelegung!$E$5:$E$10004,ROW()))</f>
        <v/>
      </c>
      <c r="AO356" s="28">
        <f>IF(OR($G356="",COUNTA(Stangenbelegung!$A$5:$A$10004)=0),"",$G356-AN356)</f>
        <v/>
      </c>
      <c r="AP356" s="29" t="n"/>
      <c r="AQ356" s="9" t="n"/>
      <c r="AR356" s="19" t="n"/>
    </row>
    <row r="357">
      <c r="A357" s="9" t="n"/>
      <c r="B357" s="9" t="n"/>
      <c r="C357" s="9" t="n"/>
      <c r="D357" s="9" t="n"/>
      <c r="E357" s="9" t="n"/>
      <c r="F357" s="23" t="n"/>
      <c r="G357" s="19" t="n"/>
      <c r="H357" s="23" t="n"/>
      <c r="I357" s="24" t="n"/>
      <c r="J357" s="19" t="n"/>
      <c r="K357" s="25">
        <f>IF($D357="","",IFERROR(INDEX(Profile!$B$5:$B$304,MATCH($D357,lst_Profil,0)),""))</f>
        <v/>
      </c>
      <c r="L357" s="13">
        <f>IF($D357="","",IFERROR(INDEX(Profile!$K$5:$K$304,MATCH($D357,lst_Profil,0))+0,""))</f>
        <v/>
      </c>
      <c r="M357" s="26">
        <f>IF($D357="","",IFERROR(INDEX(Profile!$E$5:$E$304,MATCH($D357,lst_Profil,0))+0,""))</f>
        <v/>
      </c>
      <c r="N357" s="27">
        <f>IF(OR(L357="",$E357=""),"",IFERROR(L357*INDEX(Werkstoffe!$E$5:$E$304,MATCH($E357,lst_Werkstoff,0))/1000,""))</f>
        <v/>
      </c>
      <c r="O357" s="27">
        <f>IF(OR(N357="",$F357=""),"",N357*$F357/1000)</f>
        <v/>
      </c>
      <c r="P357" s="16">
        <f>IF(OR($F357="",$G357=""),"",$F357*$G357)</f>
        <v/>
      </c>
      <c r="Q357" s="16">
        <f>IF($D357="","",IF($J357&lt;&gt;"",$J357,$C$9))</f>
        <v/>
      </c>
      <c r="R357" s="12">
        <f>IF($D357="","",IFERROR(IF(INDEX(Profile!$G$5:$G$304,MATCH($D357,lst_Profil,0))&lt;&gt;"",INDEX(Profile!$G$5:$G$304,MATCH($D357,lst_Profil,0)),$H$4),$H$4))</f>
        <v/>
      </c>
      <c r="S357" s="12">
        <f>IF($D357="","",IFERROR(IF(INDEX(Profile!$H$5:$H$304,MATCH($D357,lst_Profil,0))&lt;&gt;"",INDEX(Profile!$H$5:$H$304,MATCH($D357,lst_Profil,0)),$H$5),$H$5))</f>
        <v/>
      </c>
      <c r="T357" s="16">
        <f>IF(OR(Q357="",NOT(ISNUMBER(R357)),NOT(ISNUMBER(S357))),"",Q357-R357-S357)</f>
        <v/>
      </c>
      <c r="U357" s="28">
        <f>IF(OR($D357="",$E357=""),"",IF(OR(N($AP357)&gt;0,COUNTIFS(Preise!$A$5:$A$304,$D357,Preise!$B$5:$B$304,$E357,Preise!$I$5:$I$304,"OK")&gt;0,N(INDEX(Werkstoffe!$G$5:$G$304,MATCH($E357,lst_Werkstoff,0)))&gt;0),"ja","nein"))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28">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Materialpreis",IF(AND($AQ357&lt;&gt;"",N($AR357)&gt;0,MOD($G357,$AR357)&lt;&gt;0),"WARNUNG: Stückzahl ist kein Vielfaches von Stück je Satz",IF($H357="","HINWEIS: Schneidweg fehlt",IF(V357="","HINWEIS: keine Schneiddaten",IF(AND($AF357&lt;&gt;"",$AG357=""),"HINWEIS: Gewinde-Vorschlag prüfen","OK")))))))))))))))</f>
        <v/>
      </c>
      <c r="X357" s="18">
        <f>IF(OR(O357="",$G357=""),"",O357*$G357)</f>
        <v/>
      </c>
      <c r="Y357" s="9" t="n"/>
      <c r="Z357" s="23" t="n"/>
      <c r="AA357" s="9" t="n"/>
      <c r="AB357" s="23" t="n"/>
      <c r="AC357" s="23" t="n"/>
      <c r="AD357" s="23" t="n"/>
      <c r="AE357" s="9" t="n"/>
      <c r="AF357" s="9" t="n"/>
      <c r="AG357" s="9" t="n"/>
      <c r="AH357" s="24" t="n"/>
      <c r="AI357" s="23" t="n"/>
      <c r="AJ357" s="24" t="n"/>
      <c r="AK357" s="23" t="n"/>
      <c r="AL357" s="24" t="n"/>
      <c r="AM357" s="23" t="n"/>
      <c r="AN357" s="28">
        <f>IF($D357="","",COUNTIFS(Stangenbelegung!$E$5:$E$10004,ROW()))</f>
        <v/>
      </c>
      <c r="AO357" s="28">
        <f>IF(OR($G357="",COUNTA(Stangenbelegung!$A$5:$A$10004)=0),"",$G357-AN357)</f>
        <v/>
      </c>
      <c r="AP357" s="29" t="n"/>
      <c r="AQ357" s="9" t="n"/>
      <c r="AR357" s="19" t="n"/>
    </row>
    <row r="358">
      <c r="A358" s="9" t="n"/>
      <c r="B358" s="9" t="n"/>
      <c r="C358" s="9" t="n"/>
      <c r="D358" s="9" t="n"/>
      <c r="E358" s="9" t="n"/>
      <c r="F358" s="23" t="n"/>
      <c r="G358" s="19" t="n"/>
      <c r="H358" s="23" t="n"/>
      <c r="I358" s="24" t="n"/>
      <c r="J358" s="19" t="n"/>
      <c r="K358" s="25">
        <f>IF($D358="","",IFERROR(INDEX(Profile!$B$5:$B$304,MATCH($D358,lst_Profil,0)),""))</f>
        <v/>
      </c>
      <c r="L358" s="13">
        <f>IF($D358="","",IFERROR(INDEX(Profile!$K$5:$K$304,MATCH($D358,lst_Profil,0))+0,""))</f>
        <v/>
      </c>
      <c r="M358" s="26">
        <f>IF($D358="","",IFERROR(INDEX(Profile!$E$5:$E$304,MATCH($D358,lst_Profil,0))+0,""))</f>
        <v/>
      </c>
      <c r="N358" s="27">
        <f>IF(OR(L358="",$E358=""),"",IFERROR(L358*INDEX(Werkstoffe!$E$5:$E$304,MATCH($E358,lst_Werkstoff,0))/1000,""))</f>
        <v/>
      </c>
      <c r="O358" s="27">
        <f>IF(OR(N358="",$F358=""),"",N358*$F358/1000)</f>
        <v/>
      </c>
      <c r="P358" s="16">
        <f>IF(OR($F358="",$G358=""),"",$F358*$G358)</f>
        <v/>
      </c>
      <c r="Q358" s="16">
        <f>IF($D358="","",IF($J358&lt;&gt;"",$J358,$C$9))</f>
        <v/>
      </c>
      <c r="R358" s="12">
        <f>IF($D358="","",IFERROR(IF(INDEX(Profile!$G$5:$G$304,MATCH($D358,lst_Profil,0))&lt;&gt;"",INDEX(Profile!$G$5:$G$304,MATCH($D358,lst_Profil,0)),$H$4),$H$4))</f>
        <v/>
      </c>
      <c r="S358" s="12">
        <f>IF($D358="","",IFERROR(IF(INDEX(Profile!$H$5:$H$304,MATCH($D358,lst_Profil,0))&lt;&gt;"",INDEX(Profile!$H$5:$H$304,MATCH($D358,lst_Profil,0)),$H$5),$H$5))</f>
        <v/>
      </c>
      <c r="T358" s="16">
        <f>IF(OR(Q358="",NOT(ISNUMBER(R358)),NOT(ISNUMBER(S358))),"",Q358-R358-S358)</f>
        <v/>
      </c>
      <c r="U358" s="28">
        <f>IF(OR($D358="",$E358=""),"",IF(OR(N($AP358)&gt;0,COUNTIFS(Preise!$A$5:$A$304,$D358,Preise!$B$5:$B$304,$E358,Preise!$I$5:$I$304,"OK")&gt;0,N(INDEX(Werkstoffe!$G$5:$G$304,MATCH($E358,lst_Werkstoff,0)))&gt;0),"ja","nein"))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28">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Materialpreis",IF(AND($AQ358&lt;&gt;"",N($AR358)&gt;0,MOD($G358,$AR358)&lt;&gt;0),"WARNUNG: Stückzahl ist kein Vielfaches von Stück je Satz",IF($H358="","HINWEIS: Schneidweg fehlt",IF(V358="","HINWEIS: keine Schneiddaten",IF(AND($AF358&lt;&gt;"",$AG358=""),"HINWEIS: Gewinde-Vorschlag prüfen","OK")))))))))))))))</f>
        <v/>
      </c>
      <c r="X358" s="18">
        <f>IF(OR(O358="",$G358=""),"",O358*$G358)</f>
        <v/>
      </c>
      <c r="Y358" s="9" t="n"/>
      <c r="Z358" s="23" t="n"/>
      <c r="AA358" s="9" t="n"/>
      <c r="AB358" s="23" t="n"/>
      <c r="AC358" s="23" t="n"/>
      <c r="AD358" s="23" t="n"/>
      <c r="AE358" s="9" t="n"/>
      <c r="AF358" s="9" t="n"/>
      <c r="AG358" s="9" t="n"/>
      <c r="AH358" s="24" t="n"/>
      <c r="AI358" s="23" t="n"/>
      <c r="AJ358" s="24" t="n"/>
      <c r="AK358" s="23" t="n"/>
      <c r="AL358" s="24" t="n"/>
      <c r="AM358" s="23" t="n"/>
      <c r="AN358" s="28">
        <f>IF($D358="","",COUNTIFS(Stangenbelegung!$E$5:$E$10004,ROW()))</f>
        <v/>
      </c>
      <c r="AO358" s="28">
        <f>IF(OR($G358="",COUNTA(Stangenbelegung!$A$5:$A$10004)=0),"",$G358-AN358)</f>
        <v/>
      </c>
      <c r="AP358" s="29" t="n"/>
      <c r="AQ358" s="9" t="n"/>
      <c r="AR358" s="19" t="n"/>
    </row>
    <row r="359">
      <c r="A359" s="9" t="n"/>
      <c r="B359" s="9" t="n"/>
      <c r="C359" s="9" t="n"/>
      <c r="D359" s="9" t="n"/>
      <c r="E359" s="9" t="n"/>
      <c r="F359" s="23" t="n"/>
      <c r="G359" s="19" t="n"/>
      <c r="H359" s="23" t="n"/>
      <c r="I359" s="24" t="n"/>
      <c r="J359" s="19" t="n"/>
      <c r="K359" s="25">
        <f>IF($D359="","",IFERROR(INDEX(Profile!$B$5:$B$304,MATCH($D359,lst_Profil,0)),""))</f>
        <v/>
      </c>
      <c r="L359" s="13">
        <f>IF($D359="","",IFERROR(INDEX(Profile!$K$5:$K$304,MATCH($D359,lst_Profil,0))+0,""))</f>
        <v/>
      </c>
      <c r="M359" s="26">
        <f>IF($D359="","",IFERROR(INDEX(Profile!$E$5:$E$304,MATCH($D359,lst_Profil,0))+0,""))</f>
        <v/>
      </c>
      <c r="N359" s="27">
        <f>IF(OR(L359="",$E359=""),"",IFERROR(L359*INDEX(Werkstoffe!$E$5:$E$304,MATCH($E359,lst_Werkstoff,0))/1000,""))</f>
        <v/>
      </c>
      <c r="O359" s="27">
        <f>IF(OR(N359="",$F359=""),"",N359*$F359/1000)</f>
        <v/>
      </c>
      <c r="P359" s="16">
        <f>IF(OR($F359="",$G359=""),"",$F359*$G359)</f>
        <v/>
      </c>
      <c r="Q359" s="16">
        <f>IF($D359="","",IF($J359&lt;&gt;"",$J359,$C$9))</f>
        <v/>
      </c>
      <c r="R359" s="12">
        <f>IF($D359="","",IFERROR(IF(INDEX(Profile!$G$5:$G$304,MATCH($D359,lst_Profil,0))&lt;&gt;"",INDEX(Profile!$G$5:$G$304,MATCH($D359,lst_Profil,0)),$H$4),$H$4))</f>
        <v/>
      </c>
      <c r="S359" s="12">
        <f>IF($D359="","",IFERROR(IF(INDEX(Profile!$H$5:$H$304,MATCH($D359,lst_Profil,0))&lt;&gt;"",INDEX(Profile!$H$5:$H$304,MATCH($D359,lst_Profil,0)),$H$5),$H$5))</f>
        <v/>
      </c>
      <c r="T359" s="16">
        <f>IF(OR(Q359="",NOT(ISNUMBER(R359)),NOT(ISNUMBER(S359))),"",Q359-R359-S359)</f>
        <v/>
      </c>
      <c r="U359" s="28">
        <f>IF(OR($D359="",$E359=""),"",IF(OR(N($AP359)&gt;0,COUNTIFS(Preise!$A$5:$A$304,$D359,Preise!$B$5:$B$304,$E359,Preise!$I$5:$I$304,"OK")&gt;0,N(INDEX(Werkstoffe!$G$5:$G$304,MATCH($E359,lst_Werkstoff,0)))&gt;0),"ja","nein"))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28">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Materialpreis",IF(AND($AQ359&lt;&gt;"",N($AR359)&gt;0,MOD($G359,$AR359)&lt;&gt;0),"WARNUNG: Stückzahl ist kein Vielfaches von Stück je Satz",IF($H359="","HINWEIS: Schneidweg fehlt",IF(V359="","HINWEIS: keine Schneiddaten",IF(AND($AF359&lt;&gt;"",$AG359=""),"HINWEIS: Gewinde-Vorschlag prüfen","OK")))))))))))))))</f>
        <v/>
      </c>
      <c r="X359" s="18">
        <f>IF(OR(O359="",$G359=""),"",O359*$G359)</f>
        <v/>
      </c>
      <c r="Y359" s="9" t="n"/>
      <c r="Z359" s="23" t="n"/>
      <c r="AA359" s="9" t="n"/>
      <c r="AB359" s="23" t="n"/>
      <c r="AC359" s="23" t="n"/>
      <c r="AD359" s="23" t="n"/>
      <c r="AE359" s="9" t="n"/>
      <c r="AF359" s="9" t="n"/>
      <c r="AG359" s="9" t="n"/>
      <c r="AH359" s="24" t="n"/>
      <c r="AI359" s="23" t="n"/>
      <c r="AJ359" s="24" t="n"/>
      <c r="AK359" s="23" t="n"/>
      <c r="AL359" s="24" t="n"/>
      <c r="AM359" s="23" t="n"/>
      <c r="AN359" s="28">
        <f>IF($D359="","",COUNTIFS(Stangenbelegung!$E$5:$E$10004,ROW()))</f>
        <v/>
      </c>
      <c r="AO359" s="28">
        <f>IF(OR($G359="",COUNTA(Stangenbelegung!$A$5:$A$10004)=0),"",$G359-AN359)</f>
        <v/>
      </c>
      <c r="AP359" s="29" t="n"/>
      <c r="AQ359" s="9" t="n"/>
      <c r="AR359" s="19" t="n"/>
    </row>
    <row r="360">
      <c r="A360" s="9" t="n"/>
      <c r="B360" s="9" t="n"/>
      <c r="C360" s="9" t="n"/>
      <c r="D360" s="9" t="n"/>
      <c r="E360" s="9" t="n"/>
      <c r="F360" s="23" t="n"/>
      <c r="G360" s="19" t="n"/>
      <c r="H360" s="23" t="n"/>
      <c r="I360" s="24" t="n"/>
      <c r="J360" s="19" t="n"/>
      <c r="K360" s="25">
        <f>IF($D360="","",IFERROR(INDEX(Profile!$B$5:$B$304,MATCH($D360,lst_Profil,0)),""))</f>
        <v/>
      </c>
      <c r="L360" s="13">
        <f>IF($D360="","",IFERROR(INDEX(Profile!$K$5:$K$304,MATCH($D360,lst_Profil,0))+0,""))</f>
        <v/>
      </c>
      <c r="M360" s="26">
        <f>IF($D360="","",IFERROR(INDEX(Profile!$E$5:$E$304,MATCH($D360,lst_Profil,0))+0,""))</f>
        <v/>
      </c>
      <c r="N360" s="27">
        <f>IF(OR(L360="",$E360=""),"",IFERROR(L360*INDEX(Werkstoffe!$E$5:$E$304,MATCH($E360,lst_Werkstoff,0))/1000,""))</f>
        <v/>
      </c>
      <c r="O360" s="27">
        <f>IF(OR(N360="",$F360=""),"",N360*$F360/1000)</f>
        <v/>
      </c>
      <c r="P360" s="16">
        <f>IF(OR($F360="",$G360=""),"",$F360*$G360)</f>
        <v/>
      </c>
      <c r="Q360" s="16">
        <f>IF($D360="","",IF($J360&lt;&gt;"",$J360,$C$9))</f>
        <v/>
      </c>
      <c r="R360" s="12">
        <f>IF($D360="","",IFERROR(IF(INDEX(Profile!$G$5:$G$304,MATCH($D360,lst_Profil,0))&lt;&gt;"",INDEX(Profile!$G$5:$G$304,MATCH($D360,lst_Profil,0)),$H$4),$H$4))</f>
        <v/>
      </c>
      <c r="S360" s="12">
        <f>IF($D360="","",IFERROR(IF(INDEX(Profile!$H$5:$H$304,MATCH($D360,lst_Profil,0))&lt;&gt;"",INDEX(Profile!$H$5:$H$304,MATCH($D360,lst_Profil,0)),$H$5),$H$5))</f>
        <v/>
      </c>
      <c r="T360" s="16">
        <f>IF(OR(Q360="",NOT(ISNUMBER(R360)),NOT(ISNUMBER(S360))),"",Q360-R360-S360)</f>
        <v/>
      </c>
      <c r="U360" s="28">
        <f>IF(OR($D360="",$E360=""),"",IF(OR(N($AP360)&gt;0,COUNTIFS(Preise!$A$5:$A$304,$D360,Preise!$B$5:$B$304,$E360,Preise!$I$5:$I$304,"OK")&gt;0,N(INDEX(Werkstoffe!$G$5:$G$304,MATCH($E360,lst_Werkstoff,0)))&gt;0),"ja","nein"))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28">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Materialpreis",IF(AND($AQ360&lt;&gt;"",N($AR360)&gt;0,MOD($G360,$AR360)&lt;&gt;0),"WARNUNG: Stückzahl ist kein Vielfaches von Stück je Satz",IF($H360="","HINWEIS: Schneidweg fehlt",IF(V360="","HINWEIS: keine Schneiddaten",IF(AND($AF360&lt;&gt;"",$AG360=""),"HINWEIS: Gewinde-Vorschlag prüfen","OK")))))))))))))))</f>
        <v/>
      </c>
      <c r="X360" s="18">
        <f>IF(OR(O360="",$G360=""),"",O360*$G360)</f>
        <v/>
      </c>
      <c r="Y360" s="9" t="n"/>
      <c r="Z360" s="23" t="n"/>
      <c r="AA360" s="9" t="n"/>
      <c r="AB360" s="23" t="n"/>
      <c r="AC360" s="23" t="n"/>
      <c r="AD360" s="23" t="n"/>
      <c r="AE360" s="9" t="n"/>
      <c r="AF360" s="9" t="n"/>
      <c r="AG360" s="9" t="n"/>
      <c r="AH360" s="24" t="n"/>
      <c r="AI360" s="23" t="n"/>
      <c r="AJ360" s="24" t="n"/>
      <c r="AK360" s="23" t="n"/>
      <c r="AL360" s="24" t="n"/>
      <c r="AM360" s="23" t="n"/>
      <c r="AN360" s="28">
        <f>IF($D360="","",COUNTIFS(Stangenbelegung!$E$5:$E$10004,ROW()))</f>
        <v/>
      </c>
      <c r="AO360" s="28">
        <f>IF(OR($G360="",COUNTA(Stangenbelegung!$A$5:$A$10004)=0),"",$G360-AN360)</f>
        <v/>
      </c>
      <c r="AP360" s="29" t="n"/>
      <c r="AQ360" s="9" t="n"/>
      <c r="AR360" s="19" t="n"/>
    </row>
    <row r="361">
      <c r="A361" s="9" t="n"/>
      <c r="B361" s="9" t="n"/>
      <c r="C361" s="9" t="n"/>
      <c r="D361" s="9" t="n"/>
      <c r="E361" s="9" t="n"/>
      <c r="F361" s="23" t="n"/>
      <c r="G361" s="19" t="n"/>
      <c r="H361" s="23" t="n"/>
      <c r="I361" s="24" t="n"/>
      <c r="J361" s="19" t="n"/>
      <c r="K361" s="25">
        <f>IF($D361="","",IFERROR(INDEX(Profile!$B$5:$B$304,MATCH($D361,lst_Profil,0)),""))</f>
        <v/>
      </c>
      <c r="L361" s="13">
        <f>IF($D361="","",IFERROR(INDEX(Profile!$K$5:$K$304,MATCH($D361,lst_Profil,0))+0,""))</f>
        <v/>
      </c>
      <c r="M361" s="26">
        <f>IF($D361="","",IFERROR(INDEX(Profile!$E$5:$E$304,MATCH($D361,lst_Profil,0))+0,""))</f>
        <v/>
      </c>
      <c r="N361" s="27">
        <f>IF(OR(L361="",$E361=""),"",IFERROR(L361*INDEX(Werkstoffe!$E$5:$E$304,MATCH($E361,lst_Werkstoff,0))/1000,""))</f>
        <v/>
      </c>
      <c r="O361" s="27">
        <f>IF(OR(N361="",$F361=""),"",N361*$F361/1000)</f>
        <v/>
      </c>
      <c r="P361" s="16">
        <f>IF(OR($F361="",$G361=""),"",$F361*$G361)</f>
        <v/>
      </c>
      <c r="Q361" s="16">
        <f>IF($D361="","",IF($J361&lt;&gt;"",$J361,$C$9))</f>
        <v/>
      </c>
      <c r="R361" s="12">
        <f>IF($D361="","",IFERROR(IF(INDEX(Profile!$G$5:$G$304,MATCH($D361,lst_Profil,0))&lt;&gt;"",INDEX(Profile!$G$5:$G$304,MATCH($D361,lst_Profil,0)),$H$4),$H$4))</f>
        <v/>
      </c>
      <c r="S361" s="12">
        <f>IF($D361="","",IFERROR(IF(INDEX(Profile!$H$5:$H$304,MATCH($D361,lst_Profil,0))&lt;&gt;"",INDEX(Profile!$H$5:$H$304,MATCH($D361,lst_Profil,0)),$H$5),$H$5))</f>
        <v/>
      </c>
      <c r="T361" s="16">
        <f>IF(OR(Q361="",NOT(ISNUMBER(R361)),NOT(ISNUMBER(S361))),"",Q361-R361-S361)</f>
        <v/>
      </c>
      <c r="U361" s="28">
        <f>IF(OR($D361="",$E361=""),"",IF(OR(N($AP361)&gt;0,COUNTIFS(Preise!$A$5:$A$304,$D361,Preise!$B$5:$B$304,$E361,Preise!$I$5:$I$304,"OK")&gt;0,N(INDEX(Werkstoffe!$G$5:$G$304,MATCH($E361,lst_Werkstoff,0)))&gt;0),"ja","nein"))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28">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Materialpreis",IF(AND($AQ361&lt;&gt;"",N($AR361)&gt;0,MOD($G361,$AR361)&lt;&gt;0),"WARNUNG: Stückzahl ist kein Vielfaches von Stück je Satz",IF($H361="","HINWEIS: Schneidweg fehlt",IF(V361="","HINWEIS: keine Schneiddaten",IF(AND($AF361&lt;&gt;"",$AG361=""),"HINWEIS: Gewinde-Vorschlag prüfen","OK")))))))))))))))</f>
        <v/>
      </c>
      <c r="X361" s="18">
        <f>IF(OR(O361="",$G361=""),"",O361*$G361)</f>
        <v/>
      </c>
      <c r="Y361" s="9" t="n"/>
      <c r="Z361" s="23" t="n"/>
      <c r="AA361" s="9" t="n"/>
      <c r="AB361" s="23" t="n"/>
      <c r="AC361" s="23" t="n"/>
      <c r="AD361" s="23" t="n"/>
      <c r="AE361" s="9" t="n"/>
      <c r="AF361" s="9" t="n"/>
      <c r="AG361" s="9" t="n"/>
      <c r="AH361" s="24" t="n"/>
      <c r="AI361" s="23" t="n"/>
      <c r="AJ361" s="24" t="n"/>
      <c r="AK361" s="23" t="n"/>
      <c r="AL361" s="24" t="n"/>
      <c r="AM361" s="23" t="n"/>
      <c r="AN361" s="28">
        <f>IF($D361="","",COUNTIFS(Stangenbelegung!$E$5:$E$10004,ROW()))</f>
        <v/>
      </c>
      <c r="AO361" s="28">
        <f>IF(OR($G361="",COUNTA(Stangenbelegung!$A$5:$A$10004)=0),"",$G361-AN361)</f>
        <v/>
      </c>
      <c r="AP361" s="29" t="n"/>
      <c r="AQ361" s="9" t="n"/>
      <c r="AR361" s="19" t="n"/>
    </row>
    <row r="362">
      <c r="A362" s="9" t="n"/>
      <c r="B362" s="9" t="n"/>
      <c r="C362" s="9" t="n"/>
      <c r="D362" s="9" t="n"/>
      <c r="E362" s="9" t="n"/>
      <c r="F362" s="23" t="n"/>
      <c r="G362" s="19" t="n"/>
      <c r="H362" s="23" t="n"/>
      <c r="I362" s="24" t="n"/>
      <c r="J362" s="19" t="n"/>
      <c r="K362" s="25">
        <f>IF($D362="","",IFERROR(INDEX(Profile!$B$5:$B$304,MATCH($D362,lst_Profil,0)),""))</f>
        <v/>
      </c>
      <c r="L362" s="13">
        <f>IF($D362="","",IFERROR(INDEX(Profile!$K$5:$K$304,MATCH($D362,lst_Profil,0))+0,""))</f>
        <v/>
      </c>
      <c r="M362" s="26">
        <f>IF($D362="","",IFERROR(INDEX(Profile!$E$5:$E$304,MATCH($D362,lst_Profil,0))+0,""))</f>
        <v/>
      </c>
      <c r="N362" s="27">
        <f>IF(OR(L362="",$E362=""),"",IFERROR(L362*INDEX(Werkstoffe!$E$5:$E$304,MATCH($E362,lst_Werkstoff,0))/1000,""))</f>
        <v/>
      </c>
      <c r="O362" s="27">
        <f>IF(OR(N362="",$F362=""),"",N362*$F362/1000)</f>
        <v/>
      </c>
      <c r="P362" s="16">
        <f>IF(OR($F362="",$G362=""),"",$F362*$G362)</f>
        <v/>
      </c>
      <c r="Q362" s="16">
        <f>IF($D362="","",IF($J362&lt;&gt;"",$J362,$C$9))</f>
        <v/>
      </c>
      <c r="R362" s="12">
        <f>IF($D362="","",IFERROR(IF(INDEX(Profile!$G$5:$G$304,MATCH($D362,lst_Profil,0))&lt;&gt;"",INDEX(Profile!$G$5:$G$304,MATCH($D362,lst_Profil,0)),$H$4),$H$4))</f>
        <v/>
      </c>
      <c r="S362" s="12">
        <f>IF($D362="","",IFERROR(IF(INDEX(Profile!$H$5:$H$304,MATCH($D362,lst_Profil,0))&lt;&gt;"",INDEX(Profile!$H$5:$H$304,MATCH($D362,lst_Profil,0)),$H$5),$H$5))</f>
        <v/>
      </c>
      <c r="T362" s="16">
        <f>IF(OR(Q362="",NOT(ISNUMBER(R362)),NOT(ISNUMBER(S362))),"",Q362-R362-S362)</f>
        <v/>
      </c>
      <c r="U362" s="28">
        <f>IF(OR($D362="",$E362=""),"",IF(OR(N($AP362)&gt;0,COUNTIFS(Preise!$A$5:$A$304,$D362,Preise!$B$5:$B$304,$E362,Preise!$I$5:$I$304,"OK")&gt;0,N(INDEX(Werkstoffe!$G$5:$G$304,MATCH($E362,lst_Werkstoff,0)))&gt;0),"ja","nein"))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28">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Materialpreis",IF(AND($AQ362&lt;&gt;"",N($AR362)&gt;0,MOD($G362,$AR362)&lt;&gt;0),"WARNUNG: Stückzahl ist kein Vielfaches von Stück je Satz",IF($H362="","HINWEIS: Schneidweg fehlt",IF(V362="","HINWEIS: keine Schneiddaten",IF(AND($AF362&lt;&gt;"",$AG362=""),"HINWEIS: Gewinde-Vorschlag prüfen","OK")))))))))))))))</f>
        <v/>
      </c>
      <c r="X362" s="18">
        <f>IF(OR(O362="",$G362=""),"",O362*$G362)</f>
        <v/>
      </c>
      <c r="Y362" s="9" t="n"/>
      <c r="Z362" s="23" t="n"/>
      <c r="AA362" s="9" t="n"/>
      <c r="AB362" s="23" t="n"/>
      <c r="AC362" s="23" t="n"/>
      <c r="AD362" s="23" t="n"/>
      <c r="AE362" s="9" t="n"/>
      <c r="AF362" s="9" t="n"/>
      <c r="AG362" s="9" t="n"/>
      <c r="AH362" s="24" t="n"/>
      <c r="AI362" s="23" t="n"/>
      <c r="AJ362" s="24" t="n"/>
      <c r="AK362" s="23" t="n"/>
      <c r="AL362" s="24" t="n"/>
      <c r="AM362" s="23" t="n"/>
      <c r="AN362" s="28">
        <f>IF($D362="","",COUNTIFS(Stangenbelegung!$E$5:$E$10004,ROW()))</f>
        <v/>
      </c>
      <c r="AO362" s="28">
        <f>IF(OR($G362="",COUNTA(Stangenbelegung!$A$5:$A$10004)=0),"",$G362-AN362)</f>
        <v/>
      </c>
      <c r="AP362" s="29" t="n"/>
      <c r="AQ362" s="9" t="n"/>
      <c r="AR362" s="19" t="n"/>
    </row>
    <row r="363">
      <c r="A363" s="9" t="n"/>
      <c r="B363" s="9" t="n"/>
      <c r="C363" s="9" t="n"/>
      <c r="D363" s="9" t="n"/>
      <c r="E363" s="9" t="n"/>
      <c r="F363" s="23" t="n"/>
      <c r="G363" s="19" t="n"/>
      <c r="H363" s="23" t="n"/>
      <c r="I363" s="24" t="n"/>
      <c r="J363" s="19" t="n"/>
      <c r="K363" s="25">
        <f>IF($D363="","",IFERROR(INDEX(Profile!$B$5:$B$304,MATCH($D363,lst_Profil,0)),""))</f>
        <v/>
      </c>
      <c r="L363" s="13">
        <f>IF($D363="","",IFERROR(INDEX(Profile!$K$5:$K$304,MATCH($D363,lst_Profil,0))+0,""))</f>
        <v/>
      </c>
      <c r="M363" s="26">
        <f>IF($D363="","",IFERROR(INDEX(Profile!$E$5:$E$304,MATCH($D363,lst_Profil,0))+0,""))</f>
        <v/>
      </c>
      <c r="N363" s="27">
        <f>IF(OR(L363="",$E363=""),"",IFERROR(L363*INDEX(Werkstoffe!$E$5:$E$304,MATCH($E363,lst_Werkstoff,0))/1000,""))</f>
        <v/>
      </c>
      <c r="O363" s="27">
        <f>IF(OR(N363="",$F363=""),"",N363*$F363/1000)</f>
        <v/>
      </c>
      <c r="P363" s="16">
        <f>IF(OR($F363="",$G363=""),"",$F363*$G363)</f>
        <v/>
      </c>
      <c r="Q363" s="16">
        <f>IF($D363="","",IF($J363&lt;&gt;"",$J363,$C$9))</f>
        <v/>
      </c>
      <c r="R363" s="12">
        <f>IF($D363="","",IFERROR(IF(INDEX(Profile!$G$5:$G$304,MATCH($D363,lst_Profil,0))&lt;&gt;"",INDEX(Profile!$G$5:$G$304,MATCH($D363,lst_Profil,0)),$H$4),$H$4))</f>
        <v/>
      </c>
      <c r="S363" s="12">
        <f>IF($D363="","",IFERROR(IF(INDEX(Profile!$H$5:$H$304,MATCH($D363,lst_Profil,0))&lt;&gt;"",INDEX(Profile!$H$5:$H$304,MATCH($D363,lst_Profil,0)),$H$5),$H$5))</f>
        <v/>
      </c>
      <c r="T363" s="16">
        <f>IF(OR(Q363="",NOT(ISNUMBER(R363)),NOT(ISNUMBER(S363))),"",Q363-R363-S363)</f>
        <v/>
      </c>
      <c r="U363" s="28">
        <f>IF(OR($D363="",$E363=""),"",IF(OR(N($AP363)&gt;0,COUNTIFS(Preise!$A$5:$A$304,$D363,Preise!$B$5:$B$304,$E363,Preise!$I$5:$I$304,"OK")&gt;0,N(INDEX(Werkstoffe!$G$5:$G$304,MATCH($E363,lst_Werkstoff,0)))&gt;0),"ja","nein"))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28">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Materialpreis",IF(AND($AQ363&lt;&gt;"",N($AR363)&gt;0,MOD($G363,$AR363)&lt;&gt;0),"WARNUNG: Stückzahl ist kein Vielfaches von Stück je Satz",IF($H363="","HINWEIS: Schneidweg fehlt",IF(V363="","HINWEIS: keine Schneiddaten",IF(AND($AF363&lt;&gt;"",$AG363=""),"HINWEIS: Gewinde-Vorschlag prüfen","OK")))))))))))))))</f>
        <v/>
      </c>
      <c r="X363" s="18">
        <f>IF(OR(O363="",$G363=""),"",O363*$G363)</f>
        <v/>
      </c>
      <c r="Y363" s="9" t="n"/>
      <c r="Z363" s="23" t="n"/>
      <c r="AA363" s="9" t="n"/>
      <c r="AB363" s="23" t="n"/>
      <c r="AC363" s="23" t="n"/>
      <c r="AD363" s="23" t="n"/>
      <c r="AE363" s="9" t="n"/>
      <c r="AF363" s="9" t="n"/>
      <c r="AG363" s="9" t="n"/>
      <c r="AH363" s="24" t="n"/>
      <c r="AI363" s="23" t="n"/>
      <c r="AJ363" s="24" t="n"/>
      <c r="AK363" s="23" t="n"/>
      <c r="AL363" s="24" t="n"/>
      <c r="AM363" s="23" t="n"/>
      <c r="AN363" s="28">
        <f>IF($D363="","",COUNTIFS(Stangenbelegung!$E$5:$E$10004,ROW()))</f>
        <v/>
      </c>
      <c r="AO363" s="28">
        <f>IF(OR($G363="",COUNTA(Stangenbelegung!$A$5:$A$10004)=0),"",$G363-AN363)</f>
        <v/>
      </c>
      <c r="AP363" s="29" t="n"/>
      <c r="AQ363" s="9" t="n"/>
      <c r="AR363" s="19" t="n"/>
    </row>
    <row r="364">
      <c r="A364" s="9" t="n"/>
      <c r="B364" s="9" t="n"/>
      <c r="C364" s="9" t="n"/>
      <c r="D364" s="9" t="n"/>
      <c r="E364" s="9" t="n"/>
      <c r="F364" s="23" t="n"/>
      <c r="G364" s="19" t="n"/>
      <c r="H364" s="23" t="n"/>
      <c r="I364" s="24" t="n"/>
      <c r="J364" s="19" t="n"/>
      <c r="K364" s="25">
        <f>IF($D364="","",IFERROR(INDEX(Profile!$B$5:$B$304,MATCH($D364,lst_Profil,0)),""))</f>
        <v/>
      </c>
      <c r="L364" s="13">
        <f>IF($D364="","",IFERROR(INDEX(Profile!$K$5:$K$304,MATCH($D364,lst_Profil,0))+0,""))</f>
        <v/>
      </c>
      <c r="M364" s="26">
        <f>IF($D364="","",IFERROR(INDEX(Profile!$E$5:$E$304,MATCH($D364,lst_Profil,0))+0,""))</f>
        <v/>
      </c>
      <c r="N364" s="27">
        <f>IF(OR(L364="",$E364=""),"",IFERROR(L364*INDEX(Werkstoffe!$E$5:$E$304,MATCH($E364,lst_Werkstoff,0))/1000,""))</f>
        <v/>
      </c>
      <c r="O364" s="27">
        <f>IF(OR(N364="",$F364=""),"",N364*$F364/1000)</f>
        <v/>
      </c>
      <c r="P364" s="16">
        <f>IF(OR($F364="",$G364=""),"",$F364*$G364)</f>
        <v/>
      </c>
      <c r="Q364" s="16">
        <f>IF($D364="","",IF($J364&lt;&gt;"",$J364,$C$9))</f>
        <v/>
      </c>
      <c r="R364" s="12">
        <f>IF($D364="","",IFERROR(IF(INDEX(Profile!$G$5:$G$304,MATCH($D364,lst_Profil,0))&lt;&gt;"",INDEX(Profile!$G$5:$G$304,MATCH($D364,lst_Profil,0)),$H$4),$H$4))</f>
        <v/>
      </c>
      <c r="S364" s="12">
        <f>IF($D364="","",IFERROR(IF(INDEX(Profile!$H$5:$H$304,MATCH($D364,lst_Profil,0))&lt;&gt;"",INDEX(Profile!$H$5:$H$304,MATCH($D364,lst_Profil,0)),$H$5),$H$5))</f>
        <v/>
      </c>
      <c r="T364" s="16">
        <f>IF(OR(Q364="",NOT(ISNUMBER(R364)),NOT(ISNUMBER(S364))),"",Q364-R364-S364)</f>
        <v/>
      </c>
      <c r="U364" s="28">
        <f>IF(OR($D364="",$E364=""),"",IF(OR(N($AP364)&gt;0,COUNTIFS(Preise!$A$5:$A$304,$D364,Preise!$B$5:$B$304,$E364,Preise!$I$5:$I$304,"OK")&gt;0,N(INDEX(Werkstoffe!$G$5:$G$304,MATCH($E364,lst_Werkstoff,0)))&gt;0),"ja","nein"))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28">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Materialpreis",IF(AND($AQ364&lt;&gt;"",N($AR364)&gt;0,MOD($G364,$AR364)&lt;&gt;0),"WARNUNG: Stückzahl ist kein Vielfaches von Stück je Satz",IF($H364="","HINWEIS: Schneidweg fehlt",IF(V364="","HINWEIS: keine Schneiddaten",IF(AND($AF364&lt;&gt;"",$AG364=""),"HINWEIS: Gewinde-Vorschlag prüfen","OK")))))))))))))))</f>
        <v/>
      </c>
      <c r="X364" s="18">
        <f>IF(OR(O364="",$G364=""),"",O364*$G364)</f>
        <v/>
      </c>
      <c r="Y364" s="9" t="n"/>
      <c r="Z364" s="23" t="n"/>
      <c r="AA364" s="9" t="n"/>
      <c r="AB364" s="23" t="n"/>
      <c r="AC364" s="23" t="n"/>
      <c r="AD364" s="23" t="n"/>
      <c r="AE364" s="9" t="n"/>
      <c r="AF364" s="9" t="n"/>
      <c r="AG364" s="9" t="n"/>
      <c r="AH364" s="24" t="n"/>
      <c r="AI364" s="23" t="n"/>
      <c r="AJ364" s="24" t="n"/>
      <c r="AK364" s="23" t="n"/>
      <c r="AL364" s="24" t="n"/>
      <c r="AM364" s="23" t="n"/>
      <c r="AN364" s="28">
        <f>IF($D364="","",COUNTIFS(Stangenbelegung!$E$5:$E$10004,ROW()))</f>
        <v/>
      </c>
      <c r="AO364" s="28">
        <f>IF(OR($G364="",COUNTA(Stangenbelegung!$A$5:$A$10004)=0),"",$G364-AN364)</f>
        <v/>
      </c>
      <c r="AP364" s="29" t="n"/>
      <c r="AQ364" s="9" t="n"/>
      <c r="AR364" s="19" t="n"/>
    </row>
    <row r="365">
      <c r="A365" s="9" t="n"/>
      <c r="B365" s="9" t="n"/>
      <c r="C365" s="9" t="n"/>
      <c r="D365" s="9" t="n"/>
      <c r="E365" s="9" t="n"/>
      <c r="F365" s="23" t="n"/>
      <c r="G365" s="19" t="n"/>
      <c r="H365" s="23" t="n"/>
      <c r="I365" s="24" t="n"/>
      <c r="J365" s="19" t="n"/>
      <c r="K365" s="25">
        <f>IF($D365="","",IFERROR(INDEX(Profile!$B$5:$B$304,MATCH($D365,lst_Profil,0)),""))</f>
        <v/>
      </c>
      <c r="L365" s="13">
        <f>IF($D365="","",IFERROR(INDEX(Profile!$K$5:$K$304,MATCH($D365,lst_Profil,0))+0,""))</f>
        <v/>
      </c>
      <c r="M365" s="26">
        <f>IF($D365="","",IFERROR(INDEX(Profile!$E$5:$E$304,MATCH($D365,lst_Profil,0))+0,""))</f>
        <v/>
      </c>
      <c r="N365" s="27">
        <f>IF(OR(L365="",$E365=""),"",IFERROR(L365*INDEX(Werkstoffe!$E$5:$E$304,MATCH($E365,lst_Werkstoff,0))/1000,""))</f>
        <v/>
      </c>
      <c r="O365" s="27">
        <f>IF(OR(N365="",$F365=""),"",N365*$F365/1000)</f>
        <v/>
      </c>
      <c r="P365" s="16">
        <f>IF(OR($F365="",$G365=""),"",$F365*$G365)</f>
        <v/>
      </c>
      <c r="Q365" s="16">
        <f>IF($D365="","",IF($J365&lt;&gt;"",$J365,$C$9))</f>
        <v/>
      </c>
      <c r="R365" s="12">
        <f>IF($D365="","",IFERROR(IF(INDEX(Profile!$G$5:$G$304,MATCH($D365,lst_Profil,0))&lt;&gt;"",INDEX(Profile!$G$5:$G$304,MATCH($D365,lst_Profil,0)),$H$4),$H$4))</f>
        <v/>
      </c>
      <c r="S365" s="12">
        <f>IF($D365="","",IFERROR(IF(INDEX(Profile!$H$5:$H$304,MATCH($D365,lst_Profil,0))&lt;&gt;"",INDEX(Profile!$H$5:$H$304,MATCH($D365,lst_Profil,0)),$H$5),$H$5))</f>
        <v/>
      </c>
      <c r="T365" s="16">
        <f>IF(OR(Q365="",NOT(ISNUMBER(R365)),NOT(ISNUMBER(S365))),"",Q365-R365-S365)</f>
        <v/>
      </c>
      <c r="U365" s="28">
        <f>IF(OR($D365="",$E365=""),"",IF(OR(N($AP365)&gt;0,COUNTIFS(Preise!$A$5:$A$304,$D365,Preise!$B$5:$B$304,$E365,Preise!$I$5:$I$304,"OK")&gt;0,N(INDEX(Werkstoffe!$G$5:$G$304,MATCH($E365,lst_Werkstoff,0)))&gt;0),"ja","nein"))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28">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Materialpreis",IF(AND($AQ365&lt;&gt;"",N($AR365)&gt;0,MOD($G365,$AR365)&lt;&gt;0),"WARNUNG: Stückzahl ist kein Vielfaches von Stück je Satz",IF($H365="","HINWEIS: Schneidweg fehlt",IF(V365="","HINWEIS: keine Schneiddaten",IF(AND($AF365&lt;&gt;"",$AG365=""),"HINWEIS: Gewinde-Vorschlag prüfen","OK")))))))))))))))</f>
        <v/>
      </c>
      <c r="X365" s="18">
        <f>IF(OR(O365="",$G365=""),"",O365*$G365)</f>
        <v/>
      </c>
      <c r="Y365" s="9" t="n"/>
      <c r="Z365" s="23" t="n"/>
      <c r="AA365" s="9" t="n"/>
      <c r="AB365" s="23" t="n"/>
      <c r="AC365" s="23" t="n"/>
      <c r="AD365" s="23" t="n"/>
      <c r="AE365" s="9" t="n"/>
      <c r="AF365" s="9" t="n"/>
      <c r="AG365" s="9" t="n"/>
      <c r="AH365" s="24" t="n"/>
      <c r="AI365" s="23" t="n"/>
      <c r="AJ365" s="24" t="n"/>
      <c r="AK365" s="23" t="n"/>
      <c r="AL365" s="24" t="n"/>
      <c r="AM365" s="23" t="n"/>
      <c r="AN365" s="28">
        <f>IF($D365="","",COUNTIFS(Stangenbelegung!$E$5:$E$10004,ROW()))</f>
        <v/>
      </c>
      <c r="AO365" s="28">
        <f>IF(OR($G365="",COUNTA(Stangenbelegung!$A$5:$A$10004)=0),"",$G365-AN365)</f>
        <v/>
      </c>
      <c r="AP365" s="29" t="n"/>
      <c r="AQ365" s="9" t="n"/>
      <c r="AR365" s="19" t="n"/>
    </row>
    <row r="366">
      <c r="A366" s="9" t="n"/>
      <c r="B366" s="9" t="n"/>
      <c r="C366" s="9" t="n"/>
      <c r="D366" s="9" t="n"/>
      <c r="E366" s="9" t="n"/>
      <c r="F366" s="23" t="n"/>
      <c r="G366" s="19" t="n"/>
      <c r="H366" s="23" t="n"/>
      <c r="I366" s="24" t="n"/>
      <c r="J366" s="19" t="n"/>
      <c r="K366" s="25">
        <f>IF($D366="","",IFERROR(INDEX(Profile!$B$5:$B$304,MATCH($D366,lst_Profil,0)),""))</f>
        <v/>
      </c>
      <c r="L366" s="13">
        <f>IF($D366="","",IFERROR(INDEX(Profile!$K$5:$K$304,MATCH($D366,lst_Profil,0))+0,""))</f>
        <v/>
      </c>
      <c r="M366" s="26">
        <f>IF($D366="","",IFERROR(INDEX(Profile!$E$5:$E$304,MATCH($D366,lst_Profil,0))+0,""))</f>
        <v/>
      </c>
      <c r="N366" s="27">
        <f>IF(OR(L366="",$E366=""),"",IFERROR(L366*INDEX(Werkstoffe!$E$5:$E$304,MATCH($E366,lst_Werkstoff,0))/1000,""))</f>
        <v/>
      </c>
      <c r="O366" s="27">
        <f>IF(OR(N366="",$F366=""),"",N366*$F366/1000)</f>
        <v/>
      </c>
      <c r="P366" s="16">
        <f>IF(OR($F366="",$G366=""),"",$F366*$G366)</f>
        <v/>
      </c>
      <c r="Q366" s="16">
        <f>IF($D366="","",IF($J366&lt;&gt;"",$J366,$C$9))</f>
        <v/>
      </c>
      <c r="R366" s="12">
        <f>IF($D366="","",IFERROR(IF(INDEX(Profile!$G$5:$G$304,MATCH($D366,lst_Profil,0))&lt;&gt;"",INDEX(Profile!$G$5:$G$304,MATCH($D366,lst_Profil,0)),$H$4),$H$4))</f>
        <v/>
      </c>
      <c r="S366" s="12">
        <f>IF($D366="","",IFERROR(IF(INDEX(Profile!$H$5:$H$304,MATCH($D366,lst_Profil,0))&lt;&gt;"",INDEX(Profile!$H$5:$H$304,MATCH($D366,lst_Profil,0)),$H$5),$H$5))</f>
        <v/>
      </c>
      <c r="T366" s="16">
        <f>IF(OR(Q366="",NOT(ISNUMBER(R366)),NOT(ISNUMBER(S366))),"",Q366-R366-S366)</f>
        <v/>
      </c>
      <c r="U366" s="28">
        <f>IF(OR($D366="",$E366=""),"",IF(OR(N($AP366)&gt;0,COUNTIFS(Preise!$A$5:$A$304,$D366,Preise!$B$5:$B$304,$E366,Preise!$I$5:$I$304,"OK")&gt;0,N(INDEX(Werkstoffe!$G$5:$G$304,MATCH($E366,lst_Werkstoff,0)))&gt;0),"ja","nein"))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28">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Materialpreis",IF(AND($AQ366&lt;&gt;"",N($AR366)&gt;0,MOD($G366,$AR366)&lt;&gt;0),"WARNUNG: Stückzahl ist kein Vielfaches von Stück je Satz",IF($H366="","HINWEIS: Schneidweg fehlt",IF(V366="","HINWEIS: keine Schneiddaten",IF(AND($AF366&lt;&gt;"",$AG366=""),"HINWEIS: Gewinde-Vorschlag prüfen","OK")))))))))))))))</f>
        <v/>
      </c>
      <c r="X366" s="18">
        <f>IF(OR(O366="",$G366=""),"",O366*$G366)</f>
        <v/>
      </c>
      <c r="Y366" s="9" t="n"/>
      <c r="Z366" s="23" t="n"/>
      <c r="AA366" s="9" t="n"/>
      <c r="AB366" s="23" t="n"/>
      <c r="AC366" s="23" t="n"/>
      <c r="AD366" s="23" t="n"/>
      <c r="AE366" s="9" t="n"/>
      <c r="AF366" s="9" t="n"/>
      <c r="AG366" s="9" t="n"/>
      <c r="AH366" s="24" t="n"/>
      <c r="AI366" s="23" t="n"/>
      <c r="AJ366" s="24" t="n"/>
      <c r="AK366" s="23" t="n"/>
      <c r="AL366" s="24" t="n"/>
      <c r="AM366" s="23" t="n"/>
      <c r="AN366" s="28">
        <f>IF($D366="","",COUNTIFS(Stangenbelegung!$E$5:$E$10004,ROW()))</f>
        <v/>
      </c>
      <c r="AO366" s="28">
        <f>IF(OR($G366="",COUNTA(Stangenbelegung!$A$5:$A$10004)=0),"",$G366-AN366)</f>
        <v/>
      </c>
      <c r="AP366" s="29" t="n"/>
      <c r="AQ366" s="9" t="n"/>
      <c r="AR366" s="19" t="n"/>
    </row>
    <row r="367">
      <c r="A367" s="9" t="n"/>
      <c r="B367" s="9" t="n"/>
      <c r="C367" s="9" t="n"/>
      <c r="D367" s="9" t="n"/>
      <c r="E367" s="9" t="n"/>
      <c r="F367" s="23" t="n"/>
      <c r="G367" s="19" t="n"/>
      <c r="H367" s="23" t="n"/>
      <c r="I367" s="24" t="n"/>
      <c r="J367" s="19" t="n"/>
      <c r="K367" s="25">
        <f>IF($D367="","",IFERROR(INDEX(Profile!$B$5:$B$304,MATCH($D367,lst_Profil,0)),""))</f>
        <v/>
      </c>
      <c r="L367" s="13">
        <f>IF($D367="","",IFERROR(INDEX(Profile!$K$5:$K$304,MATCH($D367,lst_Profil,0))+0,""))</f>
        <v/>
      </c>
      <c r="M367" s="26">
        <f>IF($D367="","",IFERROR(INDEX(Profile!$E$5:$E$304,MATCH($D367,lst_Profil,0))+0,""))</f>
        <v/>
      </c>
      <c r="N367" s="27">
        <f>IF(OR(L367="",$E367=""),"",IFERROR(L367*INDEX(Werkstoffe!$E$5:$E$304,MATCH($E367,lst_Werkstoff,0))/1000,""))</f>
        <v/>
      </c>
      <c r="O367" s="27">
        <f>IF(OR(N367="",$F367=""),"",N367*$F367/1000)</f>
        <v/>
      </c>
      <c r="P367" s="16">
        <f>IF(OR($F367="",$G367=""),"",$F367*$G367)</f>
        <v/>
      </c>
      <c r="Q367" s="16">
        <f>IF($D367="","",IF($J367&lt;&gt;"",$J367,$C$9))</f>
        <v/>
      </c>
      <c r="R367" s="12">
        <f>IF($D367="","",IFERROR(IF(INDEX(Profile!$G$5:$G$304,MATCH($D367,lst_Profil,0))&lt;&gt;"",INDEX(Profile!$G$5:$G$304,MATCH($D367,lst_Profil,0)),$H$4),$H$4))</f>
        <v/>
      </c>
      <c r="S367" s="12">
        <f>IF($D367="","",IFERROR(IF(INDEX(Profile!$H$5:$H$304,MATCH($D367,lst_Profil,0))&lt;&gt;"",INDEX(Profile!$H$5:$H$304,MATCH($D367,lst_Profil,0)),$H$5),$H$5))</f>
        <v/>
      </c>
      <c r="T367" s="16">
        <f>IF(OR(Q367="",NOT(ISNUMBER(R367)),NOT(ISNUMBER(S367))),"",Q367-R367-S367)</f>
        <v/>
      </c>
      <c r="U367" s="28">
        <f>IF(OR($D367="",$E367=""),"",IF(OR(N($AP367)&gt;0,COUNTIFS(Preise!$A$5:$A$304,$D367,Preise!$B$5:$B$304,$E367,Preise!$I$5:$I$304,"OK")&gt;0,N(INDEX(Werkstoffe!$G$5:$G$304,MATCH($E367,lst_Werkstoff,0)))&gt;0),"ja","nein"))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28">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Materialpreis",IF(AND($AQ367&lt;&gt;"",N($AR367)&gt;0,MOD($G367,$AR367)&lt;&gt;0),"WARNUNG: Stückzahl ist kein Vielfaches von Stück je Satz",IF($H367="","HINWEIS: Schneidweg fehlt",IF(V367="","HINWEIS: keine Schneiddaten",IF(AND($AF367&lt;&gt;"",$AG367=""),"HINWEIS: Gewinde-Vorschlag prüfen","OK")))))))))))))))</f>
        <v/>
      </c>
      <c r="X367" s="18">
        <f>IF(OR(O367="",$G367=""),"",O367*$G367)</f>
        <v/>
      </c>
      <c r="Y367" s="9" t="n"/>
      <c r="Z367" s="23" t="n"/>
      <c r="AA367" s="9" t="n"/>
      <c r="AB367" s="23" t="n"/>
      <c r="AC367" s="23" t="n"/>
      <c r="AD367" s="23" t="n"/>
      <c r="AE367" s="9" t="n"/>
      <c r="AF367" s="9" t="n"/>
      <c r="AG367" s="9" t="n"/>
      <c r="AH367" s="24" t="n"/>
      <c r="AI367" s="23" t="n"/>
      <c r="AJ367" s="24" t="n"/>
      <c r="AK367" s="23" t="n"/>
      <c r="AL367" s="24" t="n"/>
      <c r="AM367" s="23" t="n"/>
      <c r="AN367" s="28">
        <f>IF($D367="","",COUNTIFS(Stangenbelegung!$E$5:$E$10004,ROW()))</f>
        <v/>
      </c>
      <c r="AO367" s="28">
        <f>IF(OR($G367="",COUNTA(Stangenbelegung!$A$5:$A$10004)=0),"",$G367-AN367)</f>
        <v/>
      </c>
      <c r="AP367" s="29" t="n"/>
      <c r="AQ367" s="9" t="n"/>
      <c r="AR367" s="19" t="n"/>
    </row>
    <row r="368">
      <c r="A368" s="9" t="n"/>
      <c r="B368" s="9" t="n"/>
      <c r="C368" s="9" t="n"/>
      <c r="D368" s="9" t="n"/>
      <c r="E368" s="9" t="n"/>
      <c r="F368" s="23" t="n"/>
      <c r="G368" s="19" t="n"/>
      <c r="H368" s="23" t="n"/>
      <c r="I368" s="24" t="n"/>
      <c r="J368" s="19" t="n"/>
      <c r="K368" s="25">
        <f>IF($D368="","",IFERROR(INDEX(Profile!$B$5:$B$304,MATCH($D368,lst_Profil,0)),""))</f>
        <v/>
      </c>
      <c r="L368" s="13">
        <f>IF($D368="","",IFERROR(INDEX(Profile!$K$5:$K$304,MATCH($D368,lst_Profil,0))+0,""))</f>
        <v/>
      </c>
      <c r="M368" s="26">
        <f>IF($D368="","",IFERROR(INDEX(Profile!$E$5:$E$304,MATCH($D368,lst_Profil,0))+0,""))</f>
        <v/>
      </c>
      <c r="N368" s="27">
        <f>IF(OR(L368="",$E368=""),"",IFERROR(L368*INDEX(Werkstoffe!$E$5:$E$304,MATCH($E368,lst_Werkstoff,0))/1000,""))</f>
        <v/>
      </c>
      <c r="O368" s="27">
        <f>IF(OR(N368="",$F368=""),"",N368*$F368/1000)</f>
        <v/>
      </c>
      <c r="P368" s="16">
        <f>IF(OR($F368="",$G368=""),"",$F368*$G368)</f>
        <v/>
      </c>
      <c r="Q368" s="16">
        <f>IF($D368="","",IF($J368&lt;&gt;"",$J368,$C$9))</f>
        <v/>
      </c>
      <c r="R368" s="12">
        <f>IF($D368="","",IFERROR(IF(INDEX(Profile!$G$5:$G$304,MATCH($D368,lst_Profil,0))&lt;&gt;"",INDEX(Profile!$G$5:$G$304,MATCH($D368,lst_Profil,0)),$H$4),$H$4))</f>
        <v/>
      </c>
      <c r="S368" s="12">
        <f>IF($D368="","",IFERROR(IF(INDEX(Profile!$H$5:$H$304,MATCH($D368,lst_Profil,0))&lt;&gt;"",INDEX(Profile!$H$5:$H$304,MATCH($D368,lst_Profil,0)),$H$5),$H$5))</f>
        <v/>
      </c>
      <c r="T368" s="16">
        <f>IF(OR(Q368="",NOT(ISNUMBER(R368)),NOT(ISNUMBER(S368))),"",Q368-R368-S368)</f>
        <v/>
      </c>
      <c r="U368" s="28">
        <f>IF(OR($D368="",$E368=""),"",IF(OR(N($AP368)&gt;0,COUNTIFS(Preise!$A$5:$A$304,$D368,Preise!$B$5:$B$304,$E368,Preise!$I$5:$I$304,"OK")&gt;0,N(INDEX(Werkstoffe!$G$5:$G$304,MATCH($E368,lst_Werkstoff,0)))&gt;0),"ja","nein"))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28">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Materialpreis",IF(AND($AQ368&lt;&gt;"",N($AR368)&gt;0,MOD($G368,$AR368)&lt;&gt;0),"WARNUNG: Stückzahl ist kein Vielfaches von Stück je Satz",IF($H368="","HINWEIS: Schneidweg fehlt",IF(V368="","HINWEIS: keine Schneiddaten",IF(AND($AF368&lt;&gt;"",$AG368=""),"HINWEIS: Gewinde-Vorschlag prüfen","OK")))))))))))))))</f>
        <v/>
      </c>
      <c r="X368" s="18">
        <f>IF(OR(O368="",$G368=""),"",O368*$G368)</f>
        <v/>
      </c>
      <c r="Y368" s="9" t="n"/>
      <c r="Z368" s="23" t="n"/>
      <c r="AA368" s="9" t="n"/>
      <c r="AB368" s="23" t="n"/>
      <c r="AC368" s="23" t="n"/>
      <c r="AD368" s="23" t="n"/>
      <c r="AE368" s="9" t="n"/>
      <c r="AF368" s="9" t="n"/>
      <c r="AG368" s="9" t="n"/>
      <c r="AH368" s="24" t="n"/>
      <c r="AI368" s="23" t="n"/>
      <c r="AJ368" s="24" t="n"/>
      <c r="AK368" s="23" t="n"/>
      <c r="AL368" s="24" t="n"/>
      <c r="AM368" s="23" t="n"/>
      <c r="AN368" s="28">
        <f>IF($D368="","",COUNTIFS(Stangenbelegung!$E$5:$E$10004,ROW()))</f>
        <v/>
      </c>
      <c r="AO368" s="28">
        <f>IF(OR($G368="",COUNTA(Stangenbelegung!$A$5:$A$10004)=0),"",$G368-AN368)</f>
        <v/>
      </c>
      <c r="AP368" s="29" t="n"/>
      <c r="AQ368" s="9" t="n"/>
      <c r="AR368" s="19" t="n"/>
    </row>
    <row r="369">
      <c r="A369" s="9" t="n"/>
      <c r="B369" s="9" t="n"/>
      <c r="C369" s="9" t="n"/>
      <c r="D369" s="9" t="n"/>
      <c r="E369" s="9" t="n"/>
      <c r="F369" s="23" t="n"/>
      <c r="G369" s="19" t="n"/>
      <c r="H369" s="23" t="n"/>
      <c r="I369" s="24" t="n"/>
      <c r="J369" s="19" t="n"/>
      <c r="K369" s="25">
        <f>IF($D369="","",IFERROR(INDEX(Profile!$B$5:$B$304,MATCH($D369,lst_Profil,0)),""))</f>
        <v/>
      </c>
      <c r="L369" s="13">
        <f>IF($D369="","",IFERROR(INDEX(Profile!$K$5:$K$304,MATCH($D369,lst_Profil,0))+0,""))</f>
        <v/>
      </c>
      <c r="M369" s="26">
        <f>IF($D369="","",IFERROR(INDEX(Profile!$E$5:$E$304,MATCH($D369,lst_Profil,0))+0,""))</f>
        <v/>
      </c>
      <c r="N369" s="27">
        <f>IF(OR(L369="",$E369=""),"",IFERROR(L369*INDEX(Werkstoffe!$E$5:$E$304,MATCH($E369,lst_Werkstoff,0))/1000,""))</f>
        <v/>
      </c>
      <c r="O369" s="27">
        <f>IF(OR(N369="",$F369=""),"",N369*$F369/1000)</f>
        <v/>
      </c>
      <c r="P369" s="16">
        <f>IF(OR($F369="",$G369=""),"",$F369*$G369)</f>
        <v/>
      </c>
      <c r="Q369" s="16">
        <f>IF($D369="","",IF($J369&lt;&gt;"",$J369,$C$9))</f>
        <v/>
      </c>
      <c r="R369" s="12">
        <f>IF($D369="","",IFERROR(IF(INDEX(Profile!$G$5:$G$304,MATCH($D369,lst_Profil,0))&lt;&gt;"",INDEX(Profile!$G$5:$G$304,MATCH($D369,lst_Profil,0)),$H$4),$H$4))</f>
        <v/>
      </c>
      <c r="S369" s="12">
        <f>IF($D369="","",IFERROR(IF(INDEX(Profile!$H$5:$H$304,MATCH($D369,lst_Profil,0))&lt;&gt;"",INDEX(Profile!$H$5:$H$304,MATCH($D369,lst_Profil,0)),$H$5),$H$5))</f>
        <v/>
      </c>
      <c r="T369" s="16">
        <f>IF(OR(Q369="",NOT(ISNUMBER(R369)),NOT(ISNUMBER(S369))),"",Q369-R369-S369)</f>
        <v/>
      </c>
      <c r="U369" s="28">
        <f>IF(OR($D369="",$E369=""),"",IF(OR(N($AP369)&gt;0,COUNTIFS(Preise!$A$5:$A$304,$D369,Preise!$B$5:$B$304,$E369,Preise!$I$5:$I$304,"OK")&gt;0,N(INDEX(Werkstoffe!$G$5:$G$304,MATCH($E369,lst_Werkstoff,0)))&gt;0),"ja","nein"))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28">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Materialpreis",IF(AND($AQ369&lt;&gt;"",N($AR369)&gt;0,MOD($G369,$AR369)&lt;&gt;0),"WARNUNG: Stückzahl ist kein Vielfaches von Stück je Satz",IF($H369="","HINWEIS: Schneidweg fehlt",IF(V369="","HINWEIS: keine Schneiddaten",IF(AND($AF369&lt;&gt;"",$AG369=""),"HINWEIS: Gewinde-Vorschlag prüfen","OK")))))))))))))))</f>
        <v/>
      </c>
      <c r="X369" s="18">
        <f>IF(OR(O369="",$G369=""),"",O369*$G369)</f>
        <v/>
      </c>
      <c r="Y369" s="9" t="n"/>
      <c r="Z369" s="23" t="n"/>
      <c r="AA369" s="9" t="n"/>
      <c r="AB369" s="23" t="n"/>
      <c r="AC369" s="23" t="n"/>
      <c r="AD369" s="23" t="n"/>
      <c r="AE369" s="9" t="n"/>
      <c r="AF369" s="9" t="n"/>
      <c r="AG369" s="9" t="n"/>
      <c r="AH369" s="24" t="n"/>
      <c r="AI369" s="23" t="n"/>
      <c r="AJ369" s="24" t="n"/>
      <c r="AK369" s="23" t="n"/>
      <c r="AL369" s="24" t="n"/>
      <c r="AM369" s="23" t="n"/>
      <c r="AN369" s="28">
        <f>IF($D369="","",COUNTIFS(Stangenbelegung!$E$5:$E$10004,ROW()))</f>
        <v/>
      </c>
      <c r="AO369" s="28">
        <f>IF(OR($G369="",COUNTA(Stangenbelegung!$A$5:$A$10004)=0),"",$G369-AN369)</f>
        <v/>
      </c>
      <c r="AP369" s="29" t="n"/>
      <c r="AQ369" s="9" t="n"/>
      <c r="AR369" s="19" t="n"/>
    </row>
    <row r="370">
      <c r="A370" s="9" t="n"/>
      <c r="B370" s="9" t="n"/>
      <c r="C370" s="9" t="n"/>
      <c r="D370" s="9" t="n"/>
      <c r="E370" s="9" t="n"/>
      <c r="F370" s="23" t="n"/>
      <c r="G370" s="19" t="n"/>
      <c r="H370" s="23" t="n"/>
      <c r="I370" s="24" t="n"/>
      <c r="J370" s="19" t="n"/>
      <c r="K370" s="25">
        <f>IF($D370="","",IFERROR(INDEX(Profile!$B$5:$B$304,MATCH($D370,lst_Profil,0)),""))</f>
        <v/>
      </c>
      <c r="L370" s="13">
        <f>IF($D370="","",IFERROR(INDEX(Profile!$K$5:$K$304,MATCH($D370,lst_Profil,0))+0,""))</f>
        <v/>
      </c>
      <c r="M370" s="26">
        <f>IF($D370="","",IFERROR(INDEX(Profile!$E$5:$E$304,MATCH($D370,lst_Profil,0))+0,""))</f>
        <v/>
      </c>
      <c r="N370" s="27">
        <f>IF(OR(L370="",$E370=""),"",IFERROR(L370*INDEX(Werkstoffe!$E$5:$E$304,MATCH($E370,lst_Werkstoff,0))/1000,""))</f>
        <v/>
      </c>
      <c r="O370" s="27">
        <f>IF(OR(N370="",$F370=""),"",N370*$F370/1000)</f>
        <v/>
      </c>
      <c r="P370" s="16">
        <f>IF(OR($F370="",$G370=""),"",$F370*$G370)</f>
        <v/>
      </c>
      <c r="Q370" s="16">
        <f>IF($D370="","",IF($J370&lt;&gt;"",$J370,$C$9))</f>
        <v/>
      </c>
      <c r="R370" s="12">
        <f>IF($D370="","",IFERROR(IF(INDEX(Profile!$G$5:$G$304,MATCH($D370,lst_Profil,0))&lt;&gt;"",INDEX(Profile!$G$5:$G$304,MATCH($D370,lst_Profil,0)),$H$4),$H$4))</f>
        <v/>
      </c>
      <c r="S370" s="12">
        <f>IF($D370="","",IFERROR(IF(INDEX(Profile!$H$5:$H$304,MATCH($D370,lst_Profil,0))&lt;&gt;"",INDEX(Profile!$H$5:$H$304,MATCH($D370,lst_Profil,0)),$H$5),$H$5))</f>
        <v/>
      </c>
      <c r="T370" s="16">
        <f>IF(OR(Q370="",NOT(ISNUMBER(R370)),NOT(ISNUMBER(S370))),"",Q370-R370-S370)</f>
        <v/>
      </c>
      <c r="U370" s="28">
        <f>IF(OR($D370="",$E370=""),"",IF(OR(N($AP370)&gt;0,COUNTIFS(Preise!$A$5:$A$304,$D370,Preise!$B$5:$B$304,$E370,Preise!$I$5:$I$304,"OK")&gt;0,N(INDEX(Werkstoffe!$G$5:$G$304,MATCH($E370,lst_Werkstoff,0)))&gt;0),"ja","nein"))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28">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Materialpreis",IF(AND($AQ370&lt;&gt;"",N($AR370)&gt;0,MOD($G370,$AR370)&lt;&gt;0),"WARNUNG: Stückzahl ist kein Vielfaches von Stück je Satz",IF($H370="","HINWEIS: Schneidweg fehlt",IF(V370="","HINWEIS: keine Schneiddaten",IF(AND($AF370&lt;&gt;"",$AG370=""),"HINWEIS: Gewinde-Vorschlag prüfen","OK")))))))))))))))</f>
        <v/>
      </c>
      <c r="X370" s="18">
        <f>IF(OR(O370="",$G370=""),"",O370*$G370)</f>
        <v/>
      </c>
      <c r="Y370" s="9" t="n"/>
      <c r="Z370" s="23" t="n"/>
      <c r="AA370" s="9" t="n"/>
      <c r="AB370" s="23" t="n"/>
      <c r="AC370" s="23" t="n"/>
      <c r="AD370" s="23" t="n"/>
      <c r="AE370" s="9" t="n"/>
      <c r="AF370" s="9" t="n"/>
      <c r="AG370" s="9" t="n"/>
      <c r="AH370" s="24" t="n"/>
      <c r="AI370" s="23" t="n"/>
      <c r="AJ370" s="24" t="n"/>
      <c r="AK370" s="23" t="n"/>
      <c r="AL370" s="24" t="n"/>
      <c r="AM370" s="23" t="n"/>
      <c r="AN370" s="28">
        <f>IF($D370="","",COUNTIFS(Stangenbelegung!$E$5:$E$10004,ROW()))</f>
        <v/>
      </c>
      <c r="AO370" s="28">
        <f>IF(OR($G370="",COUNTA(Stangenbelegung!$A$5:$A$10004)=0),"",$G370-AN370)</f>
        <v/>
      </c>
      <c r="AP370" s="29" t="n"/>
      <c r="AQ370" s="9" t="n"/>
      <c r="AR370" s="19" t="n"/>
    </row>
    <row r="371">
      <c r="A371" s="9" t="n"/>
      <c r="B371" s="9" t="n"/>
      <c r="C371" s="9" t="n"/>
      <c r="D371" s="9" t="n"/>
      <c r="E371" s="9" t="n"/>
      <c r="F371" s="23" t="n"/>
      <c r="G371" s="19" t="n"/>
      <c r="H371" s="23" t="n"/>
      <c r="I371" s="24" t="n"/>
      <c r="J371" s="19" t="n"/>
      <c r="K371" s="25">
        <f>IF($D371="","",IFERROR(INDEX(Profile!$B$5:$B$304,MATCH($D371,lst_Profil,0)),""))</f>
        <v/>
      </c>
      <c r="L371" s="13">
        <f>IF($D371="","",IFERROR(INDEX(Profile!$K$5:$K$304,MATCH($D371,lst_Profil,0))+0,""))</f>
        <v/>
      </c>
      <c r="M371" s="26">
        <f>IF($D371="","",IFERROR(INDEX(Profile!$E$5:$E$304,MATCH($D371,lst_Profil,0))+0,""))</f>
        <v/>
      </c>
      <c r="N371" s="27">
        <f>IF(OR(L371="",$E371=""),"",IFERROR(L371*INDEX(Werkstoffe!$E$5:$E$304,MATCH($E371,lst_Werkstoff,0))/1000,""))</f>
        <v/>
      </c>
      <c r="O371" s="27">
        <f>IF(OR(N371="",$F371=""),"",N371*$F371/1000)</f>
        <v/>
      </c>
      <c r="P371" s="16">
        <f>IF(OR($F371="",$G371=""),"",$F371*$G371)</f>
        <v/>
      </c>
      <c r="Q371" s="16">
        <f>IF($D371="","",IF($J371&lt;&gt;"",$J371,$C$9))</f>
        <v/>
      </c>
      <c r="R371" s="12">
        <f>IF($D371="","",IFERROR(IF(INDEX(Profile!$G$5:$G$304,MATCH($D371,lst_Profil,0))&lt;&gt;"",INDEX(Profile!$G$5:$G$304,MATCH($D371,lst_Profil,0)),$H$4),$H$4))</f>
        <v/>
      </c>
      <c r="S371" s="12">
        <f>IF($D371="","",IFERROR(IF(INDEX(Profile!$H$5:$H$304,MATCH($D371,lst_Profil,0))&lt;&gt;"",INDEX(Profile!$H$5:$H$304,MATCH($D371,lst_Profil,0)),$H$5),$H$5))</f>
        <v/>
      </c>
      <c r="T371" s="16">
        <f>IF(OR(Q371="",NOT(ISNUMBER(R371)),NOT(ISNUMBER(S371))),"",Q371-R371-S371)</f>
        <v/>
      </c>
      <c r="U371" s="28">
        <f>IF(OR($D371="",$E371=""),"",IF(OR(N($AP371)&gt;0,COUNTIFS(Preise!$A$5:$A$304,$D371,Preise!$B$5:$B$304,$E371,Preise!$I$5:$I$304,"OK")&gt;0,N(INDEX(Werkstoffe!$G$5:$G$304,MATCH($E371,lst_Werkstoff,0)))&gt;0),"ja","nein"))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28">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Materialpreis",IF(AND($AQ371&lt;&gt;"",N($AR371)&gt;0,MOD($G371,$AR371)&lt;&gt;0),"WARNUNG: Stückzahl ist kein Vielfaches von Stück je Satz",IF($H371="","HINWEIS: Schneidweg fehlt",IF(V371="","HINWEIS: keine Schneiddaten",IF(AND($AF371&lt;&gt;"",$AG371=""),"HINWEIS: Gewinde-Vorschlag prüfen","OK")))))))))))))))</f>
        <v/>
      </c>
      <c r="X371" s="18">
        <f>IF(OR(O371="",$G371=""),"",O371*$G371)</f>
        <v/>
      </c>
      <c r="Y371" s="9" t="n"/>
      <c r="Z371" s="23" t="n"/>
      <c r="AA371" s="9" t="n"/>
      <c r="AB371" s="23" t="n"/>
      <c r="AC371" s="23" t="n"/>
      <c r="AD371" s="23" t="n"/>
      <c r="AE371" s="9" t="n"/>
      <c r="AF371" s="9" t="n"/>
      <c r="AG371" s="9" t="n"/>
      <c r="AH371" s="24" t="n"/>
      <c r="AI371" s="23" t="n"/>
      <c r="AJ371" s="24" t="n"/>
      <c r="AK371" s="23" t="n"/>
      <c r="AL371" s="24" t="n"/>
      <c r="AM371" s="23" t="n"/>
      <c r="AN371" s="28">
        <f>IF($D371="","",COUNTIFS(Stangenbelegung!$E$5:$E$10004,ROW()))</f>
        <v/>
      </c>
      <c r="AO371" s="28">
        <f>IF(OR($G371="",COUNTA(Stangenbelegung!$A$5:$A$10004)=0),"",$G371-AN371)</f>
        <v/>
      </c>
      <c r="AP371" s="29" t="n"/>
      <c r="AQ371" s="9" t="n"/>
      <c r="AR371" s="19" t="n"/>
    </row>
    <row r="372">
      <c r="A372" s="9" t="n"/>
      <c r="B372" s="9" t="n"/>
      <c r="C372" s="9" t="n"/>
      <c r="D372" s="9" t="n"/>
      <c r="E372" s="9" t="n"/>
      <c r="F372" s="23" t="n"/>
      <c r="G372" s="19" t="n"/>
      <c r="H372" s="23" t="n"/>
      <c r="I372" s="24" t="n"/>
      <c r="J372" s="19" t="n"/>
      <c r="K372" s="25">
        <f>IF($D372="","",IFERROR(INDEX(Profile!$B$5:$B$304,MATCH($D372,lst_Profil,0)),""))</f>
        <v/>
      </c>
      <c r="L372" s="13">
        <f>IF($D372="","",IFERROR(INDEX(Profile!$K$5:$K$304,MATCH($D372,lst_Profil,0))+0,""))</f>
        <v/>
      </c>
      <c r="M372" s="26">
        <f>IF($D372="","",IFERROR(INDEX(Profile!$E$5:$E$304,MATCH($D372,lst_Profil,0))+0,""))</f>
        <v/>
      </c>
      <c r="N372" s="27">
        <f>IF(OR(L372="",$E372=""),"",IFERROR(L372*INDEX(Werkstoffe!$E$5:$E$304,MATCH($E372,lst_Werkstoff,0))/1000,""))</f>
        <v/>
      </c>
      <c r="O372" s="27">
        <f>IF(OR(N372="",$F372=""),"",N372*$F372/1000)</f>
        <v/>
      </c>
      <c r="P372" s="16">
        <f>IF(OR($F372="",$G372=""),"",$F372*$G372)</f>
        <v/>
      </c>
      <c r="Q372" s="16">
        <f>IF($D372="","",IF($J372&lt;&gt;"",$J372,$C$9))</f>
        <v/>
      </c>
      <c r="R372" s="12">
        <f>IF($D372="","",IFERROR(IF(INDEX(Profile!$G$5:$G$304,MATCH($D372,lst_Profil,0))&lt;&gt;"",INDEX(Profile!$G$5:$G$304,MATCH($D372,lst_Profil,0)),$H$4),$H$4))</f>
        <v/>
      </c>
      <c r="S372" s="12">
        <f>IF($D372="","",IFERROR(IF(INDEX(Profile!$H$5:$H$304,MATCH($D372,lst_Profil,0))&lt;&gt;"",INDEX(Profile!$H$5:$H$304,MATCH($D372,lst_Profil,0)),$H$5),$H$5))</f>
        <v/>
      </c>
      <c r="T372" s="16">
        <f>IF(OR(Q372="",NOT(ISNUMBER(R372)),NOT(ISNUMBER(S372))),"",Q372-R372-S372)</f>
        <v/>
      </c>
      <c r="U372" s="28">
        <f>IF(OR($D372="",$E372=""),"",IF(OR(N($AP372)&gt;0,COUNTIFS(Preise!$A$5:$A$304,$D372,Preise!$B$5:$B$304,$E372,Preise!$I$5:$I$304,"OK")&gt;0,N(INDEX(Werkstoffe!$G$5:$G$304,MATCH($E372,lst_Werkstoff,0)))&gt;0),"ja","nein"))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28">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Materialpreis",IF(AND($AQ372&lt;&gt;"",N($AR372)&gt;0,MOD($G372,$AR372)&lt;&gt;0),"WARNUNG: Stückzahl ist kein Vielfaches von Stück je Satz",IF($H372="","HINWEIS: Schneidweg fehlt",IF(V372="","HINWEIS: keine Schneiddaten",IF(AND($AF372&lt;&gt;"",$AG372=""),"HINWEIS: Gewinde-Vorschlag prüfen","OK")))))))))))))))</f>
        <v/>
      </c>
      <c r="X372" s="18">
        <f>IF(OR(O372="",$G372=""),"",O372*$G372)</f>
        <v/>
      </c>
      <c r="Y372" s="9" t="n"/>
      <c r="Z372" s="23" t="n"/>
      <c r="AA372" s="9" t="n"/>
      <c r="AB372" s="23" t="n"/>
      <c r="AC372" s="23" t="n"/>
      <c r="AD372" s="23" t="n"/>
      <c r="AE372" s="9" t="n"/>
      <c r="AF372" s="9" t="n"/>
      <c r="AG372" s="9" t="n"/>
      <c r="AH372" s="24" t="n"/>
      <c r="AI372" s="23" t="n"/>
      <c r="AJ372" s="24" t="n"/>
      <c r="AK372" s="23" t="n"/>
      <c r="AL372" s="24" t="n"/>
      <c r="AM372" s="23" t="n"/>
      <c r="AN372" s="28">
        <f>IF($D372="","",COUNTIFS(Stangenbelegung!$E$5:$E$10004,ROW()))</f>
        <v/>
      </c>
      <c r="AO372" s="28">
        <f>IF(OR($G372="",COUNTA(Stangenbelegung!$A$5:$A$10004)=0),"",$G372-AN372)</f>
        <v/>
      </c>
      <c r="AP372" s="29" t="n"/>
      <c r="AQ372" s="9" t="n"/>
      <c r="AR372" s="19" t="n"/>
    </row>
    <row r="373">
      <c r="A373" s="9" t="n"/>
      <c r="B373" s="9" t="n"/>
      <c r="C373" s="9" t="n"/>
      <c r="D373" s="9" t="n"/>
      <c r="E373" s="9" t="n"/>
      <c r="F373" s="23" t="n"/>
      <c r="G373" s="19" t="n"/>
      <c r="H373" s="23" t="n"/>
      <c r="I373" s="24" t="n"/>
      <c r="J373" s="19" t="n"/>
      <c r="K373" s="25">
        <f>IF($D373="","",IFERROR(INDEX(Profile!$B$5:$B$304,MATCH($D373,lst_Profil,0)),""))</f>
        <v/>
      </c>
      <c r="L373" s="13">
        <f>IF($D373="","",IFERROR(INDEX(Profile!$K$5:$K$304,MATCH($D373,lst_Profil,0))+0,""))</f>
        <v/>
      </c>
      <c r="M373" s="26">
        <f>IF($D373="","",IFERROR(INDEX(Profile!$E$5:$E$304,MATCH($D373,lst_Profil,0))+0,""))</f>
        <v/>
      </c>
      <c r="N373" s="27">
        <f>IF(OR(L373="",$E373=""),"",IFERROR(L373*INDEX(Werkstoffe!$E$5:$E$304,MATCH($E373,lst_Werkstoff,0))/1000,""))</f>
        <v/>
      </c>
      <c r="O373" s="27">
        <f>IF(OR(N373="",$F373=""),"",N373*$F373/1000)</f>
        <v/>
      </c>
      <c r="P373" s="16">
        <f>IF(OR($F373="",$G373=""),"",$F373*$G373)</f>
        <v/>
      </c>
      <c r="Q373" s="16">
        <f>IF($D373="","",IF($J373&lt;&gt;"",$J373,$C$9))</f>
        <v/>
      </c>
      <c r="R373" s="12">
        <f>IF($D373="","",IFERROR(IF(INDEX(Profile!$G$5:$G$304,MATCH($D373,lst_Profil,0))&lt;&gt;"",INDEX(Profile!$G$5:$G$304,MATCH($D373,lst_Profil,0)),$H$4),$H$4))</f>
        <v/>
      </c>
      <c r="S373" s="12">
        <f>IF($D373="","",IFERROR(IF(INDEX(Profile!$H$5:$H$304,MATCH($D373,lst_Profil,0))&lt;&gt;"",INDEX(Profile!$H$5:$H$304,MATCH($D373,lst_Profil,0)),$H$5),$H$5))</f>
        <v/>
      </c>
      <c r="T373" s="16">
        <f>IF(OR(Q373="",NOT(ISNUMBER(R373)),NOT(ISNUMBER(S373))),"",Q373-R373-S373)</f>
        <v/>
      </c>
      <c r="U373" s="28">
        <f>IF(OR($D373="",$E373=""),"",IF(OR(N($AP373)&gt;0,COUNTIFS(Preise!$A$5:$A$304,$D373,Preise!$B$5:$B$304,$E373,Preise!$I$5:$I$304,"OK")&gt;0,N(INDEX(Werkstoffe!$G$5:$G$304,MATCH($E373,lst_Werkstoff,0)))&gt;0),"ja","nein"))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28">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Materialpreis",IF(AND($AQ373&lt;&gt;"",N($AR373)&gt;0,MOD($G373,$AR373)&lt;&gt;0),"WARNUNG: Stückzahl ist kein Vielfaches von Stück je Satz",IF($H373="","HINWEIS: Schneidweg fehlt",IF(V373="","HINWEIS: keine Schneiddaten",IF(AND($AF373&lt;&gt;"",$AG373=""),"HINWEIS: Gewinde-Vorschlag prüfen","OK")))))))))))))))</f>
        <v/>
      </c>
      <c r="X373" s="18">
        <f>IF(OR(O373="",$G373=""),"",O373*$G373)</f>
        <v/>
      </c>
      <c r="Y373" s="9" t="n"/>
      <c r="Z373" s="23" t="n"/>
      <c r="AA373" s="9" t="n"/>
      <c r="AB373" s="23" t="n"/>
      <c r="AC373" s="23" t="n"/>
      <c r="AD373" s="23" t="n"/>
      <c r="AE373" s="9" t="n"/>
      <c r="AF373" s="9" t="n"/>
      <c r="AG373" s="9" t="n"/>
      <c r="AH373" s="24" t="n"/>
      <c r="AI373" s="23" t="n"/>
      <c r="AJ373" s="24" t="n"/>
      <c r="AK373" s="23" t="n"/>
      <c r="AL373" s="24" t="n"/>
      <c r="AM373" s="23" t="n"/>
      <c r="AN373" s="28">
        <f>IF($D373="","",COUNTIFS(Stangenbelegung!$E$5:$E$10004,ROW()))</f>
        <v/>
      </c>
      <c r="AO373" s="28">
        <f>IF(OR($G373="",COUNTA(Stangenbelegung!$A$5:$A$10004)=0),"",$G373-AN373)</f>
        <v/>
      </c>
      <c r="AP373" s="29" t="n"/>
      <c r="AQ373" s="9" t="n"/>
      <c r="AR373" s="19" t="n"/>
    </row>
    <row r="374">
      <c r="A374" s="9" t="n"/>
      <c r="B374" s="9" t="n"/>
      <c r="C374" s="9" t="n"/>
      <c r="D374" s="9" t="n"/>
      <c r="E374" s="9" t="n"/>
      <c r="F374" s="23" t="n"/>
      <c r="G374" s="19" t="n"/>
      <c r="H374" s="23" t="n"/>
      <c r="I374" s="24" t="n"/>
      <c r="J374" s="19" t="n"/>
      <c r="K374" s="25">
        <f>IF($D374="","",IFERROR(INDEX(Profile!$B$5:$B$304,MATCH($D374,lst_Profil,0)),""))</f>
        <v/>
      </c>
      <c r="L374" s="13">
        <f>IF($D374="","",IFERROR(INDEX(Profile!$K$5:$K$304,MATCH($D374,lst_Profil,0))+0,""))</f>
        <v/>
      </c>
      <c r="M374" s="26">
        <f>IF($D374="","",IFERROR(INDEX(Profile!$E$5:$E$304,MATCH($D374,lst_Profil,0))+0,""))</f>
        <v/>
      </c>
      <c r="N374" s="27">
        <f>IF(OR(L374="",$E374=""),"",IFERROR(L374*INDEX(Werkstoffe!$E$5:$E$304,MATCH($E374,lst_Werkstoff,0))/1000,""))</f>
        <v/>
      </c>
      <c r="O374" s="27">
        <f>IF(OR(N374="",$F374=""),"",N374*$F374/1000)</f>
        <v/>
      </c>
      <c r="P374" s="16">
        <f>IF(OR($F374="",$G374=""),"",$F374*$G374)</f>
        <v/>
      </c>
      <c r="Q374" s="16">
        <f>IF($D374="","",IF($J374&lt;&gt;"",$J374,$C$9))</f>
        <v/>
      </c>
      <c r="R374" s="12">
        <f>IF($D374="","",IFERROR(IF(INDEX(Profile!$G$5:$G$304,MATCH($D374,lst_Profil,0))&lt;&gt;"",INDEX(Profile!$G$5:$G$304,MATCH($D374,lst_Profil,0)),$H$4),$H$4))</f>
        <v/>
      </c>
      <c r="S374" s="12">
        <f>IF($D374="","",IFERROR(IF(INDEX(Profile!$H$5:$H$304,MATCH($D374,lst_Profil,0))&lt;&gt;"",INDEX(Profile!$H$5:$H$304,MATCH($D374,lst_Profil,0)),$H$5),$H$5))</f>
        <v/>
      </c>
      <c r="T374" s="16">
        <f>IF(OR(Q374="",NOT(ISNUMBER(R374)),NOT(ISNUMBER(S374))),"",Q374-R374-S374)</f>
        <v/>
      </c>
      <c r="U374" s="28">
        <f>IF(OR($D374="",$E374=""),"",IF(OR(N($AP374)&gt;0,COUNTIFS(Preise!$A$5:$A$304,$D374,Preise!$B$5:$B$304,$E374,Preise!$I$5:$I$304,"OK")&gt;0,N(INDEX(Werkstoffe!$G$5:$G$304,MATCH($E374,lst_Werkstoff,0)))&gt;0),"ja","nein"))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28">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Materialpreis",IF(AND($AQ374&lt;&gt;"",N($AR374)&gt;0,MOD($G374,$AR374)&lt;&gt;0),"WARNUNG: Stückzahl ist kein Vielfaches von Stück je Satz",IF($H374="","HINWEIS: Schneidweg fehlt",IF(V374="","HINWEIS: keine Schneiddaten",IF(AND($AF374&lt;&gt;"",$AG374=""),"HINWEIS: Gewinde-Vorschlag prüfen","OK")))))))))))))))</f>
        <v/>
      </c>
      <c r="X374" s="18">
        <f>IF(OR(O374="",$G374=""),"",O374*$G374)</f>
        <v/>
      </c>
      <c r="Y374" s="9" t="n"/>
      <c r="Z374" s="23" t="n"/>
      <c r="AA374" s="9" t="n"/>
      <c r="AB374" s="23" t="n"/>
      <c r="AC374" s="23" t="n"/>
      <c r="AD374" s="23" t="n"/>
      <c r="AE374" s="9" t="n"/>
      <c r="AF374" s="9" t="n"/>
      <c r="AG374" s="9" t="n"/>
      <c r="AH374" s="24" t="n"/>
      <c r="AI374" s="23" t="n"/>
      <c r="AJ374" s="24" t="n"/>
      <c r="AK374" s="23" t="n"/>
      <c r="AL374" s="24" t="n"/>
      <c r="AM374" s="23" t="n"/>
      <c r="AN374" s="28">
        <f>IF($D374="","",COUNTIFS(Stangenbelegung!$E$5:$E$10004,ROW()))</f>
        <v/>
      </c>
      <c r="AO374" s="28">
        <f>IF(OR($G374="",COUNTA(Stangenbelegung!$A$5:$A$10004)=0),"",$G374-AN374)</f>
        <v/>
      </c>
      <c r="AP374" s="29" t="n"/>
      <c r="AQ374" s="9" t="n"/>
      <c r="AR374" s="19" t="n"/>
    </row>
    <row r="375">
      <c r="A375" s="9" t="n"/>
      <c r="B375" s="9" t="n"/>
      <c r="C375" s="9" t="n"/>
      <c r="D375" s="9" t="n"/>
      <c r="E375" s="9" t="n"/>
      <c r="F375" s="23" t="n"/>
      <c r="G375" s="19" t="n"/>
      <c r="H375" s="23" t="n"/>
      <c r="I375" s="24" t="n"/>
      <c r="J375" s="19" t="n"/>
      <c r="K375" s="25">
        <f>IF($D375="","",IFERROR(INDEX(Profile!$B$5:$B$304,MATCH($D375,lst_Profil,0)),""))</f>
        <v/>
      </c>
      <c r="L375" s="13">
        <f>IF($D375="","",IFERROR(INDEX(Profile!$K$5:$K$304,MATCH($D375,lst_Profil,0))+0,""))</f>
        <v/>
      </c>
      <c r="M375" s="26">
        <f>IF($D375="","",IFERROR(INDEX(Profile!$E$5:$E$304,MATCH($D375,lst_Profil,0))+0,""))</f>
        <v/>
      </c>
      <c r="N375" s="27">
        <f>IF(OR(L375="",$E375=""),"",IFERROR(L375*INDEX(Werkstoffe!$E$5:$E$304,MATCH($E375,lst_Werkstoff,0))/1000,""))</f>
        <v/>
      </c>
      <c r="O375" s="27">
        <f>IF(OR(N375="",$F375=""),"",N375*$F375/1000)</f>
        <v/>
      </c>
      <c r="P375" s="16">
        <f>IF(OR($F375="",$G375=""),"",$F375*$G375)</f>
        <v/>
      </c>
      <c r="Q375" s="16">
        <f>IF($D375="","",IF($J375&lt;&gt;"",$J375,$C$9))</f>
        <v/>
      </c>
      <c r="R375" s="12">
        <f>IF($D375="","",IFERROR(IF(INDEX(Profile!$G$5:$G$304,MATCH($D375,lst_Profil,0))&lt;&gt;"",INDEX(Profile!$G$5:$G$304,MATCH($D375,lst_Profil,0)),$H$4),$H$4))</f>
        <v/>
      </c>
      <c r="S375" s="12">
        <f>IF($D375="","",IFERROR(IF(INDEX(Profile!$H$5:$H$304,MATCH($D375,lst_Profil,0))&lt;&gt;"",INDEX(Profile!$H$5:$H$304,MATCH($D375,lst_Profil,0)),$H$5),$H$5))</f>
        <v/>
      </c>
      <c r="T375" s="16">
        <f>IF(OR(Q375="",NOT(ISNUMBER(R375)),NOT(ISNUMBER(S375))),"",Q375-R375-S375)</f>
        <v/>
      </c>
      <c r="U375" s="28">
        <f>IF(OR($D375="",$E375=""),"",IF(OR(N($AP375)&gt;0,COUNTIFS(Preise!$A$5:$A$304,$D375,Preise!$B$5:$B$304,$E375,Preise!$I$5:$I$304,"OK")&gt;0,N(INDEX(Werkstoffe!$G$5:$G$304,MATCH($E375,lst_Werkstoff,0)))&gt;0),"ja","nein"))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28">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Materialpreis",IF(AND($AQ375&lt;&gt;"",N($AR375)&gt;0,MOD($G375,$AR375)&lt;&gt;0),"WARNUNG: Stückzahl ist kein Vielfaches von Stück je Satz",IF($H375="","HINWEIS: Schneidweg fehlt",IF(V375="","HINWEIS: keine Schneiddaten",IF(AND($AF375&lt;&gt;"",$AG375=""),"HINWEIS: Gewinde-Vorschlag prüfen","OK")))))))))))))))</f>
        <v/>
      </c>
      <c r="X375" s="18">
        <f>IF(OR(O375="",$G375=""),"",O375*$G375)</f>
        <v/>
      </c>
      <c r="Y375" s="9" t="n"/>
      <c r="Z375" s="23" t="n"/>
      <c r="AA375" s="9" t="n"/>
      <c r="AB375" s="23" t="n"/>
      <c r="AC375" s="23" t="n"/>
      <c r="AD375" s="23" t="n"/>
      <c r="AE375" s="9" t="n"/>
      <c r="AF375" s="9" t="n"/>
      <c r="AG375" s="9" t="n"/>
      <c r="AH375" s="24" t="n"/>
      <c r="AI375" s="23" t="n"/>
      <c r="AJ375" s="24" t="n"/>
      <c r="AK375" s="23" t="n"/>
      <c r="AL375" s="24" t="n"/>
      <c r="AM375" s="23" t="n"/>
      <c r="AN375" s="28">
        <f>IF($D375="","",COUNTIFS(Stangenbelegung!$E$5:$E$10004,ROW()))</f>
        <v/>
      </c>
      <c r="AO375" s="28">
        <f>IF(OR($G375="",COUNTA(Stangenbelegung!$A$5:$A$10004)=0),"",$G375-AN375)</f>
        <v/>
      </c>
      <c r="AP375" s="29" t="n"/>
      <c r="AQ375" s="9" t="n"/>
      <c r="AR375" s="19" t="n"/>
    </row>
    <row r="376">
      <c r="A376" s="9" t="n"/>
      <c r="B376" s="9" t="n"/>
      <c r="C376" s="9" t="n"/>
      <c r="D376" s="9" t="n"/>
      <c r="E376" s="9" t="n"/>
      <c r="F376" s="23" t="n"/>
      <c r="G376" s="19" t="n"/>
      <c r="H376" s="23" t="n"/>
      <c r="I376" s="24" t="n"/>
      <c r="J376" s="19" t="n"/>
      <c r="K376" s="25">
        <f>IF($D376="","",IFERROR(INDEX(Profile!$B$5:$B$304,MATCH($D376,lst_Profil,0)),""))</f>
        <v/>
      </c>
      <c r="L376" s="13">
        <f>IF($D376="","",IFERROR(INDEX(Profile!$K$5:$K$304,MATCH($D376,lst_Profil,0))+0,""))</f>
        <v/>
      </c>
      <c r="M376" s="26">
        <f>IF($D376="","",IFERROR(INDEX(Profile!$E$5:$E$304,MATCH($D376,lst_Profil,0))+0,""))</f>
        <v/>
      </c>
      <c r="N376" s="27">
        <f>IF(OR(L376="",$E376=""),"",IFERROR(L376*INDEX(Werkstoffe!$E$5:$E$304,MATCH($E376,lst_Werkstoff,0))/1000,""))</f>
        <v/>
      </c>
      <c r="O376" s="27">
        <f>IF(OR(N376="",$F376=""),"",N376*$F376/1000)</f>
        <v/>
      </c>
      <c r="P376" s="16">
        <f>IF(OR($F376="",$G376=""),"",$F376*$G376)</f>
        <v/>
      </c>
      <c r="Q376" s="16">
        <f>IF($D376="","",IF($J376&lt;&gt;"",$J376,$C$9))</f>
        <v/>
      </c>
      <c r="R376" s="12">
        <f>IF($D376="","",IFERROR(IF(INDEX(Profile!$G$5:$G$304,MATCH($D376,lst_Profil,0))&lt;&gt;"",INDEX(Profile!$G$5:$G$304,MATCH($D376,lst_Profil,0)),$H$4),$H$4))</f>
        <v/>
      </c>
      <c r="S376" s="12">
        <f>IF($D376="","",IFERROR(IF(INDEX(Profile!$H$5:$H$304,MATCH($D376,lst_Profil,0))&lt;&gt;"",INDEX(Profile!$H$5:$H$304,MATCH($D376,lst_Profil,0)),$H$5),$H$5))</f>
        <v/>
      </c>
      <c r="T376" s="16">
        <f>IF(OR(Q376="",NOT(ISNUMBER(R376)),NOT(ISNUMBER(S376))),"",Q376-R376-S376)</f>
        <v/>
      </c>
      <c r="U376" s="28">
        <f>IF(OR($D376="",$E376=""),"",IF(OR(N($AP376)&gt;0,COUNTIFS(Preise!$A$5:$A$304,$D376,Preise!$B$5:$B$304,$E376,Preise!$I$5:$I$304,"OK")&gt;0,N(INDEX(Werkstoffe!$G$5:$G$304,MATCH($E376,lst_Werkstoff,0)))&gt;0),"ja","nein"))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28">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Materialpreis",IF(AND($AQ376&lt;&gt;"",N($AR376)&gt;0,MOD($G376,$AR376)&lt;&gt;0),"WARNUNG: Stückzahl ist kein Vielfaches von Stück je Satz",IF($H376="","HINWEIS: Schneidweg fehlt",IF(V376="","HINWEIS: keine Schneiddaten",IF(AND($AF376&lt;&gt;"",$AG376=""),"HINWEIS: Gewinde-Vorschlag prüfen","OK")))))))))))))))</f>
        <v/>
      </c>
      <c r="X376" s="18">
        <f>IF(OR(O376="",$G376=""),"",O376*$G376)</f>
        <v/>
      </c>
      <c r="Y376" s="9" t="n"/>
      <c r="Z376" s="23" t="n"/>
      <c r="AA376" s="9" t="n"/>
      <c r="AB376" s="23" t="n"/>
      <c r="AC376" s="23" t="n"/>
      <c r="AD376" s="23" t="n"/>
      <c r="AE376" s="9" t="n"/>
      <c r="AF376" s="9" t="n"/>
      <c r="AG376" s="9" t="n"/>
      <c r="AH376" s="24" t="n"/>
      <c r="AI376" s="23" t="n"/>
      <c r="AJ376" s="24" t="n"/>
      <c r="AK376" s="23" t="n"/>
      <c r="AL376" s="24" t="n"/>
      <c r="AM376" s="23" t="n"/>
      <c r="AN376" s="28">
        <f>IF($D376="","",COUNTIFS(Stangenbelegung!$E$5:$E$10004,ROW()))</f>
        <v/>
      </c>
      <c r="AO376" s="28">
        <f>IF(OR($G376="",COUNTA(Stangenbelegung!$A$5:$A$10004)=0),"",$G376-AN376)</f>
        <v/>
      </c>
      <c r="AP376" s="29" t="n"/>
      <c r="AQ376" s="9" t="n"/>
      <c r="AR376" s="19" t="n"/>
    </row>
    <row r="377">
      <c r="A377" s="9" t="n"/>
      <c r="B377" s="9" t="n"/>
      <c r="C377" s="9" t="n"/>
      <c r="D377" s="9" t="n"/>
      <c r="E377" s="9" t="n"/>
      <c r="F377" s="23" t="n"/>
      <c r="G377" s="19" t="n"/>
      <c r="H377" s="23" t="n"/>
      <c r="I377" s="24" t="n"/>
      <c r="J377" s="19" t="n"/>
      <c r="K377" s="25">
        <f>IF($D377="","",IFERROR(INDEX(Profile!$B$5:$B$304,MATCH($D377,lst_Profil,0)),""))</f>
        <v/>
      </c>
      <c r="L377" s="13">
        <f>IF($D377="","",IFERROR(INDEX(Profile!$K$5:$K$304,MATCH($D377,lst_Profil,0))+0,""))</f>
        <v/>
      </c>
      <c r="M377" s="26">
        <f>IF($D377="","",IFERROR(INDEX(Profile!$E$5:$E$304,MATCH($D377,lst_Profil,0))+0,""))</f>
        <v/>
      </c>
      <c r="N377" s="27">
        <f>IF(OR(L377="",$E377=""),"",IFERROR(L377*INDEX(Werkstoffe!$E$5:$E$304,MATCH($E377,lst_Werkstoff,0))/1000,""))</f>
        <v/>
      </c>
      <c r="O377" s="27">
        <f>IF(OR(N377="",$F377=""),"",N377*$F377/1000)</f>
        <v/>
      </c>
      <c r="P377" s="16">
        <f>IF(OR($F377="",$G377=""),"",$F377*$G377)</f>
        <v/>
      </c>
      <c r="Q377" s="16">
        <f>IF($D377="","",IF($J377&lt;&gt;"",$J377,$C$9))</f>
        <v/>
      </c>
      <c r="R377" s="12">
        <f>IF($D377="","",IFERROR(IF(INDEX(Profile!$G$5:$G$304,MATCH($D377,lst_Profil,0))&lt;&gt;"",INDEX(Profile!$G$5:$G$304,MATCH($D377,lst_Profil,0)),$H$4),$H$4))</f>
        <v/>
      </c>
      <c r="S377" s="12">
        <f>IF($D377="","",IFERROR(IF(INDEX(Profile!$H$5:$H$304,MATCH($D377,lst_Profil,0))&lt;&gt;"",INDEX(Profile!$H$5:$H$304,MATCH($D377,lst_Profil,0)),$H$5),$H$5))</f>
        <v/>
      </c>
      <c r="T377" s="16">
        <f>IF(OR(Q377="",NOT(ISNUMBER(R377)),NOT(ISNUMBER(S377))),"",Q377-R377-S377)</f>
        <v/>
      </c>
      <c r="U377" s="28">
        <f>IF(OR($D377="",$E377=""),"",IF(OR(N($AP377)&gt;0,COUNTIFS(Preise!$A$5:$A$304,$D377,Preise!$B$5:$B$304,$E377,Preise!$I$5:$I$304,"OK")&gt;0,N(INDEX(Werkstoffe!$G$5:$G$304,MATCH($E377,lst_Werkstoff,0)))&gt;0),"ja","nein"))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28">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Materialpreis",IF(AND($AQ377&lt;&gt;"",N($AR377)&gt;0,MOD($G377,$AR377)&lt;&gt;0),"WARNUNG: Stückzahl ist kein Vielfaches von Stück je Satz",IF($H377="","HINWEIS: Schneidweg fehlt",IF(V377="","HINWEIS: keine Schneiddaten",IF(AND($AF377&lt;&gt;"",$AG377=""),"HINWEIS: Gewinde-Vorschlag prüfen","OK")))))))))))))))</f>
        <v/>
      </c>
      <c r="X377" s="18">
        <f>IF(OR(O377="",$G377=""),"",O377*$G377)</f>
        <v/>
      </c>
      <c r="Y377" s="9" t="n"/>
      <c r="Z377" s="23" t="n"/>
      <c r="AA377" s="9" t="n"/>
      <c r="AB377" s="23" t="n"/>
      <c r="AC377" s="23" t="n"/>
      <c r="AD377" s="23" t="n"/>
      <c r="AE377" s="9" t="n"/>
      <c r="AF377" s="9" t="n"/>
      <c r="AG377" s="9" t="n"/>
      <c r="AH377" s="24" t="n"/>
      <c r="AI377" s="23" t="n"/>
      <c r="AJ377" s="24" t="n"/>
      <c r="AK377" s="23" t="n"/>
      <c r="AL377" s="24" t="n"/>
      <c r="AM377" s="23" t="n"/>
      <c r="AN377" s="28">
        <f>IF($D377="","",COUNTIFS(Stangenbelegung!$E$5:$E$10004,ROW()))</f>
        <v/>
      </c>
      <c r="AO377" s="28">
        <f>IF(OR($G377="",COUNTA(Stangenbelegung!$A$5:$A$10004)=0),"",$G377-AN377)</f>
        <v/>
      </c>
      <c r="AP377" s="29" t="n"/>
      <c r="AQ377" s="9" t="n"/>
      <c r="AR377" s="19" t="n"/>
    </row>
    <row r="378">
      <c r="A378" s="9" t="n"/>
      <c r="B378" s="9" t="n"/>
      <c r="C378" s="9" t="n"/>
      <c r="D378" s="9" t="n"/>
      <c r="E378" s="9" t="n"/>
      <c r="F378" s="23" t="n"/>
      <c r="G378" s="19" t="n"/>
      <c r="H378" s="23" t="n"/>
      <c r="I378" s="24" t="n"/>
      <c r="J378" s="19" t="n"/>
      <c r="K378" s="25">
        <f>IF($D378="","",IFERROR(INDEX(Profile!$B$5:$B$304,MATCH($D378,lst_Profil,0)),""))</f>
        <v/>
      </c>
      <c r="L378" s="13">
        <f>IF($D378="","",IFERROR(INDEX(Profile!$K$5:$K$304,MATCH($D378,lst_Profil,0))+0,""))</f>
        <v/>
      </c>
      <c r="M378" s="26">
        <f>IF($D378="","",IFERROR(INDEX(Profile!$E$5:$E$304,MATCH($D378,lst_Profil,0))+0,""))</f>
        <v/>
      </c>
      <c r="N378" s="27">
        <f>IF(OR(L378="",$E378=""),"",IFERROR(L378*INDEX(Werkstoffe!$E$5:$E$304,MATCH($E378,lst_Werkstoff,0))/1000,""))</f>
        <v/>
      </c>
      <c r="O378" s="27">
        <f>IF(OR(N378="",$F378=""),"",N378*$F378/1000)</f>
        <v/>
      </c>
      <c r="P378" s="16">
        <f>IF(OR($F378="",$G378=""),"",$F378*$G378)</f>
        <v/>
      </c>
      <c r="Q378" s="16">
        <f>IF($D378="","",IF($J378&lt;&gt;"",$J378,$C$9))</f>
        <v/>
      </c>
      <c r="R378" s="12">
        <f>IF($D378="","",IFERROR(IF(INDEX(Profile!$G$5:$G$304,MATCH($D378,lst_Profil,0))&lt;&gt;"",INDEX(Profile!$G$5:$G$304,MATCH($D378,lst_Profil,0)),$H$4),$H$4))</f>
        <v/>
      </c>
      <c r="S378" s="12">
        <f>IF($D378="","",IFERROR(IF(INDEX(Profile!$H$5:$H$304,MATCH($D378,lst_Profil,0))&lt;&gt;"",INDEX(Profile!$H$5:$H$304,MATCH($D378,lst_Profil,0)),$H$5),$H$5))</f>
        <v/>
      </c>
      <c r="T378" s="16">
        <f>IF(OR(Q378="",NOT(ISNUMBER(R378)),NOT(ISNUMBER(S378))),"",Q378-R378-S378)</f>
        <v/>
      </c>
      <c r="U378" s="28">
        <f>IF(OR($D378="",$E378=""),"",IF(OR(N($AP378)&gt;0,COUNTIFS(Preise!$A$5:$A$304,$D378,Preise!$B$5:$B$304,$E378,Preise!$I$5:$I$304,"OK")&gt;0,N(INDEX(Werkstoffe!$G$5:$G$304,MATCH($E378,lst_Werkstoff,0)))&gt;0),"ja","nein"))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28">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Materialpreis",IF(AND($AQ378&lt;&gt;"",N($AR378)&gt;0,MOD($G378,$AR378)&lt;&gt;0),"WARNUNG: Stückzahl ist kein Vielfaches von Stück je Satz",IF($H378="","HINWEIS: Schneidweg fehlt",IF(V378="","HINWEIS: keine Schneiddaten",IF(AND($AF378&lt;&gt;"",$AG378=""),"HINWEIS: Gewinde-Vorschlag prüfen","OK")))))))))))))))</f>
        <v/>
      </c>
      <c r="X378" s="18">
        <f>IF(OR(O378="",$G378=""),"",O378*$G378)</f>
        <v/>
      </c>
      <c r="Y378" s="9" t="n"/>
      <c r="Z378" s="23" t="n"/>
      <c r="AA378" s="9" t="n"/>
      <c r="AB378" s="23" t="n"/>
      <c r="AC378" s="23" t="n"/>
      <c r="AD378" s="23" t="n"/>
      <c r="AE378" s="9" t="n"/>
      <c r="AF378" s="9" t="n"/>
      <c r="AG378" s="9" t="n"/>
      <c r="AH378" s="24" t="n"/>
      <c r="AI378" s="23" t="n"/>
      <c r="AJ378" s="24" t="n"/>
      <c r="AK378" s="23" t="n"/>
      <c r="AL378" s="24" t="n"/>
      <c r="AM378" s="23" t="n"/>
      <c r="AN378" s="28">
        <f>IF($D378="","",COUNTIFS(Stangenbelegung!$E$5:$E$10004,ROW()))</f>
        <v/>
      </c>
      <c r="AO378" s="28">
        <f>IF(OR($G378="",COUNTA(Stangenbelegung!$A$5:$A$10004)=0),"",$G378-AN378)</f>
        <v/>
      </c>
      <c r="AP378" s="29" t="n"/>
      <c r="AQ378" s="9" t="n"/>
      <c r="AR378" s="19" t="n"/>
    </row>
    <row r="379">
      <c r="A379" s="9" t="n"/>
      <c r="B379" s="9" t="n"/>
      <c r="C379" s="9" t="n"/>
      <c r="D379" s="9" t="n"/>
      <c r="E379" s="9" t="n"/>
      <c r="F379" s="23" t="n"/>
      <c r="G379" s="19" t="n"/>
      <c r="H379" s="23" t="n"/>
      <c r="I379" s="24" t="n"/>
      <c r="J379" s="19" t="n"/>
      <c r="K379" s="25">
        <f>IF($D379="","",IFERROR(INDEX(Profile!$B$5:$B$304,MATCH($D379,lst_Profil,0)),""))</f>
        <v/>
      </c>
      <c r="L379" s="13">
        <f>IF($D379="","",IFERROR(INDEX(Profile!$K$5:$K$304,MATCH($D379,lst_Profil,0))+0,""))</f>
        <v/>
      </c>
      <c r="M379" s="26">
        <f>IF($D379="","",IFERROR(INDEX(Profile!$E$5:$E$304,MATCH($D379,lst_Profil,0))+0,""))</f>
        <v/>
      </c>
      <c r="N379" s="27">
        <f>IF(OR(L379="",$E379=""),"",IFERROR(L379*INDEX(Werkstoffe!$E$5:$E$304,MATCH($E379,lst_Werkstoff,0))/1000,""))</f>
        <v/>
      </c>
      <c r="O379" s="27">
        <f>IF(OR(N379="",$F379=""),"",N379*$F379/1000)</f>
        <v/>
      </c>
      <c r="P379" s="16">
        <f>IF(OR($F379="",$G379=""),"",$F379*$G379)</f>
        <v/>
      </c>
      <c r="Q379" s="16">
        <f>IF($D379="","",IF($J379&lt;&gt;"",$J379,$C$9))</f>
        <v/>
      </c>
      <c r="R379" s="12">
        <f>IF($D379="","",IFERROR(IF(INDEX(Profile!$G$5:$G$304,MATCH($D379,lst_Profil,0))&lt;&gt;"",INDEX(Profile!$G$5:$G$304,MATCH($D379,lst_Profil,0)),$H$4),$H$4))</f>
        <v/>
      </c>
      <c r="S379" s="12">
        <f>IF($D379="","",IFERROR(IF(INDEX(Profile!$H$5:$H$304,MATCH($D379,lst_Profil,0))&lt;&gt;"",INDEX(Profile!$H$5:$H$304,MATCH($D379,lst_Profil,0)),$H$5),$H$5))</f>
        <v/>
      </c>
      <c r="T379" s="16">
        <f>IF(OR(Q379="",NOT(ISNUMBER(R379)),NOT(ISNUMBER(S379))),"",Q379-R379-S379)</f>
        <v/>
      </c>
      <c r="U379" s="28">
        <f>IF(OR($D379="",$E379=""),"",IF(OR(N($AP379)&gt;0,COUNTIFS(Preise!$A$5:$A$304,$D379,Preise!$B$5:$B$304,$E379,Preise!$I$5:$I$304,"OK")&gt;0,N(INDEX(Werkstoffe!$G$5:$G$304,MATCH($E379,lst_Werkstoff,0)))&gt;0),"ja","nein"))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28">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Materialpreis",IF(AND($AQ379&lt;&gt;"",N($AR379)&gt;0,MOD($G379,$AR379)&lt;&gt;0),"WARNUNG: Stückzahl ist kein Vielfaches von Stück je Satz",IF($H379="","HINWEIS: Schneidweg fehlt",IF(V379="","HINWEIS: keine Schneiddaten",IF(AND($AF379&lt;&gt;"",$AG379=""),"HINWEIS: Gewinde-Vorschlag prüfen","OK")))))))))))))))</f>
        <v/>
      </c>
      <c r="X379" s="18">
        <f>IF(OR(O379="",$G379=""),"",O379*$G379)</f>
        <v/>
      </c>
      <c r="Y379" s="9" t="n"/>
      <c r="Z379" s="23" t="n"/>
      <c r="AA379" s="9" t="n"/>
      <c r="AB379" s="23" t="n"/>
      <c r="AC379" s="23" t="n"/>
      <c r="AD379" s="23" t="n"/>
      <c r="AE379" s="9" t="n"/>
      <c r="AF379" s="9" t="n"/>
      <c r="AG379" s="9" t="n"/>
      <c r="AH379" s="24" t="n"/>
      <c r="AI379" s="23" t="n"/>
      <c r="AJ379" s="24" t="n"/>
      <c r="AK379" s="23" t="n"/>
      <c r="AL379" s="24" t="n"/>
      <c r="AM379" s="23" t="n"/>
      <c r="AN379" s="28">
        <f>IF($D379="","",COUNTIFS(Stangenbelegung!$E$5:$E$10004,ROW()))</f>
        <v/>
      </c>
      <c r="AO379" s="28">
        <f>IF(OR($G379="",COUNTA(Stangenbelegung!$A$5:$A$10004)=0),"",$G379-AN379)</f>
        <v/>
      </c>
      <c r="AP379" s="29" t="n"/>
      <c r="AQ379" s="9" t="n"/>
      <c r="AR379" s="19" t="n"/>
    </row>
    <row r="380">
      <c r="A380" s="9" t="n"/>
      <c r="B380" s="9" t="n"/>
      <c r="C380" s="9" t="n"/>
      <c r="D380" s="9" t="n"/>
      <c r="E380" s="9" t="n"/>
      <c r="F380" s="23" t="n"/>
      <c r="G380" s="19" t="n"/>
      <c r="H380" s="23" t="n"/>
      <c r="I380" s="24" t="n"/>
      <c r="J380" s="19" t="n"/>
      <c r="K380" s="25">
        <f>IF($D380="","",IFERROR(INDEX(Profile!$B$5:$B$304,MATCH($D380,lst_Profil,0)),""))</f>
        <v/>
      </c>
      <c r="L380" s="13">
        <f>IF($D380="","",IFERROR(INDEX(Profile!$K$5:$K$304,MATCH($D380,lst_Profil,0))+0,""))</f>
        <v/>
      </c>
      <c r="M380" s="26">
        <f>IF($D380="","",IFERROR(INDEX(Profile!$E$5:$E$304,MATCH($D380,lst_Profil,0))+0,""))</f>
        <v/>
      </c>
      <c r="N380" s="27">
        <f>IF(OR(L380="",$E380=""),"",IFERROR(L380*INDEX(Werkstoffe!$E$5:$E$304,MATCH($E380,lst_Werkstoff,0))/1000,""))</f>
        <v/>
      </c>
      <c r="O380" s="27">
        <f>IF(OR(N380="",$F380=""),"",N380*$F380/1000)</f>
        <v/>
      </c>
      <c r="P380" s="16">
        <f>IF(OR($F380="",$G380=""),"",$F380*$G380)</f>
        <v/>
      </c>
      <c r="Q380" s="16">
        <f>IF($D380="","",IF($J380&lt;&gt;"",$J380,$C$9))</f>
        <v/>
      </c>
      <c r="R380" s="12">
        <f>IF($D380="","",IFERROR(IF(INDEX(Profile!$G$5:$G$304,MATCH($D380,lst_Profil,0))&lt;&gt;"",INDEX(Profile!$G$5:$G$304,MATCH($D380,lst_Profil,0)),$H$4),$H$4))</f>
        <v/>
      </c>
      <c r="S380" s="12">
        <f>IF($D380="","",IFERROR(IF(INDEX(Profile!$H$5:$H$304,MATCH($D380,lst_Profil,0))&lt;&gt;"",INDEX(Profile!$H$5:$H$304,MATCH($D380,lst_Profil,0)),$H$5),$H$5))</f>
        <v/>
      </c>
      <c r="T380" s="16">
        <f>IF(OR(Q380="",NOT(ISNUMBER(R380)),NOT(ISNUMBER(S380))),"",Q380-R380-S380)</f>
        <v/>
      </c>
      <c r="U380" s="28">
        <f>IF(OR($D380="",$E380=""),"",IF(OR(N($AP380)&gt;0,COUNTIFS(Preise!$A$5:$A$304,$D380,Preise!$B$5:$B$304,$E380,Preise!$I$5:$I$304,"OK")&gt;0,N(INDEX(Werkstoffe!$G$5:$G$304,MATCH($E380,lst_Werkstoff,0)))&gt;0),"ja","nein"))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28">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Materialpreis",IF(AND($AQ380&lt;&gt;"",N($AR380)&gt;0,MOD($G380,$AR380)&lt;&gt;0),"WARNUNG: Stückzahl ist kein Vielfaches von Stück je Satz",IF($H380="","HINWEIS: Schneidweg fehlt",IF(V380="","HINWEIS: keine Schneiddaten",IF(AND($AF380&lt;&gt;"",$AG380=""),"HINWEIS: Gewinde-Vorschlag prüfen","OK")))))))))))))))</f>
        <v/>
      </c>
      <c r="X380" s="18">
        <f>IF(OR(O380="",$G380=""),"",O380*$G380)</f>
        <v/>
      </c>
      <c r="Y380" s="9" t="n"/>
      <c r="Z380" s="23" t="n"/>
      <c r="AA380" s="9" t="n"/>
      <c r="AB380" s="23" t="n"/>
      <c r="AC380" s="23" t="n"/>
      <c r="AD380" s="23" t="n"/>
      <c r="AE380" s="9" t="n"/>
      <c r="AF380" s="9" t="n"/>
      <c r="AG380" s="9" t="n"/>
      <c r="AH380" s="24" t="n"/>
      <c r="AI380" s="23" t="n"/>
      <c r="AJ380" s="24" t="n"/>
      <c r="AK380" s="23" t="n"/>
      <c r="AL380" s="24" t="n"/>
      <c r="AM380" s="23" t="n"/>
      <c r="AN380" s="28">
        <f>IF($D380="","",COUNTIFS(Stangenbelegung!$E$5:$E$10004,ROW()))</f>
        <v/>
      </c>
      <c r="AO380" s="28">
        <f>IF(OR($G380="",COUNTA(Stangenbelegung!$A$5:$A$10004)=0),"",$G380-AN380)</f>
        <v/>
      </c>
      <c r="AP380" s="29" t="n"/>
      <c r="AQ380" s="9" t="n"/>
      <c r="AR380" s="19" t="n"/>
    </row>
    <row r="381">
      <c r="A381" s="9" t="n"/>
      <c r="B381" s="9" t="n"/>
      <c r="C381" s="9" t="n"/>
      <c r="D381" s="9" t="n"/>
      <c r="E381" s="9" t="n"/>
      <c r="F381" s="23" t="n"/>
      <c r="G381" s="19" t="n"/>
      <c r="H381" s="23" t="n"/>
      <c r="I381" s="24" t="n"/>
      <c r="J381" s="19" t="n"/>
      <c r="K381" s="25">
        <f>IF($D381="","",IFERROR(INDEX(Profile!$B$5:$B$304,MATCH($D381,lst_Profil,0)),""))</f>
        <v/>
      </c>
      <c r="L381" s="13">
        <f>IF($D381="","",IFERROR(INDEX(Profile!$K$5:$K$304,MATCH($D381,lst_Profil,0))+0,""))</f>
        <v/>
      </c>
      <c r="M381" s="26">
        <f>IF($D381="","",IFERROR(INDEX(Profile!$E$5:$E$304,MATCH($D381,lst_Profil,0))+0,""))</f>
        <v/>
      </c>
      <c r="N381" s="27">
        <f>IF(OR(L381="",$E381=""),"",IFERROR(L381*INDEX(Werkstoffe!$E$5:$E$304,MATCH($E381,lst_Werkstoff,0))/1000,""))</f>
        <v/>
      </c>
      <c r="O381" s="27">
        <f>IF(OR(N381="",$F381=""),"",N381*$F381/1000)</f>
        <v/>
      </c>
      <c r="P381" s="16">
        <f>IF(OR($F381="",$G381=""),"",$F381*$G381)</f>
        <v/>
      </c>
      <c r="Q381" s="16">
        <f>IF($D381="","",IF($J381&lt;&gt;"",$J381,$C$9))</f>
        <v/>
      </c>
      <c r="R381" s="12">
        <f>IF($D381="","",IFERROR(IF(INDEX(Profile!$G$5:$G$304,MATCH($D381,lst_Profil,0))&lt;&gt;"",INDEX(Profile!$G$5:$G$304,MATCH($D381,lst_Profil,0)),$H$4),$H$4))</f>
        <v/>
      </c>
      <c r="S381" s="12">
        <f>IF($D381="","",IFERROR(IF(INDEX(Profile!$H$5:$H$304,MATCH($D381,lst_Profil,0))&lt;&gt;"",INDEX(Profile!$H$5:$H$304,MATCH($D381,lst_Profil,0)),$H$5),$H$5))</f>
        <v/>
      </c>
      <c r="T381" s="16">
        <f>IF(OR(Q381="",NOT(ISNUMBER(R381)),NOT(ISNUMBER(S381))),"",Q381-R381-S381)</f>
        <v/>
      </c>
      <c r="U381" s="28">
        <f>IF(OR($D381="",$E381=""),"",IF(OR(N($AP381)&gt;0,COUNTIFS(Preise!$A$5:$A$304,$D381,Preise!$B$5:$B$304,$E381,Preise!$I$5:$I$304,"OK")&gt;0,N(INDEX(Werkstoffe!$G$5:$G$304,MATCH($E381,lst_Werkstoff,0)))&gt;0),"ja","nein"))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28">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Materialpreis",IF(AND($AQ381&lt;&gt;"",N($AR381)&gt;0,MOD($G381,$AR381)&lt;&gt;0),"WARNUNG: Stückzahl ist kein Vielfaches von Stück je Satz",IF($H381="","HINWEIS: Schneidweg fehlt",IF(V381="","HINWEIS: keine Schneiddaten",IF(AND($AF381&lt;&gt;"",$AG381=""),"HINWEIS: Gewinde-Vorschlag prüfen","OK")))))))))))))))</f>
        <v/>
      </c>
      <c r="X381" s="18">
        <f>IF(OR(O381="",$G381=""),"",O381*$G381)</f>
        <v/>
      </c>
      <c r="Y381" s="9" t="n"/>
      <c r="Z381" s="23" t="n"/>
      <c r="AA381" s="9" t="n"/>
      <c r="AB381" s="23" t="n"/>
      <c r="AC381" s="23" t="n"/>
      <c r="AD381" s="23" t="n"/>
      <c r="AE381" s="9" t="n"/>
      <c r="AF381" s="9" t="n"/>
      <c r="AG381" s="9" t="n"/>
      <c r="AH381" s="24" t="n"/>
      <c r="AI381" s="23" t="n"/>
      <c r="AJ381" s="24" t="n"/>
      <c r="AK381" s="23" t="n"/>
      <c r="AL381" s="24" t="n"/>
      <c r="AM381" s="23" t="n"/>
      <c r="AN381" s="28">
        <f>IF($D381="","",COUNTIFS(Stangenbelegung!$E$5:$E$10004,ROW()))</f>
        <v/>
      </c>
      <c r="AO381" s="28">
        <f>IF(OR($G381="",COUNTA(Stangenbelegung!$A$5:$A$10004)=0),"",$G381-AN381)</f>
        <v/>
      </c>
      <c r="AP381" s="29" t="n"/>
      <c r="AQ381" s="9" t="n"/>
      <c r="AR381" s="19" t="n"/>
    </row>
    <row r="382">
      <c r="A382" s="9" t="n"/>
      <c r="B382" s="9" t="n"/>
      <c r="C382" s="9" t="n"/>
      <c r="D382" s="9" t="n"/>
      <c r="E382" s="9" t="n"/>
      <c r="F382" s="23" t="n"/>
      <c r="G382" s="19" t="n"/>
      <c r="H382" s="23" t="n"/>
      <c r="I382" s="24" t="n"/>
      <c r="J382" s="19" t="n"/>
      <c r="K382" s="25">
        <f>IF($D382="","",IFERROR(INDEX(Profile!$B$5:$B$304,MATCH($D382,lst_Profil,0)),""))</f>
        <v/>
      </c>
      <c r="L382" s="13">
        <f>IF($D382="","",IFERROR(INDEX(Profile!$K$5:$K$304,MATCH($D382,lst_Profil,0))+0,""))</f>
        <v/>
      </c>
      <c r="M382" s="26">
        <f>IF($D382="","",IFERROR(INDEX(Profile!$E$5:$E$304,MATCH($D382,lst_Profil,0))+0,""))</f>
        <v/>
      </c>
      <c r="N382" s="27">
        <f>IF(OR(L382="",$E382=""),"",IFERROR(L382*INDEX(Werkstoffe!$E$5:$E$304,MATCH($E382,lst_Werkstoff,0))/1000,""))</f>
        <v/>
      </c>
      <c r="O382" s="27">
        <f>IF(OR(N382="",$F382=""),"",N382*$F382/1000)</f>
        <v/>
      </c>
      <c r="P382" s="16">
        <f>IF(OR($F382="",$G382=""),"",$F382*$G382)</f>
        <v/>
      </c>
      <c r="Q382" s="16">
        <f>IF($D382="","",IF($J382&lt;&gt;"",$J382,$C$9))</f>
        <v/>
      </c>
      <c r="R382" s="12">
        <f>IF($D382="","",IFERROR(IF(INDEX(Profile!$G$5:$G$304,MATCH($D382,lst_Profil,0))&lt;&gt;"",INDEX(Profile!$G$5:$G$304,MATCH($D382,lst_Profil,0)),$H$4),$H$4))</f>
        <v/>
      </c>
      <c r="S382" s="12">
        <f>IF($D382="","",IFERROR(IF(INDEX(Profile!$H$5:$H$304,MATCH($D382,lst_Profil,0))&lt;&gt;"",INDEX(Profile!$H$5:$H$304,MATCH($D382,lst_Profil,0)),$H$5),$H$5))</f>
        <v/>
      </c>
      <c r="T382" s="16">
        <f>IF(OR(Q382="",NOT(ISNUMBER(R382)),NOT(ISNUMBER(S382))),"",Q382-R382-S382)</f>
        <v/>
      </c>
      <c r="U382" s="28">
        <f>IF(OR($D382="",$E382=""),"",IF(OR(N($AP382)&gt;0,COUNTIFS(Preise!$A$5:$A$304,$D382,Preise!$B$5:$B$304,$E382,Preise!$I$5:$I$304,"OK")&gt;0,N(INDEX(Werkstoffe!$G$5:$G$304,MATCH($E382,lst_Werkstoff,0)))&gt;0),"ja","nein"))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28">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Materialpreis",IF(AND($AQ382&lt;&gt;"",N($AR382)&gt;0,MOD($G382,$AR382)&lt;&gt;0),"WARNUNG: Stückzahl ist kein Vielfaches von Stück je Satz",IF($H382="","HINWEIS: Schneidweg fehlt",IF(V382="","HINWEIS: keine Schneiddaten",IF(AND($AF382&lt;&gt;"",$AG382=""),"HINWEIS: Gewinde-Vorschlag prüfen","OK")))))))))))))))</f>
        <v/>
      </c>
      <c r="X382" s="18">
        <f>IF(OR(O382="",$G382=""),"",O382*$G382)</f>
        <v/>
      </c>
      <c r="Y382" s="9" t="n"/>
      <c r="Z382" s="23" t="n"/>
      <c r="AA382" s="9" t="n"/>
      <c r="AB382" s="23" t="n"/>
      <c r="AC382" s="23" t="n"/>
      <c r="AD382" s="23" t="n"/>
      <c r="AE382" s="9" t="n"/>
      <c r="AF382" s="9" t="n"/>
      <c r="AG382" s="9" t="n"/>
      <c r="AH382" s="24" t="n"/>
      <c r="AI382" s="23" t="n"/>
      <c r="AJ382" s="24" t="n"/>
      <c r="AK382" s="23" t="n"/>
      <c r="AL382" s="24" t="n"/>
      <c r="AM382" s="23" t="n"/>
      <c r="AN382" s="28">
        <f>IF($D382="","",COUNTIFS(Stangenbelegung!$E$5:$E$10004,ROW()))</f>
        <v/>
      </c>
      <c r="AO382" s="28">
        <f>IF(OR($G382="",COUNTA(Stangenbelegung!$A$5:$A$10004)=0),"",$G382-AN382)</f>
        <v/>
      </c>
      <c r="AP382" s="29" t="n"/>
      <c r="AQ382" s="9" t="n"/>
      <c r="AR382" s="19" t="n"/>
    </row>
    <row r="383">
      <c r="A383" s="9" t="n"/>
      <c r="B383" s="9" t="n"/>
      <c r="C383" s="9" t="n"/>
      <c r="D383" s="9" t="n"/>
      <c r="E383" s="9" t="n"/>
      <c r="F383" s="23" t="n"/>
      <c r="G383" s="19" t="n"/>
      <c r="H383" s="23" t="n"/>
      <c r="I383" s="24" t="n"/>
      <c r="J383" s="19" t="n"/>
      <c r="K383" s="25">
        <f>IF($D383="","",IFERROR(INDEX(Profile!$B$5:$B$304,MATCH($D383,lst_Profil,0)),""))</f>
        <v/>
      </c>
      <c r="L383" s="13">
        <f>IF($D383="","",IFERROR(INDEX(Profile!$K$5:$K$304,MATCH($D383,lst_Profil,0))+0,""))</f>
        <v/>
      </c>
      <c r="M383" s="26">
        <f>IF($D383="","",IFERROR(INDEX(Profile!$E$5:$E$304,MATCH($D383,lst_Profil,0))+0,""))</f>
        <v/>
      </c>
      <c r="N383" s="27">
        <f>IF(OR(L383="",$E383=""),"",IFERROR(L383*INDEX(Werkstoffe!$E$5:$E$304,MATCH($E383,lst_Werkstoff,0))/1000,""))</f>
        <v/>
      </c>
      <c r="O383" s="27">
        <f>IF(OR(N383="",$F383=""),"",N383*$F383/1000)</f>
        <v/>
      </c>
      <c r="P383" s="16">
        <f>IF(OR($F383="",$G383=""),"",$F383*$G383)</f>
        <v/>
      </c>
      <c r="Q383" s="16">
        <f>IF($D383="","",IF($J383&lt;&gt;"",$J383,$C$9))</f>
        <v/>
      </c>
      <c r="R383" s="12">
        <f>IF($D383="","",IFERROR(IF(INDEX(Profile!$G$5:$G$304,MATCH($D383,lst_Profil,0))&lt;&gt;"",INDEX(Profile!$G$5:$G$304,MATCH($D383,lst_Profil,0)),$H$4),$H$4))</f>
        <v/>
      </c>
      <c r="S383" s="12">
        <f>IF($D383="","",IFERROR(IF(INDEX(Profile!$H$5:$H$304,MATCH($D383,lst_Profil,0))&lt;&gt;"",INDEX(Profile!$H$5:$H$304,MATCH($D383,lst_Profil,0)),$H$5),$H$5))</f>
        <v/>
      </c>
      <c r="T383" s="16">
        <f>IF(OR(Q383="",NOT(ISNUMBER(R383)),NOT(ISNUMBER(S383))),"",Q383-R383-S383)</f>
        <v/>
      </c>
      <c r="U383" s="28">
        <f>IF(OR($D383="",$E383=""),"",IF(OR(N($AP383)&gt;0,COUNTIFS(Preise!$A$5:$A$304,$D383,Preise!$B$5:$B$304,$E383,Preise!$I$5:$I$304,"OK")&gt;0,N(INDEX(Werkstoffe!$G$5:$G$304,MATCH($E383,lst_Werkstoff,0)))&gt;0),"ja","nein"))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28">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Materialpreis",IF(AND($AQ383&lt;&gt;"",N($AR383)&gt;0,MOD($G383,$AR383)&lt;&gt;0),"WARNUNG: Stückzahl ist kein Vielfaches von Stück je Satz",IF($H383="","HINWEIS: Schneidweg fehlt",IF(V383="","HINWEIS: keine Schneiddaten",IF(AND($AF383&lt;&gt;"",$AG383=""),"HINWEIS: Gewinde-Vorschlag prüfen","OK")))))))))))))))</f>
        <v/>
      </c>
      <c r="X383" s="18">
        <f>IF(OR(O383="",$G383=""),"",O383*$G383)</f>
        <v/>
      </c>
      <c r="Y383" s="9" t="n"/>
      <c r="Z383" s="23" t="n"/>
      <c r="AA383" s="9" t="n"/>
      <c r="AB383" s="23" t="n"/>
      <c r="AC383" s="23" t="n"/>
      <c r="AD383" s="23" t="n"/>
      <c r="AE383" s="9" t="n"/>
      <c r="AF383" s="9" t="n"/>
      <c r="AG383" s="9" t="n"/>
      <c r="AH383" s="24" t="n"/>
      <c r="AI383" s="23" t="n"/>
      <c r="AJ383" s="24" t="n"/>
      <c r="AK383" s="23" t="n"/>
      <c r="AL383" s="24" t="n"/>
      <c r="AM383" s="23" t="n"/>
      <c r="AN383" s="28">
        <f>IF($D383="","",COUNTIFS(Stangenbelegung!$E$5:$E$10004,ROW()))</f>
        <v/>
      </c>
      <c r="AO383" s="28">
        <f>IF(OR($G383="",COUNTA(Stangenbelegung!$A$5:$A$10004)=0),"",$G383-AN383)</f>
        <v/>
      </c>
      <c r="AP383" s="29" t="n"/>
      <c r="AQ383" s="9" t="n"/>
      <c r="AR383" s="19" t="n"/>
    </row>
    <row r="384">
      <c r="A384" s="9" t="n"/>
      <c r="B384" s="9" t="n"/>
      <c r="C384" s="9" t="n"/>
      <c r="D384" s="9" t="n"/>
      <c r="E384" s="9" t="n"/>
      <c r="F384" s="23" t="n"/>
      <c r="G384" s="19" t="n"/>
      <c r="H384" s="23" t="n"/>
      <c r="I384" s="24" t="n"/>
      <c r="J384" s="19" t="n"/>
      <c r="K384" s="25">
        <f>IF($D384="","",IFERROR(INDEX(Profile!$B$5:$B$304,MATCH($D384,lst_Profil,0)),""))</f>
        <v/>
      </c>
      <c r="L384" s="13">
        <f>IF($D384="","",IFERROR(INDEX(Profile!$K$5:$K$304,MATCH($D384,lst_Profil,0))+0,""))</f>
        <v/>
      </c>
      <c r="M384" s="26">
        <f>IF($D384="","",IFERROR(INDEX(Profile!$E$5:$E$304,MATCH($D384,lst_Profil,0))+0,""))</f>
        <v/>
      </c>
      <c r="N384" s="27">
        <f>IF(OR(L384="",$E384=""),"",IFERROR(L384*INDEX(Werkstoffe!$E$5:$E$304,MATCH($E384,lst_Werkstoff,0))/1000,""))</f>
        <v/>
      </c>
      <c r="O384" s="27">
        <f>IF(OR(N384="",$F384=""),"",N384*$F384/1000)</f>
        <v/>
      </c>
      <c r="P384" s="16">
        <f>IF(OR($F384="",$G384=""),"",$F384*$G384)</f>
        <v/>
      </c>
      <c r="Q384" s="16">
        <f>IF($D384="","",IF($J384&lt;&gt;"",$J384,$C$9))</f>
        <v/>
      </c>
      <c r="R384" s="12">
        <f>IF($D384="","",IFERROR(IF(INDEX(Profile!$G$5:$G$304,MATCH($D384,lst_Profil,0))&lt;&gt;"",INDEX(Profile!$G$5:$G$304,MATCH($D384,lst_Profil,0)),$H$4),$H$4))</f>
        <v/>
      </c>
      <c r="S384" s="12">
        <f>IF($D384="","",IFERROR(IF(INDEX(Profile!$H$5:$H$304,MATCH($D384,lst_Profil,0))&lt;&gt;"",INDEX(Profile!$H$5:$H$304,MATCH($D384,lst_Profil,0)),$H$5),$H$5))</f>
        <v/>
      </c>
      <c r="T384" s="16">
        <f>IF(OR(Q384="",NOT(ISNUMBER(R384)),NOT(ISNUMBER(S384))),"",Q384-R384-S384)</f>
        <v/>
      </c>
      <c r="U384" s="28">
        <f>IF(OR($D384="",$E384=""),"",IF(OR(N($AP384)&gt;0,COUNTIFS(Preise!$A$5:$A$304,$D384,Preise!$B$5:$B$304,$E384,Preise!$I$5:$I$304,"OK")&gt;0,N(INDEX(Werkstoffe!$G$5:$G$304,MATCH($E384,lst_Werkstoff,0)))&gt;0),"ja","nein"))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28">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Materialpreis",IF(AND($AQ384&lt;&gt;"",N($AR384)&gt;0,MOD($G384,$AR384)&lt;&gt;0),"WARNUNG: Stückzahl ist kein Vielfaches von Stück je Satz",IF($H384="","HINWEIS: Schneidweg fehlt",IF(V384="","HINWEIS: keine Schneiddaten",IF(AND($AF384&lt;&gt;"",$AG384=""),"HINWEIS: Gewinde-Vorschlag prüfen","OK")))))))))))))))</f>
        <v/>
      </c>
      <c r="X384" s="18">
        <f>IF(OR(O384="",$G384=""),"",O384*$G384)</f>
        <v/>
      </c>
      <c r="Y384" s="9" t="n"/>
      <c r="Z384" s="23" t="n"/>
      <c r="AA384" s="9" t="n"/>
      <c r="AB384" s="23" t="n"/>
      <c r="AC384" s="23" t="n"/>
      <c r="AD384" s="23" t="n"/>
      <c r="AE384" s="9" t="n"/>
      <c r="AF384" s="9" t="n"/>
      <c r="AG384" s="9" t="n"/>
      <c r="AH384" s="24" t="n"/>
      <c r="AI384" s="23" t="n"/>
      <c r="AJ384" s="24" t="n"/>
      <c r="AK384" s="23" t="n"/>
      <c r="AL384" s="24" t="n"/>
      <c r="AM384" s="23" t="n"/>
      <c r="AN384" s="28">
        <f>IF($D384="","",COUNTIFS(Stangenbelegung!$E$5:$E$10004,ROW()))</f>
        <v/>
      </c>
      <c r="AO384" s="28">
        <f>IF(OR($G384="",COUNTA(Stangenbelegung!$A$5:$A$10004)=0),"",$G384-AN384)</f>
        <v/>
      </c>
      <c r="AP384" s="29" t="n"/>
      <c r="AQ384" s="9" t="n"/>
      <c r="AR384" s="19" t="n"/>
    </row>
    <row r="385">
      <c r="A385" s="9" t="n"/>
      <c r="B385" s="9" t="n"/>
      <c r="C385" s="9" t="n"/>
      <c r="D385" s="9" t="n"/>
      <c r="E385" s="9" t="n"/>
      <c r="F385" s="23" t="n"/>
      <c r="G385" s="19" t="n"/>
      <c r="H385" s="23" t="n"/>
      <c r="I385" s="24" t="n"/>
      <c r="J385" s="19" t="n"/>
      <c r="K385" s="25">
        <f>IF($D385="","",IFERROR(INDEX(Profile!$B$5:$B$304,MATCH($D385,lst_Profil,0)),""))</f>
        <v/>
      </c>
      <c r="L385" s="13">
        <f>IF($D385="","",IFERROR(INDEX(Profile!$K$5:$K$304,MATCH($D385,lst_Profil,0))+0,""))</f>
        <v/>
      </c>
      <c r="M385" s="26">
        <f>IF($D385="","",IFERROR(INDEX(Profile!$E$5:$E$304,MATCH($D385,lst_Profil,0))+0,""))</f>
        <v/>
      </c>
      <c r="N385" s="27">
        <f>IF(OR(L385="",$E385=""),"",IFERROR(L385*INDEX(Werkstoffe!$E$5:$E$304,MATCH($E385,lst_Werkstoff,0))/1000,""))</f>
        <v/>
      </c>
      <c r="O385" s="27">
        <f>IF(OR(N385="",$F385=""),"",N385*$F385/1000)</f>
        <v/>
      </c>
      <c r="P385" s="16">
        <f>IF(OR($F385="",$G385=""),"",$F385*$G385)</f>
        <v/>
      </c>
      <c r="Q385" s="16">
        <f>IF($D385="","",IF($J385&lt;&gt;"",$J385,$C$9))</f>
        <v/>
      </c>
      <c r="R385" s="12">
        <f>IF($D385="","",IFERROR(IF(INDEX(Profile!$G$5:$G$304,MATCH($D385,lst_Profil,0))&lt;&gt;"",INDEX(Profile!$G$5:$G$304,MATCH($D385,lst_Profil,0)),$H$4),$H$4))</f>
        <v/>
      </c>
      <c r="S385" s="12">
        <f>IF($D385="","",IFERROR(IF(INDEX(Profile!$H$5:$H$304,MATCH($D385,lst_Profil,0))&lt;&gt;"",INDEX(Profile!$H$5:$H$304,MATCH($D385,lst_Profil,0)),$H$5),$H$5))</f>
        <v/>
      </c>
      <c r="T385" s="16">
        <f>IF(OR(Q385="",NOT(ISNUMBER(R385)),NOT(ISNUMBER(S385))),"",Q385-R385-S385)</f>
        <v/>
      </c>
      <c r="U385" s="28">
        <f>IF(OR($D385="",$E385=""),"",IF(OR(N($AP385)&gt;0,COUNTIFS(Preise!$A$5:$A$304,$D385,Preise!$B$5:$B$304,$E385,Preise!$I$5:$I$304,"OK")&gt;0,N(INDEX(Werkstoffe!$G$5:$G$304,MATCH($E385,lst_Werkstoff,0)))&gt;0),"ja","nein"))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28">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Materialpreis",IF(AND($AQ385&lt;&gt;"",N($AR385)&gt;0,MOD($G385,$AR385)&lt;&gt;0),"WARNUNG: Stückzahl ist kein Vielfaches von Stück je Satz",IF($H385="","HINWEIS: Schneidweg fehlt",IF(V385="","HINWEIS: keine Schneiddaten",IF(AND($AF385&lt;&gt;"",$AG385=""),"HINWEIS: Gewinde-Vorschlag prüfen","OK")))))))))))))))</f>
        <v/>
      </c>
      <c r="X385" s="18">
        <f>IF(OR(O385="",$G385=""),"",O385*$G385)</f>
        <v/>
      </c>
      <c r="Y385" s="9" t="n"/>
      <c r="Z385" s="23" t="n"/>
      <c r="AA385" s="9" t="n"/>
      <c r="AB385" s="23" t="n"/>
      <c r="AC385" s="23" t="n"/>
      <c r="AD385" s="23" t="n"/>
      <c r="AE385" s="9" t="n"/>
      <c r="AF385" s="9" t="n"/>
      <c r="AG385" s="9" t="n"/>
      <c r="AH385" s="24" t="n"/>
      <c r="AI385" s="23" t="n"/>
      <c r="AJ385" s="24" t="n"/>
      <c r="AK385" s="23" t="n"/>
      <c r="AL385" s="24" t="n"/>
      <c r="AM385" s="23" t="n"/>
      <c r="AN385" s="28">
        <f>IF($D385="","",COUNTIFS(Stangenbelegung!$E$5:$E$10004,ROW()))</f>
        <v/>
      </c>
      <c r="AO385" s="28">
        <f>IF(OR($G385="",COUNTA(Stangenbelegung!$A$5:$A$10004)=0),"",$G385-AN385)</f>
        <v/>
      </c>
      <c r="AP385" s="29" t="n"/>
      <c r="AQ385" s="9" t="n"/>
      <c r="AR385" s="19" t="n"/>
    </row>
    <row r="386">
      <c r="A386" s="9" t="n"/>
      <c r="B386" s="9" t="n"/>
      <c r="C386" s="9" t="n"/>
      <c r="D386" s="9" t="n"/>
      <c r="E386" s="9" t="n"/>
      <c r="F386" s="23" t="n"/>
      <c r="G386" s="19" t="n"/>
      <c r="H386" s="23" t="n"/>
      <c r="I386" s="24" t="n"/>
      <c r="J386" s="19" t="n"/>
      <c r="K386" s="25">
        <f>IF($D386="","",IFERROR(INDEX(Profile!$B$5:$B$304,MATCH($D386,lst_Profil,0)),""))</f>
        <v/>
      </c>
      <c r="L386" s="13">
        <f>IF($D386="","",IFERROR(INDEX(Profile!$K$5:$K$304,MATCH($D386,lst_Profil,0))+0,""))</f>
        <v/>
      </c>
      <c r="M386" s="26">
        <f>IF($D386="","",IFERROR(INDEX(Profile!$E$5:$E$304,MATCH($D386,lst_Profil,0))+0,""))</f>
        <v/>
      </c>
      <c r="N386" s="27">
        <f>IF(OR(L386="",$E386=""),"",IFERROR(L386*INDEX(Werkstoffe!$E$5:$E$304,MATCH($E386,lst_Werkstoff,0))/1000,""))</f>
        <v/>
      </c>
      <c r="O386" s="27">
        <f>IF(OR(N386="",$F386=""),"",N386*$F386/1000)</f>
        <v/>
      </c>
      <c r="P386" s="16">
        <f>IF(OR($F386="",$G386=""),"",$F386*$G386)</f>
        <v/>
      </c>
      <c r="Q386" s="16">
        <f>IF($D386="","",IF($J386&lt;&gt;"",$J386,$C$9))</f>
        <v/>
      </c>
      <c r="R386" s="12">
        <f>IF($D386="","",IFERROR(IF(INDEX(Profile!$G$5:$G$304,MATCH($D386,lst_Profil,0))&lt;&gt;"",INDEX(Profile!$G$5:$G$304,MATCH($D386,lst_Profil,0)),$H$4),$H$4))</f>
        <v/>
      </c>
      <c r="S386" s="12">
        <f>IF($D386="","",IFERROR(IF(INDEX(Profile!$H$5:$H$304,MATCH($D386,lst_Profil,0))&lt;&gt;"",INDEX(Profile!$H$5:$H$304,MATCH($D386,lst_Profil,0)),$H$5),$H$5))</f>
        <v/>
      </c>
      <c r="T386" s="16">
        <f>IF(OR(Q386="",NOT(ISNUMBER(R386)),NOT(ISNUMBER(S386))),"",Q386-R386-S386)</f>
        <v/>
      </c>
      <c r="U386" s="28">
        <f>IF(OR($D386="",$E386=""),"",IF(OR(N($AP386)&gt;0,COUNTIFS(Preise!$A$5:$A$304,$D386,Preise!$B$5:$B$304,$E386,Preise!$I$5:$I$304,"OK")&gt;0,N(INDEX(Werkstoffe!$G$5:$G$304,MATCH($E386,lst_Werkstoff,0)))&gt;0),"ja","nein"))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28">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Materialpreis",IF(AND($AQ386&lt;&gt;"",N($AR386)&gt;0,MOD($G386,$AR386)&lt;&gt;0),"WARNUNG: Stückzahl ist kein Vielfaches von Stück je Satz",IF($H386="","HINWEIS: Schneidweg fehlt",IF(V386="","HINWEIS: keine Schneiddaten",IF(AND($AF386&lt;&gt;"",$AG386=""),"HINWEIS: Gewinde-Vorschlag prüfen","OK")))))))))))))))</f>
        <v/>
      </c>
      <c r="X386" s="18">
        <f>IF(OR(O386="",$G386=""),"",O386*$G386)</f>
        <v/>
      </c>
      <c r="Y386" s="9" t="n"/>
      <c r="Z386" s="23" t="n"/>
      <c r="AA386" s="9" t="n"/>
      <c r="AB386" s="23" t="n"/>
      <c r="AC386" s="23" t="n"/>
      <c r="AD386" s="23" t="n"/>
      <c r="AE386" s="9" t="n"/>
      <c r="AF386" s="9" t="n"/>
      <c r="AG386" s="9" t="n"/>
      <c r="AH386" s="24" t="n"/>
      <c r="AI386" s="23" t="n"/>
      <c r="AJ386" s="24" t="n"/>
      <c r="AK386" s="23" t="n"/>
      <c r="AL386" s="24" t="n"/>
      <c r="AM386" s="23" t="n"/>
      <c r="AN386" s="28">
        <f>IF($D386="","",COUNTIFS(Stangenbelegung!$E$5:$E$10004,ROW()))</f>
        <v/>
      </c>
      <c r="AO386" s="28">
        <f>IF(OR($G386="",COUNTA(Stangenbelegung!$A$5:$A$10004)=0),"",$G386-AN386)</f>
        <v/>
      </c>
      <c r="AP386" s="29" t="n"/>
      <c r="AQ386" s="9" t="n"/>
      <c r="AR386" s="19" t="n"/>
    </row>
    <row r="387">
      <c r="A387" s="9" t="n"/>
      <c r="B387" s="9" t="n"/>
      <c r="C387" s="9" t="n"/>
      <c r="D387" s="9" t="n"/>
      <c r="E387" s="9" t="n"/>
      <c r="F387" s="23" t="n"/>
      <c r="G387" s="19" t="n"/>
      <c r="H387" s="23" t="n"/>
      <c r="I387" s="24" t="n"/>
      <c r="J387" s="19" t="n"/>
      <c r="K387" s="25">
        <f>IF($D387="","",IFERROR(INDEX(Profile!$B$5:$B$304,MATCH($D387,lst_Profil,0)),""))</f>
        <v/>
      </c>
      <c r="L387" s="13">
        <f>IF($D387="","",IFERROR(INDEX(Profile!$K$5:$K$304,MATCH($D387,lst_Profil,0))+0,""))</f>
        <v/>
      </c>
      <c r="M387" s="26">
        <f>IF($D387="","",IFERROR(INDEX(Profile!$E$5:$E$304,MATCH($D387,lst_Profil,0))+0,""))</f>
        <v/>
      </c>
      <c r="N387" s="27">
        <f>IF(OR(L387="",$E387=""),"",IFERROR(L387*INDEX(Werkstoffe!$E$5:$E$304,MATCH($E387,lst_Werkstoff,0))/1000,""))</f>
        <v/>
      </c>
      <c r="O387" s="27">
        <f>IF(OR(N387="",$F387=""),"",N387*$F387/1000)</f>
        <v/>
      </c>
      <c r="P387" s="16">
        <f>IF(OR($F387="",$G387=""),"",$F387*$G387)</f>
        <v/>
      </c>
      <c r="Q387" s="16">
        <f>IF($D387="","",IF($J387&lt;&gt;"",$J387,$C$9))</f>
        <v/>
      </c>
      <c r="R387" s="12">
        <f>IF($D387="","",IFERROR(IF(INDEX(Profile!$G$5:$G$304,MATCH($D387,lst_Profil,0))&lt;&gt;"",INDEX(Profile!$G$5:$G$304,MATCH($D387,lst_Profil,0)),$H$4),$H$4))</f>
        <v/>
      </c>
      <c r="S387" s="12">
        <f>IF($D387="","",IFERROR(IF(INDEX(Profile!$H$5:$H$304,MATCH($D387,lst_Profil,0))&lt;&gt;"",INDEX(Profile!$H$5:$H$304,MATCH($D387,lst_Profil,0)),$H$5),$H$5))</f>
        <v/>
      </c>
      <c r="T387" s="16">
        <f>IF(OR(Q387="",NOT(ISNUMBER(R387)),NOT(ISNUMBER(S387))),"",Q387-R387-S387)</f>
        <v/>
      </c>
      <c r="U387" s="28">
        <f>IF(OR($D387="",$E387=""),"",IF(OR(N($AP387)&gt;0,COUNTIFS(Preise!$A$5:$A$304,$D387,Preise!$B$5:$B$304,$E387,Preise!$I$5:$I$304,"OK")&gt;0,N(INDEX(Werkstoffe!$G$5:$G$304,MATCH($E387,lst_Werkstoff,0)))&gt;0),"ja","nein"))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28">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Materialpreis",IF(AND($AQ387&lt;&gt;"",N($AR387)&gt;0,MOD($G387,$AR387)&lt;&gt;0),"WARNUNG: Stückzahl ist kein Vielfaches von Stück je Satz",IF($H387="","HINWEIS: Schneidweg fehlt",IF(V387="","HINWEIS: keine Schneiddaten",IF(AND($AF387&lt;&gt;"",$AG387=""),"HINWEIS: Gewinde-Vorschlag prüfen","OK")))))))))))))))</f>
        <v/>
      </c>
      <c r="X387" s="18">
        <f>IF(OR(O387="",$G387=""),"",O387*$G387)</f>
        <v/>
      </c>
      <c r="Y387" s="9" t="n"/>
      <c r="Z387" s="23" t="n"/>
      <c r="AA387" s="9" t="n"/>
      <c r="AB387" s="23" t="n"/>
      <c r="AC387" s="23" t="n"/>
      <c r="AD387" s="23" t="n"/>
      <c r="AE387" s="9" t="n"/>
      <c r="AF387" s="9" t="n"/>
      <c r="AG387" s="9" t="n"/>
      <c r="AH387" s="24" t="n"/>
      <c r="AI387" s="23" t="n"/>
      <c r="AJ387" s="24" t="n"/>
      <c r="AK387" s="23" t="n"/>
      <c r="AL387" s="24" t="n"/>
      <c r="AM387" s="23" t="n"/>
      <c r="AN387" s="28">
        <f>IF($D387="","",COUNTIFS(Stangenbelegung!$E$5:$E$10004,ROW()))</f>
        <v/>
      </c>
      <c r="AO387" s="28">
        <f>IF(OR($G387="",COUNTA(Stangenbelegung!$A$5:$A$10004)=0),"",$G387-AN387)</f>
        <v/>
      </c>
      <c r="AP387" s="29" t="n"/>
      <c r="AQ387" s="9" t="n"/>
      <c r="AR387" s="19" t="n"/>
    </row>
    <row r="388">
      <c r="A388" s="9" t="n"/>
      <c r="B388" s="9" t="n"/>
      <c r="C388" s="9" t="n"/>
      <c r="D388" s="9" t="n"/>
      <c r="E388" s="9" t="n"/>
      <c r="F388" s="23" t="n"/>
      <c r="G388" s="19" t="n"/>
      <c r="H388" s="23" t="n"/>
      <c r="I388" s="24" t="n"/>
      <c r="J388" s="19" t="n"/>
      <c r="K388" s="25">
        <f>IF($D388="","",IFERROR(INDEX(Profile!$B$5:$B$304,MATCH($D388,lst_Profil,0)),""))</f>
        <v/>
      </c>
      <c r="L388" s="13">
        <f>IF($D388="","",IFERROR(INDEX(Profile!$K$5:$K$304,MATCH($D388,lst_Profil,0))+0,""))</f>
        <v/>
      </c>
      <c r="M388" s="26">
        <f>IF($D388="","",IFERROR(INDEX(Profile!$E$5:$E$304,MATCH($D388,lst_Profil,0))+0,""))</f>
        <v/>
      </c>
      <c r="N388" s="27">
        <f>IF(OR(L388="",$E388=""),"",IFERROR(L388*INDEX(Werkstoffe!$E$5:$E$304,MATCH($E388,lst_Werkstoff,0))/1000,""))</f>
        <v/>
      </c>
      <c r="O388" s="27">
        <f>IF(OR(N388="",$F388=""),"",N388*$F388/1000)</f>
        <v/>
      </c>
      <c r="P388" s="16">
        <f>IF(OR($F388="",$G388=""),"",$F388*$G388)</f>
        <v/>
      </c>
      <c r="Q388" s="16">
        <f>IF($D388="","",IF($J388&lt;&gt;"",$J388,$C$9))</f>
        <v/>
      </c>
      <c r="R388" s="12">
        <f>IF($D388="","",IFERROR(IF(INDEX(Profile!$G$5:$G$304,MATCH($D388,lst_Profil,0))&lt;&gt;"",INDEX(Profile!$G$5:$G$304,MATCH($D388,lst_Profil,0)),$H$4),$H$4))</f>
        <v/>
      </c>
      <c r="S388" s="12">
        <f>IF($D388="","",IFERROR(IF(INDEX(Profile!$H$5:$H$304,MATCH($D388,lst_Profil,0))&lt;&gt;"",INDEX(Profile!$H$5:$H$304,MATCH($D388,lst_Profil,0)),$H$5),$H$5))</f>
        <v/>
      </c>
      <c r="T388" s="16">
        <f>IF(OR(Q388="",NOT(ISNUMBER(R388)),NOT(ISNUMBER(S388))),"",Q388-R388-S388)</f>
        <v/>
      </c>
      <c r="U388" s="28">
        <f>IF(OR($D388="",$E388=""),"",IF(OR(N($AP388)&gt;0,COUNTIFS(Preise!$A$5:$A$304,$D388,Preise!$B$5:$B$304,$E388,Preise!$I$5:$I$304,"OK")&gt;0,N(INDEX(Werkstoffe!$G$5:$G$304,MATCH($E388,lst_Werkstoff,0)))&gt;0),"ja","nein"))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28">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Materialpreis",IF(AND($AQ388&lt;&gt;"",N($AR388)&gt;0,MOD($G388,$AR388)&lt;&gt;0),"WARNUNG: Stückzahl ist kein Vielfaches von Stück je Satz",IF($H388="","HINWEIS: Schneidweg fehlt",IF(V388="","HINWEIS: keine Schneiddaten",IF(AND($AF388&lt;&gt;"",$AG388=""),"HINWEIS: Gewinde-Vorschlag prüfen","OK")))))))))))))))</f>
        <v/>
      </c>
      <c r="X388" s="18">
        <f>IF(OR(O388="",$G388=""),"",O388*$G388)</f>
        <v/>
      </c>
      <c r="Y388" s="9" t="n"/>
      <c r="Z388" s="23" t="n"/>
      <c r="AA388" s="9" t="n"/>
      <c r="AB388" s="23" t="n"/>
      <c r="AC388" s="23" t="n"/>
      <c r="AD388" s="23" t="n"/>
      <c r="AE388" s="9" t="n"/>
      <c r="AF388" s="9" t="n"/>
      <c r="AG388" s="9" t="n"/>
      <c r="AH388" s="24" t="n"/>
      <c r="AI388" s="23" t="n"/>
      <c r="AJ388" s="24" t="n"/>
      <c r="AK388" s="23" t="n"/>
      <c r="AL388" s="24" t="n"/>
      <c r="AM388" s="23" t="n"/>
      <c r="AN388" s="28">
        <f>IF($D388="","",COUNTIFS(Stangenbelegung!$E$5:$E$10004,ROW()))</f>
        <v/>
      </c>
      <c r="AO388" s="28">
        <f>IF(OR($G388="",COUNTA(Stangenbelegung!$A$5:$A$10004)=0),"",$G388-AN388)</f>
        <v/>
      </c>
      <c r="AP388" s="29" t="n"/>
      <c r="AQ388" s="9" t="n"/>
      <c r="AR388" s="19" t="n"/>
    </row>
    <row r="389">
      <c r="A389" s="9" t="n"/>
      <c r="B389" s="9" t="n"/>
      <c r="C389" s="9" t="n"/>
      <c r="D389" s="9" t="n"/>
      <c r="E389" s="9" t="n"/>
      <c r="F389" s="23" t="n"/>
      <c r="G389" s="19" t="n"/>
      <c r="H389" s="23" t="n"/>
      <c r="I389" s="24" t="n"/>
      <c r="J389" s="19" t="n"/>
      <c r="K389" s="25">
        <f>IF($D389="","",IFERROR(INDEX(Profile!$B$5:$B$304,MATCH($D389,lst_Profil,0)),""))</f>
        <v/>
      </c>
      <c r="L389" s="13">
        <f>IF($D389="","",IFERROR(INDEX(Profile!$K$5:$K$304,MATCH($D389,lst_Profil,0))+0,""))</f>
        <v/>
      </c>
      <c r="M389" s="26">
        <f>IF($D389="","",IFERROR(INDEX(Profile!$E$5:$E$304,MATCH($D389,lst_Profil,0))+0,""))</f>
        <v/>
      </c>
      <c r="N389" s="27">
        <f>IF(OR(L389="",$E389=""),"",IFERROR(L389*INDEX(Werkstoffe!$E$5:$E$304,MATCH($E389,lst_Werkstoff,0))/1000,""))</f>
        <v/>
      </c>
      <c r="O389" s="27">
        <f>IF(OR(N389="",$F389=""),"",N389*$F389/1000)</f>
        <v/>
      </c>
      <c r="P389" s="16">
        <f>IF(OR($F389="",$G389=""),"",$F389*$G389)</f>
        <v/>
      </c>
      <c r="Q389" s="16">
        <f>IF($D389="","",IF($J389&lt;&gt;"",$J389,$C$9))</f>
        <v/>
      </c>
      <c r="R389" s="12">
        <f>IF($D389="","",IFERROR(IF(INDEX(Profile!$G$5:$G$304,MATCH($D389,lst_Profil,0))&lt;&gt;"",INDEX(Profile!$G$5:$G$304,MATCH($D389,lst_Profil,0)),$H$4),$H$4))</f>
        <v/>
      </c>
      <c r="S389" s="12">
        <f>IF($D389="","",IFERROR(IF(INDEX(Profile!$H$5:$H$304,MATCH($D389,lst_Profil,0))&lt;&gt;"",INDEX(Profile!$H$5:$H$304,MATCH($D389,lst_Profil,0)),$H$5),$H$5))</f>
        <v/>
      </c>
      <c r="T389" s="16">
        <f>IF(OR(Q389="",NOT(ISNUMBER(R389)),NOT(ISNUMBER(S389))),"",Q389-R389-S389)</f>
        <v/>
      </c>
      <c r="U389" s="28">
        <f>IF(OR($D389="",$E389=""),"",IF(OR(N($AP389)&gt;0,COUNTIFS(Preise!$A$5:$A$304,$D389,Preise!$B$5:$B$304,$E389,Preise!$I$5:$I$304,"OK")&gt;0,N(INDEX(Werkstoffe!$G$5:$G$304,MATCH($E389,lst_Werkstoff,0)))&gt;0),"ja","nein"))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28">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Materialpreis",IF(AND($AQ389&lt;&gt;"",N($AR389)&gt;0,MOD($G389,$AR389)&lt;&gt;0),"WARNUNG: Stückzahl ist kein Vielfaches von Stück je Satz",IF($H389="","HINWEIS: Schneidweg fehlt",IF(V389="","HINWEIS: keine Schneiddaten",IF(AND($AF389&lt;&gt;"",$AG389=""),"HINWEIS: Gewinde-Vorschlag prüfen","OK")))))))))))))))</f>
        <v/>
      </c>
      <c r="X389" s="18">
        <f>IF(OR(O389="",$G389=""),"",O389*$G389)</f>
        <v/>
      </c>
      <c r="Y389" s="9" t="n"/>
      <c r="Z389" s="23" t="n"/>
      <c r="AA389" s="9" t="n"/>
      <c r="AB389" s="23" t="n"/>
      <c r="AC389" s="23" t="n"/>
      <c r="AD389" s="23" t="n"/>
      <c r="AE389" s="9" t="n"/>
      <c r="AF389" s="9" t="n"/>
      <c r="AG389" s="9" t="n"/>
      <c r="AH389" s="24" t="n"/>
      <c r="AI389" s="23" t="n"/>
      <c r="AJ389" s="24" t="n"/>
      <c r="AK389" s="23" t="n"/>
      <c r="AL389" s="24" t="n"/>
      <c r="AM389" s="23" t="n"/>
      <c r="AN389" s="28">
        <f>IF($D389="","",COUNTIFS(Stangenbelegung!$E$5:$E$10004,ROW()))</f>
        <v/>
      </c>
      <c r="AO389" s="28">
        <f>IF(OR($G389="",COUNTA(Stangenbelegung!$A$5:$A$10004)=0),"",$G389-AN389)</f>
        <v/>
      </c>
      <c r="AP389" s="29" t="n"/>
      <c r="AQ389" s="9" t="n"/>
      <c r="AR389" s="19" t="n"/>
    </row>
    <row r="390">
      <c r="A390" s="9" t="n"/>
      <c r="B390" s="9" t="n"/>
      <c r="C390" s="9" t="n"/>
      <c r="D390" s="9" t="n"/>
      <c r="E390" s="9" t="n"/>
      <c r="F390" s="23" t="n"/>
      <c r="G390" s="19" t="n"/>
      <c r="H390" s="23" t="n"/>
      <c r="I390" s="24" t="n"/>
      <c r="J390" s="19" t="n"/>
      <c r="K390" s="25">
        <f>IF($D390="","",IFERROR(INDEX(Profile!$B$5:$B$304,MATCH($D390,lst_Profil,0)),""))</f>
        <v/>
      </c>
      <c r="L390" s="13">
        <f>IF($D390="","",IFERROR(INDEX(Profile!$K$5:$K$304,MATCH($D390,lst_Profil,0))+0,""))</f>
        <v/>
      </c>
      <c r="M390" s="26">
        <f>IF($D390="","",IFERROR(INDEX(Profile!$E$5:$E$304,MATCH($D390,lst_Profil,0))+0,""))</f>
        <v/>
      </c>
      <c r="N390" s="27">
        <f>IF(OR(L390="",$E390=""),"",IFERROR(L390*INDEX(Werkstoffe!$E$5:$E$304,MATCH($E390,lst_Werkstoff,0))/1000,""))</f>
        <v/>
      </c>
      <c r="O390" s="27">
        <f>IF(OR(N390="",$F390=""),"",N390*$F390/1000)</f>
        <v/>
      </c>
      <c r="P390" s="16">
        <f>IF(OR($F390="",$G390=""),"",$F390*$G390)</f>
        <v/>
      </c>
      <c r="Q390" s="16">
        <f>IF($D390="","",IF($J390&lt;&gt;"",$J390,$C$9))</f>
        <v/>
      </c>
      <c r="R390" s="12">
        <f>IF($D390="","",IFERROR(IF(INDEX(Profile!$G$5:$G$304,MATCH($D390,lst_Profil,0))&lt;&gt;"",INDEX(Profile!$G$5:$G$304,MATCH($D390,lst_Profil,0)),$H$4),$H$4))</f>
        <v/>
      </c>
      <c r="S390" s="12">
        <f>IF($D390="","",IFERROR(IF(INDEX(Profile!$H$5:$H$304,MATCH($D390,lst_Profil,0))&lt;&gt;"",INDEX(Profile!$H$5:$H$304,MATCH($D390,lst_Profil,0)),$H$5),$H$5))</f>
        <v/>
      </c>
      <c r="T390" s="16">
        <f>IF(OR(Q390="",NOT(ISNUMBER(R390)),NOT(ISNUMBER(S390))),"",Q390-R390-S390)</f>
        <v/>
      </c>
      <c r="U390" s="28">
        <f>IF(OR($D390="",$E390=""),"",IF(OR(N($AP390)&gt;0,COUNTIFS(Preise!$A$5:$A$304,$D390,Preise!$B$5:$B$304,$E390,Preise!$I$5:$I$304,"OK")&gt;0,N(INDEX(Werkstoffe!$G$5:$G$304,MATCH($E390,lst_Werkstoff,0)))&gt;0),"ja","nein"))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28">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Materialpreis",IF(AND($AQ390&lt;&gt;"",N($AR390)&gt;0,MOD($G390,$AR390)&lt;&gt;0),"WARNUNG: Stückzahl ist kein Vielfaches von Stück je Satz",IF($H390="","HINWEIS: Schneidweg fehlt",IF(V390="","HINWEIS: keine Schneiddaten",IF(AND($AF390&lt;&gt;"",$AG390=""),"HINWEIS: Gewinde-Vorschlag prüfen","OK")))))))))))))))</f>
        <v/>
      </c>
      <c r="X390" s="18">
        <f>IF(OR(O390="",$G390=""),"",O390*$G390)</f>
        <v/>
      </c>
      <c r="Y390" s="9" t="n"/>
      <c r="Z390" s="23" t="n"/>
      <c r="AA390" s="9" t="n"/>
      <c r="AB390" s="23" t="n"/>
      <c r="AC390" s="23" t="n"/>
      <c r="AD390" s="23" t="n"/>
      <c r="AE390" s="9" t="n"/>
      <c r="AF390" s="9" t="n"/>
      <c r="AG390" s="9" t="n"/>
      <c r="AH390" s="24" t="n"/>
      <c r="AI390" s="23" t="n"/>
      <c r="AJ390" s="24" t="n"/>
      <c r="AK390" s="23" t="n"/>
      <c r="AL390" s="24" t="n"/>
      <c r="AM390" s="23" t="n"/>
      <c r="AN390" s="28">
        <f>IF($D390="","",COUNTIFS(Stangenbelegung!$E$5:$E$10004,ROW()))</f>
        <v/>
      </c>
      <c r="AO390" s="28">
        <f>IF(OR($G390="",COUNTA(Stangenbelegung!$A$5:$A$10004)=0),"",$G390-AN390)</f>
        <v/>
      </c>
      <c r="AP390" s="29" t="n"/>
      <c r="AQ390" s="9" t="n"/>
      <c r="AR390" s="19" t="n"/>
    </row>
    <row r="391">
      <c r="A391" s="9" t="n"/>
      <c r="B391" s="9" t="n"/>
      <c r="C391" s="9" t="n"/>
      <c r="D391" s="9" t="n"/>
      <c r="E391" s="9" t="n"/>
      <c r="F391" s="23" t="n"/>
      <c r="G391" s="19" t="n"/>
      <c r="H391" s="23" t="n"/>
      <c r="I391" s="24" t="n"/>
      <c r="J391" s="19" t="n"/>
      <c r="K391" s="25">
        <f>IF($D391="","",IFERROR(INDEX(Profile!$B$5:$B$304,MATCH($D391,lst_Profil,0)),""))</f>
        <v/>
      </c>
      <c r="L391" s="13">
        <f>IF($D391="","",IFERROR(INDEX(Profile!$K$5:$K$304,MATCH($D391,lst_Profil,0))+0,""))</f>
        <v/>
      </c>
      <c r="M391" s="26">
        <f>IF($D391="","",IFERROR(INDEX(Profile!$E$5:$E$304,MATCH($D391,lst_Profil,0))+0,""))</f>
        <v/>
      </c>
      <c r="N391" s="27">
        <f>IF(OR(L391="",$E391=""),"",IFERROR(L391*INDEX(Werkstoffe!$E$5:$E$304,MATCH($E391,lst_Werkstoff,0))/1000,""))</f>
        <v/>
      </c>
      <c r="O391" s="27">
        <f>IF(OR(N391="",$F391=""),"",N391*$F391/1000)</f>
        <v/>
      </c>
      <c r="P391" s="16">
        <f>IF(OR($F391="",$G391=""),"",$F391*$G391)</f>
        <v/>
      </c>
      <c r="Q391" s="16">
        <f>IF($D391="","",IF($J391&lt;&gt;"",$J391,$C$9))</f>
        <v/>
      </c>
      <c r="R391" s="12">
        <f>IF($D391="","",IFERROR(IF(INDEX(Profile!$G$5:$G$304,MATCH($D391,lst_Profil,0))&lt;&gt;"",INDEX(Profile!$G$5:$G$304,MATCH($D391,lst_Profil,0)),$H$4),$H$4))</f>
        <v/>
      </c>
      <c r="S391" s="12">
        <f>IF($D391="","",IFERROR(IF(INDEX(Profile!$H$5:$H$304,MATCH($D391,lst_Profil,0))&lt;&gt;"",INDEX(Profile!$H$5:$H$304,MATCH($D391,lst_Profil,0)),$H$5),$H$5))</f>
        <v/>
      </c>
      <c r="T391" s="16">
        <f>IF(OR(Q391="",NOT(ISNUMBER(R391)),NOT(ISNUMBER(S391))),"",Q391-R391-S391)</f>
        <v/>
      </c>
      <c r="U391" s="28">
        <f>IF(OR($D391="",$E391=""),"",IF(OR(N($AP391)&gt;0,COUNTIFS(Preise!$A$5:$A$304,$D391,Preise!$B$5:$B$304,$E391,Preise!$I$5:$I$304,"OK")&gt;0,N(INDEX(Werkstoffe!$G$5:$G$304,MATCH($E391,lst_Werkstoff,0)))&gt;0),"ja","nein"))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28">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Materialpreis",IF(AND($AQ391&lt;&gt;"",N($AR391)&gt;0,MOD($G391,$AR391)&lt;&gt;0),"WARNUNG: Stückzahl ist kein Vielfaches von Stück je Satz",IF($H391="","HINWEIS: Schneidweg fehlt",IF(V391="","HINWEIS: keine Schneiddaten",IF(AND($AF391&lt;&gt;"",$AG391=""),"HINWEIS: Gewinde-Vorschlag prüfen","OK")))))))))))))))</f>
        <v/>
      </c>
      <c r="X391" s="18">
        <f>IF(OR(O391="",$G391=""),"",O391*$G391)</f>
        <v/>
      </c>
      <c r="Y391" s="9" t="n"/>
      <c r="Z391" s="23" t="n"/>
      <c r="AA391" s="9" t="n"/>
      <c r="AB391" s="23" t="n"/>
      <c r="AC391" s="23" t="n"/>
      <c r="AD391" s="23" t="n"/>
      <c r="AE391" s="9" t="n"/>
      <c r="AF391" s="9" t="n"/>
      <c r="AG391" s="9" t="n"/>
      <c r="AH391" s="24" t="n"/>
      <c r="AI391" s="23" t="n"/>
      <c r="AJ391" s="24" t="n"/>
      <c r="AK391" s="23" t="n"/>
      <c r="AL391" s="24" t="n"/>
      <c r="AM391" s="23" t="n"/>
      <c r="AN391" s="28">
        <f>IF($D391="","",COUNTIFS(Stangenbelegung!$E$5:$E$10004,ROW()))</f>
        <v/>
      </c>
      <c r="AO391" s="28">
        <f>IF(OR($G391="",COUNTA(Stangenbelegung!$A$5:$A$10004)=0),"",$G391-AN391)</f>
        <v/>
      </c>
      <c r="AP391" s="29" t="n"/>
      <c r="AQ391" s="9" t="n"/>
      <c r="AR391" s="19" t="n"/>
    </row>
    <row r="392">
      <c r="A392" s="9" t="n"/>
      <c r="B392" s="9" t="n"/>
      <c r="C392" s="9" t="n"/>
      <c r="D392" s="9" t="n"/>
      <c r="E392" s="9" t="n"/>
      <c r="F392" s="23" t="n"/>
      <c r="G392" s="19" t="n"/>
      <c r="H392" s="23" t="n"/>
      <c r="I392" s="24" t="n"/>
      <c r="J392" s="19" t="n"/>
      <c r="K392" s="25">
        <f>IF($D392="","",IFERROR(INDEX(Profile!$B$5:$B$304,MATCH($D392,lst_Profil,0)),""))</f>
        <v/>
      </c>
      <c r="L392" s="13">
        <f>IF($D392="","",IFERROR(INDEX(Profile!$K$5:$K$304,MATCH($D392,lst_Profil,0))+0,""))</f>
        <v/>
      </c>
      <c r="M392" s="26">
        <f>IF($D392="","",IFERROR(INDEX(Profile!$E$5:$E$304,MATCH($D392,lst_Profil,0))+0,""))</f>
        <v/>
      </c>
      <c r="N392" s="27">
        <f>IF(OR(L392="",$E392=""),"",IFERROR(L392*INDEX(Werkstoffe!$E$5:$E$304,MATCH($E392,lst_Werkstoff,0))/1000,""))</f>
        <v/>
      </c>
      <c r="O392" s="27">
        <f>IF(OR(N392="",$F392=""),"",N392*$F392/1000)</f>
        <v/>
      </c>
      <c r="P392" s="16">
        <f>IF(OR($F392="",$G392=""),"",$F392*$G392)</f>
        <v/>
      </c>
      <c r="Q392" s="16">
        <f>IF($D392="","",IF($J392&lt;&gt;"",$J392,$C$9))</f>
        <v/>
      </c>
      <c r="R392" s="12">
        <f>IF($D392="","",IFERROR(IF(INDEX(Profile!$G$5:$G$304,MATCH($D392,lst_Profil,0))&lt;&gt;"",INDEX(Profile!$G$5:$G$304,MATCH($D392,lst_Profil,0)),$H$4),$H$4))</f>
        <v/>
      </c>
      <c r="S392" s="12">
        <f>IF($D392="","",IFERROR(IF(INDEX(Profile!$H$5:$H$304,MATCH($D392,lst_Profil,0))&lt;&gt;"",INDEX(Profile!$H$5:$H$304,MATCH($D392,lst_Profil,0)),$H$5),$H$5))</f>
        <v/>
      </c>
      <c r="T392" s="16">
        <f>IF(OR(Q392="",NOT(ISNUMBER(R392)),NOT(ISNUMBER(S392))),"",Q392-R392-S392)</f>
        <v/>
      </c>
      <c r="U392" s="28">
        <f>IF(OR($D392="",$E392=""),"",IF(OR(N($AP392)&gt;0,COUNTIFS(Preise!$A$5:$A$304,$D392,Preise!$B$5:$B$304,$E392,Preise!$I$5:$I$304,"OK")&gt;0,N(INDEX(Werkstoffe!$G$5:$G$304,MATCH($E392,lst_Werkstoff,0)))&gt;0),"ja","nein"))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28">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Materialpreis",IF(AND($AQ392&lt;&gt;"",N($AR392)&gt;0,MOD($G392,$AR392)&lt;&gt;0),"WARNUNG: Stückzahl ist kein Vielfaches von Stück je Satz",IF($H392="","HINWEIS: Schneidweg fehlt",IF(V392="","HINWEIS: keine Schneiddaten",IF(AND($AF392&lt;&gt;"",$AG392=""),"HINWEIS: Gewinde-Vorschlag prüfen","OK")))))))))))))))</f>
        <v/>
      </c>
      <c r="X392" s="18">
        <f>IF(OR(O392="",$G392=""),"",O392*$G392)</f>
        <v/>
      </c>
      <c r="Y392" s="9" t="n"/>
      <c r="Z392" s="23" t="n"/>
      <c r="AA392" s="9" t="n"/>
      <c r="AB392" s="23" t="n"/>
      <c r="AC392" s="23" t="n"/>
      <c r="AD392" s="23" t="n"/>
      <c r="AE392" s="9" t="n"/>
      <c r="AF392" s="9" t="n"/>
      <c r="AG392" s="9" t="n"/>
      <c r="AH392" s="24" t="n"/>
      <c r="AI392" s="23" t="n"/>
      <c r="AJ392" s="24" t="n"/>
      <c r="AK392" s="23" t="n"/>
      <c r="AL392" s="24" t="n"/>
      <c r="AM392" s="23" t="n"/>
      <c r="AN392" s="28">
        <f>IF($D392="","",COUNTIFS(Stangenbelegung!$E$5:$E$10004,ROW()))</f>
        <v/>
      </c>
      <c r="AO392" s="28">
        <f>IF(OR($G392="",COUNTA(Stangenbelegung!$A$5:$A$10004)=0),"",$G392-AN392)</f>
        <v/>
      </c>
      <c r="AP392" s="29" t="n"/>
      <c r="AQ392" s="9" t="n"/>
      <c r="AR392" s="19" t="n"/>
    </row>
    <row r="393">
      <c r="A393" s="9" t="n"/>
      <c r="B393" s="9" t="n"/>
      <c r="C393" s="9" t="n"/>
      <c r="D393" s="9" t="n"/>
      <c r="E393" s="9" t="n"/>
      <c r="F393" s="23" t="n"/>
      <c r="G393" s="19" t="n"/>
      <c r="H393" s="23" t="n"/>
      <c r="I393" s="24" t="n"/>
      <c r="J393" s="19" t="n"/>
      <c r="K393" s="25">
        <f>IF($D393="","",IFERROR(INDEX(Profile!$B$5:$B$304,MATCH($D393,lst_Profil,0)),""))</f>
        <v/>
      </c>
      <c r="L393" s="13">
        <f>IF($D393="","",IFERROR(INDEX(Profile!$K$5:$K$304,MATCH($D393,lst_Profil,0))+0,""))</f>
        <v/>
      </c>
      <c r="M393" s="26">
        <f>IF($D393="","",IFERROR(INDEX(Profile!$E$5:$E$304,MATCH($D393,lst_Profil,0))+0,""))</f>
        <v/>
      </c>
      <c r="N393" s="27">
        <f>IF(OR(L393="",$E393=""),"",IFERROR(L393*INDEX(Werkstoffe!$E$5:$E$304,MATCH($E393,lst_Werkstoff,0))/1000,""))</f>
        <v/>
      </c>
      <c r="O393" s="27">
        <f>IF(OR(N393="",$F393=""),"",N393*$F393/1000)</f>
        <v/>
      </c>
      <c r="P393" s="16">
        <f>IF(OR($F393="",$G393=""),"",$F393*$G393)</f>
        <v/>
      </c>
      <c r="Q393" s="16">
        <f>IF($D393="","",IF($J393&lt;&gt;"",$J393,$C$9))</f>
        <v/>
      </c>
      <c r="R393" s="12">
        <f>IF($D393="","",IFERROR(IF(INDEX(Profile!$G$5:$G$304,MATCH($D393,lst_Profil,0))&lt;&gt;"",INDEX(Profile!$G$5:$G$304,MATCH($D393,lst_Profil,0)),$H$4),$H$4))</f>
        <v/>
      </c>
      <c r="S393" s="12">
        <f>IF($D393="","",IFERROR(IF(INDEX(Profile!$H$5:$H$304,MATCH($D393,lst_Profil,0))&lt;&gt;"",INDEX(Profile!$H$5:$H$304,MATCH($D393,lst_Profil,0)),$H$5),$H$5))</f>
        <v/>
      </c>
      <c r="T393" s="16">
        <f>IF(OR(Q393="",NOT(ISNUMBER(R393)),NOT(ISNUMBER(S393))),"",Q393-R393-S393)</f>
        <v/>
      </c>
      <c r="U393" s="28">
        <f>IF(OR($D393="",$E393=""),"",IF(OR(N($AP393)&gt;0,COUNTIFS(Preise!$A$5:$A$304,$D393,Preise!$B$5:$B$304,$E393,Preise!$I$5:$I$304,"OK")&gt;0,N(INDEX(Werkstoffe!$G$5:$G$304,MATCH($E393,lst_Werkstoff,0)))&gt;0),"ja","nein"))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28">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Materialpreis",IF(AND($AQ393&lt;&gt;"",N($AR393)&gt;0,MOD($G393,$AR393)&lt;&gt;0),"WARNUNG: Stückzahl ist kein Vielfaches von Stück je Satz",IF($H393="","HINWEIS: Schneidweg fehlt",IF(V393="","HINWEIS: keine Schneiddaten",IF(AND($AF393&lt;&gt;"",$AG393=""),"HINWEIS: Gewinde-Vorschlag prüfen","OK")))))))))))))))</f>
        <v/>
      </c>
      <c r="X393" s="18">
        <f>IF(OR(O393="",$G393=""),"",O393*$G393)</f>
        <v/>
      </c>
      <c r="Y393" s="9" t="n"/>
      <c r="Z393" s="23" t="n"/>
      <c r="AA393" s="9" t="n"/>
      <c r="AB393" s="23" t="n"/>
      <c r="AC393" s="23" t="n"/>
      <c r="AD393" s="23" t="n"/>
      <c r="AE393" s="9" t="n"/>
      <c r="AF393" s="9" t="n"/>
      <c r="AG393" s="9" t="n"/>
      <c r="AH393" s="24" t="n"/>
      <c r="AI393" s="23" t="n"/>
      <c r="AJ393" s="24" t="n"/>
      <c r="AK393" s="23" t="n"/>
      <c r="AL393" s="24" t="n"/>
      <c r="AM393" s="23" t="n"/>
      <c r="AN393" s="28">
        <f>IF($D393="","",COUNTIFS(Stangenbelegung!$E$5:$E$10004,ROW()))</f>
        <v/>
      </c>
      <c r="AO393" s="28">
        <f>IF(OR($G393="",COUNTA(Stangenbelegung!$A$5:$A$10004)=0),"",$G393-AN393)</f>
        <v/>
      </c>
      <c r="AP393" s="29" t="n"/>
      <c r="AQ393" s="9" t="n"/>
      <c r="AR393" s="19" t="n"/>
    </row>
    <row r="394">
      <c r="A394" s="9" t="n"/>
      <c r="B394" s="9" t="n"/>
      <c r="C394" s="9" t="n"/>
      <c r="D394" s="9" t="n"/>
      <c r="E394" s="9" t="n"/>
      <c r="F394" s="23" t="n"/>
      <c r="G394" s="19" t="n"/>
      <c r="H394" s="23" t="n"/>
      <c r="I394" s="24" t="n"/>
      <c r="J394" s="19" t="n"/>
      <c r="K394" s="25">
        <f>IF($D394="","",IFERROR(INDEX(Profile!$B$5:$B$304,MATCH($D394,lst_Profil,0)),""))</f>
        <v/>
      </c>
      <c r="L394" s="13">
        <f>IF($D394="","",IFERROR(INDEX(Profile!$K$5:$K$304,MATCH($D394,lst_Profil,0))+0,""))</f>
        <v/>
      </c>
      <c r="M394" s="26">
        <f>IF($D394="","",IFERROR(INDEX(Profile!$E$5:$E$304,MATCH($D394,lst_Profil,0))+0,""))</f>
        <v/>
      </c>
      <c r="N394" s="27">
        <f>IF(OR(L394="",$E394=""),"",IFERROR(L394*INDEX(Werkstoffe!$E$5:$E$304,MATCH($E394,lst_Werkstoff,0))/1000,""))</f>
        <v/>
      </c>
      <c r="O394" s="27">
        <f>IF(OR(N394="",$F394=""),"",N394*$F394/1000)</f>
        <v/>
      </c>
      <c r="P394" s="16">
        <f>IF(OR($F394="",$G394=""),"",$F394*$G394)</f>
        <v/>
      </c>
      <c r="Q394" s="16">
        <f>IF($D394="","",IF($J394&lt;&gt;"",$J394,$C$9))</f>
        <v/>
      </c>
      <c r="R394" s="12">
        <f>IF($D394="","",IFERROR(IF(INDEX(Profile!$G$5:$G$304,MATCH($D394,lst_Profil,0))&lt;&gt;"",INDEX(Profile!$G$5:$G$304,MATCH($D394,lst_Profil,0)),$H$4),$H$4))</f>
        <v/>
      </c>
      <c r="S394" s="12">
        <f>IF($D394="","",IFERROR(IF(INDEX(Profile!$H$5:$H$304,MATCH($D394,lst_Profil,0))&lt;&gt;"",INDEX(Profile!$H$5:$H$304,MATCH($D394,lst_Profil,0)),$H$5),$H$5))</f>
        <v/>
      </c>
      <c r="T394" s="16">
        <f>IF(OR(Q394="",NOT(ISNUMBER(R394)),NOT(ISNUMBER(S394))),"",Q394-R394-S394)</f>
        <v/>
      </c>
      <c r="U394" s="28">
        <f>IF(OR($D394="",$E394=""),"",IF(OR(N($AP394)&gt;0,COUNTIFS(Preise!$A$5:$A$304,$D394,Preise!$B$5:$B$304,$E394,Preise!$I$5:$I$304,"OK")&gt;0,N(INDEX(Werkstoffe!$G$5:$G$304,MATCH($E394,lst_Werkstoff,0)))&gt;0),"ja","nein"))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28">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Materialpreis",IF(AND($AQ394&lt;&gt;"",N($AR394)&gt;0,MOD($G394,$AR394)&lt;&gt;0),"WARNUNG: Stückzahl ist kein Vielfaches von Stück je Satz",IF($H394="","HINWEIS: Schneidweg fehlt",IF(V394="","HINWEIS: keine Schneiddaten",IF(AND($AF394&lt;&gt;"",$AG394=""),"HINWEIS: Gewinde-Vorschlag prüfen","OK")))))))))))))))</f>
        <v/>
      </c>
      <c r="X394" s="18">
        <f>IF(OR(O394="",$G394=""),"",O394*$G394)</f>
        <v/>
      </c>
      <c r="Y394" s="9" t="n"/>
      <c r="Z394" s="23" t="n"/>
      <c r="AA394" s="9" t="n"/>
      <c r="AB394" s="23" t="n"/>
      <c r="AC394" s="23" t="n"/>
      <c r="AD394" s="23" t="n"/>
      <c r="AE394" s="9" t="n"/>
      <c r="AF394" s="9" t="n"/>
      <c r="AG394" s="9" t="n"/>
      <c r="AH394" s="24" t="n"/>
      <c r="AI394" s="23" t="n"/>
      <c r="AJ394" s="24" t="n"/>
      <c r="AK394" s="23" t="n"/>
      <c r="AL394" s="24" t="n"/>
      <c r="AM394" s="23" t="n"/>
      <c r="AN394" s="28">
        <f>IF($D394="","",COUNTIFS(Stangenbelegung!$E$5:$E$10004,ROW()))</f>
        <v/>
      </c>
      <c r="AO394" s="28">
        <f>IF(OR($G394="",COUNTA(Stangenbelegung!$A$5:$A$10004)=0),"",$G394-AN394)</f>
        <v/>
      </c>
      <c r="AP394" s="29" t="n"/>
      <c r="AQ394" s="9" t="n"/>
      <c r="AR394" s="19" t="n"/>
    </row>
    <row r="395">
      <c r="A395" s="9" t="n"/>
      <c r="B395" s="9" t="n"/>
      <c r="C395" s="9" t="n"/>
      <c r="D395" s="9" t="n"/>
      <c r="E395" s="9" t="n"/>
      <c r="F395" s="23" t="n"/>
      <c r="G395" s="19" t="n"/>
      <c r="H395" s="23" t="n"/>
      <c r="I395" s="24" t="n"/>
      <c r="J395" s="19" t="n"/>
      <c r="K395" s="25">
        <f>IF($D395="","",IFERROR(INDEX(Profile!$B$5:$B$304,MATCH($D395,lst_Profil,0)),""))</f>
        <v/>
      </c>
      <c r="L395" s="13">
        <f>IF($D395="","",IFERROR(INDEX(Profile!$K$5:$K$304,MATCH($D395,lst_Profil,0))+0,""))</f>
        <v/>
      </c>
      <c r="M395" s="26">
        <f>IF($D395="","",IFERROR(INDEX(Profile!$E$5:$E$304,MATCH($D395,lst_Profil,0))+0,""))</f>
        <v/>
      </c>
      <c r="N395" s="27">
        <f>IF(OR(L395="",$E395=""),"",IFERROR(L395*INDEX(Werkstoffe!$E$5:$E$304,MATCH($E395,lst_Werkstoff,0))/1000,""))</f>
        <v/>
      </c>
      <c r="O395" s="27">
        <f>IF(OR(N395="",$F395=""),"",N395*$F395/1000)</f>
        <v/>
      </c>
      <c r="P395" s="16">
        <f>IF(OR($F395="",$G395=""),"",$F395*$G395)</f>
        <v/>
      </c>
      <c r="Q395" s="16">
        <f>IF($D395="","",IF($J395&lt;&gt;"",$J395,$C$9))</f>
        <v/>
      </c>
      <c r="R395" s="12">
        <f>IF($D395="","",IFERROR(IF(INDEX(Profile!$G$5:$G$304,MATCH($D395,lst_Profil,0))&lt;&gt;"",INDEX(Profile!$G$5:$G$304,MATCH($D395,lst_Profil,0)),$H$4),$H$4))</f>
        <v/>
      </c>
      <c r="S395" s="12">
        <f>IF($D395="","",IFERROR(IF(INDEX(Profile!$H$5:$H$304,MATCH($D395,lst_Profil,0))&lt;&gt;"",INDEX(Profile!$H$5:$H$304,MATCH($D395,lst_Profil,0)),$H$5),$H$5))</f>
        <v/>
      </c>
      <c r="T395" s="16">
        <f>IF(OR(Q395="",NOT(ISNUMBER(R395)),NOT(ISNUMBER(S395))),"",Q395-R395-S395)</f>
        <v/>
      </c>
      <c r="U395" s="28">
        <f>IF(OR($D395="",$E395=""),"",IF(OR(N($AP395)&gt;0,COUNTIFS(Preise!$A$5:$A$304,$D395,Preise!$B$5:$B$304,$E395,Preise!$I$5:$I$304,"OK")&gt;0,N(INDEX(Werkstoffe!$G$5:$G$304,MATCH($E395,lst_Werkstoff,0)))&gt;0),"ja","nein"))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28">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Materialpreis",IF(AND($AQ395&lt;&gt;"",N($AR395)&gt;0,MOD($G395,$AR395)&lt;&gt;0),"WARNUNG: Stückzahl ist kein Vielfaches von Stück je Satz",IF($H395="","HINWEIS: Schneidweg fehlt",IF(V395="","HINWEIS: keine Schneiddaten",IF(AND($AF395&lt;&gt;"",$AG395=""),"HINWEIS: Gewinde-Vorschlag prüfen","OK")))))))))))))))</f>
        <v/>
      </c>
      <c r="X395" s="18">
        <f>IF(OR(O395="",$G395=""),"",O395*$G395)</f>
        <v/>
      </c>
      <c r="Y395" s="9" t="n"/>
      <c r="Z395" s="23" t="n"/>
      <c r="AA395" s="9" t="n"/>
      <c r="AB395" s="23" t="n"/>
      <c r="AC395" s="23" t="n"/>
      <c r="AD395" s="23" t="n"/>
      <c r="AE395" s="9" t="n"/>
      <c r="AF395" s="9" t="n"/>
      <c r="AG395" s="9" t="n"/>
      <c r="AH395" s="24" t="n"/>
      <c r="AI395" s="23" t="n"/>
      <c r="AJ395" s="24" t="n"/>
      <c r="AK395" s="23" t="n"/>
      <c r="AL395" s="24" t="n"/>
      <c r="AM395" s="23" t="n"/>
      <c r="AN395" s="28">
        <f>IF($D395="","",COUNTIFS(Stangenbelegung!$E$5:$E$10004,ROW()))</f>
        <v/>
      </c>
      <c r="AO395" s="28">
        <f>IF(OR($G395="",COUNTA(Stangenbelegung!$A$5:$A$10004)=0),"",$G395-AN395)</f>
        <v/>
      </c>
      <c r="AP395" s="29" t="n"/>
      <c r="AQ395" s="9" t="n"/>
      <c r="AR395" s="19" t="n"/>
    </row>
    <row r="396">
      <c r="A396" s="9" t="n"/>
      <c r="B396" s="9" t="n"/>
      <c r="C396" s="9" t="n"/>
      <c r="D396" s="9" t="n"/>
      <c r="E396" s="9" t="n"/>
      <c r="F396" s="23" t="n"/>
      <c r="G396" s="19" t="n"/>
      <c r="H396" s="23" t="n"/>
      <c r="I396" s="24" t="n"/>
      <c r="J396" s="19" t="n"/>
      <c r="K396" s="25">
        <f>IF($D396="","",IFERROR(INDEX(Profile!$B$5:$B$304,MATCH($D396,lst_Profil,0)),""))</f>
        <v/>
      </c>
      <c r="L396" s="13">
        <f>IF($D396="","",IFERROR(INDEX(Profile!$K$5:$K$304,MATCH($D396,lst_Profil,0))+0,""))</f>
        <v/>
      </c>
      <c r="M396" s="26">
        <f>IF($D396="","",IFERROR(INDEX(Profile!$E$5:$E$304,MATCH($D396,lst_Profil,0))+0,""))</f>
        <v/>
      </c>
      <c r="N396" s="27">
        <f>IF(OR(L396="",$E396=""),"",IFERROR(L396*INDEX(Werkstoffe!$E$5:$E$304,MATCH($E396,lst_Werkstoff,0))/1000,""))</f>
        <v/>
      </c>
      <c r="O396" s="27">
        <f>IF(OR(N396="",$F396=""),"",N396*$F396/1000)</f>
        <v/>
      </c>
      <c r="P396" s="16">
        <f>IF(OR($F396="",$G396=""),"",$F396*$G396)</f>
        <v/>
      </c>
      <c r="Q396" s="16">
        <f>IF($D396="","",IF($J396&lt;&gt;"",$J396,$C$9))</f>
        <v/>
      </c>
      <c r="R396" s="12">
        <f>IF($D396="","",IFERROR(IF(INDEX(Profile!$G$5:$G$304,MATCH($D396,lst_Profil,0))&lt;&gt;"",INDEX(Profile!$G$5:$G$304,MATCH($D396,lst_Profil,0)),$H$4),$H$4))</f>
        <v/>
      </c>
      <c r="S396" s="12">
        <f>IF($D396="","",IFERROR(IF(INDEX(Profile!$H$5:$H$304,MATCH($D396,lst_Profil,0))&lt;&gt;"",INDEX(Profile!$H$5:$H$304,MATCH($D396,lst_Profil,0)),$H$5),$H$5))</f>
        <v/>
      </c>
      <c r="T396" s="16">
        <f>IF(OR(Q396="",NOT(ISNUMBER(R396)),NOT(ISNUMBER(S396))),"",Q396-R396-S396)</f>
        <v/>
      </c>
      <c r="U396" s="28">
        <f>IF(OR($D396="",$E396=""),"",IF(OR(N($AP396)&gt;0,COUNTIFS(Preise!$A$5:$A$304,$D396,Preise!$B$5:$B$304,$E396,Preise!$I$5:$I$304,"OK")&gt;0,N(INDEX(Werkstoffe!$G$5:$G$304,MATCH($E396,lst_Werkstoff,0)))&gt;0),"ja","nein"))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28">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Materialpreis",IF(AND($AQ396&lt;&gt;"",N($AR396)&gt;0,MOD($G396,$AR396)&lt;&gt;0),"WARNUNG: Stückzahl ist kein Vielfaches von Stück je Satz",IF($H396="","HINWEIS: Schneidweg fehlt",IF(V396="","HINWEIS: keine Schneiddaten",IF(AND($AF396&lt;&gt;"",$AG396=""),"HINWEIS: Gewinde-Vorschlag prüfen","OK")))))))))))))))</f>
        <v/>
      </c>
      <c r="X396" s="18">
        <f>IF(OR(O396="",$G396=""),"",O396*$G396)</f>
        <v/>
      </c>
      <c r="Y396" s="9" t="n"/>
      <c r="Z396" s="23" t="n"/>
      <c r="AA396" s="9" t="n"/>
      <c r="AB396" s="23" t="n"/>
      <c r="AC396" s="23" t="n"/>
      <c r="AD396" s="23" t="n"/>
      <c r="AE396" s="9" t="n"/>
      <c r="AF396" s="9" t="n"/>
      <c r="AG396" s="9" t="n"/>
      <c r="AH396" s="24" t="n"/>
      <c r="AI396" s="23" t="n"/>
      <c r="AJ396" s="24" t="n"/>
      <c r="AK396" s="23" t="n"/>
      <c r="AL396" s="24" t="n"/>
      <c r="AM396" s="23" t="n"/>
      <c r="AN396" s="28">
        <f>IF($D396="","",COUNTIFS(Stangenbelegung!$E$5:$E$10004,ROW()))</f>
        <v/>
      </c>
      <c r="AO396" s="28">
        <f>IF(OR($G396="",COUNTA(Stangenbelegung!$A$5:$A$10004)=0),"",$G396-AN396)</f>
        <v/>
      </c>
      <c r="AP396" s="29" t="n"/>
      <c r="AQ396" s="9" t="n"/>
      <c r="AR396" s="19" t="n"/>
    </row>
    <row r="397">
      <c r="A397" s="9" t="n"/>
      <c r="B397" s="9" t="n"/>
      <c r="C397" s="9" t="n"/>
      <c r="D397" s="9" t="n"/>
      <c r="E397" s="9" t="n"/>
      <c r="F397" s="23" t="n"/>
      <c r="G397" s="19" t="n"/>
      <c r="H397" s="23" t="n"/>
      <c r="I397" s="24" t="n"/>
      <c r="J397" s="19" t="n"/>
      <c r="K397" s="25">
        <f>IF($D397="","",IFERROR(INDEX(Profile!$B$5:$B$304,MATCH($D397,lst_Profil,0)),""))</f>
        <v/>
      </c>
      <c r="L397" s="13">
        <f>IF($D397="","",IFERROR(INDEX(Profile!$K$5:$K$304,MATCH($D397,lst_Profil,0))+0,""))</f>
        <v/>
      </c>
      <c r="M397" s="26">
        <f>IF($D397="","",IFERROR(INDEX(Profile!$E$5:$E$304,MATCH($D397,lst_Profil,0))+0,""))</f>
        <v/>
      </c>
      <c r="N397" s="27">
        <f>IF(OR(L397="",$E397=""),"",IFERROR(L397*INDEX(Werkstoffe!$E$5:$E$304,MATCH($E397,lst_Werkstoff,0))/1000,""))</f>
        <v/>
      </c>
      <c r="O397" s="27">
        <f>IF(OR(N397="",$F397=""),"",N397*$F397/1000)</f>
        <v/>
      </c>
      <c r="P397" s="16">
        <f>IF(OR($F397="",$G397=""),"",$F397*$G397)</f>
        <v/>
      </c>
      <c r="Q397" s="16">
        <f>IF($D397="","",IF($J397&lt;&gt;"",$J397,$C$9))</f>
        <v/>
      </c>
      <c r="R397" s="12">
        <f>IF($D397="","",IFERROR(IF(INDEX(Profile!$G$5:$G$304,MATCH($D397,lst_Profil,0))&lt;&gt;"",INDEX(Profile!$G$5:$G$304,MATCH($D397,lst_Profil,0)),$H$4),$H$4))</f>
        <v/>
      </c>
      <c r="S397" s="12">
        <f>IF($D397="","",IFERROR(IF(INDEX(Profile!$H$5:$H$304,MATCH($D397,lst_Profil,0))&lt;&gt;"",INDEX(Profile!$H$5:$H$304,MATCH($D397,lst_Profil,0)),$H$5),$H$5))</f>
        <v/>
      </c>
      <c r="T397" s="16">
        <f>IF(OR(Q397="",NOT(ISNUMBER(R397)),NOT(ISNUMBER(S397))),"",Q397-R397-S397)</f>
        <v/>
      </c>
      <c r="U397" s="28">
        <f>IF(OR($D397="",$E397=""),"",IF(OR(N($AP397)&gt;0,COUNTIFS(Preise!$A$5:$A$304,$D397,Preise!$B$5:$B$304,$E397,Preise!$I$5:$I$304,"OK")&gt;0,N(INDEX(Werkstoffe!$G$5:$G$304,MATCH($E397,lst_Werkstoff,0)))&gt;0),"ja","nein"))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28">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Materialpreis",IF(AND($AQ397&lt;&gt;"",N($AR397)&gt;0,MOD($G397,$AR397)&lt;&gt;0),"WARNUNG: Stückzahl ist kein Vielfaches von Stück je Satz",IF($H397="","HINWEIS: Schneidweg fehlt",IF(V397="","HINWEIS: keine Schneiddaten",IF(AND($AF397&lt;&gt;"",$AG397=""),"HINWEIS: Gewinde-Vorschlag prüfen","OK")))))))))))))))</f>
        <v/>
      </c>
      <c r="X397" s="18">
        <f>IF(OR(O397="",$G397=""),"",O397*$G397)</f>
        <v/>
      </c>
      <c r="Y397" s="9" t="n"/>
      <c r="Z397" s="23" t="n"/>
      <c r="AA397" s="9" t="n"/>
      <c r="AB397" s="23" t="n"/>
      <c r="AC397" s="23" t="n"/>
      <c r="AD397" s="23" t="n"/>
      <c r="AE397" s="9" t="n"/>
      <c r="AF397" s="9" t="n"/>
      <c r="AG397" s="9" t="n"/>
      <c r="AH397" s="24" t="n"/>
      <c r="AI397" s="23" t="n"/>
      <c r="AJ397" s="24" t="n"/>
      <c r="AK397" s="23" t="n"/>
      <c r="AL397" s="24" t="n"/>
      <c r="AM397" s="23" t="n"/>
      <c r="AN397" s="28">
        <f>IF($D397="","",COUNTIFS(Stangenbelegung!$E$5:$E$10004,ROW()))</f>
        <v/>
      </c>
      <c r="AO397" s="28">
        <f>IF(OR($G397="",COUNTA(Stangenbelegung!$A$5:$A$10004)=0),"",$G397-AN397)</f>
        <v/>
      </c>
      <c r="AP397" s="29" t="n"/>
      <c r="AQ397" s="9" t="n"/>
      <c r="AR397" s="19" t="n"/>
    </row>
    <row r="398">
      <c r="A398" s="9" t="n"/>
      <c r="B398" s="9" t="n"/>
      <c r="C398" s="9" t="n"/>
      <c r="D398" s="9" t="n"/>
      <c r="E398" s="9" t="n"/>
      <c r="F398" s="23" t="n"/>
      <c r="G398" s="19" t="n"/>
      <c r="H398" s="23" t="n"/>
      <c r="I398" s="24" t="n"/>
      <c r="J398" s="19" t="n"/>
      <c r="K398" s="25">
        <f>IF($D398="","",IFERROR(INDEX(Profile!$B$5:$B$304,MATCH($D398,lst_Profil,0)),""))</f>
        <v/>
      </c>
      <c r="L398" s="13">
        <f>IF($D398="","",IFERROR(INDEX(Profile!$K$5:$K$304,MATCH($D398,lst_Profil,0))+0,""))</f>
        <v/>
      </c>
      <c r="M398" s="26">
        <f>IF($D398="","",IFERROR(INDEX(Profile!$E$5:$E$304,MATCH($D398,lst_Profil,0))+0,""))</f>
        <v/>
      </c>
      <c r="N398" s="27">
        <f>IF(OR(L398="",$E398=""),"",IFERROR(L398*INDEX(Werkstoffe!$E$5:$E$304,MATCH($E398,lst_Werkstoff,0))/1000,""))</f>
        <v/>
      </c>
      <c r="O398" s="27">
        <f>IF(OR(N398="",$F398=""),"",N398*$F398/1000)</f>
        <v/>
      </c>
      <c r="P398" s="16">
        <f>IF(OR($F398="",$G398=""),"",$F398*$G398)</f>
        <v/>
      </c>
      <c r="Q398" s="16">
        <f>IF($D398="","",IF($J398&lt;&gt;"",$J398,$C$9))</f>
        <v/>
      </c>
      <c r="R398" s="12">
        <f>IF($D398="","",IFERROR(IF(INDEX(Profile!$G$5:$G$304,MATCH($D398,lst_Profil,0))&lt;&gt;"",INDEX(Profile!$G$5:$G$304,MATCH($D398,lst_Profil,0)),$H$4),$H$4))</f>
        <v/>
      </c>
      <c r="S398" s="12">
        <f>IF($D398="","",IFERROR(IF(INDEX(Profile!$H$5:$H$304,MATCH($D398,lst_Profil,0))&lt;&gt;"",INDEX(Profile!$H$5:$H$304,MATCH($D398,lst_Profil,0)),$H$5),$H$5))</f>
        <v/>
      </c>
      <c r="T398" s="16">
        <f>IF(OR(Q398="",NOT(ISNUMBER(R398)),NOT(ISNUMBER(S398))),"",Q398-R398-S398)</f>
        <v/>
      </c>
      <c r="U398" s="28">
        <f>IF(OR($D398="",$E398=""),"",IF(OR(N($AP398)&gt;0,COUNTIFS(Preise!$A$5:$A$304,$D398,Preise!$B$5:$B$304,$E398,Preise!$I$5:$I$304,"OK")&gt;0,N(INDEX(Werkstoffe!$G$5:$G$304,MATCH($E398,lst_Werkstoff,0)))&gt;0),"ja","nein"))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28">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Materialpreis",IF(AND($AQ398&lt;&gt;"",N($AR398)&gt;0,MOD($G398,$AR398)&lt;&gt;0),"WARNUNG: Stückzahl ist kein Vielfaches von Stück je Satz",IF($H398="","HINWEIS: Schneidweg fehlt",IF(V398="","HINWEIS: keine Schneiddaten",IF(AND($AF398&lt;&gt;"",$AG398=""),"HINWEIS: Gewinde-Vorschlag prüfen","OK")))))))))))))))</f>
        <v/>
      </c>
      <c r="X398" s="18">
        <f>IF(OR(O398="",$G398=""),"",O398*$G398)</f>
        <v/>
      </c>
      <c r="Y398" s="9" t="n"/>
      <c r="Z398" s="23" t="n"/>
      <c r="AA398" s="9" t="n"/>
      <c r="AB398" s="23" t="n"/>
      <c r="AC398" s="23" t="n"/>
      <c r="AD398" s="23" t="n"/>
      <c r="AE398" s="9" t="n"/>
      <c r="AF398" s="9" t="n"/>
      <c r="AG398" s="9" t="n"/>
      <c r="AH398" s="24" t="n"/>
      <c r="AI398" s="23" t="n"/>
      <c r="AJ398" s="24" t="n"/>
      <c r="AK398" s="23" t="n"/>
      <c r="AL398" s="24" t="n"/>
      <c r="AM398" s="23" t="n"/>
      <c r="AN398" s="28">
        <f>IF($D398="","",COUNTIFS(Stangenbelegung!$E$5:$E$10004,ROW()))</f>
        <v/>
      </c>
      <c r="AO398" s="28">
        <f>IF(OR($G398="",COUNTA(Stangenbelegung!$A$5:$A$10004)=0),"",$G398-AN398)</f>
        <v/>
      </c>
      <c r="AP398" s="29" t="n"/>
      <c r="AQ398" s="9" t="n"/>
      <c r="AR398" s="19" t="n"/>
    </row>
    <row r="399">
      <c r="A399" s="9" t="n"/>
      <c r="B399" s="9" t="n"/>
      <c r="C399" s="9" t="n"/>
      <c r="D399" s="9" t="n"/>
      <c r="E399" s="9" t="n"/>
      <c r="F399" s="23" t="n"/>
      <c r="G399" s="19" t="n"/>
      <c r="H399" s="23" t="n"/>
      <c r="I399" s="24" t="n"/>
      <c r="J399" s="19" t="n"/>
      <c r="K399" s="25">
        <f>IF($D399="","",IFERROR(INDEX(Profile!$B$5:$B$304,MATCH($D399,lst_Profil,0)),""))</f>
        <v/>
      </c>
      <c r="L399" s="13">
        <f>IF($D399="","",IFERROR(INDEX(Profile!$K$5:$K$304,MATCH($D399,lst_Profil,0))+0,""))</f>
        <v/>
      </c>
      <c r="M399" s="26">
        <f>IF($D399="","",IFERROR(INDEX(Profile!$E$5:$E$304,MATCH($D399,lst_Profil,0))+0,""))</f>
        <v/>
      </c>
      <c r="N399" s="27">
        <f>IF(OR(L399="",$E399=""),"",IFERROR(L399*INDEX(Werkstoffe!$E$5:$E$304,MATCH($E399,lst_Werkstoff,0))/1000,""))</f>
        <v/>
      </c>
      <c r="O399" s="27">
        <f>IF(OR(N399="",$F399=""),"",N399*$F399/1000)</f>
        <v/>
      </c>
      <c r="P399" s="16">
        <f>IF(OR($F399="",$G399=""),"",$F399*$G399)</f>
        <v/>
      </c>
      <c r="Q399" s="16">
        <f>IF($D399="","",IF($J399&lt;&gt;"",$J399,$C$9))</f>
        <v/>
      </c>
      <c r="R399" s="12">
        <f>IF($D399="","",IFERROR(IF(INDEX(Profile!$G$5:$G$304,MATCH($D399,lst_Profil,0))&lt;&gt;"",INDEX(Profile!$G$5:$G$304,MATCH($D399,lst_Profil,0)),$H$4),$H$4))</f>
        <v/>
      </c>
      <c r="S399" s="12">
        <f>IF($D399="","",IFERROR(IF(INDEX(Profile!$H$5:$H$304,MATCH($D399,lst_Profil,0))&lt;&gt;"",INDEX(Profile!$H$5:$H$304,MATCH($D399,lst_Profil,0)),$H$5),$H$5))</f>
        <v/>
      </c>
      <c r="T399" s="16">
        <f>IF(OR(Q399="",NOT(ISNUMBER(R399)),NOT(ISNUMBER(S399))),"",Q399-R399-S399)</f>
        <v/>
      </c>
      <c r="U399" s="28">
        <f>IF(OR($D399="",$E399=""),"",IF(OR(N($AP399)&gt;0,COUNTIFS(Preise!$A$5:$A$304,$D399,Preise!$B$5:$B$304,$E399,Preise!$I$5:$I$304,"OK")&gt;0,N(INDEX(Werkstoffe!$G$5:$G$304,MATCH($E399,lst_Werkstoff,0)))&gt;0),"ja","nein"))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28">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Materialpreis",IF(AND($AQ399&lt;&gt;"",N($AR399)&gt;0,MOD($G399,$AR399)&lt;&gt;0),"WARNUNG: Stückzahl ist kein Vielfaches von Stück je Satz",IF($H399="","HINWEIS: Schneidweg fehlt",IF(V399="","HINWEIS: keine Schneiddaten",IF(AND($AF399&lt;&gt;"",$AG399=""),"HINWEIS: Gewinde-Vorschlag prüfen","OK")))))))))))))))</f>
        <v/>
      </c>
      <c r="X399" s="18">
        <f>IF(OR(O399="",$G399=""),"",O399*$G399)</f>
        <v/>
      </c>
      <c r="Y399" s="9" t="n"/>
      <c r="Z399" s="23" t="n"/>
      <c r="AA399" s="9" t="n"/>
      <c r="AB399" s="23" t="n"/>
      <c r="AC399" s="23" t="n"/>
      <c r="AD399" s="23" t="n"/>
      <c r="AE399" s="9" t="n"/>
      <c r="AF399" s="9" t="n"/>
      <c r="AG399" s="9" t="n"/>
      <c r="AH399" s="24" t="n"/>
      <c r="AI399" s="23" t="n"/>
      <c r="AJ399" s="24" t="n"/>
      <c r="AK399" s="23" t="n"/>
      <c r="AL399" s="24" t="n"/>
      <c r="AM399" s="23" t="n"/>
      <c r="AN399" s="28">
        <f>IF($D399="","",COUNTIFS(Stangenbelegung!$E$5:$E$10004,ROW()))</f>
        <v/>
      </c>
      <c r="AO399" s="28">
        <f>IF(OR($G399="",COUNTA(Stangenbelegung!$A$5:$A$10004)=0),"",$G399-AN399)</f>
        <v/>
      </c>
      <c r="AP399" s="29" t="n"/>
      <c r="AQ399" s="9" t="n"/>
      <c r="AR399" s="19" t="n"/>
    </row>
    <row r="400">
      <c r="A400" s="9" t="n"/>
      <c r="B400" s="9" t="n"/>
      <c r="C400" s="9" t="n"/>
      <c r="D400" s="9" t="n"/>
      <c r="E400" s="9" t="n"/>
      <c r="F400" s="23" t="n"/>
      <c r="G400" s="19" t="n"/>
      <c r="H400" s="23" t="n"/>
      <c r="I400" s="24" t="n"/>
      <c r="J400" s="19" t="n"/>
      <c r="K400" s="25">
        <f>IF($D400="","",IFERROR(INDEX(Profile!$B$5:$B$304,MATCH($D400,lst_Profil,0)),""))</f>
        <v/>
      </c>
      <c r="L400" s="13">
        <f>IF($D400="","",IFERROR(INDEX(Profile!$K$5:$K$304,MATCH($D400,lst_Profil,0))+0,""))</f>
        <v/>
      </c>
      <c r="M400" s="26">
        <f>IF($D400="","",IFERROR(INDEX(Profile!$E$5:$E$304,MATCH($D400,lst_Profil,0))+0,""))</f>
        <v/>
      </c>
      <c r="N400" s="27">
        <f>IF(OR(L400="",$E400=""),"",IFERROR(L400*INDEX(Werkstoffe!$E$5:$E$304,MATCH($E400,lst_Werkstoff,0))/1000,""))</f>
        <v/>
      </c>
      <c r="O400" s="27">
        <f>IF(OR(N400="",$F400=""),"",N400*$F400/1000)</f>
        <v/>
      </c>
      <c r="P400" s="16">
        <f>IF(OR($F400="",$G400=""),"",$F400*$G400)</f>
        <v/>
      </c>
      <c r="Q400" s="16">
        <f>IF($D400="","",IF($J400&lt;&gt;"",$J400,$C$9))</f>
        <v/>
      </c>
      <c r="R400" s="12">
        <f>IF($D400="","",IFERROR(IF(INDEX(Profile!$G$5:$G$304,MATCH($D400,lst_Profil,0))&lt;&gt;"",INDEX(Profile!$G$5:$G$304,MATCH($D400,lst_Profil,0)),$H$4),$H$4))</f>
        <v/>
      </c>
      <c r="S400" s="12">
        <f>IF($D400="","",IFERROR(IF(INDEX(Profile!$H$5:$H$304,MATCH($D400,lst_Profil,0))&lt;&gt;"",INDEX(Profile!$H$5:$H$304,MATCH($D400,lst_Profil,0)),$H$5),$H$5))</f>
        <v/>
      </c>
      <c r="T400" s="16">
        <f>IF(OR(Q400="",NOT(ISNUMBER(R400)),NOT(ISNUMBER(S400))),"",Q400-R400-S400)</f>
        <v/>
      </c>
      <c r="U400" s="28">
        <f>IF(OR($D400="",$E400=""),"",IF(OR(N($AP400)&gt;0,COUNTIFS(Preise!$A$5:$A$304,$D400,Preise!$B$5:$B$304,$E400,Preise!$I$5:$I$304,"OK")&gt;0,N(INDEX(Werkstoffe!$G$5:$G$304,MATCH($E400,lst_Werkstoff,0)))&gt;0),"ja","nein"))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28">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Materialpreis",IF(AND($AQ400&lt;&gt;"",N($AR400)&gt;0,MOD($G400,$AR400)&lt;&gt;0),"WARNUNG: Stückzahl ist kein Vielfaches von Stück je Satz",IF($H400="","HINWEIS: Schneidweg fehlt",IF(V400="","HINWEIS: keine Schneiddaten",IF(AND($AF400&lt;&gt;"",$AG400=""),"HINWEIS: Gewinde-Vorschlag prüfen","OK")))))))))))))))</f>
        <v/>
      </c>
      <c r="X400" s="18">
        <f>IF(OR(O400="",$G400=""),"",O400*$G400)</f>
        <v/>
      </c>
      <c r="Y400" s="9" t="n"/>
      <c r="Z400" s="23" t="n"/>
      <c r="AA400" s="9" t="n"/>
      <c r="AB400" s="23" t="n"/>
      <c r="AC400" s="23" t="n"/>
      <c r="AD400" s="23" t="n"/>
      <c r="AE400" s="9" t="n"/>
      <c r="AF400" s="9" t="n"/>
      <c r="AG400" s="9" t="n"/>
      <c r="AH400" s="24" t="n"/>
      <c r="AI400" s="23" t="n"/>
      <c r="AJ400" s="24" t="n"/>
      <c r="AK400" s="23" t="n"/>
      <c r="AL400" s="24" t="n"/>
      <c r="AM400" s="23" t="n"/>
      <c r="AN400" s="28">
        <f>IF($D400="","",COUNTIFS(Stangenbelegung!$E$5:$E$10004,ROW()))</f>
        <v/>
      </c>
      <c r="AO400" s="28">
        <f>IF(OR($G400="",COUNTA(Stangenbelegung!$A$5:$A$10004)=0),"",$G400-AN400)</f>
        <v/>
      </c>
      <c r="AP400" s="29" t="n"/>
      <c r="AQ400" s="9" t="n"/>
      <c r="AR400" s="19" t="n"/>
    </row>
    <row r="401">
      <c r="A401" s="9" t="n"/>
      <c r="B401" s="9" t="n"/>
      <c r="C401" s="9" t="n"/>
      <c r="D401" s="9" t="n"/>
      <c r="E401" s="9" t="n"/>
      <c r="F401" s="23" t="n"/>
      <c r="G401" s="19" t="n"/>
      <c r="H401" s="23" t="n"/>
      <c r="I401" s="24" t="n"/>
      <c r="J401" s="19" t="n"/>
      <c r="K401" s="25">
        <f>IF($D401="","",IFERROR(INDEX(Profile!$B$5:$B$304,MATCH($D401,lst_Profil,0)),""))</f>
        <v/>
      </c>
      <c r="L401" s="13">
        <f>IF($D401="","",IFERROR(INDEX(Profile!$K$5:$K$304,MATCH($D401,lst_Profil,0))+0,""))</f>
        <v/>
      </c>
      <c r="M401" s="26">
        <f>IF($D401="","",IFERROR(INDEX(Profile!$E$5:$E$304,MATCH($D401,lst_Profil,0))+0,""))</f>
        <v/>
      </c>
      <c r="N401" s="27">
        <f>IF(OR(L401="",$E401=""),"",IFERROR(L401*INDEX(Werkstoffe!$E$5:$E$304,MATCH($E401,lst_Werkstoff,0))/1000,""))</f>
        <v/>
      </c>
      <c r="O401" s="27">
        <f>IF(OR(N401="",$F401=""),"",N401*$F401/1000)</f>
        <v/>
      </c>
      <c r="P401" s="16">
        <f>IF(OR($F401="",$G401=""),"",$F401*$G401)</f>
        <v/>
      </c>
      <c r="Q401" s="16">
        <f>IF($D401="","",IF($J401&lt;&gt;"",$J401,$C$9))</f>
        <v/>
      </c>
      <c r="R401" s="12">
        <f>IF($D401="","",IFERROR(IF(INDEX(Profile!$G$5:$G$304,MATCH($D401,lst_Profil,0))&lt;&gt;"",INDEX(Profile!$G$5:$G$304,MATCH($D401,lst_Profil,0)),$H$4),$H$4))</f>
        <v/>
      </c>
      <c r="S401" s="12">
        <f>IF($D401="","",IFERROR(IF(INDEX(Profile!$H$5:$H$304,MATCH($D401,lst_Profil,0))&lt;&gt;"",INDEX(Profile!$H$5:$H$304,MATCH($D401,lst_Profil,0)),$H$5),$H$5))</f>
        <v/>
      </c>
      <c r="T401" s="16">
        <f>IF(OR(Q401="",NOT(ISNUMBER(R401)),NOT(ISNUMBER(S401))),"",Q401-R401-S401)</f>
        <v/>
      </c>
      <c r="U401" s="28">
        <f>IF(OR($D401="",$E401=""),"",IF(OR(N($AP401)&gt;0,COUNTIFS(Preise!$A$5:$A$304,$D401,Preise!$B$5:$B$304,$E401,Preise!$I$5:$I$304,"OK")&gt;0,N(INDEX(Werkstoffe!$G$5:$G$304,MATCH($E401,lst_Werkstoff,0)))&gt;0),"ja","nein"))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28">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Materialpreis",IF(AND($AQ401&lt;&gt;"",N($AR401)&gt;0,MOD($G401,$AR401)&lt;&gt;0),"WARNUNG: Stückzahl ist kein Vielfaches von Stück je Satz",IF($H401="","HINWEIS: Schneidweg fehlt",IF(V401="","HINWEIS: keine Schneiddaten",IF(AND($AF401&lt;&gt;"",$AG401=""),"HINWEIS: Gewinde-Vorschlag prüfen","OK")))))))))))))))</f>
        <v/>
      </c>
      <c r="X401" s="18">
        <f>IF(OR(O401="",$G401=""),"",O401*$G401)</f>
        <v/>
      </c>
      <c r="Y401" s="9" t="n"/>
      <c r="Z401" s="23" t="n"/>
      <c r="AA401" s="9" t="n"/>
      <c r="AB401" s="23" t="n"/>
      <c r="AC401" s="23" t="n"/>
      <c r="AD401" s="23" t="n"/>
      <c r="AE401" s="9" t="n"/>
      <c r="AF401" s="9" t="n"/>
      <c r="AG401" s="9" t="n"/>
      <c r="AH401" s="24" t="n"/>
      <c r="AI401" s="23" t="n"/>
      <c r="AJ401" s="24" t="n"/>
      <c r="AK401" s="23" t="n"/>
      <c r="AL401" s="24" t="n"/>
      <c r="AM401" s="23" t="n"/>
      <c r="AN401" s="28">
        <f>IF($D401="","",COUNTIFS(Stangenbelegung!$E$5:$E$10004,ROW()))</f>
        <v/>
      </c>
      <c r="AO401" s="28">
        <f>IF(OR($G401="",COUNTA(Stangenbelegung!$A$5:$A$10004)=0),"",$G401-AN401)</f>
        <v/>
      </c>
      <c r="AP401" s="29" t="n"/>
      <c r="AQ401" s="9" t="n"/>
      <c r="AR401" s="19" t="n"/>
    </row>
    <row r="402">
      <c r="A402" s="9" t="n"/>
      <c r="B402" s="9" t="n"/>
      <c r="C402" s="9" t="n"/>
      <c r="D402" s="9" t="n"/>
      <c r="E402" s="9" t="n"/>
      <c r="F402" s="23" t="n"/>
      <c r="G402" s="19" t="n"/>
      <c r="H402" s="23" t="n"/>
      <c r="I402" s="24" t="n"/>
      <c r="J402" s="19" t="n"/>
      <c r="K402" s="25">
        <f>IF($D402="","",IFERROR(INDEX(Profile!$B$5:$B$304,MATCH($D402,lst_Profil,0)),""))</f>
        <v/>
      </c>
      <c r="L402" s="13">
        <f>IF($D402="","",IFERROR(INDEX(Profile!$K$5:$K$304,MATCH($D402,lst_Profil,0))+0,""))</f>
        <v/>
      </c>
      <c r="M402" s="26">
        <f>IF($D402="","",IFERROR(INDEX(Profile!$E$5:$E$304,MATCH($D402,lst_Profil,0))+0,""))</f>
        <v/>
      </c>
      <c r="N402" s="27">
        <f>IF(OR(L402="",$E402=""),"",IFERROR(L402*INDEX(Werkstoffe!$E$5:$E$304,MATCH($E402,lst_Werkstoff,0))/1000,""))</f>
        <v/>
      </c>
      <c r="O402" s="27">
        <f>IF(OR(N402="",$F402=""),"",N402*$F402/1000)</f>
        <v/>
      </c>
      <c r="P402" s="16">
        <f>IF(OR($F402="",$G402=""),"",$F402*$G402)</f>
        <v/>
      </c>
      <c r="Q402" s="16">
        <f>IF($D402="","",IF($J402&lt;&gt;"",$J402,$C$9))</f>
        <v/>
      </c>
      <c r="R402" s="12">
        <f>IF($D402="","",IFERROR(IF(INDEX(Profile!$G$5:$G$304,MATCH($D402,lst_Profil,0))&lt;&gt;"",INDEX(Profile!$G$5:$G$304,MATCH($D402,lst_Profil,0)),$H$4),$H$4))</f>
        <v/>
      </c>
      <c r="S402" s="12">
        <f>IF($D402="","",IFERROR(IF(INDEX(Profile!$H$5:$H$304,MATCH($D402,lst_Profil,0))&lt;&gt;"",INDEX(Profile!$H$5:$H$304,MATCH($D402,lst_Profil,0)),$H$5),$H$5))</f>
        <v/>
      </c>
      <c r="T402" s="16">
        <f>IF(OR(Q402="",NOT(ISNUMBER(R402)),NOT(ISNUMBER(S402))),"",Q402-R402-S402)</f>
        <v/>
      </c>
      <c r="U402" s="28">
        <f>IF(OR($D402="",$E402=""),"",IF(OR(N($AP402)&gt;0,COUNTIFS(Preise!$A$5:$A$304,$D402,Preise!$B$5:$B$304,$E402,Preise!$I$5:$I$304,"OK")&gt;0,N(INDEX(Werkstoffe!$G$5:$G$304,MATCH($E402,lst_Werkstoff,0)))&gt;0),"ja","nein"))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28">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Materialpreis",IF(AND($AQ402&lt;&gt;"",N($AR402)&gt;0,MOD($G402,$AR402)&lt;&gt;0),"WARNUNG: Stückzahl ist kein Vielfaches von Stück je Satz",IF($H402="","HINWEIS: Schneidweg fehlt",IF(V402="","HINWEIS: keine Schneiddaten",IF(AND($AF402&lt;&gt;"",$AG402=""),"HINWEIS: Gewinde-Vorschlag prüfen","OK")))))))))))))))</f>
        <v/>
      </c>
      <c r="X402" s="18">
        <f>IF(OR(O402="",$G402=""),"",O402*$G402)</f>
        <v/>
      </c>
      <c r="Y402" s="9" t="n"/>
      <c r="Z402" s="23" t="n"/>
      <c r="AA402" s="9" t="n"/>
      <c r="AB402" s="23" t="n"/>
      <c r="AC402" s="23" t="n"/>
      <c r="AD402" s="23" t="n"/>
      <c r="AE402" s="9" t="n"/>
      <c r="AF402" s="9" t="n"/>
      <c r="AG402" s="9" t="n"/>
      <c r="AH402" s="24" t="n"/>
      <c r="AI402" s="23" t="n"/>
      <c r="AJ402" s="24" t="n"/>
      <c r="AK402" s="23" t="n"/>
      <c r="AL402" s="24" t="n"/>
      <c r="AM402" s="23" t="n"/>
      <c r="AN402" s="28">
        <f>IF($D402="","",COUNTIFS(Stangenbelegung!$E$5:$E$10004,ROW()))</f>
        <v/>
      </c>
      <c r="AO402" s="28">
        <f>IF(OR($G402="",COUNTA(Stangenbelegung!$A$5:$A$10004)=0),"",$G402-AN402)</f>
        <v/>
      </c>
      <c r="AP402" s="29" t="n"/>
      <c r="AQ402" s="9" t="n"/>
      <c r="AR402" s="19" t="n"/>
    </row>
    <row r="403">
      <c r="A403" s="9" t="n"/>
      <c r="B403" s="9" t="n"/>
      <c r="C403" s="9" t="n"/>
      <c r="D403" s="9" t="n"/>
      <c r="E403" s="9" t="n"/>
      <c r="F403" s="23" t="n"/>
      <c r="G403" s="19" t="n"/>
      <c r="H403" s="23" t="n"/>
      <c r="I403" s="24" t="n"/>
      <c r="J403" s="19" t="n"/>
      <c r="K403" s="25">
        <f>IF($D403="","",IFERROR(INDEX(Profile!$B$5:$B$304,MATCH($D403,lst_Profil,0)),""))</f>
        <v/>
      </c>
      <c r="L403" s="13">
        <f>IF($D403="","",IFERROR(INDEX(Profile!$K$5:$K$304,MATCH($D403,lst_Profil,0))+0,""))</f>
        <v/>
      </c>
      <c r="M403" s="26">
        <f>IF($D403="","",IFERROR(INDEX(Profile!$E$5:$E$304,MATCH($D403,lst_Profil,0))+0,""))</f>
        <v/>
      </c>
      <c r="N403" s="27">
        <f>IF(OR(L403="",$E403=""),"",IFERROR(L403*INDEX(Werkstoffe!$E$5:$E$304,MATCH($E403,lst_Werkstoff,0))/1000,""))</f>
        <v/>
      </c>
      <c r="O403" s="27">
        <f>IF(OR(N403="",$F403=""),"",N403*$F403/1000)</f>
        <v/>
      </c>
      <c r="P403" s="16">
        <f>IF(OR($F403="",$G403=""),"",$F403*$G403)</f>
        <v/>
      </c>
      <c r="Q403" s="16">
        <f>IF($D403="","",IF($J403&lt;&gt;"",$J403,$C$9))</f>
        <v/>
      </c>
      <c r="R403" s="12">
        <f>IF($D403="","",IFERROR(IF(INDEX(Profile!$G$5:$G$304,MATCH($D403,lst_Profil,0))&lt;&gt;"",INDEX(Profile!$G$5:$G$304,MATCH($D403,lst_Profil,0)),$H$4),$H$4))</f>
        <v/>
      </c>
      <c r="S403" s="12">
        <f>IF($D403="","",IFERROR(IF(INDEX(Profile!$H$5:$H$304,MATCH($D403,lst_Profil,0))&lt;&gt;"",INDEX(Profile!$H$5:$H$304,MATCH($D403,lst_Profil,0)),$H$5),$H$5))</f>
        <v/>
      </c>
      <c r="T403" s="16">
        <f>IF(OR(Q403="",NOT(ISNUMBER(R403)),NOT(ISNUMBER(S403))),"",Q403-R403-S403)</f>
        <v/>
      </c>
      <c r="U403" s="28">
        <f>IF(OR($D403="",$E403=""),"",IF(OR(N($AP403)&gt;0,COUNTIFS(Preise!$A$5:$A$304,$D403,Preise!$B$5:$B$304,$E403,Preise!$I$5:$I$304,"OK")&gt;0,N(INDEX(Werkstoffe!$G$5:$G$304,MATCH($E403,lst_Werkstoff,0)))&gt;0),"ja","nein"))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28">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Materialpreis",IF(AND($AQ403&lt;&gt;"",N($AR403)&gt;0,MOD($G403,$AR403)&lt;&gt;0),"WARNUNG: Stückzahl ist kein Vielfaches von Stück je Satz",IF($H403="","HINWEIS: Schneidweg fehlt",IF(V403="","HINWEIS: keine Schneiddaten",IF(AND($AF403&lt;&gt;"",$AG403=""),"HINWEIS: Gewinde-Vorschlag prüfen","OK")))))))))))))))</f>
        <v/>
      </c>
      <c r="X403" s="18">
        <f>IF(OR(O403="",$G403=""),"",O403*$G403)</f>
        <v/>
      </c>
      <c r="Y403" s="9" t="n"/>
      <c r="Z403" s="23" t="n"/>
      <c r="AA403" s="9" t="n"/>
      <c r="AB403" s="23" t="n"/>
      <c r="AC403" s="23" t="n"/>
      <c r="AD403" s="23" t="n"/>
      <c r="AE403" s="9" t="n"/>
      <c r="AF403" s="9" t="n"/>
      <c r="AG403" s="9" t="n"/>
      <c r="AH403" s="24" t="n"/>
      <c r="AI403" s="23" t="n"/>
      <c r="AJ403" s="24" t="n"/>
      <c r="AK403" s="23" t="n"/>
      <c r="AL403" s="24" t="n"/>
      <c r="AM403" s="23" t="n"/>
      <c r="AN403" s="28">
        <f>IF($D403="","",COUNTIFS(Stangenbelegung!$E$5:$E$10004,ROW()))</f>
        <v/>
      </c>
      <c r="AO403" s="28">
        <f>IF(OR($G403="",COUNTA(Stangenbelegung!$A$5:$A$10004)=0),"",$G403-AN403)</f>
        <v/>
      </c>
      <c r="AP403" s="29" t="n"/>
      <c r="AQ403" s="9" t="n"/>
      <c r="AR403" s="19" t="n"/>
    </row>
    <row r="404">
      <c r="A404" s="9" t="n"/>
      <c r="B404" s="9" t="n"/>
      <c r="C404" s="9" t="n"/>
      <c r="D404" s="9" t="n"/>
      <c r="E404" s="9" t="n"/>
      <c r="F404" s="23" t="n"/>
      <c r="G404" s="19" t="n"/>
      <c r="H404" s="23" t="n"/>
      <c r="I404" s="24" t="n"/>
      <c r="J404" s="19" t="n"/>
      <c r="K404" s="25">
        <f>IF($D404="","",IFERROR(INDEX(Profile!$B$5:$B$304,MATCH($D404,lst_Profil,0)),""))</f>
        <v/>
      </c>
      <c r="L404" s="13">
        <f>IF($D404="","",IFERROR(INDEX(Profile!$K$5:$K$304,MATCH($D404,lst_Profil,0))+0,""))</f>
        <v/>
      </c>
      <c r="M404" s="26">
        <f>IF($D404="","",IFERROR(INDEX(Profile!$E$5:$E$304,MATCH($D404,lst_Profil,0))+0,""))</f>
        <v/>
      </c>
      <c r="N404" s="27">
        <f>IF(OR(L404="",$E404=""),"",IFERROR(L404*INDEX(Werkstoffe!$E$5:$E$304,MATCH($E404,lst_Werkstoff,0))/1000,""))</f>
        <v/>
      </c>
      <c r="O404" s="27">
        <f>IF(OR(N404="",$F404=""),"",N404*$F404/1000)</f>
        <v/>
      </c>
      <c r="P404" s="16">
        <f>IF(OR($F404="",$G404=""),"",$F404*$G404)</f>
        <v/>
      </c>
      <c r="Q404" s="16">
        <f>IF($D404="","",IF($J404&lt;&gt;"",$J404,$C$9))</f>
        <v/>
      </c>
      <c r="R404" s="12">
        <f>IF($D404="","",IFERROR(IF(INDEX(Profile!$G$5:$G$304,MATCH($D404,lst_Profil,0))&lt;&gt;"",INDEX(Profile!$G$5:$G$304,MATCH($D404,lst_Profil,0)),$H$4),$H$4))</f>
        <v/>
      </c>
      <c r="S404" s="12">
        <f>IF($D404="","",IFERROR(IF(INDEX(Profile!$H$5:$H$304,MATCH($D404,lst_Profil,0))&lt;&gt;"",INDEX(Profile!$H$5:$H$304,MATCH($D404,lst_Profil,0)),$H$5),$H$5))</f>
        <v/>
      </c>
      <c r="T404" s="16">
        <f>IF(OR(Q404="",NOT(ISNUMBER(R404)),NOT(ISNUMBER(S404))),"",Q404-R404-S404)</f>
        <v/>
      </c>
      <c r="U404" s="28">
        <f>IF(OR($D404="",$E404=""),"",IF(OR(N($AP404)&gt;0,COUNTIFS(Preise!$A$5:$A$304,$D404,Preise!$B$5:$B$304,$E404,Preise!$I$5:$I$304,"OK")&gt;0,N(INDEX(Werkstoffe!$G$5:$G$304,MATCH($E404,lst_Werkstoff,0)))&gt;0),"ja","nein"))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28">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Materialpreis",IF(AND($AQ404&lt;&gt;"",N($AR404)&gt;0,MOD($G404,$AR404)&lt;&gt;0),"WARNUNG: Stückzahl ist kein Vielfaches von Stück je Satz",IF($H404="","HINWEIS: Schneidweg fehlt",IF(V404="","HINWEIS: keine Schneiddaten",IF(AND($AF404&lt;&gt;"",$AG404=""),"HINWEIS: Gewinde-Vorschlag prüfen","OK")))))))))))))))</f>
        <v/>
      </c>
      <c r="X404" s="18">
        <f>IF(OR(O404="",$G404=""),"",O404*$G404)</f>
        <v/>
      </c>
      <c r="Y404" s="9" t="n"/>
      <c r="Z404" s="23" t="n"/>
      <c r="AA404" s="9" t="n"/>
      <c r="AB404" s="23" t="n"/>
      <c r="AC404" s="23" t="n"/>
      <c r="AD404" s="23" t="n"/>
      <c r="AE404" s="9" t="n"/>
      <c r="AF404" s="9" t="n"/>
      <c r="AG404" s="9" t="n"/>
      <c r="AH404" s="24" t="n"/>
      <c r="AI404" s="23" t="n"/>
      <c r="AJ404" s="24" t="n"/>
      <c r="AK404" s="23" t="n"/>
      <c r="AL404" s="24" t="n"/>
      <c r="AM404" s="23" t="n"/>
      <c r="AN404" s="28">
        <f>IF($D404="","",COUNTIFS(Stangenbelegung!$E$5:$E$10004,ROW()))</f>
        <v/>
      </c>
      <c r="AO404" s="28">
        <f>IF(OR($G404="",COUNTA(Stangenbelegung!$A$5:$A$10004)=0),"",$G404-AN404)</f>
        <v/>
      </c>
      <c r="AP404" s="29" t="n"/>
      <c r="AQ404" s="9" t="n"/>
      <c r="AR404" s="19" t="n"/>
    </row>
    <row r="405">
      <c r="A405" s="9" t="n"/>
      <c r="B405" s="9" t="n"/>
      <c r="C405" s="9" t="n"/>
      <c r="D405" s="9" t="n"/>
      <c r="E405" s="9" t="n"/>
      <c r="F405" s="23" t="n"/>
      <c r="G405" s="19" t="n"/>
      <c r="H405" s="23" t="n"/>
      <c r="I405" s="24" t="n"/>
      <c r="J405" s="19" t="n"/>
      <c r="K405" s="25">
        <f>IF($D405="","",IFERROR(INDEX(Profile!$B$5:$B$304,MATCH($D405,lst_Profil,0)),""))</f>
        <v/>
      </c>
      <c r="L405" s="13">
        <f>IF($D405="","",IFERROR(INDEX(Profile!$K$5:$K$304,MATCH($D405,lst_Profil,0))+0,""))</f>
        <v/>
      </c>
      <c r="M405" s="26">
        <f>IF($D405="","",IFERROR(INDEX(Profile!$E$5:$E$304,MATCH($D405,lst_Profil,0))+0,""))</f>
        <v/>
      </c>
      <c r="N405" s="27">
        <f>IF(OR(L405="",$E405=""),"",IFERROR(L405*INDEX(Werkstoffe!$E$5:$E$304,MATCH($E405,lst_Werkstoff,0))/1000,""))</f>
        <v/>
      </c>
      <c r="O405" s="27">
        <f>IF(OR(N405="",$F405=""),"",N405*$F405/1000)</f>
        <v/>
      </c>
      <c r="P405" s="16">
        <f>IF(OR($F405="",$G405=""),"",$F405*$G405)</f>
        <v/>
      </c>
      <c r="Q405" s="16">
        <f>IF($D405="","",IF($J405&lt;&gt;"",$J405,$C$9))</f>
        <v/>
      </c>
      <c r="R405" s="12">
        <f>IF($D405="","",IFERROR(IF(INDEX(Profile!$G$5:$G$304,MATCH($D405,lst_Profil,0))&lt;&gt;"",INDEX(Profile!$G$5:$G$304,MATCH($D405,lst_Profil,0)),$H$4),$H$4))</f>
        <v/>
      </c>
      <c r="S405" s="12">
        <f>IF($D405="","",IFERROR(IF(INDEX(Profile!$H$5:$H$304,MATCH($D405,lst_Profil,0))&lt;&gt;"",INDEX(Profile!$H$5:$H$304,MATCH($D405,lst_Profil,0)),$H$5),$H$5))</f>
        <v/>
      </c>
      <c r="T405" s="16">
        <f>IF(OR(Q405="",NOT(ISNUMBER(R405)),NOT(ISNUMBER(S405))),"",Q405-R405-S405)</f>
        <v/>
      </c>
      <c r="U405" s="28">
        <f>IF(OR($D405="",$E405=""),"",IF(OR(N($AP405)&gt;0,COUNTIFS(Preise!$A$5:$A$304,$D405,Preise!$B$5:$B$304,$E405,Preise!$I$5:$I$304,"OK")&gt;0,N(INDEX(Werkstoffe!$G$5:$G$304,MATCH($E405,lst_Werkstoff,0)))&gt;0),"ja","nein"))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28">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Materialpreis",IF(AND($AQ405&lt;&gt;"",N($AR405)&gt;0,MOD($G405,$AR405)&lt;&gt;0),"WARNUNG: Stückzahl ist kein Vielfaches von Stück je Satz",IF($H405="","HINWEIS: Schneidweg fehlt",IF(V405="","HINWEIS: keine Schneiddaten",IF(AND($AF405&lt;&gt;"",$AG405=""),"HINWEIS: Gewinde-Vorschlag prüfen","OK")))))))))))))))</f>
        <v/>
      </c>
      <c r="X405" s="18">
        <f>IF(OR(O405="",$G405=""),"",O405*$G405)</f>
        <v/>
      </c>
      <c r="Y405" s="9" t="n"/>
      <c r="Z405" s="23" t="n"/>
      <c r="AA405" s="9" t="n"/>
      <c r="AB405" s="23" t="n"/>
      <c r="AC405" s="23" t="n"/>
      <c r="AD405" s="23" t="n"/>
      <c r="AE405" s="9" t="n"/>
      <c r="AF405" s="9" t="n"/>
      <c r="AG405" s="9" t="n"/>
      <c r="AH405" s="24" t="n"/>
      <c r="AI405" s="23" t="n"/>
      <c r="AJ405" s="24" t="n"/>
      <c r="AK405" s="23" t="n"/>
      <c r="AL405" s="24" t="n"/>
      <c r="AM405" s="23" t="n"/>
      <c r="AN405" s="28">
        <f>IF($D405="","",COUNTIFS(Stangenbelegung!$E$5:$E$10004,ROW()))</f>
        <v/>
      </c>
      <c r="AO405" s="28">
        <f>IF(OR($G405="",COUNTA(Stangenbelegung!$A$5:$A$10004)=0),"",$G405-AN405)</f>
        <v/>
      </c>
      <c r="AP405" s="29" t="n"/>
      <c r="AQ405" s="9" t="n"/>
      <c r="AR405" s="19" t="n"/>
    </row>
    <row r="406">
      <c r="A406" s="9" t="n"/>
      <c r="B406" s="9" t="n"/>
      <c r="C406" s="9" t="n"/>
      <c r="D406" s="9" t="n"/>
      <c r="E406" s="9" t="n"/>
      <c r="F406" s="23" t="n"/>
      <c r="G406" s="19" t="n"/>
      <c r="H406" s="23" t="n"/>
      <c r="I406" s="24" t="n"/>
      <c r="J406" s="19" t="n"/>
      <c r="K406" s="25">
        <f>IF($D406="","",IFERROR(INDEX(Profile!$B$5:$B$304,MATCH($D406,lst_Profil,0)),""))</f>
        <v/>
      </c>
      <c r="L406" s="13">
        <f>IF($D406="","",IFERROR(INDEX(Profile!$K$5:$K$304,MATCH($D406,lst_Profil,0))+0,""))</f>
        <v/>
      </c>
      <c r="M406" s="26">
        <f>IF($D406="","",IFERROR(INDEX(Profile!$E$5:$E$304,MATCH($D406,lst_Profil,0))+0,""))</f>
        <v/>
      </c>
      <c r="N406" s="27">
        <f>IF(OR(L406="",$E406=""),"",IFERROR(L406*INDEX(Werkstoffe!$E$5:$E$304,MATCH($E406,lst_Werkstoff,0))/1000,""))</f>
        <v/>
      </c>
      <c r="O406" s="27">
        <f>IF(OR(N406="",$F406=""),"",N406*$F406/1000)</f>
        <v/>
      </c>
      <c r="P406" s="16">
        <f>IF(OR($F406="",$G406=""),"",$F406*$G406)</f>
        <v/>
      </c>
      <c r="Q406" s="16">
        <f>IF($D406="","",IF($J406&lt;&gt;"",$J406,$C$9))</f>
        <v/>
      </c>
      <c r="R406" s="12">
        <f>IF($D406="","",IFERROR(IF(INDEX(Profile!$G$5:$G$304,MATCH($D406,lst_Profil,0))&lt;&gt;"",INDEX(Profile!$G$5:$G$304,MATCH($D406,lst_Profil,0)),$H$4),$H$4))</f>
        <v/>
      </c>
      <c r="S406" s="12">
        <f>IF($D406="","",IFERROR(IF(INDEX(Profile!$H$5:$H$304,MATCH($D406,lst_Profil,0))&lt;&gt;"",INDEX(Profile!$H$5:$H$304,MATCH($D406,lst_Profil,0)),$H$5),$H$5))</f>
        <v/>
      </c>
      <c r="T406" s="16">
        <f>IF(OR(Q406="",NOT(ISNUMBER(R406)),NOT(ISNUMBER(S406))),"",Q406-R406-S406)</f>
        <v/>
      </c>
      <c r="U406" s="28">
        <f>IF(OR($D406="",$E406=""),"",IF(OR(N($AP406)&gt;0,COUNTIFS(Preise!$A$5:$A$304,$D406,Preise!$B$5:$B$304,$E406,Preise!$I$5:$I$304,"OK")&gt;0,N(INDEX(Werkstoffe!$G$5:$G$304,MATCH($E406,lst_Werkstoff,0)))&gt;0),"ja","nein"))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28">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Materialpreis",IF(AND($AQ406&lt;&gt;"",N($AR406)&gt;0,MOD($G406,$AR406)&lt;&gt;0),"WARNUNG: Stückzahl ist kein Vielfaches von Stück je Satz",IF($H406="","HINWEIS: Schneidweg fehlt",IF(V406="","HINWEIS: keine Schneiddaten",IF(AND($AF406&lt;&gt;"",$AG406=""),"HINWEIS: Gewinde-Vorschlag prüfen","OK")))))))))))))))</f>
        <v/>
      </c>
      <c r="X406" s="18">
        <f>IF(OR(O406="",$G406=""),"",O406*$G406)</f>
        <v/>
      </c>
      <c r="Y406" s="9" t="n"/>
      <c r="Z406" s="23" t="n"/>
      <c r="AA406" s="9" t="n"/>
      <c r="AB406" s="23" t="n"/>
      <c r="AC406" s="23" t="n"/>
      <c r="AD406" s="23" t="n"/>
      <c r="AE406" s="9" t="n"/>
      <c r="AF406" s="9" t="n"/>
      <c r="AG406" s="9" t="n"/>
      <c r="AH406" s="24" t="n"/>
      <c r="AI406" s="23" t="n"/>
      <c r="AJ406" s="24" t="n"/>
      <c r="AK406" s="23" t="n"/>
      <c r="AL406" s="24" t="n"/>
      <c r="AM406" s="23" t="n"/>
      <c r="AN406" s="28">
        <f>IF($D406="","",COUNTIFS(Stangenbelegung!$E$5:$E$10004,ROW()))</f>
        <v/>
      </c>
      <c r="AO406" s="28">
        <f>IF(OR($G406="",COUNTA(Stangenbelegung!$A$5:$A$10004)=0),"",$G406-AN406)</f>
        <v/>
      </c>
      <c r="AP406" s="29" t="n"/>
      <c r="AQ406" s="9" t="n"/>
      <c r="AR406" s="19" t="n"/>
    </row>
    <row r="407">
      <c r="A407" s="9" t="n"/>
      <c r="B407" s="9" t="n"/>
      <c r="C407" s="9" t="n"/>
      <c r="D407" s="9" t="n"/>
      <c r="E407" s="9" t="n"/>
      <c r="F407" s="23" t="n"/>
      <c r="G407" s="19" t="n"/>
      <c r="H407" s="23" t="n"/>
      <c r="I407" s="24" t="n"/>
      <c r="J407" s="19" t="n"/>
      <c r="K407" s="25">
        <f>IF($D407="","",IFERROR(INDEX(Profile!$B$5:$B$304,MATCH($D407,lst_Profil,0)),""))</f>
        <v/>
      </c>
      <c r="L407" s="13">
        <f>IF($D407="","",IFERROR(INDEX(Profile!$K$5:$K$304,MATCH($D407,lst_Profil,0))+0,""))</f>
        <v/>
      </c>
      <c r="M407" s="26">
        <f>IF($D407="","",IFERROR(INDEX(Profile!$E$5:$E$304,MATCH($D407,lst_Profil,0))+0,""))</f>
        <v/>
      </c>
      <c r="N407" s="27">
        <f>IF(OR(L407="",$E407=""),"",IFERROR(L407*INDEX(Werkstoffe!$E$5:$E$304,MATCH($E407,lst_Werkstoff,0))/1000,""))</f>
        <v/>
      </c>
      <c r="O407" s="27">
        <f>IF(OR(N407="",$F407=""),"",N407*$F407/1000)</f>
        <v/>
      </c>
      <c r="P407" s="16">
        <f>IF(OR($F407="",$G407=""),"",$F407*$G407)</f>
        <v/>
      </c>
      <c r="Q407" s="16">
        <f>IF($D407="","",IF($J407&lt;&gt;"",$J407,$C$9))</f>
        <v/>
      </c>
      <c r="R407" s="12">
        <f>IF($D407="","",IFERROR(IF(INDEX(Profile!$G$5:$G$304,MATCH($D407,lst_Profil,0))&lt;&gt;"",INDEX(Profile!$G$5:$G$304,MATCH($D407,lst_Profil,0)),$H$4),$H$4))</f>
        <v/>
      </c>
      <c r="S407" s="12">
        <f>IF($D407="","",IFERROR(IF(INDEX(Profile!$H$5:$H$304,MATCH($D407,lst_Profil,0))&lt;&gt;"",INDEX(Profile!$H$5:$H$304,MATCH($D407,lst_Profil,0)),$H$5),$H$5))</f>
        <v/>
      </c>
      <c r="T407" s="16">
        <f>IF(OR(Q407="",NOT(ISNUMBER(R407)),NOT(ISNUMBER(S407))),"",Q407-R407-S407)</f>
        <v/>
      </c>
      <c r="U407" s="28">
        <f>IF(OR($D407="",$E407=""),"",IF(OR(N($AP407)&gt;0,COUNTIFS(Preise!$A$5:$A$304,$D407,Preise!$B$5:$B$304,$E407,Preise!$I$5:$I$304,"OK")&gt;0,N(INDEX(Werkstoffe!$G$5:$G$304,MATCH($E407,lst_Werkstoff,0)))&gt;0),"ja","nein"))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28">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Materialpreis",IF(AND($AQ407&lt;&gt;"",N($AR407)&gt;0,MOD($G407,$AR407)&lt;&gt;0),"WARNUNG: Stückzahl ist kein Vielfaches von Stück je Satz",IF($H407="","HINWEIS: Schneidweg fehlt",IF(V407="","HINWEIS: keine Schneiddaten",IF(AND($AF407&lt;&gt;"",$AG407=""),"HINWEIS: Gewinde-Vorschlag prüfen","OK")))))))))))))))</f>
        <v/>
      </c>
      <c r="X407" s="18">
        <f>IF(OR(O407="",$G407=""),"",O407*$G407)</f>
        <v/>
      </c>
      <c r="Y407" s="9" t="n"/>
      <c r="Z407" s="23" t="n"/>
      <c r="AA407" s="9" t="n"/>
      <c r="AB407" s="23" t="n"/>
      <c r="AC407" s="23" t="n"/>
      <c r="AD407" s="23" t="n"/>
      <c r="AE407" s="9" t="n"/>
      <c r="AF407" s="9" t="n"/>
      <c r="AG407" s="9" t="n"/>
      <c r="AH407" s="24" t="n"/>
      <c r="AI407" s="23" t="n"/>
      <c r="AJ407" s="24" t="n"/>
      <c r="AK407" s="23" t="n"/>
      <c r="AL407" s="24" t="n"/>
      <c r="AM407" s="23" t="n"/>
      <c r="AN407" s="28">
        <f>IF($D407="","",COUNTIFS(Stangenbelegung!$E$5:$E$10004,ROW()))</f>
        <v/>
      </c>
      <c r="AO407" s="28">
        <f>IF(OR($G407="",COUNTA(Stangenbelegung!$A$5:$A$10004)=0),"",$G407-AN407)</f>
        <v/>
      </c>
      <c r="AP407" s="29" t="n"/>
      <c r="AQ407" s="9" t="n"/>
      <c r="AR407" s="19" t="n"/>
    </row>
    <row r="408">
      <c r="A408" s="9" t="n"/>
      <c r="B408" s="9" t="n"/>
      <c r="C408" s="9" t="n"/>
      <c r="D408" s="9" t="n"/>
      <c r="E408" s="9" t="n"/>
      <c r="F408" s="23" t="n"/>
      <c r="G408" s="19" t="n"/>
      <c r="H408" s="23" t="n"/>
      <c r="I408" s="24" t="n"/>
      <c r="J408" s="19" t="n"/>
      <c r="K408" s="25">
        <f>IF($D408="","",IFERROR(INDEX(Profile!$B$5:$B$304,MATCH($D408,lst_Profil,0)),""))</f>
        <v/>
      </c>
      <c r="L408" s="13">
        <f>IF($D408="","",IFERROR(INDEX(Profile!$K$5:$K$304,MATCH($D408,lst_Profil,0))+0,""))</f>
        <v/>
      </c>
      <c r="M408" s="26">
        <f>IF($D408="","",IFERROR(INDEX(Profile!$E$5:$E$304,MATCH($D408,lst_Profil,0))+0,""))</f>
        <v/>
      </c>
      <c r="N408" s="27">
        <f>IF(OR(L408="",$E408=""),"",IFERROR(L408*INDEX(Werkstoffe!$E$5:$E$304,MATCH($E408,lst_Werkstoff,0))/1000,""))</f>
        <v/>
      </c>
      <c r="O408" s="27">
        <f>IF(OR(N408="",$F408=""),"",N408*$F408/1000)</f>
        <v/>
      </c>
      <c r="P408" s="16">
        <f>IF(OR($F408="",$G408=""),"",$F408*$G408)</f>
        <v/>
      </c>
      <c r="Q408" s="16">
        <f>IF($D408="","",IF($J408&lt;&gt;"",$J408,$C$9))</f>
        <v/>
      </c>
      <c r="R408" s="12">
        <f>IF($D408="","",IFERROR(IF(INDEX(Profile!$G$5:$G$304,MATCH($D408,lst_Profil,0))&lt;&gt;"",INDEX(Profile!$G$5:$G$304,MATCH($D408,lst_Profil,0)),$H$4),$H$4))</f>
        <v/>
      </c>
      <c r="S408" s="12">
        <f>IF($D408="","",IFERROR(IF(INDEX(Profile!$H$5:$H$304,MATCH($D408,lst_Profil,0))&lt;&gt;"",INDEX(Profile!$H$5:$H$304,MATCH($D408,lst_Profil,0)),$H$5),$H$5))</f>
        <v/>
      </c>
      <c r="T408" s="16">
        <f>IF(OR(Q408="",NOT(ISNUMBER(R408)),NOT(ISNUMBER(S408))),"",Q408-R408-S408)</f>
        <v/>
      </c>
      <c r="U408" s="28">
        <f>IF(OR($D408="",$E408=""),"",IF(OR(N($AP408)&gt;0,COUNTIFS(Preise!$A$5:$A$304,$D408,Preise!$B$5:$B$304,$E408,Preise!$I$5:$I$304,"OK")&gt;0,N(INDEX(Werkstoffe!$G$5:$G$304,MATCH($E408,lst_Werkstoff,0)))&gt;0),"ja","nein"))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28">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Materialpreis",IF(AND($AQ408&lt;&gt;"",N($AR408)&gt;0,MOD($G408,$AR408)&lt;&gt;0),"WARNUNG: Stückzahl ist kein Vielfaches von Stück je Satz",IF($H408="","HINWEIS: Schneidweg fehlt",IF(V408="","HINWEIS: keine Schneiddaten",IF(AND($AF408&lt;&gt;"",$AG408=""),"HINWEIS: Gewinde-Vorschlag prüfen","OK")))))))))))))))</f>
        <v/>
      </c>
      <c r="X408" s="18">
        <f>IF(OR(O408="",$G408=""),"",O408*$G408)</f>
        <v/>
      </c>
      <c r="Y408" s="9" t="n"/>
      <c r="Z408" s="23" t="n"/>
      <c r="AA408" s="9" t="n"/>
      <c r="AB408" s="23" t="n"/>
      <c r="AC408" s="23" t="n"/>
      <c r="AD408" s="23" t="n"/>
      <c r="AE408" s="9" t="n"/>
      <c r="AF408" s="9" t="n"/>
      <c r="AG408" s="9" t="n"/>
      <c r="AH408" s="24" t="n"/>
      <c r="AI408" s="23" t="n"/>
      <c r="AJ408" s="24" t="n"/>
      <c r="AK408" s="23" t="n"/>
      <c r="AL408" s="24" t="n"/>
      <c r="AM408" s="23" t="n"/>
      <c r="AN408" s="28">
        <f>IF($D408="","",COUNTIFS(Stangenbelegung!$E$5:$E$10004,ROW()))</f>
        <v/>
      </c>
      <c r="AO408" s="28">
        <f>IF(OR($G408="",COUNTA(Stangenbelegung!$A$5:$A$10004)=0),"",$G408-AN408)</f>
        <v/>
      </c>
      <c r="AP408" s="29" t="n"/>
      <c r="AQ408" s="9" t="n"/>
      <c r="AR408" s="19" t="n"/>
    </row>
    <row r="409">
      <c r="A409" s="9" t="n"/>
      <c r="B409" s="9" t="n"/>
      <c r="C409" s="9" t="n"/>
      <c r="D409" s="9" t="n"/>
      <c r="E409" s="9" t="n"/>
      <c r="F409" s="23" t="n"/>
      <c r="G409" s="19" t="n"/>
      <c r="H409" s="23" t="n"/>
      <c r="I409" s="24" t="n"/>
      <c r="J409" s="19" t="n"/>
      <c r="K409" s="25">
        <f>IF($D409="","",IFERROR(INDEX(Profile!$B$5:$B$304,MATCH($D409,lst_Profil,0)),""))</f>
        <v/>
      </c>
      <c r="L409" s="13">
        <f>IF($D409="","",IFERROR(INDEX(Profile!$K$5:$K$304,MATCH($D409,lst_Profil,0))+0,""))</f>
        <v/>
      </c>
      <c r="M409" s="26">
        <f>IF($D409="","",IFERROR(INDEX(Profile!$E$5:$E$304,MATCH($D409,lst_Profil,0))+0,""))</f>
        <v/>
      </c>
      <c r="N409" s="27">
        <f>IF(OR(L409="",$E409=""),"",IFERROR(L409*INDEX(Werkstoffe!$E$5:$E$304,MATCH($E409,lst_Werkstoff,0))/1000,""))</f>
        <v/>
      </c>
      <c r="O409" s="27">
        <f>IF(OR(N409="",$F409=""),"",N409*$F409/1000)</f>
        <v/>
      </c>
      <c r="P409" s="16">
        <f>IF(OR($F409="",$G409=""),"",$F409*$G409)</f>
        <v/>
      </c>
      <c r="Q409" s="16">
        <f>IF($D409="","",IF($J409&lt;&gt;"",$J409,$C$9))</f>
        <v/>
      </c>
      <c r="R409" s="12">
        <f>IF($D409="","",IFERROR(IF(INDEX(Profile!$G$5:$G$304,MATCH($D409,lst_Profil,0))&lt;&gt;"",INDEX(Profile!$G$5:$G$304,MATCH($D409,lst_Profil,0)),$H$4),$H$4))</f>
        <v/>
      </c>
      <c r="S409" s="12">
        <f>IF($D409="","",IFERROR(IF(INDEX(Profile!$H$5:$H$304,MATCH($D409,lst_Profil,0))&lt;&gt;"",INDEX(Profile!$H$5:$H$304,MATCH($D409,lst_Profil,0)),$H$5),$H$5))</f>
        <v/>
      </c>
      <c r="T409" s="16">
        <f>IF(OR(Q409="",NOT(ISNUMBER(R409)),NOT(ISNUMBER(S409))),"",Q409-R409-S409)</f>
        <v/>
      </c>
      <c r="U409" s="28">
        <f>IF(OR($D409="",$E409=""),"",IF(OR(N($AP409)&gt;0,COUNTIFS(Preise!$A$5:$A$304,$D409,Preise!$B$5:$B$304,$E409,Preise!$I$5:$I$304,"OK")&gt;0,N(INDEX(Werkstoffe!$G$5:$G$304,MATCH($E409,lst_Werkstoff,0)))&gt;0),"ja","nein"))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28">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Materialpreis",IF(AND($AQ409&lt;&gt;"",N($AR409)&gt;0,MOD($G409,$AR409)&lt;&gt;0),"WARNUNG: Stückzahl ist kein Vielfaches von Stück je Satz",IF($H409="","HINWEIS: Schneidweg fehlt",IF(V409="","HINWEIS: keine Schneiddaten",IF(AND($AF409&lt;&gt;"",$AG409=""),"HINWEIS: Gewinde-Vorschlag prüfen","OK")))))))))))))))</f>
        <v/>
      </c>
      <c r="X409" s="18">
        <f>IF(OR(O409="",$G409=""),"",O409*$G409)</f>
        <v/>
      </c>
      <c r="Y409" s="9" t="n"/>
      <c r="Z409" s="23" t="n"/>
      <c r="AA409" s="9" t="n"/>
      <c r="AB409" s="23" t="n"/>
      <c r="AC409" s="23" t="n"/>
      <c r="AD409" s="23" t="n"/>
      <c r="AE409" s="9" t="n"/>
      <c r="AF409" s="9" t="n"/>
      <c r="AG409" s="9" t="n"/>
      <c r="AH409" s="24" t="n"/>
      <c r="AI409" s="23" t="n"/>
      <c r="AJ409" s="24" t="n"/>
      <c r="AK409" s="23" t="n"/>
      <c r="AL409" s="24" t="n"/>
      <c r="AM409" s="23" t="n"/>
      <c r="AN409" s="28">
        <f>IF($D409="","",COUNTIFS(Stangenbelegung!$E$5:$E$10004,ROW()))</f>
        <v/>
      </c>
      <c r="AO409" s="28">
        <f>IF(OR($G409="",COUNTA(Stangenbelegung!$A$5:$A$10004)=0),"",$G409-AN409)</f>
        <v/>
      </c>
      <c r="AP409" s="29" t="n"/>
      <c r="AQ409" s="9" t="n"/>
      <c r="AR409" s="19" t="n"/>
    </row>
    <row r="410">
      <c r="A410" s="9" t="n"/>
      <c r="B410" s="9" t="n"/>
      <c r="C410" s="9" t="n"/>
      <c r="D410" s="9" t="n"/>
      <c r="E410" s="9" t="n"/>
      <c r="F410" s="23" t="n"/>
      <c r="G410" s="19" t="n"/>
      <c r="H410" s="23" t="n"/>
      <c r="I410" s="24" t="n"/>
      <c r="J410" s="19" t="n"/>
      <c r="K410" s="25">
        <f>IF($D410="","",IFERROR(INDEX(Profile!$B$5:$B$304,MATCH($D410,lst_Profil,0)),""))</f>
        <v/>
      </c>
      <c r="L410" s="13">
        <f>IF($D410="","",IFERROR(INDEX(Profile!$K$5:$K$304,MATCH($D410,lst_Profil,0))+0,""))</f>
        <v/>
      </c>
      <c r="M410" s="26">
        <f>IF($D410="","",IFERROR(INDEX(Profile!$E$5:$E$304,MATCH($D410,lst_Profil,0))+0,""))</f>
        <v/>
      </c>
      <c r="N410" s="27">
        <f>IF(OR(L410="",$E410=""),"",IFERROR(L410*INDEX(Werkstoffe!$E$5:$E$304,MATCH($E410,lst_Werkstoff,0))/1000,""))</f>
        <v/>
      </c>
      <c r="O410" s="27">
        <f>IF(OR(N410="",$F410=""),"",N410*$F410/1000)</f>
        <v/>
      </c>
      <c r="P410" s="16">
        <f>IF(OR($F410="",$G410=""),"",$F410*$G410)</f>
        <v/>
      </c>
      <c r="Q410" s="16">
        <f>IF($D410="","",IF($J410&lt;&gt;"",$J410,$C$9))</f>
        <v/>
      </c>
      <c r="R410" s="12">
        <f>IF($D410="","",IFERROR(IF(INDEX(Profile!$G$5:$G$304,MATCH($D410,lst_Profil,0))&lt;&gt;"",INDEX(Profile!$G$5:$G$304,MATCH($D410,lst_Profil,0)),$H$4),$H$4))</f>
        <v/>
      </c>
      <c r="S410" s="12">
        <f>IF($D410="","",IFERROR(IF(INDEX(Profile!$H$5:$H$304,MATCH($D410,lst_Profil,0))&lt;&gt;"",INDEX(Profile!$H$5:$H$304,MATCH($D410,lst_Profil,0)),$H$5),$H$5))</f>
        <v/>
      </c>
      <c r="T410" s="16">
        <f>IF(OR(Q410="",NOT(ISNUMBER(R410)),NOT(ISNUMBER(S410))),"",Q410-R410-S410)</f>
        <v/>
      </c>
      <c r="U410" s="28">
        <f>IF(OR($D410="",$E410=""),"",IF(OR(N($AP410)&gt;0,COUNTIFS(Preise!$A$5:$A$304,$D410,Preise!$B$5:$B$304,$E410,Preise!$I$5:$I$304,"OK")&gt;0,N(INDEX(Werkstoffe!$G$5:$G$304,MATCH($E410,lst_Werkstoff,0)))&gt;0),"ja","nein"))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28">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Materialpreis",IF(AND($AQ410&lt;&gt;"",N($AR410)&gt;0,MOD($G410,$AR410)&lt;&gt;0),"WARNUNG: Stückzahl ist kein Vielfaches von Stück je Satz",IF($H410="","HINWEIS: Schneidweg fehlt",IF(V410="","HINWEIS: keine Schneiddaten",IF(AND($AF410&lt;&gt;"",$AG410=""),"HINWEIS: Gewinde-Vorschlag prüfen","OK")))))))))))))))</f>
        <v/>
      </c>
      <c r="X410" s="18">
        <f>IF(OR(O410="",$G410=""),"",O410*$G410)</f>
        <v/>
      </c>
      <c r="Y410" s="9" t="n"/>
      <c r="Z410" s="23" t="n"/>
      <c r="AA410" s="9" t="n"/>
      <c r="AB410" s="23" t="n"/>
      <c r="AC410" s="23" t="n"/>
      <c r="AD410" s="23" t="n"/>
      <c r="AE410" s="9" t="n"/>
      <c r="AF410" s="9" t="n"/>
      <c r="AG410" s="9" t="n"/>
      <c r="AH410" s="24" t="n"/>
      <c r="AI410" s="23" t="n"/>
      <c r="AJ410" s="24" t="n"/>
      <c r="AK410" s="23" t="n"/>
      <c r="AL410" s="24" t="n"/>
      <c r="AM410" s="23" t="n"/>
      <c r="AN410" s="28">
        <f>IF($D410="","",COUNTIFS(Stangenbelegung!$E$5:$E$10004,ROW()))</f>
        <v/>
      </c>
      <c r="AO410" s="28">
        <f>IF(OR($G410="",COUNTA(Stangenbelegung!$A$5:$A$10004)=0),"",$G410-AN410)</f>
        <v/>
      </c>
      <c r="AP410" s="29" t="n"/>
      <c r="AQ410" s="9" t="n"/>
      <c r="AR410" s="19" t="n"/>
    </row>
    <row r="411">
      <c r="A411" s="9" t="n"/>
      <c r="B411" s="9" t="n"/>
      <c r="C411" s="9" t="n"/>
      <c r="D411" s="9" t="n"/>
      <c r="E411" s="9" t="n"/>
      <c r="F411" s="23" t="n"/>
      <c r="G411" s="19" t="n"/>
      <c r="H411" s="23" t="n"/>
      <c r="I411" s="24" t="n"/>
      <c r="J411" s="19" t="n"/>
      <c r="K411" s="25">
        <f>IF($D411="","",IFERROR(INDEX(Profile!$B$5:$B$304,MATCH($D411,lst_Profil,0)),""))</f>
        <v/>
      </c>
      <c r="L411" s="13">
        <f>IF($D411="","",IFERROR(INDEX(Profile!$K$5:$K$304,MATCH($D411,lst_Profil,0))+0,""))</f>
        <v/>
      </c>
      <c r="M411" s="26">
        <f>IF($D411="","",IFERROR(INDEX(Profile!$E$5:$E$304,MATCH($D411,lst_Profil,0))+0,""))</f>
        <v/>
      </c>
      <c r="N411" s="27">
        <f>IF(OR(L411="",$E411=""),"",IFERROR(L411*INDEX(Werkstoffe!$E$5:$E$304,MATCH($E411,lst_Werkstoff,0))/1000,""))</f>
        <v/>
      </c>
      <c r="O411" s="27">
        <f>IF(OR(N411="",$F411=""),"",N411*$F411/1000)</f>
        <v/>
      </c>
      <c r="P411" s="16">
        <f>IF(OR($F411="",$G411=""),"",$F411*$G411)</f>
        <v/>
      </c>
      <c r="Q411" s="16">
        <f>IF($D411="","",IF($J411&lt;&gt;"",$J411,$C$9))</f>
        <v/>
      </c>
      <c r="R411" s="12">
        <f>IF($D411="","",IFERROR(IF(INDEX(Profile!$G$5:$G$304,MATCH($D411,lst_Profil,0))&lt;&gt;"",INDEX(Profile!$G$5:$G$304,MATCH($D411,lst_Profil,0)),$H$4),$H$4))</f>
        <v/>
      </c>
      <c r="S411" s="12">
        <f>IF($D411="","",IFERROR(IF(INDEX(Profile!$H$5:$H$304,MATCH($D411,lst_Profil,0))&lt;&gt;"",INDEX(Profile!$H$5:$H$304,MATCH($D411,lst_Profil,0)),$H$5),$H$5))</f>
        <v/>
      </c>
      <c r="T411" s="16">
        <f>IF(OR(Q411="",NOT(ISNUMBER(R411)),NOT(ISNUMBER(S411))),"",Q411-R411-S411)</f>
        <v/>
      </c>
      <c r="U411" s="28">
        <f>IF(OR($D411="",$E411=""),"",IF(OR(N($AP411)&gt;0,COUNTIFS(Preise!$A$5:$A$304,$D411,Preise!$B$5:$B$304,$E411,Preise!$I$5:$I$304,"OK")&gt;0,N(INDEX(Werkstoffe!$G$5:$G$304,MATCH($E411,lst_Werkstoff,0)))&gt;0),"ja","nein"))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28">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Materialpreis",IF(AND($AQ411&lt;&gt;"",N($AR411)&gt;0,MOD($G411,$AR411)&lt;&gt;0),"WARNUNG: Stückzahl ist kein Vielfaches von Stück je Satz",IF($H411="","HINWEIS: Schneidweg fehlt",IF(V411="","HINWEIS: keine Schneiddaten",IF(AND($AF411&lt;&gt;"",$AG411=""),"HINWEIS: Gewinde-Vorschlag prüfen","OK")))))))))))))))</f>
        <v/>
      </c>
      <c r="X411" s="18">
        <f>IF(OR(O411="",$G411=""),"",O411*$G411)</f>
        <v/>
      </c>
      <c r="Y411" s="9" t="n"/>
      <c r="Z411" s="23" t="n"/>
      <c r="AA411" s="9" t="n"/>
      <c r="AB411" s="23" t="n"/>
      <c r="AC411" s="23" t="n"/>
      <c r="AD411" s="23" t="n"/>
      <c r="AE411" s="9" t="n"/>
      <c r="AF411" s="9" t="n"/>
      <c r="AG411" s="9" t="n"/>
      <c r="AH411" s="24" t="n"/>
      <c r="AI411" s="23" t="n"/>
      <c r="AJ411" s="24" t="n"/>
      <c r="AK411" s="23" t="n"/>
      <c r="AL411" s="24" t="n"/>
      <c r="AM411" s="23" t="n"/>
      <c r="AN411" s="28">
        <f>IF($D411="","",COUNTIFS(Stangenbelegung!$E$5:$E$10004,ROW()))</f>
        <v/>
      </c>
      <c r="AO411" s="28">
        <f>IF(OR($G411="",COUNTA(Stangenbelegung!$A$5:$A$10004)=0),"",$G411-AN411)</f>
        <v/>
      </c>
      <c r="AP411" s="29" t="n"/>
      <c r="AQ411" s="9" t="n"/>
      <c r="AR411" s="19" t="n"/>
    </row>
    <row r="412">
      <c r="A412" s="9" t="n"/>
      <c r="B412" s="9" t="n"/>
      <c r="C412" s="9" t="n"/>
      <c r="D412" s="9" t="n"/>
      <c r="E412" s="9" t="n"/>
      <c r="F412" s="23" t="n"/>
      <c r="G412" s="19" t="n"/>
      <c r="H412" s="23" t="n"/>
      <c r="I412" s="24" t="n"/>
      <c r="J412" s="19" t="n"/>
      <c r="K412" s="25">
        <f>IF($D412="","",IFERROR(INDEX(Profile!$B$5:$B$304,MATCH($D412,lst_Profil,0)),""))</f>
        <v/>
      </c>
      <c r="L412" s="13">
        <f>IF($D412="","",IFERROR(INDEX(Profile!$K$5:$K$304,MATCH($D412,lst_Profil,0))+0,""))</f>
        <v/>
      </c>
      <c r="M412" s="26">
        <f>IF($D412="","",IFERROR(INDEX(Profile!$E$5:$E$304,MATCH($D412,lst_Profil,0))+0,""))</f>
        <v/>
      </c>
      <c r="N412" s="27">
        <f>IF(OR(L412="",$E412=""),"",IFERROR(L412*INDEX(Werkstoffe!$E$5:$E$304,MATCH($E412,lst_Werkstoff,0))/1000,""))</f>
        <v/>
      </c>
      <c r="O412" s="27">
        <f>IF(OR(N412="",$F412=""),"",N412*$F412/1000)</f>
        <v/>
      </c>
      <c r="P412" s="16">
        <f>IF(OR($F412="",$G412=""),"",$F412*$G412)</f>
        <v/>
      </c>
      <c r="Q412" s="16">
        <f>IF($D412="","",IF($J412&lt;&gt;"",$J412,$C$9))</f>
        <v/>
      </c>
      <c r="R412" s="12">
        <f>IF($D412="","",IFERROR(IF(INDEX(Profile!$G$5:$G$304,MATCH($D412,lst_Profil,0))&lt;&gt;"",INDEX(Profile!$G$5:$G$304,MATCH($D412,lst_Profil,0)),$H$4),$H$4))</f>
        <v/>
      </c>
      <c r="S412" s="12">
        <f>IF($D412="","",IFERROR(IF(INDEX(Profile!$H$5:$H$304,MATCH($D412,lst_Profil,0))&lt;&gt;"",INDEX(Profile!$H$5:$H$304,MATCH($D412,lst_Profil,0)),$H$5),$H$5))</f>
        <v/>
      </c>
      <c r="T412" s="16">
        <f>IF(OR(Q412="",NOT(ISNUMBER(R412)),NOT(ISNUMBER(S412))),"",Q412-R412-S412)</f>
        <v/>
      </c>
      <c r="U412" s="28">
        <f>IF(OR($D412="",$E412=""),"",IF(OR(N($AP412)&gt;0,COUNTIFS(Preise!$A$5:$A$304,$D412,Preise!$B$5:$B$304,$E412,Preise!$I$5:$I$304,"OK")&gt;0,N(INDEX(Werkstoffe!$G$5:$G$304,MATCH($E412,lst_Werkstoff,0)))&gt;0),"ja","nein"))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28">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Materialpreis",IF(AND($AQ412&lt;&gt;"",N($AR412)&gt;0,MOD($G412,$AR412)&lt;&gt;0),"WARNUNG: Stückzahl ist kein Vielfaches von Stück je Satz",IF($H412="","HINWEIS: Schneidweg fehlt",IF(V412="","HINWEIS: keine Schneiddaten",IF(AND($AF412&lt;&gt;"",$AG412=""),"HINWEIS: Gewinde-Vorschlag prüfen","OK")))))))))))))))</f>
        <v/>
      </c>
      <c r="X412" s="18">
        <f>IF(OR(O412="",$G412=""),"",O412*$G412)</f>
        <v/>
      </c>
      <c r="Y412" s="9" t="n"/>
      <c r="Z412" s="23" t="n"/>
      <c r="AA412" s="9" t="n"/>
      <c r="AB412" s="23" t="n"/>
      <c r="AC412" s="23" t="n"/>
      <c r="AD412" s="23" t="n"/>
      <c r="AE412" s="9" t="n"/>
      <c r="AF412" s="9" t="n"/>
      <c r="AG412" s="9" t="n"/>
      <c r="AH412" s="24" t="n"/>
      <c r="AI412" s="23" t="n"/>
      <c r="AJ412" s="24" t="n"/>
      <c r="AK412" s="23" t="n"/>
      <c r="AL412" s="24" t="n"/>
      <c r="AM412" s="23" t="n"/>
      <c r="AN412" s="28">
        <f>IF($D412="","",COUNTIFS(Stangenbelegung!$E$5:$E$10004,ROW()))</f>
        <v/>
      </c>
      <c r="AO412" s="28">
        <f>IF(OR($G412="",COUNTA(Stangenbelegung!$A$5:$A$10004)=0),"",$G412-AN412)</f>
        <v/>
      </c>
      <c r="AP412" s="29" t="n"/>
      <c r="AQ412" s="9" t="n"/>
      <c r="AR412" s="19" t="n"/>
    </row>
    <row r="413">
      <c r="A413" s="9" t="n"/>
      <c r="B413" s="9" t="n"/>
      <c r="C413" s="9" t="n"/>
      <c r="D413" s="9" t="n"/>
      <c r="E413" s="9" t="n"/>
      <c r="F413" s="23" t="n"/>
      <c r="G413" s="19" t="n"/>
      <c r="H413" s="23" t="n"/>
      <c r="I413" s="24" t="n"/>
      <c r="J413" s="19" t="n"/>
      <c r="K413" s="25">
        <f>IF($D413="","",IFERROR(INDEX(Profile!$B$5:$B$304,MATCH($D413,lst_Profil,0)),""))</f>
        <v/>
      </c>
      <c r="L413" s="13">
        <f>IF($D413="","",IFERROR(INDEX(Profile!$K$5:$K$304,MATCH($D413,lst_Profil,0))+0,""))</f>
        <v/>
      </c>
      <c r="M413" s="26">
        <f>IF($D413="","",IFERROR(INDEX(Profile!$E$5:$E$304,MATCH($D413,lst_Profil,0))+0,""))</f>
        <v/>
      </c>
      <c r="N413" s="27">
        <f>IF(OR(L413="",$E413=""),"",IFERROR(L413*INDEX(Werkstoffe!$E$5:$E$304,MATCH($E413,lst_Werkstoff,0))/1000,""))</f>
        <v/>
      </c>
      <c r="O413" s="27">
        <f>IF(OR(N413="",$F413=""),"",N413*$F413/1000)</f>
        <v/>
      </c>
      <c r="P413" s="16">
        <f>IF(OR($F413="",$G413=""),"",$F413*$G413)</f>
        <v/>
      </c>
      <c r="Q413" s="16">
        <f>IF($D413="","",IF($J413&lt;&gt;"",$J413,$C$9))</f>
        <v/>
      </c>
      <c r="R413" s="12">
        <f>IF($D413="","",IFERROR(IF(INDEX(Profile!$G$5:$G$304,MATCH($D413,lst_Profil,0))&lt;&gt;"",INDEX(Profile!$G$5:$G$304,MATCH($D413,lst_Profil,0)),$H$4),$H$4))</f>
        <v/>
      </c>
      <c r="S413" s="12">
        <f>IF($D413="","",IFERROR(IF(INDEX(Profile!$H$5:$H$304,MATCH($D413,lst_Profil,0))&lt;&gt;"",INDEX(Profile!$H$5:$H$304,MATCH($D413,lst_Profil,0)),$H$5),$H$5))</f>
        <v/>
      </c>
      <c r="T413" s="16">
        <f>IF(OR(Q413="",NOT(ISNUMBER(R413)),NOT(ISNUMBER(S413))),"",Q413-R413-S413)</f>
        <v/>
      </c>
      <c r="U413" s="28">
        <f>IF(OR($D413="",$E413=""),"",IF(OR(N($AP413)&gt;0,COUNTIFS(Preise!$A$5:$A$304,$D413,Preise!$B$5:$B$304,$E413,Preise!$I$5:$I$304,"OK")&gt;0,N(INDEX(Werkstoffe!$G$5:$G$304,MATCH($E413,lst_Werkstoff,0)))&gt;0),"ja","nein"))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28">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Materialpreis",IF(AND($AQ413&lt;&gt;"",N($AR413)&gt;0,MOD($G413,$AR413)&lt;&gt;0),"WARNUNG: Stückzahl ist kein Vielfaches von Stück je Satz",IF($H413="","HINWEIS: Schneidweg fehlt",IF(V413="","HINWEIS: keine Schneiddaten",IF(AND($AF413&lt;&gt;"",$AG413=""),"HINWEIS: Gewinde-Vorschlag prüfen","OK")))))))))))))))</f>
        <v/>
      </c>
      <c r="X413" s="18">
        <f>IF(OR(O413="",$G413=""),"",O413*$G413)</f>
        <v/>
      </c>
      <c r="Y413" s="9" t="n"/>
      <c r="Z413" s="23" t="n"/>
      <c r="AA413" s="9" t="n"/>
      <c r="AB413" s="23" t="n"/>
      <c r="AC413" s="23" t="n"/>
      <c r="AD413" s="23" t="n"/>
      <c r="AE413" s="9" t="n"/>
      <c r="AF413" s="9" t="n"/>
      <c r="AG413" s="9" t="n"/>
      <c r="AH413" s="24" t="n"/>
      <c r="AI413" s="23" t="n"/>
      <c r="AJ413" s="24" t="n"/>
      <c r="AK413" s="23" t="n"/>
      <c r="AL413" s="24" t="n"/>
      <c r="AM413" s="23" t="n"/>
      <c r="AN413" s="28">
        <f>IF($D413="","",COUNTIFS(Stangenbelegung!$E$5:$E$10004,ROW()))</f>
        <v/>
      </c>
      <c r="AO413" s="28">
        <f>IF(OR($G413="",COUNTA(Stangenbelegung!$A$5:$A$10004)=0),"",$G413-AN413)</f>
        <v/>
      </c>
      <c r="AP413" s="29" t="n"/>
      <c r="AQ413" s="9" t="n"/>
      <c r="AR413" s="19" t="n"/>
    </row>
    <row r="414">
      <c r="A414" s="9" t="n"/>
      <c r="B414" s="9" t="n"/>
      <c r="C414" s="9" t="n"/>
      <c r="D414" s="9" t="n"/>
      <c r="E414" s="9" t="n"/>
      <c r="F414" s="23" t="n"/>
      <c r="G414" s="19" t="n"/>
      <c r="H414" s="23" t="n"/>
      <c r="I414" s="24" t="n"/>
      <c r="J414" s="19" t="n"/>
      <c r="K414" s="25">
        <f>IF($D414="","",IFERROR(INDEX(Profile!$B$5:$B$304,MATCH($D414,lst_Profil,0)),""))</f>
        <v/>
      </c>
      <c r="L414" s="13">
        <f>IF($D414="","",IFERROR(INDEX(Profile!$K$5:$K$304,MATCH($D414,lst_Profil,0))+0,""))</f>
        <v/>
      </c>
      <c r="M414" s="26">
        <f>IF($D414="","",IFERROR(INDEX(Profile!$E$5:$E$304,MATCH($D414,lst_Profil,0))+0,""))</f>
        <v/>
      </c>
      <c r="N414" s="27">
        <f>IF(OR(L414="",$E414=""),"",IFERROR(L414*INDEX(Werkstoffe!$E$5:$E$304,MATCH($E414,lst_Werkstoff,0))/1000,""))</f>
        <v/>
      </c>
      <c r="O414" s="27">
        <f>IF(OR(N414="",$F414=""),"",N414*$F414/1000)</f>
        <v/>
      </c>
      <c r="P414" s="16">
        <f>IF(OR($F414="",$G414=""),"",$F414*$G414)</f>
        <v/>
      </c>
      <c r="Q414" s="16">
        <f>IF($D414="","",IF($J414&lt;&gt;"",$J414,$C$9))</f>
        <v/>
      </c>
      <c r="R414" s="12">
        <f>IF($D414="","",IFERROR(IF(INDEX(Profile!$G$5:$G$304,MATCH($D414,lst_Profil,0))&lt;&gt;"",INDEX(Profile!$G$5:$G$304,MATCH($D414,lst_Profil,0)),$H$4),$H$4))</f>
        <v/>
      </c>
      <c r="S414" s="12">
        <f>IF($D414="","",IFERROR(IF(INDEX(Profile!$H$5:$H$304,MATCH($D414,lst_Profil,0))&lt;&gt;"",INDEX(Profile!$H$5:$H$304,MATCH($D414,lst_Profil,0)),$H$5),$H$5))</f>
        <v/>
      </c>
      <c r="T414" s="16">
        <f>IF(OR(Q414="",NOT(ISNUMBER(R414)),NOT(ISNUMBER(S414))),"",Q414-R414-S414)</f>
        <v/>
      </c>
      <c r="U414" s="28">
        <f>IF(OR($D414="",$E414=""),"",IF(OR(N($AP414)&gt;0,COUNTIFS(Preise!$A$5:$A$304,$D414,Preise!$B$5:$B$304,$E414,Preise!$I$5:$I$304,"OK")&gt;0,N(INDEX(Werkstoffe!$G$5:$G$304,MATCH($E414,lst_Werkstoff,0)))&gt;0),"ja","nein"))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28">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Materialpreis",IF(AND($AQ414&lt;&gt;"",N($AR414)&gt;0,MOD($G414,$AR414)&lt;&gt;0),"WARNUNG: Stückzahl ist kein Vielfaches von Stück je Satz",IF($H414="","HINWEIS: Schneidweg fehlt",IF(V414="","HINWEIS: keine Schneiddaten",IF(AND($AF414&lt;&gt;"",$AG414=""),"HINWEIS: Gewinde-Vorschlag prüfen","OK")))))))))))))))</f>
        <v/>
      </c>
      <c r="X414" s="18">
        <f>IF(OR(O414="",$G414=""),"",O414*$G414)</f>
        <v/>
      </c>
      <c r="Y414" s="9" t="n"/>
      <c r="Z414" s="23" t="n"/>
      <c r="AA414" s="9" t="n"/>
      <c r="AB414" s="23" t="n"/>
      <c r="AC414" s="23" t="n"/>
      <c r="AD414" s="23" t="n"/>
      <c r="AE414" s="9" t="n"/>
      <c r="AF414" s="9" t="n"/>
      <c r="AG414" s="9" t="n"/>
      <c r="AH414" s="24" t="n"/>
      <c r="AI414" s="23" t="n"/>
      <c r="AJ414" s="24" t="n"/>
      <c r="AK414" s="23" t="n"/>
      <c r="AL414" s="24" t="n"/>
      <c r="AM414" s="23" t="n"/>
      <c r="AN414" s="28">
        <f>IF($D414="","",COUNTIFS(Stangenbelegung!$E$5:$E$10004,ROW()))</f>
        <v/>
      </c>
      <c r="AO414" s="28">
        <f>IF(OR($G414="",COUNTA(Stangenbelegung!$A$5:$A$10004)=0),"",$G414-AN414)</f>
        <v/>
      </c>
      <c r="AP414" s="29" t="n"/>
      <c r="AQ414" s="9" t="n"/>
      <c r="AR414" s="19" t="n"/>
    </row>
    <row r="415">
      <c r="A415" s="9" t="n"/>
      <c r="B415" s="9" t="n"/>
      <c r="C415" s="9" t="n"/>
      <c r="D415" s="9" t="n"/>
      <c r="E415" s="9" t="n"/>
      <c r="F415" s="23" t="n"/>
      <c r="G415" s="19" t="n"/>
      <c r="H415" s="23" t="n"/>
      <c r="I415" s="24" t="n"/>
      <c r="J415" s="19" t="n"/>
      <c r="K415" s="25">
        <f>IF($D415="","",IFERROR(INDEX(Profile!$B$5:$B$304,MATCH($D415,lst_Profil,0)),""))</f>
        <v/>
      </c>
      <c r="L415" s="13">
        <f>IF($D415="","",IFERROR(INDEX(Profile!$K$5:$K$304,MATCH($D415,lst_Profil,0))+0,""))</f>
        <v/>
      </c>
      <c r="M415" s="26">
        <f>IF($D415="","",IFERROR(INDEX(Profile!$E$5:$E$304,MATCH($D415,lst_Profil,0))+0,""))</f>
        <v/>
      </c>
      <c r="N415" s="27">
        <f>IF(OR(L415="",$E415=""),"",IFERROR(L415*INDEX(Werkstoffe!$E$5:$E$304,MATCH($E415,lst_Werkstoff,0))/1000,""))</f>
        <v/>
      </c>
      <c r="O415" s="27">
        <f>IF(OR(N415="",$F415=""),"",N415*$F415/1000)</f>
        <v/>
      </c>
      <c r="P415" s="16">
        <f>IF(OR($F415="",$G415=""),"",$F415*$G415)</f>
        <v/>
      </c>
      <c r="Q415" s="16">
        <f>IF($D415="","",IF($J415&lt;&gt;"",$J415,$C$9))</f>
        <v/>
      </c>
      <c r="R415" s="12">
        <f>IF($D415="","",IFERROR(IF(INDEX(Profile!$G$5:$G$304,MATCH($D415,lst_Profil,0))&lt;&gt;"",INDEX(Profile!$G$5:$G$304,MATCH($D415,lst_Profil,0)),$H$4),$H$4))</f>
        <v/>
      </c>
      <c r="S415" s="12">
        <f>IF($D415="","",IFERROR(IF(INDEX(Profile!$H$5:$H$304,MATCH($D415,lst_Profil,0))&lt;&gt;"",INDEX(Profile!$H$5:$H$304,MATCH($D415,lst_Profil,0)),$H$5),$H$5))</f>
        <v/>
      </c>
      <c r="T415" s="16">
        <f>IF(OR(Q415="",NOT(ISNUMBER(R415)),NOT(ISNUMBER(S415))),"",Q415-R415-S415)</f>
        <v/>
      </c>
      <c r="U415" s="28">
        <f>IF(OR($D415="",$E415=""),"",IF(OR(N($AP415)&gt;0,COUNTIFS(Preise!$A$5:$A$304,$D415,Preise!$B$5:$B$304,$E415,Preise!$I$5:$I$304,"OK")&gt;0,N(INDEX(Werkstoffe!$G$5:$G$304,MATCH($E415,lst_Werkstoff,0)))&gt;0),"ja","nein"))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28">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Materialpreis",IF(AND($AQ415&lt;&gt;"",N($AR415)&gt;0,MOD($G415,$AR415)&lt;&gt;0),"WARNUNG: Stückzahl ist kein Vielfaches von Stück je Satz",IF($H415="","HINWEIS: Schneidweg fehlt",IF(V415="","HINWEIS: keine Schneiddaten",IF(AND($AF415&lt;&gt;"",$AG415=""),"HINWEIS: Gewinde-Vorschlag prüfen","OK")))))))))))))))</f>
        <v/>
      </c>
      <c r="X415" s="18">
        <f>IF(OR(O415="",$G415=""),"",O415*$G415)</f>
        <v/>
      </c>
      <c r="Y415" s="9" t="n"/>
      <c r="Z415" s="23" t="n"/>
      <c r="AA415" s="9" t="n"/>
      <c r="AB415" s="23" t="n"/>
      <c r="AC415" s="23" t="n"/>
      <c r="AD415" s="23" t="n"/>
      <c r="AE415" s="9" t="n"/>
      <c r="AF415" s="9" t="n"/>
      <c r="AG415" s="9" t="n"/>
      <c r="AH415" s="24" t="n"/>
      <c r="AI415" s="23" t="n"/>
      <c r="AJ415" s="24" t="n"/>
      <c r="AK415" s="23" t="n"/>
      <c r="AL415" s="24" t="n"/>
      <c r="AM415" s="23" t="n"/>
      <c r="AN415" s="28">
        <f>IF($D415="","",COUNTIFS(Stangenbelegung!$E$5:$E$10004,ROW()))</f>
        <v/>
      </c>
      <c r="AO415" s="28">
        <f>IF(OR($G415="",COUNTA(Stangenbelegung!$A$5:$A$10004)=0),"",$G415-AN415)</f>
        <v/>
      </c>
      <c r="AP415" s="29" t="n"/>
      <c r="AQ415" s="9" t="n"/>
      <c r="AR415" s="19" t="n"/>
    </row>
    <row r="416">
      <c r="A416" s="9" t="n"/>
      <c r="B416" s="9" t="n"/>
      <c r="C416" s="9" t="n"/>
      <c r="D416" s="9" t="n"/>
      <c r="E416" s="9" t="n"/>
      <c r="F416" s="23" t="n"/>
      <c r="G416" s="19" t="n"/>
      <c r="H416" s="23" t="n"/>
      <c r="I416" s="24" t="n"/>
      <c r="J416" s="19" t="n"/>
      <c r="K416" s="25">
        <f>IF($D416="","",IFERROR(INDEX(Profile!$B$5:$B$304,MATCH($D416,lst_Profil,0)),""))</f>
        <v/>
      </c>
      <c r="L416" s="13">
        <f>IF($D416="","",IFERROR(INDEX(Profile!$K$5:$K$304,MATCH($D416,lst_Profil,0))+0,""))</f>
        <v/>
      </c>
      <c r="M416" s="26">
        <f>IF($D416="","",IFERROR(INDEX(Profile!$E$5:$E$304,MATCH($D416,lst_Profil,0))+0,""))</f>
        <v/>
      </c>
      <c r="N416" s="27">
        <f>IF(OR(L416="",$E416=""),"",IFERROR(L416*INDEX(Werkstoffe!$E$5:$E$304,MATCH($E416,lst_Werkstoff,0))/1000,""))</f>
        <v/>
      </c>
      <c r="O416" s="27">
        <f>IF(OR(N416="",$F416=""),"",N416*$F416/1000)</f>
        <v/>
      </c>
      <c r="P416" s="16">
        <f>IF(OR($F416="",$G416=""),"",$F416*$G416)</f>
        <v/>
      </c>
      <c r="Q416" s="16">
        <f>IF($D416="","",IF($J416&lt;&gt;"",$J416,$C$9))</f>
        <v/>
      </c>
      <c r="R416" s="12">
        <f>IF($D416="","",IFERROR(IF(INDEX(Profile!$G$5:$G$304,MATCH($D416,lst_Profil,0))&lt;&gt;"",INDEX(Profile!$G$5:$G$304,MATCH($D416,lst_Profil,0)),$H$4),$H$4))</f>
        <v/>
      </c>
      <c r="S416" s="12">
        <f>IF($D416="","",IFERROR(IF(INDEX(Profile!$H$5:$H$304,MATCH($D416,lst_Profil,0))&lt;&gt;"",INDEX(Profile!$H$5:$H$304,MATCH($D416,lst_Profil,0)),$H$5),$H$5))</f>
        <v/>
      </c>
      <c r="T416" s="16">
        <f>IF(OR(Q416="",NOT(ISNUMBER(R416)),NOT(ISNUMBER(S416))),"",Q416-R416-S416)</f>
        <v/>
      </c>
      <c r="U416" s="28">
        <f>IF(OR($D416="",$E416=""),"",IF(OR(N($AP416)&gt;0,COUNTIFS(Preise!$A$5:$A$304,$D416,Preise!$B$5:$B$304,$E416,Preise!$I$5:$I$304,"OK")&gt;0,N(INDEX(Werkstoffe!$G$5:$G$304,MATCH($E416,lst_Werkstoff,0)))&gt;0),"ja","nein"))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28">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Materialpreis",IF(AND($AQ416&lt;&gt;"",N($AR416)&gt;0,MOD($G416,$AR416)&lt;&gt;0),"WARNUNG: Stückzahl ist kein Vielfaches von Stück je Satz",IF($H416="","HINWEIS: Schneidweg fehlt",IF(V416="","HINWEIS: keine Schneiddaten",IF(AND($AF416&lt;&gt;"",$AG416=""),"HINWEIS: Gewinde-Vorschlag prüfen","OK")))))))))))))))</f>
        <v/>
      </c>
      <c r="X416" s="18">
        <f>IF(OR(O416="",$G416=""),"",O416*$G416)</f>
        <v/>
      </c>
      <c r="Y416" s="9" t="n"/>
      <c r="Z416" s="23" t="n"/>
      <c r="AA416" s="9" t="n"/>
      <c r="AB416" s="23" t="n"/>
      <c r="AC416" s="23" t="n"/>
      <c r="AD416" s="23" t="n"/>
      <c r="AE416" s="9" t="n"/>
      <c r="AF416" s="9" t="n"/>
      <c r="AG416" s="9" t="n"/>
      <c r="AH416" s="24" t="n"/>
      <c r="AI416" s="23" t="n"/>
      <c r="AJ416" s="24" t="n"/>
      <c r="AK416" s="23" t="n"/>
      <c r="AL416" s="24" t="n"/>
      <c r="AM416" s="23" t="n"/>
      <c r="AN416" s="28">
        <f>IF($D416="","",COUNTIFS(Stangenbelegung!$E$5:$E$10004,ROW()))</f>
        <v/>
      </c>
      <c r="AO416" s="28">
        <f>IF(OR($G416="",COUNTA(Stangenbelegung!$A$5:$A$10004)=0),"",$G416-AN416)</f>
        <v/>
      </c>
      <c r="AP416" s="29" t="n"/>
      <c r="AQ416" s="9" t="n"/>
      <c r="AR416" s="19" t="n"/>
    </row>
    <row r="417">
      <c r="A417" s="9" t="n"/>
      <c r="B417" s="9" t="n"/>
      <c r="C417" s="9" t="n"/>
      <c r="D417" s="9" t="n"/>
      <c r="E417" s="9" t="n"/>
      <c r="F417" s="23" t="n"/>
      <c r="G417" s="19" t="n"/>
      <c r="H417" s="23" t="n"/>
      <c r="I417" s="24" t="n"/>
      <c r="J417" s="19" t="n"/>
      <c r="K417" s="25">
        <f>IF($D417="","",IFERROR(INDEX(Profile!$B$5:$B$304,MATCH($D417,lst_Profil,0)),""))</f>
        <v/>
      </c>
      <c r="L417" s="13">
        <f>IF($D417="","",IFERROR(INDEX(Profile!$K$5:$K$304,MATCH($D417,lst_Profil,0))+0,""))</f>
        <v/>
      </c>
      <c r="M417" s="26">
        <f>IF($D417="","",IFERROR(INDEX(Profile!$E$5:$E$304,MATCH($D417,lst_Profil,0))+0,""))</f>
        <v/>
      </c>
      <c r="N417" s="27">
        <f>IF(OR(L417="",$E417=""),"",IFERROR(L417*INDEX(Werkstoffe!$E$5:$E$304,MATCH($E417,lst_Werkstoff,0))/1000,""))</f>
        <v/>
      </c>
      <c r="O417" s="27">
        <f>IF(OR(N417="",$F417=""),"",N417*$F417/1000)</f>
        <v/>
      </c>
      <c r="P417" s="16">
        <f>IF(OR($F417="",$G417=""),"",$F417*$G417)</f>
        <v/>
      </c>
      <c r="Q417" s="16">
        <f>IF($D417="","",IF($J417&lt;&gt;"",$J417,$C$9))</f>
        <v/>
      </c>
      <c r="R417" s="12">
        <f>IF($D417="","",IFERROR(IF(INDEX(Profile!$G$5:$G$304,MATCH($D417,lst_Profil,0))&lt;&gt;"",INDEX(Profile!$G$5:$G$304,MATCH($D417,lst_Profil,0)),$H$4),$H$4))</f>
        <v/>
      </c>
      <c r="S417" s="12">
        <f>IF($D417="","",IFERROR(IF(INDEX(Profile!$H$5:$H$304,MATCH($D417,lst_Profil,0))&lt;&gt;"",INDEX(Profile!$H$5:$H$304,MATCH($D417,lst_Profil,0)),$H$5),$H$5))</f>
        <v/>
      </c>
      <c r="T417" s="16">
        <f>IF(OR(Q417="",NOT(ISNUMBER(R417)),NOT(ISNUMBER(S417))),"",Q417-R417-S417)</f>
        <v/>
      </c>
      <c r="U417" s="28">
        <f>IF(OR($D417="",$E417=""),"",IF(OR(N($AP417)&gt;0,COUNTIFS(Preise!$A$5:$A$304,$D417,Preise!$B$5:$B$304,$E417,Preise!$I$5:$I$304,"OK")&gt;0,N(INDEX(Werkstoffe!$G$5:$G$304,MATCH($E417,lst_Werkstoff,0)))&gt;0),"ja","nein"))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28">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Materialpreis",IF(AND($AQ417&lt;&gt;"",N($AR417)&gt;0,MOD($G417,$AR417)&lt;&gt;0),"WARNUNG: Stückzahl ist kein Vielfaches von Stück je Satz",IF($H417="","HINWEIS: Schneidweg fehlt",IF(V417="","HINWEIS: keine Schneiddaten",IF(AND($AF417&lt;&gt;"",$AG417=""),"HINWEIS: Gewinde-Vorschlag prüfen","OK")))))))))))))))</f>
        <v/>
      </c>
      <c r="X417" s="18">
        <f>IF(OR(O417="",$G417=""),"",O417*$G417)</f>
        <v/>
      </c>
      <c r="Y417" s="9" t="n"/>
      <c r="Z417" s="23" t="n"/>
      <c r="AA417" s="9" t="n"/>
      <c r="AB417" s="23" t="n"/>
      <c r="AC417" s="23" t="n"/>
      <c r="AD417" s="23" t="n"/>
      <c r="AE417" s="9" t="n"/>
      <c r="AF417" s="9" t="n"/>
      <c r="AG417" s="9" t="n"/>
      <c r="AH417" s="24" t="n"/>
      <c r="AI417" s="23" t="n"/>
      <c r="AJ417" s="24" t="n"/>
      <c r="AK417" s="23" t="n"/>
      <c r="AL417" s="24" t="n"/>
      <c r="AM417" s="23" t="n"/>
      <c r="AN417" s="28">
        <f>IF($D417="","",COUNTIFS(Stangenbelegung!$E$5:$E$10004,ROW()))</f>
        <v/>
      </c>
      <c r="AO417" s="28">
        <f>IF(OR($G417="",COUNTA(Stangenbelegung!$A$5:$A$10004)=0),"",$G417-AN417)</f>
        <v/>
      </c>
      <c r="AP417" s="29" t="n"/>
      <c r="AQ417" s="9" t="n"/>
      <c r="AR417" s="19" t="n"/>
    </row>
    <row r="418">
      <c r="A418" s="9" t="n"/>
      <c r="B418" s="9" t="n"/>
      <c r="C418" s="9" t="n"/>
      <c r="D418" s="9" t="n"/>
      <c r="E418" s="9" t="n"/>
      <c r="F418" s="23" t="n"/>
      <c r="G418" s="19" t="n"/>
      <c r="H418" s="23" t="n"/>
      <c r="I418" s="24" t="n"/>
      <c r="J418" s="19" t="n"/>
      <c r="K418" s="25">
        <f>IF($D418="","",IFERROR(INDEX(Profile!$B$5:$B$304,MATCH($D418,lst_Profil,0)),""))</f>
        <v/>
      </c>
      <c r="L418" s="13">
        <f>IF($D418="","",IFERROR(INDEX(Profile!$K$5:$K$304,MATCH($D418,lst_Profil,0))+0,""))</f>
        <v/>
      </c>
      <c r="M418" s="26">
        <f>IF($D418="","",IFERROR(INDEX(Profile!$E$5:$E$304,MATCH($D418,lst_Profil,0))+0,""))</f>
        <v/>
      </c>
      <c r="N418" s="27">
        <f>IF(OR(L418="",$E418=""),"",IFERROR(L418*INDEX(Werkstoffe!$E$5:$E$304,MATCH($E418,lst_Werkstoff,0))/1000,""))</f>
        <v/>
      </c>
      <c r="O418" s="27">
        <f>IF(OR(N418="",$F418=""),"",N418*$F418/1000)</f>
        <v/>
      </c>
      <c r="P418" s="16">
        <f>IF(OR($F418="",$G418=""),"",$F418*$G418)</f>
        <v/>
      </c>
      <c r="Q418" s="16">
        <f>IF($D418="","",IF($J418&lt;&gt;"",$J418,$C$9))</f>
        <v/>
      </c>
      <c r="R418" s="12">
        <f>IF($D418="","",IFERROR(IF(INDEX(Profile!$G$5:$G$304,MATCH($D418,lst_Profil,0))&lt;&gt;"",INDEX(Profile!$G$5:$G$304,MATCH($D418,lst_Profil,0)),$H$4),$H$4))</f>
        <v/>
      </c>
      <c r="S418" s="12">
        <f>IF($D418="","",IFERROR(IF(INDEX(Profile!$H$5:$H$304,MATCH($D418,lst_Profil,0))&lt;&gt;"",INDEX(Profile!$H$5:$H$304,MATCH($D418,lst_Profil,0)),$H$5),$H$5))</f>
        <v/>
      </c>
      <c r="T418" s="16">
        <f>IF(OR(Q418="",NOT(ISNUMBER(R418)),NOT(ISNUMBER(S418))),"",Q418-R418-S418)</f>
        <v/>
      </c>
      <c r="U418" s="28">
        <f>IF(OR($D418="",$E418=""),"",IF(OR(N($AP418)&gt;0,COUNTIFS(Preise!$A$5:$A$304,$D418,Preise!$B$5:$B$304,$E418,Preise!$I$5:$I$304,"OK")&gt;0,N(INDEX(Werkstoffe!$G$5:$G$304,MATCH($E418,lst_Werkstoff,0)))&gt;0),"ja","nein"))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28">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Materialpreis",IF(AND($AQ418&lt;&gt;"",N($AR418)&gt;0,MOD($G418,$AR418)&lt;&gt;0),"WARNUNG: Stückzahl ist kein Vielfaches von Stück je Satz",IF($H418="","HINWEIS: Schneidweg fehlt",IF(V418="","HINWEIS: keine Schneiddaten",IF(AND($AF418&lt;&gt;"",$AG418=""),"HINWEIS: Gewinde-Vorschlag prüfen","OK")))))))))))))))</f>
        <v/>
      </c>
      <c r="X418" s="18">
        <f>IF(OR(O418="",$G418=""),"",O418*$G418)</f>
        <v/>
      </c>
      <c r="Y418" s="9" t="n"/>
      <c r="Z418" s="23" t="n"/>
      <c r="AA418" s="9" t="n"/>
      <c r="AB418" s="23" t="n"/>
      <c r="AC418" s="23" t="n"/>
      <c r="AD418" s="23" t="n"/>
      <c r="AE418" s="9" t="n"/>
      <c r="AF418" s="9" t="n"/>
      <c r="AG418" s="9" t="n"/>
      <c r="AH418" s="24" t="n"/>
      <c r="AI418" s="23" t="n"/>
      <c r="AJ418" s="24" t="n"/>
      <c r="AK418" s="23" t="n"/>
      <c r="AL418" s="24" t="n"/>
      <c r="AM418" s="23" t="n"/>
      <c r="AN418" s="28">
        <f>IF($D418="","",COUNTIFS(Stangenbelegung!$E$5:$E$10004,ROW()))</f>
        <v/>
      </c>
      <c r="AO418" s="28">
        <f>IF(OR($G418="",COUNTA(Stangenbelegung!$A$5:$A$10004)=0),"",$G418-AN418)</f>
        <v/>
      </c>
      <c r="AP418" s="29" t="n"/>
      <c r="AQ418" s="9" t="n"/>
      <c r="AR418" s="19" t="n"/>
    </row>
    <row r="419">
      <c r="A419" s="9" t="n"/>
      <c r="B419" s="9" t="n"/>
      <c r="C419" s="9" t="n"/>
      <c r="D419" s="9" t="n"/>
      <c r="E419" s="9" t="n"/>
      <c r="F419" s="23" t="n"/>
      <c r="G419" s="19" t="n"/>
      <c r="H419" s="23" t="n"/>
      <c r="I419" s="24" t="n"/>
      <c r="J419" s="19" t="n"/>
      <c r="K419" s="25">
        <f>IF($D419="","",IFERROR(INDEX(Profile!$B$5:$B$304,MATCH($D419,lst_Profil,0)),""))</f>
        <v/>
      </c>
      <c r="L419" s="13">
        <f>IF($D419="","",IFERROR(INDEX(Profile!$K$5:$K$304,MATCH($D419,lst_Profil,0))+0,""))</f>
        <v/>
      </c>
      <c r="M419" s="26">
        <f>IF($D419="","",IFERROR(INDEX(Profile!$E$5:$E$304,MATCH($D419,lst_Profil,0))+0,""))</f>
        <v/>
      </c>
      <c r="N419" s="27">
        <f>IF(OR(L419="",$E419=""),"",IFERROR(L419*INDEX(Werkstoffe!$E$5:$E$304,MATCH($E419,lst_Werkstoff,0))/1000,""))</f>
        <v/>
      </c>
      <c r="O419" s="27">
        <f>IF(OR(N419="",$F419=""),"",N419*$F419/1000)</f>
        <v/>
      </c>
      <c r="P419" s="16">
        <f>IF(OR($F419="",$G419=""),"",$F419*$G419)</f>
        <v/>
      </c>
      <c r="Q419" s="16">
        <f>IF($D419="","",IF($J419&lt;&gt;"",$J419,$C$9))</f>
        <v/>
      </c>
      <c r="R419" s="12">
        <f>IF($D419="","",IFERROR(IF(INDEX(Profile!$G$5:$G$304,MATCH($D419,lst_Profil,0))&lt;&gt;"",INDEX(Profile!$G$5:$G$304,MATCH($D419,lst_Profil,0)),$H$4),$H$4))</f>
        <v/>
      </c>
      <c r="S419" s="12">
        <f>IF($D419="","",IFERROR(IF(INDEX(Profile!$H$5:$H$304,MATCH($D419,lst_Profil,0))&lt;&gt;"",INDEX(Profile!$H$5:$H$304,MATCH($D419,lst_Profil,0)),$H$5),$H$5))</f>
        <v/>
      </c>
      <c r="T419" s="16">
        <f>IF(OR(Q419="",NOT(ISNUMBER(R419)),NOT(ISNUMBER(S419))),"",Q419-R419-S419)</f>
        <v/>
      </c>
      <c r="U419" s="28">
        <f>IF(OR($D419="",$E419=""),"",IF(OR(N($AP419)&gt;0,COUNTIFS(Preise!$A$5:$A$304,$D419,Preise!$B$5:$B$304,$E419,Preise!$I$5:$I$304,"OK")&gt;0,N(INDEX(Werkstoffe!$G$5:$G$304,MATCH($E419,lst_Werkstoff,0)))&gt;0),"ja","nein"))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28">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Materialpreis",IF(AND($AQ419&lt;&gt;"",N($AR419)&gt;0,MOD($G419,$AR419)&lt;&gt;0),"WARNUNG: Stückzahl ist kein Vielfaches von Stück je Satz",IF($H419="","HINWEIS: Schneidweg fehlt",IF(V419="","HINWEIS: keine Schneiddaten",IF(AND($AF419&lt;&gt;"",$AG419=""),"HINWEIS: Gewinde-Vorschlag prüfen","OK")))))))))))))))</f>
        <v/>
      </c>
      <c r="X419" s="18">
        <f>IF(OR(O419="",$G419=""),"",O419*$G419)</f>
        <v/>
      </c>
      <c r="Y419" s="9" t="n"/>
      <c r="Z419" s="23" t="n"/>
      <c r="AA419" s="9" t="n"/>
      <c r="AB419" s="23" t="n"/>
      <c r="AC419" s="23" t="n"/>
      <c r="AD419" s="23" t="n"/>
      <c r="AE419" s="9" t="n"/>
      <c r="AF419" s="9" t="n"/>
      <c r="AG419" s="9" t="n"/>
      <c r="AH419" s="24" t="n"/>
      <c r="AI419" s="23" t="n"/>
      <c r="AJ419" s="24" t="n"/>
      <c r="AK419" s="23" t="n"/>
      <c r="AL419" s="24" t="n"/>
      <c r="AM419" s="23" t="n"/>
      <c r="AN419" s="28">
        <f>IF($D419="","",COUNTIFS(Stangenbelegung!$E$5:$E$10004,ROW()))</f>
        <v/>
      </c>
      <c r="AO419" s="28">
        <f>IF(OR($G419="",COUNTA(Stangenbelegung!$A$5:$A$10004)=0),"",$G419-AN419)</f>
        <v/>
      </c>
      <c r="AP419" s="29" t="n"/>
      <c r="AQ419" s="9" t="n"/>
      <c r="AR419" s="19" t="n"/>
    </row>
    <row r="420">
      <c r="A420" s="9" t="n"/>
      <c r="B420" s="9" t="n"/>
      <c r="C420" s="9" t="n"/>
      <c r="D420" s="9" t="n"/>
      <c r="E420" s="9" t="n"/>
      <c r="F420" s="23" t="n"/>
      <c r="G420" s="19" t="n"/>
      <c r="H420" s="23" t="n"/>
      <c r="I420" s="24" t="n"/>
      <c r="J420" s="19" t="n"/>
      <c r="K420" s="25">
        <f>IF($D420="","",IFERROR(INDEX(Profile!$B$5:$B$304,MATCH($D420,lst_Profil,0)),""))</f>
        <v/>
      </c>
      <c r="L420" s="13">
        <f>IF($D420="","",IFERROR(INDEX(Profile!$K$5:$K$304,MATCH($D420,lst_Profil,0))+0,""))</f>
        <v/>
      </c>
      <c r="M420" s="26">
        <f>IF($D420="","",IFERROR(INDEX(Profile!$E$5:$E$304,MATCH($D420,lst_Profil,0))+0,""))</f>
        <v/>
      </c>
      <c r="N420" s="27">
        <f>IF(OR(L420="",$E420=""),"",IFERROR(L420*INDEX(Werkstoffe!$E$5:$E$304,MATCH($E420,lst_Werkstoff,0))/1000,""))</f>
        <v/>
      </c>
      <c r="O420" s="27">
        <f>IF(OR(N420="",$F420=""),"",N420*$F420/1000)</f>
        <v/>
      </c>
      <c r="P420" s="16">
        <f>IF(OR($F420="",$G420=""),"",$F420*$G420)</f>
        <v/>
      </c>
      <c r="Q420" s="16">
        <f>IF($D420="","",IF($J420&lt;&gt;"",$J420,$C$9))</f>
        <v/>
      </c>
      <c r="R420" s="12">
        <f>IF($D420="","",IFERROR(IF(INDEX(Profile!$G$5:$G$304,MATCH($D420,lst_Profil,0))&lt;&gt;"",INDEX(Profile!$G$5:$G$304,MATCH($D420,lst_Profil,0)),$H$4),$H$4))</f>
        <v/>
      </c>
      <c r="S420" s="12">
        <f>IF($D420="","",IFERROR(IF(INDEX(Profile!$H$5:$H$304,MATCH($D420,lst_Profil,0))&lt;&gt;"",INDEX(Profile!$H$5:$H$304,MATCH($D420,lst_Profil,0)),$H$5),$H$5))</f>
        <v/>
      </c>
      <c r="T420" s="16">
        <f>IF(OR(Q420="",NOT(ISNUMBER(R420)),NOT(ISNUMBER(S420))),"",Q420-R420-S420)</f>
        <v/>
      </c>
      <c r="U420" s="28">
        <f>IF(OR($D420="",$E420=""),"",IF(OR(N($AP420)&gt;0,COUNTIFS(Preise!$A$5:$A$304,$D420,Preise!$B$5:$B$304,$E420,Preise!$I$5:$I$304,"OK")&gt;0,N(INDEX(Werkstoffe!$G$5:$G$304,MATCH($E420,lst_Werkstoff,0)))&gt;0),"ja","nein"))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28">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Materialpreis",IF(AND($AQ420&lt;&gt;"",N($AR420)&gt;0,MOD($G420,$AR420)&lt;&gt;0),"WARNUNG: Stückzahl ist kein Vielfaches von Stück je Satz",IF($H420="","HINWEIS: Schneidweg fehlt",IF(V420="","HINWEIS: keine Schneiddaten",IF(AND($AF420&lt;&gt;"",$AG420=""),"HINWEIS: Gewinde-Vorschlag prüfen","OK")))))))))))))))</f>
        <v/>
      </c>
      <c r="X420" s="18">
        <f>IF(OR(O420="",$G420=""),"",O420*$G420)</f>
        <v/>
      </c>
      <c r="Y420" s="9" t="n"/>
      <c r="Z420" s="23" t="n"/>
      <c r="AA420" s="9" t="n"/>
      <c r="AB420" s="23" t="n"/>
      <c r="AC420" s="23" t="n"/>
      <c r="AD420" s="23" t="n"/>
      <c r="AE420" s="9" t="n"/>
      <c r="AF420" s="9" t="n"/>
      <c r="AG420" s="9" t="n"/>
      <c r="AH420" s="24" t="n"/>
      <c r="AI420" s="23" t="n"/>
      <c r="AJ420" s="24" t="n"/>
      <c r="AK420" s="23" t="n"/>
      <c r="AL420" s="24" t="n"/>
      <c r="AM420" s="23" t="n"/>
      <c r="AN420" s="28">
        <f>IF($D420="","",COUNTIFS(Stangenbelegung!$E$5:$E$10004,ROW()))</f>
        <v/>
      </c>
      <c r="AO420" s="28">
        <f>IF(OR($G420="",COUNTA(Stangenbelegung!$A$5:$A$10004)=0),"",$G420-AN420)</f>
        <v/>
      </c>
      <c r="AP420" s="29" t="n"/>
      <c r="AQ420" s="9" t="n"/>
      <c r="AR420" s="19" t="n"/>
    </row>
    <row r="421">
      <c r="A421" s="9" t="n"/>
      <c r="B421" s="9" t="n"/>
      <c r="C421" s="9" t="n"/>
      <c r="D421" s="9" t="n"/>
      <c r="E421" s="9" t="n"/>
      <c r="F421" s="23" t="n"/>
      <c r="G421" s="19" t="n"/>
      <c r="H421" s="23" t="n"/>
      <c r="I421" s="24" t="n"/>
      <c r="J421" s="19" t="n"/>
      <c r="K421" s="25">
        <f>IF($D421="","",IFERROR(INDEX(Profile!$B$5:$B$304,MATCH($D421,lst_Profil,0)),""))</f>
        <v/>
      </c>
      <c r="L421" s="13">
        <f>IF($D421="","",IFERROR(INDEX(Profile!$K$5:$K$304,MATCH($D421,lst_Profil,0))+0,""))</f>
        <v/>
      </c>
      <c r="M421" s="26">
        <f>IF($D421="","",IFERROR(INDEX(Profile!$E$5:$E$304,MATCH($D421,lst_Profil,0))+0,""))</f>
        <v/>
      </c>
      <c r="N421" s="27">
        <f>IF(OR(L421="",$E421=""),"",IFERROR(L421*INDEX(Werkstoffe!$E$5:$E$304,MATCH($E421,lst_Werkstoff,0))/1000,""))</f>
        <v/>
      </c>
      <c r="O421" s="27">
        <f>IF(OR(N421="",$F421=""),"",N421*$F421/1000)</f>
        <v/>
      </c>
      <c r="P421" s="16">
        <f>IF(OR($F421="",$G421=""),"",$F421*$G421)</f>
        <v/>
      </c>
      <c r="Q421" s="16">
        <f>IF($D421="","",IF($J421&lt;&gt;"",$J421,$C$9))</f>
        <v/>
      </c>
      <c r="R421" s="12">
        <f>IF($D421="","",IFERROR(IF(INDEX(Profile!$G$5:$G$304,MATCH($D421,lst_Profil,0))&lt;&gt;"",INDEX(Profile!$G$5:$G$304,MATCH($D421,lst_Profil,0)),$H$4),$H$4))</f>
        <v/>
      </c>
      <c r="S421" s="12">
        <f>IF($D421="","",IFERROR(IF(INDEX(Profile!$H$5:$H$304,MATCH($D421,lst_Profil,0))&lt;&gt;"",INDEX(Profile!$H$5:$H$304,MATCH($D421,lst_Profil,0)),$H$5),$H$5))</f>
        <v/>
      </c>
      <c r="T421" s="16">
        <f>IF(OR(Q421="",NOT(ISNUMBER(R421)),NOT(ISNUMBER(S421))),"",Q421-R421-S421)</f>
        <v/>
      </c>
      <c r="U421" s="28">
        <f>IF(OR($D421="",$E421=""),"",IF(OR(N($AP421)&gt;0,COUNTIFS(Preise!$A$5:$A$304,$D421,Preise!$B$5:$B$304,$E421,Preise!$I$5:$I$304,"OK")&gt;0,N(INDEX(Werkstoffe!$G$5:$G$304,MATCH($E421,lst_Werkstoff,0)))&gt;0),"ja","nein"))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28">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Materialpreis",IF(AND($AQ421&lt;&gt;"",N($AR421)&gt;0,MOD($G421,$AR421)&lt;&gt;0),"WARNUNG: Stückzahl ist kein Vielfaches von Stück je Satz",IF($H421="","HINWEIS: Schneidweg fehlt",IF(V421="","HINWEIS: keine Schneiddaten",IF(AND($AF421&lt;&gt;"",$AG421=""),"HINWEIS: Gewinde-Vorschlag prüfen","OK")))))))))))))))</f>
        <v/>
      </c>
      <c r="X421" s="18">
        <f>IF(OR(O421="",$G421=""),"",O421*$G421)</f>
        <v/>
      </c>
      <c r="Y421" s="9" t="n"/>
      <c r="Z421" s="23" t="n"/>
      <c r="AA421" s="9" t="n"/>
      <c r="AB421" s="23" t="n"/>
      <c r="AC421" s="23" t="n"/>
      <c r="AD421" s="23" t="n"/>
      <c r="AE421" s="9" t="n"/>
      <c r="AF421" s="9" t="n"/>
      <c r="AG421" s="9" t="n"/>
      <c r="AH421" s="24" t="n"/>
      <c r="AI421" s="23" t="n"/>
      <c r="AJ421" s="24" t="n"/>
      <c r="AK421" s="23" t="n"/>
      <c r="AL421" s="24" t="n"/>
      <c r="AM421" s="23" t="n"/>
      <c r="AN421" s="28">
        <f>IF($D421="","",COUNTIFS(Stangenbelegung!$E$5:$E$10004,ROW()))</f>
        <v/>
      </c>
      <c r="AO421" s="28">
        <f>IF(OR($G421="",COUNTA(Stangenbelegung!$A$5:$A$10004)=0),"",$G421-AN421)</f>
        <v/>
      </c>
      <c r="AP421" s="29" t="n"/>
      <c r="AQ421" s="9" t="n"/>
      <c r="AR421" s="19" t="n"/>
    </row>
    <row r="422">
      <c r="A422" s="9" t="n"/>
      <c r="B422" s="9" t="n"/>
      <c r="C422" s="9" t="n"/>
      <c r="D422" s="9" t="n"/>
      <c r="E422" s="9" t="n"/>
      <c r="F422" s="23" t="n"/>
      <c r="G422" s="19" t="n"/>
      <c r="H422" s="23" t="n"/>
      <c r="I422" s="24" t="n"/>
      <c r="J422" s="19" t="n"/>
      <c r="K422" s="25">
        <f>IF($D422="","",IFERROR(INDEX(Profile!$B$5:$B$304,MATCH($D422,lst_Profil,0)),""))</f>
        <v/>
      </c>
      <c r="L422" s="13">
        <f>IF($D422="","",IFERROR(INDEX(Profile!$K$5:$K$304,MATCH($D422,lst_Profil,0))+0,""))</f>
        <v/>
      </c>
      <c r="M422" s="26">
        <f>IF($D422="","",IFERROR(INDEX(Profile!$E$5:$E$304,MATCH($D422,lst_Profil,0))+0,""))</f>
        <v/>
      </c>
      <c r="N422" s="27">
        <f>IF(OR(L422="",$E422=""),"",IFERROR(L422*INDEX(Werkstoffe!$E$5:$E$304,MATCH($E422,lst_Werkstoff,0))/1000,""))</f>
        <v/>
      </c>
      <c r="O422" s="27">
        <f>IF(OR(N422="",$F422=""),"",N422*$F422/1000)</f>
        <v/>
      </c>
      <c r="P422" s="16">
        <f>IF(OR($F422="",$G422=""),"",$F422*$G422)</f>
        <v/>
      </c>
      <c r="Q422" s="16">
        <f>IF($D422="","",IF($J422&lt;&gt;"",$J422,$C$9))</f>
        <v/>
      </c>
      <c r="R422" s="12">
        <f>IF($D422="","",IFERROR(IF(INDEX(Profile!$G$5:$G$304,MATCH($D422,lst_Profil,0))&lt;&gt;"",INDEX(Profile!$G$5:$G$304,MATCH($D422,lst_Profil,0)),$H$4),$H$4))</f>
        <v/>
      </c>
      <c r="S422" s="12">
        <f>IF($D422="","",IFERROR(IF(INDEX(Profile!$H$5:$H$304,MATCH($D422,lst_Profil,0))&lt;&gt;"",INDEX(Profile!$H$5:$H$304,MATCH($D422,lst_Profil,0)),$H$5),$H$5))</f>
        <v/>
      </c>
      <c r="T422" s="16">
        <f>IF(OR(Q422="",NOT(ISNUMBER(R422)),NOT(ISNUMBER(S422))),"",Q422-R422-S422)</f>
        <v/>
      </c>
      <c r="U422" s="28">
        <f>IF(OR($D422="",$E422=""),"",IF(OR(N($AP422)&gt;0,COUNTIFS(Preise!$A$5:$A$304,$D422,Preise!$B$5:$B$304,$E422,Preise!$I$5:$I$304,"OK")&gt;0,N(INDEX(Werkstoffe!$G$5:$G$304,MATCH($E422,lst_Werkstoff,0)))&gt;0),"ja","nein"))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28">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Materialpreis",IF(AND($AQ422&lt;&gt;"",N($AR422)&gt;0,MOD($G422,$AR422)&lt;&gt;0),"WARNUNG: Stückzahl ist kein Vielfaches von Stück je Satz",IF($H422="","HINWEIS: Schneidweg fehlt",IF(V422="","HINWEIS: keine Schneiddaten",IF(AND($AF422&lt;&gt;"",$AG422=""),"HINWEIS: Gewinde-Vorschlag prüfen","OK")))))))))))))))</f>
        <v/>
      </c>
      <c r="X422" s="18">
        <f>IF(OR(O422="",$G422=""),"",O422*$G422)</f>
        <v/>
      </c>
      <c r="Y422" s="9" t="n"/>
      <c r="Z422" s="23" t="n"/>
      <c r="AA422" s="9" t="n"/>
      <c r="AB422" s="23" t="n"/>
      <c r="AC422" s="23" t="n"/>
      <c r="AD422" s="23" t="n"/>
      <c r="AE422" s="9" t="n"/>
      <c r="AF422" s="9" t="n"/>
      <c r="AG422" s="9" t="n"/>
      <c r="AH422" s="24" t="n"/>
      <c r="AI422" s="23" t="n"/>
      <c r="AJ422" s="24" t="n"/>
      <c r="AK422" s="23" t="n"/>
      <c r="AL422" s="24" t="n"/>
      <c r="AM422" s="23" t="n"/>
      <c r="AN422" s="28">
        <f>IF($D422="","",COUNTIFS(Stangenbelegung!$E$5:$E$10004,ROW()))</f>
        <v/>
      </c>
      <c r="AO422" s="28">
        <f>IF(OR($G422="",COUNTA(Stangenbelegung!$A$5:$A$10004)=0),"",$G422-AN422)</f>
        <v/>
      </c>
      <c r="AP422" s="29" t="n"/>
      <c r="AQ422" s="9" t="n"/>
      <c r="AR422" s="19" t="n"/>
    </row>
    <row r="423">
      <c r="A423" s="9" t="n"/>
      <c r="B423" s="9" t="n"/>
      <c r="C423" s="9" t="n"/>
      <c r="D423" s="9" t="n"/>
      <c r="E423" s="9" t="n"/>
      <c r="F423" s="23" t="n"/>
      <c r="G423" s="19" t="n"/>
      <c r="H423" s="23" t="n"/>
      <c r="I423" s="24" t="n"/>
      <c r="J423" s="19" t="n"/>
      <c r="K423" s="25">
        <f>IF($D423="","",IFERROR(INDEX(Profile!$B$5:$B$304,MATCH($D423,lst_Profil,0)),""))</f>
        <v/>
      </c>
      <c r="L423" s="13">
        <f>IF($D423="","",IFERROR(INDEX(Profile!$K$5:$K$304,MATCH($D423,lst_Profil,0))+0,""))</f>
        <v/>
      </c>
      <c r="M423" s="26">
        <f>IF($D423="","",IFERROR(INDEX(Profile!$E$5:$E$304,MATCH($D423,lst_Profil,0))+0,""))</f>
        <v/>
      </c>
      <c r="N423" s="27">
        <f>IF(OR(L423="",$E423=""),"",IFERROR(L423*INDEX(Werkstoffe!$E$5:$E$304,MATCH($E423,lst_Werkstoff,0))/1000,""))</f>
        <v/>
      </c>
      <c r="O423" s="27">
        <f>IF(OR(N423="",$F423=""),"",N423*$F423/1000)</f>
        <v/>
      </c>
      <c r="P423" s="16">
        <f>IF(OR($F423="",$G423=""),"",$F423*$G423)</f>
        <v/>
      </c>
      <c r="Q423" s="16">
        <f>IF($D423="","",IF($J423&lt;&gt;"",$J423,$C$9))</f>
        <v/>
      </c>
      <c r="R423" s="12">
        <f>IF($D423="","",IFERROR(IF(INDEX(Profile!$G$5:$G$304,MATCH($D423,lst_Profil,0))&lt;&gt;"",INDEX(Profile!$G$5:$G$304,MATCH($D423,lst_Profil,0)),$H$4),$H$4))</f>
        <v/>
      </c>
      <c r="S423" s="12">
        <f>IF($D423="","",IFERROR(IF(INDEX(Profile!$H$5:$H$304,MATCH($D423,lst_Profil,0))&lt;&gt;"",INDEX(Profile!$H$5:$H$304,MATCH($D423,lst_Profil,0)),$H$5),$H$5))</f>
        <v/>
      </c>
      <c r="T423" s="16">
        <f>IF(OR(Q423="",NOT(ISNUMBER(R423)),NOT(ISNUMBER(S423))),"",Q423-R423-S423)</f>
        <v/>
      </c>
      <c r="U423" s="28">
        <f>IF(OR($D423="",$E423=""),"",IF(OR(N($AP423)&gt;0,COUNTIFS(Preise!$A$5:$A$304,$D423,Preise!$B$5:$B$304,$E423,Preise!$I$5:$I$304,"OK")&gt;0,N(INDEX(Werkstoffe!$G$5:$G$304,MATCH($E423,lst_Werkstoff,0)))&gt;0),"ja","nein"))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28">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Materialpreis",IF(AND($AQ423&lt;&gt;"",N($AR423)&gt;0,MOD($G423,$AR423)&lt;&gt;0),"WARNUNG: Stückzahl ist kein Vielfaches von Stück je Satz",IF($H423="","HINWEIS: Schneidweg fehlt",IF(V423="","HINWEIS: keine Schneiddaten",IF(AND($AF423&lt;&gt;"",$AG423=""),"HINWEIS: Gewinde-Vorschlag prüfen","OK")))))))))))))))</f>
        <v/>
      </c>
      <c r="X423" s="18">
        <f>IF(OR(O423="",$G423=""),"",O423*$G423)</f>
        <v/>
      </c>
      <c r="Y423" s="9" t="n"/>
      <c r="Z423" s="23" t="n"/>
      <c r="AA423" s="9" t="n"/>
      <c r="AB423" s="23" t="n"/>
      <c r="AC423" s="23" t="n"/>
      <c r="AD423" s="23" t="n"/>
      <c r="AE423" s="9" t="n"/>
      <c r="AF423" s="9" t="n"/>
      <c r="AG423" s="9" t="n"/>
      <c r="AH423" s="24" t="n"/>
      <c r="AI423" s="23" t="n"/>
      <c r="AJ423" s="24" t="n"/>
      <c r="AK423" s="23" t="n"/>
      <c r="AL423" s="24" t="n"/>
      <c r="AM423" s="23" t="n"/>
      <c r="AN423" s="28">
        <f>IF($D423="","",COUNTIFS(Stangenbelegung!$E$5:$E$10004,ROW()))</f>
        <v/>
      </c>
      <c r="AO423" s="28">
        <f>IF(OR($G423="",COUNTA(Stangenbelegung!$A$5:$A$10004)=0),"",$G423-AN423)</f>
        <v/>
      </c>
      <c r="AP423" s="29" t="n"/>
      <c r="AQ423" s="9" t="n"/>
      <c r="AR423" s="19" t="n"/>
    </row>
    <row r="424">
      <c r="A424" s="9" t="n"/>
      <c r="B424" s="9" t="n"/>
      <c r="C424" s="9" t="n"/>
      <c r="D424" s="9" t="n"/>
      <c r="E424" s="9" t="n"/>
      <c r="F424" s="23" t="n"/>
      <c r="G424" s="19" t="n"/>
      <c r="H424" s="23" t="n"/>
      <c r="I424" s="24" t="n"/>
      <c r="J424" s="19" t="n"/>
      <c r="K424" s="25">
        <f>IF($D424="","",IFERROR(INDEX(Profile!$B$5:$B$304,MATCH($D424,lst_Profil,0)),""))</f>
        <v/>
      </c>
      <c r="L424" s="13">
        <f>IF($D424="","",IFERROR(INDEX(Profile!$K$5:$K$304,MATCH($D424,lst_Profil,0))+0,""))</f>
        <v/>
      </c>
      <c r="M424" s="26">
        <f>IF($D424="","",IFERROR(INDEX(Profile!$E$5:$E$304,MATCH($D424,lst_Profil,0))+0,""))</f>
        <v/>
      </c>
      <c r="N424" s="27">
        <f>IF(OR(L424="",$E424=""),"",IFERROR(L424*INDEX(Werkstoffe!$E$5:$E$304,MATCH($E424,lst_Werkstoff,0))/1000,""))</f>
        <v/>
      </c>
      <c r="O424" s="27">
        <f>IF(OR(N424="",$F424=""),"",N424*$F424/1000)</f>
        <v/>
      </c>
      <c r="P424" s="16">
        <f>IF(OR($F424="",$G424=""),"",$F424*$G424)</f>
        <v/>
      </c>
      <c r="Q424" s="16">
        <f>IF($D424="","",IF($J424&lt;&gt;"",$J424,$C$9))</f>
        <v/>
      </c>
      <c r="R424" s="12">
        <f>IF($D424="","",IFERROR(IF(INDEX(Profile!$G$5:$G$304,MATCH($D424,lst_Profil,0))&lt;&gt;"",INDEX(Profile!$G$5:$G$304,MATCH($D424,lst_Profil,0)),$H$4),$H$4))</f>
        <v/>
      </c>
      <c r="S424" s="12">
        <f>IF($D424="","",IFERROR(IF(INDEX(Profile!$H$5:$H$304,MATCH($D424,lst_Profil,0))&lt;&gt;"",INDEX(Profile!$H$5:$H$304,MATCH($D424,lst_Profil,0)),$H$5),$H$5))</f>
        <v/>
      </c>
      <c r="T424" s="16">
        <f>IF(OR(Q424="",NOT(ISNUMBER(R424)),NOT(ISNUMBER(S424))),"",Q424-R424-S424)</f>
        <v/>
      </c>
      <c r="U424" s="28">
        <f>IF(OR($D424="",$E424=""),"",IF(OR(N($AP424)&gt;0,COUNTIFS(Preise!$A$5:$A$304,$D424,Preise!$B$5:$B$304,$E424,Preise!$I$5:$I$304,"OK")&gt;0,N(INDEX(Werkstoffe!$G$5:$G$304,MATCH($E424,lst_Werkstoff,0)))&gt;0),"ja","nein"))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28">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Materialpreis",IF(AND($AQ424&lt;&gt;"",N($AR424)&gt;0,MOD($G424,$AR424)&lt;&gt;0),"WARNUNG: Stückzahl ist kein Vielfaches von Stück je Satz",IF($H424="","HINWEIS: Schneidweg fehlt",IF(V424="","HINWEIS: keine Schneiddaten",IF(AND($AF424&lt;&gt;"",$AG424=""),"HINWEIS: Gewinde-Vorschlag prüfen","OK")))))))))))))))</f>
        <v/>
      </c>
      <c r="X424" s="18">
        <f>IF(OR(O424="",$G424=""),"",O424*$G424)</f>
        <v/>
      </c>
      <c r="Y424" s="9" t="n"/>
      <c r="Z424" s="23" t="n"/>
      <c r="AA424" s="9" t="n"/>
      <c r="AB424" s="23" t="n"/>
      <c r="AC424" s="23" t="n"/>
      <c r="AD424" s="23" t="n"/>
      <c r="AE424" s="9" t="n"/>
      <c r="AF424" s="9" t="n"/>
      <c r="AG424" s="9" t="n"/>
      <c r="AH424" s="24" t="n"/>
      <c r="AI424" s="23" t="n"/>
      <c r="AJ424" s="24" t="n"/>
      <c r="AK424" s="23" t="n"/>
      <c r="AL424" s="24" t="n"/>
      <c r="AM424" s="23" t="n"/>
      <c r="AN424" s="28">
        <f>IF($D424="","",COUNTIFS(Stangenbelegung!$E$5:$E$10004,ROW()))</f>
        <v/>
      </c>
      <c r="AO424" s="28">
        <f>IF(OR($G424="",COUNTA(Stangenbelegung!$A$5:$A$10004)=0),"",$G424-AN424)</f>
        <v/>
      </c>
      <c r="AP424" s="29" t="n"/>
      <c r="AQ424" s="9" t="n"/>
      <c r="AR424" s="19" t="n"/>
    </row>
    <row r="425">
      <c r="A425" s="9" t="n"/>
      <c r="B425" s="9" t="n"/>
      <c r="C425" s="9" t="n"/>
      <c r="D425" s="9" t="n"/>
      <c r="E425" s="9" t="n"/>
      <c r="F425" s="23" t="n"/>
      <c r="G425" s="19" t="n"/>
      <c r="H425" s="23" t="n"/>
      <c r="I425" s="24" t="n"/>
      <c r="J425" s="19" t="n"/>
      <c r="K425" s="25">
        <f>IF($D425="","",IFERROR(INDEX(Profile!$B$5:$B$304,MATCH($D425,lst_Profil,0)),""))</f>
        <v/>
      </c>
      <c r="L425" s="13">
        <f>IF($D425="","",IFERROR(INDEX(Profile!$K$5:$K$304,MATCH($D425,lst_Profil,0))+0,""))</f>
        <v/>
      </c>
      <c r="M425" s="26">
        <f>IF($D425="","",IFERROR(INDEX(Profile!$E$5:$E$304,MATCH($D425,lst_Profil,0))+0,""))</f>
        <v/>
      </c>
      <c r="N425" s="27">
        <f>IF(OR(L425="",$E425=""),"",IFERROR(L425*INDEX(Werkstoffe!$E$5:$E$304,MATCH($E425,lst_Werkstoff,0))/1000,""))</f>
        <v/>
      </c>
      <c r="O425" s="27">
        <f>IF(OR(N425="",$F425=""),"",N425*$F425/1000)</f>
        <v/>
      </c>
      <c r="P425" s="16">
        <f>IF(OR($F425="",$G425=""),"",$F425*$G425)</f>
        <v/>
      </c>
      <c r="Q425" s="16">
        <f>IF($D425="","",IF($J425&lt;&gt;"",$J425,$C$9))</f>
        <v/>
      </c>
      <c r="R425" s="12">
        <f>IF($D425="","",IFERROR(IF(INDEX(Profile!$G$5:$G$304,MATCH($D425,lst_Profil,0))&lt;&gt;"",INDEX(Profile!$G$5:$G$304,MATCH($D425,lst_Profil,0)),$H$4),$H$4))</f>
        <v/>
      </c>
      <c r="S425" s="12">
        <f>IF($D425="","",IFERROR(IF(INDEX(Profile!$H$5:$H$304,MATCH($D425,lst_Profil,0))&lt;&gt;"",INDEX(Profile!$H$5:$H$304,MATCH($D425,lst_Profil,0)),$H$5),$H$5))</f>
        <v/>
      </c>
      <c r="T425" s="16">
        <f>IF(OR(Q425="",NOT(ISNUMBER(R425)),NOT(ISNUMBER(S425))),"",Q425-R425-S425)</f>
        <v/>
      </c>
      <c r="U425" s="28">
        <f>IF(OR($D425="",$E425=""),"",IF(OR(N($AP425)&gt;0,COUNTIFS(Preise!$A$5:$A$304,$D425,Preise!$B$5:$B$304,$E425,Preise!$I$5:$I$304,"OK")&gt;0,N(INDEX(Werkstoffe!$G$5:$G$304,MATCH($E425,lst_Werkstoff,0)))&gt;0),"ja","nein"))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28">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Materialpreis",IF(AND($AQ425&lt;&gt;"",N($AR425)&gt;0,MOD($G425,$AR425)&lt;&gt;0),"WARNUNG: Stückzahl ist kein Vielfaches von Stück je Satz",IF($H425="","HINWEIS: Schneidweg fehlt",IF(V425="","HINWEIS: keine Schneiddaten",IF(AND($AF425&lt;&gt;"",$AG425=""),"HINWEIS: Gewinde-Vorschlag prüfen","OK")))))))))))))))</f>
        <v/>
      </c>
      <c r="X425" s="18">
        <f>IF(OR(O425="",$G425=""),"",O425*$G425)</f>
        <v/>
      </c>
      <c r="Y425" s="9" t="n"/>
      <c r="Z425" s="23" t="n"/>
      <c r="AA425" s="9" t="n"/>
      <c r="AB425" s="23" t="n"/>
      <c r="AC425" s="23" t="n"/>
      <c r="AD425" s="23" t="n"/>
      <c r="AE425" s="9" t="n"/>
      <c r="AF425" s="9" t="n"/>
      <c r="AG425" s="9" t="n"/>
      <c r="AH425" s="24" t="n"/>
      <c r="AI425" s="23" t="n"/>
      <c r="AJ425" s="24" t="n"/>
      <c r="AK425" s="23" t="n"/>
      <c r="AL425" s="24" t="n"/>
      <c r="AM425" s="23" t="n"/>
      <c r="AN425" s="28">
        <f>IF($D425="","",COUNTIFS(Stangenbelegung!$E$5:$E$10004,ROW()))</f>
        <v/>
      </c>
      <c r="AO425" s="28">
        <f>IF(OR($G425="",COUNTA(Stangenbelegung!$A$5:$A$10004)=0),"",$G425-AN425)</f>
        <v/>
      </c>
      <c r="AP425" s="29" t="n"/>
      <c r="AQ425" s="9" t="n"/>
      <c r="AR425" s="19" t="n"/>
    </row>
    <row r="426">
      <c r="A426" s="9" t="n"/>
      <c r="B426" s="9" t="n"/>
      <c r="C426" s="9" t="n"/>
      <c r="D426" s="9" t="n"/>
      <c r="E426" s="9" t="n"/>
      <c r="F426" s="23" t="n"/>
      <c r="G426" s="19" t="n"/>
      <c r="H426" s="23" t="n"/>
      <c r="I426" s="24" t="n"/>
      <c r="J426" s="19" t="n"/>
      <c r="K426" s="25">
        <f>IF($D426="","",IFERROR(INDEX(Profile!$B$5:$B$304,MATCH($D426,lst_Profil,0)),""))</f>
        <v/>
      </c>
      <c r="L426" s="13">
        <f>IF($D426="","",IFERROR(INDEX(Profile!$K$5:$K$304,MATCH($D426,lst_Profil,0))+0,""))</f>
        <v/>
      </c>
      <c r="M426" s="26">
        <f>IF($D426="","",IFERROR(INDEX(Profile!$E$5:$E$304,MATCH($D426,lst_Profil,0))+0,""))</f>
        <v/>
      </c>
      <c r="N426" s="27">
        <f>IF(OR(L426="",$E426=""),"",IFERROR(L426*INDEX(Werkstoffe!$E$5:$E$304,MATCH($E426,lst_Werkstoff,0))/1000,""))</f>
        <v/>
      </c>
      <c r="O426" s="27">
        <f>IF(OR(N426="",$F426=""),"",N426*$F426/1000)</f>
        <v/>
      </c>
      <c r="P426" s="16">
        <f>IF(OR($F426="",$G426=""),"",$F426*$G426)</f>
        <v/>
      </c>
      <c r="Q426" s="16">
        <f>IF($D426="","",IF($J426&lt;&gt;"",$J426,$C$9))</f>
        <v/>
      </c>
      <c r="R426" s="12">
        <f>IF($D426="","",IFERROR(IF(INDEX(Profile!$G$5:$G$304,MATCH($D426,lst_Profil,0))&lt;&gt;"",INDEX(Profile!$G$5:$G$304,MATCH($D426,lst_Profil,0)),$H$4),$H$4))</f>
        <v/>
      </c>
      <c r="S426" s="12">
        <f>IF($D426="","",IFERROR(IF(INDEX(Profile!$H$5:$H$304,MATCH($D426,lst_Profil,0))&lt;&gt;"",INDEX(Profile!$H$5:$H$304,MATCH($D426,lst_Profil,0)),$H$5),$H$5))</f>
        <v/>
      </c>
      <c r="T426" s="16">
        <f>IF(OR(Q426="",NOT(ISNUMBER(R426)),NOT(ISNUMBER(S426))),"",Q426-R426-S426)</f>
        <v/>
      </c>
      <c r="U426" s="28">
        <f>IF(OR($D426="",$E426=""),"",IF(OR(N($AP426)&gt;0,COUNTIFS(Preise!$A$5:$A$304,$D426,Preise!$B$5:$B$304,$E426,Preise!$I$5:$I$304,"OK")&gt;0,N(INDEX(Werkstoffe!$G$5:$G$304,MATCH($E426,lst_Werkstoff,0)))&gt;0),"ja","nein"))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28">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Materialpreis",IF(AND($AQ426&lt;&gt;"",N($AR426)&gt;0,MOD($G426,$AR426)&lt;&gt;0),"WARNUNG: Stückzahl ist kein Vielfaches von Stück je Satz",IF($H426="","HINWEIS: Schneidweg fehlt",IF(V426="","HINWEIS: keine Schneiddaten",IF(AND($AF426&lt;&gt;"",$AG426=""),"HINWEIS: Gewinde-Vorschlag prüfen","OK")))))))))))))))</f>
        <v/>
      </c>
      <c r="X426" s="18">
        <f>IF(OR(O426="",$G426=""),"",O426*$G426)</f>
        <v/>
      </c>
      <c r="Y426" s="9" t="n"/>
      <c r="Z426" s="23" t="n"/>
      <c r="AA426" s="9" t="n"/>
      <c r="AB426" s="23" t="n"/>
      <c r="AC426" s="23" t="n"/>
      <c r="AD426" s="23" t="n"/>
      <c r="AE426" s="9" t="n"/>
      <c r="AF426" s="9" t="n"/>
      <c r="AG426" s="9" t="n"/>
      <c r="AH426" s="24" t="n"/>
      <c r="AI426" s="23" t="n"/>
      <c r="AJ426" s="24" t="n"/>
      <c r="AK426" s="23" t="n"/>
      <c r="AL426" s="24" t="n"/>
      <c r="AM426" s="23" t="n"/>
      <c r="AN426" s="28">
        <f>IF($D426="","",COUNTIFS(Stangenbelegung!$E$5:$E$10004,ROW()))</f>
        <v/>
      </c>
      <c r="AO426" s="28">
        <f>IF(OR($G426="",COUNTA(Stangenbelegung!$A$5:$A$10004)=0),"",$G426-AN426)</f>
        <v/>
      </c>
      <c r="AP426" s="29" t="n"/>
      <c r="AQ426" s="9" t="n"/>
      <c r="AR426" s="19" t="n"/>
    </row>
    <row r="427">
      <c r="A427" s="9" t="n"/>
      <c r="B427" s="9" t="n"/>
      <c r="C427" s="9" t="n"/>
      <c r="D427" s="9" t="n"/>
      <c r="E427" s="9" t="n"/>
      <c r="F427" s="23" t="n"/>
      <c r="G427" s="19" t="n"/>
      <c r="H427" s="23" t="n"/>
      <c r="I427" s="24" t="n"/>
      <c r="J427" s="19" t="n"/>
      <c r="K427" s="25">
        <f>IF($D427="","",IFERROR(INDEX(Profile!$B$5:$B$304,MATCH($D427,lst_Profil,0)),""))</f>
        <v/>
      </c>
      <c r="L427" s="13">
        <f>IF($D427="","",IFERROR(INDEX(Profile!$K$5:$K$304,MATCH($D427,lst_Profil,0))+0,""))</f>
        <v/>
      </c>
      <c r="M427" s="26">
        <f>IF($D427="","",IFERROR(INDEX(Profile!$E$5:$E$304,MATCH($D427,lst_Profil,0))+0,""))</f>
        <v/>
      </c>
      <c r="N427" s="27">
        <f>IF(OR(L427="",$E427=""),"",IFERROR(L427*INDEX(Werkstoffe!$E$5:$E$304,MATCH($E427,lst_Werkstoff,0))/1000,""))</f>
        <v/>
      </c>
      <c r="O427" s="27">
        <f>IF(OR(N427="",$F427=""),"",N427*$F427/1000)</f>
        <v/>
      </c>
      <c r="P427" s="16">
        <f>IF(OR($F427="",$G427=""),"",$F427*$G427)</f>
        <v/>
      </c>
      <c r="Q427" s="16">
        <f>IF($D427="","",IF($J427&lt;&gt;"",$J427,$C$9))</f>
        <v/>
      </c>
      <c r="R427" s="12">
        <f>IF($D427="","",IFERROR(IF(INDEX(Profile!$G$5:$G$304,MATCH($D427,lst_Profil,0))&lt;&gt;"",INDEX(Profile!$G$5:$G$304,MATCH($D427,lst_Profil,0)),$H$4),$H$4))</f>
        <v/>
      </c>
      <c r="S427" s="12">
        <f>IF($D427="","",IFERROR(IF(INDEX(Profile!$H$5:$H$304,MATCH($D427,lst_Profil,0))&lt;&gt;"",INDEX(Profile!$H$5:$H$304,MATCH($D427,lst_Profil,0)),$H$5),$H$5))</f>
        <v/>
      </c>
      <c r="T427" s="16">
        <f>IF(OR(Q427="",NOT(ISNUMBER(R427)),NOT(ISNUMBER(S427))),"",Q427-R427-S427)</f>
        <v/>
      </c>
      <c r="U427" s="28">
        <f>IF(OR($D427="",$E427=""),"",IF(OR(N($AP427)&gt;0,COUNTIFS(Preise!$A$5:$A$304,$D427,Preise!$B$5:$B$304,$E427,Preise!$I$5:$I$304,"OK")&gt;0,N(INDEX(Werkstoffe!$G$5:$G$304,MATCH($E427,lst_Werkstoff,0)))&gt;0),"ja","nein"))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28">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Materialpreis",IF(AND($AQ427&lt;&gt;"",N($AR427)&gt;0,MOD($G427,$AR427)&lt;&gt;0),"WARNUNG: Stückzahl ist kein Vielfaches von Stück je Satz",IF($H427="","HINWEIS: Schneidweg fehlt",IF(V427="","HINWEIS: keine Schneiddaten",IF(AND($AF427&lt;&gt;"",$AG427=""),"HINWEIS: Gewinde-Vorschlag prüfen","OK")))))))))))))))</f>
        <v/>
      </c>
      <c r="X427" s="18">
        <f>IF(OR(O427="",$G427=""),"",O427*$G427)</f>
        <v/>
      </c>
      <c r="Y427" s="9" t="n"/>
      <c r="Z427" s="23" t="n"/>
      <c r="AA427" s="9" t="n"/>
      <c r="AB427" s="23" t="n"/>
      <c r="AC427" s="23" t="n"/>
      <c r="AD427" s="23" t="n"/>
      <c r="AE427" s="9" t="n"/>
      <c r="AF427" s="9" t="n"/>
      <c r="AG427" s="9" t="n"/>
      <c r="AH427" s="24" t="n"/>
      <c r="AI427" s="23" t="n"/>
      <c r="AJ427" s="24" t="n"/>
      <c r="AK427" s="23" t="n"/>
      <c r="AL427" s="24" t="n"/>
      <c r="AM427" s="23" t="n"/>
      <c r="AN427" s="28">
        <f>IF($D427="","",COUNTIFS(Stangenbelegung!$E$5:$E$10004,ROW()))</f>
        <v/>
      </c>
      <c r="AO427" s="28">
        <f>IF(OR($G427="",COUNTA(Stangenbelegung!$A$5:$A$10004)=0),"",$G427-AN427)</f>
        <v/>
      </c>
      <c r="AP427" s="29" t="n"/>
      <c r="AQ427" s="9" t="n"/>
      <c r="AR427" s="19" t="n"/>
    </row>
    <row r="428">
      <c r="A428" s="9" t="n"/>
      <c r="B428" s="9" t="n"/>
      <c r="C428" s="9" t="n"/>
      <c r="D428" s="9" t="n"/>
      <c r="E428" s="9" t="n"/>
      <c r="F428" s="23" t="n"/>
      <c r="G428" s="19" t="n"/>
      <c r="H428" s="23" t="n"/>
      <c r="I428" s="24" t="n"/>
      <c r="J428" s="19" t="n"/>
      <c r="K428" s="25">
        <f>IF($D428="","",IFERROR(INDEX(Profile!$B$5:$B$304,MATCH($D428,lst_Profil,0)),""))</f>
        <v/>
      </c>
      <c r="L428" s="13">
        <f>IF($D428="","",IFERROR(INDEX(Profile!$K$5:$K$304,MATCH($D428,lst_Profil,0))+0,""))</f>
        <v/>
      </c>
      <c r="M428" s="26">
        <f>IF($D428="","",IFERROR(INDEX(Profile!$E$5:$E$304,MATCH($D428,lst_Profil,0))+0,""))</f>
        <v/>
      </c>
      <c r="N428" s="27">
        <f>IF(OR(L428="",$E428=""),"",IFERROR(L428*INDEX(Werkstoffe!$E$5:$E$304,MATCH($E428,lst_Werkstoff,0))/1000,""))</f>
        <v/>
      </c>
      <c r="O428" s="27">
        <f>IF(OR(N428="",$F428=""),"",N428*$F428/1000)</f>
        <v/>
      </c>
      <c r="P428" s="16">
        <f>IF(OR($F428="",$G428=""),"",$F428*$G428)</f>
        <v/>
      </c>
      <c r="Q428" s="16">
        <f>IF($D428="","",IF($J428&lt;&gt;"",$J428,$C$9))</f>
        <v/>
      </c>
      <c r="R428" s="12">
        <f>IF($D428="","",IFERROR(IF(INDEX(Profile!$G$5:$G$304,MATCH($D428,lst_Profil,0))&lt;&gt;"",INDEX(Profile!$G$5:$G$304,MATCH($D428,lst_Profil,0)),$H$4),$H$4))</f>
        <v/>
      </c>
      <c r="S428" s="12">
        <f>IF($D428="","",IFERROR(IF(INDEX(Profile!$H$5:$H$304,MATCH($D428,lst_Profil,0))&lt;&gt;"",INDEX(Profile!$H$5:$H$304,MATCH($D428,lst_Profil,0)),$H$5),$H$5))</f>
        <v/>
      </c>
      <c r="T428" s="16">
        <f>IF(OR(Q428="",NOT(ISNUMBER(R428)),NOT(ISNUMBER(S428))),"",Q428-R428-S428)</f>
        <v/>
      </c>
      <c r="U428" s="28">
        <f>IF(OR($D428="",$E428=""),"",IF(OR(N($AP428)&gt;0,COUNTIFS(Preise!$A$5:$A$304,$D428,Preise!$B$5:$B$304,$E428,Preise!$I$5:$I$304,"OK")&gt;0,N(INDEX(Werkstoffe!$G$5:$G$304,MATCH($E428,lst_Werkstoff,0)))&gt;0),"ja","nein"))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28">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Materialpreis",IF(AND($AQ428&lt;&gt;"",N($AR428)&gt;0,MOD($G428,$AR428)&lt;&gt;0),"WARNUNG: Stückzahl ist kein Vielfaches von Stück je Satz",IF($H428="","HINWEIS: Schneidweg fehlt",IF(V428="","HINWEIS: keine Schneiddaten",IF(AND($AF428&lt;&gt;"",$AG428=""),"HINWEIS: Gewinde-Vorschlag prüfen","OK")))))))))))))))</f>
        <v/>
      </c>
      <c r="X428" s="18">
        <f>IF(OR(O428="",$G428=""),"",O428*$G428)</f>
        <v/>
      </c>
      <c r="Y428" s="9" t="n"/>
      <c r="Z428" s="23" t="n"/>
      <c r="AA428" s="9" t="n"/>
      <c r="AB428" s="23" t="n"/>
      <c r="AC428" s="23" t="n"/>
      <c r="AD428" s="23" t="n"/>
      <c r="AE428" s="9" t="n"/>
      <c r="AF428" s="9" t="n"/>
      <c r="AG428" s="9" t="n"/>
      <c r="AH428" s="24" t="n"/>
      <c r="AI428" s="23" t="n"/>
      <c r="AJ428" s="24" t="n"/>
      <c r="AK428" s="23" t="n"/>
      <c r="AL428" s="24" t="n"/>
      <c r="AM428" s="23" t="n"/>
      <c r="AN428" s="28">
        <f>IF($D428="","",COUNTIFS(Stangenbelegung!$E$5:$E$10004,ROW()))</f>
        <v/>
      </c>
      <c r="AO428" s="28">
        <f>IF(OR($G428="",COUNTA(Stangenbelegung!$A$5:$A$10004)=0),"",$G428-AN428)</f>
        <v/>
      </c>
      <c r="AP428" s="29" t="n"/>
      <c r="AQ428" s="9" t="n"/>
      <c r="AR428" s="19" t="n"/>
    </row>
    <row r="429">
      <c r="A429" s="9" t="n"/>
      <c r="B429" s="9" t="n"/>
      <c r="C429" s="9" t="n"/>
      <c r="D429" s="9" t="n"/>
      <c r="E429" s="9" t="n"/>
      <c r="F429" s="23" t="n"/>
      <c r="G429" s="19" t="n"/>
      <c r="H429" s="23" t="n"/>
      <c r="I429" s="24" t="n"/>
      <c r="J429" s="19" t="n"/>
      <c r="K429" s="25">
        <f>IF($D429="","",IFERROR(INDEX(Profile!$B$5:$B$304,MATCH($D429,lst_Profil,0)),""))</f>
        <v/>
      </c>
      <c r="L429" s="13">
        <f>IF($D429="","",IFERROR(INDEX(Profile!$K$5:$K$304,MATCH($D429,lst_Profil,0))+0,""))</f>
        <v/>
      </c>
      <c r="M429" s="26">
        <f>IF($D429="","",IFERROR(INDEX(Profile!$E$5:$E$304,MATCH($D429,lst_Profil,0))+0,""))</f>
        <v/>
      </c>
      <c r="N429" s="27">
        <f>IF(OR(L429="",$E429=""),"",IFERROR(L429*INDEX(Werkstoffe!$E$5:$E$304,MATCH($E429,lst_Werkstoff,0))/1000,""))</f>
        <v/>
      </c>
      <c r="O429" s="27">
        <f>IF(OR(N429="",$F429=""),"",N429*$F429/1000)</f>
        <v/>
      </c>
      <c r="P429" s="16">
        <f>IF(OR($F429="",$G429=""),"",$F429*$G429)</f>
        <v/>
      </c>
      <c r="Q429" s="16">
        <f>IF($D429="","",IF($J429&lt;&gt;"",$J429,$C$9))</f>
        <v/>
      </c>
      <c r="R429" s="12">
        <f>IF($D429="","",IFERROR(IF(INDEX(Profile!$G$5:$G$304,MATCH($D429,lst_Profil,0))&lt;&gt;"",INDEX(Profile!$G$5:$G$304,MATCH($D429,lst_Profil,0)),$H$4),$H$4))</f>
        <v/>
      </c>
      <c r="S429" s="12">
        <f>IF($D429="","",IFERROR(IF(INDEX(Profile!$H$5:$H$304,MATCH($D429,lst_Profil,0))&lt;&gt;"",INDEX(Profile!$H$5:$H$304,MATCH($D429,lst_Profil,0)),$H$5),$H$5))</f>
        <v/>
      </c>
      <c r="T429" s="16">
        <f>IF(OR(Q429="",NOT(ISNUMBER(R429)),NOT(ISNUMBER(S429))),"",Q429-R429-S429)</f>
        <v/>
      </c>
      <c r="U429" s="28">
        <f>IF(OR($D429="",$E429=""),"",IF(OR(N($AP429)&gt;0,COUNTIFS(Preise!$A$5:$A$304,$D429,Preise!$B$5:$B$304,$E429,Preise!$I$5:$I$304,"OK")&gt;0,N(INDEX(Werkstoffe!$G$5:$G$304,MATCH($E429,lst_Werkstoff,0)))&gt;0),"ja","nein"))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28">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Materialpreis",IF(AND($AQ429&lt;&gt;"",N($AR429)&gt;0,MOD($G429,$AR429)&lt;&gt;0),"WARNUNG: Stückzahl ist kein Vielfaches von Stück je Satz",IF($H429="","HINWEIS: Schneidweg fehlt",IF(V429="","HINWEIS: keine Schneiddaten",IF(AND($AF429&lt;&gt;"",$AG429=""),"HINWEIS: Gewinde-Vorschlag prüfen","OK")))))))))))))))</f>
        <v/>
      </c>
      <c r="X429" s="18">
        <f>IF(OR(O429="",$G429=""),"",O429*$G429)</f>
        <v/>
      </c>
      <c r="Y429" s="9" t="n"/>
      <c r="Z429" s="23" t="n"/>
      <c r="AA429" s="9" t="n"/>
      <c r="AB429" s="23" t="n"/>
      <c r="AC429" s="23" t="n"/>
      <c r="AD429" s="23" t="n"/>
      <c r="AE429" s="9" t="n"/>
      <c r="AF429" s="9" t="n"/>
      <c r="AG429" s="9" t="n"/>
      <c r="AH429" s="24" t="n"/>
      <c r="AI429" s="23" t="n"/>
      <c r="AJ429" s="24" t="n"/>
      <c r="AK429" s="23" t="n"/>
      <c r="AL429" s="24" t="n"/>
      <c r="AM429" s="23" t="n"/>
      <c r="AN429" s="28">
        <f>IF($D429="","",COUNTIFS(Stangenbelegung!$E$5:$E$10004,ROW()))</f>
        <v/>
      </c>
      <c r="AO429" s="28">
        <f>IF(OR($G429="",COUNTA(Stangenbelegung!$A$5:$A$10004)=0),"",$G429-AN429)</f>
        <v/>
      </c>
      <c r="AP429" s="29" t="n"/>
      <c r="AQ429" s="9" t="n"/>
      <c r="AR429" s="19" t="n"/>
    </row>
    <row r="430">
      <c r="A430" s="9" t="n"/>
      <c r="B430" s="9" t="n"/>
      <c r="C430" s="9" t="n"/>
      <c r="D430" s="9" t="n"/>
      <c r="E430" s="9" t="n"/>
      <c r="F430" s="23" t="n"/>
      <c r="G430" s="19" t="n"/>
      <c r="H430" s="23" t="n"/>
      <c r="I430" s="24" t="n"/>
      <c r="J430" s="19" t="n"/>
      <c r="K430" s="25">
        <f>IF($D430="","",IFERROR(INDEX(Profile!$B$5:$B$304,MATCH($D430,lst_Profil,0)),""))</f>
        <v/>
      </c>
      <c r="L430" s="13">
        <f>IF($D430="","",IFERROR(INDEX(Profile!$K$5:$K$304,MATCH($D430,lst_Profil,0))+0,""))</f>
        <v/>
      </c>
      <c r="M430" s="26">
        <f>IF($D430="","",IFERROR(INDEX(Profile!$E$5:$E$304,MATCH($D430,lst_Profil,0))+0,""))</f>
        <v/>
      </c>
      <c r="N430" s="27">
        <f>IF(OR(L430="",$E430=""),"",IFERROR(L430*INDEX(Werkstoffe!$E$5:$E$304,MATCH($E430,lst_Werkstoff,0))/1000,""))</f>
        <v/>
      </c>
      <c r="O430" s="27">
        <f>IF(OR(N430="",$F430=""),"",N430*$F430/1000)</f>
        <v/>
      </c>
      <c r="P430" s="16">
        <f>IF(OR($F430="",$G430=""),"",$F430*$G430)</f>
        <v/>
      </c>
      <c r="Q430" s="16">
        <f>IF($D430="","",IF($J430&lt;&gt;"",$J430,$C$9))</f>
        <v/>
      </c>
      <c r="R430" s="12">
        <f>IF($D430="","",IFERROR(IF(INDEX(Profile!$G$5:$G$304,MATCH($D430,lst_Profil,0))&lt;&gt;"",INDEX(Profile!$G$5:$G$304,MATCH($D430,lst_Profil,0)),$H$4),$H$4))</f>
        <v/>
      </c>
      <c r="S430" s="12">
        <f>IF($D430="","",IFERROR(IF(INDEX(Profile!$H$5:$H$304,MATCH($D430,lst_Profil,0))&lt;&gt;"",INDEX(Profile!$H$5:$H$304,MATCH($D430,lst_Profil,0)),$H$5),$H$5))</f>
        <v/>
      </c>
      <c r="T430" s="16">
        <f>IF(OR(Q430="",NOT(ISNUMBER(R430)),NOT(ISNUMBER(S430))),"",Q430-R430-S430)</f>
        <v/>
      </c>
      <c r="U430" s="28">
        <f>IF(OR($D430="",$E430=""),"",IF(OR(N($AP430)&gt;0,COUNTIFS(Preise!$A$5:$A$304,$D430,Preise!$B$5:$B$304,$E430,Preise!$I$5:$I$304,"OK")&gt;0,N(INDEX(Werkstoffe!$G$5:$G$304,MATCH($E430,lst_Werkstoff,0)))&gt;0),"ja","nein"))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28">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Materialpreis",IF(AND($AQ430&lt;&gt;"",N($AR430)&gt;0,MOD($G430,$AR430)&lt;&gt;0),"WARNUNG: Stückzahl ist kein Vielfaches von Stück je Satz",IF($H430="","HINWEIS: Schneidweg fehlt",IF(V430="","HINWEIS: keine Schneiddaten",IF(AND($AF430&lt;&gt;"",$AG430=""),"HINWEIS: Gewinde-Vorschlag prüfen","OK")))))))))))))))</f>
        <v/>
      </c>
      <c r="X430" s="18">
        <f>IF(OR(O430="",$G430=""),"",O430*$G430)</f>
        <v/>
      </c>
      <c r="Y430" s="9" t="n"/>
      <c r="Z430" s="23" t="n"/>
      <c r="AA430" s="9" t="n"/>
      <c r="AB430" s="23" t="n"/>
      <c r="AC430" s="23" t="n"/>
      <c r="AD430" s="23" t="n"/>
      <c r="AE430" s="9" t="n"/>
      <c r="AF430" s="9" t="n"/>
      <c r="AG430" s="9" t="n"/>
      <c r="AH430" s="24" t="n"/>
      <c r="AI430" s="23" t="n"/>
      <c r="AJ430" s="24" t="n"/>
      <c r="AK430" s="23" t="n"/>
      <c r="AL430" s="24" t="n"/>
      <c r="AM430" s="23" t="n"/>
      <c r="AN430" s="28">
        <f>IF($D430="","",COUNTIFS(Stangenbelegung!$E$5:$E$10004,ROW()))</f>
        <v/>
      </c>
      <c r="AO430" s="28">
        <f>IF(OR($G430="",COUNTA(Stangenbelegung!$A$5:$A$10004)=0),"",$G430-AN430)</f>
        <v/>
      </c>
      <c r="AP430" s="29" t="n"/>
      <c r="AQ430" s="9" t="n"/>
      <c r="AR430" s="19" t="n"/>
    </row>
    <row r="431">
      <c r="A431" s="9" t="n"/>
      <c r="B431" s="9" t="n"/>
      <c r="C431" s="9" t="n"/>
      <c r="D431" s="9" t="n"/>
      <c r="E431" s="9" t="n"/>
      <c r="F431" s="23" t="n"/>
      <c r="G431" s="19" t="n"/>
      <c r="H431" s="23" t="n"/>
      <c r="I431" s="24" t="n"/>
      <c r="J431" s="19" t="n"/>
      <c r="K431" s="25">
        <f>IF($D431="","",IFERROR(INDEX(Profile!$B$5:$B$304,MATCH($D431,lst_Profil,0)),""))</f>
        <v/>
      </c>
      <c r="L431" s="13">
        <f>IF($D431="","",IFERROR(INDEX(Profile!$K$5:$K$304,MATCH($D431,lst_Profil,0))+0,""))</f>
        <v/>
      </c>
      <c r="M431" s="26">
        <f>IF($D431="","",IFERROR(INDEX(Profile!$E$5:$E$304,MATCH($D431,lst_Profil,0))+0,""))</f>
        <v/>
      </c>
      <c r="N431" s="27">
        <f>IF(OR(L431="",$E431=""),"",IFERROR(L431*INDEX(Werkstoffe!$E$5:$E$304,MATCH($E431,lst_Werkstoff,0))/1000,""))</f>
        <v/>
      </c>
      <c r="O431" s="27">
        <f>IF(OR(N431="",$F431=""),"",N431*$F431/1000)</f>
        <v/>
      </c>
      <c r="P431" s="16">
        <f>IF(OR($F431="",$G431=""),"",$F431*$G431)</f>
        <v/>
      </c>
      <c r="Q431" s="16">
        <f>IF($D431="","",IF($J431&lt;&gt;"",$J431,$C$9))</f>
        <v/>
      </c>
      <c r="R431" s="12">
        <f>IF($D431="","",IFERROR(IF(INDEX(Profile!$G$5:$G$304,MATCH($D431,lst_Profil,0))&lt;&gt;"",INDEX(Profile!$G$5:$G$304,MATCH($D431,lst_Profil,0)),$H$4),$H$4))</f>
        <v/>
      </c>
      <c r="S431" s="12">
        <f>IF($D431="","",IFERROR(IF(INDEX(Profile!$H$5:$H$304,MATCH($D431,lst_Profil,0))&lt;&gt;"",INDEX(Profile!$H$5:$H$304,MATCH($D431,lst_Profil,0)),$H$5),$H$5))</f>
        <v/>
      </c>
      <c r="T431" s="16">
        <f>IF(OR(Q431="",NOT(ISNUMBER(R431)),NOT(ISNUMBER(S431))),"",Q431-R431-S431)</f>
        <v/>
      </c>
      <c r="U431" s="28">
        <f>IF(OR($D431="",$E431=""),"",IF(OR(N($AP431)&gt;0,COUNTIFS(Preise!$A$5:$A$304,$D431,Preise!$B$5:$B$304,$E431,Preise!$I$5:$I$304,"OK")&gt;0,N(INDEX(Werkstoffe!$G$5:$G$304,MATCH($E431,lst_Werkstoff,0)))&gt;0),"ja","nein"))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28">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Materialpreis",IF(AND($AQ431&lt;&gt;"",N($AR431)&gt;0,MOD($G431,$AR431)&lt;&gt;0),"WARNUNG: Stückzahl ist kein Vielfaches von Stück je Satz",IF($H431="","HINWEIS: Schneidweg fehlt",IF(V431="","HINWEIS: keine Schneiddaten",IF(AND($AF431&lt;&gt;"",$AG431=""),"HINWEIS: Gewinde-Vorschlag prüfen","OK")))))))))))))))</f>
        <v/>
      </c>
      <c r="X431" s="18">
        <f>IF(OR(O431="",$G431=""),"",O431*$G431)</f>
        <v/>
      </c>
      <c r="Y431" s="9" t="n"/>
      <c r="Z431" s="23" t="n"/>
      <c r="AA431" s="9" t="n"/>
      <c r="AB431" s="23" t="n"/>
      <c r="AC431" s="23" t="n"/>
      <c r="AD431" s="23" t="n"/>
      <c r="AE431" s="9" t="n"/>
      <c r="AF431" s="9" t="n"/>
      <c r="AG431" s="9" t="n"/>
      <c r="AH431" s="24" t="n"/>
      <c r="AI431" s="23" t="n"/>
      <c r="AJ431" s="24" t="n"/>
      <c r="AK431" s="23" t="n"/>
      <c r="AL431" s="24" t="n"/>
      <c r="AM431" s="23" t="n"/>
      <c r="AN431" s="28">
        <f>IF($D431="","",COUNTIFS(Stangenbelegung!$E$5:$E$10004,ROW()))</f>
        <v/>
      </c>
      <c r="AO431" s="28">
        <f>IF(OR($G431="",COUNTA(Stangenbelegung!$A$5:$A$10004)=0),"",$G431-AN431)</f>
        <v/>
      </c>
      <c r="AP431" s="29" t="n"/>
      <c r="AQ431" s="9" t="n"/>
      <c r="AR431" s="19" t="n"/>
    </row>
    <row r="432">
      <c r="A432" s="9" t="n"/>
      <c r="B432" s="9" t="n"/>
      <c r="C432" s="9" t="n"/>
      <c r="D432" s="9" t="n"/>
      <c r="E432" s="9" t="n"/>
      <c r="F432" s="23" t="n"/>
      <c r="G432" s="19" t="n"/>
      <c r="H432" s="23" t="n"/>
      <c r="I432" s="24" t="n"/>
      <c r="J432" s="19" t="n"/>
      <c r="K432" s="25">
        <f>IF($D432="","",IFERROR(INDEX(Profile!$B$5:$B$304,MATCH($D432,lst_Profil,0)),""))</f>
        <v/>
      </c>
      <c r="L432" s="13">
        <f>IF($D432="","",IFERROR(INDEX(Profile!$K$5:$K$304,MATCH($D432,lst_Profil,0))+0,""))</f>
        <v/>
      </c>
      <c r="M432" s="26">
        <f>IF($D432="","",IFERROR(INDEX(Profile!$E$5:$E$304,MATCH($D432,lst_Profil,0))+0,""))</f>
        <v/>
      </c>
      <c r="N432" s="27">
        <f>IF(OR(L432="",$E432=""),"",IFERROR(L432*INDEX(Werkstoffe!$E$5:$E$304,MATCH($E432,lst_Werkstoff,0))/1000,""))</f>
        <v/>
      </c>
      <c r="O432" s="27">
        <f>IF(OR(N432="",$F432=""),"",N432*$F432/1000)</f>
        <v/>
      </c>
      <c r="P432" s="16">
        <f>IF(OR($F432="",$G432=""),"",$F432*$G432)</f>
        <v/>
      </c>
      <c r="Q432" s="16">
        <f>IF($D432="","",IF($J432&lt;&gt;"",$J432,$C$9))</f>
        <v/>
      </c>
      <c r="R432" s="12">
        <f>IF($D432="","",IFERROR(IF(INDEX(Profile!$G$5:$G$304,MATCH($D432,lst_Profil,0))&lt;&gt;"",INDEX(Profile!$G$5:$G$304,MATCH($D432,lst_Profil,0)),$H$4),$H$4))</f>
        <v/>
      </c>
      <c r="S432" s="12">
        <f>IF($D432="","",IFERROR(IF(INDEX(Profile!$H$5:$H$304,MATCH($D432,lst_Profil,0))&lt;&gt;"",INDEX(Profile!$H$5:$H$304,MATCH($D432,lst_Profil,0)),$H$5),$H$5))</f>
        <v/>
      </c>
      <c r="T432" s="16">
        <f>IF(OR(Q432="",NOT(ISNUMBER(R432)),NOT(ISNUMBER(S432))),"",Q432-R432-S432)</f>
        <v/>
      </c>
      <c r="U432" s="28">
        <f>IF(OR($D432="",$E432=""),"",IF(OR(N($AP432)&gt;0,COUNTIFS(Preise!$A$5:$A$304,$D432,Preise!$B$5:$B$304,$E432,Preise!$I$5:$I$304,"OK")&gt;0,N(INDEX(Werkstoffe!$G$5:$G$304,MATCH($E432,lst_Werkstoff,0)))&gt;0),"ja","nein"))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28">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Materialpreis",IF(AND($AQ432&lt;&gt;"",N($AR432)&gt;0,MOD($G432,$AR432)&lt;&gt;0),"WARNUNG: Stückzahl ist kein Vielfaches von Stück je Satz",IF($H432="","HINWEIS: Schneidweg fehlt",IF(V432="","HINWEIS: keine Schneiddaten",IF(AND($AF432&lt;&gt;"",$AG432=""),"HINWEIS: Gewinde-Vorschlag prüfen","OK")))))))))))))))</f>
        <v/>
      </c>
      <c r="X432" s="18">
        <f>IF(OR(O432="",$G432=""),"",O432*$G432)</f>
        <v/>
      </c>
      <c r="Y432" s="9" t="n"/>
      <c r="Z432" s="23" t="n"/>
      <c r="AA432" s="9" t="n"/>
      <c r="AB432" s="23" t="n"/>
      <c r="AC432" s="23" t="n"/>
      <c r="AD432" s="23" t="n"/>
      <c r="AE432" s="9" t="n"/>
      <c r="AF432" s="9" t="n"/>
      <c r="AG432" s="9" t="n"/>
      <c r="AH432" s="24" t="n"/>
      <c r="AI432" s="23" t="n"/>
      <c r="AJ432" s="24" t="n"/>
      <c r="AK432" s="23" t="n"/>
      <c r="AL432" s="24" t="n"/>
      <c r="AM432" s="23" t="n"/>
      <c r="AN432" s="28">
        <f>IF($D432="","",COUNTIFS(Stangenbelegung!$E$5:$E$10004,ROW()))</f>
        <v/>
      </c>
      <c r="AO432" s="28">
        <f>IF(OR($G432="",COUNTA(Stangenbelegung!$A$5:$A$10004)=0),"",$G432-AN432)</f>
        <v/>
      </c>
      <c r="AP432" s="29" t="n"/>
      <c r="AQ432" s="9" t="n"/>
      <c r="AR432" s="19" t="n"/>
    </row>
    <row r="433">
      <c r="A433" s="9" t="n"/>
      <c r="B433" s="9" t="n"/>
      <c r="C433" s="9" t="n"/>
      <c r="D433" s="9" t="n"/>
      <c r="E433" s="9" t="n"/>
      <c r="F433" s="23" t="n"/>
      <c r="G433" s="19" t="n"/>
      <c r="H433" s="23" t="n"/>
      <c r="I433" s="24" t="n"/>
      <c r="J433" s="19" t="n"/>
      <c r="K433" s="25">
        <f>IF($D433="","",IFERROR(INDEX(Profile!$B$5:$B$304,MATCH($D433,lst_Profil,0)),""))</f>
        <v/>
      </c>
      <c r="L433" s="13">
        <f>IF($D433="","",IFERROR(INDEX(Profile!$K$5:$K$304,MATCH($D433,lst_Profil,0))+0,""))</f>
        <v/>
      </c>
      <c r="M433" s="26">
        <f>IF($D433="","",IFERROR(INDEX(Profile!$E$5:$E$304,MATCH($D433,lst_Profil,0))+0,""))</f>
        <v/>
      </c>
      <c r="N433" s="27">
        <f>IF(OR(L433="",$E433=""),"",IFERROR(L433*INDEX(Werkstoffe!$E$5:$E$304,MATCH($E433,lst_Werkstoff,0))/1000,""))</f>
        <v/>
      </c>
      <c r="O433" s="27">
        <f>IF(OR(N433="",$F433=""),"",N433*$F433/1000)</f>
        <v/>
      </c>
      <c r="P433" s="16">
        <f>IF(OR($F433="",$G433=""),"",$F433*$G433)</f>
        <v/>
      </c>
      <c r="Q433" s="16">
        <f>IF($D433="","",IF($J433&lt;&gt;"",$J433,$C$9))</f>
        <v/>
      </c>
      <c r="R433" s="12">
        <f>IF($D433="","",IFERROR(IF(INDEX(Profile!$G$5:$G$304,MATCH($D433,lst_Profil,0))&lt;&gt;"",INDEX(Profile!$G$5:$G$304,MATCH($D433,lst_Profil,0)),$H$4),$H$4))</f>
        <v/>
      </c>
      <c r="S433" s="12">
        <f>IF($D433="","",IFERROR(IF(INDEX(Profile!$H$5:$H$304,MATCH($D433,lst_Profil,0))&lt;&gt;"",INDEX(Profile!$H$5:$H$304,MATCH($D433,lst_Profil,0)),$H$5),$H$5))</f>
        <v/>
      </c>
      <c r="T433" s="16">
        <f>IF(OR(Q433="",NOT(ISNUMBER(R433)),NOT(ISNUMBER(S433))),"",Q433-R433-S433)</f>
        <v/>
      </c>
      <c r="U433" s="28">
        <f>IF(OR($D433="",$E433=""),"",IF(OR(N($AP433)&gt;0,COUNTIFS(Preise!$A$5:$A$304,$D433,Preise!$B$5:$B$304,$E433,Preise!$I$5:$I$304,"OK")&gt;0,N(INDEX(Werkstoffe!$G$5:$G$304,MATCH($E433,lst_Werkstoff,0)))&gt;0),"ja","nein"))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28">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Materialpreis",IF(AND($AQ433&lt;&gt;"",N($AR433)&gt;0,MOD($G433,$AR433)&lt;&gt;0),"WARNUNG: Stückzahl ist kein Vielfaches von Stück je Satz",IF($H433="","HINWEIS: Schneidweg fehlt",IF(V433="","HINWEIS: keine Schneiddaten",IF(AND($AF433&lt;&gt;"",$AG433=""),"HINWEIS: Gewinde-Vorschlag prüfen","OK")))))))))))))))</f>
        <v/>
      </c>
      <c r="X433" s="18">
        <f>IF(OR(O433="",$G433=""),"",O433*$G433)</f>
        <v/>
      </c>
      <c r="Y433" s="9" t="n"/>
      <c r="Z433" s="23" t="n"/>
      <c r="AA433" s="9" t="n"/>
      <c r="AB433" s="23" t="n"/>
      <c r="AC433" s="23" t="n"/>
      <c r="AD433" s="23" t="n"/>
      <c r="AE433" s="9" t="n"/>
      <c r="AF433" s="9" t="n"/>
      <c r="AG433" s="9" t="n"/>
      <c r="AH433" s="24" t="n"/>
      <c r="AI433" s="23" t="n"/>
      <c r="AJ433" s="24" t="n"/>
      <c r="AK433" s="23" t="n"/>
      <c r="AL433" s="24" t="n"/>
      <c r="AM433" s="23" t="n"/>
      <c r="AN433" s="28">
        <f>IF($D433="","",COUNTIFS(Stangenbelegung!$E$5:$E$10004,ROW()))</f>
        <v/>
      </c>
      <c r="AO433" s="28">
        <f>IF(OR($G433="",COUNTA(Stangenbelegung!$A$5:$A$10004)=0),"",$G433-AN433)</f>
        <v/>
      </c>
      <c r="AP433" s="29" t="n"/>
      <c r="AQ433" s="9" t="n"/>
      <c r="AR433" s="19" t="n"/>
    </row>
    <row r="434">
      <c r="A434" s="9" t="n"/>
      <c r="B434" s="9" t="n"/>
      <c r="C434" s="9" t="n"/>
      <c r="D434" s="9" t="n"/>
      <c r="E434" s="9" t="n"/>
      <c r="F434" s="23" t="n"/>
      <c r="G434" s="19" t="n"/>
      <c r="H434" s="23" t="n"/>
      <c r="I434" s="24" t="n"/>
      <c r="J434" s="19" t="n"/>
      <c r="K434" s="25">
        <f>IF($D434="","",IFERROR(INDEX(Profile!$B$5:$B$304,MATCH($D434,lst_Profil,0)),""))</f>
        <v/>
      </c>
      <c r="L434" s="13">
        <f>IF($D434="","",IFERROR(INDEX(Profile!$K$5:$K$304,MATCH($D434,lst_Profil,0))+0,""))</f>
        <v/>
      </c>
      <c r="M434" s="26">
        <f>IF($D434="","",IFERROR(INDEX(Profile!$E$5:$E$304,MATCH($D434,lst_Profil,0))+0,""))</f>
        <v/>
      </c>
      <c r="N434" s="27">
        <f>IF(OR(L434="",$E434=""),"",IFERROR(L434*INDEX(Werkstoffe!$E$5:$E$304,MATCH($E434,lst_Werkstoff,0))/1000,""))</f>
        <v/>
      </c>
      <c r="O434" s="27">
        <f>IF(OR(N434="",$F434=""),"",N434*$F434/1000)</f>
        <v/>
      </c>
      <c r="P434" s="16">
        <f>IF(OR($F434="",$G434=""),"",$F434*$G434)</f>
        <v/>
      </c>
      <c r="Q434" s="16">
        <f>IF($D434="","",IF($J434&lt;&gt;"",$J434,$C$9))</f>
        <v/>
      </c>
      <c r="R434" s="12">
        <f>IF($D434="","",IFERROR(IF(INDEX(Profile!$G$5:$G$304,MATCH($D434,lst_Profil,0))&lt;&gt;"",INDEX(Profile!$G$5:$G$304,MATCH($D434,lst_Profil,0)),$H$4),$H$4))</f>
        <v/>
      </c>
      <c r="S434" s="12">
        <f>IF($D434="","",IFERROR(IF(INDEX(Profile!$H$5:$H$304,MATCH($D434,lst_Profil,0))&lt;&gt;"",INDEX(Profile!$H$5:$H$304,MATCH($D434,lst_Profil,0)),$H$5),$H$5))</f>
        <v/>
      </c>
      <c r="T434" s="16">
        <f>IF(OR(Q434="",NOT(ISNUMBER(R434)),NOT(ISNUMBER(S434))),"",Q434-R434-S434)</f>
        <v/>
      </c>
      <c r="U434" s="28">
        <f>IF(OR($D434="",$E434=""),"",IF(OR(N($AP434)&gt;0,COUNTIFS(Preise!$A$5:$A$304,$D434,Preise!$B$5:$B$304,$E434,Preise!$I$5:$I$304,"OK")&gt;0,N(INDEX(Werkstoffe!$G$5:$G$304,MATCH($E434,lst_Werkstoff,0)))&gt;0),"ja","nein"))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28">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Materialpreis",IF(AND($AQ434&lt;&gt;"",N($AR434)&gt;0,MOD($G434,$AR434)&lt;&gt;0),"WARNUNG: Stückzahl ist kein Vielfaches von Stück je Satz",IF($H434="","HINWEIS: Schneidweg fehlt",IF(V434="","HINWEIS: keine Schneiddaten",IF(AND($AF434&lt;&gt;"",$AG434=""),"HINWEIS: Gewinde-Vorschlag prüfen","OK")))))))))))))))</f>
        <v/>
      </c>
      <c r="X434" s="18">
        <f>IF(OR(O434="",$G434=""),"",O434*$G434)</f>
        <v/>
      </c>
      <c r="Y434" s="9" t="n"/>
      <c r="Z434" s="23" t="n"/>
      <c r="AA434" s="9" t="n"/>
      <c r="AB434" s="23" t="n"/>
      <c r="AC434" s="23" t="n"/>
      <c r="AD434" s="23" t="n"/>
      <c r="AE434" s="9" t="n"/>
      <c r="AF434" s="9" t="n"/>
      <c r="AG434" s="9" t="n"/>
      <c r="AH434" s="24" t="n"/>
      <c r="AI434" s="23" t="n"/>
      <c r="AJ434" s="24" t="n"/>
      <c r="AK434" s="23" t="n"/>
      <c r="AL434" s="24" t="n"/>
      <c r="AM434" s="23" t="n"/>
      <c r="AN434" s="28">
        <f>IF($D434="","",COUNTIFS(Stangenbelegung!$E$5:$E$10004,ROW()))</f>
        <v/>
      </c>
      <c r="AO434" s="28">
        <f>IF(OR($G434="",COUNTA(Stangenbelegung!$A$5:$A$10004)=0),"",$G434-AN434)</f>
        <v/>
      </c>
      <c r="AP434" s="29" t="n"/>
      <c r="AQ434" s="9" t="n"/>
      <c r="AR434" s="19" t="n"/>
    </row>
    <row r="435">
      <c r="A435" s="9" t="n"/>
      <c r="B435" s="9" t="n"/>
      <c r="C435" s="9" t="n"/>
      <c r="D435" s="9" t="n"/>
      <c r="E435" s="9" t="n"/>
      <c r="F435" s="23" t="n"/>
      <c r="G435" s="19" t="n"/>
      <c r="H435" s="23" t="n"/>
      <c r="I435" s="24" t="n"/>
      <c r="J435" s="19" t="n"/>
      <c r="K435" s="25">
        <f>IF($D435="","",IFERROR(INDEX(Profile!$B$5:$B$304,MATCH($D435,lst_Profil,0)),""))</f>
        <v/>
      </c>
      <c r="L435" s="13">
        <f>IF($D435="","",IFERROR(INDEX(Profile!$K$5:$K$304,MATCH($D435,lst_Profil,0))+0,""))</f>
        <v/>
      </c>
      <c r="M435" s="26">
        <f>IF($D435="","",IFERROR(INDEX(Profile!$E$5:$E$304,MATCH($D435,lst_Profil,0))+0,""))</f>
        <v/>
      </c>
      <c r="N435" s="27">
        <f>IF(OR(L435="",$E435=""),"",IFERROR(L435*INDEX(Werkstoffe!$E$5:$E$304,MATCH($E435,lst_Werkstoff,0))/1000,""))</f>
        <v/>
      </c>
      <c r="O435" s="27">
        <f>IF(OR(N435="",$F435=""),"",N435*$F435/1000)</f>
        <v/>
      </c>
      <c r="P435" s="16">
        <f>IF(OR($F435="",$G435=""),"",$F435*$G435)</f>
        <v/>
      </c>
      <c r="Q435" s="16">
        <f>IF($D435="","",IF($J435&lt;&gt;"",$J435,$C$9))</f>
        <v/>
      </c>
      <c r="R435" s="12">
        <f>IF($D435="","",IFERROR(IF(INDEX(Profile!$G$5:$G$304,MATCH($D435,lst_Profil,0))&lt;&gt;"",INDEX(Profile!$G$5:$G$304,MATCH($D435,lst_Profil,0)),$H$4),$H$4))</f>
        <v/>
      </c>
      <c r="S435" s="12">
        <f>IF($D435="","",IFERROR(IF(INDEX(Profile!$H$5:$H$304,MATCH($D435,lst_Profil,0))&lt;&gt;"",INDEX(Profile!$H$5:$H$304,MATCH($D435,lst_Profil,0)),$H$5),$H$5))</f>
        <v/>
      </c>
      <c r="T435" s="16">
        <f>IF(OR(Q435="",NOT(ISNUMBER(R435)),NOT(ISNUMBER(S435))),"",Q435-R435-S435)</f>
        <v/>
      </c>
      <c r="U435" s="28">
        <f>IF(OR($D435="",$E435=""),"",IF(OR(N($AP435)&gt;0,COUNTIFS(Preise!$A$5:$A$304,$D435,Preise!$B$5:$B$304,$E435,Preise!$I$5:$I$304,"OK")&gt;0,N(INDEX(Werkstoffe!$G$5:$G$304,MATCH($E435,lst_Werkstoff,0)))&gt;0),"ja","nein"))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28">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Materialpreis",IF(AND($AQ435&lt;&gt;"",N($AR435)&gt;0,MOD($G435,$AR435)&lt;&gt;0),"WARNUNG: Stückzahl ist kein Vielfaches von Stück je Satz",IF($H435="","HINWEIS: Schneidweg fehlt",IF(V435="","HINWEIS: keine Schneiddaten",IF(AND($AF435&lt;&gt;"",$AG435=""),"HINWEIS: Gewinde-Vorschlag prüfen","OK")))))))))))))))</f>
        <v/>
      </c>
      <c r="X435" s="18">
        <f>IF(OR(O435="",$G435=""),"",O435*$G435)</f>
        <v/>
      </c>
      <c r="Y435" s="9" t="n"/>
      <c r="Z435" s="23" t="n"/>
      <c r="AA435" s="9" t="n"/>
      <c r="AB435" s="23" t="n"/>
      <c r="AC435" s="23" t="n"/>
      <c r="AD435" s="23" t="n"/>
      <c r="AE435" s="9" t="n"/>
      <c r="AF435" s="9" t="n"/>
      <c r="AG435" s="9" t="n"/>
      <c r="AH435" s="24" t="n"/>
      <c r="AI435" s="23" t="n"/>
      <c r="AJ435" s="24" t="n"/>
      <c r="AK435" s="23" t="n"/>
      <c r="AL435" s="24" t="n"/>
      <c r="AM435" s="23" t="n"/>
      <c r="AN435" s="28">
        <f>IF($D435="","",COUNTIFS(Stangenbelegung!$E$5:$E$10004,ROW()))</f>
        <v/>
      </c>
      <c r="AO435" s="28">
        <f>IF(OR($G435="",COUNTA(Stangenbelegung!$A$5:$A$10004)=0),"",$G435-AN435)</f>
        <v/>
      </c>
      <c r="AP435" s="29" t="n"/>
      <c r="AQ435" s="9" t="n"/>
      <c r="AR435" s="19" t="n"/>
    </row>
    <row r="436">
      <c r="A436" s="9" t="n"/>
      <c r="B436" s="9" t="n"/>
      <c r="C436" s="9" t="n"/>
      <c r="D436" s="9" t="n"/>
      <c r="E436" s="9" t="n"/>
      <c r="F436" s="23" t="n"/>
      <c r="G436" s="19" t="n"/>
      <c r="H436" s="23" t="n"/>
      <c r="I436" s="24" t="n"/>
      <c r="J436" s="19" t="n"/>
      <c r="K436" s="25">
        <f>IF($D436="","",IFERROR(INDEX(Profile!$B$5:$B$304,MATCH($D436,lst_Profil,0)),""))</f>
        <v/>
      </c>
      <c r="L436" s="13">
        <f>IF($D436="","",IFERROR(INDEX(Profile!$K$5:$K$304,MATCH($D436,lst_Profil,0))+0,""))</f>
        <v/>
      </c>
      <c r="M436" s="26">
        <f>IF($D436="","",IFERROR(INDEX(Profile!$E$5:$E$304,MATCH($D436,lst_Profil,0))+0,""))</f>
        <v/>
      </c>
      <c r="N436" s="27">
        <f>IF(OR(L436="",$E436=""),"",IFERROR(L436*INDEX(Werkstoffe!$E$5:$E$304,MATCH($E436,lst_Werkstoff,0))/1000,""))</f>
        <v/>
      </c>
      <c r="O436" s="27">
        <f>IF(OR(N436="",$F436=""),"",N436*$F436/1000)</f>
        <v/>
      </c>
      <c r="P436" s="16">
        <f>IF(OR($F436="",$G436=""),"",$F436*$G436)</f>
        <v/>
      </c>
      <c r="Q436" s="16">
        <f>IF($D436="","",IF($J436&lt;&gt;"",$J436,$C$9))</f>
        <v/>
      </c>
      <c r="R436" s="12">
        <f>IF($D436="","",IFERROR(IF(INDEX(Profile!$G$5:$G$304,MATCH($D436,lst_Profil,0))&lt;&gt;"",INDEX(Profile!$G$5:$G$304,MATCH($D436,lst_Profil,0)),$H$4),$H$4))</f>
        <v/>
      </c>
      <c r="S436" s="12">
        <f>IF($D436="","",IFERROR(IF(INDEX(Profile!$H$5:$H$304,MATCH($D436,lst_Profil,0))&lt;&gt;"",INDEX(Profile!$H$5:$H$304,MATCH($D436,lst_Profil,0)),$H$5),$H$5))</f>
        <v/>
      </c>
      <c r="T436" s="16">
        <f>IF(OR(Q436="",NOT(ISNUMBER(R436)),NOT(ISNUMBER(S436))),"",Q436-R436-S436)</f>
        <v/>
      </c>
      <c r="U436" s="28">
        <f>IF(OR($D436="",$E436=""),"",IF(OR(N($AP436)&gt;0,COUNTIFS(Preise!$A$5:$A$304,$D436,Preise!$B$5:$B$304,$E436,Preise!$I$5:$I$304,"OK")&gt;0,N(INDEX(Werkstoffe!$G$5:$G$304,MATCH($E436,lst_Werkstoff,0)))&gt;0),"ja","nein"))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28">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Materialpreis",IF(AND($AQ436&lt;&gt;"",N($AR436)&gt;0,MOD($G436,$AR436)&lt;&gt;0),"WARNUNG: Stückzahl ist kein Vielfaches von Stück je Satz",IF($H436="","HINWEIS: Schneidweg fehlt",IF(V436="","HINWEIS: keine Schneiddaten",IF(AND($AF436&lt;&gt;"",$AG436=""),"HINWEIS: Gewinde-Vorschlag prüfen","OK")))))))))))))))</f>
        <v/>
      </c>
      <c r="X436" s="18">
        <f>IF(OR(O436="",$G436=""),"",O436*$G436)</f>
        <v/>
      </c>
      <c r="Y436" s="9" t="n"/>
      <c r="Z436" s="23" t="n"/>
      <c r="AA436" s="9" t="n"/>
      <c r="AB436" s="23" t="n"/>
      <c r="AC436" s="23" t="n"/>
      <c r="AD436" s="23" t="n"/>
      <c r="AE436" s="9" t="n"/>
      <c r="AF436" s="9" t="n"/>
      <c r="AG436" s="9" t="n"/>
      <c r="AH436" s="24" t="n"/>
      <c r="AI436" s="23" t="n"/>
      <c r="AJ436" s="24" t="n"/>
      <c r="AK436" s="23" t="n"/>
      <c r="AL436" s="24" t="n"/>
      <c r="AM436" s="23" t="n"/>
      <c r="AN436" s="28">
        <f>IF($D436="","",COUNTIFS(Stangenbelegung!$E$5:$E$10004,ROW()))</f>
        <v/>
      </c>
      <c r="AO436" s="28">
        <f>IF(OR($G436="",COUNTA(Stangenbelegung!$A$5:$A$10004)=0),"",$G436-AN436)</f>
        <v/>
      </c>
      <c r="AP436" s="29" t="n"/>
      <c r="AQ436" s="9" t="n"/>
      <c r="AR436" s="19" t="n"/>
    </row>
    <row r="437">
      <c r="A437" s="9" t="n"/>
      <c r="B437" s="9" t="n"/>
      <c r="C437" s="9" t="n"/>
      <c r="D437" s="9" t="n"/>
      <c r="E437" s="9" t="n"/>
      <c r="F437" s="23" t="n"/>
      <c r="G437" s="19" t="n"/>
      <c r="H437" s="23" t="n"/>
      <c r="I437" s="24" t="n"/>
      <c r="J437" s="19" t="n"/>
      <c r="K437" s="25">
        <f>IF($D437="","",IFERROR(INDEX(Profile!$B$5:$B$304,MATCH($D437,lst_Profil,0)),""))</f>
        <v/>
      </c>
      <c r="L437" s="13">
        <f>IF($D437="","",IFERROR(INDEX(Profile!$K$5:$K$304,MATCH($D437,lst_Profil,0))+0,""))</f>
        <v/>
      </c>
      <c r="M437" s="26">
        <f>IF($D437="","",IFERROR(INDEX(Profile!$E$5:$E$304,MATCH($D437,lst_Profil,0))+0,""))</f>
        <v/>
      </c>
      <c r="N437" s="27">
        <f>IF(OR(L437="",$E437=""),"",IFERROR(L437*INDEX(Werkstoffe!$E$5:$E$304,MATCH($E437,lst_Werkstoff,0))/1000,""))</f>
        <v/>
      </c>
      <c r="O437" s="27">
        <f>IF(OR(N437="",$F437=""),"",N437*$F437/1000)</f>
        <v/>
      </c>
      <c r="P437" s="16">
        <f>IF(OR($F437="",$G437=""),"",$F437*$G437)</f>
        <v/>
      </c>
      <c r="Q437" s="16">
        <f>IF($D437="","",IF($J437&lt;&gt;"",$J437,$C$9))</f>
        <v/>
      </c>
      <c r="R437" s="12">
        <f>IF($D437="","",IFERROR(IF(INDEX(Profile!$G$5:$G$304,MATCH($D437,lst_Profil,0))&lt;&gt;"",INDEX(Profile!$G$5:$G$304,MATCH($D437,lst_Profil,0)),$H$4),$H$4))</f>
        <v/>
      </c>
      <c r="S437" s="12">
        <f>IF($D437="","",IFERROR(IF(INDEX(Profile!$H$5:$H$304,MATCH($D437,lst_Profil,0))&lt;&gt;"",INDEX(Profile!$H$5:$H$304,MATCH($D437,lst_Profil,0)),$H$5),$H$5))</f>
        <v/>
      </c>
      <c r="T437" s="16">
        <f>IF(OR(Q437="",NOT(ISNUMBER(R437)),NOT(ISNUMBER(S437))),"",Q437-R437-S437)</f>
        <v/>
      </c>
      <c r="U437" s="28">
        <f>IF(OR($D437="",$E437=""),"",IF(OR(N($AP437)&gt;0,COUNTIFS(Preise!$A$5:$A$304,$D437,Preise!$B$5:$B$304,$E437,Preise!$I$5:$I$304,"OK")&gt;0,N(INDEX(Werkstoffe!$G$5:$G$304,MATCH($E437,lst_Werkstoff,0)))&gt;0),"ja","nein"))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28">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Materialpreis",IF(AND($AQ437&lt;&gt;"",N($AR437)&gt;0,MOD($G437,$AR437)&lt;&gt;0),"WARNUNG: Stückzahl ist kein Vielfaches von Stück je Satz",IF($H437="","HINWEIS: Schneidweg fehlt",IF(V437="","HINWEIS: keine Schneiddaten",IF(AND($AF437&lt;&gt;"",$AG437=""),"HINWEIS: Gewinde-Vorschlag prüfen","OK")))))))))))))))</f>
        <v/>
      </c>
      <c r="X437" s="18">
        <f>IF(OR(O437="",$G437=""),"",O437*$G437)</f>
        <v/>
      </c>
      <c r="Y437" s="9" t="n"/>
      <c r="Z437" s="23" t="n"/>
      <c r="AA437" s="9" t="n"/>
      <c r="AB437" s="23" t="n"/>
      <c r="AC437" s="23" t="n"/>
      <c r="AD437" s="23" t="n"/>
      <c r="AE437" s="9" t="n"/>
      <c r="AF437" s="9" t="n"/>
      <c r="AG437" s="9" t="n"/>
      <c r="AH437" s="24" t="n"/>
      <c r="AI437" s="23" t="n"/>
      <c r="AJ437" s="24" t="n"/>
      <c r="AK437" s="23" t="n"/>
      <c r="AL437" s="24" t="n"/>
      <c r="AM437" s="23" t="n"/>
      <c r="AN437" s="28">
        <f>IF($D437="","",COUNTIFS(Stangenbelegung!$E$5:$E$10004,ROW()))</f>
        <v/>
      </c>
      <c r="AO437" s="28">
        <f>IF(OR($G437="",COUNTA(Stangenbelegung!$A$5:$A$10004)=0),"",$G437-AN437)</f>
        <v/>
      </c>
      <c r="AP437" s="29" t="n"/>
      <c r="AQ437" s="9" t="n"/>
      <c r="AR437" s="19" t="n"/>
    </row>
    <row r="438">
      <c r="A438" s="9" t="n"/>
      <c r="B438" s="9" t="n"/>
      <c r="C438" s="9" t="n"/>
      <c r="D438" s="9" t="n"/>
      <c r="E438" s="9" t="n"/>
      <c r="F438" s="23" t="n"/>
      <c r="G438" s="19" t="n"/>
      <c r="H438" s="23" t="n"/>
      <c r="I438" s="24" t="n"/>
      <c r="J438" s="19" t="n"/>
      <c r="K438" s="25">
        <f>IF($D438="","",IFERROR(INDEX(Profile!$B$5:$B$304,MATCH($D438,lst_Profil,0)),""))</f>
        <v/>
      </c>
      <c r="L438" s="13">
        <f>IF($D438="","",IFERROR(INDEX(Profile!$K$5:$K$304,MATCH($D438,lst_Profil,0))+0,""))</f>
        <v/>
      </c>
      <c r="M438" s="26">
        <f>IF($D438="","",IFERROR(INDEX(Profile!$E$5:$E$304,MATCH($D438,lst_Profil,0))+0,""))</f>
        <v/>
      </c>
      <c r="N438" s="27">
        <f>IF(OR(L438="",$E438=""),"",IFERROR(L438*INDEX(Werkstoffe!$E$5:$E$304,MATCH($E438,lst_Werkstoff,0))/1000,""))</f>
        <v/>
      </c>
      <c r="O438" s="27">
        <f>IF(OR(N438="",$F438=""),"",N438*$F438/1000)</f>
        <v/>
      </c>
      <c r="P438" s="16">
        <f>IF(OR($F438="",$G438=""),"",$F438*$G438)</f>
        <v/>
      </c>
      <c r="Q438" s="16">
        <f>IF($D438="","",IF($J438&lt;&gt;"",$J438,$C$9))</f>
        <v/>
      </c>
      <c r="R438" s="12">
        <f>IF($D438="","",IFERROR(IF(INDEX(Profile!$G$5:$G$304,MATCH($D438,lst_Profil,0))&lt;&gt;"",INDEX(Profile!$G$5:$G$304,MATCH($D438,lst_Profil,0)),$H$4),$H$4))</f>
        <v/>
      </c>
      <c r="S438" s="12">
        <f>IF($D438="","",IFERROR(IF(INDEX(Profile!$H$5:$H$304,MATCH($D438,lst_Profil,0))&lt;&gt;"",INDEX(Profile!$H$5:$H$304,MATCH($D438,lst_Profil,0)),$H$5),$H$5))</f>
        <v/>
      </c>
      <c r="T438" s="16">
        <f>IF(OR(Q438="",NOT(ISNUMBER(R438)),NOT(ISNUMBER(S438))),"",Q438-R438-S438)</f>
        <v/>
      </c>
      <c r="U438" s="28">
        <f>IF(OR($D438="",$E438=""),"",IF(OR(N($AP438)&gt;0,COUNTIFS(Preise!$A$5:$A$304,$D438,Preise!$B$5:$B$304,$E438,Preise!$I$5:$I$304,"OK")&gt;0,N(INDEX(Werkstoffe!$G$5:$G$304,MATCH($E438,lst_Werkstoff,0)))&gt;0),"ja","nein"))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28">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Materialpreis",IF(AND($AQ438&lt;&gt;"",N($AR438)&gt;0,MOD($G438,$AR438)&lt;&gt;0),"WARNUNG: Stückzahl ist kein Vielfaches von Stück je Satz",IF($H438="","HINWEIS: Schneidweg fehlt",IF(V438="","HINWEIS: keine Schneiddaten",IF(AND($AF438&lt;&gt;"",$AG438=""),"HINWEIS: Gewinde-Vorschlag prüfen","OK")))))))))))))))</f>
        <v/>
      </c>
      <c r="X438" s="18">
        <f>IF(OR(O438="",$G438=""),"",O438*$G438)</f>
        <v/>
      </c>
      <c r="Y438" s="9" t="n"/>
      <c r="Z438" s="23" t="n"/>
      <c r="AA438" s="9" t="n"/>
      <c r="AB438" s="23" t="n"/>
      <c r="AC438" s="23" t="n"/>
      <c r="AD438" s="23" t="n"/>
      <c r="AE438" s="9" t="n"/>
      <c r="AF438" s="9" t="n"/>
      <c r="AG438" s="9" t="n"/>
      <c r="AH438" s="24" t="n"/>
      <c r="AI438" s="23" t="n"/>
      <c r="AJ438" s="24" t="n"/>
      <c r="AK438" s="23" t="n"/>
      <c r="AL438" s="24" t="n"/>
      <c r="AM438" s="23" t="n"/>
      <c r="AN438" s="28">
        <f>IF($D438="","",COUNTIFS(Stangenbelegung!$E$5:$E$10004,ROW()))</f>
        <v/>
      </c>
      <c r="AO438" s="28">
        <f>IF(OR($G438="",COUNTA(Stangenbelegung!$A$5:$A$10004)=0),"",$G438-AN438)</f>
        <v/>
      </c>
      <c r="AP438" s="29" t="n"/>
      <c r="AQ438" s="9" t="n"/>
      <c r="AR438" s="19" t="n"/>
    </row>
    <row r="439">
      <c r="A439" s="9" t="n"/>
      <c r="B439" s="9" t="n"/>
      <c r="C439" s="9" t="n"/>
      <c r="D439" s="9" t="n"/>
      <c r="E439" s="9" t="n"/>
      <c r="F439" s="23" t="n"/>
      <c r="G439" s="19" t="n"/>
      <c r="H439" s="23" t="n"/>
      <c r="I439" s="24" t="n"/>
      <c r="J439" s="19" t="n"/>
      <c r="K439" s="25">
        <f>IF($D439="","",IFERROR(INDEX(Profile!$B$5:$B$304,MATCH($D439,lst_Profil,0)),""))</f>
        <v/>
      </c>
      <c r="L439" s="13">
        <f>IF($D439="","",IFERROR(INDEX(Profile!$K$5:$K$304,MATCH($D439,lst_Profil,0))+0,""))</f>
        <v/>
      </c>
      <c r="M439" s="26">
        <f>IF($D439="","",IFERROR(INDEX(Profile!$E$5:$E$304,MATCH($D439,lst_Profil,0))+0,""))</f>
        <v/>
      </c>
      <c r="N439" s="27">
        <f>IF(OR(L439="",$E439=""),"",IFERROR(L439*INDEX(Werkstoffe!$E$5:$E$304,MATCH($E439,lst_Werkstoff,0))/1000,""))</f>
        <v/>
      </c>
      <c r="O439" s="27">
        <f>IF(OR(N439="",$F439=""),"",N439*$F439/1000)</f>
        <v/>
      </c>
      <c r="P439" s="16">
        <f>IF(OR($F439="",$G439=""),"",$F439*$G439)</f>
        <v/>
      </c>
      <c r="Q439" s="16">
        <f>IF($D439="","",IF($J439&lt;&gt;"",$J439,$C$9))</f>
        <v/>
      </c>
      <c r="R439" s="12">
        <f>IF($D439="","",IFERROR(IF(INDEX(Profile!$G$5:$G$304,MATCH($D439,lst_Profil,0))&lt;&gt;"",INDEX(Profile!$G$5:$G$304,MATCH($D439,lst_Profil,0)),$H$4),$H$4))</f>
        <v/>
      </c>
      <c r="S439" s="12">
        <f>IF($D439="","",IFERROR(IF(INDEX(Profile!$H$5:$H$304,MATCH($D439,lst_Profil,0))&lt;&gt;"",INDEX(Profile!$H$5:$H$304,MATCH($D439,lst_Profil,0)),$H$5),$H$5))</f>
        <v/>
      </c>
      <c r="T439" s="16">
        <f>IF(OR(Q439="",NOT(ISNUMBER(R439)),NOT(ISNUMBER(S439))),"",Q439-R439-S439)</f>
        <v/>
      </c>
      <c r="U439" s="28">
        <f>IF(OR($D439="",$E439=""),"",IF(OR(N($AP439)&gt;0,COUNTIFS(Preise!$A$5:$A$304,$D439,Preise!$B$5:$B$304,$E439,Preise!$I$5:$I$304,"OK")&gt;0,N(INDEX(Werkstoffe!$G$5:$G$304,MATCH($E439,lst_Werkstoff,0)))&gt;0),"ja","nein"))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28">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Materialpreis",IF(AND($AQ439&lt;&gt;"",N($AR439)&gt;0,MOD($G439,$AR439)&lt;&gt;0),"WARNUNG: Stückzahl ist kein Vielfaches von Stück je Satz",IF($H439="","HINWEIS: Schneidweg fehlt",IF(V439="","HINWEIS: keine Schneiddaten",IF(AND($AF439&lt;&gt;"",$AG439=""),"HINWEIS: Gewinde-Vorschlag prüfen","OK")))))))))))))))</f>
        <v/>
      </c>
      <c r="X439" s="18">
        <f>IF(OR(O439="",$G439=""),"",O439*$G439)</f>
        <v/>
      </c>
      <c r="Y439" s="9" t="n"/>
      <c r="Z439" s="23" t="n"/>
      <c r="AA439" s="9" t="n"/>
      <c r="AB439" s="23" t="n"/>
      <c r="AC439" s="23" t="n"/>
      <c r="AD439" s="23" t="n"/>
      <c r="AE439" s="9" t="n"/>
      <c r="AF439" s="9" t="n"/>
      <c r="AG439" s="9" t="n"/>
      <c r="AH439" s="24" t="n"/>
      <c r="AI439" s="23" t="n"/>
      <c r="AJ439" s="24" t="n"/>
      <c r="AK439" s="23" t="n"/>
      <c r="AL439" s="24" t="n"/>
      <c r="AM439" s="23" t="n"/>
      <c r="AN439" s="28">
        <f>IF($D439="","",COUNTIFS(Stangenbelegung!$E$5:$E$10004,ROW()))</f>
        <v/>
      </c>
      <c r="AO439" s="28">
        <f>IF(OR($G439="",COUNTA(Stangenbelegung!$A$5:$A$10004)=0),"",$G439-AN439)</f>
        <v/>
      </c>
      <c r="AP439" s="29" t="n"/>
      <c r="AQ439" s="9" t="n"/>
      <c r="AR439" s="19" t="n"/>
    </row>
    <row r="440">
      <c r="A440" s="9" t="n"/>
      <c r="B440" s="9" t="n"/>
      <c r="C440" s="9" t="n"/>
      <c r="D440" s="9" t="n"/>
      <c r="E440" s="9" t="n"/>
      <c r="F440" s="23" t="n"/>
      <c r="G440" s="19" t="n"/>
      <c r="H440" s="23" t="n"/>
      <c r="I440" s="24" t="n"/>
      <c r="J440" s="19" t="n"/>
      <c r="K440" s="25">
        <f>IF($D440="","",IFERROR(INDEX(Profile!$B$5:$B$304,MATCH($D440,lst_Profil,0)),""))</f>
        <v/>
      </c>
      <c r="L440" s="13">
        <f>IF($D440="","",IFERROR(INDEX(Profile!$K$5:$K$304,MATCH($D440,lst_Profil,0))+0,""))</f>
        <v/>
      </c>
      <c r="M440" s="26">
        <f>IF($D440="","",IFERROR(INDEX(Profile!$E$5:$E$304,MATCH($D440,lst_Profil,0))+0,""))</f>
        <v/>
      </c>
      <c r="N440" s="27">
        <f>IF(OR(L440="",$E440=""),"",IFERROR(L440*INDEX(Werkstoffe!$E$5:$E$304,MATCH($E440,lst_Werkstoff,0))/1000,""))</f>
        <v/>
      </c>
      <c r="O440" s="27">
        <f>IF(OR(N440="",$F440=""),"",N440*$F440/1000)</f>
        <v/>
      </c>
      <c r="P440" s="16">
        <f>IF(OR($F440="",$G440=""),"",$F440*$G440)</f>
        <v/>
      </c>
      <c r="Q440" s="16">
        <f>IF($D440="","",IF($J440&lt;&gt;"",$J440,$C$9))</f>
        <v/>
      </c>
      <c r="R440" s="12">
        <f>IF($D440="","",IFERROR(IF(INDEX(Profile!$G$5:$G$304,MATCH($D440,lst_Profil,0))&lt;&gt;"",INDEX(Profile!$G$5:$G$304,MATCH($D440,lst_Profil,0)),$H$4),$H$4))</f>
        <v/>
      </c>
      <c r="S440" s="12">
        <f>IF($D440="","",IFERROR(IF(INDEX(Profile!$H$5:$H$304,MATCH($D440,lst_Profil,0))&lt;&gt;"",INDEX(Profile!$H$5:$H$304,MATCH($D440,lst_Profil,0)),$H$5),$H$5))</f>
        <v/>
      </c>
      <c r="T440" s="16">
        <f>IF(OR(Q440="",NOT(ISNUMBER(R440)),NOT(ISNUMBER(S440))),"",Q440-R440-S440)</f>
        <v/>
      </c>
      <c r="U440" s="28">
        <f>IF(OR($D440="",$E440=""),"",IF(OR(N($AP440)&gt;0,COUNTIFS(Preise!$A$5:$A$304,$D440,Preise!$B$5:$B$304,$E440,Preise!$I$5:$I$304,"OK")&gt;0,N(INDEX(Werkstoffe!$G$5:$G$304,MATCH($E440,lst_Werkstoff,0)))&gt;0),"ja","nein"))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28">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Materialpreis",IF(AND($AQ440&lt;&gt;"",N($AR440)&gt;0,MOD($G440,$AR440)&lt;&gt;0),"WARNUNG: Stückzahl ist kein Vielfaches von Stück je Satz",IF($H440="","HINWEIS: Schneidweg fehlt",IF(V440="","HINWEIS: keine Schneiddaten",IF(AND($AF440&lt;&gt;"",$AG440=""),"HINWEIS: Gewinde-Vorschlag prüfen","OK")))))))))))))))</f>
        <v/>
      </c>
      <c r="X440" s="18">
        <f>IF(OR(O440="",$G440=""),"",O440*$G440)</f>
        <v/>
      </c>
      <c r="Y440" s="9" t="n"/>
      <c r="Z440" s="23" t="n"/>
      <c r="AA440" s="9" t="n"/>
      <c r="AB440" s="23" t="n"/>
      <c r="AC440" s="23" t="n"/>
      <c r="AD440" s="23" t="n"/>
      <c r="AE440" s="9" t="n"/>
      <c r="AF440" s="9" t="n"/>
      <c r="AG440" s="9" t="n"/>
      <c r="AH440" s="24" t="n"/>
      <c r="AI440" s="23" t="n"/>
      <c r="AJ440" s="24" t="n"/>
      <c r="AK440" s="23" t="n"/>
      <c r="AL440" s="24" t="n"/>
      <c r="AM440" s="23" t="n"/>
      <c r="AN440" s="28">
        <f>IF($D440="","",COUNTIFS(Stangenbelegung!$E$5:$E$10004,ROW()))</f>
        <v/>
      </c>
      <c r="AO440" s="28">
        <f>IF(OR($G440="",COUNTA(Stangenbelegung!$A$5:$A$10004)=0),"",$G440-AN440)</f>
        <v/>
      </c>
      <c r="AP440" s="29" t="n"/>
      <c r="AQ440" s="9" t="n"/>
      <c r="AR440" s="19" t="n"/>
    </row>
    <row r="441">
      <c r="A441" s="9" t="n"/>
      <c r="B441" s="9" t="n"/>
      <c r="C441" s="9" t="n"/>
      <c r="D441" s="9" t="n"/>
      <c r="E441" s="9" t="n"/>
      <c r="F441" s="23" t="n"/>
      <c r="G441" s="19" t="n"/>
      <c r="H441" s="23" t="n"/>
      <c r="I441" s="24" t="n"/>
      <c r="J441" s="19" t="n"/>
      <c r="K441" s="25">
        <f>IF($D441="","",IFERROR(INDEX(Profile!$B$5:$B$304,MATCH($D441,lst_Profil,0)),""))</f>
        <v/>
      </c>
      <c r="L441" s="13">
        <f>IF($D441="","",IFERROR(INDEX(Profile!$K$5:$K$304,MATCH($D441,lst_Profil,0))+0,""))</f>
        <v/>
      </c>
      <c r="M441" s="26">
        <f>IF($D441="","",IFERROR(INDEX(Profile!$E$5:$E$304,MATCH($D441,lst_Profil,0))+0,""))</f>
        <v/>
      </c>
      <c r="N441" s="27">
        <f>IF(OR(L441="",$E441=""),"",IFERROR(L441*INDEX(Werkstoffe!$E$5:$E$304,MATCH($E441,lst_Werkstoff,0))/1000,""))</f>
        <v/>
      </c>
      <c r="O441" s="27">
        <f>IF(OR(N441="",$F441=""),"",N441*$F441/1000)</f>
        <v/>
      </c>
      <c r="P441" s="16">
        <f>IF(OR($F441="",$G441=""),"",$F441*$G441)</f>
        <v/>
      </c>
      <c r="Q441" s="16">
        <f>IF($D441="","",IF($J441&lt;&gt;"",$J441,$C$9))</f>
        <v/>
      </c>
      <c r="R441" s="12">
        <f>IF($D441="","",IFERROR(IF(INDEX(Profile!$G$5:$G$304,MATCH($D441,lst_Profil,0))&lt;&gt;"",INDEX(Profile!$G$5:$G$304,MATCH($D441,lst_Profil,0)),$H$4),$H$4))</f>
        <v/>
      </c>
      <c r="S441" s="12">
        <f>IF($D441="","",IFERROR(IF(INDEX(Profile!$H$5:$H$304,MATCH($D441,lst_Profil,0))&lt;&gt;"",INDEX(Profile!$H$5:$H$304,MATCH($D441,lst_Profil,0)),$H$5),$H$5))</f>
        <v/>
      </c>
      <c r="T441" s="16">
        <f>IF(OR(Q441="",NOT(ISNUMBER(R441)),NOT(ISNUMBER(S441))),"",Q441-R441-S441)</f>
        <v/>
      </c>
      <c r="U441" s="28">
        <f>IF(OR($D441="",$E441=""),"",IF(OR(N($AP441)&gt;0,COUNTIFS(Preise!$A$5:$A$304,$D441,Preise!$B$5:$B$304,$E441,Preise!$I$5:$I$304,"OK")&gt;0,N(INDEX(Werkstoffe!$G$5:$G$304,MATCH($E441,lst_Werkstoff,0)))&gt;0),"ja","nein"))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28">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Materialpreis",IF(AND($AQ441&lt;&gt;"",N($AR441)&gt;0,MOD($G441,$AR441)&lt;&gt;0),"WARNUNG: Stückzahl ist kein Vielfaches von Stück je Satz",IF($H441="","HINWEIS: Schneidweg fehlt",IF(V441="","HINWEIS: keine Schneiddaten",IF(AND($AF441&lt;&gt;"",$AG441=""),"HINWEIS: Gewinde-Vorschlag prüfen","OK")))))))))))))))</f>
        <v/>
      </c>
      <c r="X441" s="18">
        <f>IF(OR(O441="",$G441=""),"",O441*$G441)</f>
        <v/>
      </c>
      <c r="Y441" s="9" t="n"/>
      <c r="Z441" s="23" t="n"/>
      <c r="AA441" s="9" t="n"/>
      <c r="AB441" s="23" t="n"/>
      <c r="AC441" s="23" t="n"/>
      <c r="AD441" s="23" t="n"/>
      <c r="AE441" s="9" t="n"/>
      <c r="AF441" s="9" t="n"/>
      <c r="AG441" s="9" t="n"/>
      <c r="AH441" s="24" t="n"/>
      <c r="AI441" s="23" t="n"/>
      <c r="AJ441" s="24" t="n"/>
      <c r="AK441" s="23" t="n"/>
      <c r="AL441" s="24" t="n"/>
      <c r="AM441" s="23" t="n"/>
      <c r="AN441" s="28">
        <f>IF($D441="","",COUNTIFS(Stangenbelegung!$E$5:$E$10004,ROW()))</f>
        <v/>
      </c>
      <c r="AO441" s="28">
        <f>IF(OR($G441="",COUNTA(Stangenbelegung!$A$5:$A$10004)=0),"",$G441-AN441)</f>
        <v/>
      </c>
      <c r="AP441" s="29" t="n"/>
      <c r="AQ441" s="9" t="n"/>
      <c r="AR441" s="19" t="n"/>
    </row>
    <row r="442">
      <c r="A442" s="9" t="n"/>
      <c r="B442" s="9" t="n"/>
      <c r="C442" s="9" t="n"/>
      <c r="D442" s="9" t="n"/>
      <c r="E442" s="9" t="n"/>
      <c r="F442" s="23" t="n"/>
      <c r="G442" s="19" t="n"/>
      <c r="H442" s="23" t="n"/>
      <c r="I442" s="24" t="n"/>
      <c r="J442" s="19" t="n"/>
      <c r="K442" s="25">
        <f>IF($D442="","",IFERROR(INDEX(Profile!$B$5:$B$304,MATCH($D442,lst_Profil,0)),""))</f>
        <v/>
      </c>
      <c r="L442" s="13">
        <f>IF($D442="","",IFERROR(INDEX(Profile!$K$5:$K$304,MATCH($D442,lst_Profil,0))+0,""))</f>
        <v/>
      </c>
      <c r="M442" s="26">
        <f>IF($D442="","",IFERROR(INDEX(Profile!$E$5:$E$304,MATCH($D442,lst_Profil,0))+0,""))</f>
        <v/>
      </c>
      <c r="N442" s="27">
        <f>IF(OR(L442="",$E442=""),"",IFERROR(L442*INDEX(Werkstoffe!$E$5:$E$304,MATCH($E442,lst_Werkstoff,0))/1000,""))</f>
        <v/>
      </c>
      <c r="O442" s="27">
        <f>IF(OR(N442="",$F442=""),"",N442*$F442/1000)</f>
        <v/>
      </c>
      <c r="P442" s="16">
        <f>IF(OR($F442="",$G442=""),"",$F442*$G442)</f>
        <v/>
      </c>
      <c r="Q442" s="16">
        <f>IF($D442="","",IF($J442&lt;&gt;"",$J442,$C$9))</f>
        <v/>
      </c>
      <c r="R442" s="12">
        <f>IF($D442="","",IFERROR(IF(INDEX(Profile!$G$5:$G$304,MATCH($D442,lst_Profil,0))&lt;&gt;"",INDEX(Profile!$G$5:$G$304,MATCH($D442,lst_Profil,0)),$H$4),$H$4))</f>
        <v/>
      </c>
      <c r="S442" s="12">
        <f>IF($D442="","",IFERROR(IF(INDEX(Profile!$H$5:$H$304,MATCH($D442,lst_Profil,0))&lt;&gt;"",INDEX(Profile!$H$5:$H$304,MATCH($D442,lst_Profil,0)),$H$5),$H$5))</f>
        <v/>
      </c>
      <c r="T442" s="16">
        <f>IF(OR(Q442="",NOT(ISNUMBER(R442)),NOT(ISNUMBER(S442))),"",Q442-R442-S442)</f>
        <v/>
      </c>
      <c r="U442" s="28">
        <f>IF(OR($D442="",$E442=""),"",IF(OR(N($AP442)&gt;0,COUNTIFS(Preise!$A$5:$A$304,$D442,Preise!$B$5:$B$304,$E442,Preise!$I$5:$I$304,"OK")&gt;0,N(INDEX(Werkstoffe!$G$5:$G$304,MATCH($E442,lst_Werkstoff,0)))&gt;0),"ja","nein"))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28">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Materialpreis",IF(AND($AQ442&lt;&gt;"",N($AR442)&gt;0,MOD($G442,$AR442)&lt;&gt;0),"WARNUNG: Stückzahl ist kein Vielfaches von Stück je Satz",IF($H442="","HINWEIS: Schneidweg fehlt",IF(V442="","HINWEIS: keine Schneiddaten",IF(AND($AF442&lt;&gt;"",$AG442=""),"HINWEIS: Gewinde-Vorschlag prüfen","OK")))))))))))))))</f>
        <v/>
      </c>
      <c r="X442" s="18">
        <f>IF(OR(O442="",$G442=""),"",O442*$G442)</f>
        <v/>
      </c>
      <c r="Y442" s="9" t="n"/>
      <c r="Z442" s="23" t="n"/>
      <c r="AA442" s="9" t="n"/>
      <c r="AB442" s="23" t="n"/>
      <c r="AC442" s="23" t="n"/>
      <c r="AD442" s="23" t="n"/>
      <c r="AE442" s="9" t="n"/>
      <c r="AF442" s="9" t="n"/>
      <c r="AG442" s="9" t="n"/>
      <c r="AH442" s="24" t="n"/>
      <c r="AI442" s="23" t="n"/>
      <c r="AJ442" s="24" t="n"/>
      <c r="AK442" s="23" t="n"/>
      <c r="AL442" s="24" t="n"/>
      <c r="AM442" s="23" t="n"/>
      <c r="AN442" s="28">
        <f>IF($D442="","",COUNTIFS(Stangenbelegung!$E$5:$E$10004,ROW()))</f>
        <v/>
      </c>
      <c r="AO442" s="28">
        <f>IF(OR($G442="",COUNTA(Stangenbelegung!$A$5:$A$10004)=0),"",$G442-AN442)</f>
        <v/>
      </c>
      <c r="AP442" s="29" t="n"/>
      <c r="AQ442" s="9" t="n"/>
      <c r="AR442" s="19" t="n"/>
    </row>
    <row r="443">
      <c r="A443" s="9" t="n"/>
      <c r="B443" s="9" t="n"/>
      <c r="C443" s="9" t="n"/>
      <c r="D443" s="9" t="n"/>
      <c r="E443" s="9" t="n"/>
      <c r="F443" s="23" t="n"/>
      <c r="G443" s="19" t="n"/>
      <c r="H443" s="23" t="n"/>
      <c r="I443" s="24" t="n"/>
      <c r="J443" s="19" t="n"/>
      <c r="K443" s="25">
        <f>IF($D443="","",IFERROR(INDEX(Profile!$B$5:$B$304,MATCH($D443,lst_Profil,0)),""))</f>
        <v/>
      </c>
      <c r="L443" s="13">
        <f>IF($D443="","",IFERROR(INDEX(Profile!$K$5:$K$304,MATCH($D443,lst_Profil,0))+0,""))</f>
        <v/>
      </c>
      <c r="M443" s="26">
        <f>IF($D443="","",IFERROR(INDEX(Profile!$E$5:$E$304,MATCH($D443,lst_Profil,0))+0,""))</f>
        <v/>
      </c>
      <c r="N443" s="27">
        <f>IF(OR(L443="",$E443=""),"",IFERROR(L443*INDEX(Werkstoffe!$E$5:$E$304,MATCH($E443,lst_Werkstoff,0))/1000,""))</f>
        <v/>
      </c>
      <c r="O443" s="27">
        <f>IF(OR(N443="",$F443=""),"",N443*$F443/1000)</f>
        <v/>
      </c>
      <c r="P443" s="16">
        <f>IF(OR($F443="",$G443=""),"",$F443*$G443)</f>
        <v/>
      </c>
      <c r="Q443" s="16">
        <f>IF($D443="","",IF($J443&lt;&gt;"",$J443,$C$9))</f>
        <v/>
      </c>
      <c r="R443" s="12">
        <f>IF($D443="","",IFERROR(IF(INDEX(Profile!$G$5:$G$304,MATCH($D443,lst_Profil,0))&lt;&gt;"",INDEX(Profile!$G$5:$G$304,MATCH($D443,lst_Profil,0)),$H$4),$H$4))</f>
        <v/>
      </c>
      <c r="S443" s="12">
        <f>IF($D443="","",IFERROR(IF(INDEX(Profile!$H$5:$H$304,MATCH($D443,lst_Profil,0))&lt;&gt;"",INDEX(Profile!$H$5:$H$304,MATCH($D443,lst_Profil,0)),$H$5),$H$5))</f>
        <v/>
      </c>
      <c r="T443" s="16">
        <f>IF(OR(Q443="",NOT(ISNUMBER(R443)),NOT(ISNUMBER(S443))),"",Q443-R443-S443)</f>
        <v/>
      </c>
      <c r="U443" s="28">
        <f>IF(OR($D443="",$E443=""),"",IF(OR(N($AP443)&gt;0,COUNTIFS(Preise!$A$5:$A$304,$D443,Preise!$B$5:$B$304,$E443,Preise!$I$5:$I$304,"OK")&gt;0,N(INDEX(Werkstoffe!$G$5:$G$304,MATCH($E443,lst_Werkstoff,0)))&gt;0),"ja","nein"))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28">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Materialpreis",IF(AND($AQ443&lt;&gt;"",N($AR443)&gt;0,MOD($G443,$AR443)&lt;&gt;0),"WARNUNG: Stückzahl ist kein Vielfaches von Stück je Satz",IF($H443="","HINWEIS: Schneidweg fehlt",IF(V443="","HINWEIS: keine Schneiddaten",IF(AND($AF443&lt;&gt;"",$AG443=""),"HINWEIS: Gewinde-Vorschlag prüfen","OK")))))))))))))))</f>
        <v/>
      </c>
      <c r="X443" s="18">
        <f>IF(OR(O443="",$G443=""),"",O443*$G443)</f>
        <v/>
      </c>
      <c r="Y443" s="9" t="n"/>
      <c r="Z443" s="23" t="n"/>
      <c r="AA443" s="9" t="n"/>
      <c r="AB443" s="23" t="n"/>
      <c r="AC443" s="23" t="n"/>
      <c r="AD443" s="23" t="n"/>
      <c r="AE443" s="9" t="n"/>
      <c r="AF443" s="9" t="n"/>
      <c r="AG443" s="9" t="n"/>
      <c r="AH443" s="24" t="n"/>
      <c r="AI443" s="23" t="n"/>
      <c r="AJ443" s="24" t="n"/>
      <c r="AK443" s="23" t="n"/>
      <c r="AL443" s="24" t="n"/>
      <c r="AM443" s="23" t="n"/>
      <c r="AN443" s="28">
        <f>IF($D443="","",COUNTIFS(Stangenbelegung!$E$5:$E$10004,ROW()))</f>
        <v/>
      </c>
      <c r="AO443" s="28">
        <f>IF(OR($G443="",COUNTA(Stangenbelegung!$A$5:$A$10004)=0),"",$G443-AN443)</f>
        <v/>
      </c>
      <c r="AP443" s="29" t="n"/>
      <c r="AQ443" s="9" t="n"/>
      <c r="AR443" s="19" t="n"/>
    </row>
    <row r="444">
      <c r="A444" s="9" t="n"/>
      <c r="B444" s="9" t="n"/>
      <c r="C444" s="9" t="n"/>
      <c r="D444" s="9" t="n"/>
      <c r="E444" s="9" t="n"/>
      <c r="F444" s="23" t="n"/>
      <c r="G444" s="19" t="n"/>
      <c r="H444" s="23" t="n"/>
      <c r="I444" s="24" t="n"/>
      <c r="J444" s="19" t="n"/>
      <c r="K444" s="25">
        <f>IF($D444="","",IFERROR(INDEX(Profile!$B$5:$B$304,MATCH($D444,lst_Profil,0)),""))</f>
        <v/>
      </c>
      <c r="L444" s="13">
        <f>IF($D444="","",IFERROR(INDEX(Profile!$K$5:$K$304,MATCH($D444,lst_Profil,0))+0,""))</f>
        <v/>
      </c>
      <c r="M444" s="26">
        <f>IF($D444="","",IFERROR(INDEX(Profile!$E$5:$E$304,MATCH($D444,lst_Profil,0))+0,""))</f>
        <v/>
      </c>
      <c r="N444" s="27">
        <f>IF(OR(L444="",$E444=""),"",IFERROR(L444*INDEX(Werkstoffe!$E$5:$E$304,MATCH($E444,lst_Werkstoff,0))/1000,""))</f>
        <v/>
      </c>
      <c r="O444" s="27">
        <f>IF(OR(N444="",$F444=""),"",N444*$F444/1000)</f>
        <v/>
      </c>
      <c r="P444" s="16">
        <f>IF(OR($F444="",$G444=""),"",$F444*$G444)</f>
        <v/>
      </c>
      <c r="Q444" s="16">
        <f>IF($D444="","",IF($J444&lt;&gt;"",$J444,$C$9))</f>
        <v/>
      </c>
      <c r="R444" s="12">
        <f>IF($D444="","",IFERROR(IF(INDEX(Profile!$G$5:$G$304,MATCH($D444,lst_Profil,0))&lt;&gt;"",INDEX(Profile!$G$5:$G$304,MATCH($D444,lst_Profil,0)),$H$4),$H$4))</f>
        <v/>
      </c>
      <c r="S444" s="12">
        <f>IF($D444="","",IFERROR(IF(INDEX(Profile!$H$5:$H$304,MATCH($D444,lst_Profil,0))&lt;&gt;"",INDEX(Profile!$H$5:$H$304,MATCH($D444,lst_Profil,0)),$H$5),$H$5))</f>
        <v/>
      </c>
      <c r="T444" s="16">
        <f>IF(OR(Q444="",NOT(ISNUMBER(R444)),NOT(ISNUMBER(S444))),"",Q444-R444-S444)</f>
        <v/>
      </c>
      <c r="U444" s="28">
        <f>IF(OR($D444="",$E444=""),"",IF(OR(N($AP444)&gt;0,COUNTIFS(Preise!$A$5:$A$304,$D444,Preise!$B$5:$B$304,$E444,Preise!$I$5:$I$304,"OK")&gt;0,N(INDEX(Werkstoffe!$G$5:$G$304,MATCH($E444,lst_Werkstoff,0)))&gt;0),"ja","nein"))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28">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Materialpreis",IF(AND($AQ444&lt;&gt;"",N($AR444)&gt;0,MOD($G444,$AR444)&lt;&gt;0),"WARNUNG: Stückzahl ist kein Vielfaches von Stück je Satz",IF($H444="","HINWEIS: Schneidweg fehlt",IF(V444="","HINWEIS: keine Schneiddaten",IF(AND($AF444&lt;&gt;"",$AG444=""),"HINWEIS: Gewinde-Vorschlag prüfen","OK")))))))))))))))</f>
        <v/>
      </c>
      <c r="X444" s="18">
        <f>IF(OR(O444="",$G444=""),"",O444*$G444)</f>
        <v/>
      </c>
      <c r="Y444" s="9" t="n"/>
      <c r="Z444" s="23" t="n"/>
      <c r="AA444" s="9" t="n"/>
      <c r="AB444" s="23" t="n"/>
      <c r="AC444" s="23" t="n"/>
      <c r="AD444" s="23" t="n"/>
      <c r="AE444" s="9" t="n"/>
      <c r="AF444" s="9" t="n"/>
      <c r="AG444" s="9" t="n"/>
      <c r="AH444" s="24" t="n"/>
      <c r="AI444" s="23" t="n"/>
      <c r="AJ444" s="24" t="n"/>
      <c r="AK444" s="23" t="n"/>
      <c r="AL444" s="24" t="n"/>
      <c r="AM444" s="23" t="n"/>
      <c r="AN444" s="28">
        <f>IF($D444="","",COUNTIFS(Stangenbelegung!$E$5:$E$10004,ROW()))</f>
        <v/>
      </c>
      <c r="AO444" s="28">
        <f>IF(OR($G444="",COUNTA(Stangenbelegung!$A$5:$A$10004)=0),"",$G444-AN444)</f>
        <v/>
      </c>
      <c r="AP444" s="29" t="n"/>
      <c r="AQ444" s="9" t="n"/>
      <c r="AR444" s="19" t="n"/>
    </row>
    <row r="445">
      <c r="A445" s="9" t="n"/>
      <c r="B445" s="9" t="n"/>
      <c r="C445" s="9" t="n"/>
      <c r="D445" s="9" t="n"/>
      <c r="E445" s="9" t="n"/>
      <c r="F445" s="23" t="n"/>
      <c r="G445" s="19" t="n"/>
      <c r="H445" s="23" t="n"/>
      <c r="I445" s="24" t="n"/>
      <c r="J445" s="19" t="n"/>
      <c r="K445" s="25">
        <f>IF($D445="","",IFERROR(INDEX(Profile!$B$5:$B$304,MATCH($D445,lst_Profil,0)),""))</f>
        <v/>
      </c>
      <c r="L445" s="13">
        <f>IF($D445="","",IFERROR(INDEX(Profile!$K$5:$K$304,MATCH($D445,lst_Profil,0))+0,""))</f>
        <v/>
      </c>
      <c r="M445" s="26">
        <f>IF($D445="","",IFERROR(INDEX(Profile!$E$5:$E$304,MATCH($D445,lst_Profil,0))+0,""))</f>
        <v/>
      </c>
      <c r="N445" s="27">
        <f>IF(OR(L445="",$E445=""),"",IFERROR(L445*INDEX(Werkstoffe!$E$5:$E$304,MATCH($E445,lst_Werkstoff,0))/1000,""))</f>
        <v/>
      </c>
      <c r="O445" s="27">
        <f>IF(OR(N445="",$F445=""),"",N445*$F445/1000)</f>
        <v/>
      </c>
      <c r="P445" s="16">
        <f>IF(OR($F445="",$G445=""),"",$F445*$G445)</f>
        <v/>
      </c>
      <c r="Q445" s="16">
        <f>IF($D445="","",IF($J445&lt;&gt;"",$J445,$C$9))</f>
        <v/>
      </c>
      <c r="R445" s="12">
        <f>IF($D445="","",IFERROR(IF(INDEX(Profile!$G$5:$G$304,MATCH($D445,lst_Profil,0))&lt;&gt;"",INDEX(Profile!$G$5:$G$304,MATCH($D445,lst_Profil,0)),$H$4),$H$4))</f>
        <v/>
      </c>
      <c r="S445" s="12">
        <f>IF($D445="","",IFERROR(IF(INDEX(Profile!$H$5:$H$304,MATCH($D445,lst_Profil,0))&lt;&gt;"",INDEX(Profile!$H$5:$H$304,MATCH($D445,lst_Profil,0)),$H$5),$H$5))</f>
        <v/>
      </c>
      <c r="T445" s="16">
        <f>IF(OR(Q445="",NOT(ISNUMBER(R445)),NOT(ISNUMBER(S445))),"",Q445-R445-S445)</f>
        <v/>
      </c>
      <c r="U445" s="28">
        <f>IF(OR($D445="",$E445=""),"",IF(OR(N($AP445)&gt;0,COUNTIFS(Preise!$A$5:$A$304,$D445,Preise!$B$5:$B$304,$E445,Preise!$I$5:$I$304,"OK")&gt;0,N(INDEX(Werkstoffe!$G$5:$G$304,MATCH($E445,lst_Werkstoff,0)))&gt;0),"ja","nein"))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28">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Materialpreis",IF(AND($AQ445&lt;&gt;"",N($AR445)&gt;0,MOD($G445,$AR445)&lt;&gt;0),"WARNUNG: Stückzahl ist kein Vielfaches von Stück je Satz",IF($H445="","HINWEIS: Schneidweg fehlt",IF(V445="","HINWEIS: keine Schneiddaten",IF(AND($AF445&lt;&gt;"",$AG445=""),"HINWEIS: Gewinde-Vorschlag prüfen","OK")))))))))))))))</f>
        <v/>
      </c>
      <c r="X445" s="18">
        <f>IF(OR(O445="",$G445=""),"",O445*$G445)</f>
        <v/>
      </c>
      <c r="Y445" s="9" t="n"/>
      <c r="Z445" s="23" t="n"/>
      <c r="AA445" s="9" t="n"/>
      <c r="AB445" s="23" t="n"/>
      <c r="AC445" s="23" t="n"/>
      <c r="AD445" s="23" t="n"/>
      <c r="AE445" s="9" t="n"/>
      <c r="AF445" s="9" t="n"/>
      <c r="AG445" s="9" t="n"/>
      <c r="AH445" s="24" t="n"/>
      <c r="AI445" s="23" t="n"/>
      <c r="AJ445" s="24" t="n"/>
      <c r="AK445" s="23" t="n"/>
      <c r="AL445" s="24" t="n"/>
      <c r="AM445" s="23" t="n"/>
      <c r="AN445" s="28">
        <f>IF($D445="","",COUNTIFS(Stangenbelegung!$E$5:$E$10004,ROW()))</f>
        <v/>
      </c>
      <c r="AO445" s="28">
        <f>IF(OR($G445="",COUNTA(Stangenbelegung!$A$5:$A$10004)=0),"",$G445-AN445)</f>
        <v/>
      </c>
      <c r="AP445" s="29" t="n"/>
      <c r="AQ445" s="9" t="n"/>
      <c r="AR445" s="19" t="n"/>
    </row>
    <row r="446">
      <c r="A446" s="9" t="n"/>
      <c r="B446" s="9" t="n"/>
      <c r="C446" s="9" t="n"/>
      <c r="D446" s="9" t="n"/>
      <c r="E446" s="9" t="n"/>
      <c r="F446" s="23" t="n"/>
      <c r="G446" s="19" t="n"/>
      <c r="H446" s="23" t="n"/>
      <c r="I446" s="24" t="n"/>
      <c r="J446" s="19" t="n"/>
      <c r="K446" s="25">
        <f>IF($D446="","",IFERROR(INDEX(Profile!$B$5:$B$304,MATCH($D446,lst_Profil,0)),""))</f>
        <v/>
      </c>
      <c r="L446" s="13">
        <f>IF($D446="","",IFERROR(INDEX(Profile!$K$5:$K$304,MATCH($D446,lst_Profil,0))+0,""))</f>
        <v/>
      </c>
      <c r="M446" s="26">
        <f>IF($D446="","",IFERROR(INDEX(Profile!$E$5:$E$304,MATCH($D446,lst_Profil,0))+0,""))</f>
        <v/>
      </c>
      <c r="N446" s="27">
        <f>IF(OR(L446="",$E446=""),"",IFERROR(L446*INDEX(Werkstoffe!$E$5:$E$304,MATCH($E446,lst_Werkstoff,0))/1000,""))</f>
        <v/>
      </c>
      <c r="O446" s="27">
        <f>IF(OR(N446="",$F446=""),"",N446*$F446/1000)</f>
        <v/>
      </c>
      <c r="P446" s="16">
        <f>IF(OR($F446="",$G446=""),"",$F446*$G446)</f>
        <v/>
      </c>
      <c r="Q446" s="16">
        <f>IF($D446="","",IF($J446&lt;&gt;"",$J446,$C$9))</f>
        <v/>
      </c>
      <c r="R446" s="12">
        <f>IF($D446="","",IFERROR(IF(INDEX(Profile!$G$5:$G$304,MATCH($D446,lst_Profil,0))&lt;&gt;"",INDEX(Profile!$G$5:$G$304,MATCH($D446,lst_Profil,0)),$H$4),$H$4))</f>
        <v/>
      </c>
      <c r="S446" s="12">
        <f>IF($D446="","",IFERROR(IF(INDEX(Profile!$H$5:$H$304,MATCH($D446,lst_Profil,0))&lt;&gt;"",INDEX(Profile!$H$5:$H$304,MATCH($D446,lst_Profil,0)),$H$5),$H$5))</f>
        <v/>
      </c>
      <c r="T446" s="16">
        <f>IF(OR(Q446="",NOT(ISNUMBER(R446)),NOT(ISNUMBER(S446))),"",Q446-R446-S446)</f>
        <v/>
      </c>
      <c r="U446" s="28">
        <f>IF(OR($D446="",$E446=""),"",IF(OR(N($AP446)&gt;0,COUNTIFS(Preise!$A$5:$A$304,$D446,Preise!$B$5:$B$304,$E446,Preise!$I$5:$I$304,"OK")&gt;0,N(INDEX(Werkstoffe!$G$5:$G$304,MATCH($E446,lst_Werkstoff,0)))&gt;0),"ja","nein"))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28">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Materialpreis",IF(AND($AQ446&lt;&gt;"",N($AR446)&gt;0,MOD($G446,$AR446)&lt;&gt;0),"WARNUNG: Stückzahl ist kein Vielfaches von Stück je Satz",IF($H446="","HINWEIS: Schneidweg fehlt",IF(V446="","HINWEIS: keine Schneiddaten",IF(AND($AF446&lt;&gt;"",$AG446=""),"HINWEIS: Gewinde-Vorschlag prüfen","OK")))))))))))))))</f>
        <v/>
      </c>
      <c r="X446" s="18">
        <f>IF(OR(O446="",$G446=""),"",O446*$G446)</f>
        <v/>
      </c>
      <c r="Y446" s="9" t="n"/>
      <c r="Z446" s="23" t="n"/>
      <c r="AA446" s="9" t="n"/>
      <c r="AB446" s="23" t="n"/>
      <c r="AC446" s="23" t="n"/>
      <c r="AD446" s="23" t="n"/>
      <c r="AE446" s="9" t="n"/>
      <c r="AF446" s="9" t="n"/>
      <c r="AG446" s="9" t="n"/>
      <c r="AH446" s="24" t="n"/>
      <c r="AI446" s="23" t="n"/>
      <c r="AJ446" s="24" t="n"/>
      <c r="AK446" s="23" t="n"/>
      <c r="AL446" s="24" t="n"/>
      <c r="AM446" s="23" t="n"/>
      <c r="AN446" s="28">
        <f>IF($D446="","",COUNTIFS(Stangenbelegung!$E$5:$E$10004,ROW()))</f>
        <v/>
      </c>
      <c r="AO446" s="28">
        <f>IF(OR($G446="",COUNTA(Stangenbelegung!$A$5:$A$10004)=0),"",$G446-AN446)</f>
        <v/>
      </c>
      <c r="AP446" s="29" t="n"/>
      <c r="AQ446" s="9" t="n"/>
      <c r="AR446" s="19" t="n"/>
    </row>
    <row r="447">
      <c r="A447" s="9" t="n"/>
      <c r="B447" s="9" t="n"/>
      <c r="C447" s="9" t="n"/>
      <c r="D447" s="9" t="n"/>
      <c r="E447" s="9" t="n"/>
      <c r="F447" s="23" t="n"/>
      <c r="G447" s="19" t="n"/>
      <c r="H447" s="23" t="n"/>
      <c r="I447" s="24" t="n"/>
      <c r="J447" s="19" t="n"/>
      <c r="K447" s="25">
        <f>IF($D447="","",IFERROR(INDEX(Profile!$B$5:$B$304,MATCH($D447,lst_Profil,0)),""))</f>
        <v/>
      </c>
      <c r="L447" s="13">
        <f>IF($D447="","",IFERROR(INDEX(Profile!$K$5:$K$304,MATCH($D447,lst_Profil,0))+0,""))</f>
        <v/>
      </c>
      <c r="M447" s="26">
        <f>IF($D447="","",IFERROR(INDEX(Profile!$E$5:$E$304,MATCH($D447,lst_Profil,0))+0,""))</f>
        <v/>
      </c>
      <c r="N447" s="27">
        <f>IF(OR(L447="",$E447=""),"",IFERROR(L447*INDEX(Werkstoffe!$E$5:$E$304,MATCH($E447,lst_Werkstoff,0))/1000,""))</f>
        <v/>
      </c>
      <c r="O447" s="27">
        <f>IF(OR(N447="",$F447=""),"",N447*$F447/1000)</f>
        <v/>
      </c>
      <c r="P447" s="16">
        <f>IF(OR($F447="",$G447=""),"",$F447*$G447)</f>
        <v/>
      </c>
      <c r="Q447" s="16">
        <f>IF($D447="","",IF($J447&lt;&gt;"",$J447,$C$9))</f>
        <v/>
      </c>
      <c r="R447" s="12">
        <f>IF($D447="","",IFERROR(IF(INDEX(Profile!$G$5:$G$304,MATCH($D447,lst_Profil,0))&lt;&gt;"",INDEX(Profile!$G$5:$G$304,MATCH($D447,lst_Profil,0)),$H$4),$H$4))</f>
        <v/>
      </c>
      <c r="S447" s="12">
        <f>IF($D447="","",IFERROR(IF(INDEX(Profile!$H$5:$H$304,MATCH($D447,lst_Profil,0))&lt;&gt;"",INDEX(Profile!$H$5:$H$304,MATCH($D447,lst_Profil,0)),$H$5),$H$5))</f>
        <v/>
      </c>
      <c r="T447" s="16">
        <f>IF(OR(Q447="",NOT(ISNUMBER(R447)),NOT(ISNUMBER(S447))),"",Q447-R447-S447)</f>
        <v/>
      </c>
      <c r="U447" s="28">
        <f>IF(OR($D447="",$E447=""),"",IF(OR(N($AP447)&gt;0,COUNTIFS(Preise!$A$5:$A$304,$D447,Preise!$B$5:$B$304,$E447,Preise!$I$5:$I$304,"OK")&gt;0,N(INDEX(Werkstoffe!$G$5:$G$304,MATCH($E447,lst_Werkstoff,0)))&gt;0),"ja","nein"))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28">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Materialpreis",IF(AND($AQ447&lt;&gt;"",N($AR447)&gt;0,MOD($G447,$AR447)&lt;&gt;0),"WARNUNG: Stückzahl ist kein Vielfaches von Stück je Satz",IF($H447="","HINWEIS: Schneidweg fehlt",IF(V447="","HINWEIS: keine Schneiddaten",IF(AND($AF447&lt;&gt;"",$AG447=""),"HINWEIS: Gewinde-Vorschlag prüfen","OK")))))))))))))))</f>
        <v/>
      </c>
      <c r="X447" s="18">
        <f>IF(OR(O447="",$G447=""),"",O447*$G447)</f>
        <v/>
      </c>
      <c r="Y447" s="9" t="n"/>
      <c r="Z447" s="23" t="n"/>
      <c r="AA447" s="9" t="n"/>
      <c r="AB447" s="23" t="n"/>
      <c r="AC447" s="23" t="n"/>
      <c r="AD447" s="23" t="n"/>
      <c r="AE447" s="9" t="n"/>
      <c r="AF447" s="9" t="n"/>
      <c r="AG447" s="9" t="n"/>
      <c r="AH447" s="24" t="n"/>
      <c r="AI447" s="23" t="n"/>
      <c r="AJ447" s="24" t="n"/>
      <c r="AK447" s="23" t="n"/>
      <c r="AL447" s="24" t="n"/>
      <c r="AM447" s="23" t="n"/>
      <c r="AN447" s="28">
        <f>IF($D447="","",COUNTIFS(Stangenbelegung!$E$5:$E$10004,ROW()))</f>
        <v/>
      </c>
      <c r="AO447" s="28">
        <f>IF(OR($G447="",COUNTA(Stangenbelegung!$A$5:$A$10004)=0),"",$G447-AN447)</f>
        <v/>
      </c>
      <c r="AP447" s="29" t="n"/>
      <c r="AQ447" s="9" t="n"/>
      <c r="AR447" s="19" t="n"/>
    </row>
    <row r="448">
      <c r="A448" s="9" t="n"/>
      <c r="B448" s="9" t="n"/>
      <c r="C448" s="9" t="n"/>
      <c r="D448" s="9" t="n"/>
      <c r="E448" s="9" t="n"/>
      <c r="F448" s="23" t="n"/>
      <c r="G448" s="19" t="n"/>
      <c r="H448" s="23" t="n"/>
      <c r="I448" s="24" t="n"/>
      <c r="J448" s="19" t="n"/>
      <c r="K448" s="25">
        <f>IF($D448="","",IFERROR(INDEX(Profile!$B$5:$B$304,MATCH($D448,lst_Profil,0)),""))</f>
        <v/>
      </c>
      <c r="L448" s="13">
        <f>IF($D448="","",IFERROR(INDEX(Profile!$K$5:$K$304,MATCH($D448,lst_Profil,0))+0,""))</f>
        <v/>
      </c>
      <c r="M448" s="26">
        <f>IF($D448="","",IFERROR(INDEX(Profile!$E$5:$E$304,MATCH($D448,lst_Profil,0))+0,""))</f>
        <v/>
      </c>
      <c r="N448" s="27">
        <f>IF(OR(L448="",$E448=""),"",IFERROR(L448*INDEX(Werkstoffe!$E$5:$E$304,MATCH($E448,lst_Werkstoff,0))/1000,""))</f>
        <v/>
      </c>
      <c r="O448" s="27">
        <f>IF(OR(N448="",$F448=""),"",N448*$F448/1000)</f>
        <v/>
      </c>
      <c r="P448" s="16">
        <f>IF(OR($F448="",$G448=""),"",$F448*$G448)</f>
        <v/>
      </c>
      <c r="Q448" s="16">
        <f>IF($D448="","",IF($J448&lt;&gt;"",$J448,$C$9))</f>
        <v/>
      </c>
      <c r="R448" s="12">
        <f>IF($D448="","",IFERROR(IF(INDEX(Profile!$G$5:$G$304,MATCH($D448,lst_Profil,0))&lt;&gt;"",INDEX(Profile!$G$5:$G$304,MATCH($D448,lst_Profil,0)),$H$4),$H$4))</f>
        <v/>
      </c>
      <c r="S448" s="12">
        <f>IF($D448="","",IFERROR(IF(INDEX(Profile!$H$5:$H$304,MATCH($D448,lst_Profil,0))&lt;&gt;"",INDEX(Profile!$H$5:$H$304,MATCH($D448,lst_Profil,0)),$H$5),$H$5))</f>
        <v/>
      </c>
      <c r="T448" s="16">
        <f>IF(OR(Q448="",NOT(ISNUMBER(R448)),NOT(ISNUMBER(S448))),"",Q448-R448-S448)</f>
        <v/>
      </c>
      <c r="U448" s="28">
        <f>IF(OR($D448="",$E448=""),"",IF(OR(N($AP448)&gt;0,COUNTIFS(Preise!$A$5:$A$304,$D448,Preise!$B$5:$B$304,$E448,Preise!$I$5:$I$304,"OK")&gt;0,N(INDEX(Werkstoffe!$G$5:$G$304,MATCH($E448,lst_Werkstoff,0)))&gt;0),"ja","nein"))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28">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Materialpreis",IF(AND($AQ448&lt;&gt;"",N($AR448)&gt;0,MOD($G448,$AR448)&lt;&gt;0),"WARNUNG: Stückzahl ist kein Vielfaches von Stück je Satz",IF($H448="","HINWEIS: Schneidweg fehlt",IF(V448="","HINWEIS: keine Schneiddaten",IF(AND($AF448&lt;&gt;"",$AG448=""),"HINWEIS: Gewinde-Vorschlag prüfen","OK")))))))))))))))</f>
        <v/>
      </c>
      <c r="X448" s="18">
        <f>IF(OR(O448="",$G448=""),"",O448*$G448)</f>
        <v/>
      </c>
      <c r="Y448" s="9" t="n"/>
      <c r="Z448" s="23" t="n"/>
      <c r="AA448" s="9" t="n"/>
      <c r="AB448" s="23" t="n"/>
      <c r="AC448" s="23" t="n"/>
      <c r="AD448" s="23" t="n"/>
      <c r="AE448" s="9" t="n"/>
      <c r="AF448" s="9" t="n"/>
      <c r="AG448" s="9" t="n"/>
      <c r="AH448" s="24" t="n"/>
      <c r="AI448" s="23" t="n"/>
      <c r="AJ448" s="24" t="n"/>
      <c r="AK448" s="23" t="n"/>
      <c r="AL448" s="24" t="n"/>
      <c r="AM448" s="23" t="n"/>
      <c r="AN448" s="28">
        <f>IF($D448="","",COUNTIFS(Stangenbelegung!$E$5:$E$10004,ROW()))</f>
        <v/>
      </c>
      <c r="AO448" s="28">
        <f>IF(OR($G448="",COUNTA(Stangenbelegung!$A$5:$A$10004)=0),"",$G448-AN448)</f>
        <v/>
      </c>
      <c r="AP448" s="29" t="n"/>
      <c r="AQ448" s="9" t="n"/>
      <c r="AR448" s="19" t="n"/>
    </row>
    <row r="449">
      <c r="A449" s="9" t="n"/>
      <c r="B449" s="9" t="n"/>
      <c r="C449" s="9" t="n"/>
      <c r="D449" s="9" t="n"/>
      <c r="E449" s="9" t="n"/>
      <c r="F449" s="23" t="n"/>
      <c r="G449" s="19" t="n"/>
      <c r="H449" s="23" t="n"/>
      <c r="I449" s="24" t="n"/>
      <c r="J449" s="19" t="n"/>
      <c r="K449" s="25">
        <f>IF($D449="","",IFERROR(INDEX(Profile!$B$5:$B$304,MATCH($D449,lst_Profil,0)),""))</f>
        <v/>
      </c>
      <c r="L449" s="13">
        <f>IF($D449="","",IFERROR(INDEX(Profile!$K$5:$K$304,MATCH($D449,lst_Profil,0))+0,""))</f>
        <v/>
      </c>
      <c r="M449" s="26">
        <f>IF($D449="","",IFERROR(INDEX(Profile!$E$5:$E$304,MATCH($D449,lst_Profil,0))+0,""))</f>
        <v/>
      </c>
      <c r="N449" s="27">
        <f>IF(OR(L449="",$E449=""),"",IFERROR(L449*INDEX(Werkstoffe!$E$5:$E$304,MATCH($E449,lst_Werkstoff,0))/1000,""))</f>
        <v/>
      </c>
      <c r="O449" s="27">
        <f>IF(OR(N449="",$F449=""),"",N449*$F449/1000)</f>
        <v/>
      </c>
      <c r="P449" s="16">
        <f>IF(OR($F449="",$G449=""),"",$F449*$G449)</f>
        <v/>
      </c>
      <c r="Q449" s="16">
        <f>IF($D449="","",IF($J449&lt;&gt;"",$J449,$C$9))</f>
        <v/>
      </c>
      <c r="R449" s="12">
        <f>IF($D449="","",IFERROR(IF(INDEX(Profile!$G$5:$G$304,MATCH($D449,lst_Profil,0))&lt;&gt;"",INDEX(Profile!$G$5:$G$304,MATCH($D449,lst_Profil,0)),$H$4),$H$4))</f>
        <v/>
      </c>
      <c r="S449" s="12">
        <f>IF($D449="","",IFERROR(IF(INDEX(Profile!$H$5:$H$304,MATCH($D449,lst_Profil,0))&lt;&gt;"",INDEX(Profile!$H$5:$H$304,MATCH($D449,lst_Profil,0)),$H$5),$H$5))</f>
        <v/>
      </c>
      <c r="T449" s="16">
        <f>IF(OR(Q449="",NOT(ISNUMBER(R449)),NOT(ISNUMBER(S449))),"",Q449-R449-S449)</f>
        <v/>
      </c>
      <c r="U449" s="28">
        <f>IF(OR($D449="",$E449=""),"",IF(OR(N($AP449)&gt;0,COUNTIFS(Preise!$A$5:$A$304,$D449,Preise!$B$5:$B$304,$E449,Preise!$I$5:$I$304,"OK")&gt;0,N(INDEX(Werkstoffe!$G$5:$G$304,MATCH($E449,lst_Werkstoff,0)))&gt;0),"ja","nein"))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28">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Materialpreis",IF(AND($AQ449&lt;&gt;"",N($AR449)&gt;0,MOD($G449,$AR449)&lt;&gt;0),"WARNUNG: Stückzahl ist kein Vielfaches von Stück je Satz",IF($H449="","HINWEIS: Schneidweg fehlt",IF(V449="","HINWEIS: keine Schneiddaten",IF(AND($AF449&lt;&gt;"",$AG449=""),"HINWEIS: Gewinde-Vorschlag prüfen","OK")))))))))))))))</f>
        <v/>
      </c>
      <c r="X449" s="18">
        <f>IF(OR(O449="",$G449=""),"",O449*$G449)</f>
        <v/>
      </c>
      <c r="Y449" s="9" t="n"/>
      <c r="Z449" s="23" t="n"/>
      <c r="AA449" s="9" t="n"/>
      <c r="AB449" s="23" t="n"/>
      <c r="AC449" s="23" t="n"/>
      <c r="AD449" s="23" t="n"/>
      <c r="AE449" s="9" t="n"/>
      <c r="AF449" s="9" t="n"/>
      <c r="AG449" s="9" t="n"/>
      <c r="AH449" s="24" t="n"/>
      <c r="AI449" s="23" t="n"/>
      <c r="AJ449" s="24" t="n"/>
      <c r="AK449" s="23" t="n"/>
      <c r="AL449" s="24" t="n"/>
      <c r="AM449" s="23" t="n"/>
      <c r="AN449" s="28">
        <f>IF($D449="","",COUNTIFS(Stangenbelegung!$E$5:$E$10004,ROW()))</f>
        <v/>
      </c>
      <c r="AO449" s="28">
        <f>IF(OR($G449="",COUNTA(Stangenbelegung!$A$5:$A$10004)=0),"",$G449-AN449)</f>
        <v/>
      </c>
      <c r="AP449" s="29" t="n"/>
      <c r="AQ449" s="9" t="n"/>
      <c r="AR449" s="19" t="n"/>
    </row>
    <row r="450">
      <c r="A450" s="9" t="n"/>
      <c r="B450" s="9" t="n"/>
      <c r="C450" s="9" t="n"/>
      <c r="D450" s="9" t="n"/>
      <c r="E450" s="9" t="n"/>
      <c r="F450" s="23" t="n"/>
      <c r="G450" s="19" t="n"/>
      <c r="H450" s="23" t="n"/>
      <c r="I450" s="24" t="n"/>
      <c r="J450" s="19" t="n"/>
      <c r="K450" s="25">
        <f>IF($D450="","",IFERROR(INDEX(Profile!$B$5:$B$304,MATCH($D450,lst_Profil,0)),""))</f>
        <v/>
      </c>
      <c r="L450" s="13">
        <f>IF($D450="","",IFERROR(INDEX(Profile!$K$5:$K$304,MATCH($D450,lst_Profil,0))+0,""))</f>
        <v/>
      </c>
      <c r="M450" s="26">
        <f>IF($D450="","",IFERROR(INDEX(Profile!$E$5:$E$304,MATCH($D450,lst_Profil,0))+0,""))</f>
        <v/>
      </c>
      <c r="N450" s="27">
        <f>IF(OR(L450="",$E450=""),"",IFERROR(L450*INDEX(Werkstoffe!$E$5:$E$304,MATCH($E450,lst_Werkstoff,0))/1000,""))</f>
        <v/>
      </c>
      <c r="O450" s="27">
        <f>IF(OR(N450="",$F450=""),"",N450*$F450/1000)</f>
        <v/>
      </c>
      <c r="P450" s="16">
        <f>IF(OR($F450="",$G450=""),"",$F450*$G450)</f>
        <v/>
      </c>
      <c r="Q450" s="16">
        <f>IF($D450="","",IF($J450&lt;&gt;"",$J450,$C$9))</f>
        <v/>
      </c>
      <c r="R450" s="12">
        <f>IF($D450="","",IFERROR(IF(INDEX(Profile!$G$5:$G$304,MATCH($D450,lst_Profil,0))&lt;&gt;"",INDEX(Profile!$G$5:$G$304,MATCH($D450,lst_Profil,0)),$H$4),$H$4))</f>
        <v/>
      </c>
      <c r="S450" s="12">
        <f>IF($D450="","",IFERROR(IF(INDEX(Profile!$H$5:$H$304,MATCH($D450,lst_Profil,0))&lt;&gt;"",INDEX(Profile!$H$5:$H$304,MATCH($D450,lst_Profil,0)),$H$5),$H$5))</f>
        <v/>
      </c>
      <c r="T450" s="16">
        <f>IF(OR(Q450="",NOT(ISNUMBER(R450)),NOT(ISNUMBER(S450))),"",Q450-R450-S450)</f>
        <v/>
      </c>
      <c r="U450" s="28">
        <f>IF(OR($D450="",$E450=""),"",IF(OR(N($AP450)&gt;0,COUNTIFS(Preise!$A$5:$A$304,$D450,Preise!$B$5:$B$304,$E450,Preise!$I$5:$I$304,"OK")&gt;0,N(INDEX(Werkstoffe!$G$5:$G$304,MATCH($E450,lst_Werkstoff,0)))&gt;0),"ja","nein"))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28">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Materialpreis",IF(AND($AQ450&lt;&gt;"",N($AR450)&gt;0,MOD($G450,$AR450)&lt;&gt;0),"WARNUNG: Stückzahl ist kein Vielfaches von Stück je Satz",IF($H450="","HINWEIS: Schneidweg fehlt",IF(V450="","HINWEIS: keine Schneiddaten",IF(AND($AF450&lt;&gt;"",$AG450=""),"HINWEIS: Gewinde-Vorschlag prüfen","OK")))))))))))))))</f>
        <v/>
      </c>
      <c r="X450" s="18">
        <f>IF(OR(O450="",$G450=""),"",O450*$G450)</f>
        <v/>
      </c>
      <c r="Y450" s="9" t="n"/>
      <c r="Z450" s="23" t="n"/>
      <c r="AA450" s="9" t="n"/>
      <c r="AB450" s="23" t="n"/>
      <c r="AC450" s="23" t="n"/>
      <c r="AD450" s="23" t="n"/>
      <c r="AE450" s="9" t="n"/>
      <c r="AF450" s="9" t="n"/>
      <c r="AG450" s="9" t="n"/>
      <c r="AH450" s="24" t="n"/>
      <c r="AI450" s="23" t="n"/>
      <c r="AJ450" s="24" t="n"/>
      <c r="AK450" s="23" t="n"/>
      <c r="AL450" s="24" t="n"/>
      <c r="AM450" s="23" t="n"/>
      <c r="AN450" s="28">
        <f>IF($D450="","",COUNTIFS(Stangenbelegung!$E$5:$E$10004,ROW()))</f>
        <v/>
      </c>
      <c r="AO450" s="28">
        <f>IF(OR($G450="",COUNTA(Stangenbelegung!$A$5:$A$10004)=0),"",$G450-AN450)</f>
        <v/>
      </c>
      <c r="AP450" s="29" t="n"/>
      <c r="AQ450" s="9" t="n"/>
      <c r="AR450" s="19" t="n"/>
    </row>
    <row r="451">
      <c r="A451" s="9" t="n"/>
      <c r="B451" s="9" t="n"/>
      <c r="C451" s="9" t="n"/>
      <c r="D451" s="9" t="n"/>
      <c r="E451" s="9" t="n"/>
      <c r="F451" s="23" t="n"/>
      <c r="G451" s="19" t="n"/>
      <c r="H451" s="23" t="n"/>
      <c r="I451" s="24" t="n"/>
      <c r="J451" s="19" t="n"/>
      <c r="K451" s="25">
        <f>IF($D451="","",IFERROR(INDEX(Profile!$B$5:$B$304,MATCH($D451,lst_Profil,0)),""))</f>
        <v/>
      </c>
      <c r="L451" s="13">
        <f>IF($D451="","",IFERROR(INDEX(Profile!$K$5:$K$304,MATCH($D451,lst_Profil,0))+0,""))</f>
        <v/>
      </c>
      <c r="M451" s="26">
        <f>IF($D451="","",IFERROR(INDEX(Profile!$E$5:$E$304,MATCH($D451,lst_Profil,0))+0,""))</f>
        <v/>
      </c>
      <c r="N451" s="27">
        <f>IF(OR(L451="",$E451=""),"",IFERROR(L451*INDEX(Werkstoffe!$E$5:$E$304,MATCH($E451,lst_Werkstoff,0))/1000,""))</f>
        <v/>
      </c>
      <c r="O451" s="27">
        <f>IF(OR(N451="",$F451=""),"",N451*$F451/1000)</f>
        <v/>
      </c>
      <c r="P451" s="16">
        <f>IF(OR($F451="",$G451=""),"",$F451*$G451)</f>
        <v/>
      </c>
      <c r="Q451" s="16">
        <f>IF($D451="","",IF($J451&lt;&gt;"",$J451,$C$9))</f>
        <v/>
      </c>
      <c r="R451" s="12">
        <f>IF($D451="","",IFERROR(IF(INDEX(Profile!$G$5:$G$304,MATCH($D451,lst_Profil,0))&lt;&gt;"",INDEX(Profile!$G$5:$G$304,MATCH($D451,lst_Profil,0)),$H$4),$H$4))</f>
        <v/>
      </c>
      <c r="S451" s="12">
        <f>IF($D451="","",IFERROR(IF(INDEX(Profile!$H$5:$H$304,MATCH($D451,lst_Profil,0))&lt;&gt;"",INDEX(Profile!$H$5:$H$304,MATCH($D451,lst_Profil,0)),$H$5),$H$5))</f>
        <v/>
      </c>
      <c r="T451" s="16">
        <f>IF(OR(Q451="",NOT(ISNUMBER(R451)),NOT(ISNUMBER(S451))),"",Q451-R451-S451)</f>
        <v/>
      </c>
      <c r="U451" s="28">
        <f>IF(OR($D451="",$E451=""),"",IF(OR(N($AP451)&gt;0,COUNTIFS(Preise!$A$5:$A$304,$D451,Preise!$B$5:$B$304,$E451,Preise!$I$5:$I$304,"OK")&gt;0,N(INDEX(Werkstoffe!$G$5:$G$304,MATCH($E451,lst_Werkstoff,0)))&gt;0),"ja","nein"))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28">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Materialpreis",IF(AND($AQ451&lt;&gt;"",N($AR451)&gt;0,MOD($G451,$AR451)&lt;&gt;0),"WARNUNG: Stückzahl ist kein Vielfaches von Stück je Satz",IF($H451="","HINWEIS: Schneidweg fehlt",IF(V451="","HINWEIS: keine Schneiddaten",IF(AND($AF451&lt;&gt;"",$AG451=""),"HINWEIS: Gewinde-Vorschlag prüfen","OK")))))))))))))))</f>
        <v/>
      </c>
      <c r="X451" s="18">
        <f>IF(OR(O451="",$G451=""),"",O451*$G451)</f>
        <v/>
      </c>
      <c r="Y451" s="9" t="n"/>
      <c r="Z451" s="23" t="n"/>
      <c r="AA451" s="9" t="n"/>
      <c r="AB451" s="23" t="n"/>
      <c r="AC451" s="23" t="n"/>
      <c r="AD451" s="23" t="n"/>
      <c r="AE451" s="9" t="n"/>
      <c r="AF451" s="9" t="n"/>
      <c r="AG451" s="9" t="n"/>
      <c r="AH451" s="24" t="n"/>
      <c r="AI451" s="23" t="n"/>
      <c r="AJ451" s="24" t="n"/>
      <c r="AK451" s="23" t="n"/>
      <c r="AL451" s="24" t="n"/>
      <c r="AM451" s="23" t="n"/>
      <c r="AN451" s="28">
        <f>IF($D451="","",COUNTIFS(Stangenbelegung!$E$5:$E$10004,ROW()))</f>
        <v/>
      </c>
      <c r="AO451" s="28">
        <f>IF(OR($G451="",COUNTA(Stangenbelegung!$A$5:$A$10004)=0),"",$G451-AN451)</f>
        <v/>
      </c>
      <c r="AP451" s="29" t="n"/>
      <c r="AQ451" s="9" t="n"/>
      <c r="AR451" s="19" t="n"/>
    </row>
    <row r="452">
      <c r="A452" s="9" t="n"/>
      <c r="B452" s="9" t="n"/>
      <c r="C452" s="9" t="n"/>
      <c r="D452" s="9" t="n"/>
      <c r="E452" s="9" t="n"/>
      <c r="F452" s="23" t="n"/>
      <c r="G452" s="19" t="n"/>
      <c r="H452" s="23" t="n"/>
      <c r="I452" s="24" t="n"/>
      <c r="J452" s="19" t="n"/>
      <c r="K452" s="25">
        <f>IF($D452="","",IFERROR(INDEX(Profile!$B$5:$B$304,MATCH($D452,lst_Profil,0)),""))</f>
        <v/>
      </c>
      <c r="L452" s="13">
        <f>IF($D452="","",IFERROR(INDEX(Profile!$K$5:$K$304,MATCH($D452,lst_Profil,0))+0,""))</f>
        <v/>
      </c>
      <c r="M452" s="26">
        <f>IF($D452="","",IFERROR(INDEX(Profile!$E$5:$E$304,MATCH($D452,lst_Profil,0))+0,""))</f>
        <v/>
      </c>
      <c r="N452" s="27">
        <f>IF(OR(L452="",$E452=""),"",IFERROR(L452*INDEX(Werkstoffe!$E$5:$E$304,MATCH($E452,lst_Werkstoff,0))/1000,""))</f>
        <v/>
      </c>
      <c r="O452" s="27">
        <f>IF(OR(N452="",$F452=""),"",N452*$F452/1000)</f>
        <v/>
      </c>
      <c r="P452" s="16">
        <f>IF(OR($F452="",$G452=""),"",$F452*$G452)</f>
        <v/>
      </c>
      <c r="Q452" s="16">
        <f>IF($D452="","",IF($J452&lt;&gt;"",$J452,$C$9))</f>
        <v/>
      </c>
      <c r="R452" s="12">
        <f>IF($D452="","",IFERROR(IF(INDEX(Profile!$G$5:$G$304,MATCH($D452,lst_Profil,0))&lt;&gt;"",INDEX(Profile!$G$5:$G$304,MATCH($D452,lst_Profil,0)),$H$4),$H$4))</f>
        <v/>
      </c>
      <c r="S452" s="12">
        <f>IF($D452="","",IFERROR(IF(INDEX(Profile!$H$5:$H$304,MATCH($D452,lst_Profil,0))&lt;&gt;"",INDEX(Profile!$H$5:$H$304,MATCH($D452,lst_Profil,0)),$H$5),$H$5))</f>
        <v/>
      </c>
      <c r="T452" s="16">
        <f>IF(OR(Q452="",NOT(ISNUMBER(R452)),NOT(ISNUMBER(S452))),"",Q452-R452-S452)</f>
        <v/>
      </c>
      <c r="U452" s="28">
        <f>IF(OR($D452="",$E452=""),"",IF(OR(N($AP452)&gt;0,COUNTIFS(Preise!$A$5:$A$304,$D452,Preise!$B$5:$B$304,$E452,Preise!$I$5:$I$304,"OK")&gt;0,N(INDEX(Werkstoffe!$G$5:$G$304,MATCH($E452,lst_Werkstoff,0)))&gt;0),"ja","nein"))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28">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Materialpreis",IF(AND($AQ452&lt;&gt;"",N($AR452)&gt;0,MOD($G452,$AR452)&lt;&gt;0),"WARNUNG: Stückzahl ist kein Vielfaches von Stück je Satz",IF($H452="","HINWEIS: Schneidweg fehlt",IF(V452="","HINWEIS: keine Schneiddaten",IF(AND($AF452&lt;&gt;"",$AG452=""),"HINWEIS: Gewinde-Vorschlag prüfen","OK")))))))))))))))</f>
        <v/>
      </c>
      <c r="X452" s="18">
        <f>IF(OR(O452="",$G452=""),"",O452*$G452)</f>
        <v/>
      </c>
      <c r="Y452" s="9" t="n"/>
      <c r="Z452" s="23" t="n"/>
      <c r="AA452" s="9" t="n"/>
      <c r="AB452" s="23" t="n"/>
      <c r="AC452" s="23" t="n"/>
      <c r="AD452" s="23" t="n"/>
      <c r="AE452" s="9" t="n"/>
      <c r="AF452" s="9" t="n"/>
      <c r="AG452" s="9" t="n"/>
      <c r="AH452" s="24" t="n"/>
      <c r="AI452" s="23" t="n"/>
      <c r="AJ452" s="24" t="n"/>
      <c r="AK452" s="23" t="n"/>
      <c r="AL452" s="24" t="n"/>
      <c r="AM452" s="23" t="n"/>
      <c r="AN452" s="28">
        <f>IF($D452="","",COUNTIFS(Stangenbelegung!$E$5:$E$10004,ROW()))</f>
        <v/>
      </c>
      <c r="AO452" s="28">
        <f>IF(OR($G452="",COUNTA(Stangenbelegung!$A$5:$A$10004)=0),"",$G452-AN452)</f>
        <v/>
      </c>
      <c r="AP452" s="29" t="n"/>
      <c r="AQ452" s="9" t="n"/>
      <c r="AR452" s="19" t="n"/>
    </row>
    <row r="453">
      <c r="A453" s="9" t="n"/>
      <c r="B453" s="9" t="n"/>
      <c r="C453" s="9" t="n"/>
      <c r="D453" s="9" t="n"/>
      <c r="E453" s="9" t="n"/>
      <c r="F453" s="23" t="n"/>
      <c r="G453" s="19" t="n"/>
      <c r="H453" s="23" t="n"/>
      <c r="I453" s="24" t="n"/>
      <c r="J453" s="19" t="n"/>
      <c r="K453" s="25">
        <f>IF($D453="","",IFERROR(INDEX(Profile!$B$5:$B$304,MATCH($D453,lst_Profil,0)),""))</f>
        <v/>
      </c>
      <c r="L453" s="13">
        <f>IF($D453="","",IFERROR(INDEX(Profile!$K$5:$K$304,MATCH($D453,lst_Profil,0))+0,""))</f>
        <v/>
      </c>
      <c r="M453" s="26">
        <f>IF($D453="","",IFERROR(INDEX(Profile!$E$5:$E$304,MATCH($D453,lst_Profil,0))+0,""))</f>
        <v/>
      </c>
      <c r="N453" s="27">
        <f>IF(OR(L453="",$E453=""),"",IFERROR(L453*INDEX(Werkstoffe!$E$5:$E$304,MATCH($E453,lst_Werkstoff,0))/1000,""))</f>
        <v/>
      </c>
      <c r="O453" s="27">
        <f>IF(OR(N453="",$F453=""),"",N453*$F453/1000)</f>
        <v/>
      </c>
      <c r="P453" s="16">
        <f>IF(OR($F453="",$G453=""),"",$F453*$G453)</f>
        <v/>
      </c>
      <c r="Q453" s="16">
        <f>IF($D453="","",IF($J453&lt;&gt;"",$J453,$C$9))</f>
        <v/>
      </c>
      <c r="R453" s="12">
        <f>IF($D453="","",IFERROR(IF(INDEX(Profile!$G$5:$G$304,MATCH($D453,lst_Profil,0))&lt;&gt;"",INDEX(Profile!$G$5:$G$304,MATCH($D453,lst_Profil,0)),$H$4),$H$4))</f>
        <v/>
      </c>
      <c r="S453" s="12">
        <f>IF($D453="","",IFERROR(IF(INDEX(Profile!$H$5:$H$304,MATCH($D453,lst_Profil,0))&lt;&gt;"",INDEX(Profile!$H$5:$H$304,MATCH($D453,lst_Profil,0)),$H$5),$H$5))</f>
        <v/>
      </c>
      <c r="T453" s="16">
        <f>IF(OR(Q453="",NOT(ISNUMBER(R453)),NOT(ISNUMBER(S453))),"",Q453-R453-S453)</f>
        <v/>
      </c>
      <c r="U453" s="28">
        <f>IF(OR($D453="",$E453=""),"",IF(OR(N($AP453)&gt;0,COUNTIFS(Preise!$A$5:$A$304,$D453,Preise!$B$5:$B$304,$E453,Preise!$I$5:$I$304,"OK")&gt;0,N(INDEX(Werkstoffe!$G$5:$G$304,MATCH($E453,lst_Werkstoff,0)))&gt;0),"ja","nein"))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28">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Materialpreis",IF(AND($AQ453&lt;&gt;"",N($AR453)&gt;0,MOD($G453,$AR453)&lt;&gt;0),"WARNUNG: Stückzahl ist kein Vielfaches von Stück je Satz",IF($H453="","HINWEIS: Schneidweg fehlt",IF(V453="","HINWEIS: keine Schneiddaten",IF(AND($AF453&lt;&gt;"",$AG453=""),"HINWEIS: Gewinde-Vorschlag prüfen","OK")))))))))))))))</f>
        <v/>
      </c>
      <c r="X453" s="18">
        <f>IF(OR(O453="",$G453=""),"",O453*$G453)</f>
        <v/>
      </c>
      <c r="Y453" s="9" t="n"/>
      <c r="Z453" s="23" t="n"/>
      <c r="AA453" s="9" t="n"/>
      <c r="AB453" s="23" t="n"/>
      <c r="AC453" s="23" t="n"/>
      <c r="AD453" s="23" t="n"/>
      <c r="AE453" s="9" t="n"/>
      <c r="AF453" s="9" t="n"/>
      <c r="AG453" s="9" t="n"/>
      <c r="AH453" s="24" t="n"/>
      <c r="AI453" s="23" t="n"/>
      <c r="AJ453" s="24" t="n"/>
      <c r="AK453" s="23" t="n"/>
      <c r="AL453" s="24" t="n"/>
      <c r="AM453" s="23" t="n"/>
      <c r="AN453" s="28">
        <f>IF($D453="","",COUNTIFS(Stangenbelegung!$E$5:$E$10004,ROW()))</f>
        <v/>
      </c>
      <c r="AO453" s="28">
        <f>IF(OR($G453="",COUNTA(Stangenbelegung!$A$5:$A$10004)=0),"",$G453-AN453)</f>
        <v/>
      </c>
      <c r="AP453" s="29" t="n"/>
      <c r="AQ453" s="9" t="n"/>
      <c r="AR453" s="19" t="n"/>
    </row>
    <row r="454">
      <c r="A454" s="9" t="n"/>
      <c r="B454" s="9" t="n"/>
      <c r="C454" s="9" t="n"/>
      <c r="D454" s="9" t="n"/>
      <c r="E454" s="9" t="n"/>
      <c r="F454" s="23" t="n"/>
      <c r="G454" s="19" t="n"/>
      <c r="H454" s="23" t="n"/>
      <c r="I454" s="24" t="n"/>
      <c r="J454" s="19" t="n"/>
      <c r="K454" s="25">
        <f>IF($D454="","",IFERROR(INDEX(Profile!$B$5:$B$304,MATCH($D454,lst_Profil,0)),""))</f>
        <v/>
      </c>
      <c r="L454" s="13">
        <f>IF($D454="","",IFERROR(INDEX(Profile!$K$5:$K$304,MATCH($D454,lst_Profil,0))+0,""))</f>
        <v/>
      </c>
      <c r="M454" s="26">
        <f>IF($D454="","",IFERROR(INDEX(Profile!$E$5:$E$304,MATCH($D454,lst_Profil,0))+0,""))</f>
        <v/>
      </c>
      <c r="N454" s="27">
        <f>IF(OR(L454="",$E454=""),"",IFERROR(L454*INDEX(Werkstoffe!$E$5:$E$304,MATCH($E454,lst_Werkstoff,0))/1000,""))</f>
        <v/>
      </c>
      <c r="O454" s="27">
        <f>IF(OR(N454="",$F454=""),"",N454*$F454/1000)</f>
        <v/>
      </c>
      <c r="P454" s="16">
        <f>IF(OR($F454="",$G454=""),"",$F454*$G454)</f>
        <v/>
      </c>
      <c r="Q454" s="16">
        <f>IF($D454="","",IF($J454&lt;&gt;"",$J454,$C$9))</f>
        <v/>
      </c>
      <c r="R454" s="12">
        <f>IF($D454="","",IFERROR(IF(INDEX(Profile!$G$5:$G$304,MATCH($D454,lst_Profil,0))&lt;&gt;"",INDEX(Profile!$G$5:$G$304,MATCH($D454,lst_Profil,0)),$H$4),$H$4))</f>
        <v/>
      </c>
      <c r="S454" s="12">
        <f>IF($D454="","",IFERROR(IF(INDEX(Profile!$H$5:$H$304,MATCH($D454,lst_Profil,0))&lt;&gt;"",INDEX(Profile!$H$5:$H$304,MATCH($D454,lst_Profil,0)),$H$5),$H$5))</f>
        <v/>
      </c>
      <c r="T454" s="16">
        <f>IF(OR(Q454="",NOT(ISNUMBER(R454)),NOT(ISNUMBER(S454))),"",Q454-R454-S454)</f>
        <v/>
      </c>
      <c r="U454" s="28">
        <f>IF(OR($D454="",$E454=""),"",IF(OR(N($AP454)&gt;0,COUNTIFS(Preise!$A$5:$A$304,$D454,Preise!$B$5:$B$304,$E454,Preise!$I$5:$I$304,"OK")&gt;0,N(INDEX(Werkstoffe!$G$5:$G$304,MATCH($E454,lst_Werkstoff,0)))&gt;0),"ja","nein"))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28">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Materialpreis",IF(AND($AQ454&lt;&gt;"",N($AR454)&gt;0,MOD($G454,$AR454)&lt;&gt;0),"WARNUNG: Stückzahl ist kein Vielfaches von Stück je Satz",IF($H454="","HINWEIS: Schneidweg fehlt",IF(V454="","HINWEIS: keine Schneiddaten",IF(AND($AF454&lt;&gt;"",$AG454=""),"HINWEIS: Gewinde-Vorschlag prüfen","OK")))))))))))))))</f>
        <v/>
      </c>
      <c r="X454" s="18">
        <f>IF(OR(O454="",$G454=""),"",O454*$G454)</f>
        <v/>
      </c>
      <c r="Y454" s="9" t="n"/>
      <c r="Z454" s="23" t="n"/>
      <c r="AA454" s="9" t="n"/>
      <c r="AB454" s="23" t="n"/>
      <c r="AC454" s="23" t="n"/>
      <c r="AD454" s="23" t="n"/>
      <c r="AE454" s="9" t="n"/>
      <c r="AF454" s="9" t="n"/>
      <c r="AG454" s="9" t="n"/>
      <c r="AH454" s="24" t="n"/>
      <c r="AI454" s="23" t="n"/>
      <c r="AJ454" s="24" t="n"/>
      <c r="AK454" s="23" t="n"/>
      <c r="AL454" s="24" t="n"/>
      <c r="AM454" s="23" t="n"/>
      <c r="AN454" s="28">
        <f>IF($D454="","",COUNTIFS(Stangenbelegung!$E$5:$E$10004,ROW()))</f>
        <v/>
      </c>
      <c r="AO454" s="28">
        <f>IF(OR($G454="",COUNTA(Stangenbelegung!$A$5:$A$10004)=0),"",$G454-AN454)</f>
        <v/>
      </c>
      <c r="AP454" s="29" t="n"/>
      <c r="AQ454" s="9" t="n"/>
      <c r="AR454" s="19" t="n"/>
    </row>
    <row r="455">
      <c r="A455" s="9" t="n"/>
      <c r="B455" s="9" t="n"/>
      <c r="C455" s="9" t="n"/>
      <c r="D455" s="9" t="n"/>
      <c r="E455" s="9" t="n"/>
      <c r="F455" s="23" t="n"/>
      <c r="G455" s="19" t="n"/>
      <c r="H455" s="23" t="n"/>
      <c r="I455" s="24" t="n"/>
      <c r="J455" s="19" t="n"/>
      <c r="K455" s="25">
        <f>IF($D455="","",IFERROR(INDEX(Profile!$B$5:$B$304,MATCH($D455,lst_Profil,0)),""))</f>
        <v/>
      </c>
      <c r="L455" s="13">
        <f>IF($D455="","",IFERROR(INDEX(Profile!$K$5:$K$304,MATCH($D455,lst_Profil,0))+0,""))</f>
        <v/>
      </c>
      <c r="M455" s="26">
        <f>IF($D455="","",IFERROR(INDEX(Profile!$E$5:$E$304,MATCH($D455,lst_Profil,0))+0,""))</f>
        <v/>
      </c>
      <c r="N455" s="27">
        <f>IF(OR(L455="",$E455=""),"",IFERROR(L455*INDEX(Werkstoffe!$E$5:$E$304,MATCH($E455,lst_Werkstoff,0))/1000,""))</f>
        <v/>
      </c>
      <c r="O455" s="27">
        <f>IF(OR(N455="",$F455=""),"",N455*$F455/1000)</f>
        <v/>
      </c>
      <c r="P455" s="16">
        <f>IF(OR($F455="",$G455=""),"",$F455*$G455)</f>
        <v/>
      </c>
      <c r="Q455" s="16">
        <f>IF($D455="","",IF($J455&lt;&gt;"",$J455,$C$9))</f>
        <v/>
      </c>
      <c r="R455" s="12">
        <f>IF($D455="","",IFERROR(IF(INDEX(Profile!$G$5:$G$304,MATCH($D455,lst_Profil,0))&lt;&gt;"",INDEX(Profile!$G$5:$G$304,MATCH($D455,lst_Profil,0)),$H$4),$H$4))</f>
        <v/>
      </c>
      <c r="S455" s="12">
        <f>IF($D455="","",IFERROR(IF(INDEX(Profile!$H$5:$H$304,MATCH($D455,lst_Profil,0))&lt;&gt;"",INDEX(Profile!$H$5:$H$304,MATCH($D455,lst_Profil,0)),$H$5),$H$5))</f>
        <v/>
      </c>
      <c r="T455" s="16">
        <f>IF(OR(Q455="",NOT(ISNUMBER(R455)),NOT(ISNUMBER(S455))),"",Q455-R455-S455)</f>
        <v/>
      </c>
      <c r="U455" s="28">
        <f>IF(OR($D455="",$E455=""),"",IF(OR(N($AP455)&gt;0,COUNTIFS(Preise!$A$5:$A$304,$D455,Preise!$B$5:$B$304,$E455,Preise!$I$5:$I$304,"OK")&gt;0,N(INDEX(Werkstoffe!$G$5:$G$304,MATCH($E455,lst_Werkstoff,0)))&gt;0),"ja","nein"))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28">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Materialpreis",IF(AND($AQ455&lt;&gt;"",N($AR455)&gt;0,MOD($G455,$AR455)&lt;&gt;0),"WARNUNG: Stückzahl ist kein Vielfaches von Stück je Satz",IF($H455="","HINWEIS: Schneidweg fehlt",IF(V455="","HINWEIS: keine Schneiddaten",IF(AND($AF455&lt;&gt;"",$AG455=""),"HINWEIS: Gewinde-Vorschlag prüfen","OK")))))))))))))))</f>
        <v/>
      </c>
      <c r="X455" s="18">
        <f>IF(OR(O455="",$G455=""),"",O455*$G455)</f>
        <v/>
      </c>
      <c r="Y455" s="9" t="n"/>
      <c r="Z455" s="23" t="n"/>
      <c r="AA455" s="9" t="n"/>
      <c r="AB455" s="23" t="n"/>
      <c r="AC455" s="23" t="n"/>
      <c r="AD455" s="23" t="n"/>
      <c r="AE455" s="9" t="n"/>
      <c r="AF455" s="9" t="n"/>
      <c r="AG455" s="9" t="n"/>
      <c r="AH455" s="24" t="n"/>
      <c r="AI455" s="23" t="n"/>
      <c r="AJ455" s="24" t="n"/>
      <c r="AK455" s="23" t="n"/>
      <c r="AL455" s="24" t="n"/>
      <c r="AM455" s="23" t="n"/>
      <c r="AN455" s="28">
        <f>IF($D455="","",COUNTIFS(Stangenbelegung!$E$5:$E$10004,ROW()))</f>
        <v/>
      </c>
      <c r="AO455" s="28">
        <f>IF(OR($G455="",COUNTA(Stangenbelegung!$A$5:$A$10004)=0),"",$G455-AN455)</f>
        <v/>
      </c>
      <c r="AP455" s="29" t="n"/>
      <c r="AQ455" s="9" t="n"/>
      <c r="AR455" s="19" t="n"/>
    </row>
    <row r="456">
      <c r="A456" s="9" t="n"/>
      <c r="B456" s="9" t="n"/>
      <c r="C456" s="9" t="n"/>
      <c r="D456" s="9" t="n"/>
      <c r="E456" s="9" t="n"/>
      <c r="F456" s="23" t="n"/>
      <c r="G456" s="19" t="n"/>
      <c r="H456" s="23" t="n"/>
      <c r="I456" s="24" t="n"/>
      <c r="J456" s="19" t="n"/>
      <c r="K456" s="25">
        <f>IF($D456="","",IFERROR(INDEX(Profile!$B$5:$B$304,MATCH($D456,lst_Profil,0)),""))</f>
        <v/>
      </c>
      <c r="L456" s="13">
        <f>IF($D456="","",IFERROR(INDEX(Profile!$K$5:$K$304,MATCH($D456,lst_Profil,0))+0,""))</f>
        <v/>
      </c>
      <c r="M456" s="26">
        <f>IF($D456="","",IFERROR(INDEX(Profile!$E$5:$E$304,MATCH($D456,lst_Profil,0))+0,""))</f>
        <v/>
      </c>
      <c r="N456" s="27">
        <f>IF(OR(L456="",$E456=""),"",IFERROR(L456*INDEX(Werkstoffe!$E$5:$E$304,MATCH($E456,lst_Werkstoff,0))/1000,""))</f>
        <v/>
      </c>
      <c r="O456" s="27">
        <f>IF(OR(N456="",$F456=""),"",N456*$F456/1000)</f>
        <v/>
      </c>
      <c r="P456" s="16">
        <f>IF(OR($F456="",$G456=""),"",$F456*$G456)</f>
        <v/>
      </c>
      <c r="Q456" s="16">
        <f>IF($D456="","",IF($J456&lt;&gt;"",$J456,$C$9))</f>
        <v/>
      </c>
      <c r="R456" s="12">
        <f>IF($D456="","",IFERROR(IF(INDEX(Profile!$G$5:$G$304,MATCH($D456,lst_Profil,0))&lt;&gt;"",INDEX(Profile!$G$5:$G$304,MATCH($D456,lst_Profil,0)),$H$4),$H$4))</f>
        <v/>
      </c>
      <c r="S456" s="12">
        <f>IF($D456="","",IFERROR(IF(INDEX(Profile!$H$5:$H$304,MATCH($D456,lst_Profil,0))&lt;&gt;"",INDEX(Profile!$H$5:$H$304,MATCH($D456,lst_Profil,0)),$H$5),$H$5))</f>
        <v/>
      </c>
      <c r="T456" s="16">
        <f>IF(OR(Q456="",NOT(ISNUMBER(R456)),NOT(ISNUMBER(S456))),"",Q456-R456-S456)</f>
        <v/>
      </c>
      <c r="U456" s="28">
        <f>IF(OR($D456="",$E456=""),"",IF(OR(N($AP456)&gt;0,COUNTIFS(Preise!$A$5:$A$304,$D456,Preise!$B$5:$B$304,$E456,Preise!$I$5:$I$304,"OK")&gt;0,N(INDEX(Werkstoffe!$G$5:$G$304,MATCH($E456,lst_Werkstoff,0)))&gt;0),"ja","nein"))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28">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Materialpreis",IF(AND($AQ456&lt;&gt;"",N($AR456)&gt;0,MOD($G456,$AR456)&lt;&gt;0),"WARNUNG: Stückzahl ist kein Vielfaches von Stück je Satz",IF($H456="","HINWEIS: Schneidweg fehlt",IF(V456="","HINWEIS: keine Schneiddaten",IF(AND($AF456&lt;&gt;"",$AG456=""),"HINWEIS: Gewinde-Vorschlag prüfen","OK")))))))))))))))</f>
        <v/>
      </c>
      <c r="X456" s="18">
        <f>IF(OR(O456="",$G456=""),"",O456*$G456)</f>
        <v/>
      </c>
      <c r="Y456" s="9" t="n"/>
      <c r="Z456" s="23" t="n"/>
      <c r="AA456" s="9" t="n"/>
      <c r="AB456" s="23" t="n"/>
      <c r="AC456" s="23" t="n"/>
      <c r="AD456" s="23" t="n"/>
      <c r="AE456" s="9" t="n"/>
      <c r="AF456" s="9" t="n"/>
      <c r="AG456" s="9" t="n"/>
      <c r="AH456" s="24" t="n"/>
      <c r="AI456" s="23" t="n"/>
      <c r="AJ456" s="24" t="n"/>
      <c r="AK456" s="23" t="n"/>
      <c r="AL456" s="24" t="n"/>
      <c r="AM456" s="23" t="n"/>
      <c r="AN456" s="28">
        <f>IF($D456="","",COUNTIFS(Stangenbelegung!$E$5:$E$10004,ROW()))</f>
        <v/>
      </c>
      <c r="AO456" s="28">
        <f>IF(OR($G456="",COUNTA(Stangenbelegung!$A$5:$A$10004)=0),"",$G456-AN456)</f>
        <v/>
      </c>
      <c r="AP456" s="29" t="n"/>
      <c r="AQ456" s="9" t="n"/>
      <c r="AR456" s="19" t="n"/>
    </row>
    <row r="457">
      <c r="A457" s="9" t="n"/>
      <c r="B457" s="9" t="n"/>
      <c r="C457" s="9" t="n"/>
      <c r="D457" s="9" t="n"/>
      <c r="E457" s="9" t="n"/>
      <c r="F457" s="23" t="n"/>
      <c r="G457" s="19" t="n"/>
      <c r="H457" s="23" t="n"/>
      <c r="I457" s="24" t="n"/>
      <c r="J457" s="19" t="n"/>
      <c r="K457" s="25">
        <f>IF($D457="","",IFERROR(INDEX(Profile!$B$5:$B$304,MATCH($D457,lst_Profil,0)),""))</f>
        <v/>
      </c>
      <c r="L457" s="13">
        <f>IF($D457="","",IFERROR(INDEX(Profile!$K$5:$K$304,MATCH($D457,lst_Profil,0))+0,""))</f>
        <v/>
      </c>
      <c r="M457" s="26">
        <f>IF($D457="","",IFERROR(INDEX(Profile!$E$5:$E$304,MATCH($D457,lst_Profil,0))+0,""))</f>
        <v/>
      </c>
      <c r="N457" s="27">
        <f>IF(OR(L457="",$E457=""),"",IFERROR(L457*INDEX(Werkstoffe!$E$5:$E$304,MATCH($E457,lst_Werkstoff,0))/1000,""))</f>
        <v/>
      </c>
      <c r="O457" s="27">
        <f>IF(OR(N457="",$F457=""),"",N457*$F457/1000)</f>
        <v/>
      </c>
      <c r="P457" s="16">
        <f>IF(OR($F457="",$G457=""),"",$F457*$G457)</f>
        <v/>
      </c>
      <c r="Q457" s="16">
        <f>IF($D457="","",IF($J457&lt;&gt;"",$J457,$C$9))</f>
        <v/>
      </c>
      <c r="R457" s="12">
        <f>IF($D457="","",IFERROR(IF(INDEX(Profile!$G$5:$G$304,MATCH($D457,lst_Profil,0))&lt;&gt;"",INDEX(Profile!$G$5:$G$304,MATCH($D457,lst_Profil,0)),$H$4),$H$4))</f>
        <v/>
      </c>
      <c r="S457" s="12">
        <f>IF($D457="","",IFERROR(IF(INDEX(Profile!$H$5:$H$304,MATCH($D457,lst_Profil,0))&lt;&gt;"",INDEX(Profile!$H$5:$H$304,MATCH($D457,lst_Profil,0)),$H$5),$H$5))</f>
        <v/>
      </c>
      <c r="T457" s="16">
        <f>IF(OR(Q457="",NOT(ISNUMBER(R457)),NOT(ISNUMBER(S457))),"",Q457-R457-S457)</f>
        <v/>
      </c>
      <c r="U457" s="28">
        <f>IF(OR($D457="",$E457=""),"",IF(OR(N($AP457)&gt;0,COUNTIFS(Preise!$A$5:$A$304,$D457,Preise!$B$5:$B$304,$E457,Preise!$I$5:$I$304,"OK")&gt;0,N(INDEX(Werkstoffe!$G$5:$G$304,MATCH($E457,lst_Werkstoff,0)))&gt;0),"ja","nein"))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28">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Materialpreis",IF(AND($AQ457&lt;&gt;"",N($AR457)&gt;0,MOD($G457,$AR457)&lt;&gt;0),"WARNUNG: Stückzahl ist kein Vielfaches von Stück je Satz",IF($H457="","HINWEIS: Schneidweg fehlt",IF(V457="","HINWEIS: keine Schneiddaten",IF(AND($AF457&lt;&gt;"",$AG457=""),"HINWEIS: Gewinde-Vorschlag prüfen","OK")))))))))))))))</f>
        <v/>
      </c>
      <c r="X457" s="18">
        <f>IF(OR(O457="",$G457=""),"",O457*$G457)</f>
        <v/>
      </c>
      <c r="Y457" s="9" t="n"/>
      <c r="Z457" s="23" t="n"/>
      <c r="AA457" s="9" t="n"/>
      <c r="AB457" s="23" t="n"/>
      <c r="AC457" s="23" t="n"/>
      <c r="AD457" s="23" t="n"/>
      <c r="AE457" s="9" t="n"/>
      <c r="AF457" s="9" t="n"/>
      <c r="AG457" s="9" t="n"/>
      <c r="AH457" s="24" t="n"/>
      <c r="AI457" s="23" t="n"/>
      <c r="AJ457" s="24" t="n"/>
      <c r="AK457" s="23" t="n"/>
      <c r="AL457" s="24" t="n"/>
      <c r="AM457" s="23" t="n"/>
      <c r="AN457" s="28">
        <f>IF($D457="","",COUNTIFS(Stangenbelegung!$E$5:$E$10004,ROW()))</f>
        <v/>
      </c>
      <c r="AO457" s="28">
        <f>IF(OR($G457="",COUNTA(Stangenbelegung!$A$5:$A$10004)=0),"",$G457-AN457)</f>
        <v/>
      </c>
      <c r="AP457" s="29" t="n"/>
      <c r="AQ457" s="9" t="n"/>
      <c r="AR457" s="19" t="n"/>
    </row>
    <row r="458">
      <c r="A458" s="9" t="n"/>
      <c r="B458" s="9" t="n"/>
      <c r="C458" s="9" t="n"/>
      <c r="D458" s="9" t="n"/>
      <c r="E458" s="9" t="n"/>
      <c r="F458" s="23" t="n"/>
      <c r="G458" s="19" t="n"/>
      <c r="H458" s="23" t="n"/>
      <c r="I458" s="24" t="n"/>
      <c r="J458" s="19" t="n"/>
      <c r="K458" s="25">
        <f>IF($D458="","",IFERROR(INDEX(Profile!$B$5:$B$304,MATCH($D458,lst_Profil,0)),""))</f>
        <v/>
      </c>
      <c r="L458" s="13">
        <f>IF($D458="","",IFERROR(INDEX(Profile!$K$5:$K$304,MATCH($D458,lst_Profil,0))+0,""))</f>
        <v/>
      </c>
      <c r="M458" s="26">
        <f>IF($D458="","",IFERROR(INDEX(Profile!$E$5:$E$304,MATCH($D458,lst_Profil,0))+0,""))</f>
        <v/>
      </c>
      <c r="N458" s="27">
        <f>IF(OR(L458="",$E458=""),"",IFERROR(L458*INDEX(Werkstoffe!$E$5:$E$304,MATCH($E458,lst_Werkstoff,0))/1000,""))</f>
        <v/>
      </c>
      <c r="O458" s="27">
        <f>IF(OR(N458="",$F458=""),"",N458*$F458/1000)</f>
        <v/>
      </c>
      <c r="P458" s="16">
        <f>IF(OR($F458="",$G458=""),"",$F458*$G458)</f>
        <v/>
      </c>
      <c r="Q458" s="16">
        <f>IF($D458="","",IF($J458&lt;&gt;"",$J458,$C$9))</f>
        <v/>
      </c>
      <c r="R458" s="12">
        <f>IF($D458="","",IFERROR(IF(INDEX(Profile!$G$5:$G$304,MATCH($D458,lst_Profil,0))&lt;&gt;"",INDEX(Profile!$G$5:$G$304,MATCH($D458,lst_Profil,0)),$H$4),$H$4))</f>
        <v/>
      </c>
      <c r="S458" s="12">
        <f>IF($D458="","",IFERROR(IF(INDEX(Profile!$H$5:$H$304,MATCH($D458,lst_Profil,0))&lt;&gt;"",INDEX(Profile!$H$5:$H$304,MATCH($D458,lst_Profil,0)),$H$5),$H$5))</f>
        <v/>
      </c>
      <c r="T458" s="16">
        <f>IF(OR(Q458="",NOT(ISNUMBER(R458)),NOT(ISNUMBER(S458))),"",Q458-R458-S458)</f>
        <v/>
      </c>
      <c r="U458" s="28">
        <f>IF(OR($D458="",$E458=""),"",IF(OR(N($AP458)&gt;0,COUNTIFS(Preise!$A$5:$A$304,$D458,Preise!$B$5:$B$304,$E458,Preise!$I$5:$I$304,"OK")&gt;0,N(INDEX(Werkstoffe!$G$5:$G$304,MATCH($E458,lst_Werkstoff,0)))&gt;0),"ja","nein"))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28">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Materialpreis",IF(AND($AQ458&lt;&gt;"",N($AR458)&gt;0,MOD($G458,$AR458)&lt;&gt;0),"WARNUNG: Stückzahl ist kein Vielfaches von Stück je Satz",IF($H458="","HINWEIS: Schneidweg fehlt",IF(V458="","HINWEIS: keine Schneiddaten",IF(AND($AF458&lt;&gt;"",$AG458=""),"HINWEIS: Gewinde-Vorschlag prüfen","OK")))))))))))))))</f>
        <v/>
      </c>
      <c r="X458" s="18">
        <f>IF(OR(O458="",$G458=""),"",O458*$G458)</f>
        <v/>
      </c>
      <c r="Y458" s="9" t="n"/>
      <c r="Z458" s="23" t="n"/>
      <c r="AA458" s="9" t="n"/>
      <c r="AB458" s="23" t="n"/>
      <c r="AC458" s="23" t="n"/>
      <c r="AD458" s="23" t="n"/>
      <c r="AE458" s="9" t="n"/>
      <c r="AF458" s="9" t="n"/>
      <c r="AG458" s="9" t="n"/>
      <c r="AH458" s="24" t="n"/>
      <c r="AI458" s="23" t="n"/>
      <c r="AJ458" s="24" t="n"/>
      <c r="AK458" s="23" t="n"/>
      <c r="AL458" s="24" t="n"/>
      <c r="AM458" s="23" t="n"/>
      <c r="AN458" s="28">
        <f>IF($D458="","",COUNTIFS(Stangenbelegung!$E$5:$E$10004,ROW()))</f>
        <v/>
      </c>
      <c r="AO458" s="28">
        <f>IF(OR($G458="",COUNTA(Stangenbelegung!$A$5:$A$10004)=0),"",$G458-AN458)</f>
        <v/>
      </c>
      <c r="AP458" s="29" t="n"/>
      <c r="AQ458" s="9" t="n"/>
      <c r="AR458" s="19" t="n"/>
    </row>
    <row r="459">
      <c r="A459" s="9" t="n"/>
      <c r="B459" s="9" t="n"/>
      <c r="C459" s="9" t="n"/>
      <c r="D459" s="9" t="n"/>
      <c r="E459" s="9" t="n"/>
      <c r="F459" s="23" t="n"/>
      <c r="G459" s="19" t="n"/>
      <c r="H459" s="23" t="n"/>
      <c r="I459" s="24" t="n"/>
      <c r="J459" s="19" t="n"/>
      <c r="K459" s="25">
        <f>IF($D459="","",IFERROR(INDEX(Profile!$B$5:$B$304,MATCH($D459,lst_Profil,0)),""))</f>
        <v/>
      </c>
      <c r="L459" s="13">
        <f>IF($D459="","",IFERROR(INDEX(Profile!$K$5:$K$304,MATCH($D459,lst_Profil,0))+0,""))</f>
        <v/>
      </c>
      <c r="M459" s="26">
        <f>IF($D459="","",IFERROR(INDEX(Profile!$E$5:$E$304,MATCH($D459,lst_Profil,0))+0,""))</f>
        <v/>
      </c>
      <c r="N459" s="27">
        <f>IF(OR(L459="",$E459=""),"",IFERROR(L459*INDEX(Werkstoffe!$E$5:$E$304,MATCH($E459,lst_Werkstoff,0))/1000,""))</f>
        <v/>
      </c>
      <c r="O459" s="27">
        <f>IF(OR(N459="",$F459=""),"",N459*$F459/1000)</f>
        <v/>
      </c>
      <c r="P459" s="16">
        <f>IF(OR($F459="",$G459=""),"",$F459*$G459)</f>
        <v/>
      </c>
      <c r="Q459" s="16">
        <f>IF($D459="","",IF($J459&lt;&gt;"",$J459,$C$9))</f>
        <v/>
      </c>
      <c r="R459" s="12">
        <f>IF($D459="","",IFERROR(IF(INDEX(Profile!$G$5:$G$304,MATCH($D459,lst_Profil,0))&lt;&gt;"",INDEX(Profile!$G$5:$G$304,MATCH($D459,lst_Profil,0)),$H$4),$H$4))</f>
        <v/>
      </c>
      <c r="S459" s="12">
        <f>IF($D459="","",IFERROR(IF(INDEX(Profile!$H$5:$H$304,MATCH($D459,lst_Profil,0))&lt;&gt;"",INDEX(Profile!$H$5:$H$304,MATCH($D459,lst_Profil,0)),$H$5),$H$5))</f>
        <v/>
      </c>
      <c r="T459" s="16">
        <f>IF(OR(Q459="",NOT(ISNUMBER(R459)),NOT(ISNUMBER(S459))),"",Q459-R459-S459)</f>
        <v/>
      </c>
      <c r="U459" s="28">
        <f>IF(OR($D459="",$E459=""),"",IF(OR(N($AP459)&gt;0,COUNTIFS(Preise!$A$5:$A$304,$D459,Preise!$B$5:$B$304,$E459,Preise!$I$5:$I$304,"OK")&gt;0,N(INDEX(Werkstoffe!$G$5:$G$304,MATCH($E459,lst_Werkstoff,0)))&gt;0),"ja","nein"))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28">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Materialpreis",IF(AND($AQ459&lt;&gt;"",N($AR459)&gt;0,MOD($G459,$AR459)&lt;&gt;0),"WARNUNG: Stückzahl ist kein Vielfaches von Stück je Satz",IF($H459="","HINWEIS: Schneidweg fehlt",IF(V459="","HINWEIS: keine Schneiddaten",IF(AND($AF459&lt;&gt;"",$AG459=""),"HINWEIS: Gewinde-Vorschlag prüfen","OK")))))))))))))))</f>
        <v/>
      </c>
      <c r="X459" s="18">
        <f>IF(OR(O459="",$G459=""),"",O459*$G459)</f>
        <v/>
      </c>
      <c r="Y459" s="9" t="n"/>
      <c r="Z459" s="23" t="n"/>
      <c r="AA459" s="9" t="n"/>
      <c r="AB459" s="23" t="n"/>
      <c r="AC459" s="23" t="n"/>
      <c r="AD459" s="23" t="n"/>
      <c r="AE459" s="9" t="n"/>
      <c r="AF459" s="9" t="n"/>
      <c r="AG459" s="9" t="n"/>
      <c r="AH459" s="24" t="n"/>
      <c r="AI459" s="23" t="n"/>
      <c r="AJ459" s="24" t="n"/>
      <c r="AK459" s="23" t="n"/>
      <c r="AL459" s="24" t="n"/>
      <c r="AM459" s="23" t="n"/>
      <c r="AN459" s="28">
        <f>IF($D459="","",COUNTIFS(Stangenbelegung!$E$5:$E$10004,ROW()))</f>
        <v/>
      </c>
      <c r="AO459" s="28">
        <f>IF(OR($G459="",COUNTA(Stangenbelegung!$A$5:$A$10004)=0),"",$G459-AN459)</f>
        <v/>
      </c>
      <c r="AP459" s="29" t="n"/>
      <c r="AQ459" s="9" t="n"/>
      <c r="AR459" s="19" t="n"/>
    </row>
    <row r="460">
      <c r="A460" s="9" t="n"/>
      <c r="B460" s="9" t="n"/>
      <c r="C460" s="9" t="n"/>
      <c r="D460" s="9" t="n"/>
      <c r="E460" s="9" t="n"/>
      <c r="F460" s="23" t="n"/>
      <c r="G460" s="19" t="n"/>
      <c r="H460" s="23" t="n"/>
      <c r="I460" s="24" t="n"/>
      <c r="J460" s="19" t="n"/>
      <c r="K460" s="25">
        <f>IF($D460="","",IFERROR(INDEX(Profile!$B$5:$B$304,MATCH($D460,lst_Profil,0)),""))</f>
        <v/>
      </c>
      <c r="L460" s="13">
        <f>IF($D460="","",IFERROR(INDEX(Profile!$K$5:$K$304,MATCH($D460,lst_Profil,0))+0,""))</f>
        <v/>
      </c>
      <c r="M460" s="26">
        <f>IF($D460="","",IFERROR(INDEX(Profile!$E$5:$E$304,MATCH($D460,lst_Profil,0))+0,""))</f>
        <v/>
      </c>
      <c r="N460" s="27">
        <f>IF(OR(L460="",$E460=""),"",IFERROR(L460*INDEX(Werkstoffe!$E$5:$E$304,MATCH($E460,lst_Werkstoff,0))/1000,""))</f>
        <v/>
      </c>
      <c r="O460" s="27">
        <f>IF(OR(N460="",$F460=""),"",N460*$F460/1000)</f>
        <v/>
      </c>
      <c r="P460" s="16">
        <f>IF(OR($F460="",$G460=""),"",$F460*$G460)</f>
        <v/>
      </c>
      <c r="Q460" s="16">
        <f>IF($D460="","",IF($J460&lt;&gt;"",$J460,$C$9))</f>
        <v/>
      </c>
      <c r="R460" s="12">
        <f>IF($D460="","",IFERROR(IF(INDEX(Profile!$G$5:$G$304,MATCH($D460,lst_Profil,0))&lt;&gt;"",INDEX(Profile!$G$5:$G$304,MATCH($D460,lst_Profil,0)),$H$4),$H$4))</f>
        <v/>
      </c>
      <c r="S460" s="12">
        <f>IF($D460="","",IFERROR(IF(INDEX(Profile!$H$5:$H$304,MATCH($D460,lst_Profil,0))&lt;&gt;"",INDEX(Profile!$H$5:$H$304,MATCH($D460,lst_Profil,0)),$H$5),$H$5))</f>
        <v/>
      </c>
      <c r="T460" s="16">
        <f>IF(OR(Q460="",NOT(ISNUMBER(R460)),NOT(ISNUMBER(S460))),"",Q460-R460-S460)</f>
        <v/>
      </c>
      <c r="U460" s="28">
        <f>IF(OR($D460="",$E460=""),"",IF(OR(N($AP460)&gt;0,COUNTIFS(Preise!$A$5:$A$304,$D460,Preise!$B$5:$B$304,$E460,Preise!$I$5:$I$304,"OK")&gt;0,N(INDEX(Werkstoffe!$G$5:$G$304,MATCH($E460,lst_Werkstoff,0)))&gt;0),"ja","nein"))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28">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Materialpreis",IF(AND($AQ460&lt;&gt;"",N($AR460)&gt;0,MOD($G460,$AR460)&lt;&gt;0),"WARNUNG: Stückzahl ist kein Vielfaches von Stück je Satz",IF($H460="","HINWEIS: Schneidweg fehlt",IF(V460="","HINWEIS: keine Schneiddaten",IF(AND($AF460&lt;&gt;"",$AG460=""),"HINWEIS: Gewinde-Vorschlag prüfen","OK")))))))))))))))</f>
        <v/>
      </c>
      <c r="X460" s="18">
        <f>IF(OR(O460="",$G460=""),"",O460*$G460)</f>
        <v/>
      </c>
      <c r="Y460" s="9" t="n"/>
      <c r="Z460" s="23" t="n"/>
      <c r="AA460" s="9" t="n"/>
      <c r="AB460" s="23" t="n"/>
      <c r="AC460" s="23" t="n"/>
      <c r="AD460" s="23" t="n"/>
      <c r="AE460" s="9" t="n"/>
      <c r="AF460" s="9" t="n"/>
      <c r="AG460" s="9" t="n"/>
      <c r="AH460" s="24" t="n"/>
      <c r="AI460" s="23" t="n"/>
      <c r="AJ460" s="24" t="n"/>
      <c r="AK460" s="23" t="n"/>
      <c r="AL460" s="24" t="n"/>
      <c r="AM460" s="23" t="n"/>
      <c r="AN460" s="28">
        <f>IF($D460="","",COUNTIFS(Stangenbelegung!$E$5:$E$10004,ROW()))</f>
        <v/>
      </c>
      <c r="AO460" s="28">
        <f>IF(OR($G460="",COUNTA(Stangenbelegung!$A$5:$A$10004)=0),"",$G460-AN460)</f>
        <v/>
      </c>
      <c r="AP460" s="29" t="n"/>
      <c r="AQ460" s="9" t="n"/>
      <c r="AR460" s="19" t="n"/>
    </row>
    <row r="461">
      <c r="A461" s="9" t="n"/>
      <c r="B461" s="9" t="n"/>
      <c r="C461" s="9" t="n"/>
      <c r="D461" s="9" t="n"/>
      <c r="E461" s="9" t="n"/>
      <c r="F461" s="23" t="n"/>
      <c r="G461" s="19" t="n"/>
      <c r="H461" s="23" t="n"/>
      <c r="I461" s="24" t="n"/>
      <c r="J461" s="19" t="n"/>
      <c r="K461" s="25">
        <f>IF($D461="","",IFERROR(INDEX(Profile!$B$5:$B$304,MATCH($D461,lst_Profil,0)),""))</f>
        <v/>
      </c>
      <c r="L461" s="13">
        <f>IF($D461="","",IFERROR(INDEX(Profile!$K$5:$K$304,MATCH($D461,lst_Profil,0))+0,""))</f>
        <v/>
      </c>
      <c r="M461" s="26">
        <f>IF($D461="","",IFERROR(INDEX(Profile!$E$5:$E$304,MATCH($D461,lst_Profil,0))+0,""))</f>
        <v/>
      </c>
      <c r="N461" s="27">
        <f>IF(OR(L461="",$E461=""),"",IFERROR(L461*INDEX(Werkstoffe!$E$5:$E$304,MATCH($E461,lst_Werkstoff,0))/1000,""))</f>
        <v/>
      </c>
      <c r="O461" s="27">
        <f>IF(OR(N461="",$F461=""),"",N461*$F461/1000)</f>
        <v/>
      </c>
      <c r="P461" s="16">
        <f>IF(OR($F461="",$G461=""),"",$F461*$G461)</f>
        <v/>
      </c>
      <c r="Q461" s="16">
        <f>IF($D461="","",IF($J461&lt;&gt;"",$J461,$C$9))</f>
        <v/>
      </c>
      <c r="R461" s="12">
        <f>IF($D461="","",IFERROR(IF(INDEX(Profile!$G$5:$G$304,MATCH($D461,lst_Profil,0))&lt;&gt;"",INDEX(Profile!$G$5:$G$304,MATCH($D461,lst_Profil,0)),$H$4),$H$4))</f>
        <v/>
      </c>
      <c r="S461" s="12">
        <f>IF($D461="","",IFERROR(IF(INDEX(Profile!$H$5:$H$304,MATCH($D461,lst_Profil,0))&lt;&gt;"",INDEX(Profile!$H$5:$H$304,MATCH($D461,lst_Profil,0)),$H$5),$H$5))</f>
        <v/>
      </c>
      <c r="T461" s="16">
        <f>IF(OR(Q461="",NOT(ISNUMBER(R461)),NOT(ISNUMBER(S461))),"",Q461-R461-S461)</f>
        <v/>
      </c>
      <c r="U461" s="28">
        <f>IF(OR($D461="",$E461=""),"",IF(OR(N($AP461)&gt;0,COUNTIFS(Preise!$A$5:$A$304,$D461,Preise!$B$5:$B$304,$E461,Preise!$I$5:$I$304,"OK")&gt;0,N(INDEX(Werkstoffe!$G$5:$G$304,MATCH($E461,lst_Werkstoff,0)))&gt;0),"ja","nein"))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28">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Materialpreis",IF(AND($AQ461&lt;&gt;"",N($AR461)&gt;0,MOD($G461,$AR461)&lt;&gt;0),"WARNUNG: Stückzahl ist kein Vielfaches von Stück je Satz",IF($H461="","HINWEIS: Schneidweg fehlt",IF(V461="","HINWEIS: keine Schneiddaten",IF(AND($AF461&lt;&gt;"",$AG461=""),"HINWEIS: Gewinde-Vorschlag prüfen","OK")))))))))))))))</f>
        <v/>
      </c>
      <c r="X461" s="18">
        <f>IF(OR(O461="",$G461=""),"",O461*$G461)</f>
        <v/>
      </c>
      <c r="Y461" s="9" t="n"/>
      <c r="Z461" s="23" t="n"/>
      <c r="AA461" s="9" t="n"/>
      <c r="AB461" s="23" t="n"/>
      <c r="AC461" s="23" t="n"/>
      <c r="AD461" s="23" t="n"/>
      <c r="AE461" s="9" t="n"/>
      <c r="AF461" s="9" t="n"/>
      <c r="AG461" s="9" t="n"/>
      <c r="AH461" s="24" t="n"/>
      <c r="AI461" s="23" t="n"/>
      <c r="AJ461" s="24" t="n"/>
      <c r="AK461" s="23" t="n"/>
      <c r="AL461" s="24" t="n"/>
      <c r="AM461" s="23" t="n"/>
      <c r="AN461" s="28">
        <f>IF($D461="","",COUNTIFS(Stangenbelegung!$E$5:$E$10004,ROW()))</f>
        <v/>
      </c>
      <c r="AO461" s="28">
        <f>IF(OR($G461="",COUNTA(Stangenbelegung!$A$5:$A$10004)=0),"",$G461-AN461)</f>
        <v/>
      </c>
      <c r="AP461" s="29" t="n"/>
      <c r="AQ461" s="9" t="n"/>
      <c r="AR461" s="19" t="n"/>
    </row>
    <row r="462">
      <c r="A462" s="9" t="n"/>
      <c r="B462" s="9" t="n"/>
      <c r="C462" s="9" t="n"/>
      <c r="D462" s="9" t="n"/>
      <c r="E462" s="9" t="n"/>
      <c r="F462" s="23" t="n"/>
      <c r="G462" s="19" t="n"/>
      <c r="H462" s="23" t="n"/>
      <c r="I462" s="24" t="n"/>
      <c r="J462" s="19" t="n"/>
      <c r="K462" s="25">
        <f>IF($D462="","",IFERROR(INDEX(Profile!$B$5:$B$304,MATCH($D462,lst_Profil,0)),""))</f>
        <v/>
      </c>
      <c r="L462" s="13">
        <f>IF($D462="","",IFERROR(INDEX(Profile!$K$5:$K$304,MATCH($D462,lst_Profil,0))+0,""))</f>
        <v/>
      </c>
      <c r="M462" s="26">
        <f>IF($D462="","",IFERROR(INDEX(Profile!$E$5:$E$304,MATCH($D462,lst_Profil,0))+0,""))</f>
        <v/>
      </c>
      <c r="N462" s="27">
        <f>IF(OR(L462="",$E462=""),"",IFERROR(L462*INDEX(Werkstoffe!$E$5:$E$304,MATCH($E462,lst_Werkstoff,0))/1000,""))</f>
        <v/>
      </c>
      <c r="O462" s="27">
        <f>IF(OR(N462="",$F462=""),"",N462*$F462/1000)</f>
        <v/>
      </c>
      <c r="P462" s="16">
        <f>IF(OR($F462="",$G462=""),"",$F462*$G462)</f>
        <v/>
      </c>
      <c r="Q462" s="16">
        <f>IF($D462="","",IF($J462&lt;&gt;"",$J462,$C$9))</f>
        <v/>
      </c>
      <c r="R462" s="12">
        <f>IF($D462="","",IFERROR(IF(INDEX(Profile!$G$5:$G$304,MATCH($D462,lst_Profil,0))&lt;&gt;"",INDEX(Profile!$G$5:$G$304,MATCH($D462,lst_Profil,0)),$H$4),$H$4))</f>
        <v/>
      </c>
      <c r="S462" s="12">
        <f>IF($D462="","",IFERROR(IF(INDEX(Profile!$H$5:$H$304,MATCH($D462,lst_Profil,0))&lt;&gt;"",INDEX(Profile!$H$5:$H$304,MATCH($D462,lst_Profil,0)),$H$5),$H$5))</f>
        <v/>
      </c>
      <c r="T462" s="16">
        <f>IF(OR(Q462="",NOT(ISNUMBER(R462)),NOT(ISNUMBER(S462))),"",Q462-R462-S462)</f>
        <v/>
      </c>
      <c r="U462" s="28">
        <f>IF(OR($D462="",$E462=""),"",IF(OR(N($AP462)&gt;0,COUNTIFS(Preise!$A$5:$A$304,$D462,Preise!$B$5:$B$304,$E462,Preise!$I$5:$I$304,"OK")&gt;0,N(INDEX(Werkstoffe!$G$5:$G$304,MATCH($E462,lst_Werkstoff,0)))&gt;0),"ja","nein"))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28">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Materialpreis",IF(AND($AQ462&lt;&gt;"",N($AR462)&gt;0,MOD($G462,$AR462)&lt;&gt;0),"WARNUNG: Stückzahl ist kein Vielfaches von Stück je Satz",IF($H462="","HINWEIS: Schneidweg fehlt",IF(V462="","HINWEIS: keine Schneiddaten",IF(AND($AF462&lt;&gt;"",$AG462=""),"HINWEIS: Gewinde-Vorschlag prüfen","OK")))))))))))))))</f>
        <v/>
      </c>
      <c r="X462" s="18">
        <f>IF(OR(O462="",$G462=""),"",O462*$G462)</f>
        <v/>
      </c>
      <c r="Y462" s="9" t="n"/>
      <c r="Z462" s="23" t="n"/>
      <c r="AA462" s="9" t="n"/>
      <c r="AB462" s="23" t="n"/>
      <c r="AC462" s="23" t="n"/>
      <c r="AD462" s="23" t="n"/>
      <c r="AE462" s="9" t="n"/>
      <c r="AF462" s="9" t="n"/>
      <c r="AG462" s="9" t="n"/>
      <c r="AH462" s="24" t="n"/>
      <c r="AI462" s="23" t="n"/>
      <c r="AJ462" s="24" t="n"/>
      <c r="AK462" s="23" t="n"/>
      <c r="AL462" s="24" t="n"/>
      <c r="AM462" s="23" t="n"/>
      <c r="AN462" s="28">
        <f>IF($D462="","",COUNTIFS(Stangenbelegung!$E$5:$E$10004,ROW()))</f>
        <v/>
      </c>
      <c r="AO462" s="28">
        <f>IF(OR($G462="",COUNTA(Stangenbelegung!$A$5:$A$10004)=0),"",$G462-AN462)</f>
        <v/>
      </c>
      <c r="AP462" s="29" t="n"/>
      <c r="AQ462" s="9" t="n"/>
      <c r="AR462" s="19" t="n"/>
    </row>
    <row r="463">
      <c r="A463" s="9" t="n"/>
      <c r="B463" s="9" t="n"/>
      <c r="C463" s="9" t="n"/>
      <c r="D463" s="9" t="n"/>
      <c r="E463" s="9" t="n"/>
      <c r="F463" s="23" t="n"/>
      <c r="G463" s="19" t="n"/>
      <c r="H463" s="23" t="n"/>
      <c r="I463" s="24" t="n"/>
      <c r="J463" s="19" t="n"/>
      <c r="K463" s="25">
        <f>IF($D463="","",IFERROR(INDEX(Profile!$B$5:$B$304,MATCH($D463,lst_Profil,0)),""))</f>
        <v/>
      </c>
      <c r="L463" s="13">
        <f>IF($D463="","",IFERROR(INDEX(Profile!$K$5:$K$304,MATCH($D463,lst_Profil,0))+0,""))</f>
        <v/>
      </c>
      <c r="M463" s="26">
        <f>IF($D463="","",IFERROR(INDEX(Profile!$E$5:$E$304,MATCH($D463,lst_Profil,0))+0,""))</f>
        <v/>
      </c>
      <c r="N463" s="27">
        <f>IF(OR(L463="",$E463=""),"",IFERROR(L463*INDEX(Werkstoffe!$E$5:$E$304,MATCH($E463,lst_Werkstoff,0))/1000,""))</f>
        <v/>
      </c>
      <c r="O463" s="27">
        <f>IF(OR(N463="",$F463=""),"",N463*$F463/1000)</f>
        <v/>
      </c>
      <c r="P463" s="16">
        <f>IF(OR($F463="",$G463=""),"",$F463*$G463)</f>
        <v/>
      </c>
      <c r="Q463" s="16">
        <f>IF($D463="","",IF($J463&lt;&gt;"",$J463,$C$9))</f>
        <v/>
      </c>
      <c r="R463" s="12">
        <f>IF($D463="","",IFERROR(IF(INDEX(Profile!$G$5:$G$304,MATCH($D463,lst_Profil,0))&lt;&gt;"",INDEX(Profile!$G$5:$G$304,MATCH($D463,lst_Profil,0)),$H$4),$H$4))</f>
        <v/>
      </c>
      <c r="S463" s="12">
        <f>IF($D463="","",IFERROR(IF(INDEX(Profile!$H$5:$H$304,MATCH($D463,lst_Profil,0))&lt;&gt;"",INDEX(Profile!$H$5:$H$304,MATCH($D463,lst_Profil,0)),$H$5),$H$5))</f>
        <v/>
      </c>
      <c r="T463" s="16">
        <f>IF(OR(Q463="",NOT(ISNUMBER(R463)),NOT(ISNUMBER(S463))),"",Q463-R463-S463)</f>
        <v/>
      </c>
      <c r="U463" s="28">
        <f>IF(OR($D463="",$E463=""),"",IF(OR(N($AP463)&gt;0,COUNTIFS(Preise!$A$5:$A$304,$D463,Preise!$B$5:$B$304,$E463,Preise!$I$5:$I$304,"OK")&gt;0,N(INDEX(Werkstoffe!$G$5:$G$304,MATCH($E463,lst_Werkstoff,0)))&gt;0),"ja","nein"))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28">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Materialpreis",IF(AND($AQ463&lt;&gt;"",N($AR463)&gt;0,MOD($G463,$AR463)&lt;&gt;0),"WARNUNG: Stückzahl ist kein Vielfaches von Stück je Satz",IF($H463="","HINWEIS: Schneidweg fehlt",IF(V463="","HINWEIS: keine Schneiddaten",IF(AND($AF463&lt;&gt;"",$AG463=""),"HINWEIS: Gewinde-Vorschlag prüfen","OK")))))))))))))))</f>
        <v/>
      </c>
      <c r="X463" s="18">
        <f>IF(OR(O463="",$G463=""),"",O463*$G463)</f>
        <v/>
      </c>
      <c r="Y463" s="9" t="n"/>
      <c r="Z463" s="23" t="n"/>
      <c r="AA463" s="9" t="n"/>
      <c r="AB463" s="23" t="n"/>
      <c r="AC463" s="23" t="n"/>
      <c r="AD463" s="23" t="n"/>
      <c r="AE463" s="9" t="n"/>
      <c r="AF463" s="9" t="n"/>
      <c r="AG463" s="9" t="n"/>
      <c r="AH463" s="24" t="n"/>
      <c r="AI463" s="23" t="n"/>
      <c r="AJ463" s="24" t="n"/>
      <c r="AK463" s="23" t="n"/>
      <c r="AL463" s="24" t="n"/>
      <c r="AM463" s="23" t="n"/>
      <c r="AN463" s="28">
        <f>IF($D463="","",COUNTIFS(Stangenbelegung!$E$5:$E$10004,ROW()))</f>
        <v/>
      </c>
      <c r="AO463" s="28">
        <f>IF(OR($G463="",COUNTA(Stangenbelegung!$A$5:$A$10004)=0),"",$G463-AN463)</f>
        <v/>
      </c>
      <c r="AP463" s="29" t="n"/>
      <c r="AQ463" s="9" t="n"/>
      <c r="AR463" s="19" t="n"/>
    </row>
    <row r="464">
      <c r="A464" s="9" t="n"/>
      <c r="B464" s="9" t="n"/>
      <c r="C464" s="9" t="n"/>
      <c r="D464" s="9" t="n"/>
      <c r="E464" s="9" t="n"/>
      <c r="F464" s="23" t="n"/>
      <c r="G464" s="19" t="n"/>
      <c r="H464" s="23" t="n"/>
      <c r="I464" s="24" t="n"/>
      <c r="J464" s="19" t="n"/>
      <c r="K464" s="25">
        <f>IF($D464="","",IFERROR(INDEX(Profile!$B$5:$B$304,MATCH($D464,lst_Profil,0)),""))</f>
        <v/>
      </c>
      <c r="L464" s="13">
        <f>IF($D464="","",IFERROR(INDEX(Profile!$K$5:$K$304,MATCH($D464,lst_Profil,0))+0,""))</f>
        <v/>
      </c>
      <c r="M464" s="26">
        <f>IF($D464="","",IFERROR(INDEX(Profile!$E$5:$E$304,MATCH($D464,lst_Profil,0))+0,""))</f>
        <v/>
      </c>
      <c r="N464" s="27">
        <f>IF(OR(L464="",$E464=""),"",IFERROR(L464*INDEX(Werkstoffe!$E$5:$E$304,MATCH($E464,lst_Werkstoff,0))/1000,""))</f>
        <v/>
      </c>
      <c r="O464" s="27">
        <f>IF(OR(N464="",$F464=""),"",N464*$F464/1000)</f>
        <v/>
      </c>
      <c r="P464" s="16">
        <f>IF(OR($F464="",$G464=""),"",$F464*$G464)</f>
        <v/>
      </c>
      <c r="Q464" s="16">
        <f>IF($D464="","",IF($J464&lt;&gt;"",$J464,$C$9))</f>
        <v/>
      </c>
      <c r="R464" s="12">
        <f>IF($D464="","",IFERROR(IF(INDEX(Profile!$G$5:$G$304,MATCH($D464,lst_Profil,0))&lt;&gt;"",INDEX(Profile!$G$5:$G$304,MATCH($D464,lst_Profil,0)),$H$4),$H$4))</f>
        <v/>
      </c>
      <c r="S464" s="12">
        <f>IF($D464="","",IFERROR(IF(INDEX(Profile!$H$5:$H$304,MATCH($D464,lst_Profil,0))&lt;&gt;"",INDEX(Profile!$H$5:$H$304,MATCH($D464,lst_Profil,0)),$H$5),$H$5))</f>
        <v/>
      </c>
      <c r="T464" s="16">
        <f>IF(OR(Q464="",NOT(ISNUMBER(R464)),NOT(ISNUMBER(S464))),"",Q464-R464-S464)</f>
        <v/>
      </c>
      <c r="U464" s="28">
        <f>IF(OR($D464="",$E464=""),"",IF(OR(N($AP464)&gt;0,COUNTIFS(Preise!$A$5:$A$304,$D464,Preise!$B$5:$B$304,$E464,Preise!$I$5:$I$304,"OK")&gt;0,N(INDEX(Werkstoffe!$G$5:$G$304,MATCH($E464,lst_Werkstoff,0)))&gt;0),"ja","nein"))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28">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Materialpreis",IF(AND($AQ464&lt;&gt;"",N($AR464)&gt;0,MOD($G464,$AR464)&lt;&gt;0),"WARNUNG: Stückzahl ist kein Vielfaches von Stück je Satz",IF($H464="","HINWEIS: Schneidweg fehlt",IF(V464="","HINWEIS: keine Schneiddaten",IF(AND($AF464&lt;&gt;"",$AG464=""),"HINWEIS: Gewinde-Vorschlag prüfen","OK")))))))))))))))</f>
        <v/>
      </c>
      <c r="X464" s="18">
        <f>IF(OR(O464="",$G464=""),"",O464*$G464)</f>
        <v/>
      </c>
      <c r="Y464" s="9" t="n"/>
      <c r="Z464" s="23" t="n"/>
      <c r="AA464" s="9" t="n"/>
      <c r="AB464" s="23" t="n"/>
      <c r="AC464" s="23" t="n"/>
      <c r="AD464" s="23" t="n"/>
      <c r="AE464" s="9" t="n"/>
      <c r="AF464" s="9" t="n"/>
      <c r="AG464" s="9" t="n"/>
      <c r="AH464" s="24" t="n"/>
      <c r="AI464" s="23" t="n"/>
      <c r="AJ464" s="24" t="n"/>
      <c r="AK464" s="23" t="n"/>
      <c r="AL464" s="24" t="n"/>
      <c r="AM464" s="23" t="n"/>
      <c r="AN464" s="28">
        <f>IF($D464="","",COUNTIFS(Stangenbelegung!$E$5:$E$10004,ROW()))</f>
        <v/>
      </c>
      <c r="AO464" s="28">
        <f>IF(OR($G464="",COUNTA(Stangenbelegung!$A$5:$A$10004)=0),"",$G464-AN464)</f>
        <v/>
      </c>
      <c r="AP464" s="29" t="n"/>
      <c r="AQ464" s="9" t="n"/>
      <c r="AR464" s="19" t="n"/>
    </row>
    <row r="465">
      <c r="A465" s="9" t="n"/>
      <c r="B465" s="9" t="n"/>
      <c r="C465" s="9" t="n"/>
      <c r="D465" s="9" t="n"/>
      <c r="E465" s="9" t="n"/>
      <c r="F465" s="23" t="n"/>
      <c r="G465" s="19" t="n"/>
      <c r="H465" s="23" t="n"/>
      <c r="I465" s="24" t="n"/>
      <c r="J465" s="19" t="n"/>
      <c r="K465" s="25">
        <f>IF($D465="","",IFERROR(INDEX(Profile!$B$5:$B$304,MATCH($D465,lst_Profil,0)),""))</f>
        <v/>
      </c>
      <c r="L465" s="13">
        <f>IF($D465="","",IFERROR(INDEX(Profile!$K$5:$K$304,MATCH($D465,lst_Profil,0))+0,""))</f>
        <v/>
      </c>
      <c r="M465" s="26">
        <f>IF($D465="","",IFERROR(INDEX(Profile!$E$5:$E$304,MATCH($D465,lst_Profil,0))+0,""))</f>
        <v/>
      </c>
      <c r="N465" s="27">
        <f>IF(OR(L465="",$E465=""),"",IFERROR(L465*INDEX(Werkstoffe!$E$5:$E$304,MATCH($E465,lst_Werkstoff,0))/1000,""))</f>
        <v/>
      </c>
      <c r="O465" s="27">
        <f>IF(OR(N465="",$F465=""),"",N465*$F465/1000)</f>
        <v/>
      </c>
      <c r="P465" s="16">
        <f>IF(OR($F465="",$G465=""),"",$F465*$G465)</f>
        <v/>
      </c>
      <c r="Q465" s="16">
        <f>IF($D465="","",IF($J465&lt;&gt;"",$J465,$C$9))</f>
        <v/>
      </c>
      <c r="R465" s="12">
        <f>IF($D465="","",IFERROR(IF(INDEX(Profile!$G$5:$G$304,MATCH($D465,lst_Profil,0))&lt;&gt;"",INDEX(Profile!$G$5:$G$304,MATCH($D465,lst_Profil,0)),$H$4),$H$4))</f>
        <v/>
      </c>
      <c r="S465" s="12">
        <f>IF($D465="","",IFERROR(IF(INDEX(Profile!$H$5:$H$304,MATCH($D465,lst_Profil,0))&lt;&gt;"",INDEX(Profile!$H$5:$H$304,MATCH($D465,lst_Profil,0)),$H$5),$H$5))</f>
        <v/>
      </c>
      <c r="T465" s="16">
        <f>IF(OR(Q465="",NOT(ISNUMBER(R465)),NOT(ISNUMBER(S465))),"",Q465-R465-S465)</f>
        <v/>
      </c>
      <c r="U465" s="28">
        <f>IF(OR($D465="",$E465=""),"",IF(OR(N($AP465)&gt;0,COUNTIFS(Preise!$A$5:$A$304,$D465,Preise!$B$5:$B$304,$E465,Preise!$I$5:$I$304,"OK")&gt;0,N(INDEX(Werkstoffe!$G$5:$G$304,MATCH($E465,lst_Werkstoff,0)))&gt;0),"ja","nein"))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28">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Materialpreis",IF(AND($AQ465&lt;&gt;"",N($AR465)&gt;0,MOD($G465,$AR465)&lt;&gt;0),"WARNUNG: Stückzahl ist kein Vielfaches von Stück je Satz",IF($H465="","HINWEIS: Schneidweg fehlt",IF(V465="","HINWEIS: keine Schneiddaten",IF(AND($AF465&lt;&gt;"",$AG465=""),"HINWEIS: Gewinde-Vorschlag prüfen","OK")))))))))))))))</f>
        <v/>
      </c>
      <c r="X465" s="18">
        <f>IF(OR(O465="",$G465=""),"",O465*$G465)</f>
        <v/>
      </c>
      <c r="Y465" s="9" t="n"/>
      <c r="Z465" s="23" t="n"/>
      <c r="AA465" s="9" t="n"/>
      <c r="AB465" s="23" t="n"/>
      <c r="AC465" s="23" t="n"/>
      <c r="AD465" s="23" t="n"/>
      <c r="AE465" s="9" t="n"/>
      <c r="AF465" s="9" t="n"/>
      <c r="AG465" s="9" t="n"/>
      <c r="AH465" s="24" t="n"/>
      <c r="AI465" s="23" t="n"/>
      <c r="AJ465" s="24" t="n"/>
      <c r="AK465" s="23" t="n"/>
      <c r="AL465" s="24" t="n"/>
      <c r="AM465" s="23" t="n"/>
      <c r="AN465" s="28">
        <f>IF($D465="","",COUNTIFS(Stangenbelegung!$E$5:$E$10004,ROW()))</f>
        <v/>
      </c>
      <c r="AO465" s="28">
        <f>IF(OR($G465="",COUNTA(Stangenbelegung!$A$5:$A$10004)=0),"",$G465-AN465)</f>
        <v/>
      </c>
      <c r="AP465" s="29" t="n"/>
      <c r="AQ465" s="9" t="n"/>
      <c r="AR465" s="19" t="n"/>
    </row>
    <row r="466">
      <c r="A466" s="9" t="n"/>
      <c r="B466" s="9" t="n"/>
      <c r="C466" s="9" t="n"/>
      <c r="D466" s="9" t="n"/>
      <c r="E466" s="9" t="n"/>
      <c r="F466" s="23" t="n"/>
      <c r="G466" s="19" t="n"/>
      <c r="H466" s="23" t="n"/>
      <c r="I466" s="24" t="n"/>
      <c r="J466" s="19" t="n"/>
      <c r="K466" s="25">
        <f>IF($D466="","",IFERROR(INDEX(Profile!$B$5:$B$304,MATCH($D466,lst_Profil,0)),""))</f>
        <v/>
      </c>
      <c r="L466" s="13">
        <f>IF($D466="","",IFERROR(INDEX(Profile!$K$5:$K$304,MATCH($D466,lst_Profil,0))+0,""))</f>
        <v/>
      </c>
      <c r="M466" s="26">
        <f>IF($D466="","",IFERROR(INDEX(Profile!$E$5:$E$304,MATCH($D466,lst_Profil,0))+0,""))</f>
        <v/>
      </c>
      <c r="N466" s="27">
        <f>IF(OR(L466="",$E466=""),"",IFERROR(L466*INDEX(Werkstoffe!$E$5:$E$304,MATCH($E466,lst_Werkstoff,0))/1000,""))</f>
        <v/>
      </c>
      <c r="O466" s="27">
        <f>IF(OR(N466="",$F466=""),"",N466*$F466/1000)</f>
        <v/>
      </c>
      <c r="P466" s="16">
        <f>IF(OR($F466="",$G466=""),"",$F466*$G466)</f>
        <v/>
      </c>
      <c r="Q466" s="16">
        <f>IF($D466="","",IF($J466&lt;&gt;"",$J466,$C$9))</f>
        <v/>
      </c>
      <c r="R466" s="12">
        <f>IF($D466="","",IFERROR(IF(INDEX(Profile!$G$5:$G$304,MATCH($D466,lst_Profil,0))&lt;&gt;"",INDEX(Profile!$G$5:$G$304,MATCH($D466,lst_Profil,0)),$H$4),$H$4))</f>
        <v/>
      </c>
      <c r="S466" s="12">
        <f>IF($D466="","",IFERROR(IF(INDEX(Profile!$H$5:$H$304,MATCH($D466,lst_Profil,0))&lt;&gt;"",INDEX(Profile!$H$5:$H$304,MATCH($D466,lst_Profil,0)),$H$5),$H$5))</f>
        <v/>
      </c>
      <c r="T466" s="16">
        <f>IF(OR(Q466="",NOT(ISNUMBER(R466)),NOT(ISNUMBER(S466))),"",Q466-R466-S466)</f>
        <v/>
      </c>
      <c r="U466" s="28">
        <f>IF(OR($D466="",$E466=""),"",IF(OR(N($AP466)&gt;0,COUNTIFS(Preise!$A$5:$A$304,$D466,Preise!$B$5:$B$304,$E466,Preise!$I$5:$I$304,"OK")&gt;0,N(INDEX(Werkstoffe!$G$5:$G$304,MATCH($E466,lst_Werkstoff,0)))&gt;0),"ja","nein"))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28">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Materialpreis",IF(AND($AQ466&lt;&gt;"",N($AR466)&gt;0,MOD($G466,$AR466)&lt;&gt;0),"WARNUNG: Stückzahl ist kein Vielfaches von Stück je Satz",IF($H466="","HINWEIS: Schneidweg fehlt",IF(V466="","HINWEIS: keine Schneiddaten",IF(AND($AF466&lt;&gt;"",$AG466=""),"HINWEIS: Gewinde-Vorschlag prüfen","OK")))))))))))))))</f>
        <v/>
      </c>
      <c r="X466" s="18">
        <f>IF(OR(O466="",$G466=""),"",O466*$G466)</f>
        <v/>
      </c>
      <c r="Y466" s="9" t="n"/>
      <c r="Z466" s="23" t="n"/>
      <c r="AA466" s="9" t="n"/>
      <c r="AB466" s="23" t="n"/>
      <c r="AC466" s="23" t="n"/>
      <c r="AD466" s="23" t="n"/>
      <c r="AE466" s="9" t="n"/>
      <c r="AF466" s="9" t="n"/>
      <c r="AG466" s="9" t="n"/>
      <c r="AH466" s="24" t="n"/>
      <c r="AI466" s="23" t="n"/>
      <c r="AJ466" s="24" t="n"/>
      <c r="AK466" s="23" t="n"/>
      <c r="AL466" s="24" t="n"/>
      <c r="AM466" s="23" t="n"/>
      <c r="AN466" s="28">
        <f>IF($D466="","",COUNTIFS(Stangenbelegung!$E$5:$E$10004,ROW()))</f>
        <v/>
      </c>
      <c r="AO466" s="28">
        <f>IF(OR($G466="",COUNTA(Stangenbelegung!$A$5:$A$10004)=0),"",$G466-AN466)</f>
        <v/>
      </c>
      <c r="AP466" s="29" t="n"/>
      <c r="AQ466" s="9" t="n"/>
      <c r="AR466" s="19" t="n"/>
    </row>
    <row r="467">
      <c r="A467" s="9" t="n"/>
      <c r="B467" s="9" t="n"/>
      <c r="C467" s="9" t="n"/>
      <c r="D467" s="9" t="n"/>
      <c r="E467" s="9" t="n"/>
      <c r="F467" s="23" t="n"/>
      <c r="G467" s="19" t="n"/>
      <c r="H467" s="23" t="n"/>
      <c r="I467" s="24" t="n"/>
      <c r="J467" s="19" t="n"/>
      <c r="K467" s="25">
        <f>IF($D467="","",IFERROR(INDEX(Profile!$B$5:$B$304,MATCH($D467,lst_Profil,0)),""))</f>
        <v/>
      </c>
      <c r="L467" s="13">
        <f>IF($D467="","",IFERROR(INDEX(Profile!$K$5:$K$304,MATCH($D467,lst_Profil,0))+0,""))</f>
        <v/>
      </c>
      <c r="M467" s="26">
        <f>IF($D467="","",IFERROR(INDEX(Profile!$E$5:$E$304,MATCH($D467,lst_Profil,0))+0,""))</f>
        <v/>
      </c>
      <c r="N467" s="27">
        <f>IF(OR(L467="",$E467=""),"",IFERROR(L467*INDEX(Werkstoffe!$E$5:$E$304,MATCH($E467,lst_Werkstoff,0))/1000,""))</f>
        <v/>
      </c>
      <c r="O467" s="27">
        <f>IF(OR(N467="",$F467=""),"",N467*$F467/1000)</f>
        <v/>
      </c>
      <c r="P467" s="16">
        <f>IF(OR($F467="",$G467=""),"",$F467*$G467)</f>
        <v/>
      </c>
      <c r="Q467" s="16">
        <f>IF($D467="","",IF($J467&lt;&gt;"",$J467,$C$9))</f>
        <v/>
      </c>
      <c r="R467" s="12">
        <f>IF($D467="","",IFERROR(IF(INDEX(Profile!$G$5:$G$304,MATCH($D467,lst_Profil,0))&lt;&gt;"",INDEX(Profile!$G$5:$G$304,MATCH($D467,lst_Profil,0)),$H$4),$H$4))</f>
        <v/>
      </c>
      <c r="S467" s="12">
        <f>IF($D467="","",IFERROR(IF(INDEX(Profile!$H$5:$H$304,MATCH($D467,lst_Profil,0))&lt;&gt;"",INDEX(Profile!$H$5:$H$304,MATCH($D467,lst_Profil,0)),$H$5),$H$5))</f>
        <v/>
      </c>
      <c r="T467" s="16">
        <f>IF(OR(Q467="",NOT(ISNUMBER(R467)),NOT(ISNUMBER(S467))),"",Q467-R467-S467)</f>
        <v/>
      </c>
      <c r="U467" s="28">
        <f>IF(OR($D467="",$E467=""),"",IF(OR(N($AP467)&gt;0,COUNTIFS(Preise!$A$5:$A$304,$D467,Preise!$B$5:$B$304,$E467,Preise!$I$5:$I$304,"OK")&gt;0,N(INDEX(Werkstoffe!$G$5:$G$304,MATCH($E467,lst_Werkstoff,0)))&gt;0),"ja","nein"))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28">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Materialpreis",IF(AND($AQ467&lt;&gt;"",N($AR467)&gt;0,MOD($G467,$AR467)&lt;&gt;0),"WARNUNG: Stückzahl ist kein Vielfaches von Stück je Satz",IF($H467="","HINWEIS: Schneidweg fehlt",IF(V467="","HINWEIS: keine Schneiddaten",IF(AND($AF467&lt;&gt;"",$AG467=""),"HINWEIS: Gewinde-Vorschlag prüfen","OK")))))))))))))))</f>
        <v/>
      </c>
      <c r="X467" s="18">
        <f>IF(OR(O467="",$G467=""),"",O467*$G467)</f>
        <v/>
      </c>
      <c r="Y467" s="9" t="n"/>
      <c r="Z467" s="23" t="n"/>
      <c r="AA467" s="9" t="n"/>
      <c r="AB467" s="23" t="n"/>
      <c r="AC467" s="23" t="n"/>
      <c r="AD467" s="23" t="n"/>
      <c r="AE467" s="9" t="n"/>
      <c r="AF467" s="9" t="n"/>
      <c r="AG467" s="9" t="n"/>
      <c r="AH467" s="24" t="n"/>
      <c r="AI467" s="23" t="n"/>
      <c r="AJ467" s="24" t="n"/>
      <c r="AK467" s="23" t="n"/>
      <c r="AL467" s="24" t="n"/>
      <c r="AM467" s="23" t="n"/>
      <c r="AN467" s="28">
        <f>IF($D467="","",COUNTIFS(Stangenbelegung!$E$5:$E$10004,ROW()))</f>
        <v/>
      </c>
      <c r="AO467" s="28">
        <f>IF(OR($G467="",COUNTA(Stangenbelegung!$A$5:$A$10004)=0),"",$G467-AN467)</f>
        <v/>
      </c>
      <c r="AP467" s="29" t="n"/>
      <c r="AQ467" s="9" t="n"/>
      <c r="AR467" s="19" t="n"/>
    </row>
    <row r="468">
      <c r="A468" s="9" t="n"/>
      <c r="B468" s="9" t="n"/>
      <c r="C468" s="9" t="n"/>
      <c r="D468" s="9" t="n"/>
      <c r="E468" s="9" t="n"/>
      <c r="F468" s="23" t="n"/>
      <c r="G468" s="19" t="n"/>
      <c r="H468" s="23" t="n"/>
      <c r="I468" s="24" t="n"/>
      <c r="J468" s="19" t="n"/>
      <c r="K468" s="25">
        <f>IF($D468="","",IFERROR(INDEX(Profile!$B$5:$B$304,MATCH($D468,lst_Profil,0)),""))</f>
        <v/>
      </c>
      <c r="L468" s="13">
        <f>IF($D468="","",IFERROR(INDEX(Profile!$K$5:$K$304,MATCH($D468,lst_Profil,0))+0,""))</f>
        <v/>
      </c>
      <c r="M468" s="26">
        <f>IF($D468="","",IFERROR(INDEX(Profile!$E$5:$E$304,MATCH($D468,lst_Profil,0))+0,""))</f>
        <v/>
      </c>
      <c r="N468" s="27">
        <f>IF(OR(L468="",$E468=""),"",IFERROR(L468*INDEX(Werkstoffe!$E$5:$E$304,MATCH($E468,lst_Werkstoff,0))/1000,""))</f>
        <v/>
      </c>
      <c r="O468" s="27">
        <f>IF(OR(N468="",$F468=""),"",N468*$F468/1000)</f>
        <v/>
      </c>
      <c r="P468" s="16">
        <f>IF(OR($F468="",$G468=""),"",$F468*$G468)</f>
        <v/>
      </c>
      <c r="Q468" s="16">
        <f>IF($D468="","",IF($J468&lt;&gt;"",$J468,$C$9))</f>
        <v/>
      </c>
      <c r="R468" s="12">
        <f>IF($D468="","",IFERROR(IF(INDEX(Profile!$G$5:$G$304,MATCH($D468,lst_Profil,0))&lt;&gt;"",INDEX(Profile!$G$5:$G$304,MATCH($D468,lst_Profil,0)),$H$4),$H$4))</f>
        <v/>
      </c>
      <c r="S468" s="12">
        <f>IF($D468="","",IFERROR(IF(INDEX(Profile!$H$5:$H$304,MATCH($D468,lst_Profil,0))&lt;&gt;"",INDEX(Profile!$H$5:$H$304,MATCH($D468,lst_Profil,0)),$H$5),$H$5))</f>
        <v/>
      </c>
      <c r="T468" s="16">
        <f>IF(OR(Q468="",NOT(ISNUMBER(R468)),NOT(ISNUMBER(S468))),"",Q468-R468-S468)</f>
        <v/>
      </c>
      <c r="U468" s="28">
        <f>IF(OR($D468="",$E468=""),"",IF(OR(N($AP468)&gt;0,COUNTIFS(Preise!$A$5:$A$304,$D468,Preise!$B$5:$B$304,$E468,Preise!$I$5:$I$304,"OK")&gt;0,N(INDEX(Werkstoffe!$G$5:$G$304,MATCH($E468,lst_Werkstoff,0)))&gt;0),"ja","nein"))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28">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Materialpreis",IF(AND($AQ468&lt;&gt;"",N($AR468)&gt;0,MOD($G468,$AR468)&lt;&gt;0),"WARNUNG: Stückzahl ist kein Vielfaches von Stück je Satz",IF($H468="","HINWEIS: Schneidweg fehlt",IF(V468="","HINWEIS: keine Schneiddaten",IF(AND($AF468&lt;&gt;"",$AG468=""),"HINWEIS: Gewinde-Vorschlag prüfen","OK")))))))))))))))</f>
        <v/>
      </c>
      <c r="X468" s="18">
        <f>IF(OR(O468="",$G468=""),"",O468*$G468)</f>
        <v/>
      </c>
      <c r="Y468" s="9" t="n"/>
      <c r="Z468" s="23" t="n"/>
      <c r="AA468" s="9" t="n"/>
      <c r="AB468" s="23" t="n"/>
      <c r="AC468" s="23" t="n"/>
      <c r="AD468" s="23" t="n"/>
      <c r="AE468" s="9" t="n"/>
      <c r="AF468" s="9" t="n"/>
      <c r="AG468" s="9" t="n"/>
      <c r="AH468" s="24" t="n"/>
      <c r="AI468" s="23" t="n"/>
      <c r="AJ468" s="24" t="n"/>
      <c r="AK468" s="23" t="n"/>
      <c r="AL468" s="24" t="n"/>
      <c r="AM468" s="23" t="n"/>
      <c r="AN468" s="28">
        <f>IF($D468="","",COUNTIFS(Stangenbelegung!$E$5:$E$10004,ROW()))</f>
        <v/>
      </c>
      <c r="AO468" s="28">
        <f>IF(OR($G468="",COUNTA(Stangenbelegung!$A$5:$A$10004)=0),"",$G468-AN468)</f>
        <v/>
      </c>
      <c r="AP468" s="29" t="n"/>
      <c r="AQ468" s="9" t="n"/>
      <c r="AR468" s="19" t="n"/>
    </row>
    <row r="469">
      <c r="A469" s="9" t="n"/>
      <c r="B469" s="9" t="n"/>
      <c r="C469" s="9" t="n"/>
      <c r="D469" s="9" t="n"/>
      <c r="E469" s="9" t="n"/>
      <c r="F469" s="23" t="n"/>
      <c r="G469" s="19" t="n"/>
      <c r="H469" s="23" t="n"/>
      <c r="I469" s="24" t="n"/>
      <c r="J469" s="19" t="n"/>
      <c r="K469" s="25">
        <f>IF($D469="","",IFERROR(INDEX(Profile!$B$5:$B$304,MATCH($D469,lst_Profil,0)),""))</f>
        <v/>
      </c>
      <c r="L469" s="13">
        <f>IF($D469="","",IFERROR(INDEX(Profile!$K$5:$K$304,MATCH($D469,lst_Profil,0))+0,""))</f>
        <v/>
      </c>
      <c r="M469" s="26">
        <f>IF($D469="","",IFERROR(INDEX(Profile!$E$5:$E$304,MATCH($D469,lst_Profil,0))+0,""))</f>
        <v/>
      </c>
      <c r="N469" s="27">
        <f>IF(OR(L469="",$E469=""),"",IFERROR(L469*INDEX(Werkstoffe!$E$5:$E$304,MATCH($E469,lst_Werkstoff,0))/1000,""))</f>
        <v/>
      </c>
      <c r="O469" s="27">
        <f>IF(OR(N469="",$F469=""),"",N469*$F469/1000)</f>
        <v/>
      </c>
      <c r="P469" s="16">
        <f>IF(OR($F469="",$G469=""),"",$F469*$G469)</f>
        <v/>
      </c>
      <c r="Q469" s="16">
        <f>IF($D469="","",IF($J469&lt;&gt;"",$J469,$C$9))</f>
        <v/>
      </c>
      <c r="R469" s="12">
        <f>IF($D469="","",IFERROR(IF(INDEX(Profile!$G$5:$G$304,MATCH($D469,lst_Profil,0))&lt;&gt;"",INDEX(Profile!$G$5:$G$304,MATCH($D469,lst_Profil,0)),$H$4),$H$4))</f>
        <v/>
      </c>
      <c r="S469" s="12">
        <f>IF($D469="","",IFERROR(IF(INDEX(Profile!$H$5:$H$304,MATCH($D469,lst_Profil,0))&lt;&gt;"",INDEX(Profile!$H$5:$H$304,MATCH($D469,lst_Profil,0)),$H$5),$H$5))</f>
        <v/>
      </c>
      <c r="T469" s="16">
        <f>IF(OR(Q469="",NOT(ISNUMBER(R469)),NOT(ISNUMBER(S469))),"",Q469-R469-S469)</f>
        <v/>
      </c>
      <c r="U469" s="28">
        <f>IF(OR($D469="",$E469=""),"",IF(OR(N($AP469)&gt;0,COUNTIFS(Preise!$A$5:$A$304,$D469,Preise!$B$5:$B$304,$E469,Preise!$I$5:$I$304,"OK")&gt;0,N(INDEX(Werkstoffe!$G$5:$G$304,MATCH($E469,lst_Werkstoff,0)))&gt;0),"ja","nein"))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28">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Materialpreis",IF(AND($AQ469&lt;&gt;"",N($AR469)&gt;0,MOD($G469,$AR469)&lt;&gt;0),"WARNUNG: Stückzahl ist kein Vielfaches von Stück je Satz",IF($H469="","HINWEIS: Schneidweg fehlt",IF(V469="","HINWEIS: keine Schneiddaten",IF(AND($AF469&lt;&gt;"",$AG469=""),"HINWEIS: Gewinde-Vorschlag prüfen","OK")))))))))))))))</f>
        <v/>
      </c>
      <c r="X469" s="18">
        <f>IF(OR(O469="",$G469=""),"",O469*$G469)</f>
        <v/>
      </c>
      <c r="Y469" s="9" t="n"/>
      <c r="Z469" s="23" t="n"/>
      <c r="AA469" s="9" t="n"/>
      <c r="AB469" s="23" t="n"/>
      <c r="AC469" s="23" t="n"/>
      <c r="AD469" s="23" t="n"/>
      <c r="AE469" s="9" t="n"/>
      <c r="AF469" s="9" t="n"/>
      <c r="AG469" s="9" t="n"/>
      <c r="AH469" s="24" t="n"/>
      <c r="AI469" s="23" t="n"/>
      <c r="AJ469" s="24" t="n"/>
      <c r="AK469" s="23" t="n"/>
      <c r="AL469" s="24" t="n"/>
      <c r="AM469" s="23" t="n"/>
      <c r="AN469" s="28">
        <f>IF($D469="","",COUNTIFS(Stangenbelegung!$E$5:$E$10004,ROW()))</f>
        <v/>
      </c>
      <c r="AO469" s="28">
        <f>IF(OR($G469="",COUNTA(Stangenbelegung!$A$5:$A$10004)=0),"",$G469-AN469)</f>
        <v/>
      </c>
      <c r="AP469" s="29" t="n"/>
      <c r="AQ469" s="9" t="n"/>
      <c r="AR469" s="19" t="n"/>
    </row>
    <row r="470">
      <c r="A470" s="9" t="n"/>
      <c r="B470" s="9" t="n"/>
      <c r="C470" s="9" t="n"/>
      <c r="D470" s="9" t="n"/>
      <c r="E470" s="9" t="n"/>
      <c r="F470" s="23" t="n"/>
      <c r="G470" s="19" t="n"/>
      <c r="H470" s="23" t="n"/>
      <c r="I470" s="24" t="n"/>
      <c r="J470" s="19" t="n"/>
      <c r="K470" s="25">
        <f>IF($D470="","",IFERROR(INDEX(Profile!$B$5:$B$304,MATCH($D470,lst_Profil,0)),""))</f>
        <v/>
      </c>
      <c r="L470" s="13">
        <f>IF($D470="","",IFERROR(INDEX(Profile!$K$5:$K$304,MATCH($D470,lst_Profil,0))+0,""))</f>
        <v/>
      </c>
      <c r="M470" s="26">
        <f>IF($D470="","",IFERROR(INDEX(Profile!$E$5:$E$304,MATCH($D470,lst_Profil,0))+0,""))</f>
        <v/>
      </c>
      <c r="N470" s="27">
        <f>IF(OR(L470="",$E470=""),"",IFERROR(L470*INDEX(Werkstoffe!$E$5:$E$304,MATCH($E470,lst_Werkstoff,0))/1000,""))</f>
        <v/>
      </c>
      <c r="O470" s="27">
        <f>IF(OR(N470="",$F470=""),"",N470*$F470/1000)</f>
        <v/>
      </c>
      <c r="P470" s="16">
        <f>IF(OR($F470="",$G470=""),"",$F470*$G470)</f>
        <v/>
      </c>
      <c r="Q470" s="16">
        <f>IF($D470="","",IF($J470&lt;&gt;"",$J470,$C$9))</f>
        <v/>
      </c>
      <c r="R470" s="12">
        <f>IF($D470="","",IFERROR(IF(INDEX(Profile!$G$5:$G$304,MATCH($D470,lst_Profil,0))&lt;&gt;"",INDEX(Profile!$G$5:$G$304,MATCH($D470,lst_Profil,0)),$H$4),$H$4))</f>
        <v/>
      </c>
      <c r="S470" s="12">
        <f>IF($D470="","",IFERROR(IF(INDEX(Profile!$H$5:$H$304,MATCH($D470,lst_Profil,0))&lt;&gt;"",INDEX(Profile!$H$5:$H$304,MATCH($D470,lst_Profil,0)),$H$5),$H$5))</f>
        <v/>
      </c>
      <c r="T470" s="16">
        <f>IF(OR(Q470="",NOT(ISNUMBER(R470)),NOT(ISNUMBER(S470))),"",Q470-R470-S470)</f>
        <v/>
      </c>
      <c r="U470" s="28">
        <f>IF(OR($D470="",$E470=""),"",IF(OR(N($AP470)&gt;0,COUNTIFS(Preise!$A$5:$A$304,$D470,Preise!$B$5:$B$304,$E470,Preise!$I$5:$I$304,"OK")&gt;0,N(INDEX(Werkstoffe!$G$5:$G$304,MATCH($E470,lst_Werkstoff,0)))&gt;0),"ja","nein"))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28">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Materialpreis",IF(AND($AQ470&lt;&gt;"",N($AR470)&gt;0,MOD($G470,$AR470)&lt;&gt;0),"WARNUNG: Stückzahl ist kein Vielfaches von Stück je Satz",IF($H470="","HINWEIS: Schneidweg fehlt",IF(V470="","HINWEIS: keine Schneiddaten",IF(AND($AF470&lt;&gt;"",$AG470=""),"HINWEIS: Gewinde-Vorschlag prüfen","OK")))))))))))))))</f>
        <v/>
      </c>
      <c r="X470" s="18">
        <f>IF(OR(O470="",$G470=""),"",O470*$G470)</f>
        <v/>
      </c>
      <c r="Y470" s="9" t="n"/>
      <c r="Z470" s="23" t="n"/>
      <c r="AA470" s="9" t="n"/>
      <c r="AB470" s="23" t="n"/>
      <c r="AC470" s="23" t="n"/>
      <c r="AD470" s="23" t="n"/>
      <c r="AE470" s="9" t="n"/>
      <c r="AF470" s="9" t="n"/>
      <c r="AG470" s="9" t="n"/>
      <c r="AH470" s="24" t="n"/>
      <c r="AI470" s="23" t="n"/>
      <c r="AJ470" s="24" t="n"/>
      <c r="AK470" s="23" t="n"/>
      <c r="AL470" s="24" t="n"/>
      <c r="AM470" s="23" t="n"/>
      <c r="AN470" s="28">
        <f>IF($D470="","",COUNTIFS(Stangenbelegung!$E$5:$E$10004,ROW()))</f>
        <v/>
      </c>
      <c r="AO470" s="28">
        <f>IF(OR($G470="",COUNTA(Stangenbelegung!$A$5:$A$10004)=0),"",$G470-AN470)</f>
        <v/>
      </c>
      <c r="AP470" s="29" t="n"/>
      <c r="AQ470" s="9" t="n"/>
      <c r="AR470" s="19" t="n"/>
    </row>
    <row r="471">
      <c r="A471" s="9" t="n"/>
      <c r="B471" s="9" t="n"/>
      <c r="C471" s="9" t="n"/>
      <c r="D471" s="9" t="n"/>
      <c r="E471" s="9" t="n"/>
      <c r="F471" s="23" t="n"/>
      <c r="G471" s="19" t="n"/>
      <c r="H471" s="23" t="n"/>
      <c r="I471" s="24" t="n"/>
      <c r="J471" s="19" t="n"/>
      <c r="K471" s="25">
        <f>IF($D471="","",IFERROR(INDEX(Profile!$B$5:$B$304,MATCH($D471,lst_Profil,0)),""))</f>
        <v/>
      </c>
      <c r="L471" s="13">
        <f>IF($D471="","",IFERROR(INDEX(Profile!$K$5:$K$304,MATCH($D471,lst_Profil,0))+0,""))</f>
        <v/>
      </c>
      <c r="M471" s="26">
        <f>IF($D471="","",IFERROR(INDEX(Profile!$E$5:$E$304,MATCH($D471,lst_Profil,0))+0,""))</f>
        <v/>
      </c>
      <c r="N471" s="27">
        <f>IF(OR(L471="",$E471=""),"",IFERROR(L471*INDEX(Werkstoffe!$E$5:$E$304,MATCH($E471,lst_Werkstoff,0))/1000,""))</f>
        <v/>
      </c>
      <c r="O471" s="27">
        <f>IF(OR(N471="",$F471=""),"",N471*$F471/1000)</f>
        <v/>
      </c>
      <c r="P471" s="16">
        <f>IF(OR($F471="",$G471=""),"",$F471*$G471)</f>
        <v/>
      </c>
      <c r="Q471" s="16">
        <f>IF($D471="","",IF($J471&lt;&gt;"",$J471,$C$9))</f>
        <v/>
      </c>
      <c r="R471" s="12">
        <f>IF($D471="","",IFERROR(IF(INDEX(Profile!$G$5:$G$304,MATCH($D471,lst_Profil,0))&lt;&gt;"",INDEX(Profile!$G$5:$G$304,MATCH($D471,lst_Profil,0)),$H$4),$H$4))</f>
        <v/>
      </c>
      <c r="S471" s="12">
        <f>IF($D471="","",IFERROR(IF(INDEX(Profile!$H$5:$H$304,MATCH($D471,lst_Profil,0))&lt;&gt;"",INDEX(Profile!$H$5:$H$304,MATCH($D471,lst_Profil,0)),$H$5),$H$5))</f>
        <v/>
      </c>
      <c r="T471" s="16">
        <f>IF(OR(Q471="",NOT(ISNUMBER(R471)),NOT(ISNUMBER(S471))),"",Q471-R471-S471)</f>
        <v/>
      </c>
      <c r="U471" s="28">
        <f>IF(OR($D471="",$E471=""),"",IF(OR(N($AP471)&gt;0,COUNTIFS(Preise!$A$5:$A$304,$D471,Preise!$B$5:$B$304,$E471,Preise!$I$5:$I$304,"OK")&gt;0,N(INDEX(Werkstoffe!$G$5:$G$304,MATCH($E471,lst_Werkstoff,0)))&gt;0),"ja","nein"))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28">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Materialpreis",IF(AND($AQ471&lt;&gt;"",N($AR471)&gt;0,MOD($G471,$AR471)&lt;&gt;0),"WARNUNG: Stückzahl ist kein Vielfaches von Stück je Satz",IF($H471="","HINWEIS: Schneidweg fehlt",IF(V471="","HINWEIS: keine Schneiddaten",IF(AND($AF471&lt;&gt;"",$AG471=""),"HINWEIS: Gewinde-Vorschlag prüfen","OK")))))))))))))))</f>
        <v/>
      </c>
      <c r="X471" s="18">
        <f>IF(OR(O471="",$G471=""),"",O471*$G471)</f>
        <v/>
      </c>
      <c r="Y471" s="9" t="n"/>
      <c r="Z471" s="23" t="n"/>
      <c r="AA471" s="9" t="n"/>
      <c r="AB471" s="23" t="n"/>
      <c r="AC471" s="23" t="n"/>
      <c r="AD471" s="23" t="n"/>
      <c r="AE471" s="9" t="n"/>
      <c r="AF471" s="9" t="n"/>
      <c r="AG471" s="9" t="n"/>
      <c r="AH471" s="24" t="n"/>
      <c r="AI471" s="23" t="n"/>
      <c r="AJ471" s="24" t="n"/>
      <c r="AK471" s="23" t="n"/>
      <c r="AL471" s="24" t="n"/>
      <c r="AM471" s="23" t="n"/>
      <c r="AN471" s="28">
        <f>IF($D471="","",COUNTIFS(Stangenbelegung!$E$5:$E$10004,ROW()))</f>
        <v/>
      </c>
      <c r="AO471" s="28">
        <f>IF(OR($G471="",COUNTA(Stangenbelegung!$A$5:$A$10004)=0),"",$G471-AN471)</f>
        <v/>
      </c>
      <c r="AP471" s="29" t="n"/>
      <c r="AQ471" s="9" t="n"/>
      <c r="AR471" s="19" t="n"/>
    </row>
    <row r="472">
      <c r="A472" s="9" t="n"/>
      <c r="B472" s="9" t="n"/>
      <c r="C472" s="9" t="n"/>
      <c r="D472" s="9" t="n"/>
      <c r="E472" s="9" t="n"/>
      <c r="F472" s="23" t="n"/>
      <c r="G472" s="19" t="n"/>
      <c r="H472" s="23" t="n"/>
      <c r="I472" s="24" t="n"/>
      <c r="J472" s="19" t="n"/>
      <c r="K472" s="25">
        <f>IF($D472="","",IFERROR(INDEX(Profile!$B$5:$B$304,MATCH($D472,lst_Profil,0)),""))</f>
        <v/>
      </c>
      <c r="L472" s="13">
        <f>IF($D472="","",IFERROR(INDEX(Profile!$K$5:$K$304,MATCH($D472,lst_Profil,0))+0,""))</f>
        <v/>
      </c>
      <c r="M472" s="26">
        <f>IF($D472="","",IFERROR(INDEX(Profile!$E$5:$E$304,MATCH($D472,lst_Profil,0))+0,""))</f>
        <v/>
      </c>
      <c r="N472" s="27">
        <f>IF(OR(L472="",$E472=""),"",IFERROR(L472*INDEX(Werkstoffe!$E$5:$E$304,MATCH($E472,lst_Werkstoff,0))/1000,""))</f>
        <v/>
      </c>
      <c r="O472" s="27">
        <f>IF(OR(N472="",$F472=""),"",N472*$F472/1000)</f>
        <v/>
      </c>
      <c r="P472" s="16">
        <f>IF(OR($F472="",$G472=""),"",$F472*$G472)</f>
        <v/>
      </c>
      <c r="Q472" s="16">
        <f>IF($D472="","",IF($J472&lt;&gt;"",$J472,$C$9))</f>
        <v/>
      </c>
      <c r="R472" s="12">
        <f>IF($D472="","",IFERROR(IF(INDEX(Profile!$G$5:$G$304,MATCH($D472,lst_Profil,0))&lt;&gt;"",INDEX(Profile!$G$5:$G$304,MATCH($D472,lst_Profil,0)),$H$4),$H$4))</f>
        <v/>
      </c>
      <c r="S472" s="12">
        <f>IF($D472="","",IFERROR(IF(INDEX(Profile!$H$5:$H$304,MATCH($D472,lst_Profil,0))&lt;&gt;"",INDEX(Profile!$H$5:$H$304,MATCH($D472,lst_Profil,0)),$H$5),$H$5))</f>
        <v/>
      </c>
      <c r="T472" s="16">
        <f>IF(OR(Q472="",NOT(ISNUMBER(R472)),NOT(ISNUMBER(S472))),"",Q472-R472-S472)</f>
        <v/>
      </c>
      <c r="U472" s="28">
        <f>IF(OR($D472="",$E472=""),"",IF(OR(N($AP472)&gt;0,COUNTIFS(Preise!$A$5:$A$304,$D472,Preise!$B$5:$B$304,$E472,Preise!$I$5:$I$304,"OK")&gt;0,N(INDEX(Werkstoffe!$G$5:$G$304,MATCH($E472,lst_Werkstoff,0)))&gt;0),"ja","nein"))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28">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Materialpreis",IF(AND($AQ472&lt;&gt;"",N($AR472)&gt;0,MOD($G472,$AR472)&lt;&gt;0),"WARNUNG: Stückzahl ist kein Vielfaches von Stück je Satz",IF($H472="","HINWEIS: Schneidweg fehlt",IF(V472="","HINWEIS: keine Schneiddaten",IF(AND($AF472&lt;&gt;"",$AG472=""),"HINWEIS: Gewinde-Vorschlag prüfen","OK")))))))))))))))</f>
        <v/>
      </c>
      <c r="X472" s="18">
        <f>IF(OR(O472="",$G472=""),"",O472*$G472)</f>
        <v/>
      </c>
      <c r="Y472" s="9" t="n"/>
      <c r="Z472" s="23" t="n"/>
      <c r="AA472" s="9" t="n"/>
      <c r="AB472" s="23" t="n"/>
      <c r="AC472" s="23" t="n"/>
      <c r="AD472" s="23" t="n"/>
      <c r="AE472" s="9" t="n"/>
      <c r="AF472" s="9" t="n"/>
      <c r="AG472" s="9" t="n"/>
      <c r="AH472" s="24" t="n"/>
      <c r="AI472" s="23" t="n"/>
      <c r="AJ472" s="24" t="n"/>
      <c r="AK472" s="23" t="n"/>
      <c r="AL472" s="24" t="n"/>
      <c r="AM472" s="23" t="n"/>
      <c r="AN472" s="28">
        <f>IF($D472="","",COUNTIFS(Stangenbelegung!$E$5:$E$10004,ROW()))</f>
        <v/>
      </c>
      <c r="AO472" s="28">
        <f>IF(OR($G472="",COUNTA(Stangenbelegung!$A$5:$A$10004)=0),"",$G472-AN472)</f>
        <v/>
      </c>
      <c r="AP472" s="29" t="n"/>
      <c r="AQ472" s="9" t="n"/>
      <c r="AR472" s="19" t="n"/>
    </row>
    <row r="473">
      <c r="A473" s="9" t="n"/>
      <c r="B473" s="9" t="n"/>
      <c r="C473" s="9" t="n"/>
      <c r="D473" s="9" t="n"/>
      <c r="E473" s="9" t="n"/>
      <c r="F473" s="23" t="n"/>
      <c r="G473" s="19" t="n"/>
      <c r="H473" s="23" t="n"/>
      <c r="I473" s="24" t="n"/>
      <c r="J473" s="19" t="n"/>
      <c r="K473" s="25">
        <f>IF($D473="","",IFERROR(INDEX(Profile!$B$5:$B$304,MATCH($D473,lst_Profil,0)),""))</f>
        <v/>
      </c>
      <c r="L473" s="13">
        <f>IF($D473="","",IFERROR(INDEX(Profile!$K$5:$K$304,MATCH($D473,lst_Profil,0))+0,""))</f>
        <v/>
      </c>
      <c r="M473" s="26">
        <f>IF($D473="","",IFERROR(INDEX(Profile!$E$5:$E$304,MATCH($D473,lst_Profil,0))+0,""))</f>
        <v/>
      </c>
      <c r="N473" s="27">
        <f>IF(OR(L473="",$E473=""),"",IFERROR(L473*INDEX(Werkstoffe!$E$5:$E$304,MATCH($E473,lst_Werkstoff,0))/1000,""))</f>
        <v/>
      </c>
      <c r="O473" s="27">
        <f>IF(OR(N473="",$F473=""),"",N473*$F473/1000)</f>
        <v/>
      </c>
      <c r="P473" s="16">
        <f>IF(OR($F473="",$G473=""),"",$F473*$G473)</f>
        <v/>
      </c>
      <c r="Q473" s="16">
        <f>IF($D473="","",IF($J473&lt;&gt;"",$J473,$C$9))</f>
        <v/>
      </c>
      <c r="R473" s="12">
        <f>IF($D473="","",IFERROR(IF(INDEX(Profile!$G$5:$G$304,MATCH($D473,lst_Profil,0))&lt;&gt;"",INDEX(Profile!$G$5:$G$304,MATCH($D473,lst_Profil,0)),$H$4),$H$4))</f>
        <v/>
      </c>
      <c r="S473" s="12">
        <f>IF($D473="","",IFERROR(IF(INDEX(Profile!$H$5:$H$304,MATCH($D473,lst_Profil,0))&lt;&gt;"",INDEX(Profile!$H$5:$H$304,MATCH($D473,lst_Profil,0)),$H$5),$H$5))</f>
        <v/>
      </c>
      <c r="T473" s="16">
        <f>IF(OR(Q473="",NOT(ISNUMBER(R473)),NOT(ISNUMBER(S473))),"",Q473-R473-S473)</f>
        <v/>
      </c>
      <c r="U473" s="28">
        <f>IF(OR($D473="",$E473=""),"",IF(OR(N($AP473)&gt;0,COUNTIFS(Preise!$A$5:$A$304,$D473,Preise!$B$5:$B$304,$E473,Preise!$I$5:$I$304,"OK")&gt;0,N(INDEX(Werkstoffe!$G$5:$G$304,MATCH($E473,lst_Werkstoff,0)))&gt;0),"ja","nein"))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28">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Materialpreis",IF(AND($AQ473&lt;&gt;"",N($AR473)&gt;0,MOD($G473,$AR473)&lt;&gt;0),"WARNUNG: Stückzahl ist kein Vielfaches von Stück je Satz",IF($H473="","HINWEIS: Schneidweg fehlt",IF(V473="","HINWEIS: keine Schneiddaten",IF(AND($AF473&lt;&gt;"",$AG473=""),"HINWEIS: Gewinde-Vorschlag prüfen","OK")))))))))))))))</f>
        <v/>
      </c>
      <c r="X473" s="18">
        <f>IF(OR(O473="",$G473=""),"",O473*$G473)</f>
        <v/>
      </c>
      <c r="Y473" s="9" t="n"/>
      <c r="Z473" s="23" t="n"/>
      <c r="AA473" s="9" t="n"/>
      <c r="AB473" s="23" t="n"/>
      <c r="AC473" s="23" t="n"/>
      <c r="AD473" s="23" t="n"/>
      <c r="AE473" s="9" t="n"/>
      <c r="AF473" s="9" t="n"/>
      <c r="AG473" s="9" t="n"/>
      <c r="AH473" s="24" t="n"/>
      <c r="AI473" s="23" t="n"/>
      <c r="AJ473" s="24" t="n"/>
      <c r="AK473" s="23" t="n"/>
      <c r="AL473" s="24" t="n"/>
      <c r="AM473" s="23" t="n"/>
      <c r="AN473" s="28">
        <f>IF($D473="","",COUNTIFS(Stangenbelegung!$E$5:$E$10004,ROW()))</f>
        <v/>
      </c>
      <c r="AO473" s="28">
        <f>IF(OR($G473="",COUNTA(Stangenbelegung!$A$5:$A$10004)=0),"",$G473-AN473)</f>
        <v/>
      </c>
      <c r="AP473" s="29" t="n"/>
      <c r="AQ473" s="9" t="n"/>
      <c r="AR473" s="19" t="n"/>
    </row>
    <row r="474">
      <c r="A474" s="9" t="n"/>
      <c r="B474" s="9" t="n"/>
      <c r="C474" s="9" t="n"/>
      <c r="D474" s="9" t="n"/>
      <c r="E474" s="9" t="n"/>
      <c r="F474" s="23" t="n"/>
      <c r="G474" s="19" t="n"/>
      <c r="H474" s="23" t="n"/>
      <c r="I474" s="24" t="n"/>
      <c r="J474" s="19" t="n"/>
      <c r="K474" s="25">
        <f>IF($D474="","",IFERROR(INDEX(Profile!$B$5:$B$304,MATCH($D474,lst_Profil,0)),""))</f>
        <v/>
      </c>
      <c r="L474" s="13">
        <f>IF($D474="","",IFERROR(INDEX(Profile!$K$5:$K$304,MATCH($D474,lst_Profil,0))+0,""))</f>
        <v/>
      </c>
      <c r="M474" s="26">
        <f>IF($D474="","",IFERROR(INDEX(Profile!$E$5:$E$304,MATCH($D474,lst_Profil,0))+0,""))</f>
        <v/>
      </c>
      <c r="N474" s="27">
        <f>IF(OR(L474="",$E474=""),"",IFERROR(L474*INDEX(Werkstoffe!$E$5:$E$304,MATCH($E474,lst_Werkstoff,0))/1000,""))</f>
        <v/>
      </c>
      <c r="O474" s="27">
        <f>IF(OR(N474="",$F474=""),"",N474*$F474/1000)</f>
        <v/>
      </c>
      <c r="P474" s="16">
        <f>IF(OR($F474="",$G474=""),"",$F474*$G474)</f>
        <v/>
      </c>
      <c r="Q474" s="16">
        <f>IF($D474="","",IF($J474&lt;&gt;"",$J474,$C$9))</f>
        <v/>
      </c>
      <c r="R474" s="12">
        <f>IF($D474="","",IFERROR(IF(INDEX(Profile!$G$5:$G$304,MATCH($D474,lst_Profil,0))&lt;&gt;"",INDEX(Profile!$G$5:$G$304,MATCH($D474,lst_Profil,0)),$H$4),$H$4))</f>
        <v/>
      </c>
      <c r="S474" s="12">
        <f>IF($D474="","",IFERROR(IF(INDEX(Profile!$H$5:$H$304,MATCH($D474,lst_Profil,0))&lt;&gt;"",INDEX(Profile!$H$5:$H$304,MATCH($D474,lst_Profil,0)),$H$5),$H$5))</f>
        <v/>
      </c>
      <c r="T474" s="16">
        <f>IF(OR(Q474="",NOT(ISNUMBER(R474)),NOT(ISNUMBER(S474))),"",Q474-R474-S474)</f>
        <v/>
      </c>
      <c r="U474" s="28">
        <f>IF(OR($D474="",$E474=""),"",IF(OR(N($AP474)&gt;0,COUNTIFS(Preise!$A$5:$A$304,$D474,Preise!$B$5:$B$304,$E474,Preise!$I$5:$I$304,"OK")&gt;0,N(INDEX(Werkstoffe!$G$5:$G$304,MATCH($E474,lst_Werkstoff,0)))&gt;0),"ja","nein"))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28">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Materialpreis",IF(AND($AQ474&lt;&gt;"",N($AR474)&gt;0,MOD($G474,$AR474)&lt;&gt;0),"WARNUNG: Stückzahl ist kein Vielfaches von Stück je Satz",IF($H474="","HINWEIS: Schneidweg fehlt",IF(V474="","HINWEIS: keine Schneiddaten",IF(AND($AF474&lt;&gt;"",$AG474=""),"HINWEIS: Gewinde-Vorschlag prüfen","OK")))))))))))))))</f>
        <v/>
      </c>
      <c r="X474" s="18">
        <f>IF(OR(O474="",$G474=""),"",O474*$G474)</f>
        <v/>
      </c>
      <c r="Y474" s="9" t="n"/>
      <c r="Z474" s="23" t="n"/>
      <c r="AA474" s="9" t="n"/>
      <c r="AB474" s="23" t="n"/>
      <c r="AC474" s="23" t="n"/>
      <c r="AD474" s="23" t="n"/>
      <c r="AE474" s="9" t="n"/>
      <c r="AF474" s="9" t="n"/>
      <c r="AG474" s="9" t="n"/>
      <c r="AH474" s="24" t="n"/>
      <c r="AI474" s="23" t="n"/>
      <c r="AJ474" s="24" t="n"/>
      <c r="AK474" s="23" t="n"/>
      <c r="AL474" s="24" t="n"/>
      <c r="AM474" s="23" t="n"/>
      <c r="AN474" s="28">
        <f>IF($D474="","",COUNTIFS(Stangenbelegung!$E$5:$E$10004,ROW()))</f>
        <v/>
      </c>
      <c r="AO474" s="28">
        <f>IF(OR($G474="",COUNTA(Stangenbelegung!$A$5:$A$10004)=0),"",$G474-AN474)</f>
        <v/>
      </c>
      <c r="AP474" s="29" t="n"/>
      <c r="AQ474" s="9" t="n"/>
      <c r="AR474" s="19" t="n"/>
    </row>
    <row r="475">
      <c r="A475" s="9" t="n"/>
      <c r="B475" s="9" t="n"/>
      <c r="C475" s="9" t="n"/>
      <c r="D475" s="9" t="n"/>
      <c r="E475" s="9" t="n"/>
      <c r="F475" s="23" t="n"/>
      <c r="G475" s="19" t="n"/>
      <c r="H475" s="23" t="n"/>
      <c r="I475" s="24" t="n"/>
      <c r="J475" s="19" t="n"/>
      <c r="K475" s="25">
        <f>IF($D475="","",IFERROR(INDEX(Profile!$B$5:$B$304,MATCH($D475,lst_Profil,0)),""))</f>
        <v/>
      </c>
      <c r="L475" s="13">
        <f>IF($D475="","",IFERROR(INDEX(Profile!$K$5:$K$304,MATCH($D475,lst_Profil,0))+0,""))</f>
        <v/>
      </c>
      <c r="M475" s="26">
        <f>IF($D475="","",IFERROR(INDEX(Profile!$E$5:$E$304,MATCH($D475,lst_Profil,0))+0,""))</f>
        <v/>
      </c>
      <c r="N475" s="27">
        <f>IF(OR(L475="",$E475=""),"",IFERROR(L475*INDEX(Werkstoffe!$E$5:$E$304,MATCH($E475,lst_Werkstoff,0))/1000,""))</f>
        <v/>
      </c>
      <c r="O475" s="27">
        <f>IF(OR(N475="",$F475=""),"",N475*$F475/1000)</f>
        <v/>
      </c>
      <c r="P475" s="16">
        <f>IF(OR($F475="",$G475=""),"",$F475*$G475)</f>
        <v/>
      </c>
      <c r="Q475" s="16">
        <f>IF($D475="","",IF($J475&lt;&gt;"",$J475,$C$9))</f>
        <v/>
      </c>
      <c r="R475" s="12">
        <f>IF($D475="","",IFERROR(IF(INDEX(Profile!$G$5:$G$304,MATCH($D475,lst_Profil,0))&lt;&gt;"",INDEX(Profile!$G$5:$G$304,MATCH($D475,lst_Profil,0)),$H$4),$H$4))</f>
        <v/>
      </c>
      <c r="S475" s="12">
        <f>IF($D475="","",IFERROR(IF(INDEX(Profile!$H$5:$H$304,MATCH($D475,lst_Profil,0))&lt;&gt;"",INDEX(Profile!$H$5:$H$304,MATCH($D475,lst_Profil,0)),$H$5),$H$5))</f>
        <v/>
      </c>
      <c r="T475" s="16">
        <f>IF(OR(Q475="",NOT(ISNUMBER(R475)),NOT(ISNUMBER(S475))),"",Q475-R475-S475)</f>
        <v/>
      </c>
      <c r="U475" s="28">
        <f>IF(OR($D475="",$E475=""),"",IF(OR(N($AP475)&gt;0,COUNTIFS(Preise!$A$5:$A$304,$D475,Preise!$B$5:$B$304,$E475,Preise!$I$5:$I$304,"OK")&gt;0,N(INDEX(Werkstoffe!$G$5:$G$304,MATCH($E475,lst_Werkstoff,0)))&gt;0),"ja","nein"))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28">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Materialpreis",IF(AND($AQ475&lt;&gt;"",N($AR475)&gt;0,MOD($G475,$AR475)&lt;&gt;0),"WARNUNG: Stückzahl ist kein Vielfaches von Stück je Satz",IF($H475="","HINWEIS: Schneidweg fehlt",IF(V475="","HINWEIS: keine Schneiddaten",IF(AND($AF475&lt;&gt;"",$AG475=""),"HINWEIS: Gewinde-Vorschlag prüfen","OK")))))))))))))))</f>
        <v/>
      </c>
      <c r="X475" s="18">
        <f>IF(OR(O475="",$G475=""),"",O475*$G475)</f>
        <v/>
      </c>
      <c r="Y475" s="9" t="n"/>
      <c r="Z475" s="23" t="n"/>
      <c r="AA475" s="9" t="n"/>
      <c r="AB475" s="23" t="n"/>
      <c r="AC475" s="23" t="n"/>
      <c r="AD475" s="23" t="n"/>
      <c r="AE475" s="9" t="n"/>
      <c r="AF475" s="9" t="n"/>
      <c r="AG475" s="9" t="n"/>
      <c r="AH475" s="24" t="n"/>
      <c r="AI475" s="23" t="n"/>
      <c r="AJ475" s="24" t="n"/>
      <c r="AK475" s="23" t="n"/>
      <c r="AL475" s="24" t="n"/>
      <c r="AM475" s="23" t="n"/>
      <c r="AN475" s="28">
        <f>IF($D475="","",COUNTIFS(Stangenbelegung!$E$5:$E$10004,ROW()))</f>
        <v/>
      </c>
      <c r="AO475" s="28">
        <f>IF(OR($G475="",COUNTA(Stangenbelegung!$A$5:$A$10004)=0),"",$G475-AN475)</f>
        <v/>
      </c>
      <c r="AP475" s="29" t="n"/>
      <c r="AQ475" s="9" t="n"/>
      <c r="AR475" s="19" t="n"/>
    </row>
    <row r="476">
      <c r="A476" s="9" t="n"/>
      <c r="B476" s="9" t="n"/>
      <c r="C476" s="9" t="n"/>
      <c r="D476" s="9" t="n"/>
      <c r="E476" s="9" t="n"/>
      <c r="F476" s="23" t="n"/>
      <c r="G476" s="19" t="n"/>
      <c r="H476" s="23" t="n"/>
      <c r="I476" s="24" t="n"/>
      <c r="J476" s="19" t="n"/>
      <c r="K476" s="25">
        <f>IF($D476="","",IFERROR(INDEX(Profile!$B$5:$B$304,MATCH($D476,lst_Profil,0)),""))</f>
        <v/>
      </c>
      <c r="L476" s="13">
        <f>IF($D476="","",IFERROR(INDEX(Profile!$K$5:$K$304,MATCH($D476,lst_Profil,0))+0,""))</f>
        <v/>
      </c>
      <c r="M476" s="26">
        <f>IF($D476="","",IFERROR(INDEX(Profile!$E$5:$E$304,MATCH($D476,lst_Profil,0))+0,""))</f>
        <v/>
      </c>
      <c r="N476" s="27">
        <f>IF(OR(L476="",$E476=""),"",IFERROR(L476*INDEX(Werkstoffe!$E$5:$E$304,MATCH($E476,lst_Werkstoff,0))/1000,""))</f>
        <v/>
      </c>
      <c r="O476" s="27">
        <f>IF(OR(N476="",$F476=""),"",N476*$F476/1000)</f>
        <v/>
      </c>
      <c r="P476" s="16">
        <f>IF(OR($F476="",$G476=""),"",$F476*$G476)</f>
        <v/>
      </c>
      <c r="Q476" s="16">
        <f>IF($D476="","",IF($J476&lt;&gt;"",$J476,$C$9))</f>
        <v/>
      </c>
      <c r="R476" s="12">
        <f>IF($D476="","",IFERROR(IF(INDEX(Profile!$G$5:$G$304,MATCH($D476,lst_Profil,0))&lt;&gt;"",INDEX(Profile!$G$5:$G$304,MATCH($D476,lst_Profil,0)),$H$4),$H$4))</f>
        <v/>
      </c>
      <c r="S476" s="12">
        <f>IF($D476="","",IFERROR(IF(INDEX(Profile!$H$5:$H$304,MATCH($D476,lst_Profil,0))&lt;&gt;"",INDEX(Profile!$H$5:$H$304,MATCH($D476,lst_Profil,0)),$H$5),$H$5))</f>
        <v/>
      </c>
      <c r="T476" s="16">
        <f>IF(OR(Q476="",NOT(ISNUMBER(R476)),NOT(ISNUMBER(S476))),"",Q476-R476-S476)</f>
        <v/>
      </c>
      <c r="U476" s="28">
        <f>IF(OR($D476="",$E476=""),"",IF(OR(N($AP476)&gt;0,COUNTIFS(Preise!$A$5:$A$304,$D476,Preise!$B$5:$B$304,$E476,Preise!$I$5:$I$304,"OK")&gt;0,N(INDEX(Werkstoffe!$G$5:$G$304,MATCH($E476,lst_Werkstoff,0)))&gt;0),"ja","nein"))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28">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Materialpreis",IF(AND($AQ476&lt;&gt;"",N($AR476)&gt;0,MOD($G476,$AR476)&lt;&gt;0),"WARNUNG: Stückzahl ist kein Vielfaches von Stück je Satz",IF($H476="","HINWEIS: Schneidweg fehlt",IF(V476="","HINWEIS: keine Schneiddaten",IF(AND($AF476&lt;&gt;"",$AG476=""),"HINWEIS: Gewinde-Vorschlag prüfen","OK")))))))))))))))</f>
        <v/>
      </c>
      <c r="X476" s="18">
        <f>IF(OR(O476="",$G476=""),"",O476*$G476)</f>
        <v/>
      </c>
      <c r="Y476" s="9" t="n"/>
      <c r="Z476" s="23" t="n"/>
      <c r="AA476" s="9" t="n"/>
      <c r="AB476" s="23" t="n"/>
      <c r="AC476" s="23" t="n"/>
      <c r="AD476" s="23" t="n"/>
      <c r="AE476" s="9" t="n"/>
      <c r="AF476" s="9" t="n"/>
      <c r="AG476" s="9" t="n"/>
      <c r="AH476" s="24" t="n"/>
      <c r="AI476" s="23" t="n"/>
      <c r="AJ476" s="24" t="n"/>
      <c r="AK476" s="23" t="n"/>
      <c r="AL476" s="24" t="n"/>
      <c r="AM476" s="23" t="n"/>
      <c r="AN476" s="28">
        <f>IF($D476="","",COUNTIFS(Stangenbelegung!$E$5:$E$10004,ROW()))</f>
        <v/>
      </c>
      <c r="AO476" s="28">
        <f>IF(OR($G476="",COUNTA(Stangenbelegung!$A$5:$A$10004)=0),"",$G476-AN476)</f>
        <v/>
      </c>
      <c r="AP476" s="29" t="n"/>
      <c r="AQ476" s="9" t="n"/>
      <c r="AR476" s="19" t="n"/>
    </row>
    <row r="477">
      <c r="A477" s="9" t="n"/>
      <c r="B477" s="9" t="n"/>
      <c r="C477" s="9" t="n"/>
      <c r="D477" s="9" t="n"/>
      <c r="E477" s="9" t="n"/>
      <c r="F477" s="23" t="n"/>
      <c r="G477" s="19" t="n"/>
      <c r="H477" s="23" t="n"/>
      <c r="I477" s="24" t="n"/>
      <c r="J477" s="19" t="n"/>
      <c r="K477" s="25">
        <f>IF($D477="","",IFERROR(INDEX(Profile!$B$5:$B$304,MATCH($D477,lst_Profil,0)),""))</f>
        <v/>
      </c>
      <c r="L477" s="13">
        <f>IF($D477="","",IFERROR(INDEX(Profile!$K$5:$K$304,MATCH($D477,lst_Profil,0))+0,""))</f>
        <v/>
      </c>
      <c r="M477" s="26">
        <f>IF($D477="","",IFERROR(INDEX(Profile!$E$5:$E$304,MATCH($D477,lst_Profil,0))+0,""))</f>
        <v/>
      </c>
      <c r="N477" s="27">
        <f>IF(OR(L477="",$E477=""),"",IFERROR(L477*INDEX(Werkstoffe!$E$5:$E$304,MATCH($E477,lst_Werkstoff,0))/1000,""))</f>
        <v/>
      </c>
      <c r="O477" s="27">
        <f>IF(OR(N477="",$F477=""),"",N477*$F477/1000)</f>
        <v/>
      </c>
      <c r="P477" s="16">
        <f>IF(OR($F477="",$G477=""),"",$F477*$G477)</f>
        <v/>
      </c>
      <c r="Q477" s="16">
        <f>IF($D477="","",IF($J477&lt;&gt;"",$J477,$C$9))</f>
        <v/>
      </c>
      <c r="R477" s="12">
        <f>IF($D477="","",IFERROR(IF(INDEX(Profile!$G$5:$G$304,MATCH($D477,lst_Profil,0))&lt;&gt;"",INDEX(Profile!$G$5:$G$304,MATCH($D477,lst_Profil,0)),$H$4),$H$4))</f>
        <v/>
      </c>
      <c r="S477" s="12">
        <f>IF($D477="","",IFERROR(IF(INDEX(Profile!$H$5:$H$304,MATCH($D477,lst_Profil,0))&lt;&gt;"",INDEX(Profile!$H$5:$H$304,MATCH($D477,lst_Profil,0)),$H$5),$H$5))</f>
        <v/>
      </c>
      <c r="T477" s="16">
        <f>IF(OR(Q477="",NOT(ISNUMBER(R477)),NOT(ISNUMBER(S477))),"",Q477-R477-S477)</f>
        <v/>
      </c>
      <c r="U477" s="28">
        <f>IF(OR($D477="",$E477=""),"",IF(OR(N($AP477)&gt;0,COUNTIFS(Preise!$A$5:$A$304,$D477,Preise!$B$5:$B$304,$E477,Preise!$I$5:$I$304,"OK")&gt;0,N(INDEX(Werkstoffe!$G$5:$G$304,MATCH($E477,lst_Werkstoff,0)))&gt;0),"ja","nein"))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28">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Materialpreis",IF(AND($AQ477&lt;&gt;"",N($AR477)&gt;0,MOD($G477,$AR477)&lt;&gt;0),"WARNUNG: Stückzahl ist kein Vielfaches von Stück je Satz",IF($H477="","HINWEIS: Schneidweg fehlt",IF(V477="","HINWEIS: keine Schneiddaten",IF(AND($AF477&lt;&gt;"",$AG477=""),"HINWEIS: Gewinde-Vorschlag prüfen","OK")))))))))))))))</f>
        <v/>
      </c>
      <c r="X477" s="18">
        <f>IF(OR(O477="",$G477=""),"",O477*$G477)</f>
        <v/>
      </c>
      <c r="Y477" s="9" t="n"/>
      <c r="Z477" s="23" t="n"/>
      <c r="AA477" s="9" t="n"/>
      <c r="AB477" s="23" t="n"/>
      <c r="AC477" s="23" t="n"/>
      <c r="AD477" s="23" t="n"/>
      <c r="AE477" s="9" t="n"/>
      <c r="AF477" s="9" t="n"/>
      <c r="AG477" s="9" t="n"/>
      <c r="AH477" s="24" t="n"/>
      <c r="AI477" s="23" t="n"/>
      <c r="AJ477" s="24" t="n"/>
      <c r="AK477" s="23" t="n"/>
      <c r="AL477" s="24" t="n"/>
      <c r="AM477" s="23" t="n"/>
      <c r="AN477" s="28">
        <f>IF($D477="","",COUNTIFS(Stangenbelegung!$E$5:$E$10004,ROW()))</f>
        <v/>
      </c>
      <c r="AO477" s="28">
        <f>IF(OR($G477="",COUNTA(Stangenbelegung!$A$5:$A$10004)=0),"",$G477-AN477)</f>
        <v/>
      </c>
      <c r="AP477" s="29" t="n"/>
      <c r="AQ477" s="9" t="n"/>
      <c r="AR477" s="19" t="n"/>
    </row>
    <row r="478">
      <c r="A478" s="9" t="n"/>
      <c r="B478" s="9" t="n"/>
      <c r="C478" s="9" t="n"/>
      <c r="D478" s="9" t="n"/>
      <c r="E478" s="9" t="n"/>
      <c r="F478" s="23" t="n"/>
      <c r="G478" s="19" t="n"/>
      <c r="H478" s="23" t="n"/>
      <c r="I478" s="24" t="n"/>
      <c r="J478" s="19" t="n"/>
      <c r="K478" s="25">
        <f>IF($D478="","",IFERROR(INDEX(Profile!$B$5:$B$304,MATCH($D478,lst_Profil,0)),""))</f>
        <v/>
      </c>
      <c r="L478" s="13">
        <f>IF($D478="","",IFERROR(INDEX(Profile!$K$5:$K$304,MATCH($D478,lst_Profil,0))+0,""))</f>
        <v/>
      </c>
      <c r="M478" s="26">
        <f>IF($D478="","",IFERROR(INDEX(Profile!$E$5:$E$304,MATCH($D478,lst_Profil,0))+0,""))</f>
        <v/>
      </c>
      <c r="N478" s="27">
        <f>IF(OR(L478="",$E478=""),"",IFERROR(L478*INDEX(Werkstoffe!$E$5:$E$304,MATCH($E478,lst_Werkstoff,0))/1000,""))</f>
        <v/>
      </c>
      <c r="O478" s="27">
        <f>IF(OR(N478="",$F478=""),"",N478*$F478/1000)</f>
        <v/>
      </c>
      <c r="P478" s="16">
        <f>IF(OR($F478="",$G478=""),"",$F478*$G478)</f>
        <v/>
      </c>
      <c r="Q478" s="16">
        <f>IF($D478="","",IF($J478&lt;&gt;"",$J478,$C$9))</f>
        <v/>
      </c>
      <c r="R478" s="12">
        <f>IF($D478="","",IFERROR(IF(INDEX(Profile!$G$5:$G$304,MATCH($D478,lst_Profil,0))&lt;&gt;"",INDEX(Profile!$G$5:$G$304,MATCH($D478,lst_Profil,0)),$H$4),$H$4))</f>
        <v/>
      </c>
      <c r="S478" s="12">
        <f>IF($D478="","",IFERROR(IF(INDEX(Profile!$H$5:$H$304,MATCH($D478,lst_Profil,0))&lt;&gt;"",INDEX(Profile!$H$5:$H$304,MATCH($D478,lst_Profil,0)),$H$5),$H$5))</f>
        <v/>
      </c>
      <c r="T478" s="16">
        <f>IF(OR(Q478="",NOT(ISNUMBER(R478)),NOT(ISNUMBER(S478))),"",Q478-R478-S478)</f>
        <v/>
      </c>
      <c r="U478" s="28">
        <f>IF(OR($D478="",$E478=""),"",IF(OR(N($AP478)&gt;0,COUNTIFS(Preise!$A$5:$A$304,$D478,Preise!$B$5:$B$304,$E478,Preise!$I$5:$I$304,"OK")&gt;0,N(INDEX(Werkstoffe!$G$5:$G$304,MATCH($E478,lst_Werkstoff,0)))&gt;0),"ja","nein"))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28">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Materialpreis",IF(AND($AQ478&lt;&gt;"",N($AR478)&gt;0,MOD($G478,$AR478)&lt;&gt;0),"WARNUNG: Stückzahl ist kein Vielfaches von Stück je Satz",IF($H478="","HINWEIS: Schneidweg fehlt",IF(V478="","HINWEIS: keine Schneiddaten",IF(AND($AF478&lt;&gt;"",$AG478=""),"HINWEIS: Gewinde-Vorschlag prüfen","OK")))))))))))))))</f>
        <v/>
      </c>
      <c r="X478" s="18">
        <f>IF(OR(O478="",$G478=""),"",O478*$G478)</f>
        <v/>
      </c>
      <c r="Y478" s="9" t="n"/>
      <c r="Z478" s="23" t="n"/>
      <c r="AA478" s="9" t="n"/>
      <c r="AB478" s="23" t="n"/>
      <c r="AC478" s="23" t="n"/>
      <c r="AD478" s="23" t="n"/>
      <c r="AE478" s="9" t="n"/>
      <c r="AF478" s="9" t="n"/>
      <c r="AG478" s="9" t="n"/>
      <c r="AH478" s="24" t="n"/>
      <c r="AI478" s="23" t="n"/>
      <c r="AJ478" s="24" t="n"/>
      <c r="AK478" s="23" t="n"/>
      <c r="AL478" s="24" t="n"/>
      <c r="AM478" s="23" t="n"/>
      <c r="AN478" s="28">
        <f>IF($D478="","",COUNTIFS(Stangenbelegung!$E$5:$E$10004,ROW()))</f>
        <v/>
      </c>
      <c r="AO478" s="28">
        <f>IF(OR($G478="",COUNTA(Stangenbelegung!$A$5:$A$10004)=0),"",$G478-AN478)</f>
        <v/>
      </c>
      <c r="AP478" s="29" t="n"/>
      <c r="AQ478" s="9" t="n"/>
      <c r="AR478" s="19" t="n"/>
    </row>
    <row r="479">
      <c r="A479" s="9" t="n"/>
      <c r="B479" s="9" t="n"/>
      <c r="C479" s="9" t="n"/>
      <c r="D479" s="9" t="n"/>
      <c r="E479" s="9" t="n"/>
      <c r="F479" s="23" t="n"/>
      <c r="G479" s="19" t="n"/>
      <c r="H479" s="23" t="n"/>
      <c r="I479" s="24" t="n"/>
      <c r="J479" s="19" t="n"/>
      <c r="K479" s="25">
        <f>IF($D479="","",IFERROR(INDEX(Profile!$B$5:$B$304,MATCH($D479,lst_Profil,0)),""))</f>
        <v/>
      </c>
      <c r="L479" s="13">
        <f>IF($D479="","",IFERROR(INDEX(Profile!$K$5:$K$304,MATCH($D479,lst_Profil,0))+0,""))</f>
        <v/>
      </c>
      <c r="M479" s="26">
        <f>IF($D479="","",IFERROR(INDEX(Profile!$E$5:$E$304,MATCH($D479,lst_Profil,0))+0,""))</f>
        <v/>
      </c>
      <c r="N479" s="27">
        <f>IF(OR(L479="",$E479=""),"",IFERROR(L479*INDEX(Werkstoffe!$E$5:$E$304,MATCH($E479,lst_Werkstoff,0))/1000,""))</f>
        <v/>
      </c>
      <c r="O479" s="27">
        <f>IF(OR(N479="",$F479=""),"",N479*$F479/1000)</f>
        <v/>
      </c>
      <c r="P479" s="16">
        <f>IF(OR($F479="",$G479=""),"",$F479*$G479)</f>
        <v/>
      </c>
      <c r="Q479" s="16">
        <f>IF($D479="","",IF($J479&lt;&gt;"",$J479,$C$9))</f>
        <v/>
      </c>
      <c r="R479" s="12">
        <f>IF($D479="","",IFERROR(IF(INDEX(Profile!$G$5:$G$304,MATCH($D479,lst_Profil,0))&lt;&gt;"",INDEX(Profile!$G$5:$G$304,MATCH($D479,lst_Profil,0)),$H$4),$H$4))</f>
        <v/>
      </c>
      <c r="S479" s="12">
        <f>IF($D479="","",IFERROR(IF(INDEX(Profile!$H$5:$H$304,MATCH($D479,lst_Profil,0))&lt;&gt;"",INDEX(Profile!$H$5:$H$304,MATCH($D479,lst_Profil,0)),$H$5),$H$5))</f>
        <v/>
      </c>
      <c r="T479" s="16">
        <f>IF(OR(Q479="",NOT(ISNUMBER(R479)),NOT(ISNUMBER(S479))),"",Q479-R479-S479)</f>
        <v/>
      </c>
      <c r="U479" s="28">
        <f>IF(OR($D479="",$E479=""),"",IF(OR(N($AP479)&gt;0,COUNTIFS(Preise!$A$5:$A$304,$D479,Preise!$B$5:$B$304,$E479,Preise!$I$5:$I$304,"OK")&gt;0,N(INDEX(Werkstoffe!$G$5:$G$304,MATCH($E479,lst_Werkstoff,0)))&gt;0),"ja","nein"))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28">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Materialpreis",IF(AND($AQ479&lt;&gt;"",N($AR479)&gt;0,MOD($G479,$AR479)&lt;&gt;0),"WARNUNG: Stückzahl ist kein Vielfaches von Stück je Satz",IF($H479="","HINWEIS: Schneidweg fehlt",IF(V479="","HINWEIS: keine Schneiddaten",IF(AND($AF479&lt;&gt;"",$AG479=""),"HINWEIS: Gewinde-Vorschlag prüfen","OK")))))))))))))))</f>
        <v/>
      </c>
      <c r="X479" s="18">
        <f>IF(OR(O479="",$G479=""),"",O479*$G479)</f>
        <v/>
      </c>
      <c r="Y479" s="9" t="n"/>
      <c r="Z479" s="23" t="n"/>
      <c r="AA479" s="9" t="n"/>
      <c r="AB479" s="23" t="n"/>
      <c r="AC479" s="23" t="n"/>
      <c r="AD479" s="23" t="n"/>
      <c r="AE479" s="9" t="n"/>
      <c r="AF479" s="9" t="n"/>
      <c r="AG479" s="9" t="n"/>
      <c r="AH479" s="24" t="n"/>
      <c r="AI479" s="23" t="n"/>
      <c r="AJ479" s="24" t="n"/>
      <c r="AK479" s="23" t="n"/>
      <c r="AL479" s="24" t="n"/>
      <c r="AM479" s="23" t="n"/>
      <c r="AN479" s="28">
        <f>IF($D479="","",COUNTIFS(Stangenbelegung!$E$5:$E$10004,ROW()))</f>
        <v/>
      </c>
      <c r="AO479" s="28">
        <f>IF(OR($G479="",COUNTA(Stangenbelegung!$A$5:$A$10004)=0),"",$G479-AN479)</f>
        <v/>
      </c>
      <c r="AP479" s="29" t="n"/>
      <c r="AQ479" s="9" t="n"/>
      <c r="AR479" s="19" t="n"/>
    </row>
    <row r="480">
      <c r="A480" s="9" t="n"/>
      <c r="B480" s="9" t="n"/>
      <c r="C480" s="9" t="n"/>
      <c r="D480" s="9" t="n"/>
      <c r="E480" s="9" t="n"/>
      <c r="F480" s="23" t="n"/>
      <c r="G480" s="19" t="n"/>
      <c r="H480" s="23" t="n"/>
      <c r="I480" s="24" t="n"/>
      <c r="J480" s="19" t="n"/>
      <c r="K480" s="25">
        <f>IF($D480="","",IFERROR(INDEX(Profile!$B$5:$B$304,MATCH($D480,lst_Profil,0)),""))</f>
        <v/>
      </c>
      <c r="L480" s="13">
        <f>IF($D480="","",IFERROR(INDEX(Profile!$K$5:$K$304,MATCH($D480,lst_Profil,0))+0,""))</f>
        <v/>
      </c>
      <c r="M480" s="26">
        <f>IF($D480="","",IFERROR(INDEX(Profile!$E$5:$E$304,MATCH($D480,lst_Profil,0))+0,""))</f>
        <v/>
      </c>
      <c r="N480" s="27">
        <f>IF(OR(L480="",$E480=""),"",IFERROR(L480*INDEX(Werkstoffe!$E$5:$E$304,MATCH($E480,lst_Werkstoff,0))/1000,""))</f>
        <v/>
      </c>
      <c r="O480" s="27">
        <f>IF(OR(N480="",$F480=""),"",N480*$F480/1000)</f>
        <v/>
      </c>
      <c r="P480" s="16">
        <f>IF(OR($F480="",$G480=""),"",$F480*$G480)</f>
        <v/>
      </c>
      <c r="Q480" s="16">
        <f>IF($D480="","",IF($J480&lt;&gt;"",$J480,$C$9))</f>
        <v/>
      </c>
      <c r="R480" s="12">
        <f>IF($D480="","",IFERROR(IF(INDEX(Profile!$G$5:$G$304,MATCH($D480,lst_Profil,0))&lt;&gt;"",INDEX(Profile!$G$5:$G$304,MATCH($D480,lst_Profil,0)),$H$4),$H$4))</f>
        <v/>
      </c>
      <c r="S480" s="12">
        <f>IF($D480="","",IFERROR(IF(INDEX(Profile!$H$5:$H$304,MATCH($D480,lst_Profil,0))&lt;&gt;"",INDEX(Profile!$H$5:$H$304,MATCH($D480,lst_Profil,0)),$H$5),$H$5))</f>
        <v/>
      </c>
      <c r="T480" s="16">
        <f>IF(OR(Q480="",NOT(ISNUMBER(R480)),NOT(ISNUMBER(S480))),"",Q480-R480-S480)</f>
        <v/>
      </c>
      <c r="U480" s="28">
        <f>IF(OR($D480="",$E480=""),"",IF(OR(N($AP480)&gt;0,COUNTIFS(Preise!$A$5:$A$304,$D480,Preise!$B$5:$B$304,$E480,Preise!$I$5:$I$304,"OK")&gt;0,N(INDEX(Werkstoffe!$G$5:$G$304,MATCH($E480,lst_Werkstoff,0)))&gt;0),"ja","nein"))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28">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Materialpreis",IF(AND($AQ480&lt;&gt;"",N($AR480)&gt;0,MOD($G480,$AR480)&lt;&gt;0),"WARNUNG: Stückzahl ist kein Vielfaches von Stück je Satz",IF($H480="","HINWEIS: Schneidweg fehlt",IF(V480="","HINWEIS: keine Schneiddaten",IF(AND($AF480&lt;&gt;"",$AG480=""),"HINWEIS: Gewinde-Vorschlag prüfen","OK")))))))))))))))</f>
        <v/>
      </c>
      <c r="X480" s="18">
        <f>IF(OR(O480="",$G480=""),"",O480*$G480)</f>
        <v/>
      </c>
      <c r="Y480" s="9" t="n"/>
      <c r="Z480" s="23" t="n"/>
      <c r="AA480" s="9" t="n"/>
      <c r="AB480" s="23" t="n"/>
      <c r="AC480" s="23" t="n"/>
      <c r="AD480" s="23" t="n"/>
      <c r="AE480" s="9" t="n"/>
      <c r="AF480" s="9" t="n"/>
      <c r="AG480" s="9" t="n"/>
      <c r="AH480" s="24" t="n"/>
      <c r="AI480" s="23" t="n"/>
      <c r="AJ480" s="24" t="n"/>
      <c r="AK480" s="23" t="n"/>
      <c r="AL480" s="24" t="n"/>
      <c r="AM480" s="23" t="n"/>
      <c r="AN480" s="28">
        <f>IF($D480="","",COUNTIFS(Stangenbelegung!$E$5:$E$10004,ROW()))</f>
        <v/>
      </c>
      <c r="AO480" s="28">
        <f>IF(OR($G480="",COUNTA(Stangenbelegung!$A$5:$A$10004)=0),"",$G480-AN480)</f>
        <v/>
      </c>
      <c r="AP480" s="29" t="n"/>
      <c r="AQ480" s="9" t="n"/>
      <c r="AR480" s="19" t="n"/>
    </row>
    <row r="481">
      <c r="A481" s="9" t="n"/>
      <c r="B481" s="9" t="n"/>
      <c r="C481" s="9" t="n"/>
      <c r="D481" s="9" t="n"/>
      <c r="E481" s="9" t="n"/>
      <c r="F481" s="23" t="n"/>
      <c r="G481" s="19" t="n"/>
      <c r="H481" s="23" t="n"/>
      <c r="I481" s="24" t="n"/>
      <c r="J481" s="19" t="n"/>
      <c r="K481" s="25">
        <f>IF($D481="","",IFERROR(INDEX(Profile!$B$5:$B$304,MATCH($D481,lst_Profil,0)),""))</f>
        <v/>
      </c>
      <c r="L481" s="13">
        <f>IF($D481="","",IFERROR(INDEX(Profile!$K$5:$K$304,MATCH($D481,lst_Profil,0))+0,""))</f>
        <v/>
      </c>
      <c r="M481" s="26">
        <f>IF($D481="","",IFERROR(INDEX(Profile!$E$5:$E$304,MATCH($D481,lst_Profil,0))+0,""))</f>
        <v/>
      </c>
      <c r="N481" s="27">
        <f>IF(OR(L481="",$E481=""),"",IFERROR(L481*INDEX(Werkstoffe!$E$5:$E$304,MATCH($E481,lst_Werkstoff,0))/1000,""))</f>
        <v/>
      </c>
      <c r="O481" s="27">
        <f>IF(OR(N481="",$F481=""),"",N481*$F481/1000)</f>
        <v/>
      </c>
      <c r="P481" s="16">
        <f>IF(OR($F481="",$G481=""),"",$F481*$G481)</f>
        <v/>
      </c>
      <c r="Q481" s="16">
        <f>IF($D481="","",IF($J481&lt;&gt;"",$J481,$C$9))</f>
        <v/>
      </c>
      <c r="R481" s="12">
        <f>IF($D481="","",IFERROR(IF(INDEX(Profile!$G$5:$G$304,MATCH($D481,lst_Profil,0))&lt;&gt;"",INDEX(Profile!$G$5:$G$304,MATCH($D481,lst_Profil,0)),$H$4),$H$4))</f>
        <v/>
      </c>
      <c r="S481" s="12">
        <f>IF($D481="","",IFERROR(IF(INDEX(Profile!$H$5:$H$304,MATCH($D481,lst_Profil,0))&lt;&gt;"",INDEX(Profile!$H$5:$H$304,MATCH($D481,lst_Profil,0)),$H$5),$H$5))</f>
        <v/>
      </c>
      <c r="T481" s="16">
        <f>IF(OR(Q481="",NOT(ISNUMBER(R481)),NOT(ISNUMBER(S481))),"",Q481-R481-S481)</f>
        <v/>
      </c>
      <c r="U481" s="28">
        <f>IF(OR($D481="",$E481=""),"",IF(OR(N($AP481)&gt;0,COUNTIFS(Preise!$A$5:$A$304,$D481,Preise!$B$5:$B$304,$E481,Preise!$I$5:$I$304,"OK")&gt;0,N(INDEX(Werkstoffe!$G$5:$G$304,MATCH($E481,lst_Werkstoff,0)))&gt;0),"ja","nein"))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28">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Materialpreis",IF(AND($AQ481&lt;&gt;"",N($AR481)&gt;0,MOD($G481,$AR481)&lt;&gt;0),"WARNUNG: Stückzahl ist kein Vielfaches von Stück je Satz",IF($H481="","HINWEIS: Schneidweg fehlt",IF(V481="","HINWEIS: keine Schneiddaten",IF(AND($AF481&lt;&gt;"",$AG481=""),"HINWEIS: Gewinde-Vorschlag prüfen","OK")))))))))))))))</f>
        <v/>
      </c>
      <c r="X481" s="18">
        <f>IF(OR(O481="",$G481=""),"",O481*$G481)</f>
        <v/>
      </c>
      <c r="Y481" s="9" t="n"/>
      <c r="Z481" s="23" t="n"/>
      <c r="AA481" s="9" t="n"/>
      <c r="AB481" s="23" t="n"/>
      <c r="AC481" s="23" t="n"/>
      <c r="AD481" s="23" t="n"/>
      <c r="AE481" s="9" t="n"/>
      <c r="AF481" s="9" t="n"/>
      <c r="AG481" s="9" t="n"/>
      <c r="AH481" s="24" t="n"/>
      <c r="AI481" s="23" t="n"/>
      <c r="AJ481" s="24" t="n"/>
      <c r="AK481" s="23" t="n"/>
      <c r="AL481" s="24" t="n"/>
      <c r="AM481" s="23" t="n"/>
      <c r="AN481" s="28">
        <f>IF($D481="","",COUNTIFS(Stangenbelegung!$E$5:$E$10004,ROW()))</f>
        <v/>
      </c>
      <c r="AO481" s="28">
        <f>IF(OR($G481="",COUNTA(Stangenbelegung!$A$5:$A$10004)=0),"",$G481-AN481)</f>
        <v/>
      </c>
      <c r="AP481" s="29" t="n"/>
      <c r="AQ481" s="9" t="n"/>
      <c r="AR481" s="19" t="n"/>
    </row>
    <row r="482">
      <c r="A482" s="9" t="n"/>
      <c r="B482" s="9" t="n"/>
      <c r="C482" s="9" t="n"/>
      <c r="D482" s="9" t="n"/>
      <c r="E482" s="9" t="n"/>
      <c r="F482" s="23" t="n"/>
      <c r="G482" s="19" t="n"/>
      <c r="H482" s="23" t="n"/>
      <c r="I482" s="24" t="n"/>
      <c r="J482" s="19" t="n"/>
      <c r="K482" s="25">
        <f>IF($D482="","",IFERROR(INDEX(Profile!$B$5:$B$304,MATCH($D482,lst_Profil,0)),""))</f>
        <v/>
      </c>
      <c r="L482" s="13">
        <f>IF($D482="","",IFERROR(INDEX(Profile!$K$5:$K$304,MATCH($D482,lst_Profil,0))+0,""))</f>
        <v/>
      </c>
      <c r="M482" s="26">
        <f>IF($D482="","",IFERROR(INDEX(Profile!$E$5:$E$304,MATCH($D482,lst_Profil,0))+0,""))</f>
        <v/>
      </c>
      <c r="N482" s="27">
        <f>IF(OR(L482="",$E482=""),"",IFERROR(L482*INDEX(Werkstoffe!$E$5:$E$304,MATCH($E482,lst_Werkstoff,0))/1000,""))</f>
        <v/>
      </c>
      <c r="O482" s="27">
        <f>IF(OR(N482="",$F482=""),"",N482*$F482/1000)</f>
        <v/>
      </c>
      <c r="P482" s="16">
        <f>IF(OR($F482="",$G482=""),"",$F482*$G482)</f>
        <v/>
      </c>
      <c r="Q482" s="16">
        <f>IF($D482="","",IF($J482&lt;&gt;"",$J482,$C$9))</f>
        <v/>
      </c>
      <c r="R482" s="12">
        <f>IF($D482="","",IFERROR(IF(INDEX(Profile!$G$5:$G$304,MATCH($D482,lst_Profil,0))&lt;&gt;"",INDEX(Profile!$G$5:$G$304,MATCH($D482,lst_Profil,0)),$H$4),$H$4))</f>
        <v/>
      </c>
      <c r="S482" s="12">
        <f>IF($D482="","",IFERROR(IF(INDEX(Profile!$H$5:$H$304,MATCH($D482,lst_Profil,0))&lt;&gt;"",INDEX(Profile!$H$5:$H$304,MATCH($D482,lst_Profil,0)),$H$5),$H$5))</f>
        <v/>
      </c>
      <c r="T482" s="16">
        <f>IF(OR(Q482="",NOT(ISNUMBER(R482)),NOT(ISNUMBER(S482))),"",Q482-R482-S482)</f>
        <v/>
      </c>
      <c r="U482" s="28">
        <f>IF(OR($D482="",$E482=""),"",IF(OR(N($AP482)&gt;0,COUNTIFS(Preise!$A$5:$A$304,$D482,Preise!$B$5:$B$304,$E482,Preise!$I$5:$I$304,"OK")&gt;0,N(INDEX(Werkstoffe!$G$5:$G$304,MATCH($E482,lst_Werkstoff,0)))&gt;0),"ja","nein"))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28">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Materialpreis",IF(AND($AQ482&lt;&gt;"",N($AR482)&gt;0,MOD($G482,$AR482)&lt;&gt;0),"WARNUNG: Stückzahl ist kein Vielfaches von Stück je Satz",IF($H482="","HINWEIS: Schneidweg fehlt",IF(V482="","HINWEIS: keine Schneiddaten",IF(AND($AF482&lt;&gt;"",$AG482=""),"HINWEIS: Gewinde-Vorschlag prüfen","OK")))))))))))))))</f>
        <v/>
      </c>
      <c r="X482" s="18">
        <f>IF(OR(O482="",$G482=""),"",O482*$G482)</f>
        <v/>
      </c>
      <c r="Y482" s="9" t="n"/>
      <c r="Z482" s="23" t="n"/>
      <c r="AA482" s="9" t="n"/>
      <c r="AB482" s="23" t="n"/>
      <c r="AC482" s="23" t="n"/>
      <c r="AD482" s="23" t="n"/>
      <c r="AE482" s="9" t="n"/>
      <c r="AF482" s="9" t="n"/>
      <c r="AG482" s="9" t="n"/>
      <c r="AH482" s="24" t="n"/>
      <c r="AI482" s="23" t="n"/>
      <c r="AJ482" s="24" t="n"/>
      <c r="AK482" s="23" t="n"/>
      <c r="AL482" s="24" t="n"/>
      <c r="AM482" s="23" t="n"/>
      <c r="AN482" s="28">
        <f>IF($D482="","",COUNTIFS(Stangenbelegung!$E$5:$E$10004,ROW()))</f>
        <v/>
      </c>
      <c r="AO482" s="28">
        <f>IF(OR($G482="",COUNTA(Stangenbelegung!$A$5:$A$10004)=0),"",$G482-AN482)</f>
        <v/>
      </c>
      <c r="AP482" s="29" t="n"/>
      <c r="AQ482" s="9" t="n"/>
      <c r="AR482" s="19" t="n"/>
    </row>
    <row r="483">
      <c r="A483" s="9" t="n"/>
      <c r="B483" s="9" t="n"/>
      <c r="C483" s="9" t="n"/>
      <c r="D483" s="9" t="n"/>
      <c r="E483" s="9" t="n"/>
      <c r="F483" s="23" t="n"/>
      <c r="G483" s="19" t="n"/>
      <c r="H483" s="23" t="n"/>
      <c r="I483" s="24" t="n"/>
      <c r="J483" s="19" t="n"/>
      <c r="K483" s="25">
        <f>IF($D483="","",IFERROR(INDEX(Profile!$B$5:$B$304,MATCH($D483,lst_Profil,0)),""))</f>
        <v/>
      </c>
      <c r="L483" s="13">
        <f>IF($D483="","",IFERROR(INDEX(Profile!$K$5:$K$304,MATCH($D483,lst_Profil,0))+0,""))</f>
        <v/>
      </c>
      <c r="M483" s="26">
        <f>IF($D483="","",IFERROR(INDEX(Profile!$E$5:$E$304,MATCH($D483,lst_Profil,0))+0,""))</f>
        <v/>
      </c>
      <c r="N483" s="27">
        <f>IF(OR(L483="",$E483=""),"",IFERROR(L483*INDEX(Werkstoffe!$E$5:$E$304,MATCH($E483,lst_Werkstoff,0))/1000,""))</f>
        <v/>
      </c>
      <c r="O483" s="27">
        <f>IF(OR(N483="",$F483=""),"",N483*$F483/1000)</f>
        <v/>
      </c>
      <c r="P483" s="16">
        <f>IF(OR($F483="",$G483=""),"",$F483*$G483)</f>
        <v/>
      </c>
      <c r="Q483" s="16">
        <f>IF($D483="","",IF($J483&lt;&gt;"",$J483,$C$9))</f>
        <v/>
      </c>
      <c r="R483" s="12">
        <f>IF($D483="","",IFERROR(IF(INDEX(Profile!$G$5:$G$304,MATCH($D483,lst_Profil,0))&lt;&gt;"",INDEX(Profile!$G$5:$G$304,MATCH($D483,lst_Profil,0)),$H$4),$H$4))</f>
        <v/>
      </c>
      <c r="S483" s="12">
        <f>IF($D483="","",IFERROR(IF(INDEX(Profile!$H$5:$H$304,MATCH($D483,lst_Profil,0))&lt;&gt;"",INDEX(Profile!$H$5:$H$304,MATCH($D483,lst_Profil,0)),$H$5),$H$5))</f>
        <v/>
      </c>
      <c r="T483" s="16">
        <f>IF(OR(Q483="",NOT(ISNUMBER(R483)),NOT(ISNUMBER(S483))),"",Q483-R483-S483)</f>
        <v/>
      </c>
      <c r="U483" s="28">
        <f>IF(OR($D483="",$E483=""),"",IF(OR(N($AP483)&gt;0,COUNTIFS(Preise!$A$5:$A$304,$D483,Preise!$B$5:$B$304,$E483,Preise!$I$5:$I$304,"OK")&gt;0,N(INDEX(Werkstoffe!$G$5:$G$304,MATCH($E483,lst_Werkstoff,0)))&gt;0),"ja","nein"))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28">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Materialpreis",IF(AND($AQ483&lt;&gt;"",N($AR483)&gt;0,MOD($G483,$AR483)&lt;&gt;0),"WARNUNG: Stückzahl ist kein Vielfaches von Stück je Satz",IF($H483="","HINWEIS: Schneidweg fehlt",IF(V483="","HINWEIS: keine Schneiddaten",IF(AND($AF483&lt;&gt;"",$AG483=""),"HINWEIS: Gewinde-Vorschlag prüfen","OK")))))))))))))))</f>
        <v/>
      </c>
      <c r="X483" s="18">
        <f>IF(OR(O483="",$G483=""),"",O483*$G483)</f>
        <v/>
      </c>
      <c r="Y483" s="9" t="n"/>
      <c r="Z483" s="23" t="n"/>
      <c r="AA483" s="9" t="n"/>
      <c r="AB483" s="23" t="n"/>
      <c r="AC483" s="23" t="n"/>
      <c r="AD483" s="23" t="n"/>
      <c r="AE483" s="9" t="n"/>
      <c r="AF483" s="9" t="n"/>
      <c r="AG483" s="9" t="n"/>
      <c r="AH483" s="24" t="n"/>
      <c r="AI483" s="23" t="n"/>
      <c r="AJ483" s="24" t="n"/>
      <c r="AK483" s="23" t="n"/>
      <c r="AL483" s="24" t="n"/>
      <c r="AM483" s="23" t="n"/>
      <c r="AN483" s="28">
        <f>IF($D483="","",COUNTIFS(Stangenbelegung!$E$5:$E$10004,ROW()))</f>
        <v/>
      </c>
      <c r="AO483" s="28">
        <f>IF(OR($G483="",COUNTA(Stangenbelegung!$A$5:$A$10004)=0),"",$G483-AN483)</f>
        <v/>
      </c>
      <c r="AP483" s="29" t="n"/>
      <c r="AQ483" s="9" t="n"/>
      <c r="AR483" s="19" t="n"/>
    </row>
    <row r="484">
      <c r="A484" s="9" t="n"/>
      <c r="B484" s="9" t="n"/>
      <c r="C484" s="9" t="n"/>
      <c r="D484" s="9" t="n"/>
      <c r="E484" s="9" t="n"/>
      <c r="F484" s="23" t="n"/>
      <c r="G484" s="19" t="n"/>
      <c r="H484" s="23" t="n"/>
      <c r="I484" s="24" t="n"/>
      <c r="J484" s="19" t="n"/>
      <c r="K484" s="25">
        <f>IF($D484="","",IFERROR(INDEX(Profile!$B$5:$B$304,MATCH($D484,lst_Profil,0)),""))</f>
        <v/>
      </c>
      <c r="L484" s="13">
        <f>IF($D484="","",IFERROR(INDEX(Profile!$K$5:$K$304,MATCH($D484,lst_Profil,0))+0,""))</f>
        <v/>
      </c>
      <c r="M484" s="26">
        <f>IF($D484="","",IFERROR(INDEX(Profile!$E$5:$E$304,MATCH($D484,lst_Profil,0))+0,""))</f>
        <v/>
      </c>
      <c r="N484" s="27">
        <f>IF(OR(L484="",$E484=""),"",IFERROR(L484*INDEX(Werkstoffe!$E$5:$E$304,MATCH($E484,lst_Werkstoff,0))/1000,""))</f>
        <v/>
      </c>
      <c r="O484" s="27">
        <f>IF(OR(N484="",$F484=""),"",N484*$F484/1000)</f>
        <v/>
      </c>
      <c r="P484" s="16">
        <f>IF(OR($F484="",$G484=""),"",$F484*$G484)</f>
        <v/>
      </c>
      <c r="Q484" s="16">
        <f>IF($D484="","",IF($J484&lt;&gt;"",$J484,$C$9))</f>
        <v/>
      </c>
      <c r="R484" s="12">
        <f>IF($D484="","",IFERROR(IF(INDEX(Profile!$G$5:$G$304,MATCH($D484,lst_Profil,0))&lt;&gt;"",INDEX(Profile!$G$5:$G$304,MATCH($D484,lst_Profil,0)),$H$4),$H$4))</f>
        <v/>
      </c>
      <c r="S484" s="12">
        <f>IF($D484="","",IFERROR(IF(INDEX(Profile!$H$5:$H$304,MATCH($D484,lst_Profil,0))&lt;&gt;"",INDEX(Profile!$H$5:$H$304,MATCH($D484,lst_Profil,0)),$H$5),$H$5))</f>
        <v/>
      </c>
      <c r="T484" s="16">
        <f>IF(OR(Q484="",NOT(ISNUMBER(R484)),NOT(ISNUMBER(S484))),"",Q484-R484-S484)</f>
        <v/>
      </c>
      <c r="U484" s="28">
        <f>IF(OR($D484="",$E484=""),"",IF(OR(N($AP484)&gt;0,COUNTIFS(Preise!$A$5:$A$304,$D484,Preise!$B$5:$B$304,$E484,Preise!$I$5:$I$304,"OK")&gt;0,N(INDEX(Werkstoffe!$G$5:$G$304,MATCH($E484,lst_Werkstoff,0)))&gt;0),"ja","nein"))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28">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Materialpreis",IF(AND($AQ484&lt;&gt;"",N($AR484)&gt;0,MOD($G484,$AR484)&lt;&gt;0),"WARNUNG: Stückzahl ist kein Vielfaches von Stück je Satz",IF($H484="","HINWEIS: Schneidweg fehlt",IF(V484="","HINWEIS: keine Schneiddaten",IF(AND($AF484&lt;&gt;"",$AG484=""),"HINWEIS: Gewinde-Vorschlag prüfen","OK")))))))))))))))</f>
        <v/>
      </c>
      <c r="X484" s="18">
        <f>IF(OR(O484="",$G484=""),"",O484*$G484)</f>
        <v/>
      </c>
      <c r="Y484" s="9" t="n"/>
      <c r="Z484" s="23" t="n"/>
      <c r="AA484" s="9" t="n"/>
      <c r="AB484" s="23" t="n"/>
      <c r="AC484" s="23" t="n"/>
      <c r="AD484" s="23" t="n"/>
      <c r="AE484" s="9" t="n"/>
      <c r="AF484" s="9" t="n"/>
      <c r="AG484" s="9" t="n"/>
      <c r="AH484" s="24" t="n"/>
      <c r="AI484" s="23" t="n"/>
      <c r="AJ484" s="24" t="n"/>
      <c r="AK484" s="23" t="n"/>
      <c r="AL484" s="24" t="n"/>
      <c r="AM484" s="23" t="n"/>
      <c r="AN484" s="28">
        <f>IF($D484="","",COUNTIFS(Stangenbelegung!$E$5:$E$10004,ROW()))</f>
        <v/>
      </c>
      <c r="AO484" s="28">
        <f>IF(OR($G484="",COUNTA(Stangenbelegung!$A$5:$A$10004)=0),"",$G484-AN484)</f>
        <v/>
      </c>
      <c r="AP484" s="29" t="n"/>
      <c r="AQ484" s="9" t="n"/>
      <c r="AR484" s="19" t="n"/>
    </row>
    <row r="485">
      <c r="A485" s="9" t="n"/>
      <c r="B485" s="9" t="n"/>
      <c r="C485" s="9" t="n"/>
      <c r="D485" s="9" t="n"/>
      <c r="E485" s="9" t="n"/>
      <c r="F485" s="23" t="n"/>
      <c r="G485" s="19" t="n"/>
      <c r="H485" s="23" t="n"/>
      <c r="I485" s="24" t="n"/>
      <c r="J485" s="19" t="n"/>
      <c r="K485" s="25">
        <f>IF($D485="","",IFERROR(INDEX(Profile!$B$5:$B$304,MATCH($D485,lst_Profil,0)),""))</f>
        <v/>
      </c>
      <c r="L485" s="13">
        <f>IF($D485="","",IFERROR(INDEX(Profile!$K$5:$K$304,MATCH($D485,lst_Profil,0))+0,""))</f>
        <v/>
      </c>
      <c r="M485" s="26">
        <f>IF($D485="","",IFERROR(INDEX(Profile!$E$5:$E$304,MATCH($D485,lst_Profil,0))+0,""))</f>
        <v/>
      </c>
      <c r="N485" s="27">
        <f>IF(OR(L485="",$E485=""),"",IFERROR(L485*INDEX(Werkstoffe!$E$5:$E$304,MATCH($E485,lst_Werkstoff,0))/1000,""))</f>
        <v/>
      </c>
      <c r="O485" s="27">
        <f>IF(OR(N485="",$F485=""),"",N485*$F485/1000)</f>
        <v/>
      </c>
      <c r="P485" s="16">
        <f>IF(OR($F485="",$G485=""),"",$F485*$G485)</f>
        <v/>
      </c>
      <c r="Q485" s="16">
        <f>IF($D485="","",IF($J485&lt;&gt;"",$J485,$C$9))</f>
        <v/>
      </c>
      <c r="R485" s="12">
        <f>IF($D485="","",IFERROR(IF(INDEX(Profile!$G$5:$G$304,MATCH($D485,lst_Profil,0))&lt;&gt;"",INDEX(Profile!$G$5:$G$304,MATCH($D485,lst_Profil,0)),$H$4),$H$4))</f>
        <v/>
      </c>
      <c r="S485" s="12">
        <f>IF($D485="","",IFERROR(IF(INDEX(Profile!$H$5:$H$304,MATCH($D485,lst_Profil,0))&lt;&gt;"",INDEX(Profile!$H$5:$H$304,MATCH($D485,lst_Profil,0)),$H$5),$H$5))</f>
        <v/>
      </c>
      <c r="T485" s="16">
        <f>IF(OR(Q485="",NOT(ISNUMBER(R485)),NOT(ISNUMBER(S485))),"",Q485-R485-S485)</f>
        <v/>
      </c>
      <c r="U485" s="28">
        <f>IF(OR($D485="",$E485=""),"",IF(OR(N($AP485)&gt;0,COUNTIFS(Preise!$A$5:$A$304,$D485,Preise!$B$5:$B$304,$E485,Preise!$I$5:$I$304,"OK")&gt;0,N(INDEX(Werkstoffe!$G$5:$G$304,MATCH($E485,lst_Werkstoff,0)))&gt;0),"ja","nein"))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28">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Materialpreis",IF(AND($AQ485&lt;&gt;"",N($AR485)&gt;0,MOD($G485,$AR485)&lt;&gt;0),"WARNUNG: Stückzahl ist kein Vielfaches von Stück je Satz",IF($H485="","HINWEIS: Schneidweg fehlt",IF(V485="","HINWEIS: keine Schneiddaten",IF(AND($AF485&lt;&gt;"",$AG485=""),"HINWEIS: Gewinde-Vorschlag prüfen","OK")))))))))))))))</f>
        <v/>
      </c>
      <c r="X485" s="18">
        <f>IF(OR(O485="",$G485=""),"",O485*$G485)</f>
        <v/>
      </c>
      <c r="Y485" s="9" t="n"/>
      <c r="Z485" s="23" t="n"/>
      <c r="AA485" s="9" t="n"/>
      <c r="AB485" s="23" t="n"/>
      <c r="AC485" s="23" t="n"/>
      <c r="AD485" s="23" t="n"/>
      <c r="AE485" s="9" t="n"/>
      <c r="AF485" s="9" t="n"/>
      <c r="AG485" s="9" t="n"/>
      <c r="AH485" s="24" t="n"/>
      <c r="AI485" s="23" t="n"/>
      <c r="AJ485" s="24" t="n"/>
      <c r="AK485" s="23" t="n"/>
      <c r="AL485" s="24" t="n"/>
      <c r="AM485" s="23" t="n"/>
      <c r="AN485" s="28">
        <f>IF($D485="","",COUNTIFS(Stangenbelegung!$E$5:$E$10004,ROW()))</f>
        <v/>
      </c>
      <c r="AO485" s="28">
        <f>IF(OR($G485="",COUNTA(Stangenbelegung!$A$5:$A$10004)=0),"",$G485-AN485)</f>
        <v/>
      </c>
      <c r="AP485" s="29" t="n"/>
      <c r="AQ485" s="9" t="n"/>
      <c r="AR485" s="19" t="n"/>
    </row>
    <row r="486">
      <c r="A486" s="9" t="n"/>
      <c r="B486" s="9" t="n"/>
      <c r="C486" s="9" t="n"/>
      <c r="D486" s="9" t="n"/>
      <c r="E486" s="9" t="n"/>
      <c r="F486" s="23" t="n"/>
      <c r="G486" s="19" t="n"/>
      <c r="H486" s="23" t="n"/>
      <c r="I486" s="24" t="n"/>
      <c r="J486" s="19" t="n"/>
      <c r="K486" s="25">
        <f>IF($D486="","",IFERROR(INDEX(Profile!$B$5:$B$304,MATCH($D486,lst_Profil,0)),""))</f>
        <v/>
      </c>
      <c r="L486" s="13">
        <f>IF($D486="","",IFERROR(INDEX(Profile!$K$5:$K$304,MATCH($D486,lst_Profil,0))+0,""))</f>
        <v/>
      </c>
      <c r="M486" s="26">
        <f>IF($D486="","",IFERROR(INDEX(Profile!$E$5:$E$304,MATCH($D486,lst_Profil,0))+0,""))</f>
        <v/>
      </c>
      <c r="N486" s="27">
        <f>IF(OR(L486="",$E486=""),"",IFERROR(L486*INDEX(Werkstoffe!$E$5:$E$304,MATCH($E486,lst_Werkstoff,0))/1000,""))</f>
        <v/>
      </c>
      <c r="O486" s="27">
        <f>IF(OR(N486="",$F486=""),"",N486*$F486/1000)</f>
        <v/>
      </c>
      <c r="P486" s="16">
        <f>IF(OR($F486="",$G486=""),"",$F486*$G486)</f>
        <v/>
      </c>
      <c r="Q486" s="16">
        <f>IF($D486="","",IF($J486&lt;&gt;"",$J486,$C$9))</f>
        <v/>
      </c>
      <c r="R486" s="12">
        <f>IF($D486="","",IFERROR(IF(INDEX(Profile!$G$5:$G$304,MATCH($D486,lst_Profil,0))&lt;&gt;"",INDEX(Profile!$G$5:$G$304,MATCH($D486,lst_Profil,0)),$H$4),$H$4))</f>
        <v/>
      </c>
      <c r="S486" s="12">
        <f>IF($D486="","",IFERROR(IF(INDEX(Profile!$H$5:$H$304,MATCH($D486,lst_Profil,0))&lt;&gt;"",INDEX(Profile!$H$5:$H$304,MATCH($D486,lst_Profil,0)),$H$5),$H$5))</f>
        <v/>
      </c>
      <c r="T486" s="16">
        <f>IF(OR(Q486="",NOT(ISNUMBER(R486)),NOT(ISNUMBER(S486))),"",Q486-R486-S486)</f>
        <v/>
      </c>
      <c r="U486" s="28">
        <f>IF(OR($D486="",$E486=""),"",IF(OR(N($AP486)&gt;0,COUNTIFS(Preise!$A$5:$A$304,$D486,Preise!$B$5:$B$304,$E486,Preise!$I$5:$I$304,"OK")&gt;0,N(INDEX(Werkstoffe!$G$5:$G$304,MATCH($E486,lst_Werkstoff,0)))&gt;0),"ja","nein"))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28">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Materialpreis",IF(AND($AQ486&lt;&gt;"",N($AR486)&gt;0,MOD($G486,$AR486)&lt;&gt;0),"WARNUNG: Stückzahl ist kein Vielfaches von Stück je Satz",IF($H486="","HINWEIS: Schneidweg fehlt",IF(V486="","HINWEIS: keine Schneiddaten",IF(AND($AF486&lt;&gt;"",$AG486=""),"HINWEIS: Gewinde-Vorschlag prüfen","OK")))))))))))))))</f>
        <v/>
      </c>
      <c r="X486" s="18">
        <f>IF(OR(O486="",$G486=""),"",O486*$G486)</f>
        <v/>
      </c>
      <c r="Y486" s="9" t="n"/>
      <c r="Z486" s="23" t="n"/>
      <c r="AA486" s="9" t="n"/>
      <c r="AB486" s="23" t="n"/>
      <c r="AC486" s="23" t="n"/>
      <c r="AD486" s="23" t="n"/>
      <c r="AE486" s="9" t="n"/>
      <c r="AF486" s="9" t="n"/>
      <c r="AG486" s="9" t="n"/>
      <c r="AH486" s="24" t="n"/>
      <c r="AI486" s="23" t="n"/>
      <c r="AJ486" s="24" t="n"/>
      <c r="AK486" s="23" t="n"/>
      <c r="AL486" s="24" t="n"/>
      <c r="AM486" s="23" t="n"/>
      <c r="AN486" s="28">
        <f>IF($D486="","",COUNTIFS(Stangenbelegung!$E$5:$E$10004,ROW()))</f>
        <v/>
      </c>
      <c r="AO486" s="28">
        <f>IF(OR($G486="",COUNTA(Stangenbelegung!$A$5:$A$10004)=0),"",$G486-AN486)</f>
        <v/>
      </c>
      <c r="AP486" s="29" t="n"/>
      <c r="AQ486" s="9" t="n"/>
      <c r="AR486" s="19" t="n"/>
    </row>
    <row r="487">
      <c r="A487" s="9" t="n"/>
      <c r="B487" s="9" t="n"/>
      <c r="C487" s="9" t="n"/>
      <c r="D487" s="9" t="n"/>
      <c r="E487" s="9" t="n"/>
      <c r="F487" s="23" t="n"/>
      <c r="G487" s="19" t="n"/>
      <c r="H487" s="23" t="n"/>
      <c r="I487" s="24" t="n"/>
      <c r="J487" s="19" t="n"/>
      <c r="K487" s="25">
        <f>IF($D487="","",IFERROR(INDEX(Profile!$B$5:$B$304,MATCH($D487,lst_Profil,0)),""))</f>
        <v/>
      </c>
      <c r="L487" s="13">
        <f>IF($D487="","",IFERROR(INDEX(Profile!$K$5:$K$304,MATCH($D487,lst_Profil,0))+0,""))</f>
        <v/>
      </c>
      <c r="M487" s="26">
        <f>IF($D487="","",IFERROR(INDEX(Profile!$E$5:$E$304,MATCH($D487,lst_Profil,0))+0,""))</f>
        <v/>
      </c>
      <c r="N487" s="27">
        <f>IF(OR(L487="",$E487=""),"",IFERROR(L487*INDEX(Werkstoffe!$E$5:$E$304,MATCH($E487,lst_Werkstoff,0))/1000,""))</f>
        <v/>
      </c>
      <c r="O487" s="27">
        <f>IF(OR(N487="",$F487=""),"",N487*$F487/1000)</f>
        <v/>
      </c>
      <c r="P487" s="16">
        <f>IF(OR($F487="",$G487=""),"",$F487*$G487)</f>
        <v/>
      </c>
      <c r="Q487" s="16">
        <f>IF($D487="","",IF($J487&lt;&gt;"",$J487,$C$9))</f>
        <v/>
      </c>
      <c r="R487" s="12">
        <f>IF($D487="","",IFERROR(IF(INDEX(Profile!$G$5:$G$304,MATCH($D487,lst_Profil,0))&lt;&gt;"",INDEX(Profile!$G$5:$G$304,MATCH($D487,lst_Profil,0)),$H$4),$H$4))</f>
        <v/>
      </c>
      <c r="S487" s="12">
        <f>IF($D487="","",IFERROR(IF(INDEX(Profile!$H$5:$H$304,MATCH($D487,lst_Profil,0))&lt;&gt;"",INDEX(Profile!$H$5:$H$304,MATCH($D487,lst_Profil,0)),$H$5),$H$5))</f>
        <v/>
      </c>
      <c r="T487" s="16">
        <f>IF(OR(Q487="",NOT(ISNUMBER(R487)),NOT(ISNUMBER(S487))),"",Q487-R487-S487)</f>
        <v/>
      </c>
      <c r="U487" s="28">
        <f>IF(OR($D487="",$E487=""),"",IF(OR(N($AP487)&gt;0,COUNTIFS(Preise!$A$5:$A$304,$D487,Preise!$B$5:$B$304,$E487,Preise!$I$5:$I$304,"OK")&gt;0,N(INDEX(Werkstoffe!$G$5:$G$304,MATCH($E487,lst_Werkstoff,0)))&gt;0),"ja","nein"))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28">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Materialpreis",IF(AND($AQ487&lt;&gt;"",N($AR487)&gt;0,MOD($G487,$AR487)&lt;&gt;0),"WARNUNG: Stückzahl ist kein Vielfaches von Stück je Satz",IF($H487="","HINWEIS: Schneidweg fehlt",IF(V487="","HINWEIS: keine Schneiddaten",IF(AND($AF487&lt;&gt;"",$AG487=""),"HINWEIS: Gewinde-Vorschlag prüfen","OK")))))))))))))))</f>
        <v/>
      </c>
      <c r="X487" s="18">
        <f>IF(OR(O487="",$G487=""),"",O487*$G487)</f>
        <v/>
      </c>
      <c r="Y487" s="9" t="n"/>
      <c r="Z487" s="23" t="n"/>
      <c r="AA487" s="9" t="n"/>
      <c r="AB487" s="23" t="n"/>
      <c r="AC487" s="23" t="n"/>
      <c r="AD487" s="23" t="n"/>
      <c r="AE487" s="9" t="n"/>
      <c r="AF487" s="9" t="n"/>
      <c r="AG487" s="9" t="n"/>
      <c r="AH487" s="24" t="n"/>
      <c r="AI487" s="23" t="n"/>
      <c r="AJ487" s="24" t="n"/>
      <c r="AK487" s="23" t="n"/>
      <c r="AL487" s="24" t="n"/>
      <c r="AM487" s="23" t="n"/>
      <c r="AN487" s="28">
        <f>IF($D487="","",COUNTIFS(Stangenbelegung!$E$5:$E$10004,ROW()))</f>
        <v/>
      </c>
      <c r="AO487" s="28">
        <f>IF(OR($G487="",COUNTA(Stangenbelegung!$A$5:$A$10004)=0),"",$G487-AN487)</f>
        <v/>
      </c>
      <c r="AP487" s="29" t="n"/>
      <c r="AQ487" s="9" t="n"/>
      <c r="AR487" s="19" t="n"/>
    </row>
    <row r="488">
      <c r="A488" s="9" t="n"/>
      <c r="B488" s="9" t="n"/>
      <c r="C488" s="9" t="n"/>
      <c r="D488" s="9" t="n"/>
      <c r="E488" s="9" t="n"/>
      <c r="F488" s="23" t="n"/>
      <c r="G488" s="19" t="n"/>
      <c r="H488" s="23" t="n"/>
      <c r="I488" s="24" t="n"/>
      <c r="J488" s="19" t="n"/>
      <c r="K488" s="25">
        <f>IF($D488="","",IFERROR(INDEX(Profile!$B$5:$B$304,MATCH($D488,lst_Profil,0)),""))</f>
        <v/>
      </c>
      <c r="L488" s="13">
        <f>IF($D488="","",IFERROR(INDEX(Profile!$K$5:$K$304,MATCH($D488,lst_Profil,0))+0,""))</f>
        <v/>
      </c>
      <c r="M488" s="26">
        <f>IF($D488="","",IFERROR(INDEX(Profile!$E$5:$E$304,MATCH($D488,lst_Profil,0))+0,""))</f>
        <v/>
      </c>
      <c r="N488" s="27">
        <f>IF(OR(L488="",$E488=""),"",IFERROR(L488*INDEX(Werkstoffe!$E$5:$E$304,MATCH($E488,lst_Werkstoff,0))/1000,""))</f>
        <v/>
      </c>
      <c r="O488" s="27">
        <f>IF(OR(N488="",$F488=""),"",N488*$F488/1000)</f>
        <v/>
      </c>
      <c r="P488" s="16">
        <f>IF(OR($F488="",$G488=""),"",$F488*$G488)</f>
        <v/>
      </c>
      <c r="Q488" s="16">
        <f>IF($D488="","",IF($J488&lt;&gt;"",$J488,$C$9))</f>
        <v/>
      </c>
      <c r="R488" s="12">
        <f>IF($D488="","",IFERROR(IF(INDEX(Profile!$G$5:$G$304,MATCH($D488,lst_Profil,0))&lt;&gt;"",INDEX(Profile!$G$5:$G$304,MATCH($D488,lst_Profil,0)),$H$4),$H$4))</f>
        <v/>
      </c>
      <c r="S488" s="12">
        <f>IF($D488="","",IFERROR(IF(INDEX(Profile!$H$5:$H$304,MATCH($D488,lst_Profil,0))&lt;&gt;"",INDEX(Profile!$H$5:$H$304,MATCH($D488,lst_Profil,0)),$H$5),$H$5))</f>
        <v/>
      </c>
      <c r="T488" s="16">
        <f>IF(OR(Q488="",NOT(ISNUMBER(R488)),NOT(ISNUMBER(S488))),"",Q488-R488-S488)</f>
        <v/>
      </c>
      <c r="U488" s="28">
        <f>IF(OR($D488="",$E488=""),"",IF(OR(N($AP488)&gt;0,COUNTIFS(Preise!$A$5:$A$304,$D488,Preise!$B$5:$B$304,$E488,Preise!$I$5:$I$304,"OK")&gt;0,N(INDEX(Werkstoffe!$G$5:$G$304,MATCH($E488,lst_Werkstoff,0)))&gt;0),"ja","nein"))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28">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Materialpreis",IF(AND($AQ488&lt;&gt;"",N($AR488)&gt;0,MOD($G488,$AR488)&lt;&gt;0),"WARNUNG: Stückzahl ist kein Vielfaches von Stück je Satz",IF($H488="","HINWEIS: Schneidweg fehlt",IF(V488="","HINWEIS: keine Schneiddaten",IF(AND($AF488&lt;&gt;"",$AG488=""),"HINWEIS: Gewinde-Vorschlag prüfen","OK")))))))))))))))</f>
        <v/>
      </c>
      <c r="X488" s="18">
        <f>IF(OR(O488="",$G488=""),"",O488*$G488)</f>
        <v/>
      </c>
      <c r="Y488" s="9" t="n"/>
      <c r="Z488" s="23" t="n"/>
      <c r="AA488" s="9" t="n"/>
      <c r="AB488" s="23" t="n"/>
      <c r="AC488" s="23" t="n"/>
      <c r="AD488" s="23" t="n"/>
      <c r="AE488" s="9" t="n"/>
      <c r="AF488" s="9" t="n"/>
      <c r="AG488" s="9" t="n"/>
      <c r="AH488" s="24" t="n"/>
      <c r="AI488" s="23" t="n"/>
      <c r="AJ488" s="24" t="n"/>
      <c r="AK488" s="23" t="n"/>
      <c r="AL488" s="24" t="n"/>
      <c r="AM488" s="23" t="n"/>
      <c r="AN488" s="28">
        <f>IF($D488="","",COUNTIFS(Stangenbelegung!$E$5:$E$10004,ROW()))</f>
        <v/>
      </c>
      <c r="AO488" s="28">
        <f>IF(OR($G488="",COUNTA(Stangenbelegung!$A$5:$A$10004)=0),"",$G488-AN488)</f>
        <v/>
      </c>
      <c r="AP488" s="29" t="n"/>
      <c r="AQ488" s="9" t="n"/>
      <c r="AR488" s="19" t="n"/>
    </row>
    <row r="489">
      <c r="A489" s="9" t="n"/>
      <c r="B489" s="9" t="n"/>
      <c r="C489" s="9" t="n"/>
      <c r="D489" s="9" t="n"/>
      <c r="E489" s="9" t="n"/>
      <c r="F489" s="23" t="n"/>
      <c r="G489" s="19" t="n"/>
      <c r="H489" s="23" t="n"/>
      <c r="I489" s="24" t="n"/>
      <c r="J489" s="19" t="n"/>
      <c r="K489" s="25">
        <f>IF($D489="","",IFERROR(INDEX(Profile!$B$5:$B$304,MATCH($D489,lst_Profil,0)),""))</f>
        <v/>
      </c>
      <c r="L489" s="13">
        <f>IF($D489="","",IFERROR(INDEX(Profile!$K$5:$K$304,MATCH($D489,lst_Profil,0))+0,""))</f>
        <v/>
      </c>
      <c r="M489" s="26">
        <f>IF($D489="","",IFERROR(INDEX(Profile!$E$5:$E$304,MATCH($D489,lst_Profil,0))+0,""))</f>
        <v/>
      </c>
      <c r="N489" s="27">
        <f>IF(OR(L489="",$E489=""),"",IFERROR(L489*INDEX(Werkstoffe!$E$5:$E$304,MATCH($E489,lst_Werkstoff,0))/1000,""))</f>
        <v/>
      </c>
      <c r="O489" s="27">
        <f>IF(OR(N489="",$F489=""),"",N489*$F489/1000)</f>
        <v/>
      </c>
      <c r="P489" s="16">
        <f>IF(OR($F489="",$G489=""),"",$F489*$G489)</f>
        <v/>
      </c>
      <c r="Q489" s="16">
        <f>IF($D489="","",IF($J489&lt;&gt;"",$J489,$C$9))</f>
        <v/>
      </c>
      <c r="R489" s="12">
        <f>IF($D489="","",IFERROR(IF(INDEX(Profile!$G$5:$G$304,MATCH($D489,lst_Profil,0))&lt;&gt;"",INDEX(Profile!$G$5:$G$304,MATCH($D489,lst_Profil,0)),$H$4),$H$4))</f>
        <v/>
      </c>
      <c r="S489" s="12">
        <f>IF($D489="","",IFERROR(IF(INDEX(Profile!$H$5:$H$304,MATCH($D489,lst_Profil,0))&lt;&gt;"",INDEX(Profile!$H$5:$H$304,MATCH($D489,lst_Profil,0)),$H$5),$H$5))</f>
        <v/>
      </c>
      <c r="T489" s="16">
        <f>IF(OR(Q489="",NOT(ISNUMBER(R489)),NOT(ISNUMBER(S489))),"",Q489-R489-S489)</f>
        <v/>
      </c>
      <c r="U489" s="28">
        <f>IF(OR($D489="",$E489=""),"",IF(OR(N($AP489)&gt;0,COUNTIFS(Preise!$A$5:$A$304,$D489,Preise!$B$5:$B$304,$E489,Preise!$I$5:$I$304,"OK")&gt;0,N(INDEX(Werkstoffe!$G$5:$G$304,MATCH($E489,lst_Werkstoff,0)))&gt;0),"ja","nein"))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28">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Materialpreis",IF(AND($AQ489&lt;&gt;"",N($AR489)&gt;0,MOD($G489,$AR489)&lt;&gt;0),"WARNUNG: Stückzahl ist kein Vielfaches von Stück je Satz",IF($H489="","HINWEIS: Schneidweg fehlt",IF(V489="","HINWEIS: keine Schneiddaten",IF(AND($AF489&lt;&gt;"",$AG489=""),"HINWEIS: Gewinde-Vorschlag prüfen","OK")))))))))))))))</f>
        <v/>
      </c>
      <c r="X489" s="18">
        <f>IF(OR(O489="",$G489=""),"",O489*$G489)</f>
        <v/>
      </c>
      <c r="Y489" s="9" t="n"/>
      <c r="Z489" s="23" t="n"/>
      <c r="AA489" s="9" t="n"/>
      <c r="AB489" s="23" t="n"/>
      <c r="AC489" s="23" t="n"/>
      <c r="AD489" s="23" t="n"/>
      <c r="AE489" s="9" t="n"/>
      <c r="AF489" s="9" t="n"/>
      <c r="AG489" s="9" t="n"/>
      <c r="AH489" s="24" t="n"/>
      <c r="AI489" s="23" t="n"/>
      <c r="AJ489" s="24" t="n"/>
      <c r="AK489" s="23" t="n"/>
      <c r="AL489" s="24" t="n"/>
      <c r="AM489" s="23" t="n"/>
      <c r="AN489" s="28">
        <f>IF($D489="","",COUNTIFS(Stangenbelegung!$E$5:$E$10004,ROW()))</f>
        <v/>
      </c>
      <c r="AO489" s="28">
        <f>IF(OR($G489="",COUNTA(Stangenbelegung!$A$5:$A$10004)=0),"",$G489-AN489)</f>
        <v/>
      </c>
      <c r="AP489" s="29" t="n"/>
      <c r="AQ489" s="9" t="n"/>
      <c r="AR489" s="19" t="n"/>
    </row>
    <row r="490">
      <c r="A490" s="9" t="n"/>
      <c r="B490" s="9" t="n"/>
      <c r="C490" s="9" t="n"/>
      <c r="D490" s="9" t="n"/>
      <c r="E490" s="9" t="n"/>
      <c r="F490" s="23" t="n"/>
      <c r="G490" s="19" t="n"/>
      <c r="H490" s="23" t="n"/>
      <c r="I490" s="24" t="n"/>
      <c r="J490" s="19" t="n"/>
      <c r="K490" s="25">
        <f>IF($D490="","",IFERROR(INDEX(Profile!$B$5:$B$304,MATCH($D490,lst_Profil,0)),""))</f>
        <v/>
      </c>
      <c r="L490" s="13">
        <f>IF($D490="","",IFERROR(INDEX(Profile!$K$5:$K$304,MATCH($D490,lst_Profil,0))+0,""))</f>
        <v/>
      </c>
      <c r="M490" s="26">
        <f>IF($D490="","",IFERROR(INDEX(Profile!$E$5:$E$304,MATCH($D490,lst_Profil,0))+0,""))</f>
        <v/>
      </c>
      <c r="N490" s="27">
        <f>IF(OR(L490="",$E490=""),"",IFERROR(L490*INDEX(Werkstoffe!$E$5:$E$304,MATCH($E490,lst_Werkstoff,0))/1000,""))</f>
        <v/>
      </c>
      <c r="O490" s="27">
        <f>IF(OR(N490="",$F490=""),"",N490*$F490/1000)</f>
        <v/>
      </c>
      <c r="P490" s="16">
        <f>IF(OR($F490="",$G490=""),"",$F490*$G490)</f>
        <v/>
      </c>
      <c r="Q490" s="16">
        <f>IF($D490="","",IF($J490&lt;&gt;"",$J490,$C$9))</f>
        <v/>
      </c>
      <c r="R490" s="12">
        <f>IF($D490="","",IFERROR(IF(INDEX(Profile!$G$5:$G$304,MATCH($D490,lst_Profil,0))&lt;&gt;"",INDEX(Profile!$G$5:$G$304,MATCH($D490,lst_Profil,0)),$H$4),$H$4))</f>
        <v/>
      </c>
      <c r="S490" s="12">
        <f>IF($D490="","",IFERROR(IF(INDEX(Profile!$H$5:$H$304,MATCH($D490,lst_Profil,0))&lt;&gt;"",INDEX(Profile!$H$5:$H$304,MATCH($D490,lst_Profil,0)),$H$5),$H$5))</f>
        <v/>
      </c>
      <c r="T490" s="16">
        <f>IF(OR(Q490="",NOT(ISNUMBER(R490)),NOT(ISNUMBER(S490))),"",Q490-R490-S490)</f>
        <v/>
      </c>
      <c r="U490" s="28">
        <f>IF(OR($D490="",$E490=""),"",IF(OR(N($AP490)&gt;0,COUNTIFS(Preise!$A$5:$A$304,$D490,Preise!$B$5:$B$304,$E490,Preise!$I$5:$I$304,"OK")&gt;0,N(INDEX(Werkstoffe!$G$5:$G$304,MATCH($E490,lst_Werkstoff,0)))&gt;0),"ja","nein"))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28">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Materialpreis",IF(AND($AQ490&lt;&gt;"",N($AR490)&gt;0,MOD($G490,$AR490)&lt;&gt;0),"WARNUNG: Stückzahl ist kein Vielfaches von Stück je Satz",IF($H490="","HINWEIS: Schneidweg fehlt",IF(V490="","HINWEIS: keine Schneiddaten",IF(AND($AF490&lt;&gt;"",$AG490=""),"HINWEIS: Gewinde-Vorschlag prüfen","OK")))))))))))))))</f>
        <v/>
      </c>
      <c r="X490" s="18">
        <f>IF(OR(O490="",$G490=""),"",O490*$G490)</f>
        <v/>
      </c>
      <c r="Y490" s="9" t="n"/>
      <c r="Z490" s="23" t="n"/>
      <c r="AA490" s="9" t="n"/>
      <c r="AB490" s="23" t="n"/>
      <c r="AC490" s="23" t="n"/>
      <c r="AD490" s="23" t="n"/>
      <c r="AE490" s="9" t="n"/>
      <c r="AF490" s="9" t="n"/>
      <c r="AG490" s="9" t="n"/>
      <c r="AH490" s="24" t="n"/>
      <c r="AI490" s="23" t="n"/>
      <c r="AJ490" s="24" t="n"/>
      <c r="AK490" s="23" t="n"/>
      <c r="AL490" s="24" t="n"/>
      <c r="AM490" s="23" t="n"/>
      <c r="AN490" s="28">
        <f>IF($D490="","",COUNTIFS(Stangenbelegung!$E$5:$E$10004,ROW()))</f>
        <v/>
      </c>
      <c r="AO490" s="28">
        <f>IF(OR($G490="",COUNTA(Stangenbelegung!$A$5:$A$10004)=0),"",$G490-AN490)</f>
        <v/>
      </c>
      <c r="AP490" s="29" t="n"/>
      <c r="AQ490" s="9" t="n"/>
      <c r="AR490" s="19" t="n"/>
    </row>
    <row r="491">
      <c r="A491" s="9" t="n"/>
      <c r="B491" s="9" t="n"/>
      <c r="C491" s="9" t="n"/>
      <c r="D491" s="9" t="n"/>
      <c r="E491" s="9" t="n"/>
      <c r="F491" s="23" t="n"/>
      <c r="G491" s="19" t="n"/>
      <c r="H491" s="23" t="n"/>
      <c r="I491" s="24" t="n"/>
      <c r="J491" s="19" t="n"/>
      <c r="K491" s="25">
        <f>IF($D491="","",IFERROR(INDEX(Profile!$B$5:$B$304,MATCH($D491,lst_Profil,0)),""))</f>
        <v/>
      </c>
      <c r="L491" s="13">
        <f>IF($D491="","",IFERROR(INDEX(Profile!$K$5:$K$304,MATCH($D491,lst_Profil,0))+0,""))</f>
        <v/>
      </c>
      <c r="M491" s="26">
        <f>IF($D491="","",IFERROR(INDEX(Profile!$E$5:$E$304,MATCH($D491,lst_Profil,0))+0,""))</f>
        <v/>
      </c>
      <c r="N491" s="27">
        <f>IF(OR(L491="",$E491=""),"",IFERROR(L491*INDEX(Werkstoffe!$E$5:$E$304,MATCH($E491,lst_Werkstoff,0))/1000,""))</f>
        <v/>
      </c>
      <c r="O491" s="27">
        <f>IF(OR(N491="",$F491=""),"",N491*$F491/1000)</f>
        <v/>
      </c>
      <c r="P491" s="16">
        <f>IF(OR($F491="",$G491=""),"",$F491*$G491)</f>
        <v/>
      </c>
      <c r="Q491" s="16">
        <f>IF($D491="","",IF($J491&lt;&gt;"",$J491,$C$9))</f>
        <v/>
      </c>
      <c r="R491" s="12">
        <f>IF($D491="","",IFERROR(IF(INDEX(Profile!$G$5:$G$304,MATCH($D491,lst_Profil,0))&lt;&gt;"",INDEX(Profile!$G$5:$G$304,MATCH($D491,lst_Profil,0)),$H$4),$H$4))</f>
        <v/>
      </c>
      <c r="S491" s="12">
        <f>IF($D491="","",IFERROR(IF(INDEX(Profile!$H$5:$H$304,MATCH($D491,lst_Profil,0))&lt;&gt;"",INDEX(Profile!$H$5:$H$304,MATCH($D491,lst_Profil,0)),$H$5),$H$5))</f>
        <v/>
      </c>
      <c r="T491" s="16">
        <f>IF(OR(Q491="",NOT(ISNUMBER(R491)),NOT(ISNUMBER(S491))),"",Q491-R491-S491)</f>
        <v/>
      </c>
      <c r="U491" s="28">
        <f>IF(OR($D491="",$E491=""),"",IF(OR(N($AP491)&gt;0,COUNTIFS(Preise!$A$5:$A$304,$D491,Preise!$B$5:$B$304,$E491,Preise!$I$5:$I$304,"OK")&gt;0,N(INDEX(Werkstoffe!$G$5:$G$304,MATCH($E491,lst_Werkstoff,0)))&gt;0),"ja","nein"))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28">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Materialpreis",IF(AND($AQ491&lt;&gt;"",N($AR491)&gt;0,MOD($G491,$AR491)&lt;&gt;0),"WARNUNG: Stückzahl ist kein Vielfaches von Stück je Satz",IF($H491="","HINWEIS: Schneidweg fehlt",IF(V491="","HINWEIS: keine Schneiddaten",IF(AND($AF491&lt;&gt;"",$AG491=""),"HINWEIS: Gewinde-Vorschlag prüfen","OK")))))))))))))))</f>
        <v/>
      </c>
      <c r="X491" s="18">
        <f>IF(OR(O491="",$G491=""),"",O491*$G491)</f>
        <v/>
      </c>
      <c r="Y491" s="9" t="n"/>
      <c r="Z491" s="23" t="n"/>
      <c r="AA491" s="9" t="n"/>
      <c r="AB491" s="23" t="n"/>
      <c r="AC491" s="23" t="n"/>
      <c r="AD491" s="23" t="n"/>
      <c r="AE491" s="9" t="n"/>
      <c r="AF491" s="9" t="n"/>
      <c r="AG491" s="9" t="n"/>
      <c r="AH491" s="24" t="n"/>
      <c r="AI491" s="23" t="n"/>
      <c r="AJ491" s="24" t="n"/>
      <c r="AK491" s="23" t="n"/>
      <c r="AL491" s="24" t="n"/>
      <c r="AM491" s="23" t="n"/>
      <c r="AN491" s="28">
        <f>IF($D491="","",COUNTIFS(Stangenbelegung!$E$5:$E$10004,ROW()))</f>
        <v/>
      </c>
      <c r="AO491" s="28">
        <f>IF(OR($G491="",COUNTA(Stangenbelegung!$A$5:$A$10004)=0),"",$G491-AN491)</f>
        <v/>
      </c>
      <c r="AP491" s="29" t="n"/>
      <c r="AQ491" s="9" t="n"/>
      <c r="AR491" s="19" t="n"/>
    </row>
    <row r="492">
      <c r="A492" s="9" t="n"/>
      <c r="B492" s="9" t="n"/>
      <c r="C492" s="9" t="n"/>
      <c r="D492" s="9" t="n"/>
      <c r="E492" s="9" t="n"/>
      <c r="F492" s="23" t="n"/>
      <c r="G492" s="19" t="n"/>
      <c r="H492" s="23" t="n"/>
      <c r="I492" s="24" t="n"/>
      <c r="J492" s="19" t="n"/>
      <c r="K492" s="25">
        <f>IF($D492="","",IFERROR(INDEX(Profile!$B$5:$B$304,MATCH($D492,lst_Profil,0)),""))</f>
        <v/>
      </c>
      <c r="L492" s="13">
        <f>IF($D492="","",IFERROR(INDEX(Profile!$K$5:$K$304,MATCH($D492,lst_Profil,0))+0,""))</f>
        <v/>
      </c>
      <c r="M492" s="26">
        <f>IF($D492="","",IFERROR(INDEX(Profile!$E$5:$E$304,MATCH($D492,lst_Profil,0))+0,""))</f>
        <v/>
      </c>
      <c r="N492" s="27">
        <f>IF(OR(L492="",$E492=""),"",IFERROR(L492*INDEX(Werkstoffe!$E$5:$E$304,MATCH($E492,lst_Werkstoff,0))/1000,""))</f>
        <v/>
      </c>
      <c r="O492" s="27">
        <f>IF(OR(N492="",$F492=""),"",N492*$F492/1000)</f>
        <v/>
      </c>
      <c r="P492" s="16">
        <f>IF(OR($F492="",$G492=""),"",$F492*$G492)</f>
        <v/>
      </c>
      <c r="Q492" s="16">
        <f>IF($D492="","",IF($J492&lt;&gt;"",$J492,$C$9))</f>
        <v/>
      </c>
      <c r="R492" s="12">
        <f>IF($D492="","",IFERROR(IF(INDEX(Profile!$G$5:$G$304,MATCH($D492,lst_Profil,0))&lt;&gt;"",INDEX(Profile!$G$5:$G$304,MATCH($D492,lst_Profil,0)),$H$4),$H$4))</f>
        <v/>
      </c>
      <c r="S492" s="12">
        <f>IF($D492="","",IFERROR(IF(INDEX(Profile!$H$5:$H$304,MATCH($D492,lst_Profil,0))&lt;&gt;"",INDEX(Profile!$H$5:$H$304,MATCH($D492,lst_Profil,0)),$H$5),$H$5))</f>
        <v/>
      </c>
      <c r="T492" s="16">
        <f>IF(OR(Q492="",NOT(ISNUMBER(R492)),NOT(ISNUMBER(S492))),"",Q492-R492-S492)</f>
        <v/>
      </c>
      <c r="U492" s="28">
        <f>IF(OR($D492="",$E492=""),"",IF(OR(N($AP492)&gt;0,COUNTIFS(Preise!$A$5:$A$304,$D492,Preise!$B$5:$B$304,$E492,Preise!$I$5:$I$304,"OK")&gt;0,N(INDEX(Werkstoffe!$G$5:$G$304,MATCH($E492,lst_Werkstoff,0)))&gt;0),"ja","nein"))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28">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Materialpreis",IF(AND($AQ492&lt;&gt;"",N($AR492)&gt;0,MOD($G492,$AR492)&lt;&gt;0),"WARNUNG: Stückzahl ist kein Vielfaches von Stück je Satz",IF($H492="","HINWEIS: Schneidweg fehlt",IF(V492="","HINWEIS: keine Schneiddaten",IF(AND($AF492&lt;&gt;"",$AG492=""),"HINWEIS: Gewinde-Vorschlag prüfen","OK")))))))))))))))</f>
        <v/>
      </c>
      <c r="X492" s="18">
        <f>IF(OR(O492="",$G492=""),"",O492*$G492)</f>
        <v/>
      </c>
      <c r="Y492" s="9" t="n"/>
      <c r="Z492" s="23" t="n"/>
      <c r="AA492" s="9" t="n"/>
      <c r="AB492" s="23" t="n"/>
      <c r="AC492" s="23" t="n"/>
      <c r="AD492" s="23" t="n"/>
      <c r="AE492" s="9" t="n"/>
      <c r="AF492" s="9" t="n"/>
      <c r="AG492" s="9" t="n"/>
      <c r="AH492" s="24" t="n"/>
      <c r="AI492" s="23" t="n"/>
      <c r="AJ492" s="24" t="n"/>
      <c r="AK492" s="23" t="n"/>
      <c r="AL492" s="24" t="n"/>
      <c r="AM492" s="23" t="n"/>
      <c r="AN492" s="28">
        <f>IF($D492="","",COUNTIFS(Stangenbelegung!$E$5:$E$10004,ROW()))</f>
        <v/>
      </c>
      <c r="AO492" s="28">
        <f>IF(OR($G492="",COUNTA(Stangenbelegung!$A$5:$A$10004)=0),"",$G492-AN492)</f>
        <v/>
      </c>
      <c r="AP492" s="29" t="n"/>
      <c r="AQ492" s="9" t="n"/>
      <c r="AR492" s="19" t="n"/>
    </row>
    <row r="493">
      <c r="A493" s="9" t="n"/>
      <c r="B493" s="9" t="n"/>
      <c r="C493" s="9" t="n"/>
      <c r="D493" s="9" t="n"/>
      <c r="E493" s="9" t="n"/>
      <c r="F493" s="23" t="n"/>
      <c r="G493" s="19" t="n"/>
      <c r="H493" s="23" t="n"/>
      <c r="I493" s="24" t="n"/>
      <c r="J493" s="19" t="n"/>
      <c r="K493" s="25">
        <f>IF($D493="","",IFERROR(INDEX(Profile!$B$5:$B$304,MATCH($D493,lst_Profil,0)),""))</f>
        <v/>
      </c>
      <c r="L493" s="13">
        <f>IF($D493="","",IFERROR(INDEX(Profile!$K$5:$K$304,MATCH($D493,lst_Profil,0))+0,""))</f>
        <v/>
      </c>
      <c r="M493" s="26">
        <f>IF($D493="","",IFERROR(INDEX(Profile!$E$5:$E$304,MATCH($D493,lst_Profil,0))+0,""))</f>
        <v/>
      </c>
      <c r="N493" s="27">
        <f>IF(OR(L493="",$E493=""),"",IFERROR(L493*INDEX(Werkstoffe!$E$5:$E$304,MATCH($E493,lst_Werkstoff,0))/1000,""))</f>
        <v/>
      </c>
      <c r="O493" s="27">
        <f>IF(OR(N493="",$F493=""),"",N493*$F493/1000)</f>
        <v/>
      </c>
      <c r="P493" s="16">
        <f>IF(OR($F493="",$G493=""),"",$F493*$G493)</f>
        <v/>
      </c>
      <c r="Q493" s="16">
        <f>IF($D493="","",IF($J493&lt;&gt;"",$J493,$C$9))</f>
        <v/>
      </c>
      <c r="R493" s="12">
        <f>IF($D493="","",IFERROR(IF(INDEX(Profile!$G$5:$G$304,MATCH($D493,lst_Profil,0))&lt;&gt;"",INDEX(Profile!$G$5:$G$304,MATCH($D493,lst_Profil,0)),$H$4),$H$4))</f>
        <v/>
      </c>
      <c r="S493" s="12">
        <f>IF($D493="","",IFERROR(IF(INDEX(Profile!$H$5:$H$304,MATCH($D493,lst_Profil,0))&lt;&gt;"",INDEX(Profile!$H$5:$H$304,MATCH($D493,lst_Profil,0)),$H$5),$H$5))</f>
        <v/>
      </c>
      <c r="T493" s="16">
        <f>IF(OR(Q493="",NOT(ISNUMBER(R493)),NOT(ISNUMBER(S493))),"",Q493-R493-S493)</f>
        <v/>
      </c>
      <c r="U493" s="28">
        <f>IF(OR($D493="",$E493=""),"",IF(OR(N($AP493)&gt;0,COUNTIFS(Preise!$A$5:$A$304,$D493,Preise!$B$5:$B$304,$E493,Preise!$I$5:$I$304,"OK")&gt;0,N(INDEX(Werkstoffe!$G$5:$G$304,MATCH($E493,lst_Werkstoff,0)))&gt;0),"ja","nein"))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28">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Materialpreis",IF(AND($AQ493&lt;&gt;"",N($AR493)&gt;0,MOD($G493,$AR493)&lt;&gt;0),"WARNUNG: Stückzahl ist kein Vielfaches von Stück je Satz",IF($H493="","HINWEIS: Schneidweg fehlt",IF(V493="","HINWEIS: keine Schneiddaten",IF(AND($AF493&lt;&gt;"",$AG493=""),"HINWEIS: Gewinde-Vorschlag prüfen","OK")))))))))))))))</f>
        <v/>
      </c>
      <c r="X493" s="18">
        <f>IF(OR(O493="",$G493=""),"",O493*$G493)</f>
        <v/>
      </c>
      <c r="Y493" s="9" t="n"/>
      <c r="Z493" s="23" t="n"/>
      <c r="AA493" s="9" t="n"/>
      <c r="AB493" s="23" t="n"/>
      <c r="AC493" s="23" t="n"/>
      <c r="AD493" s="23" t="n"/>
      <c r="AE493" s="9" t="n"/>
      <c r="AF493" s="9" t="n"/>
      <c r="AG493" s="9" t="n"/>
      <c r="AH493" s="24" t="n"/>
      <c r="AI493" s="23" t="n"/>
      <c r="AJ493" s="24" t="n"/>
      <c r="AK493" s="23" t="n"/>
      <c r="AL493" s="24" t="n"/>
      <c r="AM493" s="23" t="n"/>
      <c r="AN493" s="28">
        <f>IF($D493="","",COUNTIFS(Stangenbelegung!$E$5:$E$10004,ROW()))</f>
        <v/>
      </c>
      <c r="AO493" s="28">
        <f>IF(OR($G493="",COUNTA(Stangenbelegung!$A$5:$A$10004)=0),"",$G493-AN493)</f>
        <v/>
      </c>
      <c r="AP493" s="29" t="n"/>
      <c r="AQ493" s="9" t="n"/>
      <c r="AR493" s="19" t="n"/>
    </row>
    <row r="494">
      <c r="A494" s="9" t="n"/>
      <c r="B494" s="9" t="n"/>
      <c r="C494" s="9" t="n"/>
      <c r="D494" s="9" t="n"/>
      <c r="E494" s="9" t="n"/>
      <c r="F494" s="23" t="n"/>
      <c r="G494" s="19" t="n"/>
      <c r="H494" s="23" t="n"/>
      <c r="I494" s="24" t="n"/>
      <c r="J494" s="19" t="n"/>
      <c r="K494" s="25">
        <f>IF($D494="","",IFERROR(INDEX(Profile!$B$5:$B$304,MATCH($D494,lst_Profil,0)),""))</f>
        <v/>
      </c>
      <c r="L494" s="13">
        <f>IF($D494="","",IFERROR(INDEX(Profile!$K$5:$K$304,MATCH($D494,lst_Profil,0))+0,""))</f>
        <v/>
      </c>
      <c r="M494" s="26">
        <f>IF($D494="","",IFERROR(INDEX(Profile!$E$5:$E$304,MATCH($D494,lst_Profil,0))+0,""))</f>
        <v/>
      </c>
      <c r="N494" s="27">
        <f>IF(OR(L494="",$E494=""),"",IFERROR(L494*INDEX(Werkstoffe!$E$5:$E$304,MATCH($E494,lst_Werkstoff,0))/1000,""))</f>
        <v/>
      </c>
      <c r="O494" s="27">
        <f>IF(OR(N494="",$F494=""),"",N494*$F494/1000)</f>
        <v/>
      </c>
      <c r="P494" s="16">
        <f>IF(OR($F494="",$G494=""),"",$F494*$G494)</f>
        <v/>
      </c>
      <c r="Q494" s="16">
        <f>IF($D494="","",IF($J494&lt;&gt;"",$J494,$C$9))</f>
        <v/>
      </c>
      <c r="R494" s="12">
        <f>IF($D494="","",IFERROR(IF(INDEX(Profile!$G$5:$G$304,MATCH($D494,lst_Profil,0))&lt;&gt;"",INDEX(Profile!$G$5:$G$304,MATCH($D494,lst_Profil,0)),$H$4),$H$4))</f>
        <v/>
      </c>
      <c r="S494" s="12">
        <f>IF($D494="","",IFERROR(IF(INDEX(Profile!$H$5:$H$304,MATCH($D494,lst_Profil,0))&lt;&gt;"",INDEX(Profile!$H$5:$H$304,MATCH($D494,lst_Profil,0)),$H$5),$H$5))</f>
        <v/>
      </c>
      <c r="T494" s="16">
        <f>IF(OR(Q494="",NOT(ISNUMBER(R494)),NOT(ISNUMBER(S494))),"",Q494-R494-S494)</f>
        <v/>
      </c>
      <c r="U494" s="28">
        <f>IF(OR($D494="",$E494=""),"",IF(OR(N($AP494)&gt;0,COUNTIFS(Preise!$A$5:$A$304,$D494,Preise!$B$5:$B$304,$E494,Preise!$I$5:$I$304,"OK")&gt;0,N(INDEX(Werkstoffe!$G$5:$G$304,MATCH($E494,lst_Werkstoff,0)))&gt;0),"ja","nein"))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28">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Materialpreis",IF(AND($AQ494&lt;&gt;"",N($AR494)&gt;0,MOD($G494,$AR494)&lt;&gt;0),"WARNUNG: Stückzahl ist kein Vielfaches von Stück je Satz",IF($H494="","HINWEIS: Schneidweg fehlt",IF(V494="","HINWEIS: keine Schneiddaten",IF(AND($AF494&lt;&gt;"",$AG494=""),"HINWEIS: Gewinde-Vorschlag prüfen","OK")))))))))))))))</f>
        <v/>
      </c>
      <c r="X494" s="18">
        <f>IF(OR(O494="",$G494=""),"",O494*$G494)</f>
        <v/>
      </c>
      <c r="Y494" s="9" t="n"/>
      <c r="Z494" s="23" t="n"/>
      <c r="AA494" s="9" t="n"/>
      <c r="AB494" s="23" t="n"/>
      <c r="AC494" s="23" t="n"/>
      <c r="AD494" s="23" t="n"/>
      <c r="AE494" s="9" t="n"/>
      <c r="AF494" s="9" t="n"/>
      <c r="AG494" s="9" t="n"/>
      <c r="AH494" s="24" t="n"/>
      <c r="AI494" s="23" t="n"/>
      <c r="AJ494" s="24" t="n"/>
      <c r="AK494" s="23" t="n"/>
      <c r="AL494" s="24" t="n"/>
      <c r="AM494" s="23" t="n"/>
      <c r="AN494" s="28">
        <f>IF($D494="","",COUNTIFS(Stangenbelegung!$E$5:$E$10004,ROW()))</f>
        <v/>
      </c>
      <c r="AO494" s="28">
        <f>IF(OR($G494="",COUNTA(Stangenbelegung!$A$5:$A$10004)=0),"",$G494-AN494)</f>
        <v/>
      </c>
      <c r="AP494" s="29" t="n"/>
      <c r="AQ494" s="9" t="n"/>
      <c r="AR494" s="19" t="n"/>
    </row>
    <row r="495">
      <c r="A495" s="9" t="n"/>
      <c r="B495" s="9" t="n"/>
      <c r="C495" s="9" t="n"/>
      <c r="D495" s="9" t="n"/>
      <c r="E495" s="9" t="n"/>
      <c r="F495" s="23" t="n"/>
      <c r="G495" s="19" t="n"/>
      <c r="H495" s="23" t="n"/>
      <c r="I495" s="24" t="n"/>
      <c r="J495" s="19" t="n"/>
      <c r="K495" s="25">
        <f>IF($D495="","",IFERROR(INDEX(Profile!$B$5:$B$304,MATCH($D495,lst_Profil,0)),""))</f>
        <v/>
      </c>
      <c r="L495" s="13">
        <f>IF($D495="","",IFERROR(INDEX(Profile!$K$5:$K$304,MATCH($D495,lst_Profil,0))+0,""))</f>
        <v/>
      </c>
      <c r="M495" s="26">
        <f>IF($D495="","",IFERROR(INDEX(Profile!$E$5:$E$304,MATCH($D495,lst_Profil,0))+0,""))</f>
        <v/>
      </c>
      <c r="N495" s="27">
        <f>IF(OR(L495="",$E495=""),"",IFERROR(L495*INDEX(Werkstoffe!$E$5:$E$304,MATCH($E495,lst_Werkstoff,0))/1000,""))</f>
        <v/>
      </c>
      <c r="O495" s="27">
        <f>IF(OR(N495="",$F495=""),"",N495*$F495/1000)</f>
        <v/>
      </c>
      <c r="P495" s="16">
        <f>IF(OR($F495="",$G495=""),"",$F495*$G495)</f>
        <v/>
      </c>
      <c r="Q495" s="16">
        <f>IF($D495="","",IF($J495&lt;&gt;"",$J495,$C$9))</f>
        <v/>
      </c>
      <c r="R495" s="12">
        <f>IF($D495="","",IFERROR(IF(INDEX(Profile!$G$5:$G$304,MATCH($D495,lst_Profil,0))&lt;&gt;"",INDEX(Profile!$G$5:$G$304,MATCH($D495,lst_Profil,0)),$H$4),$H$4))</f>
        <v/>
      </c>
      <c r="S495" s="12">
        <f>IF($D495="","",IFERROR(IF(INDEX(Profile!$H$5:$H$304,MATCH($D495,lst_Profil,0))&lt;&gt;"",INDEX(Profile!$H$5:$H$304,MATCH($D495,lst_Profil,0)),$H$5),$H$5))</f>
        <v/>
      </c>
      <c r="T495" s="16">
        <f>IF(OR(Q495="",NOT(ISNUMBER(R495)),NOT(ISNUMBER(S495))),"",Q495-R495-S495)</f>
        <v/>
      </c>
      <c r="U495" s="28">
        <f>IF(OR($D495="",$E495=""),"",IF(OR(N($AP495)&gt;0,COUNTIFS(Preise!$A$5:$A$304,$D495,Preise!$B$5:$B$304,$E495,Preise!$I$5:$I$304,"OK")&gt;0,N(INDEX(Werkstoffe!$G$5:$G$304,MATCH($E495,lst_Werkstoff,0)))&gt;0),"ja","nein"))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28">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Materialpreis",IF(AND($AQ495&lt;&gt;"",N($AR495)&gt;0,MOD($G495,$AR495)&lt;&gt;0),"WARNUNG: Stückzahl ist kein Vielfaches von Stück je Satz",IF($H495="","HINWEIS: Schneidweg fehlt",IF(V495="","HINWEIS: keine Schneiddaten",IF(AND($AF495&lt;&gt;"",$AG495=""),"HINWEIS: Gewinde-Vorschlag prüfen","OK")))))))))))))))</f>
        <v/>
      </c>
      <c r="X495" s="18">
        <f>IF(OR(O495="",$G495=""),"",O495*$G495)</f>
        <v/>
      </c>
      <c r="Y495" s="9" t="n"/>
      <c r="Z495" s="23" t="n"/>
      <c r="AA495" s="9" t="n"/>
      <c r="AB495" s="23" t="n"/>
      <c r="AC495" s="23" t="n"/>
      <c r="AD495" s="23" t="n"/>
      <c r="AE495" s="9" t="n"/>
      <c r="AF495" s="9" t="n"/>
      <c r="AG495" s="9" t="n"/>
      <c r="AH495" s="24" t="n"/>
      <c r="AI495" s="23" t="n"/>
      <c r="AJ495" s="24" t="n"/>
      <c r="AK495" s="23" t="n"/>
      <c r="AL495" s="24" t="n"/>
      <c r="AM495" s="23" t="n"/>
      <c r="AN495" s="28">
        <f>IF($D495="","",COUNTIFS(Stangenbelegung!$E$5:$E$10004,ROW()))</f>
        <v/>
      </c>
      <c r="AO495" s="28">
        <f>IF(OR($G495="",COUNTA(Stangenbelegung!$A$5:$A$10004)=0),"",$G495-AN495)</f>
        <v/>
      </c>
      <c r="AP495" s="29" t="n"/>
      <c r="AQ495" s="9" t="n"/>
      <c r="AR495" s="19" t="n"/>
    </row>
    <row r="496">
      <c r="A496" s="9" t="n"/>
      <c r="B496" s="9" t="n"/>
      <c r="C496" s="9" t="n"/>
      <c r="D496" s="9" t="n"/>
      <c r="E496" s="9" t="n"/>
      <c r="F496" s="23" t="n"/>
      <c r="G496" s="19" t="n"/>
      <c r="H496" s="23" t="n"/>
      <c r="I496" s="24" t="n"/>
      <c r="J496" s="19" t="n"/>
      <c r="K496" s="25">
        <f>IF($D496="","",IFERROR(INDEX(Profile!$B$5:$B$304,MATCH($D496,lst_Profil,0)),""))</f>
        <v/>
      </c>
      <c r="L496" s="13">
        <f>IF($D496="","",IFERROR(INDEX(Profile!$K$5:$K$304,MATCH($D496,lst_Profil,0))+0,""))</f>
        <v/>
      </c>
      <c r="M496" s="26">
        <f>IF($D496="","",IFERROR(INDEX(Profile!$E$5:$E$304,MATCH($D496,lst_Profil,0))+0,""))</f>
        <v/>
      </c>
      <c r="N496" s="27">
        <f>IF(OR(L496="",$E496=""),"",IFERROR(L496*INDEX(Werkstoffe!$E$5:$E$304,MATCH($E496,lst_Werkstoff,0))/1000,""))</f>
        <v/>
      </c>
      <c r="O496" s="27">
        <f>IF(OR(N496="",$F496=""),"",N496*$F496/1000)</f>
        <v/>
      </c>
      <c r="P496" s="16">
        <f>IF(OR($F496="",$G496=""),"",$F496*$G496)</f>
        <v/>
      </c>
      <c r="Q496" s="16">
        <f>IF($D496="","",IF($J496&lt;&gt;"",$J496,$C$9))</f>
        <v/>
      </c>
      <c r="R496" s="12">
        <f>IF($D496="","",IFERROR(IF(INDEX(Profile!$G$5:$G$304,MATCH($D496,lst_Profil,0))&lt;&gt;"",INDEX(Profile!$G$5:$G$304,MATCH($D496,lst_Profil,0)),$H$4),$H$4))</f>
        <v/>
      </c>
      <c r="S496" s="12">
        <f>IF($D496="","",IFERROR(IF(INDEX(Profile!$H$5:$H$304,MATCH($D496,lst_Profil,0))&lt;&gt;"",INDEX(Profile!$H$5:$H$304,MATCH($D496,lst_Profil,0)),$H$5),$H$5))</f>
        <v/>
      </c>
      <c r="T496" s="16">
        <f>IF(OR(Q496="",NOT(ISNUMBER(R496)),NOT(ISNUMBER(S496))),"",Q496-R496-S496)</f>
        <v/>
      </c>
      <c r="U496" s="28">
        <f>IF(OR($D496="",$E496=""),"",IF(OR(N($AP496)&gt;0,COUNTIFS(Preise!$A$5:$A$304,$D496,Preise!$B$5:$B$304,$E496,Preise!$I$5:$I$304,"OK")&gt;0,N(INDEX(Werkstoffe!$G$5:$G$304,MATCH($E496,lst_Werkstoff,0)))&gt;0),"ja","nein"))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28">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Materialpreis",IF(AND($AQ496&lt;&gt;"",N($AR496)&gt;0,MOD($G496,$AR496)&lt;&gt;0),"WARNUNG: Stückzahl ist kein Vielfaches von Stück je Satz",IF($H496="","HINWEIS: Schneidweg fehlt",IF(V496="","HINWEIS: keine Schneiddaten",IF(AND($AF496&lt;&gt;"",$AG496=""),"HINWEIS: Gewinde-Vorschlag prüfen","OK")))))))))))))))</f>
        <v/>
      </c>
      <c r="X496" s="18">
        <f>IF(OR(O496="",$G496=""),"",O496*$G496)</f>
        <v/>
      </c>
      <c r="Y496" s="9" t="n"/>
      <c r="Z496" s="23" t="n"/>
      <c r="AA496" s="9" t="n"/>
      <c r="AB496" s="23" t="n"/>
      <c r="AC496" s="23" t="n"/>
      <c r="AD496" s="23" t="n"/>
      <c r="AE496" s="9" t="n"/>
      <c r="AF496" s="9" t="n"/>
      <c r="AG496" s="9" t="n"/>
      <c r="AH496" s="24" t="n"/>
      <c r="AI496" s="23" t="n"/>
      <c r="AJ496" s="24" t="n"/>
      <c r="AK496" s="23" t="n"/>
      <c r="AL496" s="24" t="n"/>
      <c r="AM496" s="23" t="n"/>
      <c r="AN496" s="28">
        <f>IF($D496="","",COUNTIFS(Stangenbelegung!$E$5:$E$10004,ROW()))</f>
        <v/>
      </c>
      <c r="AO496" s="28">
        <f>IF(OR($G496="",COUNTA(Stangenbelegung!$A$5:$A$10004)=0),"",$G496-AN496)</f>
        <v/>
      </c>
      <c r="AP496" s="29" t="n"/>
      <c r="AQ496" s="9" t="n"/>
      <c r="AR496" s="19" t="n"/>
    </row>
    <row r="497">
      <c r="A497" s="9" t="n"/>
      <c r="B497" s="9" t="n"/>
      <c r="C497" s="9" t="n"/>
      <c r="D497" s="9" t="n"/>
      <c r="E497" s="9" t="n"/>
      <c r="F497" s="23" t="n"/>
      <c r="G497" s="19" t="n"/>
      <c r="H497" s="23" t="n"/>
      <c r="I497" s="24" t="n"/>
      <c r="J497" s="19" t="n"/>
      <c r="K497" s="25">
        <f>IF($D497="","",IFERROR(INDEX(Profile!$B$5:$B$304,MATCH($D497,lst_Profil,0)),""))</f>
        <v/>
      </c>
      <c r="L497" s="13">
        <f>IF($D497="","",IFERROR(INDEX(Profile!$K$5:$K$304,MATCH($D497,lst_Profil,0))+0,""))</f>
        <v/>
      </c>
      <c r="M497" s="26">
        <f>IF($D497="","",IFERROR(INDEX(Profile!$E$5:$E$304,MATCH($D497,lst_Profil,0))+0,""))</f>
        <v/>
      </c>
      <c r="N497" s="27">
        <f>IF(OR(L497="",$E497=""),"",IFERROR(L497*INDEX(Werkstoffe!$E$5:$E$304,MATCH($E497,lst_Werkstoff,0))/1000,""))</f>
        <v/>
      </c>
      <c r="O497" s="27">
        <f>IF(OR(N497="",$F497=""),"",N497*$F497/1000)</f>
        <v/>
      </c>
      <c r="P497" s="16">
        <f>IF(OR($F497="",$G497=""),"",$F497*$G497)</f>
        <v/>
      </c>
      <c r="Q497" s="16">
        <f>IF($D497="","",IF($J497&lt;&gt;"",$J497,$C$9))</f>
        <v/>
      </c>
      <c r="R497" s="12">
        <f>IF($D497="","",IFERROR(IF(INDEX(Profile!$G$5:$G$304,MATCH($D497,lst_Profil,0))&lt;&gt;"",INDEX(Profile!$G$5:$G$304,MATCH($D497,lst_Profil,0)),$H$4),$H$4))</f>
        <v/>
      </c>
      <c r="S497" s="12">
        <f>IF($D497="","",IFERROR(IF(INDEX(Profile!$H$5:$H$304,MATCH($D497,lst_Profil,0))&lt;&gt;"",INDEX(Profile!$H$5:$H$304,MATCH($D497,lst_Profil,0)),$H$5),$H$5))</f>
        <v/>
      </c>
      <c r="T497" s="16">
        <f>IF(OR(Q497="",NOT(ISNUMBER(R497)),NOT(ISNUMBER(S497))),"",Q497-R497-S497)</f>
        <v/>
      </c>
      <c r="U497" s="28">
        <f>IF(OR($D497="",$E497=""),"",IF(OR(N($AP497)&gt;0,COUNTIFS(Preise!$A$5:$A$304,$D497,Preise!$B$5:$B$304,$E497,Preise!$I$5:$I$304,"OK")&gt;0,N(INDEX(Werkstoffe!$G$5:$G$304,MATCH($E497,lst_Werkstoff,0)))&gt;0),"ja","nein"))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28">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Materialpreis",IF(AND($AQ497&lt;&gt;"",N($AR497)&gt;0,MOD($G497,$AR497)&lt;&gt;0),"WARNUNG: Stückzahl ist kein Vielfaches von Stück je Satz",IF($H497="","HINWEIS: Schneidweg fehlt",IF(V497="","HINWEIS: keine Schneiddaten",IF(AND($AF497&lt;&gt;"",$AG497=""),"HINWEIS: Gewinde-Vorschlag prüfen","OK")))))))))))))))</f>
        <v/>
      </c>
      <c r="X497" s="18">
        <f>IF(OR(O497="",$G497=""),"",O497*$G497)</f>
        <v/>
      </c>
      <c r="Y497" s="9" t="n"/>
      <c r="Z497" s="23" t="n"/>
      <c r="AA497" s="9" t="n"/>
      <c r="AB497" s="23" t="n"/>
      <c r="AC497" s="23" t="n"/>
      <c r="AD497" s="23" t="n"/>
      <c r="AE497" s="9" t="n"/>
      <c r="AF497" s="9" t="n"/>
      <c r="AG497" s="9" t="n"/>
      <c r="AH497" s="24" t="n"/>
      <c r="AI497" s="23" t="n"/>
      <c r="AJ497" s="24" t="n"/>
      <c r="AK497" s="23" t="n"/>
      <c r="AL497" s="24" t="n"/>
      <c r="AM497" s="23" t="n"/>
      <c r="AN497" s="28">
        <f>IF($D497="","",COUNTIFS(Stangenbelegung!$E$5:$E$10004,ROW()))</f>
        <v/>
      </c>
      <c r="AO497" s="28">
        <f>IF(OR($G497="",COUNTA(Stangenbelegung!$A$5:$A$10004)=0),"",$G497-AN497)</f>
        <v/>
      </c>
      <c r="AP497" s="29" t="n"/>
      <c r="AQ497" s="9" t="n"/>
      <c r="AR497" s="19" t="n"/>
    </row>
    <row r="498">
      <c r="A498" s="9" t="n"/>
      <c r="B498" s="9" t="n"/>
      <c r="C498" s="9" t="n"/>
      <c r="D498" s="9" t="n"/>
      <c r="E498" s="9" t="n"/>
      <c r="F498" s="23" t="n"/>
      <c r="G498" s="19" t="n"/>
      <c r="H498" s="23" t="n"/>
      <c r="I498" s="24" t="n"/>
      <c r="J498" s="19" t="n"/>
      <c r="K498" s="25">
        <f>IF($D498="","",IFERROR(INDEX(Profile!$B$5:$B$304,MATCH($D498,lst_Profil,0)),""))</f>
        <v/>
      </c>
      <c r="L498" s="13">
        <f>IF($D498="","",IFERROR(INDEX(Profile!$K$5:$K$304,MATCH($D498,lst_Profil,0))+0,""))</f>
        <v/>
      </c>
      <c r="M498" s="26">
        <f>IF($D498="","",IFERROR(INDEX(Profile!$E$5:$E$304,MATCH($D498,lst_Profil,0))+0,""))</f>
        <v/>
      </c>
      <c r="N498" s="27">
        <f>IF(OR(L498="",$E498=""),"",IFERROR(L498*INDEX(Werkstoffe!$E$5:$E$304,MATCH($E498,lst_Werkstoff,0))/1000,""))</f>
        <v/>
      </c>
      <c r="O498" s="27">
        <f>IF(OR(N498="",$F498=""),"",N498*$F498/1000)</f>
        <v/>
      </c>
      <c r="P498" s="16">
        <f>IF(OR($F498="",$G498=""),"",$F498*$G498)</f>
        <v/>
      </c>
      <c r="Q498" s="16">
        <f>IF($D498="","",IF($J498&lt;&gt;"",$J498,$C$9))</f>
        <v/>
      </c>
      <c r="R498" s="12">
        <f>IF($D498="","",IFERROR(IF(INDEX(Profile!$G$5:$G$304,MATCH($D498,lst_Profil,0))&lt;&gt;"",INDEX(Profile!$G$5:$G$304,MATCH($D498,lst_Profil,0)),$H$4),$H$4))</f>
        <v/>
      </c>
      <c r="S498" s="12">
        <f>IF($D498="","",IFERROR(IF(INDEX(Profile!$H$5:$H$304,MATCH($D498,lst_Profil,0))&lt;&gt;"",INDEX(Profile!$H$5:$H$304,MATCH($D498,lst_Profil,0)),$H$5),$H$5))</f>
        <v/>
      </c>
      <c r="T498" s="16">
        <f>IF(OR(Q498="",NOT(ISNUMBER(R498)),NOT(ISNUMBER(S498))),"",Q498-R498-S498)</f>
        <v/>
      </c>
      <c r="U498" s="28">
        <f>IF(OR($D498="",$E498=""),"",IF(OR(N($AP498)&gt;0,COUNTIFS(Preise!$A$5:$A$304,$D498,Preise!$B$5:$B$304,$E498,Preise!$I$5:$I$304,"OK")&gt;0,N(INDEX(Werkstoffe!$G$5:$G$304,MATCH($E498,lst_Werkstoff,0)))&gt;0),"ja","nein"))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28">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Materialpreis",IF(AND($AQ498&lt;&gt;"",N($AR498)&gt;0,MOD($G498,$AR498)&lt;&gt;0),"WARNUNG: Stückzahl ist kein Vielfaches von Stück je Satz",IF($H498="","HINWEIS: Schneidweg fehlt",IF(V498="","HINWEIS: keine Schneiddaten",IF(AND($AF498&lt;&gt;"",$AG498=""),"HINWEIS: Gewinde-Vorschlag prüfen","OK")))))))))))))))</f>
        <v/>
      </c>
      <c r="X498" s="18">
        <f>IF(OR(O498="",$G498=""),"",O498*$G498)</f>
        <v/>
      </c>
      <c r="Y498" s="9" t="n"/>
      <c r="Z498" s="23" t="n"/>
      <c r="AA498" s="9" t="n"/>
      <c r="AB498" s="23" t="n"/>
      <c r="AC498" s="23" t="n"/>
      <c r="AD498" s="23" t="n"/>
      <c r="AE498" s="9" t="n"/>
      <c r="AF498" s="9" t="n"/>
      <c r="AG498" s="9" t="n"/>
      <c r="AH498" s="24" t="n"/>
      <c r="AI498" s="23" t="n"/>
      <c r="AJ498" s="24" t="n"/>
      <c r="AK498" s="23" t="n"/>
      <c r="AL498" s="24" t="n"/>
      <c r="AM498" s="23" t="n"/>
      <c r="AN498" s="28">
        <f>IF($D498="","",COUNTIFS(Stangenbelegung!$E$5:$E$10004,ROW()))</f>
        <v/>
      </c>
      <c r="AO498" s="28">
        <f>IF(OR($G498="",COUNTA(Stangenbelegung!$A$5:$A$10004)=0),"",$G498-AN498)</f>
        <v/>
      </c>
      <c r="AP498" s="29" t="n"/>
      <c r="AQ498" s="9" t="n"/>
      <c r="AR498" s="19" t="n"/>
    </row>
    <row r="499">
      <c r="A499" s="9" t="n"/>
      <c r="B499" s="9" t="n"/>
      <c r="C499" s="9" t="n"/>
      <c r="D499" s="9" t="n"/>
      <c r="E499" s="9" t="n"/>
      <c r="F499" s="23" t="n"/>
      <c r="G499" s="19" t="n"/>
      <c r="H499" s="23" t="n"/>
      <c r="I499" s="24" t="n"/>
      <c r="J499" s="19" t="n"/>
      <c r="K499" s="25">
        <f>IF($D499="","",IFERROR(INDEX(Profile!$B$5:$B$304,MATCH($D499,lst_Profil,0)),""))</f>
        <v/>
      </c>
      <c r="L499" s="13">
        <f>IF($D499="","",IFERROR(INDEX(Profile!$K$5:$K$304,MATCH($D499,lst_Profil,0))+0,""))</f>
        <v/>
      </c>
      <c r="M499" s="26">
        <f>IF($D499="","",IFERROR(INDEX(Profile!$E$5:$E$304,MATCH($D499,lst_Profil,0))+0,""))</f>
        <v/>
      </c>
      <c r="N499" s="27">
        <f>IF(OR(L499="",$E499=""),"",IFERROR(L499*INDEX(Werkstoffe!$E$5:$E$304,MATCH($E499,lst_Werkstoff,0))/1000,""))</f>
        <v/>
      </c>
      <c r="O499" s="27">
        <f>IF(OR(N499="",$F499=""),"",N499*$F499/1000)</f>
        <v/>
      </c>
      <c r="P499" s="16">
        <f>IF(OR($F499="",$G499=""),"",$F499*$G499)</f>
        <v/>
      </c>
      <c r="Q499" s="16">
        <f>IF($D499="","",IF($J499&lt;&gt;"",$J499,$C$9))</f>
        <v/>
      </c>
      <c r="R499" s="12">
        <f>IF($D499="","",IFERROR(IF(INDEX(Profile!$G$5:$G$304,MATCH($D499,lst_Profil,0))&lt;&gt;"",INDEX(Profile!$G$5:$G$304,MATCH($D499,lst_Profil,0)),$H$4),$H$4))</f>
        <v/>
      </c>
      <c r="S499" s="12">
        <f>IF($D499="","",IFERROR(IF(INDEX(Profile!$H$5:$H$304,MATCH($D499,lst_Profil,0))&lt;&gt;"",INDEX(Profile!$H$5:$H$304,MATCH($D499,lst_Profil,0)),$H$5),$H$5))</f>
        <v/>
      </c>
      <c r="T499" s="16">
        <f>IF(OR(Q499="",NOT(ISNUMBER(R499)),NOT(ISNUMBER(S499))),"",Q499-R499-S499)</f>
        <v/>
      </c>
      <c r="U499" s="28">
        <f>IF(OR($D499="",$E499=""),"",IF(OR(N($AP499)&gt;0,COUNTIFS(Preise!$A$5:$A$304,$D499,Preise!$B$5:$B$304,$E499,Preise!$I$5:$I$304,"OK")&gt;0,N(INDEX(Werkstoffe!$G$5:$G$304,MATCH($E499,lst_Werkstoff,0)))&gt;0),"ja","nein"))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28">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Materialpreis",IF(AND($AQ499&lt;&gt;"",N($AR499)&gt;0,MOD($G499,$AR499)&lt;&gt;0),"WARNUNG: Stückzahl ist kein Vielfaches von Stück je Satz",IF($H499="","HINWEIS: Schneidweg fehlt",IF(V499="","HINWEIS: keine Schneiddaten",IF(AND($AF499&lt;&gt;"",$AG499=""),"HINWEIS: Gewinde-Vorschlag prüfen","OK")))))))))))))))</f>
        <v/>
      </c>
      <c r="X499" s="18">
        <f>IF(OR(O499="",$G499=""),"",O499*$G499)</f>
        <v/>
      </c>
      <c r="Y499" s="9" t="n"/>
      <c r="Z499" s="23" t="n"/>
      <c r="AA499" s="9" t="n"/>
      <c r="AB499" s="23" t="n"/>
      <c r="AC499" s="23" t="n"/>
      <c r="AD499" s="23" t="n"/>
      <c r="AE499" s="9" t="n"/>
      <c r="AF499" s="9" t="n"/>
      <c r="AG499" s="9" t="n"/>
      <c r="AH499" s="24" t="n"/>
      <c r="AI499" s="23" t="n"/>
      <c r="AJ499" s="24" t="n"/>
      <c r="AK499" s="23" t="n"/>
      <c r="AL499" s="24" t="n"/>
      <c r="AM499" s="23" t="n"/>
      <c r="AN499" s="28">
        <f>IF($D499="","",COUNTIFS(Stangenbelegung!$E$5:$E$10004,ROW()))</f>
        <v/>
      </c>
      <c r="AO499" s="28">
        <f>IF(OR($G499="",COUNTA(Stangenbelegung!$A$5:$A$10004)=0),"",$G499-AN499)</f>
        <v/>
      </c>
      <c r="AP499" s="29" t="n"/>
      <c r="AQ499" s="9" t="n"/>
      <c r="AR499" s="19" t="n"/>
    </row>
    <row r="500">
      <c r="A500" s="9" t="n"/>
      <c r="B500" s="9" t="n"/>
      <c r="C500" s="9" t="n"/>
      <c r="D500" s="9" t="n"/>
      <c r="E500" s="9" t="n"/>
      <c r="F500" s="23" t="n"/>
      <c r="G500" s="19" t="n"/>
      <c r="H500" s="23" t="n"/>
      <c r="I500" s="24" t="n"/>
      <c r="J500" s="19" t="n"/>
      <c r="K500" s="25">
        <f>IF($D500="","",IFERROR(INDEX(Profile!$B$5:$B$304,MATCH($D500,lst_Profil,0)),""))</f>
        <v/>
      </c>
      <c r="L500" s="13">
        <f>IF($D500="","",IFERROR(INDEX(Profile!$K$5:$K$304,MATCH($D500,lst_Profil,0))+0,""))</f>
        <v/>
      </c>
      <c r="M500" s="26">
        <f>IF($D500="","",IFERROR(INDEX(Profile!$E$5:$E$304,MATCH($D500,lst_Profil,0))+0,""))</f>
        <v/>
      </c>
      <c r="N500" s="27">
        <f>IF(OR(L500="",$E500=""),"",IFERROR(L500*INDEX(Werkstoffe!$E$5:$E$304,MATCH($E500,lst_Werkstoff,0))/1000,""))</f>
        <v/>
      </c>
      <c r="O500" s="27">
        <f>IF(OR(N500="",$F500=""),"",N500*$F500/1000)</f>
        <v/>
      </c>
      <c r="P500" s="16">
        <f>IF(OR($F500="",$G500=""),"",$F500*$G500)</f>
        <v/>
      </c>
      <c r="Q500" s="16">
        <f>IF($D500="","",IF($J500&lt;&gt;"",$J500,$C$9))</f>
        <v/>
      </c>
      <c r="R500" s="12">
        <f>IF($D500="","",IFERROR(IF(INDEX(Profile!$G$5:$G$304,MATCH($D500,lst_Profil,0))&lt;&gt;"",INDEX(Profile!$G$5:$G$304,MATCH($D500,lst_Profil,0)),$H$4),$H$4))</f>
        <v/>
      </c>
      <c r="S500" s="12">
        <f>IF($D500="","",IFERROR(IF(INDEX(Profile!$H$5:$H$304,MATCH($D500,lst_Profil,0))&lt;&gt;"",INDEX(Profile!$H$5:$H$304,MATCH($D500,lst_Profil,0)),$H$5),$H$5))</f>
        <v/>
      </c>
      <c r="T500" s="16">
        <f>IF(OR(Q500="",NOT(ISNUMBER(R500)),NOT(ISNUMBER(S500))),"",Q500-R500-S500)</f>
        <v/>
      </c>
      <c r="U500" s="28">
        <f>IF(OR($D500="",$E500=""),"",IF(OR(N($AP500)&gt;0,COUNTIFS(Preise!$A$5:$A$304,$D500,Preise!$B$5:$B$304,$E500,Preise!$I$5:$I$304,"OK")&gt;0,N(INDEX(Werkstoffe!$G$5:$G$304,MATCH($E500,lst_Werkstoff,0)))&gt;0),"ja","nein"))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28">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Materialpreis",IF(AND($AQ500&lt;&gt;"",N($AR500)&gt;0,MOD($G500,$AR500)&lt;&gt;0),"WARNUNG: Stückzahl ist kein Vielfaches von Stück je Satz",IF($H500="","HINWEIS: Schneidweg fehlt",IF(V500="","HINWEIS: keine Schneiddaten",IF(AND($AF500&lt;&gt;"",$AG500=""),"HINWEIS: Gewinde-Vorschlag prüfen","OK")))))))))))))))</f>
        <v/>
      </c>
      <c r="X500" s="18">
        <f>IF(OR(O500="",$G500=""),"",O500*$G500)</f>
        <v/>
      </c>
      <c r="Y500" s="9" t="n"/>
      <c r="Z500" s="23" t="n"/>
      <c r="AA500" s="9" t="n"/>
      <c r="AB500" s="23" t="n"/>
      <c r="AC500" s="23" t="n"/>
      <c r="AD500" s="23" t="n"/>
      <c r="AE500" s="9" t="n"/>
      <c r="AF500" s="9" t="n"/>
      <c r="AG500" s="9" t="n"/>
      <c r="AH500" s="24" t="n"/>
      <c r="AI500" s="23" t="n"/>
      <c r="AJ500" s="24" t="n"/>
      <c r="AK500" s="23" t="n"/>
      <c r="AL500" s="24" t="n"/>
      <c r="AM500" s="23" t="n"/>
      <c r="AN500" s="28">
        <f>IF($D500="","",COUNTIFS(Stangenbelegung!$E$5:$E$10004,ROW()))</f>
        <v/>
      </c>
      <c r="AO500" s="28">
        <f>IF(OR($G500="",COUNTA(Stangenbelegung!$A$5:$A$10004)=0),"",$G500-AN500)</f>
        <v/>
      </c>
      <c r="AP500" s="29" t="n"/>
      <c r="AQ500" s="9" t="n"/>
      <c r="AR500" s="19" t="n"/>
    </row>
    <row r="501">
      <c r="A501" s="9" t="n"/>
      <c r="B501" s="9" t="n"/>
      <c r="C501" s="9" t="n"/>
      <c r="D501" s="9" t="n"/>
      <c r="E501" s="9" t="n"/>
      <c r="F501" s="23" t="n"/>
      <c r="G501" s="19" t="n"/>
      <c r="H501" s="23" t="n"/>
      <c r="I501" s="24" t="n"/>
      <c r="J501" s="19" t="n"/>
      <c r="K501" s="25">
        <f>IF($D501="","",IFERROR(INDEX(Profile!$B$5:$B$304,MATCH($D501,lst_Profil,0)),""))</f>
        <v/>
      </c>
      <c r="L501" s="13">
        <f>IF($D501="","",IFERROR(INDEX(Profile!$K$5:$K$304,MATCH($D501,lst_Profil,0))+0,""))</f>
        <v/>
      </c>
      <c r="M501" s="26">
        <f>IF($D501="","",IFERROR(INDEX(Profile!$E$5:$E$304,MATCH($D501,lst_Profil,0))+0,""))</f>
        <v/>
      </c>
      <c r="N501" s="27">
        <f>IF(OR(L501="",$E501=""),"",IFERROR(L501*INDEX(Werkstoffe!$E$5:$E$304,MATCH($E501,lst_Werkstoff,0))/1000,""))</f>
        <v/>
      </c>
      <c r="O501" s="27">
        <f>IF(OR(N501="",$F501=""),"",N501*$F501/1000)</f>
        <v/>
      </c>
      <c r="P501" s="16">
        <f>IF(OR($F501="",$G501=""),"",$F501*$G501)</f>
        <v/>
      </c>
      <c r="Q501" s="16">
        <f>IF($D501="","",IF($J501&lt;&gt;"",$J501,$C$9))</f>
        <v/>
      </c>
      <c r="R501" s="12">
        <f>IF($D501="","",IFERROR(IF(INDEX(Profile!$G$5:$G$304,MATCH($D501,lst_Profil,0))&lt;&gt;"",INDEX(Profile!$G$5:$G$304,MATCH($D501,lst_Profil,0)),$H$4),$H$4))</f>
        <v/>
      </c>
      <c r="S501" s="12">
        <f>IF($D501="","",IFERROR(IF(INDEX(Profile!$H$5:$H$304,MATCH($D501,lst_Profil,0))&lt;&gt;"",INDEX(Profile!$H$5:$H$304,MATCH($D501,lst_Profil,0)),$H$5),$H$5))</f>
        <v/>
      </c>
      <c r="T501" s="16">
        <f>IF(OR(Q501="",NOT(ISNUMBER(R501)),NOT(ISNUMBER(S501))),"",Q501-R501-S501)</f>
        <v/>
      </c>
      <c r="U501" s="28">
        <f>IF(OR($D501="",$E501=""),"",IF(OR(N($AP501)&gt;0,COUNTIFS(Preise!$A$5:$A$304,$D501,Preise!$B$5:$B$304,$E501,Preise!$I$5:$I$304,"OK")&gt;0,N(INDEX(Werkstoffe!$G$5:$G$304,MATCH($E501,lst_Werkstoff,0)))&gt;0),"ja","nein"))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28">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Materialpreis",IF(AND($AQ501&lt;&gt;"",N($AR501)&gt;0,MOD($G501,$AR501)&lt;&gt;0),"WARNUNG: Stückzahl ist kein Vielfaches von Stück je Satz",IF($H501="","HINWEIS: Schneidweg fehlt",IF(V501="","HINWEIS: keine Schneiddaten",IF(AND($AF501&lt;&gt;"",$AG501=""),"HINWEIS: Gewinde-Vorschlag prüfen","OK")))))))))))))))</f>
        <v/>
      </c>
      <c r="X501" s="18">
        <f>IF(OR(O501="",$G501=""),"",O501*$G501)</f>
        <v/>
      </c>
      <c r="Y501" s="9" t="n"/>
      <c r="Z501" s="23" t="n"/>
      <c r="AA501" s="9" t="n"/>
      <c r="AB501" s="23" t="n"/>
      <c r="AC501" s="23" t="n"/>
      <c r="AD501" s="23" t="n"/>
      <c r="AE501" s="9" t="n"/>
      <c r="AF501" s="9" t="n"/>
      <c r="AG501" s="9" t="n"/>
      <c r="AH501" s="24" t="n"/>
      <c r="AI501" s="23" t="n"/>
      <c r="AJ501" s="24" t="n"/>
      <c r="AK501" s="23" t="n"/>
      <c r="AL501" s="24" t="n"/>
      <c r="AM501" s="23" t="n"/>
      <c r="AN501" s="28">
        <f>IF($D501="","",COUNTIFS(Stangenbelegung!$E$5:$E$10004,ROW()))</f>
        <v/>
      </c>
      <c r="AO501" s="28">
        <f>IF(OR($G501="",COUNTA(Stangenbelegung!$A$5:$A$10004)=0),"",$G501-AN501)</f>
        <v/>
      </c>
      <c r="AP501" s="29" t="n"/>
      <c r="AQ501" s="9" t="n"/>
      <c r="AR501" s="19" t="n"/>
    </row>
    <row r="502">
      <c r="A502" s="9" t="n"/>
      <c r="B502" s="9" t="n"/>
      <c r="C502" s="9" t="n"/>
      <c r="D502" s="9" t="n"/>
      <c r="E502" s="9" t="n"/>
      <c r="F502" s="23" t="n"/>
      <c r="G502" s="19" t="n"/>
      <c r="H502" s="23" t="n"/>
      <c r="I502" s="24" t="n"/>
      <c r="J502" s="19" t="n"/>
      <c r="K502" s="25">
        <f>IF($D502="","",IFERROR(INDEX(Profile!$B$5:$B$304,MATCH($D502,lst_Profil,0)),""))</f>
        <v/>
      </c>
      <c r="L502" s="13">
        <f>IF($D502="","",IFERROR(INDEX(Profile!$K$5:$K$304,MATCH($D502,lst_Profil,0))+0,""))</f>
        <v/>
      </c>
      <c r="M502" s="26">
        <f>IF($D502="","",IFERROR(INDEX(Profile!$E$5:$E$304,MATCH($D502,lst_Profil,0))+0,""))</f>
        <v/>
      </c>
      <c r="N502" s="27">
        <f>IF(OR(L502="",$E502=""),"",IFERROR(L502*INDEX(Werkstoffe!$E$5:$E$304,MATCH($E502,lst_Werkstoff,0))/1000,""))</f>
        <v/>
      </c>
      <c r="O502" s="27">
        <f>IF(OR(N502="",$F502=""),"",N502*$F502/1000)</f>
        <v/>
      </c>
      <c r="P502" s="16">
        <f>IF(OR($F502="",$G502=""),"",$F502*$G502)</f>
        <v/>
      </c>
      <c r="Q502" s="16">
        <f>IF($D502="","",IF($J502&lt;&gt;"",$J502,$C$9))</f>
        <v/>
      </c>
      <c r="R502" s="12">
        <f>IF($D502="","",IFERROR(IF(INDEX(Profile!$G$5:$G$304,MATCH($D502,lst_Profil,0))&lt;&gt;"",INDEX(Profile!$G$5:$G$304,MATCH($D502,lst_Profil,0)),$H$4),$H$4))</f>
        <v/>
      </c>
      <c r="S502" s="12">
        <f>IF($D502="","",IFERROR(IF(INDEX(Profile!$H$5:$H$304,MATCH($D502,lst_Profil,0))&lt;&gt;"",INDEX(Profile!$H$5:$H$304,MATCH($D502,lst_Profil,0)),$H$5),$H$5))</f>
        <v/>
      </c>
      <c r="T502" s="16">
        <f>IF(OR(Q502="",NOT(ISNUMBER(R502)),NOT(ISNUMBER(S502))),"",Q502-R502-S502)</f>
        <v/>
      </c>
      <c r="U502" s="28">
        <f>IF(OR($D502="",$E502=""),"",IF(OR(N($AP502)&gt;0,COUNTIFS(Preise!$A$5:$A$304,$D502,Preise!$B$5:$B$304,$E502,Preise!$I$5:$I$304,"OK")&gt;0,N(INDEX(Werkstoffe!$G$5:$G$304,MATCH($E502,lst_Werkstoff,0)))&gt;0),"ja","nein"))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28">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Materialpreis",IF(AND($AQ502&lt;&gt;"",N($AR502)&gt;0,MOD($G502,$AR502)&lt;&gt;0),"WARNUNG: Stückzahl ist kein Vielfaches von Stück je Satz",IF($H502="","HINWEIS: Schneidweg fehlt",IF(V502="","HINWEIS: keine Schneiddaten",IF(AND($AF502&lt;&gt;"",$AG502=""),"HINWEIS: Gewinde-Vorschlag prüfen","OK")))))))))))))))</f>
        <v/>
      </c>
      <c r="X502" s="18">
        <f>IF(OR(O502="",$G502=""),"",O502*$G502)</f>
        <v/>
      </c>
      <c r="Y502" s="9" t="n"/>
      <c r="Z502" s="23" t="n"/>
      <c r="AA502" s="9" t="n"/>
      <c r="AB502" s="23" t="n"/>
      <c r="AC502" s="23" t="n"/>
      <c r="AD502" s="23" t="n"/>
      <c r="AE502" s="9" t="n"/>
      <c r="AF502" s="9" t="n"/>
      <c r="AG502" s="9" t="n"/>
      <c r="AH502" s="24" t="n"/>
      <c r="AI502" s="23" t="n"/>
      <c r="AJ502" s="24" t="n"/>
      <c r="AK502" s="23" t="n"/>
      <c r="AL502" s="24" t="n"/>
      <c r="AM502" s="23" t="n"/>
      <c r="AN502" s="28">
        <f>IF($D502="","",COUNTIFS(Stangenbelegung!$E$5:$E$10004,ROW()))</f>
        <v/>
      </c>
      <c r="AO502" s="28">
        <f>IF(OR($G502="",COUNTA(Stangenbelegung!$A$5:$A$10004)=0),"",$G502-AN502)</f>
        <v/>
      </c>
      <c r="AP502" s="29" t="n"/>
      <c r="AQ502" s="9" t="n"/>
      <c r="AR502" s="19" t="n"/>
    </row>
    <row r="503">
      <c r="A503" s="9" t="n"/>
      <c r="B503" s="9" t="n"/>
      <c r="C503" s="9" t="n"/>
      <c r="D503" s="9" t="n"/>
      <c r="E503" s="9" t="n"/>
      <c r="F503" s="23" t="n"/>
      <c r="G503" s="19" t="n"/>
      <c r="H503" s="23" t="n"/>
      <c r="I503" s="24" t="n"/>
      <c r="J503" s="19" t="n"/>
      <c r="K503" s="25">
        <f>IF($D503="","",IFERROR(INDEX(Profile!$B$5:$B$304,MATCH($D503,lst_Profil,0)),""))</f>
        <v/>
      </c>
      <c r="L503" s="13">
        <f>IF($D503="","",IFERROR(INDEX(Profile!$K$5:$K$304,MATCH($D503,lst_Profil,0))+0,""))</f>
        <v/>
      </c>
      <c r="M503" s="26">
        <f>IF($D503="","",IFERROR(INDEX(Profile!$E$5:$E$304,MATCH($D503,lst_Profil,0))+0,""))</f>
        <v/>
      </c>
      <c r="N503" s="27">
        <f>IF(OR(L503="",$E503=""),"",IFERROR(L503*INDEX(Werkstoffe!$E$5:$E$304,MATCH($E503,lst_Werkstoff,0))/1000,""))</f>
        <v/>
      </c>
      <c r="O503" s="27">
        <f>IF(OR(N503="",$F503=""),"",N503*$F503/1000)</f>
        <v/>
      </c>
      <c r="P503" s="16">
        <f>IF(OR($F503="",$G503=""),"",$F503*$G503)</f>
        <v/>
      </c>
      <c r="Q503" s="16">
        <f>IF($D503="","",IF($J503&lt;&gt;"",$J503,$C$9))</f>
        <v/>
      </c>
      <c r="R503" s="12">
        <f>IF($D503="","",IFERROR(IF(INDEX(Profile!$G$5:$G$304,MATCH($D503,lst_Profil,0))&lt;&gt;"",INDEX(Profile!$G$5:$G$304,MATCH($D503,lst_Profil,0)),$H$4),$H$4))</f>
        <v/>
      </c>
      <c r="S503" s="12">
        <f>IF($D503="","",IFERROR(IF(INDEX(Profile!$H$5:$H$304,MATCH($D503,lst_Profil,0))&lt;&gt;"",INDEX(Profile!$H$5:$H$304,MATCH($D503,lst_Profil,0)),$H$5),$H$5))</f>
        <v/>
      </c>
      <c r="T503" s="16">
        <f>IF(OR(Q503="",NOT(ISNUMBER(R503)),NOT(ISNUMBER(S503))),"",Q503-R503-S503)</f>
        <v/>
      </c>
      <c r="U503" s="28">
        <f>IF(OR($D503="",$E503=""),"",IF(OR(N($AP503)&gt;0,COUNTIFS(Preise!$A$5:$A$304,$D503,Preise!$B$5:$B$304,$E503,Preise!$I$5:$I$304,"OK")&gt;0,N(INDEX(Werkstoffe!$G$5:$G$304,MATCH($E503,lst_Werkstoff,0)))&gt;0),"ja","nein"))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28">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Materialpreis",IF(AND($AQ503&lt;&gt;"",N($AR503)&gt;0,MOD($G503,$AR503)&lt;&gt;0),"WARNUNG: Stückzahl ist kein Vielfaches von Stück je Satz",IF($H503="","HINWEIS: Schneidweg fehlt",IF(V503="","HINWEIS: keine Schneiddaten",IF(AND($AF503&lt;&gt;"",$AG503=""),"HINWEIS: Gewinde-Vorschlag prüfen","OK")))))))))))))))</f>
        <v/>
      </c>
      <c r="X503" s="18">
        <f>IF(OR(O503="",$G503=""),"",O503*$G503)</f>
        <v/>
      </c>
      <c r="Y503" s="9" t="n"/>
      <c r="Z503" s="23" t="n"/>
      <c r="AA503" s="9" t="n"/>
      <c r="AB503" s="23" t="n"/>
      <c r="AC503" s="23" t="n"/>
      <c r="AD503" s="23" t="n"/>
      <c r="AE503" s="9" t="n"/>
      <c r="AF503" s="9" t="n"/>
      <c r="AG503" s="9" t="n"/>
      <c r="AH503" s="24" t="n"/>
      <c r="AI503" s="23" t="n"/>
      <c r="AJ503" s="24" t="n"/>
      <c r="AK503" s="23" t="n"/>
      <c r="AL503" s="24" t="n"/>
      <c r="AM503" s="23" t="n"/>
      <c r="AN503" s="28">
        <f>IF($D503="","",COUNTIFS(Stangenbelegung!$E$5:$E$10004,ROW()))</f>
        <v/>
      </c>
      <c r="AO503" s="28">
        <f>IF(OR($G503="",COUNTA(Stangenbelegung!$A$5:$A$10004)=0),"",$G503-AN503)</f>
        <v/>
      </c>
      <c r="AP503" s="29" t="n"/>
      <c r="AQ503" s="9" t="n"/>
      <c r="AR503" s="19" t="n"/>
    </row>
    <row r="504">
      <c r="A504" s="9" t="n"/>
      <c r="B504" s="9" t="n"/>
      <c r="C504" s="9" t="n"/>
      <c r="D504" s="9" t="n"/>
      <c r="E504" s="9" t="n"/>
      <c r="F504" s="23" t="n"/>
      <c r="G504" s="19" t="n"/>
      <c r="H504" s="23" t="n"/>
      <c r="I504" s="24" t="n"/>
      <c r="J504" s="19" t="n"/>
      <c r="K504" s="25">
        <f>IF($D504="","",IFERROR(INDEX(Profile!$B$5:$B$304,MATCH($D504,lst_Profil,0)),""))</f>
        <v/>
      </c>
      <c r="L504" s="13">
        <f>IF($D504="","",IFERROR(INDEX(Profile!$K$5:$K$304,MATCH($D504,lst_Profil,0))+0,""))</f>
        <v/>
      </c>
      <c r="M504" s="26">
        <f>IF($D504="","",IFERROR(INDEX(Profile!$E$5:$E$304,MATCH($D504,lst_Profil,0))+0,""))</f>
        <v/>
      </c>
      <c r="N504" s="27">
        <f>IF(OR(L504="",$E504=""),"",IFERROR(L504*INDEX(Werkstoffe!$E$5:$E$304,MATCH($E504,lst_Werkstoff,0))/1000,""))</f>
        <v/>
      </c>
      <c r="O504" s="27">
        <f>IF(OR(N504="",$F504=""),"",N504*$F504/1000)</f>
        <v/>
      </c>
      <c r="P504" s="16">
        <f>IF(OR($F504="",$G504=""),"",$F504*$G504)</f>
        <v/>
      </c>
      <c r="Q504" s="16">
        <f>IF($D504="","",IF($J504&lt;&gt;"",$J504,$C$9))</f>
        <v/>
      </c>
      <c r="R504" s="12">
        <f>IF($D504="","",IFERROR(IF(INDEX(Profile!$G$5:$G$304,MATCH($D504,lst_Profil,0))&lt;&gt;"",INDEX(Profile!$G$5:$G$304,MATCH($D504,lst_Profil,0)),$H$4),$H$4))</f>
        <v/>
      </c>
      <c r="S504" s="12">
        <f>IF($D504="","",IFERROR(IF(INDEX(Profile!$H$5:$H$304,MATCH($D504,lst_Profil,0))&lt;&gt;"",INDEX(Profile!$H$5:$H$304,MATCH($D504,lst_Profil,0)),$H$5),$H$5))</f>
        <v/>
      </c>
      <c r="T504" s="16">
        <f>IF(OR(Q504="",NOT(ISNUMBER(R504)),NOT(ISNUMBER(S504))),"",Q504-R504-S504)</f>
        <v/>
      </c>
      <c r="U504" s="28">
        <f>IF(OR($D504="",$E504=""),"",IF(OR(N($AP504)&gt;0,COUNTIFS(Preise!$A$5:$A$304,$D504,Preise!$B$5:$B$304,$E504,Preise!$I$5:$I$304,"OK")&gt;0,N(INDEX(Werkstoffe!$G$5:$G$304,MATCH($E504,lst_Werkstoff,0)))&gt;0),"ja","nein"))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28">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Materialpreis",IF(AND($AQ504&lt;&gt;"",N($AR504)&gt;0,MOD($G504,$AR504)&lt;&gt;0),"WARNUNG: Stückzahl ist kein Vielfaches von Stück je Satz",IF($H504="","HINWEIS: Schneidweg fehlt",IF(V504="","HINWEIS: keine Schneiddaten",IF(AND($AF504&lt;&gt;"",$AG504=""),"HINWEIS: Gewinde-Vorschlag prüfen","OK")))))))))))))))</f>
        <v/>
      </c>
      <c r="X504" s="18">
        <f>IF(OR(O504="",$G504=""),"",O504*$G504)</f>
        <v/>
      </c>
      <c r="Y504" s="9" t="n"/>
      <c r="Z504" s="23" t="n"/>
      <c r="AA504" s="9" t="n"/>
      <c r="AB504" s="23" t="n"/>
      <c r="AC504" s="23" t="n"/>
      <c r="AD504" s="23" t="n"/>
      <c r="AE504" s="9" t="n"/>
      <c r="AF504" s="9" t="n"/>
      <c r="AG504" s="9" t="n"/>
      <c r="AH504" s="24" t="n"/>
      <c r="AI504" s="23" t="n"/>
      <c r="AJ504" s="24" t="n"/>
      <c r="AK504" s="23" t="n"/>
      <c r="AL504" s="24" t="n"/>
      <c r="AM504" s="23" t="n"/>
      <c r="AN504" s="28">
        <f>IF($D504="","",COUNTIFS(Stangenbelegung!$E$5:$E$10004,ROW()))</f>
        <v/>
      </c>
      <c r="AO504" s="28">
        <f>IF(OR($G504="",COUNTA(Stangenbelegung!$A$5:$A$10004)=0),"",$G504-AN504)</f>
        <v/>
      </c>
      <c r="AP504" s="29" t="n"/>
      <c r="AQ504" s="9" t="n"/>
      <c r="AR504" s="19" t="n"/>
    </row>
    <row r="505">
      <c r="A505" s="9" t="n"/>
      <c r="B505" s="9" t="n"/>
      <c r="C505" s="9" t="n"/>
      <c r="D505" s="9" t="n"/>
      <c r="E505" s="9" t="n"/>
      <c r="F505" s="23" t="n"/>
      <c r="G505" s="19" t="n"/>
      <c r="H505" s="23" t="n"/>
      <c r="I505" s="24" t="n"/>
      <c r="J505" s="19" t="n"/>
      <c r="K505" s="25">
        <f>IF($D505="","",IFERROR(INDEX(Profile!$B$5:$B$304,MATCH($D505,lst_Profil,0)),""))</f>
        <v/>
      </c>
      <c r="L505" s="13">
        <f>IF($D505="","",IFERROR(INDEX(Profile!$K$5:$K$304,MATCH($D505,lst_Profil,0))+0,""))</f>
        <v/>
      </c>
      <c r="M505" s="26">
        <f>IF($D505="","",IFERROR(INDEX(Profile!$E$5:$E$304,MATCH($D505,lst_Profil,0))+0,""))</f>
        <v/>
      </c>
      <c r="N505" s="27">
        <f>IF(OR(L505="",$E505=""),"",IFERROR(L505*INDEX(Werkstoffe!$E$5:$E$304,MATCH($E505,lst_Werkstoff,0))/1000,""))</f>
        <v/>
      </c>
      <c r="O505" s="27">
        <f>IF(OR(N505="",$F505=""),"",N505*$F505/1000)</f>
        <v/>
      </c>
      <c r="P505" s="16">
        <f>IF(OR($F505="",$G505=""),"",$F505*$G505)</f>
        <v/>
      </c>
      <c r="Q505" s="16">
        <f>IF($D505="","",IF($J505&lt;&gt;"",$J505,$C$9))</f>
        <v/>
      </c>
      <c r="R505" s="12">
        <f>IF($D505="","",IFERROR(IF(INDEX(Profile!$G$5:$G$304,MATCH($D505,lst_Profil,0))&lt;&gt;"",INDEX(Profile!$G$5:$G$304,MATCH($D505,lst_Profil,0)),$H$4),$H$4))</f>
        <v/>
      </c>
      <c r="S505" s="12">
        <f>IF($D505="","",IFERROR(IF(INDEX(Profile!$H$5:$H$304,MATCH($D505,lst_Profil,0))&lt;&gt;"",INDEX(Profile!$H$5:$H$304,MATCH($D505,lst_Profil,0)),$H$5),$H$5))</f>
        <v/>
      </c>
      <c r="T505" s="16">
        <f>IF(OR(Q505="",NOT(ISNUMBER(R505)),NOT(ISNUMBER(S505))),"",Q505-R505-S505)</f>
        <v/>
      </c>
      <c r="U505" s="28">
        <f>IF(OR($D505="",$E505=""),"",IF(OR(N($AP505)&gt;0,COUNTIFS(Preise!$A$5:$A$304,$D505,Preise!$B$5:$B$304,$E505,Preise!$I$5:$I$304,"OK")&gt;0,N(INDEX(Werkstoffe!$G$5:$G$304,MATCH($E505,lst_Werkstoff,0)))&gt;0),"ja","nein"))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28">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Materialpreis",IF(AND($AQ505&lt;&gt;"",N($AR505)&gt;0,MOD($G505,$AR505)&lt;&gt;0),"WARNUNG: Stückzahl ist kein Vielfaches von Stück je Satz",IF($H505="","HINWEIS: Schneidweg fehlt",IF(V505="","HINWEIS: keine Schneiddaten",IF(AND($AF505&lt;&gt;"",$AG505=""),"HINWEIS: Gewinde-Vorschlag prüfen","OK")))))))))))))))</f>
        <v/>
      </c>
      <c r="X505" s="18">
        <f>IF(OR(O505="",$G505=""),"",O505*$G505)</f>
        <v/>
      </c>
      <c r="Y505" s="9" t="n"/>
      <c r="Z505" s="23" t="n"/>
      <c r="AA505" s="9" t="n"/>
      <c r="AB505" s="23" t="n"/>
      <c r="AC505" s="23" t="n"/>
      <c r="AD505" s="23" t="n"/>
      <c r="AE505" s="9" t="n"/>
      <c r="AF505" s="9" t="n"/>
      <c r="AG505" s="9" t="n"/>
      <c r="AH505" s="24" t="n"/>
      <c r="AI505" s="23" t="n"/>
      <c r="AJ505" s="24" t="n"/>
      <c r="AK505" s="23" t="n"/>
      <c r="AL505" s="24" t="n"/>
      <c r="AM505" s="23" t="n"/>
      <c r="AN505" s="28">
        <f>IF($D505="","",COUNTIFS(Stangenbelegung!$E$5:$E$10004,ROW()))</f>
        <v/>
      </c>
      <c r="AO505" s="28">
        <f>IF(OR($G505="",COUNTA(Stangenbelegung!$A$5:$A$10004)=0),"",$G505-AN505)</f>
        <v/>
      </c>
      <c r="AP505" s="29" t="n"/>
      <c r="AQ505" s="9" t="n"/>
      <c r="AR505" s="19" t="n"/>
    </row>
    <row r="506">
      <c r="A506" s="9" t="n"/>
      <c r="B506" s="9" t="n"/>
      <c r="C506" s="9" t="n"/>
      <c r="D506" s="9" t="n"/>
      <c r="E506" s="9" t="n"/>
      <c r="F506" s="23" t="n"/>
      <c r="G506" s="19" t="n"/>
      <c r="H506" s="23" t="n"/>
      <c r="I506" s="24" t="n"/>
      <c r="J506" s="19" t="n"/>
      <c r="K506" s="25">
        <f>IF($D506="","",IFERROR(INDEX(Profile!$B$5:$B$304,MATCH($D506,lst_Profil,0)),""))</f>
        <v/>
      </c>
      <c r="L506" s="13">
        <f>IF($D506="","",IFERROR(INDEX(Profile!$K$5:$K$304,MATCH($D506,lst_Profil,0))+0,""))</f>
        <v/>
      </c>
      <c r="M506" s="26">
        <f>IF($D506="","",IFERROR(INDEX(Profile!$E$5:$E$304,MATCH($D506,lst_Profil,0))+0,""))</f>
        <v/>
      </c>
      <c r="N506" s="27">
        <f>IF(OR(L506="",$E506=""),"",IFERROR(L506*INDEX(Werkstoffe!$E$5:$E$304,MATCH($E506,lst_Werkstoff,0))/1000,""))</f>
        <v/>
      </c>
      <c r="O506" s="27">
        <f>IF(OR(N506="",$F506=""),"",N506*$F506/1000)</f>
        <v/>
      </c>
      <c r="P506" s="16">
        <f>IF(OR($F506="",$G506=""),"",$F506*$G506)</f>
        <v/>
      </c>
      <c r="Q506" s="16">
        <f>IF($D506="","",IF($J506&lt;&gt;"",$J506,$C$9))</f>
        <v/>
      </c>
      <c r="R506" s="12">
        <f>IF($D506="","",IFERROR(IF(INDEX(Profile!$G$5:$G$304,MATCH($D506,lst_Profil,0))&lt;&gt;"",INDEX(Profile!$G$5:$G$304,MATCH($D506,lst_Profil,0)),$H$4),$H$4))</f>
        <v/>
      </c>
      <c r="S506" s="12">
        <f>IF($D506="","",IFERROR(IF(INDEX(Profile!$H$5:$H$304,MATCH($D506,lst_Profil,0))&lt;&gt;"",INDEX(Profile!$H$5:$H$304,MATCH($D506,lst_Profil,0)),$H$5),$H$5))</f>
        <v/>
      </c>
      <c r="T506" s="16">
        <f>IF(OR(Q506="",NOT(ISNUMBER(R506)),NOT(ISNUMBER(S506))),"",Q506-R506-S506)</f>
        <v/>
      </c>
      <c r="U506" s="28">
        <f>IF(OR($D506="",$E506=""),"",IF(OR(N($AP506)&gt;0,COUNTIFS(Preise!$A$5:$A$304,$D506,Preise!$B$5:$B$304,$E506,Preise!$I$5:$I$304,"OK")&gt;0,N(INDEX(Werkstoffe!$G$5:$G$304,MATCH($E506,lst_Werkstoff,0)))&gt;0),"ja","nein"))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28">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Materialpreis",IF(AND($AQ506&lt;&gt;"",N($AR506)&gt;0,MOD($G506,$AR506)&lt;&gt;0),"WARNUNG: Stückzahl ist kein Vielfaches von Stück je Satz",IF($H506="","HINWEIS: Schneidweg fehlt",IF(V506="","HINWEIS: keine Schneiddaten",IF(AND($AF506&lt;&gt;"",$AG506=""),"HINWEIS: Gewinde-Vorschlag prüfen","OK")))))))))))))))</f>
        <v/>
      </c>
      <c r="X506" s="18">
        <f>IF(OR(O506="",$G506=""),"",O506*$G506)</f>
        <v/>
      </c>
      <c r="Y506" s="9" t="n"/>
      <c r="Z506" s="23" t="n"/>
      <c r="AA506" s="9" t="n"/>
      <c r="AB506" s="23" t="n"/>
      <c r="AC506" s="23" t="n"/>
      <c r="AD506" s="23" t="n"/>
      <c r="AE506" s="9" t="n"/>
      <c r="AF506" s="9" t="n"/>
      <c r="AG506" s="9" t="n"/>
      <c r="AH506" s="24" t="n"/>
      <c r="AI506" s="23" t="n"/>
      <c r="AJ506" s="24" t="n"/>
      <c r="AK506" s="23" t="n"/>
      <c r="AL506" s="24" t="n"/>
      <c r="AM506" s="23" t="n"/>
      <c r="AN506" s="28">
        <f>IF($D506="","",COUNTIFS(Stangenbelegung!$E$5:$E$10004,ROW()))</f>
        <v/>
      </c>
      <c r="AO506" s="28">
        <f>IF(OR($G506="",COUNTA(Stangenbelegung!$A$5:$A$10004)=0),"",$G506-AN506)</f>
        <v/>
      </c>
      <c r="AP506" s="29" t="n"/>
      <c r="AQ506" s="9" t="n"/>
      <c r="AR506" s="19" t="n"/>
    </row>
    <row r="507">
      <c r="A507" s="9" t="n"/>
      <c r="B507" s="9" t="n"/>
      <c r="C507" s="9" t="n"/>
      <c r="D507" s="9" t="n"/>
      <c r="E507" s="9" t="n"/>
      <c r="F507" s="23" t="n"/>
      <c r="G507" s="19" t="n"/>
      <c r="H507" s="23" t="n"/>
      <c r="I507" s="24" t="n"/>
      <c r="J507" s="19" t="n"/>
      <c r="K507" s="25">
        <f>IF($D507="","",IFERROR(INDEX(Profile!$B$5:$B$304,MATCH($D507,lst_Profil,0)),""))</f>
        <v/>
      </c>
      <c r="L507" s="13">
        <f>IF($D507="","",IFERROR(INDEX(Profile!$K$5:$K$304,MATCH($D507,lst_Profil,0))+0,""))</f>
        <v/>
      </c>
      <c r="M507" s="26">
        <f>IF($D507="","",IFERROR(INDEX(Profile!$E$5:$E$304,MATCH($D507,lst_Profil,0))+0,""))</f>
        <v/>
      </c>
      <c r="N507" s="27">
        <f>IF(OR(L507="",$E507=""),"",IFERROR(L507*INDEX(Werkstoffe!$E$5:$E$304,MATCH($E507,lst_Werkstoff,0))/1000,""))</f>
        <v/>
      </c>
      <c r="O507" s="27">
        <f>IF(OR(N507="",$F507=""),"",N507*$F507/1000)</f>
        <v/>
      </c>
      <c r="P507" s="16">
        <f>IF(OR($F507="",$G507=""),"",$F507*$G507)</f>
        <v/>
      </c>
      <c r="Q507" s="16">
        <f>IF($D507="","",IF($J507&lt;&gt;"",$J507,$C$9))</f>
        <v/>
      </c>
      <c r="R507" s="12">
        <f>IF($D507="","",IFERROR(IF(INDEX(Profile!$G$5:$G$304,MATCH($D507,lst_Profil,0))&lt;&gt;"",INDEX(Profile!$G$5:$G$304,MATCH($D507,lst_Profil,0)),$H$4),$H$4))</f>
        <v/>
      </c>
      <c r="S507" s="12">
        <f>IF($D507="","",IFERROR(IF(INDEX(Profile!$H$5:$H$304,MATCH($D507,lst_Profil,0))&lt;&gt;"",INDEX(Profile!$H$5:$H$304,MATCH($D507,lst_Profil,0)),$H$5),$H$5))</f>
        <v/>
      </c>
      <c r="T507" s="16">
        <f>IF(OR(Q507="",NOT(ISNUMBER(R507)),NOT(ISNUMBER(S507))),"",Q507-R507-S507)</f>
        <v/>
      </c>
      <c r="U507" s="28">
        <f>IF(OR($D507="",$E507=""),"",IF(OR(N($AP507)&gt;0,COUNTIFS(Preise!$A$5:$A$304,$D507,Preise!$B$5:$B$304,$E507,Preise!$I$5:$I$304,"OK")&gt;0,N(INDEX(Werkstoffe!$G$5:$G$304,MATCH($E507,lst_Werkstoff,0)))&gt;0),"ja","nein"))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28">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Materialpreis",IF(AND($AQ507&lt;&gt;"",N($AR507)&gt;0,MOD($G507,$AR507)&lt;&gt;0),"WARNUNG: Stückzahl ist kein Vielfaches von Stück je Satz",IF($H507="","HINWEIS: Schneidweg fehlt",IF(V507="","HINWEIS: keine Schneiddaten",IF(AND($AF507&lt;&gt;"",$AG507=""),"HINWEIS: Gewinde-Vorschlag prüfen","OK")))))))))))))))</f>
        <v/>
      </c>
      <c r="X507" s="18">
        <f>IF(OR(O507="",$G507=""),"",O507*$G507)</f>
        <v/>
      </c>
      <c r="Y507" s="9" t="n"/>
      <c r="Z507" s="23" t="n"/>
      <c r="AA507" s="9" t="n"/>
      <c r="AB507" s="23" t="n"/>
      <c r="AC507" s="23" t="n"/>
      <c r="AD507" s="23" t="n"/>
      <c r="AE507" s="9" t="n"/>
      <c r="AF507" s="9" t="n"/>
      <c r="AG507" s="9" t="n"/>
      <c r="AH507" s="24" t="n"/>
      <c r="AI507" s="23" t="n"/>
      <c r="AJ507" s="24" t="n"/>
      <c r="AK507" s="23" t="n"/>
      <c r="AL507" s="24" t="n"/>
      <c r="AM507" s="23" t="n"/>
      <c r="AN507" s="28">
        <f>IF($D507="","",COUNTIFS(Stangenbelegung!$E$5:$E$10004,ROW()))</f>
        <v/>
      </c>
      <c r="AO507" s="28">
        <f>IF(OR($G507="",COUNTA(Stangenbelegung!$A$5:$A$10004)=0),"",$G507-AN507)</f>
        <v/>
      </c>
      <c r="AP507" s="29" t="n"/>
      <c r="AQ507" s="9" t="n"/>
      <c r="AR507" s="19" t="n"/>
    </row>
    <row r="508">
      <c r="A508" s="9" t="n"/>
      <c r="B508" s="9" t="n"/>
      <c r="C508" s="9" t="n"/>
      <c r="D508" s="9" t="n"/>
      <c r="E508" s="9" t="n"/>
      <c r="F508" s="23" t="n"/>
      <c r="G508" s="19" t="n"/>
      <c r="H508" s="23" t="n"/>
      <c r="I508" s="24" t="n"/>
      <c r="J508" s="19" t="n"/>
      <c r="K508" s="25">
        <f>IF($D508="","",IFERROR(INDEX(Profile!$B$5:$B$304,MATCH($D508,lst_Profil,0)),""))</f>
        <v/>
      </c>
      <c r="L508" s="13">
        <f>IF($D508="","",IFERROR(INDEX(Profile!$K$5:$K$304,MATCH($D508,lst_Profil,0))+0,""))</f>
        <v/>
      </c>
      <c r="M508" s="26">
        <f>IF($D508="","",IFERROR(INDEX(Profile!$E$5:$E$304,MATCH($D508,lst_Profil,0))+0,""))</f>
        <v/>
      </c>
      <c r="N508" s="27">
        <f>IF(OR(L508="",$E508=""),"",IFERROR(L508*INDEX(Werkstoffe!$E$5:$E$304,MATCH($E508,lst_Werkstoff,0))/1000,""))</f>
        <v/>
      </c>
      <c r="O508" s="27">
        <f>IF(OR(N508="",$F508=""),"",N508*$F508/1000)</f>
        <v/>
      </c>
      <c r="P508" s="16">
        <f>IF(OR($F508="",$G508=""),"",$F508*$G508)</f>
        <v/>
      </c>
      <c r="Q508" s="16">
        <f>IF($D508="","",IF($J508&lt;&gt;"",$J508,$C$9))</f>
        <v/>
      </c>
      <c r="R508" s="12">
        <f>IF($D508="","",IFERROR(IF(INDEX(Profile!$G$5:$G$304,MATCH($D508,lst_Profil,0))&lt;&gt;"",INDEX(Profile!$G$5:$G$304,MATCH($D508,lst_Profil,0)),$H$4),$H$4))</f>
        <v/>
      </c>
      <c r="S508" s="12">
        <f>IF($D508="","",IFERROR(IF(INDEX(Profile!$H$5:$H$304,MATCH($D508,lst_Profil,0))&lt;&gt;"",INDEX(Profile!$H$5:$H$304,MATCH($D508,lst_Profil,0)),$H$5),$H$5))</f>
        <v/>
      </c>
      <c r="T508" s="16">
        <f>IF(OR(Q508="",NOT(ISNUMBER(R508)),NOT(ISNUMBER(S508))),"",Q508-R508-S508)</f>
        <v/>
      </c>
      <c r="U508" s="28">
        <f>IF(OR($D508="",$E508=""),"",IF(OR(N($AP508)&gt;0,COUNTIFS(Preise!$A$5:$A$304,$D508,Preise!$B$5:$B$304,$E508,Preise!$I$5:$I$304,"OK")&gt;0,N(INDEX(Werkstoffe!$G$5:$G$304,MATCH($E508,lst_Werkstoff,0)))&gt;0),"ja","nein"))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28">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Materialpreis",IF(AND($AQ508&lt;&gt;"",N($AR508)&gt;0,MOD($G508,$AR508)&lt;&gt;0),"WARNUNG: Stückzahl ist kein Vielfaches von Stück je Satz",IF($H508="","HINWEIS: Schneidweg fehlt",IF(V508="","HINWEIS: keine Schneiddaten",IF(AND($AF508&lt;&gt;"",$AG508=""),"HINWEIS: Gewinde-Vorschlag prüfen","OK")))))))))))))))</f>
        <v/>
      </c>
      <c r="X508" s="18">
        <f>IF(OR(O508="",$G508=""),"",O508*$G508)</f>
        <v/>
      </c>
      <c r="Y508" s="9" t="n"/>
      <c r="Z508" s="23" t="n"/>
      <c r="AA508" s="9" t="n"/>
      <c r="AB508" s="23" t="n"/>
      <c r="AC508" s="23" t="n"/>
      <c r="AD508" s="23" t="n"/>
      <c r="AE508" s="9" t="n"/>
      <c r="AF508" s="9" t="n"/>
      <c r="AG508" s="9" t="n"/>
      <c r="AH508" s="24" t="n"/>
      <c r="AI508" s="23" t="n"/>
      <c r="AJ508" s="24" t="n"/>
      <c r="AK508" s="23" t="n"/>
      <c r="AL508" s="24" t="n"/>
      <c r="AM508" s="23" t="n"/>
      <c r="AN508" s="28">
        <f>IF($D508="","",COUNTIFS(Stangenbelegung!$E$5:$E$10004,ROW()))</f>
        <v/>
      </c>
      <c r="AO508" s="28">
        <f>IF(OR($G508="",COUNTA(Stangenbelegung!$A$5:$A$10004)=0),"",$G508-AN508)</f>
        <v/>
      </c>
      <c r="AP508" s="29" t="n"/>
      <c r="AQ508" s="9" t="n"/>
      <c r="AR508" s="19" t="n"/>
    </row>
    <row r="509">
      <c r="A509" s="9" t="n"/>
      <c r="B509" s="9" t="n"/>
      <c r="C509" s="9" t="n"/>
      <c r="D509" s="9" t="n"/>
      <c r="E509" s="9" t="n"/>
      <c r="F509" s="23" t="n"/>
      <c r="G509" s="19" t="n"/>
      <c r="H509" s="23" t="n"/>
      <c r="I509" s="24" t="n"/>
      <c r="J509" s="19" t="n"/>
      <c r="K509" s="25">
        <f>IF($D509="","",IFERROR(INDEX(Profile!$B$5:$B$304,MATCH($D509,lst_Profil,0)),""))</f>
        <v/>
      </c>
      <c r="L509" s="13">
        <f>IF($D509="","",IFERROR(INDEX(Profile!$K$5:$K$304,MATCH($D509,lst_Profil,0))+0,""))</f>
        <v/>
      </c>
      <c r="M509" s="26">
        <f>IF($D509="","",IFERROR(INDEX(Profile!$E$5:$E$304,MATCH($D509,lst_Profil,0))+0,""))</f>
        <v/>
      </c>
      <c r="N509" s="27">
        <f>IF(OR(L509="",$E509=""),"",IFERROR(L509*INDEX(Werkstoffe!$E$5:$E$304,MATCH($E509,lst_Werkstoff,0))/1000,""))</f>
        <v/>
      </c>
      <c r="O509" s="27">
        <f>IF(OR(N509="",$F509=""),"",N509*$F509/1000)</f>
        <v/>
      </c>
      <c r="P509" s="16">
        <f>IF(OR($F509="",$G509=""),"",$F509*$G509)</f>
        <v/>
      </c>
      <c r="Q509" s="16">
        <f>IF($D509="","",IF($J509&lt;&gt;"",$J509,$C$9))</f>
        <v/>
      </c>
      <c r="R509" s="12">
        <f>IF($D509="","",IFERROR(IF(INDEX(Profile!$G$5:$G$304,MATCH($D509,lst_Profil,0))&lt;&gt;"",INDEX(Profile!$G$5:$G$304,MATCH($D509,lst_Profil,0)),$H$4),$H$4))</f>
        <v/>
      </c>
      <c r="S509" s="12">
        <f>IF($D509="","",IFERROR(IF(INDEX(Profile!$H$5:$H$304,MATCH($D509,lst_Profil,0))&lt;&gt;"",INDEX(Profile!$H$5:$H$304,MATCH($D509,lst_Profil,0)),$H$5),$H$5))</f>
        <v/>
      </c>
      <c r="T509" s="16">
        <f>IF(OR(Q509="",NOT(ISNUMBER(R509)),NOT(ISNUMBER(S509))),"",Q509-R509-S509)</f>
        <v/>
      </c>
      <c r="U509" s="28">
        <f>IF(OR($D509="",$E509=""),"",IF(OR(N($AP509)&gt;0,COUNTIFS(Preise!$A$5:$A$304,$D509,Preise!$B$5:$B$304,$E509,Preise!$I$5:$I$304,"OK")&gt;0,N(INDEX(Werkstoffe!$G$5:$G$304,MATCH($E509,lst_Werkstoff,0)))&gt;0),"ja","nein"))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28">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Materialpreis",IF(AND($AQ509&lt;&gt;"",N($AR509)&gt;0,MOD($G509,$AR509)&lt;&gt;0),"WARNUNG: Stückzahl ist kein Vielfaches von Stück je Satz",IF($H509="","HINWEIS: Schneidweg fehlt",IF(V509="","HINWEIS: keine Schneiddaten",IF(AND($AF509&lt;&gt;"",$AG509=""),"HINWEIS: Gewinde-Vorschlag prüfen","OK")))))))))))))))</f>
        <v/>
      </c>
      <c r="X509" s="18">
        <f>IF(OR(O509="",$G509=""),"",O509*$G509)</f>
        <v/>
      </c>
      <c r="Y509" s="9" t="n"/>
      <c r="Z509" s="23" t="n"/>
      <c r="AA509" s="9" t="n"/>
      <c r="AB509" s="23" t="n"/>
      <c r="AC509" s="23" t="n"/>
      <c r="AD509" s="23" t="n"/>
      <c r="AE509" s="9" t="n"/>
      <c r="AF509" s="9" t="n"/>
      <c r="AG509" s="9" t="n"/>
      <c r="AH509" s="24" t="n"/>
      <c r="AI509" s="23" t="n"/>
      <c r="AJ509" s="24" t="n"/>
      <c r="AK509" s="23" t="n"/>
      <c r="AL509" s="24" t="n"/>
      <c r="AM509" s="23" t="n"/>
      <c r="AN509" s="28">
        <f>IF($D509="","",COUNTIFS(Stangenbelegung!$E$5:$E$10004,ROW()))</f>
        <v/>
      </c>
      <c r="AO509" s="28">
        <f>IF(OR($G509="",COUNTA(Stangenbelegung!$A$5:$A$10004)=0),"",$G509-AN509)</f>
        <v/>
      </c>
      <c r="AP509" s="29" t="n"/>
      <c r="AQ509" s="9" t="n"/>
      <c r="AR509" s="19" t="n"/>
    </row>
    <row r="510">
      <c r="A510" s="9" t="n"/>
      <c r="B510" s="9" t="n"/>
      <c r="C510" s="9" t="n"/>
      <c r="D510" s="9" t="n"/>
      <c r="E510" s="9" t="n"/>
      <c r="F510" s="23" t="n"/>
      <c r="G510" s="19" t="n"/>
      <c r="H510" s="23" t="n"/>
      <c r="I510" s="24" t="n"/>
      <c r="J510" s="19" t="n"/>
      <c r="K510" s="25">
        <f>IF($D510="","",IFERROR(INDEX(Profile!$B$5:$B$304,MATCH($D510,lst_Profil,0)),""))</f>
        <v/>
      </c>
      <c r="L510" s="13">
        <f>IF($D510="","",IFERROR(INDEX(Profile!$K$5:$K$304,MATCH($D510,lst_Profil,0))+0,""))</f>
        <v/>
      </c>
      <c r="M510" s="26">
        <f>IF($D510="","",IFERROR(INDEX(Profile!$E$5:$E$304,MATCH($D510,lst_Profil,0))+0,""))</f>
        <v/>
      </c>
      <c r="N510" s="27">
        <f>IF(OR(L510="",$E510=""),"",IFERROR(L510*INDEX(Werkstoffe!$E$5:$E$304,MATCH($E510,lst_Werkstoff,0))/1000,""))</f>
        <v/>
      </c>
      <c r="O510" s="27">
        <f>IF(OR(N510="",$F510=""),"",N510*$F510/1000)</f>
        <v/>
      </c>
      <c r="P510" s="16">
        <f>IF(OR($F510="",$G510=""),"",$F510*$G510)</f>
        <v/>
      </c>
      <c r="Q510" s="16">
        <f>IF($D510="","",IF($J510&lt;&gt;"",$J510,$C$9))</f>
        <v/>
      </c>
      <c r="R510" s="12">
        <f>IF($D510="","",IFERROR(IF(INDEX(Profile!$G$5:$G$304,MATCH($D510,lst_Profil,0))&lt;&gt;"",INDEX(Profile!$G$5:$G$304,MATCH($D510,lst_Profil,0)),$H$4),$H$4))</f>
        <v/>
      </c>
      <c r="S510" s="12">
        <f>IF($D510="","",IFERROR(IF(INDEX(Profile!$H$5:$H$304,MATCH($D510,lst_Profil,0))&lt;&gt;"",INDEX(Profile!$H$5:$H$304,MATCH($D510,lst_Profil,0)),$H$5),$H$5))</f>
        <v/>
      </c>
      <c r="T510" s="16">
        <f>IF(OR(Q510="",NOT(ISNUMBER(R510)),NOT(ISNUMBER(S510))),"",Q510-R510-S510)</f>
        <v/>
      </c>
      <c r="U510" s="28">
        <f>IF(OR($D510="",$E510=""),"",IF(OR(N($AP510)&gt;0,COUNTIFS(Preise!$A$5:$A$304,$D510,Preise!$B$5:$B$304,$E510,Preise!$I$5:$I$304,"OK")&gt;0,N(INDEX(Werkstoffe!$G$5:$G$304,MATCH($E510,lst_Werkstoff,0)))&gt;0),"ja","nein"))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28">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Materialpreis",IF(AND($AQ510&lt;&gt;"",N($AR510)&gt;0,MOD($G510,$AR510)&lt;&gt;0),"WARNUNG: Stückzahl ist kein Vielfaches von Stück je Satz",IF($H510="","HINWEIS: Schneidweg fehlt",IF(V510="","HINWEIS: keine Schneiddaten",IF(AND($AF510&lt;&gt;"",$AG510=""),"HINWEIS: Gewinde-Vorschlag prüfen","OK")))))))))))))))</f>
        <v/>
      </c>
      <c r="X510" s="18">
        <f>IF(OR(O510="",$G510=""),"",O510*$G510)</f>
        <v/>
      </c>
      <c r="Y510" s="9" t="n"/>
      <c r="Z510" s="23" t="n"/>
      <c r="AA510" s="9" t="n"/>
      <c r="AB510" s="23" t="n"/>
      <c r="AC510" s="23" t="n"/>
      <c r="AD510" s="23" t="n"/>
      <c r="AE510" s="9" t="n"/>
      <c r="AF510" s="9" t="n"/>
      <c r="AG510" s="9" t="n"/>
      <c r="AH510" s="24" t="n"/>
      <c r="AI510" s="23" t="n"/>
      <c r="AJ510" s="24" t="n"/>
      <c r="AK510" s="23" t="n"/>
      <c r="AL510" s="24" t="n"/>
      <c r="AM510" s="23" t="n"/>
      <c r="AN510" s="28">
        <f>IF($D510="","",COUNTIFS(Stangenbelegung!$E$5:$E$10004,ROW()))</f>
        <v/>
      </c>
      <c r="AO510" s="28">
        <f>IF(OR($G510="",COUNTA(Stangenbelegung!$A$5:$A$10004)=0),"",$G510-AN510)</f>
        <v/>
      </c>
      <c r="AP510" s="29" t="n"/>
      <c r="AQ510" s="9" t="n"/>
      <c r="AR510" s="19" t="n"/>
    </row>
    <row r="511">
      <c r="A511" s="9" t="n"/>
      <c r="B511" s="9" t="n"/>
      <c r="C511" s="9" t="n"/>
      <c r="D511" s="9" t="n"/>
      <c r="E511" s="9" t="n"/>
      <c r="F511" s="23" t="n"/>
      <c r="G511" s="19" t="n"/>
      <c r="H511" s="23" t="n"/>
      <c r="I511" s="24" t="n"/>
      <c r="J511" s="19" t="n"/>
      <c r="K511" s="25">
        <f>IF($D511="","",IFERROR(INDEX(Profile!$B$5:$B$304,MATCH($D511,lst_Profil,0)),""))</f>
        <v/>
      </c>
      <c r="L511" s="13">
        <f>IF($D511="","",IFERROR(INDEX(Profile!$K$5:$K$304,MATCH($D511,lst_Profil,0))+0,""))</f>
        <v/>
      </c>
      <c r="M511" s="26">
        <f>IF($D511="","",IFERROR(INDEX(Profile!$E$5:$E$304,MATCH($D511,lst_Profil,0))+0,""))</f>
        <v/>
      </c>
      <c r="N511" s="27">
        <f>IF(OR(L511="",$E511=""),"",IFERROR(L511*INDEX(Werkstoffe!$E$5:$E$304,MATCH($E511,lst_Werkstoff,0))/1000,""))</f>
        <v/>
      </c>
      <c r="O511" s="27">
        <f>IF(OR(N511="",$F511=""),"",N511*$F511/1000)</f>
        <v/>
      </c>
      <c r="P511" s="16">
        <f>IF(OR($F511="",$G511=""),"",$F511*$G511)</f>
        <v/>
      </c>
      <c r="Q511" s="16">
        <f>IF($D511="","",IF($J511&lt;&gt;"",$J511,$C$9))</f>
        <v/>
      </c>
      <c r="R511" s="12">
        <f>IF($D511="","",IFERROR(IF(INDEX(Profile!$G$5:$G$304,MATCH($D511,lst_Profil,0))&lt;&gt;"",INDEX(Profile!$G$5:$G$304,MATCH($D511,lst_Profil,0)),$H$4),$H$4))</f>
        <v/>
      </c>
      <c r="S511" s="12">
        <f>IF($D511="","",IFERROR(IF(INDEX(Profile!$H$5:$H$304,MATCH($D511,lst_Profil,0))&lt;&gt;"",INDEX(Profile!$H$5:$H$304,MATCH($D511,lst_Profil,0)),$H$5),$H$5))</f>
        <v/>
      </c>
      <c r="T511" s="16">
        <f>IF(OR(Q511="",NOT(ISNUMBER(R511)),NOT(ISNUMBER(S511))),"",Q511-R511-S511)</f>
        <v/>
      </c>
      <c r="U511" s="28">
        <f>IF(OR($D511="",$E511=""),"",IF(OR(N($AP511)&gt;0,COUNTIFS(Preise!$A$5:$A$304,$D511,Preise!$B$5:$B$304,$E511,Preise!$I$5:$I$304,"OK")&gt;0,N(INDEX(Werkstoffe!$G$5:$G$304,MATCH($E511,lst_Werkstoff,0)))&gt;0),"ja","nein"))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28">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Materialpreis",IF(AND($AQ511&lt;&gt;"",N($AR511)&gt;0,MOD($G511,$AR511)&lt;&gt;0),"WARNUNG: Stückzahl ist kein Vielfaches von Stück je Satz",IF($H511="","HINWEIS: Schneidweg fehlt",IF(V511="","HINWEIS: keine Schneiddaten",IF(AND($AF511&lt;&gt;"",$AG511=""),"HINWEIS: Gewinde-Vorschlag prüfen","OK")))))))))))))))</f>
        <v/>
      </c>
      <c r="X511" s="18">
        <f>IF(OR(O511="",$G511=""),"",O511*$G511)</f>
        <v/>
      </c>
      <c r="Y511" s="9" t="n"/>
      <c r="Z511" s="23" t="n"/>
      <c r="AA511" s="9" t="n"/>
      <c r="AB511" s="23" t="n"/>
      <c r="AC511" s="23" t="n"/>
      <c r="AD511" s="23" t="n"/>
      <c r="AE511" s="9" t="n"/>
      <c r="AF511" s="9" t="n"/>
      <c r="AG511" s="9" t="n"/>
      <c r="AH511" s="24" t="n"/>
      <c r="AI511" s="23" t="n"/>
      <c r="AJ511" s="24" t="n"/>
      <c r="AK511" s="23" t="n"/>
      <c r="AL511" s="24" t="n"/>
      <c r="AM511" s="23" t="n"/>
      <c r="AN511" s="28">
        <f>IF($D511="","",COUNTIFS(Stangenbelegung!$E$5:$E$10004,ROW()))</f>
        <v/>
      </c>
      <c r="AO511" s="28">
        <f>IF(OR($G511="",COUNTA(Stangenbelegung!$A$5:$A$10004)=0),"",$G511-AN511)</f>
        <v/>
      </c>
      <c r="AP511" s="29" t="n"/>
      <c r="AQ511" s="9" t="n"/>
      <c r="AR511" s="19" t="n"/>
    </row>
    <row r="512">
      <c r="A512" s="9" t="n"/>
      <c r="B512" s="9" t="n"/>
      <c r="C512" s="9" t="n"/>
      <c r="D512" s="9" t="n"/>
      <c r="E512" s="9" t="n"/>
      <c r="F512" s="23" t="n"/>
      <c r="G512" s="19" t="n"/>
      <c r="H512" s="23" t="n"/>
      <c r="I512" s="24" t="n"/>
      <c r="J512" s="19" t="n"/>
      <c r="K512" s="25">
        <f>IF($D512="","",IFERROR(INDEX(Profile!$B$5:$B$304,MATCH($D512,lst_Profil,0)),""))</f>
        <v/>
      </c>
      <c r="L512" s="13">
        <f>IF($D512="","",IFERROR(INDEX(Profile!$K$5:$K$304,MATCH($D512,lst_Profil,0))+0,""))</f>
        <v/>
      </c>
      <c r="M512" s="26">
        <f>IF($D512="","",IFERROR(INDEX(Profile!$E$5:$E$304,MATCH($D512,lst_Profil,0))+0,""))</f>
        <v/>
      </c>
      <c r="N512" s="27">
        <f>IF(OR(L512="",$E512=""),"",IFERROR(L512*INDEX(Werkstoffe!$E$5:$E$304,MATCH($E512,lst_Werkstoff,0))/1000,""))</f>
        <v/>
      </c>
      <c r="O512" s="27">
        <f>IF(OR(N512="",$F512=""),"",N512*$F512/1000)</f>
        <v/>
      </c>
      <c r="P512" s="16">
        <f>IF(OR($F512="",$G512=""),"",$F512*$G512)</f>
        <v/>
      </c>
      <c r="Q512" s="16">
        <f>IF($D512="","",IF($J512&lt;&gt;"",$J512,$C$9))</f>
        <v/>
      </c>
      <c r="R512" s="12">
        <f>IF($D512="","",IFERROR(IF(INDEX(Profile!$G$5:$G$304,MATCH($D512,lst_Profil,0))&lt;&gt;"",INDEX(Profile!$G$5:$G$304,MATCH($D512,lst_Profil,0)),$H$4),$H$4))</f>
        <v/>
      </c>
      <c r="S512" s="12">
        <f>IF($D512="","",IFERROR(IF(INDEX(Profile!$H$5:$H$304,MATCH($D512,lst_Profil,0))&lt;&gt;"",INDEX(Profile!$H$5:$H$304,MATCH($D512,lst_Profil,0)),$H$5),$H$5))</f>
        <v/>
      </c>
      <c r="T512" s="16">
        <f>IF(OR(Q512="",NOT(ISNUMBER(R512)),NOT(ISNUMBER(S512))),"",Q512-R512-S512)</f>
        <v/>
      </c>
      <c r="U512" s="28">
        <f>IF(OR($D512="",$E512=""),"",IF(OR(N($AP512)&gt;0,COUNTIFS(Preise!$A$5:$A$304,$D512,Preise!$B$5:$B$304,$E512,Preise!$I$5:$I$304,"OK")&gt;0,N(INDEX(Werkstoffe!$G$5:$G$304,MATCH($E512,lst_Werkstoff,0)))&gt;0),"ja","nein"))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28">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Materialpreis",IF(AND($AQ512&lt;&gt;"",N($AR512)&gt;0,MOD($G512,$AR512)&lt;&gt;0),"WARNUNG: Stückzahl ist kein Vielfaches von Stück je Satz",IF($H512="","HINWEIS: Schneidweg fehlt",IF(V512="","HINWEIS: keine Schneiddaten",IF(AND($AF512&lt;&gt;"",$AG512=""),"HINWEIS: Gewinde-Vorschlag prüfen","OK")))))))))))))))</f>
        <v/>
      </c>
      <c r="X512" s="18">
        <f>IF(OR(O512="",$G512=""),"",O512*$G512)</f>
        <v/>
      </c>
      <c r="Y512" s="9" t="n"/>
      <c r="Z512" s="23" t="n"/>
      <c r="AA512" s="9" t="n"/>
      <c r="AB512" s="23" t="n"/>
      <c r="AC512" s="23" t="n"/>
      <c r="AD512" s="23" t="n"/>
      <c r="AE512" s="9" t="n"/>
      <c r="AF512" s="9" t="n"/>
      <c r="AG512" s="9" t="n"/>
      <c r="AH512" s="24" t="n"/>
      <c r="AI512" s="23" t="n"/>
      <c r="AJ512" s="24" t="n"/>
      <c r="AK512" s="23" t="n"/>
      <c r="AL512" s="24" t="n"/>
      <c r="AM512" s="23" t="n"/>
      <c r="AN512" s="28">
        <f>IF($D512="","",COUNTIFS(Stangenbelegung!$E$5:$E$10004,ROW()))</f>
        <v/>
      </c>
      <c r="AO512" s="28">
        <f>IF(OR($G512="",COUNTA(Stangenbelegung!$A$5:$A$10004)=0),"",$G512-AN512)</f>
        <v/>
      </c>
      <c r="AP512" s="29" t="n"/>
      <c r="AQ512" s="9" t="n"/>
      <c r="AR512" s="19" t="n"/>
    </row>
  </sheetData>
  <autoFilter ref="A12:AO512"/>
  <mergeCells count="26">
    <mergeCell ref="F4:G4"/>
    <mergeCell ref="J6:L6"/>
    <mergeCell ref="C10:H10"/>
    <mergeCell ref="C6:D6"/>
    <mergeCell ref="C5:D5"/>
    <mergeCell ref="F6:G6"/>
    <mergeCell ref="J9:L9"/>
    <mergeCell ref="J4:L4"/>
    <mergeCell ref="A6:B6"/>
    <mergeCell ref="F7:G7"/>
    <mergeCell ref="C4:D4"/>
    <mergeCell ref="J7:L7"/>
    <mergeCell ref="A7:B7"/>
    <mergeCell ref="F5:G5"/>
    <mergeCell ref="C9:D9"/>
    <mergeCell ref="F8:G8"/>
    <mergeCell ref="A5:B5"/>
    <mergeCell ref="J8:L8"/>
    <mergeCell ref="A8:B8"/>
    <mergeCell ref="F9:G9"/>
    <mergeCell ref="C8:D8"/>
    <mergeCell ref="A4:B4"/>
    <mergeCell ref="J5:L5"/>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5">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P13:AP512" showDropDown="0" showInputMessage="0" showErrorMessage="1" allowBlank="1" errorTitle="Ungültige Eingabe" error="Materialpreis je Meter in € (≥ 0), leer = Preis aus den Stammdaten." type="decimal" operator="between">
      <formula1>0</formula1>
      <formula2>100000</formula2>
    </dataValidation>
    <dataValidation sqref="AR13:AR512" showDropDown="0" showInputMessage="0" showErrorMessage="1" allowBlank="1" errorTitle="Ungültige Eingabe" error="Stück je Satz als ganze Zahl ≥ 1, leer = 1." type="whole" operator="between">
      <formula1>1</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pageSetup orientation="landscape" fitToHeight="0" fitToWidth="1"/>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0"/>
    <pageSetUpPr fitToPage="1"/>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hidden="1" outlineLevel="1" width="11" customWidth="1" min="4" max="18"/>
    <col width="11" customWidth="1" min="19" max="19"/>
    <col width="11" customWidth="1" min="20" max="20"/>
    <col width="12" customWidth="1" min="21" max="21"/>
    <col width="12" customWidth="1" min="22" max="22"/>
    <col width="30" customWidth="1" min="23" max="23"/>
    <col hidden="1" outlineLevel="1" width="11" customWidth="1" min="24"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H3" s="2" t="inlineStr">
        <is>
          <t>Summen Auftrag</t>
        </is>
      </c>
    </row>
    <row r="4">
      <c r="A4" s="3" t="inlineStr">
        <is>
          <t>Zuschlag Material</t>
        </is>
      </c>
      <c r="C4" s="30" t="n">
        <v>0.1</v>
      </c>
      <c r="D4" s="3" t="inlineStr">
        <is>
          <t>Rüstzeit je Auftrag [min]</t>
        </is>
      </c>
      <c r="F4" s="12">
        <f>IFERROR(INDEX(Maschinen!$K$5:$K$304,MATCH(Auftrag!$C$8,lst_Maschine,0))+0,0)</f>
        <v/>
      </c>
      <c r="H4" s="3" t="inlineStr">
        <is>
          <t>Material [€]</t>
        </is>
      </c>
      <c r="K4" s="31">
        <f>SUM($X$13:$X$512)</f>
        <v/>
      </c>
    </row>
    <row r="5">
      <c r="A5" s="3" t="inlineStr">
        <is>
          <t>Zuschlag Fertigung</t>
        </is>
      </c>
      <c r="C5" s="30" t="n">
        <v>0.15</v>
      </c>
      <c r="D5" s="3" t="inlineStr">
        <is>
          <t>Stangenwechsel je Stange [s]</t>
        </is>
      </c>
      <c r="F5" s="12">
        <f>IFERROR(INDEX(Maschinen!$L$5:$L$304,MATCH(Auftrag!$C$8,lst_Maschine,0))+0,0)</f>
        <v/>
      </c>
      <c r="H5" s="3" t="inlineStr">
        <is>
          <t>Laser + Gewinde [€]</t>
        </is>
      </c>
      <c r="K5" s="31">
        <f>SUM($Y$13:$Y$512)</f>
        <v/>
      </c>
    </row>
    <row r="6">
      <c r="A6" s="3" t="inlineStr">
        <is>
          <t>Gewinn</t>
        </is>
      </c>
      <c r="C6" s="30" t="n">
        <v>0.1</v>
      </c>
      <c r="D6" s="3" t="inlineStr">
        <is>
          <t>Stangen laut Schnittplan</t>
        </is>
      </c>
      <c r="F6" s="12">
        <f>COUNT(Schnittplan!$A$5:$A$1004)</f>
        <v/>
      </c>
      <c r="H6" s="3" t="inlineStr">
        <is>
          <t>Rüsten + Stangenwechsel [€]</t>
        </is>
      </c>
      <c r="K6" s="31">
        <f>F7</f>
        <v/>
      </c>
    </row>
    <row r="7">
      <c r="D7" s="3" t="inlineStr">
        <is>
          <t>Rüsten + Stangenwechsel [€]</t>
        </is>
      </c>
      <c r="F7" s="18">
        <f>(F4*60+F5*F6)/3600*N(Auftrag!$H$8)</f>
        <v/>
      </c>
      <c r="H7" s="3" t="inlineStr">
        <is>
          <t>Herstellkosten [€]</t>
        </is>
      </c>
      <c r="K7" s="31">
        <f>SUM($V$13:$V$512)</f>
        <v/>
      </c>
    </row>
    <row r="8">
      <c r="D8" s="3" t="inlineStr">
        <is>
          <t>Teile gesamt [Stk]</t>
        </is>
      </c>
      <c r="F8" s="16">
        <f>SUM($C$13:$C$512)</f>
        <v/>
      </c>
      <c r="H8" s="3" t="inlineStr">
        <is>
          <t>Verkaufspreis Auftrag [€]</t>
        </is>
      </c>
      <c r="K8" s="31">
        <f>SUM($U$13:$U$512)</f>
        <v/>
      </c>
    </row>
    <row r="10">
      <c r="A10" s="3" t="inlineStr">
        <is>
          <t>Stand Optimierung</t>
        </is>
      </c>
      <c r="C10" s="20">
        <f>IF(COUNT(Schnittplan!$A$5:$A$1004)=0,"noch nicht optimiert",IF(Listen!$E$5="ja","VERALTET – Auftrag geändert, bitte neu optimieren","aktuell"))</f>
        <v/>
      </c>
      <c r="D10" s="21" t="n"/>
      <c r="E10" s="21" t="n"/>
      <c r="F10" s="10" t="n"/>
    </row>
    <row r="12" ht="60" customHeight="1">
      <c r="A12" s="22" t="inlineStr">
        <is>
          <t>Pos.</t>
        </is>
      </c>
      <c r="B12" s="22" t="inlineStr">
        <is>
          <t>Artikelnummer</t>
        </is>
      </c>
      <c r="C12" s="22" t="inlineStr">
        <is>
          <t>Stückzahl</t>
        </is>
      </c>
      <c r="D12" s="22" t="inlineStr">
        <is>
          <t>Materialkosten Gruppe [€]</t>
        </is>
      </c>
      <c r="E12" s="22" t="inlineStr">
        <is>
          <t>Längenanteil an Gruppe</t>
        </is>
      </c>
      <c r="F12" s="22" t="inlineStr">
        <is>
          <t>Material je Teil [€]</t>
        </is>
      </c>
      <c r="G12" s="22" t="inlineStr">
        <is>
          <t>Wandstärke-Stufe [mm]</t>
        </is>
      </c>
      <c r="H12" s="22" t="inlineStr">
        <is>
          <t>Vorschub groß [mm/min]</t>
        </is>
      </c>
      <c r="I12" s="22" t="inlineStr">
        <is>
          <t>Vorschub mittel [mm/min]</t>
        </is>
      </c>
      <c r="J12" s="22" t="inlineStr">
        <is>
          <t>Vorschub klein [mm/min]</t>
        </is>
      </c>
      <c r="K12" s="22" t="inlineStr">
        <is>
          <t>Vorschub Gravur [mm/min]</t>
        </is>
      </c>
      <c r="L12" s="22" t="inlineStr">
        <is>
          <t>Einstechzeit [s]</t>
        </is>
      </c>
      <c r="M12" s="22" t="inlineStr">
        <is>
          <t>Laserzeit brutto je Teil [s]</t>
        </is>
      </c>
      <c r="N12" s="22" t="inlineStr">
        <is>
          <t>Einsparung gemeinsame Schnitte je Teil [s]</t>
        </is>
      </c>
      <c r="O12" s="22" t="inlineStr">
        <is>
          <t>Laserzeit netto je Teil [s]</t>
        </is>
      </c>
      <c r="P12" s="22" t="inlineStr">
        <is>
          <t>Gewindezeit je Teil [s]</t>
        </is>
      </c>
      <c r="Q12" s="22" t="inlineStr">
        <is>
          <t>Laser + Gewinde je Teil [€]</t>
        </is>
      </c>
      <c r="R12" s="22" t="inlineStr">
        <is>
          <t>Rüsten + Stangenwechsel je Teil [€]</t>
        </is>
      </c>
      <c r="S12" s="22" t="inlineStr">
        <is>
          <t>Herstellkosten je Teil [€]</t>
        </is>
      </c>
      <c r="T12" s="22" t="inlineStr">
        <is>
          <t>Verkaufspreis je Teil [€]</t>
        </is>
      </c>
      <c r="U12" s="22" t="inlineStr">
        <is>
          <t>Verkaufspreis Position [€]</t>
        </is>
      </c>
      <c r="V12" s="22" t="inlineStr">
        <is>
          <t>Herstellkosten Position [€]</t>
        </is>
      </c>
      <c r="W12" s="22" t="inlineStr">
        <is>
          <t>Hinweis</t>
        </is>
      </c>
      <c r="X12" s="22" t="inlineStr">
        <is>
          <t>Material Position [€]</t>
        </is>
      </c>
      <c r="Y12" s="22" t="inlineStr">
        <is>
          <t>Laser + Gewinde Position [€]</t>
        </is>
      </c>
    </row>
    <row r="13">
      <c r="A13" s="25">
        <f>IF(Auftrag!$D13="","",Auftrag!$A13)</f>
        <v/>
      </c>
      <c r="B13" s="25">
        <f>IF($A13="","",Auftrag!$B13)</f>
        <v/>
      </c>
      <c r="C13" s="15">
        <f>IF($A13="","",N(Auftrag!$G13))</f>
        <v/>
      </c>
      <c r="D13" s="18">
        <f>IF($A13="","",SUMIFS(Schnittplan!$R$5:$R$1004,Schnittplan!$B$5:$B$1004,Auftrag!$D13,Schnittplan!$C$5:$C$1004,Auftrag!$E13,Schnittplan!$D$5:$D$1004,Auftrag!$Q13))</f>
        <v/>
      </c>
      <c r="E13" s="32">
        <f>IF($A13="","",IFERROR(N(Auftrag!$P13)/SUMIFS(Auftrag!$P$13:$P$512,Auftrag!$D$13:$D$512,Auftrag!$D13,Auftrag!$E$13:$E$512,Auftrag!$E13,Auftrag!$Q$13:$Q$512,Auftrag!$Q13),0))</f>
        <v/>
      </c>
      <c r="F13" s="33">
        <f>IF($A13="","",IF($C13=0,0,$D13*$E13/$C13))</f>
        <v/>
      </c>
      <c r="G13" s="34">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5">
        <f>IF($A13="","",IF($H13="","",60*((N(Auftrag!$H13)-N(Auftrag!$AI13)-N(Auftrag!$AK13))/$H13+N(Auftrag!$AI13)/$J13+N(Auftrag!$AK13)/$I13+N(Auftrag!$AD13)/$K13)+N(Auftrag!$I13)*$L13))</f>
        <v/>
      </c>
      <c r="N13" s="35">
        <f>IF($A13="","",IF(OR($H13="",$C13=0),0,(60*SUMIFS(Stangenbelegung!$K$5:$K$10004,Stangenbelegung!$E$5:$E$10004,ROW())/$H13+SUMIFS(Stangenbelegung!$L$5:$L$10004,Stangenbelegung!$E$5:$E$10004,ROW())*$L13)/$C13))</f>
        <v/>
      </c>
      <c r="O13" s="35">
        <f>IF($A13="","",IF($M13="","",MAX(0,$M13-$N13)))</f>
        <v/>
      </c>
      <c r="P13" s="35">
        <f>IF($A13="","",IFERROR(SUMPRODUCT(--("0"&amp;TRIM(RIGHT(SUBSTITUTE(LEFT(";"&amp;SUBSTITUTE(UPPER(Auftrag!$AG13)," ","")&amp;";"&amp;"X"&amp;UPPER(Gewinde!$A$5:$A$54)&amp;";",SEARCH("X"&amp;UPPER(Gewinde!$A$5:$A$54)&amp;";",";"&amp;SUBSTITUTE(UPPER(Auftrag!$AG13)," ","")&amp;";"&amp;"X"&amp;UPPER(Gewinde!$A$5:$A$54)&amp;";")-1),";",REPT(" ",50)),50))),Gewinde!$C$5:$C$54),0))</f>
        <v/>
      </c>
      <c r="Q13" s="33">
        <f>IF($A13="","",(N($O13)+$P13)/3600*N(Auftrag!$H$8))</f>
        <v/>
      </c>
      <c r="R13" s="33">
        <f>IF($A13="","",IF($F$8=0,0,$F$7/$F$8))</f>
        <v/>
      </c>
      <c r="S13" s="33">
        <f>IF($A13="","",$F13*(1+$C$4)+($Q13+$R13)*(1+$C$5))</f>
        <v/>
      </c>
      <c r="T13" s="33">
        <f>IF($A13="","",$S13*(1+$C$6))</f>
        <v/>
      </c>
      <c r="U13" s="18">
        <f>IF($A13="","",$T13*$C13)</f>
        <v/>
      </c>
      <c r="V13" s="18">
        <f>IF($A13="","",$S13*$C13)</f>
        <v/>
      </c>
      <c r="W13" s="28">
        <f>IF($A13="","",IF(N(Auftrag!$AO13)&gt;0,"nicht vollständig eingeplant",IF($D13=0,"kein Schnittplan oder Preis",IF($H13="","keine Schneiddaten",IF(AND(Auftrag!$AF13&lt;&gt;"",Auftrag!$AG13=""),"Gewinde ungeprüft","")))))</f>
        <v/>
      </c>
      <c r="X13" s="18">
        <f>IF($A13="","",$F13*$C13)</f>
        <v/>
      </c>
      <c r="Y13" s="18">
        <f>IF($A13="","",$Q13*$C13)</f>
        <v/>
      </c>
    </row>
    <row r="14">
      <c r="A14" s="25">
        <f>IF(Auftrag!$D14="","",Auftrag!$A14)</f>
        <v/>
      </c>
      <c r="B14" s="25">
        <f>IF($A14="","",Auftrag!$B14)</f>
        <v/>
      </c>
      <c r="C14" s="15">
        <f>IF($A14="","",N(Auftrag!$G14))</f>
        <v/>
      </c>
      <c r="D14" s="18">
        <f>IF($A14="","",SUMIFS(Schnittplan!$R$5:$R$1004,Schnittplan!$B$5:$B$1004,Auftrag!$D14,Schnittplan!$C$5:$C$1004,Auftrag!$E14,Schnittplan!$D$5:$D$1004,Auftrag!$Q14))</f>
        <v/>
      </c>
      <c r="E14" s="32">
        <f>IF($A14="","",IFERROR(N(Auftrag!$P14)/SUMIFS(Auftrag!$P$13:$P$512,Auftrag!$D$13:$D$512,Auftrag!$D14,Auftrag!$E$13:$E$512,Auftrag!$E14,Auftrag!$Q$13:$Q$512,Auftrag!$Q14),0))</f>
        <v/>
      </c>
      <c r="F14" s="33">
        <f>IF($A14="","",IF($C14=0,0,$D14*$E14/$C14))</f>
        <v/>
      </c>
      <c r="G14" s="34">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5">
        <f>IF($A14="","",IF($H14="","",60*((N(Auftrag!$H14)-N(Auftrag!$AI14)-N(Auftrag!$AK14))/$H14+N(Auftrag!$AI14)/$J14+N(Auftrag!$AK14)/$I14+N(Auftrag!$AD14)/$K14)+N(Auftrag!$I14)*$L14))</f>
        <v/>
      </c>
      <c r="N14" s="35">
        <f>IF($A14="","",IF(OR($H14="",$C14=0),0,(60*SUMIFS(Stangenbelegung!$K$5:$K$10004,Stangenbelegung!$E$5:$E$10004,ROW())/$H14+SUMIFS(Stangenbelegung!$L$5:$L$10004,Stangenbelegung!$E$5:$E$10004,ROW())*$L14)/$C14))</f>
        <v/>
      </c>
      <c r="O14" s="35">
        <f>IF($A14="","",IF($M14="","",MAX(0,$M14-$N14)))</f>
        <v/>
      </c>
      <c r="P14" s="35">
        <f>IF($A14="","",IFERROR(SUMPRODUCT(--("0"&amp;TRIM(RIGHT(SUBSTITUTE(LEFT(";"&amp;SUBSTITUTE(UPPER(Auftrag!$AG14)," ","")&amp;";"&amp;"X"&amp;UPPER(Gewinde!$A$5:$A$54)&amp;";",SEARCH("X"&amp;UPPER(Gewinde!$A$5:$A$54)&amp;";",";"&amp;SUBSTITUTE(UPPER(Auftrag!$AG14)," ","")&amp;";"&amp;"X"&amp;UPPER(Gewinde!$A$5:$A$54)&amp;";")-1),";",REPT(" ",50)),50))),Gewinde!$C$5:$C$54),0))</f>
        <v/>
      </c>
      <c r="Q14" s="33">
        <f>IF($A14="","",(N($O14)+$P14)/3600*N(Auftrag!$H$8))</f>
        <v/>
      </c>
      <c r="R14" s="33">
        <f>IF($A14="","",IF($F$8=0,0,$F$7/$F$8))</f>
        <v/>
      </c>
      <c r="S14" s="33">
        <f>IF($A14="","",$F14*(1+$C$4)+($Q14+$R14)*(1+$C$5))</f>
        <v/>
      </c>
      <c r="T14" s="33">
        <f>IF($A14="","",$S14*(1+$C$6))</f>
        <v/>
      </c>
      <c r="U14" s="18">
        <f>IF($A14="","",$T14*$C14)</f>
        <v/>
      </c>
      <c r="V14" s="18">
        <f>IF($A14="","",$S14*$C14)</f>
        <v/>
      </c>
      <c r="W14" s="28">
        <f>IF($A14="","",IF(N(Auftrag!$AO14)&gt;0,"nicht vollständig eingeplant",IF($D14=0,"kein Schnittplan oder Preis",IF($H14="","keine Schneiddaten",IF(AND(Auftrag!$AF14&lt;&gt;"",Auftrag!$AG14=""),"Gewinde ungeprüft","")))))</f>
        <v/>
      </c>
      <c r="X14" s="18">
        <f>IF($A14="","",$F14*$C14)</f>
        <v/>
      </c>
      <c r="Y14" s="18">
        <f>IF($A14="","",$Q14*$C14)</f>
        <v/>
      </c>
    </row>
    <row r="15">
      <c r="A15" s="25">
        <f>IF(Auftrag!$D15="","",Auftrag!$A15)</f>
        <v/>
      </c>
      <c r="B15" s="25">
        <f>IF($A15="","",Auftrag!$B15)</f>
        <v/>
      </c>
      <c r="C15" s="15">
        <f>IF($A15="","",N(Auftrag!$G15))</f>
        <v/>
      </c>
      <c r="D15" s="18">
        <f>IF($A15="","",SUMIFS(Schnittplan!$R$5:$R$1004,Schnittplan!$B$5:$B$1004,Auftrag!$D15,Schnittplan!$C$5:$C$1004,Auftrag!$E15,Schnittplan!$D$5:$D$1004,Auftrag!$Q15))</f>
        <v/>
      </c>
      <c r="E15" s="32">
        <f>IF($A15="","",IFERROR(N(Auftrag!$P15)/SUMIFS(Auftrag!$P$13:$P$512,Auftrag!$D$13:$D$512,Auftrag!$D15,Auftrag!$E$13:$E$512,Auftrag!$E15,Auftrag!$Q$13:$Q$512,Auftrag!$Q15),0))</f>
        <v/>
      </c>
      <c r="F15" s="33">
        <f>IF($A15="","",IF($C15=0,0,$D15*$E15/$C15))</f>
        <v/>
      </c>
      <c r="G15" s="34">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5">
        <f>IF($A15="","",IF($H15="","",60*((N(Auftrag!$H15)-N(Auftrag!$AI15)-N(Auftrag!$AK15))/$H15+N(Auftrag!$AI15)/$J15+N(Auftrag!$AK15)/$I15+N(Auftrag!$AD15)/$K15)+N(Auftrag!$I15)*$L15))</f>
        <v/>
      </c>
      <c r="N15" s="35">
        <f>IF($A15="","",IF(OR($H15="",$C15=0),0,(60*SUMIFS(Stangenbelegung!$K$5:$K$10004,Stangenbelegung!$E$5:$E$10004,ROW())/$H15+SUMIFS(Stangenbelegung!$L$5:$L$10004,Stangenbelegung!$E$5:$E$10004,ROW())*$L15)/$C15))</f>
        <v/>
      </c>
      <c r="O15" s="35">
        <f>IF($A15="","",IF($M15="","",MAX(0,$M15-$N15)))</f>
        <v/>
      </c>
      <c r="P15" s="35">
        <f>IF($A15="","",IFERROR(SUMPRODUCT(--("0"&amp;TRIM(RIGHT(SUBSTITUTE(LEFT(";"&amp;SUBSTITUTE(UPPER(Auftrag!$AG15)," ","")&amp;";"&amp;"X"&amp;UPPER(Gewinde!$A$5:$A$54)&amp;";",SEARCH("X"&amp;UPPER(Gewinde!$A$5:$A$54)&amp;";",";"&amp;SUBSTITUTE(UPPER(Auftrag!$AG15)," ","")&amp;";"&amp;"X"&amp;UPPER(Gewinde!$A$5:$A$54)&amp;";")-1),";",REPT(" ",50)),50))),Gewinde!$C$5:$C$54),0))</f>
        <v/>
      </c>
      <c r="Q15" s="33">
        <f>IF($A15="","",(N($O15)+$P15)/3600*N(Auftrag!$H$8))</f>
        <v/>
      </c>
      <c r="R15" s="33">
        <f>IF($A15="","",IF($F$8=0,0,$F$7/$F$8))</f>
        <v/>
      </c>
      <c r="S15" s="33">
        <f>IF($A15="","",$F15*(1+$C$4)+($Q15+$R15)*(1+$C$5))</f>
        <v/>
      </c>
      <c r="T15" s="33">
        <f>IF($A15="","",$S15*(1+$C$6))</f>
        <v/>
      </c>
      <c r="U15" s="18">
        <f>IF($A15="","",$T15*$C15)</f>
        <v/>
      </c>
      <c r="V15" s="18">
        <f>IF($A15="","",$S15*$C15)</f>
        <v/>
      </c>
      <c r="W15" s="28">
        <f>IF($A15="","",IF(N(Auftrag!$AO15)&gt;0,"nicht vollständig eingeplant",IF($D15=0,"kein Schnittplan oder Preis",IF($H15="","keine Schneiddaten",IF(AND(Auftrag!$AF15&lt;&gt;"",Auftrag!$AG15=""),"Gewinde ungeprüft","")))))</f>
        <v/>
      </c>
      <c r="X15" s="18">
        <f>IF($A15="","",$F15*$C15)</f>
        <v/>
      </c>
      <c r="Y15" s="18">
        <f>IF($A15="","",$Q15*$C15)</f>
        <v/>
      </c>
    </row>
    <row r="16">
      <c r="A16" s="25">
        <f>IF(Auftrag!$D16="","",Auftrag!$A16)</f>
        <v/>
      </c>
      <c r="B16" s="25">
        <f>IF($A16="","",Auftrag!$B16)</f>
        <v/>
      </c>
      <c r="C16" s="15">
        <f>IF($A16="","",N(Auftrag!$G16))</f>
        <v/>
      </c>
      <c r="D16" s="18">
        <f>IF($A16="","",SUMIFS(Schnittplan!$R$5:$R$1004,Schnittplan!$B$5:$B$1004,Auftrag!$D16,Schnittplan!$C$5:$C$1004,Auftrag!$E16,Schnittplan!$D$5:$D$1004,Auftrag!$Q16))</f>
        <v/>
      </c>
      <c r="E16" s="32">
        <f>IF($A16="","",IFERROR(N(Auftrag!$P16)/SUMIFS(Auftrag!$P$13:$P$512,Auftrag!$D$13:$D$512,Auftrag!$D16,Auftrag!$E$13:$E$512,Auftrag!$E16,Auftrag!$Q$13:$Q$512,Auftrag!$Q16),0))</f>
        <v/>
      </c>
      <c r="F16" s="33">
        <f>IF($A16="","",IF($C16=0,0,$D16*$E16/$C16))</f>
        <v/>
      </c>
      <c r="G16" s="34">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5">
        <f>IF($A16="","",IF($H16="","",60*((N(Auftrag!$H16)-N(Auftrag!$AI16)-N(Auftrag!$AK16))/$H16+N(Auftrag!$AI16)/$J16+N(Auftrag!$AK16)/$I16+N(Auftrag!$AD16)/$K16)+N(Auftrag!$I16)*$L16))</f>
        <v/>
      </c>
      <c r="N16" s="35">
        <f>IF($A16="","",IF(OR($H16="",$C16=0),0,(60*SUMIFS(Stangenbelegung!$K$5:$K$10004,Stangenbelegung!$E$5:$E$10004,ROW())/$H16+SUMIFS(Stangenbelegung!$L$5:$L$10004,Stangenbelegung!$E$5:$E$10004,ROW())*$L16)/$C16))</f>
        <v/>
      </c>
      <c r="O16" s="35">
        <f>IF($A16="","",IF($M16="","",MAX(0,$M16-$N16)))</f>
        <v/>
      </c>
      <c r="P16" s="35">
        <f>IF($A16="","",IFERROR(SUMPRODUCT(--("0"&amp;TRIM(RIGHT(SUBSTITUTE(LEFT(";"&amp;SUBSTITUTE(UPPER(Auftrag!$AG16)," ","")&amp;";"&amp;"X"&amp;UPPER(Gewinde!$A$5:$A$54)&amp;";",SEARCH("X"&amp;UPPER(Gewinde!$A$5:$A$54)&amp;";",";"&amp;SUBSTITUTE(UPPER(Auftrag!$AG16)," ","")&amp;";"&amp;"X"&amp;UPPER(Gewinde!$A$5:$A$54)&amp;";")-1),";",REPT(" ",50)),50))),Gewinde!$C$5:$C$54),0))</f>
        <v/>
      </c>
      <c r="Q16" s="33">
        <f>IF($A16="","",(N($O16)+$P16)/3600*N(Auftrag!$H$8))</f>
        <v/>
      </c>
      <c r="R16" s="33">
        <f>IF($A16="","",IF($F$8=0,0,$F$7/$F$8))</f>
        <v/>
      </c>
      <c r="S16" s="33">
        <f>IF($A16="","",$F16*(1+$C$4)+($Q16+$R16)*(1+$C$5))</f>
        <v/>
      </c>
      <c r="T16" s="33">
        <f>IF($A16="","",$S16*(1+$C$6))</f>
        <v/>
      </c>
      <c r="U16" s="18">
        <f>IF($A16="","",$T16*$C16)</f>
        <v/>
      </c>
      <c r="V16" s="18">
        <f>IF($A16="","",$S16*$C16)</f>
        <v/>
      </c>
      <c r="W16" s="28">
        <f>IF($A16="","",IF(N(Auftrag!$AO16)&gt;0,"nicht vollständig eingeplant",IF($D16=0,"kein Schnittplan oder Preis",IF($H16="","keine Schneiddaten",IF(AND(Auftrag!$AF16&lt;&gt;"",Auftrag!$AG16=""),"Gewinde ungeprüft","")))))</f>
        <v/>
      </c>
      <c r="X16" s="18">
        <f>IF($A16="","",$F16*$C16)</f>
        <v/>
      </c>
      <c r="Y16" s="18">
        <f>IF($A16="","",$Q16*$C16)</f>
        <v/>
      </c>
    </row>
    <row r="17">
      <c r="A17" s="25">
        <f>IF(Auftrag!$D17="","",Auftrag!$A17)</f>
        <v/>
      </c>
      <c r="B17" s="25">
        <f>IF($A17="","",Auftrag!$B17)</f>
        <v/>
      </c>
      <c r="C17" s="15">
        <f>IF($A17="","",N(Auftrag!$G17))</f>
        <v/>
      </c>
      <c r="D17" s="18">
        <f>IF($A17="","",SUMIFS(Schnittplan!$R$5:$R$1004,Schnittplan!$B$5:$B$1004,Auftrag!$D17,Schnittplan!$C$5:$C$1004,Auftrag!$E17,Schnittplan!$D$5:$D$1004,Auftrag!$Q17))</f>
        <v/>
      </c>
      <c r="E17" s="32">
        <f>IF($A17="","",IFERROR(N(Auftrag!$P17)/SUMIFS(Auftrag!$P$13:$P$512,Auftrag!$D$13:$D$512,Auftrag!$D17,Auftrag!$E$13:$E$512,Auftrag!$E17,Auftrag!$Q$13:$Q$512,Auftrag!$Q17),0))</f>
        <v/>
      </c>
      <c r="F17" s="33">
        <f>IF($A17="","",IF($C17=0,0,$D17*$E17/$C17))</f>
        <v/>
      </c>
      <c r="G17" s="34">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5">
        <f>IF($A17="","",IF($H17="","",60*((N(Auftrag!$H17)-N(Auftrag!$AI17)-N(Auftrag!$AK17))/$H17+N(Auftrag!$AI17)/$J17+N(Auftrag!$AK17)/$I17+N(Auftrag!$AD17)/$K17)+N(Auftrag!$I17)*$L17))</f>
        <v/>
      </c>
      <c r="N17" s="35">
        <f>IF($A17="","",IF(OR($H17="",$C17=0),0,(60*SUMIFS(Stangenbelegung!$K$5:$K$10004,Stangenbelegung!$E$5:$E$10004,ROW())/$H17+SUMIFS(Stangenbelegung!$L$5:$L$10004,Stangenbelegung!$E$5:$E$10004,ROW())*$L17)/$C17))</f>
        <v/>
      </c>
      <c r="O17" s="35">
        <f>IF($A17="","",IF($M17="","",MAX(0,$M17-$N17)))</f>
        <v/>
      </c>
      <c r="P17" s="35">
        <f>IF($A17="","",IFERROR(SUMPRODUCT(--("0"&amp;TRIM(RIGHT(SUBSTITUTE(LEFT(";"&amp;SUBSTITUTE(UPPER(Auftrag!$AG17)," ","")&amp;";"&amp;"X"&amp;UPPER(Gewinde!$A$5:$A$54)&amp;";",SEARCH("X"&amp;UPPER(Gewinde!$A$5:$A$54)&amp;";",";"&amp;SUBSTITUTE(UPPER(Auftrag!$AG17)," ","")&amp;";"&amp;"X"&amp;UPPER(Gewinde!$A$5:$A$54)&amp;";")-1),";",REPT(" ",50)),50))),Gewinde!$C$5:$C$54),0))</f>
        <v/>
      </c>
      <c r="Q17" s="33">
        <f>IF($A17="","",(N($O17)+$P17)/3600*N(Auftrag!$H$8))</f>
        <v/>
      </c>
      <c r="R17" s="33">
        <f>IF($A17="","",IF($F$8=0,0,$F$7/$F$8))</f>
        <v/>
      </c>
      <c r="S17" s="33">
        <f>IF($A17="","",$F17*(1+$C$4)+($Q17+$R17)*(1+$C$5))</f>
        <v/>
      </c>
      <c r="T17" s="33">
        <f>IF($A17="","",$S17*(1+$C$6))</f>
        <v/>
      </c>
      <c r="U17" s="18">
        <f>IF($A17="","",$T17*$C17)</f>
        <v/>
      </c>
      <c r="V17" s="18">
        <f>IF($A17="","",$S17*$C17)</f>
        <v/>
      </c>
      <c r="W17" s="28">
        <f>IF($A17="","",IF(N(Auftrag!$AO17)&gt;0,"nicht vollständig eingeplant",IF($D17=0,"kein Schnittplan oder Preis",IF($H17="","keine Schneiddaten",IF(AND(Auftrag!$AF17&lt;&gt;"",Auftrag!$AG17=""),"Gewinde ungeprüft","")))))</f>
        <v/>
      </c>
      <c r="X17" s="18">
        <f>IF($A17="","",$F17*$C17)</f>
        <v/>
      </c>
      <c r="Y17" s="18">
        <f>IF($A17="","",$Q17*$C17)</f>
        <v/>
      </c>
    </row>
    <row r="18">
      <c r="A18" s="25">
        <f>IF(Auftrag!$D18="","",Auftrag!$A18)</f>
        <v/>
      </c>
      <c r="B18" s="25">
        <f>IF($A18="","",Auftrag!$B18)</f>
        <v/>
      </c>
      <c r="C18" s="15">
        <f>IF($A18="","",N(Auftrag!$G18))</f>
        <v/>
      </c>
      <c r="D18" s="18">
        <f>IF($A18="","",SUMIFS(Schnittplan!$R$5:$R$1004,Schnittplan!$B$5:$B$1004,Auftrag!$D18,Schnittplan!$C$5:$C$1004,Auftrag!$E18,Schnittplan!$D$5:$D$1004,Auftrag!$Q18))</f>
        <v/>
      </c>
      <c r="E18" s="32">
        <f>IF($A18="","",IFERROR(N(Auftrag!$P18)/SUMIFS(Auftrag!$P$13:$P$512,Auftrag!$D$13:$D$512,Auftrag!$D18,Auftrag!$E$13:$E$512,Auftrag!$E18,Auftrag!$Q$13:$Q$512,Auftrag!$Q18),0))</f>
        <v/>
      </c>
      <c r="F18" s="33">
        <f>IF($A18="","",IF($C18=0,0,$D18*$E18/$C18))</f>
        <v/>
      </c>
      <c r="G18" s="34">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5">
        <f>IF($A18="","",IF($H18="","",60*((N(Auftrag!$H18)-N(Auftrag!$AI18)-N(Auftrag!$AK18))/$H18+N(Auftrag!$AI18)/$J18+N(Auftrag!$AK18)/$I18+N(Auftrag!$AD18)/$K18)+N(Auftrag!$I18)*$L18))</f>
        <v/>
      </c>
      <c r="N18" s="35">
        <f>IF($A18="","",IF(OR($H18="",$C18=0),0,(60*SUMIFS(Stangenbelegung!$K$5:$K$10004,Stangenbelegung!$E$5:$E$10004,ROW())/$H18+SUMIFS(Stangenbelegung!$L$5:$L$10004,Stangenbelegung!$E$5:$E$10004,ROW())*$L18)/$C18))</f>
        <v/>
      </c>
      <c r="O18" s="35">
        <f>IF($A18="","",IF($M18="","",MAX(0,$M18-$N18)))</f>
        <v/>
      </c>
      <c r="P18" s="35">
        <f>IF($A18="","",IFERROR(SUMPRODUCT(--("0"&amp;TRIM(RIGHT(SUBSTITUTE(LEFT(";"&amp;SUBSTITUTE(UPPER(Auftrag!$AG18)," ","")&amp;";"&amp;"X"&amp;UPPER(Gewinde!$A$5:$A$54)&amp;";",SEARCH("X"&amp;UPPER(Gewinde!$A$5:$A$54)&amp;";",";"&amp;SUBSTITUTE(UPPER(Auftrag!$AG18)," ","")&amp;";"&amp;"X"&amp;UPPER(Gewinde!$A$5:$A$54)&amp;";")-1),";",REPT(" ",50)),50))),Gewinde!$C$5:$C$54),0))</f>
        <v/>
      </c>
      <c r="Q18" s="33">
        <f>IF($A18="","",(N($O18)+$P18)/3600*N(Auftrag!$H$8))</f>
        <v/>
      </c>
      <c r="R18" s="33">
        <f>IF($A18="","",IF($F$8=0,0,$F$7/$F$8))</f>
        <v/>
      </c>
      <c r="S18" s="33">
        <f>IF($A18="","",$F18*(1+$C$4)+($Q18+$R18)*(1+$C$5))</f>
        <v/>
      </c>
      <c r="T18" s="33">
        <f>IF($A18="","",$S18*(1+$C$6))</f>
        <v/>
      </c>
      <c r="U18" s="18">
        <f>IF($A18="","",$T18*$C18)</f>
        <v/>
      </c>
      <c r="V18" s="18">
        <f>IF($A18="","",$S18*$C18)</f>
        <v/>
      </c>
      <c r="W18" s="28">
        <f>IF($A18="","",IF(N(Auftrag!$AO18)&gt;0,"nicht vollständig eingeplant",IF($D18=0,"kein Schnittplan oder Preis",IF($H18="","keine Schneiddaten",IF(AND(Auftrag!$AF18&lt;&gt;"",Auftrag!$AG18=""),"Gewinde ungeprüft","")))))</f>
        <v/>
      </c>
      <c r="X18" s="18">
        <f>IF($A18="","",$F18*$C18)</f>
        <v/>
      </c>
      <c r="Y18" s="18">
        <f>IF($A18="","",$Q18*$C18)</f>
        <v/>
      </c>
    </row>
    <row r="19">
      <c r="A19" s="25">
        <f>IF(Auftrag!$D19="","",Auftrag!$A19)</f>
        <v/>
      </c>
      <c r="B19" s="25">
        <f>IF($A19="","",Auftrag!$B19)</f>
        <v/>
      </c>
      <c r="C19" s="15">
        <f>IF($A19="","",N(Auftrag!$G19))</f>
        <v/>
      </c>
      <c r="D19" s="18">
        <f>IF($A19="","",SUMIFS(Schnittplan!$R$5:$R$1004,Schnittplan!$B$5:$B$1004,Auftrag!$D19,Schnittplan!$C$5:$C$1004,Auftrag!$E19,Schnittplan!$D$5:$D$1004,Auftrag!$Q19))</f>
        <v/>
      </c>
      <c r="E19" s="32">
        <f>IF($A19="","",IFERROR(N(Auftrag!$P19)/SUMIFS(Auftrag!$P$13:$P$512,Auftrag!$D$13:$D$512,Auftrag!$D19,Auftrag!$E$13:$E$512,Auftrag!$E19,Auftrag!$Q$13:$Q$512,Auftrag!$Q19),0))</f>
        <v/>
      </c>
      <c r="F19" s="33">
        <f>IF($A19="","",IF($C19=0,0,$D19*$E19/$C19))</f>
        <v/>
      </c>
      <c r="G19" s="34">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5">
        <f>IF($A19="","",IF($H19="","",60*((N(Auftrag!$H19)-N(Auftrag!$AI19)-N(Auftrag!$AK19))/$H19+N(Auftrag!$AI19)/$J19+N(Auftrag!$AK19)/$I19+N(Auftrag!$AD19)/$K19)+N(Auftrag!$I19)*$L19))</f>
        <v/>
      </c>
      <c r="N19" s="35">
        <f>IF($A19="","",IF(OR($H19="",$C19=0),0,(60*SUMIFS(Stangenbelegung!$K$5:$K$10004,Stangenbelegung!$E$5:$E$10004,ROW())/$H19+SUMIFS(Stangenbelegung!$L$5:$L$10004,Stangenbelegung!$E$5:$E$10004,ROW())*$L19)/$C19))</f>
        <v/>
      </c>
      <c r="O19" s="35">
        <f>IF($A19="","",IF($M19="","",MAX(0,$M19-$N19)))</f>
        <v/>
      </c>
      <c r="P19" s="35">
        <f>IF($A19="","",IFERROR(SUMPRODUCT(--("0"&amp;TRIM(RIGHT(SUBSTITUTE(LEFT(";"&amp;SUBSTITUTE(UPPER(Auftrag!$AG19)," ","")&amp;";"&amp;"X"&amp;UPPER(Gewinde!$A$5:$A$54)&amp;";",SEARCH("X"&amp;UPPER(Gewinde!$A$5:$A$54)&amp;";",";"&amp;SUBSTITUTE(UPPER(Auftrag!$AG19)," ","")&amp;";"&amp;"X"&amp;UPPER(Gewinde!$A$5:$A$54)&amp;";")-1),";",REPT(" ",50)),50))),Gewinde!$C$5:$C$54),0))</f>
        <v/>
      </c>
      <c r="Q19" s="33">
        <f>IF($A19="","",(N($O19)+$P19)/3600*N(Auftrag!$H$8))</f>
        <v/>
      </c>
      <c r="R19" s="33">
        <f>IF($A19="","",IF($F$8=0,0,$F$7/$F$8))</f>
        <v/>
      </c>
      <c r="S19" s="33">
        <f>IF($A19="","",$F19*(1+$C$4)+($Q19+$R19)*(1+$C$5))</f>
        <v/>
      </c>
      <c r="T19" s="33">
        <f>IF($A19="","",$S19*(1+$C$6))</f>
        <v/>
      </c>
      <c r="U19" s="18">
        <f>IF($A19="","",$T19*$C19)</f>
        <v/>
      </c>
      <c r="V19" s="18">
        <f>IF($A19="","",$S19*$C19)</f>
        <v/>
      </c>
      <c r="W19" s="28">
        <f>IF($A19="","",IF(N(Auftrag!$AO19)&gt;0,"nicht vollständig eingeplant",IF($D19=0,"kein Schnittplan oder Preis",IF($H19="","keine Schneiddaten",IF(AND(Auftrag!$AF19&lt;&gt;"",Auftrag!$AG19=""),"Gewinde ungeprüft","")))))</f>
        <v/>
      </c>
      <c r="X19" s="18">
        <f>IF($A19="","",$F19*$C19)</f>
        <v/>
      </c>
      <c r="Y19" s="18">
        <f>IF($A19="","",$Q19*$C19)</f>
        <v/>
      </c>
    </row>
    <row r="20">
      <c r="A20" s="25">
        <f>IF(Auftrag!$D20="","",Auftrag!$A20)</f>
        <v/>
      </c>
      <c r="B20" s="25">
        <f>IF($A20="","",Auftrag!$B20)</f>
        <v/>
      </c>
      <c r="C20" s="15">
        <f>IF($A20="","",N(Auftrag!$G20))</f>
        <v/>
      </c>
      <c r="D20" s="18">
        <f>IF($A20="","",SUMIFS(Schnittplan!$R$5:$R$1004,Schnittplan!$B$5:$B$1004,Auftrag!$D20,Schnittplan!$C$5:$C$1004,Auftrag!$E20,Schnittplan!$D$5:$D$1004,Auftrag!$Q20))</f>
        <v/>
      </c>
      <c r="E20" s="32">
        <f>IF($A20="","",IFERROR(N(Auftrag!$P20)/SUMIFS(Auftrag!$P$13:$P$512,Auftrag!$D$13:$D$512,Auftrag!$D20,Auftrag!$E$13:$E$512,Auftrag!$E20,Auftrag!$Q$13:$Q$512,Auftrag!$Q20),0))</f>
        <v/>
      </c>
      <c r="F20" s="33">
        <f>IF($A20="","",IF($C20=0,0,$D20*$E20/$C20))</f>
        <v/>
      </c>
      <c r="G20" s="34">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5">
        <f>IF($A20="","",IF($H20="","",60*((N(Auftrag!$H20)-N(Auftrag!$AI20)-N(Auftrag!$AK20))/$H20+N(Auftrag!$AI20)/$J20+N(Auftrag!$AK20)/$I20+N(Auftrag!$AD20)/$K20)+N(Auftrag!$I20)*$L20))</f>
        <v/>
      </c>
      <c r="N20" s="35">
        <f>IF($A20="","",IF(OR($H20="",$C20=0),0,(60*SUMIFS(Stangenbelegung!$K$5:$K$10004,Stangenbelegung!$E$5:$E$10004,ROW())/$H20+SUMIFS(Stangenbelegung!$L$5:$L$10004,Stangenbelegung!$E$5:$E$10004,ROW())*$L20)/$C20))</f>
        <v/>
      </c>
      <c r="O20" s="35">
        <f>IF($A20="","",IF($M20="","",MAX(0,$M20-$N20)))</f>
        <v/>
      </c>
      <c r="P20" s="35">
        <f>IF($A20="","",IFERROR(SUMPRODUCT(--("0"&amp;TRIM(RIGHT(SUBSTITUTE(LEFT(";"&amp;SUBSTITUTE(UPPER(Auftrag!$AG20)," ","")&amp;";"&amp;"X"&amp;UPPER(Gewinde!$A$5:$A$54)&amp;";",SEARCH("X"&amp;UPPER(Gewinde!$A$5:$A$54)&amp;";",";"&amp;SUBSTITUTE(UPPER(Auftrag!$AG20)," ","")&amp;";"&amp;"X"&amp;UPPER(Gewinde!$A$5:$A$54)&amp;";")-1),";",REPT(" ",50)),50))),Gewinde!$C$5:$C$54),0))</f>
        <v/>
      </c>
      <c r="Q20" s="33">
        <f>IF($A20="","",(N($O20)+$P20)/3600*N(Auftrag!$H$8))</f>
        <v/>
      </c>
      <c r="R20" s="33">
        <f>IF($A20="","",IF($F$8=0,0,$F$7/$F$8))</f>
        <v/>
      </c>
      <c r="S20" s="33">
        <f>IF($A20="","",$F20*(1+$C$4)+($Q20+$R20)*(1+$C$5))</f>
        <v/>
      </c>
      <c r="T20" s="33">
        <f>IF($A20="","",$S20*(1+$C$6))</f>
        <v/>
      </c>
      <c r="U20" s="18">
        <f>IF($A20="","",$T20*$C20)</f>
        <v/>
      </c>
      <c r="V20" s="18">
        <f>IF($A20="","",$S20*$C20)</f>
        <v/>
      </c>
      <c r="W20" s="28">
        <f>IF($A20="","",IF(N(Auftrag!$AO20)&gt;0,"nicht vollständig eingeplant",IF($D20=0,"kein Schnittplan oder Preis",IF($H20="","keine Schneiddaten",IF(AND(Auftrag!$AF20&lt;&gt;"",Auftrag!$AG20=""),"Gewinde ungeprüft","")))))</f>
        <v/>
      </c>
      <c r="X20" s="18">
        <f>IF($A20="","",$F20*$C20)</f>
        <v/>
      </c>
      <c r="Y20" s="18">
        <f>IF($A20="","",$Q20*$C20)</f>
        <v/>
      </c>
    </row>
    <row r="21">
      <c r="A21" s="25">
        <f>IF(Auftrag!$D21="","",Auftrag!$A21)</f>
        <v/>
      </c>
      <c r="B21" s="25">
        <f>IF($A21="","",Auftrag!$B21)</f>
        <v/>
      </c>
      <c r="C21" s="15">
        <f>IF($A21="","",N(Auftrag!$G21))</f>
        <v/>
      </c>
      <c r="D21" s="18">
        <f>IF($A21="","",SUMIFS(Schnittplan!$R$5:$R$1004,Schnittplan!$B$5:$B$1004,Auftrag!$D21,Schnittplan!$C$5:$C$1004,Auftrag!$E21,Schnittplan!$D$5:$D$1004,Auftrag!$Q21))</f>
        <v/>
      </c>
      <c r="E21" s="32">
        <f>IF($A21="","",IFERROR(N(Auftrag!$P21)/SUMIFS(Auftrag!$P$13:$P$512,Auftrag!$D$13:$D$512,Auftrag!$D21,Auftrag!$E$13:$E$512,Auftrag!$E21,Auftrag!$Q$13:$Q$512,Auftrag!$Q21),0))</f>
        <v/>
      </c>
      <c r="F21" s="33">
        <f>IF($A21="","",IF($C21=0,0,$D21*$E21/$C21))</f>
        <v/>
      </c>
      <c r="G21" s="34">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5">
        <f>IF($A21="","",IF($H21="","",60*((N(Auftrag!$H21)-N(Auftrag!$AI21)-N(Auftrag!$AK21))/$H21+N(Auftrag!$AI21)/$J21+N(Auftrag!$AK21)/$I21+N(Auftrag!$AD21)/$K21)+N(Auftrag!$I21)*$L21))</f>
        <v/>
      </c>
      <c r="N21" s="35">
        <f>IF($A21="","",IF(OR($H21="",$C21=0),0,(60*SUMIFS(Stangenbelegung!$K$5:$K$10004,Stangenbelegung!$E$5:$E$10004,ROW())/$H21+SUMIFS(Stangenbelegung!$L$5:$L$10004,Stangenbelegung!$E$5:$E$10004,ROW())*$L21)/$C21))</f>
        <v/>
      </c>
      <c r="O21" s="35">
        <f>IF($A21="","",IF($M21="","",MAX(0,$M21-$N21)))</f>
        <v/>
      </c>
      <c r="P21" s="35">
        <f>IF($A21="","",IFERROR(SUMPRODUCT(--("0"&amp;TRIM(RIGHT(SUBSTITUTE(LEFT(";"&amp;SUBSTITUTE(UPPER(Auftrag!$AG21)," ","")&amp;";"&amp;"X"&amp;UPPER(Gewinde!$A$5:$A$54)&amp;";",SEARCH("X"&amp;UPPER(Gewinde!$A$5:$A$54)&amp;";",";"&amp;SUBSTITUTE(UPPER(Auftrag!$AG21)," ","")&amp;";"&amp;"X"&amp;UPPER(Gewinde!$A$5:$A$54)&amp;";")-1),";",REPT(" ",50)),50))),Gewinde!$C$5:$C$54),0))</f>
        <v/>
      </c>
      <c r="Q21" s="33">
        <f>IF($A21="","",(N($O21)+$P21)/3600*N(Auftrag!$H$8))</f>
        <v/>
      </c>
      <c r="R21" s="33">
        <f>IF($A21="","",IF($F$8=0,0,$F$7/$F$8))</f>
        <v/>
      </c>
      <c r="S21" s="33">
        <f>IF($A21="","",$F21*(1+$C$4)+($Q21+$R21)*(1+$C$5))</f>
        <v/>
      </c>
      <c r="T21" s="33">
        <f>IF($A21="","",$S21*(1+$C$6))</f>
        <v/>
      </c>
      <c r="U21" s="18">
        <f>IF($A21="","",$T21*$C21)</f>
        <v/>
      </c>
      <c r="V21" s="18">
        <f>IF($A21="","",$S21*$C21)</f>
        <v/>
      </c>
      <c r="W21" s="28">
        <f>IF($A21="","",IF(N(Auftrag!$AO21)&gt;0,"nicht vollständig eingeplant",IF($D21=0,"kein Schnittplan oder Preis",IF($H21="","keine Schneiddaten",IF(AND(Auftrag!$AF21&lt;&gt;"",Auftrag!$AG21=""),"Gewinde ungeprüft","")))))</f>
        <v/>
      </c>
      <c r="X21" s="18">
        <f>IF($A21="","",$F21*$C21)</f>
        <v/>
      </c>
      <c r="Y21" s="18">
        <f>IF($A21="","",$Q21*$C21)</f>
        <v/>
      </c>
    </row>
    <row r="22">
      <c r="A22" s="25">
        <f>IF(Auftrag!$D22="","",Auftrag!$A22)</f>
        <v/>
      </c>
      <c r="B22" s="25">
        <f>IF($A22="","",Auftrag!$B22)</f>
        <v/>
      </c>
      <c r="C22" s="15">
        <f>IF($A22="","",N(Auftrag!$G22))</f>
        <v/>
      </c>
      <c r="D22" s="18">
        <f>IF($A22="","",SUMIFS(Schnittplan!$R$5:$R$1004,Schnittplan!$B$5:$B$1004,Auftrag!$D22,Schnittplan!$C$5:$C$1004,Auftrag!$E22,Schnittplan!$D$5:$D$1004,Auftrag!$Q22))</f>
        <v/>
      </c>
      <c r="E22" s="32">
        <f>IF($A22="","",IFERROR(N(Auftrag!$P22)/SUMIFS(Auftrag!$P$13:$P$512,Auftrag!$D$13:$D$512,Auftrag!$D22,Auftrag!$E$13:$E$512,Auftrag!$E22,Auftrag!$Q$13:$Q$512,Auftrag!$Q22),0))</f>
        <v/>
      </c>
      <c r="F22" s="33">
        <f>IF($A22="","",IF($C22=0,0,$D22*$E22/$C22))</f>
        <v/>
      </c>
      <c r="G22" s="34">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5">
        <f>IF($A22="","",IF($H22="","",60*((N(Auftrag!$H22)-N(Auftrag!$AI22)-N(Auftrag!$AK22))/$H22+N(Auftrag!$AI22)/$J22+N(Auftrag!$AK22)/$I22+N(Auftrag!$AD22)/$K22)+N(Auftrag!$I22)*$L22))</f>
        <v/>
      </c>
      <c r="N22" s="35">
        <f>IF($A22="","",IF(OR($H22="",$C22=0),0,(60*SUMIFS(Stangenbelegung!$K$5:$K$10004,Stangenbelegung!$E$5:$E$10004,ROW())/$H22+SUMIFS(Stangenbelegung!$L$5:$L$10004,Stangenbelegung!$E$5:$E$10004,ROW())*$L22)/$C22))</f>
        <v/>
      </c>
      <c r="O22" s="35">
        <f>IF($A22="","",IF($M22="","",MAX(0,$M22-$N22)))</f>
        <v/>
      </c>
      <c r="P22" s="35">
        <f>IF($A22="","",IFERROR(SUMPRODUCT(--("0"&amp;TRIM(RIGHT(SUBSTITUTE(LEFT(";"&amp;SUBSTITUTE(UPPER(Auftrag!$AG22)," ","")&amp;";"&amp;"X"&amp;UPPER(Gewinde!$A$5:$A$54)&amp;";",SEARCH("X"&amp;UPPER(Gewinde!$A$5:$A$54)&amp;";",";"&amp;SUBSTITUTE(UPPER(Auftrag!$AG22)," ","")&amp;";"&amp;"X"&amp;UPPER(Gewinde!$A$5:$A$54)&amp;";")-1),";",REPT(" ",50)),50))),Gewinde!$C$5:$C$54),0))</f>
        <v/>
      </c>
      <c r="Q22" s="33">
        <f>IF($A22="","",(N($O22)+$P22)/3600*N(Auftrag!$H$8))</f>
        <v/>
      </c>
      <c r="R22" s="33">
        <f>IF($A22="","",IF($F$8=0,0,$F$7/$F$8))</f>
        <v/>
      </c>
      <c r="S22" s="33">
        <f>IF($A22="","",$F22*(1+$C$4)+($Q22+$R22)*(1+$C$5))</f>
        <v/>
      </c>
      <c r="T22" s="33">
        <f>IF($A22="","",$S22*(1+$C$6))</f>
        <v/>
      </c>
      <c r="U22" s="18">
        <f>IF($A22="","",$T22*$C22)</f>
        <v/>
      </c>
      <c r="V22" s="18">
        <f>IF($A22="","",$S22*$C22)</f>
        <v/>
      </c>
      <c r="W22" s="28">
        <f>IF($A22="","",IF(N(Auftrag!$AO22)&gt;0,"nicht vollständig eingeplant",IF($D22=0,"kein Schnittplan oder Preis",IF($H22="","keine Schneiddaten",IF(AND(Auftrag!$AF22&lt;&gt;"",Auftrag!$AG22=""),"Gewinde ungeprüft","")))))</f>
        <v/>
      </c>
      <c r="X22" s="18">
        <f>IF($A22="","",$F22*$C22)</f>
        <v/>
      </c>
      <c r="Y22" s="18">
        <f>IF($A22="","",$Q22*$C22)</f>
        <v/>
      </c>
    </row>
    <row r="23">
      <c r="A23" s="25">
        <f>IF(Auftrag!$D23="","",Auftrag!$A23)</f>
        <v/>
      </c>
      <c r="B23" s="25">
        <f>IF($A23="","",Auftrag!$B23)</f>
        <v/>
      </c>
      <c r="C23" s="15">
        <f>IF($A23="","",N(Auftrag!$G23))</f>
        <v/>
      </c>
      <c r="D23" s="18">
        <f>IF($A23="","",SUMIFS(Schnittplan!$R$5:$R$1004,Schnittplan!$B$5:$B$1004,Auftrag!$D23,Schnittplan!$C$5:$C$1004,Auftrag!$E23,Schnittplan!$D$5:$D$1004,Auftrag!$Q23))</f>
        <v/>
      </c>
      <c r="E23" s="32">
        <f>IF($A23="","",IFERROR(N(Auftrag!$P23)/SUMIFS(Auftrag!$P$13:$P$512,Auftrag!$D$13:$D$512,Auftrag!$D23,Auftrag!$E$13:$E$512,Auftrag!$E23,Auftrag!$Q$13:$Q$512,Auftrag!$Q23),0))</f>
        <v/>
      </c>
      <c r="F23" s="33">
        <f>IF($A23="","",IF($C23=0,0,$D23*$E23/$C23))</f>
        <v/>
      </c>
      <c r="G23" s="34">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5">
        <f>IF($A23="","",IF($H23="","",60*((N(Auftrag!$H23)-N(Auftrag!$AI23)-N(Auftrag!$AK23))/$H23+N(Auftrag!$AI23)/$J23+N(Auftrag!$AK23)/$I23+N(Auftrag!$AD23)/$K23)+N(Auftrag!$I23)*$L23))</f>
        <v/>
      </c>
      <c r="N23" s="35">
        <f>IF($A23="","",IF(OR($H23="",$C23=0),0,(60*SUMIFS(Stangenbelegung!$K$5:$K$10004,Stangenbelegung!$E$5:$E$10004,ROW())/$H23+SUMIFS(Stangenbelegung!$L$5:$L$10004,Stangenbelegung!$E$5:$E$10004,ROW())*$L23)/$C23))</f>
        <v/>
      </c>
      <c r="O23" s="35">
        <f>IF($A23="","",IF($M23="","",MAX(0,$M23-$N23)))</f>
        <v/>
      </c>
      <c r="P23" s="35">
        <f>IF($A23="","",IFERROR(SUMPRODUCT(--("0"&amp;TRIM(RIGHT(SUBSTITUTE(LEFT(";"&amp;SUBSTITUTE(UPPER(Auftrag!$AG23)," ","")&amp;";"&amp;"X"&amp;UPPER(Gewinde!$A$5:$A$54)&amp;";",SEARCH("X"&amp;UPPER(Gewinde!$A$5:$A$54)&amp;";",";"&amp;SUBSTITUTE(UPPER(Auftrag!$AG23)," ","")&amp;";"&amp;"X"&amp;UPPER(Gewinde!$A$5:$A$54)&amp;";")-1),";",REPT(" ",50)),50))),Gewinde!$C$5:$C$54),0))</f>
        <v/>
      </c>
      <c r="Q23" s="33">
        <f>IF($A23="","",(N($O23)+$P23)/3600*N(Auftrag!$H$8))</f>
        <v/>
      </c>
      <c r="R23" s="33">
        <f>IF($A23="","",IF($F$8=0,0,$F$7/$F$8))</f>
        <v/>
      </c>
      <c r="S23" s="33">
        <f>IF($A23="","",$F23*(1+$C$4)+($Q23+$R23)*(1+$C$5))</f>
        <v/>
      </c>
      <c r="T23" s="33">
        <f>IF($A23="","",$S23*(1+$C$6))</f>
        <v/>
      </c>
      <c r="U23" s="18">
        <f>IF($A23="","",$T23*$C23)</f>
        <v/>
      </c>
      <c r="V23" s="18">
        <f>IF($A23="","",$S23*$C23)</f>
        <v/>
      </c>
      <c r="W23" s="28">
        <f>IF($A23="","",IF(N(Auftrag!$AO23)&gt;0,"nicht vollständig eingeplant",IF($D23=0,"kein Schnittplan oder Preis",IF($H23="","keine Schneiddaten",IF(AND(Auftrag!$AF23&lt;&gt;"",Auftrag!$AG23=""),"Gewinde ungeprüft","")))))</f>
        <v/>
      </c>
      <c r="X23" s="18">
        <f>IF($A23="","",$F23*$C23)</f>
        <v/>
      </c>
      <c r="Y23" s="18">
        <f>IF($A23="","",$Q23*$C23)</f>
        <v/>
      </c>
    </row>
    <row r="24">
      <c r="A24" s="25">
        <f>IF(Auftrag!$D24="","",Auftrag!$A24)</f>
        <v/>
      </c>
      <c r="B24" s="25">
        <f>IF($A24="","",Auftrag!$B24)</f>
        <v/>
      </c>
      <c r="C24" s="15">
        <f>IF($A24="","",N(Auftrag!$G24))</f>
        <v/>
      </c>
      <c r="D24" s="18">
        <f>IF($A24="","",SUMIFS(Schnittplan!$R$5:$R$1004,Schnittplan!$B$5:$B$1004,Auftrag!$D24,Schnittplan!$C$5:$C$1004,Auftrag!$E24,Schnittplan!$D$5:$D$1004,Auftrag!$Q24))</f>
        <v/>
      </c>
      <c r="E24" s="32">
        <f>IF($A24="","",IFERROR(N(Auftrag!$P24)/SUMIFS(Auftrag!$P$13:$P$512,Auftrag!$D$13:$D$512,Auftrag!$D24,Auftrag!$E$13:$E$512,Auftrag!$E24,Auftrag!$Q$13:$Q$512,Auftrag!$Q24),0))</f>
        <v/>
      </c>
      <c r="F24" s="33">
        <f>IF($A24="","",IF($C24=0,0,$D24*$E24/$C24))</f>
        <v/>
      </c>
      <c r="G24" s="34">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5">
        <f>IF($A24="","",IF($H24="","",60*((N(Auftrag!$H24)-N(Auftrag!$AI24)-N(Auftrag!$AK24))/$H24+N(Auftrag!$AI24)/$J24+N(Auftrag!$AK24)/$I24+N(Auftrag!$AD24)/$K24)+N(Auftrag!$I24)*$L24))</f>
        <v/>
      </c>
      <c r="N24" s="35">
        <f>IF($A24="","",IF(OR($H24="",$C24=0),0,(60*SUMIFS(Stangenbelegung!$K$5:$K$10004,Stangenbelegung!$E$5:$E$10004,ROW())/$H24+SUMIFS(Stangenbelegung!$L$5:$L$10004,Stangenbelegung!$E$5:$E$10004,ROW())*$L24)/$C24))</f>
        <v/>
      </c>
      <c r="O24" s="35">
        <f>IF($A24="","",IF($M24="","",MAX(0,$M24-$N24)))</f>
        <v/>
      </c>
      <c r="P24" s="35">
        <f>IF($A24="","",IFERROR(SUMPRODUCT(--("0"&amp;TRIM(RIGHT(SUBSTITUTE(LEFT(";"&amp;SUBSTITUTE(UPPER(Auftrag!$AG24)," ","")&amp;";"&amp;"X"&amp;UPPER(Gewinde!$A$5:$A$54)&amp;";",SEARCH("X"&amp;UPPER(Gewinde!$A$5:$A$54)&amp;";",";"&amp;SUBSTITUTE(UPPER(Auftrag!$AG24)," ","")&amp;";"&amp;"X"&amp;UPPER(Gewinde!$A$5:$A$54)&amp;";")-1),";",REPT(" ",50)),50))),Gewinde!$C$5:$C$54),0))</f>
        <v/>
      </c>
      <c r="Q24" s="33">
        <f>IF($A24="","",(N($O24)+$P24)/3600*N(Auftrag!$H$8))</f>
        <v/>
      </c>
      <c r="R24" s="33">
        <f>IF($A24="","",IF($F$8=0,0,$F$7/$F$8))</f>
        <v/>
      </c>
      <c r="S24" s="33">
        <f>IF($A24="","",$F24*(1+$C$4)+($Q24+$R24)*(1+$C$5))</f>
        <v/>
      </c>
      <c r="T24" s="33">
        <f>IF($A24="","",$S24*(1+$C$6))</f>
        <v/>
      </c>
      <c r="U24" s="18">
        <f>IF($A24="","",$T24*$C24)</f>
        <v/>
      </c>
      <c r="V24" s="18">
        <f>IF($A24="","",$S24*$C24)</f>
        <v/>
      </c>
      <c r="W24" s="28">
        <f>IF($A24="","",IF(N(Auftrag!$AO24)&gt;0,"nicht vollständig eingeplant",IF($D24=0,"kein Schnittplan oder Preis",IF($H24="","keine Schneiddaten",IF(AND(Auftrag!$AF24&lt;&gt;"",Auftrag!$AG24=""),"Gewinde ungeprüft","")))))</f>
        <v/>
      </c>
      <c r="X24" s="18">
        <f>IF($A24="","",$F24*$C24)</f>
        <v/>
      </c>
      <c r="Y24" s="18">
        <f>IF($A24="","",$Q24*$C24)</f>
        <v/>
      </c>
    </row>
    <row r="25">
      <c r="A25" s="25">
        <f>IF(Auftrag!$D25="","",Auftrag!$A25)</f>
        <v/>
      </c>
      <c r="B25" s="25">
        <f>IF($A25="","",Auftrag!$B25)</f>
        <v/>
      </c>
      <c r="C25" s="15">
        <f>IF($A25="","",N(Auftrag!$G25))</f>
        <v/>
      </c>
      <c r="D25" s="18">
        <f>IF($A25="","",SUMIFS(Schnittplan!$R$5:$R$1004,Schnittplan!$B$5:$B$1004,Auftrag!$D25,Schnittplan!$C$5:$C$1004,Auftrag!$E25,Schnittplan!$D$5:$D$1004,Auftrag!$Q25))</f>
        <v/>
      </c>
      <c r="E25" s="32">
        <f>IF($A25="","",IFERROR(N(Auftrag!$P25)/SUMIFS(Auftrag!$P$13:$P$512,Auftrag!$D$13:$D$512,Auftrag!$D25,Auftrag!$E$13:$E$512,Auftrag!$E25,Auftrag!$Q$13:$Q$512,Auftrag!$Q25),0))</f>
        <v/>
      </c>
      <c r="F25" s="33">
        <f>IF($A25="","",IF($C25=0,0,$D25*$E25/$C25))</f>
        <v/>
      </c>
      <c r="G25" s="34">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5">
        <f>IF($A25="","",IF($H25="","",60*((N(Auftrag!$H25)-N(Auftrag!$AI25)-N(Auftrag!$AK25))/$H25+N(Auftrag!$AI25)/$J25+N(Auftrag!$AK25)/$I25+N(Auftrag!$AD25)/$K25)+N(Auftrag!$I25)*$L25))</f>
        <v/>
      </c>
      <c r="N25" s="35">
        <f>IF($A25="","",IF(OR($H25="",$C25=0),0,(60*SUMIFS(Stangenbelegung!$K$5:$K$10004,Stangenbelegung!$E$5:$E$10004,ROW())/$H25+SUMIFS(Stangenbelegung!$L$5:$L$10004,Stangenbelegung!$E$5:$E$10004,ROW())*$L25)/$C25))</f>
        <v/>
      </c>
      <c r="O25" s="35">
        <f>IF($A25="","",IF($M25="","",MAX(0,$M25-$N25)))</f>
        <v/>
      </c>
      <c r="P25" s="35">
        <f>IF($A25="","",IFERROR(SUMPRODUCT(--("0"&amp;TRIM(RIGHT(SUBSTITUTE(LEFT(";"&amp;SUBSTITUTE(UPPER(Auftrag!$AG25)," ","")&amp;";"&amp;"X"&amp;UPPER(Gewinde!$A$5:$A$54)&amp;";",SEARCH("X"&amp;UPPER(Gewinde!$A$5:$A$54)&amp;";",";"&amp;SUBSTITUTE(UPPER(Auftrag!$AG25)," ","")&amp;";"&amp;"X"&amp;UPPER(Gewinde!$A$5:$A$54)&amp;";")-1),";",REPT(" ",50)),50))),Gewinde!$C$5:$C$54),0))</f>
        <v/>
      </c>
      <c r="Q25" s="33">
        <f>IF($A25="","",(N($O25)+$P25)/3600*N(Auftrag!$H$8))</f>
        <v/>
      </c>
      <c r="R25" s="33">
        <f>IF($A25="","",IF($F$8=0,0,$F$7/$F$8))</f>
        <v/>
      </c>
      <c r="S25" s="33">
        <f>IF($A25="","",$F25*(1+$C$4)+($Q25+$R25)*(1+$C$5))</f>
        <v/>
      </c>
      <c r="T25" s="33">
        <f>IF($A25="","",$S25*(1+$C$6))</f>
        <v/>
      </c>
      <c r="U25" s="18">
        <f>IF($A25="","",$T25*$C25)</f>
        <v/>
      </c>
      <c r="V25" s="18">
        <f>IF($A25="","",$S25*$C25)</f>
        <v/>
      </c>
      <c r="W25" s="28">
        <f>IF($A25="","",IF(N(Auftrag!$AO25)&gt;0,"nicht vollständig eingeplant",IF($D25=0,"kein Schnittplan oder Preis",IF($H25="","keine Schneiddaten",IF(AND(Auftrag!$AF25&lt;&gt;"",Auftrag!$AG25=""),"Gewinde ungeprüft","")))))</f>
        <v/>
      </c>
      <c r="X25" s="18">
        <f>IF($A25="","",$F25*$C25)</f>
        <v/>
      </c>
      <c r="Y25" s="18">
        <f>IF($A25="","",$Q25*$C25)</f>
        <v/>
      </c>
    </row>
    <row r="26">
      <c r="A26" s="25">
        <f>IF(Auftrag!$D26="","",Auftrag!$A26)</f>
        <v/>
      </c>
      <c r="B26" s="25">
        <f>IF($A26="","",Auftrag!$B26)</f>
        <v/>
      </c>
      <c r="C26" s="15">
        <f>IF($A26="","",N(Auftrag!$G26))</f>
        <v/>
      </c>
      <c r="D26" s="18">
        <f>IF($A26="","",SUMIFS(Schnittplan!$R$5:$R$1004,Schnittplan!$B$5:$B$1004,Auftrag!$D26,Schnittplan!$C$5:$C$1004,Auftrag!$E26,Schnittplan!$D$5:$D$1004,Auftrag!$Q26))</f>
        <v/>
      </c>
      <c r="E26" s="32">
        <f>IF($A26="","",IFERROR(N(Auftrag!$P26)/SUMIFS(Auftrag!$P$13:$P$512,Auftrag!$D$13:$D$512,Auftrag!$D26,Auftrag!$E$13:$E$512,Auftrag!$E26,Auftrag!$Q$13:$Q$512,Auftrag!$Q26),0))</f>
        <v/>
      </c>
      <c r="F26" s="33">
        <f>IF($A26="","",IF($C26=0,0,$D26*$E26/$C26))</f>
        <v/>
      </c>
      <c r="G26" s="34">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5">
        <f>IF($A26="","",IF($H26="","",60*((N(Auftrag!$H26)-N(Auftrag!$AI26)-N(Auftrag!$AK26))/$H26+N(Auftrag!$AI26)/$J26+N(Auftrag!$AK26)/$I26+N(Auftrag!$AD26)/$K26)+N(Auftrag!$I26)*$L26))</f>
        <v/>
      </c>
      <c r="N26" s="35">
        <f>IF($A26="","",IF(OR($H26="",$C26=0),0,(60*SUMIFS(Stangenbelegung!$K$5:$K$10004,Stangenbelegung!$E$5:$E$10004,ROW())/$H26+SUMIFS(Stangenbelegung!$L$5:$L$10004,Stangenbelegung!$E$5:$E$10004,ROW())*$L26)/$C26))</f>
        <v/>
      </c>
      <c r="O26" s="35">
        <f>IF($A26="","",IF($M26="","",MAX(0,$M26-$N26)))</f>
        <v/>
      </c>
      <c r="P26" s="35">
        <f>IF($A26="","",IFERROR(SUMPRODUCT(--("0"&amp;TRIM(RIGHT(SUBSTITUTE(LEFT(";"&amp;SUBSTITUTE(UPPER(Auftrag!$AG26)," ","")&amp;";"&amp;"X"&amp;UPPER(Gewinde!$A$5:$A$54)&amp;";",SEARCH("X"&amp;UPPER(Gewinde!$A$5:$A$54)&amp;";",";"&amp;SUBSTITUTE(UPPER(Auftrag!$AG26)," ","")&amp;";"&amp;"X"&amp;UPPER(Gewinde!$A$5:$A$54)&amp;";")-1),";",REPT(" ",50)),50))),Gewinde!$C$5:$C$54),0))</f>
        <v/>
      </c>
      <c r="Q26" s="33">
        <f>IF($A26="","",(N($O26)+$P26)/3600*N(Auftrag!$H$8))</f>
        <v/>
      </c>
      <c r="R26" s="33">
        <f>IF($A26="","",IF($F$8=0,0,$F$7/$F$8))</f>
        <v/>
      </c>
      <c r="S26" s="33">
        <f>IF($A26="","",$F26*(1+$C$4)+($Q26+$R26)*(1+$C$5))</f>
        <v/>
      </c>
      <c r="T26" s="33">
        <f>IF($A26="","",$S26*(1+$C$6))</f>
        <v/>
      </c>
      <c r="U26" s="18">
        <f>IF($A26="","",$T26*$C26)</f>
        <v/>
      </c>
      <c r="V26" s="18">
        <f>IF($A26="","",$S26*$C26)</f>
        <v/>
      </c>
      <c r="W26" s="28">
        <f>IF($A26="","",IF(N(Auftrag!$AO26)&gt;0,"nicht vollständig eingeplant",IF($D26=0,"kein Schnittplan oder Preis",IF($H26="","keine Schneiddaten",IF(AND(Auftrag!$AF26&lt;&gt;"",Auftrag!$AG26=""),"Gewinde ungeprüft","")))))</f>
        <v/>
      </c>
      <c r="X26" s="18">
        <f>IF($A26="","",$F26*$C26)</f>
        <v/>
      </c>
      <c r="Y26" s="18">
        <f>IF($A26="","",$Q26*$C26)</f>
        <v/>
      </c>
    </row>
    <row r="27">
      <c r="A27" s="25">
        <f>IF(Auftrag!$D27="","",Auftrag!$A27)</f>
        <v/>
      </c>
      <c r="B27" s="25">
        <f>IF($A27="","",Auftrag!$B27)</f>
        <v/>
      </c>
      <c r="C27" s="15">
        <f>IF($A27="","",N(Auftrag!$G27))</f>
        <v/>
      </c>
      <c r="D27" s="18">
        <f>IF($A27="","",SUMIFS(Schnittplan!$R$5:$R$1004,Schnittplan!$B$5:$B$1004,Auftrag!$D27,Schnittplan!$C$5:$C$1004,Auftrag!$E27,Schnittplan!$D$5:$D$1004,Auftrag!$Q27))</f>
        <v/>
      </c>
      <c r="E27" s="32">
        <f>IF($A27="","",IFERROR(N(Auftrag!$P27)/SUMIFS(Auftrag!$P$13:$P$512,Auftrag!$D$13:$D$512,Auftrag!$D27,Auftrag!$E$13:$E$512,Auftrag!$E27,Auftrag!$Q$13:$Q$512,Auftrag!$Q27),0))</f>
        <v/>
      </c>
      <c r="F27" s="33">
        <f>IF($A27="","",IF($C27=0,0,$D27*$E27/$C27))</f>
        <v/>
      </c>
      <c r="G27" s="34">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5">
        <f>IF($A27="","",IF($H27="","",60*((N(Auftrag!$H27)-N(Auftrag!$AI27)-N(Auftrag!$AK27))/$H27+N(Auftrag!$AI27)/$J27+N(Auftrag!$AK27)/$I27+N(Auftrag!$AD27)/$K27)+N(Auftrag!$I27)*$L27))</f>
        <v/>
      </c>
      <c r="N27" s="35">
        <f>IF($A27="","",IF(OR($H27="",$C27=0),0,(60*SUMIFS(Stangenbelegung!$K$5:$K$10004,Stangenbelegung!$E$5:$E$10004,ROW())/$H27+SUMIFS(Stangenbelegung!$L$5:$L$10004,Stangenbelegung!$E$5:$E$10004,ROW())*$L27)/$C27))</f>
        <v/>
      </c>
      <c r="O27" s="35">
        <f>IF($A27="","",IF($M27="","",MAX(0,$M27-$N27)))</f>
        <v/>
      </c>
      <c r="P27" s="35">
        <f>IF($A27="","",IFERROR(SUMPRODUCT(--("0"&amp;TRIM(RIGHT(SUBSTITUTE(LEFT(";"&amp;SUBSTITUTE(UPPER(Auftrag!$AG27)," ","")&amp;";"&amp;"X"&amp;UPPER(Gewinde!$A$5:$A$54)&amp;";",SEARCH("X"&amp;UPPER(Gewinde!$A$5:$A$54)&amp;";",";"&amp;SUBSTITUTE(UPPER(Auftrag!$AG27)," ","")&amp;";"&amp;"X"&amp;UPPER(Gewinde!$A$5:$A$54)&amp;";")-1),";",REPT(" ",50)),50))),Gewinde!$C$5:$C$54),0))</f>
        <v/>
      </c>
      <c r="Q27" s="33">
        <f>IF($A27="","",(N($O27)+$P27)/3600*N(Auftrag!$H$8))</f>
        <v/>
      </c>
      <c r="R27" s="33">
        <f>IF($A27="","",IF($F$8=0,0,$F$7/$F$8))</f>
        <v/>
      </c>
      <c r="S27" s="33">
        <f>IF($A27="","",$F27*(1+$C$4)+($Q27+$R27)*(1+$C$5))</f>
        <v/>
      </c>
      <c r="T27" s="33">
        <f>IF($A27="","",$S27*(1+$C$6))</f>
        <v/>
      </c>
      <c r="U27" s="18">
        <f>IF($A27="","",$T27*$C27)</f>
        <v/>
      </c>
      <c r="V27" s="18">
        <f>IF($A27="","",$S27*$C27)</f>
        <v/>
      </c>
      <c r="W27" s="28">
        <f>IF($A27="","",IF(N(Auftrag!$AO27)&gt;0,"nicht vollständig eingeplant",IF($D27=0,"kein Schnittplan oder Preis",IF($H27="","keine Schneiddaten",IF(AND(Auftrag!$AF27&lt;&gt;"",Auftrag!$AG27=""),"Gewinde ungeprüft","")))))</f>
        <v/>
      </c>
      <c r="X27" s="18">
        <f>IF($A27="","",$F27*$C27)</f>
        <v/>
      </c>
      <c r="Y27" s="18">
        <f>IF($A27="","",$Q27*$C27)</f>
        <v/>
      </c>
    </row>
    <row r="28">
      <c r="A28" s="25">
        <f>IF(Auftrag!$D28="","",Auftrag!$A28)</f>
        <v/>
      </c>
      <c r="B28" s="25">
        <f>IF($A28="","",Auftrag!$B28)</f>
        <v/>
      </c>
      <c r="C28" s="15">
        <f>IF($A28="","",N(Auftrag!$G28))</f>
        <v/>
      </c>
      <c r="D28" s="18">
        <f>IF($A28="","",SUMIFS(Schnittplan!$R$5:$R$1004,Schnittplan!$B$5:$B$1004,Auftrag!$D28,Schnittplan!$C$5:$C$1004,Auftrag!$E28,Schnittplan!$D$5:$D$1004,Auftrag!$Q28))</f>
        <v/>
      </c>
      <c r="E28" s="32">
        <f>IF($A28="","",IFERROR(N(Auftrag!$P28)/SUMIFS(Auftrag!$P$13:$P$512,Auftrag!$D$13:$D$512,Auftrag!$D28,Auftrag!$E$13:$E$512,Auftrag!$E28,Auftrag!$Q$13:$Q$512,Auftrag!$Q28),0))</f>
        <v/>
      </c>
      <c r="F28" s="33">
        <f>IF($A28="","",IF($C28=0,0,$D28*$E28/$C28))</f>
        <v/>
      </c>
      <c r="G28" s="34">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5">
        <f>IF($A28="","",IF($H28="","",60*((N(Auftrag!$H28)-N(Auftrag!$AI28)-N(Auftrag!$AK28))/$H28+N(Auftrag!$AI28)/$J28+N(Auftrag!$AK28)/$I28+N(Auftrag!$AD28)/$K28)+N(Auftrag!$I28)*$L28))</f>
        <v/>
      </c>
      <c r="N28" s="35">
        <f>IF($A28="","",IF(OR($H28="",$C28=0),0,(60*SUMIFS(Stangenbelegung!$K$5:$K$10004,Stangenbelegung!$E$5:$E$10004,ROW())/$H28+SUMIFS(Stangenbelegung!$L$5:$L$10004,Stangenbelegung!$E$5:$E$10004,ROW())*$L28)/$C28))</f>
        <v/>
      </c>
      <c r="O28" s="35">
        <f>IF($A28="","",IF($M28="","",MAX(0,$M28-$N28)))</f>
        <v/>
      </c>
      <c r="P28" s="35">
        <f>IF($A28="","",IFERROR(SUMPRODUCT(--("0"&amp;TRIM(RIGHT(SUBSTITUTE(LEFT(";"&amp;SUBSTITUTE(UPPER(Auftrag!$AG28)," ","")&amp;";"&amp;"X"&amp;UPPER(Gewinde!$A$5:$A$54)&amp;";",SEARCH("X"&amp;UPPER(Gewinde!$A$5:$A$54)&amp;";",";"&amp;SUBSTITUTE(UPPER(Auftrag!$AG28)," ","")&amp;";"&amp;"X"&amp;UPPER(Gewinde!$A$5:$A$54)&amp;";")-1),";",REPT(" ",50)),50))),Gewinde!$C$5:$C$54),0))</f>
        <v/>
      </c>
      <c r="Q28" s="33">
        <f>IF($A28="","",(N($O28)+$P28)/3600*N(Auftrag!$H$8))</f>
        <v/>
      </c>
      <c r="R28" s="33">
        <f>IF($A28="","",IF($F$8=0,0,$F$7/$F$8))</f>
        <v/>
      </c>
      <c r="S28" s="33">
        <f>IF($A28="","",$F28*(1+$C$4)+($Q28+$R28)*(1+$C$5))</f>
        <v/>
      </c>
      <c r="T28" s="33">
        <f>IF($A28="","",$S28*(1+$C$6))</f>
        <v/>
      </c>
      <c r="U28" s="18">
        <f>IF($A28="","",$T28*$C28)</f>
        <v/>
      </c>
      <c r="V28" s="18">
        <f>IF($A28="","",$S28*$C28)</f>
        <v/>
      </c>
      <c r="W28" s="28">
        <f>IF($A28="","",IF(N(Auftrag!$AO28)&gt;0,"nicht vollständig eingeplant",IF($D28=0,"kein Schnittplan oder Preis",IF($H28="","keine Schneiddaten",IF(AND(Auftrag!$AF28&lt;&gt;"",Auftrag!$AG28=""),"Gewinde ungeprüft","")))))</f>
        <v/>
      </c>
      <c r="X28" s="18">
        <f>IF($A28="","",$F28*$C28)</f>
        <v/>
      </c>
      <c r="Y28" s="18">
        <f>IF($A28="","",$Q28*$C28)</f>
        <v/>
      </c>
    </row>
    <row r="29">
      <c r="A29" s="25">
        <f>IF(Auftrag!$D29="","",Auftrag!$A29)</f>
        <v/>
      </c>
      <c r="B29" s="25">
        <f>IF($A29="","",Auftrag!$B29)</f>
        <v/>
      </c>
      <c r="C29" s="15">
        <f>IF($A29="","",N(Auftrag!$G29))</f>
        <v/>
      </c>
      <c r="D29" s="18">
        <f>IF($A29="","",SUMIFS(Schnittplan!$R$5:$R$1004,Schnittplan!$B$5:$B$1004,Auftrag!$D29,Schnittplan!$C$5:$C$1004,Auftrag!$E29,Schnittplan!$D$5:$D$1004,Auftrag!$Q29))</f>
        <v/>
      </c>
      <c r="E29" s="32">
        <f>IF($A29="","",IFERROR(N(Auftrag!$P29)/SUMIFS(Auftrag!$P$13:$P$512,Auftrag!$D$13:$D$512,Auftrag!$D29,Auftrag!$E$13:$E$512,Auftrag!$E29,Auftrag!$Q$13:$Q$512,Auftrag!$Q29),0))</f>
        <v/>
      </c>
      <c r="F29" s="33">
        <f>IF($A29="","",IF($C29=0,0,$D29*$E29/$C29))</f>
        <v/>
      </c>
      <c r="G29" s="34">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5">
        <f>IF($A29="","",IF($H29="","",60*((N(Auftrag!$H29)-N(Auftrag!$AI29)-N(Auftrag!$AK29))/$H29+N(Auftrag!$AI29)/$J29+N(Auftrag!$AK29)/$I29+N(Auftrag!$AD29)/$K29)+N(Auftrag!$I29)*$L29))</f>
        <v/>
      </c>
      <c r="N29" s="35">
        <f>IF($A29="","",IF(OR($H29="",$C29=0),0,(60*SUMIFS(Stangenbelegung!$K$5:$K$10004,Stangenbelegung!$E$5:$E$10004,ROW())/$H29+SUMIFS(Stangenbelegung!$L$5:$L$10004,Stangenbelegung!$E$5:$E$10004,ROW())*$L29)/$C29))</f>
        <v/>
      </c>
      <c r="O29" s="35">
        <f>IF($A29="","",IF($M29="","",MAX(0,$M29-$N29)))</f>
        <v/>
      </c>
      <c r="P29" s="35">
        <f>IF($A29="","",IFERROR(SUMPRODUCT(--("0"&amp;TRIM(RIGHT(SUBSTITUTE(LEFT(";"&amp;SUBSTITUTE(UPPER(Auftrag!$AG29)," ","")&amp;";"&amp;"X"&amp;UPPER(Gewinde!$A$5:$A$54)&amp;";",SEARCH("X"&amp;UPPER(Gewinde!$A$5:$A$54)&amp;";",";"&amp;SUBSTITUTE(UPPER(Auftrag!$AG29)," ","")&amp;";"&amp;"X"&amp;UPPER(Gewinde!$A$5:$A$54)&amp;";")-1),";",REPT(" ",50)),50))),Gewinde!$C$5:$C$54),0))</f>
        <v/>
      </c>
      <c r="Q29" s="33">
        <f>IF($A29="","",(N($O29)+$P29)/3600*N(Auftrag!$H$8))</f>
        <v/>
      </c>
      <c r="R29" s="33">
        <f>IF($A29="","",IF($F$8=0,0,$F$7/$F$8))</f>
        <v/>
      </c>
      <c r="S29" s="33">
        <f>IF($A29="","",$F29*(1+$C$4)+($Q29+$R29)*(1+$C$5))</f>
        <v/>
      </c>
      <c r="T29" s="33">
        <f>IF($A29="","",$S29*(1+$C$6))</f>
        <v/>
      </c>
      <c r="U29" s="18">
        <f>IF($A29="","",$T29*$C29)</f>
        <v/>
      </c>
      <c r="V29" s="18">
        <f>IF($A29="","",$S29*$C29)</f>
        <v/>
      </c>
      <c r="W29" s="28">
        <f>IF($A29="","",IF(N(Auftrag!$AO29)&gt;0,"nicht vollständig eingeplant",IF($D29=0,"kein Schnittplan oder Preis",IF($H29="","keine Schneiddaten",IF(AND(Auftrag!$AF29&lt;&gt;"",Auftrag!$AG29=""),"Gewinde ungeprüft","")))))</f>
        <v/>
      </c>
      <c r="X29" s="18">
        <f>IF($A29="","",$F29*$C29)</f>
        <v/>
      </c>
      <c r="Y29" s="18">
        <f>IF($A29="","",$Q29*$C29)</f>
        <v/>
      </c>
    </row>
    <row r="30">
      <c r="A30" s="25">
        <f>IF(Auftrag!$D30="","",Auftrag!$A30)</f>
        <v/>
      </c>
      <c r="B30" s="25">
        <f>IF($A30="","",Auftrag!$B30)</f>
        <v/>
      </c>
      <c r="C30" s="15">
        <f>IF($A30="","",N(Auftrag!$G30))</f>
        <v/>
      </c>
      <c r="D30" s="18">
        <f>IF($A30="","",SUMIFS(Schnittplan!$R$5:$R$1004,Schnittplan!$B$5:$B$1004,Auftrag!$D30,Schnittplan!$C$5:$C$1004,Auftrag!$E30,Schnittplan!$D$5:$D$1004,Auftrag!$Q30))</f>
        <v/>
      </c>
      <c r="E30" s="32">
        <f>IF($A30="","",IFERROR(N(Auftrag!$P30)/SUMIFS(Auftrag!$P$13:$P$512,Auftrag!$D$13:$D$512,Auftrag!$D30,Auftrag!$E$13:$E$512,Auftrag!$E30,Auftrag!$Q$13:$Q$512,Auftrag!$Q30),0))</f>
        <v/>
      </c>
      <c r="F30" s="33">
        <f>IF($A30="","",IF($C30=0,0,$D30*$E30/$C30))</f>
        <v/>
      </c>
      <c r="G30" s="34">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5">
        <f>IF($A30="","",IF($H30="","",60*((N(Auftrag!$H30)-N(Auftrag!$AI30)-N(Auftrag!$AK30))/$H30+N(Auftrag!$AI30)/$J30+N(Auftrag!$AK30)/$I30+N(Auftrag!$AD30)/$K30)+N(Auftrag!$I30)*$L30))</f>
        <v/>
      </c>
      <c r="N30" s="35">
        <f>IF($A30="","",IF(OR($H30="",$C30=0),0,(60*SUMIFS(Stangenbelegung!$K$5:$K$10004,Stangenbelegung!$E$5:$E$10004,ROW())/$H30+SUMIFS(Stangenbelegung!$L$5:$L$10004,Stangenbelegung!$E$5:$E$10004,ROW())*$L30)/$C30))</f>
        <v/>
      </c>
      <c r="O30" s="35">
        <f>IF($A30="","",IF($M30="","",MAX(0,$M30-$N30)))</f>
        <v/>
      </c>
      <c r="P30" s="35">
        <f>IF($A30="","",IFERROR(SUMPRODUCT(--("0"&amp;TRIM(RIGHT(SUBSTITUTE(LEFT(";"&amp;SUBSTITUTE(UPPER(Auftrag!$AG30)," ","")&amp;";"&amp;"X"&amp;UPPER(Gewinde!$A$5:$A$54)&amp;";",SEARCH("X"&amp;UPPER(Gewinde!$A$5:$A$54)&amp;";",";"&amp;SUBSTITUTE(UPPER(Auftrag!$AG30)," ","")&amp;";"&amp;"X"&amp;UPPER(Gewinde!$A$5:$A$54)&amp;";")-1),";",REPT(" ",50)),50))),Gewinde!$C$5:$C$54),0))</f>
        <v/>
      </c>
      <c r="Q30" s="33">
        <f>IF($A30="","",(N($O30)+$P30)/3600*N(Auftrag!$H$8))</f>
        <v/>
      </c>
      <c r="R30" s="33">
        <f>IF($A30="","",IF($F$8=0,0,$F$7/$F$8))</f>
        <v/>
      </c>
      <c r="S30" s="33">
        <f>IF($A30="","",$F30*(1+$C$4)+($Q30+$R30)*(1+$C$5))</f>
        <v/>
      </c>
      <c r="T30" s="33">
        <f>IF($A30="","",$S30*(1+$C$6))</f>
        <v/>
      </c>
      <c r="U30" s="18">
        <f>IF($A30="","",$T30*$C30)</f>
        <v/>
      </c>
      <c r="V30" s="18">
        <f>IF($A30="","",$S30*$C30)</f>
        <v/>
      </c>
      <c r="W30" s="28">
        <f>IF($A30="","",IF(N(Auftrag!$AO30)&gt;0,"nicht vollständig eingeplant",IF($D30=0,"kein Schnittplan oder Preis",IF($H30="","keine Schneiddaten",IF(AND(Auftrag!$AF30&lt;&gt;"",Auftrag!$AG30=""),"Gewinde ungeprüft","")))))</f>
        <v/>
      </c>
      <c r="X30" s="18">
        <f>IF($A30="","",$F30*$C30)</f>
        <v/>
      </c>
      <c r="Y30" s="18">
        <f>IF($A30="","",$Q30*$C30)</f>
        <v/>
      </c>
    </row>
    <row r="31">
      <c r="A31" s="25">
        <f>IF(Auftrag!$D31="","",Auftrag!$A31)</f>
        <v/>
      </c>
      <c r="B31" s="25">
        <f>IF($A31="","",Auftrag!$B31)</f>
        <v/>
      </c>
      <c r="C31" s="15">
        <f>IF($A31="","",N(Auftrag!$G31))</f>
        <v/>
      </c>
      <c r="D31" s="18">
        <f>IF($A31="","",SUMIFS(Schnittplan!$R$5:$R$1004,Schnittplan!$B$5:$B$1004,Auftrag!$D31,Schnittplan!$C$5:$C$1004,Auftrag!$E31,Schnittplan!$D$5:$D$1004,Auftrag!$Q31))</f>
        <v/>
      </c>
      <c r="E31" s="32">
        <f>IF($A31="","",IFERROR(N(Auftrag!$P31)/SUMIFS(Auftrag!$P$13:$P$512,Auftrag!$D$13:$D$512,Auftrag!$D31,Auftrag!$E$13:$E$512,Auftrag!$E31,Auftrag!$Q$13:$Q$512,Auftrag!$Q31),0))</f>
        <v/>
      </c>
      <c r="F31" s="33">
        <f>IF($A31="","",IF($C31=0,0,$D31*$E31/$C31))</f>
        <v/>
      </c>
      <c r="G31" s="34">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5">
        <f>IF($A31="","",IF($H31="","",60*((N(Auftrag!$H31)-N(Auftrag!$AI31)-N(Auftrag!$AK31))/$H31+N(Auftrag!$AI31)/$J31+N(Auftrag!$AK31)/$I31+N(Auftrag!$AD31)/$K31)+N(Auftrag!$I31)*$L31))</f>
        <v/>
      </c>
      <c r="N31" s="35">
        <f>IF($A31="","",IF(OR($H31="",$C31=0),0,(60*SUMIFS(Stangenbelegung!$K$5:$K$10004,Stangenbelegung!$E$5:$E$10004,ROW())/$H31+SUMIFS(Stangenbelegung!$L$5:$L$10004,Stangenbelegung!$E$5:$E$10004,ROW())*$L31)/$C31))</f>
        <v/>
      </c>
      <c r="O31" s="35">
        <f>IF($A31="","",IF($M31="","",MAX(0,$M31-$N31)))</f>
        <v/>
      </c>
      <c r="P31" s="35">
        <f>IF($A31="","",IFERROR(SUMPRODUCT(--("0"&amp;TRIM(RIGHT(SUBSTITUTE(LEFT(";"&amp;SUBSTITUTE(UPPER(Auftrag!$AG31)," ","")&amp;";"&amp;"X"&amp;UPPER(Gewinde!$A$5:$A$54)&amp;";",SEARCH("X"&amp;UPPER(Gewinde!$A$5:$A$54)&amp;";",";"&amp;SUBSTITUTE(UPPER(Auftrag!$AG31)," ","")&amp;";"&amp;"X"&amp;UPPER(Gewinde!$A$5:$A$54)&amp;";")-1),";",REPT(" ",50)),50))),Gewinde!$C$5:$C$54),0))</f>
        <v/>
      </c>
      <c r="Q31" s="33">
        <f>IF($A31="","",(N($O31)+$P31)/3600*N(Auftrag!$H$8))</f>
        <v/>
      </c>
      <c r="R31" s="33">
        <f>IF($A31="","",IF($F$8=0,0,$F$7/$F$8))</f>
        <v/>
      </c>
      <c r="S31" s="33">
        <f>IF($A31="","",$F31*(1+$C$4)+($Q31+$R31)*(1+$C$5))</f>
        <v/>
      </c>
      <c r="T31" s="33">
        <f>IF($A31="","",$S31*(1+$C$6))</f>
        <v/>
      </c>
      <c r="U31" s="18">
        <f>IF($A31="","",$T31*$C31)</f>
        <v/>
      </c>
      <c r="V31" s="18">
        <f>IF($A31="","",$S31*$C31)</f>
        <v/>
      </c>
      <c r="W31" s="28">
        <f>IF($A31="","",IF(N(Auftrag!$AO31)&gt;0,"nicht vollständig eingeplant",IF($D31=0,"kein Schnittplan oder Preis",IF($H31="","keine Schneiddaten",IF(AND(Auftrag!$AF31&lt;&gt;"",Auftrag!$AG31=""),"Gewinde ungeprüft","")))))</f>
        <v/>
      </c>
      <c r="X31" s="18">
        <f>IF($A31="","",$F31*$C31)</f>
        <v/>
      </c>
      <c r="Y31" s="18">
        <f>IF($A31="","",$Q31*$C31)</f>
        <v/>
      </c>
    </row>
    <row r="32">
      <c r="A32" s="25">
        <f>IF(Auftrag!$D32="","",Auftrag!$A32)</f>
        <v/>
      </c>
      <c r="B32" s="25">
        <f>IF($A32="","",Auftrag!$B32)</f>
        <v/>
      </c>
      <c r="C32" s="15">
        <f>IF($A32="","",N(Auftrag!$G32))</f>
        <v/>
      </c>
      <c r="D32" s="18">
        <f>IF($A32="","",SUMIFS(Schnittplan!$R$5:$R$1004,Schnittplan!$B$5:$B$1004,Auftrag!$D32,Schnittplan!$C$5:$C$1004,Auftrag!$E32,Schnittplan!$D$5:$D$1004,Auftrag!$Q32))</f>
        <v/>
      </c>
      <c r="E32" s="32">
        <f>IF($A32="","",IFERROR(N(Auftrag!$P32)/SUMIFS(Auftrag!$P$13:$P$512,Auftrag!$D$13:$D$512,Auftrag!$D32,Auftrag!$E$13:$E$512,Auftrag!$E32,Auftrag!$Q$13:$Q$512,Auftrag!$Q32),0))</f>
        <v/>
      </c>
      <c r="F32" s="33">
        <f>IF($A32="","",IF($C32=0,0,$D32*$E32/$C32))</f>
        <v/>
      </c>
      <c r="G32" s="34">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5">
        <f>IF($A32="","",IF($H32="","",60*((N(Auftrag!$H32)-N(Auftrag!$AI32)-N(Auftrag!$AK32))/$H32+N(Auftrag!$AI32)/$J32+N(Auftrag!$AK32)/$I32+N(Auftrag!$AD32)/$K32)+N(Auftrag!$I32)*$L32))</f>
        <v/>
      </c>
      <c r="N32" s="35">
        <f>IF($A32="","",IF(OR($H32="",$C32=0),0,(60*SUMIFS(Stangenbelegung!$K$5:$K$10004,Stangenbelegung!$E$5:$E$10004,ROW())/$H32+SUMIFS(Stangenbelegung!$L$5:$L$10004,Stangenbelegung!$E$5:$E$10004,ROW())*$L32)/$C32))</f>
        <v/>
      </c>
      <c r="O32" s="35">
        <f>IF($A32="","",IF($M32="","",MAX(0,$M32-$N32)))</f>
        <v/>
      </c>
      <c r="P32" s="35">
        <f>IF($A32="","",IFERROR(SUMPRODUCT(--("0"&amp;TRIM(RIGHT(SUBSTITUTE(LEFT(";"&amp;SUBSTITUTE(UPPER(Auftrag!$AG32)," ","")&amp;";"&amp;"X"&amp;UPPER(Gewinde!$A$5:$A$54)&amp;";",SEARCH("X"&amp;UPPER(Gewinde!$A$5:$A$54)&amp;";",";"&amp;SUBSTITUTE(UPPER(Auftrag!$AG32)," ","")&amp;";"&amp;"X"&amp;UPPER(Gewinde!$A$5:$A$54)&amp;";")-1),";",REPT(" ",50)),50))),Gewinde!$C$5:$C$54),0))</f>
        <v/>
      </c>
      <c r="Q32" s="33">
        <f>IF($A32="","",(N($O32)+$P32)/3600*N(Auftrag!$H$8))</f>
        <v/>
      </c>
      <c r="R32" s="33">
        <f>IF($A32="","",IF($F$8=0,0,$F$7/$F$8))</f>
        <v/>
      </c>
      <c r="S32" s="33">
        <f>IF($A32="","",$F32*(1+$C$4)+($Q32+$R32)*(1+$C$5))</f>
        <v/>
      </c>
      <c r="T32" s="33">
        <f>IF($A32="","",$S32*(1+$C$6))</f>
        <v/>
      </c>
      <c r="U32" s="18">
        <f>IF($A32="","",$T32*$C32)</f>
        <v/>
      </c>
      <c r="V32" s="18">
        <f>IF($A32="","",$S32*$C32)</f>
        <v/>
      </c>
      <c r="W32" s="28">
        <f>IF($A32="","",IF(N(Auftrag!$AO32)&gt;0,"nicht vollständig eingeplant",IF($D32=0,"kein Schnittplan oder Preis",IF($H32="","keine Schneiddaten",IF(AND(Auftrag!$AF32&lt;&gt;"",Auftrag!$AG32=""),"Gewinde ungeprüft","")))))</f>
        <v/>
      </c>
      <c r="X32" s="18">
        <f>IF($A32="","",$F32*$C32)</f>
        <v/>
      </c>
      <c r="Y32" s="18">
        <f>IF($A32="","",$Q32*$C32)</f>
        <v/>
      </c>
    </row>
    <row r="33">
      <c r="A33" s="25">
        <f>IF(Auftrag!$D33="","",Auftrag!$A33)</f>
        <v/>
      </c>
      <c r="B33" s="25">
        <f>IF($A33="","",Auftrag!$B33)</f>
        <v/>
      </c>
      <c r="C33" s="15">
        <f>IF($A33="","",N(Auftrag!$G33))</f>
        <v/>
      </c>
      <c r="D33" s="18">
        <f>IF($A33="","",SUMIFS(Schnittplan!$R$5:$R$1004,Schnittplan!$B$5:$B$1004,Auftrag!$D33,Schnittplan!$C$5:$C$1004,Auftrag!$E33,Schnittplan!$D$5:$D$1004,Auftrag!$Q33))</f>
        <v/>
      </c>
      <c r="E33" s="32">
        <f>IF($A33="","",IFERROR(N(Auftrag!$P33)/SUMIFS(Auftrag!$P$13:$P$512,Auftrag!$D$13:$D$512,Auftrag!$D33,Auftrag!$E$13:$E$512,Auftrag!$E33,Auftrag!$Q$13:$Q$512,Auftrag!$Q33),0))</f>
        <v/>
      </c>
      <c r="F33" s="33">
        <f>IF($A33="","",IF($C33=0,0,$D33*$E33/$C33))</f>
        <v/>
      </c>
      <c r="G33" s="34">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5">
        <f>IF($A33="","",IF($H33="","",60*((N(Auftrag!$H33)-N(Auftrag!$AI33)-N(Auftrag!$AK33))/$H33+N(Auftrag!$AI33)/$J33+N(Auftrag!$AK33)/$I33+N(Auftrag!$AD33)/$K33)+N(Auftrag!$I33)*$L33))</f>
        <v/>
      </c>
      <c r="N33" s="35">
        <f>IF($A33="","",IF(OR($H33="",$C33=0),0,(60*SUMIFS(Stangenbelegung!$K$5:$K$10004,Stangenbelegung!$E$5:$E$10004,ROW())/$H33+SUMIFS(Stangenbelegung!$L$5:$L$10004,Stangenbelegung!$E$5:$E$10004,ROW())*$L33)/$C33))</f>
        <v/>
      </c>
      <c r="O33" s="35">
        <f>IF($A33="","",IF($M33="","",MAX(0,$M33-$N33)))</f>
        <v/>
      </c>
      <c r="P33" s="35">
        <f>IF($A33="","",IFERROR(SUMPRODUCT(--("0"&amp;TRIM(RIGHT(SUBSTITUTE(LEFT(";"&amp;SUBSTITUTE(UPPER(Auftrag!$AG33)," ","")&amp;";"&amp;"X"&amp;UPPER(Gewinde!$A$5:$A$54)&amp;";",SEARCH("X"&amp;UPPER(Gewinde!$A$5:$A$54)&amp;";",";"&amp;SUBSTITUTE(UPPER(Auftrag!$AG33)," ","")&amp;";"&amp;"X"&amp;UPPER(Gewinde!$A$5:$A$54)&amp;";")-1),";",REPT(" ",50)),50))),Gewinde!$C$5:$C$54),0))</f>
        <v/>
      </c>
      <c r="Q33" s="33">
        <f>IF($A33="","",(N($O33)+$P33)/3600*N(Auftrag!$H$8))</f>
        <v/>
      </c>
      <c r="R33" s="33">
        <f>IF($A33="","",IF($F$8=0,0,$F$7/$F$8))</f>
        <v/>
      </c>
      <c r="S33" s="33">
        <f>IF($A33="","",$F33*(1+$C$4)+($Q33+$R33)*(1+$C$5))</f>
        <v/>
      </c>
      <c r="T33" s="33">
        <f>IF($A33="","",$S33*(1+$C$6))</f>
        <v/>
      </c>
      <c r="U33" s="18">
        <f>IF($A33="","",$T33*$C33)</f>
        <v/>
      </c>
      <c r="V33" s="18">
        <f>IF($A33="","",$S33*$C33)</f>
        <v/>
      </c>
      <c r="W33" s="28">
        <f>IF($A33="","",IF(N(Auftrag!$AO33)&gt;0,"nicht vollständig eingeplant",IF($D33=0,"kein Schnittplan oder Preis",IF($H33="","keine Schneiddaten",IF(AND(Auftrag!$AF33&lt;&gt;"",Auftrag!$AG33=""),"Gewinde ungeprüft","")))))</f>
        <v/>
      </c>
      <c r="X33" s="18">
        <f>IF($A33="","",$F33*$C33)</f>
        <v/>
      </c>
      <c r="Y33" s="18">
        <f>IF($A33="","",$Q33*$C33)</f>
        <v/>
      </c>
    </row>
    <row r="34">
      <c r="A34" s="25">
        <f>IF(Auftrag!$D34="","",Auftrag!$A34)</f>
        <v/>
      </c>
      <c r="B34" s="25">
        <f>IF($A34="","",Auftrag!$B34)</f>
        <v/>
      </c>
      <c r="C34" s="15">
        <f>IF($A34="","",N(Auftrag!$G34))</f>
        <v/>
      </c>
      <c r="D34" s="18">
        <f>IF($A34="","",SUMIFS(Schnittplan!$R$5:$R$1004,Schnittplan!$B$5:$B$1004,Auftrag!$D34,Schnittplan!$C$5:$C$1004,Auftrag!$E34,Schnittplan!$D$5:$D$1004,Auftrag!$Q34))</f>
        <v/>
      </c>
      <c r="E34" s="32">
        <f>IF($A34="","",IFERROR(N(Auftrag!$P34)/SUMIFS(Auftrag!$P$13:$P$512,Auftrag!$D$13:$D$512,Auftrag!$D34,Auftrag!$E$13:$E$512,Auftrag!$E34,Auftrag!$Q$13:$Q$512,Auftrag!$Q34),0))</f>
        <v/>
      </c>
      <c r="F34" s="33">
        <f>IF($A34="","",IF($C34=0,0,$D34*$E34/$C34))</f>
        <v/>
      </c>
      <c r="G34" s="34">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5">
        <f>IF($A34="","",IF($H34="","",60*((N(Auftrag!$H34)-N(Auftrag!$AI34)-N(Auftrag!$AK34))/$H34+N(Auftrag!$AI34)/$J34+N(Auftrag!$AK34)/$I34+N(Auftrag!$AD34)/$K34)+N(Auftrag!$I34)*$L34))</f>
        <v/>
      </c>
      <c r="N34" s="35">
        <f>IF($A34="","",IF(OR($H34="",$C34=0),0,(60*SUMIFS(Stangenbelegung!$K$5:$K$10004,Stangenbelegung!$E$5:$E$10004,ROW())/$H34+SUMIFS(Stangenbelegung!$L$5:$L$10004,Stangenbelegung!$E$5:$E$10004,ROW())*$L34)/$C34))</f>
        <v/>
      </c>
      <c r="O34" s="35">
        <f>IF($A34="","",IF($M34="","",MAX(0,$M34-$N34)))</f>
        <v/>
      </c>
      <c r="P34" s="35">
        <f>IF($A34="","",IFERROR(SUMPRODUCT(--("0"&amp;TRIM(RIGHT(SUBSTITUTE(LEFT(";"&amp;SUBSTITUTE(UPPER(Auftrag!$AG34)," ","")&amp;";"&amp;"X"&amp;UPPER(Gewinde!$A$5:$A$54)&amp;";",SEARCH("X"&amp;UPPER(Gewinde!$A$5:$A$54)&amp;";",";"&amp;SUBSTITUTE(UPPER(Auftrag!$AG34)," ","")&amp;";"&amp;"X"&amp;UPPER(Gewinde!$A$5:$A$54)&amp;";")-1),";",REPT(" ",50)),50))),Gewinde!$C$5:$C$54),0))</f>
        <v/>
      </c>
      <c r="Q34" s="33">
        <f>IF($A34="","",(N($O34)+$P34)/3600*N(Auftrag!$H$8))</f>
        <v/>
      </c>
      <c r="R34" s="33">
        <f>IF($A34="","",IF($F$8=0,0,$F$7/$F$8))</f>
        <v/>
      </c>
      <c r="S34" s="33">
        <f>IF($A34="","",$F34*(1+$C$4)+($Q34+$R34)*(1+$C$5))</f>
        <v/>
      </c>
      <c r="T34" s="33">
        <f>IF($A34="","",$S34*(1+$C$6))</f>
        <v/>
      </c>
      <c r="U34" s="18">
        <f>IF($A34="","",$T34*$C34)</f>
        <v/>
      </c>
      <c r="V34" s="18">
        <f>IF($A34="","",$S34*$C34)</f>
        <v/>
      </c>
      <c r="W34" s="28">
        <f>IF($A34="","",IF(N(Auftrag!$AO34)&gt;0,"nicht vollständig eingeplant",IF($D34=0,"kein Schnittplan oder Preis",IF($H34="","keine Schneiddaten",IF(AND(Auftrag!$AF34&lt;&gt;"",Auftrag!$AG34=""),"Gewinde ungeprüft","")))))</f>
        <v/>
      </c>
      <c r="X34" s="18">
        <f>IF($A34="","",$F34*$C34)</f>
        <v/>
      </c>
      <c r="Y34" s="18">
        <f>IF($A34="","",$Q34*$C34)</f>
        <v/>
      </c>
    </row>
    <row r="35">
      <c r="A35" s="25">
        <f>IF(Auftrag!$D35="","",Auftrag!$A35)</f>
        <v/>
      </c>
      <c r="B35" s="25">
        <f>IF($A35="","",Auftrag!$B35)</f>
        <v/>
      </c>
      <c r="C35" s="15">
        <f>IF($A35="","",N(Auftrag!$G35))</f>
        <v/>
      </c>
      <c r="D35" s="18">
        <f>IF($A35="","",SUMIFS(Schnittplan!$R$5:$R$1004,Schnittplan!$B$5:$B$1004,Auftrag!$D35,Schnittplan!$C$5:$C$1004,Auftrag!$E35,Schnittplan!$D$5:$D$1004,Auftrag!$Q35))</f>
        <v/>
      </c>
      <c r="E35" s="32">
        <f>IF($A35="","",IFERROR(N(Auftrag!$P35)/SUMIFS(Auftrag!$P$13:$P$512,Auftrag!$D$13:$D$512,Auftrag!$D35,Auftrag!$E$13:$E$512,Auftrag!$E35,Auftrag!$Q$13:$Q$512,Auftrag!$Q35),0))</f>
        <v/>
      </c>
      <c r="F35" s="33">
        <f>IF($A35="","",IF($C35=0,0,$D35*$E35/$C35))</f>
        <v/>
      </c>
      <c r="G35" s="34">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5">
        <f>IF($A35="","",IF($H35="","",60*((N(Auftrag!$H35)-N(Auftrag!$AI35)-N(Auftrag!$AK35))/$H35+N(Auftrag!$AI35)/$J35+N(Auftrag!$AK35)/$I35+N(Auftrag!$AD35)/$K35)+N(Auftrag!$I35)*$L35))</f>
        <v/>
      </c>
      <c r="N35" s="35">
        <f>IF($A35="","",IF(OR($H35="",$C35=0),0,(60*SUMIFS(Stangenbelegung!$K$5:$K$10004,Stangenbelegung!$E$5:$E$10004,ROW())/$H35+SUMIFS(Stangenbelegung!$L$5:$L$10004,Stangenbelegung!$E$5:$E$10004,ROW())*$L35)/$C35))</f>
        <v/>
      </c>
      <c r="O35" s="35">
        <f>IF($A35="","",IF($M35="","",MAX(0,$M35-$N35)))</f>
        <v/>
      </c>
      <c r="P35" s="35">
        <f>IF($A35="","",IFERROR(SUMPRODUCT(--("0"&amp;TRIM(RIGHT(SUBSTITUTE(LEFT(";"&amp;SUBSTITUTE(UPPER(Auftrag!$AG35)," ","")&amp;";"&amp;"X"&amp;UPPER(Gewinde!$A$5:$A$54)&amp;";",SEARCH("X"&amp;UPPER(Gewinde!$A$5:$A$54)&amp;";",";"&amp;SUBSTITUTE(UPPER(Auftrag!$AG35)," ","")&amp;";"&amp;"X"&amp;UPPER(Gewinde!$A$5:$A$54)&amp;";")-1),";",REPT(" ",50)),50))),Gewinde!$C$5:$C$54),0))</f>
        <v/>
      </c>
      <c r="Q35" s="33">
        <f>IF($A35="","",(N($O35)+$P35)/3600*N(Auftrag!$H$8))</f>
        <v/>
      </c>
      <c r="R35" s="33">
        <f>IF($A35="","",IF($F$8=0,0,$F$7/$F$8))</f>
        <v/>
      </c>
      <c r="S35" s="33">
        <f>IF($A35="","",$F35*(1+$C$4)+($Q35+$R35)*(1+$C$5))</f>
        <v/>
      </c>
      <c r="T35" s="33">
        <f>IF($A35="","",$S35*(1+$C$6))</f>
        <v/>
      </c>
      <c r="U35" s="18">
        <f>IF($A35="","",$T35*$C35)</f>
        <v/>
      </c>
      <c r="V35" s="18">
        <f>IF($A35="","",$S35*$C35)</f>
        <v/>
      </c>
      <c r="W35" s="28">
        <f>IF($A35="","",IF(N(Auftrag!$AO35)&gt;0,"nicht vollständig eingeplant",IF($D35=0,"kein Schnittplan oder Preis",IF($H35="","keine Schneiddaten",IF(AND(Auftrag!$AF35&lt;&gt;"",Auftrag!$AG35=""),"Gewinde ungeprüft","")))))</f>
        <v/>
      </c>
      <c r="X35" s="18">
        <f>IF($A35="","",$F35*$C35)</f>
        <v/>
      </c>
      <c r="Y35" s="18">
        <f>IF($A35="","",$Q35*$C35)</f>
        <v/>
      </c>
    </row>
    <row r="36">
      <c r="A36" s="25">
        <f>IF(Auftrag!$D36="","",Auftrag!$A36)</f>
        <v/>
      </c>
      <c r="B36" s="25">
        <f>IF($A36="","",Auftrag!$B36)</f>
        <v/>
      </c>
      <c r="C36" s="15">
        <f>IF($A36="","",N(Auftrag!$G36))</f>
        <v/>
      </c>
      <c r="D36" s="18">
        <f>IF($A36="","",SUMIFS(Schnittplan!$R$5:$R$1004,Schnittplan!$B$5:$B$1004,Auftrag!$D36,Schnittplan!$C$5:$C$1004,Auftrag!$E36,Schnittplan!$D$5:$D$1004,Auftrag!$Q36))</f>
        <v/>
      </c>
      <c r="E36" s="32">
        <f>IF($A36="","",IFERROR(N(Auftrag!$P36)/SUMIFS(Auftrag!$P$13:$P$512,Auftrag!$D$13:$D$512,Auftrag!$D36,Auftrag!$E$13:$E$512,Auftrag!$E36,Auftrag!$Q$13:$Q$512,Auftrag!$Q36),0))</f>
        <v/>
      </c>
      <c r="F36" s="33">
        <f>IF($A36="","",IF($C36=0,0,$D36*$E36/$C36))</f>
        <v/>
      </c>
      <c r="G36" s="34">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5">
        <f>IF($A36="","",IF($H36="","",60*((N(Auftrag!$H36)-N(Auftrag!$AI36)-N(Auftrag!$AK36))/$H36+N(Auftrag!$AI36)/$J36+N(Auftrag!$AK36)/$I36+N(Auftrag!$AD36)/$K36)+N(Auftrag!$I36)*$L36))</f>
        <v/>
      </c>
      <c r="N36" s="35">
        <f>IF($A36="","",IF(OR($H36="",$C36=0),0,(60*SUMIFS(Stangenbelegung!$K$5:$K$10004,Stangenbelegung!$E$5:$E$10004,ROW())/$H36+SUMIFS(Stangenbelegung!$L$5:$L$10004,Stangenbelegung!$E$5:$E$10004,ROW())*$L36)/$C36))</f>
        <v/>
      </c>
      <c r="O36" s="35">
        <f>IF($A36="","",IF($M36="","",MAX(0,$M36-$N36)))</f>
        <v/>
      </c>
      <c r="P36" s="35">
        <f>IF($A36="","",IFERROR(SUMPRODUCT(--("0"&amp;TRIM(RIGHT(SUBSTITUTE(LEFT(";"&amp;SUBSTITUTE(UPPER(Auftrag!$AG36)," ","")&amp;";"&amp;"X"&amp;UPPER(Gewinde!$A$5:$A$54)&amp;";",SEARCH("X"&amp;UPPER(Gewinde!$A$5:$A$54)&amp;";",";"&amp;SUBSTITUTE(UPPER(Auftrag!$AG36)," ","")&amp;";"&amp;"X"&amp;UPPER(Gewinde!$A$5:$A$54)&amp;";")-1),";",REPT(" ",50)),50))),Gewinde!$C$5:$C$54),0))</f>
        <v/>
      </c>
      <c r="Q36" s="33">
        <f>IF($A36="","",(N($O36)+$P36)/3600*N(Auftrag!$H$8))</f>
        <v/>
      </c>
      <c r="R36" s="33">
        <f>IF($A36="","",IF($F$8=0,0,$F$7/$F$8))</f>
        <v/>
      </c>
      <c r="S36" s="33">
        <f>IF($A36="","",$F36*(1+$C$4)+($Q36+$R36)*(1+$C$5))</f>
        <v/>
      </c>
      <c r="T36" s="33">
        <f>IF($A36="","",$S36*(1+$C$6))</f>
        <v/>
      </c>
      <c r="U36" s="18">
        <f>IF($A36="","",$T36*$C36)</f>
        <v/>
      </c>
      <c r="V36" s="18">
        <f>IF($A36="","",$S36*$C36)</f>
        <v/>
      </c>
      <c r="W36" s="28">
        <f>IF($A36="","",IF(N(Auftrag!$AO36)&gt;0,"nicht vollständig eingeplant",IF($D36=0,"kein Schnittplan oder Preis",IF($H36="","keine Schneiddaten",IF(AND(Auftrag!$AF36&lt;&gt;"",Auftrag!$AG36=""),"Gewinde ungeprüft","")))))</f>
        <v/>
      </c>
      <c r="X36" s="18">
        <f>IF($A36="","",$F36*$C36)</f>
        <v/>
      </c>
      <c r="Y36" s="18">
        <f>IF($A36="","",$Q36*$C36)</f>
        <v/>
      </c>
    </row>
    <row r="37">
      <c r="A37" s="25">
        <f>IF(Auftrag!$D37="","",Auftrag!$A37)</f>
        <v/>
      </c>
      <c r="B37" s="25">
        <f>IF($A37="","",Auftrag!$B37)</f>
        <v/>
      </c>
      <c r="C37" s="15">
        <f>IF($A37="","",N(Auftrag!$G37))</f>
        <v/>
      </c>
      <c r="D37" s="18">
        <f>IF($A37="","",SUMIFS(Schnittplan!$R$5:$R$1004,Schnittplan!$B$5:$B$1004,Auftrag!$D37,Schnittplan!$C$5:$C$1004,Auftrag!$E37,Schnittplan!$D$5:$D$1004,Auftrag!$Q37))</f>
        <v/>
      </c>
      <c r="E37" s="32">
        <f>IF($A37="","",IFERROR(N(Auftrag!$P37)/SUMIFS(Auftrag!$P$13:$P$512,Auftrag!$D$13:$D$512,Auftrag!$D37,Auftrag!$E$13:$E$512,Auftrag!$E37,Auftrag!$Q$13:$Q$512,Auftrag!$Q37),0))</f>
        <v/>
      </c>
      <c r="F37" s="33">
        <f>IF($A37="","",IF($C37=0,0,$D37*$E37/$C37))</f>
        <v/>
      </c>
      <c r="G37" s="34">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5">
        <f>IF($A37="","",IF($H37="","",60*((N(Auftrag!$H37)-N(Auftrag!$AI37)-N(Auftrag!$AK37))/$H37+N(Auftrag!$AI37)/$J37+N(Auftrag!$AK37)/$I37+N(Auftrag!$AD37)/$K37)+N(Auftrag!$I37)*$L37))</f>
        <v/>
      </c>
      <c r="N37" s="35">
        <f>IF($A37="","",IF(OR($H37="",$C37=0),0,(60*SUMIFS(Stangenbelegung!$K$5:$K$10004,Stangenbelegung!$E$5:$E$10004,ROW())/$H37+SUMIFS(Stangenbelegung!$L$5:$L$10004,Stangenbelegung!$E$5:$E$10004,ROW())*$L37)/$C37))</f>
        <v/>
      </c>
      <c r="O37" s="35">
        <f>IF($A37="","",IF($M37="","",MAX(0,$M37-$N37)))</f>
        <v/>
      </c>
      <c r="P37" s="35">
        <f>IF($A37="","",IFERROR(SUMPRODUCT(--("0"&amp;TRIM(RIGHT(SUBSTITUTE(LEFT(";"&amp;SUBSTITUTE(UPPER(Auftrag!$AG37)," ","")&amp;";"&amp;"X"&amp;UPPER(Gewinde!$A$5:$A$54)&amp;";",SEARCH("X"&amp;UPPER(Gewinde!$A$5:$A$54)&amp;";",";"&amp;SUBSTITUTE(UPPER(Auftrag!$AG37)," ","")&amp;";"&amp;"X"&amp;UPPER(Gewinde!$A$5:$A$54)&amp;";")-1),";",REPT(" ",50)),50))),Gewinde!$C$5:$C$54),0))</f>
        <v/>
      </c>
      <c r="Q37" s="33">
        <f>IF($A37="","",(N($O37)+$P37)/3600*N(Auftrag!$H$8))</f>
        <v/>
      </c>
      <c r="R37" s="33">
        <f>IF($A37="","",IF($F$8=0,0,$F$7/$F$8))</f>
        <v/>
      </c>
      <c r="S37" s="33">
        <f>IF($A37="","",$F37*(1+$C$4)+($Q37+$R37)*(1+$C$5))</f>
        <v/>
      </c>
      <c r="T37" s="33">
        <f>IF($A37="","",$S37*(1+$C$6))</f>
        <v/>
      </c>
      <c r="U37" s="18">
        <f>IF($A37="","",$T37*$C37)</f>
        <v/>
      </c>
      <c r="V37" s="18">
        <f>IF($A37="","",$S37*$C37)</f>
        <v/>
      </c>
      <c r="W37" s="28">
        <f>IF($A37="","",IF(N(Auftrag!$AO37)&gt;0,"nicht vollständig eingeplant",IF($D37=0,"kein Schnittplan oder Preis",IF($H37="","keine Schneiddaten",IF(AND(Auftrag!$AF37&lt;&gt;"",Auftrag!$AG37=""),"Gewinde ungeprüft","")))))</f>
        <v/>
      </c>
      <c r="X37" s="18">
        <f>IF($A37="","",$F37*$C37)</f>
        <v/>
      </c>
      <c r="Y37" s="18">
        <f>IF($A37="","",$Q37*$C37)</f>
        <v/>
      </c>
    </row>
    <row r="38">
      <c r="A38" s="25">
        <f>IF(Auftrag!$D38="","",Auftrag!$A38)</f>
        <v/>
      </c>
      <c r="B38" s="25">
        <f>IF($A38="","",Auftrag!$B38)</f>
        <v/>
      </c>
      <c r="C38" s="15">
        <f>IF($A38="","",N(Auftrag!$G38))</f>
        <v/>
      </c>
      <c r="D38" s="18">
        <f>IF($A38="","",SUMIFS(Schnittplan!$R$5:$R$1004,Schnittplan!$B$5:$B$1004,Auftrag!$D38,Schnittplan!$C$5:$C$1004,Auftrag!$E38,Schnittplan!$D$5:$D$1004,Auftrag!$Q38))</f>
        <v/>
      </c>
      <c r="E38" s="32">
        <f>IF($A38="","",IFERROR(N(Auftrag!$P38)/SUMIFS(Auftrag!$P$13:$P$512,Auftrag!$D$13:$D$512,Auftrag!$D38,Auftrag!$E$13:$E$512,Auftrag!$E38,Auftrag!$Q$13:$Q$512,Auftrag!$Q38),0))</f>
        <v/>
      </c>
      <c r="F38" s="33">
        <f>IF($A38="","",IF($C38=0,0,$D38*$E38/$C38))</f>
        <v/>
      </c>
      <c r="G38" s="34">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5">
        <f>IF($A38="","",IF($H38="","",60*((N(Auftrag!$H38)-N(Auftrag!$AI38)-N(Auftrag!$AK38))/$H38+N(Auftrag!$AI38)/$J38+N(Auftrag!$AK38)/$I38+N(Auftrag!$AD38)/$K38)+N(Auftrag!$I38)*$L38))</f>
        <v/>
      </c>
      <c r="N38" s="35">
        <f>IF($A38="","",IF(OR($H38="",$C38=0),0,(60*SUMIFS(Stangenbelegung!$K$5:$K$10004,Stangenbelegung!$E$5:$E$10004,ROW())/$H38+SUMIFS(Stangenbelegung!$L$5:$L$10004,Stangenbelegung!$E$5:$E$10004,ROW())*$L38)/$C38))</f>
        <v/>
      </c>
      <c r="O38" s="35">
        <f>IF($A38="","",IF($M38="","",MAX(0,$M38-$N38)))</f>
        <v/>
      </c>
      <c r="P38" s="35">
        <f>IF($A38="","",IFERROR(SUMPRODUCT(--("0"&amp;TRIM(RIGHT(SUBSTITUTE(LEFT(";"&amp;SUBSTITUTE(UPPER(Auftrag!$AG38)," ","")&amp;";"&amp;"X"&amp;UPPER(Gewinde!$A$5:$A$54)&amp;";",SEARCH("X"&amp;UPPER(Gewinde!$A$5:$A$54)&amp;";",";"&amp;SUBSTITUTE(UPPER(Auftrag!$AG38)," ","")&amp;";"&amp;"X"&amp;UPPER(Gewinde!$A$5:$A$54)&amp;";")-1),";",REPT(" ",50)),50))),Gewinde!$C$5:$C$54),0))</f>
        <v/>
      </c>
      <c r="Q38" s="33">
        <f>IF($A38="","",(N($O38)+$P38)/3600*N(Auftrag!$H$8))</f>
        <v/>
      </c>
      <c r="R38" s="33">
        <f>IF($A38="","",IF($F$8=0,0,$F$7/$F$8))</f>
        <v/>
      </c>
      <c r="S38" s="33">
        <f>IF($A38="","",$F38*(1+$C$4)+($Q38+$R38)*(1+$C$5))</f>
        <v/>
      </c>
      <c r="T38" s="33">
        <f>IF($A38="","",$S38*(1+$C$6))</f>
        <v/>
      </c>
      <c r="U38" s="18">
        <f>IF($A38="","",$T38*$C38)</f>
        <v/>
      </c>
      <c r="V38" s="18">
        <f>IF($A38="","",$S38*$C38)</f>
        <v/>
      </c>
      <c r="W38" s="28">
        <f>IF($A38="","",IF(N(Auftrag!$AO38)&gt;0,"nicht vollständig eingeplant",IF($D38=0,"kein Schnittplan oder Preis",IF($H38="","keine Schneiddaten",IF(AND(Auftrag!$AF38&lt;&gt;"",Auftrag!$AG38=""),"Gewinde ungeprüft","")))))</f>
        <v/>
      </c>
      <c r="X38" s="18">
        <f>IF($A38="","",$F38*$C38)</f>
        <v/>
      </c>
      <c r="Y38" s="18">
        <f>IF($A38="","",$Q38*$C38)</f>
        <v/>
      </c>
    </row>
    <row r="39">
      <c r="A39" s="25">
        <f>IF(Auftrag!$D39="","",Auftrag!$A39)</f>
        <v/>
      </c>
      <c r="B39" s="25">
        <f>IF($A39="","",Auftrag!$B39)</f>
        <v/>
      </c>
      <c r="C39" s="15">
        <f>IF($A39="","",N(Auftrag!$G39))</f>
        <v/>
      </c>
      <c r="D39" s="18">
        <f>IF($A39="","",SUMIFS(Schnittplan!$R$5:$R$1004,Schnittplan!$B$5:$B$1004,Auftrag!$D39,Schnittplan!$C$5:$C$1004,Auftrag!$E39,Schnittplan!$D$5:$D$1004,Auftrag!$Q39))</f>
        <v/>
      </c>
      <c r="E39" s="32">
        <f>IF($A39="","",IFERROR(N(Auftrag!$P39)/SUMIFS(Auftrag!$P$13:$P$512,Auftrag!$D$13:$D$512,Auftrag!$D39,Auftrag!$E$13:$E$512,Auftrag!$E39,Auftrag!$Q$13:$Q$512,Auftrag!$Q39),0))</f>
        <v/>
      </c>
      <c r="F39" s="33">
        <f>IF($A39="","",IF($C39=0,0,$D39*$E39/$C39))</f>
        <v/>
      </c>
      <c r="G39" s="34">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5">
        <f>IF($A39="","",IF($H39="","",60*((N(Auftrag!$H39)-N(Auftrag!$AI39)-N(Auftrag!$AK39))/$H39+N(Auftrag!$AI39)/$J39+N(Auftrag!$AK39)/$I39+N(Auftrag!$AD39)/$K39)+N(Auftrag!$I39)*$L39))</f>
        <v/>
      </c>
      <c r="N39" s="35">
        <f>IF($A39="","",IF(OR($H39="",$C39=0),0,(60*SUMIFS(Stangenbelegung!$K$5:$K$10004,Stangenbelegung!$E$5:$E$10004,ROW())/$H39+SUMIFS(Stangenbelegung!$L$5:$L$10004,Stangenbelegung!$E$5:$E$10004,ROW())*$L39)/$C39))</f>
        <v/>
      </c>
      <c r="O39" s="35">
        <f>IF($A39="","",IF($M39="","",MAX(0,$M39-$N39)))</f>
        <v/>
      </c>
      <c r="P39" s="35">
        <f>IF($A39="","",IFERROR(SUMPRODUCT(--("0"&amp;TRIM(RIGHT(SUBSTITUTE(LEFT(";"&amp;SUBSTITUTE(UPPER(Auftrag!$AG39)," ","")&amp;";"&amp;"X"&amp;UPPER(Gewinde!$A$5:$A$54)&amp;";",SEARCH("X"&amp;UPPER(Gewinde!$A$5:$A$54)&amp;";",";"&amp;SUBSTITUTE(UPPER(Auftrag!$AG39)," ","")&amp;";"&amp;"X"&amp;UPPER(Gewinde!$A$5:$A$54)&amp;";")-1),";",REPT(" ",50)),50))),Gewinde!$C$5:$C$54),0))</f>
        <v/>
      </c>
      <c r="Q39" s="33">
        <f>IF($A39="","",(N($O39)+$P39)/3600*N(Auftrag!$H$8))</f>
        <v/>
      </c>
      <c r="R39" s="33">
        <f>IF($A39="","",IF($F$8=0,0,$F$7/$F$8))</f>
        <v/>
      </c>
      <c r="S39" s="33">
        <f>IF($A39="","",$F39*(1+$C$4)+($Q39+$R39)*(1+$C$5))</f>
        <v/>
      </c>
      <c r="T39" s="33">
        <f>IF($A39="","",$S39*(1+$C$6))</f>
        <v/>
      </c>
      <c r="U39" s="18">
        <f>IF($A39="","",$T39*$C39)</f>
        <v/>
      </c>
      <c r="V39" s="18">
        <f>IF($A39="","",$S39*$C39)</f>
        <v/>
      </c>
      <c r="W39" s="28">
        <f>IF($A39="","",IF(N(Auftrag!$AO39)&gt;0,"nicht vollständig eingeplant",IF($D39=0,"kein Schnittplan oder Preis",IF($H39="","keine Schneiddaten",IF(AND(Auftrag!$AF39&lt;&gt;"",Auftrag!$AG39=""),"Gewinde ungeprüft","")))))</f>
        <v/>
      </c>
      <c r="X39" s="18">
        <f>IF($A39="","",$F39*$C39)</f>
        <v/>
      </c>
      <c r="Y39" s="18">
        <f>IF($A39="","",$Q39*$C39)</f>
        <v/>
      </c>
    </row>
    <row r="40">
      <c r="A40" s="25">
        <f>IF(Auftrag!$D40="","",Auftrag!$A40)</f>
        <v/>
      </c>
      <c r="B40" s="25">
        <f>IF($A40="","",Auftrag!$B40)</f>
        <v/>
      </c>
      <c r="C40" s="15">
        <f>IF($A40="","",N(Auftrag!$G40))</f>
        <v/>
      </c>
      <c r="D40" s="18">
        <f>IF($A40="","",SUMIFS(Schnittplan!$R$5:$R$1004,Schnittplan!$B$5:$B$1004,Auftrag!$D40,Schnittplan!$C$5:$C$1004,Auftrag!$E40,Schnittplan!$D$5:$D$1004,Auftrag!$Q40))</f>
        <v/>
      </c>
      <c r="E40" s="32">
        <f>IF($A40="","",IFERROR(N(Auftrag!$P40)/SUMIFS(Auftrag!$P$13:$P$512,Auftrag!$D$13:$D$512,Auftrag!$D40,Auftrag!$E$13:$E$512,Auftrag!$E40,Auftrag!$Q$13:$Q$512,Auftrag!$Q40),0))</f>
        <v/>
      </c>
      <c r="F40" s="33">
        <f>IF($A40="","",IF($C40=0,0,$D40*$E40/$C40))</f>
        <v/>
      </c>
      <c r="G40" s="34">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5">
        <f>IF($A40="","",IF($H40="","",60*((N(Auftrag!$H40)-N(Auftrag!$AI40)-N(Auftrag!$AK40))/$H40+N(Auftrag!$AI40)/$J40+N(Auftrag!$AK40)/$I40+N(Auftrag!$AD40)/$K40)+N(Auftrag!$I40)*$L40))</f>
        <v/>
      </c>
      <c r="N40" s="35">
        <f>IF($A40="","",IF(OR($H40="",$C40=0),0,(60*SUMIFS(Stangenbelegung!$K$5:$K$10004,Stangenbelegung!$E$5:$E$10004,ROW())/$H40+SUMIFS(Stangenbelegung!$L$5:$L$10004,Stangenbelegung!$E$5:$E$10004,ROW())*$L40)/$C40))</f>
        <v/>
      </c>
      <c r="O40" s="35">
        <f>IF($A40="","",IF($M40="","",MAX(0,$M40-$N40)))</f>
        <v/>
      </c>
      <c r="P40" s="35">
        <f>IF($A40="","",IFERROR(SUMPRODUCT(--("0"&amp;TRIM(RIGHT(SUBSTITUTE(LEFT(";"&amp;SUBSTITUTE(UPPER(Auftrag!$AG40)," ","")&amp;";"&amp;"X"&amp;UPPER(Gewinde!$A$5:$A$54)&amp;";",SEARCH("X"&amp;UPPER(Gewinde!$A$5:$A$54)&amp;";",";"&amp;SUBSTITUTE(UPPER(Auftrag!$AG40)," ","")&amp;";"&amp;"X"&amp;UPPER(Gewinde!$A$5:$A$54)&amp;";")-1),";",REPT(" ",50)),50))),Gewinde!$C$5:$C$54),0))</f>
        <v/>
      </c>
      <c r="Q40" s="33">
        <f>IF($A40="","",(N($O40)+$P40)/3600*N(Auftrag!$H$8))</f>
        <v/>
      </c>
      <c r="R40" s="33">
        <f>IF($A40="","",IF($F$8=0,0,$F$7/$F$8))</f>
        <v/>
      </c>
      <c r="S40" s="33">
        <f>IF($A40="","",$F40*(1+$C$4)+($Q40+$R40)*(1+$C$5))</f>
        <v/>
      </c>
      <c r="T40" s="33">
        <f>IF($A40="","",$S40*(1+$C$6))</f>
        <v/>
      </c>
      <c r="U40" s="18">
        <f>IF($A40="","",$T40*$C40)</f>
        <v/>
      </c>
      <c r="V40" s="18">
        <f>IF($A40="","",$S40*$C40)</f>
        <v/>
      </c>
      <c r="W40" s="28">
        <f>IF($A40="","",IF(N(Auftrag!$AO40)&gt;0,"nicht vollständig eingeplant",IF($D40=0,"kein Schnittplan oder Preis",IF($H40="","keine Schneiddaten",IF(AND(Auftrag!$AF40&lt;&gt;"",Auftrag!$AG40=""),"Gewinde ungeprüft","")))))</f>
        <v/>
      </c>
      <c r="X40" s="18">
        <f>IF($A40="","",$F40*$C40)</f>
        <v/>
      </c>
      <c r="Y40" s="18">
        <f>IF($A40="","",$Q40*$C40)</f>
        <v/>
      </c>
    </row>
    <row r="41">
      <c r="A41" s="25">
        <f>IF(Auftrag!$D41="","",Auftrag!$A41)</f>
        <v/>
      </c>
      <c r="B41" s="25">
        <f>IF($A41="","",Auftrag!$B41)</f>
        <v/>
      </c>
      <c r="C41" s="15">
        <f>IF($A41="","",N(Auftrag!$G41))</f>
        <v/>
      </c>
      <c r="D41" s="18">
        <f>IF($A41="","",SUMIFS(Schnittplan!$R$5:$R$1004,Schnittplan!$B$5:$B$1004,Auftrag!$D41,Schnittplan!$C$5:$C$1004,Auftrag!$E41,Schnittplan!$D$5:$D$1004,Auftrag!$Q41))</f>
        <v/>
      </c>
      <c r="E41" s="32">
        <f>IF($A41="","",IFERROR(N(Auftrag!$P41)/SUMIFS(Auftrag!$P$13:$P$512,Auftrag!$D$13:$D$512,Auftrag!$D41,Auftrag!$E$13:$E$512,Auftrag!$E41,Auftrag!$Q$13:$Q$512,Auftrag!$Q41),0))</f>
        <v/>
      </c>
      <c r="F41" s="33">
        <f>IF($A41="","",IF($C41=0,0,$D41*$E41/$C41))</f>
        <v/>
      </c>
      <c r="G41" s="34">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5">
        <f>IF($A41="","",IF($H41="","",60*((N(Auftrag!$H41)-N(Auftrag!$AI41)-N(Auftrag!$AK41))/$H41+N(Auftrag!$AI41)/$J41+N(Auftrag!$AK41)/$I41+N(Auftrag!$AD41)/$K41)+N(Auftrag!$I41)*$L41))</f>
        <v/>
      </c>
      <c r="N41" s="35">
        <f>IF($A41="","",IF(OR($H41="",$C41=0),0,(60*SUMIFS(Stangenbelegung!$K$5:$K$10004,Stangenbelegung!$E$5:$E$10004,ROW())/$H41+SUMIFS(Stangenbelegung!$L$5:$L$10004,Stangenbelegung!$E$5:$E$10004,ROW())*$L41)/$C41))</f>
        <v/>
      </c>
      <c r="O41" s="35">
        <f>IF($A41="","",IF($M41="","",MAX(0,$M41-$N41)))</f>
        <v/>
      </c>
      <c r="P41" s="35">
        <f>IF($A41="","",IFERROR(SUMPRODUCT(--("0"&amp;TRIM(RIGHT(SUBSTITUTE(LEFT(";"&amp;SUBSTITUTE(UPPER(Auftrag!$AG41)," ","")&amp;";"&amp;"X"&amp;UPPER(Gewinde!$A$5:$A$54)&amp;";",SEARCH("X"&amp;UPPER(Gewinde!$A$5:$A$54)&amp;";",";"&amp;SUBSTITUTE(UPPER(Auftrag!$AG41)," ","")&amp;";"&amp;"X"&amp;UPPER(Gewinde!$A$5:$A$54)&amp;";")-1),";",REPT(" ",50)),50))),Gewinde!$C$5:$C$54),0))</f>
        <v/>
      </c>
      <c r="Q41" s="33">
        <f>IF($A41="","",(N($O41)+$P41)/3600*N(Auftrag!$H$8))</f>
        <v/>
      </c>
      <c r="R41" s="33">
        <f>IF($A41="","",IF($F$8=0,0,$F$7/$F$8))</f>
        <v/>
      </c>
      <c r="S41" s="33">
        <f>IF($A41="","",$F41*(1+$C$4)+($Q41+$R41)*(1+$C$5))</f>
        <v/>
      </c>
      <c r="T41" s="33">
        <f>IF($A41="","",$S41*(1+$C$6))</f>
        <v/>
      </c>
      <c r="U41" s="18">
        <f>IF($A41="","",$T41*$C41)</f>
        <v/>
      </c>
      <c r="V41" s="18">
        <f>IF($A41="","",$S41*$C41)</f>
        <v/>
      </c>
      <c r="W41" s="28">
        <f>IF($A41="","",IF(N(Auftrag!$AO41)&gt;0,"nicht vollständig eingeplant",IF($D41=0,"kein Schnittplan oder Preis",IF($H41="","keine Schneiddaten",IF(AND(Auftrag!$AF41&lt;&gt;"",Auftrag!$AG41=""),"Gewinde ungeprüft","")))))</f>
        <v/>
      </c>
      <c r="X41" s="18">
        <f>IF($A41="","",$F41*$C41)</f>
        <v/>
      </c>
      <c r="Y41" s="18">
        <f>IF($A41="","",$Q41*$C41)</f>
        <v/>
      </c>
    </row>
    <row r="42">
      <c r="A42" s="25">
        <f>IF(Auftrag!$D42="","",Auftrag!$A42)</f>
        <v/>
      </c>
      <c r="B42" s="25">
        <f>IF($A42="","",Auftrag!$B42)</f>
        <v/>
      </c>
      <c r="C42" s="15">
        <f>IF($A42="","",N(Auftrag!$G42))</f>
        <v/>
      </c>
      <c r="D42" s="18">
        <f>IF($A42="","",SUMIFS(Schnittplan!$R$5:$R$1004,Schnittplan!$B$5:$B$1004,Auftrag!$D42,Schnittplan!$C$5:$C$1004,Auftrag!$E42,Schnittplan!$D$5:$D$1004,Auftrag!$Q42))</f>
        <v/>
      </c>
      <c r="E42" s="32">
        <f>IF($A42="","",IFERROR(N(Auftrag!$P42)/SUMIFS(Auftrag!$P$13:$P$512,Auftrag!$D$13:$D$512,Auftrag!$D42,Auftrag!$E$13:$E$512,Auftrag!$E42,Auftrag!$Q$13:$Q$512,Auftrag!$Q42),0))</f>
        <v/>
      </c>
      <c r="F42" s="33">
        <f>IF($A42="","",IF($C42=0,0,$D42*$E42/$C42))</f>
        <v/>
      </c>
      <c r="G42" s="34">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5">
        <f>IF($A42="","",IF($H42="","",60*((N(Auftrag!$H42)-N(Auftrag!$AI42)-N(Auftrag!$AK42))/$H42+N(Auftrag!$AI42)/$J42+N(Auftrag!$AK42)/$I42+N(Auftrag!$AD42)/$K42)+N(Auftrag!$I42)*$L42))</f>
        <v/>
      </c>
      <c r="N42" s="35">
        <f>IF($A42="","",IF(OR($H42="",$C42=0),0,(60*SUMIFS(Stangenbelegung!$K$5:$K$10004,Stangenbelegung!$E$5:$E$10004,ROW())/$H42+SUMIFS(Stangenbelegung!$L$5:$L$10004,Stangenbelegung!$E$5:$E$10004,ROW())*$L42)/$C42))</f>
        <v/>
      </c>
      <c r="O42" s="35">
        <f>IF($A42="","",IF($M42="","",MAX(0,$M42-$N42)))</f>
        <v/>
      </c>
      <c r="P42" s="35">
        <f>IF($A42="","",IFERROR(SUMPRODUCT(--("0"&amp;TRIM(RIGHT(SUBSTITUTE(LEFT(";"&amp;SUBSTITUTE(UPPER(Auftrag!$AG42)," ","")&amp;";"&amp;"X"&amp;UPPER(Gewinde!$A$5:$A$54)&amp;";",SEARCH("X"&amp;UPPER(Gewinde!$A$5:$A$54)&amp;";",";"&amp;SUBSTITUTE(UPPER(Auftrag!$AG42)," ","")&amp;";"&amp;"X"&amp;UPPER(Gewinde!$A$5:$A$54)&amp;";")-1),";",REPT(" ",50)),50))),Gewinde!$C$5:$C$54),0))</f>
        <v/>
      </c>
      <c r="Q42" s="33">
        <f>IF($A42="","",(N($O42)+$P42)/3600*N(Auftrag!$H$8))</f>
        <v/>
      </c>
      <c r="R42" s="33">
        <f>IF($A42="","",IF($F$8=0,0,$F$7/$F$8))</f>
        <v/>
      </c>
      <c r="S42" s="33">
        <f>IF($A42="","",$F42*(1+$C$4)+($Q42+$R42)*(1+$C$5))</f>
        <v/>
      </c>
      <c r="T42" s="33">
        <f>IF($A42="","",$S42*(1+$C$6))</f>
        <v/>
      </c>
      <c r="U42" s="18">
        <f>IF($A42="","",$T42*$C42)</f>
        <v/>
      </c>
      <c r="V42" s="18">
        <f>IF($A42="","",$S42*$C42)</f>
        <v/>
      </c>
      <c r="W42" s="28">
        <f>IF($A42="","",IF(N(Auftrag!$AO42)&gt;0,"nicht vollständig eingeplant",IF($D42=0,"kein Schnittplan oder Preis",IF($H42="","keine Schneiddaten",IF(AND(Auftrag!$AF42&lt;&gt;"",Auftrag!$AG42=""),"Gewinde ungeprüft","")))))</f>
        <v/>
      </c>
      <c r="X42" s="18">
        <f>IF($A42="","",$F42*$C42)</f>
        <v/>
      </c>
      <c r="Y42" s="18">
        <f>IF($A42="","",$Q42*$C42)</f>
        <v/>
      </c>
    </row>
    <row r="43">
      <c r="A43" s="25">
        <f>IF(Auftrag!$D43="","",Auftrag!$A43)</f>
        <v/>
      </c>
      <c r="B43" s="25">
        <f>IF($A43="","",Auftrag!$B43)</f>
        <v/>
      </c>
      <c r="C43" s="15">
        <f>IF($A43="","",N(Auftrag!$G43))</f>
        <v/>
      </c>
      <c r="D43" s="18">
        <f>IF($A43="","",SUMIFS(Schnittplan!$R$5:$R$1004,Schnittplan!$B$5:$B$1004,Auftrag!$D43,Schnittplan!$C$5:$C$1004,Auftrag!$E43,Schnittplan!$D$5:$D$1004,Auftrag!$Q43))</f>
        <v/>
      </c>
      <c r="E43" s="32">
        <f>IF($A43="","",IFERROR(N(Auftrag!$P43)/SUMIFS(Auftrag!$P$13:$P$512,Auftrag!$D$13:$D$512,Auftrag!$D43,Auftrag!$E$13:$E$512,Auftrag!$E43,Auftrag!$Q$13:$Q$512,Auftrag!$Q43),0))</f>
        <v/>
      </c>
      <c r="F43" s="33">
        <f>IF($A43="","",IF($C43=0,0,$D43*$E43/$C43))</f>
        <v/>
      </c>
      <c r="G43" s="34">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5">
        <f>IF($A43="","",IF($H43="","",60*((N(Auftrag!$H43)-N(Auftrag!$AI43)-N(Auftrag!$AK43))/$H43+N(Auftrag!$AI43)/$J43+N(Auftrag!$AK43)/$I43+N(Auftrag!$AD43)/$K43)+N(Auftrag!$I43)*$L43))</f>
        <v/>
      </c>
      <c r="N43" s="35">
        <f>IF($A43="","",IF(OR($H43="",$C43=0),0,(60*SUMIFS(Stangenbelegung!$K$5:$K$10004,Stangenbelegung!$E$5:$E$10004,ROW())/$H43+SUMIFS(Stangenbelegung!$L$5:$L$10004,Stangenbelegung!$E$5:$E$10004,ROW())*$L43)/$C43))</f>
        <v/>
      </c>
      <c r="O43" s="35">
        <f>IF($A43="","",IF($M43="","",MAX(0,$M43-$N43)))</f>
        <v/>
      </c>
      <c r="P43" s="35">
        <f>IF($A43="","",IFERROR(SUMPRODUCT(--("0"&amp;TRIM(RIGHT(SUBSTITUTE(LEFT(";"&amp;SUBSTITUTE(UPPER(Auftrag!$AG43)," ","")&amp;";"&amp;"X"&amp;UPPER(Gewinde!$A$5:$A$54)&amp;";",SEARCH("X"&amp;UPPER(Gewinde!$A$5:$A$54)&amp;";",";"&amp;SUBSTITUTE(UPPER(Auftrag!$AG43)," ","")&amp;";"&amp;"X"&amp;UPPER(Gewinde!$A$5:$A$54)&amp;";")-1),";",REPT(" ",50)),50))),Gewinde!$C$5:$C$54),0))</f>
        <v/>
      </c>
      <c r="Q43" s="33">
        <f>IF($A43="","",(N($O43)+$P43)/3600*N(Auftrag!$H$8))</f>
        <v/>
      </c>
      <c r="R43" s="33">
        <f>IF($A43="","",IF($F$8=0,0,$F$7/$F$8))</f>
        <v/>
      </c>
      <c r="S43" s="33">
        <f>IF($A43="","",$F43*(1+$C$4)+($Q43+$R43)*(1+$C$5))</f>
        <v/>
      </c>
      <c r="T43" s="33">
        <f>IF($A43="","",$S43*(1+$C$6))</f>
        <v/>
      </c>
      <c r="U43" s="18">
        <f>IF($A43="","",$T43*$C43)</f>
        <v/>
      </c>
      <c r="V43" s="18">
        <f>IF($A43="","",$S43*$C43)</f>
        <v/>
      </c>
      <c r="W43" s="28">
        <f>IF($A43="","",IF(N(Auftrag!$AO43)&gt;0,"nicht vollständig eingeplant",IF($D43=0,"kein Schnittplan oder Preis",IF($H43="","keine Schneiddaten",IF(AND(Auftrag!$AF43&lt;&gt;"",Auftrag!$AG43=""),"Gewinde ungeprüft","")))))</f>
        <v/>
      </c>
      <c r="X43" s="18">
        <f>IF($A43="","",$F43*$C43)</f>
        <v/>
      </c>
      <c r="Y43" s="18">
        <f>IF($A43="","",$Q43*$C43)</f>
        <v/>
      </c>
    </row>
    <row r="44">
      <c r="A44" s="25">
        <f>IF(Auftrag!$D44="","",Auftrag!$A44)</f>
        <v/>
      </c>
      <c r="B44" s="25">
        <f>IF($A44="","",Auftrag!$B44)</f>
        <v/>
      </c>
      <c r="C44" s="15">
        <f>IF($A44="","",N(Auftrag!$G44))</f>
        <v/>
      </c>
      <c r="D44" s="18">
        <f>IF($A44="","",SUMIFS(Schnittplan!$R$5:$R$1004,Schnittplan!$B$5:$B$1004,Auftrag!$D44,Schnittplan!$C$5:$C$1004,Auftrag!$E44,Schnittplan!$D$5:$D$1004,Auftrag!$Q44))</f>
        <v/>
      </c>
      <c r="E44" s="32">
        <f>IF($A44="","",IFERROR(N(Auftrag!$P44)/SUMIFS(Auftrag!$P$13:$P$512,Auftrag!$D$13:$D$512,Auftrag!$D44,Auftrag!$E$13:$E$512,Auftrag!$E44,Auftrag!$Q$13:$Q$512,Auftrag!$Q44),0))</f>
        <v/>
      </c>
      <c r="F44" s="33">
        <f>IF($A44="","",IF($C44=0,0,$D44*$E44/$C44))</f>
        <v/>
      </c>
      <c r="G44" s="34">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5">
        <f>IF($A44="","",IF($H44="","",60*((N(Auftrag!$H44)-N(Auftrag!$AI44)-N(Auftrag!$AK44))/$H44+N(Auftrag!$AI44)/$J44+N(Auftrag!$AK44)/$I44+N(Auftrag!$AD44)/$K44)+N(Auftrag!$I44)*$L44))</f>
        <v/>
      </c>
      <c r="N44" s="35">
        <f>IF($A44="","",IF(OR($H44="",$C44=0),0,(60*SUMIFS(Stangenbelegung!$K$5:$K$10004,Stangenbelegung!$E$5:$E$10004,ROW())/$H44+SUMIFS(Stangenbelegung!$L$5:$L$10004,Stangenbelegung!$E$5:$E$10004,ROW())*$L44)/$C44))</f>
        <v/>
      </c>
      <c r="O44" s="35">
        <f>IF($A44="","",IF($M44="","",MAX(0,$M44-$N44)))</f>
        <v/>
      </c>
      <c r="P44" s="35">
        <f>IF($A44="","",IFERROR(SUMPRODUCT(--("0"&amp;TRIM(RIGHT(SUBSTITUTE(LEFT(";"&amp;SUBSTITUTE(UPPER(Auftrag!$AG44)," ","")&amp;";"&amp;"X"&amp;UPPER(Gewinde!$A$5:$A$54)&amp;";",SEARCH("X"&amp;UPPER(Gewinde!$A$5:$A$54)&amp;";",";"&amp;SUBSTITUTE(UPPER(Auftrag!$AG44)," ","")&amp;";"&amp;"X"&amp;UPPER(Gewinde!$A$5:$A$54)&amp;";")-1),";",REPT(" ",50)),50))),Gewinde!$C$5:$C$54),0))</f>
        <v/>
      </c>
      <c r="Q44" s="33">
        <f>IF($A44="","",(N($O44)+$P44)/3600*N(Auftrag!$H$8))</f>
        <v/>
      </c>
      <c r="R44" s="33">
        <f>IF($A44="","",IF($F$8=0,0,$F$7/$F$8))</f>
        <v/>
      </c>
      <c r="S44" s="33">
        <f>IF($A44="","",$F44*(1+$C$4)+($Q44+$R44)*(1+$C$5))</f>
        <v/>
      </c>
      <c r="T44" s="33">
        <f>IF($A44="","",$S44*(1+$C$6))</f>
        <v/>
      </c>
      <c r="U44" s="18">
        <f>IF($A44="","",$T44*$C44)</f>
        <v/>
      </c>
      <c r="V44" s="18">
        <f>IF($A44="","",$S44*$C44)</f>
        <v/>
      </c>
      <c r="W44" s="28">
        <f>IF($A44="","",IF(N(Auftrag!$AO44)&gt;0,"nicht vollständig eingeplant",IF($D44=0,"kein Schnittplan oder Preis",IF($H44="","keine Schneiddaten",IF(AND(Auftrag!$AF44&lt;&gt;"",Auftrag!$AG44=""),"Gewinde ungeprüft","")))))</f>
        <v/>
      </c>
      <c r="X44" s="18">
        <f>IF($A44="","",$F44*$C44)</f>
        <v/>
      </c>
      <c r="Y44" s="18">
        <f>IF($A44="","",$Q44*$C44)</f>
        <v/>
      </c>
    </row>
    <row r="45">
      <c r="A45" s="25">
        <f>IF(Auftrag!$D45="","",Auftrag!$A45)</f>
        <v/>
      </c>
      <c r="B45" s="25">
        <f>IF($A45="","",Auftrag!$B45)</f>
        <v/>
      </c>
      <c r="C45" s="15">
        <f>IF($A45="","",N(Auftrag!$G45))</f>
        <v/>
      </c>
      <c r="D45" s="18">
        <f>IF($A45="","",SUMIFS(Schnittplan!$R$5:$R$1004,Schnittplan!$B$5:$B$1004,Auftrag!$D45,Schnittplan!$C$5:$C$1004,Auftrag!$E45,Schnittplan!$D$5:$D$1004,Auftrag!$Q45))</f>
        <v/>
      </c>
      <c r="E45" s="32">
        <f>IF($A45="","",IFERROR(N(Auftrag!$P45)/SUMIFS(Auftrag!$P$13:$P$512,Auftrag!$D$13:$D$512,Auftrag!$D45,Auftrag!$E$13:$E$512,Auftrag!$E45,Auftrag!$Q$13:$Q$512,Auftrag!$Q45),0))</f>
        <v/>
      </c>
      <c r="F45" s="33">
        <f>IF($A45="","",IF($C45=0,0,$D45*$E45/$C45))</f>
        <v/>
      </c>
      <c r="G45" s="34">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5">
        <f>IF($A45="","",IF($H45="","",60*((N(Auftrag!$H45)-N(Auftrag!$AI45)-N(Auftrag!$AK45))/$H45+N(Auftrag!$AI45)/$J45+N(Auftrag!$AK45)/$I45+N(Auftrag!$AD45)/$K45)+N(Auftrag!$I45)*$L45))</f>
        <v/>
      </c>
      <c r="N45" s="35">
        <f>IF($A45="","",IF(OR($H45="",$C45=0),0,(60*SUMIFS(Stangenbelegung!$K$5:$K$10004,Stangenbelegung!$E$5:$E$10004,ROW())/$H45+SUMIFS(Stangenbelegung!$L$5:$L$10004,Stangenbelegung!$E$5:$E$10004,ROW())*$L45)/$C45))</f>
        <v/>
      </c>
      <c r="O45" s="35">
        <f>IF($A45="","",IF($M45="","",MAX(0,$M45-$N45)))</f>
        <v/>
      </c>
      <c r="P45" s="35">
        <f>IF($A45="","",IFERROR(SUMPRODUCT(--("0"&amp;TRIM(RIGHT(SUBSTITUTE(LEFT(";"&amp;SUBSTITUTE(UPPER(Auftrag!$AG45)," ","")&amp;";"&amp;"X"&amp;UPPER(Gewinde!$A$5:$A$54)&amp;";",SEARCH("X"&amp;UPPER(Gewinde!$A$5:$A$54)&amp;";",";"&amp;SUBSTITUTE(UPPER(Auftrag!$AG45)," ","")&amp;";"&amp;"X"&amp;UPPER(Gewinde!$A$5:$A$54)&amp;";")-1),";",REPT(" ",50)),50))),Gewinde!$C$5:$C$54),0))</f>
        <v/>
      </c>
      <c r="Q45" s="33">
        <f>IF($A45="","",(N($O45)+$P45)/3600*N(Auftrag!$H$8))</f>
        <v/>
      </c>
      <c r="R45" s="33">
        <f>IF($A45="","",IF($F$8=0,0,$F$7/$F$8))</f>
        <v/>
      </c>
      <c r="S45" s="33">
        <f>IF($A45="","",$F45*(1+$C$4)+($Q45+$R45)*(1+$C$5))</f>
        <v/>
      </c>
      <c r="T45" s="33">
        <f>IF($A45="","",$S45*(1+$C$6))</f>
        <v/>
      </c>
      <c r="U45" s="18">
        <f>IF($A45="","",$T45*$C45)</f>
        <v/>
      </c>
      <c r="V45" s="18">
        <f>IF($A45="","",$S45*$C45)</f>
        <v/>
      </c>
      <c r="W45" s="28">
        <f>IF($A45="","",IF(N(Auftrag!$AO45)&gt;0,"nicht vollständig eingeplant",IF($D45=0,"kein Schnittplan oder Preis",IF($H45="","keine Schneiddaten",IF(AND(Auftrag!$AF45&lt;&gt;"",Auftrag!$AG45=""),"Gewinde ungeprüft","")))))</f>
        <v/>
      </c>
      <c r="X45" s="18">
        <f>IF($A45="","",$F45*$C45)</f>
        <v/>
      </c>
      <c r="Y45" s="18">
        <f>IF($A45="","",$Q45*$C45)</f>
        <v/>
      </c>
    </row>
    <row r="46">
      <c r="A46" s="25">
        <f>IF(Auftrag!$D46="","",Auftrag!$A46)</f>
        <v/>
      </c>
      <c r="B46" s="25">
        <f>IF($A46="","",Auftrag!$B46)</f>
        <v/>
      </c>
      <c r="C46" s="15">
        <f>IF($A46="","",N(Auftrag!$G46))</f>
        <v/>
      </c>
      <c r="D46" s="18">
        <f>IF($A46="","",SUMIFS(Schnittplan!$R$5:$R$1004,Schnittplan!$B$5:$B$1004,Auftrag!$D46,Schnittplan!$C$5:$C$1004,Auftrag!$E46,Schnittplan!$D$5:$D$1004,Auftrag!$Q46))</f>
        <v/>
      </c>
      <c r="E46" s="32">
        <f>IF($A46="","",IFERROR(N(Auftrag!$P46)/SUMIFS(Auftrag!$P$13:$P$512,Auftrag!$D$13:$D$512,Auftrag!$D46,Auftrag!$E$13:$E$512,Auftrag!$E46,Auftrag!$Q$13:$Q$512,Auftrag!$Q46),0))</f>
        <v/>
      </c>
      <c r="F46" s="33">
        <f>IF($A46="","",IF($C46=0,0,$D46*$E46/$C46))</f>
        <v/>
      </c>
      <c r="G46" s="34">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5">
        <f>IF($A46="","",IF($H46="","",60*((N(Auftrag!$H46)-N(Auftrag!$AI46)-N(Auftrag!$AK46))/$H46+N(Auftrag!$AI46)/$J46+N(Auftrag!$AK46)/$I46+N(Auftrag!$AD46)/$K46)+N(Auftrag!$I46)*$L46))</f>
        <v/>
      </c>
      <c r="N46" s="35">
        <f>IF($A46="","",IF(OR($H46="",$C46=0),0,(60*SUMIFS(Stangenbelegung!$K$5:$K$10004,Stangenbelegung!$E$5:$E$10004,ROW())/$H46+SUMIFS(Stangenbelegung!$L$5:$L$10004,Stangenbelegung!$E$5:$E$10004,ROW())*$L46)/$C46))</f>
        <v/>
      </c>
      <c r="O46" s="35">
        <f>IF($A46="","",IF($M46="","",MAX(0,$M46-$N46)))</f>
        <v/>
      </c>
      <c r="P46" s="35">
        <f>IF($A46="","",IFERROR(SUMPRODUCT(--("0"&amp;TRIM(RIGHT(SUBSTITUTE(LEFT(";"&amp;SUBSTITUTE(UPPER(Auftrag!$AG46)," ","")&amp;";"&amp;"X"&amp;UPPER(Gewinde!$A$5:$A$54)&amp;";",SEARCH("X"&amp;UPPER(Gewinde!$A$5:$A$54)&amp;";",";"&amp;SUBSTITUTE(UPPER(Auftrag!$AG46)," ","")&amp;";"&amp;"X"&amp;UPPER(Gewinde!$A$5:$A$54)&amp;";")-1),";",REPT(" ",50)),50))),Gewinde!$C$5:$C$54),0))</f>
        <v/>
      </c>
      <c r="Q46" s="33">
        <f>IF($A46="","",(N($O46)+$P46)/3600*N(Auftrag!$H$8))</f>
        <v/>
      </c>
      <c r="R46" s="33">
        <f>IF($A46="","",IF($F$8=0,0,$F$7/$F$8))</f>
        <v/>
      </c>
      <c r="S46" s="33">
        <f>IF($A46="","",$F46*(1+$C$4)+($Q46+$R46)*(1+$C$5))</f>
        <v/>
      </c>
      <c r="T46" s="33">
        <f>IF($A46="","",$S46*(1+$C$6))</f>
        <v/>
      </c>
      <c r="U46" s="18">
        <f>IF($A46="","",$T46*$C46)</f>
        <v/>
      </c>
      <c r="V46" s="18">
        <f>IF($A46="","",$S46*$C46)</f>
        <v/>
      </c>
      <c r="W46" s="28">
        <f>IF($A46="","",IF(N(Auftrag!$AO46)&gt;0,"nicht vollständig eingeplant",IF($D46=0,"kein Schnittplan oder Preis",IF($H46="","keine Schneiddaten",IF(AND(Auftrag!$AF46&lt;&gt;"",Auftrag!$AG46=""),"Gewinde ungeprüft","")))))</f>
        <v/>
      </c>
      <c r="X46" s="18">
        <f>IF($A46="","",$F46*$C46)</f>
        <v/>
      </c>
      <c r="Y46" s="18">
        <f>IF($A46="","",$Q46*$C46)</f>
        <v/>
      </c>
    </row>
    <row r="47">
      <c r="A47" s="25">
        <f>IF(Auftrag!$D47="","",Auftrag!$A47)</f>
        <v/>
      </c>
      <c r="B47" s="25">
        <f>IF($A47="","",Auftrag!$B47)</f>
        <v/>
      </c>
      <c r="C47" s="15">
        <f>IF($A47="","",N(Auftrag!$G47))</f>
        <v/>
      </c>
      <c r="D47" s="18">
        <f>IF($A47="","",SUMIFS(Schnittplan!$R$5:$R$1004,Schnittplan!$B$5:$B$1004,Auftrag!$D47,Schnittplan!$C$5:$C$1004,Auftrag!$E47,Schnittplan!$D$5:$D$1004,Auftrag!$Q47))</f>
        <v/>
      </c>
      <c r="E47" s="32">
        <f>IF($A47="","",IFERROR(N(Auftrag!$P47)/SUMIFS(Auftrag!$P$13:$P$512,Auftrag!$D$13:$D$512,Auftrag!$D47,Auftrag!$E$13:$E$512,Auftrag!$E47,Auftrag!$Q$13:$Q$512,Auftrag!$Q47),0))</f>
        <v/>
      </c>
      <c r="F47" s="33">
        <f>IF($A47="","",IF($C47=0,0,$D47*$E47/$C47))</f>
        <v/>
      </c>
      <c r="G47" s="34">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5">
        <f>IF($A47="","",IF($H47="","",60*((N(Auftrag!$H47)-N(Auftrag!$AI47)-N(Auftrag!$AK47))/$H47+N(Auftrag!$AI47)/$J47+N(Auftrag!$AK47)/$I47+N(Auftrag!$AD47)/$K47)+N(Auftrag!$I47)*$L47))</f>
        <v/>
      </c>
      <c r="N47" s="35">
        <f>IF($A47="","",IF(OR($H47="",$C47=0),0,(60*SUMIFS(Stangenbelegung!$K$5:$K$10004,Stangenbelegung!$E$5:$E$10004,ROW())/$H47+SUMIFS(Stangenbelegung!$L$5:$L$10004,Stangenbelegung!$E$5:$E$10004,ROW())*$L47)/$C47))</f>
        <v/>
      </c>
      <c r="O47" s="35">
        <f>IF($A47="","",IF($M47="","",MAX(0,$M47-$N47)))</f>
        <v/>
      </c>
      <c r="P47" s="35">
        <f>IF($A47="","",IFERROR(SUMPRODUCT(--("0"&amp;TRIM(RIGHT(SUBSTITUTE(LEFT(";"&amp;SUBSTITUTE(UPPER(Auftrag!$AG47)," ","")&amp;";"&amp;"X"&amp;UPPER(Gewinde!$A$5:$A$54)&amp;";",SEARCH("X"&amp;UPPER(Gewinde!$A$5:$A$54)&amp;";",";"&amp;SUBSTITUTE(UPPER(Auftrag!$AG47)," ","")&amp;";"&amp;"X"&amp;UPPER(Gewinde!$A$5:$A$54)&amp;";")-1),";",REPT(" ",50)),50))),Gewinde!$C$5:$C$54),0))</f>
        <v/>
      </c>
      <c r="Q47" s="33">
        <f>IF($A47="","",(N($O47)+$P47)/3600*N(Auftrag!$H$8))</f>
        <v/>
      </c>
      <c r="R47" s="33">
        <f>IF($A47="","",IF($F$8=0,0,$F$7/$F$8))</f>
        <v/>
      </c>
      <c r="S47" s="33">
        <f>IF($A47="","",$F47*(1+$C$4)+($Q47+$R47)*(1+$C$5))</f>
        <v/>
      </c>
      <c r="T47" s="33">
        <f>IF($A47="","",$S47*(1+$C$6))</f>
        <v/>
      </c>
      <c r="U47" s="18">
        <f>IF($A47="","",$T47*$C47)</f>
        <v/>
      </c>
      <c r="V47" s="18">
        <f>IF($A47="","",$S47*$C47)</f>
        <v/>
      </c>
      <c r="W47" s="28">
        <f>IF($A47="","",IF(N(Auftrag!$AO47)&gt;0,"nicht vollständig eingeplant",IF($D47=0,"kein Schnittplan oder Preis",IF($H47="","keine Schneiddaten",IF(AND(Auftrag!$AF47&lt;&gt;"",Auftrag!$AG47=""),"Gewinde ungeprüft","")))))</f>
        <v/>
      </c>
      <c r="X47" s="18">
        <f>IF($A47="","",$F47*$C47)</f>
        <v/>
      </c>
      <c r="Y47" s="18">
        <f>IF($A47="","",$Q47*$C47)</f>
        <v/>
      </c>
    </row>
    <row r="48">
      <c r="A48" s="25">
        <f>IF(Auftrag!$D48="","",Auftrag!$A48)</f>
        <v/>
      </c>
      <c r="B48" s="25">
        <f>IF($A48="","",Auftrag!$B48)</f>
        <v/>
      </c>
      <c r="C48" s="15">
        <f>IF($A48="","",N(Auftrag!$G48))</f>
        <v/>
      </c>
      <c r="D48" s="18">
        <f>IF($A48="","",SUMIFS(Schnittplan!$R$5:$R$1004,Schnittplan!$B$5:$B$1004,Auftrag!$D48,Schnittplan!$C$5:$C$1004,Auftrag!$E48,Schnittplan!$D$5:$D$1004,Auftrag!$Q48))</f>
        <v/>
      </c>
      <c r="E48" s="32">
        <f>IF($A48="","",IFERROR(N(Auftrag!$P48)/SUMIFS(Auftrag!$P$13:$P$512,Auftrag!$D$13:$D$512,Auftrag!$D48,Auftrag!$E$13:$E$512,Auftrag!$E48,Auftrag!$Q$13:$Q$512,Auftrag!$Q48),0))</f>
        <v/>
      </c>
      <c r="F48" s="33">
        <f>IF($A48="","",IF($C48=0,0,$D48*$E48/$C48))</f>
        <v/>
      </c>
      <c r="G48" s="34">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5">
        <f>IF($A48="","",IF($H48="","",60*((N(Auftrag!$H48)-N(Auftrag!$AI48)-N(Auftrag!$AK48))/$H48+N(Auftrag!$AI48)/$J48+N(Auftrag!$AK48)/$I48+N(Auftrag!$AD48)/$K48)+N(Auftrag!$I48)*$L48))</f>
        <v/>
      </c>
      <c r="N48" s="35">
        <f>IF($A48="","",IF(OR($H48="",$C48=0),0,(60*SUMIFS(Stangenbelegung!$K$5:$K$10004,Stangenbelegung!$E$5:$E$10004,ROW())/$H48+SUMIFS(Stangenbelegung!$L$5:$L$10004,Stangenbelegung!$E$5:$E$10004,ROW())*$L48)/$C48))</f>
        <v/>
      </c>
      <c r="O48" s="35">
        <f>IF($A48="","",IF($M48="","",MAX(0,$M48-$N48)))</f>
        <v/>
      </c>
      <c r="P48" s="35">
        <f>IF($A48="","",IFERROR(SUMPRODUCT(--("0"&amp;TRIM(RIGHT(SUBSTITUTE(LEFT(";"&amp;SUBSTITUTE(UPPER(Auftrag!$AG48)," ","")&amp;";"&amp;"X"&amp;UPPER(Gewinde!$A$5:$A$54)&amp;";",SEARCH("X"&amp;UPPER(Gewinde!$A$5:$A$54)&amp;";",";"&amp;SUBSTITUTE(UPPER(Auftrag!$AG48)," ","")&amp;";"&amp;"X"&amp;UPPER(Gewinde!$A$5:$A$54)&amp;";")-1),";",REPT(" ",50)),50))),Gewinde!$C$5:$C$54),0))</f>
        <v/>
      </c>
      <c r="Q48" s="33">
        <f>IF($A48="","",(N($O48)+$P48)/3600*N(Auftrag!$H$8))</f>
        <v/>
      </c>
      <c r="R48" s="33">
        <f>IF($A48="","",IF($F$8=0,0,$F$7/$F$8))</f>
        <v/>
      </c>
      <c r="S48" s="33">
        <f>IF($A48="","",$F48*(1+$C$4)+($Q48+$R48)*(1+$C$5))</f>
        <v/>
      </c>
      <c r="T48" s="33">
        <f>IF($A48="","",$S48*(1+$C$6))</f>
        <v/>
      </c>
      <c r="U48" s="18">
        <f>IF($A48="","",$T48*$C48)</f>
        <v/>
      </c>
      <c r="V48" s="18">
        <f>IF($A48="","",$S48*$C48)</f>
        <v/>
      </c>
      <c r="W48" s="28">
        <f>IF($A48="","",IF(N(Auftrag!$AO48)&gt;0,"nicht vollständig eingeplant",IF($D48=0,"kein Schnittplan oder Preis",IF($H48="","keine Schneiddaten",IF(AND(Auftrag!$AF48&lt;&gt;"",Auftrag!$AG48=""),"Gewinde ungeprüft","")))))</f>
        <v/>
      </c>
      <c r="X48" s="18">
        <f>IF($A48="","",$F48*$C48)</f>
        <v/>
      </c>
      <c r="Y48" s="18">
        <f>IF($A48="","",$Q48*$C48)</f>
        <v/>
      </c>
    </row>
    <row r="49">
      <c r="A49" s="25">
        <f>IF(Auftrag!$D49="","",Auftrag!$A49)</f>
        <v/>
      </c>
      <c r="B49" s="25">
        <f>IF($A49="","",Auftrag!$B49)</f>
        <v/>
      </c>
      <c r="C49" s="15">
        <f>IF($A49="","",N(Auftrag!$G49))</f>
        <v/>
      </c>
      <c r="D49" s="18">
        <f>IF($A49="","",SUMIFS(Schnittplan!$R$5:$R$1004,Schnittplan!$B$5:$B$1004,Auftrag!$D49,Schnittplan!$C$5:$C$1004,Auftrag!$E49,Schnittplan!$D$5:$D$1004,Auftrag!$Q49))</f>
        <v/>
      </c>
      <c r="E49" s="32">
        <f>IF($A49="","",IFERROR(N(Auftrag!$P49)/SUMIFS(Auftrag!$P$13:$P$512,Auftrag!$D$13:$D$512,Auftrag!$D49,Auftrag!$E$13:$E$512,Auftrag!$E49,Auftrag!$Q$13:$Q$512,Auftrag!$Q49),0))</f>
        <v/>
      </c>
      <c r="F49" s="33">
        <f>IF($A49="","",IF($C49=0,0,$D49*$E49/$C49))</f>
        <v/>
      </c>
      <c r="G49" s="34">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5">
        <f>IF($A49="","",IF($H49="","",60*((N(Auftrag!$H49)-N(Auftrag!$AI49)-N(Auftrag!$AK49))/$H49+N(Auftrag!$AI49)/$J49+N(Auftrag!$AK49)/$I49+N(Auftrag!$AD49)/$K49)+N(Auftrag!$I49)*$L49))</f>
        <v/>
      </c>
      <c r="N49" s="35">
        <f>IF($A49="","",IF(OR($H49="",$C49=0),0,(60*SUMIFS(Stangenbelegung!$K$5:$K$10004,Stangenbelegung!$E$5:$E$10004,ROW())/$H49+SUMIFS(Stangenbelegung!$L$5:$L$10004,Stangenbelegung!$E$5:$E$10004,ROW())*$L49)/$C49))</f>
        <v/>
      </c>
      <c r="O49" s="35">
        <f>IF($A49="","",IF($M49="","",MAX(0,$M49-$N49)))</f>
        <v/>
      </c>
      <c r="P49" s="35">
        <f>IF($A49="","",IFERROR(SUMPRODUCT(--("0"&amp;TRIM(RIGHT(SUBSTITUTE(LEFT(";"&amp;SUBSTITUTE(UPPER(Auftrag!$AG49)," ","")&amp;";"&amp;"X"&amp;UPPER(Gewinde!$A$5:$A$54)&amp;";",SEARCH("X"&amp;UPPER(Gewinde!$A$5:$A$54)&amp;";",";"&amp;SUBSTITUTE(UPPER(Auftrag!$AG49)," ","")&amp;";"&amp;"X"&amp;UPPER(Gewinde!$A$5:$A$54)&amp;";")-1),";",REPT(" ",50)),50))),Gewinde!$C$5:$C$54),0))</f>
        <v/>
      </c>
      <c r="Q49" s="33">
        <f>IF($A49="","",(N($O49)+$P49)/3600*N(Auftrag!$H$8))</f>
        <v/>
      </c>
      <c r="R49" s="33">
        <f>IF($A49="","",IF($F$8=0,0,$F$7/$F$8))</f>
        <v/>
      </c>
      <c r="S49" s="33">
        <f>IF($A49="","",$F49*(1+$C$4)+($Q49+$R49)*(1+$C$5))</f>
        <v/>
      </c>
      <c r="T49" s="33">
        <f>IF($A49="","",$S49*(1+$C$6))</f>
        <v/>
      </c>
      <c r="U49" s="18">
        <f>IF($A49="","",$T49*$C49)</f>
        <v/>
      </c>
      <c r="V49" s="18">
        <f>IF($A49="","",$S49*$C49)</f>
        <v/>
      </c>
      <c r="W49" s="28">
        <f>IF($A49="","",IF(N(Auftrag!$AO49)&gt;0,"nicht vollständig eingeplant",IF($D49=0,"kein Schnittplan oder Preis",IF($H49="","keine Schneiddaten",IF(AND(Auftrag!$AF49&lt;&gt;"",Auftrag!$AG49=""),"Gewinde ungeprüft","")))))</f>
        <v/>
      </c>
      <c r="X49" s="18">
        <f>IF($A49="","",$F49*$C49)</f>
        <v/>
      </c>
      <c r="Y49" s="18">
        <f>IF($A49="","",$Q49*$C49)</f>
        <v/>
      </c>
    </row>
    <row r="50">
      <c r="A50" s="25">
        <f>IF(Auftrag!$D50="","",Auftrag!$A50)</f>
        <v/>
      </c>
      <c r="B50" s="25">
        <f>IF($A50="","",Auftrag!$B50)</f>
        <v/>
      </c>
      <c r="C50" s="15">
        <f>IF($A50="","",N(Auftrag!$G50))</f>
        <v/>
      </c>
      <c r="D50" s="18">
        <f>IF($A50="","",SUMIFS(Schnittplan!$R$5:$R$1004,Schnittplan!$B$5:$B$1004,Auftrag!$D50,Schnittplan!$C$5:$C$1004,Auftrag!$E50,Schnittplan!$D$5:$D$1004,Auftrag!$Q50))</f>
        <v/>
      </c>
      <c r="E50" s="32">
        <f>IF($A50="","",IFERROR(N(Auftrag!$P50)/SUMIFS(Auftrag!$P$13:$P$512,Auftrag!$D$13:$D$512,Auftrag!$D50,Auftrag!$E$13:$E$512,Auftrag!$E50,Auftrag!$Q$13:$Q$512,Auftrag!$Q50),0))</f>
        <v/>
      </c>
      <c r="F50" s="33">
        <f>IF($A50="","",IF($C50=0,0,$D50*$E50/$C50))</f>
        <v/>
      </c>
      <c r="G50" s="34">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5">
        <f>IF($A50="","",IF($H50="","",60*((N(Auftrag!$H50)-N(Auftrag!$AI50)-N(Auftrag!$AK50))/$H50+N(Auftrag!$AI50)/$J50+N(Auftrag!$AK50)/$I50+N(Auftrag!$AD50)/$K50)+N(Auftrag!$I50)*$L50))</f>
        <v/>
      </c>
      <c r="N50" s="35">
        <f>IF($A50="","",IF(OR($H50="",$C50=0),0,(60*SUMIFS(Stangenbelegung!$K$5:$K$10004,Stangenbelegung!$E$5:$E$10004,ROW())/$H50+SUMIFS(Stangenbelegung!$L$5:$L$10004,Stangenbelegung!$E$5:$E$10004,ROW())*$L50)/$C50))</f>
        <v/>
      </c>
      <c r="O50" s="35">
        <f>IF($A50="","",IF($M50="","",MAX(0,$M50-$N50)))</f>
        <v/>
      </c>
      <c r="P50" s="35">
        <f>IF($A50="","",IFERROR(SUMPRODUCT(--("0"&amp;TRIM(RIGHT(SUBSTITUTE(LEFT(";"&amp;SUBSTITUTE(UPPER(Auftrag!$AG50)," ","")&amp;";"&amp;"X"&amp;UPPER(Gewinde!$A$5:$A$54)&amp;";",SEARCH("X"&amp;UPPER(Gewinde!$A$5:$A$54)&amp;";",";"&amp;SUBSTITUTE(UPPER(Auftrag!$AG50)," ","")&amp;";"&amp;"X"&amp;UPPER(Gewinde!$A$5:$A$54)&amp;";")-1),";",REPT(" ",50)),50))),Gewinde!$C$5:$C$54),0))</f>
        <v/>
      </c>
      <c r="Q50" s="33">
        <f>IF($A50="","",(N($O50)+$P50)/3600*N(Auftrag!$H$8))</f>
        <v/>
      </c>
      <c r="R50" s="33">
        <f>IF($A50="","",IF($F$8=0,0,$F$7/$F$8))</f>
        <v/>
      </c>
      <c r="S50" s="33">
        <f>IF($A50="","",$F50*(1+$C$4)+($Q50+$R50)*(1+$C$5))</f>
        <v/>
      </c>
      <c r="T50" s="33">
        <f>IF($A50="","",$S50*(1+$C$6))</f>
        <v/>
      </c>
      <c r="U50" s="18">
        <f>IF($A50="","",$T50*$C50)</f>
        <v/>
      </c>
      <c r="V50" s="18">
        <f>IF($A50="","",$S50*$C50)</f>
        <v/>
      </c>
      <c r="W50" s="28">
        <f>IF($A50="","",IF(N(Auftrag!$AO50)&gt;0,"nicht vollständig eingeplant",IF($D50=0,"kein Schnittplan oder Preis",IF($H50="","keine Schneiddaten",IF(AND(Auftrag!$AF50&lt;&gt;"",Auftrag!$AG50=""),"Gewinde ungeprüft","")))))</f>
        <v/>
      </c>
      <c r="X50" s="18">
        <f>IF($A50="","",$F50*$C50)</f>
        <v/>
      </c>
      <c r="Y50" s="18">
        <f>IF($A50="","",$Q50*$C50)</f>
        <v/>
      </c>
    </row>
    <row r="51">
      <c r="A51" s="25">
        <f>IF(Auftrag!$D51="","",Auftrag!$A51)</f>
        <v/>
      </c>
      <c r="B51" s="25">
        <f>IF($A51="","",Auftrag!$B51)</f>
        <v/>
      </c>
      <c r="C51" s="15">
        <f>IF($A51="","",N(Auftrag!$G51))</f>
        <v/>
      </c>
      <c r="D51" s="18">
        <f>IF($A51="","",SUMIFS(Schnittplan!$R$5:$R$1004,Schnittplan!$B$5:$B$1004,Auftrag!$D51,Schnittplan!$C$5:$C$1004,Auftrag!$E51,Schnittplan!$D$5:$D$1004,Auftrag!$Q51))</f>
        <v/>
      </c>
      <c r="E51" s="32">
        <f>IF($A51="","",IFERROR(N(Auftrag!$P51)/SUMIFS(Auftrag!$P$13:$P$512,Auftrag!$D$13:$D$512,Auftrag!$D51,Auftrag!$E$13:$E$512,Auftrag!$E51,Auftrag!$Q$13:$Q$512,Auftrag!$Q51),0))</f>
        <v/>
      </c>
      <c r="F51" s="33">
        <f>IF($A51="","",IF($C51=0,0,$D51*$E51/$C51))</f>
        <v/>
      </c>
      <c r="G51" s="34">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5">
        <f>IF($A51="","",IF($H51="","",60*((N(Auftrag!$H51)-N(Auftrag!$AI51)-N(Auftrag!$AK51))/$H51+N(Auftrag!$AI51)/$J51+N(Auftrag!$AK51)/$I51+N(Auftrag!$AD51)/$K51)+N(Auftrag!$I51)*$L51))</f>
        <v/>
      </c>
      <c r="N51" s="35">
        <f>IF($A51="","",IF(OR($H51="",$C51=0),0,(60*SUMIFS(Stangenbelegung!$K$5:$K$10004,Stangenbelegung!$E$5:$E$10004,ROW())/$H51+SUMIFS(Stangenbelegung!$L$5:$L$10004,Stangenbelegung!$E$5:$E$10004,ROW())*$L51)/$C51))</f>
        <v/>
      </c>
      <c r="O51" s="35">
        <f>IF($A51="","",IF($M51="","",MAX(0,$M51-$N51)))</f>
        <v/>
      </c>
      <c r="P51" s="35">
        <f>IF($A51="","",IFERROR(SUMPRODUCT(--("0"&amp;TRIM(RIGHT(SUBSTITUTE(LEFT(";"&amp;SUBSTITUTE(UPPER(Auftrag!$AG51)," ","")&amp;";"&amp;"X"&amp;UPPER(Gewinde!$A$5:$A$54)&amp;";",SEARCH("X"&amp;UPPER(Gewinde!$A$5:$A$54)&amp;";",";"&amp;SUBSTITUTE(UPPER(Auftrag!$AG51)," ","")&amp;";"&amp;"X"&amp;UPPER(Gewinde!$A$5:$A$54)&amp;";")-1),";",REPT(" ",50)),50))),Gewinde!$C$5:$C$54),0))</f>
        <v/>
      </c>
      <c r="Q51" s="33">
        <f>IF($A51="","",(N($O51)+$P51)/3600*N(Auftrag!$H$8))</f>
        <v/>
      </c>
      <c r="R51" s="33">
        <f>IF($A51="","",IF($F$8=0,0,$F$7/$F$8))</f>
        <v/>
      </c>
      <c r="S51" s="33">
        <f>IF($A51="","",$F51*(1+$C$4)+($Q51+$R51)*(1+$C$5))</f>
        <v/>
      </c>
      <c r="T51" s="33">
        <f>IF($A51="","",$S51*(1+$C$6))</f>
        <v/>
      </c>
      <c r="U51" s="18">
        <f>IF($A51="","",$T51*$C51)</f>
        <v/>
      </c>
      <c r="V51" s="18">
        <f>IF($A51="","",$S51*$C51)</f>
        <v/>
      </c>
      <c r="W51" s="28">
        <f>IF($A51="","",IF(N(Auftrag!$AO51)&gt;0,"nicht vollständig eingeplant",IF($D51=0,"kein Schnittplan oder Preis",IF($H51="","keine Schneiddaten",IF(AND(Auftrag!$AF51&lt;&gt;"",Auftrag!$AG51=""),"Gewinde ungeprüft","")))))</f>
        <v/>
      </c>
      <c r="X51" s="18">
        <f>IF($A51="","",$F51*$C51)</f>
        <v/>
      </c>
      <c r="Y51" s="18">
        <f>IF($A51="","",$Q51*$C51)</f>
        <v/>
      </c>
    </row>
    <row r="52">
      <c r="A52" s="25">
        <f>IF(Auftrag!$D52="","",Auftrag!$A52)</f>
        <v/>
      </c>
      <c r="B52" s="25">
        <f>IF($A52="","",Auftrag!$B52)</f>
        <v/>
      </c>
      <c r="C52" s="15">
        <f>IF($A52="","",N(Auftrag!$G52))</f>
        <v/>
      </c>
      <c r="D52" s="18">
        <f>IF($A52="","",SUMIFS(Schnittplan!$R$5:$R$1004,Schnittplan!$B$5:$B$1004,Auftrag!$D52,Schnittplan!$C$5:$C$1004,Auftrag!$E52,Schnittplan!$D$5:$D$1004,Auftrag!$Q52))</f>
        <v/>
      </c>
      <c r="E52" s="32">
        <f>IF($A52="","",IFERROR(N(Auftrag!$P52)/SUMIFS(Auftrag!$P$13:$P$512,Auftrag!$D$13:$D$512,Auftrag!$D52,Auftrag!$E$13:$E$512,Auftrag!$E52,Auftrag!$Q$13:$Q$512,Auftrag!$Q52),0))</f>
        <v/>
      </c>
      <c r="F52" s="33">
        <f>IF($A52="","",IF($C52=0,0,$D52*$E52/$C52))</f>
        <v/>
      </c>
      <c r="G52" s="34">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5">
        <f>IF($A52="","",IF($H52="","",60*((N(Auftrag!$H52)-N(Auftrag!$AI52)-N(Auftrag!$AK52))/$H52+N(Auftrag!$AI52)/$J52+N(Auftrag!$AK52)/$I52+N(Auftrag!$AD52)/$K52)+N(Auftrag!$I52)*$L52))</f>
        <v/>
      </c>
      <c r="N52" s="35">
        <f>IF($A52="","",IF(OR($H52="",$C52=0),0,(60*SUMIFS(Stangenbelegung!$K$5:$K$10004,Stangenbelegung!$E$5:$E$10004,ROW())/$H52+SUMIFS(Stangenbelegung!$L$5:$L$10004,Stangenbelegung!$E$5:$E$10004,ROW())*$L52)/$C52))</f>
        <v/>
      </c>
      <c r="O52" s="35">
        <f>IF($A52="","",IF($M52="","",MAX(0,$M52-$N52)))</f>
        <v/>
      </c>
      <c r="P52" s="35">
        <f>IF($A52="","",IFERROR(SUMPRODUCT(--("0"&amp;TRIM(RIGHT(SUBSTITUTE(LEFT(";"&amp;SUBSTITUTE(UPPER(Auftrag!$AG52)," ","")&amp;";"&amp;"X"&amp;UPPER(Gewinde!$A$5:$A$54)&amp;";",SEARCH("X"&amp;UPPER(Gewinde!$A$5:$A$54)&amp;";",";"&amp;SUBSTITUTE(UPPER(Auftrag!$AG52)," ","")&amp;";"&amp;"X"&amp;UPPER(Gewinde!$A$5:$A$54)&amp;";")-1),";",REPT(" ",50)),50))),Gewinde!$C$5:$C$54),0))</f>
        <v/>
      </c>
      <c r="Q52" s="33">
        <f>IF($A52="","",(N($O52)+$P52)/3600*N(Auftrag!$H$8))</f>
        <v/>
      </c>
      <c r="R52" s="33">
        <f>IF($A52="","",IF($F$8=0,0,$F$7/$F$8))</f>
        <v/>
      </c>
      <c r="S52" s="33">
        <f>IF($A52="","",$F52*(1+$C$4)+($Q52+$R52)*(1+$C$5))</f>
        <v/>
      </c>
      <c r="T52" s="33">
        <f>IF($A52="","",$S52*(1+$C$6))</f>
        <v/>
      </c>
      <c r="U52" s="18">
        <f>IF($A52="","",$T52*$C52)</f>
        <v/>
      </c>
      <c r="V52" s="18">
        <f>IF($A52="","",$S52*$C52)</f>
        <v/>
      </c>
      <c r="W52" s="28">
        <f>IF($A52="","",IF(N(Auftrag!$AO52)&gt;0,"nicht vollständig eingeplant",IF($D52=0,"kein Schnittplan oder Preis",IF($H52="","keine Schneiddaten",IF(AND(Auftrag!$AF52&lt;&gt;"",Auftrag!$AG52=""),"Gewinde ungeprüft","")))))</f>
        <v/>
      </c>
      <c r="X52" s="18">
        <f>IF($A52="","",$F52*$C52)</f>
        <v/>
      </c>
      <c r="Y52" s="18">
        <f>IF($A52="","",$Q52*$C52)</f>
        <v/>
      </c>
    </row>
    <row r="53">
      <c r="A53" s="25">
        <f>IF(Auftrag!$D53="","",Auftrag!$A53)</f>
        <v/>
      </c>
      <c r="B53" s="25">
        <f>IF($A53="","",Auftrag!$B53)</f>
        <v/>
      </c>
      <c r="C53" s="15">
        <f>IF($A53="","",N(Auftrag!$G53))</f>
        <v/>
      </c>
      <c r="D53" s="18">
        <f>IF($A53="","",SUMIFS(Schnittplan!$R$5:$R$1004,Schnittplan!$B$5:$B$1004,Auftrag!$D53,Schnittplan!$C$5:$C$1004,Auftrag!$E53,Schnittplan!$D$5:$D$1004,Auftrag!$Q53))</f>
        <v/>
      </c>
      <c r="E53" s="32">
        <f>IF($A53="","",IFERROR(N(Auftrag!$P53)/SUMIFS(Auftrag!$P$13:$P$512,Auftrag!$D$13:$D$512,Auftrag!$D53,Auftrag!$E$13:$E$512,Auftrag!$E53,Auftrag!$Q$13:$Q$512,Auftrag!$Q53),0))</f>
        <v/>
      </c>
      <c r="F53" s="33">
        <f>IF($A53="","",IF($C53=0,0,$D53*$E53/$C53))</f>
        <v/>
      </c>
      <c r="G53" s="34">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5">
        <f>IF($A53="","",IF($H53="","",60*((N(Auftrag!$H53)-N(Auftrag!$AI53)-N(Auftrag!$AK53))/$H53+N(Auftrag!$AI53)/$J53+N(Auftrag!$AK53)/$I53+N(Auftrag!$AD53)/$K53)+N(Auftrag!$I53)*$L53))</f>
        <v/>
      </c>
      <c r="N53" s="35">
        <f>IF($A53="","",IF(OR($H53="",$C53=0),0,(60*SUMIFS(Stangenbelegung!$K$5:$K$10004,Stangenbelegung!$E$5:$E$10004,ROW())/$H53+SUMIFS(Stangenbelegung!$L$5:$L$10004,Stangenbelegung!$E$5:$E$10004,ROW())*$L53)/$C53))</f>
        <v/>
      </c>
      <c r="O53" s="35">
        <f>IF($A53="","",IF($M53="","",MAX(0,$M53-$N53)))</f>
        <v/>
      </c>
      <c r="P53" s="35">
        <f>IF($A53="","",IFERROR(SUMPRODUCT(--("0"&amp;TRIM(RIGHT(SUBSTITUTE(LEFT(";"&amp;SUBSTITUTE(UPPER(Auftrag!$AG53)," ","")&amp;";"&amp;"X"&amp;UPPER(Gewinde!$A$5:$A$54)&amp;";",SEARCH("X"&amp;UPPER(Gewinde!$A$5:$A$54)&amp;";",";"&amp;SUBSTITUTE(UPPER(Auftrag!$AG53)," ","")&amp;";"&amp;"X"&amp;UPPER(Gewinde!$A$5:$A$54)&amp;";")-1),";",REPT(" ",50)),50))),Gewinde!$C$5:$C$54),0))</f>
        <v/>
      </c>
      <c r="Q53" s="33">
        <f>IF($A53="","",(N($O53)+$P53)/3600*N(Auftrag!$H$8))</f>
        <v/>
      </c>
      <c r="R53" s="33">
        <f>IF($A53="","",IF($F$8=0,0,$F$7/$F$8))</f>
        <v/>
      </c>
      <c r="S53" s="33">
        <f>IF($A53="","",$F53*(1+$C$4)+($Q53+$R53)*(1+$C$5))</f>
        <v/>
      </c>
      <c r="T53" s="33">
        <f>IF($A53="","",$S53*(1+$C$6))</f>
        <v/>
      </c>
      <c r="U53" s="18">
        <f>IF($A53="","",$T53*$C53)</f>
        <v/>
      </c>
      <c r="V53" s="18">
        <f>IF($A53="","",$S53*$C53)</f>
        <v/>
      </c>
      <c r="W53" s="28">
        <f>IF($A53="","",IF(N(Auftrag!$AO53)&gt;0,"nicht vollständig eingeplant",IF($D53=0,"kein Schnittplan oder Preis",IF($H53="","keine Schneiddaten",IF(AND(Auftrag!$AF53&lt;&gt;"",Auftrag!$AG53=""),"Gewinde ungeprüft","")))))</f>
        <v/>
      </c>
      <c r="X53" s="18">
        <f>IF($A53="","",$F53*$C53)</f>
        <v/>
      </c>
      <c r="Y53" s="18">
        <f>IF($A53="","",$Q53*$C53)</f>
        <v/>
      </c>
    </row>
    <row r="54">
      <c r="A54" s="25">
        <f>IF(Auftrag!$D54="","",Auftrag!$A54)</f>
        <v/>
      </c>
      <c r="B54" s="25">
        <f>IF($A54="","",Auftrag!$B54)</f>
        <v/>
      </c>
      <c r="C54" s="15">
        <f>IF($A54="","",N(Auftrag!$G54))</f>
        <v/>
      </c>
      <c r="D54" s="18">
        <f>IF($A54="","",SUMIFS(Schnittplan!$R$5:$R$1004,Schnittplan!$B$5:$B$1004,Auftrag!$D54,Schnittplan!$C$5:$C$1004,Auftrag!$E54,Schnittplan!$D$5:$D$1004,Auftrag!$Q54))</f>
        <v/>
      </c>
      <c r="E54" s="32">
        <f>IF($A54="","",IFERROR(N(Auftrag!$P54)/SUMIFS(Auftrag!$P$13:$P$512,Auftrag!$D$13:$D$512,Auftrag!$D54,Auftrag!$E$13:$E$512,Auftrag!$E54,Auftrag!$Q$13:$Q$512,Auftrag!$Q54),0))</f>
        <v/>
      </c>
      <c r="F54" s="33">
        <f>IF($A54="","",IF($C54=0,0,$D54*$E54/$C54))</f>
        <v/>
      </c>
      <c r="G54" s="34">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5">
        <f>IF($A54="","",IF($H54="","",60*((N(Auftrag!$H54)-N(Auftrag!$AI54)-N(Auftrag!$AK54))/$H54+N(Auftrag!$AI54)/$J54+N(Auftrag!$AK54)/$I54+N(Auftrag!$AD54)/$K54)+N(Auftrag!$I54)*$L54))</f>
        <v/>
      </c>
      <c r="N54" s="35">
        <f>IF($A54="","",IF(OR($H54="",$C54=0),0,(60*SUMIFS(Stangenbelegung!$K$5:$K$10004,Stangenbelegung!$E$5:$E$10004,ROW())/$H54+SUMIFS(Stangenbelegung!$L$5:$L$10004,Stangenbelegung!$E$5:$E$10004,ROW())*$L54)/$C54))</f>
        <v/>
      </c>
      <c r="O54" s="35">
        <f>IF($A54="","",IF($M54="","",MAX(0,$M54-$N54)))</f>
        <v/>
      </c>
      <c r="P54" s="35">
        <f>IF($A54="","",IFERROR(SUMPRODUCT(--("0"&amp;TRIM(RIGHT(SUBSTITUTE(LEFT(";"&amp;SUBSTITUTE(UPPER(Auftrag!$AG54)," ","")&amp;";"&amp;"X"&amp;UPPER(Gewinde!$A$5:$A$54)&amp;";",SEARCH("X"&amp;UPPER(Gewinde!$A$5:$A$54)&amp;";",";"&amp;SUBSTITUTE(UPPER(Auftrag!$AG54)," ","")&amp;";"&amp;"X"&amp;UPPER(Gewinde!$A$5:$A$54)&amp;";")-1),";",REPT(" ",50)),50))),Gewinde!$C$5:$C$54),0))</f>
        <v/>
      </c>
      <c r="Q54" s="33">
        <f>IF($A54="","",(N($O54)+$P54)/3600*N(Auftrag!$H$8))</f>
        <v/>
      </c>
      <c r="R54" s="33">
        <f>IF($A54="","",IF($F$8=0,0,$F$7/$F$8))</f>
        <v/>
      </c>
      <c r="S54" s="33">
        <f>IF($A54="","",$F54*(1+$C$4)+($Q54+$R54)*(1+$C$5))</f>
        <v/>
      </c>
      <c r="T54" s="33">
        <f>IF($A54="","",$S54*(1+$C$6))</f>
        <v/>
      </c>
      <c r="U54" s="18">
        <f>IF($A54="","",$T54*$C54)</f>
        <v/>
      </c>
      <c r="V54" s="18">
        <f>IF($A54="","",$S54*$C54)</f>
        <v/>
      </c>
      <c r="W54" s="28">
        <f>IF($A54="","",IF(N(Auftrag!$AO54)&gt;0,"nicht vollständig eingeplant",IF($D54=0,"kein Schnittplan oder Preis",IF($H54="","keine Schneiddaten",IF(AND(Auftrag!$AF54&lt;&gt;"",Auftrag!$AG54=""),"Gewinde ungeprüft","")))))</f>
        <v/>
      </c>
      <c r="X54" s="18">
        <f>IF($A54="","",$F54*$C54)</f>
        <v/>
      </c>
      <c r="Y54" s="18">
        <f>IF($A54="","",$Q54*$C54)</f>
        <v/>
      </c>
    </row>
    <row r="55">
      <c r="A55" s="25">
        <f>IF(Auftrag!$D55="","",Auftrag!$A55)</f>
        <v/>
      </c>
      <c r="B55" s="25">
        <f>IF($A55="","",Auftrag!$B55)</f>
        <v/>
      </c>
      <c r="C55" s="15">
        <f>IF($A55="","",N(Auftrag!$G55))</f>
        <v/>
      </c>
      <c r="D55" s="18">
        <f>IF($A55="","",SUMIFS(Schnittplan!$R$5:$R$1004,Schnittplan!$B$5:$B$1004,Auftrag!$D55,Schnittplan!$C$5:$C$1004,Auftrag!$E55,Schnittplan!$D$5:$D$1004,Auftrag!$Q55))</f>
        <v/>
      </c>
      <c r="E55" s="32">
        <f>IF($A55="","",IFERROR(N(Auftrag!$P55)/SUMIFS(Auftrag!$P$13:$P$512,Auftrag!$D$13:$D$512,Auftrag!$D55,Auftrag!$E$13:$E$512,Auftrag!$E55,Auftrag!$Q$13:$Q$512,Auftrag!$Q55),0))</f>
        <v/>
      </c>
      <c r="F55" s="33">
        <f>IF($A55="","",IF($C55=0,0,$D55*$E55/$C55))</f>
        <v/>
      </c>
      <c r="G55" s="34">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5">
        <f>IF($A55="","",IF($H55="","",60*((N(Auftrag!$H55)-N(Auftrag!$AI55)-N(Auftrag!$AK55))/$H55+N(Auftrag!$AI55)/$J55+N(Auftrag!$AK55)/$I55+N(Auftrag!$AD55)/$K55)+N(Auftrag!$I55)*$L55))</f>
        <v/>
      </c>
      <c r="N55" s="35">
        <f>IF($A55="","",IF(OR($H55="",$C55=0),0,(60*SUMIFS(Stangenbelegung!$K$5:$K$10004,Stangenbelegung!$E$5:$E$10004,ROW())/$H55+SUMIFS(Stangenbelegung!$L$5:$L$10004,Stangenbelegung!$E$5:$E$10004,ROW())*$L55)/$C55))</f>
        <v/>
      </c>
      <c r="O55" s="35">
        <f>IF($A55="","",IF($M55="","",MAX(0,$M55-$N55)))</f>
        <v/>
      </c>
      <c r="P55" s="35">
        <f>IF($A55="","",IFERROR(SUMPRODUCT(--("0"&amp;TRIM(RIGHT(SUBSTITUTE(LEFT(";"&amp;SUBSTITUTE(UPPER(Auftrag!$AG55)," ","")&amp;";"&amp;"X"&amp;UPPER(Gewinde!$A$5:$A$54)&amp;";",SEARCH("X"&amp;UPPER(Gewinde!$A$5:$A$54)&amp;";",";"&amp;SUBSTITUTE(UPPER(Auftrag!$AG55)," ","")&amp;";"&amp;"X"&amp;UPPER(Gewinde!$A$5:$A$54)&amp;";")-1),";",REPT(" ",50)),50))),Gewinde!$C$5:$C$54),0))</f>
        <v/>
      </c>
      <c r="Q55" s="33">
        <f>IF($A55="","",(N($O55)+$P55)/3600*N(Auftrag!$H$8))</f>
        <v/>
      </c>
      <c r="R55" s="33">
        <f>IF($A55="","",IF($F$8=0,0,$F$7/$F$8))</f>
        <v/>
      </c>
      <c r="S55" s="33">
        <f>IF($A55="","",$F55*(1+$C$4)+($Q55+$R55)*(1+$C$5))</f>
        <v/>
      </c>
      <c r="T55" s="33">
        <f>IF($A55="","",$S55*(1+$C$6))</f>
        <v/>
      </c>
      <c r="U55" s="18">
        <f>IF($A55="","",$T55*$C55)</f>
        <v/>
      </c>
      <c r="V55" s="18">
        <f>IF($A55="","",$S55*$C55)</f>
        <v/>
      </c>
      <c r="W55" s="28">
        <f>IF($A55="","",IF(N(Auftrag!$AO55)&gt;0,"nicht vollständig eingeplant",IF($D55=0,"kein Schnittplan oder Preis",IF($H55="","keine Schneiddaten",IF(AND(Auftrag!$AF55&lt;&gt;"",Auftrag!$AG55=""),"Gewinde ungeprüft","")))))</f>
        <v/>
      </c>
      <c r="X55" s="18">
        <f>IF($A55="","",$F55*$C55)</f>
        <v/>
      </c>
      <c r="Y55" s="18">
        <f>IF($A55="","",$Q55*$C55)</f>
        <v/>
      </c>
    </row>
    <row r="56">
      <c r="A56" s="25">
        <f>IF(Auftrag!$D56="","",Auftrag!$A56)</f>
        <v/>
      </c>
      <c r="B56" s="25">
        <f>IF($A56="","",Auftrag!$B56)</f>
        <v/>
      </c>
      <c r="C56" s="15">
        <f>IF($A56="","",N(Auftrag!$G56))</f>
        <v/>
      </c>
      <c r="D56" s="18">
        <f>IF($A56="","",SUMIFS(Schnittplan!$R$5:$R$1004,Schnittplan!$B$5:$B$1004,Auftrag!$D56,Schnittplan!$C$5:$C$1004,Auftrag!$E56,Schnittplan!$D$5:$D$1004,Auftrag!$Q56))</f>
        <v/>
      </c>
      <c r="E56" s="32">
        <f>IF($A56="","",IFERROR(N(Auftrag!$P56)/SUMIFS(Auftrag!$P$13:$P$512,Auftrag!$D$13:$D$512,Auftrag!$D56,Auftrag!$E$13:$E$512,Auftrag!$E56,Auftrag!$Q$13:$Q$512,Auftrag!$Q56),0))</f>
        <v/>
      </c>
      <c r="F56" s="33">
        <f>IF($A56="","",IF($C56=0,0,$D56*$E56/$C56))</f>
        <v/>
      </c>
      <c r="G56" s="34">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5">
        <f>IF($A56="","",IF($H56="","",60*((N(Auftrag!$H56)-N(Auftrag!$AI56)-N(Auftrag!$AK56))/$H56+N(Auftrag!$AI56)/$J56+N(Auftrag!$AK56)/$I56+N(Auftrag!$AD56)/$K56)+N(Auftrag!$I56)*$L56))</f>
        <v/>
      </c>
      <c r="N56" s="35">
        <f>IF($A56="","",IF(OR($H56="",$C56=0),0,(60*SUMIFS(Stangenbelegung!$K$5:$K$10004,Stangenbelegung!$E$5:$E$10004,ROW())/$H56+SUMIFS(Stangenbelegung!$L$5:$L$10004,Stangenbelegung!$E$5:$E$10004,ROW())*$L56)/$C56))</f>
        <v/>
      </c>
      <c r="O56" s="35">
        <f>IF($A56="","",IF($M56="","",MAX(0,$M56-$N56)))</f>
        <v/>
      </c>
      <c r="P56" s="35">
        <f>IF($A56="","",IFERROR(SUMPRODUCT(--("0"&amp;TRIM(RIGHT(SUBSTITUTE(LEFT(";"&amp;SUBSTITUTE(UPPER(Auftrag!$AG56)," ","")&amp;";"&amp;"X"&amp;UPPER(Gewinde!$A$5:$A$54)&amp;";",SEARCH("X"&amp;UPPER(Gewinde!$A$5:$A$54)&amp;";",";"&amp;SUBSTITUTE(UPPER(Auftrag!$AG56)," ","")&amp;";"&amp;"X"&amp;UPPER(Gewinde!$A$5:$A$54)&amp;";")-1),";",REPT(" ",50)),50))),Gewinde!$C$5:$C$54),0))</f>
        <v/>
      </c>
      <c r="Q56" s="33">
        <f>IF($A56="","",(N($O56)+$P56)/3600*N(Auftrag!$H$8))</f>
        <v/>
      </c>
      <c r="R56" s="33">
        <f>IF($A56="","",IF($F$8=0,0,$F$7/$F$8))</f>
        <v/>
      </c>
      <c r="S56" s="33">
        <f>IF($A56="","",$F56*(1+$C$4)+($Q56+$R56)*(1+$C$5))</f>
        <v/>
      </c>
      <c r="T56" s="33">
        <f>IF($A56="","",$S56*(1+$C$6))</f>
        <v/>
      </c>
      <c r="U56" s="18">
        <f>IF($A56="","",$T56*$C56)</f>
        <v/>
      </c>
      <c r="V56" s="18">
        <f>IF($A56="","",$S56*$C56)</f>
        <v/>
      </c>
      <c r="W56" s="28">
        <f>IF($A56="","",IF(N(Auftrag!$AO56)&gt;0,"nicht vollständig eingeplant",IF($D56=0,"kein Schnittplan oder Preis",IF($H56="","keine Schneiddaten",IF(AND(Auftrag!$AF56&lt;&gt;"",Auftrag!$AG56=""),"Gewinde ungeprüft","")))))</f>
        <v/>
      </c>
      <c r="X56" s="18">
        <f>IF($A56="","",$F56*$C56)</f>
        <v/>
      </c>
      <c r="Y56" s="18">
        <f>IF($A56="","",$Q56*$C56)</f>
        <v/>
      </c>
    </row>
    <row r="57">
      <c r="A57" s="25">
        <f>IF(Auftrag!$D57="","",Auftrag!$A57)</f>
        <v/>
      </c>
      <c r="B57" s="25">
        <f>IF($A57="","",Auftrag!$B57)</f>
        <v/>
      </c>
      <c r="C57" s="15">
        <f>IF($A57="","",N(Auftrag!$G57))</f>
        <v/>
      </c>
      <c r="D57" s="18">
        <f>IF($A57="","",SUMIFS(Schnittplan!$R$5:$R$1004,Schnittplan!$B$5:$B$1004,Auftrag!$D57,Schnittplan!$C$5:$C$1004,Auftrag!$E57,Schnittplan!$D$5:$D$1004,Auftrag!$Q57))</f>
        <v/>
      </c>
      <c r="E57" s="32">
        <f>IF($A57="","",IFERROR(N(Auftrag!$P57)/SUMIFS(Auftrag!$P$13:$P$512,Auftrag!$D$13:$D$512,Auftrag!$D57,Auftrag!$E$13:$E$512,Auftrag!$E57,Auftrag!$Q$13:$Q$512,Auftrag!$Q57),0))</f>
        <v/>
      </c>
      <c r="F57" s="33">
        <f>IF($A57="","",IF($C57=0,0,$D57*$E57/$C57))</f>
        <v/>
      </c>
      <c r="G57" s="34">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5">
        <f>IF($A57="","",IF($H57="","",60*((N(Auftrag!$H57)-N(Auftrag!$AI57)-N(Auftrag!$AK57))/$H57+N(Auftrag!$AI57)/$J57+N(Auftrag!$AK57)/$I57+N(Auftrag!$AD57)/$K57)+N(Auftrag!$I57)*$L57))</f>
        <v/>
      </c>
      <c r="N57" s="35">
        <f>IF($A57="","",IF(OR($H57="",$C57=0),0,(60*SUMIFS(Stangenbelegung!$K$5:$K$10004,Stangenbelegung!$E$5:$E$10004,ROW())/$H57+SUMIFS(Stangenbelegung!$L$5:$L$10004,Stangenbelegung!$E$5:$E$10004,ROW())*$L57)/$C57))</f>
        <v/>
      </c>
      <c r="O57" s="35">
        <f>IF($A57="","",IF($M57="","",MAX(0,$M57-$N57)))</f>
        <v/>
      </c>
      <c r="P57" s="35">
        <f>IF($A57="","",IFERROR(SUMPRODUCT(--("0"&amp;TRIM(RIGHT(SUBSTITUTE(LEFT(";"&amp;SUBSTITUTE(UPPER(Auftrag!$AG57)," ","")&amp;";"&amp;"X"&amp;UPPER(Gewinde!$A$5:$A$54)&amp;";",SEARCH("X"&amp;UPPER(Gewinde!$A$5:$A$54)&amp;";",";"&amp;SUBSTITUTE(UPPER(Auftrag!$AG57)," ","")&amp;";"&amp;"X"&amp;UPPER(Gewinde!$A$5:$A$54)&amp;";")-1),";",REPT(" ",50)),50))),Gewinde!$C$5:$C$54),0))</f>
        <v/>
      </c>
      <c r="Q57" s="33">
        <f>IF($A57="","",(N($O57)+$P57)/3600*N(Auftrag!$H$8))</f>
        <v/>
      </c>
      <c r="R57" s="33">
        <f>IF($A57="","",IF($F$8=0,0,$F$7/$F$8))</f>
        <v/>
      </c>
      <c r="S57" s="33">
        <f>IF($A57="","",$F57*(1+$C$4)+($Q57+$R57)*(1+$C$5))</f>
        <v/>
      </c>
      <c r="T57" s="33">
        <f>IF($A57="","",$S57*(1+$C$6))</f>
        <v/>
      </c>
      <c r="U57" s="18">
        <f>IF($A57="","",$T57*$C57)</f>
        <v/>
      </c>
      <c r="V57" s="18">
        <f>IF($A57="","",$S57*$C57)</f>
        <v/>
      </c>
      <c r="W57" s="28">
        <f>IF($A57="","",IF(N(Auftrag!$AO57)&gt;0,"nicht vollständig eingeplant",IF($D57=0,"kein Schnittplan oder Preis",IF($H57="","keine Schneiddaten",IF(AND(Auftrag!$AF57&lt;&gt;"",Auftrag!$AG57=""),"Gewinde ungeprüft","")))))</f>
        <v/>
      </c>
      <c r="X57" s="18">
        <f>IF($A57="","",$F57*$C57)</f>
        <v/>
      </c>
      <c r="Y57" s="18">
        <f>IF($A57="","",$Q57*$C57)</f>
        <v/>
      </c>
    </row>
    <row r="58">
      <c r="A58" s="25">
        <f>IF(Auftrag!$D58="","",Auftrag!$A58)</f>
        <v/>
      </c>
      <c r="B58" s="25">
        <f>IF($A58="","",Auftrag!$B58)</f>
        <v/>
      </c>
      <c r="C58" s="15">
        <f>IF($A58="","",N(Auftrag!$G58))</f>
        <v/>
      </c>
      <c r="D58" s="18">
        <f>IF($A58="","",SUMIFS(Schnittplan!$R$5:$R$1004,Schnittplan!$B$5:$B$1004,Auftrag!$D58,Schnittplan!$C$5:$C$1004,Auftrag!$E58,Schnittplan!$D$5:$D$1004,Auftrag!$Q58))</f>
        <v/>
      </c>
      <c r="E58" s="32">
        <f>IF($A58="","",IFERROR(N(Auftrag!$P58)/SUMIFS(Auftrag!$P$13:$P$512,Auftrag!$D$13:$D$512,Auftrag!$D58,Auftrag!$E$13:$E$512,Auftrag!$E58,Auftrag!$Q$13:$Q$512,Auftrag!$Q58),0))</f>
        <v/>
      </c>
      <c r="F58" s="33">
        <f>IF($A58="","",IF($C58=0,0,$D58*$E58/$C58))</f>
        <v/>
      </c>
      <c r="G58" s="34">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5">
        <f>IF($A58="","",IF($H58="","",60*((N(Auftrag!$H58)-N(Auftrag!$AI58)-N(Auftrag!$AK58))/$H58+N(Auftrag!$AI58)/$J58+N(Auftrag!$AK58)/$I58+N(Auftrag!$AD58)/$K58)+N(Auftrag!$I58)*$L58))</f>
        <v/>
      </c>
      <c r="N58" s="35">
        <f>IF($A58="","",IF(OR($H58="",$C58=0),0,(60*SUMIFS(Stangenbelegung!$K$5:$K$10004,Stangenbelegung!$E$5:$E$10004,ROW())/$H58+SUMIFS(Stangenbelegung!$L$5:$L$10004,Stangenbelegung!$E$5:$E$10004,ROW())*$L58)/$C58))</f>
        <v/>
      </c>
      <c r="O58" s="35">
        <f>IF($A58="","",IF($M58="","",MAX(0,$M58-$N58)))</f>
        <v/>
      </c>
      <c r="P58" s="35">
        <f>IF($A58="","",IFERROR(SUMPRODUCT(--("0"&amp;TRIM(RIGHT(SUBSTITUTE(LEFT(";"&amp;SUBSTITUTE(UPPER(Auftrag!$AG58)," ","")&amp;";"&amp;"X"&amp;UPPER(Gewinde!$A$5:$A$54)&amp;";",SEARCH("X"&amp;UPPER(Gewinde!$A$5:$A$54)&amp;";",";"&amp;SUBSTITUTE(UPPER(Auftrag!$AG58)," ","")&amp;";"&amp;"X"&amp;UPPER(Gewinde!$A$5:$A$54)&amp;";")-1),";",REPT(" ",50)),50))),Gewinde!$C$5:$C$54),0))</f>
        <v/>
      </c>
      <c r="Q58" s="33">
        <f>IF($A58="","",(N($O58)+$P58)/3600*N(Auftrag!$H$8))</f>
        <v/>
      </c>
      <c r="R58" s="33">
        <f>IF($A58="","",IF($F$8=0,0,$F$7/$F$8))</f>
        <v/>
      </c>
      <c r="S58" s="33">
        <f>IF($A58="","",$F58*(1+$C$4)+($Q58+$R58)*(1+$C$5))</f>
        <v/>
      </c>
      <c r="T58" s="33">
        <f>IF($A58="","",$S58*(1+$C$6))</f>
        <v/>
      </c>
      <c r="U58" s="18">
        <f>IF($A58="","",$T58*$C58)</f>
        <v/>
      </c>
      <c r="V58" s="18">
        <f>IF($A58="","",$S58*$C58)</f>
        <v/>
      </c>
      <c r="W58" s="28">
        <f>IF($A58="","",IF(N(Auftrag!$AO58)&gt;0,"nicht vollständig eingeplant",IF($D58=0,"kein Schnittplan oder Preis",IF($H58="","keine Schneiddaten",IF(AND(Auftrag!$AF58&lt;&gt;"",Auftrag!$AG58=""),"Gewinde ungeprüft","")))))</f>
        <v/>
      </c>
      <c r="X58" s="18">
        <f>IF($A58="","",$F58*$C58)</f>
        <v/>
      </c>
      <c r="Y58" s="18">
        <f>IF($A58="","",$Q58*$C58)</f>
        <v/>
      </c>
    </row>
    <row r="59">
      <c r="A59" s="25">
        <f>IF(Auftrag!$D59="","",Auftrag!$A59)</f>
        <v/>
      </c>
      <c r="B59" s="25">
        <f>IF($A59="","",Auftrag!$B59)</f>
        <v/>
      </c>
      <c r="C59" s="15">
        <f>IF($A59="","",N(Auftrag!$G59))</f>
        <v/>
      </c>
      <c r="D59" s="18">
        <f>IF($A59="","",SUMIFS(Schnittplan!$R$5:$R$1004,Schnittplan!$B$5:$B$1004,Auftrag!$D59,Schnittplan!$C$5:$C$1004,Auftrag!$E59,Schnittplan!$D$5:$D$1004,Auftrag!$Q59))</f>
        <v/>
      </c>
      <c r="E59" s="32">
        <f>IF($A59="","",IFERROR(N(Auftrag!$P59)/SUMIFS(Auftrag!$P$13:$P$512,Auftrag!$D$13:$D$512,Auftrag!$D59,Auftrag!$E$13:$E$512,Auftrag!$E59,Auftrag!$Q$13:$Q$512,Auftrag!$Q59),0))</f>
        <v/>
      </c>
      <c r="F59" s="33">
        <f>IF($A59="","",IF($C59=0,0,$D59*$E59/$C59))</f>
        <v/>
      </c>
      <c r="G59" s="34">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5">
        <f>IF($A59="","",IF($H59="","",60*((N(Auftrag!$H59)-N(Auftrag!$AI59)-N(Auftrag!$AK59))/$H59+N(Auftrag!$AI59)/$J59+N(Auftrag!$AK59)/$I59+N(Auftrag!$AD59)/$K59)+N(Auftrag!$I59)*$L59))</f>
        <v/>
      </c>
      <c r="N59" s="35">
        <f>IF($A59="","",IF(OR($H59="",$C59=0),0,(60*SUMIFS(Stangenbelegung!$K$5:$K$10004,Stangenbelegung!$E$5:$E$10004,ROW())/$H59+SUMIFS(Stangenbelegung!$L$5:$L$10004,Stangenbelegung!$E$5:$E$10004,ROW())*$L59)/$C59))</f>
        <v/>
      </c>
      <c r="O59" s="35">
        <f>IF($A59="","",IF($M59="","",MAX(0,$M59-$N59)))</f>
        <v/>
      </c>
      <c r="P59" s="35">
        <f>IF($A59="","",IFERROR(SUMPRODUCT(--("0"&amp;TRIM(RIGHT(SUBSTITUTE(LEFT(";"&amp;SUBSTITUTE(UPPER(Auftrag!$AG59)," ","")&amp;";"&amp;"X"&amp;UPPER(Gewinde!$A$5:$A$54)&amp;";",SEARCH("X"&amp;UPPER(Gewinde!$A$5:$A$54)&amp;";",";"&amp;SUBSTITUTE(UPPER(Auftrag!$AG59)," ","")&amp;";"&amp;"X"&amp;UPPER(Gewinde!$A$5:$A$54)&amp;";")-1),";",REPT(" ",50)),50))),Gewinde!$C$5:$C$54),0))</f>
        <v/>
      </c>
      <c r="Q59" s="33">
        <f>IF($A59="","",(N($O59)+$P59)/3600*N(Auftrag!$H$8))</f>
        <v/>
      </c>
      <c r="R59" s="33">
        <f>IF($A59="","",IF($F$8=0,0,$F$7/$F$8))</f>
        <v/>
      </c>
      <c r="S59" s="33">
        <f>IF($A59="","",$F59*(1+$C$4)+($Q59+$R59)*(1+$C$5))</f>
        <v/>
      </c>
      <c r="T59" s="33">
        <f>IF($A59="","",$S59*(1+$C$6))</f>
        <v/>
      </c>
      <c r="U59" s="18">
        <f>IF($A59="","",$T59*$C59)</f>
        <v/>
      </c>
      <c r="V59" s="18">
        <f>IF($A59="","",$S59*$C59)</f>
        <v/>
      </c>
      <c r="W59" s="28">
        <f>IF($A59="","",IF(N(Auftrag!$AO59)&gt;0,"nicht vollständig eingeplant",IF($D59=0,"kein Schnittplan oder Preis",IF($H59="","keine Schneiddaten",IF(AND(Auftrag!$AF59&lt;&gt;"",Auftrag!$AG59=""),"Gewinde ungeprüft","")))))</f>
        <v/>
      </c>
      <c r="X59" s="18">
        <f>IF($A59="","",$F59*$C59)</f>
        <v/>
      </c>
      <c r="Y59" s="18">
        <f>IF($A59="","",$Q59*$C59)</f>
        <v/>
      </c>
    </row>
    <row r="60">
      <c r="A60" s="25">
        <f>IF(Auftrag!$D60="","",Auftrag!$A60)</f>
        <v/>
      </c>
      <c r="B60" s="25">
        <f>IF($A60="","",Auftrag!$B60)</f>
        <v/>
      </c>
      <c r="C60" s="15">
        <f>IF($A60="","",N(Auftrag!$G60))</f>
        <v/>
      </c>
      <c r="D60" s="18">
        <f>IF($A60="","",SUMIFS(Schnittplan!$R$5:$R$1004,Schnittplan!$B$5:$B$1004,Auftrag!$D60,Schnittplan!$C$5:$C$1004,Auftrag!$E60,Schnittplan!$D$5:$D$1004,Auftrag!$Q60))</f>
        <v/>
      </c>
      <c r="E60" s="32">
        <f>IF($A60="","",IFERROR(N(Auftrag!$P60)/SUMIFS(Auftrag!$P$13:$P$512,Auftrag!$D$13:$D$512,Auftrag!$D60,Auftrag!$E$13:$E$512,Auftrag!$E60,Auftrag!$Q$13:$Q$512,Auftrag!$Q60),0))</f>
        <v/>
      </c>
      <c r="F60" s="33">
        <f>IF($A60="","",IF($C60=0,0,$D60*$E60/$C60))</f>
        <v/>
      </c>
      <c r="G60" s="34">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5">
        <f>IF($A60="","",IF($H60="","",60*((N(Auftrag!$H60)-N(Auftrag!$AI60)-N(Auftrag!$AK60))/$H60+N(Auftrag!$AI60)/$J60+N(Auftrag!$AK60)/$I60+N(Auftrag!$AD60)/$K60)+N(Auftrag!$I60)*$L60))</f>
        <v/>
      </c>
      <c r="N60" s="35">
        <f>IF($A60="","",IF(OR($H60="",$C60=0),0,(60*SUMIFS(Stangenbelegung!$K$5:$K$10004,Stangenbelegung!$E$5:$E$10004,ROW())/$H60+SUMIFS(Stangenbelegung!$L$5:$L$10004,Stangenbelegung!$E$5:$E$10004,ROW())*$L60)/$C60))</f>
        <v/>
      </c>
      <c r="O60" s="35">
        <f>IF($A60="","",IF($M60="","",MAX(0,$M60-$N60)))</f>
        <v/>
      </c>
      <c r="P60" s="35">
        <f>IF($A60="","",IFERROR(SUMPRODUCT(--("0"&amp;TRIM(RIGHT(SUBSTITUTE(LEFT(";"&amp;SUBSTITUTE(UPPER(Auftrag!$AG60)," ","")&amp;";"&amp;"X"&amp;UPPER(Gewinde!$A$5:$A$54)&amp;";",SEARCH("X"&amp;UPPER(Gewinde!$A$5:$A$54)&amp;";",";"&amp;SUBSTITUTE(UPPER(Auftrag!$AG60)," ","")&amp;";"&amp;"X"&amp;UPPER(Gewinde!$A$5:$A$54)&amp;";")-1),";",REPT(" ",50)),50))),Gewinde!$C$5:$C$54),0))</f>
        <v/>
      </c>
      <c r="Q60" s="33">
        <f>IF($A60="","",(N($O60)+$P60)/3600*N(Auftrag!$H$8))</f>
        <v/>
      </c>
      <c r="R60" s="33">
        <f>IF($A60="","",IF($F$8=0,0,$F$7/$F$8))</f>
        <v/>
      </c>
      <c r="S60" s="33">
        <f>IF($A60="","",$F60*(1+$C$4)+($Q60+$R60)*(1+$C$5))</f>
        <v/>
      </c>
      <c r="T60" s="33">
        <f>IF($A60="","",$S60*(1+$C$6))</f>
        <v/>
      </c>
      <c r="U60" s="18">
        <f>IF($A60="","",$T60*$C60)</f>
        <v/>
      </c>
      <c r="V60" s="18">
        <f>IF($A60="","",$S60*$C60)</f>
        <v/>
      </c>
      <c r="W60" s="28">
        <f>IF($A60="","",IF(N(Auftrag!$AO60)&gt;0,"nicht vollständig eingeplant",IF($D60=0,"kein Schnittplan oder Preis",IF($H60="","keine Schneiddaten",IF(AND(Auftrag!$AF60&lt;&gt;"",Auftrag!$AG60=""),"Gewinde ungeprüft","")))))</f>
        <v/>
      </c>
      <c r="X60" s="18">
        <f>IF($A60="","",$F60*$C60)</f>
        <v/>
      </c>
      <c r="Y60" s="18">
        <f>IF($A60="","",$Q60*$C60)</f>
        <v/>
      </c>
    </row>
    <row r="61">
      <c r="A61" s="25">
        <f>IF(Auftrag!$D61="","",Auftrag!$A61)</f>
        <v/>
      </c>
      <c r="B61" s="25">
        <f>IF($A61="","",Auftrag!$B61)</f>
        <v/>
      </c>
      <c r="C61" s="15">
        <f>IF($A61="","",N(Auftrag!$G61))</f>
        <v/>
      </c>
      <c r="D61" s="18">
        <f>IF($A61="","",SUMIFS(Schnittplan!$R$5:$R$1004,Schnittplan!$B$5:$B$1004,Auftrag!$D61,Schnittplan!$C$5:$C$1004,Auftrag!$E61,Schnittplan!$D$5:$D$1004,Auftrag!$Q61))</f>
        <v/>
      </c>
      <c r="E61" s="32">
        <f>IF($A61="","",IFERROR(N(Auftrag!$P61)/SUMIFS(Auftrag!$P$13:$P$512,Auftrag!$D$13:$D$512,Auftrag!$D61,Auftrag!$E$13:$E$512,Auftrag!$E61,Auftrag!$Q$13:$Q$512,Auftrag!$Q61),0))</f>
        <v/>
      </c>
      <c r="F61" s="33">
        <f>IF($A61="","",IF($C61=0,0,$D61*$E61/$C61))</f>
        <v/>
      </c>
      <c r="G61" s="34">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5">
        <f>IF($A61="","",IF($H61="","",60*((N(Auftrag!$H61)-N(Auftrag!$AI61)-N(Auftrag!$AK61))/$H61+N(Auftrag!$AI61)/$J61+N(Auftrag!$AK61)/$I61+N(Auftrag!$AD61)/$K61)+N(Auftrag!$I61)*$L61))</f>
        <v/>
      </c>
      <c r="N61" s="35">
        <f>IF($A61="","",IF(OR($H61="",$C61=0),0,(60*SUMIFS(Stangenbelegung!$K$5:$K$10004,Stangenbelegung!$E$5:$E$10004,ROW())/$H61+SUMIFS(Stangenbelegung!$L$5:$L$10004,Stangenbelegung!$E$5:$E$10004,ROW())*$L61)/$C61))</f>
        <v/>
      </c>
      <c r="O61" s="35">
        <f>IF($A61="","",IF($M61="","",MAX(0,$M61-$N61)))</f>
        <v/>
      </c>
      <c r="P61" s="35">
        <f>IF($A61="","",IFERROR(SUMPRODUCT(--("0"&amp;TRIM(RIGHT(SUBSTITUTE(LEFT(";"&amp;SUBSTITUTE(UPPER(Auftrag!$AG61)," ","")&amp;";"&amp;"X"&amp;UPPER(Gewinde!$A$5:$A$54)&amp;";",SEARCH("X"&amp;UPPER(Gewinde!$A$5:$A$54)&amp;";",";"&amp;SUBSTITUTE(UPPER(Auftrag!$AG61)," ","")&amp;";"&amp;"X"&amp;UPPER(Gewinde!$A$5:$A$54)&amp;";")-1),";",REPT(" ",50)),50))),Gewinde!$C$5:$C$54),0))</f>
        <v/>
      </c>
      <c r="Q61" s="33">
        <f>IF($A61="","",(N($O61)+$P61)/3600*N(Auftrag!$H$8))</f>
        <v/>
      </c>
      <c r="R61" s="33">
        <f>IF($A61="","",IF($F$8=0,0,$F$7/$F$8))</f>
        <v/>
      </c>
      <c r="S61" s="33">
        <f>IF($A61="","",$F61*(1+$C$4)+($Q61+$R61)*(1+$C$5))</f>
        <v/>
      </c>
      <c r="T61" s="33">
        <f>IF($A61="","",$S61*(1+$C$6))</f>
        <v/>
      </c>
      <c r="U61" s="18">
        <f>IF($A61="","",$T61*$C61)</f>
        <v/>
      </c>
      <c r="V61" s="18">
        <f>IF($A61="","",$S61*$C61)</f>
        <v/>
      </c>
      <c r="W61" s="28">
        <f>IF($A61="","",IF(N(Auftrag!$AO61)&gt;0,"nicht vollständig eingeplant",IF($D61=0,"kein Schnittplan oder Preis",IF($H61="","keine Schneiddaten",IF(AND(Auftrag!$AF61&lt;&gt;"",Auftrag!$AG61=""),"Gewinde ungeprüft","")))))</f>
        <v/>
      </c>
      <c r="X61" s="18">
        <f>IF($A61="","",$F61*$C61)</f>
        <v/>
      </c>
      <c r="Y61" s="18">
        <f>IF($A61="","",$Q61*$C61)</f>
        <v/>
      </c>
    </row>
    <row r="62">
      <c r="A62" s="25">
        <f>IF(Auftrag!$D62="","",Auftrag!$A62)</f>
        <v/>
      </c>
      <c r="B62" s="25">
        <f>IF($A62="","",Auftrag!$B62)</f>
        <v/>
      </c>
      <c r="C62" s="15">
        <f>IF($A62="","",N(Auftrag!$G62))</f>
        <v/>
      </c>
      <c r="D62" s="18">
        <f>IF($A62="","",SUMIFS(Schnittplan!$R$5:$R$1004,Schnittplan!$B$5:$B$1004,Auftrag!$D62,Schnittplan!$C$5:$C$1004,Auftrag!$E62,Schnittplan!$D$5:$D$1004,Auftrag!$Q62))</f>
        <v/>
      </c>
      <c r="E62" s="32">
        <f>IF($A62="","",IFERROR(N(Auftrag!$P62)/SUMIFS(Auftrag!$P$13:$P$512,Auftrag!$D$13:$D$512,Auftrag!$D62,Auftrag!$E$13:$E$512,Auftrag!$E62,Auftrag!$Q$13:$Q$512,Auftrag!$Q62),0))</f>
        <v/>
      </c>
      <c r="F62" s="33">
        <f>IF($A62="","",IF($C62=0,0,$D62*$E62/$C62))</f>
        <v/>
      </c>
      <c r="G62" s="34">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5">
        <f>IF($A62="","",IF($H62="","",60*((N(Auftrag!$H62)-N(Auftrag!$AI62)-N(Auftrag!$AK62))/$H62+N(Auftrag!$AI62)/$J62+N(Auftrag!$AK62)/$I62+N(Auftrag!$AD62)/$K62)+N(Auftrag!$I62)*$L62))</f>
        <v/>
      </c>
      <c r="N62" s="35">
        <f>IF($A62="","",IF(OR($H62="",$C62=0),0,(60*SUMIFS(Stangenbelegung!$K$5:$K$10004,Stangenbelegung!$E$5:$E$10004,ROW())/$H62+SUMIFS(Stangenbelegung!$L$5:$L$10004,Stangenbelegung!$E$5:$E$10004,ROW())*$L62)/$C62))</f>
        <v/>
      </c>
      <c r="O62" s="35">
        <f>IF($A62="","",IF($M62="","",MAX(0,$M62-$N62)))</f>
        <v/>
      </c>
      <c r="P62" s="35">
        <f>IF($A62="","",IFERROR(SUMPRODUCT(--("0"&amp;TRIM(RIGHT(SUBSTITUTE(LEFT(";"&amp;SUBSTITUTE(UPPER(Auftrag!$AG62)," ","")&amp;";"&amp;"X"&amp;UPPER(Gewinde!$A$5:$A$54)&amp;";",SEARCH("X"&amp;UPPER(Gewinde!$A$5:$A$54)&amp;";",";"&amp;SUBSTITUTE(UPPER(Auftrag!$AG62)," ","")&amp;";"&amp;"X"&amp;UPPER(Gewinde!$A$5:$A$54)&amp;";")-1),";",REPT(" ",50)),50))),Gewinde!$C$5:$C$54),0))</f>
        <v/>
      </c>
      <c r="Q62" s="33">
        <f>IF($A62="","",(N($O62)+$P62)/3600*N(Auftrag!$H$8))</f>
        <v/>
      </c>
      <c r="R62" s="33">
        <f>IF($A62="","",IF($F$8=0,0,$F$7/$F$8))</f>
        <v/>
      </c>
      <c r="S62" s="33">
        <f>IF($A62="","",$F62*(1+$C$4)+($Q62+$R62)*(1+$C$5))</f>
        <v/>
      </c>
      <c r="T62" s="33">
        <f>IF($A62="","",$S62*(1+$C$6))</f>
        <v/>
      </c>
      <c r="U62" s="18">
        <f>IF($A62="","",$T62*$C62)</f>
        <v/>
      </c>
      <c r="V62" s="18">
        <f>IF($A62="","",$S62*$C62)</f>
        <v/>
      </c>
      <c r="W62" s="28">
        <f>IF($A62="","",IF(N(Auftrag!$AO62)&gt;0,"nicht vollständig eingeplant",IF($D62=0,"kein Schnittplan oder Preis",IF($H62="","keine Schneiddaten",IF(AND(Auftrag!$AF62&lt;&gt;"",Auftrag!$AG62=""),"Gewinde ungeprüft","")))))</f>
        <v/>
      </c>
      <c r="X62" s="18">
        <f>IF($A62="","",$F62*$C62)</f>
        <v/>
      </c>
      <c r="Y62" s="18">
        <f>IF($A62="","",$Q62*$C62)</f>
        <v/>
      </c>
    </row>
    <row r="63">
      <c r="A63" s="25">
        <f>IF(Auftrag!$D63="","",Auftrag!$A63)</f>
        <v/>
      </c>
      <c r="B63" s="25">
        <f>IF($A63="","",Auftrag!$B63)</f>
        <v/>
      </c>
      <c r="C63" s="15">
        <f>IF($A63="","",N(Auftrag!$G63))</f>
        <v/>
      </c>
      <c r="D63" s="18">
        <f>IF($A63="","",SUMIFS(Schnittplan!$R$5:$R$1004,Schnittplan!$B$5:$B$1004,Auftrag!$D63,Schnittplan!$C$5:$C$1004,Auftrag!$E63,Schnittplan!$D$5:$D$1004,Auftrag!$Q63))</f>
        <v/>
      </c>
      <c r="E63" s="32">
        <f>IF($A63="","",IFERROR(N(Auftrag!$P63)/SUMIFS(Auftrag!$P$13:$P$512,Auftrag!$D$13:$D$512,Auftrag!$D63,Auftrag!$E$13:$E$512,Auftrag!$E63,Auftrag!$Q$13:$Q$512,Auftrag!$Q63),0))</f>
        <v/>
      </c>
      <c r="F63" s="33">
        <f>IF($A63="","",IF($C63=0,0,$D63*$E63/$C63))</f>
        <v/>
      </c>
      <c r="G63" s="34">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5">
        <f>IF($A63="","",IF($H63="","",60*((N(Auftrag!$H63)-N(Auftrag!$AI63)-N(Auftrag!$AK63))/$H63+N(Auftrag!$AI63)/$J63+N(Auftrag!$AK63)/$I63+N(Auftrag!$AD63)/$K63)+N(Auftrag!$I63)*$L63))</f>
        <v/>
      </c>
      <c r="N63" s="35">
        <f>IF($A63="","",IF(OR($H63="",$C63=0),0,(60*SUMIFS(Stangenbelegung!$K$5:$K$10004,Stangenbelegung!$E$5:$E$10004,ROW())/$H63+SUMIFS(Stangenbelegung!$L$5:$L$10004,Stangenbelegung!$E$5:$E$10004,ROW())*$L63)/$C63))</f>
        <v/>
      </c>
      <c r="O63" s="35">
        <f>IF($A63="","",IF($M63="","",MAX(0,$M63-$N63)))</f>
        <v/>
      </c>
      <c r="P63" s="35">
        <f>IF($A63="","",IFERROR(SUMPRODUCT(--("0"&amp;TRIM(RIGHT(SUBSTITUTE(LEFT(";"&amp;SUBSTITUTE(UPPER(Auftrag!$AG63)," ","")&amp;";"&amp;"X"&amp;UPPER(Gewinde!$A$5:$A$54)&amp;";",SEARCH("X"&amp;UPPER(Gewinde!$A$5:$A$54)&amp;";",";"&amp;SUBSTITUTE(UPPER(Auftrag!$AG63)," ","")&amp;";"&amp;"X"&amp;UPPER(Gewinde!$A$5:$A$54)&amp;";")-1),";",REPT(" ",50)),50))),Gewinde!$C$5:$C$54),0))</f>
        <v/>
      </c>
      <c r="Q63" s="33">
        <f>IF($A63="","",(N($O63)+$P63)/3600*N(Auftrag!$H$8))</f>
        <v/>
      </c>
      <c r="R63" s="33">
        <f>IF($A63="","",IF($F$8=0,0,$F$7/$F$8))</f>
        <v/>
      </c>
      <c r="S63" s="33">
        <f>IF($A63="","",$F63*(1+$C$4)+($Q63+$R63)*(1+$C$5))</f>
        <v/>
      </c>
      <c r="T63" s="33">
        <f>IF($A63="","",$S63*(1+$C$6))</f>
        <v/>
      </c>
      <c r="U63" s="18">
        <f>IF($A63="","",$T63*$C63)</f>
        <v/>
      </c>
      <c r="V63" s="18">
        <f>IF($A63="","",$S63*$C63)</f>
        <v/>
      </c>
      <c r="W63" s="28">
        <f>IF($A63="","",IF(N(Auftrag!$AO63)&gt;0,"nicht vollständig eingeplant",IF($D63=0,"kein Schnittplan oder Preis",IF($H63="","keine Schneiddaten",IF(AND(Auftrag!$AF63&lt;&gt;"",Auftrag!$AG63=""),"Gewinde ungeprüft","")))))</f>
        <v/>
      </c>
      <c r="X63" s="18">
        <f>IF($A63="","",$F63*$C63)</f>
        <v/>
      </c>
      <c r="Y63" s="18">
        <f>IF($A63="","",$Q63*$C63)</f>
        <v/>
      </c>
    </row>
    <row r="64">
      <c r="A64" s="25">
        <f>IF(Auftrag!$D64="","",Auftrag!$A64)</f>
        <v/>
      </c>
      <c r="B64" s="25">
        <f>IF($A64="","",Auftrag!$B64)</f>
        <v/>
      </c>
      <c r="C64" s="15">
        <f>IF($A64="","",N(Auftrag!$G64))</f>
        <v/>
      </c>
      <c r="D64" s="18">
        <f>IF($A64="","",SUMIFS(Schnittplan!$R$5:$R$1004,Schnittplan!$B$5:$B$1004,Auftrag!$D64,Schnittplan!$C$5:$C$1004,Auftrag!$E64,Schnittplan!$D$5:$D$1004,Auftrag!$Q64))</f>
        <v/>
      </c>
      <c r="E64" s="32">
        <f>IF($A64="","",IFERROR(N(Auftrag!$P64)/SUMIFS(Auftrag!$P$13:$P$512,Auftrag!$D$13:$D$512,Auftrag!$D64,Auftrag!$E$13:$E$512,Auftrag!$E64,Auftrag!$Q$13:$Q$512,Auftrag!$Q64),0))</f>
        <v/>
      </c>
      <c r="F64" s="33">
        <f>IF($A64="","",IF($C64=0,0,$D64*$E64/$C64))</f>
        <v/>
      </c>
      <c r="G64" s="34">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5">
        <f>IF($A64="","",IF($H64="","",60*((N(Auftrag!$H64)-N(Auftrag!$AI64)-N(Auftrag!$AK64))/$H64+N(Auftrag!$AI64)/$J64+N(Auftrag!$AK64)/$I64+N(Auftrag!$AD64)/$K64)+N(Auftrag!$I64)*$L64))</f>
        <v/>
      </c>
      <c r="N64" s="35">
        <f>IF($A64="","",IF(OR($H64="",$C64=0),0,(60*SUMIFS(Stangenbelegung!$K$5:$K$10004,Stangenbelegung!$E$5:$E$10004,ROW())/$H64+SUMIFS(Stangenbelegung!$L$5:$L$10004,Stangenbelegung!$E$5:$E$10004,ROW())*$L64)/$C64))</f>
        <v/>
      </c>
      <c r="O64" s="35">
        <f>IF($A64="","",IF($M64="","",MAX(0,$M64-$N64)))</f>
        <v/>
      </c>
      <c r="P64" s="35">
        <f>IF($A64="","",IFERROR(SUMPRODUCT(--("0"&amp;TRIM(RIGHT(SUBSTITUTE(LEFT(";"&amp;SUBSTITUTE(UPPER(Auftrag!$AG64)," ","")&amp;";"&amp;"X"&amp;UPPER(Gewinde!$A$5:$A$54)&amp;";",SEARCH("X"&amp;UPPER(Gewinde!$A$5:$A$54)&amp;";",";"&amp;SUBSTITUTE(UPPER(Auftrag!$AG64)," ","")&amp;";"&amp;"X"&amp;UPPER(Gewinde!$A$5:$A$54)&amp;";")-1),";",REPT(" ",50)),50))),Gewinde!$C$5:$C$54),0))</f>
        <v/>
      </c>
      <c r="Q64" s="33">
        <f>IF($A64="","",(N($O64)+$P64)/3600*N(Auftrag!$H$8))</f>
        <v/>
      </c>
      <c r="R64" s="33">
        <f>IF($A64="","",IF($F$8=0,0,$F$7/$F$8))</f>
        <v/>
      </c>
      <c r="S64" s="33">
        <f>IF($A64="","",$F64*(1+$C$4)+($Q64+$R64)*(1+$C$5))</f>
        <v/>
      </c>
      <c r="T64" s="33">
        <f>IF($A64="","",$S64*(1+$C$6))</f>
        <v/>
      </c>
      <c r="U64" s="18">
        <f>IF($A64="","",$T64*$C64)</f>
        <v/>
      </c>
      <c r="V64" s="18">
        <f>IF($A64="","",$S64*$C64)</f>
        <v/>
      </c>
      <c r="W64" s="28">
        <f>IF($A64="","",IF(N(Auftrag!$AO64)&gt;0,"nicht vollständig eingeplant",IF($D64=0,"kein Schnittplan oder Preis",IF($H64="","keine Schneiddaten",IF(AND(Auftrag!$AF64&lt;&gt;"",Auftrag!$AG64=""),"Gewinde ungeprüft","")))))</f>
        <v/>
      </c>
      <c r="X64" s="18">
        <f>IF($A64="","",$F64*$C64)</f>
        <v/>
      </c>
      <c r="Y64" s="18">
        <f>IF($A64="","",$Q64*$C64)</f>
        <v/>
      </c>
    </row>
    <row r="65">
      <c r="A65" s="25">
        <f>IF(Auftrag!$D65="","",Auftrag!$A65)</f>
        <v/>
      </c>
      <c r="B65" s="25">
        <f>IF($A65="","",Auftrag!$B65)</f>
        <v/>
      </c>
      <c r="C65" s="15">
        <f>IF($A65="","",N(Auftrag!$G65))</f>
        <v/>
      </c>
      <c r="D65" s="18">
        <f>IF($A65="","",SUMIFS(Schnittplan!$R$5:$R$1004,Schnittplan!$B$5:$B$1004,Auftrag!$D65,Schnittplan!$C$5:$C$1004,Auftrag!$E65,Schnittplan!$D$5:$D$1004,Auftrag!$Q65))</f>
        <v/>
      </c>
      <c r="E65" s="32">
        <f>IF($A65="","",IFERROR(N(Auftrag!$P65)/SUMIFS(Auftrag!$P$13:$P$512,Auftrag!$D$13:$D$512,Auftrag!$D65,Auftrag!$E$13:$E$512,Auftrag!$E65,Auftrag!$Q$13:$Q$512,Auftrag!$Q65),0))</f>
        <v/>
      </c>
      <c r="F65" s="33">
        <f>IF($A65="","",IF($C65=0,0,$D65*$E65/$C65))</f>
        <v/>
      </c>
      <c r="G65" s="34">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5">
        <f>IF($A65="","",IF($H65="","",60*((N(Auftrag!$H65)-N(Auftrag!$AI65)-N(Auftrag!$AK65))/$H65+N(Auftrag!$AI65)/$J65+N(Auftrag!$AK65)/$I65+N(Auftrag!$AD65)/$K65)+N(Auftrag!$I65)*$L65))</f>
        <v/>
      </c>
      <c r="N65" s="35">
        <f>IF($A65="","",IF(OR($H65="",$C65=0),0,(60*SUMIFS(Stangenbelegung!$K$5:$K$10004,Stangenbelegung!$E$5:$E$10004,ROW())/$H65+SUMIFS(Stangenbelegung!$L$5:$L$10004,Stangenbelegung!$E$5:$E$10004,ROW())*$L65)/$C65))</f>
        <v/>
      </c>
      <c r="O65" s="35">
        <f>IF($A65="","",IF($M65="","",MAX(0,$M65-$N65)))</f>
        <v/>
      </c>
      <c r="P65" s="35">
        <f>IF($A65="","",IFERROR(SUMPRODUCT(--("0"&amp;TRIM(RIGHT(SUBSTITUTE(LEFT(";"&amp;SUBSTITUTE(UPPER(Auftrag!$AG65)," ","")&amp;";"&amp;"X"&amp;UPPER(Gewinde!$A$5:$A$54)&amp;";",SEARCH("X"&amp;UPPER(Gewinde!$A$5:$A$54)&amp;";",";"&amp;SUBSTITUTE(UPPER(Auftrag!$AG65)," ","")&amp;";"&amp;"X"&amp;UPPER(Gewinde!$A$5:$A$54)&amp;";")-1),";",REPT(" ",50)),50))),Gewinde!$C$5:$C$54),0))</f>
        <v/>
      </c>
      <c r="Q65" s="33">
        <f>IF($A65="","",(N($O65)+$P65)/3600*N(Auftrag!$H$8))</f>
        <v/>
      </c>
      <c r="R65" s="33">
        <f>IF($A65="","",IF($F$8=0,0,$F$7/$F$8))</f>
        <v/>
      </c>
      <c r="S65" s="33">
        <f>IF($A65="","",$F65*(1+$C$4)+($Q65+$R65)*(1+$C$5))</f>
        <v/>
      </c>
      <c r="T65" s="33">
        <f>IF($A65="","",$S65*(1+$C$6))</f>
        <v/>
      </c>
      <c r="U65" s="18">
        <f>IF($A65="","",$T65*$C65)</f>
        <v/>
      </c>
      <c r="V65" s="18">
        <f>IF($A65="","",$S65*$C65)</f>
        <v/>
      </c>
      <c r="W65" s="28">
        <f>IF($A65="","",IF(N(Auftrag!$AO65)&gt;0,"nicht vollständig eingeplant",IF($D65=0,"kein Schnittplan oder Preis",IF($H65="","keine Schneiddaten",IF(AND(Auftrag!$AF65&lt;&gt;"",Auftrag!$AG65=""),"Gewinde ungeprüft","")))))</f>
        <v/>
      </c>
      <c r="X65" s="18">
        <f>IF($A65="","",$F65*$C65)</f>
        <v/>
      </c>
      <c r="Y65" s="18">
        <f>IF($A65="","",$Q65*$C65)</f>
        <v/>
      </c>
    </row>
    <row r="66">
      <c r="A66" s="25">
        <f>IF(Auftrag!$D66="","",Auftrag!$A66)</f>
        <v/>
      </c>
      <c r="B66" s="25">
        <f>IF($A66="","",Auftrag!$B66)</f>
        <v/>
      </c>
      <c r="C66" s="15">
        <f>IF($A66="","",N(Auftrag!$G66))</f>
        <v/>
      </c>
      <c r="D66" s="18">
        <f>IF($A66="","",SUMIFS(Schnittplan!$R$5:$R$1004,Schnittplan!$B$5:$B$1004,Auftrag!$D66,Schnittplan!$C$5:$C$1004,Auftrag!$E66,Schnittplan!$D$5:$D$1004,Auftrag!$Q66))</f>
        <v/>
      </c>
      <c r="E66" s="32">
        <f>IF($A66="","",IFERROR(N(Auftrag!$P66)/SUMIFS(Auftrag!$P$13:$P$512,Auftrag!$D$13:$D$512,Auftrag!$D66,Auftrag!$E$13:$E$512,Auftrag!$E66,Auftrag!$Q$13:$Q$512,Auftrag!$Q66),0))</f>
        <v/>
      </c>
      <c r="F66" s="33">
        <f>IF($A66="","",IF($C66=0,0,$D66*$E66/$C66))</f>
        <v/>
      </c>
      <c r="G66" s="34">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5">
        <f>IF($A66="","",IF($H66="","",60*((N(Auftrag!$H66)-N(Auftrag!$AI66)-N(Auftrag!$AK66))/$H66+N(Auftrag!$AI66)/$J66+N(Auftrag!$AK66)/$I66+N(Auftrag!$AD66)/$K66)+N(Auftrag!$I66)*$L66))</f>
        <v/>
      </c>
      <c r="N66" s="35">
        <f>IF($A66="","",IF(OR($H66="",$C66=0),0,(60*SUMIFS(Stangenbelegung!$K$5:$K$10004,Stangenbelegung!$E$5:$E$10004,ROW())/$H66+SUMIFS(Stangenbelegung!$L$5:$L$10004,Stangenbelegung!$E$5:$E$10004,ROW())*$L66)/$C66))</f>
        <v/>
      </c>
      <c r="O66" s="35">
        <f>IF($A66="","",IF($M66="","",MAX(0,$M66-$N66)))</f>
        <v/>
      </c>
      <c r="P66" s="35">
        <f>IF($A66="","",IFERROR(SUMPRODUCT(--("0"&amp;TRIM(RIGHT(SUBSTITUTE(LEFT(";"&amp;SUBSTITUTE(UPPER(Auftrag!$AG66)," ","")&amp;";"&amp;"X"&amp;UPPER(Gewinde!$A$5:$A$54)&amp;";",SEARCH("X"&amp;UPPER(Gewinde!$A$5:$A$54)&amp;";",";"&amp;SUBSTITUTE(UPPER(Auftrag!$AG66)," ","")&amp;";"&amp;"X"&amp;UPPER(Gewinde!$A$5:$A$54)&amp;";")-1),";",REPT(" ",50)),50))),Gewinde!$C$5:$C$54),0))</f>
        <v/>
      </c>
      <c r="Q66" s="33">
        <f>IF($A66="","",(N($O66)+$P66)/3600*N(Auftrag!$H$8))</f>
        <v/>
      </c>
      <c r="R66" s="33">
        <f>IF($A66="","",IF($F$8=0,0,$F$7/$F$8))</f>
        <v/>
      </c>
      <c r="S66" s="33">
        <f>IF($A66="","",$F66*(1+$C$4)+($Q66+$R66)*(1+$C$5))</f>
        <v/>
      </c>
      <c r="T66" s="33">
        <f>IF($A66="","",$S66*(1+$C$6))</f>
        <v/>
      </c>
      <c r="U66" s="18">
        <f>IF($A66="","",$T66*$C66)</f>
        <v/>
      </c>
      <c r="V66" s="18">
        <f>IF($A66="","",$S66*$C66)</f>
        <v/>
      </c>
      <c r="W66" s="28">
        <f>IF($A66="","",IF(N(Auftrag!$AO66)&gt;0,"nicht vollständig eingeplant",IF($D66=0,"kein Schnittplan oder Preis",IF($H66="","keine Schneiddaten",IF(AND(Auftrag!$AF66&lt;&gt;"",Auftrag!$AG66=""),"Gewinde ungeprüft","")))))</f>
        <v/>
      </c>
      <c r="X66" s="18">
        <f>IF($A66="","",$F66*$C66)</f>
        <v/>
      </c>
      <c r="Y66" s="18">
        <f>IF($A66="","",$Q66*$C66)</f>
        <v/>
      </c>
    </row>
    <row r="67">
      <c r="A67" s="25">
        <f>IF(Auftrag!$D67="","",Auftrag!$A67)</f>
        <v/>
      </c>
      <c r="B67" s="25">
        <f>IF($A67="","",Auftrag!$B67)</f>
        <v/>
      </c>
      <c r="C67" s="15">
        <f>IF($A67="","",N(Auftrag!$G67))</f>
        <v/>
      </c>
      <c r="D67" s="18">
        <f>IF($A67="","",SUMIFS(Schnittplan!$R$5:$R$1004,Schnittplan!$B$5:$B$1004,Auftrag!$D67,Schnittplan!$C$5:$C$1004,Auftrag!$E67,Schnittplan!$D$5:$D$1004,Auftrag!$Q67))</f>
        <v/>
      </c>
      <c r="E67" s="32">
        <f>IF($A67="","",IFERROR(N(Auftrag!$P67)/SUMIFS(Auftrag!$P$13:$P$512,Auftrag!$D$13:$D$512,Auftrag!$D67,Auftrag!$E$13:$E$512,Auftrag!$E67,Auftrag!$Q$13:$Q$512,Auftrag!$Q67),0))</f>
        <v/>
      </c>
      <c r="F67" s="33">
        <f>IF($A67="","",IF($C67=0,0,$D67*$E67/$C67))</f>
        <v/>
      </c>
      <c r="G67" s="34">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5">
        <f>IF($A67="","",IF($H67="","",60*((N(Auftrag!$H67)-N(Auftrag!$AI67)-N(Auftrag!$AK67))/$H67+N(Auftrag!$AI67)/$J67+N(Auftrag!$AK67)/$I67+N(Auftrag!$AD67)/$K67)+N(Auftrag!$I67)*$L67))</f>
        <v/>
      </c>
      <c r="N67" s="35">
        <f>IF($A67="","",IF(OR($H67="",$C67=0),0,(60*SUMIFS(Stangenbelegung!$K$5:$K$10004,Stangenbelegung!$E$5:$E$10004,ROW())/$H67+SUMIFS(Stangenbelegung!$L$5:$L$10004,Stangenbelegung!$E$5:$E$10004,ROW())*$L67)/$C67))</f>
        <v/>
      </c>
      <c r="O67" s="35">
        <f>IF($A67="","",IF($M67="","",MAX(0,$M67-$N67)))</f>
        <v/>
      </c>
      <c r="P67" s="35">
        <f>IF($A67="","",IFERROR(SUMPRODUCT(--("0"&amp;TRIM(RIGHT(SUBSTITUTE(LEFT(";"&amp;SUBSTITUTE(UPPER(Auftrag!$AG67)," ","")&amp;";"&amp;"X"&amp;UPPER(Gewinde!$A$5:$A$54)&amp;";",SEARCH("X"&amp;UPPER(Gewinde!$A$5:$A$54)&amp;";",";"&amp;SUBSTITUTE(UPPER(Auftrag!$AG67)," ","")&amp;";"&amp;"X"&amp;UPPER(Gewinde!$A$5:$A$54)&amp;";")-1),";",REPT(" ",50)),50))),Gewinde!$C$5:$C$54),0))</f>
        <v/>
      </c>
      <c r="Q67" s="33">
        <f>IF($A67="","",(N($O67)+$P67)/3600*N(Auftrag!$H$8))</f>
        <v/>
      </c>
      <c r="R67" s="33">
        <f>IF($A67="","",IF($F$8=0,0,$F$7/$F$8))</f>
        <v/>
      </c>
      <c r="S67" s="33">
        <f>IF($A67="","",$F67*(1+$C$4)+($Q67+$R67)*(1+$C$5))</f>
        <v/>
      </c>
      <c r="T67" s="33">
        <f>IF($A67="","",$S67*(1+$C$6))</f>
        <v/>
      </c>
      <c r="U67" s="18">
        <f>IF($A67="","",$T67*$C67)</f>
        <v/>
      </c>
      <c r="V67" s="18">
        <f>IF($A67="","",$S67*$C67)</f>
        <v/>
      </c>
      <c r="W67" s="28">
        <f>IF($A67="","",IF(N(Auftrag!$AO67)&gt;0,"nicht vollständig eingeplant",IF($D67=0,"kein Schnittplan oder Preis",IF($H67="","keine Schneiddaten",IF(AND(Auftrag!$AF67&lt;&gt;"",Auftrag!$AG67=""),"Gewinde ungeprüft","")))))</f>
        <v/>
      </c>
      <c r="X67" s="18">
        <f>IF($A67="","",$F67*$C67)</f>
        <v/>
      </c>
      <c r="Y67" s="18">
        <f>IF($A67="","",$Q67*$C67)</f>
        <v/>
      </c>
    </row>
    <row r="68">
      <c r="A68" s="25">
        <f>IF(Auftrag!$D68="","",Auftrag!$A68)</f>
        <v/>
      </c>
      <c r="B68" s="25">
        <f>IF($A68="","",Auftrag!$B68)</f>
        <v/>
      </c>
      <c r="C68" s="15">
        <f>IF($A68="","",N(Auftrag!$G68))</f>
        <v/>
      </c>
      <c r="D68" s="18">
        <f>IF($A68="","",SUMIFS(Schnittplan!$R$5:$R$1004,Schnittplan!$B$5:$B$1004,Auftrag!$D68,Schnittplan!$C$5:$C$1004,Auftrag!$E68,Schnittplan!$D$5:$D$1004,Auftrag!$Q68))</f>
        <v/>
      </c>
      <c r="E68" s="32">
        <f>IF($A68="","",IFERROR(N(Auftrag!$P68)/SUMIFS(Auftrag!$P$13:$P$512,Auftrag!$D$13:$D$512,Auftrag!$D68,Auftrag!$E$13:$E$512,Auftrag!$E68,Auftrag!$Q$13:$Q$512,Auftrag!$Q68),0))</f>
        <v/>
      </c>
      <c r="F68" s="33">
        <f>IF($A68="","",IF($C68=0,0,$D68*$E68/$C68))</f>
        <v/>
      </c>
      <c r="G68" s="34">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5">
        <f>IF($A68="","",IF($H68="","",60*((N(Auftrag!$H68)-N(Auftrag!$AI68)-N(Auftrag!$AK68))/$H68+N(Auftrag!$AI68)/$J68+N(Auftrag!$AK68)/$I68+N(Auftrag!$AD68)/$K68)+N(Auftrag!$I68)*$L68))</f>
        <v/>
      </c>
      <c r="N68" s="35">
        <f>IF($A68="","",IF(OR($H68="",$C68=0),0,(60*SUMIFS(Stangenbelegung!$K$5:$K$10004,Stangenbelegung!$E$5:$E$10004,ROW())/$H68+SUMIFS(Stangenbelegung!$L$5:$L$10004,Stangenbelegung!$E$5:$E$10004,ROW())*$L68)/$C68))</f>
        <v/>
      </c>
      <c r="O68" s="35">
        <f>IF($A68="","",IF($M68="","",MAX(0,$M68-$N68)))</f>
        <v/>
      </c>
      <c r="P68" s="35">
        <f>IF($A68="","",IFERROR(SUMPRODUCT(--("0"&amp;TRIM(RIGHT(SUBSTITUTE(LEFT(";"&amp;SUBSTITUTE(UPPER(Auftrag!$AG68)," ","")&amp;";"&amp;"X"&amp;UPPER(Gewinde!$A$5:$A$54)&amp;";",SEARCH("X"&amp;UPPER(Gewinde!$A$5:$A$54)&amp;";",";"&amp;SUBSTITUTE(UPPER(Auftrag!$AG68)," ","")&amp;";"&amp;"X"&amp;UPPER(Gewinde!$A$5:$A$54)&amp;";")-1),";",REPT(" ",50)),50))),Gewinde!$C$5:$C$54),0))</f>
        <v/>
      </c>
      <c r="Q68" s="33">
        <f>IF($A68="","",(N($O68)+$P68)/3600*N(Auftrag!$H$8))</f>
        <v/>
      </c>
      <c r="R68" s="33">
        <f>IF($A68="","",IF($F$8=0,0,$F$7/$F$8))</f>
        <v/>
      </c>
      <c r="S68" s="33">
        <f>IF($A68="","",$F68*(1+$C$4)+($Q68+$R68)*(1+$C$5))</f>
        <v/>
      </c>
      <c r="T68" s="33">
        <f>IF($A68="","",$S68*(1+$C$6))</f>
        <v/>
      </c>
      <c r="U68" s="18">
        <f>IF($A68="","",$T68*$C68)</f>
        <v/>
      </c>
      <c r="V68" s="18">
        <f>IF($A68="","",$S68*$C68)</f>
        <v/>
      </c>
      <c r="W68" s="28">
        <f>IF($A68="","",IF(N(Auftrag!$AO68)&gt;0,"nicht vollständig eingeplant",IF($D68=0,"kein Schnittplan oder Preis",IF($H68="","keine Schneiddaten",IF(AND(Auftrag!$AF68&lt;&gt;"",Auftrag!$AG68=""),"Gewinde ungeprüft","")))))</f>
        <v/>
      </c>
      <c r="X68" s="18">
        <f>IF($A68="","",$F68*$C68)</f>
        <v/>
      </c>
      <c r="Y68" s="18">
        <f>IF($A68="","",$Q68*$C68)</f>
        <v/>
      </c>
    </row>
    <row r="69">
      <c r="A69" s="25">
        <f>IF(Auftrag!$D69="","",Auftrag!$A69)</f>
        <v/>
      </c>
      <c r="B69" s="25">
        <f>IF($A69="","",Auftrag!$B69)</f>
        <v/>
      </c>
      <c r="C69" s="15">
        <f>IF($A69="","",N(Auftrag!$G69))</f>
        <v/>
      </c>
      <c r="D69" s="18">
        <f>IF($A69="","",SUMIFS(Schnittplan!$R$5:$R$1004,Schnittplan!$B$5:$B$1004,Auftrag!$D69,Schnittplan!$C$5:$C$1004,Auftrag!$E69,Schnittplan!$D$5:$D$1004,Auftrag!$Q69))</f>
        <v/>
      </c>
      <c r="E69" s="32">
        <f>IF($A69="","",IFERROR(N(Auftrag!$P69)/SUMIFS(Auftrag!$P$13:$P$512,Auftrag!$D$13:$D$512,Auftrag!$D69,Auftrag!$E$13:$E$512,Auftrag!$E69,Auftrag!$Q$13:$Q$512,Auftrag!$Q69),0))</f>
        <v/>
      </c>
      <c r="F69" s="33">
        <f>IF($A69="","",IF($C69=0,0,$D69*$E69/$C69))</f>
        <v/>
      </c>
      <c r="G69" s="34">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5">
        <f>IF($A69="","",IF($H69="","",60*((N(Auftrag!$H69)-N(Auftrag!$AI69)-N(Auftrag!$AK69))/$H69+N(Auftrag!$AI69)/$J69+N(Auftrag!$AK69)/$I69+N(Auftrag!$AD69)/$K69)+N(Auftrag!$I69)*$L69))</f>
        <v/>
      </c>
      <c r="N69" s="35">
        <f>IF($A69="","",IF(OR($H69="",$C69=0),0,(60*SUMIFS(Stangenbelegung!$K$5:$K$10004,Stangenbelegung!$E$5:$E$10004,ROW())/$H69+SUMIFS(Stangenbelegung!$L$5:$L$10004,Stangenbelegung!$E$5:$E$10004,ROW())*$L69)/$C69))</f>
        <v/>
      </c>
      <c r="O69" s="35">
        <f>IF($A69="","",IF($M69="","",MAX(0,$M69-$N69)))</f>
        <v/>
      </c>
      <c r="P69" s="35">
        <f>IF($A69="","",IFERROR(SUMPRODUCT(--("0"&amp;TRIM(RIGHT(SUBSTITUTE(LEFT(";"&amp;SUBSTITUTE(UPPER(Auftrag!$AG69)," ","")&amp;";"&amp;"X"&amp;UPPER(Gewinde!$A$5:$A$54)&amp;";",SEARCH("X"&amp;UPPER(Gewinde!$A$5:$A$54)&amp;";",";"&amp;SUBSTITUTE(UPPER(Auftrag!$AG69)," ","")&amp;";"&amp;"X"&amp;UPPER(Gewinde!$A$5:$A$54)&amp;";")-1),";",REPT(" ",50)),50))),Gewinde!$C$5:$C$54),0))</f>
        <v/>
      </c>
      <c r="Q69" s="33">
        <f>IF($A69="","",(N($O69)+$P69)/3600*N(Auftrag!$H$8))</f>
        <v/>
      </c>
      <c r="R69" s="33">
        <f>IF($A69="","",IF($F$8=0,0,$F$7/$F$8))</f>
        <v/>
      </c>
      <c r="S69" s="33">
        <f>IF($A69="","",$F69*(1+$C$4)+($Q69+$R69)*(1+$C$5))</f>
        <v/>
      </c>
      <c r="T69" s="33">
        <f>IF($A69="","",$S69*(1+$C$6))</f>
        <v/>
      </c>
      <c r="U69" s="18">
        <f>IF($A69="","",$T69*$C69)</f>
        <v/>
      </c>
      <c r="V69" s="18">
        <f>IF($A69="","",$S69*$C69)</f>
        <v/>
      </c>
      <c r="W69" s="28">
        <f>IF($A69="","",IF(N(Auftrag!$AO69)&gt;0,"nicht vollständig eingeplant",IF($D69=0,"kein Schnittplan oder Preis",IF($H69="","keine Schneiddaten",IF(AND(Auftrag!$AF69&lt;&gt;"",Auftrag!$AG69=""),"Gewinde ungeprüft","")))))</f>
        <v/>
      </c>
      <c r="X69" s="18">
        <f>IF($A69="","",$F69*$C69)</f>
        <v/>
      </c>
      <c r="Y69" s="18">
        <f>IF($A69="","",$Q69*$C69)</f>
        <v/>
      </c>
    </row>
    <row r="70">
      <c r="A70" s="25">
        <f>IF(Auftrag!$D70="","",Auftrag!$A70)</f>
        <v/>
      </c>
      <c r="B70" s="25">
        <f>IF($A70="","",Auftrag!$B70)</f>
        <v/>
      </c>
      <c r="C70" s="15">
        <f>IF($A70="","",N(Auftrag!$G70))</f>
        <v/>
      </c>
      <c r="D70" s="18">
        <f>IF($A70="","",SUMIFS(Schnittplan!$R$5:$R$1004,Schnittplan!$B$5:$B$1004,Auftrag!$D70,Schnittplan!$C$5:$C$1004,Auftrag!$E70,Schnittplan!$D$5:$D$1004,Auftrag!$Q70))</f>
        <v/>
      </c>
      <c r="E70" s="32">
        <f>IF($A70="","",IFERROR(N(Auftrag!$P70)/SUMIFS(Auftrag!$P$13:$P$512,Auftrag!$D$13:$D$512,Auftrag!$D70,Auftrag!$E$13:$E$512,Auftrag!$E70,Auftrag!$Q$13:$Q$512,Auftrag!$Q70),0))</f>
        <v/>
      </c>
      <c r="F70" s="33">
        <f>IF($A70="","",IF($C70=0,0,$D70*$E70/$C70))</f>
        <v/>
      </c>
      <c r="G70" s="34">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5">
        <f>IF($A70="","",IF($H70="","",60*((N(Auftrag!$H70)-N(Auftrag!$AI70)-N(Auftrag!$AK70))/$H70+N(Auftrag!$AI70)/$J70+N(Auftrag!$AK70)/$I70+N(Auftrag!$AD70)/$K70)+N(Auftrag!$I70)*$L70))</f>
        <v/>
      </c>
      <c r="N70" s="35">
        <f>IF($A70="","",IF(OR($H70="",$C70=0),0,(60*SUMIFS(Stangenbelegung!$K$5:$K$10004,Stangenbelegung!$E$5:$E$10004,ROW())/$H70+SUMIFS(Stangenbelegung!$L$5:$L$10004,Stangenbelegung!$E$5:$E$10004,ROW())*$L70)/$C70))</f>
        <v/>
      </c>
      <c r="O70" s="35">
        <f>IF($A70="","",IF($M70="","",MAX(0,$M70-$N70)))</f>
        <v/>
      </c>
      <c r="P70" s="35">
        <f>IF($A70="","",IFERROR(SUMPRODUCT(--("0"&amp;TRIM(RIGHT(SUBSTITUTE(LEFT(";"&amp;SUBSTITUTE(UPPER(Auftrag!$AG70)," ","")&amp;";"&amp;"X"&amp;UPPER(Gewinde!$A$5:$A$54)&amp;";",SEARCH("X"&amp;UPPER(Gewinde!$A$5:$A$54)&amp;";",";"&amp;SUBSTITUTE(UPPER(Auftrag!$AG70)," ","")&amp;";"&amp;"X"&amp;UPPER(Gewinde!$A$5:$A$54)&amp;";")-1),";",REPT(" ",50)),50))),Gewinde!$C$5:$C$54),0))</f>
        <v/>
      </c>
      <c r="Q70" s="33">
        <f>IF($A70="","",(N($O70)+$P70)/3600*N(Auftrag!$H$8))</f>
        <v/>
      </c>
      <c r="R70" s="33">
        <f>IF($A70="","",IF($F$8=0,0,$F$7/$F$8))</f>
        <v/>
      </c>
      <c r="S70" s="33">
        <f>IF($A70="","",$F70*(1+$C$4)+($Q70+$R70)*(1+$C$5))</f>
        <v/>
      </c>
      <c r="T70" s="33">
        <f>IF($A70="","",$S70*(1+$C$6))</f>
        <v/>
      </c>
      <c r="U70" s="18">
        <f>IF($A70="","",$T70*$C70)</f>
        <v/>
      </c>
      <c r="V70" s="18">
        <f>IF($A70="","",$S70*$C70)</f>
        <v/>
      </c>
      <c r="W70" s="28">
        <f>IF($A70="","",IF(N(Auftrag!$AO70)&gt;0,"nicht vollständig eingeplant",IF($D70=0,"kein Schnittplan oder Preis",IF($H70="","keine Schneiddaten",IF(AND(Auftrag!$AF70&lt;&gt;"",Auftrag!$AG70=""),"Gewinde ungeprüft","")))))</f>
        <v/>
      </c>
      <c r="X70" s="18">
        <f>IF($A70="","",$F70*$C70)</f>
        <v/>
      </c>
      <c r="Y70" s="18">
        <f>IF($A70="","",$Q70*$C70)</f>
        <v/>
      </c>
    </row>
    <row r="71">
      <c r="A71" s="25">
        <f>IF(Auftrag!$D71="","",Auftrag!$A71)</f>
        <v/>
      </c>
      <c r="B71" s="25">
        <f>IF($A71="","",Auftrag!$B71)</f>
        <v/>
      </c>
      <c r="C71" s="15">
        <f>IF($A71="","",N(Auftrag!$G71))</f>
        <v/>
      </c>
      <c r="D71" s="18">
        <f>IF($A71="","",SUMIFS(Schnittplan!$R$5:$R$1004,Schnittplan!$B$5:$B$1004,Auftrag!$D71,Schnittplan!$C$5:$C$1004,Auftrag!$E71,Schnittplan!$D$5:$D$1004,Auftrag!$Q71))</f>
        <v/>
      </c>
      <c r="E71" s="32">
        <f>IF($A71="","",IFERROR(N(Auftrag!$P71)/SUMIFS(Auftrag!$P$13:$P$512,Auftrag!$D$13:$D$512,Auftrag!$D71,Auftrag!$E$13:$E$512,Auftrag!$E71,Auftrag!$Q$13:$Q$512,Auftrag!$Q71),0))</f>
        <v/>
      </c>
      <c r="F71" s="33">
        <f>IF($A71="","",IF($C71=0,0,$D71*$E71/$C71))</f>
        <v/>
      </c>
      <c r="G71" s="34">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5">
        <f>IF($A71="","",IF($H71="","",60*((N(Auftrag!$H71)-N(Auftrag!$AI71)-N(Auftrag!$AK71))/$H71+N(Auftrag!$AI71)/$J71+N(Auftrag!$AK71)/$I71+N(Auftrag!$AD71)/$K71)+N(Auftrag!$I71)*$L71))</f>
        <v/>
      </c>
      <c r="N71" s="35">
        <f>IF($A71="","",IF(OR($H71="",$C71=0),0,(60*SUMIFS(Stangenbelegung!$K$5:$K$10004,Stangenbelegung!$E$5:$E$10004,ROW())/$H71+SUMIFS(Stangenbelegung!$L$5:$L$10004,Stangenbelegung!$E$5:$E$10004,ROW())*$L71)/$C71))</f>
        <v/>
      </c>
      <c r="O71" s="35">
        <f>IF($A71="","",IF($M71="","",MAX(0,$M71-$N71)))</f>
        <v/>
      </c>
      <c r="P71" s="35">
        <f>IF($A71="","",IFERROR(SUMPRODUCT(--("0"&amp;TRIM(RIGHT(SUBSTITUTE(LEFT(";"&amp;SUBSTITUTE(UPPER(Auftrag!$AG71)," ","")&amp;";"&amp;"X"&amp;UPPER(Gewinde!$A$5:$A$54)&amp;";",SEARCH("X"&amp;UPPER(Gewinde!$A$5:$A$54)&amp;";",";"&amp;SUBSTITUTE(UPPER(Auftrag!$AG71)," ","")&amp;";"&amp;"X"&amp;UPPER(Gewinde!$A$5:$A$54)&amp;";")-1),";",REPT(" ",50)),50))),Gewinde!$C$5:$C$54),0))</f>
        <v/>
      </c>
      <c r="Q71" s="33">
        <f>IF($A71="","",(N($O71)+$P71)/3600*N(Auftrag!$H$8))</f>
        <v/>
      </c>
      <c r="R71" s="33">
        <f>IF($A71="","",IF($F$8=0,0,$F$7/$F$8))</f>
        <v/>
      </c>
      <c r="S71" s="33">
        <f>IF($A71="","",$F71*(1+$C$4)+($Q71+$R71)*(1+$C$5))</f>
        <v/>
      </c>
      <c r="T71" s="33">
        <f>IF($A71="","",$S71*(1+$C$6))</f>
        <v/>
      </c>
      <c r="U71" s="18">
        <f>IF($A71="","",$T71*$C71)</f>
        <v/>
      </c>
      <c r="V71" s="18">
        <f>IF($A71="","",$S71*$C71)</f>
        <v/>
      </c>
      <c r="W71" s="28">
        <f>IF($A71="","",IF(N(Auftrag!$AO71)&gt;0,"nicht vollständig eingeplant",IF($D71=0,"kein Schnittplan oder Preis",IF($H71="","keine Schneiddaten",IF(AND(Auftrag!$AF71&lt;&gt;"",Auftrag!$AG71=""),"Gewinde ungeprüft","")))))</f>
        <v/>
      </c>
      <c r="X71" s="18">
        <f>IF($A71="","",$F71*$C71)</f>
        <v/>
      </c>
      <c r="Y71" s="18">
        <f>IF($A71="","",$Q71*$C71)</f>
        <v/>
      </c>
    </row>
    <row r="72">
      <c r="A72" s="25">
        <f>IF(Auftrag!$D72="","",Auftrag!$A72)</f>
        <v/>
      </c>
      <c r="B72" s="25">
        <f>IF($A72="","",Auftrag!$B72)</f>
        <v/>
      </c>
      <c r="C72" s="15">
        <f>IF($A72="","",N(Auftrag!$G72))</f>
        <v/>
      </c>
      <c r="D72" s="18">
        <f>IF($A72="","",SUMIFS(Schnittplan!$R$5:$R$1004,Schnittplan!$B$5:$B$1004,Auftrag!$D72,Schnittplan!$C$5:$C$1004,Auftrag!$E72,Schnittplan!$D$5:$D$1004,Auftrag!$Q72))</f>
        <v/>
      </c>
      <c r="E72" s="32">
        <f>IF($A72="","",IFERROR(N(Auftrag!$P72)/SUMIFS(Auftrag!$P$13:$P$512,Auftrag!$D$13:$D$512,Auftrag!$D72,Auftrag!$E$13:$E$512,Auftrag!$E72,Auftrag!$Q$13:$Q$512,Auftrag!$Q72),0))</f>
        <v/>
      </c>
      <c r="F72" s="33">
        <f>IF($A72="","",IF($C72=0,0,$D72*$E72/$C72))</f>
        <v/>
      </c>
      <c r="G72" s="34">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5">
        <f>IF($A72="","",IF($H72="","",60*((N(Auftrag!$H72)-N(Auftrag!$AI72)-N(Auftrag!$AK72))/$H72+N(Auftrag!$AI72)/$J72+N(Auftrag!$AK72)/$I72+N(Auftrag!$AD72)/$K72)+N(Auftrag!$I72)*$L72))</f>
        <v/>
      </c>
      <c r="N72" s="35">
        <f>IF($A72="","",IF(OR($H72="",$C72=0),0,(60*SUMIFS(Stangenbelegung!$K$5:$K$10004,Stangenbelegung!$E$5:$E$10004,ROW())/$H72+SUMIFS(Stangenbelegung!$L$5:$L$10004,Stangenbelegung!$E$5:$E$10004,ROW())*$L72)/$C72))</f>
        <v/>
      </c>
      <c r="O72" s="35">
        <f>IF($A72="","",IF($M72="","",MAX(0,$M72-$N72)))</f>
        <v/>
      </c>
      <c r="P72" s="35">
        <f>IF($A72="","",IFERROR(SUMPRODUCT(--("0"&amp;TRIM(RIGHT(SUBSTITUTE(LEFT(";"&amp;SUBSTITUTE(UPPER(Auftrag!$AG72)," ","")&amp;";"&amp;"X"&amp;UPPER(Gewinde!$A$5:$A$54)&amp;";",SEARCH("X"&amp;UPPER(Gewinde!$A$5:$A$54)&amp;";",";"&amp;SUBSTITUTE(UPPER(Auftrag!$AG72)," ","")&amp;";"&amp;"X"&amp;UPPER(Gewinde!$A$5:$A$54)&amp;";")-1),";",REPT(" ",50)),50))),Gewinde!$C$5:$C$54),0))</f>
        <v/>
      </c>
      <c r="Q72" s="33">
        <f>IF($A72="","",(N($O72)+$P72)/3600*N(Auftrag!$H$8))</f>
        <v/>
      </c>
      <c r="R72" s="33">
        <f>IF($A72="","",IF($F$8=0,0,$F$7/$F$8))</f>
        <v/>
      </c>
      <c r="S72" s="33">
        <f>IF($A72="","",$F72*(1+$C$4)+($Q72+$R72)*(1+$C$5))</f>
        <v/>
      </c>
      <c r="T72" s="33">
        <f>IF($A72="","",$S72*(1+$C$6))</f>
        <v/>
      </c>
      <c r="U72" s="18">
        <f>IF($A72="","",$T72*$C72)</f>
        <v/>
      </c>
      <c r="V72" s="18">
        <f>IF($A72="","",$S72*$C72)</f>
        <v/>
      </c>
      <c r="W72" s="28">
        <f>IF($A72="","",IF(N(Auftrag!$AO72)&gt;0,"nicht vollständig eingeplant",IF($D72=0,"kein Schnittplan oder Preis",IF($H72="","keine Schneiddaten",IF(AND(Auftrag!$AF72&lt;&gt;"",Auftrag!$AG72=""),"Gewinde ungeprüft","")))))</f>
        <v/>
      </c>
      <c r="X72" s="18">
        <f>IF($A72="","",$F72*$C72)</f>
        <v/>
      </c>
      <c r="Y72" s="18">
        <f>IF($A72="","",$Q72*$C72)</f>
        <v/>
      </c>
    </row>
    <row r="73">
      <c r="A73" s="25">
        <f>IF(Auftrag!$D73="","",Auftrag!$A73)</f>
        <v/>
      </c>
      <c r="B73" s="25">
        <f>IF($A73="","",Auftrag!$B73)</f>
        <v/>
      </c>
      <c r="C73" s="15">
        <f>IF($A73="","",N(Auftrag!$G73))</f>
        <v/>
      </c>
      <c r="D73" s="18">
        <f>IF($A73="","",SUMIFS(Schnittplan!$R$5:$R$1004,Schnittplan!$B$5:$B$1004,Auftrag!$D73,Schnittplan!$C$5:$C$1004,Auftrag!$E73,Schnittplan!$D$5:$D$1004,Auftrag!$Q73))</f>
        <v/>
      </c>
      <c r="E73" s="32">
        <f>IF($A73="","",IFERROR(N(Auftrag!$P73)/SUMIFS(Auftrag!$P$13:$P$512,Auftrag!$D$13:$D$512,Auftrag!$D73,Auftrag!$E$13:$E$512,Auftrag!$E73,Auftrag!$Q$13:$Q$512,Auftrag!$Q73),0))</f>
        <v/>
      </c>
      <c r="F73" s="33">
        <f>IF($A73="","",IF($C73=0,0,$D73*$E73/$C73))</f>
        <v/>
      </c>
      <c r="G73" s="34">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5">
        <f>IF($A73="","",IF($H73="","",60*((N(Auftrag!$H73)-N(Auftrag!$AI73)-N(Auftrag!$AK73))/$H73+N(Auftrag!$AI73)/$J73+N(Auftrag!$AK73)/$I73+N(Auftrag!$AD73)/$K73)+N(Auftrag!$I73)*$L73))</f>
        <v/>
      </c>
      <c r="N73" s="35">
        <f>IF($A73="","",IF(OR($H73="",$C73=0),0,(60*SUMIFS(Stangenbelegung!$K$5:$K$10004,Stangenbelegung!$E$5:$E$10004,ROW())/$H73+SUMIFS(Stangenbelegung!$L$5:$L$10004,Stangenbelegung!$E$5:$E$10004,ROW())*$L73)/$C73))</f>
        <v/>
      </c>
      <c r="O73" s="35">
        <f>IF($A73="","",IF($M73="","",MAX(0,$M73-$N73)))</f>
        <v/>
      </c>
      <c r="P73" s="35">
        <f>IF($A73="","",IFERROR(SUMPRODUCT(--("0"&amp;TRIM(RIGHT(SUBSTITUTE(LEFT(";"&amp;SUBSTITUTE(UPPER(Auftrag!$AG73)," ","")&amp;";"&amp;"X"&amp;UPPER(Gewinde!$A$5:$A$54)&amp;";",SEARCH("X"&amp;UPPER(Gewinde!$A$5:$A$54)&amp;";",";"&amp;SUBSTITUTE(UPPER(Auftrag!$AG73)," ","")&amp;";"&amp;"X"&amp;UPPER(Gewinde!$A$5:$A$54)&amp;";")-1),";",REPT(" ",50)),50))),Gewinde!$C$5:$C$54),0))</f>
        <v/>
      </c>
      <c r="Q73" s="33">
        <f>IF($A73="","",(N($O73)+$P73)/3600*N(Auftrag!$H$8))</f>
        <v/>
      </c>
      <c r="R73" s="33">
        <f>IF($A73="","",IF($F$8=0,0,$F$7/$F$8))</f>
        <v/>
      </c>
      <c r="S73" s="33">
        <f>IF($A73="","",$F73*(1+$C$4)+($Q73+$R73)*(1+$C$5))</f>
        <v/>
      </c>
      <c r="T73" s="33">
        <f>IF($A73="","",$S73*(1+$C$6))</f>
        <v/>
      </c>
      <c r="U73" s="18">
        <f>IF($A73="","",$T73*$C73)</f>
        <v/>
      </c>
      <c r="V73" s="18">
        <f>IF($A73="","",$S73*$C73)</f>
        <v/>
      </c>
      <c r="W73" s="28">
        <f>IF($A73="","",IF(N(Auftrag!$AO73)&gt;0,"nicht vollständig eingeplant",IF($D73=0,"kein Schnittplan oder Preis",IF($H73="","keine Schneiddaten",IF(AND(Auftrag!$AF73&lt;&gt;"",Auftrag!$AG73=""),"Gewinde ungeprüft","")))))</f>
        <v/>
      </c>
      <c r="X73" s="18">
        <f>IF($A73="","",$F73*$C73)</f>
        <v/>
      </c>
      <c r="Y73" s="18">
        <f>IF($A73="","",$Q73*$C73)</f>
        <v/>
      </c>
    </row>
    <row r="74">
      <c r="A74" s="25">
        <f>IF(Auftrag!$D74="","",Auftrag!$A74)</f>
        <v/>
      </c>
      <c r="B74" s="25">
        <f>IF($A74="","",Auftrag!$B74)</f>
        <v/>
      </c>
      <c r="C74" s="15">
        <f>IF($A74="","",N(Auftrag!$G74))</f>
        <v/>
      </c>
      <c r="D74" s="18">
        <f>IF($A74="","",SUMIFS(Schnittplan!$R$5:$R$1004,Schnittplan!$B$5:$B$1004,Auftrag!$D74,Schnittplan!$C$5:$C$1004,Auftrag!$E74,Schnittplan!$D$5:$D$1004,Auftrag!$Q74))</f>
        <v/>
      </c>
      <c r="E74" s="32">
        <f>IF($A74="","",IFERROR(N(Auftrag!$P74)/SUMIFS(Auftrag!$P$13:$P$512,Auftrag!$D$13:$D$512,Auftrag!$D74,Auftrag!$E$13:$E$512,Auftrag!$E74,Auftrag!$Q$13:$Q$512,Auftrag!$Q74),0))</f>
        <v/>
      </c>
      <c r="F74" s="33">
        <f>IF($A74="","",IF($C74=0,0,$D74*$E74/$C74))</f>
        <v/>
      </c>
      <c r="G74" s="34">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5">
        <f>IF($A74="","",IF($H74="","",60*((N(Auftrag!$H74)-N(Auftrag!$AI74)-N(Auftrag!$AK74))/$H74+N(Auftrag!$AI74)/$J74+N(Auftrag!$AK74)/$I74+N(Auftrag!$AD74)/$K74)+N(Auftrag!$I74)*$L74))</f>
        <v/>
      </c>
      <c r="N74" s="35">
        <f>IF($A74="","",IF(OR($H74="",$C74=0),0,(60*SUMIFS(Stangenbelegung!$K$5:$K$10004,Stangenbelegung!$E$5:$E$10004,ROW())/$H74+SUMIFS(Stangenbelegung!$L$5:$L$10004,Stangenbelegung!$E$5:$E$10004,ROW())*$L74)/$C74))</f>
        <v/>
      </c>
      <c r="O74" s="35">
        <f>IF($A74="","",IF($M74="","",MAX(0,$M74-$N74)))</f>
        <v/>
      </c>
      <c r="P74" s="35">
        <f>IF($A74="","",IFERROR(SUMPRODUCT(--("0"&amp;TRIM(RIGHT(SUBSTITUTE(LEFT(";"&amp;SUBSTITUTE(UPPER(Auftrag!$AG74)," ","")&amp;";"&amp;"X"&amp;UPPER(Gewinde!$A$5:$A$54)&amp;";",SEARCH("X"&amp;UPPER(Gewinde!$A$5:$A$54)&amp;";",";"&amp;SUBSTITUTE(UPPER(Auftrag!$AG74)," ","")&amp;";"&amp;"X"&amp;UPPER(Gewinde!$A$5:$A$54)&amp;";")-1),";",REPT(" ",50)),50))),Gewinde!$C$5:$C$54),0))</f>
        <v/>
      </c>
      <c r="Q74" s="33">
        <f>IF($A74="","",(N($O74)+$P74)/3600*N(Auftrag!$H$8))</f>
        <v/>
      </c>
      <c r="R74" s="33">
        <f>IF($A74="","",IF($F$8=0,0,$F$7/$F$8))</f>
        <v/>
      </c>
      <c r="S74" s="33">
        <f>IF($A74="","",$F74*(1+$C$4)+($Q74+$R74)*(1+$C$5))</f>
        <v/>
      </c>
      <c r="T74" s="33">
        <f>IF($A74="","",$S74*(1+$C$6))</f>
        <v/>
      </c>
      <c r="U74" s="18">
        <f>IF($A74="","",$T74*$C74)</f>
        <v/>
      </c>
      <c r="V74" s="18">
        <f>IF($A74="","",$S74*$C74)</f>
        <v/>
      </c>
      <c r="W74" s="28">
        <f>IF($A74="","",IF(N(Auftrag!$AO74)&gt;0,"nicht vollständig eingeplant",IF($D74=0,"kein Schnittplan oder Preis",IF($H74="","keine Schneiddaten",IF(AND(Auftrag!$AF74&lt;&gt;"",Auftrag!$AG74=""),"Gewinde ungeprüft","")))))</f>
        <v/>
      </c>
      <c r="X74" s="18">
        <f>IF($A74="","",$F74*$C74)</f>
        <v/>
      </c>
      <c r="Y74" s="18">
        <f>IF($A74="","",$Q74*$C74)</f>
        <v/>
      </c>
    </row>
    <row r="75">
      <c r="A75" s="25">
        <f>IF(Auftrag!$D75="","",Auftrag!$A75)</f>
        <v/>
      </c>
      <c r="B75" s="25">
        <f>IF($A75="","",Auftrag!$B75)</f>
        <v/>
      </c>
      <c r="C75" s="15">
        <f>IF($A75="","",N(Auftrag!$G75))</f>
        <v/>
      </c>
      <c r="D75" s="18">
        <f>IF($A75="","",SUMIFS(Schnittplan!$R$5:$R$1004,Schnittplan!$B$5:$B$1004,Auftrag!$D75,Schnittplan!$C$5:$C$1004,Auftrag!$E75,Schnittplan!$D$5:$D$1004,Auftrag!$Q75))</f>
        <v/>
      </c>
      <c r="E75" s="32">
        <f>IF($A75="","",IFERROR(N(Auftrag!$P75)/SUMIFS(Auftrag!$P$13:$P$512,Auftrag!$D$13:$D$512,Auftrag!$D75,Auftrag!$E$13:$E$512,Auftrag!$E75,Auftrag!$Q$13:$Q$512,Auftrag!$Q75),0))</f>
        <v/>
      </c>
      <c r="F75" s="33">
        <f>IF($A75="","",IF($C75=0,0,$D75*$E75/$C75))</f>
        <v/>
      </c>
      <c r="G75" s="34">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5">
        <f>IF($A75="","",IF($H75="","",60*((N(Auftrag!$H75)-N(Auftrag!$AI75)-N(Auftrag!$AK75))/$H75+N(Auftrag!$AI75)/$J75+N(Auftrag!$AK75)/$I75+N(Auftrag!$AD75)/$K75)+N(Auftrag!$I75)*$L75))</f>
        <v/>
      </c>
      <c r="N75" s="35">
        <f>IF($A75="","",IF(OR($H75="",$C75=0),0,(60*SUMIFS(Stangenbelegung!$K$5:$K$10004,Stangenbelegung!$E$5:$E$10004,ROW())/$H75+SUMIFS(Stangenbelegung!$L$5:$L$10004,Stangenbelegung!$E$5:$E$10004,ROW())*$L75)/$C75))</f>
        <v/>
      </c>
      <c r="O75" s="35">
        <f>IF($A75="","",IF($M75="","",MAX(0,$M75-$N75)))</f>
        <v/>
      </c>
      <c r="P75" s="35">
        <f>IF($A75="","",IFERROR(SUMPRODUCT(--("0"&amp;TRIM(RIGHT(SUBSTITUTE(LEFT(";"&amp;SUBSTITUTE(UPPER(Auftrag!$AG75)," ","")&amp;";"&amp;"X"&amp;UPPER(Gewinde!$A$5:$A$54)&amp;";",SEARCH("X"&amp;UPPER(Gewinde!$A$5:$A$54)&amp;";",";"&amp;SUBSTITUTE(UPPER(Auftrag!$AG75)," ","")&amp;";"&amp;"X"&amp;UPPER(Gewinde!$A$5:$A$54)&amp;";")-1),";",REPT(" ",50)),50))),Gewinde!$C$5:$C$54),0))</f>
        <v/>
      </c>
      <c r="Q75" s="33">
        <f>IF($A75="","",(N($O75)+$P75)/3600*N(Auftrag!$H$8))</f>
        <v/>
      </c>
      <c r="R75" s="33">
        <f>IF($A75="","",IF($F$8=0,0,$F$7/$F$8))</f>
        <v/>
      </c>
      <c r="S75" s="33">
        <f>IF($A75="","",$F75*(1+$C$4)+($Q75+$R75)*(1+$C$5))</f>
        <v/>
      </c>
      <c r="T75" s="33">
        <f>IF($A75="","",$S75*(1+$C$6))</f>
        <v/>
      </c>
      <c r="U75" s="18">
        <f>IF($A75="","",$T75*$C75)</f>
        <v/>
      </c>
      <c r="V75" s="18">
        <f>IF($A75="","",$S75*$C75)</f>
        <v/>
      </c>
      <c r="W75" s="28">
        <f>IF($A75="","",IF(N(Auftrag!$AO75)&gt;0,"nicht vollständig eingeplant",IF($D75=0,"kein Schnittplan oder Preis",IF($H75="","keine Schneiddaten",IF(AND(Auftrag!$AF75&lt;&gt;"",Auftrag!$AG75=""),"Gewinde ungeprüft","")))))</f>
        <v/>
      </c>
      <c r="X75" s="18">
        <f>IF($A75="","",$F75*$C75)</f>
        <v/>
      </c>
      <c r="Y75" s="18">
        <f>IF($A75="","",$Q75*$C75)</f>
        <v/>
      </c>
    </row>
    <row r="76">
      <c r="A76" s="25">
        <f>IF(Auftrag!$D76="","",Auftrag!$A76)</f>
        <v/>
      </c>
      <c r="B76" s="25">
        <f>IF($A76="","",Auftrag!$B76)</f>
        <v/>
      </c>
      <c r="C76" s="15">
        <f>IF($A76="","",N(Auftrag!$G76))</f>
        <v/>
      </c>
      <c r="D76" s="18">
        <f>IF($A76="","",SUMIFS(Schnittplan!$R$5:$R$1004,Schnittplan!$B$5:$B$1004,Auftrag!$D76,Schnittplan!$C$5:$C$1004,Auftrag!$E76,Schnittplan!$D$5:$D$1004,Auftrag!$Q76))</f>
        <v/>
      </c>
      <c r="E76" s="32">
        <f>IF($A76="","",IFERROR(N(Auftrag!$P76)/SUMIFS(Auftrag!$P$13:$P$512,Auftrag!$D$13:$D$512,Auftrag!$D76,Auftrag!$E$13:$E$512,Auftrag!$E76,Auftrag!$Q$13:$Q$512,Auftrag!$Q76),0))</f>
        <v/>
      </c>
      <c r="F76" s="33">
        <f>IF($A76="","",IF($C76=0,0,$D76*$E76/$C76))</f>
        <v/>
      </c>
      <c r="G76" s="34">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5">
        <f>IF($A76="","",IF($H76="","",60*((N(Auftrag!$H76)-N(Auftrag!$AI76)-N(Auftrag!$AK76))/$H76+N(Auftrag!$AI76)/$J76+N(Auftrag!$AK76)/$I76+N(Auftrag!$AD76)/$K76)+N(Auftrag!$I76)*$L76))</f>
        <v/>
      </c>
      <c r="N76" s="35">
        <f>IF($A76="","",IF(OR($H76="",$C76=0),0,(60*SUMIFS(Stangenbelegung!$K$5:$K$10004,Stangenbelegung!$E$5:$E$10004,ROW())/$H76+SUMIFS(Stangenbelegung!$L$5:$L$10004,Stangenbelegung!$E$5:$E$10004,ROW())*$L76)/$C76))</f>
        <v/>
      </c>
      <c r="O76" s="35">
        <f>IF($A76="","",IF($M76="","",MAX(0,$M76-$N76)))</f>
        <v/>
      </c>
      <c r="P76" s="35">
        <f>IF($A76="","",IFERROR(SUMPRODUCT(--("0"&amp;TRIM(RIGHT(SUBSTITUTE(LEFT(";"&amp;SUBSTITUTE(UPPER(Auftrag!$AG76)," ","")&amp;";"&amp;"X"&amp;UPPER(Gewinde!$A$5:$A$54)&amp;";",SEARCH("X"&amp;UPPER(Gewinde!$A$5:$A$54)&amp;";",";"&amp;SUBSTITUTE(UPPER(Auftrag!$AG76)," ","")&amp;";"&amp;"X"&amp;UPPER(Gewinde!$A$5:$A$54)&amp;";")-1),";",REPT(" ",50)),50))),Gewinde!$C$5:$C$54),0))</f>
        <v/>
      </c>
      <c r="Q76" s="33">
        <f>IF($A76="","",(N($O76)+$P76)/3600*N(Auftrag!$H$8))</f>
        <v/>
      </c>
      <c r="R76" s="33">
        <f>IF($A76="","",IF($F$8=0,0,$F$7/$F$8))</f>
        <v/>
      </c>
      <c r="S76" s="33">
        <f>IF($A76="","",$F76*(1+$C$4)+($Q76+$R76)*(1+$C$5))</f>
        <v/>
      </c>
      <c r="T76" s="33">
        <f>IF($A76="","",$S76*(1+$C$6))</f>
        <v/>
      </c>
      <c r="U76" s="18">
        <f>IF($A76="","",$T76*$C76)</f>
        <v/>
      </c>
      <c r="V76" s="18">
        <f>IF($A76="","",$S76*$C76)</f>
        <v/>
      </c>
      <c r="W76" s="28">
        <f>IF($A76="","",IF(N(Auftrag!$AO76)&gt;0,"nicht vollständig eingeplant",IF($D76=0,"kein Schnittplan oder Preis",IF($H76="","keine Schneiddaten",IF(AND(Auftrag!$AF76&lt;&gt;"",Auftrag!$AG76=""),"Gewinde ungeprüft","")))))</f>
        <v/>
      </c>
      <c r="X76" s="18">
        <f>IF($A76="","",$F76*$C76)</f>
        <v/>
      </c>
      <c r="Y76" s="18">
        <f>IF($A76="","",$Q76*$C76)</f>
        <v/>
      </c>
    </row>
    <row r="77">
      <c r="A77" s="25">
        <f>IF(Auftrag!$D77="","",Auftrag!$A77)</f>
        <v/>
      </c>
      <c r="B77" s="25">
        <f>IF($A77="","",Auftrag!$B77)</f>
        <v/>
      </c>
      <c r="C77" s="15">
        <f>IF($A77="","",N(Auftrag!$G77))</f>
        <v/>
      </c>
      <c r="D77" s="18">
        <f>IF($A77="","",SUMIFS(Schnittplan!$R$5:$R$1004,Schnittplan!$B$5:$B$1004,Auftrag!$D77,Schnittplan!$C$5:$C$1004,Auftrag!$E77,Schnittplan!$D$5:$D$1004,Auftrag!$Q77))</f>
        <v/>
      </c>
      <c r="E77" s="32">
        <f>IF($A77="","",IFERROR(N(Auftrag!$P77)/SUMIFS(Auftrag!$P$13:$P$512,Auftrag!$D$13:$D$512,Auftrag!$D77,Auftrag!$E$13:$E$512,Auftrag!$E77,Auftrag!$Q$13:$Q$512,Auftrag!$Q77),0))</f>
        <v/>
      </c>
      <c r="F77" s="33">
        <f>IF($A77="","",IF($C77=0,0,$D77*$E77/$C77))</f>
        <v/>
      </c>
      <c r="G77" s="34">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5">
        <f>IF($A77="","",IF($H77="","",60*((N(Auftrag!$H77)-N(Auftrag!$AI77)-N(Auftrag!$AK77))/$H77+N(Auftrag!$AI77)/$J77+N(Auftrag!$AK77)/$I77+N(Auftrag!$AD77)/$K77)+N(Auftrag!$I77)*$L77))</f>
        <v/>
      </c>
      <c r="N77" s="35">
        <f>IF($A77="","",IF(OR($H77="",$C77=0),0,(60*SUMIFS(Stangenbelegung!$K$5:$K$10004,Stangenbelegung!$E$5:$E$10004,ROW())/$H77+SUMIFS(Stangenbelegung!$L$5:$L$10004,Stangenbelegung!$E$5:$E$10004,ROW())*$L77)/$C77))</f>
        <v/>
      </c>
      <c r="O77" s="35">
        <f>IF($A77="","",IF($M77="","",MAX(0,$M77-$N77)))</f>
        <v/>
      </c>
      <c r="P77" s="35">
        <f>IF($A77="","",IFERROR(SUMPRODUCT(--("0"&amp;TRIM(RIGHT(SUBSTITUTE(LEFT(";"&amp;SUBSTITUTE(UPPER(Auftrag!$AG77)," ","")&amp;";"&amp;"X"&amp;UPPER(Gewinde!$A$5:$A$54)&amp;";",SEARCH("X"&amp;UPPER(Gewinde!$A$5:$A$54)&amp;";",";"&amp;SUBSTITUTE(UPPER(Auftrag!$AG77)," ","")&amp;";"&amp;"X"&amp;UPPER(Gewinde!$A$5:$A$54)&amp;";")-1),";",REPT(" ",50)),50))),Gewinde!$C$5:$C$54),0))</f>
        <v/>
      </c>
      <c r="Q77" s="33">
        <f>IF($A77="","",(N($O77)+$P77)/3600*N(Auftrag!$H$8))</f>
        <v/>
      </c>
      <c r="R77" s="33">
        <f>IF($A77="","",IF($F$8=0,0,$F$7/$F$8))</f>
        <v/>
      </c>
      <c r="S77" s="33">
        <f>IF($A77="","",$F77*(1+$C$4)+($Q77+$R77)*(1+$C$5))</f>
        <v/>
      </c>
      <c r="T77" s="33">
        <f>IF($A77="","",$S77*(1+$C$6))</f>
        <v/>
      </c>
      <c r="U77" s="18">
        <f>IF($A77="","",$T77*$C77)</f>
        <v/>
      </c>
      <c r="V77" s="18">
        <f>IF($A77="","",$S77*$C77)</f>
        <v/>
      </c>
      <c r="W77" s="28">
        <f>IF($A77="","",IF(N(Auftrag!$AO77)&gt;0,"nicht vollständig eingeplant",IF($D77=0,"kein Schnittplan oder Preis",IF($H77="","keine Schneiddaten",IF(AND(Auftrag!$AF77&lt;&gt;"",Auftrag!$AG77=""),"Gewinde ungeprüft","")))))</f>
        <v/>
      </c>
      <c r="X77" s="18">
        <f>IF($A77="","",$F77*$C77)</f>
        <v/>
      </c>
      <c r="Y77" s="18">
        <f>IF($A77="","",$Q77*$C77)</f>
        <v/>
      </c>
    </row>
    <row r="78">
      <c r="A78" s="25">
        <f>IF(Auftrag!$D78="","",Auftrag!$A78)</f>
        <v/>
      </c>
      <c r="B78" s="25">
        <f>IF($A78="","",Auftrag!$B78)</f>
        <v/>
      </c>
      <c r="C78" s="15">
        <f>IF($A78="","",N(Auftrag!$G78))</f>
        <v/>
      </c>
      <c r="D78" s="18">
        <f>IF($A78="","",SUMIFS(Schnittplan!$R$5:$R$1004,Schnittplan!$B$5:$B$1004,Auftrag!$D78,Schnittplan!$C$5:$C$1004,Auftrag!$E78,Schnittplan!$D$5:$D$1004,Auftrag!$Q78))</f>
        <v/>
      </c>
      <c r="E78" s="32">
        <f>IF($A78="","",IFERROR(N(Auftrag!$P78)/SUMIFS(Auftrag!$P$13:$P$512,Auftrag!$D$13:$D$512,Auftrag!$D78,Auftrag!$E$13:$E$512,Auftrag!$E78,Auftrag!$Q$13:$Q$512,Auftrag!$Q78),0))</f>
        <v/>
      </c>
      <c r="F78" s="33">
        <f>IF($A78="","",IF($C78=0,0,$D78*$E78/$C78))</f>
        <v/>
      </c>
      <c r="G78" s="34">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5">
        <f>IF($A78="","",IF($H78="","",60*((N(Auftrag!$H78)-N(Auftrag!$AI78)-N(Auftrag!$AK78))/$H78+N(Auftrag!$AI78)/$J78+N(Auftrag!$AK78)/$I78+N(Auftrag!$AD78)/$K78)+N(Auftrag!$I78)*$L78))</f>
        <v/>
      </c>
      <c r="N78" s="35">
        <f>IF($A78="","",IF(OR($H78="",$C78=0),0,(60*SUMIFS(Stangenbelegung!$K$5:$K$10004,Stangenbelegung!$E$5:$E$10004,ROW())/$H78+SUMIFS(Stangenbelegung!$L$5:$L$10004,Stangenbelegung!$E$5:$E$10004,ROW())*$L78)/$C78))</f>
        <v/>
      </c>
      <c r="O78" s="35">
        <f>IF($A78="","",IF($M78="","",MAX(0,$M78-$N78)))</f>
        <v/>
      </c>
      <c r="P78" s="35">
        <f>IF($A78="","",IFERROR(SUMPRODUCT(--("0"&amp;TRIM(RIGHT(SUBSTITUTE(LEFT(";"&amp;SUBSTITUTE(UPPER(Auftrag!$AG78)," ","")&amp;";"&amp;"X"&amp;UPPER(Gewinde!$A$5:$A$54)&amp;";",SEARCH("X"&amp;UPPER(Gewinde!$A$5:$A$54)&amp;";",";"&amp;SUBSTITUTE(UPPER(Auftrag!$AG78)," ","")&amp;";"&amp;"X"&amp;UPPER(Gewinde!$A$5:$A$54)&amp;";")-1),";",REPT(" ",50)),50))),Gewinde!$C$5:$C$54),0))</f>
        <v/>
      </c>
      <c r="Q78" s="33">
        <f>IF($A78="","",(N($O78)+$P78)/3600*N(Auftrag!$H$8))</f>
        <v/>
      </c>
      <c r="R78" s="33">
        <f>IF($A78="","",IF($F$8=0,0,$F$7/$F$8))</f>
        <v/>
      </c>
      <c r="S78" s="33">
        <f>IF($A78="","",$F78*(1+$C$4)+($Q78+$R78)*(1+$C$5))</f>
        <v/>
      </c>
      <c r="T78" s="33">
        <f>IF($A78="","",$S78*(1+$C$6))</f>
        <v/>
      </c>
      <c r="U78" s="18">
        <f>IF($A78="","",$T78*$C78)</f>
        <v/>
      </c>
      <c r="V78" s="18">
        <f>IF($A78="","",$S78*$C78)</f>
        <v/>
      </c>
      <c r="W78" s="28">
        <f>IF($A78="","",IF(N(Auftrag!$AO78)&gt;0,"nicht vollständig eingeplant",IF($D78=0,"kein Schnittplan oder Preis",IF($H78="","keine Schneiddaten",IF(AND(Auftrag!$AF78&lt;&gt;"",Auftrag!$AG78=""),"Gewinde ungeprüft","")))))</f>
        <v/>
      </c>
      <c r="X78" s="18">
        <f>IF($A78="","",$F78*$C78)</f>
        <v/>
      </c>
      <c r="Y78" s="18">
        <f>IF($A78="","",$Q78*$C78)</f>
        <v/>
      </c>
    </row>
    <row r="79">
      <c r="A79" s="25">
        <f>IF(Auftrag!$D79="","",Auftrag!$A79)</f>
        <v/>
      </c>
      <c r="B79" s="25">
        <f>IF($A79="","",Auftrag!$B79)</f>
        <v/>
      </c>
      <c r="C79" s="15">
        <f>IF($A79="","",N(Auftrag!$G79))</f>
        <v/>
      </c>
      <c r="D79" s="18">
        <f>IF($A79="","",SUMIFS(Schnittplan!$R$5:$R$1004,Schnittplan!$B$5:$B$1004,Auftrag!$D79,Schnittplan!$C$5:$C$1004,Auftrag!$E79,Schnittplan!$D$5:$D$1004,Auftrag!$Q79))</f>
        <v/>
      </c>
      <c r="E79" s="32">
        <f>IF($A79="","",IFERROR(N(Auftrag!$P79)/SUMIFS(Auftrag!$P$13:$P$512,Auftrag!$D$13:$D$512,Auftrag!$D79,Auftrag!$E$13:$E$512,Auftrag!$E79,Auftrag!$Q$13:$Q$512,Auftrag!$Q79),0))</f>
        <v/>
      </c>
      <c r="F79" s="33">
        <f>IF($A79="","",IF($C79=0,0,$D79*$E79/$C79))</f>
        <v/>
      </c>
      <c r="G79" s="34">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5">
        <f>IF($A79="","",IF($H79="","",60*((N(Auftrag!$H79)-N(Auftrag!$AI79)-N(Auftrag!$AK79))/$H79+N(Auftrag!$AI79)/$J79+N(Auftrag!$AK79)/$I79+N(Auftrag!$AD79)/$K79)+N(Auftrag!$I79)*$L79))</f>
        <v/>
      </c>
      <c r="N79" s="35">
        <f>IF($A79="","",IF(OR($H79="",$C79=0),0,(60*SUMIFS(Stangenbelegung!$K$5:$K$10004,Stangenbelegung!$E$5:$E$10004,ROW())/$H79+SUMIFS(Stangenbelegung!$L$5:$L$10004,Stangenbelegung!$E$5:$E$10004,ROW())*$L79)/$C79))</f>
        <v/>
      </c>
      <c r="O79" s="35">
        <f>IF($A79="","",IF($M79="","",MAX(0,$M79-$N79)))</f>
        <v/>
      </c>
      <c r="P79" s="35">
        <f>IF($A79="","",IFERROR(SUMPRODUCT(--("0"&amp;TRIM(RIGHT(SUBSTITUTE(LEFT(";"&amp;SUBSTITUTE(UPPER(Auftrag!$AG79)," ","")&amp;";"&amp;"X"&amp;UPPER(Gewinde!$A$5:$A$54)&amp;";",SEARCH("X"&amp;UPPER(Gewinde!$A$5:$A$54)&amp;";",";"&amp;SUBSTITUTE(UPPER(Auftrag!$AG79)," ","")&amp;";"&amp;"X"&amp;UPPER(Gewinde!$A$5:$A$54)&amp;";")-1),";",REPT(" ",50)),50))),Gewinde!$C$5:$C$54),0))</f>
        <v/>
      </c>
      <c r="Q79" s="33">
        <f>IF($A79="","",(N($O79)+$P79)/3600*N(Auftrag!$H$8))</f>
        <v/>
      </c>
      <c r="R79" s="33">
        <f>IF($A79="","",IF($F$8=0,0,$F$7/$F$8))</f>
        <v/>
      </c>
      <c r="S79" s="33">
        <f>IF($A79="","",$F79*(1+$C$4)+($Q79+$R79)*(1+$C$5))</f>
        <v/>
      </c>
      <c r="T79" s="33">
        <f>IF($A79="","",$S79*(1+$C$6))</f>
        <v/>
      </c>
      <c r="U79" s="18">
        <f>IF($A79="","",$T79*$C79)</f>
        <v/>
      </c>
      <c r="V79" s="18">
        <f>IF($A79="","",$S79*$C79)</f>
        <v/>
      </c>
      <c r="W79" s="28">
        <f>IF($A79="","",IF(N(Auftrag!$AO79)&gt;0,"nicht vollständig eingeplant",IF($D79=0,"kein Schnittplan oder Preis",IF($H79="","keine Schneiddaten",IF(AND(Auftrag!$AF79&lt;&gt;"",Auftrag!$AG79=""),"Gewinde ungeprüft","")))))</f>
        <v/>
      </c>
      <c r="X79" s="18">
        <f>IF($A79="","",$F79*$C79)</f>
        <v/>
      </c>
      <c r="Y79" s="18">
        <f>IF($A79="","",$Q79*$C79)</f>
        <v/>
      </c>
    </row>
    <row r="80">
      <c r="A80" s="25">
        <f>IF(Auftrag!$D80="","",Auftrag!$A80)</f>
        <v/>
      </c>
      <c r="B80" s="25">
        <f>IF($A80="","",Auftrag!$B80)</f>
        <v/>
      </c>
      <c r="C80" s="15">
        <f>IF($A80="","",N(Auftrag!$G80))</f>
        <v/>
      </c>
      <c r="D80" s="18">
        <f>IF($A80="","",SUMIFS(Schnittplan!$R$5:$R$1004,Schnittplan!$B$5:$B$1004,Auftrag!$D80,Schnittplan!$C$5:$C$1004,Auftrag!$E80,Schnittplan!$D$5:$D$1004,Auftrag!$Q80))</f>
        <v/>
      </c>
      <c r="E80" s="32">
        <f>IF($A80="","",IFERROR(N(Auftrag!$P80)/SUMIFS(Auftrag!$P$13:$P$512,Auftrag!$D$13:$D$512,Auftrag!$D80,Auftrag!$E$13:$E$512,Auftrag!$E80,Auftrag!$Q$13:$Q$512,Auftrag!$Q80),0))</f>
        <v/>
      </c>
      <c r="F80" s="33">
        <f>IF($A80="","",IF($C80=0,0,$D80*$E80/$C80))</f>
        <v/>
      </c>
      <c r="G80" s="34">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5">
        <f>IF($A80="","",IF($H80="","",60*((N(Auftrag!$H80)-N(Auftrag!$AI80)-N(Auftrag!$AK80))/$H80+N(Auftrag!$AI80)/$J80+N(Auftrag!$AK80)/$I80+N(Auftrag!$AD80)/$K80)+N(Auftrag!$I80)*$L80))</f>
        <v/>
      </c>
      <c r="N80" s="35">
        <f>IF($A80="","",IF(OR($H80="",$C80=0),0,(60*SUMIFS(Stangenbelegung!$K$5:$K$10004,Stangenbelegung!$E$5:$E$10004,ROW())/$H80+SUMIFS(Stangenbelegung!$L$5:$L$10004,Stangenbelegung!$E$5:$E$10004,ROW())*$L80)/$C80))</f>
        <v/>
      </c>
      <c r="O80" s="35">
        <f>IF($A80="","",IF($M80="","",MAX(0,$M80-$N80)))</f>
        <v/>
      </c>
      <c r="P80" s="35">
        <f>IF($A80="","",IFERROR(SUMPRODUCT(--("0"&amp;TRIM(RIGHT(SUBSTITUTE(LEFT(";"&amp;SUBSTITUTE(UPPER(Auftrag!$AG80)," ","")&amp;";"&amp;"X"&amp;UPPER(Gewinde!$A$5:$A$54)&amp;";",SEARCH("X"&amp;UPPER(Gewinde!$A$5:$A$54)&amp;";",";"&amp;SUBSTITUTE(UPPER(Auftrag!$AG80)," ","")&amp;";"&amp;"X"&amp;UPPER(Gewinde!$A$5:$A$54)&amp;";")-1),";",REPT(" ",50)),50))),Gewinde!$C$5:$C$54),0))</f>
        <v/>
      </c>
      <c r="Q80" s="33">
        <f>IF($A80="","",(N($O80)+$P80)/3600*N(Auftrag!$H$8))</f>
        <v/>
      </c>
      <c r="R80" s="33">
        <f>IF($A80="","",IF($F$8=0,0,$F$7/$F$8))</f>
        <v/>
      </c>
      <c r="S80" s="33">
        <f>IF($A80="","",$F80*(1+$C$4)+($Q80+$R80)*(1+$C$5))</f>
        <v/>
      </c>
      <c r="T80" s="33">
        <f>IF($A80="","",$S80*(1+$C$6))</f>
        <v/>
      </c>
      <c r="U80" s="18">
        <f>IF($A80="","",$T80*$C80)</f>
        <v/>
      </c>
      <c r="V80" s="18">
        <f>IF($A80="","",$S80*$C80)</f>
        <v/>
      </c>
      <c r="W80" s="28">
        <f>IF($A80="","",IF(N(Auftrag!$AO80)&gt;0,"nicht vollständig eingeplant",IF($D80=0,"kein Schnittplan oder Preis",IF($H80="","keine Schneiddaten",IF(AND(Auftrag!$AF80&lt;&gt;"",Auftrag!$AG80=""),"Gewinde ungeprüft","")))))</f>
        <v/>
      </c>
      <c r="X80" s="18">
        <f>IF($A80="","",$F80*$C80)</f>
        <v/>
      </c>
      <c r="Y80" s="18">
        <f>IF($A80="","",$Q80*$C80)</f>
        <v/>
      </c>
    </row>
    <row r="81">
      <c r="A81" s="25">
        <f>IF(Auftrag!$D81="","",Auftrag!$A81)</f>
        <v/>
      </c>
      <c r="B81" s="25">
        <f>IF($A81="","",Auftrag!$B81)</f>
        <v/>
      </c>
      <c r="C81" s="15">
        <f>IF($A81="","",N(Auftrag!$G81))</f>
        <v/>
      </c>
      <c r="D81" s="18">
        <f>IF($A81="","",SUMIFS(Schnittplan!$R$5:$R$1004,Schnittplan!$B$5:$B$1004,Auftrag!$D81,Schnittplan!$C$5:$C$1004,Auftrag!$E81,Schnittplan!$D$5:$D$1004,Auftrag!$Q81))</f>
        <v/>
      </c>
      <c r="E81" s="32">
        <f>IF($A81="","",IFERROR(N(Auftrag!$P81)/SUMIFS(Auftrag!$P$13:$P$512,Auftrag!$D$13:$D$512,Auftrag!$D81,Auftrag!$E$13:$E$512,Auftrag!$E81,Auftrag!$Q$13:$Q$512,Auftrag!$Q81),0))</f>
        <v/>
      </c>
      <c r="F81" s="33">
        <f>IF($A81="","",IF($C81=0,0,$D81*$E81/$C81))</f>
        <v/>
      </c>
      <c r="G81" s="34">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5">
        <f>IF($A81="","",IF($H81="","",60*((N(Auftrag!$H81)-N(Auftrag!$AI81)-N(Auftrag!$AK81))/$H81+N(Auftrag!$AI81)/$J81+N(Auftrag!$AK81)/$I81+N(Auftrag!$AD81)/$K81)+N(Auftrag!$I81)*$L81))</f>
        <v/>
      </c>
      <c r="N81" s="35">
        <f>IF($A81="","",IF(OR($H81="",$C81=0),0,(60*SUMIFS(Stangenbelegung!$K$5:$K$10004,Stangenbelegung!$E$5:$E$10004,ROW())/$H81+SUMIFS(Stangenbelegung!$L$5:$L$10004,Stangenbelegung!$E$5:$E$10004,ROW())*$L81)/$C81))</f>
        <v/>
      </c>
      <c r="O81" s="35">
        <f>IF($A81="","",IF($M81="","",MAX(0,$M81-$N81)))</f>
        <v/>
      </c>
      <c r="P81" s="35">
        <f>IF($A81="","",IFERROR(SUMPRODUCT(--("0"&amp;TRIM(RIGHT(SUBSTITUTE(LEFT(";"&amp;SUBSTITUTE(UPPER(Auftrag!$AG81)," ","")&amp;";"&amp;"X"&amp;UPPER(Gewinde!$A$5:$A$54)&amp;";",SEARCH("X"&amp;UPPER(Gewinde!$A$5:$A$54)&amp;";",";"&amp;SUBSTITUTE(UPPER(Auftrag!$AG81)," ","")&amp;";"&amp;"X"&amp;UPPER(Gewinde!$A$5:$A$54)&amp;";")-1),";",REPT(" ",50)),50))),Gewinde!$C$5:$C$54),0))</f>
        <v/>
      </c>
      <c r="Q81" s="33">
        <f>IF($A81="","",(N($O81)+$P81)/3600*N(Auftrag!$H$8))</f>
        <v/>
      </c>
      <c r="R81" s="33">
        <f>IF($A81="","",IF($F$8=0,0,$F$7/$F$8))</f>
        <v/>
      </c>
      <c r="S81" s="33">
        <f>IF($A81="","",$F81*(1+$C$4)+($Q81+$R81)*(1+$C$5))</f>
        <v/>
      </c>
      <c r="T81" s="33">
        <f>IF($A81="","",$S81*(1+$C$6))</f>
        <v/>
      </c>
      <c r="U81" s="18">
        <f>IF($A81="","",$T81*$C81)</f>
        <v/>
      </c>
      <c r="V81" s="18">
        <f>IF($A81="","",$S81*$C81)</f>
        <v/>
      </c>
      <c r="W81" s="28">
        <f>IF($A81="","",IF(N(Auftrag!$AO81)&gt;0,"nicht vollständig eingeplant",IF($D81=0,"kein Schnittplan oder Preis",IF($H81="","keine Schneiddaten",IF(AND(Auftrag!$AF81&lt;&gt;"",Auftrag!$AG81=""),"Gewinde ungeprüft","")))))</f>
        <v/>
      </c>
      <c r="X81" s="18">
        <f>IF($A81="","",$F81*$C81)</f>
        <v/>
      </c>
      <c r="Y81" s="18">
        <f>IF($A81="","",$Q81*$C81)</f>
        <v/>
      </c>
    </row>
    <row r="82">
      <c r="A82" s="25">
        <f>IF(Auftrag!$D82="","",Auftrag!$A82)</f>
        <v/>
      </c>
      <c r="B82" s="25">
        <f>IF($A82="","",Auftrag!$B82)</f>
        <v/>
      </c>
      <c r="C82" s="15">
        <f>IF($A82="","",N(Auftrag!$G82))</f>
        <v/>
      </c>
      <c r="D82" s="18">
        <f>IF($A82="","",SUMIFS(Schnittplan!$R$5:$R$1004,Schnittplan!$B$5:$B$1004,Auftrag!$D82,Schnittplan!$C$5:$C$1004,Auftrag!$E82,Schnittplan!$D$5:$D$1004,Auftrag!$Q82))</f>
        <v/>
      </c>
      <c r="E82" s="32">
        <f>IF($A82="","",IFERROR(N(Auftrag!$P82)/SUMIFS(Auftrag!$P$13:$P$512,Auftrag!$D$13:$D$512,Auftrag!$D82,Auftrag!$E$13:$E$512,Auftrag!$E82,Auftrag!$Q$13:$Q$512,Auftrag!$Q82),0))</f>
        <v/>
      </c>
      <c r="F82" s="33">
        <f>IF($A82="","",IF($C82=0,0,$D82*$E82/$C82))</f>
        <v/>
      </c>
      <c r="G82" s="34">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5">
        <f>IF($A82="","",IF($H82="","",60*((N(Auftrag!$H82)-N(Auftrag!$AI82)-N(Auftrag!$AK82))/$H82+N(Auftrag!$AI82)/$J82+N(Auftrag!$AK82)/$I82+N(Auftrag!$AD82)/$K82)+N(Auftrag!$I82)*$L82))</f>
        <v/>
      </c>
      <c r="N82" s="35">
        <f>IF($A82="","",IF(OR($H82="",$C82=0),0,(60*SUMIFS(Stangenbelegung!$K$5:$K$10004,Stangenbelegung!$E$5:$E$10004,ROW())/$H82+SUMIFS(Stangenbelegung!$L$5:$L$10004,Stangenbelegung!$E$5:$E$10004,ROW())*$L82)/$C82))</f>
        <v/>
      </c>
      <c r="O82" s="35">
        <f>IF($A82="","",IF($M82="","",MAX(0,$M82-$N82)))</f>
        <v/>
      </c>
      <c r="P82" s="35">
        <f>IF($A82="","",IFERROR(SUMPRODUCT(--("0"&amp;TRIM(RIGHT(SUBSTITUTE(LEFT(";"&amp;SUBSTITUTE(UPPER(Auftrag!$AG82)," ","")&amp;";"&amp;"X"&amp;UPPER(Gewinde!$A$5:$A$54)&amp;";",SEARCH("X"&amp;UPPER(Gewinde!$A$5:$A$54)&amp;";",";"&amp;SUBSTITUTE(UPPER(Auftrag!$AG82)," ","")&amp;";"&amp;"X"&amp;UPPER(Gewinde!$A$5:$A$54)&amp;";")-1),";",REPT(" ",50)),50))),Gewinde!$C$5:$C$54),0))</f>
        <v/>
      </c>
      <c r="Q82" s="33">
        <f>IF($A82="","",(N($O82)+$P82)/3600*N(Auftrag!$H$8))</f>
        <v/>
      </c>
      <c r="R82" s="33">
        <f>IF($A82="","",IF($F$8=0,0,$F$7/$F$8))</f>
        <v/>
      </c>
      <c r="S82" s="33">
        <f>IF($A82="","",$F82*(1+$C$4)+($Q82+$R82)*(1+$C$5))</f>
        <v/>
      </c>
      <c r="T82" s="33">
        <f>IF($A82="","",$S82*(1+$C$6))</f>
        <v/>
      </c>
      <c r="U82" s="18">
        <f>IF($A82="","",$T82*$C82)</f>
        <v/>
      </c>
      <c r="V82" s="18">
        <f>IF($A82="","",$S82*$C82)</f>
        <v/>
      </c>
      <c r="W82" s="28">
        <f>IF($A82="","",IF(N(Auftrag!$AO82)&gt;0,"nicht vollständig eingeplant",IF($D82=0,"kein Schnittplan oder Preis",IF($H82="","keine Schneiddaten",IF(AND(Auftrag!$AF82&lt;&gt;"",Auftrag!$AG82=""),"Gewinde ungeprüft","")))))</f>
        <v/>
      </c>
      <c r="X82" s="18">
        <f>IF($A82="","",$F82*$C82)</f>
        <v/>
      </c>
      <c r="Y82" s="18">
        <f>IF($A82="","",$Q82*$C82)</f>
        <v/>
      </c>
    </row>
    <row r="83">
      <c r="A83" s="25">
        <f>IF(Auftrag!$D83="","",Auftrag!$A83)</f>
        <v/>
      </c>
      <c r="B83" s="25">
        <f>IF($A83="","",Auftrag!$B83)</f>
        <v/>
      </c>
      <c r="C83" s="15">
        <f>IF($A83="","",N(Auftrag!$G83))</f>
        <v/>
      </c>
      <c r="D83" s="18">
        <f>IF($A83="","",SUMIFS(Schnittplan!$R$5:$R$1004,Schnittplan!$B$5:$B$1004,Auftrag!$D83,Schnittplan!$C$5:$C$1004,Auftrag!$E83,Schnittplan!$D$5:$D$1004,Auftrag!$Q83))</f>
        <v/>
      </c>
      <c r="E83" s="32">
        <f>IF($A83="","",IFERROR(N(Auftrag!$P83)/SUMIFS(Auftrag!$P$13:$P$512,Auftrag!$D$13:$D$512,Auftrag!$D83,Auftrag!$E$13:$E$512,Auftrag!$E83,Auftrag!$Q$13:$Q$512,Auftrag!$Q83),0))</f>
        <v/>
      </c>
      <c r="F83" s="33">
        <f>IF($A83="","",IF($C83=0,0,$D83*$E83/$C83))</f>
        <v/>
      </c>
      <c r="G83" s="34">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5">
        <f>IF($A83="","",IF($H83="","",60*((N(Auftrag!$H83)-N(Auftrag!$AI83)-N(Auftrag!$AK83))/$H83+N(Auftrag!$AI83)/$J83+N(Auftrag!$AK83)/$I83+N(Auftrag!$AD83)/$K83)+N(Auftrag!$I83)*$L83))</f>
        <v/>
      </c>
      <c r="N83" s="35">
        <f>IF($A83="","",IF(OR($H83="",$C83=0),0,(60*SUMIFS(Stangenbelegung!$K$5:$K$10004,Stangenbelegung!$E$5:$E$10004,ROW())/$H83+SUMIFS(Stangenbelegung!$L$5:$L$10004,Stangenbelegung!$E$5:$E$10004,ROW())*$L83)/$C83))</f>
        <v/>
      </c>
      <c r="O83" s="35">
        <f>IF($A83="","",IF($M83="","",MAX(0,$M83-$N83)))</f>
        <v/>
      </c>
      <c r="P83" s="35">
        <f>IF($A83="","",IFERROR(SUMPRODUCT(--("0"&amp;TRIM(RIGHT(SUBSTITUTE(LEFT(";"&amp;SUBSTITUTE(UPPER(Auftrag!$AG83)," ","")&amp;";"&amp;"X"&amp;UPPER(Gewinde!$A$5:$A$54)&amp;";",SEARCH("X"&amp;UPPER(Gewinde!$A$5:$A$54)&amp;";",";"&amp;SUBSTITUTE(UPPER(Auftrag!$AG83)," ","")&amp;";"&amp;"X"&amp;UPPER(Gewinde!$A$5:$A$54)&amp;";")-1),";",REPT(" ",50)),50))),Gewinde!$C$5:$C$54),0))</f>
        <v/>
      </c>
      <c r="Q83" s="33">
        <f>IF($A83="","",(N($O83)+$P83)/3600*N(Auftrag!$H$8))</f>
        <v/>
      </c>
      <c r="R83" s="33">
        <f>IF($A83="","",IF($F$8=0,0,$F$7/$F$8))</f>
        <v/>
      </c>
      <c r="S83" s="33">
        <f>IF($A83="","",$F83*(1+$C$4)+($Q83+$R83)*(1+$C$5))</f>
        <v/>
      </c>
      <c r="T83" s="33">
        <f>IF($A83="","",$S83*(1+$C$6))</f>
        <v/>
      </c>
      <c r="U83" s="18">
        <f>IF($A83="","",$T83*$C83)</f>
        <v/>
      </c>
      <c r="V83" s="18">
        <f>IF($A83="","",$S83*$C83)</f>
        <v/>
      </c>
      <c r="W83" s="28">
        <f>IF($A83="","",IF(N(Auftrag!$AO83)&gt;0,"nicht vollständig eingeplant",IF($D83=0,"kein Schnittplan oder Preis",IF($H83="","keine Schneiddaten",IF(AND(Auftrag!$AF83&lt;&gt;"",Auftrag!$AG83=""),"Gewinde ungeprüft","")))))</f>
        <v/>
      </c>
      <c r="X83" s="18">
        <f>IF($A83="","",$F83*$C83)</f>
        <v/>
      </c>
      <c r="Y83" s="18">
        <f>IF($A83="","",$Q83*$C83)</f>
        <v/>
      </c>
    </row>
    <row r="84">
      <c r="A84" s="25">
        <f>IF(Auftrag!$D84="","",Auftrag!$A84)</f>
        <v/>
      </c>
      <c r="B84" s="25">
        <f>IF($A84="","",Auftrag!$B84)</f>
        <v/>
      </c>
      <c r="C84" s="15">
        <f>IF($A84="","",N(Auftrag!$G84))</f>
        <v/>
      </c>
      <c r="D84" s="18">
        <f>IF($A84="","",SUMIFS(Schnittplan!$R$5:$R$1004,Schnittplan!$B$5:$B$1004,Auftrag!$D84,Schnittplan!$C$5:$C$1004,Auftrag!$E84,Schnittplan!$D$5:$D$1004,Auftrag!$Q84))</f>
        <v/>
      </c>
      <c r="E84" s="32">
        <f>IF($A84="","",IFERROR(N(Auftrag!$P84)/SUMIFS(Auftrag!$P$13:$P$512,Auftrag!$D$13:$D$512,Auftrag!$D84,Auftrag!$E$13:$E$512,Auftrag!$E84,Auftrag!$Q$13:$Q$512,Auftrag!$Q84),0))</f>
        <v/>
      </c>
      <c r="F84" s="33">
        <f>IF($A84="","",IF($C84=0,0,$D84*$E84/$C84))</f>
        <v/>
      </c>
      <c r="G84" s="34">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5">
        <f>IF($A84="","",IF($H84="","",60*((N(Auftrag!$H84)-N(Auftrag!$AI84)-N(Auftrag!$AK84))/$H84+N(Auftrag!$AI84)/$J84+N(Auftrag!$AK84)/$I84+N(Auftrag!$AD84)/$K84)+N(Auftrag!$I84)*$L84))</f>
        <v/>
      </c>
      <c r="N84" s="35">
        <f>IF($A84="","",IF(OR($H84="",$C84=0),0,(60*SUMIFS(Stangenbelegung!$K$5:$K$10004,Stangenbelegung!$E$5:$E$10004,ROW())/$H84+SUMIFS(Stangenbelegung!$L$5:$L$10004,Stangenbelegung!$E$5:$E$10004,ROW())*$L84)/$C84))</f>
        <v/>
      </c>
      <c r="O84" s="35">
        <f>IF($A84="","",IF($M84="","",MAX(0,$M84-$N84)))</f>
        <v/>
      </c>
      <c r="P84" s="35">
        <f>IF($A84="","",IFERROR(SUMPRODUCT(--("0"&amp;TRIM(RIGHT(SUBSTITUTE(LEFT(";"&amp;SUBSTITUTE(UPPER(Auftrag!$AG84)," ","")&amp;";"&amp;"X"&amp;UPPER(Gewinde!$A$5:$A$54)&amp;";",SEARCH("X"&amp;UPPER(Gewinde!$A$5:$A$54)&amp;";",";"&amp;SUBSTITUTE(UPPER(Auftrag!$AG84)," ","")&amp;";"&amp;"X"&amp;UPPER(Gewinde!$A$5:$A$54)&amp;";")-1),";",REPT(" ",50)),50))),Gewinde!$C$5:$C$54),0))</f>
        <v/>
      </c>
      <c r="Q84" s="33">
        <f>IF($A84="","",(N($O84)+$P84)/3600*N(Auftrag!$H$8))</f>
        <v/>
      </c>
      <c r="R84" s="33">
        <f>IF($A84="","",IF($F$8=0,0,$F$7/$F$8))</f>
        <v/>
      </c>
      <c r="S84" s="33">
        <f>IF($A84="","",$F84*(1+$C$4)+($Q84+$R84)*(1+$C$5))</f>
        <v/>
      </c>
      <c r="T84" s="33">
        <f>IF($A84="","",$S84*(1+$C$6))</f>
        <v/>
      </c>
      <c r="U84" s="18">
        <f>IF($A84="","",$T84*$C84)</f>
        <v/>
      </c>
      <c r="V84" s="18">
        <f>IF($A84="","",$S84*$C84)</f>
        <v/>
      </c>
      <c r="W84" s="28">
        <f>IF($A84="","",IF(N(Auftrag!$AO84)&gt;0,"nicht vollständig eingeplant",IF($D84=0,"kein Schnittplan oder Preis",IF($H84="","keine Schneiddaten",IF(AND(Auftrag!$AF84&lt;&gt;"",Auftrag!$AG84=""),"Gewinde ungeprüft","")))))</f>
        <v/>
      </c>
      <c r="X84" s="18">
        <f>IF($A84="","",$F84*$C84)</f>
        <v/>
      </c>
      <c r="Y84" s="18">
        <f>IF($A84="","",$Q84*$C84)</f>
        <v/>
      </c>
    </row>
    <row r="85">
      <c r="A85" s="25">
        <f>IF(Auftrag!$D85="","",Auftrag!$A85)</f>
        <v/>
      </c>
      <c r="B85" s="25">
        <f>IF($A85="","",Auftrag!$B85)</f>
        <v/>
      </c>
      <c r="C85" s="15">
        <f>IF($A85="","",N(Auftrag!$G85))</f>
        <v/>
      </c>
      <c r="D85" s="18">
        <f>IF($A85="","",SUMIFS(Schnittplan!$R$5:$R$1004,Schnittplan!$B$5:$B$1004,Auftrag!$D85,Schnittplan!$C$5:$C$1004,Auftrag!$E85,Schnittplan!$D$5:$D$1004,Auftrag!$Q85))</f>
        <v/>
      </c>
      <c r="E85" s="32">
        <f>IF($A85="","",IFERROR(N(Auftrag!$P85)/SUMIFS(Auftrag!$P$13:$P$512,Auftrag!$D$13:$D$512,Auftrag!$D85,Auftrag!$E$13:$E$512,Auftrag!$E85,Auftrag!$Q$13:$Q$512,Auftrag!$Q85),0))</f>
        <v/>
      </c>
      <c r="F85" s="33">
        <f>IF($A85="","",IF($C85=0,0,$D85*$E85/$C85))</f>
        <v/>
      </c>
      <c r="G85" s="34">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5">
        <f>IF($A85="","",IF($H85="","",60*((N(Auftrag!$H85)-N(Auftrag!$AI85)-N(Auftrag!$AK85))/$H85+N(Auftrag!$AI85)/$J85+N(Auftrag!$AK85)/$I85+N(Auftrag!$AD85)/$K85)+N(Auftrag!$I85)*$L85))</f>
        <v/>
      </c>
      <c r="N85" s="35">
        <f>IF($A85="","",IF(OR($H85="",$C85=0),0,(60*SUMIFS(Stangenbelegung!$K$5:$K$10004,Stangenbelegung!$E$5:$E$10004,ROW())/$H85+SUMIFS(Stangenbelegung!$L$5:$L$10004,Stangenbelegung!$E$5:$E$10004,ROW())*$L85)/$C85))</f>
        <v/>
      </c>
      <c r="O85" s="35">
        <f>IF($A85="","",IF($M85="","",MAX(0,$M85-$N85)))</f>
        <v/>
      </c>
      <c r="P85" s="35">
        <f>IF($A85="","",IFERROR(SUMPRODUCT(--("0"&amp;TRIM(RIGHT(SUBSTITUTE(LEFT(";"&amp;SUBSTITUTE(UPPER(Auftrag!$AG85)," ","")&amp;";"&amp;"X"&amp;UPPER(Gewinde!$A$5:$A$54)&amp;";",SEARCH("X"&amp;UPPER(Gewinde!$A$5:$A$54)&amp;";",";"&amp;SUBSTITUTE(UPPER(Auftrag!$AG85)," ","")&amp;";"&amp;"X"&amp;UPPER(Gewinde!$A$5:$A$54)&amp;";")-1),";",REPT(" ",50)),50))),Gewinde!$C$5:$C$54),0))</f>
        <v/>
      </c>
      <c r="Q85" s="33">
        <f>IF($A85="","",(N($O85)+$P85)/3600*N(Auftrag!$H$8))</f>
        <v/>
      </c>
      <c r="R85" s="33">
        <f>IF($A85="","",IF($F$8=0,0,$F$7/$F$8))</f>
        <v/>
      </c>
      <c r="S85" s="33">
        <f>IF($A85="","",$F85*(1+$C$4)+($Q85+$R85)*(1+$C$5))</f>
        <v/>
      </c>
      <c r="T85" s="33">
        <f>IF($A85="","",$S85*(1+$C$6))</f>
        <v/>
      </c>
      <c r="U85" s="18">
        <f>IF($A85="","",$T85*$C85)</f>
        <v/>
      </c>
      <c r="V85" s="18">
        <f>IF($A85="","",$S85*$C85)</f>
        <v/>
      </c>
      <c r="W85" s="28">
        <f>IF($A85="","",IF(N(Auftrag!$AO85)&gt;0,"nicht vollständig eingeplant",IF($D85=0,"kein Schnittplan oder Preis",IF($H85="","keine Schneiddaten",IF(AND(Auftrag!$AF85&lt;&gt;"",Auftrag!$AG85=""),"Gewinde ungeprüft","")))))</f>
        <v/>
      </c>
      <c r="X85" s="18">
        <f>IF($A85="","",$F85*$C85)</f>
        <v/>
      </c>
      <c r="Y85" s="18">
        <f>IF($A85="","",$Q85*$C85)</f>
        <v/>
      </c>
    </row>
    <row r="86">
      <c r="A86" s="25">
        <f>IF(Auftrag!$D86="","",Auftrag!$A86)</f>
        <v/>
      </c>
      <c r="B86" s="25">
        <f>IF($A86="","",Auftrag!$B86)</f>
        <v/>
      </c>
      <c r="C86" s="15">
        <f>IF($A86="","",N(Auftrag!$G86))</f>
        <v/>
      </c>
      <c r="D86" s="18">
        <f>IF($A86="","",SUMIFS(Schnittplan!$R$5:$R$1004,Schnittplan!$B$5:$B$1004,Auftrag!$D86,Schnittplan!$C$5:$C$1004,Auftrag!$E86,Schnittplan!$D$5:$D$1004,Auftrag!$Q86))</f>
        <v/>
      </c>
      <c r="E86" s="32">
        <f>IF($A86="","",IFERROR(N(Auftrag!$P86)/SUMIFS(Auftrag!$P$13:$P$512,Auftrag!$D$13:$D$512,Auftrag!$D86,Auftrag!$E$13:$E$512,Auftrag!$E86,Auftrag!$Q$13:$Q$512,Auftrag!$Q86),0))</f>
        <v/>
      </c>
      <c r="F86" s="33">
        <f>IF($A86="","",IF($C86=0,0,$D86*$E86/$C86))</f>
        <v/>
      </c>
      <c r="G86" s="34">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5">
        <f>IF($A86="","",IF($H86="","",60*((N(Auftrag!$H86)-N(Auftrag!$AI86)-N(Auftrag!$AK86))/$H86+N(Auftrag!$AI86)/$J86+N(Auftrag!$AK86)/$I86+N(Auftrag!$AD86)/$K86)+N(Auftrag!$I86)*$L86))</f>
        <v/>
      </c>
      <c r="N86" s="35">
        <f>IF($A86="","",IF(OR($H86="",$C86=0),0,(60*SUMIFS(Stangenbelegung!$K$5:$K$10004,Stangenbelegung!$E$5:$E$10004,ROW())/$H86+SUMIFS(Stangenbelegung!$L$5:$L$10004,Stangenbelegung!$E$5:$E$10004,ROW())*$L86)/$C86))</f>
        <v/>
      </c>
      <c r="O86" s="35">
        <f>IF($A86="","",IF($M86="","",MAX(0,$M86-$N86)))</f>
        <v/>
      </c>
      <c r="P86" s="35">
        <f>IF($A86="","",IFERROR(SUMPRODUCT(--("0"&amp;TRIM(RIGHT(SUBSTITUTE(LEFT(";"&amp;SUBSTITUTE(UPPER(Auftrag!$AG86)," ","")&amp;";"&amp;"X"&amp;UPPER(Gewinde!$A$5:$A$54)&amp;";",SEARCH("X"&amp;UPPER(Gewinde!$A$5:$A$54)&amp;";",";"&amp;SUBSTITUTE(UPPER(Auftrag!$AG86)," ","")&amp;";"&amp;"X"&amp;UPPER(Gewinde!$A$5:$A$54)&amp;";")-1),";",REPT(" ",50)),50))),Gewinde!$C$5:$C$54),0))</f>
        <v/>
      </c>
      <c r="Q86" s="33">
        <f>IF($A86="","",(N($O86)+$P86)/3600*N(Auftrag!$H$8))</f>
        <v/>
      </c>
      <c r="R86" s="33">
        <f>IF($A86="","",IF($F$8=0,0,$F$7/$F$8))</f>
        <v/>
      </c>
      <c r="S86" s="33">
        <f>IF($A86="","",$F86*(1+$C$4)+($Q86+$R86)*(1+$C$5))</f>
        <v/>
      </c>
      <c r="T86" s="33">
        <f>IF($A86="","",$S86*(1+$C$6))</f>
        <v/>
      </c>
      <c r="U86" s="18">
        <f>IF($A86="","",$T86*$C86)</f>
        <v/>
      </c>
      <c r="V86" s="18">
        <f>IF($A86="","",$S86*$C86)</f>
        <v/>
      </c>
      <c r="W86" s="28">
        <f>IF($A86="","",IF(N(Auftrag!$AO86)&gt;0,"nicht vollständig eingeplant",IF($D86=0,"kein Schnittplan oder Preis",IF($H86="","keine Schneiddaten",IF(AND(Auftrag!$AF86&lt;&gt;"",Auftrag!$AG86=""),"Gewinde ungeprüft","")))))</f>
        <v/>
      </c>
      <c r="X86" s="18">
        <f>IF($A86="","",$F86*$C86)</f>
        <v/>
      </c>
      <c r="Y86" s="18">
        <f>IF($A86="","",$Q86*$C86)</f>
        <v/>
      </c>
    </row>
    <row r="87">
      <c r="A87" s="25">
        <f>IF(Auftrag!$D87="","",Auftrag!$A87)</f>
        <v/>
      </c>
      <c r="B87" s="25">
        <f>IF($A87="","",Auftrag!$B87)</f>
        <v/>
      </c>
      <c r="C87" s="15">
        <f>IF($A87="","",N(Auftrag!$G87))</f>
        <v/>
      </c>
      <c r="D87" s="18">
        <f>IF($A87="","",SUMIFS(Schnittplan!$R$5:$R$1004,Schnittplan!$B$5:$B$1004,Auftrag!$D87,Schnittplan!$C$5:$C$1004,Auftrag!$E87,Schnittplan!$D$5:$D$1004,Auftrag!$Q87))</f>
        <v/>
      </c>
      <c r="E87" s="32">
        <f>IF($A87="","",IFERROR(N(Auftrag!$P87)/SUMIFS(Auftrag!$P$13:$P$512,Auftrag!$D$13:$D$512,Auftrag!$D87,Auftrag!$E$13:$E$512,Auftrag!$E87,Auftrag!$Q$13:$Q$512,Auftrag!$Q87),0))</f>
        <v/>
      </c>
      <c r="F87" s="33">
        <f>IF($A87="","",IF($C87=0,0,$D87*$E87/$C87))</f>
        <v/>
      </c>
      <c r="G87" s="34">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5">
        <f>IF($A87="","",IF($H87="","",60*((N(Auftrag!$H87)-N(Auftrag!$AI87)-N(Auftrag!$AK87))/$H87+N(Auftrag!$AI87)/$J87+N(Auftrag!$AK87)/$I87+N(Auftrag!$AD87)/$K87)+N(Auftrag!$I87)*$L87))</f>
        <v/>
      </c>
      <c r="N87" s="35">
        <f>IF($A87="","",IF(OR($H87="",$C87=0),0,(60*SUMIFS(Stangenbelegung!$K$5:$K$10004,Stangenbelegung!$E$5:$E$10004,ROW())/$H87+SUMIFS(Stangenbelegung!$L$5:$L$10004,Stangenbelegung!$E$5:$E$10004,ROW())*$L87)/$C87))</f>
        <v/>
      </c>
      <c r="O87" s="35">
        <f>IF($A87="","",IF($M87="","",MAX(0,$M87-$N87)))</f>
        <v/>
      </c>
      <c r="P87" s="35">
        <f>IF($A87="","",IFERROR(SUMPRODUCT(--("0"&amp;TRIM(RIGHT(SUBSTITUTE(LEFT(";"&amp;SUBSTITUTE(UPPER(Auftrag!$AG87)," ","")&amp;";"&amp;"X"&amp;UPPER(Gewinde!$A$5:$A$54)&amp;";",SEARCH("X"&amp;UPPER(Gewinde!$A$5:$A$54)&amp;";",";"&amp;SUBSTITUTE(UPPER(Auftrag!$AG87)," ","")&amp;";"&amp;"X"&amp;UPPER(Gewinde!$A$5:$A$54)&amp;";")-1),";",REPT(" ",50)),50))),Gewinde!$C$5:$C$54),0))</f>
        <v/>
      </c>
      <c r="Q87" s="33">
        <f>IF($A87="","",(N($O87)+$P87)/3600*N(Auftrag!$H$8))</f>
        <v/>
      </c>
      <c r="R87" s="33">
        <f>IF($A87="","",IF($F$8=0,0,$F$7/$F$8))</f>
        <v/>
      </c>
      <c r="S87" s="33">
        <f>IF($A87="","",$F87*(1+$C$4)+($Q87+$R87)*(1+$C$5))</f>
        <v/>
      </c>
      <c r="T87" s="33">
        <f>IF($A87="","",$S87*(1+$C$6))</f>
        <v/>
      </c>
      <c r="U87" s="18">
        <f>IF($A87="","",$T87*$C87)</f>
        <v/>
      </c>
      <c r="V87" s="18">
        <f>IF($A87="","",$S87*$C87)</f>
        <v/>
      </c>
      <c r="W87" s="28">
        <f>IF($A87="","",IF(N(Auftrag!$AO87)&gt;0,"nicht vollständig eingeplant",IF($D87=0,"kein Schnittplan oder Preis",IF($H87="","keine Schneiddaten",IF(AND(Auftrag!$AF87&lt;&gt;"",Auftrag!$AG87=""),"Gewinde ungeprüft","")))))</f>
        <v/>
      </c>
      <c r="X87" s="18">
        <f>IF($A87="","",$F87*$C87)</f>
        <v/>
      </c>
      <c r="Y87" s="18">
        <f>IF($A87="","",$Q87*$C87)</f>
        <v/>
      </c>
    </row>
    <row r="88">
      <c r="A88" s="25">
        <f>IF(Auftrag!$D88="","",Auftrag!$A88)</f>
        <v/>
      </c>
      <c r="B88" s="25">
        <f>IF($A88="","",Auftrag!$B88)</f>
        <v/>
      </c>
      <c r="C88" s="15">
        <f>IF($A88="","",N(Auftrag!$G88))</f>
        <v/>
      </c>
      <c r="D88" s="18">
        <f>IF($A88="","",SUMIFS(Schnittplan!$R$5:$R$1004,Schnittplan!$B$5:$B$1004,Auftrag!$D88,Schnittplan!$C$5:$C$1004,Auftrag!$E88,Schnittplan!$D$5:$D$1004,Auftrag!$Q88))</f>
        <v/>
      </c>
      <c r="E88" s="32">
        <f>IF($A88="","",IFERROR(N(Auftrag!$P88)/SUMIFS(Auftrag!$P$13:$P$512,Auftrag!$D$13:$D$512,Auftrag!$D88,Auftrag!$E$13:$E$512,Auftrag!$E88,Auftrag!$Q$13:$Q$512,Auftrag!$Q88),0))</f>
        <v/>
      </c>
      <c r="F88" s="33">
        <f>IF($A88="","",IF($C88=0,0,$D88*$E88/$C88))</f>
        <v/>
      </c>
      <c r="G88" s="34">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5">
        <f>IF($A88="","",IF($H88="","",60*((N(Auftrag!$H88)-N(Auftrag!$AI88)-N(Auftrag!$AK88))/$H88+N(Auftrag!$AI88)/$J88+N(Auftrag!$AK88)/$I88+N(Auftrag!$AD88)/$K88)+N(Auftrag!$I88)*$L88))</f>
        <v/>
      </c>
      <c r="N88" s="35">
        <f>IF($A88="","",IF(OR($H88="",$C88=0),0,(60*SUMIFS(Stangenbelegung!$K$5:$K$10004,Stangenbelegung!$E$5:$E$10004,ROW())/$H88+SUMIFS(Stangenbelegung!$L$5:$L$10004,Stangenbelegung!$E$5:$E$10004,ROW())*$L88)/$C88))</f>
        <v/>
      </c>
      <c r="O88" s="35">
        <f>IF($A88="","",IF($M88="","",MAX(0,$M88-$N88)))</f>
        <v/>
      </c>
      <c r="P88" s="35">
        <f>IF($A88="","",IFERROR(SUMPRODUCT(--("0"&amp;TRIM(RIGHT(SUBSTITUTE(LEFT(";"&amp;SUBSTITUTE(UPPER(Auftrag!$AG88)," ","")&amp;";"&amp;"X"&amp;UPPER(Gewinde!$A$5:$A$54)&amp;";",SEARCH("X"&amp;UPPER(Gewinde!$A$5:$A$54)&amp;";",";"&amp;SUBSTITUTE(UPPER(Auftrag!$AG88)," ","")&amp;";"&amp;"X"&amp;UPPER(Gewinde!$A$5:$A$54)&amp;";")-1),";",REPT(" ",50)),50))),Gewinde!$C$5:$C$54),0))</f>
        <v/>
      </c>
      <c r="Q88" s="33">
        <f>IF($A88="","",(N($O88)+$P88)/3600*N(Auftrag!$H$8))</f>
        <v/>
      </c>
      <c r="R88" s="33">
        <f>IF($A88="","",IF($F$8=0,0,$F$7/$F$8))</f>
        <v/>
      </c>
      <c r="S88" s="33">
        <f>IF($A88="","",$F88*(1+$C$4)+($Q88+$R88)*(1+$C$5))</f>
        <v/>
      </c>
      <c r="T88" s="33">
        <f>IF($A88="","",$S88*(1+$C$6))</f>
        <v/>
      </c>
      <c r="U88" s="18">
        <f>IF($A88="","",$T88*$C88)</f>
        <v/>
      </c>
      <c r="V88" s="18">
        <f>IF($A88="","",$S88*$C88)</f>
        <v/>
      </c>
      <c r="W88" s="28">
        <f>IF($A88="","",IF(N(Auftrag!$AO88)&gt;0,"nicht vollständig eingeplant",IF($D88=0,"kein Schnittplan oder Preis",IF($H88="","keine Schneiddaten",IF(AND(Auftrag!$AF88&lt;&gt;"",Auftrag!$AG88=""),"Gewinde ungeprüft","")))))</f>
        <v/>
      </c>
      <c r="X88" s="18">
        <f>IF($A88="","",$F88*$C88)</f>
        <v/>
      </c>
      <c r="Y88" s="18">
        <f>IF($A88="","",$Q88*$C88)</f>
        <v/>
      </c>
    </row>
    <row r="89">
      <c r="A89" s="25">
        <f>IF(Auftrag!$D89="","",Auftrag!$A89)</f>
        <v/>
      </c>
      <c r="B89" s="25">
        <f>IF($A89="","",Auftrag!$B89)</f>
        <v/>
      </c>
      <c r="C89" s="15">
        <f>IF($A89="","",N(Auftrag!$G89))</f>
        <v/>
      </c>
      <c r="D89" s="18">
        <f>IF($A89="","",SUMIFS(Schnittplan!$R$5:$R$1004,Schnittplan!$B$5:$B$1004,Auftrag!$D89,Schnittplan!$C$5:$C$1004,Auftrag!$E89,Schnittplan!$D$5:$D$1004,Auftrag!$Q89))</f>
        <v/>
      </c>
      <c r="E89" s="32">
        <f>IF($A89="","",IFERROR(N(Auftrag!$P89)/SUMIFS(Auftrag!$P$13:$P$512,Auftrag!$D$13:$D$512,Auftrag!$D89,Auftrag!$E$13:$E$512,Auftrag!$E89,Auftrag!$Q$13:$Q$512,Auftrag!$Q89),0))</f>
        <v/>
      </c>
      <c r="F89" s="33">
        <f>IF($A89="","",IF($C89=0,0,$D89*$E89/$C89))</f>
        <v/>
      </c>
      <c r="G89" s="34">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5">
        <f>IF($A89="","",IF($H89="","",60*((N(Auftrag!$H89)-N(Auftrag!$AI89)-N(Auftrag!$AK89))/$H89+N(Auftrag!$AI89)/$J89+N(Auftrag!$AK89)/$I89+N(Auftrag!$AD89)/$K89)+N(Auftrag!$I89)*$L89))</f>
        <v/>
      </c>
      <c r="N89" s="35">
        <f>IF($A89="","",IF(OR($H89="",$C89=0),0,(60*SUMIFS(Stangenbelegung!$K$5:$K$10004,Stangenbelegung!$E$5:$E$10004,ROW())/$H89+SUMIFS(Stangenbelegung!$L$5:$L$10004,Stangenbelegung!$E$5:$E$10004,ROW())*$L89)/$C89))</f>
        <v/>
      </c>
      <c r="O89" s="35">
        <f>IF($A89="","",IF($M89="","",MAX(0,$M89-$N89)))</f>
        <v/>
      </c>
      <c r="P89" s="35">
        <f>IF($A89="","",IFERROR(SUMPRODUCT(--("0"&amp;TRIM(RIGHT(SUBSTITUTE(LEFT(";"&amp;SUBSTITUTE(UPPER(Auftrag!$AG89)," ","")&amp;";"&amp;"X"&amp;UPPER(Gewinde!$A$5:$A$54)&amp;";",SEARCH("X"&amp;UPPER(Gewinde!$A$5:$A$54)&amp;";",";"&amp;SUBSTITUTE(UPPER(Auftrag!$AG89)," ","")&amp;";"&amp;"X"&amp;UPPER(Gewinde!$A$5:$A$54)&amp;";")-1),";",REPT(" ",50)),50))),Gewinde!$C$5:$C$54),0))</f>
        <v/>
      </c>
      <c r="Q89" s="33">
        <f>IF($A89="","",(N($O89)+$P89)/3600*N(Auftrag!$H$8))</f>
        <v/>
      </c>
      <c r="R89" s="33">
        <f>IF($A89="","",IF($F$8=0,0,$F$7/$F$8))</f>
        <v/>
      </c>
      <c r="S89" s="33">
        <f>IF($A89="","",$F89*(1+$C$4)+($Q89+$R89)*(1+$C$5))</f>
        <v/>
      </c>
      <c r="T89" s="33">
        <f>IF($A89="","",$S89*(1+$C$6))</f>
        <v/>
      </c>
      <c r="U89" s="18">
        <f>IF($A89="","",$T89*$C89)</f>
        <v/>
      </c>
      <c r="V89" s="18">
        <f>IF($A89="","",$S89*$C89)</f>
        <v/>
      </c>
      <c r="W89" s="28">
        <f>IF($A89="","",IF(N(Auftrag!$AO89)&gt;0,"nicht vollständig eingeplant",IF($D89=0,"kein Schnittplan oder Preis",IF($H89="","keine Schneiddaten",IF(AND(Auftrag!$AF89&lt;&gt;"",Auftrag!$AG89=""),"Gewinde ungeprüft","")))))</f>
        <v/>
      </c>
      <c r="X89" s="18">
        <f>IF($A89="","",$F89*$C89)</f>
        <v/>
      </c>
      <c r="Y89" s="18">
        <f>IF($A89="","",$Q89*$C89)</f>
        <v/>
      </c>
    </row>
    <row r="90">
      <c r="A90" s="25">
        <f>IF(Auftrag!$D90="","",Auftrag!$A90)</f>
        <v/>
      </c>
      <c r="B90" s="25">
        <f>IF($A90="","",Auftrag!$B90)</f>
        <v/>
      </c>
      <c r="C90" s="15">
        <f>IF($A90="","",N(Auftrag!$G90))</f>
        <v/>
      </c>
      <c r="D90" s="18">
        <f>IF($A90="","",SUMIFS(Schnittplan!$R$5:$R$1004,Schnittplan!$B$5:$B$1004,Auftrag!$D90,Schnittplan!$C$5:$C$1004,Auftrag!$E90,Schnittplan!$D$5:$D$1004,Auftrag!$Q90))</f>
        <v/>
      </c>
      <c r="E90" s="32">
        <f>IF($A90="","",IFERROR(N(Auftrag!$P90)/SUMIFS(Auftrag!$P$13:$P$512,Auftrag!$D$13:$D$512,Auftrag!$D90,Auftrag!$E$13:$E$512,Auftrag!$E90,Auftrag!$Q$13:$Q$512,Auftrag!$Q90),0))</f>
        <v/>
      </c>
      <c r="F90" s="33">
        <f>IF($A90="","",IF($C90=0,0,$D90*$E90/$C90))</f>
        <v/>
      </c>
      <c r="G90" s="34">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5">
        <f>IF($A90="","",IF($H90="","",60*((N(Auftrag!$H90)-N(Auftrag!$AI90)-N(Auftrag!$AK90))/$H90+N(Auftrag!$AI90)/$J90+N(Auftrag!$AK90)/$I90+N(Auftrag!$AD90)/$K90)+N(Auftrag!$I90)*$L90))</f>
        <v/>
      </c>
      <c r="N90" s="35">
        <f>IF($A90="","",IF(OR($H90="",$C90=0),0,(60*SUMIFS(Stangenbelegung!$K$5:$K$10004,Stangenbelegung!$E$5:$E$10004,ROW())/$H90+SUMIFS(Stangenbelegung!$L$5:$L$10004,Stangenbelegung!$E$5:$E$10004,ROW())*$L90)/$C90))</f>
        <v/>
      </c>
      <c r="O90" s="35">
        <f>IF($A90="","",IF($M90="","",MAX(0,$M90-$N90)))</f>
        <v/>
      </c>
      <c r="P90" s="35">
        <f>IF($A90="","",IFERROR(SUMPRODUCT(--("0"&amp;TRIM(RIGHT(SUBSTITUTE(LEFT(";"&amp;SUBSTITUTE(UPPER(Auftrag!$AG90)," ","")&amp;";"&amp;"X"&amp;UPPER(Gewinde!$A$5:$A$54)&amp;";",SEARCH("X"&amp;UPPER(Gewinde!$A$5:$A$54)&amp;";",";"&amp;SUBSTITUTE(UPPER(Auftrag!$AG90)," ","")&amp;";"&amp;"X"&amp;UPPER(Gewinde!$A$5:$A$54)&amp;";")-1),";",REPT(" ",50)),50))),Gewinde!$C$5:$C$54),0))</f>
        <v/>
      </c>
      <c r="Q90" s="33">
        <f>IF($A90="","",(N($O90)+$P90)/3600*N(Auftrag!$H$8))</f>
        <v/>
      </c>
      <c r="R90" s="33">
        <f>IF($A90="","",IF($F$8=0,0,$F$7/$F$8))</f>
        <v/>
      </c>
      <c r="S90" s="33">
        <f>IF($A90="","",$F90*(1+$C$4)+($Q90+$R90)*(1+$C$5))</f>
        <v/>
      </c>
      <c r="T90" s="33">
        <f>IF($A90="","",$S90*(1+$C$6))</f>
        <v/>
      </c>
      <c r="U90" s="18">
        <f>IF($A90="","",$T90*$C90)</f>
        <v/>
      </c>
      <c r="V90" s="18">
        <f>IF($A90="","",$S90*$C90)</f>
        <v/>
      </c>
      <c r="W90" s="28">
        <f>IF($A90="","",IF(N(Auftrag!$AO90)&gt;0,"nicht vollständig eingeplant",IF($D90=0,"kein Schnittplan oder Preis",IF($H90="","keine Schneiddaten",IF(AND(Auftrag!$AF90&lt;&gt;"",Auftrag!$AG90=""),"Gewinde ungeprüft","")))))</f>
        <v/>
      </c>
      <c r="X90" s="18">
        <f>IF($A90="","",$F90*$C90)</f>
        <v/>
      </c>
      <c r="Y90" s="18">
        <f>IF($A90="","",$Q90*$C90)</f>
        <v/>
      </c>
    </row>
    <row r="91">
      <c r="A91" s="25">
        <f>IF(Auftrag!$D91="","",Auftrag!$A91)</f>
        <v/>
      </c>
      <c r="B91" s="25">
        <f>IF($A91="","",Auftrag!$B91)</f>
        <v/>
      </c>
      <c r="C91" s="15">
        <f>IF($A91="","",N(Auftrag!$G91))</f>
        <v/>
      </c>
      <c r="D91" s="18">
        <f>IF($A91="","",SUMIFS(Schnittplan!$R$5:$R$1004,Schnittplan!$B$5:$B$1004,Auftrag!$D91,Schnittplan!$C$5:$C$1004,Auftrag!$E91,Schnittplan!$D$5:$D$1004,Auftrag!$Q91))</f>
        <v/>
      </c>
      <c r="E91" s="32">
        <f>IF($A91="","",IFERROR(N(Auftrag!$P91)/SUMIFS(Auftrag!$P$13:$P$512,Auftrag!$D$13:$D$512,Auftrag!$D91,Auftrag!$E$13:$E$512,Auftrag!$E91,Auftrag!$Q$13:$Q$512,Auftrag!$Q91),0))</f>
        <v/>
      </c>
      <c r="F91" s="33">
        <f>IF($A91="","",IF($C91=0,0,$D91*$E91/$C91))</f>
        <v/>
      </c>
      <c r="G91" s="34">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5">
        <f>IF($A91="","",IF($H91="","",60*((N(Auftrag!$H91)-N(Auftrag!$AI91)-N(Auftrag!$AK91))/$H91+N(Auftrag!$AI91)/$J91+N(Auftrag!$AK91)/$I91+N(Auftrag!$AD91)/$K91)+N(Auftrag!$I91)*$L91))</f>
        <v/>
      </c>
      <c r="N91" s="35">
        <f>IF($A91="","",IF(OR($H91="",$C91=0),0,(60*SUMIFS(Stangenbelegung!$K$5:$K$10004,Stangenbelegung!$E$5:$E$10004,ROW())/$H91+SUMIFS(Stangenbelegung!$L$5:$L$10004,Stangenbelegung!$E$5:$E$10004,ROW())*$L91)/$C91))</f>
        <v/>
      </c>
      <c r="O91" s="35">
        <f>IF($A91="","",IF($M91="","",MAX(0,$M91-$N91)))</f>
        <v/>
      </c>
      <c r="P91" s="35">
        <f>IF($A91="","",IFERROR(SUMPRODUCT(--("0"&amp;TRIM(RIGHT(SUBSTITUTE(LEFT(";"&amp;SUBSTITUTE(UPPER(Auftrag!$AG91)," ","")&amp;";"&amp;"X"&amp;UPPER(Gewinde!$A$5:$A$54)&amp;";",SEARCH("X"&amp;UPPER(Gewinde!$A$5:$A$54)&amp;";",";"&amp;SUBSTITUTE(UPPER(Auftrag!$AG91)," ","")&amp;";"&amp;"X"&amp;UPPER(Gewinde!$A$5:$A$54)&amp;";")-1),";",REPT(" ",50)),50))),Gewinde!$C$5:$C$54),0))</f>
        <v/>
      </c>
      <c r="Q91" s="33">
        <f>IF($A91="","",(N($O91)+$P91)/3600*N(Auftrag!$H$8))</f>
        <v/>
      </c>
      <c r="R91" s="33">
        <f>IF($A91="","",IF($F$8=0,0,$F$7/$F$8))</f>
        <v/>
      </c>
      <c r="S91" s="33">
        <f>IF($A91="","",$F91*(1+$C$4)+($Q91+$R91)*(1+$C$5))</f>
        <v/>
      </c>
      <c r="T91" s="33">
        <f>IF($A91="","",$S91*(1+$C$6))</f>
        <v/>
      </c>
      <c r="U91" s="18">
        <f>IF($A91="","",$T91*$C91)</f>
        <v/>
      </c>
      <c r="V91" s="18">
        <f>IF($A91="","",$S91*$C91)</f>
        <v/>
      </c>
      <c r="W91" s="28">
        <f>IF($A91="","",IF(N(Auftrag!$AO91)&gt;0,"nicht vollständig eingeplant",IF($D91=0,"kein Schnittplan oder Preis",IF($H91="","keine Schneiddaten",IF(AND(Auftrag!$AF91&lt;&gt;"",Auftrag!$AG91=""),"Gewinde ungeprüft","")))))</f>
        <v/>
      </c>
      <c r="X91" s="18">
        <f>IF($A91="","",$F91*$C91)</f>
        <v/>
      </c>
      <c r="Y91" s="18">
        <f>IF($A91="","",$Q91*$C91)</f>
        <v/>
      </c>
    </row>
    <row r="92">
      <c r="A92" s="25">
        <f>IF(Auftrag!$D92="","",Auftrag!$A92)</f>
        <v/>
      </c>
      <c r="B92" s="25">
        <f>IF($A92="","",Auftrag!$B92)</f>
        <v/>
      </c>
      <c r="C92" s="15">
        <f>IF($A92="","",N(Auftrag!$G92))</f>
        <v/>
      </c>
      <c r="D92" s="18">
        <f>IF($A92="","",SUMIFS(Schnittplan!$R$5:$R$1004,Schnittplan!$B$5:$B$1004,Auftrag!$D92,Schnittplan!$C$5:$C$1004,Auftrag!$E92,Schnittplan!$D$5:$D$1004,Auftrag!$Q92))</f>
        <v/>
      </c>
      <c r="E92" s="32">
        <f>IF($A92="","",IFERROR(N(Auftrag!$P92)/SUMIFS(Auftrag!$P$13:$P$512,Auftrag!$D$13:$D$512,Auftrag!$D92,Auftrag!$E$13:$E$512,Auftrag!$E92,Auftrag!$Q$13:$Q$512,Auftrag!$Q92),0))</f>
        <v/>
      </c>
      <c r="F92" s="33">
        <f>IF($A92="","",IF($C92=0,0,$D92*$E92/$C92))</f>
        <v/>
      </c>
      <c r="G92" s="34">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5">
        <f>IF($A92="","",IF($H92="","",60*((N(Auftrag!$H92)-N(Auftrag!$AI92)-N(Auftrag!$AK92))/$H92+N(Auftrag!$AI92)/$J92+N(Auftrag!$AK92)/$I92+N(Auftrag!$AD92)/$K92)+N(Auftrag!$I92)*$L92))</f>
        <v/>
      </c>
      <c r="N92" s="35">
        <f>IF($A92="","",IF(OR($H92="",$C92=0),0,(60*SUMIFS(Stangenbelegung!$K$5:$K$10004,Stangenbelegung!$E$5:$E$10004,ROW())/$H92+SUMIFS(Stangenbelegung!$L$5:$L$10004,Stangenbelegung!$E$5:$E$10004,ROW())*$L92)/$C92))</f>
        <v/>
      </c>
      <c r="O92" s="35">
        <f>IF($A92="","",IF($M92="","",MAX(0,$M92-$N92)))</f>
        <v/>
      </c>
      <c r="P92" s="35">
        <f>IF($A92="","",IFERROR(SUMPRODUCT(--("0"&amp;TRIM(RIGHT(SUBSTITUTE(LEFT(";"&amp;SUBSTITUTE(UPPER(Auftrag!$AG92)," ","")&amp;";"&amp;"X"&amp;UPPER(Gewinde!$A$5:$A$54)&amp;";",SEARCH("X"&amp;UPPER(Gewinde!$A$5:$A$54)&amp;";",";"&amp;SUBSTITUTE(UPPER(Auftrag!$AG92)," ","")&amp;";"&amp;"X"&amp;UPPER(Gewinde!$A$5:$A$54)&amp;";")-1),";",REPT(" ",50)),50))),Gewinde!$C$5:$C$54),0))</f>
        <v/>
      </c>
      <c r="Q92" s="33">
        <f>IF($A92="","",(N($O92)+$P92)/3600*N(Auftrag!$H$8))</f>
        <v/>
      </c>
      <c r="R92" s="33">
        <f>IF($A92="","",IF($F$8=0,0,$F$7/$F$8))</f>
        <v/>
      </c>
      <c r="S92" s="33">
        <f>IF($A92="","",$F92*(1+$C$4)+($Q92+$R92)*(1+$C$5))</f>
        <v/>
      </c>
      <c r="T92" s="33">
        <f>IF($A92="","",$S92*(1+$C$6))</f>
        <v/>
      </c>
      <c r="U92" s="18">
        <f>IF($A92="","",$T92*$C92)</f>
        <v/>
      </c>
      <c r="V92" s="18">
        <f>IF($A92="","",$S92*$C92)</f>
        <v/>
      </c>
      <c r="W92" s="28">
        <f>IF($A92="","",IF(N(Auftrag!$AO92)&gt;0,"nicht vollständig eingeplant",IF($D92=0,"kein Schnittplan oder Preis",IF($H92="","keine Schneiddaten",IF(AND(Auftrag!$AF92&lt;&gt;"",Auftrag!$AG92=""),"Gewinde ungeprüft","")))))</f>
        <v/>
      </c>
      <c r="X92" s="18">
        <f>IF($A92="","",$F92*$C92)</f>
        <v/>
      </c>
      <c r="Y92" s="18">
        <f>IF($A92="","",$Q92*$C92)</f>
        <v/>
      </c>
    </row>
    <row r="93">
      <c r="A93" s="25">
        <f>IF(Auftrag!$D93="","",Auftrag!$A93)</f>
        <v/>
      </c>
      <c r="B93" s="25">
        <f>IF($A93="","",Auftrag!$B93)</f>
        <v/>
      </c>
      <c r="C93" s="15">
        <f>IF($A93="","",N(Auftrag!$G93))</f>
        <v/>
      </c>
      <c r="D93" s="18">
        <f>IF($A93="","",SUMIFS(Schnittplan!$R$5:$R$1004,Schnittplan!$B$5:$B$1004,Auftrag!$D93,Schnittplan!$C$5:$C$1004,Auftrag!$E93,Schnittplan!$D$5:$D$1004,Auftrag!$Q93))</f>
        <v/>
      </c>
      <c r="E93" s="32">
        <f>IF($A93="","",IFERROR(N(Auftrag!$P93)/SUMIFS(Auftrag!$P$13:$P$512,Auftrag!$D$13:$D$512,Auftrag!$D93,Auftrag!$E$13:$E$512,Auftrag!$E93,Auftrag!$Q$13:$Q$512,Auftrag!$Q93),0))</f>
        <v/>
      </c>
      <c r="F93" s="33">
        <f>IF($A93="","",IF($C93=0,0,$D93*$E93/$C93))</f>
        <v/>
      </c>
      <c r="G93" s="34">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5">
        <f>IF($A93="","",IF($H93="","",60*((N(Auftrag!$H93)-N(Auftrag!$AI93)-N(Auftrag!$AK93))/$H93+N(Auftrag!$AI93)/$J93+N(Auftrag!$AK93)/$I93+N(Auftrag!$AD93)/$K93)+N(Auftrag!$I93)*$L93))</f>
        <v/>
      </c>
      <c r="N93" s="35">
        <f>IF($A93="","",IF(OR($H93="",$C93=0),0,(60*SUMIFS(Stangenbelegung!$K$5:$K$10004,Stangenbelegung!$E$5:$E$10004,ROW())/$H93+SUMIFS(Stangenbelegung!$L$5:$L$10004,Stangenbelegung!$E$5:$E$10004,ROW())*$L93)/$C93))</f>
        <v/>
      </c>
      <c r="O93" s="35">
        <f>IF($A93="","",IF($M93="","",MAX(0,$M93-$N93)))</f>
        <v/>
      </c>
      <c r="P93" s="35">
        <f>IF($A93="","",IFERROR(SUMPRODUCT(--("0"&amp;TRIM(RIGHT(SUBSTITUTE(LEFT(";"&amp;SUBSTITUTE(UPPER(Auftrag!$AG93)," ","")&amp;";"&amp;"X"&amp;UPPER(Gewinde!$A$5:$A$54)&amp;";",SEARCH("X"&amp;UPPER(Gewinde!$A$5:$A$54)&amp;";",";"&amp;SUBSTITUTE(UPPER(Auftrag!$AG93)," ","")&amp;";"&amp;"X"&amp;UPPER(Gewinde!$A$5:$A$54)&amp;";")-1),";",REPT(" ",50)),50))),Gewinde!$C$5:$C$54),0))</f>
        <v/>
      </c>
      <c r="Q93" s="33">
        <f>IF($A93="","",(N($O93)+$P93)/3600*N(Auftrag!$H$8))</f>
        <v/>
      </c>
      <c r="R93" s="33">
        <f>IF($A93="","",IF($F$8=0,0,$F$7/$F$8))</f>
        <v/>
      </c>
      <c r="S93" s="33">
        <f>IF($A93="","",$F93*(1+$C$4)+($Q93+$R93)*(1+$C$5))</f>
        <v/>
      </c>
      <c r="T93" s="33">
        <f>IF($A93="","",$S93*(1+$C$6))</f>
        <v/>
      </c>
      <c r="U93" s="18">
        <f>IF($A93="","",$T93*$C93)</f>
        <v/>
      </c>
      <c r="V93" s="18">
        <f>IF($A93="","",$S93*$C93)</f>
        <v/>
      </c>
      <c r="W93" s="28">
        <f>IF($A93="","",IF(N(Auftrag!$AO93)&gt;0,"nicht vollständig eingeplant",IF($D93=0,"kein Schnittplan oder Preis",IF($H93="","keine Schneiddaten",IF(AND(Auftrag!$AF93&lt;&gt;"",Auftrag!$AG93=""),"Gewinde ungeprüft","")))))</f>
        <v/>
      </c>
      <c r="X93" s="18">
        <f>IF($A93="","",$F93*$C93)</f>
        <v/>
      </c>
      <c r="Y93" s="18">
        <f>IF($A93="","",$Q93*$C93)</f>
        <v/>
      </c>
    </row>
    <row r="94">
      <c r="A94" s="25">
        <f>IF(Auftrag!$D94="","",Auftrag!$A94)</f>
        <v/>
      </c>
      <c r="B94" s="25">
        <f>IF($A94="","",Auftrag!$B94)</f>
        <v/>
      </c>
      <c r="C94" s="15">
        <f>IF($A94="","",N(Auftrag!$G94))</f>
        <v/>
      </c>
      <c r="D94" s="18">
        <f>IF($A94="","",SUMIFS(Schnittplan!$R$5:$R$1004,Schnittplan!$B$5:$B$1004,Auftrag!$D94,Schnittplan!$C$5:$C$1004,Auftrag!$E94,Schnittplan!$D$5:$D$1004,Auftrag!$Q94))</f>
        <v/>
      </c>
      <c r="E94" s="32">
        <f>IF($A94="","",IFERROR(N(Auftrag!$P94)/SUMIFS(Auftrag!$P$13:$P$512,Auftrag!$D$13:$D$512,Auftrag!$D94,Auftrag!$E$13:$E$512,Auftrag!$E94,Auftrag!$Q$13:$Q$512,Auftrag!$Q94),0))</f>
        <v/>
      </c>
      <c r="F94" s="33">
        <f>IF($A94="","",IF($C94=0,0,$D94*$E94/$C94))</f>
        <v/>
      </c>
      <c r="G94" s="34">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5">
        <f>IF($A94="","",IF($H94="","",60*((N(Auftrag!$H94)-N(Auftrag!$AI94)-N(Auftrag!$AK94))/$H94+N(Auftrag!$AI94)/$J94+N(Auftrag!$AK94)/$I94+N(Auftrag!$AD94)/$K94)+N(Auftrag!$I94)*$L94))</f>
        <v/>
      </c>
      <c r="N94" s="35">
        <f>IF($A94="","",IF(OR($H94="",$C94=0),0,(60*SUMIFS(Stangenbelegung!$K$5:$K$10004,Stangenbelegung!$E$5:$E$10004,ROW())/$H94+SUMIFS(Stangenbelegung!$L$5:$L$10004,Stangenbelegung!$E$5:$E$10004,ROW())*$L94)/$C94))</f>
        <v/>
      </c>
      <c r="O94" s="35">
        <f>IF($A94="","",IF($M94="","",MAX(0,$M94-$N94)))</f>
        <v/>
      </c>
      <c r="P94" s="35">
        <f>IF($A94="","",IFERROR(SUMPRODUCT(--("0"&amp;TRIM(RIGHT(SUBSTITUTE(LEFT(";"&amp;SUBSTITUTE(UPPER(Auftrag!$AG94)," ","")&amp;";"&amp;"X"&amp;UPPER(Gewinde!$A$5:$A$54)&amp;";",SEARCH("X"&amp;UPPER(Gewinde!$A$5:$A$54)&amp;";",";"&amp;SUBSTITUTE(UPPER(Auftrag!$AG94)," ","")&amp;";"&amp;"X"&amp;UPPER(Gewinde!$A$5:$A$54)&amp;";")-1),";",REPT(" ",50)),50))),Gewinde!$C$5:$C$54),0))</f>
        <v/>
      </c>
      <c r="Q94" s="33">
        <f>IF($A94="","",(N($O94)+$P94)/3600*N(Auftrag!$H$8))</f>
        <v/>
      </c>
      <c r="R94" s="33">
        <f>IF($A94="","",IF($F$8=0,0,$F$7/$F$8))</f>
        <v/>
      </c>
      <c r="S94" s="33">
        <f>IF($A94="","",$F94*(1+$C$4)+($Q94+$R94)*(1+$C$5))</f>
        <v/>
      </c>
      <c r="T94" s="33">
        <f>IF($A94="","",$S94*(1+$C$6))</f>
        <v/>
      </c>
      <c r="U94" s="18">
        <f>IF($A94="","",$T94*$C94)</f>
        <v/>
      </c>
      <c r="V94" s="18">
        <f>IF($A94="","",$S94*$C94)</f>
        <v/>
      </c>
      <c r="W94" s="28">
        <f>IF($A94="","",IF(N(Auftrag!$AO94)&gt;0,"nicht vollständig eingeplant",IF($D94=0,"kein Schnittplan oder Preis",IF($H94="","keine Schneiddaten",IF(AND(Auftrag!$AF94&lt;&gt;"",Auftrag!$AG94=""),"Gewinde ungeprüft","")))))</f>
        <v/>
      </c>
      <c r="X94" s="18">
        <f>IF($A94="","",$F94*$C94)</f>
        <v/>
      </c>
      <c r="Y94" s="18">
        <f>IF($A94="","",$Q94*$C94)</f>
        <v/>
      </c>
    </row>
    <row r="95">
      <c r="A95" s="25">
        <f>IF(Auftrag!$D95="","",Auftrag!$A95)</f>
        <v/>
      </c>
      <c r="B95" s="25">
        <f>IF($A95="","",Auftrag!$B95)</f>
        <v/>
      </c>
      <c r="C95" s="15">
        <f>IF($A95="","",N(Auftrag!$G95))</f>
        <v/>
      </c>
      <c r="D95" s="18">
        <f>IF($A95="","",SUMIFS(Schnittplan!$R$5:$R$1004,Schnittplan!$B$5:$B$1004,Auftrag!$D95,Schnittplan!$C$5:$C$1004,Auftrag!$E95,Schnittplan!$D$5:$D$1004,Auftrag!$Q95))</f>
        <v/>
      </c>
      <c r="E95" s="32">
        <f>IF($A95="","",IFERROR(N(Auftrag!$P95)/SUMIFS(Auftrag!$P$13:$P$512,Auftrag!$D$13:$D$512,Auftrag!$D95,Auftrag!$E$13:$E$512,Auftrag!$E95,Auftrag!$Q$13:$Q$512,Auftrag!$Q95),0))</f>
        <v/>
      </c>
      <c r="F95" s="33">
        <f>IF($A95="","",IF($C95=0,0,$D95*$E95/$C95))</f>
        <v/>
      </c>
      <c r="G95" s="34">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5">
        <f>IF($A95="","",IF($H95="","",60*((N(Auftrag!$H95)-N(Auftrag!$AI95)-N(Auftrag!$AK95))/$H95+N(Auftrag!$AI95)/$J95+N(Auftrag!$AK95)/$I95+N(Auftrag!$AD95)/$K95)+N(Auftrag!$I95)*$L95))</f>
        <v/>
      </c>
      <c r="N95" s="35">
        <f>IF($A95="","",IF(OR($H95="",$C95=0),0,(60*SUMIFS(Stangenbelegung!$K$5:$K$10004,Stangenbelegung!$E$5:$E$10004,ROW())/$H95+SUMIFS(Stangenbelegung!$L$5:$L$10004,Stangenbelegung!$E$5:$E$10004,ROW())*$L95)/$C95))</f>
        <v/>
      </c>
      <c r="O95" s="35">
        <f>IF($A95="","",IF($M95="","",MAX(0,$M95-$N95)))</f>
        <v/>
      </c>
      <c r="P95" s="35">
        <f>IF($A95="","",IFERROR(SUMPRODUCT(--("0"&amp;TRIM(RIGHT(SUBSTITUTE(LEFT(";"&amp;SUBSTITUTE(UPPER(Auftrag!$AG95)," ","")&amp;";"&amp;"X"&amp;UPPER(Gewinde!$A$5:$A$54)&amp;";",SEARCH("X"&amp;UPPER(Gewinde!$A$5:$A$54)&amp;";",";"&amp;SUBSTITUTE(UPPER(Auftrag!$AG95)," ","")&amp;";"&amp;"X"&amp;UPPER(Gewinde!$A$5:$A$54)&amp;";")-1),";",REPT(" ",50)),50))),Gewinde!$C$5:$C$54),0))</f>
        <v/>
      </c>
      <c r="Q95" s="33">
        <f>IF($A95="","",(N($O95)+$P95)/3600*N(Auftrag!$H$8))</f>
        <v/>
      </c>
      <c r="R95" s="33">
        <f>IF($A95="","",IF($F$8=0,0,$F$7/$F$8))</f>
        <v/>
      </c>
      <c r="S95" s="33">
        <f>IF($A95="","",$F95*(1+$C$4)+($Q95+$R95)*(1+$C$5))</f>
        <v/>
      </c>
      <c r="T95" s="33">
        <f>IF($A95="","",$S95*(1+$C$6))</f>
        <v/>
      </c>
      <c r="U95" s="18">
        <f>IF($A95="","",$T95*$C95)</f>
        <v/>
      </c>
      <c r="V95" s="18">
        <f>IF($A95="","",$S95*$C95)</f>
        <v/>
      </c>
      <c r="W95" s="28">
        <f>IF($A95="","",IF(N(Auftrag!$AO95)&gt;0,"nicht vollständig eingeplant",IF($D95=0,"kein Schnittplan oder Preis",IF($H95="","keine Schneiddaten",IF(AND(Auftrag!$AF95&lt;&gt;"",Auftrag!$AG95=""),"Gewinde ungeprüft","")))))</f>
        <v/>
      </c>
      <c r="X95" s="18">
        <f>IF($A95="","",$F95*$C95)</f>
        <v/>
      </c>
      <c r="Y95" s="18">
        <f>IF($A95="","",$Q95*$C95)</f>
        <v/>
      </c>
    </row>
    <row r="96">
      <c r="A96" s="25">
        <f>IF(Auftrag!$D96="","",Auftrag!$A96)</f>
        <v/>
      </c>
      <c r="B96" s="25">
        <f>IF($A96="","",Auftrag!$B96)</f>
        <v/>
      </c>
      <c r="C96" s="15">
        <f>IF($A96="","",N(Auftrag!$G96))</f>
        <v/>
      </c>
      <c r="D96" s="18">
        <f>IF($A96="","",SUMIFS(Schnittplan!$R$5:$R$1004,Schnittplan!$B$5:$B$1004,Auftrag!$D96,Schnittplan!$C$5:$C$1004,Auftrag!$E96,Schnittplan!$D$5:$D$1004,Auftrag!$Q96))</f>
        <v/>
      </c>
      <c r="E96" s="32">
        <f>IF($A96="","",IFERROR(N(Auftrag!$P96)/SUMIFS(Auftrag!$P$13:$P$512,Auftrag!$D$13:$D$512,Auftrag!$D96,Auftrag!$E$13:$E$512,Auftrag!$E96,Auftrag!$Q$13:$Q$512,Auftrag!$Q96),0))</f>
        <v/>
      </c>
      <c r="F96" s="33">
        <f>IF($A96="","",IF($C96=0,0,$D96*$E96/$C96))</f>
        <v/>
      </c>
      <c r="G96" s="34">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5">
        <f>IF($A96="","",IF($H96="","",60*((N(Auftrag!$H96)-N(Auftrag!$AI96)-N(Auftrag!$AK96))/$H96+N(Auftrag!$AI96)/$J96+N(Auftrag!$AK96)/$I96+N(Auftrag!$AD96)/$K96)+N(Auftrag!$I96)*$L96))</f>
        <v/>
      </c>
      <c r="N96" s="35">
        <f>IF($A96="","",IF(OR($H96="",$C96=0),0,(60*SUMIFS(Stangenbelegung!$K$5:$K$10004,Stangenbelegung!$E$5:$E$10004,ROW())/$H96+SUMIFS(Stangenbelegung!$L$5:$L$10004,Stangenbelegung!$E$5:$E$10004,ROW())*$L96)/$C96))</f>
        <v/>
      </c>
      <c r="O96" s="35">
        <f>IF($A96="","",IF($M96="","",MAX(0,$M96-$N96)))</f>
        <v/>
      </c>
      <c r="P96" s="35">
        <f>IF($A96="","",IFERROR(SUMPRODUCT(--("0"&amp;TRIM(RIGHT(SUBSTITUTE(LEFT(";"&amp;SUBSTITUTE(UPPER(Auftrag!$AG96)," ","")&amp;";"&amp;"X"&amp;UPPER(Gewinde!$A$5:$A$54)&amp;";",SEARCH("X"&amp;UPPER(Gewinde!$A$5:$A$54)&amp;";",";"&amp;SUBSTITUTE(UPPER(Auftrag!$AG96)," ","")&amp;";"&amp;"X"&amp;UPPER(Gewinde!$A$5:$A$54)&amp;";")-1),";",REPT(" ",50)),50))),Gewinde!$C$5:$C$54),0))</f>
        <v/>
      </c>
      <c r="Q96" s="33">
        <f>IF($A96="","",(N($O96)+$P96)/3600*N(Auftrag!$H$8))</f>
        <v/>
      </c>
      <c r="R96" s="33">
        <f>IF($A96="","",IF($F$8=0,0,$F$7/$F$8))</f>
        <v/>
      </c>
      <c r="S96" s="33">
        <f>IF($A96="","",$F96*(1+$C$4)+($Q96+$R96)*(1+$C$5))</f>
        <v/>
      </c>
      <c r="T96" s="33">
        <f>IF($A96="","",$S96*(1+$C$6))</f>
        <v/>
      </c>
      <c r="U96" s="18">
        <f>IF($A96="","",$T96*$C96)</f>
        <v/>
      </c>
      <c r="V96" s="18">
        <f>IF($A96="","",$S96*$C96)</f>
        <v/>
      </c>
      <c r="W96" s="28">
        <f>IF($A96="","",IF(N(Auftrag!$AO96)&gt;0,"nicht vollständig eingeplant",IF($D96=0,"kein Schnittplan oder Preis",IF($H96="","keine Schneiddaten",IF(AND(Auftrag!$AF96&lt;&gt;"",Auftrag!$AG96=""),"Gewinde ungeprüft","")))))</f>
        <v/>
      </c>
      <c r="X96" s="18">
        <f>IF($A96="","",$F96*$C96)</f>
        <v/>
      </c>
      <c r="Y96" s="18">
        <f>IF($A96="","",$Q96*$C96)</f>
        <v/>
      </c>
    </row>
    <row r="97">
      <c r="A97" s="25">
        <f>IF(Auftrag!$D97="","",Auftrag!$A97)</f>
        <v/>
      </c>
      <c r="B97" s="25">
        <f>IF($A97="","",Auftrag!$B97)</f>
        <v/>
      </c>
      <c r="C97" s="15">
        <f>IF($A97="","",N(Auftrag!$G97))</f>
        <v/>
      </c>
      <c r="D97" s="18">
        <f>IF($A97="","",SUMIFS(Schnittplan!$R$5:$R$1004,Schnittplan!$B$5:$B$1004,Auftrag!$D97,Schnittplan!$C$5:$C$1004,Auftrag!$E97,Schnittplan!$D$5:$D$1004,Auftrag!$Q97))</f>
        <v/>
      </c>
      <c r="E97" s="32">
        <f>IF($A97="","",IFERROR(N(Auftrag!$P97)/SUMIFS(Auftrag!$P$13:$P$512,Auftrag!$D$13:$D$512,Auftrag!$D97,Auftrag!$E$13:$E$512,Auftrag!$E97,Auftrag!$Q$13:$Q$512,Auftrag!$Q97),0))</f>
        <v/>
      </c>
      <c r="F97" s="33">
        <f>IF($A97="","",IF($C97=0,0,$D97*$E97/$C97))</f>
        <v/>
      </c>
      <c r="G97" s="34">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5">
        <f>IF($A97="","",IF($H97="","",60*((N(Auftrag!$H97)-N(Auftrag!$AI97)-N(Auftrag!$AK97))/$H97+N(Auftrag!$AI97)/$J97+N(Auftrag!$AK97)/$I97+N(Auftrag!$AD97)/$K97)+N(Auftrag!$I97)*$L97))</f>
        <v/>
      </c>
      <c r="N97" s="35">
        <f>IF($A97="","",IF(OR($H97="",$C97=0),0,(60*SUMIFS(Stangenbelegung!$K$5:$K$10004,Stangenbelegung!$E$5:$E$10004,ROW())/$H97+SUMIFS(Stangenbelegung!$L$5:$L$10004,Stangenbelegung!$E$5:$E$10004,ROW())*$L97)/$C97))</f>
        <v/>
      </c>
      <c r="O97" s="35">
        <f>IF($A97="","",IF($M97="","",MAX(0,$M97-$N97)))</f>
        <v/>
      </c>
      <c r="P97" s="35">
        <f>IF($A97="","",IFERROR(SUMPRODUCT(--("0"&amp;TRIM(RIGHT(SUBSTITUTE(LEFT(";"&amp;SUBSTITUTE(UPPER(Auftrag!$AG97)," ","")&amp;";"&amp;"X"&amp;UPPER(Gewinde!$A$5:$A$54)&amp;";",SEARCH("X"&amp;UPPER(Gewinde!$A$5:$A$54)&amp;";",";"&amp;SUBSTITUTE(UPPER(Auftrag!$AG97)," ","")&amp;";"&amp;"X"&amp;UPPER(Gewinde!$A$5:$A$54)&amp;";")-1),";",REPT(" ",50)),50))),Gewinde!$C$5:$C$54),0))</f>
        <v/>
      </c>
      <c r="Q97" s="33">
        <f>IF($A97="","",(N($O97)+$P97)/3600*N(Auftrag!$H$8))</f>
        <v/>
      </c>
      <c r="R97" s="33">
        <f>IF($A97="","",IF($F$8=0,0,$F$7/$F$8))</f>
        <v/>
      </c>
      <c r="S97" s="33">
        <f>IF($A97="","",$F97*(1+$C$4)+($Q97+$R97)*(1+$C$5))</f>
        <v/>
      </c>
      <c r="T97" s="33">
        <f>IF($A97="","",$S97*(1+$C$6))</f>
        <v/>
      </c>
      <c r="U97" s="18">
        <f>IF($A97="","",$T97*$C97)</f>
        <v/>
      </c>
      <c r="V97" s="18">
        <f>IF($A97="","",$S97*$C97)</f>
        <v/>
      </c>
      <c r="W97" s="28">
        <f>IF($A97="","",IF(N(Auftrag!$AO97)&gt;0,"nicht vollständig eingeplant",IF($D97=0,"kein Schnittplan oder Preis",IF($H97="","keine Schneiddaten",IF(AND(Auftrag!$AF97&lt;&gt;"",Auftrag!$AG97=""),"Gewinde ungeprüft","")))))</f>
        <v/>
      </c>
      <c r="X97" s="18">
        <f>IF($A97="","",$F97*$C97)</f>
        <v/>
      </c>
      <c r="Y97" s="18">
        <f>IF($A97="","",$Q97*$C97)</f>
        <v/>
      </c>
    </row>
    <row r="98">
      <c r="A98" s="25">
        <f>IF(Auftrag!$D98="","",Auftrag!$A98)</f>
        <v/>
      </c>
      <c r="B98" s="25">
        <f>IF($A98="","",Auftrag!$B98)</f>
        <v/>
      </c>
      <c r="C98" s="15">
        <f>IF($A98="","",N(Auftrag!$G98))</f>
        <v/>
      </c>
      <c r="D98" s="18">
        <f>IF($A98="","",SUMIFS(Schnittplan!$R$5:$R$1004,Schnittplan!$B$5:$B$1004,Auftrag!$D98,Schnittplan!$C$5:$C$1004,Auftrag!$E98,Schnittplan!$D$5:$D$1004,Auftrag!$Q98))</f>
        <v/>
      </c>
      <c r="E98" s="32">
        <f>IF($A98="","",IFERROR(N(Auftrag!$P98)/SUMIFS(Auftrag!$P$13:$P$512,Auftrag!$D$13:$D$512,Auftrag!$D98,Auftrag!$E$13:$E$512,Auftrag!$E98,Auftrag!$Q$13:$Q$512,Auftrag!$Q98),0))</f>
        <v/>
      </c>
      <c r="F98" s="33">
        <f>IF($A98="","",IF($C98=0,0,$D98*$E98/$C98))</f>
        <v/>
      </c>
      <c r="G98" s="34">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5">
        <f>IF($A98="","",IF($H98="","",60*((N(Auftrag!$H98)-N(Auftrag!$AI98)-N(Auftrag!$AK98))/$H98+N(Auftrag!$AI98)/$J98+N(Auftrag!$AK98)/$I98+N(Auftrag!$AD98)/$K98)+N(Auftrag!$I98)*$L98))</f>
        <v/>
      </c>
      <c r="N98" s="35">
        <f>IF($A98="","",IF(OR($H98="",$C98=0),0,(60*SUMIFS(Stangenbelegung!$K$5:$K$10004,Stangenbelegung!$E$5:$E$10004,ROW())/$H98+SUMIFS(Stangenbelegung!$L$5:$L$10004,Stangenbelegung!$E$5:$E$10004,ROW())*$L98)/$C98))</f>
        <v/>
      </c>
      <c r="O98" s="35">
        <f>IF($A98="","",IF($M98="","",MAX(0,$M98-$N98)))</f>
        <v/>
      </c>
      <c r="P98" s="35">
        <f>IF($A98="","",IFERROR(SUMPRODUCT(--("0"&amp;TRIM(RIGHT(SUBSTITUTE(LEFT(";"&amp;SUBSTITUTE(UPPER(Auftrag!$AG98)," ","")&amp;";"&amp;"X"&amp;UPPER(Gewinde!$A$5:$A$54)&amp;";",SEARCH("X"&amp;UPPER(Gewinde!$A$5:$A$54)&amp;";",";"&amp;SUBSTITUTE(UPPER(Auftrag!$AG98)," ","")&amp;";"&amp;"X"&amp;UPPER(Gewinde!$A$5:$A$54)&amp;";")-1),";",REPT(" ",50)),50))),Gewinde!$C$5:$C$54),0))</f>
        <v/>
      </c>
      <c r="Q98" s="33">
        <f>IF($A98="","",(N($O98)+$P98)/3600*N(Auftrag!$H$8))</f>
        <v/>
      </c>
      <c r="R98" s="33">
        <f>IF($A98="","",IF($F$8=0,0,$F$7/$F$8))</f>
        <v/>
      </c>
      <c r="S98" s="33">
        <f>IF($A98="","",$F98*(1+$C$4)+($Q98+$R98)*(1+$C$5))</f>
        <v/>
      </c>
      <c r="T98" s="33">
        <f>IF($A98="","",$S98*(1+$C$6))</f>
        <v/>
      </c>
      <c r="U98" s="18">
        <f>IF($A98="","",$T98*$C98)</f>
        <v/>
      </c>
      <c r="V98" s="18">
        <f>IF($A98="","",$S98*$C98)</f>
        <v/>
      </c>
      <c r="W98" s="28">
        <f>IF($A98="","",IF(N(Auftrag!$AO98)&gt;0,"nicht vollständig eingeplant",IF($D98=0,"kein Schnittplan oder Preis",IF($H98="","keine Schneiddaten",IF(AND(Auftrag!$AF98&lt;&gt;"",Auftrag!$AG98=""),"Gewinde ungeprüft","")))))</f>
        <v/>
      </c>
      <c r="X98" s="18">
        <f>IF($A98="","",$F98*$C98)</f>
        <v/>
      </c>
      <c r="Y98" s="18">
        <f>IF($A98="","",$Q98*$C98)</f>
        <v/>
      </c>
    </row>
    <row r="99">
      <c r="A99" s="25">
        <f>IF(Auftrag!$D99="","",Auftrag!$A99)</f>
        <v/>
      </c>
      <c r="B99" s="25">
        <f>IF($A99="","",Auftrag!$B99)</f>
        <v/>
      </c>
      <c r="C99" s="15">
        <f>IF($A99="","",N(Auftrag!$G99))</f>
        <v/>
      </c>
      <c r="D99" s="18">
        <f>IF($A99="","",SUMIFS(Schnittplan!$R$5:$R$1004,Schnittplan!$B$5:$B$1004,Auftrag!$D99,Schnittplan!$C$5:$C$1004,Auftrag!$E99,Schnittplan!$D$5:$D$1004,Auftrag!$Q99))</f>
        <v/>
      </c>
      <c r="E99" s="32">
        <f>IF($A99="","",IFERROR(N(Auftrag!$P99)/SUMIFS(Auftrag!$P$13:$P$512,Auftrag!$D$13:$D$512,Auftrag!$D99,Auftrag!$E$13:$E$512,Auftrag!$E99,Auftrag!$Q$13:$Q$512,Auftrag!$Q99),0))</f>
        <v/>
      </c>
      <c r="F99" s="33">
        <f>IF($A99="","",IF($C99=0,0,$D99*$E99/$C99))</f>
        <v/>
      </c>
      <c r="G99" s="34">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5">
        <f>IF($A99="","",IF($H99="","",60*((N(Auftrag!$H99)-N(Auftrag!$AI99)-N(Auftrag!$AK99))/$H99+N(Auftrag!$AI99)/$J99+N(Auftrag!$AK99)/$I99+N(Auftrag!$AD99)/$K99)+N(Auftrag!$I99)*$L99))</f>
        <v/>
      </c>
      <c r="N99" s="35">
        <f>IF($A99="","",IF(OR($H99="",$C99=0),0,(60*SUMIFS(Stangenbelegung!$K$5:$K$10004,Stangenbelegung!$E$5:$E$10004,ROW())/$H99+SUMIFS(Stangenbelegung!$L$5:$L$10004,Stangenbelegung!$E$5:$E$10004,ROW())*$L99)/$C99))</f>
        <v/>
      </c>
      <c r="O99" s="35">
        <f>IF($A99="","",IF($M99="","",MAX(0,$M99-$N99)))</f>
        <v/>
      </c>
      <c r="P99" s="35">
        <f>IF($A99="","",IFERROR(SUMPRODUCT(--("0"&amp;TRIM(RIGHT(SUBSTITUTE(LEFT(";"&amp;SUBSTITUTE(UPPER(Auftrag!$AG99)," ","")&amp;";"&amp;"X"&amp;UPPER(Gewinde!$A$5:$A$54)&amp;";",SEARCH("X"&amp;UPPER(Gewinde!$A$5:$A$54)&amp;";",";"&amp;SUBSTITUTE(UPPER(Auftrag!$AG99)," ","")&amp;";"&amp;"X"&amp;UPPER(Gewinde!$A$5:$A$54)&amp;";")-1),";",REPT(" ",50)),50))),Gewinde!$C$5:$C$54),0))</f>
        <v/>
      </c>
      <c r="Q99" s="33">
        <f>IF($A99="","",(N($O99)+$P99)/3600*N(Auftrag!$H$8))</f>
        <v/>
      </c>
      <c r="R99" s="33">
        <f>IF($A99="","",IF($F$8=0,0,$F$7/$F$8))</f>
        <v/>
      </c>
      <c r="S99" s="33">
        <f>IF($A99="","",$F99*(1+$C$4)+($Q99+$R99)*(1+$C$5))</f>
        <v/>
      </c>
      <c r="T99" s="33">
        <f>IF($A99="","",$S99*(1+$C$6))</f>
        <v/>
      </c>
      <c r="U99" s="18">
        <f>IF($A99="","",$T99*$C99)</f>
        <v/>
      </c>
      <c r="V99" s="18">
        <f>IF($A99="","",$S99*$C99)</f>
        <v/>
      </c>
      <c r="W99" s="28">
        <f>IF($A99="","",IF(N(Auftrag!$AO99)&gt;0,"nicht vollständig eingeplant",IF($D99=0,"kein Schnittplan oder Preis",IF($H99="","keine Schneiddaten",IF(AND(Auftrag!$AF99&lt;&gt;"",Auftrag!$AG99=""),"Gewinde ungeprüft","")))))</f>
        <v/>
      </c>
      <c r="X99" s="18">
        <f>IF($A99="","",$F99*$C99)</f>
        <v/>
      </c>
      <c r="Y99" s="18">
        <f>IF($A99="","",$Q99*$C99)</f>
        <v/>
      </c>
    </row>
    <row r="100">
      <c r="A100" s="25">
        <f>IF(Auftrag!$D100="","",Auftrag!$A100)</f>
        <v/>
      </c>
      <c r="B100" s="25">
        <f>IF($A100="","",Auftrag!$B100)</f>
        <v/>
      </c>
      <c r="C100" s="15">
        <f>IF($A100="","",N(Auftrag!$G100))</f>
        <v/>
      </c>
      <c r="D100" s="18">
        <f>IF($A100="","",SUMIFS(Schnittplan!$R$5:$R$1004,Schnittplan!$B$5:$B$1004,Auftrag!$D100,Schnittplan!$C$5:$C$1004,Auftrag!$E100,Schnittplan!$D$5:$D$1004,Auftrag!$Q100))</f>
        <v/>
      </c>
      <c r="E100" s="32">
        <f>IF($A100="","",IFERROR(N(Auftrag!$P100)/SUMIFS(Auftrag!$P$13:$P$512,Auftrag!$D$13:$D$512,Auftrag!$D100,Auftrag!$E$13:$E$512,Auftrag!$E100,Auftrag!$Q$13:$Q$512,Auftrag!$Q100),0))</f>
        <v/>
      </c>
      <c r="F100" s="33">
        <f>IF($A100="","",IF($C100=0,0,$D100*$E100/$C100))</f>
        <v/>
      </c>
      <c r="G100" s="34">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5">
        <f>IF($A100="","",IF($H100="","",60*((N(Auftrag!$H100)-N(Auftrag!$AI100)-N(Auftrag!$AK100))/$H100+N(Auftrag!$AI100)/$J100+N(Auftrag!$AK100)/$I100+N(Auftrag!$AD100)/$K100)+N(Auftrag!$I100)*$L100))</f>
        <v/>
      </c>
      <c r="N100" s="35">
        <f>IF($A100="","",IF(OR($H100="",$C100=0),0,(60*SUMIFS(Stangenbelegung!$K$5:$K$10004,Stangenbelegung!$E$5:$E$10004,ROW())/$H100+SUMIFS(Stangenbelegung!$L$5:$L$10004,Stangenbelegung!$E$5:$E$10004,ROW())*$L100)/$C100))</f>
        <v/>
      </c>
      <c r="O100" s="35">
        <f>IF($A100="","",IF($M100="","",MAX(0,$M100-$N100)))</f>
        <v/>
      </c>
      <c r="P100" s="35">
        <f>IF($A100="","",IFERROR(SUMPRODUCT(--("0"&amp;TRIM(RIGHT(SUBSTITUTE(LEFT(";"&amp;SUBSTITUTE(UPPER(Auftrag!$AG100)," ","")&amp;";"&amp;"X"&amp;UPPER(Gewinde!$A$5:$A$54)&amp;";",SEARCH("X"&amp;UPPER(Gewinde!$A$5:$A$54)&amp;";",";"&amp;SUBSTITUTE(UPPER(Auftrag!$AG100)," ","")&amp;";"&amp;"X"&amp;UPPER(Gewinde!$A$5:$A$54)&amp;";")-1),";",REPT(" ",50)),50))),Gewinde!$C$5:$C$54),0))</f>
        <v/>
      </c>
      <c r="Q100" s="33">
        <f>IF($A100="","",(N($O100)+$P100)/3600*N(Auftrag!$H$8))</f>
        <v/>
      </c>
      <c r="R100" s="33">
        <f>IF($A100="","",IF($F$8=0,0,$F$7/$F$8))</f>
        <v/>
      </c>
      <c r="S100" s="33">
        <f>IF($A100="","",$F100*(1+$C$4)+($Q100+$R100)*(1+$C$5))</f>
        <v/>
      </c>
      <c r="T100" s="33">
        <f>IF($A100="","",$S100*(1+$C$6))</f>
        <v/>
      </c>
      <c r="U100" s="18">
        <f>IF($A100="","",$T100*$C100)</f>
        <v/>
      </c>
      <c r="V100" s="18">
        <f>IF($A100="","",$S100*$C100)</f>
        <v/>
      </c>
      <c r="W100" s="28">
        <f>IF($A100="","",IF(N(Auftrag!$AO100)&gt;0,"nicht vollständig eingeplant",IF($D100=0,"kein Schnittplan oder Preis",IF($H100="","keine Schneiddaten",IF(AND(Auftrag!$AF100&lt;&gt;"",Auftrag!$AG100=""),"Gewinde ungeprüft","")))))</f>
        <v/>
      </c>
      <c r="X100" s="18">
        <f>IF($A100="","",$F100*$C100)</f>
        <v/>
      </c>
      <c r="Y100" s="18">
        <f>IF($A100="","",$Q100*$C100)</f>
        <v/>
      </c>
    </row>
    <row r="101">
      <c r="A101" s="25">
        <f>IF(Auftrag!$D101="","",Auftrag!$A101)</f>
        <v/>
      </c>
      <c r="B101" s="25">
        <f>IF($A101="","",Auftrag!$B101)</f>
        <v/>
      </c>
      <c r="C101" s="15">
        <f>IF($A101="","",N(Auftrag!$G101))</f>
        <v/>
      </c>
      <c r="D101" s="18">
        <f>IF($A101="","",SUMIFS(Schnittplan!$R$5:$R$1004,Schnittplan!$B$5:$B$1004,Auftrag!$D101,Schnittplan!$C$5:$C$1004,Auftrag!$E101,Schnittplan!$D$5:$D$1004,Auftrag!$Q101))</f>
        <v/>
      </c>
      <c r="E101" s="32">
        <f>IF($A101="","",IFERROR(N(Auftrag!$P101)/SUMIFS(Auftrag!$P$13:$P$512,Auftrag!$D$13:$D$512,Auftrag!$D101,Auftrag!$E$13:$E$512,Auftrag!$E101,Auftrag!$Q$13:$Q$512,Auftrag!$Q101),0))</f>
        <v/>
      </c>
      <c r="F101" s="33">
        <f>IF($A101="","",IF($C101=0,0,$D101*$E101/$C101))</f>
        <v/>
      </c>
      <c r="G101" s="34">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5">
        <f>IF($A101="","",IF($H101="","",60*((N(Auftrag!$H101)-N(Auftrag!$AI101)-N(Auftrag!$AK101))/$H101+N(Auftrag!$AI101)/$J101+N(Auftrag!$AK101)/$I101+N(Auftrag!$AD101)/$K101)+N(Auftrag!$I101)*$L101))</f>
        <v/>
      </c>
      <c r="N101" s="35">
        <f>IF($A101="","",IF(OR($H101="",$C101=0),0,(60*SUMIFS(Stangenbelegung!$K$5:$K$10004,Stangenbelegung!$E$5:$E$10004,ROW())/$H101+SUMIFS(Stangenbelegung!$L$5:$L$10004,Stangenbelegung!$E$5:$E$10004,ROW())*$L101)/$C101))</f>
        <v/>
      </c>
      <c r="O101" s="35">
        <f>IF($A101="","",IF($M101="","",MAX(0,$M101-$N101)))</f>
        <v/>
      </c>
      <c r="P101" s="35">
        <f>IF($A101="","",IFERROR(SUMPRODUCT(--("0"&amp;TRIM(RIGHT(SUBSTITUTE(LEFT(";"&amp;SUBSTITUTE(UPPER(Auftrag!$AG101)," ","")&amp;";"&amp;"X"&amp;UPPER(Gewinde!$A$5:$A$54)&amp;";",SEARCH("X"&amp;UPPER(Gewinde!$A$5:$A$54)&amp;";",";"&amp;SUBSTITUTE(UPPER(Auftrag!$AG101)," ","")&amp;";"&amp;"X"&amp;UPPER(Gewinde!$A$5:$A$54)&amp;";")-1),";",REPT(" ",50)),50))),Gewinde!$C$5:$C$54),0))</f>
        <v/>
      </c>
      <c r="Q101" s="33">
        <f>IF($A101="","",(N($O101)+$P101)/3600*N(Auftrag!$H$8))</f>
        <v/>
      </c>
      <c r="R101" s="33">
        <f>IF($A101="","",IF($F$8=0,0,$F$7/$F$8))</f>
        <v/>
      </c>
      <c r="S101" s="33">
        <f>IF($A101="","",$F101*(1+$C$4)+($Q101+$R101)*(1+$C$5))</f>
        <v/>
      </c>
      <c r="T101" s="33">
        <f>IF($A101="","",$S101*(1+$C$6))</f>
        <v/>
      </c>
      <c r="U101" s="18">
        <f>IF($A101="","",$T101*$C101)</f>
        <v/>
      </c>
      <c r="V101" s="18">
        <f>IF($A101="","",$S101*$C101)</f>
        <v/>
      </c>
      <c r="W101" s="28">
        <f>IF($A101="","",IF(N(Auftrag!$AO101)&gt;0,"nicht vollständig eingeplant",IF($D101=0,"kein Schnittplan oder Preis",IF($H101="","keine Schneiddaten",IF(AND(Auftrag!$AF101&lt;&gt;"",Auftrag!$AG101=""),"Gewinde ungeprüft","")))))</f>
        <v/>
      </c>
      <c r="X101" s="18">
        <f>IF($A101="","",$F101*$C101)</f>
        <v/>
      </c>
      <c r="Y101" s="18">
        <f>IF($A101="","",$Q101*$C101)</f>
        <v/>
      </c>
    </row>
    <row r="102">
      <c r="A102" s="25">
        <f>IF(Auftrag!$D102="","",Auftrag!$A102)</f>
        <v/>
      </c>
      <c r="B102" s="25">
        <f>IF($A102="","",Auftrag!$B102)</f>
        <v/>
      </c>
      <c r="C102" s="15">
        <f>IF($A102="","",N(Auftrag!$G102))</f>
        <v/>
      </c>
      <c r="D102" s="18">
        <f>IF($A102="","",SUMIFS(Schnittplan!$R$5:$R$1004,Schnittplan!$B$5:$B$1004,Auftrag!$D102,Schnittplan!$C$5:$C$1004,Auftrag!$E102,Schnittplan!$D$5:$D$1004,Auftrag!$Q102))</f>
        <v/>
      </c>
      <c r="E102" s="32">
        <f>IF($A102="","",IFERROR(N(Auftrag!$P102)/SUMIFS(Auftrag!$P$13:$P$512,Auftrag!$D$13:$D$512,Auftrag!$D102,Auftrag!$E$13:$E$512,Auftrag!$E102,Auftrag!$Q$13:$Q$512,Auftrag!$Q102),0))</f>
        <v/>
      </c>
      <c r="F102" s="33">
        <f>IF($A102="","",IF($C102=0,0,$D102*$E102/$C102))</f>
        <v/>
      </c>
      <c r="G102" s="34">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5">
        <f>IF($A102="","",IF($H102="","",60*((N(Auftrag!$H102)-N(Auftrag!$AI102)-N(Auftrag!$AK102))/$H102+N(Auftrag!$AI102)/$J102+N(Auftrag!$AK102)/$I102+N(Auftrag!$AD102)/$K102)+N(Auftrag!$I102)*$L102))</f>
        <v/>
      </c>
      <c r="N102" s="35">
        <f>IF($A102="","",IF(OR($H102="",$C102=0),0,(60*SUMIFS(Stangenbelegung!$K$5:$K$10004,Stangenbelegung!$E$5:$E$10004,ROW())/$H102+SUMIFS(Stangenbelegung!$L$5:$L$10004,Stangenbelegung!$E$5:$E$10004,ROW())*$L102)/$C102))</f>
        <v/>
      </c>
      <c r="O102" s="35">
        <f>IF($A102="","",IF($M102="","",MAX(0,$M102-$N102)))</f>
        <v/>
      </c>
      <c r="P102" s="35">
        <f>IF($A102="","",IFERROR(SUMPRODUCT(--("0"&amp;TRIM(RIGHT(SUBSTITUTE(LEFT(";"&amp;SUBSTITUTE(UPPER(Auftrag!$AG102)," ","")&amp;";"&amp;"X"&amp;UPPER(Gewinde!$A$5:$A$54)&amp;";",SEARCH("X"&amp;UPPER(Gewinde!$A$5:$A$54)&amp;";",";"&amp;SUBSTITUTE(UPPER(Auftrag!$AG102)," ","")&amp;";"&amp;"X"&amp;UPPER(Gewinde!$A$5:$A$54)&amp;";")-1),";",REPT(" ",50)),50))),Gewinde!$C$5:$C$54),0))</f>
        <v/>
      </c>
      <c r="Q102" s="33">
        <f>IF($A102="","",(N($O102)+$P102)/3600*N(Auftrag!$H$8))</f>
        <v/>
      </c>
      <c r="R102" s="33">
        <f>IF($A102="","",IF($F$8=0,0,$F$7/$F$8))</f>
        <v/>
      </c>
      <c r="S102" s="33">
        <f>IF($A102="","",$F102*(1+$C$4)+($Q102+$R102)*(1+$C$5))</f>
        <v/>
      </c>
      <c r="T102" s="33">
        <f>IF($A102="","",$S102*(1+$C$6))</f>
        <v/>
      </c>
      <c r="U102" s="18">
        <f>IF($A102="","",$T102*$C102)</f>
        <v/>
      </c>
      <c r="V102" s="18">
        <f>IF($A102="","",$S102*$C102)</f>
        <v/>
      </c>
      <c r="W102" s="28">
        <f>IF($A102="","",IF(N(Auftrag!$AO102)&gt;0,"nicht vollständig eingeplant",IF($D102=0,"kein Schnittplan oder Preis",IF($H102="","keine Schneiddaten",IF(AND(Auftrag!$AF102&lt;&gt;"",Auftrag!$AG102=""),"Gewinde ungeprüft","")))))</f>
        <v/>
      </c>
      <c r="X102" s="18">
        <f>IF($A102="","",$F102*$C102)</f>
        <v/>
      </c>
      <c r="Y102" s="18">
        <f>IF($A102="","",$Q102*$C102)</f>
        <v/>
      </c>
    </row>
    <row r="103">
      <c r="A103" s="25">
        <f>IF(Auftrag!$D103="","",Auftrag!$A103)</f>
        <v/>
      </c>
      <c r="B103" s="25">
        <f>IF($A103="","",Auftrag!$B103)</f>
        <v/>
      </c>
      <c r="C103" s="15">
        <f>IF($A103="","",N(Auftrag!$G103))</f>
        <v/>
      </c>
      <c r="D103" s="18">
        <f>IF($A103="","",SUMIFS(Schnittplan!$R$5:$R$1004,Schnittplan!$B$5:$B$1004,Auftrag!$D103,Schnittplan!$C$5:$C$1004,Auftrag!$E103,Schnittplan!$D$5:$D$1004,Auftrag!$Q103))</f>
        <v/>
      </c>
      <c r="E103" s="32">
        <f>IF($A103="","",IFERROR(N(Auftrag!$P103)/SUMIFS(Auftrag!$P$13:$P$512,Auftrag!$D$13:$D$512,Auftrag!$D103,Auftrag!$E$13:$E$512,Auftrag!$E103,Auftrag!$Q$13:$Q$512,Auftrag!$Q103),0))</f>
        <v/>
      </c>
      <c r="F103" s="33">
        <f>IF($A103="","",IF($C103=0,0,$D103*$E103/$C103))</f>
        <v/>
      </c>
      <c r="G103" s="34">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5">
        <f>IF($A103="","",IF($H103="","",60*((N(Auftrag!$H103)-N(Auftrag!$AI103)-N(Auftrag!$AK103))/$H103+N(Auftrag!$AI103)/$J103+N(Auftrag!$AK103)/$I103+N(Auftrag!$AD103)/$K103)+N(Auftrag!$I103)*$L103))</f>
        <v/>
      </c>
      <c r="N103" s="35">
        <f>IF($A103="","",IF(OR($H103="",$C103=0),0,(60*SUMIFS(Stangenbelegung!$K$5:$K$10004,Stangenbelegung!$E$5:$E$10004,ROW())/$H103+SUMIFS(Stangenbelegung!$L$5:$L$10004,Stangenbelegung!$E$5:$E$10004,ROW())*$L103)/$C103))</f>
        <v/>
      </c>
      <c r="O103" s="35">
        <f>IF($A103="","",IF($M103="","",MAX(0,$M103-$N103)))</f>
        <v/>
      </c>
      <c r="P103" s="35">
        <f>IF($A103="","",IFERROR(SUMPRODUCT(--("0"&amp;TRIM(RIGHT(SUBSTITUTE(LEFT(";"&amp;SUBSTITUTE(UPPER(Auftrag!$AG103)," ","")&amp;";"&amp;"X"&amp;UPPER(Gewinde!$A$5:$A$54)&amp;";",SEARCH("X"&amp;UPPER(Gewinde!$A$5:$A$54)&amp;";",";"&amp;SUBSTITUTE(UPPER(Auftrag!$AG103)," ","")&amp;";"&amp;"X"&amp;UPPER(Gewinde!$A$5:$A$54)&amp;";")-1),";",REPT(" ",50)),50))),Gewinde!$C$5:$C$54),0))</f>
        <v/>
      </c>
      <c r="Q103" s="33">
        <f>IF($A103="","",(N($O103)+$P103)/3600*N(Auftrag!$H$8))</f>
        <v/>
      </c>
      <c r="R103" s="33">
        <f>IF($A103="","",IF($F$8=0,0,$F$7/$F$8))</f>
        <v/>
      </c>
      <c r="S103" s="33">
        <f>IF($A103="","",$F103*(1+$C$4)+($Q103+$R103)*(1+$C$5))</f>
        <v/>
      </c>
      <c r="T103" s="33">
        <f>IF($A103="","",$S103*(1+$C$6))</f>
        <v/>
      </c>
      <c r="U103" s="18">
        <f>IF($A103="","",$T103*$C103)</f>
        <v/>
      </c>
      <c r="V103" s="18">
        <f>IF($A103="","",$S103*$C103)</f>
        <v/>
      </c>
      <c r="W103" s="28">
        <f>IF($A103="","",IF(N(Auftrag!$AO103)&gt;0,"nicht vollständig eingeplant",IF($D103=0,"kein Schnittplan oder Preis",IF($H103="","keine Schneiddaten",IF(AND(Auftrag!$AF103&lt;&gt;"",Auftrag!$AG103=""),"Gewinde ungeprüft","")))))</f>
        <v/>
      </c>
      <c r="X103" s="18">
        <f>IF($A103="","",$F103*$C103)</f>
        <v/>
      </c>
      <c r="Y103" s="18">
        <f>IF($A103="","",$Q103*$C103)</f>
        <v/>
      </c>
    </row>
    <row r="104">
      <c r="A104" s="25">
        <f>IF(Auftrag!$D104="","",Auftrag!$A104)</f>
        <v/>
      </c>
      <c r="B104" s="25">
        <f>IF($A104="","",Auftrag!$B104)</f>
        <v/>
      </c>
      <c r="C104" s="15">
        <f>IF($A104="","",N(Auftrag!$G104))</f>
        <v/>
      </c>
      <c r="D104" s="18">
        <f>IF($A104="","",SUMIFS(Schnittplan!$R$5:$R$1004,Schnittplan!$B$5:$B$1004,Auftrag!$D104,Schnittplan!$C$5:$C$1004,Auftrag!$E104,Schnittplan!$D$5:$D$1004,Auftrag!$Q104))</f>
        <v/>
      </c>
      <c r="E104" s="32">
        <f>IF($A104="","",IFERROR(N(Auftrag!$P104)/SUMIFS(Auftrag!$P$13:$P$512,Auftrag!$D$13:$D$512,Auftrag!$D104,Auftrag!$E$13:$E$512,Auftrag!$E104,Auftrag!$Q$13:$Q$512,Auftrag!$Q104),0))</f>
        <v/>
      </c>
      <c r="F104" s="33">
        <f>IF($A104="","",IF($C104=0,0,$D104*$E104/$C104))</f>
        <v/>
      </c>
      <c r="G104" s="34">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5">
        <f>IF($A104="","",IF($H104="","",60*((N(Auftrag!$H104)-N(Auftrag!$AI104)-N(Auftrag!$AK104))/$H104+N(Auftrag!$AI104)/$J104+N(Auftrag!$AK104)/$I104+N(Auftrag!$AD104)/$K104)+N(Auftrag!$I104)*$L104))</f>
        <v/>
      </c>
      <c r="N104" s="35">
        <f>IF($A104="","",IF(OR($H104="",$C104=0),0,(60*SUMIFS(Stangenbelegung!$K$5:$K$10004,Stangenbelegung!$E$5:$E$10004,ROW())/$H104+SUMIFS(Stangenbelegung!$L$5:$L$10004,Stangenbelegung!$E$5:$E$10004,ROW())*$L104)/$C104))</f>
        <v/>
      </c>
      <c r="O104" s="35">
        <f>IF($A104="","",IF($M104="","",MAX(0,$M104-$N104)))</f>
        <v/>
      </c>
      <c r="P104" s="35">
        <f>IF($A104="","",IFERROR(SUMPRODUCT(--("0"&amp;TRIM(RIGHT(SUBSTITUTE(LEFT(";"&amp;SUBSTITUTE(UPPER(Auftrag!$AG104)," ","")&amp;";"&amp;"X"&amp;UPPER(Gewinde!$A$5:$A$54)&amp;";",SEARCH("X"&amp;UPPER(Gewinde!$A$5:$A$54)&amp;";",";"&amp;SUBSTITUTE(UPPER(Auftrag!$AG104)," ","")&amp;";"&amp;"X"&amp;UPPER(Gewinde!$A$5:$A$54)&amp;";")-1),";",REPT(" ",50)),50))),Gewinde!$C$5:$C$54),0))</f>
        <v/>
      </c>
      <c r="Q104" s="33">
        <f>IF($A104="","",(N($O104)+$P104)/3600*N(Auftrag!$H$8))</f>
        <v/>
      </c>
      <c r="R104" s="33">
        <f>IF($A104="","",IF($F$8=0,0,$F$7/$F$8))</f>
        <v/>
      </c>
      <c r="S104" s="33">
        <f>IF($A104="","",$F104*(1+$C$4)+($Q104+$R104)*(1+$C$5))</f>
        <v/>
      </c>
      <c r="T104" s="33">
        <f>IF($A104="","",$S104*(1+$C$6))</f>
        <v/>
      </c>
      <c r="U104" s="18">
        <f>IF($A104="","",$T104*$C104)</f>
        <v/>
      </c>
      <c r="V104" s="18">
        <f>IF($A104="","",$S104*$C104)</f>
        <v/>
      </c>
      <c r="W104" s="28">
        <f>IF($A104="","",IF(N(Auftrag!$AO104)&gt;0,"nicht vollständig eingeplant",IF($D104=0,"kein Schnittplan oder Preis",IF($H104="","keine Schneiddaten",IF(AND(Auftrag!$AF104&lt;&gt;"",Auftrag!$AG104=""),"Gewinde ungeprüft","")))))</f>
        <v/>
      </c>
      <c r="X104" s="18">
        <f>IF($A104="","",$F104*$C104)</f>
        <v/>
      </c>
      <c r="Y104" s="18">
        <f>IF($A104="","",$Q104*$C104)</f>
        <v/>
      </c>
    </row>
    <row r="105">
      <c r="A105" s="25">
        <f>IF(Auftrag!$D105="","",Auftrag!$A105)</f>
        <v/>
      </c>
      <c r="B105" s="25">
        <f>IF($A105="","",Auftrag!$B105)</f>
        <v/>
      </c>
      <c r="C105" s="15">
        <f>IF($A105="","",N(Auftrag!$G105))</f>
        <v/>
      </c>
      <c r="D105" s="18">
        <f>IF($A105="","",SUMIFS(Schnittplan!$R$5:$R$1004,Schnittplan!$B$5:$B$1004,Auftrag!$D105,Schnittplan!$C$5:$C$1004,Auftrag!$E105,Schnittplan!$D$5:$D$1004,Auftrag!$Q105))</f>
        <v/>
      </c>
      <c r="E105" s="32">
        <f>IF($A105="","",IFERROR(N(Auftrag!$P105)/SUMIFS(Auftrag!$P$13:$P$512,Auftrag!$D$13:$D$512,Auftrag!$D105,Auftrag!$E$13:$E$512,Auftrag!$E105,Auftrag!$Q$13:$Q$512,Auftrag!$Q105),0))</f>
        <v/>
      </c>
      <c r="F105" s="33">
        <f>IF($A105="","",IF($C105=0,0,$D105*$E105/$C105))</f>
        <v/>
      </c>
      <c r="G105" s="34">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5">
        <f>IF($A105="","",IF($H105="","",60*((N(Auftrag!$H105)-N(Auftrag!$AI105)-N(Auftrag!$AK105))/$H105+N(Auftrag!$AI105)/$J105+N(Auftrag!$AK105)/$I105+N(Auftrag!$AD105)/$K105)+N(Auftrag!$I105)*$L105))</f>
        <v/>
      </c>
      <c r="N105" s="35">
        <f>IF($A105="","",IF(OR($H105="",$C105=0),0,(60*SUMIFS(Stangenbelegung!$K$5:$K$10004,Stangenbelegung!$E$5:$E$10004,ROW())/$H105+SUMIFS(Stangenbelegung!$L$5:$L$10004,Stangenbelegung!$E$5:$E$10004,ROW())*$L105)/$C105))</f>
        <v/>
      </c>
      <c r="O105" s="35">
        <f>IF($A105="","",IF($M105="","",MAX(0,$M105-$N105)))</f>
        <v/>
      </c>
      <c r="P105" s="35">
        <f>IF($A105="","",IFERROR(SUMPRODUCT(--("0"&amp;TRIM(RIGHT(SUBSTITUTE(LEFT(";"&amp;SUBSTITUTE(UPPER(Auftrag!$AG105)," ","")&amp;";"&amp;"X"&amp;UPPER(Gewinde!$A$5:$A$54)&amp;";",SEARCH("X"&amp;UPPER(Gewinde!$A$5:$A$54)&amp;";",";"&amp;SUBSTITUTE(UPPER(Auftrag!$AG105)," ","")&amp;";"&amp;"X"&amp;UPPER(Gewinde!$A$5:$A$54)&amp;";")-1),";",REPT(" ",50)),50))),Gewinde!$C$5:$C$54),0))</f>
        <v/>
      </c>
      <c r="Q105" s="33">
        <f>IF($A105="","",(N($O105)+$P105)/3600*N(Auftrag!$H$8))</f>
        <v/>
      </c>
      <c r="R105" s="33">
        <f>IF($A105="","",IF($F$8=0,0,$F$7/$F$8))</f>
        <v/>
      </c>
      <c r="S105" s="33">
        <f>IF($A105="","",$F105*(1+$C$4)+($Q105+$R105)*(1+$C$5))</f>
        <v/>
      </c>
      <c r="T105" s="33">
        <f>IF($A105="","",$S105*(1+$C$6))</f>
        <v/>
      </c>
      <c r="U105" s="18">
        <f>IF($A105="","",$T105*$C105)</f>
        <v/>
      </c>
      <c r="V105" s="18">
        <f>IF($A105="","",$S105*$C105)</f>
        <v/>
      </c>
      <c r="W105" s="28">
        <f>IF($A105="","",IF(N(Auftrag!$AO105)&gt;0,"nicht vollständig eingeplant",IF($D105=0,"kein Schnittplan oder Preis",IF($H105="","keine Schneiddaten",IF(AND(Auftrag!$AF105&lt;&gt;"",Auftrag!$AG105=""),"Gewinde ungeprüft","")))))</f>
        <v/>
      </c>
      <c r="X105" s="18">
        <f>IF($A105="","",$F105*$C105)</f>
        <v/>
      </c>
      <c r="Y105" s="18">
        <f>IF($A105="","",$Q105*$C105)</f>
        <v/>
      </c>
    </row>
    <row r="106">
      <c r="A106" s="25">
        <f>IF(Auftrag!$D106="","",Auftrag!$A106)</f>
        <v/>
      </c>
      <c r="B106" s="25">
        <f>IF($A106="","",Auftrag!$B106)</f>
        <v/>
      </c>
      <c r="C106" s="15">
        <f>IF($A106="","",N(Auftrag!$G106))</f>
        <v/>
      </c>
      <c r="D106" s="18">
        <f>IF($A106="","",SUMIFS(Schnittplan!$R$5:$R$1004,Schnittplan!$B$5:$B$1004,Auftrag!$D106,Schnittplan!$C$5:$C$1004,Auftrag!$E106,Schnittplan!$D$5:$D$1004,Auftrag!$Q106))</f>
        <v/>
      </c>
      <c r="E106" s="32">
        <f>IF($A106="","",IFERROR(N(Auftrag!$P106)/SUMIFS(Auftrag!$P$13:$P$512,Auftrag!$D$13:$D$512,Auftrag!$D106,Auftrag!$E$13:$E$512,Auftrag!$E106,Auftrag!$Q$13:$Q$512,Auftrag!$Q106),0))</f>
        <v/>
      </c>
      <c r="F106" s="33">
        <f>IF($A106="","",IF($C106=0,0,$D106*$E106/$C106))</f>
        <v/>
      </c>
      <c r="G106" s="34">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5">
        <f>IF($A106="","",IF($H106="","",60*((N(Auftrag!$H106)-N(Auftrag!$AI106)-N(Auftrag!$AK106))/$H106+N(Auftrag!$AI106)/$J106+N(Auftrag!$AK106)/$I106+N(Auftrag!$AD106)/$K106)+N(Auftrag!$I106)*$L106))</f>
        <v/>
      </c>
      <c r="N106" s="35">
        <f>IF($A106="","",IF(OR($H106="",$C106=0),0,(60*SUMIFS(Stangenbelegung!$K$5:$K$10004,Stangenbelegung!$E$5:$E$10004,ROW())/$H106+SUMIFS(Stangenbelegung!$L$5:$L$10004,Stangenbelegung!$E$5:$E$10004,ROW())*$L106)/$C106))</f>
        <v/>
      </c>
      <c r="O106" s="35">
        <f>IF($A106="","",IF($M106="","",MAX(0,$M106-$N106)))</f>
        <v/>
      </c>
      <c r="P106" s="35">
        <f>IF($A106="","",IFERROR(SUMPRODUCT(--("0"&amp;TRIM(RIGHT(SUBSTITUTE(LEFT(";"&amp;SUBSTITUTE(UPPER(Auftrag!$AG106)," ","")&amp;";"&amp;"X"&amp;UPPER(Gewinde!$A$5:$A$54)&amp;";",SEARCH("X"&amp;UPPER(Gewinde!$A$5:$A$54)&amp;";",";"&amp;SUBSTITUTE(UPPER(Auftrag!$AG106)," ","")&amp;";"&amp;"X"&amp;UPPER(Gewinde!$A$5:$A$54)&amp;";")-1),";",REPT(" ",50)),50))),Gewinde!$C$5:$C$54),0))</f>
        <v/>
      </c>
      <c r="Q106" s="33">
        <f>IF($A106="","",(N($O106)+$P106)/3600*N(Auftrag!$H$8))</f>
        <v/>
      </c>
      <c r="R106" s="33">
        <f>IF($A106="","",IF($F$8=0,0,$F$7/$F$8))</f>
        <v/>
      </c>
      <c r="S106" s="33">
        <f>IF($A106="","",$F106*(1+$C$4)+($Q106+$R106)*(1+$C$5))</f>
        <v/>
      </c>
      <c r="T106" s="33">
        <f>IF($A106="","",$S106*(1+$C$6))</f>
        <v/>
      </c>
      <c r="U106" s="18">
        <f>IF($A106="","",$T106*$C106)</f>
        <v/>
      </c>
      <c r="V106" s="18">
        <f>IF($A106="","",$S106*$C106)</f>
        <v/>
      </c>
      <c r="W106" s="28">
        <f>IF($A106="","",IF(N(Auftrag!$AO106)&gt;0,"nicht vollständig eingeplant",IF($D106=0,"kein Schnittplan oder Preis",IF($H106="","keine Schneiddaten",IF(AND(Auftrag!$AF106&lt;&gt;"",Auftrag!$AG106=""),"Gewinde ungeprüft","")))))</f>
        <v/>
      </c>
      <c r="X106" s="18">
        <f>IF($A106="","",$F106*$C106)</f>
        <v/>
      </c>
      <c r="Y106" s="18">
        <f>IF($A106="","",$Q106*$C106)</f>
        <v/>
      </c>
    </row>
    <row r="107">
      <c r="A107" s="25">
        <f>IF(Auftrag!$D107="","",Auftrag!$A107)</f>
        <v/>
      </c>
      <c r="B107" s="25">
        <f>IF($A107="","",Auftrag!$B107)</f>
        <v/>
      </c>
      <c r="C107" s="15">
        <f>IF($A107="","",N(Auftrag!$G107))</f>
        <v/>
      </c>
      <c r="D107" s="18">
        <f>IF($A107="","",SUMIFS(Schnittplan!$R$5:$R$1004,Schnittplan!$B$5:$B$1004,Auftrag!$D107,Schnittplan!$C$5:$C$1004,Auftrag!$E107,Schnittplan!$D$5:$D$1004,Auftrag!$Q107))</f>
        <v/>
      </c>
      <c r="E107" s="32">
        <f>IF($A107="","",IFERROR(N(Auftrag!$P107)/SUMIFS(Auftrag!$P$13:$P$512,Auftrag!$D$13:$D$512,Auftrag!$D107,Auftrag!$E$13:$E$512,Auftrag!$E107,Auftrag!$Q$13:$Q$512,Auftrag!$Q107),0))</f>
        <v/>
      </c>
      <c r="F107" s="33">
        <f>IF($A107="","",IF($C107=0,0,$D107*$E107/$C107))</f>
        <v/>
      </c>
      <c r="G107" s="34">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5">
        <f>IF($A107="","",IF($H107="","",60*((N(Auftrag!$H107)-N(Auftrag!$AI107)-N(Auftrag!$AK107))/$H107+N(Auftrag!$AI107)/$J107+N(Auftrag!$AK107)/$I107+N(Auftrag!$AD107)/$K107)+N(Auftrag!$I107)*$L107))</f>
        <v/>
      </c>
      <c r="N107" s="35">
        <f>IF($A107="","",IF(OR($H107="",$C107=0),0,(60*SUMIFS(Stangenbelegung!$K$5:$K$10004,Stangenbelegung!$E$5:$E$10004,ROW())/$H107+SUMIFS(Stangenbelegung!$L$5:$L$10004,Stangenbelegung!$E$5:$E$10004,ROW())*$L107)/$C107))</f>
        <v/>
      </c>
      <c r="O107" s="35">
        <f>IF($A107="","",IF($M107="","",MAX(0,$M107-$N107)))</f>
        <v/>
      </c>
      <c r="P107" s="35">
        <f>IF($A107="","",IFERROR(SUMPRODUCT(--("0"&amp;TRIM(RIGHT(SUBSTITUTE(LEFT(";"&amp;SUBSTITUTE(UPPER(Auftrag!$AG107)," ","")&amp;";"&amp;"X"&amp;UPPER(Gewinde!$A$5:$A$54)&amp;";",SEARCH("X"&amp;UPPER(Gewinde!$A$5:$A$54)&amp;";",";"&amp;SUBSTITUTE(UPPER(Auftrag!$AG107)," ","")&amp;";"&amp;"X"&amp;UPPER(Gewinde!$A$5:$A$54)&amp;";")-1),";",REPT(" ",50)),50))),Gewinde!$C$5:$C$54),0))</f>
        <v/>
      </c>
      <c r="Q107" s="33">
        <f>IF($A107="","",(N($O107)+$P107)/3600*N(Auftrag!$H$8))</f>
        <v/>
      </c>
      <c r="R107" s="33">
        <f>IF($A107="","",IF($F$8=0,0,$F$7/$F$8))</f>
        <v/>
      </c>
      <c r="S107" s="33">
        <f>IF($A107="","",$F107*(1+$C$4)+($Q107+$R107)*(1+$C$5))</f>
        <v/>
      </c>
      <c r="T107" s="33">
        <f>IF($A107="","",$S107*(1+$C$6))</f>
        <v/>
      </c>
      <c r="U107" s="18">
        <f>IF($A107="","",$T107*$C107)</f>
        <v/>
      </c>
      <c r="V107" s="18">
        <f>IF($A107="","",$S107*$C107)</f>
        <v/>
      </c>
      <c r="W107" s="28">
        <f>IF($A107="","",IF(N(Auftrag!$AO107)&gt;0,"nicht vollständig eingeplant",IF($D107=0,"kein Schnittplan oder Preis",IF($H107="","keine Schneiddaten",IF(AND(Auftrag!$AF107&lt;&gt;"",Auftrag!$AG107=""),"Gewinde ungeprüft","")))))</f>
        <v/>
      </c>
      <c r="X107" s="18">
        <f>IF($A107="","",$F107*$C107)</f>
        <v/>
      </c>
      <c r="Y107" s="18">
        <f>IF($A107="","",$Q107*$C107)</f>
        <v/>
      </c>
    </row>
    <row r="108">
      <c r="A108" s="25">
        <f>IF(Auftrag!$D108="","",Auftrag!$A108)</f>
        <v/>
      </c>
      <c r="B108" s="25">
        <f>IF($A108="","",Auftrag!$B108)</f>
        <v/>
      </c>
      <c r="C108" s="15">
        <f>IF($A108="","",N(Auftrag!$G108))</f>
        <v/>
      </c>
      <c r="D108" s="18">
        <f>IF($A108="","",SUMIFS(Schnittplan!$R$5:$R$1004,Schnittplan!$B$5:$B$1004,Auftrag!$D108,Schnittplan!$C$5:$C$1004,Auftrag!$E108,Schnittplan!$D$5:$D$1004,Auftrag!$Q108))</f>
        <v/>
      </c>
      <c r="E108" s="32">
        <f>IF($A108="","",IFERROR(N(Auftrag!$P108)/SUMIFS(Auftrag!$P$13:$P$512,Auftrag!$D$13:$D$512,Auftrag!$D108,Auftrag!$E$13:$E$512,Auftrag!$E108,Auftrag!$Q$13:$Q$512,Auftrag!$Q108),0))</f>
        <v/>
      </c>
      <c r="F108" s="33">
        <f>IF($A108="","",IF($C108=0,0,$D108*$E108/$C108))</f>
        <v/>
      </c>
      <c r="G108" s="34">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5">
        <f>IF($A108="","",IF($H108="","",60*((N(Auftrag!$H108)-N(Auftrag!$AI108)-N(Auftrag!$AK108))/$H108+N(Auftrag!$AI108)/$J108+N(Auftrag!$AK108)/$I108+N(Auftrag!$AD108)/$K108)+N(Auftrag!$I108)*$L108))</f>
        <v/>
      </c>
      <c r="N108" s="35">
        <f>IF($A108="","",IF(OR($H108="",$C108=0),0,(60*SUMIFS(Stangenbelegung!$K$5:$K$10004,Stangenbelegung!$E$5:$E$10004,ROW())/$H108+SUMIFS(Stangenbelegung!$L$5:$L$10004,Stangenbelegung!$E$5:$E$10004,ROW())*$L108)/$C108))</f>
        <v/>
      </c>
      <c r="O108" s="35">
        <f>IF($A108="","",IF($M108="","",MAX(0,$M108-$N108)))</f>
        <v/>
      </c>
      <c r="P108" s="35">
        <f>IF($A108="","",IFERROR(SUMPRODUCT(--("0"&amp;TRIM(RIGHT(SUBSTITUTE(LEFT(";"&amp;SUBSTITUTE(UPPER(Auftrag!$AG108)," ","")&amp;";"&amp;"X"&amp;UPPER(Gewinde!$A$5:$A$54)&amp;";",SEARCH("X"&amp;UPPER(Gewinde!$A$5:$A$54)&amp;";",";"&amp;SUBSTITUTE(UPPER(Auftrag!$AG108)," ","")&amp;";"&amp;"X"&amp;UPPER(Gewinde!$A$5:$A$54)&amp;";")-1),";",REPT(" ",50)),50))),Gewinde!$C$5:$C$54),0))</f>
        <v/>
      </c>
      <c r="Q108" s="33">
        <f>IF($A108="","",(N($O108)+$P108)/3600*N(Auftrag!$H$8))</f>
        <v/>
      </c>
      <c r="R108" s="33">
        <f>IF($A108="","",IF($F$8=0,0,$F$7/$F$8))</f>
        <v/>
      </c>
      <c r="S108" s="33">
        <f>IF($A108="","",$F108*(1+$C$4)+($Q108+$R108)*(1+$C$5))</f>
        <v/>
      </c>
      <c r="T108" s="33">
        <f>IF($A108="","",$S108*(1+$C$6))</f>
        <v/>
      </c>
      <c r="U108" s="18">
        <f>IF($A108="","",$T108*$C108)</f>
        <v/>
      </c>
      <c r="V108" s="18">
        <f>IF($A108="","",$S108*$C108)</f>
        <v/>
      </c>
      <c r="W108" s="28">
        <f>IF($A108="","",IF(N(Auftrag!$AO108)&gt;0,"nicht vollständig eingeplant",IF($D108=0,"kein Schnittplan oder Preis",IF($H108="","keine Schneiddaten",IF(AND(Auftrag!$AF108&lt;&gt;"",Auftrag!$AG108=""),"Gewinde ungeprüft","")))))</f>
        <v/>
      </c>
      <c r="X108" s="18">
        <f>IF($A108="","",$F108*$C108)</f>
        <v/>
      </c>
      <c r="Y108" s="18">
        <f>IF($A108="","",$Q108*$C108)</f>
        <v/>
      </c>
    </row>
    <row r="109">
      <c r="A109" s="25">
        <f>IF(Auftrag!$D109="","",Auftrag!$A109)</f>
        <v/>
      </c>
      <c r="B109" s="25">
        <f>IF($A109="","",Auftrag!$B109)</f>
        <v/>
      </c>
      <c r="C109" s="15">
        <f>IF($A109="","",N(Auftrag!$G109))</f>
        <v/>
      </c>
      <c r="D109" s="18">
        <f>IF($A109="","",SUMIFS(Schnittplan!$R$5:$R$1004,Schnittplan!$B$5:$B$1004,Auftrag!$D109,Schnittplan!$C$5:$C$1004,Auftrag!$E109,Schnittplan!$D$5:$D$1004,Auftrag!$Q109))</f>
        <v/>
      </c>
      <c r="E109" s="32">
        <f>IF($A109="","",IFERROR(N(Auftrag!$P109)/SUMIFS(Auftrag!$P$13:$P$512,Auftrag!$D$13:$D$512,Auftrag!$D109,Auftrag!$E$13:$E$512,Auftrag!$E109,Auftrag!$Q$13:$Q$512,Auftrag!$Q109),0))</f>
        <v/>
      </c>
      <c r="F109" s="33">
        <f>IF($A109="","",IF($C109=0,0,$D109*$E109/$C109))</f>
        <v/>
      </c>
      <c r="G109" s="34">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5">
        <f>IF($A109="","",IF($H109="","",60*((N(Auftrag!$H109)-N(Auftrag!$AI109)-N(Auftrag!$AK109))/$H109+N(Auftrag!$AI109)/$J109+N(Auftrag!$AK109)/$I109+N(Auftrag!$AD109)/$K109)+N(Auftrag!$I109)*$L109))</f>
        <v/>
      </c>
      <c r="N109" s="35">
        <f>IF($A109="","",IF(OR($H109="",$C109=0),0,(60*SUMIFS(Stangenbelegung!$K$5:$K$10004,Stangenbelegung!$E$5:$E$10004,ROW())/$H109+SUMIFS(Stangenbelegung!$L$5:$L$10004,Stangenbelegung!$E$5:$E$10004,ROW())*$L109)/$C109))</f>
        <v/>
      </c>
      <c r="O109" s="35">
        <f>IF($A109="","",IF($M109="","",MAX(0,$M109-$N109)))</f>
        <v/>
      </c>
      <c r="P109" s="35">
        <f>IF($A109="","",IFERROR(SUMPRODUCT(--("0"&amp;TRIM(RIGHT(SUBSTITUTE(LEFT(";"&amp;SUBSTITUTE(UPPER(Auftrag!$AG109)," ","")&amp;";"&amp;"X"&amp;UPPER(Gewinde!$A$5:$A$54)&amp;";",SEARCH("X"&amp;UPPER(Gewinde!$A$5:$A$54)&amp;";",";"&amp;SUBSTITUTE(UPPER(Auftrag!$AG109)," ","")&amp;";"&amp;"X"&amp;UPPER(Gewinde!$A$5:$A$54)&amp;";")-1),";",REPT(" ",50)),50))),Gewinde!$C$5:$C$54),0))</f>
        <v/>
      </c>
      <c r="Q109" s="33">
        <f>IF($A109="","",(N($O109)+$P109)/3600*N(Auftrag!$H$8))</f>
        <v/>
      </c>
      <c r="R109" s="33">
        <f>IF($A109="","",IF($F$8=0,0,$F$7/$F$8))</f>
        <v/>
      </c>
      <c r="S109" s="33">
        <f>IF($A109="","",$F109*(1+$C$4)+($Q109+$R109)*(1+$C$5))</f>
        <v/>
      </c>
      <c r="T109" s="33">
        <f>IF($A109="","",$S109*(1+$C$6))</f>
        <v/>
      </c>
      <c r="U109" s="18">
        <f>IF($A109="","",$T109*$C109)</f>
        <v/>
      </c>
      <c r="V109" s="18">
        <f>IF($A109="","",$S109*$C109)</f>
        <v/>
      </c>
      <c r="W109" s="28">
        <f>IF($A109="","",IF(N(Auftrag!$AO109)&gt;0,"nicht vollständig eingeplant",IF($D109=0,"kein Schnittplan oder Preis",IF($H109="","keine Schneiddaten",IF(AND(Auftrag!$AF109&lt;&gt;"",Auftrag!$AG109=""),"Gewinde ungeprüft","")))))</f>
        <v/>
      </c>
      <c r="X109" s="18">
        <f>IF($A109="","",$F109*$C109)</f>
        <v/>
      </c>
      <c r="Y109" s="18">
        <f>IF($A109="","",$Q109*$C109)</f>
        <v/>
      </c>
    </row>
    <row r="110">
      <c r="A110" s="25">
        <f>IF(Auftrag!$D110="","",Auftrag!$A110)</f>
        <v/>
      </c>
      <c r="B110" s="25">
        <f>IF($A110="","",Auftrag!$B110)</f>
        <v/>
      </c>
      <c r="C110" s="15">
        <f>IF($A110="","",N(Auftrag!$G110))</f>
        <v/>
      </c>
      <c r="D110" s="18">
        <f>IF($A110="","",SUMIFS(Schnittplan!$R$5:$R$1004,Schnittplan!$B$5:$B$1004,Auftrag!$D110,Schnittplan!$C$5:$C$1004,Auftrag!$E110,Schnittplan!$D$5:$D$1004,Auftrag!$Q110))</f>
        <v/>
      </c>
      <c r="E110" s="32">
        <f>IF($A110="","",IFERROR(N(Auftrag!$P110)/SUMIFS(Auftrag!$P$13:$P$512,Auftrag!$D$13:$D$512,Auftrag!$D110,Auftrag!$E$13:$E$512,Auftrag!$E110,Auftrag!$Q$13:$Q$512,Auftrag!$Q110),0))</f>
        <v/>
      </c>
      <c r="F110" s="33">
        <f>IF($A110="","",IF($C110=0,0,$D110*$E110/$C110))</f>
        <v/>
      </c>
      <c r="G110" s="34">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5">
        <f>IF($A110="","",IF($H110="","",60*((N(Auftrag!$H110)-N(Auftrag!$AI110)-N(Auftrag!$AK110))/$H110+N(Auftrag!$AI110)/$J110+N(Auftrag!$AK110)/$I110+N(Auftrag!$AD110)/$K110)+N(Auftrag!$I110)*$L110))</f>
        <v/>
      </c>
      <c r="N110" s="35">
        <f>IF($A110="","",IF(OR($H110="",$C110=0),0,(60*SUMIFS(Stangenbelegung!$K$5:$K$10004,Stangenbelegung!$E$5:$E$10004,ROW())/$H110+SUMIFS(Stangenbelegung!$L$5:$L$10004,Stangenbelegung!$E$5:$E$10004,ROW())*$L110)/$C110))</f>
        <v/>
      </c>
      <c r="O110" s="35">
        <f>IF($A110="","",IF($M110="","",MAX(0,$M110-$N110)))</f>
        <v/>
      </c>
      <c r="P110" s="35">
        <f>IF($A110="","",IFERROR(SUMPRODUCT(--("0"&amp;TRIM(RIGHT(SUBSTITUTE(LEFT(";"&amp;SUBSTITUTE(UPPER(Auftrag!$AG110)," ","")&amp;";"&amp;"X"&amp;UPPER(Gewinde!$A$5:$A$54)&amp;";",SEARCH("X"&amp;UPPER(Gewinde!$A$5:$A$54)&amp;";",";"&amp;SUBSTITUTE(UPPER(Auftrag!$AG110)," ","")&amp;";"&amp;"X"&amp;UPPER(Gewinde!$A$5:$A$54)&amp;";")-1),";",REPT(" ",50)),50))),Gewinde!$C$5:$C$54),0))</f>
        <v/>
      </c>
      <c r="Q110" s="33">
        <f>IF($A110="","",(N($O110)+$P110)/3600*N(Auftrag!$H$8))</f>
        <v/>
      </c>
      <c r="R110" s="33">
        <f>IF($A110="","",IF($F$8=0,0,$F$7/$F$8))</f>
        <v/>
      </c>
      <c r="S110" s="33">
        <f>IF($A110="","",$F110*(1+$C$4)+($Q110+$R110)*(1+$C$5))</f>
        <v/>
      </c>
      <c r="T110" s="33">
        <f>IF($A110="","",$S110*(1+$C$6))</f>
        <v/>
      </c>
      <c r="U110" s="18">
        <f>IF($A110="","",$T110*$C110)</f>
        <v/>
      </c>
      <c r="V110" s="18">
        <f>IF($A110="","",$S110*$C110)</f>
        <v/>
      </c>
      <c r="W110" s="28">
        <f>IF($A110="","",IF(N(Auftrag!$AO110)&gt;0,"nicht vollständig eingeplant",IF($D110=0,"kein Schnittplan oder Preis",IF($H110="","keine Schneiddaten",IF(AND(Auftrag!$AF110&lt;&gt;"",Auftrag!$AG110=""),"Gewinde ungeprüft","")))))</f>
        <v/>
      </c>
      <c r="X110" s="18">
        <f>IF($A110="","",$F110*$C110)</f>
        <v/>
      </c>
      <c r="Y110" s="18">
        <f>IF($A110="","",$Q110*$C110)</f>
        <v/>
      </c>
    </row>
    <row r="111">
      <c r="A111" s="25">
        <f>IF(Auftrag!$D111="","",Auftrag!$A111)</f>
        <v/>
      </c>
      <c r="B111" s="25">
        <f>IF($A111="","",Auftrag!$B111)</f>
        <v/>
      </c>
      <c r="C111" s="15">
        <f>IF($A111="","",N(Auftrag!$G111))</f>
        <v/>
      </c>
      <c r="D111" s="18">
        <f>IF($A111="","",SUMIFS(Schnittplan!$R$5:$R$1004,Schnittplan!$B$5:$B$1004,Auftrag!$D111,Schnittplan!$C$5:$C$1004,Auftrag!$E111,Schnittplan!$D$5:$D$1004,Auftrag!$Q111))</f>
        <v/>
      </c>
      <c r="E111" s="32">
        <f>IF($A111="","",IFERROR(N(Auftrag!$P111)/SUMIFS(Auftrag!$P$13:$P$512,Auftrag!$D$13:$D$512,Auftrag!$D111,Auftrag!$E$13:$E$512,Auftrag!$E111,Auftrag!$Q$13:$Q$512,Auftrag!$Q111),0))</f>
        <v/>
      </c>
      <c r="F111" s="33">
        <f>IF($A111="","",IF($C111=0,0,$D111*$E111/$C111))</f>
        <v/>
      </c>
      <c r="G111" s="34">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5">
        <f>IF($A111="","",IF($H111="","",60*((N(Auftrag!$H111)-N(Auftrag!$AI111)-N(Auftrag!$AK111))/$H111+N(Auftrag!$AI111)/$J111+N(Auftrag!$AK111)/$I111+N(Auftrag!$AD111)/$K111)+N(Auftrag!$I111)*$L111))</f>
        <v/>
      </c>
      <c r="N111" s="35">
        <f>IF($A111="","",IF(OR($H111="",$C111=0),0,(60*SUMIFS(Stangenbelegung!$K$5:$K$10004,Stangenbelegung!$E$5:$E$10004,ROW())/$H111+SUMIFS(Stangenbelegung!$L$5:$L$10004,Stangenbelegung!$E$5:$E$10004,ROW())*$L111)/$C111))</f>
        <v/>
      </c>
      <c r="O111" s="35">
        <f>IF($A111="","",IF($M111="","",MAX(0,$M111-$N111)))</f>
        <v/>
      </c>
      <c r="P111" s="35">
        <f>IF($A111="","",IFERROR(SUMPRODUCT(--("0"&amp;TRIM(RIGHT(SUBSTITUTE(LEFT(";"&amp;SUBSTITUTE(UPPER(Auftrag!$AG111)," ","")&amp;";"&amp;"X"&amp;UPPER(Gewinde!$A$5:$A$54)&amp;";",SEARCH("X"&amp;UPPER(Gewinde!$A$5:$A$54)&amp;";",";"&amp;SUBSTITUTE(UPPER(Auftrag!$AG111)," ","")&amp;";"&amp;"X"&amp;UPPER(Gewinde!$A$5:$A$54)&amp;";")-1),";",REPT(" ",50)),50))),Gewinde!$C$5:$C$54),0))</f>
        <v/>
      </c>
      <c r="Q111" s="33">
        <f>IF($A111="","",(N($O111)+$P111)/3600*N(Auftrag!$H$8))</f>
        <v/>
      </c>
      <c r="R111" s="33">
        <f>IF($A111="","",IF($F$8=0,0,$F$7/$F$8))</f>
        <v/>
      </c>
      <c r="S111" s="33">
        <f>IF($A111="","",$F111*(1+$C$4)+($Q111+$R111)*(1+$C$5))</f>
        <v/>
      </c>
      <c r="T111" s="33">
        <f>IF($A111="","",$S111*(1+$C$6))</f>
        <v/>
      </c>
      <c r="U111" s="18">
        <f>IF($A111="","",$T111*$C111)</f>
        <v/>
      </c>
      <c r="V111" s="18">
        <f>IF($A111="","",$S111*$C111)</f>
        <v/>
      </c>
      <c r="W111" s="28">
        <f>IF($A111="","",IF(N(Auftrag!$AO111)&gt;0,"nicht vollständig eingeplant",IF($D111=0,"kein Schnittplan oder Preis",IF($H111="","keine Schneiddaten",IF(AND(Auftrag!$AF111&lt;&gt;"",Auftrag!$AG111=""),"Gewinde ungeprüft","")))))</f>
        <v/>
      </c>
      <c r="X111" s="18">
        <f>IF($A111="","",$F111*$C111)</f>
        <v/>
      </c>
      <c r="Y111" s="18">
        <f>IF($A111="","",$Q111*$C111)</f>
        <v/>
      </c>
    </row>
    <row r="112">
      <c r="A112" s="25">
        <f>IF(Auftrag!$D112="","",Auftrag!$A112)</f>
        <v/>
      </c>
      <c r="B112" s="25">
        <f>IF($A112="","",Auftrag!$B112)</f>
        <v/>
      </c>
      <c r="C112" s="15">
        <f>IF($A112="","",N(Auftrag!$G112))</f>
        <v/>
      </c>
      <c r="D112" s="18">
        <f>IF($A112="","",SUMIFS(Schnittplan!$R$5:$R$1004,Schnittplan!$B$5:$B$1004,Auftrag!$D112,Schnittplan!$C$5:$C$1004,Auftrag!$E112,Schnittplan!$D$5:$D$1004,Auftrag!$Q112))</f>
        <v/>
      </c>
      <c r="E112" s="32">
        <f>IF($A112="","",IFERROR(N(Auftrag!$P112)/SUMIFS(Auftrag!$P$13:$P$512,Auftrag!$D$13:$D$512,Auftrag!$D112,Auftrag!$E$13:$E$512,Auftrag!$E112,Auftrag!$Q$13:$Q$512,Auftrag!$Q112),0))</f>
        <v/>
      </c>
      <c r="F112" s="33">
        <f>IF($A112="","",IF($C112=0,0,$D112*$E112/$C112))</f>
        <v/>
      </c>
      <c r="G112" s="34">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5">
        <f>IF($A112="","",IF($H112="","",60*((N(Auftrag!$H112)-N(Auftrag!$AI112)-N(Auftrag!$AK112))/$H112+N(Auftrag!$AI112)/$J112+N(Auftrag!$AK112)/$I112+N(Auftrag!$AD112)/$K112)+N(Auftrag!$I112)*$L112))</f>
        <v/>
      </c>
      <c r="N112" s="35">
        <f>IF($A112="","",IF(OR($H112="",$C112=0),0,(60*SUMIFS(Stangenbelegung!$K$5:$K$10004,Stangenbelegung!$E$5:$E$10004,ROW())/$H112+SUMIFS(Stangenbelegung!$L$5:$L$10004,Stangenbelegung!$E$5:$E$10004,ROW())*$L112)/$C112))</f>
        <v/>
      </c>
      <c r="O112" s="35">
        <f>IF($A112="","",IF($M112="","",MAX(0,$M112-$N112)))</f>
        <v/>
      </c>
      <c r="P112" s="35">
        <f>IF($A112="","",IFERROR(SUMPRODUCT(--("0"&amp;TRIM(RIGHT(SUBSTITUTE(LEFT(";"&amp;SUBSTITUTE(UPPER(Auftrag!$AG112)," ","")&amp;";"&amp;"X"&amp;UPPER(Gewinde!$A$5:$A$54)&amp;";",SEARCH("X"&amp;UPPER(Gewinde!$A$5:$A$54)&amp;";",";"&amp;SUBSTITUTE(UPPER(Auftrag!$AG112)," ","")&amp;";"&amp;"X"&amp;UPPER(Gewinde!$A$5:$A$54)&amp;";")-1),";",REPT(" ",50)),50))),Gewinde!$C$5:$C$54),0))</f>
        <v/>
      </c>
      <c r="Q112" s="33">
        <f>IF($A112="","",(N($O112)+$P112)/3600*N(Auftrag!$H$8))</f>
        <v/>
      </c>
      <c r="R112" s="33">
        <f>IF($A112="","",IF($F$8=0,0,$F$7/$F$8))</f>
        <v/>
      </c>
      <c r="S112" s="33">
        <f>IF($A112="","",$F112*(1+$C$4)+($Q112+$R112)*(1+$C$5))</f>
        <v/>
      </c>
      <c r="T112" s="33">
        <f>IF($A112="","",$S112*(1+$C$6))</f>
        <v/>
      </c>
      <c r="U112" s="18">
        <f>IF($A112="","",$T112*$C112)</f>
        <v/>
      </c>
      <c r="V112" s="18">
        <f>IF($A112="","",$S112*$C112)</f>
        <v/>
      </c>
      <c r="W112" s="28">
        <f>IF($A112="","",IF(N(Auftrag!$AO112)&gt;0,"nicht vollständig eingeplant",IF($D112=0,"kein Schnittplan oder Preis",IF($H112="","keine Schneiddaten",IF(AND(Auftrag!$AF112&lt;&gt;"",Auftrag!$AG112=""),"Gewinde ungeprüft","")))))</f>
        <v/>
      </c>
      <c r="X112" s="18">
        <f>IF($A112="","",$F112*$C112)</f>
        <v/>
      </c>
      <c r="Y112" s="18">
        <f>IF($A112="","",$Q112*$C112)</f>
        <v/>
      </c>
    </row>
    <row r="113">
      <c r="A113" s="25">
        <f>IF(Auftrag!$D113="","",Auftrag!$A113)</f>
        <v/>
      </c>
      <c r="B113" s="25">
        <f>IF($A113="","",Auftrag!$B113)</f>
        <v/>
      </c>
      <c r="C113" s="15">
        <f>IF($A113="","",N(Auftrag!$G113))</f>
        <v/>
      </c>
      <c r="D113" s="18">
        <f>IF($A113="","",SUMIFS(Schnittplan!$R$5:$R$1004,Schnittplan!$B$5:$B$1004,Auftrag!$D113,Schnittplan!$C$5:$C$1004,Auftrag!$E113,Schnittplan!$D$5:$D$1004,Auftrag!$Q113))</f>
        <v/>
      </c>
      <c r="E113" s="32">
        <f>IF($A113="","",IFERROR(N(Auftrag!$P113)/SUMIFS(Auftrag!$P$13:$P$512,Auftrag!$D$13:$D$512,Auftrag!$D113,Auftrag!$E$13:$E$512,Auftrag!$E113,Auftrag!$Q$13:$Q$512,Auftrag!$Q113),0))</f>
        <v/>
      </c>
      <c r="F113" s="33">
        <f>IF($A113="","",IF($C113=0,0,$D113*$E113/$C113))</f>
        <v/>
      </c>
      <c r="G113" s="34">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5">
        <f>IF($A113="","",IF($H113="","",60*((N(Auftrag!$H113)-N(Auftrag!$AI113)-N(Auftrag!$AK113))/$H113+N(Auftrag!$AI113)/$J113+N(Auftrag!$AK113)/$I113+N(Auftrag!$AD113)/$K113)+N(Auftrag!$I113)*$L113))</f>
        <v/>
      </c>
      <c r="N113" s="35">
        <f>IF($A113="","",IF(OR($H113="",$C113=0),0,(60*SUMIFS(Stangenbelegung!$K$5:$K$10004,Stangenbelegung!$E$5:$E$10004,ROW())/$H113+SUMIFS(Stangenbelegung!$L$5:$L$10004,Stangenbelegung!$E$5:$E$10004,ROW())*$L113)/$C113))</f>
        <v/>
      </c>
      <c r="O113" s="35">
        <f>IF($A113="","",IF($M113="","",MAX(0,$M113-$N113)))</f>
        <v/>
      </c>
      <c r="P113" s="35">
        <f>IF($A113="","",IFERROR(SUMPRODUCT(--("0"&amp;TRIM(RIGHT(SUBSTITUTE(LEFT(";"&amp;SUBSTITUTE(UPPER(Auftrag!$AG113)," ","")&amp;";"&amp;"X"&amp;UPPER(Gewinde!$A$5:$A$54)&amp;";",SEARCH("X"&amp;UPPER(Gewinde!$A$5:$A$54)&amp;";",";"&amp;SUBSTITUTE(UPPER(Auftrag!$AG113)," ","")&amp;";"&amp;"X"&amp;UPPER(Gewinde!$A$5:$A$54)&amp;";")-1),";",REPT(" ",50)),50))),Gewinde!$C$5:$C$54),0))</f>
        <v/>
      </c>
      <c r="Q113" s="33">
        <f>IF($A113="","",(N($O113)+$P113)/3600*N(Auftrag!$H$8))</f>
        <v/>
      </c>
      <c r="R113" s="33">
        <f>IF($A113="","",IF($F$8=0,0,$F$7/$F$8))</f>
        <v/>
      </c>
      <c r="S113" s="33">
        <f>IF($A113="","",$F113*(1+$C$4)+($Q113+$R113)*(1+$C$5))</f>
        <v/>
      </c>
      <c r="T113" s="33">
        <f>IF($A113="","",$S113*(1+$C$6))</f>
        <v/>
      </c>
      <c r="U113" s="18">
        <f>IF($A113="","",$T113*$C113)</f>
        <v/>
      </c>
      <c r="V113" s="18">
        <f>IF($A113="","",$S113*$C113)</f>
        <v/>
      </c>
      <c r="W113" s="28">
        <f>IF($A113="","",IF(N(Auftrag!$AO113)&gt;0,"nicht vollständig eingeplant",IF($D113=0,"kein Schnittplan oder Preis",IF($H113="","keine Schneiddaten",IF(AND(Auftrag!$AF113&lt;&gt;"",Auftrag!$AG113=""),"Gewinde ungeprüft","")))))</f>
        <v/>
      </c>
      <c r="X113" s="18">
        <f>IF($A113="","",$F113*$C113)</f>
        <v/>
      </c>
      <c r="Y113" s="18">
        <f>IF($A113="","",$Q113*$C113)</f>
        <v/>
      </c>
    </row>
    <row r="114">
      <c r="A114" s="25">
        <f>IF(Auftrag!$D114="","",Auftrag!$A114)</f>
        <v/>
      </c>
      <c r="B114" s="25">
        <f>IF($A114="","",Auftrag!$B114)</f>
        <v/>
      </c>
      <c r="C114" s="15">
        <f>IF($A114="","",N(Auftrag!$G114))</f>
        <v/>
      </c>
      <c r="D114" s="18">
        <f>IF($A114="","",SUMIFS(Schnittplan!$R$5:$R$1004,Schnittplan!$B$5:$B$1004,Auftrag!$D114,Schnittplan!$C$5:$C$1004,Auftrag!$E114,Schnittplan!$D$5:$D$1004,Auftrag!$Q114))</f>
        <v/>
      </c>
      <c r="E114" s="32">
        <f>IF($A114="","",IFERROR(N(Auftrag!$P114)/SUMIFS(Auftrag!$P$13:$P$512,Auftrag!$D$13:$D$512,Auftrag!$D114,Auftrag!$E$13:$E$512,Auftrag!$E114,Auftrag!$Q$13:$Q$512,Auftrag!$Q114),0))</f>
        <v/>
      </c>
      <c r="F114" s="33">
        <f>IF($A114="","",IF($C114=0,0,$D114*$E114/$C114))</f>
        <v/>
      </c>
      <c r="G114" s="34">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5">
        <f>IF($A114="","",IF($H114="","",60*((N(Auftrag!$H114)-N(Auftrag!$AI114)-N(Auftrag!$AK114))/$H114+N(Auftrag!$AI114)/$J114+N(Auftrag!$AK114)/$I114+N(Auftrag!$AD114)/$K114)+N(Auftrag!$I114)*$L114))</f>
        <v/>
      </c>
      <c r="N114" s="35">
        <f>IF($A114="","",IF(OR($H114="",$C114=0),0,(60*SUMIFS(Stangenbelegung!$K$5:$K$10004,Stangenbelegung!$E$5:$E$10004,ROW())/$H114+SUMIFS(Stangenbelegung!$L$5:$L$10004,Stangenbelegung!$E$5:$E$10004,ROW())*$L114)/$C114))</f>
        <v/>
      </c>
      <c r="O114" s="35">
        <f>IF($A114="","",IF($M114="","",MAX(0,$M114-$N114)))</f>
        <v/>
      </c>
      <c r="P114" s="35">
        <f>IF($A114="","",IFERROR(SUMPRODUCT(--("0"&amp;TRIM(RIGHT(SUBSTITUTE(LEFT(";"&amp;SUBSTITUTE(UPPER(Auftrag!$AG114)," ","")&amp;";"&amp;"X"&amp;UPPER(Gewinde!$A$5:$A$54)&amp;";",SEARCH("X"&amp;UPPER(Gewinde!$A$5:$A$54)&amp;";",";"&amp;SUBSTITUTE(UPPER(Auftrag!$AG114)," ","")&amp;";"&amp;"X"&amp;UPPER(Gewinde!$A$5:$A$54)&amp;";")-1),";",REPT(" ",50)),50))),Gewinde!$C$5:$C$54),0))</f>
        <v/>
      </c>
      <c r="Q114" s="33">
        <f>IF($A114="","",(N($O114)+$P114)/3600*N(Auftrag!$H$8))</f>
        <v/>
      </c>
      <c r="R114" s="33">
        <f>IF($A114="","",IF($F$8=0,0,$F$7/$F$8))</f>
        <v/>
      </c>
      <c r="S114" s="33">
        <f>IF($A114="","",$F114*(1+$C$4)+($Q114+$R114)*(1+$C$5))</f>
        <v/>
      </c>
      <c r="T114" s="33">
        <f>IF($A114="","",$S114*(1+$C$6))</f>
        <v/>
      </c>
      <c r="U114" s="18">
        <f>IF($A114="","",$T114*$C114)</f>
        <v/>
      </c>
      <c r="V114" s="18">
        <f>IF($A114="","",$S114*$C114)</f>
        <v/>
      </c>
      <c r="W114" s="28">
        <f>IF($A114="","",IF(N(Auftrag!$AO114)&gt;0,"nicht vollständig eingeplant",IF($D114=0,"kein Schnittplan oder Preis",IF($H114="","keine Schneiddaten",IF(AND(Auftrag!$AF114&lt;&gt;"",Auftrag!$AG114=""),"Gewinde ungeprüft","")))))</f>
        <v/>
      </c>
      <c r="X114" s="18">
        <f>IF($A114="","",$F114*$C114)</f>
        <v/>
      </c>
      <c r="Y114" s="18">
        <f>IF($A114="","",$Q114*$C114)</f>
        <v/>
      </c>
    </row>
    <row r="115">
      <c r="A115" s="25">
        <f>IF(Auftrag!$D115="","",Auftrag!$A115)</f>
        <v/>
      </c>
      <c r="B115" s="25">
        <f>IF($A115="","",Auftrag!$B115)</f>
        <v/>
      </c>
      <c r="C115" s="15">
        <f>IF($A115="","",N(Auftrag!$G115))</f>
        <v/>
      </c>
      <c r="D115" s="18">
        <f>IF($A115="","",SUMIFS(Schnittplan!$R$5:$R$1004,Schnittplan!$B$5:$B$1004,Auftrag!$D115,Schnittplan!$C$5:$C$1004,Auftrag!$E115,Schnittplan!$D$5:$D$1004,Auftrag!$Q115))</f>
        <v/>
      </c>
      <c r="E115" s="32">
        <f>IF($A115="","",IFERROR(N(Auftrag!$P115)/SUMIFS(Auftrag!$P$13:$P$512,Auftrag!$D$13:$D$512,Auftrag!$D115,Auftrag!$E$13:$E$512,Auftrag!$E115,Auftrag!$Q$13:$Q$512,Auftrag!$Q115),0))</f>
        <v/>
      </c>
      <c r="F115" s="33">
        <f>IF($A115="","",IF($C115=0,0,$D115*$E115/$C115))</f>
        <v/>
      </c>
      <c r="G115" s="34">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5">
        <f>IF($A115="","",IF($H115="","",60*((N(Auftrag!$H115)-N(Auftrag!$AI115)-N(Auftrag!$AK115))/$H115+N(Auftrag!$AI115)/$J115+N(Auftrag!$AK115)/$I115+N(Auftrag!$AD115)/$K115)+N(Auftrag!$I115)*$L115))</f>
        <v/>
      </c>
      <c r="N115" s="35">
        <f>IF($A115="","",IF(OR($H115="",$C115=0),0,(60*SUMIFS(Stangenbelegung!$K$5:$K$10004,Stangenbelegung!$E$5:$E$10004,ROW())/$H115+SUMIFS(Stangenbelegung!$L$5:$L$10004,Stangenbelegung!$E$5:$E$10004,ROW())*$L115)/$C115))</f>
        <v/>
      </c>
      <c r="O115" s="35">
        <f>IF($A115="","",IF($M115="","",MAX(0,$M115-$N115)))</f>
        <v/>
      </c>
      <c r="P115" s="35">
        <f>IF($A115="","",IFERROR(SUMPRODUCT(--("0"&amp;TRIM(RIGHT(SUBSTITUTE(LEFT(";"&amp;SUBSTITUTE(UPPER(Auftrag!$AG115)," ","")&amp;";"&amp;"X"&amp;UPPER(Gewinde!$A$5:$A$54)&amp;";",SEARCH("X"&amp;UPPER(Gewinde!$A$5:$A$54)&amp;";",";"&amp;SUBSTITUTE(UPPER(Auftrag!$AG115)," ","")&amp;";"&amp;"X"&amp;UPPER(Gewinde!$A$5:$A$54)&amp;";")-1),";",REPT(" ",50)),50))),Gewinde!$C$5:$C$54),0))</f>
        <v/>
      </c>
      <c r="Q115" s="33">
        <f>IF($A115="","",(N($O115)+$P115)/3600*N(Auftrag!$H$8))</f>
        <v/>
      </c>
      <c r="R115" s="33">
        <f>IF($A115="","",IF($F$8=0,0,$F$7/$F$8))</f>
        <v/>
      </c>
      <c r="S115" s="33">
        <f>IF($A115="","",$F115*(1+$C$4)+($Q115+$R115)*(1+$C$5))</f>
        <v/>
      </c>
      <c r="T115" s="33">
        <f>IF($A115="","",$S115*(1+$C$6))</f>
        <v/>
      </c>
      <c r="U115" s="18">
        <f>IF($A115="","",$T115*$C115)</f>
        <v/>
      </c>
      <c r="V115" s="18">
        <f>IF($A115="","",$S115*$C115)</f>
        <v/>
      </c>
      <c r="W115" s="28">
        <f>IF($A115="","",IF(N(Auftrag!$AO115)&gt;0,"nicht vollständig eingeplant",IF($D115=0,"kein Schnittplan oder Preis",IF($H115="","keine Schneiddaten",IF(AND(Auftrag!$AF115&lt;&gt;"",Auftrag!$AG115=""),"Gewinde ungeprüft","")))))</f>
        <v/>
      </c>
      <c r="X115" s="18">
        <f>IF($A115="","",$F115*$C115)</f>
        <v/>
      </c>
      <c r="Y115" s="18">
        <f>IF($A115="","",$Q115*$C115)</f>
        <v/>
      </c>
    </row>
    <row r="116">
      <c r="A116" s="25">
        <f>IF(Auftrag!$D116="","",Auftrag!$A116)</f>
        <v/>
      </c>
      <c r="B116" s="25">
        <f>IF($A116="","",Auftrag!$B116)</f>
        <v/>
      </c>
      <c r="C116" s="15">
        <f>IF($A116="","",N(Auftrag!$G116))</f>
        <v/>
      </c>
      <c r="D116" s="18">
        <f>IF($A116="","",SUMIFS(Schnittplan!$R$5:$R$1004,Schnittplan!$B$5:$B$1004,Auftrag!$D116,Schnittplan!$C$5:$C$1004,Auftrag!$E116,Schnittplan!$D$5:$D$1004,Auftrag!$Q116))</f>
        <v/>
      </c>
      <c r="E116" s="32">
        <f>IF($A116="","",IFERROR(N(Auftrag!$P116)/SUMIFS(Auftrag!$P$13:$P$512,Auftrag!$D$13:$D$512,Auftrag!$D116,Auftrag!$E$13:$E$512,Auftrag!$E116,Auftrag!$Q$13:$Q$512,Auftrag!$Q116),0))</f>
        <v/>
      </c>
      <c r="F116" s="33">
        <f>IF($A116="","",IF($C116=0,0,$D116*$E116/$C116))</f>
        <v/>
      </c>
      <c r="G116" s="34">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5">
        <f>IF($A116="","",IF($H116="","",60*((N(Auftrag!$H116)-N(Auftrag!$AI116)-N(Auftrag!$AK116))/$H116+N(Auftrag!$AI116)/$J116+N(Auftrag!$AK116)/$I116+N(Auftrag!$AD116)/$K116)+N(Auftrag!$I116)*$L116))</f>
        <v/>
      </c>
      <c r="N116" s="35">
        <f>IF($A116="","",IF(OR($H116="",$C116=0),0,(60*SUMIFS(Stangenbelegung!$K$5:$K$10004,Stangenbelegung!$E$5:$E$10004,ROW())/$H116+SUMIFS(Stangenbelegung!$L$5:$L$10004,Stangenbelegung!$E$5:$E$10004,ROW())*$L116)/$C116))</f>
        <v/>
      </c>
      <c r="O116" s="35">
        <f>IF($A116="","",IF($M116="","",MAX(0,$M116-$N116)))</f>
        <v/>
      </c>
      <c r="P116" s="35">
        <f>IF($A116="","",IFERROR(SUMPRODUCT(--("0"&amp;TRIM(RIGHT(SUBSTITUTE(LEFT(";"&amp;SUBSTITUTE(UPPER(Auftrag!$AG116)," ","")&amp;";"&amp;"X"&amp;UPPER(Gewinde!$A$5:$A$54)&amp;";",SEARCH("X"&amp;UPPER(Gewinde!$A$5:$A$54)&amp;";",";"&amp;SUBSTITUTE(UPPER(Auftrag!$AG116)," ","")&amp;";"&amp;"X"&amp;UPPER(Gewinde!$A$5:$A$54)&amp;";")-1),";",REPT(" ",50)),50))),Gewinde!$C$5:$C$54),0))</f>
        <v/>
      </c>
      <c r="Q116" s="33">
        <f>IF($A116="","",(N($O116)+$P116)/3600*N(Auftrag!$H$8))</f>
        <v/>
      </c>
      <c r="R116" s="33">
        <f>IF($A116="","",IF($F$8=0,0,$F$7/$F$8))</f>
        <v/>
      </c>
      <c r="S116" s="33">
        <f>IF($A116="","",$F116*(1+$C$4)+($Q116+$R116)*(1+$C$5))</f>
        <v/>
      </c>
      <c r="T116" s="33">
        <f>IF($A116="","",$S116*(1+$C$6))</f>
        <v/>
      </c>
      <c r="U116" s="18">
        <f>IF($A116="","",$T116*$C116)</f>
        <v/>
      </c>
      <c r="V116" s="18">
        <f>IF($A116="","",$S116*$C116)</f>
        <v/>
      </c>
      <c r="W116" s="28">
        <f>IF($A116="","",IF(N(Auftrag!$AO116)&gt;0,"nicht vollständig eingeplant",IF($D116=0,"kein Schnittplan oder Preis",IF($H116="","keine Schneiddaten",IF(AND(Auftrag!$AF116&lt;&gt;"",Auftrag!$AG116=""),"Gewinde ungeprüft","")))))</f>
        <v/>
      </c>
      <c r="X116" s="18">
        <f>IF($A116="","",$F116*$C116)</f>
        <v/>
      </c>
      <c r="Y116" s="18">
        <f>IF($A116="","",$Q116*$C116)</f>
        <v/>
      </c>
    </row>
    <row r="117">
      <c r="A117" s="25">
        <f>IF(Auftrag!$D117="","",Auftrag!$A117)</f>
        <v/>
      </c>
      <c r="B117" s="25">
        <f>IF($A117="","",Auftrag!$B117)</f>
        <v/>
      </c>
      <c r="C117" s="15">
        <f>IF($A117="","",N(Auftrag!$G117))</f>
        <v/>
      </c>
      <c r="D117" s="18">
        <f>IF($A117="","",SUMIFS(Schnittplan!$R$5:$R$1004,Schnittplan!$B$5:$B$1004,Auftrag!$D117,Schnittplan!$C$5:$C$1004,Auftrag!$E117,Schnittplan!$D$5:$D$1004,Auftrag!$Q117))</f>
        <v/>
      </c>
      <c r="E117" s="32">
        <f>IF($A117="","",IFERROR(N(Auftrag!$P117)/SUMIFS(Auftrag!$P$13:$P$512,Auftrag!$D$13:$D$512,Auftrag!$D117,Auftrag!$E$13:$E$512,Auftrag!$E117,Auftrag!$Q$13:$Q$512,Auftrag!$Q117),0))</f>
        <v/>
      </c>
      <c r="F117" s="33">
        <f>IF($A117="","",IF($C117=0,0,$D117*$E117/$C117))</f>
        <v/>
      </c>
      <c r="G117" s="34">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5">
        <f>IF($A117="","",IF($H117="","",60*((N(Auftrag!$H117)-N(Auftrag!$AI117)-N(Auftrag!$AK117))/$H117+N(Auftrag!$AI117)/$J117+N(Auftrag!$AK117)/$I117+N(Auftrag!$AD117)/$K117)+N(Auftrag!$I117)*$L117))</f>
        <v/>
      </c>
      <c r="N117" s="35">
        <f>IF($A117="","",IF(OR($H117="",$C117=0),0,(60*SUMIFS(Stangenbelegung!$K$5:$K$10004,Stangenbelegung!$E$5:$E$10004,ROW())/$H117+SUMIFS(Stangenbelegung!$L$5:$L$10004,Stangenbelegung!$E$5:$E$10004,ROW())*$L117)/$C117))</f>
        <v/>
      </c>
      <c r="O117" s="35">
        <f>IF($A117="","",IF($M117="","",MAX(0,$M117-$N117)))</f>
        <v/>
      </c>
      <c r="P117" s="35">
        <f>IF($A117="","",IFERROR(SUMPRODUCT(--("0"&amp;TRIM(RIGHT(SUBSTITUTE(LEFT(";"&amp;SUBSTITUTE(UPPER(Auftrag!$AG117)," ","")&amp;";"&amp;"X"&amp;UPPER(Gewinde!$A$5:$A$54)&amp;";",SEARCH("X"&amp;UPPER(Gewinde!$A$5:$A$54)&amp;";",";"&amp;SUBSTITUTE(UPPER(Auftrag!$AG117)," ","")&amp;";"&amp;"X"&amp;UPPER(Gewinde!$A$5:$A$54)&amp;";")-1),";",REPT(" ",50)),50))),Gewinde!$C$5:$C$54),0))</f>
        <v/>
      </c>
      <c r="Q117" s="33">
        <f>IF($A117="","",(N($O117)+$P117)/3600*N(Auftrag!$H$8))</f>
        <v/>
      </c>
      <c r="R117" s="33">
        <f>IF($A117="","",IF($F$8=0,0,$F$7/$F$8))</f>
        <v/>
      </c>
      <c r="S117" s="33">
        <f>IF($A117="","",$F117*(1+$C$4)+($Q117+$R117)*(1+$C$5))</f>
        <v/>
      </c>
      <c r="T117" s="33">
        <f>IF($A117="","",$S117*(1+$C$6))</f>
        <v/>
      </c>
      <c r="U117" s="18">
        <f>IF($A117="","",$T117*$C117)</f>
        <v/>
      </c>
      <c r="V117" s="18">
        <f>IF($A117="","",$S117*$C117)</f>
        <v/>
      </c>
      <c r="W117" s="28">
        <f>IF($A117="","",IF(N(Auftrag!$AO117)&gt;0,"nicht vollständig eingeplant",IF($D117=0,"kein Schnittplan oder Preis",IF($H117="","keine Schneiddaten",IF(AND(Auftrag!$AF117&lt;&gt;"",Auftrag!$AG117=""),"Gewinde ungeprüft","")))))</f>
        <v/>
      </c>
      <c r="X117" s="18">
        <f>IF($A117="","",$F117*$C117)</f>
        <v/>
      </c>
      <c r="Y117" s="18">
        <f>IF($A117="","",$Q117*$C117)</f>
        <v/>
      </c>
    </row>
    <row r="118">
      <c r="A118" s="25">
        <f>IF(Auftrag!$D118="","",Auftrag!$A118)</f>
        <v/>
      </c>
      <c r="B118" s="25">
        <f>IF($A118="","",Auftrag!$B118)</f>
        <v/>
      </c>
      <c r="C118" s="15">
        <f>IF($A118="","",N(Auftrag!$G118))</f>
        <v/>
      </c>
      <c r="D118" s="18">
        <f>IF($A118="","",SUMIFS(Schnittplan!$R$5:$R$1004,Schnittplan!$B$5:$B$1004,Auftrag!$D118,Schnittplan!$C$5:$C$1004,Auftrag!$E118,Schnittplan!$D$5:$D$1004,Auftrag!$Q118))</f>
        <v/>
      </c>
      <c r="E118" s="32">
        <f>IF($A118="","",IFERROR(N(Auftrag!$P118)/SUMIFS(Auftrag!$P$13:$P$512,Auftrag!$D$13:$D$512,Auftrag!$D118,Auftrag!$E$13:$E$512,Auftrag!$E118,Auftrag!$Q$13:$Q$512,Auftrag!$Q118),0))</f>
        <v/>
      </c>
      <c r="F118" s="33">
        <f>IF($A118="","",IF($C118=0,0,$D118*$E118/$C118))</f>
        <v/>
      </c>
      <c r="G118" s="34">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5">
        <f>IF($A118="","",IF($H118="","",60*((N(Auftrag!$H118)-N(Auftrag!$AI118)-N(Auftrag!$AK118))/$H118+N(Auftrag!$AI118)/$J118+N(Auftrag!$AK118)/$I118+N(Auftrag!$AD118)/$K118)+N(Auftrag!$I118)*$L118))</f>
        <v/>
      </c>
      <c r="N118" s="35">
        <f>IF($A118="","",IF(OR($H118="",$C118=0),0,(60*SUMIFS(Stangenbelegung!$K$5:$K$10004,Stangenbelegung!$E$5:$E$10004,ROW())/$H118+SUMIFS(Stangenbelegung!$L$5:$L$10004,Stangenbelegung!$E$5:$E$10004,ROW())*$L118)/$C118))</f>
        <v/>
      </c>
      <c r="O118" s="35">
        <f>IF($A118="","",IF($M118="","",MAX(0,$M118-$N118)))</f>
        <v/>
      </c>
      <c r="P118" s="35">
        <f>IF($A118="","",IFERROR(SUMPRODUCT(--("0"&amp;TRIM(RIGHT(SUBSTITUTE(LEFT(";"&amp;SUBSTITUTE(UPPER(Auftrag!$AG118)," ","")&amp;";"&amp;"X"&amp;UPPER(Gewinde!$A$5:$A$54)&amp;";",SEARCH("X"&amp;UPPER(Gewinde!$A$5:$A$54)&amp;";",";"&amp;SUBSTITUTE(UPPER(Auftrag!$AG118)," ","")&amp;";"&amp;"X"&amp;UPPER(Gewinde!$A$5:$A$54)&amp;";")-1),";",REPT(" ",50)),50))),Gewinde!$C$5:$C$54),0))</f>
        <v/>
      </c>
      <c r="Q118" s="33">
        <f>IF($A118="","",(N($O118)+$P118)/3600*N(Auftrag!$H$8))</f>
        <v/>
      </c>
      <c r="R118" s="33">
        <f>IF($A118="","",IF($F$8=0,0,$F$7/$F$8))</f>
        <v/>
      </c>
      <c r="S118" s="33">
        <f>IF($A118="","",$F118*(1+$C$4)+($Q118+$R118)*(1+$C$5))</f>
        <v/>
      </c>
      <c r="T118" s="33">
        <f>IF($A118="","",$S118*(1+$C$6))</f>
        <v/>
      </c>
      <c r="U118" s="18">
        <f>IF($A118="","",$T118*$C118)</f>
        <v/>
      </c>
      <c r="V118" s="18">
        <f>IF($A118="","",$S118*$C118)</f>
        <v/>
      </c>
      <c r="W118" s="28">
        <f>IF($A118="","",IF(N(Auftrag!$AO118)&gt;0,"nicht vollständig eingeplant",IF($D118=0,"kein Schnittplan oder Preis",IF($H118="","keine Schneiddaten",IF(AND(Auftrag!$AF118&lt;&gt;"",Auftrag!$AG118=""),"Gewinde ungeprüft","")))))</f>
        <v/>
      </c>
      <c r="X118" s="18">
        <f>IF($A118="","",$F118*$C118)</f>
        <v/>
      </c>
      <c r="Y118" s="18">
        <f>IF($A118="","",$Q118*$C118)</f>
        <v/>
      </c>
    </row>
    <row r="119">
      <c r="A119" s="25">
        <f>IF(Auftrag!$D119="","",Auftrag!$A119)</f>
        <v/>
      </c>
      <c r="B119" s="25">
        <f>IF($A119="","",Auftrag!$B119)</f>
        <v/>
      </c>
      <c r="C119" s="15">
        <f>IF($A119="","",N(Auftrag!$G119))</f>
        <v/>
      </c>
      <c r="D119" s="18">
        <f>IF($A119="","",SUMIFS(Schnittplan!$R$5:$R$1004,Schnittplan!$B$5:$B$1004,Auftrag!$D119,Schnittplan!$C$5:$C$1004,Auftrag!$E119,Schnittplan!$D$5:$D$1004,Auftrag!$Q119))</f>
        <v/>
      </c>
      <c r="E119" s="32">
        <f>IF($A119="","",IFERROR(N(Auftrag!$P119)/SUMIFS(Auftrag!$P$13:$P$512,Auftrag!$D$13:$D$512,Auftrag!$D119,Auftrag!$E$13:$E$512,Auftrag!$E119,Auftrag!$Q$13:$Q$512,Auftrag!$Q119),0))</f>
        <v/>
      </c>
      <c r="F119" s="33">
        <f>IF($A119="","",IF($C119=0,0,$D119*$E119/$C119))</f>
        <v/>
      </c>
      <c r="G119" s="34">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5">
        <f>IF($A119="","",IF($H119="","",60*((N(Auftrag!$H119)-N(Auftrag!$AI119)-N(Auftrag!$AK119))/$H119+N(Auftrag!$AI119)/$J119+N(Auftrag!$AK119)/$I119+N(Auftrag!$AD119)/$K119)+N(Auftrag!$I119)*$L119))</f>
        <v/>
      </c>
      <c r="N119" s="35">
        <f>IF($A119="","",IF(OR($H119="",$C119=0),0,(60*SUMIFS(Stangenbelegung!$K$5:$K$10004,Stangenbelegung!$E$5:$E$10004,ROW())/$H119+SUMIFS(Stangenbelegung!$L$5:$L$10004,Stangenbelegung!$E$5:$E$10004,ROW())*$L119)/$C119))</f>
        <v/>
      </c>
      <c r="O119" s="35">
        <f>IF($A119="","",IF($M119="","",MAX(0,$M119-$N119)))</f>
        <v/>
      </c>
      <c r="P119" s="35">
        <f>IF($A119="","",IFERROR(SUMPRODUCT(--("0"&amp;TRIM(RIGHT(SUBSTITUTE(LEFT(";"&amp;SUBSTITUTE(UPPER(Auftrag!$AG119)," ","")&amp;";"&amp;"X"&amp;UPPER(Gewinde!$A$5:$A$54)&amp;";",SEARCH("X"&amp;UPPER(Gewinde!$A$5:$A$54)&amp;";",";"&amp;SUBSTITUTE(UPPER(Auftrag!$AG119)," ","")&amp;";"&amp;"X"&amp;UPPER(Gewinde!$A$5:$A$54)&amp;";")-1),";",REPT(" ",50)),50))),Gewinde!$C$5:$C$54),0))</f>
        <v/>
      </c>
      <c r="Q119" s="33">
        <f>IF($A119="","",(N($O119)+$P119)/3600*N(Auftrag!$H$8))</f>
        <v/>
      </c>
      <c r="R119" s="33">
        <f>IF($A119="","",IF($F$8=0,0,$F$7/$F$8))</f>
        <v/>
      </c>
      <c r="S119" s="33">
        <f>IF($A119="","",$F119*(1+$C$4)+($Q119+$R119)*(1+$C$5))</f>
        <v/>
      </c>
      <c r="T119" s="33">
        <f>IF($A119="","",$S119*(1+$C$6))</f>
        <v/>
      </c>
      <c r="U119" s="18">
        <f>IF($A119="","",$T119*$C119)</f>
        <v/>
      </c>
      <c r="V119" s="18">
        <f>IF($A119="","",$S119*$C119)</f>
        <v/>
      </c>
      <c r="W119" s="28">
        <f>IF($A119="","",IF(N(Auftrag!$AO119)&gt;0,"nicht vollständig eingeplant",IF($D119=0,"kein Schnittplan oder Preis",IF($H119="","keine Schneiddaten",IF(AND(Auftrag!$AF119&lt;&gt;"",Auftrag!$AG119=""),"Gewinde ungeprüft","")))))</f>
        <v/>
      </c>
      <c r="X119" s="18">
        <f>IF($A119="","",$F119*$C119)</f>
        <v/>
      </c>
      <c r="Y119" s="18">
        <f>IF($A119="","",$Q119*$C119)</f>
        <v/>
      </c>
    </row>
    <row r="120">
      <c r="A120" s="25">
        <f>IF(Auftrag!$D120="","",Auftrag!$A120)</f>
        <v/>
      </c>
      <c r="B120" s="25">
        <f>IF($A120="","",Auftrag!$B120)</f>
        <v/>
      </c>
      <c r="C120" s="15">
        <f>IF($A120="","",N(Auftrag!$G120))</f>
        <v/>
      </c>
      <c r="D120" s="18">
        <f>IF($A120="","",SUMIFS(Schnittplan!$R$5:$R$1004,Schnittplan!$B$5:$B$1004,Auftrag!$D120,Schnittplan!$C$5:$C$1004,Auftrag!$E120,Schnittplan!$D$5:$D$1004,Auftrag!$Q120))</f>
        <v/>
      </c>
      <c r="E120" s="32">
        <f>IF($A120="","",IFERROR(N(Auftrag!$P120)/SUMIFS(Auftrag!$P$13:$P$512,Auftrag!$D$13:$D$512,Auftrag!$D120,Auftrag!$E$13:$E$512,Auftrag!$E120,Auftrag!$Q$13:$Q$512,Auftrag!$Q120),0))</f>
        <v/>
      </c>
      <c r="F120" s="33">
        <f>IF($A120="","",IF($C120=0,0,$D120*$E120/$C120))</f>
        <v/>
      </c>
      <c r="G120" s="34">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5">
        <f>IF($A120="","",IF($H120="","",60*((N(Auftrag!$H120)-N(Auftrag!$AI120)-N(Auftrag!$AK120))/$H120+N(Auftrag!$AI120)/$J120+N(Auftrag!$AK120)/$I120+N(Auftrag!$AD120)/$K120)+N(Auftrag!$I120)*$L120))</f>
        <v/>
      </c>
      <c r="N120" s="35">
        <f>IF($A120="","",IF(OR($H120="",$C120=0),0,(60*SUMIFS(Stangenbelegung!$K$5:$K$10004,Stangenbelegung!$E$5:$E$10004,ROW())/$H120+SUMIFS(Stangenbelegung!$L$5:$L$10004,Stangenbelegung!$E$5:$E$10004,ROW())*$L120)/$C120))</f>
        <v/>
      </c>
      <c r="O120" s="35">
        <f>IF($A120="","",IF($M120="","",MAX(0,$M120-$N120)))</f>
        <v/>
      </c>
      <c r="P120" s="35">
        <f>IF($A120="","",IFERROR(SUMPRODUCT(--("0"&amp;TRIM(RIGHT(SUBSTITUTE(LEFT(";"&amp;SUBSTITUTE(UPPER(Auftrag!$AG120)," ","")&amp;";"&amp;"X"&amp;UPPER(Gewinde!$A$5:$A$54)&amp;";",SEARCH("X"&amp;UPPER(Gewinde!$A$5:$A$54)&amp;";",";"&amp;SUBSTITUTE(UPPER(Auftrag!$AG120)," ","")&amp;";"&amp;"X"&amp;UPPER(Gewinde!$A$5:$A$54)&amp;";")-1),";",REPT(" ",50)),50))),Gewinde!$C$5:$C$54),0))</f>
        <v/>
      </c>
      <c r="Q120" s="33">
        <f>IF($A120="","",(N($O120)+$P120)/3600*N(Auftrag!$H$8))</f>
        <v/>
      </c>
      <c r="R120" s="33">
        <f>IF($A120="","",IF($F$8=0,0,$F$7/$F$8))</f>
        <v/>
      </c>
      <c r="S120" s="33">
        <f>IF($A120="","",$F120*(1+$C$4)+($Q120+$R120)*(1+$C$5))</f>
        <v/>
      </c>
      <c r="T120" s="33">
        <f>IF($A120="","",$S120*(1+$C$6))</f>
        <v/>
      </c>
      <c r="U120" s="18">
        <f>IF($A120="","",$T120*$C120)</f>
        <v/>
      </c>
      <c r="V120" s="18">
        <f>IF($A120="","",$S120*$C120)</f>
        <v/>
      </c>
      <c r="W120" s="28">
        <f>IF($A120="","",IF(N(Auftrag!$AO120)&gt;0,"nicht vollständig eingeplant",IF($D120=0,"kein Schnittplan oder Preis",IF($H120="","keine Schneiddaten",IF(AND(Auftrag!$AF120&lt;&gt;"",Auftrag!$AG120=""),"Gewinde ungeprüft","")))))</f>
        <v/>
      </c>
      <c r="X120" s="18">
        <f>IF($A120="","",$F120*$C120)</f>
        <v/>
      </c>
      <c r="Y120" s="18">
        <f>IF($A120="","",$Q120*$C120)</f>
        <v/>
      </c>
    </row>
    <row r="121">
      <c r="A121" s="25">
        <f>IF(Auftrag!$D121="","",Auftrag!$A121)</f>
        <v/>
      </c>
      <c r="B121" s="25">
        <f>IF($A121="","",Auftrag!$B121)</f>
        <v/>
      </c>
      <c r="C121" s="15">
        <f>IF($A121="","",N(Auftrag!$G121))</f>
        <v/>
      </c>
      <c r="D121" s="18">
        <f>IF($A121="","",SUMIFS(Schnittplan!$R$5:$R$1004,Schnittplan!$B$5:$B$1004,Auftrag!$D121,Schnittplan!$C$5:$C$1004,Auftrag!$E121,Schnittplan!$D$5:$D$1004,Auftrag!$Q121))</f>
        <v/>
      </c>
      <c r="E121" s="32">
        <f>IF($A121="","",IFERROR(N(Auftrag!$P121)/SUMIFS(Auftrag!$P$13:$P$512,Auftrag!$D$13:$D$512,Auftrag!$D121,Auftrag!$E$13:$E$512,Auftrag!$E121,Auftrag!$Q$13:$Q$512,Auftrag!$Q121),0))</f>
        <v/>
      </c>
      <c r="F121" s="33">
        <f>IF($A121="","",IF($C121=0,0,$D121*$E121/$C121))</f>
        <v/>
      </c>
      <c r="G121" s="34">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5">
        <f>IF($A121="","",IF($H121="","",60*((N(Auftrag!$H121)-N(Auftrag!$AI121)-N(Auftrag!$AK121))/$H121+N(Auftrag!$AI121)/$J121+N(Auftrag!$AK121)/$I121+N(Auftrag!$AD121)/$K121)+N(Auftrag!$I121)*$L121))</f>
        <v/>
      </c>
      <c r="N121" s="35">
        <f>IF($A121="","",IF(OR($H121="",$C121=0),0,(60*SUMIFS(Stangenbelegung!$K$5:$K$10004,Stangenbelegung!$E$5:$E$10004,ROW())/$H121+SUMIFS(Stangenbelegung!$L$5:$L$10004,Stangenbelegung!$E$5:$E$10004,ROW())*$L121)/$C121))</f>
        <v/>
      </c>
      <c r="O121" s="35">
        <f>IF($A121="","",IF($M121="","",MAX(0,$M121-$N121)))</f>
        <v/>
      </c>
      <c r="P121" s="35">
        <f>IF($A121="","",IFERROR(SUMPRODUCT(--("0"&amp;TRIM(RIGHT(SUBSTITUTE(LEFT(";"&amp;SUBSTITUTE(UPPER(Auftrag!$AG121)," ","")&amp;";"&amp;"X"&amp;UPPER(Gewinde!$A$5:$A$54)&amp;";",SEARCH("X"&amp;UPPER(Gewinde!$A$5:$A$54)&amp;";",";"&amp;SUBSTITUTE(UPPER(Auftrag!$AG121)," ","")&amp;";"&amp;"X"&amp;UPPER(Gewinde!$A$5:$A$54)&amp;";")-1),";",REPT(" ",50)),50))),Gewinde!$C$5:$C$54),0))</f>
        <v/>
      </c>
      <c r="Q121" s="33">
        <f>IF($A121="","",(N($O121)+$P121)/3600*N(Auftrag!$H$8))</f>
        <v/>
      </c>
      <c r="R121" s="33">
        <f>IF($A121="","",IF($F$8=0,0,$F$7/$F$8))</f>
        <v/>
      </c>
      <c r="S121" s="33">
        <f>IF($A121="","",$F121*(1+$C$4)+($Q121+$R121)*(1+$C$5))</f>
        <v/>
      </c>
      <c r="T121" s="33">
        <f>IF($A121="","",$S121*(1+$C$6))</f>
        <v/>
      </c>
      <c r="U121" s="18">
        <f>IF($A121="","",$T121*$C121)</f>
        <v/>
      </c>
      <c r="V121" s="18">
        <f>IF($A121="","",$S121*$C121)</f>
        <v/>
      </c>
      <c r="W121" s="28">
        <f>IF($A121="","",IF(N(Auftrag!$AO121)&gt;0,"nicht vollständig eingeplant",IF($D121=0,"kein Schnittplan oder Preis",IF($H121="","keine Schneiddaten",IF(AND(Auftrag!$AF121&lt;&gt;"",Auftrag!$AG121=""),"Gewinde ungeprüft","")))))</f>
        <v/>
      </c>
      <c r="X121" s="18">
        <f>IF($A121="","",$F121*$C121)</f>
        <v/>
      </c>
      <c r="Y121" s="18">
        <f>IF($A121="","",$Q121*$C121)</f>
        <v/>
      </c>
    </row>
    <row r="122">
      <c r="A122" s="25">
        <f>IF(Auftrag!$D122="","",Auftrag!$A122)</f>
        <v/>
      </c>
      <c r="B122" s="25">
        <f>IF($A122="","",Auftrag!$B122)</f>
        <v/>
      </c>
      <c r="C122" s="15">
        <f>IF($A122="","",N(Auftrag!$G122))</f>
        <v/>
      </c>
      <c r="D122" s="18">
        <f>IF($A122="","",SUMIFS(Schnittplan!$R$5:$R$1004,Schnittplan!$B$5:$B$1004,Auftrag!$D122,Schnittplan!$C$5:$C$1004,Auftrag!$E122,Schnittplan!$D$5:$D$1004,Auftrag!$Q122))</f>
        <v/>
      </c>
      <c r="E122" s="32">
        <f>IF($A122="","",IFERROR(N(Auftrag!$P122)/SUMIFS(Auftrag!$P$13:$P$512,Auftrag!$D$13:$D$512,Auftrag!$D122,Auftrag!$E$13:$E$512,Auftrag!$E122,Auftrag!$Q$13:$Q$512,Auftrag!$Q122),0))</f>
        <v/>
      </c>
      <c r="F122" s="33">
        <f>IF($A122="","",IF($C122=0,0,$D122*$E122/$C122))</f>
        <v/>
      </c>
      <c r="G122" s="34">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5">
        <f>IF($A122="","",IF($H122="","",60*((N(Auftrag!$H122)-N(Auftrag!$AI122)-N(Auftrag!$AK122))/$H122+N(Auftrag!$AI122)/$J122+N(Auftrag!$AK122)/$I122+N(Auftrag!$AD122)/$K122)+N(Auftrag!$I122)*$L122))</f>
        <v/>
      </c>
      <c r="N122" s="35">
        <f>IF($A122="","",IF(OR($H122="",$C122=0),0,(60*SUMIFS(Stangenbelegung!$K$5:$K$10004,Stangenbelegung!$E$5:$E$10004,ROW())/$H122+SUMIFS(Stangenbelegung!$L$5:$L$10004,Stangenbelegung!$E$5:$E$10004,ROW())*$L122)/$C122))</f>
        <v/>
      </c>
      <c r="O122" s="35">
        <f>IF($A122="","",IF($M122="","",MAX(0,$M122-$N122)))</f>
        <v/>
      </c>
      <c r="P122" s="35">
        <f>IF($A122="","",IFERROR(SUMPRODUCT(--("0"&amp;TRIM(RIGHT(SUBSTITUTE(LEFT(";"&amp;SUBSTITUTE(UPPER(Auftrag!$AG122)," ","")&amp;";"&amp;"X"&amp;UPPER(Gewinde!$A$5:$A$54)&amp;";",SEARCH("X"&amp;UPPER(Gewinde!$A$5:$A$54)&amp;";",";"&amp;SUBSTITUTE(UPPER(Auftrag!$AG122)," ","")&amp;";"&amp;"X"&amp;UPPER(Gewinde!$A$5:$A$54)&amp;";")-1),";",REPT(" ",50)),50))),Gewinde!$C$5:$C$54),0))</f>
        <v/>
      </c>
      <c r="Q122" s="33">
        <f>IF($A122="","",(N($O122)+$P122)/3600*N(Auftrag!$H$8))</f>
        <v/>
      </c>
      <c r="R122" s="33">
        <f>IF($A122="","",IF($F$8=0,0,$F$7/$F$8))</f>
        <v/>
      </c>
      <c r="S122" s="33">
        <f>IF($A122="","",$F122*(1+$C$4)+($Q122+$R122)*(1+$C$5))</f>
        <v/>
      </c>
      <c r="T122" s="33">
        <f>IF($A122="","",$S122*(1+$C$6))</f>
        <v/>
      </c>
      <c r="U122" s="18">
        <f>IF($A122="","",$T122*$C122)</f>
        <v/>
      </c>
      <c r="V122" s="18">
        <f>IF($A122="","",$S122*$C122)</f>
        <v/>
      </c>
      <c r="W122" s="28">
        <f>IF($A122="","",IF(N(Auftrag!$AO122)&gt;0,"nicht vollständig eingeplant",IF($D122=0,"kein Schnittplan oder Preis",IF($H122="","keine Schneiddaten",IF(AND(Auftrag!$AF122&lt;&gt;"",Auftrag!$AG122=""),"Gewinde ungeprüft","")))))</f>
        <v/>
      </c>
      <c r="X122" s="18">
        <f>IF($A122="","",$F122*$C122)</f>
        <v/>
      </c>
      <c r="Y122" s="18">
        <f>IF($A122="","",$Q122*$C122)</f>
        <v/>
      </c>
    </row>
    <row r="123">
      <c r="A123" s="25">
        <f>IF(Auftrag!$D123="","",Auftrag!$A123)</f>
        <v/>
      </c>
      <c r="B123" s="25">
        <f>IF($A123="","",Auftrag!$B123)</f>
        <v/>
      </c>
      <c r="C123" s="15">
        <f>IF($A123="","",N(Auftrag!$G123))</f>
        <v/>
      </c>
      <c r="D123" s="18">
        <f>IF($A123="","",SUMIFS(Schnittplan!$R$5:$R$1004,Schnittplan!$B$5:$B$1004,Auftrag!$D123,Schnittplan!$C$5:$C$1004,Auftrag!$E123,Schnittplan!$D$5:$D$1004,Auftrag!$Q123))</f>
        <v/>
      </c>
      <c r="E123" s="32">
        <f>IF($A123="","",IFERROR(N(Auftrag!$P123)/SUMIFS(Auftrag!$P$13:$P$512,Auftrag!$D$13:$D$512,Auftrag!$D123,Auftrag!$E$13:$E$512,Auftrag!$E123,Auftrag!$Q$13:$Q$512,Auftrag!$Q123),0))</f>
        <v/>
      </c>
      <c r="F123" s="33">
        <f>IF($A123="","",IF($C123=0,0,$D123*$E123/$C123))</f>
        <v/>
      </c>
      <c r="G123" s="34">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5">
        <f>IF($A123="","",IF($H123="","",60*((N(Auftrag!$H123)-N(Auftrag!$AI123)-N(Auftrag!$AK123))/$H123+N(Auftrag!$AI123)/$J123+N(Auftrag!$AK123)/$I123+N(Auftrag!$AD123)/$K123)+N(Auftrag!$I123)*$L123))</f>
        <v/>
      </c>
      <c r="N123" s="35">
        <f>IF($A123="","",IF(OR($H123="",$C123=0),0,(60*SUMIFS(Stangenbelegung!$K$5:$K$10004,Stangenbelegung!$E$5:$E$10004,ROW())/$H123+SUMIFS(Stangenbelegung!$L$5:$L$10004,Stangenbelegung!$E$5:$E$10004,ROW())*$L123)/$C123))</f>
        <v/>
      </c>
      <c r="O123" s="35">
        <f>IF($A123="","",IF($M123="","",MAX(0,$M123-$N123)))</f>
        <v/>
      </c>
      <c r="P123" s="35">
        <f>IF($A123="","",IFERROR(SUMPRODUCT(--("0"&amp;TRIM(RIGHT(SUBSTITUTE(LEFT(";"&amp;SUBSTITUTE(UPPER(Auftrag!$AG123)," ","")&amp;";"&amp;"X"&amp;UPPER(Gewinde!$A$5:$A$54)&amp;";",SEARCH("X"&amp;UPPER(Gewinde!$A$5:$A$54)&amp;";",";"&amp;SUBSTITUTE(UPPER(Auftrag!$AG123)," ","")&amp;";"&amp;"X"&amp;UPPER(Gewinde!$A$5:$A$54)&amp;";")-1),";",REPT(" ",50)),50))),Gewinde!$C$5:$C$54),0))</f>
        <v/>
      </c>
      <c r="Q123" s="33">
        <f>IF($A123="","",(N($O123)+$P123)/3600*N(Auftrag!$H$8))</f>
        <v/>
      </c>
      <c r="R123" s="33">
        <f>IF($A123="","",IF($F$8=0,0,$F$7/$F$8))</f>
        <v/>
      </c>
      <c r="S123" s="33">
        <f>IF($A123="","",$F123*(1+$C$4)+($Q123+$R123)*(1+$C$5))</f>
        <v/>
      </c>
      <c r="T123" s="33">
        <f>IF($A123="","",$S123*(1+$C$6))</f>
        <v/>
      </c>
      <c r="U123" s="18">
        <f>IF($A123="","",$T123*$C123)</f>
        <v/>
      </c>
      <c r="V123" s="18">
        <f>IF($A123="","",$S123*$C123)</f>
        <v/>
      </c>
      <c r="W123" s="28">
        <f>IF($A123="","",IF(N(Auftrag!$AO123)&gt;0,"nicht vollständig eingeplant",IF($D123=0,"kein Schnittplan oder Preis",IF($H123="","keine Schneiddaten",IF(AND(Auftrag!$AF123&lt;&gt;"",Auftrag!$AG123=""),"Gewinde ungeprüft","")))))</f>
        <v/>
      </c>
      <c r="X123" s="18">
        <f>IF($A123="","",$F123*$C123)</f>
        <v/>
      </c>
      <c r="Y123" s="18">
        <f>IF($A123="","",$Q123*$C123)</f>
        <v/>
      </c>
    </row>
    <row r="124">
      <c r="A124" s="25">
        <f>IF(Auftrag!$D124="","",Auftrag!$A124)</f>
        <v/>
      </c>
      <c r="B124" s="25">
        <f>IF($A124="","",Auftrag!$B124)</f>
        <v/>
      </c>
      <c r="C124" s="15">
        <f>IF($A124="","",N(Auftrag!$G124))</f>
        <v/>
      </c>
      <c r="D124" s="18">
        <f>IF($A124="","",SUMIFS(Schnittplan!$R$5:$R$1004,Schnittplan!$B$5:$B$1004,Auftrag!$D124,Schnittplan!$C$5:$C$1004,Auftrag!$E124,Schnittplan!$D$5:$D$1004,Auftrag!$Q124))</f>
        <v/>
      </c>
      <c r="E124" s="32">
        <f>IF($A124="","",IFERROR(N(Auftrag!$P124)/SUMIFS(Auftrag!$P$13:$P$512,Auftrag!$D$13:$D$512,Auftrag!$D124,Auftrag!$E$13:$E$512,Auftrag!$E124,Auftrag!$Q$13:$Q$512,Auftrag!$Q124),0))</f>
        <v/>
      </c>
      <c r="F124" s="33">
        <f>IF($A124="","",IF($C124=0,0,$D124*$E124/$C124))</f>
        <v/>
      </c>
      <c r="G124" s="34">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5">
        <f>IF($A124="","",IF($H124="","",60*((N(Auftrag!$H124)-N(Auftrag!$AI124)-N(Auftrag!$AK124))/$H124+N(Auftrag!$AI124)/$J124+N(Auftrag!$AK124)/$I124+N(Auftrag!$AD124)/$K124)+N(Auftrag!$I124)*$L124))</f>
        <v/>
      </c>
      <c r="N124" s="35">
        <f>IF($A124="","",IF(OR($H124="",$C124=0),0,(60*SUMIFS(Stangenbelegung!$K$5:$K$10004,Stangenbelegung!$E$5:$E$10004,ROW())/$H124+SUMIFS(Stangenbelegung!$L$5:$L$10004,Stangenbelegung!$E$5:$E$10004,ROW())*$L124)/$C124))</f>
        <v/>
      </c>
      <c r="O124" s="35">
        <f>IF($A124="","",IF($M124="","",MAX(0,$M124-$N124)))</f>
        <v/>
      </c>
      <c r="P124" s="35">
        <f>IF($A124="","",IFERROR(SUMPRODUCT(--("0"&amp;TRIM(RIGHT(SUBSTITUTE(LEFT(";"&amp;SUBSTITUTE(UPPER(Auftrag!$AG124)," ","")&amp;";"&amp;"X"&amp;UPPER(Gewinde!$A$5:$A$54)&amp;";",SEARCH("X"&amp;UPPER(Gewinde!$A$5:$A$54)&amp;";",";"&amp;SUBSTITUTE(UPPER(Auftrag!$AG124)," ","")&amp;";"&amp;"X"&amp;UPPER(Gewinde!$A$5:$A$54)&amp;";")-1),";",REPT(" ",50)),50))),Gewinde!$C$5:$C$54),0))</f>
        <v/>
      </c>
      <c r="Q124" s="33">
        <f>IF($A124="","",(N($O124)+$P124)/3600*N(Auftrag!$H$8))</f>
        <v/>
      </c>
      <c r="R124" s="33">
        <f>IF($A124="","",IF($F$8=0,0,$F$7/$F$8))</f>
        <v/>
      </c>
      <c r="S124" s="33">
        <f>IF($A124="","",$F124*(1+$C$4)+($Q124+$R124)*(1+$C$5))</f>
        <v/>
      </c>
      <c r="T124" s="33">
        <f>IF($A124="","",$S124*(1+$C$6))</f>
        <v/>
      </c>
      <c r="U124" s="18">
        <f>IF($A124="","",$T124*$C124)</f>
        <v/>
      </c>
      <c r="V124" s="18">
        <f>IF($A124="","",$S124*$C124)</f>
        <v/>
      </c>
      <c r="W124" s="28">
        <f>IF($A124="","",IF(N(Auftrag!$AO124)&gt;0,"nicht vollständig eingeplant",IF($D124=0,"kein Schnittplan oder Preis",IF($H124="","keine Schneiddaten",IF(AND(Auftrag!$AF124&lt;&gt;"",Auftrag!$AG124=""),"Gewinde ungeprüft","")))))</f>
        <v/>
      </c>
      <c r="X124" s="18">
        <f>IF($A124="","",$F124*$C124)</f>
        <v/>
      </c>
      <c r="Y124" s="18">
        <f>IF($A124="","",$Q124*$C124)</f>
        <v/>
      </c>
    </row>
    <row r="125">
      <c r="A125" s="25">
        <f>IF(Auftrag!$D125="","",Auftrag!$A125)</f>
        <v/>
      </c>
      <c r="B125" s="25">
        <f>IF($A125="","",Auftrag!$B125)</f>
        <v/>
      </c>
      <c r="C125" s="15">
        <f>IF($A125="","",N(Auftrag!$G125))</f>
        <v/>
      </c>
      <c r="D125" s="18">
        <f>IF($A125="","",SUMIFS(Schnittplan!$R$5:$R$1004,Schnittplan!$B$5:$B$1004,Auftrag!$D125,Schnittplan!$C$5:$C$1004,Auftrag!$E125,Schnittplan!$D$5:$D$1004,Auftrag!$Q125))</f>
        <v/>
      </c>
      <c r="E125" s="32">
        <f>IF($A125="","",IFERROR(N(Auftrag!$P125)/SUMIFS(Auftrag!$P$13:$P$512,Auftrag!$D$13:$D$512,Auftrag!$D125,Auftrag!$E$13:$E$512,Auftrag!$E125,Auftrag!$Q$13:$Q$512,Auftrag!$Q125),0))</f>
        <v/>
      </c>
      <c r="F125" s="33">
        <f>IF($A125="","",IF($C125=0,0,$D125*$E125/$C125))</f>
        <v/>
      </c>
      <c r="G125" s="34">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5">
        <f>IF($A125="","",IF($H125="","",60*((N(Auftrag!$H125)-N(Auftrag!$AI125)-N(Auftrag!$AK125))/$H125+N(Auftrag!$AI125)/$J125+N(Auftrag!$AK125)/$I125+N(Auftrag!$AD125)/$K125)+N(Auftrag!$I125)*$L125))</f>
        <v/>
      </c>
      <c r="N125" s="35">
        <f>IF($A125="","",IF(OR($H125="",$C125=0),0,(60*SUMIFS(Stangenbelegung!$K$5:$K$10004,Stangenbelegung!$E$5:$E$10004,ROW())/$H125+SUMIFS(Stangenbelegung!$L$5:$L$10004,Stangenbelegung!$E$5:$E$10004,ROW())*$L125)/$C125))</f>
        <v/>
      </c>
      <c r="O125" s="35">
        <f>IF($A125="","",IF($M125="","",MAX(0,$M125-$N125)))</f>
        <v/>
      </c>
      <c r="P125" s="35">
        <f>IF($A125="","",IFERROR(SUMPRODUCT(--("0"&amp;TRIM(RIGHT(SUBSTITUTE(LEFT(";"&amp;SUBSTITUTE(UPPER(Auftrag!$AG125)," ","")&amp;";"&amp;"X"&amp;UPPER(Gewinde!$A$5:$A$54)&amp;";",SEARCH("X"&amp;UPPER(Gewinde!$A$5:$A$54)&amp;";",";"&amp;SUBSTITUTE(UPPER(Auftrag!$AG125)," ","")&amp;";"&amp;"X"&amp;UPPER(Gewinde!$A$5:$A$54)&amp;";")-1),";",REPT(" ",50)),50))),Gewinde!$C$5:$C$54),0))</f>
        <v/>
      </c>
      <c r="Q125" s="33">
        <f>IF($A125="","",(N($O125)+$P125)/3600*N(Auftrag!$H$8))</f>
        <v/>
      </c>
      <c r="R125" s="33">
        <f>IF($A125="","",IF($F$8=0,0,$F$7/$F$8))</f>
        <v/>
      </c>
      <c r="S125" s="33">
        <f>IF($A125="","",$F125*(1+$C$4)+($Q125+$R125)*(1+$C$5))</f>
        <v/>
      </c>
      <c r="T125" s="33">
        <f>IF($A125="","",$S125*(1+$C$6))</f>
        <v/>
      </c>
      <c r="U125" s="18">
        <f>IF($A125="","",$T125*$C125)</f>
        <v/>
      </c>
      <c r="V125" s="18">
        <f>IF($A125="","",$S125*$C125)</f>
        <v/>
      </c>
      <c r="W125" s="28">
        <f>IF($A125="","",IF(N(Auftrag!$AO125)&gt;0,"nicht vollständig eingeplant",IF($D125=0,"kein Schnittplan oder Preis",IF($H125="","keine Schneiddaten",IF(AND(Auftrag!$AF125&lt;&gt;"",Auftrag!$AG125=""),"Gewinde ungeprüft","")))))</f>
        <v/>
      </c>
      <c r="X125" s="18">
        <f>IF($A125="","",$F125*$C125)</f>
        <v/>
      </c>
      <c r="Y125" s="18">
        <f>IF($A125="","",$Q125*$C125)</f>
        <v/>
      </c>
    </row>
    <row r="126">
      <c r="A126" s="25">
        <f>IF(Auftrag!$D126="","",Auftrag!$A126)</f>
        <v/>
      </c>
      <c r="B126" s="25">
        <f>IF($A126="","",Auftrag!$B126)</f>
        <v/>
      </c>
      <c r="C126" s="15">
        <f>IF($A126="","",N(Auftrag!$G126))</f>
        <v/>
      </c>
      <c r="D126" s="18">
        <f>IF($A126="","",SUMIFS(Schnittplan!$R$5:$R$1004,Schnittplan!$B$5:$B$1004,Auftrag!$D126,Schnittplan!$C$5:$C$1004,Auftrag!$E126,Schnittplan!$D$5:$D$1004,Auftrag!$Q126))</f>
        <v/>
      </c>
      <c r="E126" s="32">
        <f>IF($A126="","",IFERROR(N(Auftrag!$P126)/SUMIFS(Auftrag!$P$13:$P$512,Auftrag!$D$13:$D$512,Auftrag!$D126,Auftrag!$E$13:$E$512,Auftrag!$E126,Auftrag!$Q$13:$Q$512,Auftrag!$Q126),0))</f>
        <v/>
      </c>
      <c r="F126" s="33">
        <f>IF($A126="","",IF($C126=0,0,$D126*$E126/$C126))</f>
        <v/>
      </c>
      <c r="G126" s="34">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5">
        <f>IF($A126="","",IF($H126="","",60*((N(Auftrag!$H126)-N(Auftrag!$AI126)-N(Auftrag!$AK126))/$H126+N(Auftrag!$AI126)/$J126+N(Auftrag!$AK126)/$I126+N(Auftrag!$AD126)/$K126)+N(Auftrag!$I126)*$L126))</f>
        <v/>
      </c>
      <c r="N126" s="35">
        <f>IF($A126="","",IF(OR($H126="",$C126=0),0,(60*SUMIFS(Stangenbelegung!$K$5:$K$10004,Stangenbelegung!$E$5:$E$10004,ROW())/$H126+SUMIFS(Stangenbelegung!$L$5:$L$10004,Stangenbelegung!$E$5:$E$10004,ROW())*$L126)/$C126))</f>
        <v/>
      </c>
      <c r="O126" s="35">
        <f>IF($A126="","",IF($M126="","",MAX(0,$M126-$N126)))</f>
        <v/>
      </c>
      <c r="P126" s="35">
        <f>IF($A126="","",IFERROR(SUMPRODUCT(--("0"&amp;TRIM(RIGHT(SUBSTITUTE(LEFT(";"&amp;SUBSTITUTE(UPPER(Auftrag!$AG126)," ","")&amp;";"&amp;"X"&amp;UPPER(Gewinde!$A$5:$A$54)&amp;";",SEARCH("X"&amp;UPPER(Gewinde!$A$5:$A$54)&amp;";",";"&amp;SUBSTITUTE(UPPER(Auftrag!$AG126)," ","")&amp;";"&amp;"X"&amp;UPPER(Gewinde!$A$5:$A$54)&amp;";")-1),";",REPT(" ",50)),50))),Gewinde!$C$5:$C$54),0))</f>
        <v/>
      </c>
      <c r="Q126" s="33">
        <f>IF($A126="","",(N($O126)+$P126)/3600*N(Auftrag!$H$8))</f>
        <v/>
      </c>
      <c r="R126" s="33">
        <f>IF($A126="","",IF($F$8=0,0,$F$7/$F$8))</f>
        <v/>
      </c>
      <c r="S126" s="33">
        <f>IF($A126="","",$F126*(1+$C$4)+($Q126+$R126)*(1+$C$5))</f>
        <v/>
      </c>
      <c r="T126" s="33">
        <f>IF($A126="","",$S126*(1+$C$6))</f>
        <v/>
      </c>
      <c r="U126" s="18">
        <f>IF($A126="","",$T126*$C126)</f>
        <v/>
      </c>
      <c r="V126" s="18">
        <f>IF($A126="","",$S126*$C126)</f>
        <v/>
      </c>
      <c r="W126" s="28">
        <f>IF($A126="","",IF(N(Auftrag!$AO126)&gt;0,"nicht vollständig eingeplant",IF($D126=0,"kein Schnittplan oder Preis",IF($H126="","keine Schneiddaten",IF(AND(Auftrag!$AF126&lt;&gt;"",Auftrag!$AG126=""),"Gewinde ungeprüft","")))))</f>
        <v/>
      </c>
      <c r="X126" s="18">
        <f>IF($A126="","",$F126*$C126)</f>
        <v/>
      </c>
      <c r="Y126" s="18">
        <f>IF($A126="","",$Q126*$C126)</f>
        <v/>
      </c>
    </row>
    <row r="127">
      <c r="A127" s="25">
        <f>IF(Auftrag!$D127="","",Auftrag!$A127)</f>
        <v/>
      </c>
      <c r="B127" s="25">
        <f>IF($A127="","",Auftrag!$B127)</f>
        <v/>
      </c>
      <c r="C127" s="15">
        <f>IF($A127="","",N(Auftrag!$G127))</f>
        <v/>
      </c>
      <c r="D127" s="18">
        <f>IF($A127="","",SUMIFS(Schnittplan!$R$5:$R$1004,Schnittplan!$B$5:$B$1004,Auftrag!$D127,Schnittplan!$C$5:$C$1004,Auftrag!$E127,Schnittplan!$D$5:$D$1004,Auftrag!$Q127))</f>
        <v/>
      </c>
      <c r="E127" s="32">
        <f>IF($A127="","",IFERROR(N(Auftrag!$P127)/SUMIFS(Auftrag!$P$13:$P$512,Auftrag!$D$13:$D$512,Auftrag!$D127,Auftrag!$E$13:$E$512,Auftrag!$E127,Auftrag!$Q$13:$Q$512,Auftrag!$Q127),0))</f>
        <v/>
      </c>
      <c r="F127" s="33">
        <f>IF($A127="","",IF($C127=0,0,$D127*$E127/$C127))</f>
        <v/>
      </c>
      <c r="G127" s="34">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5">
        <f>IF($A127="","",IF($H127="","",60*((N(Auftrag!$H127)-N(Auftrag!$AI127)-N(Auftrag!$AK127))/$H127+N(Auftrag!$AI127)/$J127+N(Auftrag!$AK127)/$I127+N(Auftrag!$AD127)/$K127)+N(Auftrag!$I127)*$L127))</f>
        <v/>
      </c>
      <c r="N127" s="35">
        <f>IF($A127="","",IF(OR($H127="",$C127=0),0,(60*SUMIFS(Stangenbelegung!$K$5:$K$10004,Stangenbelegung!$E$5:$E$10004,ROW())/$H127+SUMIFS(Stangenbelegung!$L$5:$L$10004,Stangenbelegung!$E$5:$E$10004,ROW())*$L127)/$C127))</f>
        <v/>
      </c>
      <c r="O127" s="35">
        <f>IF($A127="","",IF($M127="","",MAX(0,$M127-$N127)))</f>
        <v/>
      </c>
      <c r="P127" s="35">
        <f>IF($A127="","",IFERROR(SUMPRODUCT(--("0"&amp;TRIM(RIGHT(SUBSTITUTE(LEFT(";"&amp;SUBSTITUTE(UPPER(Auftrag!$AG127)," ","")&amp;";"&amp;"X"&amp;UPPER(Gewinde!$A$5:$A$54)&amp;";",SEARCH("X"&amp;UPPER(Gewinde!$A$5:$A$54)&amp;";",";"&amp;SUBSTITUTE(UPPER(Auftrag!$AG127)," ","")&amp;";"&amp;"X"&amp;UPPER(Gewinde!$A$5:$A$54)&amp;";")-1),";",REPT(" ",50)),50))),Gewinde!$C$5:$C$54),0))</f>
        <v/>
      </c>
      <c r="Q127" s="33">
        <f>IF($A127="","",(N($O127)+$P127)/3600*N(Auftrag!$H$8))</f>
        <v/>
      </c>
      <c r="R127" s="33">
        <f>IF($A127="","",IF($F$8=0,0,$F$7/$F$8))</f>
        <v/>
      </c>
      <c r="S127" s="33">
        <f>IF($A127="","",$F127*(1+$C$4)+($Q127+$R127)*(1+$C$5))</f>
        <v/>
      </c>
      <c r="T127" s="33">
        <f>IF($A127="","",$S127*(1+$C$6))</f>
        <v/>
      </c>
      <c r="U127" s="18">
        <f>IF($A127="","",$T127*$C127)</f>
        <v/>
      </c>
      <c r="V127" s="18">
        <f>IF($A127="","",$S127*$C127)</f>
        <v/>
      </c>
      <c r="W127" s="28">
        <f>IF($A127="","",IF(N(Auftrag!$AO127)&gt;0,"nicht vollständig eingeplant",IF($D127=0,"kein Schnittplan oder Preis",IF($H127="","keine Schneiddaten",IF(AND(Auftrag!$AF127&lt;&gt;"",Auftrag!$AG127=""),"Gewinde ungeprüft","")))))</f>
        <v/>
      </c>
      <c r="X127" s="18">
        <f>IF($A127="","",$F127*$C127)</f>
        <v/>
      </c>
      <c r="Y127" s="18">
        <f>IF($A127="","",$Q127*$C127)</f>
        <v/>
      </c>
    </row>
    <row r="128">
      <c r="A128" s="25">
        <f>IF(Auftrag!$D128="","",Auftrag!$A128)</f>
        <v/>
      </c>
      <c r="B128" s="25">
        <f>IF($A128="","",Auftrag!$B128)</f>
        <v/>
      </c>
      <c r="C128" s="15">
        <f>IF($A128="","",N(Auftrag!$G128))</f>
        <v/>
      </c>
      <c r="D128" s="18">
        <f>IF($A128="","",SUMIFS(Schnittplan!$R$5:$R$1004,Schnittplan!$B$5:$B$1004,Auftrag!$D128,Schnittplan!$C$5:$C$1004,Auftrag!$E128,Schnittplan!$D$5:$D$1004,Auftrag!$Q128))</f>
        <v/>
      </c>
      <c r="E128" s="32">
        <f>IF($A128="","",IFERROR(N(Auftrag!$P128)/SUMIFS(Auftrag!$P$13:$P$512,Auftrag!$D$13:$D$512,Auftrag!$D128,Auftrag!$E$13:$E$512,Auftrag!$E128,Auftrag!$Q$13:$Q$512,Auftrag!$Q128),0))</f>
        <v/>
      </c>
      <c r="F128" s="33">
        <f>IF($A128="","",IF($C128=0,0,$D128*$E128/$C128))</f>
        <v/>
      </c>
      <c r="G128" s="34">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5">
        <f>IF($A128="","",IF($H128="","",60*((N(Auftrag!$H128)-N(Auftrag!$AI128)-N(Auftrag!$AK128))/$H128+N(Auftrag!$AI128)/$J128+N(Auftrag!$AK128)/$I128+N(Auftrag!$AD128)/$K128)+N(Auftrag!$I128)*$L128))</f>
        <v/>
      </c>
      <c r="N128" s="35">
        <f>IF($A128="","",IF(OR($H128="",$C128=0),0,(60*SUMIFS(Stangenbelegung!$K$5:$K$10004,Stangenbelegung!$E$5:$E$10004,ROW())/$H128+SUMIFS(Stangenbelegung!$L$5:$L$10004,Stangenbelegung!$E$5:$E$10004,ROW())*$L128)/$C128))</f>
        <v/>
      </c>
      <c r="O128" s="35">
        <f>IF($A128="","",IF($M128="","",MAX(0,$M128-$N128)))</f>
        <v/>
      </c>
      <c r="P128" s="35">
        <f>IF($A128="","",IFERROR(SUMPRODUCT(--("0"&amp;TRIM(RIGHT(SUBSTITUTE(LEFT(";"&amp;SUBSTITUTE(UPPER(Auftrag!$AG128)," ","")&amp;";"&amp;"X"&amp;UPPER(Gewinde!$A$5:$A$54)&amp;";",SEARCH("X"&amp;UPPER(Gewinde!$A$5:$A$54)&amp;";",";"&amp;SUBSTITUTE(UPPER(Auftrag!$AG128)," ","")&amp;";"&amp;"X"&amp;UPPER(Gewinde!$A$5:$A$54)&amp;";")-1),";",REPT(" ",50)),50))),Gewinde!$C$5:$C$54),0))</f>
        <v/>
      </c>
      <c r="Q128" s="33">
        <f>IF($A128="","",(N($O128)+$P128)/3600*N(Auftrag!$H$8))</f>
        <v/>
      </c>
      <c r="R128" s="33">
        <f>IF($A128="","",IF($F$8=0,0,$F$7/$F$8))</f>
        <v/>
      </c>
      <c r="S128" s="33">
        <f>IF($A128="","",$F128*(1+$C$4)+($Q128+$R128)*(1+$C$5))</f>
        <v/>
      </c>
      <c r="T128" s="33">
        <f>IF($A128="","",$S128*(1+$C$6))</f>
        <v/>
      </c>
      <c r="U128" s="18">
        <f>IF($A128="","",$T128*$C128)</f>
        <v/>
      </c>
      <c r="V128" s="18">
        <f>IF($A128="","",$S128*$C128)</f>
        <v/>
      </c>
      <c r="W128" s="28">
        <f>IF($A128="","",IF(N(Auftrag!$AO128)&gt;0,"nicht vollständig eingeplant",IF($D128=0,"kein Schnittplan oder Preis",IF($H128="","keine Schneiddaten",IF(AND(Auftrag!$AF128&lt;&gt;"",Auftrag!$AG128=""),"Gewinde ungeprüft","")))))</f>
        <v/>
      </c>
      <c r="X128" s="18">
        <f>IF($A128="","",$F128*$C128)</f>
        <v/>
      </c>
      <c r="Y128" s="18">
        <f>IF($A128="","",$Q128*$C128)</f>
        <v/>
      </c>
    </row>
    <row r="129">
      <c r="A129" s="25">
        <f>IF(Auftrag!$D129="","",Auftrag!$A129)</f>
        <v/>
      </c>
      <c r="B129" s="25">
        <f>IF($A129="","",Auftrag!$B129)</f>
        <v/>
      </c>
      <c r="C129" s="15">
        <f>IF($A129="","",N(Auftrag!$G129))</f>
        <v/>
      </c>
      <c r="D129" s="18">
        <f>IF($A129="","",SUMIFS(Schnittplan!$R$5:$R$1004,Schnittplan!$B$5:$B$1004,Auftrag!$D129,Schnittplan!$C$5:$C$1004,Auftrag!$E129,Schnittplan!$D$5:$D$1004,Auftrag!$Q129))</f>
        <v/>
      </c>
      <c r="E129" s="32">
        <f>IF($A129="","",IFERROR(N(Auftrag!$P129)/SUMIFS(Auftrag!$P$13:$P$512,Auftrag!$D$13:$D$512,Auftrag!$D129,Auftrag!$E$13:$E$512,Auftrag!$E129,Auftrag!$Q$13:$Q$512,Auftrag!$Q129),0))</f>
        <v/>
      </c>
      <c r="F129" s="33">
        <f>IF($A129="","",IF($C129=0,0,$D129*$E129/$C129))</f>
        <v/>
      </c>
      <c r="G129" s="34">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5">
        <f>IF($A129="","",IF($H129="","",60*((N(Auftrag!$H129)-N(Auftrag!$AI129)-N(Auftrag!$AK129))/$H129+N(Auftrag!$AI129)/$J129+N(Auftrag!$AK129)/$I129+N(Auftrag!$AD129)/$K129)+N(Auftrag!$I129)*$L129))</f>
        <v/>
      </c>
      <c r="N129" s="35">
        <f>IF($A129="","",IF(OR($H129="",$C129=0),0,(60*SUMIFS(Stangenbelegung!$K$5:$K$10004,Stangenbelegung!$E$5:$E$10004,ROW())/$H129+SUMIFS(Stangenbelegung!$L$5:$L$10004,Stangenbelegung!$E$5:$E$10004,ROW())*$L129)/$C129))</f>
        <v/>
      </c>
      <c r="O129" s="35">
        <f>IF($A129="","",IF($M129="","",MAX(0,$M129-$N129)))</f>
        <v/>
      </c>
      <c r="P129" s="35">
        <f>IF($A129="","",IFERROR(SUMPRODUCT(--("0"&amp;TRIM(RIGHT(SUBSTITUTE(LEFT(";"&amp;SUBSTITUTE(UPPER(Auftrag!$AG129)," ","")&amp;";"&amp;"X"&amp;UPPER(Gewinde!$A$5:$A$54)&amp;";",SEARCH("X"&amp;UPPER(Gewinde!$A$5:$A$54)&amp;";",";"&amp;SUBSTITUTE(UPPER(Auftrag!$AG129)," ","")&amp;";"&amp;"X"&amp;UPPER(Gewinde!$A$5:$A$54)&amp;";")-1),";",REPT(" ",50)),50))),Gewinde!$C$5:$C$54),0))</f>
        <v/>
      </c>
      <c r="Q129" s="33">
        <f>IF($A129="","",(N($O129)+$P129)/3600*N(Auftrag!$H$8))</f>
        <v/>
      </c>
      <c r="R129" s="33">
        <f>IF($A129="","",IF($F$8=0,0,$F$7/$F$8))</f>
        <v/>
      </c>
      <c r="S129" s="33">
        <f>IF($A129="","",$F129*(1+$C$4)+($Q129+$R129)*(1+$C$5))</f>
        <v/>
      </c>
      <c r="T129" s="33">
        <f>IF($A129="","",$S129*(1+$C$6))</f>
        <v/>
      </c>
      <c r="U129" s="18">
        <f>IF($A129="","",$T129*$C129)</f>
        <v/>
      </c>
      <c r="V129" s="18">
        <f>IF($A129="","",$S129*$C129)</f>
        <v/>
      </c>
      <c r="W129" s="28">
        <f>IF($A129="","",IF(N(Auftrag!$AO129)&gt;0,"nicht vollständig eingeplant",IF($D129=0,"kein Schnittplan oder Preis",IF($H129="","keine Schneiddaten",IF(AND(Auftrag!$AF129&lt;&gt;"",Auftrag!$AG129=""),"Gewinde ungeprüft","")))))</f>
        <v/>
      </c>
      <c r="X129" s="18">
        <f>IF($A129="","",$F129*$C129)</f>
        <v/>
      </c>
      <c r="Y129" s="18">
        <f>IF($A129="","",$Q129*$C129)</f>
        <v/>
      </c>
    </row>
    <row r="130">
      <c r="A130" s="25">
        <f>IF(Auftrag!$D130="","",Auftrag!$A130)</f>
        <v/>
      </c>
      <c r="B130" s="25">
        <f>IF($A130="","",Auftrag!$B130)</f>
        <v/>
      </c>
      <c r="C130" s="15">
        <f>IF($A130="","",N(Auftrag!$G130))</f>
        <v/>
      </c>
      <c r="D130" s="18">
        <f>IF($A130="","",SUMIFS(Schnittplan!$R$5:$R$1004,Schnittplan!$B$5:$B$1004,Auftrag!$D130,Schnittplan!$C$5:$C$1004,Auftrag!$E130,Schnittplan!$D$5:$D$1004,Auftrag!$Q130))</f>
        <v/>
      </c>
      <c r="E130" s="32">
        <f>IF($A130="","",IFERROR(N(Auftrag!$P130)/SUMIFS(Auftrag!$P$13:$P$512,Auftrag!$D$13:$D$512,Auftrag!$D130,Auftrag!$E$13:$E$512,Auftrag!$E130,Auftrag!$Q$13:$Q$512,Auftrag!$Q130),0))</f>
        <v/>
      </c>
      <c r="F130" s="33">
        <f>IF($A130="","",IF($C130=0,0,$D130*$E130/$C130))</f>
        <v/>
      </c>
      <c r="G130" s="34">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5">
        <f>IF($A130="","",IF($H130="","",60*((N(Auftrag!$H130)-N(Auftrag!$AI130)-N(Auftrag!$AK130))/$H130+N(Auftrag!$AI130)/$J130+N(Auftrag!$AK130)/$I130+N(Auftrag!$AD130)/$K130)+N(Auftrag!$I130)*$L130))</f>
        <v/>
      </c>
      <c r="N130" s="35">
        <f>IF($A130="","",IF(OR($H130="",$C130=0),0,(60*SUMIFS(Stangenbelegung!$K$5:$K$10004,Stangenbelegung!$E$5:$E$10004,ROW())/$H130+SUMIFS(Stangenbelegung!$L$5:$L$10004,Stangenbelegung!$E$5:$E$10004,ROW())*$L130)/$C130))</f>
        <v/>
      </c>
      <c r="O130" s="35">
        <f>IF($A130="","",IF($M130="","",MAX(0,$M130-$N130)))</f>
        <v/>
      </c>
      <c r="P130" s="35">
        <f>IF($A130="","",IFERROR(SUMPRODUCT(--("0"&amp;TRIM(RIGHT(SUBSTITUTE(LEFT(";"&amp;SUBSTITUTE(UPPER(Auftrag!$AG130)," ","")&amp;";"&amp;"X"&amp;UPPER(Gewinde!$A$5:$A$54)&amp;";",SEARCH("X"&amp;UPPER(Gewinde!$A$5:$A$54)&amp;";",";"&amp;SUBSTITUTE(UPPER(Auftrag!$AG130)," ","")&amp;";"&amp;"X"&amp;UPPER(Gewinde!$A$5:$A$54)&amp;";")-1),";",REPT(" ",50)),50))),Gewinde!$C$5:$C$54),0))</f>
        <v/>
      </c>
      <c r="Q130" s="33">
        <f>IF($A130="","",(N($O130)+$P130)/3600*N(Auftrag!$H$8))</f>
        <v/>
      </c>
      <c r="R130" s="33">
        <f>IF($A130="","",IF($F$8=0,0,$F$7/$F$8))</f>
        <v/>
      </c>
      <c r="S130" s="33">
        <f>IF($A130="","",$F130*(1+$C$4)+($Q130+$R130)*(1+$C$5))</f>
        <v/>
      </c>
      <c r="T130" s="33">
        <f>IF($A130="","",$S130*(1+$C$6))</f>
        <v/>
      </c>
      <c r="U130" s="18">
        <f>IF($A130="","",$T130*$C130)</f>
        <v/>
      </c>
      <c r="V130" s="18">
        <f>IF($A130="","",$S130*$C130)</f>
        <v/>
      </c>
      <c r="W130" s="28">
        <f>IF($A130="","",IF(N(Auftrag!$AO130)&gt;0,"nicht vollständig eingeplant",IF($D130=0,"kein Schnittplan oder Preis",IF($H130="","keine Schneiddaten",IF(AND(Auftrag!$AF130&lt;&gt;"",Auftrag!$AG130=""),"Gewinde ungeprüft","")))))</f>
        <v/>
      </c>
      <c r="X130" s="18">
        <f>IF($A130="","",$F130*$C130)</f>
        <v/>
      </c>
      <c r="Y130" s="18">
        <f>IF($A130="","",$Q130*$C130)</f>
        <v/>
      </c>
    </row>
    <row r="131">
      <c r="A131" s="25">
        <f>IF(Auftrag!$D131="","",Auftrag!$A131)</f>
        <v/>
      </c>
      <c r="B131" s="25">
        <f>IF($A131="","",Auftrag!$B131)</f>
        <v/>
      </c>
      <c r="C131" s="15">
        <f>IF($A131="","",N(Auftrag!$G131))</f>
        <v/>
      </c>
      <c r="D131" s="18">
        <f>IF($A131="","",SUMIFS(Schnittplan!$R$5:$R$1004,Schnittplan!$B$5:$B$1004,Auftrag!$D131,Schnittplan!$C$5:$C$1004,Auftrag!$E131,Schnittplan!$D$5:$D$1004,Auftrag!$Q131))</f>
        <v/>
      </c>
      <c r="E131" s="32">
        <f>IF($A131="","",IFERROR(N(Auftrag!$P131)/SUMIFS(Auftrag!$P$13:$P$512,Auftrag!$D$13:$D$512,Auftrag!$D131,Auftrag!$E$13:$E$512,Auftrag!$E131,Auftrag!$Q$13:$Q$512,Auftrag!$Q131),0))</f>
        <v/>
      </c>
      <c r="F131" s="33">
        <f>IF($A131="","",IF($C131=0,0,$D131*$E131/$C131))</f>
        <v/>
      </c>
      <c r="G131" s="34">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5">
        <f>IF($A131="","",IF($H131="","",60*((N(Auftrag!$H131)-N(Auftrag!$AI131)-N(Auftrag!$AK131))/$H131+N(Auftrag!$AI131)/$J131+N(Auftrag!$AK131)/$I131+N(Auftrag!$AD131)/$K131)+N(Auftrag!$I131)*$L131))</f>
        <v/>
      </c>
      <c r="N131" s="35">
        <f>IF($A131="","",IF(OR($H131="",$C131=0),0,(60*SUMIFS(Stangenbelegung!$K$5:$K$10004,Stangenbelegung!$E$5:$E$10004,ROW())/$H131+SUMIFS(Stangenbelegung!$L$5:$L$10004,Stangenbelegung!$E$5:$E$10004,ROW())*$L131)/$C131))</f>
        <v/>
      </c>
      <c r="O131" s="35">
        <f>IF($A131="","",IF($M131="","",MAX(0,$M131-$N131)))</f>
        <v/>
      </c>
      <c r="P131" s="35">
        <f>IF($A131="","",IFERROR(SUMPRODUCT(--("0"&amp;TRIM(RIGHT(SUBSTITUTE(LEFT(";"&amp;SUBSTITUTE(UPPER(Auftrag!$AG131)," ","")&amp;";"&amp;"X"&amp;UPPER(Gewinde!$A$5:$A$54)&amp;";",SEARCH("X"&amp;UPPER(Gewinde!$A$5:$A$54)&amp;";",";"&amp;SUBSTITUTE(UPPER(Auftrag!$AG131)," ","")&amp;";"&amp;"X"&amp;UPPER(Gewinde!$A$5:$A$54)&amp;";")-1),";",REPT(" ",50)),50))),Gewinde!$C$5:$C$54),0))</f>
        <v/>
      </c>
      <c r="Q131" s="33">
        <f>IF($A131="","",(N($O131)+$P131)/3600*N(Auftrag!$H$8))</f>
        <v/>
      </c>
      <c r="R131" s="33">
        <f>IF($A131="","",IF($F$8=0,0,$F$7/$F$8))</f>
        <v/>
      </c>
      <c r="S131" s="33">
        <f>IF($A131="","",$F131*(1+$C$4)+($Q131+$R131)*(1+$C$5))</f>
        <v/>
      </c>
      <c r="T131" s="33">
        <f>IF($A131="","",$S131*(1+$C$6))</f>
        <v/>
      </c>
      <c r="U131" s="18">
        <f>IF($A131="","",$T131*$C131)</f>
        <v/>
      </c>
      <c r="V131" s="18">
        <f>IF($A131="","",$S131*$C131)</f>
        <v/>
      </c>
      <c r="W131" s="28">
        <f>IF($A131="","",IF(N(Auftrag!$AO131)&gt;0,"nicht vollständig eingeplant",IF($D131=0,"kein Schnittplan oder Preis",IF($H131="","keine Schneiddaten",IF(AND(Auftrag!$AF131&lt;&gt;"",Auftrag!$AG131=""),"Gewinde ungeprüft","")))))</f>
        <v/>
      </c>
      <c r="X131" s="18">
        <f>IF($A131="","",$F131*$C131)</f>
        <v/>
      </c>
      <c r="Y131" s="18">
        <f>IF($A131="","",$Q131*$C131)</f>
        <v/>
      </c>
    </row>
    <row r="132">
      <c r="A132" s="25">
        <f>IF(Auftrag!$D132="","",Auftrag!$A132)</f>
        <v/>
      </c>
      <c r="B132" s="25">
        <f>IF($A132="","",Auftrag!$B132)</f>
        <v/>
      </c>
      <c r="C132" s="15">
        <f>IF($A132="","",N(Auftrag!$G132))</f>
        <v/>
      </c>
      <c r="D132" s="18">
        <f>IF($A132="","",SUMIFS(Schnittplan!$R$5:$R$1004,Schnittplan!$B$5:$B$1004,Auftrag!$D132,Schnittplan!$C$5:$C$1004,Auftrag!$E132,Schnittplan!$D$5:$D$1004,Auftrag!$Q132))</f>
        <v/>
      </c>
      <c r="E132" s="32">
        <f>IF($A132="","",IFERROR(N(Auftrag!$P132)/SUMIFS(Auftrag!$P$13:$P$512,Auftrag!$D$13:$D$512,Auftrag!$D132,Auftrag!$E$13:$E$512,Auftrag!$E132,Auftrag!$Q$13:$Q$512,Auftrag!$Q132),0))</f>
        <v/>
      </c>
      <c r="F132" s="33">
        <f>IF($A132="","",IF($C132=0,0,$D132*$E132/$C132))</f>
        <v/>
      </c>
      <c r="G132" s="34">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5">
        <f>IF($A132="","",IF($H132="","",60*((N(Auftrag!$H132)-N(Auftrag!$AI132)-N(Auftrag!$AK132))/$H132+N(Auftrag!$AI132)/$J132+N(Auftrag!$AK132)/$I132+N(Auftrag!$AD132)/$K132)+N(Auftrag!$I132)*$L132))</f>
        <v/>
      </c>
      <c r="N132" s="35">
        <f>IF($A132="","",IF(OR($H132="",$C132=0),0,(60*SUMIFS(Stangenbelegung!$K$5:$K$10004,Stangenbelegung!$E$5:$E$10004,ROW())/$H132+SUMIFS(Stangenbelegung!$L$5:$L$10004,Stangenbelegung!$E$5:$E$10004,ROW())*$L132)/$C132))</f>
        <v/>
      </c>
      <c r="O132" s="35">
        <f>IF($A132="","",IF($M132="","",MAX(0,$M132-$N132)))</f>
        <v/>
      </c>
      <c r="P132" s="35">
        <f>IF($A132="","",IFERROR(SUMPRODUCT(--("0"&amp;TRIM(RIGHT(SUBSTITUTE(LEFT(";"&amp;SUBSTITUTE(UPPER(Auftrag!$AG132)," ","")&amp;";"&amp;"X"&amp;UPPER(Gewinde!$A$5:$A$54)&amp;";",SEARCH("X"&amp;UPPER(Gewinde!$A$5:$A$54)&amp;";",";"&amp;SUBSTITUTE(UPPER(Auftrag!$AG132)," ","")&amp;";"&amp;"X"&amp;UPPER(Gewinde!$A$5:$A$54)&amp;";")-1),";",REPT(" ",50)),50))),Gewinde!$C$5:$C$54),0))</f>
        <v/>
      </c>
      <c r="Q132" s="33">
        <f>IF($A132="","",(N($O132)+$P132)/3600*N(Auftrag!$H$8))</f>
        <v/>
      </c>
      <c r="R132" s="33">
        <f>IF($A132="","",IF($F$8=0,0,$F$7/$F$8))</f>
        <v/>
      </c>
      <c r="S132" s="33">
        <f>IF($A132="","",$F132*(1+$C$4)+($Q132+$R132)*(1+$C$5))</f>
        <v/>
      </c>
      <c r="T132" s="33">
        <f>IF($A132="","",$S132*(1+$C$6))</f>
        <v/>
      </c>
      <c r="U132" s="18">
        <f>IF($A132="","",$T132*$C132)</f>
        <v/>
      </c>
      <c r="V132" s="18">
        <f>IF($A132="","",$S132*$C132)</f>
        <v/>
      </c>
      <c r="W132" s="28">
        <f>IF($A132="","",IF(N(Auftrag!$AO132)&gt;0,"nicht vollständig eingeplant",IF($D132=0,"kein Schnittplan oder Preis",IF($H132="","keine Schneiddaten",IF(AND(Auftrag!$AF132&lt;&gt;"",Auftrag!$AG132=""),"Gewinde ungeprüft","")))))</f>
        <v/>
      </c>
      <c r="X132" s="18">
        <f>IF($A132="","",$F132*$C132)</f>
        <v/>
      </c>
      <c r="Y132" s="18">
        <f>IF($A132="","",$Q132*$C132)</f>
        <v/>
      </c>
    </row>
    <row r="133">
      <c r="A133" s="25">
        <f>IF(Auftrag!$D133="","",Auftrag!$A133)</f>
        <v/>
      </c>
      <c r="B133" s="25">
        <f>IF($A133="","",Auftrag!$B133)</f>
        <v/>
      </c>
      <c r="C133" s="15">
        <f>IF($A133="","",N(Auftrag!$G133))</f>
        <v/>
      </c>
      <c r="D133" s="18">
        <f>IF($A133="","",SUMIFS(Schnittplan!$R$5:$R$1004,Schnittplan!$B$5:$B$1004,Auftrag!$D133,Schnittplan!$C$5:$C$1004,Auftrag!$E133,Schnittplan!$D$5:$D$1004,Auftrag!$Q133))</f>
        <v/>
      </c>
      <c r="E133" s="32">
        <f>IF($A133="","",IFERROR(N(Auftrag!$P133)/SUMIFS(Auftrag!$P$13:$P$512,Auftrag!$D$13:$D$512,Auftrag!$D133,Auftrag!$E$13:$E$512,Auftrag!$E133,Auftrag!$Q$13:$Q$512,Auftrag!$Q133),0))</f>
        <v/>
      </c>
      <c r="F133" s="33">
        <f>IF($A133="","",IF($C133=0,0,$D133*$E133/$C133))</f>
        <v/>
      </c>
      <c r="G133" s="34">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5">
        <f>IF($A133="","",IF($H133="","",60*((N(Auftrag!$H133)-N(Auftrag!$AI133)-N(Auftrag!$AK133))/$H133+N(Auftrag!$AI133)/$J133+N(Auftrag!$AK133)/$I133+N(Auftrag!$AD133)/$K133)+N(Auftrag!$I133)*$L133))</f>
        <v/>
      </c>
      <c r="N133" s="35">
        <f>IF($A133="","",IF(OR($H133="",$C133=0),0,(60*SUMIFS(Stangenbelegung!$K$5:$K$10004,Stangenbelegung!$E$5:$E$10004,ROW())/$H133+SUMIFS(Stangenbelegung!$L$5:$L$10004,Stangenbelegung!$E$5:$E$10004,ROW())*$L133)/$C133))</f>
        <v/>
      </c>
      <c r="O133" s="35">
        <f>IF($A133="","",IF($M133="","",MAX(0,$M133-$N133)))</f>
        <v/>
      </c>
      <c r="P133" s="35">
        <f>IF($A133="","",IFERROR(SUMPRODUCT(--("0"&amp;TRIM(RIGHT(SUBSTITUTE(LEFT(";"&amp;SUBSTITUTE(UPPER(Auftrag!$AG133)," ","")&amp;";"&amp;"X"&amp;UPPER(Gewinde!$A$5:$A$54)&amp;";",SEARCH("X"&amp;UPPER(Gewinde!$A$5:$A$54)&amp;";",";"&amp;SUBSTITUTE(UPPER(Auftrag!$AG133)," ","")&amp;";"&amp;"X"&amp;UPPER(Gewinde!$A$5:$A$54)&amp;";")-1),";",REPT(" ",50)),50))),Gewinde!$C$5:$C$54),0))</f>
        <v/>
      </c>
      <c r="Q133" s="33">
        <f>IF($A133="","",(N($O133)+$P133)/3600*N(Auftrag!$H$8))</f>
        <v/>
      </c>
      <c r="R133" s="33">
        <f>IF($A133="","",IF($F$8=0,0,$F$7/$F$8))</f>
        <v/>
      </c>
      <c r="S133" s="33">
        <f>IF($A133="","",$F133*(1+$C$4)+($Q133+$R133)*(1+$C$5))</f>
        <v/>
      </c>
      <c r="T133" s="33">
        <f>IF($A133="","",$S133*(1+$C$6))</f>
        <v/>
      </c>
      <c r="U133" s="18">
        <f>IF($A133="","",$T133*$C133)</f>
        <v/>
      </c>
      <c r="V133" s="18">
        <f>IF($A133="","",$S133*$C133)</f>
        <v/>
      </c>
      <c r="W133" s="28">
        <f>IF($A133="","",IF(N(Auftrag!$AO133)&gt;0,"nicht vollständig eingeplant",IF($D133=0,"kein Schnittplan oder Preis",IF($H133="","keine Schneiddaten",IF(AND(Auftrag!$AF133&lt;&gt;"",Auftrag!$AG133=""),"Gewinde ungeprüft","")))))</f>
        <v/>
      </c>
      <c r="X133" s="18">
        <f>IF($A133="","",$F133*$C133)</f>
        <v/>
      </c>
      <c r="Y133" s="18">
        <f>IF($A133="","",$Q133*$C133)</f>
        <v/>
      </c>
    </row>
    <row r="134">
      <c r="A134" s="25">
        <f>IF(Auftrag!$D134="","",Auftrag!$A134)</f>
        <v/>
      </c>
      <c r="B134" s="25">
        <f>IF($A134="","",Auftrag!$B134)</f>
        <v/>
      </c>
      <c r="C134" s="15">
        <f>IF($A134="","",N(Auftrag!$G134))</f>
        <v/>
      </c>
      <c r="D134" s="18">
        <f>IF($A134="","",SUMIFS(Schnittplan!$R$5:$R$1004,Schnittplan!$B$5:$B$1004,Auftrag!$D134,Schnittplan!$C$5:$C$1004,Auftrag!$E134,Schnittplan!$D$5:$D$1004,Auftrag!$Q134))</f>
        <v/>
      </c>
      <c r="E134" s="32">
        <f>IF($A134="","",IFERROR(N(Auftrag!$P134)/SUMIFS(Auftrag!$P$13:$P$512,Auftrag!$D$13:$D$512,Auftrag!$D134,Auftrag!$E$13:$E$512,Auftrag!$E134,Auftrag!$Q$13:$Q$512,Auftrag!$Q134),0))</f>
        <v/>
      </c>
      <c r="F134" s="33">
        <f>IF($A134="","",IF($C134=0,0,$D134*$E134/$C134))</f>
        <v/>
      </c>
      <c r="G134" s="34">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5">
        <f>IF($A134="","",IF($H134="","",60*((N(Auftrag!$H134)-N(Auftrag!$AI134)-N(Auftrag!$AK134))/$H134+N(Auftrag!$AI134)/$J134+N(Auftrag!$AK134)/$I134+N(Auftrag!$AD134)/$K134)+N(Auftrag!$I134)*$L134))</f>
        <v/>
      </c>
      <c r="N134" s="35">
        <f>IF($A134="","",IF(OR($H134="",$C134=0),0,(60*SUMIFS(Stangenbelegung!$K$5:$K$10004,Stangenbelegung!$E$5:$E$10004,ROW())/$H134+SUMIFS(Stangenbelegung!$L$5:$L$10004,Stangenbelegung!$E$5:$E$10004,ROW())*$L134)/$C134))</f>
        <v/>
      </c>
      <c r="O134" s="35">
        <f>IF($A134="","",IF($M134="","",MAX(0,$M134-$N134)))</f>
        <v/>
      </c>
      <c r="P134" s="35">
        <f>IF($A134="","",IFERROR(SUMPRODUCT(--("0"&amp;TRIM(RIGHT(SUBSTITUTE(LEFT(";"&amp;SUBSTITUTE(UPPER(Auftrag!$AG134)," ","")&amp;";"&amp;"X"&amp;UPPER(Gewinde!$A$5:$A$54)&amp;";",SEARCH("X"&amp;UPPER(Gewinde!$A$5:$A$54)&amp;";",";"&amp;SUBSTITUTE(UPPER(Auftrag!$AG134)," ","")&amp;";"&amp;"X"&amp;UPPER(Gewinde!$A$5:$A$54)&amp;";")-1),";",REPT(" ",50)),50))),Gewinde!$C$5:$C$54),0))</f>
        <v/>
      </c>
      <c r="Q134" s="33">
        <f>IF($A134="","",(N($O134)+$P134)/3600*N(Auftrag!$H$8))</f>
        <v/>
      </c>
      <c r="R134" s="33">
        <f>IF($A134="","",IF($F$8=0,0,$F$7/$F$8))</f>
        <v/>
      </c>
      <c r="S134" s="33">
        <f>IF($A134="","",$F134*(1+$C$4)+($Q134+$R134)*(1+$C$5))</f>
        <v/>
      </c>
      <c r="T134" s="33">
        <f>IF($A134="","",$S134*(1+$C$6))</f>
        <v/>
      </c>
      <c r="U134" s="18">
        <f>IF($A134="","",$T134*$C134)</f>
        <v/>
      </c>
      <c r="V134" s="18">
        <f>IF($A134="","",$S134*$C134)</f>
        <v/>
      </c>
      <c r="W134" s="28">
        <f>IF($A134="","",IF(N(Auftrag!$AO134)&gt;0,"nicht vollständig eingeplant",IF($D134=0,"kein Schnittplan oder Preis",IF($H134="","keine Schneiddaten",IF(AND(Auftrag!$AF134&lt;&gt;"",Auftrag!$AG134=""),"Gewinde ungeprüft","")))))</f>
        <v/>
      </c>
      <c r="X134" s="18">
        <f>IF($A134="","",$F134*$C134)</f>
        <v/>
      </c>
      <c r="Y134" s="18">
        <f>IF($A134="","",$Q134*$C134)</f>
        <v/>
      </c>
    </row>
    <row r="135">
      <c r="A135" s="25">
        <f>IF(Auftrag!$D135="","",Auftrag!$A135)</f>
        <v/>
      </c>
      <c r="B135" s="25">
        <f>IF($A135="","",Auftrag!$B135)</f>
        <v/>
      </c>
      <c r="C135" s="15">
        <f>IF($A135="","",N(Auftrag!$G135))</f>
        <v/>
      </c>
      <c r="D135" s="18">
        <f>IF($A135="","",SUMIFS(Schnittplan!$R$5:$R$1004,Schnittplan!$B$5:$B$1004,Auftrag!$D135,Schnittplan!$C$5:$C$1004,Auftrag!$E135,Schnittplan!$D$5:$D$1004,Auftrag!$Q135))</f>
        <v/>
      </c>
      <c r="E135" s="32">
        <f>IF($A135="","",IFERROR(N(Auftrag!$P135)/SUMIFS(Auftrag!$P$13:$P$512,Auftrag!$D$13:$D$512,Auftrag!$D135,Auftrag!$E$13:$E$512,Auftrag!$E135,Auftrag!$Q$13:$Q$512,Auftrag!$Q135),0))</f>
        <v/>
      </c>
      <c r="F135" s="33">
        <f>IF($A135="","",IF($C135=0,0,$D135*$E135/$C135))</f>
        <v/>
      </c>
      <c r="G135" s="34">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5">
        <f>IF($A135="","",IF($H135="","",60*((N(Auftrag!$H135)-N(Auftrag!$AI135)-N(Auftrag!$AK135))/$H135+N(Auftrag!$AI135)/$J135+N(Auftrag!$AK135)/$I135+N(Auftrag!$AD135)/$K135)+N(Auftrag!$I135)*$L135))</f>
        <v/>
      </c>
      <c r="N135" s="35">
        <f>IF($A135="","",IF(OR($H135="",$C135=0),0,(60*SUMIFS(Stangenbelegung!$K$5:$K$10004,Stangenbelegung!$E$5:$E$10004,ROW())/$H135+SUMIFS(Stangenbelegung!$L$5:$L$10004,Stangenbelegung!$E$5:$E$10004,ROW())*$L135)/$C135))</f>
        <v/>
      </c>
      <c r="O135" s="35">
        <f>IF($A135="","",IF($M135="","",MAX(0,$M135-$N135)))</f>
        <v/>
      </c>
      <c r="P135" s="35">
        <f>IF($A135="","",IFERROR(SUMPRODUCT(--("0"&amp;TRIM(RIGHT(SUBSTITUTE(LEFT(";"&amp;SUBSTITUTE(UPPER(Auftrag!$AG135)," ","")&amp;";"&amp;"X"&amp;UPPER(Gewinde!$A$5:$A$54)&amp;";",SEARCH("X"&amp;UPPER(Gewinde!$A$5:$A$54)&amp;";",";"&amp;SUBSTITUTE(UPPER(Auftrag!$AG135)," ","")&amp;";"&amp;"X"&amp;UPPER(Gewinde!$A$5:$A$54)&amp;";")-1),";",REPT(" ",50)),50))),Gewinde!$C$5:$C$54),0))</f>
        <v/>
      </c>
      <c r="Q135" s="33">
        <f>IF($A135="","",(N($O135)+$P135)/3600*N(Auftrag!$H$8))</f>
        <v/>
      </c>
      <c r="R135" s="33">
        <f>IF($A135="","",IF($F$8=0,0,$F$7/$F$8))</f>
        <v/>
      </c>
      <c r="S135" s="33">
        <f>IF($A135="","",$F135*(1+$C$4)+($Q135+$R135)*(1+$C$5))</f>
        <v/>
      </c>
      <c r="T135" s="33">
        <f>IF($A135="","",$S135*(1+$C$6))</f>
        <v/>
      </c>
      <c r="U135" s="18">
        <f>IF($A135="","",$T135*$C135)</f>
        <v/>
      </c>
      <c r="V135" s="18">
        <f>IF($A135="","",$S135*$C135)</f>
        <v/>
      </c>
      <c r="W135" s="28">
        <f>IF($A135="","",IF(N(Auftrag!$AO135)&gt;0,"nicht vollständig eingeplant",IF($D135=0,"kein Schnittplan oder Preis",IF($H135="","keine Schneiddaten",IF(AND(Auftrag!$AF135&lt;&gt;"",Auftrag!$AG135=""),"Gewinde ungeprüft","")))))</f>
        <v/>
      </c>
      <c r="X135" s="18">
        <f>IF($A135="","",$F135*$C135)</f>
        <v/>
      </c>
      <c r="Y135" s="18">
        <f>IF($A135="","",$Q135*$C135)</f>
        <v/>
      </c>
    </row>
    <row r="136">
      <c r="A136" s="25">
        <f>IF(Auftrag!$D136="","",Auftrag!$A136)</f>
        <v/>
      </c>
      <c r="B136" s="25">
        <f>IF($A136="","",Auftrag!$B136)</f>
        <v/>
      </c>
      <c r="C136" s="15">
        <f>IF($A136="","",N(Auftrag!$G136))</f>
        <v/>
      </c>
      <c r="D136" s="18">
        <f>IF($A136="","",SUMIFS(Schnittplan!$R$5:$R$1004,Schnittplan!$B$5:$B$1004,Auftrag!$D136,Schnittplan!$C$5:$C$1004,Auftrag!$E136,Schnittplan!$D$5:$D$1004,Auftrag!$Q136))</f>
        <v/>
      </c>
      <c r="E136" s="32">
        <f>IF($A136="","",IFERROR(N(Auftrag!$P136)/SUMIFS(Auftrag!$P$13:$P$512,Auftrag!$D$13:$D$512,Auftrag!$D136,Auftrag!$E$13:$E$512,Auftrag!$E136,Auftrag!$Q$13:$Q$512,Auftrag!$Q136),0))</f>
        <v/>
      </c>
      <c r="F136" s="33">
        <f>IF($A136="","",IF($C136=0,0,$D136*$E136/$C136))</f>
        <v/>
      </c>
      <c r="G136" s="34">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5">
        <f>IF($A136="","",IF($H136="","",60*((N(Auftrag!$H136)-N(Auftrag!$AI136)-N(Auftrag!$AK136))/$H136+N(Auftrag!$AI136)/$J136+N(Auftrag!$AK136)/$I136+N(Auftrag!$AD136)/$K136)+N(Auftrag!$I136)*$L136))</f>
        <v/>
      </c>
      <c r="N136" s="35">
        <f>IF($A136="","",IF(OR($H136="",$C136=0),0,(60*SUMIFS(Stangenbelegung!$K$5:$K$10004,Stangenbelegung!$E$5:$E$10004,ROW())/$H136+SUMIFS(Stangenbelegung!$L$5:$L$10004,Stangenbelegung!$E$5:$E$10004,ROW())*$L136)/$C136))</f>
        <v/>
      </c>
      <c r="O136" s="35">
        <f>IF($A136="","",IF($M136="","",MAX(0,$M136-$N136)))</f>
        <v/>
      </c>
      <c r="P136" s="35">
        <f>IF($A136="","",IFERROR(SUMPRODUCT(--("0"&amp;TRIM(RIGHT(SUBSTITUTE(LEFT(";"&amp;SUBSTITUTE(UPPER(Auftrag!$AG136)," ","")&amp;";"&amp;"X"&amp;UPPER(Gewinde!$A$5:$A$54)&amp;";",SEARCH("X"&amp;UPPER(Gewinde!$A$5:$A$54)&amp;";",";"&amp;SUBSTITUTE(UPPER(Auftrag!$AG136)," ","")&amp;";"&amp;"X"&amp;UPPER(Gewinde!$A$5:$A$54)&amp;";")-1),";",REPT(" ",50)),50))),Gewinde!$C$5:$C$54),0))</f>
        <v/>
      </c>
      <c r="Q136" s="33">
        <f>IF($A136="","",(N($O136)+$P136)/3600*N(Auftrag!$H$8))</f>
        <v/>
      </c>
      <c r="R136" s="33">
        <f>IF($A136="","",IF($F$8=0,0,$F$7/$F$8))</f>
        <v/>
      </c>
      <c r="S136" s="33">
        <f>IF($A136="","",$F136*(1+$C$4)+($Q136+$R136)*(1+$C$5))</f>
        <v/>
      </c>
      <c r="T136" s="33">
        <f>IF($A136="","",$S136*(1+$C$6))</f>
        <v/>
      </c>
      <c r="U136" s="18">
        <f>IF($A136="","",$T136*$C136)</f>
        <v/>
      </c>
      <c r="V136" s="18">
        <f>IF($A136="","",$S136*$C136)</f>
        <v/>
      </c>
      <c r="W136" s="28">
        <f>IF($A136="","",IF(N(Auftrag!$AO136)&gt;0,"nicht vollständig eingeplant",IF($D136=0,"kein Schnittplan oder Preis",IF($H136="","keine Schneiddaten",IF(AND(Auftrag!$AF136&lt;&gt;"",Auftrag!$AG136=""),"Gewinde ungeprüft","")))))</f>
        <v/>
      </c>
      <c r="X136" s="18">
        <f>IF($A136="","",$F136*$C136)</f>
        <v/>
      </c>
      <c r="Y136" s="18">
        <f>IF($A136="","",$Q136*$C136)</f>
        <v/>
      </c>
    </row>
    <row r="137">
      <c r="A137" s="25">
        <f>IF(Auftrag!$D137="","",Auftrag!$A137)</f>
        <v/>
      </c>
      <c r="B137" s="25">
        <f>IF($A137="","",Auftrag!$B137)</f>
        <v/>
      </c>
      <c r="C137" s="15">
        <f>IF($A137="","",N(Auftrag!$G137))</f>
        <v/>
      </c>
      <c r="D137" s="18">
        <f>IF($A137="","",SUMIFS(Schnittplan!$R$5:$R$1004,Schnittplan!$B$5:$B$1004,Auftrag!$D137,Schnittplan!$C$5:$C$1004,Auftrag!$E137,Schnittplan!$D$5:$D$1004,Auftrag!$Q137))</f>
        <v/>
      </c>
      <c r="E137" s="32">
        <f>IF($A137="","",IFERROR(N(Auftrag!$P137)/SUMIFS(Auftrag!$P$13:$P$512,Auftrag!$D$13:$D$512,Auftrag!$D137,Auftrag!$E$13:$E$512,Auftrag!$E137,Auftrag!$Q$13:$Q$512,Auftrag!$Q137),0))</f>
        <v/>
      </c>
      <c r="F137" s="33">
        <f>IF($A137="","",IF($C137=0,0,$D137*$E137/$C137))</f>
        <v/>
      </c>
      <c r="G137" s="34">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5">
        <f>IF($A137="","",IF($H137="","",60*((N(Auftrag!$H137)-N(Auftrag!$AI137)-N(Auftrag!$AK137))/$H137+N(Auftrag!$AI137)/$J137+N(Auftrag!$AK137)/$I137+N(Auftrag!$AD137)/$K137)+N(Auftrag!$I137)*$L137))</f>
        <v/>
      </c>
      <c r="N137" s="35">
        <f>IF($A137="","",IF(OR($H137="",$C137=0),0,(60*SUMIFS(Stangenbelegung!$K$5:$K$10004,Stangenbelegung!$E$5:$E$10004,ROW())/$H137+SUMIFS(Stangenbelegung!$L$5:$L$10004,Stangenbelegung!$E$5:$E$10004,ROW())*$L137)/$C137))</f>
        <v/>
      </c>
      <c r="O137" s="35">
        <f>IF($A137="","",IF($M137="","",MAX(0,$M137-$N137)))</f>
        <v/>
      </c>
      <c r="P137" s="35">
        <f>IF($A137="","",IFERROR(SUMPRODUCT(--("0"&amp;TRIM(RIGHT(SUBSTITUTE(LEFT(";"&amp;SUBSTITUTE(UPPER(Auftrag!$AG137)," ","")&amp;";"&amp;"X"&amp;UPPER(Gewinde!$A$5:$A$54)&amp;";",SEARCH("X"&amp;UPPER(Gewinde!$A$5:$A$54)&amp;";",";"&amp;SUBSTITUTE(UPPER(Auftrag!$AG137)," ","")&amp;";"&amp;"X"&amp;UPPER(Gewinde!$A$5:$A$54)&amp;";")-1),";",REPT(" ",50)),50))),Gewinde!$C$5:$C$54),0))</f>
        <v/>
      </c>
      <c r="Q137" s="33">
        <f>IF($A137="","",(N($O137)+$P137)/3600*N(Auftrag!$H$8))</f>
        <v/>
      </c>
      <c r="R137" s="33">
        <f>IF($A137="","",IF($F$8=0,0,$F$7/$F$8))</f>
        <v/>
      </c>
      <c r="S137" s="33">
        <f>IF($A137="","",$F137*(1+$C$4)+($Q137+$R137)*(1+$C$5))</f>
        <v/>
      </c>
      <c r="T137" s="33">
        <f>IF($A137="","",$S137*(1+$C$6))</f>
        <v/>
      </c>
      <c r="U137" s="18">
        <f>IF($A137="","",$T137*$C137)</f>
        <v/>
      </c>
      <c r="V137" s="18">
        <f>IF($A137="","",$S137*$C137)</f>
        <v/>
      </c>
      <c r="W137" s="28">
        <f>IF($A137="","",IF(N(Auftrag!$AO137)&gt;0,"nicht vollständig eingeplant",IF($D137=0,"kein Schnittplan oder Preis",IF($H137="","keine Schneiddaten",IF(AND(Auftrag!$AF137&lt;&gt;"",Auftrag!$AG137=""),"Gewinde ungeprüft","")))))</f>
        <v/>
      </c>
      <c r="X137" s="18">
        <f>IF($A137="","",$F137*$C137)</f>
        <v/>
      </c>
      <c r="Y137" s="18">
        <f>IF($A137="","",$Q137*$C137)</f>
        <v/>
      </c>
    </row>
    <row r="138">
      <c r="A138" s="25">
        <f>IF(Auftrag!$D138="","",Auftrag!$A138)</f>
        <v/>
      </c>
      <c r="B138" s="25">
        <f>IF($A138="","",Auftrag!$B138)</f>
        <v/>
      </c>
      <c r="C138" s="15">
        <f>IF($A138="","",N(Auftrag!$G138))</f>
        <v/>
      </c>
      <c r="D138" s="18">
        <f>IF($A138="","",SUMIFS(Schnittplan!$R$5:$R$1004,Schnittplan!$B$5:$B$1004,Auftrag!$D138,Schnittplan!$C$5:$C$1004,Auftrag!$E138,Schnittplan!$D$5:$D$1004,Auftrag!$Q138))</f>
        <v/>
      </c>
      <c r="E138" s="32">
        <f>IF($A138="","",IFERROR(N(Auftrag!$P138)/SUMIFS(Auftrag!$P$13:$P$512,Auftrag!$D$13:$D$512,Auftrag!$D138,Auftrag!$E$13:$E$512,Auftrag!$E138,Auftrag!$Q$13:$Q$512,Auftrag!$Q138),0))</f>
        <v/>
      </c>
      <c r="F138" s="33">
        <f>IF($A138="","",IF($C138=0,0,$D138*$E138/$C138))</f>
        <v/>
      </c>
      <c r="G138" s="34">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5">
        <f>IF($A138="","",IF($H138="","",60*((N(Auftrag!$H138)-N(Auftrag!$AI138)-N(Auftrag!$AK138))/$H138+N(Auftrag!$AI138)/$J138+N(Auftrag!$AK138)/$I138+N(Auftrag!$AD138)/$K138)+N(Auftrag!$I138)*$L138))</f>
        <v/>
      </c>
      <c r="N138" s="35">
        <f>IF($A138="","",IF(OR($H138="",$C138=0),0,(60*SUMIFS(Stangenbelegung!$K$5:$K$10004,Stangenbelegung!$E$5:$E$10004,ROW())/$H138+SUMIFS(Stangenbelegung!$L$5:$L$10004,Stangenbelegung!$E$5:$E$10004,ROW())*$L138)/$C138))</f>
        <v/>
      </c>
      <c r="O138" s="35">
        <f>IF($A138="","",IF($M138="","",MAX(0,$M138-$N138)))</f>
        <v/>
      </c>
      <c r="P138" s="35">
        <f>IF($A138="","",IFERROR(SUMPRODUCT(--("0"&amp;TRIM(RIGHT(SUBSTITUTE(LEFT(";"&amp;SUBSTITUTE(UPPER(Auftrag!$AG138)," ","")&amp;";"&amp;"X"&amp;UPPER(Gewinde!$A$5:$A$54)&amp;";",SEARCH("X"&amp;UPPER(Gewinde!$A$5:$A$54)&amp;";",";"&amp;SUBSTITUTE(UPPER(Auftrag!$AG138)," ","")&amp;";"&amp;"X"&amp;UPPER(Gewinde!$A$5:$A$54)&amp;";")-1),";",REPT(" ",50)),50))),Gewinde!$C$5:$C$54),0))</f>
        <v/>
      </c>
      <c r="Q138" s="33">
        <f>IF($A138="","",(N($O138)+$P138)/3600*N(Auftrag!$H$8))</f>
        <v/>
      </c>
      <c r="R138" s="33">
        <f>IF($A138="","",IF($F$8=0,0,$F$7/$F$8))</f>
        <v/>
      </c>
      <c r="S138" s="33">
        <f>IF($A138="","",$F138*(1+$C$4)+($Q138+$R138)*(1+$C$5))</f>
        <v/>
      </c>
      <c r="T138" s="33">
        <f>IF($A138="","",$S138*(1+$C$6))</f>
        <v/>
      </c>
      <c r="U138" s="18">
        <f>IF($A138="","",$T138*$C138)</f>
        <v/>
      </c>
      <c r="V138" s="18">
        <f>IF($A138="","",$S138*$C138)</f>
        <v/>
      </c>
      <c r="W138" s="28">
        <f>IF($A138="","",IF(N(Auftrag!$AO138)&gt;0,"nicht vollständig eingeplant",IF($D138=0,"kein Schnittplan oder Preis",IF($H138="","keine Schneiddaten",IF(AND(Auftrag!$AF138&lt;&gt;"",Auftrag!$AG138=""),"Gewinde ungeprüft","")))))</f>
        <v/>
      </c>
      <c r="X138" s="18">
        <f>IF($A138="","",$F138*$C138)</f>
        <v/>
      </c>
      <c r="Y138" s="18">
        <f>IF($A138="","",$Q138*$C138)</f>
        <v/>
      </c>
    </row>
    <row r="139">
      <c r="A139" s="25">
        <f>IF(Auftrag!$D139="","",Auftrag!$A139)</f>
        <v/>
      </c>
      <c r="B139" s="25">
        <f>IF($A139="","",Auftrag!$B139)</f>
        <v/>
      </c>
      <c r="C139" s="15">
        <f>IF($A139="","",N(Auftrag!$G139))</f>
        <v/>
      </c>
      <c r="D139" s="18">
        <f>IF($A139="","",SUMIFS(Schnittplan!$R$5:$R$1004,Schnittplan!$B$5:$B$1004,Auftrag!$D139,Schnittplan!$C$5:$C$1004,Auftrag!$E139,Schnittplan!$D$5:$D$1004,Auftrag!$Q139))</f>
        <v/>
      </c>
      <c r="E139" s="32">
        <f>IF($A139="","",IFERROR(N(Auftrag!$P139)/SUMIFS(Auftrag!$P$13:$P$512,Auftrag!$D$13:$D$512,Auftrag!$D139,Auftrag!$E$13:$E$512,Auftrag!$E139,Auftrag!$Q$13:$Q$512,Auftrag!$Q139),0))</f>
        <v/>
      </c>
      <c r="F139" s="33">
        <f>IF($A139="","",IF($C139=0,0,$D139*$E139/$C139))</f>
        <v/>
      </c>
      <c r="G139" s="34">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5">
        <f>IF($A139="","",IF($H139="","",60*((N(Auftrag!$H139)-N(Auftrag!$AI139)-N(Auftrag!$AK139))/$H139+N(Auftrag!$AI139)/$J139+N(Auftrag!$AK139)/$I139+N(Auftrag!$AD139)/$K139)+N(Auftrag!$I139)*$L139))</f>
        <v/>
      </c>
      <c r="N139" s="35">
        <f>IF($A139="","",IF(OR($H139="",$C139=0),0,(60*SUMIFS(Stangenbelegung!$K$5:$K$10004,Stangenbelegung!$E$5:$E$10004,ROW())/$H139+SUMIFS(Stangenbelegung!$L$5:$L$10004,Stangenbelegung!$E$5:$E$10004,ROW())*$L139)/$C139))</f>
        <v/>
      </c>
      <c r="O139" s="35">
        <f>IF($A139="","",IF($M139="","",MAX(0,$M139-$N139)))</f>
        <v/>
      </c>
      <c r="P139" s="35">
        <f>IF($A139="","",IFERROR(SUMPRODUCT(--("0"&amp;TRIM(RIGHT(SUBSTITUTE(LEFT(";"&amp;SUBSTITUTE(UPPER(Auftrag!$AG139)," ","")&amp;";"&amp;"X"&amp;UPPER(Gewinde!$A$5:$A$54)&amp;";",SEARCH("X"&amp;UPPER(Gewinde!$A$5:$A$54)&amp;";",";"&amp;SUBSTITUTE(UPPER(Auftrag!$AG139)," ","")&amp;";"&amp;"X"&amp;UPPER(Gewinde!$A$5:$A$54)&amp;";")-1),";",REPT(" ",50)),50))),Gewinde!$C$5:$C$54),0))</f>
        <v/>
      </c>
      <c r="Q139" s="33">
        <f>IF($A139="","",(N($O139)+$P139)/3600*N(Auftrag!$H$8))</f>
        <v/>
      </c>
      <c r="R139" s="33">
        <f>IF($A139="","",IF($F$8=0,0,$F$7/$F$8))</f>
        <v/>
      </c>
      <c r="S139" s="33">
        <f>IF($A139="","",$F139*(1+$C$4)+($Q139+$R139)*(1+$C$5))</f>
        <v/>
      </c>
      <c r="T139" s="33">
        <f>IF($A139="","",$S139*(1+$C$6))</f>
        <v/>
      </c>
      <c r="U139" s="18">
        <f>IF($A139="","",$T139*$C139)</f>
        <v/>
      </c>
      <c r="V139" s="18">
        <f>IF($A139="","",$S139*$C139)</f>
        <v/>
      </c>
      <c r="W139" s="28">
        <f>IF($A139="","",IF(N(Auftrag!$AO139)&gt;0,"nicht vollständig eingeplant",IF($D139=0,"kein Schnittplan oder Preis",IF($H139="","keine Schneiddaten",IF(AND(Auftrag!$AF139&lt;&gt;"",Auftrag!$AG139=""),"Gewinde ungeprüft","")))))</f>
        <v/>
      </c>
      <c r="X139" s="18">
        <f>IF($A139="","",$F139*$C139)</f>
        <v/>
      </c>
      <c r="Y139" s="18">
        <f>IF($A139="","",$Q139*$C139)</f>
        <v/>
      </c>
    </row>
    <row r="140">
      <c r="A140" s="25">
        <f>IF(Auftrag!$D140="","",Auftrag!$A140)</f>
        <v/>
      </c>
      <c r="B140" s="25">
        <f>IF($A140="","",Auftrag!$B140)</f>
        <v/>
      </c>
      <c r="C140" s="15">
        <f>IF($A140="","",N(Auftrag!$G140))</f>
        <v/>
      </c>
      <c r="D140" s="18">
        <f>IF($A140="","",SUMIFS(Schnittplan!$R$5:$R$1004,Schnittplan!$B$5:$B$1004,Auftrag!$D140,Schnittplan!$C$5:$C$1004,Auftrag!$E140,Schnittplan!$D$5:$D$1004,Auftrag!$Q140))</f>
        <v/>
      </c>
      <c r="E140" s="32">
        <f>IF($A140="","",IFERROR(N(Auftrag!$P140)/SUMIFS(Auftrag!$P$13:$P$512,Auftrag!$D$13:$D$512,Auftrag!$D140,Auftrag!$E$13:$E$512,Auftrag!$E140,Auftrag!$Q$13:$Q$512,Auftrag!$Q140),0))</f>
        <v/>
      </c>
      <c r="F140" s="33">
        <f>IF($A140="","",IF($C140=0,0,$D140*$E140/$C140))</f>
        <v/>
      </c>
      <c r="G140" s="34">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5">
        <f>IF($A140="","",IF($H140="","",60*((N(Auftrag!$H140)-N(Auftrag!$AI140)-N(Auftrag!$AK140))/$H140+N(Auftrag!$AI140)/$J140+N(Auftrag!$AK140)/$I140+N(Auftrag!$AD140)/$K140)+N(Auftrag!$I140)*$L140))</f>
        <v/>
      </c>
      <c r="N140" s="35">
        <f>IF($A140="","",IF(OR($H140="",$C140=0),0,(60*SUMIFS(Stangenbelegung!$K$5:$K$10004,Stangenbelegung!$E$5:$E$10004,ROW())/$H140+SUMIFS(Stangenbelegung!$L$5:$L$10004,Stangenbelegung!$E$5:$E$10004,ROW())*$L140)/$C140))</f>
        <v/>
      </c>
      <c r="O140" s="35">
        <f>IF($A140="","",IF($M140="","",MAX(0,$M140-$N140)))</f>
        <v/>
      </c>
      <c r="P140" s="35">
        <f>IF($A140="","",IFERROR(SUMPRODUCT(--("0"&amp;TRIM(RIGHT(SUBSTITUTE(LEFT(";"&amp;SUBSTITUTE(UPPER(Auftrag!$AG140)," ","")&amp;";"&amp;"X"&amp;UPPER(Gewinde!$A$5:$A$54)&amp;";",SEARCH("X"&amp;UPPER(Gewinde!$A$5:$A$54)&amp;";",";"&amp;SUBSTITUTE(UPPER(Auftrag!$AG140)," ","")&amp;";"&amp;"X"&amp;UPPER(Gewinde!$A$5:$A$54)&amp;";")-1),";",REPT(" ",50)),50))),Gewinde!$C$5:$C$54),0))</f>
        <v/>
      </c>
      <c r="Q140" s="33">
        <f>IF($A140="","",(N($O140)+$P140)/3600*N(Auftrag!$H$8))</f>
        <v/>
      </c>
      <c r="R140" s="33">
        <f>IF($A140="","",IF($F$8=0,0,$F$7/$F$8))</f>
        <v/>
      </c>
      <c r="S140" s="33">
        <f>IF($A140="","",$F140*(1+$C$4)+($Q140+$R140)*(1+$C$5))</f>
        <v/>
      </c>
      <c r="T140" s="33">
        <f>IF($A140="","",$S140*(1+$C$6))</f>
        <v/>
      </c>
      <c r="U140" s="18">
        <f>IF($A140="","",$T140*$C140)</f>
        <v/>
      </c>
      <c r="V140" s="18">
        <f>IF($A140="","",$S140*$C140)</f>
        <v/>
      </c>
      <c r="W140" s="28">
        <f>IF($A140="","",IF(N(Auftrag!$AO140)&gt;0,"nicht vollständig eingeplant",IF($D140=0,"kein Schnittplan oder Preis",IF($H140="","keine Schneiddaten",IF(AND(Auftrag!$AF140&lt;&gt;"",Auftrag!$AG140=""),"Gewinde ungeprüft","")))))</f>
        <v/>
      </c>
      <c r="X140" s="18">
        <f>IF($A140="","",$F140*$C140)</f>
        <v/>
      </c>
      <c r="Y140" s="18">
        <f>IF($A140="","",$Q140*$C140)</f>
        <v/>
      </c>
    </row>
    <row r="141">
      <c r="A141" s="25">
        <f>IF(Auftrag!$D141="","",Auftrag!$A141)</f>
        <v/>
      </c>
      <c r="B141" s="25">
        <f>IF($A141="","",Auftrag!$B141)</f>
        <v/>
      </c>
      <c r="C141" s="15">
        <f>IF($A141="","",N(Auftrag!$G141))</f>
        <v/>
      </c>
      <c r="D141" s="18">
        <f>IF($A141="","",SUMIFS(Schnittplan!$R$5:$R$1004,Schnittplan!$B$5:$B$1004,Auftrag!$D141,Schnittplan!$C$5:$C$1004,Auftrag!$E141,Schnittplan!$D$5:$D$1004,Auftrag!$Q141))</f>
        <v/>
      </c>
      <c r="E141" s="32">
        <f>IF($A141="","",IFERROR(N(Auftrag!$P141)/SUMIFS(Auftrag!$P$13:$P$512,Auftrag!$D$13:$D$512,Auftrag!$D141,Auftrag!$E$13:$E$512,Auftrag!$E141,Auftrag!$Q$13:$Q$512,Auftrag!$Q141),0))</f>
        <v/>
      </c>
      <c r="F141" s="33">
        <f>IF($A141="","",IF($C141=0,0,$D141*$E141/$C141))</f>
        <v/>
      </c>
      <c r="G141" s="34">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5">
        <f>IF($A141="","",IF($H141="","",60*((N(Auftrag!$H141)-N(Auftrag!$AI141)-N(Auftrag!$AK141))/$H141+N(Auftrag!$AI141)/$J141+N(Auftrag!$AK141)/$I141+N(Auftrag!$AD141)/$K141)+N(Auftrag!$I141)*$L141))</f>
        <v/>
      </c>
      <c r="N141" s="35">
        <f>IF($A141="","",IF(OR($H141="",$C141=0),0,(60*SUMIFS(Stangenbelegung!$K$5:$K$10004,Stangenbelegung!$E$5:$E$10004,ROW())/$H141+SUMIFS(Stangenbelegung!$L$5:$L$10004,Stangenbelegung!$E$5:$E$10004,ROW())*$L141)/$C141))</f>
        <v/>
      </c>
      <c r="O141" s="35">
        <f>IF($A141="","",IF($M141="","",MAX(0,$M141-$N141)))</f>
        <v/>
      </c>
      <c r="P141" s="35">
        <f>IF($A141="","",IFERROR(SUMPRODUCT(--("0"&amp;TRIM(RIGHT(SUBSTITUTE(LEFT(";"&amp;SUBSTITUTE(UPPER(Auftrag!$AG141)," ","")&amp;";"&amp;"X"&amp;UPPER(Gewinde!$A$5:$A$54)&amp;";",SEARCH("X"&amp;UPPER(Gewinde!$A$5:$A$54)&amp;";",";"&amp;SUBSTITUTE(UPPER(Auftrag!$AG141)," ","")&amp;";"&amp;"X"&amp;UPPER(Gewinde!$A$5:$A$54)&amp;";")-1),";",REPT(" ",50)),50))),Gewinde!$C$5:$C$54),0))</f>
        <v/>
      </c>
      <c r="Q141" s="33">
        <f>IF($A141="","",(N($O141)+$P141)/3600*N(Auftrag!$H$8))</f>
        <v/>
      </c>
      <c r="R141" s="33">
        <f>IF($A141="","",IF($F$8=0,0,$F$7/$F$8))</f>
        <v/>
      </c>
      <c r="S141" s="33">
        <f>IF($A141="","",$F141*(1+$C$4)+($Q141+$R141)*(1+$C$5))</f>
        <v/>
      </c>
      <c r="T141" s="33">
        <f>IF($A141="","",$S141*(1+$C$6))</f>
        <v/>
      </c>
      <c r="U141" s="18">
        <f>IF($A141="","",$T141*$C141)</f>
        <v/>
      </c>
      <c r="V141" s="18">
        <f>IF($A141="","",$S141*$C141)</f>
        <v/>
      </c>
      <c r="W141" s="28">
        <f>IF($A141="","",IF(N(Auftrag!$AO141)&gt;0,"nicht vollständig eingeplant",IF($D141=0,"kein Schnittplan oder Preis",IF($H141="","keine Schneiddaten",IF(AND(Auftrag!$AF141&lt;&gt;"",Auftrag!$AG141=""),"Gewinde ungeprüft","")))))</f>
        <v/>
      </c>
      <c r="X141" s="18">
        <f>IF($A141="","",$F141*$C141)</f>
        <v/>
      </c>
      <c r="Y141" s="18">
        <f>IF($A141="","",$Q141*$C141)</f>
        <v/>
      </c>
    </row>
    <row r="142">
      <c r="A142" s="25">
        <f>IF(Auftrag!$D142="","",Auftrag!$A142)</f>
        <v/>
      </c>
      <c r="B142" s="25">
        <f>IF($A142="","",Auftrag!$B142)</f>
        <v/>
      </c>
      <c r="C142" s="15">
        <f>IF($A142="","",N(Auftrag!$G142))</f>
        <v/>
      </c>
      <c r="D142" s="18">
        <f>IF($A142="","",SUMIFS(Schnittplan!$R$5:$R$1004,Schnittplan!$B$5:$B$1004,Auftrag!$D142,Schnittplan!$C$5:$C$1004,Auftrag!$E142,Schnittplan!$D$5:$D$1004,Auftrag!$Q142))</f>
        <v/>
      </c>
      <c r="E142" s="32">
        <f>IF($A142="","",IFERROR(N(Auftrag!$P142)/SUMIFS(Auftrag!$P$13:$P$512,Auftrag!$D$13:$D$512,Auftrag!$D142,Auftrag!$E$13:$E$512,Auftrag!$E142,Auftrag!$Q$13:$Q$512,Auftrag!$Q142),0))</f>
        <v/>
      </c>
      <c r="F142" s="33">
        <f>IF($A142="","",IF($C142=0,0,$D142*$E142/$C142))</f>
        <v/>
      </c>
      <c r="G142" s="34">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5">
        <f>IF($A142="","",IF($H142="","",60*((N(Auftrag!$H142)-N(Auftrag!$AI142)-N(Auftrag!$AK142))/$H142+N(Auftrag!$AI142)/$J142+N(Auftrag!$AK142)/$I142+N(Auftrag!$AD142)/$K142)+N(Auftrag!$I142)*$L142))</f>
        <v/>
      </c>
      <c r="N142" s="35">
        <f>IF($A142="","",IF(OR($H142="",$C142=0),0,(60*SUMIFS(Stangenbelegung!$K$5:$K$10004,Stangenbelegung!$E$5:$E$10004,ROW())/$H142+SUMIFS(Stangenbelegung!$L$5:$L$10004,Stangenbelegung!$E$5:$E$10004,ROW())*$L142)/$C142))</f>
        <v/>
      </c>
      <c r="O142" s="35">
        <f>IF($A142="","",IF($M142="","",MAX(0,$M142-$N142)))</f>
        <v/>
      </c>
      <c r="P142" s="35">
        <f>IF($A142="","",IFERROR(SUMPRODUCT(--("0"&amp;TRIM(RIGHT(SUBSTITUTE(LEFT(";"&amp;SUBSTITUTE(UPPER(Auftrag!$AG142)," ","")&amp;";"&amp;"X"&amp;UPPER(Gewinde!$A$5:$A$54)&amp;";",SEARCH("X"&amp;UPPER(Gewinde!$A$5:$A$54)&amp;";",";"&amp;SUBSTITUTE(UPPER(Auftrag!$AG142)," ","")&amp;";"&amp;"X"&amp;UPPER(Gewinde!$A$5:$A$54)&amp;";")-1),";",REPT(" ",50)),50))),Gewinde!$C$5:$C$54),0))</f>
        <v/>
      </c>
      <c r="Q142" s="33">
        <f>IF($A142="","",(N($O142)+$P142)/3600*N(Auftrag!$H$8))</f>
        <v/>
      </c>
      <c r="R142" s="33">
        <f>IF($A142="","",IF($F$8=0,0,$F$7/$F$8))</f>
        <v/>
      </c>
      <c r="S142" s="33">
        <f>IF($A142="","",$F142*(1+$C$4)+($Q142+$R142)*(1+$C$5))</f>
        <v/>
      </c>
      <c r="T142" s="33">
        <f>IF($A142="","",$S142*(1+$C$6))</f>
        <v/>
      </c>
      <c r="U142" s="18">
        <f>IF($A142="","",$T142*$C142)</f>
        <v/>
      </c>
      <c r="V142" s="18">
        <f>IF($A142="","",$S142*$C142)</f>
        <v/>
      </c>
      <c r="W142" s="28">
        <f>IF($A142="","",IF(N(Auftrag!$AO142)&gt;0,"nicht vollständig eingeplant",IF($D142=0,"kein Schnittplan oder Preis",IF($H142="","keine Schneiddaten",IF(AND(Auftrag!$AF142&lt;&gt;"",Auftrag!$AG142=""),"Gewinde ungeprüft","")))))</f>
        <v/>
      </c>
      <c r="X142" s="18">
        <f>IF($A142="","",$F142*$C142)</f>
        <v/>
      </c>
      <c r="Y142" s="18">
        <f>IF($A142="","",$Q142*$C142)</f>
        <v/>
      </c>
    </row>
    <row r="143">
      <c r="A143" s="25">
        <f>IF(Auftrag!$D143="","",Auftrag!$A143)</f>
        <v/>
      </c>
      <c r="B143" s="25">
        <f>IF($A143="","",Auftrag!$B143)</f>
        <v/>
      </c>
      <c r="C143" s="15">
        <f>IF($A143="","",N(Auftrag!$G143))</f>
        <v/>
      </c>
      <c r="D143" s="18">
        <f>IF($A143="","",SUMIFS(Schnittplan!$R$5:$R$1004,Schnittplan!$B$5:$B$1004,Auftrag!$D143,Schnittplan!$C$5:$C$1004,Auftrag!$E143,Schnittplan!$D$5:$D$1004,Auftrag!$Q143))</f>
        <v/>
      </c>
      <c r="E143" s="32">
        <f>IF($A143="","",IFERROR(N(Auftrag!$P143)/SUMIFS(Auftrag!$P$13:$P$512,Auftrag!$D$13:$D$512,Auftrag!$D143,Auftrag!$E$13:$E$512,Auftrag!$E143,Auftrag!$Q$13:$Q$512,Auftrag!$Q143),0))</f>
        <v/>
      </c>
      <c r="F143" s="33">
        <f>IF($A143="","",IF($C143=0,0,$D143*$E143/$C143))</f>
        <v/>
      </c>
      <c r="G143" s="34">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5">
        <f>IF($A143="","",IF($H143="","",60*((N(Auftrag!$H143)-N(Auftrag!$AI143)-N(Auftrag!$AK143))/$H143+N(Auftrag!$AI143)/$J143+N(Auftrag!$AK143)/$I143+N(Auftrag!$AD143)/$K143)+N(Auftrag!$I143)*$L143))</f>
        <v/>
      </c>
      <c r="N143" s="35">
        <f>IF($A143="","",IF(OR($H143="",$C143=0),0,(60*SUMIFS(Stangenbelegung!$K$5:$K$10004,Stangenbelegung!$E$5:$E$10004,ROW())/$H143+SUMIFS(Stangenbelegung!$L$5:$L$10004,Stangenbelegung!$E$5:$E$10004,ROW())*$L143)/$C143))</f>
        <v/>
      </c>
      <c r="O143" s="35">
        <f>IF($A143="","",IF($M143="","",MAX(0,$M143-$N143)))</f>
        <v/>
      </c>
      <c r="P143" s="35">
        <f>IF($A143="","",IFERROR(SUMPRODUCT(--("0"&amp;TRIM(RIGHT(SUBSTITUTE(LEFT(";"&amp;SUBSTITUTE(UPPER(Auftrag!$AG143)," ","")&amp;";"&amp;"X"&amp;UPPER(Gewinde!$A$5:$A$54)&amp;";",SEARCH("X"&amp;UPPER(Gewinde!$A$5:$A$54)&amp;";",";"&amp;SUBSTITUTE(UPPER(Auftrag!$AG143)," ","")&amp;";"&amp;"X"&amp;UPPER(Gewinde!$A$5:$A$54)&amp;";")-1),";",REPT(" ",50)),50))),Gewinde!$C$5:$C$54),0))</f>
        <v/>
      </c>
      <c r="Q143" s="33">
        <f>IF($A143="","",(N($O143)+$P143)/3600*N(Auftrag!$H$8))</f>
        <v/>
      </c>
      <c r="R143" s="33">
        <f>IF($A143="","",IF($F$8=0,0,$F$7/$F$8))</f>
        <v/>
      </c>
      <c r="S143" s="33">
        <f>IF($A143="","",$F143*(1+$C$4)+($Q143+$R143)*(1+$C$5))</f>
        <v/>
      </c>
      <c r="T143" s="33">
        <f>IF($A143="","",$S143*(1+$C$6))</f>
        <v/>
      </c>
      <c r="U143" s="18">
        <f>IF($A143="","",$T143*$C143)</f>
        <v/>
      </c>
      <c r="V143" s="18">
        <f>IF($A143="","",$S143*$C143)</f>
        <v/>
      </c>
      <c r="W143" s="28">
        <f>IF($A143="","",IF(N(Auftrag!$AO143)&gt;0,"nicht vollständig eingeplant",IF($D143=0,"kein Schnittplan oder Preis",IF($H143="","keine Schneiddaten",IF(AND(Auftrag!$AF143&lt;&gt;"",Auftrag!$AG143=""),"Gewinde ungeprüft","")))))</f>
        <v/>
      </c>
      <c r="X143" s="18">
        <f>IF($A143="","",$F143*$C143)</f>
        <v/>
      </c>
      <c r="Y143" s="18">
        <f>IF($A143="","",$Q143*$C143)</f>
        <v/>
      </c>
    </row>
    <row r="144">
      <c r="A144" s="25">
        <f>IF(Auftrag!$D144="","",Auftrag!$A144)</f>
        <v/>
      </c>
      <c r="B144" s="25">
        <f>IF($A144="","",Auftrag!$B144)</f>
        <v/>
      </c>
      <c r="C144" s="15">
        <f>IF($A144="","",N(Auftrag!$G144))</f>
        <v/>
      </c>
      <c r="D144" s="18">
        <f>IF($A144="","",SUMIFS(Schnittplan!$R$5:$R$1004,Schnittplan!$B$5:$B$1004,Auftrag!$D144,Schnittplan!$C$5:$C$1004,Auftrag!$E144,Schnittplan!$D$5:$D$1004,Auftrag!$Q144))</f>
        <v/>
      </c>
      <c r="E144" s="32">
        <f>IF($A144="","",IFERROR(N(Auftrag!$P144)/SUMIFS(Auftrag!$P$13:$P$512,Auftrag!$D$13:$D$512,Auftrag!$D144,Auftrag!$E$13:$E$512,Auftrag!$E144,Auftrag!$Q$13:$Q$512,Auftrag!$Q144),0))</f>
        <v/>
      </c>
      <c r="F144" s="33">
        <f>IF($A144="","",IF($C144=0,0,$D144*$E144/$C144))</f>
        <v/>
      </c>
      <c r="G144" s="34">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5">
        <f>IF($A144="","",IF($H144="","",60*((N(Auftrag!$H144)-N(Auftrag!$AI144)-N(Auftrag!$AK144))/$H144+N(Auftrag!$AI144)/$J144+N(Auftrag!$AK144)/$I144+N(Auftrag!$AD144)/$K144)+N(Auftrag!$I144)*$L144))</f>
        <v/>
      </c>
      <c r="N144" s="35">
        <f>IF($A144="","",IF(OR($H144="",$C144=0),0,(60*SUMIFS(Stangenbelegung!$K$5:$K$10004,Stangenbelegung!$E$5:$E$10004,ROW())/$H144+SUMIFS(Stangenbelegung!$L$5:$L$10004,Stangenbelegung!$E$5:$E$10004,ROW())*$L144)/$C144))</f>
        <v/>
      </c>
      <c r="O144" s="35">
        <f>IF($A144="","",IF($M144="","",MAX(0,$M144-$N144)))</f>
        <v/>
      </c>
      <c r="P144" s="35">
        <f>IF($A144="","",IFERROR(SUMPRODUCT(--("0"&amp;TRIM(RIGHT(SUBSTITUTE(LEFT(";"&amp;SUBSTITUTE(UPPER(Auftrag!$AG144)," ","")&amp;";"&amp;"X"&amp;UPPER(Gewinde!$A$5:$A$54)&amp;";",SEARCH("X"&amp;UPPER(Gewinde!$A$5:$A$54)&amp;";",";"&amp;SUBSTITUTE(UPPER(Auftrag!$AG144)," ","")&amp;";"&amp;"X"&amp;UPPER(Gewinde!$A$5:$A$54)&amp;";")-1),";",REPT(" ",50)),50))),Gewinde!$C$5:$C$54),0))</f>
        <v/>
      </c>
      <c r="Q144" s="33">
        <f>IF($A144="","",(N($O144)+$P144)/3600*N(Auftrag!$H$8))</f>
        <v/>
      </c>
      <c r="R144" s="33">
        <f>IF($A144="","",IF($F$8=0,0,$F$7/$F$8))</f>
        <v/>
      </c>
      <c r="S144" s="33">
        <f>IF($A144="","",$F144*(1+$C$4)+($Q144+$R144)*(1+$C$5))</f>
        <v/>
      </c>
      <c r="T144" s="33">
        <f>IF($A144="","",$S144*(1+$C$6))</f>
        <v/>
      </c>
      <c r="U144" s="18">
        <f>IF($A144="","",$T144*$C144)</f>
        <v/>
      </c>
      <c r="V144" s="18">
        <f>IF($A144="","",$S144*$C144)</f>
        <v/>
      </c>
      <c r="W144" s="28">
        <f>IF($A144="","",IF(N(Auftrag!$AO144)&gt;0,"nicht vollständig eingeplant",IF($D144=0,"kein Schnittplan oder Preis",IF($H144="","keine Schneiddaten",IF(AND(Auftrag!$AF144&lt;&gt;"",Auftrag!$AG144=""),"Gewinde ungeprüft","")))))</f>
        <v/>
      </c>
      <c r="X144" s="18">
        <f>IF($A144="","",$F144*$C144)</f>
        <v/>
      </c>
      <c r="Y144" s="18">
        <f>IF($A144="","",$Q144*$C144)</f>
        <v/>
      </c>
    </row>
    <row r="145">
      <c r="A145" s="25">
        <f>IF(Auftrag!$D145="","",Auftrag!$A145)</f>
        <v/>
      </c>
      <c r="B145" s="25">
        <f>IF($A145="","",Auftrag!$B145)</f>
        <v/>
      </c>
      <c r="C145" s="15">
        <f>IF($A145="","",N(Auftrag!$G145))</f>
        <v/>
      </c>
      <c r="D145" s="18">
        <f>IF($A145="","",SUMIFS(Schnittplan!$R$5:$R$1004,Schnittplan!$B$5:$B$1004,Auftrag!$D145,Schnittplan!$C$5:$C$1004,Auftrag!$E145,Schnittplan!$D$5:$D$1004,Auftrag!$Q145))</f>
        <v/>
      </c>
      <c r="E145" s="32">
        <f>IF($A145="","",IFERROR(N(Auftrag!$P145)/SUMIFS(Auftrag!$P$13:$P$512,Auftrag!$D$13:$D$512,Auftrag!$D145,Auftrag!$E$13:$E$512,Auftrag!$E145,Auftrag!$Q$13:$Q$512,Auftrag!$Q145),0))</f>
        <v/>
      </c>
      <c r="F145" s="33">
        <f>IF($A145="","",IF($C145=0,0,$D145*$E145/$C145))</f>
        <v/>
      </c>
      <c r="G145" s="34">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5">
        <f>IF($A145="","",IF($H145="","",60*((N(Auftrag!$H145)-N(Auftrag!$AI145)-N(Auftrag!$AK145))/$H145+N(Auftrag!$AI145)/$J145+N(Auftrag!$AK145)/$I145+N(Auftrag!$AD145)/$K145)+N(Auftrag!$I145)*$L145))</f>
        <v/>
      </c>
      <c r="N145" s="35">
        <f>IF($A145="","",IF(OR($H145="",$C145=0),0,(60*SUMIFS(Stangenbelegung!$K$5:$K$10004,Stangenbelegung!$E$5:$E$10004,ROW())/$H145+SUMIFS(Stangenbelegung!$L$5:$L$10004,Stangenbelegung!$E$5:$E$10004,ROW())*$L145)/$C145))</f>
        <v/>
      </c>
      <c r="O145" s="35">
        <f>IF($A145="","",IF($M145="","",MAX(0,$M145-$N145)))</f>
        <v/>
      </c>
      <c r="P145" s="35">
        <f>IF($A145="","",IFERROR(SUMPRODUCT(--("0"&amp;TRIM(RIGHT(SUBSTITUTE(LEFT(";"&amp;SUBSTITUTE(UPPER(Auftrag!$AG145)," ","")&amp;";"&amp;"X"&amp;UPPER(Gewinde!$A$5:$A$54)&amp;";",SEARCH("X"&amp;UPPER(Gewinde!$A$5:$A$54)&amp;";",";"&amp;SUBSTITUTE(UPPER(Auftrag!$AG145)," ","")&amp;";"&amp;"X"&amp;UPPER(Gewinde!$A$5:$A$54)&amp;";")-1),";",REPT(" ",50)),50))),Gewinde!$C$5:$C$54),0))</f>
        <v/>
      </c>
      <c r="Q145" s="33">
        <f>IF($A145="","",(N($O145)+$P145)/3600*N(Auftrag!$H$8))</f>
        <v/>
      </c>
      <c r="R145" s="33">
        <f>IF($A145="","",IF($F$8=0,0,$F$7/$F$8))</f>
        <v/>
      </c>
      <c r="S145" s="33">
        <f>IF($A145="","",$F145*(1+$C$4)+($Q145+$R145)*(1+$C$5))</f>
        <v/>
      </c>
      <c r="T145" s="33">
        <f>IF($A145="","",$S145*(1+$C$6))</f>
        <v/>
      </c>
      <c r="U145" s="18">
        <f>IF($A145="","",$T145*$C145)</f>
        <v/>
      </c>
      <c r="V145" s="18">
        <f>IF($A145="","",$S145*$C145)</f>
        <v/>
      </c>
      <c r="W145" s="28">
        <f>IF($A145="","",IF(N(Auftrag!$AO145)&gt;0,"nicht vollständig eingeplant",IF($D145=0,"kein Schnittplan oder Preis",IF($H145="","keine Schneiddaten",IF(AND(Auftrag!$AF145&lt;&gt;"",Auftrag!$AG145=""),"Gewinde ungeprüft","")))))</f>
        <v/>
      </c>
      <c r="X145" s="18">
        <f>IF($A145="","",$F145*$C145)</f>
        <v/>
      </c>
      <c r="Y145" s="18">
        <f>IF($A145="","",$Q145*$C145)</f>
        <v/>
      </c>
    </row>
    <row r="146">
      <c r="A146" s="25">
        <f>IF(Auftrag!$D146="","",Auftrag!$A146)</f>
        <v/>
      </c>
      <c r="B146" s="25">
        <f>IF($A146="","",Auftrag!$B146)</f>
        <v/>
      </c>
      <c r="C146" s="15">
        <f>IF($A146="","",N(Auftrag!$G146))</f>
        <v/>
      </c>
      <c r="D146" s="18">
        <f>IF($A146="","",SUMIFS(Schnittplan!$R$5:$R$1004,Schnittplan!$B$5:$B$1004,Auftrag!$D146,Schnittplan!$C$5:$C$1004,Auftrag!$E146,Schnittplan!$D$5:$D$1004,Auftrag!$Q146))</f>
        <v/>
      </c>
      <c r="E146" s="32">
        <f>IF($A146="","",IFERROR(N(Auftrag!$P146)/SUMIFS(Auftrag!$P$13:$P$512,Auftrag!$D$13:$D$512,Auftrag!$D146,Auftrag!$E$13:$E$512,Auftrag!$E146,Auftrag!$Q$13:$Q$512,Auftrag!$Q146),0))</f>
        <v/>
      </c>
      <c r="F146" s="33">
        <f>IF($A146="","",IF($C146=0,0,$D146*$E146/$C146))</f>
        <v/>
      </c>
      <c r="G146" s="34">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5">
        <f>IF($A146="","",IF($H146="","",60*((N(Auftrag!$H146)-N(Auftrag!$AI146)-N(Auftrag!$AK146))/$H146+N(Auftrag!$AI146)/$J146+N(Auftrag!$AK146)/$I146+N(Auftrag!$AD146)/$K146)+N(Auftrag!$I146)*$L146))</f>
        <v/>
      </c>
      <c r="N146" s="35">
        <f>IF($A146="","",IF(OR($H146="",$C146=0),0,(60*SUMIFS(Stangenbelegung!$K$5:$K$10004,Stangenbelegung!$E$5:$E$10004,ROW())/$H146+SUMIFS(Stangenbelegung!$L$5:$L$10004,Stangenbelegung!$E$5:$E$10004,ROW())*$L146)/$C146))</f>
        <v/>
      </c>
      <c r="O146" s="35">
        <f>IF($A146="","",IF($M146="","",MAX(0,$M146-$N146)))</f>
        <v/>
      </c>
      <c r="P146" s="35">
        <f>IF($A146="","",IFERROR(SUMPRODUCT(--("0"&amp;TRIM(RIGHT(SUBSTITUTE(LEFT(";"&amp;SUBSTITUTE(UPPER(Auftrag!$AG146)," ","")&amp;";"&amp;"X"&amp;UPPER(Gewinde!$A$5:$A$54)&amp;";",SEARCH("X"&amp;UPPER(Gewinde!$A$5:$A$54)&amp;";",";"&amp;SUBSTITUTE(UPPER(Auftrag!$AG146)," ","")&amp;";"&amp;"X"&amp;UPPER(Gewinde!$A$5:$A$54)&amp;";")-1),";",REPT(" ",50)),50))),Gewinde!$C$5:$C$54),0))</f>
        <v/>
      </c>
      <c r="Q146" s="33">
        <f>IF($A146="","",(N($O146)+$P146)/3600*N(Auftrag!$H$8))</f>
        <v/>
      </c>
      <c r="R146" s="33">
        <f>IF($A146="","",IF($F$8=0,0,$F$7/$F$8))</f>
        <v/>
      </c>
      <c r="S146" s="33">
        <f>IF($A146="","",$F146*(1+$C$4)+($Q146+$R146)*(1+$C$5))</f>
        <v/>
      </c>
      <c r="T146" s="33">
        <f>IF($A146="","",$S146*(1+$C$6))</f>
        <v/>
      </c>
      <c r="U146" s="18">
        <f>IF($A146="","",$T146*$C146)</f>
        <v/>
      </c>
      <c r="V146" s="18">
        <f>IF($A146="","",$S146*$C146)</f>
        <v/>
      </c>
      <c r="W146" s="28">
        <f>IF($A146="","",IF(N(Auftrag!$AO146)&gt;0,"nicht vollständig eingeplant",IF($D146=0,"kein Schnittplan oder Preis",IF($H146="","keine Schneiddaten",IF(AND(Auftrag!$AF146&lt;&gt;"",Auftrag!$AG146=""),"Gewinde ungeprüft","")))))</f>
        <v/>
      </c>
      <c r="X146" s="18">
        <f>IF($A146="","",$F146*$C146)</f>
        <v/>
      </c>
      <c r="Y146" s="18">
        <f>IF($A146="","",$Q146*$C146)</f>
        <v/>
      </c>
    </row>
    <row r="147">
      <c r="A147" s="25">
        <f>IF(Auftrag!$D147="","",Auftrag!$A147)</f>
        <v/>
      </c>
      <c r="B147" s="25">
        <f>IF($A147="","",Auftrag!$B147)</f>
        <v/>
      </c>
      <c r="C147" s="15">
        <f>IF($A147="","",N(Auftrag!$G147))</f>
        <v/>
      </c>
      <c r="D147" s="18">
        <f>IF($A147="","",SUMIFS(Schnittplan!$R$5:$R$1004,Schnittplan!$B$5:$B$1004,Auftrag!$D147,Schnittplan!$C$5:$C$1004,Auftrag!$E147,Schnittplan!$D$5:$D$1004,Auftrag!$Q147))</f>
        <v/>
      </c>
      <c r="E147" s="32">
        <f>IF($A147="","",IFERROR(N(Auftrag!$P147)/SUMIFS(Auftrag!$P$13:$P$512,Auftrag!$D$13:$D$512,Auftrag!$D147,Auftrag!$E$13:$E$512,Auftrag!$E147,Auftrag!$Q$13:$Q$512,Auftrag!$Q147),0))</f>
        <v/>
      </c>
      <c r="F147" s="33">
        <f>IF($A147="","",IF($C147=0,0,$D147*$E147/$C147))</f>
        <v/>
      </c>
      <c r="G147" s="34">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5">
        <f>IF($A147="","",IF($H147="","",60*((N(Auftrag!$H147)-N(Auftrag!$AI147)-N(Auftrag!$AK147))/$H147+N(Auftrag!$AI147)/$J147+N(Auftrag!$AK147)/$I147+N(Auftrag!$AD147)/$K147)+N(Auftrag!$I147)*$L147))</f>
        <v/>
      </c>
      <c r="N147" s="35">
        <f>IF($A147="","",IF(OR($H147="",$C147=0),0,(60*SUMIFS(Stangenbelegung!$K$5:$K$10004,Stangenbelegung!$E$5:$E$10004,ROW())/$H147+SUMIFS(Stangenbelegung!$L$5:$L$10004,Stangenbelegung!$E$5:$E$10004,ROW())*$L147)/$C147))</f>
        <v/>
      </c>
      <c r="O147" s="35">
        <f>IF($A147="","",IF($M147="","",MAX(0,$M147-$N147)))</f>
        <v/>
      </c>
      <c r="P147" s="35">
        <f>IF($A147="","",IFERROR(SUMPRODUCT(--("0"&amp;TRIM(RIGHT(SUBSTITUTE(LEFT(";"&amp;SUBSTITUTE(UPPER(Auftrag!$AG147)," ","")&amp;";"&amp;"X"&amp;UPPER(Gewinde!$A$5:$A$54)&amp;";",SEARCH("X"&amp;UPPER(Gewinde!$A$5:$A$54)&amp;";",";"&amp;SUBSTITUTE(UPPER(Auftrag!$AG147)," ","")&amp;";"&amp;"X"&amp;UPPER(Gewinde!$A$5:$A$54)&amp;";")-1),";",REPT(" ",50)),50))),Gewinde!$C$5:$C$54),0))</f>
        <v/>
      </c>
      <c r="Q147" s="33">
        <f>IF($A147="","",(N($O147)+$P147)/3600*N(Auftrag!$H$8))</f>
        <v/>
      </c>
      <c r="R147" s="33">
        <f>IF($A147="","",IF($F$8=0,0,$F$7/$F$8))</f>
        <v/>
      </c>
      <c r="S147" s="33">
        <f>IF($A147="","",$F147*(1+$C$4)+($Q147+$R147)*(1+$C$5))</f>
        <v/>
      </c>
      <c r="T147" s="33">
        <f>IF($A147="","",$S147*(1+$C$6))</f>
        <v/>
      </c>
      <c r="U147" s="18">
        <f>IF($A147="","",$T147*$C147)</f>
        <v/>
      </c>
      <c r="V147" s="18">
        <f>IF($A147="","",$S147*$C147)</f>
        <v/>
      </c>
      <c r="W147" s="28">
        <f>IF($A147="","",IF(N(Auftrag!$AO147)&gt;0,"nicht vollständig eingeplant",IF($D147=0,"kein Schnittplan oder Preis",IF($H147="","keine Schneiddaten",IF(AND(Auftrag!$AF147&lt;&gt;"",Auftrag!$AG147=""),"Gewinde ungeprüft","")))))</f>
        <v/>
      </c>
      <c r="X147" s="18">
        <f>IF($A147="","",$F147*$C147)</f>
        <v/>
      </c>
      <c r="Y147" s="18">
        <f>IF($A147="","",$Q147*$C147)</f>
        <v/>
      </c>
    </row>
    <row r="148">
      <c r="A148" s="25">
        <f>IF(Auftrag!$D148="","",Auftrag!$A148)</f>
        <v/>
      </c>
      <c r="B148" s="25">
        <f>IF($A148="","",Auftrag!$B148)</f>
        <v/>
      </c>
      <c r="C148" s="15">
        <f>IF($A148="","",N(Auftrag!$G148))</f>
        <v/>
      </c>
      <c r="D148" s="18">
        <f>IF($A148="","",SUMIFS(Schnittplan!$R$5:$R$1004,Schnittplan!$B$5:$B$1004,Auftrag!$D148,Schnittplan!$C$5:$C$1004,Auftrag!$E148,Schnittplan!$D$5:$D$1004,Auftrag!$Q148))</f>
        <v/>
      </c>
      <c r="E148" s="32">
        <f>IF($A148="","",IFERROR(N(Auftrag!$P148)/SUMIFS(Auftrag!$P$13:$P$512,Auftrag!$D$13:$D$512,Auftrag!$D148,Auftrag!$E$13:$E$512,Auftrag!$E148,Auftrag!$Q$13:$Q$512,Auftrag!$Q148),0))</f>
        <v/>
      </c>
      <c r="F148" s="33">
        <f>IF($A148="","",IF($C148=0,0,$D148*$E148/$C148))</f>
        <v/>
      </c>
      <c r="G148" s="34">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5">
        <f>IF($A148="","",IF($H148="","",60*((N(Auftrag!$H148)-N(Auftrag!$AI148)-N(Auftrag!$AK148))/$H148+N(Auftrag!$AI148)/$J148+N(Auftrag!$AK148)/$I148+N(Auftrag!$AD148)/$K148)+N(Auftrag!$I148)*$L148))</f>
        <v/>
      </c>
      <c r="N148" s="35">
        <f>IF($A148="","",IF(OR($H148="",$C148=0),0,(60*SUMIFS(Stangenbelegung!$K$5:$K$10004,Stangenbelegung!$E$5:$E$10004,ROW())/$H148+SUMIFS(Stangenbelegung!$L$5:$L$10004,Stangenbelegung!$E$5:$E$10004,ROW())*$L148)/$C148))</f>
        <v/>
      </c>
      <c r="O148" s="35">
        <f>IF($A148="","",IF($M148="","",MAX(0,$M148-$N148)))</f>
        <v/>
      </c>
      <c r="P148" s="35">
        <f>IF($A148="","",IFERROR(SUMPRODUCT(--("0"&amp;TRIM(RIGHT(SUBSTITUTE(LEFT(";"&amp;SUBSTITUTE(UPPER(Auftrag!$AG148)," ","")&amp;";"&amp;"X"&amp;UPPER(Gewinde!$A$5:$A$54)&amp;";",SEARCH("X"&amp;UPPER(Gewinde!$A$5:$A$54)&amp;";",";"&amp;SUBSTITUTE(UPPER(Auftrag!$AG148)," ","")&amp;";"&amp;"X"&amp;UPPER(Gewinde!$A$5:$A$54)&amp;";")-1),";",REPT(" ",50)),50))),Gewinde!$C$5:$C$54),0))</f>
        <v/>
      </c>
      <c r="Q148" s="33">
        <f>IF($A148="","",(N($O148)+$P148)/3600*N(Auftrag!$H$8))</f>
        <v/>
      </c>
      <c r="R148" s="33">
        <f>IF($A148="","",IF($F$8=0,0,$F$7/$F$8))</f>
        <v/>
      </c>
      <c r="S148" s="33">
        <f>IF($A148="","",$F148*(1+$C$4)+($Q148+$R148)*(1+$C$5))</f>
        <v/>
      </c>
      <c r="T148" s="33">
        <f>IF($A148="","",$S148*(1+$C$6))</f>
        <v/>
      </c>
      <c r="U148" s="18">
        <f>IF($A148="","",$T148*$C148)</f>
        <v/>
      </c>
      <c r="V148" s="18">
        <f>IF($A148="","",$S148*$C148)</f>
        <v/>
      </c>
      <c r="W148" s="28">
        <f>IF($A148="","",IF(N(Auftrag!$AO148)&gt;0,"nicht vollständig eingeplant",IF($D148=0,"kein Schnittplan oder Preis",IF($H148="","keine Schneiddaten",IF(AND(Auftrag!$AF148&lt;&gt;"",Auftrag!$AG148=""),"Gewinde ungeprüft","")))))</f>
        <v/>
      </c>
      <c r="X148" s="18">
        <f>IF($A148="","",$F148*$C148)</f>
        <v/>
      </c>
      <c r="Y148" s="18">
        <f>IF($A148="","",$Q148*$C148)</f>
        <v/>
      </c>
    </row>
    <row r="149">
      <c r="A149" s="25">
        <f>IF(Auftrag!$D149="","",Auftrag!$A149)</f>
        <v/>
      </c>
      <c r="B149" s="25">
        <f>IF($A149="","",Auftrag!$B149)</f>
        <v/>
      </c>
      <c r="C149" s="15">
        <f>IF($A149="","",N(Auftrag!$G149))</f>
        <v/>
      </c>
      <c r="D149" s="18">
        <f>IF($A149="","",SUMIFS(Schnittplan!$R$5:$R$1004,Schnittplan!$B$5:$B$1004,Auftrag!$D149,Schnittplan!$C$5:$C$1004,Auftrag!$E149,Schnittplan!$D$5:$D$1004,Auftrag!$Q149))</f>
        <v/>
      </c>
      <c r="E149" s="32">
        <f>IF($A149="","",IFERROR(N(Auftrag!$P149)/SUMIFS(Auftrag!$P$13:$P$512,Auftrag!$D$13:$D$512,Auftrag!$D149,Auftrag!$E$13:$E$512,Auftrag!$E149,Auftrag!$Q$13:$Q$512,Auftrag!$Q149),0))</f>
        <v/>
      </c>
      <c r="F149" s="33">
        <f>IF($A149="","",IF($C149=0,0,$D149*$E149/$C149))</f>
        <v/>
      </c>
      <c r="G149" s="34">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5">
        <f>IF($A149="","",IF($H149="","",60*((N(Auftrag!$H149)-N(Auftrag!$AI149)-N(Auftrag!$AK149))/$H149+N(Auftrag!$AI149)/$J149+N(Auftrag!$AK149)/$I149+N(Auftrag!$AD149)/$K149)+N(Auftrag!$I149)*$L149))</f>
        <v/>
      </c>
      <c r="N149" s="35">
        <f>IF($A149="","",IF(OR($H149="",$C149=0),0,(60*SUMIFS(Stangenbelegung!$K$5:$K$10004,Stangenbelegung!$E$5:$E$10004,ROW())/$H149+SUMIFS(Stangenbelegung!$L$5:$L$10004,Stangenbelegung!$E$5:$E$10004,ROW())*$L149)/$C149))</f>
        <v/>
      </c>
      <c r="O149" s="35">
        <f>IF($A149="","",IF($M149="","",MAX(0,$M149-$N149)))</f>
        <v/>
      </c>
      <c r="P149" s="35">
        <f>IF($A149="","",IFERROR(SUMPRODUCT(--("0"&amp;TRIM(RIGHT(SUBSTITUTE(LEFT(";"&amp;SUBSTITUTE(UPPER(Auftrag!$AG149)," ","")&amp;";"&amp;"X"&amp;UPPER(Gewinde!$A$5:$A$54)&amp;";",SEARCH("X"&amp;UPPER(Gewinde!$A$5:$A$54)&amp;";",";"&amp;SUBSTITUTE(UPPER(Auftrag!$AG149)," ","")&amp;";"&amp;"X"&amp;UPPER(Gewinde!$A$5:$A$54)&amp;";")-1),";",REPT(" ",50)),50))),Gewinde!$C$5:$C$54),0))</f>
        <v/>
      </c>
      <c r="Q149" s="33">
        <f>IF($A149="","",(N($O149)+$P149)/3600*N(Auftrag!$H$8))</f>
        <v/>
      </c>
      <c r="R149" s="33">
        <f>IF($A149="","",IF($F$8=0,0,$F$7/$F$8))</f>
        <v/>
      </c>
      <c r="S149" s="33">
        <f>IF($A149="","",$F149*(1+$C$4)+($Q149+$R149)*(1+$C$5))</f>
        <v/>
      </c>
      <c r="T149" s="33">
        <f>IF($A149="","",$S149*(1+$C$6))</f>
        <v/>
      </c>
      <c r="U149" s="18">
        <f>IF($A149="","",$T149*$C149)</f>
        <v/>
      </c>
      <c r="V149" s="18">
        <f>IF($A149="","",$S149*$C149)</f>
        <v/>
      </c>
      <c r="W149" s="28">
        <f>IF($A149="","",IF(N(Auftrag!$AO149)&gt;0,"nicht vollständig eingeplant",IF($D149=0,"kein Schnittplan oder Preis",IF($H149="","keine Schneiddaten",IF(AND(Auftrag!$AF149&lt;&gt;"",Auftrag!$AG149=""),"Gewinde ungeprüft","")))))</f>
        <v/>
      </c>
      <c r="X149" s="18">
        <f>IF($A149="","",$F149*$C149)</f>
        <v/>
      </c>
      <c r="Y149" s="18">
        <f>IF($A149="","",$Q149*$C149)</f>
        <v/>
      </c>
    </row>
    <row r="150">
      <c r="A150" s="25">
        <f>IF(Auftrag!$D150="","",Auftrag!$A150)</f>
        <v/>
      </c>
      <c r="B150" s="25">
        <f>IF($A150="","",Auftrag!$B150)</f>
        <v/>
      </c>
      <c r="C150" s="15">
        <f>IF($A150="","",N(Auftrag!$G150))</f>
        <v/>
      </c>
      <c r="D150" s="18">
        <f>IF($A150="","",SUMIFS(Schnittplan!$R$5:$R$1004,Schnittplan!$B$5:$B$1004,Auftrag!$D150,Schnittplan!$C$5:$C$1004,Auftrag!$E150,Schnittplan!$D$5:$D$1004,Auftrag!$Q150))</f>
        <v/>
      </c>
      <c r="E150" s="32">
        <f>IF($A150="","",IFERROR(N(Auftrag!$P150)/SUMIFS(Auftrag!$P$13:$P$512,Auftrag!$D$13:$D$512,Auftrag!$D150,Auftrag!$E$13:$E$512,Auftrag!$E150,Auftrag!$Q$13:$Q$512,Auftrag!$Q150),0))</f>
        <v/>
      </c>
      <c r="F150" s="33">
        <f>IF($A150="","",IF($C150=0,0,$D150*$E150/$C150))</f>
        <v/>
      </c>
      <c r="G150" s="34">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5">
        <f>IF($A150="","",IF($H150="","",60*((N(Auftrag!$H150)-N(Auftrag!$AI150)-N(Auftrag!$AK150))/$H150+N(Auftrag!$AI150)/$J150+N(Auftrag!$AK150)/$I150+N(Auftrag!$AD150)/$K150)+N(Auftrag!$I150)*$L150))</f>
        <v/>
      </c>
      <c r="N150" s="35">
        <f>IF($A150="","",IF(OR($H150="",$C150=0),0,(60*SUMIFS(Stangenbelegung!$K$5:$K$10004,Stangenbelegung!$E$5:$E$10004,ROW())/$H150+SUMIFS(Stangenbelegung!$L$5:$L$10004,Stangenbelegung!$E$5:$E$10004,ROW())*$L150)/$C150))</f>
        <v/>
      </c>
      <c r="O150" s="35">
        <f>IF($A150="","",IF($M150="","",MAX(0,$M150-$N150)))</f>
        <v/>
      </c>
      <c r="P150" s="35">
        <f>IF($A150="","",IFERROR(SUMPRODUCT(--("0"&amp;TRIM(RIGHT(SUBSTITUTE(LEFT(";"&amp;SUBSTITUTE(UPPER(Auftrag!$AG150)," ","")&amp;";"&amp;"X"&amp;UPPER(Gewinde!$A$5:$A$54)&amp;";",SEARCH("X"&amp;UPPER(Gewinde!$A$5:$A$54)&amp;";",";"&amp;SUBSTITUTE(UPPER(Auftrag!$AG150)," ","")&amp;";"&amp;"X"&amp;UPPER(Gewinde!$A$5:$A$54)&amp;";")-1),";",REPT(" ",50)),50))),Gewinde!$C$5:$C$54),0))</f>
        <v/>
      </c>
      <c r="Q150" s="33">
        <f>IF($A150="","",(N($O150)+$P150)/3600*N(Auftrag!$H$8))</f>
        <v/>
      </c>
      <c r="R150" s="33">
        <f>IF($A150="","",IF($F$8=0,0,$F$7/$F$8))</f>
        <v/>
      </c>
      <c r="S150" s="33">
        <f>IF($A150="","",$F150*(1+$C$4)+($Q150+$R150)*(1+$C$5))</f>
        <v/>
      </c>
      <c r="T150" s="33">
        <f>IF($A150="","",$S150*(1+$C$6))</f>
        <v/>
      </c>
      <c r="U150" s="18">
        <f>IF($A150="","",$T150*$C150)</f>
        <v/>
      </c>
      <c r="V150" s="18">
        <f>IF($A150="","",$S150*$C150)</f>
        <v/>
      </c>
      <c r="W150" s="28">
        <f>IF($A150="","",IF(N(Auftrag!$AO150)&gt;0,"nicht vollständig eingeplant",IF($D150=0,"kein Schnittplan oder Preis",IF($H150="","keine Schneiddaten",IF(AND(Auftrag!$AF150&lt;&gt;"",Auftrag!$AG150=""),"Gewinde ungeprüft","")))))</f>
        <v/>
      </c>
      <c r="X150" s="18">
        <f>IF($A150="","",$F150*$C150)</f>
        <v/>
      </c>
      <c r="Y150" s="18">
        <f>IF($A150="","",$Q150*$C150)</f>
        <v/>
      </c>
    </row>
    <row r="151">
      <c r="A151" s="25">
        <f>IF(Auftrag!$D151="","",Auftrag!$A151)</f>
        <v/>
      </c>
      <c r="B151" s="25">
        <f>IF($A151="","",Auftrag!$B151)</f>
        <v/>
      </c>
      <c r="C151" s="15">
        <f>IF($A151="","",N(Auftrag!$G151))</f>
        <v/>
      </c>
      <c r="D151" s="18">
        <f>IF($A151="","",SUMIFS(Schnittplan!$R$5:$R$1004,Schnittplan!$B$5:$B$1004,Auftrag!$D151,Schnittplan!$C$5:$C$1004,Auftrag!$E151,Schnittplan!$D$5:$D$1004,Auftrag!$Q151))</f>
        <v/>
      </c>
      <c r="E151" s="32">
        <f>IF($A151="","",IFERROR(N(Auftrag!$P151)/SUMIFS(Auftrag!$P$13:$P$512,Auftrag!$D$13:$D$512,Auftrag!$D151,Auftrag!$E$13:$E$512,Auftrag!$E151,Auftrag!$Q$13:$Q$512,Auftrag!$Q151),0))</f>
        <v/>
      </c>
      <c r="F151" s="33">
        <f>IF($A151="","",IF($C151=0,0,$D151*$E151/$C151))</f>
        <v/>
      </c>
      <c r="G151" s="34">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5">
        <f>IF($A151="","",IF($H151="","",60*((N(Auftrag!$H151)-N(Auftrag!$AI151)-N(Auftrag!$AK151))/$H151+N(Auftrag!$AI151)/$J151+N(Auftrag!$AK151)/$I151+N(Auftrag!$AD151)/$K151)+N(Auftrag!$I151)*$L151))</f>
        <v/>
      </c>
      <c r="N151" s="35">
        <f>IF($A151="","",IF(OR($H151="",$C151=0),0,(60*SUMIFS(Stangenbelegung!$K$5:$K$10004,Stangenbelegung!$E$5:$E$10004,ROW())/$H151+SUMIFS(Stangenbelegung!$L$5:$L$10004,Stangenbelegung!$E$5:$E$10004,ROW())*$L151)/$C151))</f>
        <v/>
      </c>
      <c r="O151" s="35">
        <f>IF($A151="","",IF($M151="","",MAX(0,$M151-$N151)))</f>
        <v/>
      </c>
      <c r="P151" s="35">
        <f>IF($A151="","",IFERROR(SUMPRODUCT(--("0"&amp;TRIM(RIGHT(SUBSTITUTE(LEFT(";"&amp;SUBSTITUTE(UPPER(Auftrag!$AG151)," ","")&amp;";"&amp;"X"&amp;UPPER(Gewinde!$A$5:$A$54)&amp;";",SEARCH("X"&amp;UPPER(Gewinde!$A$5:$A$54)&amp;";",";"&amp;SUBSTITUTE(UPPER(Auftrag!$AG151)," ","")&amp;";"&amp;"X"&amp;UPPER(Gewinde!$A$5:$A$54)&amp;";")-1),";",REPT(" ",50)),50))),Gewinde!$C$5:$C$54),0))</f>
        <v/>
      </c>
      <c r="Q151" s="33">
        <f>IF($A151="","",(N($O151)+$P151)/3600*N(Auftrag!$H$8))</f>
        <v/>
      </c>
      <c r="R151" s="33">
        <f>IF($A151="","",IF($F$8=0,0,$F$7/$F$8))</f>
        <v/>
      </c>
      <c r="S151" s="33">
        <f>IF($A151="","",$F151*(1+$C$4)+($Q151+$R151)*(1+$C$5))</f>
        <v/>
      </c>
      <c r="T151" s="33">
        <f>IF($A151="","",$S151*(1+$C$6))</f>
        <v/>
      </c>
      <c r="U151" s="18">
        <f>IF($A151="","",$T151*$C151)</f>
        <v/>
      </c>
      <c r="V151" s="18">
        <f>IF($A151="","",$S151*$C151)</f>
        <v/>
      </c>
      <c r="W151" s="28">
        <f>IF($A151="","",IF(N(Auftrag!$AO151)&gt;0,"nicht vollständig eingeplant",IF($D151=0,"kein Schnittplan oder Preis",IF($H151="","keine Schneiddaten",IF(AND(Auftrag!$AF151&lt;&gt;"",Auftrag!$AG151=""),"Gewinde ungeprüft","")))))</f>
        <v/>
      </c>
      <c r="X151" s="18">
        <f>IF($A151="","",$F151*$C151)</f>
        <v/>
      </c>
      <c r="Y151" s="18">
        <f>IF($A151="","",$Q151*$C151)</f>
        <v/>
      </c>
    </row>
    <row r="152">
      <c r="A152" s="25">
        <f>IF(Auftrag!$D152="","",Auftrag!$A152)</f>
        <v/>
      </c>
      <c r="B152" s="25">
        <f>IF($A152="","",Auftrag!$B152)</f>
        <v/>
      </c>
      <c r="C152" s="15">
        <f>IF($A152="","",N(Auftrag!$G152))</f>
        <v/>
      </c>
      <c r="D152" s="18">
        <f>IF($A152="","",SUMIFS(Schnittplan!$R$5:$R$1004,Schnittplan!$B$5:$B$1004,Auftrag!$D152,Schnittplan!$C$5:$C$1004,Auftrag!$E152,Schnittplan!$D$5:$D$1004,Auftrag!$Q152))</f>
        <v/>
      </c>
      <c r="E152" s="32">
        <f>IF($A152="","",IFERROR(N(Auftrag!$P152)/SUMIFS(Auftrag!$P$13:$P$512,Auftrag!$D$13:$D$512,Auftrag!$D152,Auftrag!$E$13:$E$512,Auftrag!$E152,Auftrag!$Q$13:$Q$512,Auftrag!$Q152),0))</f>
        <v/>
      </c>
      <c r="F152" s="33">
        <f>IF($A152="","",IF($C152=0,0,$D152*$E152/$C152))</f>
        <v/>
      </c>
      <c r="G152" s="34">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5">
        <f>IF($A152="","",IF($H152="","",60*((N(Auftrag!$H152)-N(Auftrag!$AI152)-N(Auftrag!$AK152))/$H152+N(Auftrag!$AI152)/$J152+N(Auftrag!$AK152)/$I152+N(Auftrag!$AD152)/$K152)+N(Auftrag!$I152)*$L152))</f>
        <v/>
      </c>
      <c r="N152" s="35">
        <f>IF($A152="","",IF(OR($H152="",$C152=0),0,(60*SUMIFS(Stangenbelegung!$K$5:$K$10004,Stangenbelegung!$E$5:$E$10004,ROW())/$H152+SUMIFS(Stangenbelegung!$L$5:$L$10004,Stangenbelegung!$E$5:$E$10004,ROW())*$L152)/$C152))</f>
        <v/>
      </c>
      <c r="O152" s="35">
        <f>IF($A152="","",IF($M152="","",MAX(0,$M152-$N152)))</f>
        <v/>
      </c>
      <c r="P152" s="35">
        <f>IF($A152="","",IFERROR(SUMPRODUCT(--("0"&amp;TRIM(RIGHT(SUBSTITUTE(LEFT(";"&amp;SUBSTITUTE(UPPER(Auftrag!$AG152)," ","")&amp;";"&amp;"X"&amp;UPPER(Gewinde!$A$5:$A$54)&amp;";",SEARCH("X"&amp;UPPER(Gewinde!$A$5:$A$54)&amp;";",";"&amp;SUBSTITUTE(UPPER(Auftrag!$AG152)," ","")&amp;";"&amp;"X"&amp;UPPER(Gewinde!$A$5:$A$54)&amp;";")-1),";",REPT(" ",50)),50))),Gewinde!$C$5:$C$54),0))</f>
        <v/>
      </c>
      <c r="Q152" s="33">
        <f>IF($A152="","",(N($O152)+$P152)/3600*N(Auftrag!$H$8))</f>
        <v/>
      </c>
      <c r="R152" s="33">
        <f>IF($A152="","",IF($F$8=0,0,$F$7/$F$8))</f>
        <v/>
      </c>
      <c r="S152" s="33">
        <f>IF($A152="","",$F152*(1+$C$4)+($Q152+$R152)*(1+$C$5))</f>
        <v/>
      </c>
      <c r="T152" s="33">
        <f>IF($A152="","",$S152*(1+$C$6))</f>
        <v/>
      </c>
      <c r="U152" s="18">
        <f>IF($A152="","",$T152*$C152)</f>
        <v/>
      </c>
      <c r="V152" s="18">
        <f>IF($A152="","",$S152*$C152)</f>
        <v/>
      </c>
      <c r="W152" s="28">
        <f>IF($A152="","",IF(N(Auftrag!$AO152)&gt;0,"nicht vollständig eingeplant",IF($D152=0,"kein Schnittplan oder Preis",IF($H152="","keine Schneiddaten",IF(AND(Auftrag!$AF152&lt;&gt;"",Auftrag!$AG152=""),"Gewinde ungeprüft","")))))</f>
        <v/>
      </c>
      <c r="X152" s="18">
        <f>IF($A152="","",$F152*$C152)</f>
        <v/>
      </c>
      <c r="Y152" s="18">
        <f>IF($A152="","",$Q152*$C152)</f>
        <v/>
      </c>
    </row>
    <row r="153">
      <c r="A153" s="25">
        <f>IF(Auftrag!$D153="","",Auftrag!$A153)</f>
        <v/>
      </c>
      <c r="B153" s="25">
        <f>IF($A153="","",Auftrag!$B153)</f>
        <v/>
      </c>
      <c r="C153" s="15">
        <f>IF($A153="","",N(Auftrag!$G153))</f>
        <v/>
      </c>
      <c r="D153" s="18">
        <f>IF($A153="","",SUMIFS(Schnittplan!$R$5:$R$1004,Schnittplan!$B$5:$B$1004,Auftrag!$D153,Schnittplan!$C$5:$C$1004,Auftrag!$E153,Schnittplan!$D$5:$D$1004,Auftrag!$Q153))</f>
        <v/>
      </c>
      <c r="E153" s="32">
        <f>IF($A153="","",IFERROR(N(Auftrag!$P153)/SUMIFS(Auftrag!$P$13:$P$512,Auftrag!$D$13:$D$512,Auftrag!$D153,Auftrag!$E$13:$E$512,Auftrag!$E153,Auftrag!$Q$13:$Q$512,Auftrag!$Q153),0))</f>
        <v/>
      </c>
      <c r="F153" s="33">
        <f>IF($A153="","",IF($C153=0,0,$D153*$E153/$C153))</f>
        <v/>
      </c>
      <c r="G153" s="34">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5">
        <f>IF($A153="","",IF($H153="","",60*((N(Auftrag!$H153)-N(Auftrag!$AI153)-N(Auftrag!$AK153))/$H153+N(Auftrag!$AI153)/$J153+N(Auftrag!$AK153)/$I153+N(Auftrag!$AD153)/$K153)+N(Auftrag!$I153)*$L153))</f>
        <v/>
      </c>
      <c r="N153" s="35">
        <f>IF($A153="","",IF(OR($H153="",$C153=0),0,(60*SUMIFS(Stangenbelegung!$K$5:$K$10004,Stangenbelegung!$E$5:$E$10004,ROW())/$H153+SUMIFS(Stangenbelegung!$L$5:$L$10004,Stangenbelegung!$E$5:$E$10004,ROW())*$L153)/$C153))</f>
        <v/>
      </c>
      <c r="O153" s="35">
        <f>IF($A153="","",IF($M153="","",MAX(0,$M153-$N153)))</f>
        <v/>
      </c>
      <c r="P153" s="35">
        <f>IF($A153="","",IFERROR(SUMPRODUCT(--("0"&amp;TRIM(RIGHT(SUBSTITUTE(LEFT(";"&amp;SUBSTITUTE(UPPER(Auftrag!$AG153)," ","")&amp;";"&amp;"X"&amp;UPPER(Gewinde!$A$5:$A$54)&amp;";",SEARCH("X"&amp;UPPER(Gewinde!$A$5:$A$54)&amp;";",";"&amp;SUBSTITUTE(UPPER(Auftrag!$AG153)," ","")&amp;";"&amp;"X"&amp;UPPER(Gewinde!$A$5:$A$54)&amp;";")-1),";",REPT(" ",50)),50))),Gewinde!$C$5:$C$54),0))</f>
        <v/>
      </c>
      <c r="Q153" s="33">
        <f>IF($A153="","",(N($O153)+$P153)/3600*N(Auftrag!$H$8))</f>
        <v/>
      </c>
      <c r="R153" s="33">
        <f>IF($A153="","",IF($F$8=0,0,$F$7/$F$8))</f>
        <v/>
      </c>
      <c r="S153" s="33">
        <f>IF($A153="","",$F153*(1+$C$4)+($Q153+$R153)*(1+$C$5))</f>
        <v/>
      </c>
      <c r="T153" s="33">
        <f>IF($A153="","",$S153*(1+$C$6))</f>
        <v/>
      </c>
      <c r="U153" s="18">
        <f>IF($A153="","",$T153*$C153)</f>
        <v/>
      </c>
      <c r="V153" s="18">
        <f>IF($A153="","",$S153*$C153)</f>
        <v/>
      </c>
      <c r="W153" s="28">
        <f>IF($A153="","",IF(N(Auftrag!$AO153)&gt;0,"nicht vollständig eingeplant",IF($D153=0,"kein Schnittplan oder Preis",IF($H153="","keine Schneiddaten",IF(AND(Auftrag!$AF153&lt;&gt;"",Auftrag!$AG153=""),"Gewinde ungeprüft","")))))</f>
        <v/>
      </c>
      <c r="X153" s="18">
        <f>IF($A153="","",$F153*$C153)</f>
        <v/>
      </c>
      <c r="Y153" s="18">
        <f>IF($A153="","",$Q153*$C153)</f>
        <v/>
      </c>
    </row>
    <row r="154">
      <c r="A154" s="25">
        <f>IF(Auftrag!$D154="","",Auftrag!$A154)</f>
        <v/>
      </c>
      <c r="B154" s="25">
        <f>IF($A154="","",Auftrag!$B154)</f>
        <v/>
      </c>
      <c r="C154" s="15">
        <f>IF($A154="","",N(Auftrag!$G154))</f>
        <v/>
      </c>
      <c r="D154" s="18">
        <f>IF($A154="","",SUMIFS(Schnittplan!$R$5:$R$1004,Schnittplan!$B$5:$B$1004,Auftrag!$D154,Schnittplan!$C$5:$C$1004,Auftrag!$E154,Schnittplan!$D$5:$D$1004,Auftrag!$Q154))</f>
        <v/>
      </c>
      <c r="E154" s="32">
        <f>IF($A154="","",IFERROR(N(Auftrag!$P154)/SUMIFS(Auftrag!$P$13:$P$512,Auftrag!$D$13:$D$512,Auftrag!$D154,Auftrag!$E$13:$E$512,Auftrag!$E154,Auftrag!$Q$13:$Q$512,Auftrag!$Q154),0))</f>
        <v/>
      </c>
      <c r="F154" s="33">
        <f>IF($A154="","",IF($C154=0,0,$D154*$E154/$C154))</f>
        <v/>
      </c>
      <c r="G154" s="34">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5">
        <f>IF($A154="","",IF($H154="","",60*((N(Auftrag!$H154)-N(Auftrag!$AI154)-N(Auftrag!$AK154))/$H154+N(Auftrag!$AI154)/$J154+N(Auftrag!$AK154)/$I154+N(Auftrag!$AD154)/$K154)+N(Auftrag!$I154)*$L154))</f>
        <v/>
      </c>
      <c r="N154" s="35">
        <f>IF($A154="","",IF(OR($H154="",$C154=0),0,(60*SUMIFS(Stangenbelegung!$K$5:$K$10004,Stangenbelegung!$E$5:$E$10004,ROW())/$H154+SUMIFS(Stangenbelegung!$L$5:$L$10004,Stangenbelegung!$E$5:$E$10004,ROW())*$L154)/$C154))</f>
        <v/>
      </c>
      <c r="O154" s="35">
        <f>IF($A154="","",IF($M154="","",MAX(0,$M154-$N154)))</f>
        <v/>
      </c>
      <c r="P154" s="35">
        <f>IF($A154="","",IFERROR(SUMPRODUCT(--("0"&amp;TRIM(RIGHT(SUBSTITUTE(LEFT(";"&amp;SUBSTITUTE(UPPER(Auftrag!$AG154)," ","")&amp;";"&amp;"X"&amp;UPPER(Gewinde!$A$5:$A$54)&amp;";",SEARCH("X"&amp;UPPER(Gewinde!$A$5:$A$54)&amp;";",";"&amp;SUBSTITUTE(UPPER(Auftrag!$AG154)," ","")&amp;";"&amp;"X"&amp;UPPER(Gewinde!$A$5:$A$54)&amp;";")-1),";",REPT(" ",50)),50))),Gewinde!$C$5:$C$54),0))</f>
        <v/>
      </c>
      <c r="Q154" s="33">
        <f>IF($A154="","",(N($O154)+$P154)/3600*N(Auftrag!$H$8))</f>
        <v/>
      </c>
      <c r="R154" s="33">
        <f>IF($A154="","",IF($F$8=0,0,$F$7/$F$8))</f>
        <v/>
      </c>
      <c r="S154" s="33">
        <f>IF($A154="","",$F154*(1+$C$4)+($Q154+$R154)*(1+$C$5))</f>
        <v/>
      </c>
      <c r="T154" s="33">
        <f>IF($A154="","",$S154*(1+$C$6))</f>
        <v/>
      </c>
      <c r="U154" s="18">
        <f>IF($A154="","",$T154*$C154)</f>
        <v/>
      </c>
      <c r="V154" s="18">
        <f>IF($A154="","",$S154*$C154)</f>
        <v/>
      </c>
      <c r="W154" s="28">
        <f>IF($A154="","",IF(N(Auftrag!$AO154)&gt;0,"nicht vollständig eingeplant",IF($D154=0,"kein Schnittplan oder Preis",IF($H154="","keine Schneiddaten",IF(AND(Auftrag!$AF154&lt;&gt;"",Auftrag!$AG154=""),"Gewinde ungeprüft","")))))</f>
        <v/>
      </c>
      <c r="X154" s="18">
        <f>IF($A154="","",$F154*$C154)</f>
        <v/>
      </c>
      <c r="Y154" s="18">
        <f>IF($A154="","",$Q154*$C154)</f>
        <v/>
      </c>
    </row>
    <row r="155">
      <c r="A155" s="25">
        <f>IF(Auftrag!$D155="","",Auftrag!$A155)</f>
        <v/>
      </c>
      <c r="B155" s="25">
        <f>IF($A155="","",Auftrag!$B155)</f>
        <v/>
      </c>
      <c r="C155" s="15">
        <f>IF($A155="","",N(Auftrag!$G155))</f>
        <v/>
      </c>
      <c r="D155" s="18">
        <f>IF($A155="","",SUMIFS(Schnittplan!$R$5:$R$1004,Schnittplan!$B$5:$B$1004,Auftrag!$D155,Schnittplan!$C$5:$C$1004,Auftrag!$E155,Schnittplan!$D$5:$D$1004,Auftrag!$Q155))</f>
        <v/>
      </c>
      <c r="E155" s="32">
        <f>IF($A155="","",IFERROR(N(Auftrag!$P155)/SUMIFS(Auftrag!$P$13:$P$512,Auftrag!$D$13:$D$512,Auftrag!$D155,Auftrag!$E$13:$E$512,Auftrag!$E155,Auftrag!$Q$13:$Q$512,Auftrag!$Q155),0))</f>
        <v/>
      </c>
      <c r="F155" s="33">
        <f>IF($A155="","",IF($C155=0,0,$D155*$E155/$C155))</f>
        <v/>
      </c>
      <c r="G155" s="34">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5">
        <f>IF($A155="","",IF($H155="","",60*((N(Auftrag!$H155)-N(Auftrag!$AI155)-N(Auftrag!$AK155))/$H155+N(Auftrag!$AI155)/$J155+N(Auftrag!$AK155)/$I155+N(Auftrag!$AD155)/$K155)+N(Auftrag!$I155)*$L155))</f>
        <v/>
      </c>
      <c r="N155" s="35">
        <f>IF($A155="","",IF(OR($H155="",$C155=0),0,(60*SUMIFS(Stangenbelegung!$K$5:$K$10004,Stangenbelegung!$E$5:$E$10004,ROW())/$H155+SUMIFS(Stangenbelegung!$L$5:$L$10004,Stangenbelegung!$E$5:$E$10004,ROW())*$L155)/$C155))</f>
        <v/>
      </c>
      <c r="O155" s="35">
        <f>IF($A155="","",IF($M155="","",MAX(0,$M155-$N155)))</f>
        <v/>
      </c>
      <c r="P155" s="35">
        <f>IF($A155="","",IFERROR(SUMPRODUCT(--("0"&amp;TRIM(RIGHT(SUBSTITUTE(LEFT(";"&amp;SUBSTITUTE(UPPER(Auftrag!$AG155)," ","")&amp;";"&amp;"X"&amp;UPPER(Gewinde!$A$5:$A$54)&amp;";",SEARCH("X"&amp;UPPER(Gewinde!$A$5:$A$54)&amp;";",";"&amp;SUBSTITUTE(UPPER(Auftrag!$AG155)," ","")&amp;";"&amp;"X"&amp;UPPER(Gewinde!$A$5:$A$54)&amp;";")-1),";",REPT(" ",50)),50))),Gewinde!$C$5:$C$54),0))</f>
        <v/>
      </c>
      <c r="Q155" s="33">
        <f>IF($A155="","",(N($O155)+$P155)/3600*N(Auftrag!$H$8))</f>
        <v/>
      </c>
      <c r="R155" s="33">
        <f>IF($A155="","",IF($F$8=0,0,$F$7/$F$8))</f>
        <v/>
      </c>
      <c r="S155" s="33">
        <f>IF($A155="","",$F155*(1+$C$4)+($Q155+$R155)*(1+$C$5))</f>
        <v/>
      </c>
      <c r="T155" s="33">
        <f>IF($A155="","",$S155*(1+$C$6))</f>
        <v/>
      </c>
      <c r="U155" s="18">
        <f>IF($A155="","",$T155*$C155)</f>
        <v/>
      </c>
      <c r="V155" s="18">
        <f>IF($A155="","",$S155*$C155)</f>
        <v/>
      </c>
      <c r="W155" s="28">
        <f>IF($A155="","",IF(N(Auftrag!$AO155)&gt;0,"nicht vollständig eingeplant",IF($D155=0,"kein Schnittplan oder Preis",IF($H155="","keine Schneiddaten",IF(AND(Auftrag!$AF155&lt;&gt;"",Auftrag!$AG155=""),"Gewinde ungeprüft","")))))</f>
        <v/>
      </c>
      <c r="X155" s="18">
        <f>IF($A155="","",$F155*$C155)</f>
        <v/>
      </c>
      <c r="Y155" s="18">
        <f>IF($A155="","",$Q155*$C155)</f>
        <v/>
      </c>
    </row>
    <row r="156">
      <c r="A156" s="25">
        <f>IF(Auftrag!$D156="","",Auftrag!$A156)</f>
        <v/>
      </c>
      <c r="B156" s="25">
        <f>IF($A156="","",Auftrag!$B156)</f>
        <v/>
      </c>
      <c r="C156" s="15">
        <f>IF($A156="","",N(Auftrag!$G156))</f>
        <v/>
      </c>
      <c r="D156" s="18">
        <f>IF($A156="","",SUMIFS(Schnittplan!$R$5:$R$1004,Schnittplan!$B$5:$B$1004,Auftrag!$D156,Schnittplan!$C$5:$C$1004,Auftrag!$E156,Schnittplan!$D$5:$D$1004,Auftrag!$Q156))</f>
        <v/>
      </c>
      <c r="E156" s="32">
        <f>IF($A156="","",IFERROR(N(Auftrag!$P156)/SUMIFS(Auftrag!$P$13:$P$512,Auftrag!$D$13:$D$512,Auftrag!$D156,Auftrag!$E$13:$E$512,Auftrag!$E156,Auftrag!$Q$13:$Q$512,Auftrag!$Q156),0))</f>
        <v/>
      </c>
      <c r="F156" s="33">
        <f>IF($A156="","",IF($C156=0,0,$D156*$E156/$C156))</f>
        <v/>
      </c>
      <c r="G156" s="34">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5">
        <f>IF($A156="","",IF($H156="","",60*((N(Auftrag!$H156)-N(Auftrag!$AI156)-N(Auftrag!$AK156))/$H156+N(Auftrag!$AI156)/$J156+N(Auftrag!$AK156)/$I156+N(Auftrag!$AD156)/$K156)+N(Auftrag!$I156)*$L156))</f>
        <v/>
      </c>
      <c r="N156" s="35">
        <f>IF($A156="","",IF(OR($H156="",$C156=0),0,(60*SUMIFS(Stangenbelegung!$K$5:$K$10004,Stangenbelegung!$E$5:$E$10004,ROW())/$H156+SUMIFS(Stangenbelegung!$L$5:$L$10004,Stangenbelegung!$E$5:$E$10004,ROW())*$L156)/$C156))</f>
        <v/>
      </c>
      <c r="O156" s="35">
        <f>IF($A156="","",IF($M156="","",MAX(0,$M156-$N156)))</f>
        <v/>
      </c>
      <c r="P156" s="35">
        <f>IF($A156="","",IFERROR(SUMPRODUCT(--("0"&amp;TRIM(RIGHT(SUBSTITUTE(LEFT(";"&amp;SUBSTITUTE(UPPER(Auftrag!$AG156)," ","")&amp;";"&amp;"X"&amp;UPPER(Gewinde!$A$5:$A$54)&amp;";",SEARCH("X"&amp;UPPER(Gewinde!$A$5:$A$54)&amp;";",";"&amp;SUBSTITUTE(UPPER(Auftrag!$AG156)," ","")&amp;";"&amp;"X"&amp;UPPER(Gewinde!$A$5:$A$54)&amp;";")-1),";",REPT(" ",50)),50))),Gewinde!$C$5:$C$54),0))</f>
        <v/>
      </c>
      <c r="Q156" s="33">
        <f>IF($A156="","",(N($O156)+$P156)/3600*N(Auftrag!$H$8))</f>
        <v/>
      </c>
      <c r="R156" s="33">
        <f>IF($A156="","",IF($F$8=0,0,$F$7/$F$8))</f>
        <v/>
      </c>
      <c r="S156" s="33">
        <f>IF($A156="","",$F156*(1+$C$4)+($Q156+$R156)*(1+$C$5))</f>
        <v/>
      </c>
      <c r="T156" s="33">
        <f>IF($A156="","",$S156*(1+$C$6))</f>
        <v/>
      </c>
      <c r="U156" s="18">
        <f>IF($A156="","",$T156*$C156)</f>
        <v/>
      </c>
      <c r="V156" s="18">
        <f>IF($A156="","",$S156*$C156)</f>
        <v/>
      </c>
      <c r="W156" s="28">
        <f>IF($A156="","",IF(N(Auftrag!$AO156)&gt;0,"nicht vollständig eingeplant",IF($D156=0,"kein Schnittplan oder Preis",IF($H156="","keine Schneiddaten",IF(AND(Auftrag!$AF156&lt;&gt;"",Auftrag!$AG156=""),"Gewinde ungeprüft","")))))</f>
        <v/>
      </c>
      <c r="X156" s="18">
        <f>IF($A156="","",$F156*$C156)</f>
        <v/>
      </c>
      <c r="Y156" s="18">
        <f>IF($A156="","",$Q156*$C156)</f>
        <v/>
      </c>
    </row>
    <row r="157">
      <c r="A157" s="25">
        <f>IF(Auftrag!$D157="","",Auftrag!$A157)</f>
        <v/>
      </c>
      <c r="B157" s="25">
        <f>IF($A157="","",Auftrag!$B157)</f>
        <v/>
      </c>
      <c r="C157" s="15">
        <f>IF($A157="","",N(Auftrag!$G157))</f>
        <v/>
      </c>
      <c r="D157" s="18">
        <f>IF($A157="","",SUMIFS(Schnittplan!$R$5:$R$1004,Schnittplan!$B$5:$B$1004,Auftrag!$D157,Schnittplan!$C$5:$C$1004,Auftrag!$E157,Schnittplan!$D$5:$D$1004,Auftrag!$Q157))</f>
        <v/>
      </c>
      <c r="E157" s="32">
        <f>IF($A157="","",IFERROR(N(Auftrag!$P157)/SUMIFS(Auftrag!$P$13:$P$512,Auftrag!$D$13:$D$512,Auftrag!$D157,Auftrag!$E$13:$E$512,Auftrag!$E157,Auftrag!$Q$13:$Q$512,Auftrag!$Q157),0))</f>
        <v/>
      </c>
      <c r="F157" s="33">
        <f>IF($A157="","",IF($C157=0,0,$D157*$E157/$C157))</f>
        <v/>
      </c>
      <c r="G157" s="34">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5">
        <f>IF($A157="","",IF($H157="","",60*((N(Auftrag!$H157)-N(Auftrag!$AI157)-N(Auftrag!$AK157))/$H157+N(Auftrag!$AI157)/$J157+N(Auftrag!$AK157)/$I157+N(Auftrag!$AD157)/$K157)+N(Auftrag!$I157)*$L157))</f>
        <v/>
      </c>
      <c r="N157" s="35">
        <f>IF($A157="","",IF(OR($H157="",$C157=0),0,(60*SUMIFS(Stangenbelegung!$K$5:$K$10004,Stangenbelegung!$E$5:$E$10004,ROW())/$H157+SUMIFS(Stangenbelegung!$L$5:$L$10004,Stangenbelegung!$E$5:$E$10004,ROW())*$L157)/$C157))</f>
        <v/>
      </c>
      <c r="O157" s="35">
        <f>IF($A157="","",IF($M157="","",MAX(0,$M157-$N157)))</f>
        <v/>
      </c>
      <c r="P157" s="35">
        <f>IF($A157="","",IFERROR(SUMPRODUCT(--("0"&amp;TRIM(RIGHT(SUBSTITUTE(LEFT(";"&amp;SUBSTITUTE(UPPER(Auftrag!$AG157)," ","")&amp;";"&amp;"X"&amp;UPPER(Gewinde!$A$5:$A$54)&amp;";",SEARCH("X"&amp;UPPER(Gewinde!$A$5:$A$54)&amp;";",";"&amp;SUBSTITUTE(UPPER(Auftrag!$AG157)," ","")&amp;";"&amp;"X"&amp;UPPER(Gewinde!$A$5:$A$54)&amp;";")-1),";",REPT(" ",50)),50))),Gewinde!$C$5:$C$54),0))</f>
        <v/>
      </c>
      <c r="Q157" s="33">
        <f>IF($A157="","",(N($O157)+$P157)/3600*N(Auftrag!$H$8))</f>
        <v/>
      </c>
      <c r="R157" s="33">
        <f>IF($A157="","",IF($F$8=0,0,$F$7/$F$8))</f>
        <v/>
      </c>
      <c r="S157" s="33">
        <f>IF($A157="","",$F157*(1+$C$4)+($Q157+$R157)*(1+$C$5))</f>
        <v/>
      </c>
      <c r="T157" s="33">
        <f>IF($A157="","",$S157*(1+$C$6))</f>
        <v/>
      </c>
      <c r="U157" s="18">
        <f>IF($A157="","",$T157*$C157)</f>
        <v/>
      </c>
      <c r="V157" s="18">
        <f>IF($A157="","",$S157*$C157)</f>
        <v/>
      </c>
      <c r="W157" s="28">
        <f>IF($A157="","",IF(N(Auftrag!$AO157)&gt;0,"nicht vollständig eingeplant",IF($D157=0,"kein Schnittplan oder Preis",IF($H157="","keine Schneiddaten",IF(AND(Auftrag!$AF157&lt;&gt;"",Auftrag!$AG157=""),"Gewinde ungeprüft","")))))</f>
        <v/>
      </c>
      <c r="X157" s="18">
        <f>IF($A157="","",$F157*$C157)</f>
        <v/>
      </c>
      <c r="Y157" s="18">
        <f>IF($A157="","",$Q157*$C157)</f>
        <v/>
      </c>
    </row>
    <row r="158">
      <c r="A158" s="25">
        <f>IF(Auftrag!$D158="","",Auftrag!$A158)</f>
        <v/>
      </c>
      <c r="B158" s="25">
        <f>IF($A158="","",Auftrag!$B158)</f>
        <v/>
      </c>
      <c r="C158" s="15">
        <f>IF($A158="","",N(Auftrag!$G158))</f>
        <v/>
      </c>
      <c r="D158" s="18">
        <f>IF($A158="","",SUMIFS(Schnittplan!$R$5:$R$1004,Schnittplan!$B$5:$B$1004,Auftrag!$D158,Schnittplan!$C$5:$C$1004,Auftrag!$E158,Schnittplan!$D$5:$D$1004,Auftrag!$Q158))</f>
        <v/>
      </c>
      <c r="E158" s="32">
        <f>IF($A158="","",IFERROR(N(Auftrag!$P158)/SUMIFS(Auftrag!$P$13:$P$512,Auftrag!$D$13:$D$512,Auftrag!$D158,Auftrag!$E$13:$E$512,Auftrag!$E158,Auftrag!$Q$13:$Q$512,Auftrag!$Q158),0))</f>
        <v/>
      </c>
      <c r="F158" s="33">
        <f>IF($A158="","",IF($C158=0,0,$D158*$E158/$C158))</f>
        <v/>
      </c>
      <c r="G158" s="34">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5">
        <f>IF($A158="","",IF($H158="","",60*((N(Auftrag!$H158)-N(Auftrag!$AI158)-N(Auftrag!$AK158))/$H158+N(Auftrag!$AI158)/$J158+N(Auftrag!$AK158)/$I158+N(Auftrag!$AD158)/$K158)+N(Auftrag!$I158)*$L158))</f>
        <v/>
      </c>
      <c r="N158" s="35">
        <f>IF($A158="","",IF(OR($H158="",$C158=0),0,(60*SUMIFS(Stangenbelegung!$K$5:$K$10004,Stangenbelegung!$E$5:$E$10004,ROW())/$H158+SUMIFS(Stangenbelegung!$L$5:$L$10004,Stangenbelegung!$E$5:$E$10004,ROW())*$L158)/$C158))</f>
        <v/>
      </c>
      <c r="O158" s="35">
        <f>IF($A158="","",IF($M158="","",MAX(0,$M158-$N158)))</f>
        <v/>
      </c>
      <c r="P158" s="35">
        <f>IF($A158="","",IFERROR(SUMPRODUCT(--("0"&amp;TRIM(RIGHT(SUBSTITUTE(LEFT(";"&amp;SUBSTITUTE(UPPER(Auftrag!$AG158)," ","")&amp;";"&amp;"X"&amp;UPPER(Gewinde!$A$5:$A$54)&amp;";",SEARCH("X"&amp;UPPER(Gewinde!$A$5:$A$54)&amp;";",";"&amp;SUBSTITUTE(UPPER(Auftrag!$AG158)," ","")&amp;";"&amp;"X"&amp;UPPER(Gewinde!$A$5:$A$54)&amp;";")-1),";",REPT(" ",50)),50))),Gewinde!$C$5:$C$54),0))</f>
        <v/>
      </c>
      <c r="Q158" s="33">
        <f>IF($A158="","",(N($O158)+$P158)/3600*N(Auftrag!$H$8))</f>
        <v/>
      </c>
      <c r="R158" s="33">
        <f>IF($A158="","",IF($F$8=0,0,$F$7/$F$8))</f>
        <v/>
      </c>
      <c r="S158" s="33">
        <f>IF($A158="","",$F158*(1+$C$4)+($Q158+$R158)*(1+$C$5))</f>
        <v/>
      </c>
      <c r="T158" s="33">
        <f>IF($A158="","",$S158*(1+$C$6))</f>
        <v/>
      </c>
      <c r="U158" s="18">
        <f>IF($A158="","",$T158*$C158)</f>
        <v/>
      </c>
      <c r="V158" s="18">
        <f>IF($A158="","",$S158*$C158)</f>
        <v/>
      </c>
      <c r="W158" s="28">
        <f>IF($A158="","",IF(N(Auftrag!$AO158)&gt;0,"nicht vollständig eingeplant",IF($D158=0,"kein Schnittplan oder Preis",IF($H158="","keine Schneiddaten",IF(AND(Auftrag!$AF158&lt;&gt;"",Auftrag!$AG158=""),"Gewinde ungeprüft","")))))</f>
        <v/>
      </c>
      <c r="X158" s="18">
        <f>IF($A158="","",$F158*$C158)</f>
        <v/>
      </c>
      <c r="Y158" s="18">
        <f>IF($A158="","",$Q158*$C158)</f>
        <v/>
      </c>
    </row>
    <row r="159">
      <c r="A159" s="25">
        <f>IF(Auftrag!$D159="","",Auftrag!$A159)</f>
        <v/>
      </c>
      <c r="B159" s="25">
        <f>IF($A159="","",Auftrag!$B159)</f>
        <v/>
      </c>
      <c r="C159" s="15">
        <f>IF($A159="","",N(Auftrag!$G159))</f>
        <v/>
      </c>
      <c r="D159" s="18">
        <f>IF($A159="","",SUMIFS(Schnittplan!$R$5:$R$1004,Schnittplan!$B$5:$B$1004,Auftrag!$D159,Schnittplan!$C$5:$C$1004,Auftrag!$E159,Schnittplan!$D$5:$D$1004,Auftrag!$Q159))</f>
        <v/>
      </c>
      <c r="E159" s="32">
        <f>IF($A159="","",IFERROR(N(Auftrag!$P159)/SUMIFS(Auftrag!$P$13:$P$512,Auftrag!$D$13:$D$512,Auftrag!$D159,Auftrag!$E$13:$E$512,Auftrag!$E159,Auftrag!$Q$13:$Q$512,Auftrag!$Q159),0))</f>
        <v/>
      </c>
      <c r="F159" s="33">
        <f>IF($A159="","",IF($C159=0,0,$D159*$E159/$C159))</f>
        <v/>
      </c>
      <c r="G159" s="34">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5">
        <f>IF($A159="","",IF($H159="","",60*((N(Auftrag!$H159)-N(Auftrag!$AI159)-N(Auftrag!$AK159))/$H159+N(Auftrag!$AI159)/$J159+N(Auftrag!$AK159)/$I159+N(Auftrag!$AD159)/$K159)+N(Auftrag!$I159)*$L159))</f>
        <v/>
      </c>
      <c r="N159" s="35">
        <f>IF($A159="","",IF(OR($H159="",$C159=0),0,(60*SUMIFS(Stangenbelegung!$K$5:$K$10004,Stangenbelegung!$E$5:$E$10004,ROW())/$H159+SUMIFS(Stangenbelegung!$L$5:$L$10004,Stangenbelegung!$E$5:$E$10004,ROW())*$L159)/$C159))</f>
        <v/>
      </c>
      <c r="O159" s="35">
        <f>IF($A159="","",IF($M159="","",MAX(0,$M159-$N159)))</f>
        <v/>
      </c>
      <c r="P159" s="35">
        <f>IF($A159="","",IFERROR(SUMPRODUCT(--("0"&amp;TRIM(RIGHT(SUBSTITUTE(LEFT(";"&amp;SUBSTITUTE(UPPER(Auftrag!$AG159)," ","")&amp;";"&amp;"X"&amp;UPPER(Gewinde!$A$5:$A$54)&amp;";",SEARCH("X"&amp;UPPER(Gewinde!$A$5:$A$54)&amp;";",";"&amp;SUBSTITUTE(UPPER(Auftrag!$AG159)," ","")&amp;";"&amp;"X"&amp;UPPER(Gewinde!$A$5:$A$54)&amp;";")-1),";",REPT(" ",50)),50))),Gewinde!$C$5:$C$54),0))</f>
        <v/>
      </c>
      <c r="Q159" s="33">
        <f>IF($A159="","",(N($O159)+$P159)/3600*N(Auftrag!$H$8))</f>
        <v/>
      </c>
      <c r="R159" s="33">
        <f>IF($A159="","",IF($F$8=0,0,$F$7/$F$8))</f>
        <v/>
      </c>
      <c r="S159" s="33">
        <f>IF($A159="","",$F159*(1+$C$4)+($Q159+$R159)*(1+$C$5))</f>
        <v/>
      </c>
      <c r="T159" s="33">
        <f>IF($A159="","",$S159*(1+$C$6))</f>
        <v/>
      </c>
      <c r="U159" s="18">
        <f>IF($A159="","",$T159*$C159)</f>
        <v/>
      </c>
      <c r="V159" s="18">
        <f>IF($A159="","",$S159*$C159)</f>
        <v/>
      </c>
      <c r="W159" s="28">
        <f>IF($A159="","",IF(N(Auftrag!$AO159)&gt;0,"nicht vollständig eingeplant",IF($D159=0,"kein Schnittplan oder Preis",IF($H159="","keine Schneiddaten",IF(AND(Auftrag!$AF159&lt;&gt;"",Auftrag!$AG159=""),"Gewinde ungeprüft","")))))</f>
        <v/>
      </c>
      <c r="X159" s="18">
        <f>IF($A159="","",$F159*$C159)</f>
        <v/>
      </c>
      <c r="Y159" s="18">
        <f>IF($A159="","",$Q159*$C159)</f>
        <v/>
      </c>
    </row>
    <row r="160">
      <c r="A160" s="25">
        <f>IF(Auftrag!$D160="","",Auftrag!$A160)</f>
        <v/>
      </c>
      <c r="B160" s="25">
        <f>IF($A160="","",Auftrag!$B160)</f>
        <v/>
      </c>
      <c r="C160" s="15">
        <f>IF($A160="","",N(Auftrag!$G160))</f>
        <v/>
      </c>
      <c r="D160" s="18">
        <f>IF($A160="","",SUMIFS(Schnittplan!$R$5:$R$1004,Schnittplan!$B$5:$B$1004,Auftrag!$D160,Schnittplan!$C$5:$C$1004,Auftrag!$E160,Schnittplan!$D$5:$D$1004,Auftrag!$Q160))</f>
        <v/>
      </c>
      <c r="E160" s="32">
        <f>IF($A160="","",IFERROR(N(Auftrag!$P160)/SUMIFS(Auftrag!$P$13:$P$512,Auftrag!$D$13:$D$512,Auftrag!$D160,Auftrag!$E$13:$E$512,Auftrag!$E160,Auftrag!$Q$13:$Q$512,Auftrag!$Q160),0))</f>
        <v/>
      </c>
      <c r="F160" s="33">
        <f>IF($A160="","",IF($C160=0,0,$D160*$E160/$C160))</f>
        <v/>
      </c>
      <c r="G160" s="34">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5">
        <f>IF($A160="","",IF($H160="","",60*((N(Auftrag!$H160)-N(Auftrag!$AI160)-N(Auftrag!$AK160))/$H160+N(Auftrag!$AI160)/$J160+N(Auftrag!$AK160)/$I160+N(Auftrag!$AD160)/$K160)+N(Auftrag!$I160)*$L160))</f>
        <v/>
      </c>
      <c r="N160" s="35">
        <f>IF($A160="","",IF(OR($H160="",$C160=0),0,(60*SUMIFS(Stangenbelegung!$K$5:$K$10004,Stangenbelegung!$E$5:$E$10004,ROW())/$H160+SUMIFS(Stangenbelegung!$L$5:$L$10004,Stangenbelegung!$E$5:$E$10004,ROW())*$L160)/$C160))</f>
        <v/>
      </c>
      <c r="O160" s="35">
        <f>IF($A160="","",IF($M160="","",MAX(0,$M160-$N160)))</f>
        <v/>
      </c>
      <c r="P160" s="35">
        <f>IF($A160="","",IFERROR(SUMPRODUCT(--("0"&amp;TRIM(RIGHT(SUBSTITUTE(LEFT(";"&amp;SUBSTITUTE(UPPER(Auftrag!$AG160)," ","")&amp;";"&amp;"X"&amp;UPPER(Gewinde!$A$5:$A$54)&amp;";",SEARCH("X"&amp;UPPER(Gewinde!$A$5:$A$54)&amp;";",";"&amp;SUBSTITUTE(UPPER(Auftrag!$AG160)," ","")&amp;";"&amp;"X"&amp;UPPER(Gewinde!$A$5:$A$54)&amp;";")-1),";",REPT(" ",50)),50))),Gewinde!$C$5:$C$54),0))</f>
        <v/>
      </c>
      <c r="Q160" s="33">
        <f>IF($A160="","",(N($O160)+$P160)/3600*N(Auftrag!$H$8))</f>
        <v/>
      </c>
      <c r="R160" s="33">
        <f>IF($A160="","",IF($F$8=0,0,$F$7/$F$8))</f>
        <v/>
      </c>
      <c r="S160" s="33">
        <f>IF($A160="","",$F160*(1+$C$4)+($Q160+$R160)*(1+$C$5))</f>
        <v/>
      </c>
      <c r="T160" s="33">
        <f>IF($A160="","",$S160*(1+$C$6))</f>
        <v/>
      </c>
      <c r="U160" s="18">
        <f>IF($A160="","",$T160*$C160)</f>
        <v/>
      </c>
      <c r="V160" s="18">
        <f>IF($A160="","",$S160*$C160)</f>
        <v/>
      </c>
      <c r="W160" s="28">
        <f>IF($A160="","",IF(N(Auftrag!$AO160)&gt;0,"nicht vollständig eingeplant",IF($D160=0,"kein Schnittplan oder Preis",IF($H160="","keine Schneiddaten",IF(AND(Auftrag!$AF160&lt;&gt;"",Auftrag!$AG160=""),"Gewinde ungeprüft","")))))</f>
        <v/>
      </c>
      <c r="X160" s="18">
        <f>IF($A160="","",$F160*$C160)</f>
        <v/>
      </c>
      <c r="Y160" s="18">
        <f>IF($A160="","",$Q160*$C160)</f>
        <v/>
      </c>
    </row>
    <row r="161">
      <c r="A161" s="25">
        <f>IF(Auftrag!$D161="","",Auftrag!$A161)</f>
        <v/>
      </c>
      <c r="B161" s="25">
        <f>IF($A161="","",Auftrag!$B161)</f>
        <v/>
      </c>
      <c r="C161" s="15">
        <f>IF($A161="","",N(Auftrag!$G161))</f>
        <v/>
      </c>
      <c r="D161" s="18">
        <f>IF($A161="","",SUMIFS(Schnittplan!$R$5:$R$1004,Schnittplan!$B$5:$B$1004,Auftrag!$D161,Schnittplan!$C$5:$C$1004,Auftrag!$E161,Schnittplan!$D$5:$D$1004,Auftrag!$Q161))</f>
        <v/>
      </c>
      <c r="E161" s="32">
        <f>IF($A161="","",IFERROR(N(Auftrag!$P161)/SUMIFS(Auftrag!$P$13:$P$512,Auftrag!$D$13:$D$512,Auftrag!$D161,Auftrag!$E$13:$E$512,Auftrag!$E161,Auftrag!$Q$13:$Q$512,Auftrag!$Q161),0))</f>
        <v/>
      </c>
      <c r="F161" s="33">
        <f>IF($A161="","",IF($C161=0,0,$D161*$E161/$C161))</f>
        <v/>
      </c>
      <c r="G161" s="34">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5">
        <f>IF($A161="","",IF($H161="","",60*((N(Auftrag!$H161)-N(Auftrag!$AI161)-N(Auftrag!$AK161))/$H161+N(Auftrag!$AI161)/$J161+N(Auftrag!$AK161)/$I161+N(Auftrag!$AD161)/$K161)+N(Auftrag!$I161)*$L161))</f>
        <v/>
      </c>
      <c r="N161" s="35">
        <f>IF($A161="","",IF(OR($H161="",$C161=0),0,(60*SUMIFS(Stangenbelegung!$K$5:$K$10004,Stangenbelegung!$E$5:$E$10004,ROW())/$H161+SUMIFS(Stangenbelegung!$L$5:$L$10004,Stangenbelegung!$E$5:$E$10004,ROW())*$L161)/$C161))</f>
        <v/>
      </c>
      <c r="O161" s="35">
        <f>IF($A161="","",IF($M161="","",MAX(0,$M161-$N161)))</f>
        <v/>
      </c>
      <c r="P161" s="35">
        <f>IF($A161="","",IFERROR(SUMPRODUCT(--("0"&amp;TRIM(RIGHT(SUBSTITUTE(LEFT(";"&amp;SUBSTITUTE(UPPER(Auftrag!$AG161)," ","")&amp;";"&amp;"X"&amp;UPPER(Gewinde!$A$5:$A$54)&amp;";",SEARCH("X"&amp;UPPER(Gewinde!$A$5:$A$54)&amp;";",";"&amp;SUBSTITUTE(UPPER(Auftrag!$AG161)," ","")&amp;";"&amp;"X"&amp;UPPER(Gewinde!$A$5:$A$54)&amp;";")-1),";",REPT(" ",50)),50))),Gewinde!$C$5:$C$54),0))</f>
        <v/>
      </c>
      <c r="Q161" s="33">
        <f>IF($A161="","",(N($O161)+$P161)/3600*N(Auftrag!$H$8))</f>
        <v/>
      </c>
      <c r="R161" s="33">
        <f>IF($A161="","",IF($F$8=0,0,$F$7/$F$8))</f>
        <v/>
      </c>
      <c r="S161" s="33">
        <f>IF($A161="","",$F161*(1+$C$4)+($Q161+$R161)*(1+$C$5))</f>
        <v/>
      </c>
      <c r="T161" s="33">
        <f>IF($A161="","",$S161*(1+$C$6))</f>
        <v/>
      </c>
      <c r="U161" s="18">
        <f>IF($A161="","",$T161*$C161)</f>
        <v/>
      </c>
      <c r="V161" s="18">
        <f>IF($A161="","",$S161*$C161)</f>
        <v/>
      </c>
      <c r="W161" s="28">
        <f>IF($A161="","",IF(N(Auftrag!$AO161)&gt;0,"nicht vollständig eingeplant",IF($D161=0,"kein Schnittplan oder Preis",IF($H161="","keine Schneiddaten",IF(AND(Auftrag!$AF161&lt;&gt;"",Auftrag!$AG161=""),"Gewinde ungeprüft","")))))</f>
        <v/>
      </c>
      <c r="X161" s="18">
        <f>IF($A161="","",$F161*$C161)</f>
        <v/>
      </c>
      <c r="Y161" s="18">
        <f>IF($A161="","",$Q161*$C161)</f>
        <v/>
      </c>
    </row>
    <row r="162">
      <c r="A162" s="25">
        <f>IF(Auftrag!$D162="","",Auftrag!$A162)</f>
        <v/>
      </c>
      <c r="B162" s="25">
        <f>IF($A162="","",Auftrag!$B162)</f>
        <v/>
      </c>
      <c r="C162" s="15">
        <f>IF($A162="","",N(Auftrag!$G162))</f>
        <v/>
      </c>
      <c r="D162" s="18">
        <f>IF($A162="","",SUMIFS(Schnittplan!$R$5:$R$1004,Schnittplan!$B$5:$B$1004,Auftrag!$D162,Schnittplan!$C$5:$C$1004,Auftrag!$E162,Schnittplan!$D$5:$D$1004,Auftrag!$Q162))</f>
        <v/>
      </c>
      <c r="E162" s="32">
        <f>IF($A162="","",IFERROR(N(Auftrag!$P162)/SUMIFS(Auftrag!$P$13:$P$512,Auftrag!$D$13:$D$512,Auftrag!$D162,Auftrag!$E$13:$E$512,Auftrag!$E162,Auftrag!$Q$13:$Q$512,Auftrag!$Q162),0))</f>
        <v/>
      </c>
      <c r="F162" s="33">
        <f>IF($A162="","",IF($C162=0,0,$D162*$E162/$C162))</f>
        <v/>
      </c>
      <c r="G162" s="34">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5">
        <f>IF($A162="","",IF($H162="","",60*((N(Auftrag!$H162)-N(Auftrag!$AI162)-N(Auftrag!$AK162))/$H162+N(Auftrag!$AI162)/$J162+N(Auftrag!$AK162)/$I162+N(Auftrag!$AD162)/$K162)+N(Auftrag!$I162)*$L162))</f>
        <v/>
      </c>
      <c r="N162" s="35">
        <f>IF($A162="","",IF(OR($H162="",$C162=0),0,(60*SUMIFS(Stangenbelegung!$K$5:$K$10004,Stangenbelegung!$E$5:$E$10004,ROW())/$H162+SUMIFS(Stangenbelegung!$L$5:$L$10004,Stangenbelegung!$E$5:$E$10004,ROW())*$L162)/$C162))</f>
        <v/>
      </c>
      <c r="O162" s="35">
        <f>IF($A162="","",IF($M162="","",MAX(0,$M162-$N162)))</f>
        <v/>
      </c>
      <c r="P162" s="35">
        <f>IF($A162="","",IFERROR(SUMPRODUCT(--("0"&amp;TRIM(RIGHT(SUBSTITUTE(LEFT(";"&amp;SUBSTITUTE(UPPER(Auftrag!$AG162)," ","")&amp;";"&amp;"X"&amp;UPPER(Gewinde!$A$5:$A$54)&amp;";",SEARCH("X"&amp;UPPER(Gewinde!$A$5:$A$54)&amp;";",";"&amp;SUBSTITUTE(UPPER(Auftrag!$AG162)," ","")&amp;";"&amp;"X"&amp;UPPER(Gewinde!$A$5:$A$54)&amp;";")-1),";",REPT(" ",50)),50))),Gewinde!$C$5:$C$54),0))</f>
        <v/>
      </c>
      <c r="Q162" s="33">
        <f>IF($A162="","",(N($O162)+$P162)/3600*N(Auftrag!$H$8))</f>
        <v/>
      </c>
      <c r="R162" s="33">
        <f>IF($A162="","",IF($F$8=0,0,$F$7/$F$8))</f>
        <v/>
      </c>
      <c r="S162" s="33">
        <f>IF($A162="","",$F162*(1+$C$4)+($Q162+$R162)*(1+$C$5))</f>
        <v/>
      </c>
      <c r="T162" s="33">
        <f>IF($A162="","",$S162*(1+$C$6))</f>
        <v/>
      </c>
      <c r="U162" s="18">
        <f>IF($A162="","",$T162*$C162)</f>
        <v/>
      </c>
      <c r="V162" s="18">
        <f>IF($A162="","",$S162*$C162)</f>
        <v/>
      </c>
      <c r="W162" s="28">
        <f>IF($A162="","",IF(N(Auftrag!$AO162)&gt;0,"nicht vollständig eingeplant",IF($D162=0,"kein Schnittplan oder Preis",IF($H162="","keine Schneiddaten",IF(AND(Auftrag!$AF162&lt;&gt;"",Auftrag!$AG162=""),"Gewinde ungeprüft","")))))</f>
        <v/>
      </c>
      <c r="X162" s="18">
        <f>IF($A162="","",$F162*$C162)</f>
        <v/>
      </c>
      <c r="Y162" s="18">
        <f>IF($A162="","",$Q162*$C162)</f>
        <v/>
      </c>
    </row>
    <row r="163">
      <c r="A163" s="25">
        <f>IF(Auftrag!$D163="","",Auftrag!$A163)</f>
        <v/>
      </c>
      <c r="B163" s="25">
        <f>IF($A163="","",Auftrag!$B163)</f>
        <v/>
      </c>
      <c r="C163" s="15">
        <f>IF($A163="","",N(Auftrag!$G163))</f>
        <v/>
      </c>
      <c r="D163" s="18">
        <f>IF($A163="","",SUMIFS(Schnittplan!$R$5:$R$1004,Schnittplan!$B$5:$B$1004,Auftrag!$D163,Schnittplan!$C$5:$C$1004,Auftrag!$E163,Schnittplan!$D$5:$D$1004,Auftrag!$Q163))</f>
        <v/>
      </c>
      <c r="E163" s="32">
        <f>IF($A163="","",IFERROR(N(Auftrag!$P163)/SUMIFS(Auftrag!$P$13:$P$512,Auftrag!$D$13:$D$512,Auftrag!$D163,Auftrag!$E$13:$E$512,Auftrag!$E163,Auftrag!$Q$13:$Q$512,Auftrag!$Q163),0))</f>
        <v/>
      </c>
      <c r="F163" s="33">
        <f>IF($A163="","",IF($C163=0,0,$D163*$E163/$C163))</f>
        <v/>
      </c>
      <c r="G163" s="34">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5">
        <f>IF($A163="","",IF($H163="","",60*((N(Auftrag!$H163)-N(Auftrag!$AI163)-N(Auftrag!$AK163))/$H163+N(Auftrag!$AI163)/$J163+N(Auftrag!$AK163)/$I163+N(Auftrag!$AD163)/$K163)+N(Auftrag!$I163)*$L163))</f>
        <v/>
      </c>
      <c r="N163" s="35">
        <f>IF($A163="","",IF(OR($H163="",$C163=0),0,(60*SUMIFS(Stangenbelegung!$K$5:$K$10004,Stangenbelegung!$E$5:$E$10004,ROW())/$H163+SUMIFS(Stangenbelegung!$L$5:$L$10004,Stangenbelegung!$E$5:$E$10004,ROW())*$L163)/$C163))</f>
        <v/>
      </c>
      <c r="O163" s="35">
        <f>IF($A163="","",IF($M163="","",MAX(0,$M163-$N163)))</f>
        <v/>
      </c>
      <c r="P163" s="35">
        <f>IF($A163="","",IFERROR(SUMPRODUCT(--("0"&amp;TRIM(RIGHT(SUBSTITUTE(LEFT(";"&amp;SUBSTITUTE(UPPER(Auftrag!$AG163)," ","")&amp;";"&amp;"X"&amp;UPPER(Gewinde!$A$5:$A$54)&amp;";",SEARCH("X"&amp;UPPER(Gewinde!$A$5:$A$54)&amp;";",";"&amp;SUBSTITUTE(UPPER(Auftrag!$AG163)," ","")&amp;";"&amp;"X"&amp;UPPER(Gewinde!$A$5:$A$54)&amp;";")-1),";",REPT(" ",50)),50))),Gewinde!$C$5:$C$54),0))</f>
        <v/>
      </c>
      <c r="Q163" s="33">
        <f>IF($A163="","",(N($O163)+$P163)/3600*N(Auftrag!$H$8))</f>
        <v/>
      </c>
      <c r="R163" s="33">
        <f>IF($A163="","",IF($F$8=0,0,$F$7/$F$8))</f>
        <v/>
      </c>
      <c r="S163" s="33">
        <f>IF($A163="","",$F163*(1+$C$4)+($Q163+$R163)*(1+$C$5))</f>
        <v/>
      </c>
      <c r="T163" s="33">
        <f>IF($A163="","",$S163*(1+$C$6))</f>
        <v/>
      </c>
      <c r="U163" s="18">
        <f>IF($A163="","",$T163*$C163)</f>
        <v/>
      </c>
      <c r="V163" s="18">
        <f>IF($A163="","",$S163*$C163)</f>
        <v/>
      </c>
      <c r="W163" s="28">
        <f>IF($A163="","",IF(N(Auftrag!$AO163)&gt;0,"nicht vollständig eingeplant",IF($D163=0,"kein Schnittplan oder Preis",IF($H163="","keine Schneiddaten",IF(AND(Auftrag!$AF163&lt;&gt;"",Auftrag!$AG163=""),"Gewinde ungeprüft","")))))</f>
        <v/>
      </c>
      <c r="X163" s="18">
        <f>IF($A163="","",$F163*$C163)</f>
        <v/>
      </c>
      <c r="Y163" s="18">
        <f>IF($A163="","",$Q163*$C163)</f>
        <v/>
      </c>
    </row>
    <row r="164">
      <c r="A164" s="25">
        <f>IF(Auftrag!$D164="","",Auftrag!$A164)</f>
        <v/>
      </c>
      <c r="B164" s="25">
        <f>IF($A164="","",Auftrag!$B164)</f>
        <v/>
      </c>
      <c r="C164" s="15">
        <f>IF($A164="","",N(Auftrag!$G164))</f>
        <v/>
      </c>
      <c r="D164" s="18">
        <f>IF($A164="","",SUMIFS(Schnittplan!$R$5:$R$1004,Schnittplan!$B$5:$B$1004,Auftrag!$D164,Schnittplan!$C$5:$C$1004,Auftrag!$E164,Schnittplan!$D$5:$D$1004,Auftrag!$Q164))</f>
        <v/>
      </c>
      <c r="E164" s="32">
        <f>IF($A164="","",IFERROR(N(Auftrag!$P164)/SUMIFS(Auftrag!$P$13:$P$512,Auftrag!$D$13:$D$512,Auftrag!$D164,Auftrag!$E$13:$E$512,Auftrag!$E164,Auftrag!$Q$13:$Q$512,Auftrag!$Q164),0))</f>
        <v/>
      </c>
      <c r="F164" s="33">
        <f>IF($A164="","",IF($C164=0,0,$D164*$E164/$C164))</f>
        <v/>
      </c>
      <c r="G164" s="34">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5">
        <f>IF($A164="","",IF($H164="","",60*((N(Auftrag!$H164)-N(Auftrag!$AI164)-N(Auftrag!$AK164))/$H164+N(Auftrag!$AI164)/$J164+N(Auftrag!$AK164)/$I164+N(Auftrag!$AD164)/$K164)+N(Auftrag!$I164)*$L164))</f>
        <v/>
      </c>
      <c r="N164" s="35">
        <f>IF($A164="","",IF(OR($H164="",$C164=0),0,(60*SUMIFS(Stangenbelegung!$K$5:$K$10004,Stangenbelegung!$E$5:$E$10004,ROW())/$H164+SUMIFS(Stangenbelegung!$L$5:$L$10004,Stangenbelegung!$E$5:$E$10004,ROW())*$L164)/$C164))</f>
        <v/>
      </c>
      <c r="O164" s="35">
        <f>IF($A164="","",IF($M164="","",MAX(0,$M164-$N164)))</f>
        <v/>
      </c>
      <c r="P164" s="35">
        <f>IF($A164="","",IFERROR(SUMPRODUCT(--("0"&amp;TRIM(RIGHT(SUBSTITUTE(LEFT(";"&amp;SUBSTITUTE(UPPER(Auftrag!$AG164)," ","")&amp;";"&amp;"X"&amp;UPPER(Gewinde!$A$5:$A$54)&amp;";",SEARCH("X"&amp;UPPER(Gewinde!$A$5:$A$54)&amp;";",";"&amp;SUBSTITUTE(UPPER(Auftrag!$AG164)," ","")&amp;";"&amp;"X"&amp;UPPER(Gewinde!$A$5:$A$54)&amp;";")-1),";",REPT(" ",50)),50))),Gewinde!$C$5:$C$54),0))</f>
        <v/>
      </c>
      <c r="Q164" s="33">
        <f>IF($A164="","",(N($O164)+$P164)/3600*N(Auftrag!$H$8))</f>
        <v/>
      </c>
      <c r="R164" s="33">
        <f>IF($A164="","",IF($F$8=0,0,$F$7/$F$8))</f>
        <v/>
      </c>
      <c r="S164" s="33">
        <f>IF($A164="","",$F164*(1+$C$4)+($Q164+$R164)*(1+$C$5))</f>
        <v/>
      </c>
      <c r="T164" s="33">
        <f>IF($A164="","",$S164*(1+$C$6))</f>
        <v/>
      </c>
      <c r="U164" s="18">
        <f>IF($A164="","",$T164*$C164)</f>
        <v/>
      </c>
      <c r="V164" s="18">
        <f>IF($A164="","",$S164*$C164)</f>
        <v/>
      </c>
      <c r="W164" s="28">
        <f>IF($A164="","",IF(N(Auftrag!$AO164)&gt;0,"nicht vollständig eingeplant",IF($D164=0,"kein Schnittplan oder Preis",IF($H164="","keine Schneiddaten",IF(AND(Auftrag!$AF164&lt;&gt;"",Auftrag!$AG164=""),"Gewinde ungeprüft","")))))</f>
        <v/>
      </c>
      <c r="X164" s="18">
        <f>IF($A164="","",$F164*$C164)</f>
        <v/>
      </c>
      <c r="Y164" s="18">
        <f>IF($A164="","",$Q164*$C164)</f>
        <v/>
      </c>
    </row>
    <row r="165">
      <c r="A165" s="25">
        <f>IF(Auftrag!$D165="","",Auftrag!$A165)</f>
        <v/>
      </c>
      <c r="B165" s="25">
        <f>IF($A165="","",Auftrag!$B165)</f>
        <v/>
      </c>
      <c r="C165" s="15">
        <f>IF($A165="","",N(Auftrag!$G165))</f>
        <v/>
      </c>
      <c r="D165" s="18">
        <f>IF($A165="","",SUMIFS(Schnittplan!$R$5:$R$1004,Schnittplan!$B$5:$B$1004,Auftrag!$D165,Schnittplan!$C$5:$C$1004,Auftrag!$E165,Schnittplan!$D$5:$D$1004,Auftrag!$Q165))</f>
        <v/>
      </c>
      <c r="E165" s="32">
        <f>IF($A165="","",IFERROR(N(Auftrag!$P165)/SUMIFS(Auftrag!$P$13:$P$512,Auftrag!$D$13:$D$512,Auftrag!$D165,Auftrag!$E$13:$E$512,Auftrag!$E165,Auftrag!$Q$13:$Q$512,Auftrag!$Q165),0))</f>
        <v/>
      </c>
      <c r="F165" s="33">
        <f>IF($A165="","",IF($C165=0,0,$D165*$E165/$C165))</f>
        <v/>
      </c>
      <c r="G165" s="34">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5">
        <f>IF($A165="","",IF($H165="","",60*((N(Auftrag!$H165)-N(Auftrag!$AI165)-N(Auftrag!$AK165))/$H165+N(Auftrag!$AI165)/$J165+N(Auftrag!$AK165)/$I165+N(Auftrag!$AD165)/$K165)+N(Auftrag!$I165)*$L165))</f>
        <v/>
      </c>
      <c r="N165" s="35">
        <f>IF($A165="","",IF(OR($H165="",$C165=0),0,(60*SUMIFS(Stangenbelegung!$K$5:$K$10004,Stangenbelegung!$E$5:$E$10004,ROW())/$H165+SUMIFS(Stangenbelegung!$L$5:$L$10004,Stangenbelegung!$E$5:$E$10004,ROW())*$L165)/$C165))</f>
        <v/>
      </c>
      <c r="O165" s="35">
        <f>IF($A165="","",IF($M165="","",MAX(0,$M165-$N165)))</f>
        <v/>
      </c>
      <c r="P165" s="35">
        <f>IF($A165="","",IFERROR(SUMPRODUCT(--("0"&amp;TRIM(RIGHT(SUBSTITUTE(LEFT(";"&amp;SUBSTITUTE(UPPER(Auftrag!$AG165)," ","")&amp;";"&amp;"X"&amp;UPPER(Gewinde!$A$5:$A$54)&amp;";",SEARCH("X"&amp;UPPER(Gewinde!$A$5:$A$54)&amp;";",";"&amp;SUBSTITUTE(UPPER(Auftrag!$AG165)," ","")&amp;";"&amp;"X"&amp;UPPER(Gewinde!$A$5:$A$54)&amp;";")-1),";",REPT(" ",50)),50))),Gewinde!$C$5:$C$54),0))</f>
        <v/>
      </c>
      <c r="Q165" s="33">
        <f>IF($A165="","",(N($O165)+$P165)/3600*N(Auftrag!$H$8))</f>
        <v/>
      </c>
      <c r="R165" s="33">
        <f>IF($A165="","",IF($F$8=0,0,$F$7/$F$8))</f>
        <v/>
      </c>
      <c r="S165" s="33">
        <f>IF($A165="","",$F165*(1+$C$4)+($Q165+$R165)*(1+$C$5))</f>
        <v/>
      </c>
      <c r="T165" s="33">
        <f>IF($A165="","",$S165*(1+$C$6))</f>
        <v/>
      </c>
      <c r="U165" s="18">
        <f>IF($A165="","",$T165*$C165)</f>
        <v/>
      </c>
      <c r="V165" s="18">
        <f>IF($A165="","",$S165*$C165)</f>
        <v/>
      </c>
      <c r="W165" s="28">
        <f>IF($A165="","",IF(N(Auftrag!$AO165)&gt;0,"nicht vollständig eingeplant",IF($D165=0,"kein Schnittplan oder Preis",IF($H165="","keine Schneiddaten",IF(AND(Auftrag!$AF165&lt;&gt;"",Auftrag!$AG165=""),"Gewinde ungeprüft","")))))</f>
        <v/>
      </c>
      <c r="X165" s="18">
        <f>IF($A165="","",$F165*$C165)</f>
        <v/>
      </c>
      <c r="Y165" s="18">
        <f>IF($A165="","",$Q165*$C165)</f>
        <v/>
      </c>
    </row>
    <row r="166">
      <c r="A166" s="25">
        <f>IF(Auftrag!$D166="","",Auftrag!$A166)</f>
        <v/>
      </c>
      <c r="B166" s="25">
        <f>IF($A166="","",Auftrag!$B166)</f>
        <v/>
      </c>
      <c r="C166" s="15">
        <f>IF($A166="","",N(Auftrag!$G166))</f>
        <v/>
      </c>
      <c r="D166" s="18">
        <f>IF($A166="","",SUMIFS(Schnittplan!$R$5:$R$1004,Schnittplan!$B$5:$B$1004,Auftrag!$D166,Schnittplan!$C$5:$C$1004,Auftrag!$E166,Schnittplan!$D$5:$D$1004,Auftrag!$Q166))</f>
        <v/>
      </c>
      <c r="E166" s="32">
        <f>IF($A166="","",IFERROR(N(Auftrag!$P166)/SUMIFS(Auftrag!$P$13:$P$512,Auftrag!$D$13:$D$512,Auftrag!$D166,Auftrag!$E$13:$E$512,Auftrag!$E166,Auftrag!$Q$13:$Q$512,Auftrag!$Q166),0))</f>
        <v/>
      </c>
      <c r="F166" s="33">
        <f>IF($A166="","",IF($C166=0,0,$D166*$E166/$C166))</f>
        <v/>
      </c>
      <c r="G166" s="34">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5">
        <f>IF($A166="","",IF($H166="","",60*((N(Auftrag!$H166)-N(Auftrag!$AI166)-N(Auftrag!$AK166))/$H166+N(Auftrag!$AI166)/$J166+N(Auftrag!$AK166)/$I166+N(Auftrag!$AD166)/$K166)+N(Auftrag!$I166)*$L166))</f>
        <v/>
      </c>
      <c r="N166" s="35">
        <f>IF($A166="","",IF(OR($H166="",$C166=0),0,(60*SUMIFS(Stangenbelegung!$K$5:$K$10004,Stangenbelegung!$E$5:$E$10004,ROW())/$H166+SUMIFS(Stangenbelegung!$L$5:$L$10004,Stangenbelegung!$E$5:$E$10004,ROW())*$L166)/$C166))</f>
        <v/>
      </c>
      <c r="O166" s="35">
        <f>IF($A166="","",IF($M166="","",MAX(0,$M166-$N166)))</f>
        <v/>
      </c>
      <c r="P166" s="35">
        <f>IF($A166="","",IFERROR(SUMPRODUCT(--("0"&amp;TRIM(RIGHT(SUBSTITUTE(LEFT(";"&amp;SUBSTITUTE(UPPER(Auftrag!$AG166)," ","")&amp;";"&amp;"X"&amp;UPPER(Gewinde!$A$5:$A$54)&amp;";",SEARCH("X"&amp;UPPER(Gewinde!$A$5:$A$54)&amp;";",";"&amp;SUBSTITUTE(UPPER(Auftrag!$AG166)," ","")&amp;";"&amp;"X"&amp;UPPER(Gewinde!$A$5:$A$54)&amp;";")-1),";",REPT(" ",50)),50))),Gewinde!$C$5:$C$54),0))</f>
        <v/>
      </c>
      <c r="Q166" s="33">
        <f>IF($A166="","",(N($O166)+$P166)/3600*N(Auftrag!$H$8))</f>
        <v/>
      </c>
      <c r="R166" s="33">
        <f>IF($A166="","",IF($F$8=0,0,$F$7/$F$8))</f>
        <v/>
      </c>
      <c r="S166" s="33">
        <f>IF($A166="","",$F166*(1+$C$4)+($Q166+$R166)*(1+$C$5))</f>
        <v/>
      </c>
      <c r="T166" s="33">
        <f>IF($A166="","",$S166*(1+$C$6))</f>
        <v/>
      </c>
      <c r="U166" s="18">
        <f>IF($A166="","",$T166*$C166)</f>
        <v/>
      </c>
      <c r="V166" s="18">
        <f>IF($A166="","",$S166*$C166)</f>
        <v/>
      </c>
      <c r="W166" s="28">
        <f>IF($A166="","",IF(N(Auftrag!$AO166)&gt;0,"nicht vollständig eingeplant",IF($D166=0,"kein Schnittplan oder Preis",IF($H166="","keine Schneiddaten",IF(AND(Auftrag!$AF166&lt;&gt;"",Auftrag!$AG166=""),"Gewinde ungeprüft","")))))</f>
        <v/>
      </c>
      <c r="X166" s="18">
        <f>IF($A166="","",$F166*$C166)</f>
        <v/>
      </c>
      <c r="Y166" s="18">
        <f>IF($A166="","",$Q166*$C166)</f>
        <v/>
      </c>
    </row>
    <row r="167">
      <c r="A167" s="25">
        <f>IF(Auftrag!$D167="","",Auftrag!$A167)</f>
        <v/>
      </c>
      <c r="B167" s="25">
        <f>IF($A167="","",Auftrag!$B167)</f>
        <v/>
      </c>
      <c r="C167" s="15">
        <f>IF($A167="","",N(Auftrag!$G167))</f>
        <v/>
      </c>
      <c r="D167" s="18">
        <f>IF($A167="","",SUMIFS(Schnittplan!$R$5:$R$1004,Schnittplan!$B$5:$B$1004,Auftrag!$D167,Schnittplan!$C$5:$C$1004,Auftrag!$E167,Schnittplan!$D$5:$D$1004,Auftrag!$Q167))</f>
        <v/>
      </c>
      <c r="E167" s="32">
        <f>IF($A167="","",IFERROR(N(Auftrag!$P167)/SUMIFS(Auftrag!$P$13:$P$512,Auftrag!$D$13:$D$512,Auftrag!$D167,Auftrag!$E$13:$E$512,Auftrag!$E167,Auftrag!$Q$13:$Q$512,Auftrag!$Q167),0))</f>
        <v/>
      </c>
      <c r="F167" s="33">
        <f>IF($A167="","",IF($C167=0,0,$D167*$E167/$C167))</f>
        <v/>
      </c>
      <c r="G167" s="34">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5">
        <f>IF($A167="","",IF($H167="","",60*((N(Auftrag!$H167)-N(Auftrag!$AI167)-N(Auftrag!$AK167))/$H167+N(Auftrag!$AI167)/$J167+N(Auftrag!$AK167)/$I167+N(Auftrag!$AD167)/$K167)+N(Auftrag!$I167)*$L167))</f>
        <v/>
      </c>
      <c r="N167" s="35">
        <f>IF($A167="","",IF(OR($H167="",$C167=0),0,(60*SUMIFS(Stangenbelegung!$K$5:$K$10004,Stangenbelegung!$E$5:$E$10004,ROW())/$H167+SUMIFS(Stangenbelegung!$L$5:$L$10004,Stangenbelegung!$E$5:$E$10004,ROW())*$L167)/$C167))</f>
        <v/>
      </c>
      <c r="O167" s="35">
        <f>IF($A167="","",IF($M167="","",MAX(0,$M167-$N167)))</f>
        <v/>
      </c>
      <c r="P167" s="35">
        <f>IF($A167="","",IFERROR(SUMPRODUCT(--("0"&amp;TRIM(RIGHT(SUBSTITUTE(LEFT(";"&amp;SUBSTITUTE(UPPER(Auftrag!$AG167)," ","")&amp;";"&amp;"X"&amp;UPPER(Gewinde!$A$5:$A$54)&amp;";",SEARCH("X"&amp;UPPER(Gewinde!$A$5:$A$54)&amp;";",";"&amp;SUBSTITUTE(UPPER(Auftrag!$AG167)," ","")&amp;";"&amp;"X"&amp;UPPER(Gewinde!$A$5:$A$54)&amp;";")-1),";",REPT(" ",50)),50))),Gewinde!$C$5:$C$54),0))</f>
        <v/>
      </c>
      <c r="Q167" s="33">
        <f>IF($A167="","",(N($O167)+$P167)/3600*N(Auftrag!$H$8))</f>
        <v/>
      </c>
      <c r="R167" s="33">
        <f>IF($A167="","",IF($F$8=0,0,$F$7/$F$8))</f>
        <v/>
      </c>
      <c r="S167" s="33">
        <f>IF($A167="","",$F167*(1+$C$4)+($Q167+$R167)*(1+$C$5))</f>
        <v/>
      </c>
      <c r="T167" s="33">
        <f>IF($A167="","",$S167*(1+$C$6))</f>
        <v/>
      </c>
      <c r="U167" s="18">
        <f>IF($A167="","",$T167*$C167)</f>
        <v/>
      </c>
      <c r="V167" s="18">
        <f>IF($A167="","",$S167*$C167)</f>
        <v/>
      </c>
      <c r="W167" s="28">
        <f>IF($A167="","",IF(N(Auftrag!$AO167)&gt;0,"nicht vollständig eingeplant",IF($D167=0,"kein Schnittplan oder Preis",IF($H167="","keine Schneiddaten",IF(AND(Auftrag!$AF167&lt;&gt;"",Auftrag!$AG167=""),"Gewinde ungeprüft","")))))</f>
        <v/>
      </c>
      <c r="X167" s="18">
        <f>IF($A167="","",$F167*$C167)</f>
        <v/>
      </c>
      <c r="Y167" s="18">
        <f>IF($A167="","",$Q167*$C167)</f>
        <v/>
      </c>
    </row>
    <row r="168">
      <c r="A168" s="25">
        <f>IF(Auftrag!$D168="","",Auftrag!$A168)</f>
        <v/>
      </c>
      <c r="B168" s="25">
        <f>IF($A168="","",Auftrag!$B168)</f>
        <v/>
      </c>
      <c r="C168" s="15">
        <f>IF($A168="","",N(Auftrag!$G168))</f>
        <v/>
      </c>
      <c r="D168" s="18">
        <f>IF($A168="","",SUMIFS(Schnittplan!$R$5:$R$1004,Schnittplan!$B$5:$B$1004,Auftrag!$D168,Schnittplan!$C$5:$C$1004,Auftrag!$E168,Schnittplan!$D$5:$D$1004,Auftrag!$Q168))</f>
        <v/>
      </c>
      <c r="E168" s="32">
        <f>IF($A168="","",IFERROR(N(Auftrag!$P168)/SUMIFS(Auftrag!$P$13:$P$512,Auftrag!$D$13:$D$512,Auftrag!$D168,Auftrag!$E$13:$E$512,Auftrag!$E168,Auftrag!$Q$13:$Q$512,Auftrag!$Q168),0))</f>
        <v/>
      </c>
      <c r="F168" s="33">
        <f>IF($A168="","",IF($C168=0,0,$D168*$E168/$C168))</f>
        <v/>
      </c>
      <c r="G168" s="34">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5">
        <f>IF($A168="","",IF($H168="","",60*((N(Auftrag!$H168)-N(Auftrag!$AI168)-N(Auftrag!$AK168))/$H168+N(Auftrag!$AI168)/$J168+N(Auftrag!$AK168)/$I168+N(Auftrag!$AD168)/$K168)+N(Auftrag!$I168)*$L168))</f>
        <v/>
      </c>
      <c r="N168" s="35">
        <f>IF($A168="","",IF(OR($H168="",$C168=0),0,(60*SUMIFS(Stangenbelegung!$K$5:$K$10004,Stangenbelegung!$E$5:$E$10004,ROW())/$H168+SUMIFS(Stangenbelegung!$L$5:$L$10004,Stangenbelegung!$E$5:$E$10004,ROW())*$L168)/$C168))</f>
        <v/>
      </c>
      <c r="O168" s="35">
        <f>IF($A168="","",IF($M168="","",MAX(0,$M168-$N168)))</f>
        <v/>
      </c>
      <c r="P168" s="35">
        <f>IF($A168="","",IFERROR(SUMPRODUCT(--("0"&amp;TRIM(RIGHT(SUBSTITUTE(LEFT(";"&amp;SUBSTITUTE(UPPER(Auftrag!$AG168)," ","")&amp;";"&amp;"X"&amp;UPPER(Gewinde!$A$5:$A$54)&amp;";",SEARCH("X"&amp;UPPER(Gewinde!$A$5:$A$54)&amp;";",";"&amp;SUBSTITUTE(UPPER(Auftrag!$AG168)," ","")&amp;";"&amp;"X"&amp;UPPER(Gewinde!$A$5:$A$54)&amp;";")-1),";",REPT(" ",50)),50))),Gewinde!$C$5:$C$54),0))</f>
        <v/>
      </c>
      <c r="Q168" s="33">
        <f>IF($A168="","",(N($O168)+$P168)/3600*N(Auftrag!$H$8))</f>
        <v/>
      </c>
      <c r="R168" s="33">
        <f>IF($A168="","",IF($F$8=0,0,$F$7/$F$8))</f>
        <v/>
      </c>
      <c r="S168" s="33">
        <f>IF($A168="","",$F168*(1+$C$4)+($Q168+$R168)*(1+$C$5))</f>
        <v/>
      </c>
      <c r="T168" s="33">
        <f>IF($A168="","",$S168*(1+$C$6))</f>
        <v/>
      </c>
      <c r="U168" s="18">
        <f>IF($A168="","",$T168*$C168)</f>
        <v/>
      </c>
      <c r="V168" s="18">
        <f>IF($A168="","",$S168*$C168)</f>
        <v/>
      </c>
      <c r="W168" s="28">
        <f>IF($A168="","",IF(N(Auftrag!$AO168)&gt;0,"nicht vollständig eingeplant",IF($D168=0,"kein Schnittplan oder Preis",IF($H168="","keine Schneiddaten",IF(AND(Auftrag!$AF168&lt;&gt;"",Auftrag!$AG168=""),"Gewinde ungeprüft","")))))</f>
        <v/>
      </c>
      <c r="X168" s="18">
        <f>IF($A168="","",$F168*$C168)</f>
        <v/>
      </c>
      <c r="Y168" s="18">
        <f>IF($A168="","",$Q168*$C168)</f>
        <v/>
      </c>
    </row>
    <row r="169">
      <c r="A169" s="25">
        <f>IF(Auftrag!$D169="","",Auftrag!$A169)</f>
        <v/>
      </c>
      <c r="B169" s="25">
        <f>IF($A169="","",Auftrag!$B169)</f>
        <v/>
      </c>
      <c r="C169" s="15">
        <f>IF($A169="","",N(Auftrag!$G169))</f>
        <v/>
      </c>
      <c r="D169" s="18">
        <f>IF($A169="","",SUMIFS(Schnittplan!$R$5:$R$1004,Schnittplan!$B$5:$B$1004,Auftrag!$D169,Schnittplan!$C$5:$C$1004,Auftrag!$E169,Schnittplan!$D$5:$D$1004,Auftrag!$Q169))</f>
        <v/>
      </c>
      <c r="E169" s="32">
        <f>IF($A169="","",IFERROR(N(Auftrag!$P169)/SUMIFS(Auftrag!$P$13:$P$512,Auftrag!$D$13:$D$512,Auftrag!$D169,Auftrag!$E$13:$E$512,Auftrag!$E169,Auftrag!$Q$13:$Q$512,Auftrag!$Q169),0))</f>
        <v/>
      </c>
      <c r="F169" s="33">
        <f>IF($A169="","",IF($C169=0,0,$D169*$E169/$C169))</f>
        <v/>
      </c>
      <c r="G169" s="34">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5">
        <f>IF($A169="","",IF($H169="","",60*((N(Auftrag!$H169)-N(Auftrag!$AI169)-N(Auftrag!$AK169))/$H169+N(Auftrag!$AI169)/$J169+N(Auftrag!$AK169)/$I169+N(Auftrag!$AD169)/$K169)+N(Auftrag!$I169)*$L169))</f>
        <v/>
      </c>
      <c r="N169" s="35">
        <f>IF($A169="","",IF(OR($H169="",$C169=0),0,(60*SUMIFS(Stangenbelegung!$K$5:$K$10004,Stangenbelegung!$E$5:$E$10004,ROW())/$H169+SUMIFS(Stangenbelegung!$L$5:$L$10004,Stangenbelegung!$E$5:$E$10004,ROW())*$L169)/$C169))</f>
        <v/>
      </c>
      <c r="O169" s="35">
        <f>IF($A169="","",IF($M169="","",MAX(0,$M169-$N169)))</f>
        <v/>
      </c>
      <c r="P169" s="35">
        <f>IF($A169="","",IFERROR(SUMPRODUCT(--("0"&amp;TRIM(RIGHT(SUBSTITUTE(LEFT(";"&amp;SUBSTITUTE(UPPER(Auftrag!$AG169)," ","")&amp;";"&amp;"X"&amp;UPPER(Gewinde!$A$5:$A$54)&amp;";",SEARCH("X"&amp;UPPER(Gewinde!$A$5:$A$54)&amp;";",";"&amp;SUBSTITUTE(UPPER(Auftrag!$AG169)," ","")&amp;";"&amp;"X"&amp;UPPER(Gewinde!$A$5:$A$54)&amp;";")-1),";",REPT(" ",50)),50))),Gewinde!$C$5:$C$54),0))</f>
        <v/>
      </c>
      <c r="Q169" s="33">
        <f>IF($A169="","",(N($O169)+$P169)/3600*N(Auftrag!$H$8))</f>
        <v/>
      </c>
      <c r="R169" s="33">
        <f>IF($A169="","",IF($F$8=0,0,$F$7/$F$8))</f>
        <v/>
      </c>
      <c r="S169" s="33">
        <f>IF($A169="","",$F169*(1+$C$4)+($Q169+$R169)*(1+$C$5))</f>
        <v/>
      </c>
      <c r="T169" s="33">
        <f>IF($A169="","",$S169*(1+$C$6))</f>
        <v/>
      </c>
      <c r="U169" s="18">
        <f>IF($A169="","",$T169*$C169)</f>
        <v/>
      </c>
      <c r="V169" s="18">
        <f>IF($A169="","",$S169*$C169)</f>
        <v/>
      </c>
      <c r="W169" s="28">
        <f>IF($A169="","",IF(N(Auftrag!$AO169)&gt;0,"nicht vollständig eingeplant",IF($D169=0,"kein Schnittplan oder Preis",IF($H169="","keine Schneiddaten",IF(AND(Auftrag!$AF169&lt;&gt;"",Auftrag!$AG169=""),"Gewinde ungeprüft","")))))</f>
        <v/>
      </c>
      <c r="X169" s="18">
        <f>IF($A169="","",$F169*$C169)</f>
        <v/>
      </c>
      <c r="Y169" s="18">
        <f>IF($A169="","",$Q169*$C169)</f>
        <v/>
      </c>
    </row>
    <row r="170">
      <c r="A170" s="25">
        <f>IF(Auftrag!$D170="","",Auftrag!$A170)</f>
        <v/>
      </c>
      <c r="B170" s="25">
        <f>IF($A170="","",Auftrag!$B170)</f>
        <v/>
      </c>
      <c r="C170" s="15">
        <f>IF($A170="","",N(Auftrag!$G170))</f>
        <v/>
      </c>
      <c r="D170" s="18">
        <f>IF($A170="","",SUMIFS(Schnittplan!$R$5:$R$1004,Schnittplan!$B$5:$B$1004,Auftrag!$D170,Schnittplan!$C$5:$C$1004,Auftrag!$E170,Schnittplan!$D$5:$D$1004,Auftrag!$Q170))</f>
        <v/>
      </c>
      <c r="E170" s="32">
        <f>IF($A170="","",IFERROR(N(Auftrag!$P170)/SUMIFS(Auftrag!$P$13:$P$512,Auftrag!$D$13:$D$512,Auftrag!$D170,Auftrag!$E$13:$E$512,Auftrag!$E170,Auftrag!$Q$13:$Q$512,Auftrag!$Q170),0))</f>
        <v/>
      </c>
      <c r="F170" s="33">
        <f>IF($A170="","",IF($C170=0,0,$D170*$E170/$C170))</f>
        <v/>
      </c>
      <c r="G170" s="34">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5">
        <f>IF($A170="","",IF($H170="","",60*((N(Auftrag!$H170)-N(Auftrag!$AI170)-N(Auftrag!$AK170))/$H170+N(Auftrag!$AI170)/$J170+N(Auftrag!$AK170)/$I170+N(Auftrag!$AD170)/$K170)+N(Auftrag!$I170)*$L170))</f>
        <v/>
      </c>
      <c r="N170" s="35">
        <f>IF($A170="","",IF(OR($H170="",$C170=0),0,(60*SUMIFS(Stangenbelegung!$K$5:$K$10004,Stangenbelegung!$E$5:$E$10004,ROW())/$H170+SUMIFS(Stangenbelegung!$L$5:$L$10004,Stangenbelegung!$E$5:$E$10004,ROW())*$L170)/$C170))</f>
        <v/>
      </c>
      <c r="O170" s="35">
        <f>IF($A170="","",IF($M170="","",MAX(0,$M170-$N170)))</f>
        <v/>
      </c>
      <c r="P170" s="35">
        <f>IF($A170="","",IFERROR(SUMPRODUCT(--("0"&amp;TRIM(RIGHT(SUBSTITUTE(LEFT(";"&amp;SUBSTITUTE(UPPER(Auftrag!$AG170)," ","")&amp;";"&amp;"X"&amp;UPPER(Gewinde!$A$5:$A$54)&amp;";",SEARCH("X"&amp;UPPER(Gewinde!$A$5:$A$54)&amp;";",";"&amp;SUBSTITUTE(UPPER(Auftrag!$AG170)," ","")&amp;";"&amp;"X"&amp;UPPER(Gewinde!$A$5:$A$54)&amp;";")-1),";",REPT(" ",50)),50))),Gewinde!$C$5:$C$54),0))</f>
        <v/>
      </c>
      <c r="Q170" s="33">
        <f>IF($A170="","",(N($O170)+$P170)/3600*N(Auftrag!$H$8))</f>
        <v/>
      </c>
      <c r="R170" s="33">
        <f>IF($A170="","",IF($F$8=0,0,$F$7/$F$8))</f>
        <v/>
      </c>
      <c r="S170" s="33">
        <f>IF($A170="","",$F170*(1+$C$4)+($Q170+$R170)*(1+$C$5))</f>
        <v/>
      </c>
      <c r="T170" s="33">
        <f>IF($A170="","",$S170*(1+$C$6))</f>
        <v/>
      </c>
      <c r="U170" s="18">
        <f>IF($A170="","",$T170*$C170)</f>
        <v/>
      </c>
      <c r="V170" s="18">
        <f>IF($A170="","",$S170*$C170)</f>
        <v/>
      </c>
      <c r="W170" s="28">
        <f>IF($A170="","",IF(N(Auftrag!$AO170)&gt;0,"nicht vollständig eingeplant",IF($D170=0,"kein Schnittplan oder Preis",IF($H170="","keine Schneiddaten",IF(AND(Auftrag!$AF170&lt;&gt;"",Auftrag!$AG170=""),"Gewinde ungeprüft","")))))</f>
        <v/>
      </c>
      <c r="X170" s="18">
        <f>IF($A170="","",$F170*$C170)</f>
        <v/>
      </c>
      <c r="Y170" s="18">
        <f>IF($A170="","",$Q170*$C170)</f>
        <v/>
      </c>
    </row>
    <row r="171">
      <c r="A171" s="25">
        <f>IF(Auftrag!$D171="","",Auftrag!$A171)</f>
        <v/>
      </c>
      <c r="B171" s="25">
        <f>IF($A171="","",Auftrag!$B171)</f>
        <v/>
      </c>
      <c r="C171" s="15">
        <f>IF($A171="","",N(Auftrag!$G171))</f>
        <v/>
      </c>
      <c r="D171" s="18">
        <f>IF($A171="","",SUMIFS(Schnittplan!$R$5:$R$1004,Schnittplan!$B$5:$B$1004,Auftrag!$D171,Schnittplan!$C$5:$C$1004,Auftrag!$E171,Schnittplan!$D$5:$D$1004,Auftrag!$Q171))</f>
        <v/>
      </c>
      <c r="E171" s="32">
        <f>IF($A171="","",IFERROR(N(Auftrag!$P171)/SUMIFS(Auftrag!$P$13:$P$512,Auftrag!$D$13:$D$512,Auftrag!$D171,Auftrag!$E$13:$E$512,Auftrag!$E171,Auftrag!$Q$13:$Q$512,Auftrag!$Q171),0))</f>
        <v/>
      </c>
      <c r="F171" s="33">
        <f>IF($A171="","",IF($C171=0,0,$D171*$E171/$C171))</f>
        <v/>
      </c>
      <c r="G171" s="34">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5">
        <f>IF($A171="","",IF($H171="","",60*((N(Auftrag!$H171)-N(Auftrag!$AI171)-N(Auftrag!$AK171))/$H171+N(Auftrag!$AI171)/$J171+N(Auftrag!$AK171)/$I171+N(Auftrag!$AD171)/$K171)+N(Auftrag!$I171)*$L171))</f>
        <v/>
      </c>
      <c r="N171" s="35">
        <f>IF($A171="","",IF(OR($H171="",$C171=0),0,(60*SUMIFS(Stangenbelegung!$K$5:$K$10004,Stangenbelegung!$E$5:$E$10004,ROW())/$H171+SUMIFS(Stangenbelegung!$L$5:$L$10004,Stangenbelegung!$E$5:$E$10004,ROW())*$L171)/$C171))</f>
        <v/>
      </c>
      <c r="O171" s="35">
        <f>IF($A171="","",IF($M171="","",MAX(0,$M171-$N171)))</f>
        <v/>
      </c>
      <c r="P171" s="35">
        <f>IF($A171="","",IFERROR(SUMPRODUCT(--("0"&amp;TRIM(RIGHT(SUBSTITUTE(LEFT(";"&amp;SUBSTITUTE(UPPER(Auftrag!$AG171)," ","")&amp;";"&amp;"X"&amp;UPPER(Gewinde!$A$5:$A$54)&amp;";",SEARCH("X"&amp;UPPER(Gewinde!$A$5:$A$54)&amp;";",";"&amp;SUBSTITUTE(UPPER(Auftrag!$AG171)," ","")&amp;";"&amp;"X"&amp;UPPER(Gewinde!$A$5:$A$54)&amp;";")-1),";",REPT(" ",50)),50))),Gewinde!$C$5:$C$54),0))</f>
        <v/>
      </c>
      <c r="Q171" s="33">
        <f>IF($A171="","",(N($O171)+$P171)/3600*N(Auftrag!$H$8))</f>
        <v/>
      </c>
      <c r="R171" s="33">
        <f>IF($A171="","",IF($F$8=0,0,$F$7/$F$8))</f>
        <v/>
      </c>
      <c r="S171" s="33">
        <f>IF($A171="","",$F171*(1+$C$4)+($Q171+$R171)*(1+$C$5))</f>
        <v/>
      </c>
      <c r="T171" s="33">
        <f>IF($A171="","",$S171*(1+$C$6))</f>
        <v/>
      </c>
      <c r="U171" s="18">
        <f>IF($A171="","",$T171*$C171)</f>
        <v/>
      </c>
      <c r="V171" s="18">
        <f>IF($A171="","",$S171*$C171)</f>
        <v/>
      </c>
      <c r="W171" s="28">
        <f>IF($A171="","",IF(N(Auftrag!$AO171)&gt;0,"nicht vollständig eingeplant",IF($D171=0,"kein Schnittplan oder Preis",IF($H171="","keine Schneiddaten",IF(AND(Auftrag!$AF171&lt;&gt;"",Auftrag!$AG171=""),"Gewinde ungeprüft","")))))</f>
        <v/>
      </c>
      <c r="X171" s="18">
        <f>IF($A171="","",$F171*$C171)</f>
        <v/>
      </c>
      <c r="Y171" s="18">
        <f>IF($A171="","",$Q171*$C171)</f>
        <v/>
      </c>
    </row>
    <row r="172">
      <c r="A172" s="25">
        <f>IF(Auftrag!$D172="","",Auftrag!$A172)</f>
        <v/>
      </c>
      <c r="B172" s="25">
        <f>IF($A172="","",Auftrag!$B172)</f>
        <v/>
      </c>
      <c r="C172" s="15">
        <f>IF($A172="","",N(Auftrag!$G172))</f>
        <v/>
      </c>
      <c r="D172" s="18">
        <f>IF($A172="","",SUMIFS(Schnittplan!$R$5:$R$1004,Schnittplan!$B$5:$B$1004,Auftrag!$D172,Schnittplan!$C$5:$C$1004,Auftrag!$E172,Schnittplan!$D$5:$D$1004,Auftrag!$Q172))</f>
        <v/>
      </c>
      <c r="E172" s="32">
        <f>IF($A172="","",IFERROR(N(Auftrag!$P172)/SUMIFS(Auftrag!$P$13:$P$512,Auftrag!$D$13:$D$512,Auftrag!$D172,Auftrag!$E$13:$E$512,Auftrag!$E172,Auftrag!$Q$13:$Q$512,Auftrag!$Q172),0))</f>
        <v/>
      </c>
      <c r="F172" s="33">
        <f>IF($A172="","",IF($C172=0,0,$D172*$E172/$C172))</f>
        <v/>
      </c>
      <c r="G172" s="34">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5">
        <f>IF($A172="","",IF($H172="","",60*((N(Auftrag!$H172)-N(Auftrag!$AI172)-N(Auftrag!$AK172))/$H172+N(Auftrag!$AI172)/$J172+N(Auftrag!$AK172)/$I172+N(Auftrag!$AD172)/$K172)+N(Auftrag!$I172)*$L172))</f>
        <v/>
      </c>
      <c r="N172" s="35">
        <f>IF($A172="","",IF(OR($H172="",$C172=0),0,(60*SUMIFS(Stangenbelegung!$K$5:$K$10004,Stangenbelegung!$E$5:$E$10004,ROW())/$H172+SUMIFS(Stangenbelegung!$L$5:$L$10004,Stangenbelegung!$E$5:$E$10004,ROW())*$L172)/$C172))</f>
        <v/>
      </c>
      <c r="O172" s="35">
        <f>IF($A172="","",IF($M172="","",MAX(0,$M172-$N172)))</f>
        <v/>
      </c>
      <c r="P172" s="35">
        <f>IF($A172="","",IFERROR(SUMPRODUCT(--("0"&amp;TRIM(RIGHT(SUBSTITUTE(LEFT(";"&amp;SUBSTITUTE(UPPER(Auftrag!$AG172)," ","")&amp;";"&amp;"X"&amp;UPPER(Gewinde!$A$5:$A$54)&amp;";",SEARCH("X"&amp;UPPER(Gewinde!$A$5:$A$54)&amp;";",";"&amp;SUBSTITUTE(UPPER(Auftrag!$AG172)," ","")&amp;";"&amp;"X"&amp;UPPER(Gewinde!$A$5:$A$54)&amp;";")-1),";",REPT(" ",50)),50))),Gewinde!$C$5:$C$54),0))</f>
        <v/>
      </c>
      <c r="Q172" s="33">
        <f>IF($A172="","",(N($O172)+$P172)/3600*N(Auftrag!$H$8))</f>
        <v/>
      </c>
      <c r="R172" s="33">
        <f>IF($A172="","",IF($F$8=0,0,$F$7/$F$8))</f>
        <v/>
      </c>
      <c r="S172" s="33">
        <f>IF($A172="","",$F172*(1+$C$4)+($Q172+$R172)*(1+$C$5))</f>
        <v/>
      </c>
      <c r="T172" s="33">
        <f>IF($A172="","",$S172*(1+$C$6))</f>
        <v/>
      </c>
      <c r="U172" s="18">
        <f>IF($A172="","",$T172*$C172)</f>
        <v/>
      </c>
      <c r="V172" s="18">
        <f>IF($A172="","",$S172*$C172)</f>
        <v/>
      </c>
      <c r="W172" s="28">
        <f>IF($A172="","",IF(N(Auftrag!$AO172)&gt;0,"nicht vollständig eingeplant",IF($D172=0,"kein Schnittplan oder Preis",IF($H172="","keine Schneiddaten",IF(AND(Auftrag!$AF172&lt;&gt;"",Auftrag!$AG172=""),"Gewinde ungeprüft","")))))</f>
        <v/>
      </c>
      <c r="X172" s="18">
        <f>IF($A172="","",$F172*$C172)</f>
        <v/>
      </c>
      <c r="Y172" s="18">
        <f>IF($A172="","",$Q172*$C172)</f>
        <v/>
      </c>
    </row>
    <row r="173">
      <c r="A173" s="25">
        <f>IF(Auftrag!$D173="","",Auftrag!$A173)</f>
        <v/>
      </c>
      <c r="B173" s="25">
        <f>IF($A173="","",Auftrag!$B173)</f>
        <v/>
      </c>
      <c r="C173" s="15">
        <f>IF($A173="","",N(Auftrag!$G173))</f>
        <v/>
      </c>
      <c r="D173" s="18">
        <f>IF($A173="","",SUMIFS(Schnittplan!$R$5:$R$1004,Schnittplan!$B$5:$B$1004,Auftrag!$D173,Schnittplan!$C$5:$C$1004,Auftrag!$E173,Schnittplan!$D$5:$D$1004,Auftrag!$Q173))</f>
        <v/>
      </c>
      <c r="E173" s="32">
        <f>IF($A173="","",IFERROR(N(Auftrag!$P173)/SUMIFS(Auftrag!$P$13:$P$512,Auftrag!$D$13:$D$512,Auftrag!$D173,Auftrag!$E$13:$E$512,Auftrag!$E173,Auftrag!$Q$13:$Q$512,Auftrag!$Q173),0))</f>
        <v/>
      </c>
      <c r="F173" s="33">
        <f>IF($A173="","",IF($C173=0,0,$D173*$E173/$C173))</f>
        <v/>
      </c>
      <c r="G173" s="34">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5">
        <f>IF($A173="","",IF($H173="","",60*((N(Auftrag!$H173)-N(Auftrag!$AI173)-N(Auftrag!$AK173))/$H173+N(Auftrag!$AI173)/$J173+N(Auftrag!$AK173)/$I173+N(Auftrag!$AD173)/$K173)+N(Auftrag!$I173)*$L173))</f>
        <v/>
      </c>
      <c r="N173" s="35">
        <f>IF($A173="","",IF(OR($H173="",$C173=0),0,(60*SUMIFS(Stangenbelegung!$K$5:$K$10004,Stangenbelegung!$E$5:$E$10004,ROW())/$H173+SUMIFS(Stangenbelegung!$L$5:$L$10004,Stangenbelegung!$E$5:$E$10004,ROW())*$L173)/$C173))</f>
        <v/>
      </c>
      <c r="O173" s="35">
        <f>IF($A173="","",IF($M173="","",MAX(0,$M173-$N173)))</f>
        <v/>
      </c>
      <c r="P173" s="35">
        <f>IF($A173="","",IFERROR(SUMPRODUCT(--("0"&amp;TRIM(RIGHT(SUBSTITUTE(LEFT(";"&amp;SUBSTITUTE(UPPER(Auftrag!$AG173)," ","")&amp;";"&amp;"X"&amp;UPPER(Gewinde!$A$5:$A$54)&amp;";",SEARCH("X"&amp;UPPER(Gewinde!$A$5:$A$54)&amp;";",";"&amp;SUBSTITUTE(UPPER(Auftrag!$AG173)," ","")&amp;";"&amp;"X"&amp;UPPER(Gewinde!$A$5:$A$54)&amp;";")-1),";",REPT(" ",50)),50))),Gewinde!$C$5:$C$54),0))</f>
        <v/>
      </c>
      <c r="Q173" s="33">
        <f>IF($A173="","",(N($O173)+$P173)/3600*N(Auftrag!$H$8))</f>
        <v/>
      </c>
      <c r="R173" s="33">
        <f>IF($A173="","",IF($F$8=0,0,$F$7/$F$8))</f>
        <v/>
      </c>
      <c r="S173" s="33">
        <f>IF($A173="","",$F173*(1+$C$4)+($Q173+$R173)*(1+$C$5))</f>
        <v/>
      </c>
      <c r="T173" s="33">
        <f>IF($A173="","",$S173*(1+$C$6))</f>
        <v/>
      </c>
      <c r="U173" s="18">
        <f>IF($A173="","",$T173*$C173)</f>
        <v/>
      </c>
      <c r="V173" s="18">
        <f>IF($A173="","",$S173*$C173)</f>
        <v/>
      </c>
      <c r="W173" s="28">
        <f>IF($A173="","",IF(N(Auftrag!$AO173)&gt;0,"nicht vollständig eingeplant",IF($D173=0,"kein Schnittplan oder Preis",IF($H173="","keine Schneiddaten",IF(AND(Auftrag!$AF173&lt;&gt;"",Auftrag!$AG173=""),"Gewinde ungeprüft","")))))</f>
        <v/>
      </c>
      <c r="X173" s="18">
        <f>IF($A173="","",$F173*$C173)</f>
        <v/>
      </c>
      <c r="Y173" s="18">
        <f>IF($A173="","",$Q173*$C173)</f>
        <v/>
      </c>
    </row>
    <row r="174">
      <c r="A174" s="25">
        <f>IF(Auftrag!$D174="","",Auftrag!$A174)</f>
        <v/>
      </c>
      <c r="B174" s="25">
        <f>IF($A174="","",Auftrag!$B174)</f>
        <v/>
      </c>
      <c r="C174" s="15">
        <f>IF($A174="","",N(Auftrag!$G174))</f>
        <v/>
      </c>
      <c r="D174" s="18">
        <f>IF($A174="","",SUMIFS(Schnittplan!$R$5:$R$1004,Schnittplan!$B$5:$B$1004,Auftrag!$D174,Schnittplan!$C$5:$C$1004,Auftrag!$E174,Schnittplan!$D$5:$D$1004,Auftrag!$Q174))</f>
        <v/>
      </c>
      <c r="E174" s="32">
        <f>IF($A174="","",IFERROR(N(Auftrag!$P174)/SUMIFS(Auftrag!$P$13:$P$512,Auftrag!$D$13:$D$512,Auftrag!$D174,Auftrag!$E$13:$E$512,Auftrag!$E174,Auftrag!$Q$13:$Q$512,Auftrag!$Q174),0))</f>
        <v/>
      </c>
      <c r="F174" s="33">
        <f>IF($A174="","",IF($C174=0,0,$D174*$E174/$C174))</f>
        <v/>
      </c>
      <c r="G174" s="34">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5">
        <f>IF($A174="","",IF($H174="","",60*((N(Auftrag!$H174)-N(Auftrag!$AI174)-N(Auftrag!$AK174))/$H174+N(Auftrag!$AI174)/$J174+N(Auftrag!$AK174)/$I174+N(Auftrag!$AD174)/$K174)+N(Auftrag!$I174)*$L174))</f>
        <v/>
      </c>
      <c r="N174" s="35">
        <f>IF($A174="","",IF(OR($H174="",$C174=0),0,(60*SUMIFS(Stangenbelegung!$K$5:$K$10004,Stangenbelegung!$E$5:$E$10004,ROW())/$H174+SUMIFS(Stangenbelegung!$L$5:$L$10004,Stangenbelegung!$E$5:$E$10004,ROW())*$L174)/$C174))</f>
        <v/>
      </c>
      <c r="O174" s="35">
        <f>IF($A174="","",IF($M174="","",MAX(0,$M174-$N174)))</f>
        <v/>
      </c>
      <c r="P174" s="35">
        <f>IF($A174="","",IFERROR(SUMPRODUCT(--("0"&amp;TRIM(RIGHT(SUBSTITUTE(LEFT(";"&amp;SUBSTITUTE(UPPER(Auftrag!$AG174)," ","")&amp;";"&amp;"X"&amp;UPPER(Gewinde!$A$5:$A$54)&amp;";",SEARCH("X"&amp;UPPER(Gewinde!$A$5:$A$54)&amp;";",";"&amp;SUBSTITUTE(UPPER(Auftrag!$AG174)," ","")&amp;";"&amp;"X"&amp;UPPER(Gewinde!$A$5:$A$54)&amp;";")-1),";",REPT(" ",50)),50))),Gewinde!$C$5:$C$54),0))</f>
        <v/>
      </c>
      <c r="Q174" s="33">
        <f>IF($A174="","",(N($O174)+$P174)/3600*N(Auftrag!$H$8))</f>
        <v/>
      </c>
      <c r="R174" s="33">
        <f>IF($A174="","",IF($F$8=0,0,$F$7/$F$8))</f>
        <v/>
      </c>
      <c r="S174" s="33">
        <f>IF($A174="","",$F174*(1+$C$4)+($Q174+$R174)*(1+$C$5))</f>
        <v/>
      </c>
      <c r="T174" s="33">
        <f>IF($A174="","",$S174*(1+$C$6))</f>
        <v/>
      </c>
      <c r="U174" s="18">
        <f>IF($A174="","",$T174*$C174)</f>
        <v/>
      </c>
      <c r="V174" s="18">
        <f>IF($A174="","",$S174*$C174)</f>
        <v/>
      </c>
      <c r="W174" s="28">
        <f>IF($A174="","",IF(N(Auftrag!$AO174)&gt;0,"nicht vollständig eingeplant",IF($D174=0,"kein Schnittplan oder Preis",IF($H174="","keine Schneiddaten",IF(AND(Auftrag!$AF174&lt;&gt;"",Auftrag!$AG174=""),"Gewinde ungeprüft","")))))</f>
        <v/>
      </c>
      <c r="X174" s="18">
        <f>IF($A174="","",$F174*$C174)</f>
        <v/>
      </c>
      <c r="Y174" s="18">
        <f>IF($A174="","",$Q174*$C174)</f>
        <v/>
      </c>
    </row>
    <row r="175">
      <c r="A175" s="25">
        <f>IF(Auftrag!$D175="","",Auftrag!$A175)</f>
        <v/>
      </c>
      <c r="B175" s="25">
        <f>IF($A175="","",Auftrag!$B175)</f>
        <v/>
      </c>
      <c r="C175" s="15">
        <f>IF($A175="","",N(Auftrag!$G175))</f>
        <v/>
      </c>
      <c r="D175" s="18">
        <f>IF($A175="","",SUMIFS(Schnittplan!$R$5:$R$1004,Schnittplan!$B$5:$B$1004,Auftrag!$D175,Schnittplan!$C$5:$C$1004,Auftrag!$E175,Schnittplan!$D$5:$D$1004,Auftrag!$Q175))</f>
        <v/>
      </c>
      <c r="E175" s="32">
        <f>IF($A175="","",IFERROR(N(Auftrag!$P175)/SUMIFS(Auftrag!$P$13:$P$512,Auftrag!$D$13:$D$512,Auftrag!$D175,Auftrag!$E$13:$E$512,Auftrag!$E175,Auftrag!$Q$13:$Q$512,Auftrag!$Q175),0))</f>
        <v/>
      </c>
      <c r="F175" s="33">
        <f>IF($A175="","",IF($C175=0,0,$D175*$E175/$C175))</f>
        <v/>
      </c>
      <c r="G175" s="34">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5">
        <f>IF($A175="","",IF($H175="","",60*((N(Auftrag!$H175)-N(Auftrag!$AI175)-N(Auftrag!$AK175))/$H175+N(Auftrag!$AI175)/$J175+N(Auftrag!$AK175)/$I175+N(Auftrag!$AD175)/$K175)+N(Auftrag!$I175)*$L175))</f>
        <v/>
      </c>
      <c r="N175" s="35">
        <f>IF($A175="","",IF(OR($H175="",$C175=0),0,(60*SUMIFS(Stangenbelegung!$K$5:$K$10004,Stangenbelegung!$E$5:$E$10004,ROW())/$H175+SUMIFS(Stangenbelegung!$L$5:$L$10004,Stangenbelegung!$E$5:$E$10004,ROW())*$L175)/$C175))</f>
        <v/>
      </c>
      <c r="O175" s="35">
        <f>IF($A175="","",IF($M175="","",MAX(0,$M175-$N175)))</f>
        <v/>
      </c>
      <c r="P175" s="35">
        <f>IF($A175="","",IFERROR(SUMPRODUCT(--("0"&amp;TRIM(RIGHT(SUBSTITUTE(LEFT(";"&amp;SUBSTITUTE(UPPER(Auftrag!$AG175)," ","")&amp;";"&amp;"X"&amp;UPPER(Gewinde!$A$5:$A$54)&amp;";",SEARCH("X"&amp;UPPER(Gewinde!$A$5:$A$54)&amp;";",";"&amp;SUBSTITUTE(UPPER(Auftrag!$AG175)," ","")&amp;";"&amp;"X"&amp;UPPER(Gewinde!$A$5:$A$54)&amp;";")-1),";",REPT(" ",50)),50))),Gewinde!$C$5:$C$54),0))</f>
        <v/>
      </c>
      <c r="Q175" s="33">
        <f>IF($A175="","",(N($O175)+$P175)/3600*N(Auftrag!$H$8))</f>
        <v/>
      </c>
      <c r="R175" s="33">
        <f>IF($A175="","",IF($F$8=0,0,$F$7/$F$8))</f>
        <v/>
      </c>
      <c r="S175" s="33">
        <f>IF($A175="","",$F175*(1+$C$4)+($Q175+$R175)*(1+$C$5))</f>
        <v/>
      </c>
      <c r="T175" s="33">
        <f>IF($A175="","",$S175*(1+$C$6))</f>
        <v/>
      </c>
      <c r="U175" s="18">
        <f>IF($A175="","",$T175*$C175)</f>
        <v/>
      </c>
      <c r="V175" s="18">
        <f>IF($A175="","",$S175*$C175)</f>
        <v/>
      </c>
      <c r="W175" s="28">
        <f>IF($A175="","",IF(N(Auftrag!$AO175)&gt;0,"nicht vollständig eingeplant",IF($D175=0,"kein Schnittplan oder Preis",IF($H175="","keine Schneiddaten",IF(AND(Auftrag!$AF175&lt;&gt;"",Auftrag!$AG175=""),"Gewinde ungeprüft","")))))</f>
        <v/>
      </c>
      <c r="X175" s="18">
        <f>IF($A175="","",$F175*$C175)</f>
        <v/>
      </c>
      <c r="Y175" s="18">
        <f>IF($A175="","",$Q175*$C175)</f>
        <v/>
      </c>
    </row>
    <row r="176">
      <c r="A176" s="25">
        <f>IF(Auftrag!$D176="","",Auftrag!$A176)</f>
        <v/>
      </c>
      <c r="B176" s="25">
        <f>IF($A176="","",Auftrag!$B176)</f>
        <v/>
      </c>
      <c r="C176" s="15">
        <f>IF($A176="","",N(Auftrag!$G176))</f>
        <v/>
      </c>
      <c r="D176" s="18">
        <f>IF($A176="","",SUMIFS(Schnittplan!$R$5:$R$1004,Schnittplan!$B$5:$B$1004,Auftrag!$D176,Schnittplan!$C$5:$C$1004,Auftrag!$E176,Schnittplan!$D$5:$D$1004,Auftrag!$Q176))</f>
        <v/>
      </c>
      <c r="E176" s="32">
        <f>IF($A176="","",IFERROR(N(Auftrag!$P176)/SUMIFS(Auftrag!$P$13:$P$512,Auftrag!$D$13:$D$512,Auftrag!$D176,Auftrag!$E$13:$E$512,Auftrag!$E176,Auftrag!$Q$13:$Q$512,Auftrag!$Q176),0))</f>
        <v/>
      </c>
      <c r="F176" s="33">
        <f>IF($A176="","",IF($C176=0,0,$D176*$E176/$C176))</f>
        <v/>
      </c>
      <c r="G176" s="34">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5">
        <f>IF($A176="","",IF($H176="","",60*((N(Auftrag!$H176)-N(Auftrag!$AI176)-N(Auftrag!$AK176))/$H176+N(Auftrag!$AI176)/$J176+N(Auftrag!$AK176)/$I176+N(Auftrag!$AD176)/$K176)+N(Auftrag!$I176)*$L176))</f>
        <v/>
      </c>
      <c r="N176" s="35">
        <f>IF($A176="","",IF(OR($H176="",$C176=0),0,(60*SUMIFS(Stangenbelegung!$K$5:$K$10004,Stangenbelegung!$E$5:$E$10004,ROW())/$H176+SUMIFS(Stangenbelegung!$L$5:$L$10004,Stangenbelegung!$E$5:$E$10004,ROW())*$L176)/$C176))</f>
        <v/>
      </c>
      <c r="O176" s="35">
        <f>IF($A176="","",IF($M176="","",MAX(0,$M176-$N176)))</f>
        <v/>
      </c>
      <c r="P176" s="35">
        <f>IF($A176="","",IFERROR(SUMPRODUCT(--("0"&amp;TRIM(RIGHT(SUBSTITUTE(LEFT(";"&amp;SUBSTITUTE(UPPER(Auftrag!$AG176)," ","")&amp;";"&amp;"X"&amp;UPPER(Gewinde!$A$5:$A$54)&amp;";",SEARCH("X"&amp;UPPER(Gewinde!$A$5:$A$54)&amp;";",";"&amp;SUBSTITUTE(UPPER(Auftrag!$AG176)," ","")&amp;";"&amp;"X"&amp;UPPER(Gewinde!$A$5:$A$54)&amp;";")-1),";",REPT(" ",50)),50))),Gewinde!$C$5:$C$54),0))</f>
        <v/>
      </c>
      <c r="Q176" s="33">
        <f>IF($A176="","",(N($O176)+$P176)/3600*N(Auftrag!$H$8))</f>
        <v/>
      </c>
      <c r="R176" s="33">
        <f>IF($A176="","",IF($F$8=0,0,$F$7/$F$8))</f>
        <v/>
      </c>
      <c r="S176" s="33">
        <f>IF($A176="","",$F176*(1+$C$4)+($Q176+$R176)*(1+$C$5))</f>
        <v/>
      </c>
      <c r="T176" s="33">
        <f>IF($A176="","",$S176*(1+$C$6))</f>
        <v/>
      </c>
      <c r="U176" s="18">
        <f>IF($A176="","",$T176*$C176)</f>
        <v/>
      </c>
      <c r="V176" s="18">
        <f>IF($A176="","",$S176*$C176)</f>
        <v/>
      </c>
      <c r="W176" s="28">
        <f>IF($A176="","",IF(N(Auftrag!$AO176)&gt;0,"nicht vollständig eingeplant",IF($D176=0,"kein Schnittplan oder Preis",IF($H176="","keine Schneiddaten",IF(AND(Auftrag!$AF176&lt;&gt;"",Auftrag!$AG176=""),"Gewinde ungeprüft","")))))</f>
        <v/>
      </c>
      <c r="X176" s="18">
        <f>IF($A176="","",$F176*$C176)</f>
        <v/>
      </c>
      <c r="Y176" s="18">
        <f>IF($A176="","",$Q176*$C176)</f>
        <v/>
      </c>
    </row>
    <row r="177">
      <c r="A177" s="25">
        <f>IF(Auftrag!$D177="","",Auftrag!$A177)</f>
        <v/>
      </c>
      <c r="B177" s="25">
        <f>IF($A177="","",Auftrag!$B177)</f>
        <v/>
      </c>
      <c r="C177" s="15">
        <f>IF($A177="","",N(Auftrag!$G177))</f>
        <v/>
      </c>
      <c r="D177" s="18">
        <f>IF($A177="","",SUMIFS(Schnittplan!$R$5:$R$1004,Schnittplan!$B$5:$B$1004,Auftrag!$D177,Schnittplan!$C$5:$C$1004,Auftrag!$E177,Schnittplan!$D$5:$D$1004,Auftrag!$Q177))</f>
        <v/>
      </c>
      <c r="E177" s="32">
        <f>IF($A177="","",IFERROR(N(Auftrag!$P177)/SUMIFS(Auftrag!$P$13:$P$512,Auftrag!$D$13:$D$512,Auftrag!$D177,Auftrag!$E$13:$E$512,Auftrag!$E177,Auftrag!$Q$13:$Q$512,Auftrag!$Q177),0))</f>
        <v/>
      </c>
      <c r="F177" s="33">
        <f>IF($A177="","",IF($C177=0,0,$D177*$E177/$C177))</f>
        <v/>
      </c>
      <c r="G177" s="34">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5">
        <f>IF($A177="","",IF($H177="","",60*((N(Auftrag!$H177)-N(Auftrag!$AI177)-N(Auftrag!$AK177))/$H177+N(Auftrag!$AI177)/$J177+N(Auftrag!$AK177)/$I177+N(Auftrag!$AD177)/$K177)+N(Auftrag!$I177)*$L177))</f>
        <v/>
      </c>
      <c r="N177" s="35">
        <f>IF($A177="","",IF(OR($H177="",$C177=0),0,(60*SUMIFS(Stangenbelegung!$K$5:$K$10004,Stangenbelegung!$E$5:$E$10004,ROW())/$H177+SUMIFS(Stangenbelegung!$L$5:$L$10004,Stangenbelegung!$E$5:$E$10004,ROW())*$L177)/$C177))</f>
        <v/>
      </c>
      <c r="O177" s="35">
        <f>IF($A177="","",IF($M177="","",MAX(0,$M177-$N177)))</f>
        <v/>
      </c>
      <c r="P177" s="35">
        <f>IF($A177="","",IFERROR(SUMPRODUCT(--("0"&amp;TRIM(RIGHT(SUBSTITUTE(LEFT(";"&amp;SUBSTITUTE(UPPER(Auftrag!$AG177)," ","")&amp;";"&amp;"X"&amp;UPPER(Gewinde!$A$5:$A$54)&amp;";",SEARCH("X"&amp;UPPER(Gewinde!$A$5:$A$54)&amp;";",";"&amp;SUBSTITUTE(UPPER(Auftrag!$AG177)," ","")&amp;";"&amp;"X"&amp;UPPER(Gewinde!$A$5:$A$54)&amp;";")-1),";",REPT(" ",50)),50))),Gewinde!$C$5:$C$54),0))</f>
        <v/>
      </c>
      <c r="Q177" s="33">
        <f>IF($A177="","",(N($O177)+$P177)/3600*N(Auftrag!$H$8))</f>
        <v/>
      </c>
      <c r="R177" s="33">
        <f>IF($A177="","",IF($F$8=0,0,$F$7/$F$8))</f>
        <v/>
      </c>
      <c r="S177" s="33">
        <f>IF($A177="","",$F177*(1+$C$4)+($Q177+$R177)*(1+$C$5))</f>
        <v/>
      </c>
      <c r="T177" s="33">
        <f>IF($A177="","",$S177*(1+$C$6))</f>
        <v/>
      </c>
      <c r="U177" s="18">
        <f>IF($A177="","",$T177*$C177)</f>
        <v/>
      </c>
      <c r="V177" s="18">
        <f>IF($A177="","",$S177*$C177)</f>
        <v/>
      </c>
      <c r="W177" s="28">
        <f>IF($A177="","",IF(N(Auftrag!$AO177)&gt;0,"nicht vollständig eingeplant",IF($D177=0,"kein Schnittplan oder Preis",IF($H177="","keine Schneiddaten",IF(AND(Auftrag!$AF177&lt;&gt;"",Auftrag!$AG177=""),"Gewinde ungeprüft","")))))</f>
        <v/>
      </c>
      <c r="X177" s="18">
        <f>IF($A177="","",$F177*$C177)</f>
        <v/>
      </c>
      <c r="Y177" s="18">
        <f>IF($A177="","",$Q177*$C177)</f>
        <v/>
      </c>
    </row>
    <row r="178">
      <c r="A178" s="25">
        <f>IF(Auftrag!$D178="","",Auftrag!$A178)</f>
        <v/>
      </c>
      <c r="B178" s="25">
        <f>IF($A178="","",Auftrag!$B178)</f>
        <v/>
      </c>
      <c r="C178" s="15">
        <f>IF($A178="","",N(Auftrag!$G178))</f>
        <v/>
      </c>
      <c r="D178" s="18">
        <f>IF($A178="","",SUMIFS(Schnittplan!$R$5:$R$1004,Schnittplan!$B$5:$B$1004,Auftrag!$D178,Schnittplan!$C$5:$C$1004,Auftrag!$E178,Schnittplan!$D$5:$D$1004,Auftrag!$Q178))</f>
        <v/>
      </c>
      <c r="E178" s="32">
        <f>IF($A178="","",IFERROR(N(Auftrag!$P178)/SUMIFS(Auftrag!$P$13:$P$512,Auftrag!$D$13:$D$512,Auftrag!$D178,Auftrag!$E$13:$E$512,Auftrag!$E178,Auftrag!$Q$13:$Q$512,Auftrag!$Q178),0))</f>
        <v/>
      </c>
      <c r="F178" s="33">
        <f>IF($A178="","",IF($C178=0,0,$D178*$E178/$C178))</f>
        <v/>
      </c>
      <c r="G178" s="34">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5">
        <f>IF($A178="","",IF($H178="","",60*((N(Auftrag!$H178)-N(Auftrag!$AI178)-N(Auftrag!$AK178))/$H178+N(Auftrag!$AI178)/$J178+N(Auftrag!$AK178)/$I178+N(Auftrag!$AD178)/$K178)+N(Auftrag!$I178)*$L178))</f>
        <v/>
      </c>
      <c r="N178" s="35">
        <f>IF($A178="","",IF(OR($H178="",$C178=0),0,(60*SUMIFS(Stangenbelegung!$K$5:$K$10004,Stangenbelegung!$E$5:$E$10004,ROW())/$H178+SUMIFS(Stangenbelegung!$L$5:$L$10004,Stangenbelegung!$E$5:$E$10004,ROW())*$L178)/$C178))</f>
        <v/>
      </c>
      <c r="O178" s="35">
        <f>IF($A178="","",IF($M178="","",MAX(0,$M178-$N178)))</f>
        <v/>
      </c>
      <c r="P178" s="35">
        <f>IF($A178="","",IFERROR(SUMPRODUCT(--("0"&amp;TRIM(RIGHT(SUBSTITUTE(LEFT(";"&amp;SUBSTITUTE(UPPER(Auftrag!$AG178)," ","")&amp;";"&amp;"X"&amp;UPPER(Gewinde!$A$5:$A$54)&amp;";",SEARCH("X"&amp;UPPER(Gewinde!$A$5:$A$54)&amp;";",";"&amp;SUBSTITUTE(UPPER(Auftrag!$AG178)," ","")&amp;";"&amp;"X"&amp;UPPER(Gewinde!$A$5:$A$54)&amp;";")-1),";",REPT(" ",50)),50))),Gewinde!$C$5:$C$54),0))</f>
        <v/>
      </c>
      <c r="Q178" s="33">
        <f>IF($A178="","",(N($O178)+$P178)/3600*N(Auftrag!$H$8))</f>
        <v/>
      </c>
      <c r="R178" s="33">
        <f>IF($A178="","",IF($F$8=0,0,$F$7/$F$8))</f>
        <v/>
      </c>
      <c r="S178" s="33">
        <f>IF($A178="","",$F178*(1+$C$4)+($Q178+$R178)*(1+$C$5))</f>
        <v/>
      </c>
      <c r="T178" s="33">
        <f>IF($A178="","",$S178*(1+$C$6))</f>
        <v/>
      </c>
      <c r="U178" s="18">
        <f>IF($A178="","",$T178*$C178)</f>
        <v/>
      </c>
      <c r="V178" s="18">
        <f>IF($A178="","",$S178*$C178)</f>
        <v/>
      </c>
      <c r="W178" s="28">
        <f>IF($A178="","",IF(N(Auftrag!$AO178)&gt;0,"nicht vollständig eingeplant",IF($D178=0,"kein Schnittplan oder Preis",IF($H178="","keine Schneiddaten",IF(AND(Auftrag!$AF178&lt;&gt;"",Auftrag!$AG178=""),"Gewinde ungeprüft","")))))</f>
        <v/>
      </c>
      <c r="X178" s="18">
        <f>IF($A178="","",$F178*$C178)</f>
        <v/>
      </c>
      <c r="Y178" s="18">
        <f>IF($A178="","",$Q178*$C178)</f>
        <v/>
      </c>
    </row>
    <row r="179">
      <c r="A179" s="25">
        <f>IF(Auftrag!$D179="","",Auftrag!$A179)</f>
        <v/>
      </c>
      <c r="B179" s="25">
        <f>IF($A179="","",Auftrag!$B179)</f>
        <v/>
      </c>
      <c r="C179" s="15">
        <f>IF($A179="","",N(Auftrag!$G179))</f>
        <v/>
      </c>
      <c r="D179" s="18">
        <f>IF($A179="","",SUMIFS(Schnittplan!$R$5:$R$1004,Schnittplan!$B$5:$B$1004,Auftrag!$D179,Schnittplan!$C$5:$C$1004,Auftrag!$E179,Schnittplan!$D$5:$D$1004,Auftrag!$Q179))</f>
        <v/>
      </c>
      <c r="E179" s="32">
        <f>IF($A179="","",IFERROR(N(Auftrag!$P179)/SUMIFS(Auftrag!$P$13:$P$512,Auftrag!$D$13:$D$512,Auftrag!$D179,Auftrag!$E$13:$E$512,Auftrag!$E179,Auftrag!$Q$13:$Q$512,Auftrag!$Q179),0))</f>
        <v/>
      </c>
      <c r="F179" s="33">
        <f>IF($A179="","",IF($C179=0,0,$D179*$E179/$C179))</f>
        <v/>
      </c>
      <c r="G179" s="34">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5">
        <f>IF($A179="","",IF($H179="","",60*((N(Auftrag!$H179)-N(Auftrag!$AI179)-N(Auftrag!$AK179))/$H179+N(Auftrag!$AI179)/$J179+N(Auftrag!$AK179)/$I179+N(Auftrag!$AD179)/$K179)+N(Auftrag!$I179)*$L179))</f>
        <v/>
      </c>
      <c r="N179" s="35">
        <f>IF($A179="","",IF(OR($H179="",$C179=0),0,(60*SUMIFS(Stangenbelegung!$K$5:$K$10004,Stangenbelegung!$E$5:$E$10004,ROW())/$H179+SUMIFS(Stangenbelegung!$L$5:$L$10004,Stangenbelegung!$E$5:$E$10004,ROW())*$L179)/$C179))</f>
        <v/>
      </c>
      <c r="O179" s="35">
        <f>IF($A179="","",IF($M179="","",MAX(0,$M179-$N179)))</f>
        <v/>
      </c>
      <c r="P179" s="35">
        <f>IF($A179="","",IFERROR(SUMPRODUCT(--("0"&amp;TRIM(RIGHT(SUBSTITUTE(LEFT(";"&amp;SUBSTITUTE(UPPER(Auftrag!$AG179)," ","")&amp;";"&amp;"X"&amp;UPPER(Gewinde!$A$5:$A$54)&amp;";",SEARCH("X"&amp;UPPER(Gewinde!$A$5:$A$54)&amp;";",";"&amp;SUBSTITUTE(UPPER(Auftrag!$AG179)," ","")&amp;";"&amp;"X"&amp;UPPER(Gewinde!$A$5:$A$54)&amp;";")-1),";",REPT(" ",50)),50))),Gewinde!$C$5:$C$54),0))</f>
        <v/>
      </c>
      <c r="Q179" s="33">
        <f>IF($A179="","",(N($O179)+$P179)/3600*N(Auftrag!$H$8))</f>
        <v/>
      </c>
      <c r="R179" s="33">
        <f>IF($A179="","",IF($F$8=0,0,$F$7/$F$8))</f>
        <v/>
      </c>
      <c r="S179" s="33">
        <f>IF($A179="","",$F179*(1+$C$4)+($Q179+$R179)*(1+$C$5))</f>
        <v/>
      </c>
      <c r="T179" s="33">
        <f>IF($A179="","",$S179*(1+$C$6))</f>
        <v/>
      </c>
      <c r="U179" s="18">
        <f>IF($A179="","",$T179*$C179)</f>
        <v/>
      </c>
      <c r="V179" s="18">
        <f>IF($A179="","",$S179*$C179)</f>
        <v/>
      </c>
      <c r="W179" s="28">
        <f>IF($A179="","",IF(N(Auftrag!$AO179)&gt;0,"nicht vollständig eingeplant",IF($D179=0,"kein Schnittplan oder Preis",IF($H179="","keine Schneiddaten",IF(AND(Auftrag!$AF179&lt;&gt;"",Auftrag!$AG179=""),"Gewinde ungeprüft","")))))</f>
        <v/>
      </c>
      <c r="X179" s="18">
        <f>IF($A179="","",$F179*$C179)</f>
        <v/>
      </c>
      <c r="Y179" s="18">
        <f>IF($A179="","",$Q179*$C179)</f>
        <v/>
      </c>
    </row>
    <row r="180">
      <c r="A180" s="25">
        <f>IF(Auftrag!$D180="","",Auftrag!$A180)</f>
        <v/>
      </c>
      <c r="B180" s="25">
        <f>IF($A180="","",Auftrag!$B180)</f>
        <v/>
      </c>
      <c r="C180" s="15">
        <f>IF($A180="","",N(Auftrag!$G180))</f>
        <v/>
      </c>
      <c r="D180" s="18">
        <f>IF($A180="","",SUMIFS(Schnittplan!$R$5:$R$1004,Schnittplan!$B$5:$B$1004,Auftrag!$D180,Schnittplan!$C$5:$C$1004,Auftrag!$E180,Schnittplan!$D$5:$D$1004,Auftrag!$Q180))</f>
        <v/>
      </c>
      <c r="E180" s="32">
        <f>IF($A180="","",IFERROR(N(Auftrag!$P180)/SUMIFS(Auftrag!$P$13:$P$512,Auftrag!$D$13:$D$512,Auftrag!$D180,Auftrag!$E$13:$E$512,Auftrag!$E180,Auftrag!$Q$13:$Q$512,Auftrag!$Q180),0))</f>
        <v/>
      </c>
      <c r="F180" s="33">
        <f>IF($A180="","",IF($C180=0,0,$D180*$E180/$C180))</f>
        <v/>
      </c>
      <c r="G180" s="34">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5">
        <f>IF($A180="","",IF($H180="","",60*((N(Auftrag!$H180)-N(Auftrag!$AI180)-N(Auftrag!$AK180))/$H180+N(Auftrag!$AI180)/$J180+N(Auftrag!$AK180)/$I180+N(Auftrag!$AD180)/$K180)+N(Auftrag!$I180)*$L180))</f>
        <v/>
      </c>
      <c r="N180" s="35">
        <f>IF($A180="","",IF(OR($H180="",$C180=0),0,(60*SUMIFS(Stangenbelegung!$K$5:$K$10004,Stangenbelegung!$E$5:$E$10004,ROW())/$H180+SUMIFS(Stangenbelegung!$L$5:$L$10004,Stangenbelegung!$E$5:$E$10004,ROW())*$L180)/$C180))</f>
        <v/>
      </c>
      <c r="O180" s="35">
        <f>IF($A180="","",IF($M180="","",MAX(0,$M180-$N180)))</f>
        <v/>
      </c>
      <c r="P180" s="35">
        <f>IF($A180="","",IFERROR(SUMPRODUCT(--("0"&amp;TRIM(RIGHT(SUBSTITUTE(LEFT(";"&amp;SUBSTITUTE(UPPER(Auftrag!$AG180)," ","")&amp;";"&amp;"X"&amp;UPPER(Gewinde!$A$5:$A$54)&amp;";",SEARCH("X"&amp;UPPER(Gewinde!$A$5:$A$54)&amp;";",";"&amp;SUBSTITUTE(UPPER(Auftrag!$AG180)," ","")&amp;";"&amp;"X"&amp;UPPER(Gewinde!$A$5:$A$54)&amp;";")-1),";",REPT(" ",50)),50))),Gewinde!$C$5:$C$54),0))</f>
        <v/>
      </c>
      <c r="Q180" s="33">
        <f>IF($A180="","",(N($O180)+$P180)/3600*N(Auftrag!$H$8))</f>
        <v/>
      </c>
      <c r="R180" s="33">
        <f>IF($A180="","",IF($F$8=0,0,$F$7/$F$8))</f>
        <v/>
      </c>
      <c r="S180" s="33">
        <f>IF($A180="","",$F180*(1+$C$4)+($Q180+$R180)*(1+$C$5))</f>
        <v/>
      </c>
      <c r="T180" s="33">
        <f>IF($A180="","",$S180*(1+$C$6))</f>
        <v/>
      </c>
      <c r="U180" s="18">
        <f>IF($A180="","",$T180*$C180)</f>
        <v/>
      </c>
      <c r="V180" s="18">
        <f>IF($A180="","",$S180*$C180)</f>
        <v/>
      </c>
      <c r="W180" s="28">
        <f>IF($A180="","",IF(N(Auftrag!$AO180)&gt;0,"nicht vollständig eingeplant",IF($D180=0,"kein Schnittplan oder Preis",IF($H180="","keine Schneiddaten",IF(AND(Auftrag!$AF180&lt;&gt;"",Auftrag!$AG180=""),"Gewinde ungeprüft","")))))</f>
        <v/>
      </c>
      <c r="X180" s="18">
        <f>IF($A180="","",$F180*$C180)</f>
        <v/>
      </c>
      <c r="Y180" s="18">
        <f>IF($A180="","",$Q180*$C180)</f>
        <v/>
      </c>
    </row>
    <row r="181">
      <c r="A181" s="25">
        <f>IF(Auftrag!$D181="","",Auftrag!$A181)</f>
        <v/>
      </c>
      <c r="B181" s="25">
        <f>IF($A181="","",Auftrag!$B181)</f>
        <v/>
      </c>
      <c r="C181" s="15">
        <f>IF($A181="","",N(Auftrag!$G181))</f>
        <v/>
      </c>
      <c r="D181" s="18">
        <f>IF($A181="","",SUMIFS(Schnittplan!$R$5:$R$1004,Schnittplan!$B$5:$B$1004,Auftrag!$D181,Schnittplan!$C$5:$C$1004,Auftrag!$E181,Schnittplan!$D$5:$D$1004,Auftrag!$Q181))</f>
        <v/>
      </c>
      <c r="E181" s="32">
        <f>IF($A181="","",IFERROR(N(Auftrag!$P181)/SUMIFS(Auftrag!$P$13:$P$512,Auftrag!$D$13:$D$512,Auftrag!$D181,Auftrag!$E$13:$E$512,Auftrag!$E181,Auftrag!$Q$13:$Q$512,Auftrag!$Q181),0))</f>
        <v/>
      </c>
      <c r="F181" s="33">
        <f>IF($A181="","",IF($C181=0,0,$D181*$E181/$C181))</f>
        <v/>
      </c>
      <c r="G181" s="34">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5">
        <f>IF($A181="","",IF($H181="","",60*((N(Auftrag!$H181)-N(Auftrag!$AI181)-N(Auftrag!$AK181))/$H181+N(Auftrag!$AI181)/$J181+N(Auftrag!$AK181)/$I181+N(Auftrag!$AD181)/$K181)+N(Auftrag!$I181)*$L181))</f>
        <v/>
      </c>
      <c r="N181" s="35">
        <f>IF($A181="","",IF(OR($H181="",$C181=0),0,(60*SUMIFS(Stangenbelegung!$K$5:$K$10004,Stangenbelegung!$E$5:$E$10004,ROW())/$H181+SUMIFS(Stangenbelegung!$L$5:$L$10004,Stangenbelegung!$E$5:$E$10004,ROW())*$L181)/$C181))</f>
        <v/>
      </c>
      <c r="O181" s="35">
        <f>IF($A181="","",IF($M181="","",MAX(0,$M181-$N181)))</f>
        <v/>
      </c>
      <c r="P181" s="35">
        <f>IF($A181="","",IFERROR(SUMPRODUCT(--("0"&amp;TRIM(RIGHT(SUBSTITUTE(LEFT(";"&amp;SUBSTITUTE(UPPER(Auftrag!$AG181)," ","")&amp;";"&amp;"X"&amp;UPPER(Gewinde!$A$5:$A$54)&amp;";",SEARCH("X"&amp;UPPER(Gewinde!$A$5:$A$54)&amp;";",";"&amp;SUBSTITUTE(UPPER(Auftrag!$AG181)," ","")&amp;";"&amp;"X"&amp;UPPER(Gewinde!$A$5:$A$54)&amp;";")-1),";",REPT(" ",50)),50))),Gewinde!$C$5:$C$54),0))</f>
        <v/>
      </c>
      <c r="Q181" s="33">
        <f>IF($A181="","",(N($O181)+$P181)/3600*N(Auftrag!$H$8))</f>
        <v/>
      </c>
      <c r="R181" s="33">
        <f>IF($A181="","",IF($F$8=0,0,$F$7/$F$8))</f>
        <v/>
      </c>
      <c r="S181" s="33">
        <f>IF($A181="","",$F181*(1+$C$4)+($Q181+$R181)*(1+$C$5))</f>
        <v/>
      </c>
      <c r="T181" s="33">
        <f>IF($A181="","",$S181*(1+$C$6))</f>
        <v/>
      </c>
      <c r="U181" s="18">
        <f>IF($A181="","",$T181*$C181)</f>
        <v/>
      </c>
      <c r="V181" s="18">
        <f>IF($A181="","",$S181*$C181)</f>
        <v/>
      </c>
      <c r="W181" s="28">
        <f>IF($A181="","",IF(N(Auftrag!$AO181)&gt;0,"nicht vollständig eingeplant",IF($D181=0,"kein Schnittplan oder Preis",IF($H181="","keine Schneiddaten",IF(AND(Auftrag!$AF181&lt;&gt;"",Auftrag!$AG181=""),"Gewinde ungeprüft","")))))</f>
        <v/>
      </c>
      <c r="X181" s="18">
        <f>IF($A181="","",$F181*$C181)</f>
        <v/>
      </c>
      <c r="Y181" s="18">
        <f>IF($A181="","",$Q181*$C181)</f>
        <v/>
      </c>
    </row>
    <row r="182">
      <c r="A182" s="25">
        <f>IF(Auftrag!$D182="","",Auftrag!$A182)</f>
        <v/>
      </c>
      <c r="B182" s="25">
        <f>IF($A182="","",Auftrag!$B182)</f>
        <v/>
      </c>
      <c r="C182" s="15">
        <f>IF($A182="","",N(Auftrag!$G182))</f>
        <v/>
      </c>
      <c r="D182" s="18">
        <f>IF($A182="","",SUMIFS(Schnittplan!$R$5:$R$1004,Schnittplan!$B$5:$B$1004,Auftrag!$D182,Schnittplan!$C$5:$C$1004,Auftrag!$E182,Schnittplan!$D$5:$D$1004,Auftrag!$Q182))</f>
        <v/>
      </c>
      <c r="E182" s="32">
        <f>IF($A182="","",IFERROR(N(Auftrag!$P182)/SUMIFS(Auftrag!$P$13:$P$512,Auftrag!$D$13:$D$512,Auftrag!$D182,Auftrag!$E$13:$E$512,Auftrag!$E182,Auftrag!$Q$13:$Q$512,Auftrag!$Q182),0))</f>
        <v/>
      </c>
      <c r="F182" s="33">
        <f>IF($A182="","",IF($C182=0,0,$D182*$E182/$C182))</f>
        <v/>
      </c>
      <c r="G182" s="34">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5">
        <f>IF($A182="","",IF($H182="","",60*((N(Auftrag!$H182)-N(Auftrag!$AI182)-N(Auftrag!$AK182))/$H182+N(Auftrag!$AI182)/$J182+N(Auftrag!$AK182)/$I182+N(Auftrag!$AD182)/$K182)+N(Auftrag!$I182)*$L182))</f>
        <v/>
      </c>
      <c r="N182" s="35">
        <f>IF($A182="","",IF(OR($H182="",$C182=0),0,(60*SUMIFS(Stangenbelegung!$K$5:$K$10004,Stangenbelegung!$E$5:$E$10004,ROW())/$H182+SUMIFS(Stangenbelegung!$L$5:$L$10004,Stangenbelegung!$E$5:$E$10004,ROW())*$L182)/$C182))</f>
        <v/>
      </c>
      <c r="O182" s="35">
        <f>IF($A182="","",IF($M182="","",MAX(0,$M182-$N182)))</f>
        <v/>
      </c>
      <c r="P182" s="35">
        <f>IF($A182="","",IFERROR(SUMPRODUCT(--("0"&amp;TRIM(RIGHT(SUBSTITUTE(LEFT(";"&amp;SUBSTITUTE(UPPER(Auftrag!$AG182)," ","")&amp;";"&amp;"X"&amp;UPPER(Gewinde!$A$5:$A$54)&amp;";",SEARCH("X"&amp;UPPER(Gewinde!$A$5:$A$54)&amp;";",";"&amp;SUBSTITUTE(UPPER(Auftrag!$AG182)," ","")&amp;";"&amp;"X"&amp;UPPER(Gewinde!$A$5:$A$54)&amp;";")-1),";",REPT(" ",50)),50))),Gewinde!$C$5:$C$54),0))</f>
        <v/>
      </c>
      <c r="Q182" s="33">
        <f>IF($A182="","",(N($O182)+$P182)/3600*N(Auftrag!$H$8))</f>
        <v/>
      </c>
      <c r="R182" s="33">
        <f>IF($A182="","",IF($F$8=0,0,$F$7/$F$8))</f>
        <v/>
      </c>
      <c r="S182" s="33">
        <f>IF($A182="","",$F182*(1+$C$4)+($Q182+$R182)*(1+$C$5))</f>
        <v/>
      </c>
      <c r="T182" s="33">
        <f>IF($A182="","",$S182*(1+$C$6))</f>
        <v/>
      </c>
      <c r="U182" s="18">
        <f>IF($A182="","",$T182*$C182)</f>
        <v/>
      </c>
      <c r="V182" s="18">
        <f>IF($A182="","",$S182*$C182)</f>
        <v/>
      </c>
      <c r="W182" s="28">
        <f>IF($A182="","",IF(N(Auftrag!$AO182)&gt;0,"nicht vollständig eingeplant",IF($D182=0,"kein Schnittplan oder Preis",IF($H182="","keine Schneiddaten",IF(AND(Auftrag!$AF182&lt;&gt;"",Auftrag!$AG182=""),"Gewinde ungeprüft","")))))</f>
        <v/>
      </c>
      <c r="X182" s="18">
        <f>IF($A182="","",$F182*$C182)</f>
        <v/>
      </c>
      <c r="Y182" s="18">
        <f>IF($A182="","",$Q182*$C182)</f>
        <v/>
      </c>
    </row>
    <row r="183">
      <c r="A183" s="25">
        <f>IF(Auftrag!$D183="","",Auftrag!$A183)</f>
        <v/>
      </c>
      <c r="B183" s="25">
        <f>IF($A183="","",Auftrag!$B183)</f>
        <v/>
      </c>
      <c r="C183" s="15">
        <f>IF($A183="","",N(Auftrag!$G183))</f>
        <v/>
      </c>
      <c r="D183" s="18">
        <f>IF($A183="","",SUMIFS(Schnittplan!$R$5:$R$1004,Schnittplan!$B$5:$B$1004,Auftrag!$D183,Schnittplan!$C$5:$C$1004,Auftrag!$E183,Schnittplan!$D$5:$D$1004,Auftrag!$Q183))</f>
        <v/>
      </c>
      <c r="E183" s="32">
        <f>IF($A183="","",IFERROR(N(Auftrag!$P183)/SUMIFS(Auftrag!$P$13:$P$512,Auftrag!$D$13:$D$512,Auftrag!$D183,Auftrag!$E$13:$E$512,Auftrag!$E183,Auftrag!$Q$13:$Q$512,Auftrag!$Q183),0))</f>
        <v/>
      </c>
      <c r="F183" s="33">
        <f>IF($A183="","",IF($C183=0,0,$D183*$E183/$C183))</f>
        <v/>
      </c>
      <c r="G183" s="34">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5">
        <f>IF($A183="","",IF($H183="","",60*((N(Auftrag!$H183)-N(Auftrag!$AI183)-N(Auftrag!$AK183))/$H183+N(Auftrag!$AI183)/$J183+N(Auftrag!$AK183)/$I183+N(Auftrag!$AD183)/$K183)+N(Auftrag!$I183)*$L183))</f>
        <v/>
      </c>
      <c r="N183" s="35">
        <f>IF($A183="","",IF(OR($H183="",$C183=0),0,(60*SUMIFS(Stangenbelegung!$K$5:$K$10004,Stangenbelegung!$E$5:$E$10004,ROW())/$H183+SUMIFS(Stangenbelegung!$L$5:$L$10004,Stangenbelegung!$E$5:$E$10004,ROW())*$L183)/$C183))</f>
        <v/>
      </c>
      <c r="O183" s="35">
        <f>IF($A183="","",IF($M183="","",MAX(0,$M183-$N183)))</f>
        <v/>
      </c>
      <c r="P183" s="35">
        <f>IF($A183="","",IFERROR(SUMPRODUCT(--("0"&amp;TRIM(RIGHT(SUBSTITUTE(LEFT(";"&amp;SUBSTITUTE(UPPER(Auftrag!$AG183)," ","")&amp;";"&amp;"X"&amp;UPPER(Gewinde!$A$5:$A$54)&amp;";",SEARCH("X"&amp;UPPER(Gewinde!$A$5:$A$54)&amp;";",";"&amp;SUBSTITUTE(UPPER(Auftrag!$AG183)," ","")&amp;";"&amp;"X"&amp;UPPER(Gewinde!$A$5:$A$54)&amp;";")-1),";",REPT(" ",50)),50))),Gewinde!$C$5:$C$54),0))</f>
        <v/>
      </c>
      <c r="Q183" s="33">
        <f>IF($A183="","",(N($O183)+$P183)/3600*N(Auftrag!$H$8))</f>
        <v/>
      </c>
      <c r="R183" s="33">
        <f>IF($A183="","",IF($F$8=0,0,$F$7/$F$8))</f>
        <v/>
      </c>
      <c r="S183" s="33">
        <f>IF($A183="","",$F183*(1+$C$4)+($Q183+$R183)*(1+$C$5))</f>
        <v/>
      </c>
      <c r="T183" s="33">
        <f>IF($A183="","",$S183*(1+$C$6))</f>
        <v/>
      </c>
      <c r="U183" s="18">
        <f>IF($A183="","",$T183*$C183)</f>
        <v/>
      </c>
      <c r="V183" s="18">
        <f>IF($A183="","",$S183*$C183)</f>
        <v/>
      </c>
      <c r="W183" s="28">
        <f>IF($A183="","",IF(N(Auftrag!$AO183)&gt;0,"nicht vollständig eingeplant",IF($D183=0,"kein Schnittplan oder Preis",IF($H183="","keine Schneiddaten",IF(AND(Auftrag!$AF183&lt;&gt;"",Auftrag!$AG183=""),"Gewinde ungeprüft","")))))</f>
        <v/>
      </c>
      <c r="X183" s="18">
        <f>IF($A183="","",$F183*$C183)</f>
        <v/>
      </c>
      <c r="Y183" s="18">
        <f>IF($A183="","",$Q183*$C183)</f>
        <v/>
      </c>
    </row>
    <row r="184">
      <c r="A184" s="25">
        <f>IF(Auftrag!$D184="","",Auftrag!$A184)</f>
        <v/>
      </c>
      <c r="B184" s="25">
        <f>IF($A184="","",Auftrag!$B184)</f>
        <v/>
      </c>
      <c r="C184" s="15">
        <f>IF($A184="","",N(Auftrag!$G184))</f>
        <v/>
      </c>
      <c r="D184" s="18">
        <f>IF($A184="","",SUMIFS(Schnittplan!$R$5:$R$1004,Schnittplan!$B$5:$B$1004,Auftrag!$D184,Schnittplan!$C$5:$C$1004,Auftrag!$E184,Schnittplan!$D$5:$D$1004,Auftrag!$Q184))</f>
        <v/>
      </c>
      <c r="E184" s="32">
        <f>IF($A184="","",IFERROR(N(Auftrag!$P184)/SUMIFS(Auftrag!$P$13:$P$512,Auftrag!$D$13:$D$512,Auftrag!$D184,Auftrag!$E$13:$E$512,Auftrag!$E184,Auftrag!$Q$13:$Q$512,Auftrag!$Q184),0))</f>
        <v/>
      </c>
      <c r="F184" s="33">
        <f>IF($A184="","",IF($C184=0,0,$D184*$E184/$C184))</f>
        <v/>
      </c>
      <c r="G184" s="34">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5">
        <f>IF($A184="","",IF($H184="","",60*((N(Auftrag!$H184)-N(Auftrag!$AI184)-N(Auftrag!$AK184))/$H184+N(Auftrag!$AI184)/$J184+N(Auftrag!$AK184)/$I184+N(Auftrag!$AD184)/$K184)+N(Auftrag!$I184)*$L184))</f>
        <v/>
      </c>
      <c r="N184" s="35">
        <f>IF($A184="","",IF(OR($H184="",$C184=0),0,(60*SUMIFS(Stangenbelegung!$K$5:$K$10004,Stangenbelegung!$E$5:$E$10004,ROW())/$H184+SUMIFS(Stangenbelegung!$L$5:$L$10004,Stangenbelegung!$E$5:$E$10004,ROW())*$L184)/$C184))</f>
        <v/>
      </c>
      <c r="O184" s="35">
        <f>IF($A184="","",IF($M184="","",MAX(0,$M184-$N184)))</f>
        <v/>
      </c>
      <c r="P184" s="35">
        <f>IF($A184="","",IFERROR(SUMPRODUCT(--("0"&amp;TRIM(RIGHT(SUBSTITUTE(LEFT(";"&amp;SUBSTITUTE(UPPER(Auftrag!$AG184)," ","")&amp;";"&amp;"X"&amp;UPPER(Gewinde!$A$5:$A$54)&amp;";",SEARCH("X"&amp;UPPER(Gewinde!$A$5:$A$54)&amp;";",";"&amp;SUBSTITUTE(UPPER(Auftrag!$AG184)," ","")&amp;";"&amp;"X"&amp;UPPER(Gewinde!$A$5:$A$54)&amp;";")-1),";",REPT(" ",50)),50))),Gewinde!$C$5:$C$54),0))</f>
        <v/>
      </c>
      <c r="Q184" s="33">
        <f>IF($A184="","",(N($O184)+$P184)/3600*N(Auftrag!$H$8))</f>
        <v/>
      </c>
      <c r="R184" s="33">
        <f>IF($A184="","",IF($F$8=0,0,$F$7/$F$8))</f>
        <v/>
      </c>
      <c r="S184" s="33">
        <f>IF($A184="","",$F184*(1+$C$4)+($Q184+$R184)*(1+$C$5))</f>
        <v/>
      </c>
      <c r="T184" s="33">
        <f>IF($A184="","",$S184*(1+$C$6))</f>
        <v/>
      </c>
      <c r="U184" s="18">
        <f>IF($A184="","",$T184*$C184)</f>
        <v/>
      </c>
      <c r="V184" s="18">
        <f>IF($A184="","",$S184*$C184)</f>
        <v/>
      </c>
      <c r="W184" s="28">
        <f>IF($A184="","",IF(N(Auftrag!$AO184)&gt;0,"nicht vollständig eingeplant",IF($D184=0,"kein Schnittplan oder Preis",IF($H184="","keine Schneiddaten",IF(AND(Auftrag!$AF184&lt;&gt;"",Auftrag!$AG184=""),"Gewinde ungeprüft","")))))</f>
        <v/>
      </c>
      <c r="X184" s="18">
        <f>IF($A184="","",$F184*$C184)</f>
        <v/>
      </c>
      <c r="Y184" s="18">
        <f>IF($A184="","",$Q184*$C184)</f>
        <v/>
      </c>
    </row>
    <row r="185">
      <c r="A185" s="25">
        <f>IF(Auftrag!$D185="","",Auftrag!$A185)</f>
        <v/>
      </c>
      <c r="B185" s="25">
        <f>IF($A185="","",Auftrag!$B185)</f>
        <v/>
      </c>
      <c r="C185" s="15">
        <f>IF($A185="","",N(Auftrag!$G185))</f>
        <v/>
      </c>
      <c r="D185" s="18">
        <f>IF($A185="","",SUMIFS(Schnittplan!$R$5:$R$1004,Schnittplan!$B$5:$B$1004,Auftrag!$D185,Schnittplan!$C$5:$C$1004,Auftrag!$E185,Schnittplan!$D$5:$D$1004,Auftrag!$Q185))</f>
        <v/>
      </c>
      <c r="E185" s="32">
        <f>IF($A185="","",IFERROR(N(Auftrag!$P185)/SUMIFS(Auftrag!$P$13:$P$512,Auftrag!$D$13:$D$512,Auftrag!$D185,Auftrag!$E$13:$E$512,Auftrag!$E185,Auftrag!$Q$13:$Q$512,Auftrag!$Q185),0))</f>
        <v/>
      </c>
      <c r="F185" s="33">
        <f>IF($A185="","",IF($C185=0,0,$D185*$E185/$C185))</f>
        <v/>
      </c>
      <c r="G185" s="34">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5">
        <f>IF($A185="","",IF($H185="","",60*((N(Auftrag!$H185)-N(Auftrag!$AI185)-N(Auftrag!$AK185))/$H185+N(Auftrag!$AI185)/$J185+N(Auftrag!$AK185)/$I185+N(Auftrag!$AD185)/$K185)+N(Auftrag!$I185)*$L185))</f>
        <v/>
      </c>
      <c r="N185" s="35">
        <f>IF($A185="","",IF(OR($H185="",$C185=0),0,(60*SUMIFS(Stangenbelegung!$K$5:$K$10004,Stangenbelegung!$E$5:$E$10004,ROW())/$H185+SUMIFS(Stangenbelegung!$L$5:$L$10004,Stangenbelegung!$E$5:$E$10004,ROW())*$L185)/$C185))</f>
        <v/>
      </c>
      <c r="O185" s="35">
        <f>IF($A185="","",IF($M185="","",MAX(0,$M185-$N185)))</f>
        <v/>
      </c>
      <c r="P185" s="35">
        <f>IF($A185="","",IFERROR(SUMPRODUCT(--("0"&amp;TRIM(RIGHT(SUBSTITUTE(LEFT(";"&amp;SUBSTITUTE(UPPER(Auftrag!$AG185)," ","")&amp;";"&amp;"X"&amp;UPPER(Gewinde!$A$5:$A$54)&amp;";",SEARCH("X"&amp;UPPER(Gewinde!$A$5:$A$54)&amp;";",";"&amp;SUBSTITUTE(UPPER(Auftrag!$AG185)," ","")&amp;";"&amp;"X"&amp;UPPER(Gewinde!$A$5:$A$54)&amp;";")-1),";",REPT(" ",50)),50))),Gewinde!$C$5:$C$54),0))</f>
        <v/>
      </c>
      <c r="Q185" s="33">
        <f>IF($A185="","",(N($O185)+$P185)/3600*N(Auftrag!$H$8))</f>
        <v/>
      </c>
      <c r="R185" s="33">
        <f>IF($A185="","",IF($F$8=0,0,$F$7/$F$8))</f>
        <v/>
      </c>
      <c r="S185" s="33">
        <f>IF($A185="","",$F185*(1+$C$4)+($Q185+$R185)*(1+$C$5))</f>
        <v/>
      </c>
      <c r="T185" s="33">
        <f>IF($A185="","",$S185*(1+$C$6))</f>
        <v/>
      </c>
      <c r="U185" s="18">
        <f>IF($A185="","",$T185*$C185)</f>
        <v/>
      </c>
      <c r="V185" s="18">
        <f>IF($A185="","",$S185*$C185)</f>
        <v/>
      </c>
      <c r="W185" s="28">
        <f>IF($A185="","",IF(N(Auftrag!$AO185)&gt;0,"nicht vollständig eingeplant",IF($D185=0,"kein Schnittplan oder Preis",IF($H185="","keine Schneiddaten",IF(AND(Auftrag!$AF185&lt;&gt;"",Auftrag!$AG185=""),"Gewinde ungeprüft","")))))</f>
        <v/>
      </c>
      <c r="X185" s="18">
        <f>IF($A185="","",$F185*$C185)</f>
        <v/>
      </c>
      <c r="Y185" s="18">
        <f>IF($A185="","",$Q185*$C185)</f>
        <v/>
      </c>
    </row>
    <row r="186">
      <c r="A186" s="25">
        <f>IF(Auftrag!$D186="","",Auftrag!$A186)</f>
        <v/>
      </c>
      <c r="B186" s="25">
        <f>IF($A186="","",Auftrag!$B186)</f>
        <v/>
      </c>
      <c r="C186" s="15">
        <f>IF($A186="","",N(Auftrag!$G186))</f>
        <v/>
      </c>
      <c r="D186" s="18">
        <f>IF($A186="","",SUMIFS(Schnittplan!$R$5:$R$1004,Schnittplan!$B$5:$B$1004,Auftrag!$D186,Schnittplan!$C$5:$C$1004,Auftrag!$E186,Schnittplan!$D$5:$D$1004,Auftrag!$Q186))</f>
        <v/>
      </c>
      <c r="E186" s="32">
        <f>IF($A186="","",IFERROR(N(Auftrag!$P186)/SUMIFS(Auftrag!$P$13:$P$512,Auftrag!$D$13:$D$512,Auftrag!$D186,Auftrag!$E$13:$E$512,Auftrag!$E186,Auftrag!$Q$13:$Q$512,Auftrag!$Q186),0))</f>
        <v/>
      </c>
      <c r="F186" s="33">
        <f>IF($A186="","",IF($C186=0,0,$D186*$E186/$C186))</f>
        <v/>
      </c>
      <c r="G186" s="34">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5">
        <f>IF($A186="","",IF($H186="","",60*((N(Auftrag!$H186)-N(Auftrag!$AI186)-N(Auftrag!$AK186))/$H186+N(Auftrag!$AI186)/$J186+N(Auftrag!$AK186)/$I186+N(Auftrag!$AD186)/$K186)+N(Auftrag!$I186)*$L186))</f>
        <v/>
      </c>
      <c r="N186" s="35">
        <f>IF($A186="","",IF(OR($H186="",$C186=0),0,(60*SUMIFS(Stangenbelegung!$K$5:$K$10004,Stangenbelegung!$E$5:$E$10004,ROW())/$H186+SUMIFS(Stangenbelegung!$L$5:$L$10004,Stangenbelegung!$E$5:$E$10004,ROW())*$L186)/$C186))</f>
        <v/>
      </c>
      <c r="O186" s="35">
        <f>IF($A186="","",IF($M186="","",MAX(0,$M186-$N186)))</f>
        <v/>
      </c>
      <c r="P186" s="35">
        <f>IF($A186="","",IFERROR(SUMPRODUCT(--("0"&amp;TRIM(RIGHT(SUBSTITUTE(LEFT(";"&amp;SUBSTITUTE(UPPER(Auftrag!$AG186)," ","")&amp;";"&amp;"X"&amp;UPPER(Gewinde!$A$5:$A$54)&amp;";",SEARCH("X"&amp;UPPER(Gewinde!$A$5:$A$54)&amp;";",";"&amp;SUBSTITUTE(UPPER(Auftrag!$AG186)," ","")&amp;";"&amp;"X"&amp;UPPER(Gewinde!$A$5:$A$54)&amp;";")-1),";",REPT(" ",50)),50))),Gewinde!$C$5:$C$54),0))</f>
        <v/>
      </c>
      <c r="Q186" s="33">
        <f>IF($A186="","",(N($O186)+$P186)/3600*N(Auftrag!$H$8))</f>
        <v/>
      </c>
      <c r="R186" s="33">
        <f>IF($A186="","",IF($F$8=0,0,$F$7/$F$8))</f>
        <v/>
      </c>
      <c r="S186" s="33">
        <f>IF($A186="","",$F186*(1+$C$4)+($Q186+$R186)*(1+$C$5))</f>
        <v/>
      </c>
      <c r="T186" s="33">
        <f>IF($A186="","",$S186*(1+$C$6))</f>
        <v/>
      </c>
      <c r="U186" s="18">
        <f>IF($A186="","",$T186*$C186)</f>
        <v/>
      </c>
      <c r="V186" s="18">
        <f>IF($A186="","",$S186*$C186)</f>
        <v/>
      </c>
      <c r="W186" s="28">
        <f>IF($A186="","",IF(N(Auftrag!$AO186)&gt;0,"nicht vollständig eingeplant",IF($D186=0,"kein Schnittplan oder Preis",IF($H186="","keine Schneiddaten",IF(AND(Auftrag!$AF186&lt;&gt;"",Auftrag!$AG186=""),"Gewinde ungeprüft","")))))</f>
        <v/>
      </c>
      <c r="X186" s="18">
        <f>IF($A186="","",$F186*$C186)</f>
        <v/>
      </c>
      <c r="Y186" s="18">
        <f>IF($A186="","",$Q186*$C186)</f>
        <v/>
      </c>
    </row>
    <row r="187">
      <c r="A187" s="25">
        <f>IF(Auftrag!$D187="","",Auftrag!$A187)</f>
        <v/>
      </c>
      <c r="B187" s="25">
        <f>IF($A187="","",Auftrag!$B187)</f>
        <v/>
      </c>
      <c r="C187" s="15">
        <f>IF($A187="","",N(Auftrag!$G187))</f>
        <v/>
      </c>
      <c r="D187" s="18">
        <f>IF($A187="","",SUMIFS(Schnittplan!$R$5:$R$1004,Schnittplan!$B$5:$B$1004,Auftrag!$D187,Schnittplan!$C$5:$C$1004,Auftrag!$E187,Schnittplan!$D$5:$D$1004,Auftrag!$Q187))</f>
        <v/>
      </c>
      <c r="E187" s="32">
        <f>IF($A187="","",IFERROR(N(Auftrag!$P187)/SUMIFS(Auftrag!$P$13:$P$512,Auftrag!$D$13:$D$512,Auftrag!$D187,Auftrag!$E$13:$E$512,Auftrag!$E187,Auftrag!$Q$13:$Q$512,Auftrag!$Q187),0))</f>
        <v/>
      </c>
      <c r="F187" s="33">
        <f>IF($A187="","",IF($C187=0,0,$D187*$E187/$C187))</f>
        <v/>
      </c>
      <c r="G187" s="34">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5">
        <f>IF($A187="","",IF($H187="","",60*((N(Auftrag!$H187)-N(Auftrag!$AI187)-N(Auftrag!$AK187))/$H187+N(Auftrag!$AI187)/$J187+N(Auftrag!$AK187)/$I187+N(Auftrag!$AD187)/$K187)+N(Auftrag!$I187)*$L187))</f>
        <v/>
      </c>
      <c r="N187" s="35">
        <f>IF($A187="","",IF(OR($H187="",$C187=0),0,(60*SUMIFS(Stangenbelegung!$K$5:$K$10004,Stangenbelegung!$E$5:$E$10004,ROW())/$H187+SUMIFS(Stangenbelegung!$L$5:$L$10004,Stangenbelegung!$E$5:$E$10004,ROW())*$L187)/$C187))</f>
        <v/>
      </c>
      <c r="O187" s="35">
        <f>IF($A187="","",IF($M187="","",MAX(0,$M187-$N187)))</f>
        <v/>
      </c>
      <c r="P187" s="35">
        <f>IF($A187="","",IFERROR(SUMPRODUCT(--("0"&amp;TRIM(RIGHT(SUBSTITUTE(LEFT(";"&amp;SUBSTITUTE(UPPER(Auftrag!$AG187)," ","")&amp;";"&amp;"X"&amp;UPPER(Gewinde!$A$5:$A$54)&amp;";",SEARCH("X"&amp;UPPER(Gewinde!$A$5:$A$54)&amp;";",";"&amp;SUBSTITUTE(UPPER(Auftrag!$AG187)," ","")&amp;";"&amp;"X"&amp;UPPER(Gewinde!$A$5:$A$54)&amp;";")-1),";",REPT(" ",50)),50))),Gewinde!$C$5:$C$54),0))</f>
        <v/>
      </c>
      <c r="Q187" s="33">
        <f>IF($A187="","",(N($O187)+$P187)/3600*N(Auftrag!$H$8))</f>
        <v/>
      </c>
      <c r="R187" s="33">
        <f>IF($A187="","",IF($F$8=0,0,$F$7/$F$8))</f>
        <v/>
      </c>
      <c r="S187" s="33">
        <f>IF($A187="","",$F187*(1+$C$4)+($Q187+$R187)*(1+$C$5))</f>
        <v/>
      </c>
      <c r="T187" s="33">
        <f>IF($A187="","",$S187*(1+$C$6))</f>
        <v/>
      </c>
      <c r="U187" s="18">
        <f>IF($A187="","",$T187*$C187)</f>
        <v/>
      </c>
      <c r="V187" s="18">
        <f>IF($A187="","",$S187*$C187)</f>
        <v/>
      </c>
      <c r="W187" s="28">
        <f>IF($A187="","",IF(N(Auftrag!$AO187)&gt;0,"nicht vollständig eingeplant",IF($D187=0,"kein Schnittplan oder Preis",IF($H187="","keine Schneiddaten",IF(AND(Auftrag!$AF187&lt;&gt;"",Auftrag!$AG187=""),"Gewinde ungeprüft","")))))</f>
        <v/>
      </c>
      <c r="X187" s="18">
        <f>IF($A187="","",$F187*$C187)</f>
        <v/>
      </c>
      <c r="Y187" s="18">
        <f>IF($A187="","",$Q187*$C187)</f>
        <v/>
      </c>
    </row>
    <row r="188">
      <c r="A188" s="25">
        <f>IF(Auftrag!$D188="","",Auftrag!$A188)</f>
        <v/>
      </c>
      <c r="B188" s="25">
        <f>IF($A188="","",Auftrag!$B188)</f>
        <v/>
      </c>
      <c r="C188" s="15">
        <f>IF($A188="","",N(Auftrag!$G188))</f>
        <v/>
      </c>
      <c r="D188" s="18">
        <f>IF($A188="","",SUMIFS(Schnittplan!$R$5:$R$1004,Schnittplan!$B$5:$B$1004,Auftrag!$D188,Schnittplan!$C$5:$C$1004,Auftrag!$E188,Schnittplan!$D$5:$D$1004,Auftrag!$Q188))</f>
        <v/>
      </c>
      <c r="E188" s="32">
        <f>IF($A188="","",IFERROR(N(Auftrag!$P188)/SUMIFS(Auftrag!$P$13:$P$512,Auftrag!$D$13:$D$512,Auftrag!$D188,Auftrag!$E$13:$E$512,Auftrag!$E188,Auftrag!$Q$13:$Q$512,Auftrag!$Q188),0))</f>
        <v/>
      </c>
      <c r="F188" s="33">
        <f>IF($A188="","",IF($C188=0,0,$D188*$E188/$C188))</f>
        <v/>
      </c>
      <c r="G188" s="34">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5">
        <f>IF($A188="","",IF($H188="","",60*((N(Auftrag!$H188)-N(Auftrag!$AI188)-N(Auftrag!$AK188))/$H188+N(Auftrag!$AI188)/$J188+N(Auftrag!$AK188)/$I188+N(Auftrag!$AD188)/$K188)+N(Auftrag!$I188)*$L188))</f>
        <v/>
      </c>
      <c r="N188" s="35">
        <f>IF($A188="","",IF(OR($H188="",$C188=0),0,(60*SUMIFS(Stangenbelegung!$K$5:$K$10004,Stangenbelegung!$E$5:$E$10004,ROW())/$H188+SUMIFS(Stangenbelegung!$L$5:$L$10004,Stangenbelegung!$E$5:$E$10004,ROW())*$L188)/$C188))</f>
        <v/>
      </c>
      <c r="O188" s="35">
        <f>IF($A188="","",IF($M188="","",MAX(0,$M188-$N188)))</f>
        <v/>
      </c>
      <c r="P188" s="35">
        <f>IF($A188="","",IFERROR(SUMPRODUCT(--("0"&amp;TRIM(RIGHT(SUBSTITUTE(LEFT(";"&amp;SUBSTITUTE(UPPER(Auftrag!$AG188)," ","")&amp;";"&amp;"X"&amp;UPPER(Gewinde!$A$5:$A$54)&amp;";",SEARCH("X"&amp;UPPER(Gewinde!$A$5:$A$54)&amp;";",";"&amp;SUBSTITUTE(UPPER(Auftrag!$AG188)," ","")&amp;";"&amp;"X"&amp;UPPER(Gewinde!$A$5:$A$54)&amp;";")-1),";",REPT(" ",50)),50))),Gewinde!$C$5:$C$54),0))</f>
        <v/>
      </c>
      <c r="Q188" s="33">
        <f>IF($A188="","",(N($O188)+$P188)/3600*N(Auftrag!$H$8))</f>
        <v/>
      </c>
      <c r="R188" s="33">
        <f>IF($A188="","",IF($F$8=0,0,$F$7/$F$8))</f>
        <v/>
      </c>
      <c r="S188" s="33">
        <f>IF($A188="","",$F188*(1+$C$4)+($Q188+$R188)*(1+$C$5))</f>
        <v/>
      </c>
      <c r="T188" s="33">
        <f>IF($A188="","",$S188*(1+$C$6))</f>
        <v/>
      </c>
      <c r="U188" s="18">
        <f>IF($A188="","",$T188*$C188)</f>
        <v/>
      </c>
      <c r="V188" s="18">
        <f>IF($A188="","",$S188*$C188)</f>
        <v/>
      </c>
      <c r="W188" s="28">
        <f>IF($A188="","",IF(N(Auftrag!$AO188)&gt;0,"nicht vollständig eingeplant",IF($D188=0,"kein Schnittplan oder Preis",IF($H188="","keine Schneiddaten",IF(AND(Auftrag!$AF188&lt;&gt;"",Auftrag!$AG188=""),"Gewinde ungeprüft","")))))</f>
        <v/>
      </c>
      <c r="X188" s="18">
        <f>IF($A188="","",$F188*$C188)</f>
        <v/>
      </c>
      <c r="Y188" s="18">
        <f>IF($A188="","",$Q188*$C188)</f>
        <v/>
      </c>
    </row>
    <row r="189">
      <c r="A189" s="25">
        <f>IF(Auftrag!$D189="","",Auftrag!$A189)</f>
        <v/>
      </c>
      <c r="B189" s="25">
        <f>IF($A189="","",Auftrag!$B189)</f>
        <v/>
      </c>
      <c r="C189" s="15">
        <f>IF($A189="","",N(Auftrag!$G189))</f>
        <v/>
      </c>
      <c r="D189" s="18">
        <f>IF($A189="","",SUMIFS(Schnittplan!$R$5:$R$1004,Schnittplan!$B$5:$B$1004,Auftrag!$D189,Schnittplan!$C$5:$C$1004,Auftrag!$E189,Schnittplan!$D$5:$D$1004,Auftrag!$Q189))</f>
        <v/>
      </c>
      <c r="E189" s="32">
        <f>IF($A189="","",IFERROR(N(Auftrag!$P189)/SUMIFS(Auftrag!$P$13:$P$512,Auftrag!$D$13:$D$512,Auftrag!$D189,Auftrag!$E$13:$E$512,Auftrag!$E189,Auftrag!$Q$13:$Q$512,Auftrag!$Q189),0))</f>
        <v/>
      </c>
      <c r="F189" s="33">
        <f>IF($A189="","",IF($C189=0,0,$D189*$E189/$C189))</f>
        <v/>
      </c>
      <c r="G189" s="34">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5">
        <f>IF($A189="","",IF($H189="","",60*((N(Auftrag!$H189)-N(Auftrag!$AI189)-N(Auftrag!$AK189))/$H189+N(Auftrag!$AI189)/$J189+N(Auftrag!$AK189)/$I189+N(Auftrag!$AD189)/$K189)+N(Auftrag!$I189)*$L189))</f>
        <v/>
      </c>
      <c r="N189" s="35">
        <f>IF($A189="","",IF(OR($H189="",$C189=0),0,(60*SUMIFS(Stangenbelegung!$K$5:$K$10004,Stangenbelegung!$E$5:$E$10004,ROW())/$H189+SUMIFS(Stangenbelegung!$L$5:$L$10004,Stangenbelegung!$E$5:$E$10004,ROW())*$L189)/$C189))</f>
        <v/>
      </c>
      <c r="O189" s="35">
        <f>IF($A189="","",IF($M189="","",MAX(0,$M189-$N189)))</f>
        <v/>
      </c>
      <c r="P189" s="35">
        <f>IF($A189="","",IFERROR(SUMPRODUCT(--("0"&amp;TRIM(RIGHT(SUBSTITUTE(LEFT(";"&amp;SUBSTITUTE(UPPER(Auftrag!$AG189)," ","")&amp;";"&amp;"X"&amp;UPPER(Gewinde!$A$5:$A$54)&amp;";",SEARCH("X"&amp;UPPER(Gewinde!$A$5:$A$54)&amp;";",";"&amp;SUBSTITUTE(UPPER(Auftrag!$AG189)," ","")&amp;";"&amp;"X"&amp;UPPER(Gewinde!$A$5:$A$54)&amp;";")-1),";",REPT(" ",50)),50))),Gewinde!$C$5:$C$54),0))</f>
        <v/>
      </c>
      <c r="Q189" s="33">
        <f>IF($A189="","",(N($O189)+$P189)/3600*N(Auftrag!$H$8))</f>
        <v/>
      </c>
      <c r="R189" s="33">
        <f>IF($A189="","",IF($F$8=0,0,$F$7/$F$8))</f>
        <v/>
      </c>
      <c r="S189" s="33">
        <f>IF($A189="","",$F189*(1+$C$4)+($Q189+$R189)*(1+$C$5))</f>
        <v/>
      </c>
      <c r="T189" s="33">
        <f>IF($A189="","",$S189*(1+$C$6))</f>
        <v/>
      </c>
      <c r="U189" s="18">
        <f>IF($A189="","",$T189*$C189)</f>
        <v/>
      </c>
      <c r="V189" s="18">
        <f>IF($A189="","",$S189*$C189)</f>
        <v/>
      </c>
      <c r="W189" s="28">
        <f>IF($A189="","",IF(N(Auftrag!$AO189)&gt;0,"nicht vollständig eingeplant",IF($D189=0,"kein Schnittplan oder Preis",IF($H189="","keine Schneiddaten",IF(AND(Auftrag!$AF189&lt;&gt;"",Auftrag!$AG189=""),"Gewinde ungeprüft","")))))</f>
        <v/>
      </c>
      <c r="X189" s="18">
        <f>IF($A189="","",$F189*$C189)</f>
        <v/>
      </c>
      <c r="Y189" s="18">
        <f>IF($A189="","",$Q189*$C189)</f>
        <v/>
      </c>
    </row>
    <row r="190">
      <c r="A190" s="25">
        <f>IF(Auftrag!$D190="","",Auftrag!$A190)</f>
        <v/>
      </c>
      <c r="B190" s="25">
        <f>IF($A190="","",Auftrag!$B190)</f>
        <v/>
      </c>
      <c r="C190" s="15">
        <f>IF($A190="","",N(Auftrag!$G190))</f>
        <v/>
      </c>
      <c r="D190" s="18">
        <f>IF($A190="","",SUMIFS(Schnittplan!$R$5:$R$1004,Schnittplan!$B$5:$B$1004,Auftrag!$D190,Schnittplan!$C$5:$C$1004,Auftrag!$E190,Schnittplan!$D$5:$D$1004,Auftrag!$Q190))</f>
        <v/>
      </c>
      <c r="E190" s="32">
        <f>IF($A190="","",IFERROR(N(Auftrag!$P190)/SUMIFS(Auftrag!$P$13:$P$512,Auftrag!$D$13:$D$512,Auftrag!$D190,Auftrag!$E$13:$E$512,Auftrag!$E190,Auftrag!$Q$13:$Q$512,Auftrag!$Q190),0))</f>
        <v/>
      </c>
      <c r="F190" s="33">
        <f>IF($A190="","",IF($C190=0,0,$D190*$E190/$C190))</f>
        <v/>
      </c>
      <c r="G190" s="34">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5">
        <f>IF($A190="","",IF($H190="","",60*((N(Auftrag!$H190)-N(Auftrag!$AI190)-N(Auftrag!$AK190))/$H190+N(Auftrag!$AI190)/$J190+N(Auftrag!$AK190)/$I190+N(Auftrag!$AD190)/$K190)+N(Auftrag!$I190)*$L190))</f>
        <v/>
      </c>
      <c r="N190" s="35">
        <f>IF($A190="","",IF(OR($H190="",$C190=0),0,(60*SUMIFS(Stangenbelegung!$K$5:$K$10004,Stangenbelegung!$E$5:$E$10004,ROW())/$H190+SUMIFS(Stangenbelegung!$L$5:$L$10004,Stangenbelegung!$E$5:$E$10004,ROW())*$L190)/$C190))</f>
        <v/>
      </c>
      <c r="O190" s="35">
        <f>IF($A190="","",IF($M190="","",MAX(0,$M190-$N190)))</f>
        <v/>
      </c>
      <c r="P190" s="35">
        <f>IF($A190="","",IFERROR(SUMPRODUCT(--("0"&amp;TRIM(RIGHT(SUBSTITUTE(LEFT(";"&amp;SUBSTITUTE(UPPER(Auftrag!$AG190)," ","")&amp;";"&amp;"X"&amp;UPPER(Gewinde!$A$5:$A$54)&amp;";",SEARCH("X"&amp;UPPER(Gewinde!$A$5:$A$54)&amp;";",";"&amp;SUBSTITUTE(UPPER(Auftrag!$AG190)," ","")&amp;";"&amp;"X"&amp;UPPER(Gewinde!$A$5:$A$54)&amp;";")-1),";",REPT(" ",50)),50))),Gewinde!$C$5:$C$54),0))</f>
        <v/>
      </c>
      <c r="Q190" s="33">
        <f>IF($A190="","",(N($O190)+$P190)/3600*N(Auftrag!$H$8))</f>
        <v/>
      </c>
      <c r="R190" s="33">
        <f>IF($A190="","",IF($F$8=0,0,$F$7/$F$8))</f>
        <v/>
      </c>
      <c r="S190" s="33">
        <f>IF($A190="","",$F190*(1+$C$4)+($Q190+$R190)*(1+$C$5))</f>
        <v/>
      </c>
      <c r="T190" s="33">
        <f>IF($A190="","",$S190*(1+$C$6))</f>
        <v/>
      </c>
      <c r="U190" s="18">
        <f>IF($A190="","",$T190*$C190)</f>
        <v/>
      </c>
      <c r="V190" s="18">
        <f>IF($A190="","",$S190*$C190)</f>
        <v/>
      </c>
      <c r="W190" s="28">
        <f>IF($A190="","",IF(N(Auftrag!$AO190)&gt;0,"nicht vollständig eingeplant",IF($D190=0,"kein Schnittplan oder Preis",IF($H190="","keine Schneiddaten",IF(AND(Auftrag!$AF190&lt;&gt;"",Auftrag!$AG190=""),"Gewinde ungeprüft","")))))</f>
        <v/>
      </c>
      <c r="X190" s="18">
        <f>IF($A190="","",$F190*$C190)</f>
        <v/>
      </c>
      <c r="Y190" s="18">
        <f>IF($A190="","",$Q190*$C190)</f>
        <v/>
      </c>
    </row>
    <row r="191">
      <c r="A191" s="25">
        <f>IF(Auftrag!$D191="","",Auftrag!$A191)</f>
        <v/>
      </c>
      <c r="B191" s="25">
        <f>IF($A191="","",Auftrag!$B191)</f>
        <v/>
      </c>
      <c r="C191" s="15">
        <f>IF($A191="","",N(Auftrag!$G191))</f>
        <v/>
      </c>
      <c r="D191" s="18">
        <f>IF($A191="","",SUMIFS(Schnittplan!$R$5:$R$1004,Schnittplan!$B$5:$B$1004,Auftrag!$D191,Schnittplan!$C$5:$C$1004,Auftrag!$E191,Schnittplan!$D$5:$D$1004,Auftrag!$Q191))</f>
        <v/>
      </c>
      <c r="E191" s="32">
        <f>IF($A191="","",IFERROR(N(Auftrag!$P191)/SUMIFS(Auftrag!$P$13:$P$512,Auftrag!$D$13:$D$512,Auftrag!$D191,Auftrag!$E$13:$E$512,Auftrag!$E191,Auftrag!$Q$13:$Q$512,Auftrag!$Q191),0))</f>
        <v/>
      </c>
      <c r="F191" s="33">
        <f>IF($A191="","",IF($C191=0,0,$D191*$E191/$C191))</f>
        <v/>
      </c>
      <c r="G191" s="34">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5">
        <f>IF($A191="","",IF($H191="","",60*((N(Auftrag!$H191)-N(Auftrag!$AI191)-N(Auftrag!$AK191))/$H191+N(Auftrag!$AI191)/$J191+N(Auftrag!$AK191)/$I191+N(Auftrag!$AD191)/$K191)+N(Auftrag!$I191)*$L191))</f>
        <v/>
      </c>
      <c r="N191" s="35">
        <f>IF($A191="","",IF(OR($H191="",$C191=0),0,(60*SUMIFS(Stangenbelegung!$K$5:$K$10004,Stangenbelegung!$E$5:$E$10004,ROW())/$H191+SUMIFS(Stangenbelegung!$L$5:$L$10004,Stangenbelegung!$E$5:$E$10004,ROW())*$L191)/$C191))</f>
        <v/>
      </c>
      <c r="O191" s="35">
        <f>IF($A191="","",IF($M191="","",MAX(0,$M191-$N191)))</f>
        <v/>
      </c>
      <c r="P191" s="35">
        <f>IF($A191="","",IFERROR(SUMPRODUCT(--("0"&amp;TRIM(RIGHT(SUBSTITUTE(LEFT(";"&amp;SUBSTITUTE(UPPER(Auftrag!$AG191)," ","")&amp;";"&amp;"X"&amp;UPPER(Gewinde!$A$5:$A$54)&amp;";",SEARCH("X"&amp;UPPER(Gewinde!$A$5:$A$54)&amp;";",";"&amp;SUBSTITUTE(UPPER(Auftrag!$AG191)," ","")&amp;";"&amp;"X"&amp;UPPER(Gewinde!$A$5:$A$54)&amp;";")-1),";",REPT(" ",50)),50))),Gewinde!$C$5:$C$54),0))</f>
        <v/>
      </c>
      <c r="Q191" s="33">
        <f>IF($A191="","",(N($O191)+$P191)/3600*N(Auftrag!$H$8))</f>
        <v/>
      </c>
      <c r="R191" s="33">
        <f>IF($A191="","",IF($F$8=0,0,$F$7/$F$8))</f>
        <v/>
      </c>
      <c r="S191" s="33">
        <f>IF($A191="","",$F191*(1+$C$4)+($Q191+$R191)*(1+$C$5))</f>
        <v/>
      </c>
      <c r="T191" s="33">
        <f>IF($A191="","",$S191*(1+$C$6))</f>
        <v/>
      </c>
      <c r="U191" s="18">
        <f>IF($A191="","",$T191*$C191)</f>
        <v/>
      </c>
      <c r="V191" s="18">
        <f>IF($A191="","",$S191*$C191)</f>
        <v/>
      </c>
      <c r="W191" s="28">
        <f>IF($A191="","",IF(N(Auftrag!$AO191)&gt;0,"nicht vollständig eingeplant",IF($D191=0,"kein Schnittplan oder Preis",IF($H191="","keine Schneiddaten",IF(AND(Auftrag!$AF191&lt;&gt;"",Auftrag!$AG191=""),"Gewinde ungeprüft","")))))</f>
        <v/>
      </c>
      <c r="X191" s="18">
        <f>IF($A191="","",$F191*$C191)</f>
        <v/>
      </c>
      <c r="Y191" s="18">
        <f>IF($A191="","",$Q191*$C191)</f>
        <v/>
      </c>
    </row>
    <row r="192">
      <c r="A192" s="25">
        <f>IF(Auftrag!$D192="","",Auftrag!$A192)</f>
        <v/>
      </c>
      <c r="B192" s="25">
        <f>IF($A192="","",Auftrag!$B192)</f>
        <v/>
      </c>
      <c r="C192" s="15">
        <f>IF($A192="","",N(Auftrag!$G192))</f>
        <v/>
      </c>
      <c r="D192" s="18">
        <f>IF($A192="","",SUMIFS(Schnittplan!$R$5:$R$1004,Schnittplan!$B$5:$B$1004,Auftrag!$D192,Schnittplan!$C$5:$C$1004,Auftrag!$E192,Schnittplan!$D$5:$D$1004,Auftrag!$Q192))</f>
        <v/>
      </c>
      <c r="E192" s="32">
        <f>IF($A192="","",IFERROR(N(Auftrag!$P192)/SUMIFS(Auftrag!$P$13:$P$512,Auftrag!$D$13:$D$512,Auftrag!$D192,Auftrag!$E$13:$E$512,Auftrag!$E192,Auftrag!$Q$13:$Q$512,Auftrag!$Q192),0))</f>
        <v/>
      </c>
      <c r="F192" s="33">
        <f>IF($A192="","",IF($C192=0,0,$D192*$E192/$C192))</f>
        <v/>
      </c>
      <c r="G192" s="34">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5">
        <f>IF($A192="","",IF($H192="","",60*((N(Auftrag!$H192)-N(Auftrag!$AI192)-N(Auftrag!$AK192))/$H192+N(Auftrag!$AI192)/$J192+N(Auftrag!$AK192)/$I192+N(Auftrag!$AD192)/$K192)+N(Auftrag!$I192)*$L192))</f>
        <v/>
      </c>
      <c r="N192" s="35">
        <f>IF($A192="","",IF(OR($H192="",$C192=0),0,(60*SUMIFS(Stangenbelegung!$K$5:$K$10004,Stangenbelegung!$E$5:$E$10004,ROW())/$H192+SUMIFS(Stangenbelegung!$L$5:$L$10004,Stangenbelegung!$E$5:$E$10004,ROW())*$L192)/$C192))</f>
        <v/>
      </c>
      <c r="O192" s="35">
        <f>IF($A192="","",IF($M192="","",MAX(0,$M192-$N192)))</f>
        <v/>
      </c>
      <c r="P192" s="35">
        <f>IF($A192="","",IFERROR(SUMPRODUCT(--("0"&amp;TRIM(RIGHT(SUBSTITUTE(LEFT(";"&amp;SUBSTITUTE(UPPER(Auftrag!$AG192)," ","")&amp;";"&amp;"X"&amp;UPPER(Gewinde!$A$5:$A$54)&amp;";",SEARCH("X"&amp;UPPER(Gewinde!$A$5:$A$54)&amp;";",";"&amp;SUBSTITUTE(UPPER(Auftrag!$AG192)," ","")&amp;";"&amp;"X"&amp;UPPER(Gewinde!$A$5:$A$54)&amp;";")-1),";",REPT(" ",50)),50))),Gewinde!$C$5:$C$54),0))</f>
        <v/>
      </c>
      <c r="Q192" s="33">
        <f>IF($A192="","",(N($O192)+$P192)/3600*N(Auftrag!$H$8))</f>
        <v/>
      </c>
      <c r="R192" s="33">
        <f>IF($A192="","",IF($F$8=0,0,$F$7/$F$8))</f>
        <v/>
      </c>
      <c r="S192" s="33">
        <f>IF($A192="","",$F192*(1+$C$4)+($Q192+$R192)*(1+$C$5))</f>
        <v/>
      </c>
      <c r="T192" s="33">
        <f>IF($A192="","",$S192*(1+$C$6))</f>
        <v/>
      </c>
      <c r="U192" s="18">
        <f>IF($A192="","",$T192*$C192)</f>
        <v/>
      </c>
      <c r="V192" s="18">
        <f>IF($A192="","",$S192*$C192)</f>
        <v/>
      </c>
      <c r="W192" s="28">
        <f>IF($A192="","",IF(N(Auftrag!$AO192)&gt;0,"nicht vollständig eingeplant",IF($D192=0,"kein Schnittplan oder Preis",IF($H192="","keine Schneiddaten",IF(AND(Auftrag!$AF192&lt;&gt;"",Auftrag!$AG192=""),"Gewinde ungeprüft","")))))</f>
        <v/>
      </c>
      <c r="X192" s="18">
        <f>IF($A192="","",$F192*$C192)</f>
        <v/>
      </c>
      <c r="Y192" s="18">
        <f>IF($A192="","",$Q192*$C192)</f>
        <v/>
      </c>
    </row>
    <row r="193">
      <c r="A193" s="25">
        <f>IF(Auftrag!$D193="","",Auftrag!$A193)</f>
        <v/>
      </c>
      <c r="B193" s="25">
        <f>IF($A193="","",Auftrag!$B193)</f>
        <v/>
      </c>
      <c r="C193" s="15">
        <f>IF($A193="","",N(Auftrag!$G193))</f>
        <v/>
      </c>
      <c r="D193" s="18">
        <f>IF($A193="","",SUMIFS(Schnittplan!$R$5:$R$1004,Schnittplan!$B$5:$B$1004,Auftrag!$D193,Schnittplan!$C$5:$C$1004,Auftrag!$E193,Schnittplan!$D$5:$D$1004,Auftrag!$Q193))</f>
        <v/>
      </c>
      <c r="E193" s="32">
        <f>IF($A193="","",IFERROR(N(Auftrag!$P193)/SUMIFS(Auftrag!$P$13:$P$512,Auftrag!$D$13:$D$512,Auftrag!$D193,Auftrag!$E$13:$E$512,Auftrag!$E193,Auftrag!$Q$13:$Q$512,Auftrag!$Q193),0))</f>
        <v/>
      </c>
      <c r="F193" s="33">
        <f>IF($A193="","",IF($C193=0,0,$D193*$E193/$C193))</f>
        <v/>
      </c>
      <c r="G193" s="34">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5">
        <f>IF($A193="","",IF($H193="","",60*((N(Auftrag!$H193)-N(Auftrag!$AI193)-N(Auftrag!$AK193))/$H193+N(Auftrag!$AI193)/$J193+N(Auftrag!$AK193)/$I193+N(Auftrag!$AD193)/$K193)+N(Auftrag!$I193)*$L193))</f>
        <v/>
      </c>
      <c r="N193" s="35">
        <f>IF($A193="","",IF(OR($H193="",$C193=0),0,(60*SUMIFS(Stangenbelegung!$K$5:$K$10004,Stangenbelegung!$E$5:$E$10004,ROW())/$H193+SUMIFS(Stangenbelegung!$L$5:$L$10004,Stangenbelegung!$E$5:$E$10004,ROW())*$L193)/$C193))</f>
        <v/>
      </c>
      <c r="O193" s="35">
        <f>IF($A193="","",IF($M193="","",MAX(0,$M193-$N193)))</f>
        <v/>
      </c>
      <c r="P193" s="35">
        <f>IF($A193="","",IFERROR(SUMPRODUCT(--("0"&amp;TRIM(RIGHT(SUBSTITUTE(LEFT(";"&amp;SUBSTITUTE(UPPER(Auftrag!$AG193)," ","")&amp;";"&amp;"X"&amp;UPPER(Gewinde!$A$5:$A$54)&amp;";",SEARCH("X"&amp;UPPER(Gewinde!$A$5:$A$54)&amp;";",";"&amp;SUBSTITUTE(UPPER(Auftrag!$AG193)," ","")&amp;";"&amp;"X"&amp;UPPER(Gewinde!$A$5:$A$54)&amp;";")-1),";",REPT(" ",50)),50))),Gewinde!$C$5:$C$54),0))</f>
        <v/>
      </c>
      <c r="Q193" s="33">
        <f>IF($A193="","",(N($O193)+$P193)/3600*N(Auftrag!$H$8))</f>
        <v/>
      </c>
      <c r="R193" s="33">
        <f>IF($A193="","",IF($F$8=0,0,$F$7/$F$8))</f>
        <v/>
      </c>
      <c r="S193" s="33">
        <f>IF($A193="","",$F193*(1+$C$4)+($Q193+$R193)*(1+$C$5))</f>
        <v/>
      </c>
      <c r="T193" s="33">
        <f>IF($A193="","",$S193*(1+$C$6))</f>
        <v/>
      </c>
      <c r="U193" s="18">
        <f>IF($A193="","",$T193*$C193)</f>
        <v/>
      </c>
      <c r="V193" s="18">
        <f>IF($A193="","",$S193*$C193)</f>
        <v/>
      </c>
      <c r="W193" s="28">
        <f>IF($A193="","",IF(N(Auftrag!$AO193)&gt;0,"nicht vollständig eingeplant",IF($D193=0,"kein Schnittplan oder Preis",IF($H193="","keine Schneiddaten",IF(AND(Auftrag!$AF193&lt;&gt;"",Auftrag!$AG193=""),"Gewinde ungeprüft","")))))</f>
        <v/>
      </c>
      <c r="X193" s="18">
        <f>IF($A193="","",$F193*$C193)</f>
        <v/>
      </c>
      <c r="Y193" s="18">
        <f>IF($A193="","",$Q193*$C193)</f>
        <v/>
      </c>
    </row>
    <row r="194">
      <c r="A194" s="25">
        <f>IF(Auftrag!$D194="","",Auftrag!$A194)</f>
        <v/>
      </c>
      <c r="B194" s="25">
        <f>IF($A194="","",Auftrag!$B194)</f>
        <v/>
      </c>
      <c r="C194" s="15">
        <f>IF($A194="","",N(Auftrag!$G194))</f>
        <v/>
      </c>
      <c r="D194" s="18">
        <f>IF($A194="","",SUMIFS(Schnittplan!$R$5:$R$1004,Schnittplan!$B$5:$B$1004,Auftrag!$D194,Schnittplan!$C$5:$C$1004,Auftrag!$E194,Schnittplan!$D$5:$D$1004,Auftrag!$Q194))</f>
        <v/>
      </c>
      <c r="E194" s="32">
        <f>IF($A194="","",IFERROR(N(Auftrag!$P194)/SUMIFS(Auftrag!$P$13:$P$512,Auftrag!$D$13:$D$512,Auftrag!$D194,Auftrag!$E$13:$E$512,Auftrag!$E194,Auftrag!$Q$13:$Q$512,Auftrag!$Q194),0))</f>
        <v/>
      </c>
      <c r="F194" s="33">
        <f>IF($A194="","",IF($C194=0,0,$D194*$E194/$C194))</f>
        <v/>
      </c>
      <c r="G194" s="34">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5">
        <f>IF($A194="","",IF($H194="","",60*((N(Auftrag!$H194)-N(Auftrag!$AI194)-N(Auftrag!$AK194))/$H194+N(Auftrag!$AI194)/$J194+N(Auftrag!$AK194)/$I194+N(Auftrag!$AD194)/$K194)+N(Auftrag!$I194)*$L194))</f>
        <v/>
      </c>
      <c r="N194" s="35">
        <f>IF($A194="","",IF(OR($H194="",$C194=0),0,(60*SUMIFS(Stangenbelegung!$K$5:$K$10004,Stangenbelegung!$E$5:$E$10004,ROW())/$H194+SUMIFS(Stangenbelegung!$L$5:$L$10004,Stangenbelegung!$E$5:$E$10004,ROW())*$L194)/$C194))</f>
        <v/>
      </c>
      <c r="O194" s="35">
        <f>IF($A194="","",IF($M194="","",MAX(0,$M194-$N194)))</f>
        <v/>
      </c>
      <c r="P194" s="35">
        <f>IF($A194="","",IFERROR(SUMPRODUCT(--("0"&amp;TRIM(RIGHT(SUBSTITUTE(LEFT(";"&amp;SUBSTITUTE(UPPER(Auftrag!$AG194)," ","")&amp;";"&amp;"X"&amp;UPPER(Gewinde!$A$5:$A$54)&amp;";",SEARCH("X"&amp;UPPER(Gewinde!$A$5:$A$54)&amp;";",";"&amp;SUBSTITUTE(UPPER(Auftrag!$AG194)," ","")&amp;";"&amp;"X"&amp;UPPER(Gewinde!$A$5:$A$54)&amp;";")-1),";",REPT(" ",50)),50))),Gewinde!$C$5:$C$54),0))</f>
        <v/>
      </c>
      <c r="Q194" s="33">
        <f>IF($A194="","",(N($O194)+$P194)/3600*N(Auftrag!$H$8))</f>
        <v/>
      </c>
      <c r="R194" s="33">
        <f>IF($A194="","",IF($F$8=0,0,$F$7/$F$8))</f>
        <v/>
      </c>
      <c r="S194" s="33">
        <f>IF($A194="","",$F194*(1+$C$4)+($Q194+$R194)*(1+$C$5))</f>
        <v/>
      </c>
      <c r="T194" s="33">
        <f>IF($A194="","",$S194*(1+$C$6))</f>
        <v/>
      </c>
      <c r="U194" s="18">
        <f>IF($A194="","",$T194*$C194)</f>
        <v/>
      </c>
      <c r="V194" s="18">
        <f>IF($A194="","",$S194*$C194)</f>
        <v/>
      </c>
      <c r="W194" s="28">
        <f>IF($A194="","",IF(N(Auftrag!$AO194)&gt;0,"nicht vollständig eingeplant",IF($D194=0,"kein Schnittplan oder Preis",IF($H194="","keine Schneiddaten",IF(AND(Auftrag!$AF194&lt;&gt;"",Auftrag!$AG194=""),"Gewinde ungeprüft","")))))</f>
        <v/>
      </c>
      <c r="X194" s="18">
        <f>IF($A194="","",$F194*$C194)</f>
        <v/>
      </c>
      <c r="Y194" s="18">
        <f>IF($A194="","",$Q194*$C194)</f>
        <v/>
      </c>
    </row>
    <row r="195">
      <c r="A195" s="25">
        <f>IF(Auftrag!$D195="","",Auftrag!$A195)</f>
        <v/>
      </c>
      <c r="B195" s="25">
        <f>IF($A195="","",Auftrag!$B195)</f>
        <v/>
      </c>
      <c r="C195" s="15">
        <f>IF($A195="","",N(Auftrag!$G195))</f>
        <v/>
      </c>
      <c r="D195" s="18">
        <f>IF($A195="","",SUMIFS(Schnittplan!$R$5:$R$1004,Schnittplan!$B$5:$B$1004,Auftrag!$D195,Schnittplan!$C$5:$C$1004,Auftrag!$E195,Schnittplan!$D$5:$D$1004,Auftrag!$Q195))</f>
        <v/>
      </c>
      <c r="E195" s="32">
        <f>IF($A195="","",IFERROR(N(Auftrag!$P195)/SUMIFS(Auftrag!$P$13:$P$512,Auftrag!$D$13:$D$512,Auftrag!$D195,Auftrag!$E$13:$E$512,Auftrag!$E195,Auftrag!$Q$13:$Q$512,Auftrag!$Q195),0))</f>
        <v/>
      </c>
      <c r="F195" s="33">
        <f>IF($A195="","",IF($C195=0,0,$D195*$E195/$C195))</f>
        <v/>
      </c>
      <c r="G195" s="34">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5">
        <f>IF($A195="","",IF($H195="","",60*((N(Auftrag!$H195)-N(Auftrag!$AI195)-N(Auftrag!$AK195))/$H195+N(Auftrag!$AI195)/$J195+N(Auftrag!$AK195)/$I195+N(Auftrag!$AD195)/$K195)+N(Auftrag!$I195)*$L195))</f>
        <v/>
      </c>
      <c r="N195" s="35">
        <f>IF($A195="","",IF(OR($H195="",$C195=0),0,(60*SUMIFS(Stangenbelegung!$K$5:$K$10004,Stangenbelegung!$E$5:$E$10004,ROW())/$H195+SUMIFS(Stangenbelegung!$L$5:$L$10004,Stangenbelegung!$E$5:$E$10004,ROW())*$L195)/$C195))</f>
        <v/>
      </c>
      <c r="O195" s="35">
        <f>IF($A195="","",IF($M195="","",MAX(0,$M195-$N195)))</f>
        <v/>
      </c>
      <c r="P195" s="35">
        <f>IF($A195="","",IFERROR(SUMPRODUCT(--("0"&amp;TRIM(RIGHT(SUBSTITUTE(LEFT(";"&amp;SUBSTITUTE(UPPER(Auftrag!$AG195)," ","")&amp;";"&amp;"X"&amp;UPPER(Gewinde!$A$5:$A$54)&amp;";",SEARCH("X"&amp;UPPER(Gewinde!$A$5:$A$54)&amp;";",";"&amp;SUBSTITUTE(UPPER(Auftrag!$AG195)," ","")&amp;";"&amp;"X"&amp;UPPER(Gewinde!$A$5:$A$54)&amp;";")-1),";",REPT(" ",50)),50))),Gewinde!$C$5:$C$54),0))</f>
        <v/>
      </c>
      <c r="Q195" s="33">
        <f>IF($A195="","",(N($O195)+$P195)/3600*N(Auftrag!$H$8))</f>
        <v/>
      </c>
      <c r="R195" s="33">
        <f>IF($A195="","",IF($F$8=0,0,$F$7/$F$8))</f>
        <v/>
      </c>
      <c r="S195" s="33">
        <f>IF($A195="","",$F195*(1+$C$4)+($Q195+$R195)*(1+$C$5))</f>
        <v/>
      </c>
      <c r="T195" s="33">
        <f>IF($A195="","",$S195*(1+$C$6))</f>
        <v/>
      </c>
      <c r="U195" s="18">
        <f>IF($A195="","",$T195*$C195)</f>
        <v/>
      </c>
      <c r="V195" s="18">
        <f>IF($A195="","",$S195*$C195)</f>
        <v/>
      </c>
      <c r="W195" s="28">
        <f>IF($A195="","",IF(N(Auftrag!$AO195)&gt;0,"nicht vollständig eingeplant",IF($D195=0,"kein Schnittplan oder Preis",IF($H195="","keine Schneiddaten",IF(AND(Auftrag!$AF195&lt;&gt;"",Auftrag!$AG195=""),"Gewinde ungeprüft","")))))</f>
        <v/>
      </c>
      <c r="X195" s="18">
        <f>IF($A195="","",$F195*$C195)</f>
        <v/>
      </c>
      <c r="Y195" s="18">
        <f>IF($A195="","",$Q195*$C195)</f>
        <v/>
      </c>
    </row>
    <row r="196">
      <c r="A196" s="25">
        <f>IF(Auftrag!$D196="","",Auftrag!$A196)</f>
        <v/>
      </c>
      <c r="B196" s="25">
        <f>IF($A196="","",Auftrag!$B196)</f>
        <v/>
      </c>
      <c r="C196" s="15">
        <f>IF($A196="","",N(Auftrag!$G196))</f>
        <v/>
      </c>
      <c r="D196" s="18">
        <f>IF($A196="","",SUMIFS(Schnittplan!$R$5:$R$1004,Schnittplan!$B$5:$B$1004,Auftrag!$D196,Schnittplan!$C$5:$C$1004,Auftrag!$E196,Schnittplan!$D$5:$D$1004,Auftrag!$Q196))</f>
        <v/>
      </c>
      <c r="E196" s="32">
        <f>IF($A196="","",IFERROR(N(Auftrag!$P196)/SUMIFS(Auftrag!$P$13:$P$512,Auftrag!$D$13:$D$512,Auftrag!$D196,Auftrag!$E$13:$E$512,Auftrag!$E196,Auftrag!$Q$13:$Q$512,Auftrag!$Q196),0))</f>
        <v/>
      </c>
      <c r="F196" s="33">
        <f>IF($A196="","",IF($C196=0,0,$D196*$E196/$C196))</f>
        <v/>
      </c>
      <c r="G196" s="34">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5">
        <f>IF($A196="","",IF($H196="","",60*((N(Auftrag!$H196)-N(Auftrag!$AI196)-N(Auftrag!$AK196))/$H196+N(Auftrag!$AI196)/$J196+N(Auftrag!$AK196)/$I196+N(Auftrag!$AD196)/$K196)+N(Auftrag!$I196)*$L196))</f>
        <v/>
      </c>
      <c r="N196" s="35">
        <f>IF($A196="","",IF(OR($H196="",$C196=0),0,(60*SUMIFS(Stangenbelegung!$K$5:$K$10004,Stangenbelegung!$E$5:$E$10004,ROW())/$H196+SUMIFS(Stangenbelegung!$L$5:$L$10004,Stangenbelegung!$E$5:$E$10004,ROW())*$L196)/$C196))</f>
        <v/>
      </c>
      <c r="O196" s="35">
        <f>IF($A196="","",IF($M196="","",MAX(0,$M196-$N196)))</f>
        <v/>
      </c>
      <c r="P196" s="35">
        <f>IF($A196="","",IFERROR(SUMPRODUCT(--("0"&amp;TRIM(RIGHT(SUBSTITUTE(LEFT(";"&amp;SUBSTITUTE(UPPER(Auftrag!$AG196)," ","")&amp;";"&amp;"X"&amp;UPPER(Gewinde!$A$5:$A$54)&amp;";",SEARCH("X"&amp;UPPER(Gewinde!$A$5:$A$54)&amp;";",";"&amp;SUBSTITUTE(UPPER(Auftrag!$AG196)," ","")&amp;";"&amp;"X"&amp;UPPER(Gewinde!$A$5:$A$54)&amp;";")-1),";",REPT(" ",50)),50))),Gewinde!$C$5:$C$54),0))</f>
        <v/>
      </c>
      <c r="Q196" s="33">
        <f>IF($A196="","",(N($O196)+$P196)/3600*N(Auftrag!$H$8))</f>
        <v/>
      </c>
      <c r="R196" s="33">
        <f>IF($A196="","",IF($F$8=0,0,$F$7/$F$8))</f>
        <v/>
      </c>
      <c r="S196" s="33">
        <f>IF($A196="","",$F196*(1+$C$4)+($Q196+$R196)*(1+$C$5))</f>
        <v/>
      </c>
      <c r="T196" s="33">
        <f>IF($A196="","",$S196*(1+$C$6))</f>
        <v/>
      </c>
      <c r="U196" s="18">
        <f>IF($A196="","",$T196*$C196)</f>
        <v/>
      </c>
      <c r="V196" s="18">
        <f>IF($A196="","",$S196*$C196)</f>
        <v/>
      </c>
      <c r="W196" s="28">
        <f>IF($A196="","",IF(N(Auftrag!$AO196)&gt;0,"nicht vollständig eingeplant",IF($D196=0,"kein Schnittplan oder Preis",IF($H196="","keine Schneiddaten",IF(AND(Auftrag!$AF196&lt;&gt;"",Auftrag!$AG196=""),"Gewinde ungeprüft","")))))</f>
        <v/>
      </c>
      <c r="X196" s="18">
        <f>IF($A196="","",$F196*$C196)</f>
        <v/>
      </c>
      <c r="Y196" s="18">
        <f>IF($A196="","",$Q196*$C196)</f>
        <v/>
      </c>
    </row>
    <row r="197">
      <c r="A197" s="25">
        <f>IF(Auftrag!$D197="","",Auftrag!$A197)</f>
        <v/>
      </c>
      <c r="B197" s="25">
        <f>IF($A197="","",Auftrag!$B197)</f>
        <v/>
      </c>
      <c r="C197" s="15">
        <f>IF($A197="","",N(Auftrag!$G197))</f>
        <v/>
      </c>
      <c r="D197" s="18">
        <f>IF($A197="","",SUMIFS(Schnittplan!$R$5:$R$1004,Schnittplan!$B$5:$B$1004,Auftrag!$D197,Schnittplan!$C$5:$C$1004,Auftrag!$E197,Schnittplan!$D$5:$D$1004,Auftrag!$Q197))</f>
        <v/>
      </c>
      <c r="E197" s="32">
        <f>IF($A197="","",IFERROR(N(Auftrag!$P197)/SUMIFS(Auftrag!$P$13:$P$512,Auftrag!$D$13:$D$512,Auftrag!$D197,Auftrag!$E$13:$E$512,Auftrag!$E197,Auftrag!$Q$13:$Q$512,Auftrag!$Q197),0))</f>
        <v/>
      </c>
      <c r="F197" s="33">
        <f>IF($A197="","",IF($C197=0,0,$D197*$E197/$C197))</f>
        <v/>
      </c>
      <c r="G197" s="34">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5">
        <f>IF($A197="","",IF($H197="","",60*((N(Auftrag!$H197)-N(Auftrag!$AI197)-N(Auftrag!$AK197))/$H197+N(Auftrag!$AI197)/$J197+N(Auftrag!$AK197)/$I197+N(Auftrag!$AD197)/$K197)+N(Auftrag!$I197)*$L197))</f>
        <v/>
      </c>
      <c r="N197" s="35">
        <f>IF($A197="","",IF(OR($H197="",$C197=0),0,(60*SUMIFS(Stangenbelegung!$K$5:$K$10004,Stangenbelegung!$E$5:$E$10004,ROW())/$H197+SUMIFS(Stangenbelegung!$L$5:$L$10004,Stangenbelegung!$E$5:$E$10004,ROW())*$L197)/$C197))</f>
        <v/>
      </c>
      <c r="O197" s="35">
        <f>IF($A197="","",IF($M197="","",MAX(0,$M197-$N197)))</f>
        <v/>
      </c>
      <c r="P197" s="35">
        <f>IF($A197="","",IFERROR(SUMPRODUCT(--("0"&amp;TRIM(RIGHT(SUBSTITUTE(LEFT(";"&amp;SUBSTITUTE(UPPER(Auftrag!$AG197)," ","")&amp;";"&amp;"X"&amp;UPPER(Gewinde!$A$5:$A$54)&amp;";",SEARCH("X"&amp;UPPER(Gewinde!$A$5:$A$54)&amp;";",";"&amp;SUBSTITUTE(UPPER(Auftrag!$AG197)," ","")&amp;";"&amp;"X"&amp;UPPER(Gewinde!$A$5:$A$54)&amp;";")-1),";",REPT(" ",50)),50))),Gewinde!$C$5:$C$54),0))</f>
        <v/>
      </c>
      <c r="Q197" s="33">
        <f>IF($A197="","",(N($O197)+$P197)/3600*N(Auftrag!$H$8))</f>
        <v/>
      </c>
      <c r="R197" s="33">
        <f>IF($A197="","",IF($F$8=0,0,$F$7/$F$8))</f>
        <v/>
      </c>
      <c r="S197" s="33">
        <f>IF($A197="","",$F197*(1+$C$4)+($Q197+$R197)*(1+$C$5))</f>
        <v/>
      </c>
      <c r="T197" s="33">
        <f>IF($A197="","",$S197*(1+$C$6))</f>
        <v/>
      </c>
      <c r="U197" s="18">
        <f>IF($A197="","",$T197*$C197)</f>
        <v/>
      </c>
      <c r="V197" s="18">
        <f>IF($A197="","",$S197*$C197)</f>
        <v/>
      </c>
      <c r="W197" s="28">
        <f>IF($A197="","",IF(N(Auftrag!$AO197)&gt;0,"nicht vollständig eingeplant",IF($D197=0,"kein Schnittplan oder Preis",IF($H197="","keine Schneiddaten",IF(AND(Auftrag!$AF197&lt;&gt;"",Auftrag!$AG197=""),"Gewinde ungeprüft","")))))</f>
        <v/>
      </c>
      <c r="X197" s="18">
        <f>IF($A197="","",$F197*$C197)</f>
        <v/>
      </c>
      <c r="Y197" s="18">
        <f>IF($A197="","",$Q197*$C197)</f>
        <v/>
      </c>
    </row>
    <row r="198">
      <c r="A198" s="25">
        <f>IF(Auftrag!$D198="","",Auftrag!$A198)</f>
        <v/>
      </c>
      <c r="B198" s="25">
        <f>IF($A198="","",Auftrag!$B198)</f>
        <v/>
      </c>
      <c r="C198" s="15">
        <f>IF($A198="","",N(Auftrag!$G198))</f>
        <v/>
      </c>
      <c r="D198" s="18">
        <f>IF($A198="","",SUMIFS(Schnittplan!$R$5:$R$1004,Schnittplan!$B$5:$B$1004,Auftrag!$D198,Schnittplan!$C$5:$C$1004,Auftrag!$E198,Schnittplan!$D$5:$D$1004,Auftrag!$Q198))</f>
        <v/>
      </c>
      <c r="E198" s="32">
        <f>IF($A198="","",IFERROR(N(Auftrag!$P198)/SUMIFS(Auftrag!$P$13:$P$512,Auftrag!$D$13:$D$512,Auftrag!$D198,Auftrag!$E$13:$E$512,Auftrag!$E198,Auftrag!$Q$13:$Q$512,Auftrag!$Q198),0))</f>
        <v/>
      </c>
      <c r="F198" s="33">
        <f>IF($A198="","",IF($C198=0,0,$D198*$E198/$C198))</f>
        <v/>
      </c>
      <c r="G198" s="34">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5">
        <f>IF($A198="","",IF($H198="","",60*((N(Auftrag!$H198)-N(Auftrag!$AI198)-N(Auftrag!$AK198))/$H198+N(Auftrag!$AI198)/$J198+N(Auftrag!$AK198)/$I198+N(Auftrag!$AD198)/$K198)+N(Auftrag!$I198)*$L198))</f>
        <v/>
      </c>
      <c r="N198" s="35">
        <f>IF($A198="","",IF(OR($H198="",$C198=0),0,(60*SUMIFS(Stangenbelegung!$K$5:$K$10004,Stangenbelegung!$E$5:$E$10004,ROW())/$H198+SUMIFS(Stangenbelegung!$L$5:$L$10004,Stangenbelegung!$E$5:$E$10004,ROW())*$L198)/$C198))</f>
        <v/>
      </c>
      <c r="O198" s="35">
        <f>IF($A198="","",IF($M198="","",MAX(0,$M198-$N198)))</f>
        <v/>
      </c>
      <c r="P198" s="35">
        <f>IF($A198="","",IFERROR(SUMPRODUCT(--("0"&amp;TRIM(RIGHT(SUBSTITUTE(LEFT(";"&amp;SUBSTITUTE(UPPER(Auftrag!$AG198)," ","")&amp;";"&amp;"X"&amp;UPPER(Gewinde!$A$5:$A$54)&amp;";",SEARCH("X"&amp;UPPER(Gewinde!$A$5:$A$54)&amp;";",";"&amp;SUBSTITUTE(UPPER(Auftrag!$AG198)," ","")&amp;";"&amp;"X"&amp;UPPER(Gewinde!$A$5:$A$54)&amp;";")-1),";",REPT(" ",50)),50))),Gewinde!$C$5:$C$54),0))</f>
        <v/>
      </c>
      <c r="Q198" s="33">
        <f>IF($A198="","",(N($O198)+$P198)/3600*N(Auftrag!$H$8))</f>
        <v/>
      </c>
      <c r="R198" s="33">
        <f>IF($A198="","",IF($F$8=0,0,$F$7/$F$8))</f>
        <v/>
      </c>
      <c r="S198" s="33">
        <f>IF($A198="","",$F198*(1+$C$4)+($Q198+$R198)*(1+$C$5))</f>
        <v/>
      </c>
      <c r="T198" s="33">
        <f>IF($A198="","",$S198*(1+$C$6))</f>
        <v/>
      </c>
      <c r="U198" s="18">
        <f>IF($A198="","",$T198*$C198)</f>
        <v/>
      </c>
      <c r="V198" s="18">
        <f>IF($A198="","",$S198*$C198)</f>
        <v/>
      </c>
      <c r="W198" s="28">
        <f>IF($A198="","",IF(N(Auftrag!$AO198)&gt;0,"nicht vollständig eingeplant",IF($D198=0,"kein Schnittplan oder Preis",IF($H198="","keine Schneiddaten",IF(AND(Auftrag!$AF198&lt;&gt;"",Auftrag!$AG198=""),"Gewinde ungeprüft","")))))</f>
        <v/>
      </c>
      <c r="X198" s="18">
        <f>IF($A198="","",$F198*$C198)</f>
        <v/>
      </c>
      <c r="Y198" s="18">
        <f>IF($A198="","",$Q198*$C198)</f>
        <v/>
      </c>
    </row>
    <row r="199">
      <c r="A199" s="25">
        <f>IF(Auftrag!$D199="","",Auftrag!$A199)</f>
        <v/>
      </c>
      <c r="B199" s="25">
        <f>IF($A199="","",Auftrag!$B199)</f>
        <v/>
      </c>
      <c r="C199" s="15">
        <f>IF($A199="","",N(Auftrag!$G199))</f>
        <v/>
      </c>
      <c r="D199" s="18">
        <f>IF($A199="","",SUMIFS(Schnittplan!$R$5:$R$1004,Schnittplan!$B$5:$B$1004,Auftrag!$D199,Schnittplan!$C$5:$C$1004,Auftrag!$E199,Schnittplan!$D$5:$D$1004,Auftrag!$Q199))</f>
        <v/>
      </c>
      <c r="E199" s="32">
        <f>IF($A199="","",IFERROR(N(Auftrag!$P199)/SUMIFS(Auftrag!$P$13:$P$512,Auftrag!$D$13:$D$512,Auftrag!$D199,Auftrag!$E$13:$E$512,Auftrag!$E199,Auftrag!$Q$13:$Q$512,Auftrag!$Q199),0))</f>
        <v/>
      </c>
      <c r="F199" s="33">
        <f>IF($A199="","",IF($C199=0,0,$D199*$E199/$C199))</f>
        <v/>
      </c>
      <c r="G199" s="34">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5">
        <f>IF($A199="","",IF($H199="","",60*((N(Auftrag!$H199)-N(Auftrag!$AI199)-N(Auftrag!$AK199))/$H199+N(Auftrag!$AI199)/$J199+N(Auftrag!$AK199)/$I199+N(Auftrag!$AD199)/$K199)+N(Auftrag!$I199)*$L199))</f>
        <v/>
      </c>
      <c r="N199" s="35">
        <f>IF($A199="","",IF(OR($H199="",$C199=0),0,(60*SUMIFS(Stangenbelegung!$K$5:$K$10004,Stangenbelegung!$E$5:$E$10004,ROW())/$H199+SUMIFS(Stangenbelegung!$L$5:$L$10004,Stangenbelegung!$E$5:$E$10004,ROW())*$L199)/$C199))</f>
        <v/>
      </c>
      <c r="O199" s="35">
        <f>IF($A199="","",IF($M199="","",MAX(0,$M199-$N199)))</f>
        <v/>
      </c>
      <c r="P199" s="35">
        <f>IF($A199="","",IFERROR(SUMPRODUCT(--("0"&amp;TRIM(RIGHT(SUBSTITUTE(LEFT(";"&amp;SUBSTITUTE(UPPER(Auftrag!$AG199)," ","")&amp;";"&amp;"X"&amp;UPPER(Gewinde!$A$5:$A$54)&amp;";",SEARCH("X"&amp;UPPER(Gewinde!$A$5:$A$54)&amp;";",";"&amp;SUBSTITUTE(UPPER(Auftrag!$AG199)," ","")&amp;";"&amp;"X"&amp;UPPER(Gewinde!$A$5:$A$54)&amp;";")-1),";",REPT(" ",50)),50))),Gewinde!$C$5:$C$54),0))</f>
        <v/>
      </c>
      <c r="Q199" s="33">
        <f>IF($A199="","",(N($O199)+$P199)/3600*N(Auftrag!$H$8))</f>
        <v/>
      </c>
      <c r="R199" s="33">
        <f>IF($A199="","",IF($F$8=0,0,$F$7/$F$8))</f>
        <v/>
      </c>
      <c r="S199" s="33">
        <f>IF($A199="","",$F199*(1+$C$4)+($Q199+$R199)*(1+$C$5))</f>
        <v/>
      </c>
      <c r="T199" s="33">
        <f>IF($A199="","",$S199*(1+$C$6))</f>
        <v/>
      </c>
      <c r="U199" s="18">
        <f>IF($A199="","",$T199*$C199)</f>
        <v/>
      </c>
      <c r="V199" s="18">
        <f>IF($A199="","",$S199*$C199)</f>
        <v/>
      </c>
      <c r="W199" s="28">
        <f>IF($A199="","",IF(N(Auftrag!$AO199)&gt;0,"nicht vollständig eingeplant",IF($D199=0,"kein Schnittplan oder Preis",IF($H199="","keine Schneiddaten",IF(AND(Auftrag!$AF199&lt;&gt;"",Auftrag!$AG199=""),"Gewinde ungeprüft","")))))</f>
        <v/>
      </c>
      <c r="X199" s="18">
        <f>IF($A199="","",$F199*$C199)</f>
        <v/>
      </c>
      <c r="Y199" s="18">
        <f>IF($A199="","",$Q199*$C199)</f>
        <v/>
      </c>
    </row>
    <row r="200">
      <c r="A200" s="25">
        <f>IF(Auftrag!$D200="","",Auftrag!$A200)</f>
        <v/>
      </c>
      <c r="B200" s="25">
        <f>IF($A200="","",Auftrag!$B200)</f>
        <v/>
      </c>
      <c r="C200" s="15">
        <f>IF($A200="","",N(Auftrag!$G200))</f>
        <v/>
      </c>
      <c r="D200" s="18">
        <f>IF($A200="","",SUMIFS(Schnittplan!$R$5:$R$1004,Schnittplan!$B$5:$B$1004,Auftrag!$D200,Schnittplan!$C$5:$C$1004,Auftrag!$E200,Schnittplan!$D$5:$D$1004,Auftrag!$Q200))</f>
        <v/>
      </c>
      <c r="E200" s="32">
        <f>IF($A200="","",IFERROR(N(Auftrag!$P200)/SUMIFS(Auftrag!$P$13:$P$512,Auftrag!$D$13:$D$512,Auftrag!$D200,Auftrag!$E$13:$E$512,Auftrag!$E200,Auftrag!$Q$13:$Q$512,Auftrag!$Q200),0))</f>
        <v/>
      </c>
      <c r="F200" s="33">
        <f>IF($A200="","",IF($C200=0,0,$D200*$E200/$C200))</f>
        <v/>
      </c>
      <c r="G200" s="34">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5">
        <f>IF($A200="","",IF($H200="","",60*((N(Auftrag!$H200)-N(Auftrag!$AI200)-N(Auftrag!$AK200))/$H200+N(Auftrag!$AI200)/$J200+N(Auftrag!$AK200)/$I200+N(Auftrag!$AD200)/$K200)+N(Auftrag!$I200)*$L200))</f>
        <v/>
      </c>
      <c r="N200" s="35">
        <f>IF($A200="","",IF(OR($H200="",$C200=0),0,(60*SUMIFS(Stangenbelegung!$K$5:$K$10004,Stangenbelegung!$E$5:$E$10004,ROW())/$H200+SUMIFS(Stangenbelegung!$L$5:$L$10004,Stangenbelegung!$E$5:$E$10004,ROW())*$L200)/$C200))</f>
        <v/>
      </c>
      <c r="O200" s="35">
        <f>IF($A200="","",IF($M200="","",MAX(0,$M200-$N200)))</f>
        <v/>
      </c>
      <c r="P200" s="35">
        <f>IF($A200="","",IFERROR(SUMPRODUCT(--("0"&amp;TRIM(RIGHT(SUBSTITUTE(LEFT(";"&amp;SUBSTITUTE(UPPER(Auftrag!$AG200)," ","")&amp;";"&amp;"X"&amp;UPPER(Gewinde!$A$5:$A$54)&amp;";",SEARCH("X"&amp;UPPER(Gewinde!$A$5:$A$54)&amp;";",";"&amp;SUBSTITUTE(UPPER(Auftrag!$AG200)," ","")&amp;";"&amp;"X"&amp;UPPER(Gewinde!$A$5:$A$54)&amp;";")-1),";",REPT(" ",50)),50))),Gewinde!$C$5:$C$54),0))</f>
        <v/>
      </c>
      <c r="Q200" s="33">
        <f>IF($A200="","",(N($O200)+$P200)/3600*N(Auftrag!$H$8))</f>
        <v/>
      </c>
      <c r="R200" s="33">
        <f>IF($A200="","",IF($F$8=0,0,$F$7/$F$8))</f>
        <v/>
      </c>
      <c r="S200" s="33">
        <f>IF($A200="","",$F200*(1+$C$4)+($Q200+$R200)*(1+$C$5))</f>
        <v/>
      </c>
      <c r="T200" s="33">
        <f>IF($A200="","",$S200*(1+$C$6))</f>
        <v/>
      </c>
      <c r="U200" s="18">
        <f>IF($A200="","",$T200*$C200)</f>
        <v/>
      </c>
      <c r="V200" s="18">
        <f>IF($A200="","",$S200*$C200)</f>
        <v/>
      </c>
      <c r="W200" s="28">
        <f>IF($A200="","",IF(N(Auftrag!$AO200)&gt;0,"nicht vollständig eingeplant",IF($D200=0,"kein Schnittplan oder Preis",IF($H200="","keine Schneiddaten",IF(AND(Auftrag!$AF200&lt;&gt;"",Auftrag!$AG200=""),"Gewinde ungeprüft","")))))</f>
        <v/>
      </c>
      <c r="X200" s="18">
        <f>IF($A200="","",$F200*$C200)</f>
        <v/>
      </c>
      <c r="Y200" s="18">
        <f>IF($A200="","",$Q200*$C200)</f>
        <v/>
      </c>
    </row>
    <row r="201">
      <c r="A201" s="25">
        <f>IF(Auftrag!$D201="","",Auftrag!$A201)</f>
        <v/>
      </c>
      <c r="B201" s="25">
        <f>IF($A201="","",Auftrag!$B201)</f>
        <v/>
      </c>
      <c r="C201" s="15">
        <f>IF($A201="","",N(Auftrag!$G201))</f>
        <v/>
      </c>
      <c r="D201" s="18">
        <f>IF($A201="","",SUMIFS(Schnittplan!$R$5:$R$1004,Schnittplan!$B$5:$B$1004,Auftrag!$D201,Schnittplan!$C$5:$C$1004,Auftrag!$E201,Schnittplan!$D$5:$D$1004,Auftrag!$Q201))</f>
        <v/>
      </c>
      <c r="E201" s="32">
        <f>IF($A201="","",IFERROR(N(Auftrag!$P201)/SUMIFS(Auftrag!$P$13:$P$512,Auftrag!$D$13:$D$512,Auftrag!$D201,Auftrag!$E$13:$E$512,Auftrag!$E201,Auftrag!$Q$13:$Q$512,Auftrag!$Q201),0))</f>
        <v/>
      </c>
      <c r="F201" s="33">
        <f>IF($A201="","",IF($C201=0,0,$D201*$E201/$C201))</f>
        <v/>
      </c>
      <c r="G201" s="34">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5">
        <f>IF($A201="","",IF($H201="","",60*((N(Auftrag!$H201)-N(Auftrag!$AI201)-N(Auftrag!$AK201))/$H201+N(Auftrag!$AI201)/$J201+N(Auftrag!$AK201)/$I201+N(Auftrag!$AD201)/$K201)+N(Auftrag!$I201)*$L201))</f>
        <v/>
      </c>
      <c r="N201" s="35">
        <f>IF($A201="","",IF(OR($H201="",$C201=0),0,(60*SUMIFS(Stangenbelegung!$K$5:$K$10004,Stangenbelegung!$E$5:$E$10004,ROW())/$H201+SUMIFS(Stangenbelegung!$L$5:$L$10004,Stangenbelegung!$E$5:$E$10004,ROW())*$L201)/$C201))</f>
        <v/>
      </c>
      <c r="O201" s="35">
        <f>IF($A201="","",IF($M201="","",MAX(0,$M201-$N201)))</f>
        <v/>
      </c>
      <c r="P201" s="35">
        <f>IF($A201="","",IFERROR(SUMPRODUCT(--("0"&amp;TRIM(RIGHT(SUBSTITUTE(LEFT(";"&amp;SUBSTITUTE(UPPER(Auftrag!$AG201)," ","")&amp;";"&amp;"X"&amp;UPPER(Gewinde!$A$5:$A$54)&amp;";",SEARCH("X"&amp;UPPER(Gewinde!$A$5:$A$54)&amp;";",";"&amp;SUBSTITUTE(UPPER(Auftrag!$AG201)," ","")&amp;";"&amp;"X"&amp;UPPER(Gewinde!$A$5:$A$54)&amp;";")-1),";",REPT(" ",50)),50))),Gewinde!$C$5:$C$54),0))</f>
        <v/>
      </c>
      <c r="Q201" s="33">
        <f>IF($A201="","",(N($O201)+$P201)/3600*N(Auftrag!$H$8))</f>
        <v/>
      </c>
      <c r="R201" s="33">
        <f>IF($A201="","",IF($F$8=0,0,$F$7/$F$8))</f>
        <v/>
      </c>
      <c r="S201" s="33">
        <f>IF($A201="","",$F201*(1+$C$4)+($Q201+$R201)*(1+$C$5))</f>
        <v/>
      </c>
      <c r="T201" s="33">
        <f>IF($A201="","",$S201*(1+$C$6))</f>
        <v/>
      </c>
      <c r="U201" s="18">
        <f>IF($A201="","",$T201*$C201)</f>
        <v/>
      </c>
      <c r="V201" s="18">
        <f>IF($A201="","",$S201*$C201)</f>
        <v/>
      </c>
      <c r="W201" s="28">
        <f>IF($A201="","",IF(N(Auftrag!$AO201)&gt;0,"nicht vollständig eingeplant",IF($D201=0,"kein Schnittplan oder Preis",IF($H201="","keine Schneiddaten",IF(AND(Auftrag!$AF201&lt;&gt;"",Auftrag!$AG201=""),"Gewinde ungeprüft","")))))</f>
        <v/>
      </c>
      <c r="X201" s="18">
        <f>IF($A201="","",$F201*$C201)</f>
        <v/>
      </c>
      <c r="Y201" s="18">
        <f>IF($A201="","",$Q201*$C201)</f>
        <v/>
      </c>
    </row>
    <row r="202">
      <c r="A202" s="25">
        <f>IF(Auftrag!$D202="","",Auftrag!$A202)</f>
        <v/>
      </c>
      <c r="B202" s="25">
        <f>IF($A202="","",Auftrag!$B202)</f>
        <v/>
      </c>
      <c r="C202" s="15">
        <f>IF($A202="","",N(Auftrag!$G202))</f>
        <v/>
      </c>
      <c r="D202" s="18">
        <f>IF($A202="","",SUMIFS(Schnittplan!$R$5:$R$1004,Schnittplan!$B$5:$B$1004,Auftrag!$D202,Schnittplan!$C$5:$C$1004,Auftrag!$E202,Schnittplan!$D$5:$D$1004,Auftrag!$Q202))</f>
        <v/>
      </c>
      <c r="E202" s="32">
        <f>IF($A202="","",IFERROR(N(Auftrag!$P202)/SUMIFS(Auftrag!$P$13:$P$512,Auftrag!$D$13:$D$512,Auftrag!$D202,Auftrag!$E$13:$E$512,Auftrag!$E202,Auftrag!$Q$13:$Q$512,Auftrag!$Q202),0))</f>
        <v/>
      </c>
      <c r="F202" s="33">
        <f>IF($A202="","",IF($C202=0,0,$D202*$E202/$C202))</f>
        <v/>
      </c>
      <c r="G202" s="34">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5">
        <f>IF($A202="","",IF($H202="","",60*((N(Auftrag!$H202)-N(Auftrag!$AI202)-N(Auftrag!$AK202))/$H202+N(Auftrag!$AI202)/$J202+N(Auftrag!$AK202)/$I202+N(Auftrag!$AD202)/$K202)+N(Auftrag!$I202)*$L202))</f>
        <v/>
      </c>
      <c r="N202" s="35">
        <f>IF($A202="","",IF(OR($H202="",$C202=0),0,(60*SUMIFS(Stangenbelegung!$K$5:$K$10004,Stangenbelegung!$E$5:$E$10004,ROW())/$H202+SUMIFS(Stangenbelegung!$L$5:$L$10004,Stangenbelegung!$E$5:$E$10004,ROW())*$L202)/$C202))</f>
        <v/>
      </c>
      <c r="O202" s="35">
        <f>IF($A202="","",IF($M202="","",MAX(0,$M202-$N202)))</f>
        <v/>
      </c>
      <c r="P202" s="35">
        <f>IF($A202="","",IFERROR(SUMPRODUCT(--("0"&amp;TRIM(RIGHT(SUBSTITUTE(LEFT(";"&amp;SUBSTITUTE(UPPER(Auftrag!$AG202)," ","")&amp;";"&amp;"X"&amp;UPPER(Gewinde!$A$5:$A$54)&amp;";",SEARCH("X"&amp;UPPER(Gewinde!$A$5:$A$54)&amp;";",";"&amp;SUBSTITUTE(UPPER(Auftrag!$AG202)," ","")&amp;";"&amp;"X"&amp;UPPER(Gewinde!$A$5:$A$54)&amp;";")-1),";",REPT(" ",50)),50))),Gewinde!$C$5:$C$54),0))</f>
        <v/>
      </c>
      <c r="Q202" s="33">
        <f>IF($A202="","",(N($O202)+$P202)/3600*N(Auftrag!$H$8))</f>
        <v/>
      </c>
      <c r="R202" s="33">
        <f>IF($A202="","",IF($F$8=0,0,$F$7/$F$8))</f>
        <v/>
      </c>
      <c r="S202" s="33">
        <f>IF($A202="","",$F202*(1+$C$4)+($Q202+$R202)*(1+$C$5))</f>
        <v/>
      </c>
      <c r="T202" s="33">
        <f>IF($A202="","",$S202*(1+$C$6))</f>
        <v/>
      </c>
      <c r="U202" s="18">
        <f>IF($A202="","",$T202*$C202)</f>
        <v/>
      </c>
      <c r="V202" s="18">
        <f>IF($A202="","",$S202*$C202)</f>
        <v/>
      </c>
      <c r="W202" s="28">
        <f>IF($A202="","",IF(N(Auftrag!$AO202)&gt;0,"nicht vollständig eingeplant",IF($D202=0,"kein Schnittplan oder Preis",IF($H202="","keine Schneiddaten",IF(AND(Auftrag!$AF202&lt;&gt;"",Auftrag!$AG202=""),"Gewinde ungeprüft","")))))</f>
        <v/>
      </c>
      <c r="X202" s="18">
        <f>IF($A202="","",$F202*$C202)</f>
        <v/>
      </c>
      <c r="Y202" s="18">
        <f>IF($A202="","",$Q202*$C202)</f>
        <v/>
      </c>
    </row>
    <row r="203">
      <c r="A203" s="25">
        <f>IF(Auftrag!$D203="","",Auftrag!$A203)</f>
        <v/>
      </c>
      <c r="B203" s="25">
        <f>IF($A203="","",Auftrag!$B203)</f>
        <v/>
      </c>
      <c r="C203" s="15">
        <f>IF($A203="","",N(Auftrag!$G203))</f>
        <v/>
      </c>
      <c r="D203" s="18">
        <f>IF($A203="","",SUMIFS(Schnittplan!$R$5:$R$1004,Schnittplan!$B$5:$B$1004,Auftrag!$D203,Schnittplan!$C$5:$C$1004,Auftrag!$E203,Schnittplan!$D$5:$D$1004,Auftrag!$Q203))</f>
        <v/>
      </c>
      <c r="E203" s="32">
        <f>IF($A203="","",IFERROR(N(Auftrag!$P203)/SUMIFS(Auftrag!$P$13:$P$512,Auftrag!$D$13:$D$512,Auftrag!$D203,Auftrag!$E$13:$E$512,Auftrag!$E203,Auftrag!$Q$13:$Q$512,Auftrag!$Q203),0))</f>
        <v/>
      </c>
      <c r="F203" s="33">
        <f>IF($A203="","",IF($C203=0,0,$D203*$E203/$C203))</f>
        <v/>
      </c>
      <c r="G203" s="34">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5">
        <f>IF($A203="","",IF($H203="","",60*((N(Auftrag!$H203)-N(Auftrag!$AI203)-N(Auftrag!$AK203))/$H203+N(Auftrag!$AI203)/$J203+N(Auftrag!$AK203)/$I203+N(Auftrag!$AD203)/$K203)+N(Auftrag!$I203)*$L203))</f>
        <v/>
      </c>
      <c r="N203" s="35">
        <f>IF($A203="","",IF(OR($H203="",$C203=0),0,(60*SUMIFS(Stangenbelegung!$K$5:$K$10004,Stangenbelegung!$E$5:$E$10004,ROW())/$H203+SUMIFS(Stangenbelegung!$L$5:$L$10004,Stangenbelegung!$E$5:$E$10004,ROW())*$L203)/$C203))</f>
        <v/>
      </c>
      <c r="O203" s="35">
        <f>IF($A203="","",IF($M203="","",MAX(0,$M203-$N203)))</f>
        <v/>
      </c>
      <c r="P203" s="35">
        <f>IF($A203="","",IFERROR(SUMPRODUCT(--("0"&amp;TRIM(RIGHT(SUBSTITUTE(LEFT(";"&amp;SUBSTITUTE(UPPER(Auftrag!$AG203)," ","")&amp;";"&amp;"X"&amp;UPPER(Gewinde!$A$5:$A$54)&amp;";",SEARCH("X"&amp;UPPER(Gewinde!$A$5:$A$54)&amp;";",";"&amp;SUBSTITUTE(UPPER(Auftrag!$AG203)," ","")&amp;";"&amp;"X"&amp;UPPER(Gewinde!$A$5:$A$54)&amp;";")-1),";",REPT(" ",50)),50))),Gewinde!$C$5:$C$54),0))</f>
        <v/>
      </c>
      <c r="Q203" s="33">
        <f>IF($A203="","",(N($O203)+$P203)/3600*N(Auftrag!$H$8))</f>
        <v/>
      </c>
      <c r="R203" s="33">
        <f>IF($A203="","",IF($F$8=0,0,$F$7/$F$8))</f>
        <v/>
      </c>
      <c r="S203" s="33">
        <f>IF($A203="","",$F203*(1+$C$4)+($Q203+$R203)*(1+$C$5))</f>
        <v/>
      </c>
      <c r="T203" s="33">
        <f>IF($A203="","",$S203*(1+$C$6))</f>
        <v/>
      </c>
      <c r="U203" s="18">
        <f>IF($A203="","",$T203*$C203)</f>
        <v/>
      </c>
      <c r="V203" s="18">
        <f>IF($A203="","",$S203*$C203)</f>
        <v/>
      </c>
      <c r="W203" s="28">
        <f>IF($A203="","",IF(N(Auftrag!$AO203)&gt;0,"nicht vollständig eingeplant",IF($D203=0,"kein Schnittplan oder Preis",IF($H203="","keine Schneiddaten",IF(AND(Auftrag!$AF203&lt;&gt;"",Auftrag!$AG203=""),"Gewinde ungeprüft","")))))</f>
        <v/>
      </c>
      <c r="X203" s="18">
        <f>IF($A203="","",$F203*$C203)</f>
        <v/>
      </c>
      <c r="Y203" s="18">
        <f>IF($A203="","",$Q203*$C203)</f>
        <v/>
      </c>
    </row>
    <row r="204">
      <c r="A204" s="25">
        <f>IF(Auftrag!$D204="","",Auftrag!$A204)</f>
        <v/>
      </c>
      <c r="B204" s="25">
        <f>IF($A204="","",Auftrag!$B204)</f>
        <v/>
      </c>
      <c r="C204" s="15">
        <f>IF($A204="","",N(Auftrag!$G204))</f>
        <v/>
      </c>
      <c r="D204" s="18">
        <f>IF($A204="","",SUMIFS(Schnittplan!$R$5:$R$1004,Schnittplan!$B$5:$B$1004,Auftrag!$D204,Schnittplan!$C$5:$C$1004,Auftrag!$E204,Schnittplan!$D$5:$D$1004,Auftrag!$Q204))</f>
        <v/>
      </c>
      <c r="E204" s="32">
        <f>IF($A204="","",IFERROR(N(Auftrag!$P204)/SUMIFS(Auftrag!$P$13:$P$512,Auftrag!$D$13:$D$512,Auftrag!$D204,Auftrag!$E$13:$E$512,Auftrag!$E204,Auftrag!$Q$13:$Q$512,Auftrag!$Q204),0))</f>
        <v/>
      </c>
      <c r="F204" s="33">
        <f>IF($A204="","",IF($C204=0,0,$D204*$E204/$C204))</f>
        <v/>
      </c>
      <c r="G204" s="34">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5">
        <f>IF($A204="","",IF($H204="","",60*((N(Auftrag!$H204)-N(Auftrag!$AI204)-N(Auftrag!$AK204))/$H204+N(Auftrag!$AI204)/$J204+N(Auftrag!$AK204)/$I204+N(Auftrag!$AD204)/$K204)+N(Auftrag!$I204)*$L204))</f>
        <v/>
      </c>
      <c r="N204" s="35">
        <f>IF($A204="","",IF(OR($H204="",$C204=0),0,(60*SUMIFS(Stangenbelegung!$K$5:$K$10004,Stangenbelegung!$E$5:$E$10004,ROW())/$H204+SUMIFS(Stangenbelegung!$L$5:$L$10004,Stangenbelegung!$E$5:$E$10004,ROW())*$L204)/$C204))</f>
        <v/>
      </c>
      <c r="O204" s="35">
        <f>IF($A204="","",IF($M204="","",MAX(0,$M204-$N204)))</f>
        <v/>
      </c>
      <c r="P204" s="35">
        <f>IF($A204="","",IFERROR(SUMPRODUCT(--("0"&amp;TRIM(RIGHT(SUBSTITUTE(LEFT(";"&amp;SUBSTITUTE(UPPER(Auftrag!$AG204)," ","")&amp;";"&amp;"X"&amp;UPPER(Gewinde!$A$5:$A$54)&amp;";",SEARCH("X"&amp;UPPER(Gewinde!$A$5:$A$54)&amp;";",";"&amp;SUBSTITUTE(UPPER(Auftrag!$AG204)," ","")&amp;";"&amp;"X"&amp;UPPER(Gewinde!$A$5:$A$54)&amp;";")-1),";",REPT(" ",50)),50))),Gewinde!$C$5:$C$54),0))</f>
        <v/>
      </c>
      <c r="Q204" s="33">
        <f>IF($A204="","",(N($O204)+$P204)/3600*N(Auftrag!$H$8))</f>
        <v/>
      </c>
      <c r="R204" s="33">
        <f>IF($A204="","",IF($F$8=0,0,$F$7/$F$8))</f>
        <v/>
      </c>
      <c r="S204" s="33">
        <f>IF($A204="","",$F204*(1+$C$4)+($Q204+$R204)*(1+$C$5))</f>
        <v/>
      </c>
      <c r="T204" s="33">
        <f>IF($A204="","",$S204*(1+$C$6))</f>
        <v/>
      </c>
      <c r="U204" s="18">
        <f>IF($A204="","",$T204*$C204)</f>
        <v/>
      </c>
      <c r="V204" s="18">
        <f>IF($A204="","",$S204*$C204)</f>
        <v/>
      </c>
      <c r="W204" s="28">
        <f>IF($A204="","",IF(N(Auftrag!$AO204)&gt;0,"nicht vollständig eingeplant",IF($D204=0,"kein Schnittplan oder Preis",IF($H204="","keine Schneiddaten",IF(AND(Auftrag!$AF204&lt;&gt;"",Auftrag!$AG204=""),"Gewinde ungeprüft","")))))</f>
        <v/>
      </c>
      <c r="X204" s="18">
        <f>IF($A204="","",$F204*$C204)</f>
        <v/>
      </c>
      <c r="Y204" s="18">
        <f>IF($A204="","",$Q204*$C204)</f>
        <v/>
      </c>
    </row>
    <row r="205">
      <c r="A205" s="25">
        <f>IF(Auftrag!$D205="","",Auftrag!$A205)</f>
        <v/>
      </c>
      <c r="B205" s="25">
        <f>IF($A205="","",Auftrag!$B205)</f>
        <v/>
      </c>
      <c r="C205" s="15">
        <f>IF($A205="","",N(Auftrag!$G205))</f>
        <v/>
      </c>
      <c r="D205" s="18">
        <f>IF($A205="","",SUMIFS(Schnittplan!$R$5:$R$1004,Schnittplan!$B$5:$B$1004,Auftrag!$D205,Schnittplan!$C$5:$C$1004,Auftrag!$E205,Schnittplan!$D$5:$D$1004,Auftrag!$Q205))</f>
        <v/>
      </c>
      <c r="E205" s="32">
        <f>IF($A205="","",IFERROR(N(Auftrag!$P205)/SUMIFS(Auftrag!$P$13:$P$512,Auftrag!$D$13:$D$512,Auftrag!$D205,Auftrag!$E$13:$E$512,Auftrag!$E205,Auftrag!$Q$13:$Q$512,Auftrag!$Q205),0))</f>
        <v/>
      </c>
      <c r="F205" s="33">
        <f>IF($A205="","",IF($C205=0,0,$D205*$E205/$C205))</f>
        <v/>
      </c>
      <c r="G205" s="34">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5">
        <f>IF($A205="","",IF($H205="","",60*((N(Auftrag!$H205)-N(Auftrag!$AI205)-N(Auftrag!$AK205))/$H205+N(Auftrag!$AI205)/$J205+N(Auftrag!$AK205)/$I205+N(Auftrag!$AD205)/$K205)+N(Auftrag!$I205)*$L205))</f>
        <v/>
      </c>
      <c r="N205" s="35">
        <f>IF($A205="","",IF(OR($H205="",$C205=0),0,(60*SUMIFS(Stangenbelegung!$K$5:$K$10004,Stangenbelegung!$E$5:$E$10004,ROW())/$H205+SUMIFS(Stangenbelegung!$L$5:$L$10004,Stangenbelegung!$E$5:$E$10004,ROW())*$L205)/$C205))</f>
        <v/>
      </c>
      <c r="O205" s="35">
        <f>IF($A205="","",IF($M205="","",MAX(0,$M205-$N205)))</f>
        <v/>
      </c>
      <c r="P205" s="35">
        <f>IF($A205="","",IFERROR(SUMPRODUCT(--("0"&amp;TRIM(RIGHT(SUBSTITUTE(LEFT(";"&amp;SUBSTITUTE(UPPER(Auftrag!$AG205)," ","")&amp;";"&amp;"X"&amp;UPPER(Gewinde!$A$5:$A$54)&amp;";",SEARCH("X"&amp;UPPER(Gewinde!$A$5:$A$54)&amp;";",";"&amp;SUBSTITUTE(UPPER(Auftrag!$AG205)," ","")&amp;";"&amp;"X"&amp;UPPER(Gewinde!$A$5:$A$54)&amp;";")-1),";",REPT(" ",50)),50))),Gewinde!$C$5:$C$54),0))</f>
        <v/>
      </c>
      <c r="Q205" s="33">
        <f>IF($A205="","",(N($O205)+$P205)/3600*N(Auftrag!$H$8))</f>
        <v/>
      </c>
      <c r="R205" s="33">
        <f>IF($A205="","",IF($F$8=0,0,$F$7/$F$8))</f>
        <v/>
      </c>
      <c r="S205" s="33">
        <f>IF($A205="","",$F205*(1+$C$4)+($Q205+$R205)*(1+$C$5))</f>
        <v/>
      </c>
      <c r="T205" s="33">
        <f>IF($A205="","",$S205*(1+$C$6))</f>
        <v/>
      </c>
      <c r="U205" s="18">
        <f>IF($A205="","",$T205*$C205)</f>
        <v/>
      </c>
      <c r="V205" s="18">
        <f>IF($A205="","",$S205*$C205)</f>
        <v/>
      </c>
      <c r="W205" s="28">
        <f>IF($A205="","",IF(N(Auftrag!$AO205)&gt;0,"nicht vollständig eingeplant",IF($D205=0,"kein Schnittplan oder Preis",IF($H205="","keine Schneiddaten",IF(AND(Auftrag!$AF205&lt;&gt;"",Auftrag!$AG205=""),"Gewinde ungeprüft","")))))</f>
        <v/>
      </c>
      <c r="X205" s="18">
        <f>IF($A205="","",$F205*$C205)</f>
        <v/>
      </c>
      <c r="Y205" s="18">
        <f>IF($A205="","",$Q205*$C205)</f>
        <v/>
      </c>
    </row>
    <row r="206">
      <c r="A206" s="25">
        <f>IF(Auftrag!$D206="","",Auftrag!$A206)</f>
        <v/>
      </c>
      <c r="B206" s="25">
        <f>IF($A206="","",Auftrag!$B206)</f>
        <v/>
      </c>
      <c r="C206" s="15">
        <f>IF($A206="","",N(Auftrag!$G206))</f>
        <v/>
      </c>
      <c r="D206" s="18">
        <f>IF($A206="","",SUMIFS(Schnittplan!$R$5:$R$1004,Schnittplan!$B$5:$B$1004,Auftrag!$D206,Schnittplan!$C$5:$C$1004,Auftrag!$E206,Schnittplan!$D$5:$D$1004,Auftrag!$Q206))</f>
        <v/>
      </c>
      <c r="E206" s="32">
        <f>IF($A206="","",IFERROR(N(Auftrag!$P206)/SUMIFS(Auftrag!$P$13:$P$512,Auftrag!$D$13:$D$512,Auftrag!$D206,Auftrag!$E$13:$E$512,Auftrag!$E206,Auftrag!$Q$13:$Q$512,Auftrag!$Q206),0))</f>
        <v/>
      </c>
      <c r="F206" s="33">
        <f>IF($A206="","",IF($C206=0,0,$D206*$E206/$C206))</f>
        <v/>
      </c>
      <c r="G206" s="34">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5">
        <f>IF($A206="","",IF($H206="","",60*((N(Auftrag!$H206)-N(Auftrag!$AI206)-N(Auftrag!$AK206))/$H206+N(Auftrag!$AI206)/$J206+N(Auftrag!$AK206)/$I206+N(Auftrag!$AD206)/$K206)+N(Auftrag!$I206)*$L206))</f>
        <v/>
      </c>
      <c r="N206" s="35">
        <f>IF($A206="","",IF(OR($H206="",$C206=0),0,(60*SUMIFS(Stangenbelegung!$K$5:$K$10004,Stangenbelegung!$E$5:$E$10004,ROW())/$H206+SUMIFS(Stangenbelegung!$L$5:$L$10004,Stangenbelegung!$E$5:$E$10004,ROW())*$L206)/$C206))</f>
        <v/>
      </c>
      <c r="O206" s="35">
        <f>IF($A206="","",IF($M206="","",MAX(0,$M206-$N206)))</f>
        <v/>
      </c>
      <c r="P206" s="35">
        <f>IF($A206="","",IFERROR(SUMPRODUCT(--("0"&amp;TRIM(RIGHT(SUBSTITUTE(LEFT(";"&amp;SUBSTITUTE(UPPER(Auftrag!$AG206)," ","")&amp;";"&amp;"X"&amp;UPPER(Gewinde!$A$5:$A$54)&amp;";",SEARCH("X"&amp;UPPER(Gewinde!$A$5:$A$54)&amp;";",";"&amp;SUBSTITUTE(UPPER(Auftrag!$AG206)," ","")&amp;";"&amp;"X"&amp;UPPER(Gewinde!$A$5:$A$54)&amp;";")-1),";",REPT(" ",50)),50))),Gewinde!$C$5:$C$54),0))</f>
        <v/>
      </c>
      <c r="Q206" s="33">
        <f>IF($A206="","",(N($O206)+$P206)/3600*N(Auftrag!$H$8))</f>
        <v/>
      </c>
      <c r="R206" s="33">
        <f>IF($A206="","",IF($F$8=0,0,$F$7/$F$8))</f>
        <v/>
      </c>
      <c r="S206" s="33">
        <f>IF($A206="","",$F206*(1+$C$4)+($Q206+$R206)*(1+$C$5))</f>
        <v/>
      </c>
      <c r="T206" s="33">
        <f>IF($A206="","",$S206*(1+$C$6))</f>
        <v/>
      </c>
      <c r="U206" s="18">
        <f>IF($A206="","",$T206*$C206)</f>
        <v/>
      </c>
      <c r="V206" s="18">
        <f>IF($A206="","",$S206*$C206)</f>
        <v/>
      </c>
      <c r="W206" s="28">
        <f>IF($A206="","",IF(N(Auftrag!$AO206)&gt;0,"nicht vollständig eingeplant",IF($D206=0,"kein Schnittplan oder Preis",IF($H206="","keine Schneiddaten",IF(AND(Auftrag!$AF206&lt;&gt;"",Auftrag!$AG206=""),"Gewinde ungeprüft","")))))</f>
        <v/>
      </c>
      <c r="X206" s="18">
        <f>IF($A206="","",$F206*$C206)</f>
        <v/>
      </c>
      <c r="Y206" s="18">
        <f>IF($A206="","",$Q206*$C206)</f>
        <v/>
      </c>
    </row>
    <row r="207">
      <c r="A207" s="25">
        <f>IF(Auftrag!$D207="","",Auftrag!$A207)</f>
        <v/>
      </c>
      <c r="B207" s="25">
        <f>IF($A207="","",Auftrag!$B207)</f>
        <v/>
      </c>
      <c r="C207" s="15">
        <f>IF($A207="","",N(Auftrag!$G207))</f>
        <v/>
      </c>
      <c r="D207" s="18">
        <f>IF($A207="","",SUMIFS(Schnittplan!$R$5:$R$1004,Schnittplan!$B$5:$B$1004,Auftrag!$D207,Schnittplan!$C$5:$C$1004,Auftrag!$E207,Schnittplan!$D$5:$D$1004,Auftrag!$Q207))</f>
        <v/>
      </c>
      <c r="E207" s="32">
        <f>IF($A207="","",IFERROR(N(Auftrag!$P207)/SUMIFS(Auftrag!$P$13:$P$512,Auftrag!$D$13:$D$512,Auftrag!$D207,Auftrag!$E$13:$E$512,Auftrag!$E207,Auftrag!$Q$13:$Q$512,Auftrag!$Q207),0))</f>
        <v/>
      </c>
      <c r="F207" s="33">
        <f>IF($A207="","",IF($C207=0,0,$D207*$E207/$C207))</f>
        <v/>
      </c>
      <c r="G207" s="34">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5">
        <f>IF($A207="","",IF($H207="","",60*((N(Auftrag!$H207)-N(Auftrag!$AI207)-N(Auftrag!$AK207))/$H207+N(Auftrag!$AI207)/$J207+N(Auftrag!$AK207)/$I207+N(Auftrag!$AD207)/$K207)+N(Auftrag!$I207)*$L207))</f>
        <v/>
      </c>
      <c r="N207" s="35">
        <f>IF($A207="","",IF(OR($H207="",$C207=0),0,(60*SUMIFS(Stangenbelegung!$K$5:$K$10004,Stangenbelegung!$E$5:$E$10004,ROW())/$H207+SUMIFS(Stangenbelegung!$L$5:$L$10004,Stangenbelegung!$E$5:$E$10004,ROW())*$L207)/$C207))</f>
        <v/>
      </c>
      <c r="O207" s="35">
        <f>IF($A207="","",IF($M207="","",MAX(0,$M207-$N207)))</f>
        <v/>
      </c>
      <c r="P207" s="35">
        <f>IF($A207="","",IFERROR(SUMPRODUCT(--("0"&amp;TRIM(RIGHT(SUBSTITUTE(LEFT(";"&amp;SUBSTITUTE(UPPER(Auftrag!$AG207)," ","")&amp;";"&amp;"X"&amp;UPPER(Gewinde!$A$5:$A$54)&amp;";",SEARCH("X"&amp;UPPER(Gewinde!$A$5:$A$54)&amp;";",";"&amp;SUBSTITUTE(UPPER(Auftrag!$AG207)," ","")&amp;";"&amp;"X"&amp;UPPER(Gewinde!$A$5:$A$54)&amp;";")-1),";",REPT(" ",50)),50))),Gewinde!$C$5:$C$54),0))</f>
        <v/>
      </c>
      <c r="Q207" s="33">
        <f>IF($A207="","",(N($O207)+$P207)/3600*N(Auftrag!$H$8))</f>
        <v/>
      </c>
      <c r="R207" s="33">
        <f>IF($A207="","",IF($F$8=0,0,$F$7/$F$8))</f>
        <v/>
      </c>
      <c r="S207" s="33">
        <f>IF($A207="","",$F207*(1+$C$4)+($Q207+$R207)*(1+$C$5))</f>
        <v/>
      </c>
      <c r="T207" s="33">
        <f>IF($A207="","",$S207*(1+$C$6))</f>
        <v/>
      </c>
      <c r="U207" s="18">
        <f>IF($A207="","",$T207*$C207)</f>
        <v/>
      </c>
      <c r="V207" s="18">
        <f>IF($A207="","",$S207*$C207)</f>
        <v/>
      </c>
      <c r="W207" s="28">
        <f>IF($A207="","",IF(N(Auftrag!$AO207)&gt;0,"nicht vollständig eingeplant",IF($D207=0,"kein Schnittplan oder Preis",IF($H207="","keine Schneiddaten",IF(AND(Auftrag!$AF207&lt;&gt;"",Auftrag!$AG207=""),"Gewinde ungeprüft","")))))</f>
        <v/>
      </c>
      <c r="X207" s="18">
        <f>IF($A207="","",$F207*$C207)</f>
        <v/>
      </c>
      <c r="Y207" s="18">
        <f>IF($A207="","",$Q207*$C207)</f>
        <v/>
      </c>
    </row>
    <row r="208">
      <c r="A208" s="25">
        <f>IF(Auftrag!$D208="","",Auftrag!$A208)</f>
        <v/>
      </c>
      <c r="B208" s="25">
        <f>IF($A208="","",Auftrag!$B208)</f>
        <v/>
      </c>
      <c r="C208" s="15">
        <f>IF($A208="","",N(Auftrag!$G208))</f>
        <v/>
      </c>
      <c r="D208" s="18">
        <f>IF($A208="","",SUMIFS(Schnittplan!$R$5:$R$1004,Schnittplan!$B$5:$B$1004,Auftrag!$D208,Schnittplan!$C$5:$C$1004,Auftrag!$E208,Schnittplan!$D$5:$D$1004,Auftrag!$Q208))</f>
        <v/>
      </c>
      <c r="E208" s="32">
        <f>IF($A208="","",IFERROR(N(Auftrag!$P208)/SUMIFS(Auftrag!$P$13:$P$512,Auftrag!$D$13:$D$512,Auftrag!$D208,Auftrag!$E$13:$E$512,Auftrag!$E208,Auftrag!$Q$13:$Q$512,Auftrag!$Q208),0))</f>
        <v/>
      </c>
      <c r="F208" s="33">
        <f>IF($A208="","",IF($C208=0,0,$D208*$E208/$C208))</f>
        <v/>
      </c>
      <c r="G208" s="34">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5">
        <f>IF($A208="","",IF($H208="","",60*((N(Auftrag!$H208)-N(Auftrag!$AI208)-N(Auftrag!$AK208))/$H208+N(Auftrag!$AI208)/$J208+N(Auftrag!$AK208)/$I208+N(Auftrag!$AD208)/$K208)+N(Auftrag!$I208)*$L208))</f>
        <v/>
      </c>
      <c r="N208" s="35">
        <f>IF($A208="","",IF(OR($H208="",$C208=0),0,(60*SUMIFS(Stangenbelegung!$K$5:$K$10004,Stangenbelegung!$E$5:$E$10004,ROW())/$H208+SUMIFS(Stangenbelegung!$L$5:$L$10004,Stangenbelegung!$E$5:$E$10004,ROW())*$L208)/$C208))</f>
        <v/>
      </c>
      <c r="O208" s="35">
        <f>IF($A208="","",IF($M208="","",MAX(0,$M208-$N208)))</f>
        <v/>
      </c>
      <c r="P208" s="35">
        <f>IF($A208="","",IFERROR(SUMPRODUCT(--("0"&amp;TRIM(RIGHT(SUBSTITUTE(LEFT(";"&amp;SUBSTITUTE(UPPER(Auftrag!$AG208)," ","")&amp;";"&amp;"X"&amp;UPPER(Gewinde!$A$5:$A$54)&amp;";",SEARCH("X"&amp;UPPER(Gewinde!$A$5:$A$54)&amp;";",";"&amp;SUBSTITUTE(UPPER(Auftrag!$AG208)," ","")&amp;";"&amp;"X"&amp;UPPER(Gewinde!$A$5:$A$54)&amp;";")-1),";",REPT(" ",50)),50))),Gewinde!$C$5:$C$54),0))</f>
        <v/>
      </c>
      <c r="Q208" s="33">
        <f>IF($A208="","",(N($O208)+$P208)/3600*N(Auftrag!$H$8))</f>
        <v/>
      </c>
      <c r="R208" s="33">
        <f>IF($A208="","",IF($F$8=0,0,$F$7/$F$8))</f>
        <v/>
      </c>
      <c r="S208" s="33">
        <f>IF($A208="","",$F208*(1+$C$4)+($Q208+$R208)*(1+$C$5))</f>
        <v/>
      </c>
      <c r="T208" s="33">
        <f>IF($A208="","",$S208*(1+$C$6))</f>
        <v/>
      </c>
      <c r="U208" s="18">
        <f>IF($A208="","",$T208*$C208)</f>
        <v/>
      </c>
      <c r="V208" s="18">
        <f>IF($A208="","",$S208*$C208)</f>
        <v/>
      </c>
      <c r="W208" s="28">
        <f>IF($A208="","",IF(N(Auftrag!$AO208)&gt;0,"nicht vollständig eingeplant",IF($D208=0,"kein Schnittplan oder Preis",IF($H208="","keine Schneiddaten",IF(AND(Auftrag!$AF208&lt;&gt;"",Auftrag!$AG208=""),"Gewinde ungeprüft","")))))</f>
        <v/>
      </c>
      <c r="X208" s="18">
        <f>IF($A208="","",$F208*$C208)</f>
        <v/>
      </c>
      <c r="Y208" s="18">
        <f>IF($A208="","",$Q208*$C208)</f>
        <v/>
      </c>
    </row>
    <row r="209">
      <c r="A209" s="25">
        <f>IF(Auftrag!$D209="","",Auftrag!$A209)</f>
        <v/>
      </c>
      <c r="B209" s="25">
        <f>IF($A209="","",Auftrag!$B209)</f>
        <v/>
      </c>
      <c r="C209" s="15">
        <f>IF($A209="","",N(Auftrag!$G209))</f>
        <v/>
      </c>
      <c r="D209" s="18">
        <f>IF($A209="","",SUMIFS(Schnittplan!$R$5:$R$1004,Schnittplan!$B$5:$B$1004,Auftrag!$D209,Schnittplan!$C$5:$C$1004,Auftrag!$E209,Schnittplan!$D$5:$D$1004,Auftrag!$Q209))</f>
        <v/>
      </c>
      <c r="E209" s="32">
        <f>IF($A209="","",IFERROR(N(Auftrag!$P209)/SUMIFS(Auftrag!$P$13:$P$512,Auftrag!$D$13:$D$512,Auftrag!$D209,Auftrag!$E$13:$E$512,Auftrag!$E209,Auftrag!$Q$13:$Q$512,Auftrag!$Q209),0))</f>
        <v/>
      </c>
      <c r="F209" s="33">
        <f>IF($A209="","",IF($C209=0,0,$D209*$E209/$C209))</f>
        <v/>
      </c>
      <c r="G209" s="34">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5">
        <f>IF($A209="","",IF($H209="","",60*((N(Auftrag!$H209)-N(Auftrag!$AI209)-N(Auftrag!$AK209))/$H209+N(Auftrag!$AI209)/$J209+N(Auftrag!$AK209)/$I209+N(Auftrag!$AD209)/$K209)+N(Auftrag!$I209)*$L209))</f>
        <v/>
      </c>
      <c r="N209" s="35">
        <f>IF($A209="","",IF(OR($H209="",$C209=0),0,(60*SUMIFS(Stangenbelegung!$K$5:$K$10004,Stangenbelegung!$E$5:$E$10004,ROW())/$H209+SUMIFS(Stangenbelegung!$L$5:$L$10004,Stangenbelegung!$E$5:$E$10004,ROW())*$L209)/$C209))</f>
        <v/>
      </c>
      <c r="O209" s="35">
        <f>IF($A209="","",IF($M209="","",MAX(0,$M209-$N209)))</f>
        <v/>
      </c>
      <c r="P209" s="35">
        <f>IF($A209="","",IFERROR(SUMPRODUCT(--("0"&amp;TRIM(RIGHT(SUBSTITUTE(LEFT(";"&amp;SUBSTITUTE(UPPER(Auftrag!$AG209)," ","")&amp;";"&amp;"X"&amp;UPPER(Gewinde!$A$5:$A$54)&amp;";",SEARCH("X"&amp;UPPER(Gewinde!$A$5:$A$54)&amp;";",";"&amp;SUBSTITUTE(UPPER(Auftrag!$AG209)," ","")&amp;";"&amp;"X"&amp;UPPER(Gewinde!$A$5:$A$54)&amp;";")-1),";",REPT(" ",50)),50))),Gewinde!$C$5:$C$54),0))</f>
        <v/>
      </c>
      <c r="Q209" s="33">
        <f>IF($A209="","",(N($O209)+$P209)/3600*N(Auftrag!$H$8))</f>
        <v/>
      </c>
      <c r="R209" s="33">
        <f>IF($A209="","",IF($F$8=0,0,$F$7/$F$8))</f>
        <v/>
      </c>
      <c r="S209" s="33">
        <f>IF($A209="","",$F209*(1+$C$4)+($Q209+$R209)*(1+$C$5))</f>
        <v/>
      </c>
      <c r="T209" s="33">
        <f>IF($A209="","",$S209*(1+$C$6))</f>
        <v/>
      </c>
      <c r="U209" s="18">
        <f>IF($A209="","",$T209*$C209)</f>
        <v/>
      </c>
      <c r="V209" s="18">
        <f>IF($A209="","",$S209*$C209)</f>
        <v/>
      </c>
      <c r="W209" s="28">
        <f>IF($A209="","",IF(N(Auftrag!$AO209)&gt;0,"nicht vollständig eingeplant",IF($D209=0,"kein Schnittplan oder Preis",IF($H209="","keine Schneiddaten",IF(AND(Auftrag!$AF209&lt;&gt;"",Auftrag!$AG209=""),"Gewinde ungeprüft","")))))</f>
        <v/>
      </c>
      <c r="X209" s="18">
        <f>IF($A209="","",$F209*$C209)</f>
        <v/>
      </c>
      <c r="Y209" s="18">
        <f>IF($A209="","",$Q209*$C209)</f>
        <v/>
      </c>
    </row>
    <row r="210">
      <c r="A210" s="25">
        <f>IF(Auftrag!$D210="","",Auftrag!$A210)</f>
        <v/>
      </c>
      <c r="B210" s="25">
        <f>IF($A210="","",Auftrag!$B210)</f>
        <v/>
      </c>
      <c r="C210" s="15">
        <f>IF($A210="","",N(Auftrag!$G210))</f>
        <v/>
      </c>
      <c r="D210" s="18">
        <f>IF($A210="","",SUMIFS(Schnittplan!$R$5:$R$1004,Schnittplan!$B$5:$B$1004,Auftrag!$D210,Schnittplan!$C$5:$C$1004,Auftrag!$E210,Schnittplan!$D$5:$D$1004,Auftrag!$Q210))</f>
        <v/>
      </c>
      <c r="E210" s="32">
        <f>IF($A210="","",IFERROR(N(Auftrag!$P210)/SUMIFS(Auftrag!$P$13:$P$512,Auftrag!$D$13:$D$512,Auftrag!$D210,Auftrag!$E$13:$E$512,Auftrag!$E210,Auftrag!$Q$13:$Q$512,Auftrag!$Q210),0))</f>
        <v/>
      </c>
      <c r="F210" s="33">
        <f>IF($A210="","",IF($C210=0,0,$D210*$E210/$C210))</f>
        <v/>
      </c>
      <c r="G210" s="34">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5">
        <f>IF($A210="","",IF($H210="","",60*((N(Auftrag!$H210)-N(Auftrag!$AI210)-N(Auftrag!$AK210))/$H210+N(Auftrag!$AI210)/$J210+N(Auftrag!$AK210)/$I210+N(Auftrag!$AD210)/$K210)+N(Auftrag!$I210)*$L210))</f>
        <v/>
      </c>
      <c r="N210" s="35">
        <f>IF($A210="","",IF(OR($H210="",$C210=0),0,(60*SUMIFS(Stangenbelegung!$K$5:$K$10004,Stangenbelegung!$E$5:$E$10004,ROW())/$H210+SUMIFS(Stangenbelegung!$L$5:$L$10004,Stangenbelegung!$E$5:$E$10004,ROW())*$L210)/$C210))</f>
        <v/>
      </c>
      <c r="O210" s="35">
        <f>IF($A210="","",IF($M210="","",MAX(0,$M210-$N210)))</f>
        <v/>
      </c>
      <c r="P210" s="35">
        <f>IF($A210="","",IFERROR(SUMPRODUCT(--("0"&amp;TRIM(RIGHT(SUBSTITUTE(LEFT(";"&amp;SUBSTITUTE(UPPER(Auftrag!$AG210)," ","")&amp;";"&amp;"X"&amp;UPPER(Gewinde!$A$5:$A$54)&amp;";",SEARCH("X"&amp;UPPER(Gewinde!$A$5:$A$54)&amp;";",";"&amp;SUBSTITUTE(UPPER(Auftrag!$AG210)," ","")&amp;";"&amp;"X"&amp;UPPER(Gewinde!$A$5:$A$54)&amp;";")-1),";",REPT(" ",50)),50))),Gewinde!$C$5:$C$54),0))</f>
        <v/>
      </c>
      <c r="Q210" s="33">
        <f>IF($A210="","",(N($O210)+$P210)/3600*N(Auftrag!$H$8))</f>
        <v/>
      </c>
      <c r="R210" s="33">
        <f>IF($A210="","",IF($F$8=0,0,$F$7/$F$8))</f>
        <v/>
      </c>
      <c r="S210" s="33">
        <f>IF($A210="","",$F210*(1+$C$4)+($Q210+$R210)*(1+$C$5))</f>
        <v/>
      </c>
      <c r="T210" s="33">
        <f>IF($A210="","",$S210*(1+$C$6))</f>
        <v/>
      </c>
      <c r="U210" s="18">
        <f>IF($A210="","",$T210*$C210)</f>
        <v/>
      </c>
      <c r="V210" s="18">
        <f>IF($A210="","",$S210*$C210)</f>
        <v/>
      </c>
      <c r="W210" s="28">
        <f>IF($A210="","",IF(N(Auftrag!$AO210)&gt;0,"nicht vollständig eingeplant",IF($D210=0,"kein Schnittplan oder Preis",IF($H210="","keine Schneiddaten",IF(AND(Auftrag!$AF210&lt;&gt;"",Auftrag!$AG210=""),"Gewinde ungeprüft","")))))</f>
        <v/>
      </c>
      <c r="X210" s="18">
        <f>IF($A210="","",$F210*$C210)</f>
        <v/>
      </c>
      <c r="Y210" s="18">
        <f>IF($A210="","",$Q210*$C210)</f>
        <v/>
      </c>
    </row>
    <row r="211">
      <c r="A211" s="25">
        <f>IF(Auftrag!$D211="","",Auftrag!$A211)</f>
        <v/>
      </c>
      <c r="B211" s="25">
        <f>IF($A211="","",Auftrag!$B211)</f>
        <v/>
      </c>
      <c r="C211" s="15">
        <f>IF($A211="","",N(Auftrag!$G211))</f>
        <v/>
      </c>
      <c r="D211" s="18">
        <f>IF($A211="","",SUMIFS(Schnittplan!$R$5:$R$1004,Schnittplan!$B$5:$B$1004,Auftrag!$D211,Schnittplan!$C$5:$C$1004,Auftrag!$E211,Schnittplan!$D$5:$D$1004,Auftrag!$Q211))</f>
        <v/>
      </c>
      <c r="E211" s="32">
        <f>IF($A211="","",IFERROR(N(Auftrag!$P211)/SUMIFS(Auftrag!$P$13:$P$512,Auftrag!$D$13:$D$512,Auftrag!$D211,Auftrag!$E$13:$E$512,Auftrag!$E211,Auftrag!$Q$13:$Q$512,Auftrag!$Q211),0))</f>
        <v/>
      </c>
      <c r="F211" s="33">
        <f>IF($A211="","",IF($C211=0,0,$D211*$E211/$C211))</f>
        <v/>
      </c>
      <c r="G211" s="34">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5">
        <f>IF($A211="","",IF($H211="","",60*((N(Auftrag!$H211)-N(Auftrag!$AI211)-N(Auftrag!$AK211))/$H211+N(Auftrag!$AI211)/$J211+N(Auftrag!$AK211)/$I211+N(Auftrag!$AD211)/$K211)+N(Auftrag!$I211)*$L211))</f>
        <v/>
      </c>
      <c r="N211" s="35">
        <f>IF($A211="","",IF(OR($H211="",$C211=0),0,(60*SUMIFS(Stangenbelegung!$K$5:$K$10004,Stangenbelegung!$E$5:$E$10004,ROW())/$H211+SUMIFS(Stangenbelegung!$L$5:$L$10004,Stangenbelegung!$E$5:$E$10004,ROW())*$L211)/$C211))</f>
        <v/>
      </c>
      <c r="O211" s="35">
        <f>IF($A211="","",IF($M211="","",MAX(0,$M211-$N211)))</f>
        <v/>
      </c>
      <c r="P211" s="35">
        <f>IF($A211="","",IFERROR(SUMPRODUCT(--("0"&amp;TRIM(RIGHT(SUBSTITUTE(LEFT(";"&amp;SUBSTITUTE(UPPER(Auftrag!$AG211)," ","")&amp;";"&amp;"X"&amp;UPPER(Gewinde!$A$5:$A$54)&amp;";",SEARCH("X"&amp;UPPER(Gewinde!$A$5:$A$54)&amp;";",";"&amp;SUBSTITUTE(UPPER(Auftrag!$AG211)," ","")&amp;";"&amp;"X"&amp;UPPER(Gewinde!$A$5:$A$54)&amp;";")-1),";",REPT(" ",50)),50))),Gewinde!$C$5:$C$54),0))</f>
        <v/>
      </c>
      <c r="Q211" s="33">
        <f>IF($A211="","",(N($O211)+$P211)/3600*N(Auftrag!$H$8))</f>
        <v/>
      </c>
      <c r="R211" s="33">
        <f>IF($A211="","",IF($F$8=0,0,$F$7/$F$8))</f>
        <v/>
      </c>
      <c r="S211" s="33">
        <f>IF($A211="","",$F211*(1+$C$4)+($Q211+$R211)*(1+$C$5))</f>
        <v/>
      </c>
      <c r="T211" s="33">
        <f>IF($A211="","",$S211*(1+$C$6))</f>
        <v/>
      </c>
      <c r="U211" s="18">
        <f>IF($A211="","",$T211*$C211)</f>
        <v/>
      </c>
      <c r="V211" s="18">
        <f>IF($A211="","",$S211*$C211)</f>
        <v/>
      </c>
      <c r="W211" s="28">
        <f>IF($A211="","",IF(N(Auftrag!$AO211)&gt;0,"nicht vollständig eingeplant",IF($D211=0,"kein Schnittplan oder Preis",IF($H211="","keine Schneiddaten",IF(AND(Auftrag!$AF211&lt;&gt;"",Auftrag!$AG211=""),"Gewinde ungeprüft","")))))</f>
        <v/>
      </c>
      <c r="X211" s="18">
        <f>IF($A211="","",$F211*$C211)</f>
        <v/>
      </c>
      <c r="Y211" s="18">
        <f>IF($A211="","",$Q211*$C211)</f>
        <v/>
      </c>
    </row>
    <row r="212">
      <c r="A212" s="25">
        <f>IF(Auftrag!$D212="","",Auftrag!$A212)</f>
        <v/>
      </c>
      <c r="B212" s="25">
        <f>IF($A212="","",Auftrag!$B212)</f>
        <v/>
      </c>
      <c r="C212" s="15">
        <f>IF($A212="","",N(Auftrag!$G212))</f>
        <v/>
      </c>
      <c r="D212" s="18">
        <f>IF($A212="","",SUMIFS(Schnittplan!$R$5:$R$1004,Schnittplan!$B$5:$B$1004,Auftrag!$D212,Schnittplan!$C$5:$C$1004,Auftrag!$E212,Schnittplan!$D$5:$D$1004,Auftrag!$Q212))</f>
        <v/>
      </c>
      <c r="E212" s="32">
        <f>IF($A212="","",IFERROR(N(Auftrag!$P212)/SUMIFS(Auftrag!$P$13:$P$512,Auftrag!$D$13:$D$512,Auftrag!$D212,Auftrag!$E$13:$E$512,Auftrag!$E212,Auftrag!$Q$13:$Q$512,Auftrag!$Q212),0))</f>
        <v/>
      </c>
      <c r="F212" s="33">
        <f>IF($A212="","",IF($C212=0,0,$D212*$E212/$C212))</f>
        <v/>
      </c>
      <c r="G212" s="34">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5">
        <f>IF($A212="","",IF($H212="","",60*((N(Auftrag!$H212)-N(Auftrag!$AI212)-N(Auftrag!$AK212))/$H212+N(Auftrag!$AI212)/$J212+N(Auftrag!$AK212)/$I212+N(Auftrag!$AD212)/$K212)+N(Auftrag!$I212)*$L212))</f>
        <v/>
      </c>
      <c r="N212" s="35">
        <f>IF($A212="","",IF(OR($H212="",$C212=0),0,(60*SUMIFS(Stangenbelegung!$K$5:$K$10004,Stangenbelegung!$E$5:$E$10004,ROW())/$H212+SUMIFS(Stangenbelegung!$L$5:$L$10004,Stangenbelegung!$E$5:$E$10004,ROW())*$L212)/$C212))</f>
        <v/>
      </c>
      <c r="O212" s="35">
        <f>IF($A212="","",IF($M212="","",MAX(0,$M212-$N212)))</f>
        <v/>
      </c>
      <c r="P212" s="35">
        <f>IF($A212="","",IFERROR(SUMPRODUCT(--("0"&amp;TRIM(RIGHT(SUBSTITUTE(LEFT(";"&amp;SUBSTITUTE(UPPER(Auftrag!$AG212)," ","")&amp;";"&amp;"X"&amp;UPPER(Gewinde!$A$5:$A$54)&amp;";",SEARCH("X"&amp;UPPER(Gewinde!$A$5:$A$54)&amp;";",";"&amp;SUBSTITUTE(UPPER(Auftrag!$AG212)," ","")&amp;";"&amp;"X"&amp;UPPER(Gewinde!$A$5:$A$54)&amp;";")-1),";",REPT(" ",50)),50))),Gewinde!$C$5:$C$54),0))</f>
        <v/>
      </c>
      <c r="Q212" s="33">
        <f>IF($A212="","",(N($O212)+$P212)/3600*N(Auftrag!$H$8))</f>
        <v/>
      </c>
      <c r="R212" s="33">
        <f>IF($A212="","",IF($F$8=0,0,$F$7/$F$8))</f>
        <v/>
      </c>
      <c r="S212" s="33">
        <f>IF($A212="","",$F212*(1+$C$4)+($Q212+$R212)*(1+$C$5))</f>
        <v/>
      </c>
      <c r="T212" s="33">
        <f>IF($A212="","",$S212*(1+$C$6))</f>
        <v/>
      </c>
      <c r="U212" s="18">
        <f>IF($A212="","",$T212*$C212)</f>
        <v/>
      </c>
      <c r="V212" s="18">
        <f>IF($A212="","",$S212*$C212)</f>
        <v/>
      </c>
      <c r="W212" s="28">
        <f>IF($A212="","",IF(N(Auftrag!$AO212)&gt;0,"nicht vollständig eingeplant",IF($D212=0,"kein Schnittplan oder Preis",IF($H212="","keine Schneiddaten",IF(AND(Auftrag!$AF212&lt;&gt;"",Auftrag!$AG212=""),"Gewinde ungeprüft","")))))</f>
        <v/>
      </c>
      <c r="X212" s="18">
        <f>IF($A212="","",$F212*$C212)</f>
        <v/>
      </c>
      <c r="Y212" s="18">
        <f>IF($A212="","",$Q212*$C212)</f>
        <v/>
      </c>
    </row>
    <row r="213">
      <c r="A213" s="25">
        <f>IF(Auftrag!$D213="","",Auftrag!$A213)</f>
        <v/>
      </c>
      <c r="B213" s="25">
        <f>IF($A213="","",Auftrag!$B213)</f>
        <v/>
      </c>
      <c r="C213" s="15">
        <f>IF($A213="","",N(Auftrag!$G213))</f>
        <v/>
      </c>
      <c r="D213" s="18">
        <f>IF($A213="","",SUMIFS(Schnittplan!$R$5:$R$1004,Schnittplan!$B$5:$B$1004,Auftrag!$D213,Schnittplan!$C$5:$C$1004,Auftrag!$E213,Schnittplan!$D$5:$D$1004,Auftrag!$Q213))</f>
        <v/>
      </c>
      <c r="E213" s="32">
        <f>IF($A213="","",IFERROR(N(Auftrag!$P213)/SUMIFS(Auftrag!$P$13:$P$512,Auftrag!$D$13:$D$512,Auftrag!$D213,Auftrag!$E$13:$E$512,Auftrag!$E213,Auftrag!$Q$13:$Q$512,Auftrag!$Q213),0))</f>
        <v/>
      </c>
      <c r="F213" s="33">
        <f>IF($A213="","",IF($C213=0,0,$D213*$E213/$C213))</f>
        <v/>
      </c>
      <c r="G213" s="34">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5">
        <f>IF($A213="","",IF($H213="","",60*((N(Auftrag!$H213)-N(Auftrag!$AI213)-N(Auftrag!$AK213))/$H213+N(Auftrag!$AI213)/$J213+N(Auftrag!$AK213)/$I213+N(Auftrag!$AD213)/$K213)+N(Auftrag!$I213)*$L213))</f>
        <v/>
      </c>
      <c r="N213" s="35">
        <f>IF($A213="","",IF(OR($H213="",$C213=0),0,(60*SUMIFS(Stangenbelegung!$K$5:$K$10004,Stangenbelegung!$E$5:$E$10004,ROW())/$H213+SUMIFS(Stangenbelegung!$L$5:$L$10004,Stangenbelegung!$E$5:$E$10004,ROW())*$L213)/$C213))</f>
        <v/>
      </c>
      <c r="O213" s="35">
        <f>IF($A213="","",IF($M213="","",MAX(0,$M213-$N213)))</f>
        <v/>
      </c>
      <c r="P213" s="35">
        <f>IF($A213="","",IFERROR(SUMPRODUCT(--("0"&amp;TRIM(RIGHT(SUBSTITUTE(LEFT(";"&amp;SUBSTITUTE(UPPER(Auftrag!$AG213)," ","")&amp;";"&amp;"X"&amp;UPPER(Gewinde!$A$5:$A$54)&amp;";",SEARCH("X"&amp;UPPER(Gewinde!$A$5:$A$54)&amp;";",";"&amp;SUBSTITUTE(UPPER(Auftrag!$AG213)," ","")&amp;";"&amp;"X"&amp;UPPER(Gewinde!$A$5:$A$54)&amp;";")-1),";",REPT(" ",50)),50))),Gewinde!$C$5:$C$54),0))</f>
        <v/>
      </c>
      <c r="Q213" s="33">
        <f>IF($A213="","",(N($O213)+$P213)/3600*N(Auftrag!$H$8))</f>
        <v/>
      </c>
      <c r="R213" s="33">
        <f>IF($A213="","",IF($F$8=0,0,$F$7/$F$8))</f>
        <v/>
      </c>
      <c r="S213" s="33">
        <f>IF($A213="","",$F213*(1+$C$4)+($Q213+$R213)*(1+$C$5))</f>
        <v/>
      </c>
      <c r="T213" s="33">
        <f>IF($A213="","",$S213*(1+$C$6))</f>
        <v/>
      </c>
      <c r="U213" s="18">
        <f>IF($A213="","",$T213*$C213)</f>
        <v/>
      </c>
      <c r="V213" s="18">
        <f>IF($A213="","",$S213*$C213)</f>
        <v/>
      </c>
      <c r="W213" s="28">
        <f>IF($A213="","",IF(N(Auftrag!$AO213)&gt;0,"nicht vollständig eingeplant",IF($D213=0,"kein Schnittplan oder Preis",IF($H213="","keine Schneiddaten",IF(AND(Auftrag!$AF213&lt;&gt;"",Auftrag!$AG213=""),"Gewinde ungeprüft","")))))</f>
        <v/>
      </c>
      <c r="X213" s="18">
        <f>IF($A213="","",$F213*$C213)</f>
        <v/>
      </c>
      <c r="Y213" s="18">
        <f>IF($A213="","",$Q213*$C213)</f>
        <v/>
      </c>
    </row>
    <row r="214">
      <c r="A214" s="25">
        <f>IF(Auftrag!$D214="","",Auftrag!$A214)</f>
        <v/>
      </c>
      <c r="B214" s="25">
        <f>IF($A214="","",Auftrag!$B214)</f>
        <v/>
      </c>
      <c r="C214" s="15">
        <f>IF($A214="","",N(Auftrag!$G214))</f>
        <v/>
      </c>
      <c r="D214" s="18">
        <f>IF($A214="","",SUMIFS(Schnittplan!$R$5:$R$1004,Schnittplan!$B$5:$B$1004,Auftrag!$D214,Schnittplan!$C$5:$C$1004,Auftrag!$E214,Schnittplan!$D$5:$D$1004,Auftrag!$Q214))</f>
        <v/>
      </c>
      <c r="E214" s="32">
        <f>IF($A214="","",IFERROR(N(Auftrag!$P214)/SUMIFS(Auftrag!$P$13:$P$512,Auftrag!$D$13:$D$512,Auftrag!$D214,Auftrag!$E$13:$E$512,Auftrag!$E214,Auftrag!$Q$13:$Q$512,Auftrag!$Q214),0))</f>
        <v/>
      </c>
      <c r="F214" s="33">
        <f>IF($A214="","",IF($C214=0,0,$D214*$E214/$C214))</f>
        <v/>
      </c>
      <c r="G214" s="34">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5">
        <f>IF($A214="","",IF($H214="","",60*((N(Auftrag!$H214)-N(Auftrag!$AI214)-N(Auftrag!$AK214))/$H214+N(Auftrag!$AI214)/$J214+N(Auftrag!$AK214)/$I214+N(Auftrag!$AD214)/$K214)+N(Auftrag!$I214)*$L214))</f>
        <v/>
      </c>
      <c r="N214" s="35">
        <f>IF($A214="","",IF(OR($H214="",$C214=0),0,(60*SUMIFS(Stangenbelegung!$K$5:$K$10004,Stangenbelegung!$E$5:$E$10004,ROW())/$H214+SUMIFS(Stangenbelegung!$L$5:$L$10004,Stangenbelegung!$E$5:$E$10004,ROW())*$L214)/$C214))</f>
        <v/>
      </c>
      <c r="O214" s="35">
        <f>IF($A214="","",IF($M214="","",MAX(0,$M214-$N214)))</f>
        <v/>
      </c>
      <c r="P214" s="35">
        <f>IF($A214="","",IFERROR(SUMPRODUCT(--("0"&amp;TRIM(RIGHT(SUBSTITUTE(LEFT(";"&amp;SUBSTITUTE(UPPER(Auftrag!$AG214)," ","")&amp;";"&amp;"X"&amp;UPPER(Gewinde!$A$5:$A$54)&amp;";",SEARCH("X"&amp;UPPER(Gewinde!$A$5:$A$54)&amp;";",";"&amp;SUBSTITUTE(UPPER(Auftrag!$AG214)," ","")&amp;";"&amp;"X"&amp;UPPER(Gewinde!$A$5:$A$54)&amp;";")-1),";",REPT(" ",50)),50))),Gewinde!$C$5:$C$54),0))</f>
        <v/>
      </c>
      <c r="Q214" s="33">
        <f>IF($A214="","",(N($O214)+$P214)/3600*N(Auftrag!$H$8))</f>
        <v/>
      </c>
      <c r="R214" s="33">
        <f>IF($A214="","",IF($F$8=0,0,$F$7/$F$8))</f>
        <v/>
      </c>
      <c r="S214" s="33">
        <f>IF($A214="","",$F214*(1+$C$4)+($Q214+$R214)*(1+$C$5))</f>
        <v/>
      </c>
      <c r="T214" s="33">
        <f>IF($A214="","",$S214*(1+$C$6))</f>
        <v/>
      </c>
      <c r="U214" s="18">
        <f>IF($A214="","",$T214*$C214)</f>
        <v/>
      </c>
      <c r="V214" s="18">
        <f>IF($A214="","",$S214*$C214)</f>
        <v/>
      </c>
      <c r="W214" s="28">
        <f>IF($A214="","",IF(N(Auftrag!$AO214)&gt;0,"nicht vollständig eingeplant",IF($D214=0,"kein Schnittplan oder Preis",IF($H214="","keine Schneiddaten",IF(AND(Auftrag!$AF214&lt;&gt;"",Auftrag!$AG214=""),"Gewinde ungeprüft","")))))</f>
        <v/>
      </c>
      <c r="X214" s="18">
        <f>IF($A214="","",$F214*$C214)</f>
        <v/>
      </c>
      <c r="Y214" s="18">
        <f>IF($A214="","",$Q214*$C214)</f>
        <v/>
      </c>
    </row>
    <row r="215">
      <c r="A215" s="25">
        <f>IF(Auftrag!$D215="","",Auftrag!$A215)</f>
        <v/>
      </c>
      <c r="B215" s="25">
        <f>IF($A215="","",Auftrag!$B215)</f>
        <v/>
      </c>
      <c r="C215" s="15">
        <f>IF($A215="","",N(Auftrag!$G215))</f>
        <v/>
      </c>
      <c r="D215" s="18">
        <f>IF($A215="","",SUMIFS(Schnittplan!$R$5:$R$1004,Schnittplan!$B$5:$B$1004,Auftrag!$D215,Schnittplan!$C$5:$C$1004,Auftrag!$E215,Schnittplan!$D$5:$D$1004,Auftrag!$Q215))</f>
        <v/>
      </c>
      <c r="E215" s="32">
        <f>IF($A215="","",IFERROR(N(Auftrag!$P215)/SUMIFS(Auftrag!$P$13:$P$512,Auftrag!$D$13:$D$512,Auftrag!$D215,Auftrag!$E$13:$E$512,Auftrag!$E215,Auftrag!$Q$13:$Q$512,Auftrag!$Q215),0))</f>
        <v/>
      </c>
      <c r="F215" s="33">
        <f>IF($A215="","",IF($C215=0,0,$D215*$E215/$C215))</f>
        <v/>
      </c>
      <c r="G215" s="34">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5">
        <f>IF($A215="","",IF($H215="","",60*((N(Auftrag!$H215)-N(Auftrag!$AI215)-N(Auftrag!$AK215))/$H215+N(Auftrag!$AI215)/$J215+N(Auftrag!$AK215)/$I215+N(Auftrag!$AD215)/$K215)+N(Auftrag!$I215)*$L215))</f>
        <v/>
      </c>
      <c r="N215" s="35">
        <f>IF($A215="","",IF(OR($H215="",$C215=0),0,(60*SUMIFS(Stangenbelegung!$K$5:$K$10004,Stangenbelegung!$E$5:$E$10004,ROW())/$H215+SUMIFS(Stangenbelegung!$L$5:$L$10004,Stangenbelegung!$E$5:$E$10004,ROW())*$L215)/$C215))</f>
        <v/>
      </c>
      <c r="O215" s="35">
        <f>IF($A215="","",IF($M215="","",MAX(0,$M215-$N215)))</f>
        <v/>
      </c>
      <c r="P215" s="35">
        <f>IF($A215="","",IFERROR(SUMPRODUCT(--("0"&amp;TRIM(RIGHT(SUBSTITUTE(LEFT(";"&amp;SUBSTITUTE(UPPER(Auftrag!$AG215)," ","")&amp;";"&amp;"X"&amp;UPPER(Gewinde!$A$5:$A$54)&amp;";",SEARCH("X"&amp;UPPER(Gewinde!$A$5:$A$54)&amp;";",";"&amp;SUBSTITUTE(UPPER(Auftrag!$AG215)," ","")&amp;";"&amp;"X"&amp;UPPER(Gewinde!$A$5:$A$54)&amp;";")-1),";",REPT(" ",50)),50))),Gewinde!$C$5:$C$54),0))</f>
        <v/>
      </c>
      <c r="Q215" s="33">
        <f>IF($A215="","",(N($O215)+$P215)/3600*N(Auftrag!$H$8))</f>
        <v/>
      </c>
      <c r="R215" s="33">
        <f>IF($A215="","",IF($F$8=0,0,$F$7/$F$8))</f>
        <v/>
      </c>
      <c r="S215" s="33">
        <f>IF($A215="","",$F215*(1+$C$4)+($Q215+$R215)*(1+$C$5))</f>
        <v/>
      </c>
      <c r="T215" s="33">
        <f>IF($A215="","",$S215*(1+$C$6))</f>
        <v/>
      </c>
      <c r="U215" s="18">
        <f>IF($A215="","",$T215*$C215)</f>
        <v/>
      </c>
      <c r="V215" s="18">
        <f>IF($A215="","",$S215*$C215)</f>
        <v/>
      </c>
      <c r="W215" s="28">
        <f>IF($A215="","",IF(N(Auftrag!$AO215)&gt;0,"nicht vollständig eingeplant",IF($D215=0,"kein Schnittplan oder Preis",IF($H215="","keine Schneiddaten",IF(AND(Auftrag!$AF215&lt;&gt;"",Auftrag!$AG215=""),"Gewinde ungeprüft","")))))</f>
        <v/>
      </c>
      <c r="X215" s="18">
        <f>IF($A215="","",$F215*$C215)</f>
        <v/>
      </c>
      <c r="Y215" s="18">
        <f>IF($A215="","",$Q215*$C215)</f>
        <v/>
      </c>
    </row>
    <row r="216">
      <c r="A216" s="25">
        <f>IF(Auftrag!$D216="","",Auftrag!$A216)</f>
        <v/>
      </c>
      <c r="B216" s="25">
        <f>IF($A216="","",Auftrag!$B216)</f>
        <v/>
      </c>
      <c r="C216" s="15">
        <f>IF($A216="","",N(Auftrag!$G216))</f>
        <v/>
      </c>
      <c r="D216" s="18">
        <f>IF($A216="","",SUMIFS(Schnittplan!$R$5:$R$1004,Schnittplan!$B$5:$B$1004,Auftrag!$D216,Schnittplan!$C$5:$C$1004,Auftrag!$E216,Schnittplan!$D$5:$D$1004,Auftrag!$Q216))</f>
        <v/>
      </c>
      <c r="E216" s="32">
        <f>IF($A216="","",IFERROR(N(Auftrag!$P216)/SUMIFS(Auftrag!$P$13:$P$512,Auftrag!$D$13:$D$512,Auftrag!$D216,Auftrag!$E$13:$E$512,Auftrag!$E216,Auftrag!$Q$13:$Q$512,Auftrag!$Q216),0))</f>
        <v/>
      </c>
      <c r="F216" s="33">
        <f>IF($A216="","",IF($C216=0,0,$D216*$E216/$C216))</f>
        <v/>
      </c>
      <c r="G216" s="34">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5">
        <f>IF($A216="","",IF($H216="","",60*((N(Auftrag!$H216)-N(Auftrag!$AI216)-N(Auftrag!$AK216))/$H216+N(Auftrag!$AI216)/$J216+N(Auftrag!$AK216)/$I216+N(Auftrag!$AD216)/$K216)+N(Auftrag!$I216)*$L216))</f>
        <v/>
      </c>
      <c r="N216" s="35">
        <f>IF($A216="","",IF(OR($H216="",$C216=0),0,(60*SUMIFS(Stangenbelegung!$K$5:$K$10004,Stangenbelegung!$E$5:$E$10004,ROW())/$H216+SUMIFS(Stangenbelegung!$L$5:$L$10004,Stangenbelegung!$E$5:$E$10004,ROW())*$L216)/$C216))</f>
        <v/>
      </c>
      <c r="O216" s="35">
        <f>IF($A216="","",IF($M216="","",MAX(0,$M216-$N216)))</f>
        <v/>
      </c>
      <c r="P216" s="35">
        <f>IF($A216="","",IFERROR(SUMPRODUCT(--("0"&amp;TRIM(RIGHT(SUBSTITUTE(LEFT(";"&amp;SUBSTITUTE(UPPER(Auftrag!$AG216)," ","")&amp;";"&amp;"X"&amp;UPPER(Gewinde!$A$5:$A$54)&amp;";",SEARCH("X"&amp;UPPER(Gewinde!$A$5:$A$54)&amp;";",";"&amp;SUBSTITUTE(UPPER(Auftrag!$AG216)," ","")&amp;";"&amp;"X"&amp;UPPER(Gewinde!$A$5:$A$54)&amp;";")-1),";",REPT(" ",50)),50))),Gewinde!$C$5:$C$54),0))</f>
        <v/>
      </c>
      <c r="Q216" s="33">
        <f>IF($A216="","",(N($O216)+$P216)/3600*N(Auftrag!$H$8))</f>
        <v/>
      </c>
      <c r="R216" s="33">
        <f>IF($A216="","",IF($F$8=0,0,$F$7/$F$8))</f>
        <v/>
      </c>
      <c r="S216" s="33">
        <f>IF($A216="","",$F216*(1+$C$4)+($Q216+$R216)*(1+$C$5))</f>
        <v/>
      </c>
      <c r="T216" s="33">
        <f>IF($A216="","",$S216*(1+$C$6))</f>
        <v/>
      </c>
      <c r="U216" s="18">
        <f>IF($A216="","",$T216*$C216)</f>
        <v/>
      </c>
      <c r="V216" s="18">
        <f>IF($A216="","",$S216*$C216)</f>
        <v/>
      </c>
      <c r="W216" s="28">
        <f>IF($A216="","",IF(N(Auftrag!$AO216)&gt;0,"nicht vollständig eingeplant",IF($D216=0,"kein Schnittplan oder Preis",IF($H216="","keine Schneiddaten",IF(AND(Auftrag!$AF216&lt;&gt;"",Auftrag!$AG216=""),"Gewinde ungeprüft","")))))</f>
        <v/>
      </c>
      <c r="X216" s="18">
        <f>IF($A216="","",$F216*$C216)</f>
        <v/>
      </c>
      <c r="Y216" s="18">
        <f>IF($A216="","",$Q216*$C216)</f>
        <v/>
      </c>
    </row>
    <row r="217">
      <c r="A217" s="25">
        <f>IF(Auftrag!$D217="","",Auftrag!$A217)</f>
        <v/>
      </c>
      <c r="B217" s="25">
        <f>IF($A217="","",Auftrag!$B217)</f>
        <v/>
      </c>
      <c r="C217" s="15">
        <f>IF($A217="","",N(Auftrag!$G217))</f>
        <v/>
      </c>
      <c r="D217" s="18">
        <f>IF($A217="","",SUMIFS(Schnittplan!$R$5:$R$1004,Schnittplan!$B$5:$B$1004,Auftrag!$D217,Schnittplan!$C$5:$C$1004,Auftrag!$E217,Schnittplan!$D$5:$D$1004,Auftrag!$Q217))</f>
        <v/>
      </c>
      <c r="E217" s="32">
        <f>IF($A217="","",IFERROR(N(Auftrag!$P217)/SUMIFS(Auftrag!$P$13:$P$512,Auftrag!$D$13:$D$512,Auftrag!$D217,Auftrag!$E$13:$E$512,Auftrag!$E217,Auftrag!$Q$13:$Q$512,Auftrag!$Q217),0))</f>
        <v/>
      </c>
      <c r="F217" s="33">
        <f>IF($A217="","",IF($C217=0,0,$D217*$E217/$C217))</f>
        <v/>
      </c>
      <c r="G217" s="34">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5">
        <f>IF($A217="","",IF($H217="","",60*((N(Auftrag!$H217)-N(Auftrag!$AI217)-N(Auftrag!$AK217))/$H217+N(Auftrag!$AI217)/$J217+N(Auftrag!$AK217)/$I217+N(Auftrag!$AD217)/$K217)+N(Auftrag!$I217)*$L217))</f>
        <v/>
      </c>
      <c r="N217" s="35">
        <f>IF($A217="","",IF(OR($H217="",$C217=0),0,(60*SUMIFS(Stangenbelegung!$K$5:$K$10004,Stangenbelegung!$E$5:$E$10004,ROW())/$H217+SUMIFS(Stangenbelegung!$L$5:$L$10004,Stangenbelegung!$E$5:$E$10004,ROW())*$L217)/$C217))</f>
        <v/>
      </c>
      <c r="O217" s="35">
        <f>IF($A217="","",IF($M217="","",MAX(0,$M217-$N217)))</f>
        <v/>
      </c>
      <c r="P217" s="35">
        <f>IF($A217="","",IFERROR(SUMPRODUCT(--("0"&amp;TRIM(RIGHT(SUBSTITUTE(LEFT(";"&amp;SUBSTITUTE(UPPER(Auftrag!$AG217)," ","")&amp;";"&amp;"X"&amp;UPPER(Gewinde!$A$5:$A$54)&amp;";",SEARCH("X"&amp;UPPER(Gewinde!$A$5:$A$54)&amp;";",";"&amp;SUBSTITUTE(UPPER(Auftrag!$AG217)," ","")&amp;";"&amp;"X"&amp;UPPER(Gewinde!$A$5:$A$54)&amp;";")-1),";",REPT(" ",50)),50))),Gewinde!$C$5:$C$54),0))</f>
        <v/>
      </c>
      <c r="Q217" s="33">
        <f>IF($A217="","",(N($O217)+$P217)/3600*N(Auftrag!$H$8))</f>
        <v/>
      </c>
      <c r="R217" s="33">
        <f>IF($A217="","",IF($F$8=0,0,$F$7/$F$8))</f>
        <v/>
      </c>
      <c r="S217" s="33">
        <f>IF($A217="","",$F217*(1+$C$4)+($Q217+$R217)*(1+$C$5))</f>
        <v/>
      </c>
      <c r="T217" s="33">
        <f>IF($A217="","",$S217*(1+$C$6))</f>
        <v/>
      </c>
      <c r="U217" s="18">
        <f>IF($A217="","",$T217*$C217)</f>
        <v/>
      </c>
      <c r="V217" s="18">
        <f>IF($A217="","",$S217*$C217)</f>
        <v/>
      </c>
      <c r="W217" s="28">
        <f>IF($A217="","",IF(N(Auftrag!$AO217)&gt;0,"nicht vollständig eingeplant",IF($D217=0,"kein Schnittplan oder Preis",IF($H217="","keine Schneiddaten",IF(AND(Auftrag!$AF217&lt;&gt;"",Auftrag!$AG217=""),"Gewinde ungeprüft","")))))</f>
        <v/>
      </c>
      <c r="X217" s="18">
        <f>IF($A217="","",$F217*$C217)</f>
        <v/>
      </c>
      <c r="Y217" s="18">
        <f>IF($A217="","",$Q217*$C217)</f>
        <v/>
      </c>
    </row>
    <row r="218">
      <c r="A218" s="25">
        <f>IF(Auftrag!$D218="","",Auftrag!$A218)</f>
        <v/>
      </c>
      <c r="B218" s="25">
        <f>IF($A218="","",Auftrag!$B218)</f>
        <v/>
      </c>
      <c r="C218" s="15">
        <f>IF($A218="","",N(Auftrag!$G218))</f>
        <v/>
      </c>
      <c r="D218" s="18">
        <f>IF($A218="","",SUMIFS(Schnittplan!$R$5:$R$1004,Schnittplan!$B$5:$B$1004,Auftrag!$D218,Schnittplan!$C$5:$C$1004,Auftrag!$E218,Schnittplan!$D$5:$D$1004,Auftrag!$Q218))</f>
        <v/>
      </c>
      <c r="E218" s="32">
        <f>IF($A218="","",IFERROR(N(Auftrag!$P218)/SUMIFS(Auftrag!$P$13:$P$512,Auftrag!$D$13:$D$512,Auftrag!$D218,Auftrag!$E$13:$E$512,Auftrag!$E218,Auftrag!$Q$13:$Q$512,Auftrag!$Q218),0))</f>
        <v/>
      </c>
      <c r="F218" s="33">
        <f>IF($A218="","",IF($C218=0,0,$D218*$E218/$C218))</f>
        <v/>
      </c>
      <c r="G218" s="34">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5">
        <f>IF($A218="","",IF($H218="","",60*((N(Auftrag!$H218)-N(Auftrag!$AI218)-N(Auftrag!$AK218))/$H218+N(Auftrag!$AI218)/$J218+N(Auftrag!$AK218)/$I218+N(Auftrag!$AD218)/$K218)+N(Auftrag!$I218)*$L218))</f>
        <v/>
      </c>
      <c r="N218" s="35">
        <f>IF($A218="","",IF(OR($H218="",$C218=0),0,(60*SUMIFS(Stangenbelegung!$K$5:$K$10004,Stangenbelegung!$E$5:$E$10004,ROW())/$H218+SUMIFS(Stangenbelegung!$L$5:$L$10004,Stangenbelegung!$E$5:$E$10004,ROW())*$L218)/$C218))</f>
        <v/>
      </c>
      <c r="O218" s="35">
        <f>IF($A218="","",IF($M218="","",MAX(0,$M218-$N218)))</f>
        <v/>
      </c>
      <c r="P218" s="35">
        <f>IF($A218="","",IFERROR(SUMPRODUCT(--("0"&amp;TRIM(RIGHT(SUBSTITUTE(LEFT(";"&amp;SUBSTITUTE(UPPER(Auftrag!$AG218)," ","")&amp;";"&amp;"X"&amp;UPPER(Gewinde!$A$5:$A$54)&amp;";",SEARCH("X"&amp;UPPER(Gewinde!$A$5:$A$54)&amp;";",";"&amp;SUBSTITUTE(UPPER(Auftrag!$AG218)," ","")&amp;";"&amp;"X"&amp;UPPER(Gewinde!$A$5:$A$54)&amp;";")-1),";",REPT(" ",50)),50))),Gewinde!$C$5:$C$54),0))</f>
        <v/>
      </c>
      <c r="Q218" s="33">
        <f>IF($A218="","",(N($O218)+$P218)/3600*N(Auftrag!$H$8))</f>
        <v/>
      </c>
      <c r="R218" s="33">
        <f>IF($A218="","",IF($F$8=0,0,$F$7/$F$8))</f>
        <v/>
      </c>
      <c r="S218" s="33">
        <f>IF($A218="","",$F218*(1+$C$4)+($Q218+$R218)*(1+$C$5))</f>
        <v/>
      </c>
      <c r="T218" s="33">
        <f>IF($A218="","",$S218*(1+$C$6))</f>
        <v/>
      </c>
      <c r="U218" s="18">
        <f>IF($A218="","",$T218*$C218)</f>
        <v/>
      </c>
      <c r="V218" s="18">
        <f>IF($A218="","",$S218*$C218)</f>
        <v/>
      </c>
      <c r="W218" s="28">
        <f>IF($A218="","",IF(N(Auftrag!$AO218)&gt;0,"nicht vollständig eingeplant",IF($D218=0,"kein Schnittplan oder Preis",IF($H218="","keine Schneiddaten",IF(AND(Auftrag!$AF218&lt;&gt;"",Auftrag!$AG218=""),"Gewinde ungeprüft","")))))</f>
        <v/>
      </c>
      <c r="X218" s="18">
        <f>IF($A218="","",$F218*$C218)</f>
        <v/>
      </c>
      <c r="Y218" s="18">
        <f>IF($A218="","",$Q218*$C218)</f>
        <v/>
      </c>
    </row>
    <row r="219">
      <c r="A219" s="25">
        <f>IF(Auftrag!$D219="","",Auftrag!$A219)</f>
        <v/>
      </c>
      <c r="B219" s="25">
        <f>IF($A219="","",Auftrag!$B219)</f>
        <v/>
      </c>
      <c r="C219" s="15">
        <f>IF($A219="","",N(Auftrag!$G219))</f>
        <v/>
      </c>
      <c r="D219" s="18">
        <f>IF($A219="","",SUMIFS(Schnittplan!$R$5:$R$1004,Schnittplan!$B$5:$B$1004,Auftrag!$D219,Schnittplan!$C$5:$C$1004,Auftrag!$E219,Schnittplan!$D$5:$D$1004,Auftrag!$Q219))</f>
        <v/>
      </c>
      <c r="E219" s="32">
        <f>IF($A219="","",IFERROR(N(Auftrag!$P219)/SUMIFS(Auftrag!$P$13:$P$512,Auftrag!$D$13:$D$512,Auftrag!$D219,Auftrag!$E$13:$E$512,Auftrag!$E219,Auftrag!$Q$13:$Q$512,Auftrag!$Q219),0))</f>
        <v/>
      </c>
      <c r="F219" s="33">
        <f>IF($A219="","",IF($C219=0,0,$D219*$E219/$C219))</f>
        <v/>
      </c>
      <c r="G219" s="34">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5">
        <f>IF($A219="","",IF($H219="","",60*((N(Auftrag!$H219)-N(Auftrag!$AI219)-N(Auftrag!$AK219))/$H219+N(Auftrag!$AI219)/$J219+N(Auftrag!$AK219)/$I219+N(Auftrag!$AD219)/$K219)+N(Auftrag!$I219)*$L219))</f>
        <v/>
      </c>
      <c r="N219" s="35">
        <f>IF($A219="","",IF(OR($H219="",$C219=0),0,(60*SUMIFS(Stangenbelegung!$K$5:$K$10004,Stangenbelegung!$E$5:$E$10004,ROW())/$H219+SUMIFS(Stangenbelegung!$L$5:$L$10004,Stangenbelegung!$E$5:$E$10004,ROW())*$L219)/$C219))</f>
        <v/>
      </c>
      <c r="O219" s="35">
        <f>IF($A219="","",IF($M219="","",MAX(0,$M219-$N219)))</f>
        <v/>
      </c>
      <c r="P219" s="35">
        <f>IF($A219="","",IFERROR(SUMPRODUCT(--("0"&amp;TRIM(RIGHT(SUBSTITUTE(LEFT(";"&amp;SUBSTITUTE(UPPER(Auftrag!$AG219)," ","")&amp;";"&amp;"X"&amp;UPPER(Gewinde!$A$5:$A$54)&amp;";",SEARCH("X"&amp;UPPER(Gewinde!$A$5:$A$54)&amp;";",";"&amp;SUBSTITUTE(UPPER(Auftrag!$AG219)," ","")&amp;";"&amp;"X"&amp;UPPER(Gewinde!$A$5:$A$54)&amp;";")-1),";",REPT(" ",50)),50))),Gewinde!$C$5:$C$54),0))</f>
        <v/>
      </c>
      <c r="Q219" s="33">
        <f>IF($A219="","",(N($O219)+$P219)/3600*N(Auftrag!$H$8))</f>
        <v/>
      </c>
      <c r="R219" s="33">
        <f>IF($A219="","",IF($F$8=0,0,$F$7/$F$8))</f>
        <v/>
      </c>
      <c r="S219" s="33">
        <f>IF($A219="","",$F219*(1+$C$4)+($Q219+$R219)*(1+$C$5))</f>
        <v/>
      </c>
      <c r="T219" s="33">
        <f>IF($A219="","",$S219*(1+$C$6))</f>
        <v/>
      </c>
      <c r="U219" s="18">
        <f>IF($A219="","",$T219*$C219)</f>
        <v/>
      </c>
      <c r="V219" s="18">
        <f>IF($A219="","",$S219*$C219)</f>
        <v/>
      </c>
      <c r="W219" s="28">
        <f>IF($A219="","",IF(N(Auftrag!$AO219)&gt;0,"nicht vollständig eingeplant",IF($D219=0,"kein Schnittplan oder Preis",IF($H219="","keine Schneiddaten",IF(AND(Auftrag!$AF219&lt;&gt;"",Auftrag!$AG219=""),"Gewinde ungeprüft","")))))</f>
        <v/>
      </c>
      <c r="X219" s="18">
        <f>IF($A219="","",$F219*$C219)</f>
        <v/>
      </c>
      <c r="Y219" s="18">
        <f>IF($A219="","",$Q219*$C219)</f>
        <v/>
      </c>
    </row>
    <row r="220">
      <c r="A220" s="25">
        <f>IF(Auftrag!$D220="","",Auftrag!$A220)</f>
        <v/>
      </c>
      <c r="B220" s="25">
        <f>IF($A220="","",Auftrag!$B220)</f>
        <v/>
      </c>
      <c r="C220" s="15">
        <f>IF($A220="","",N(Auftrag!$G220))</f>
        <v/>
      </c>
      <c r="D220" s="18">
        <f>IF($A220="","",SUMIFS(Schnittplan!$R$5:$R$1004,Schnittplan!$B$5:$B$1004,Auftrag!$D220,Schnittplan!$C$5:$C$1004,Auftrag!$E220,Schnittplan!$D$5:$D$1004,Auftrag!$Q220))</f>
        <v/>
      </c>
      <c r="E220" s="32">
        <f>IF($A220="","",IFERROR(N(Auftrag!$P220)/SUMIFS(Auftrag!$P$13:$P$512,Auftrag!$D$13:$D$512,Auftrag!$D220,Auftrag!$E$13:$E$512,Auftrag!$E220,Auftrag!$Q$13:$Q$512,Auftrag!$Q220),0))</f>
        <v/>
      </c>
      <c r="F220" s="33">
        <f>IF($A220="","",IF($C220=0,0,$D220*$E220/$C220))</f>
        <v/>
      </c>
      <c r="G220" s="34">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5">
        <f>IF($A220="","",IF($H220="","",60*((N(Auftrag!$H220)-N(Auftrag!$AI220)-N(Auftrag!$AK220))/$H220+N(Auftrag!$AI220)/$J220+N(Auftrag!$AK220)/$I220+N(Auftrag!$AD220)/$K220)+N(Auftrag!$I220)*$L220))</f>
        <v/>
      </c>
      <c r="N220" s="35">
        <f>IF($A220="","",IF(OR($H220="",$C220=0),0,(60*SUMIFS(Stangenbelegung!$K$5:$K$10004,Stangenbelegung!$E$5:$E$10004,ROW())/$H220+SUMIFS(Stangenbelegung!$L$5:$L$10004,Stangenbelegung!$E$5:$E$10004,ROW())*$L220)/$C220))</f>
        <v/>
      </c>
      <c r="O220" s="35">
        <f>IF($A220="","",IF($M220="","",MAX(0,$M220-$N220)))</f>
        <v/>
      </c>
      <c r="P220" s="35">
        <f>IF($A220="","",IFERROR(SUMPRODUCT(--("0"&amp;TRIM(RIGHT(SUBSTITUTE(LEFT(";"&amp;SUBSTITUTE(UPPER(Auftrag!$AG220)," ","")&amp;";"&amp;"X"&amp;UPPER(Gewinde!$A$5:$A$54)&amp;";",SEARCH("X"&amp;UPPER(Gewinde!$A$5:$A$54)&amp;";",";"&amp;SUBSTITUTE(UPPER(Auftrag!$AG220)," ","")&amp;";"&amp;"X"&amp;UPPER(Gewinde!$A$5:$A$54)&amp;";")-1),";",REPT(" ",50)),50))),Gewinde!$C$5:$C$54),0))</f>
        <v/>
      </c>
      <c r="Q220" s="33">
        <f>IF($A220="","",(N($O220)+$P220)/3600*N(Auftrag!$H$8))</f>
        <v/>
      </c>
      <c r="R220" s="33">
        <f>IF($A220="","",IF($F$8=0,0,$F$7/$F$8))</f>
        <v/>
      </c>
      <c r="S220" s="33">
        <f>IF($A220="","",$F220*(1+$C$4)+($Q220+$R220)*(1+$C$5))</f>
        <v/>
      </c>
      <c r="T220" s="33">
        <f>IF($A220="","",$S220*(1+$C$6))</f>
        <v/>
      </c>
      <c r="U220" s="18">
        <f>IF($A220="","",$T220*$C220)</f>
        <v/>
      </c>
      <c r="V220" s="18">
        <f>IF($A220="","",$S220*$C220)</f>
        <v/>
      </c>
      <c r="W220" s="28">
        <f>IF($A220="","",IF(N(Auftrag!$AO220)&gt;0,"nicht vollständig eingeplant",IF($D220=0,"kein Schnittplan oder Preis",IF($H220="","keine Schneiddaten",IF(AND(Auftrag!$AF220&lt;&gt;"",Auftrag!$AG220=""),"Gewinde ungeprüft","")))))</f>
        <v/>
      </c>
      <c r="X220" s="18">
        <f>IF($A220="","",$F220*$C220)</f>
        <v/>
      </c>
      <c r="Y220" s="18">
        <f>IF($A220="","",$Q220*$C220)</f>
        <v/>
      </c>
    </row>
    <row r="221">
      <c r="A221" s="25">
        <f>IF(Auftrag!$D221="","",Auftrag!$A221)</f>
        <v/>
      </c>
      <c r="B221" s="25">
        <f>IF($A221="","",Auftrag!$B221)</f>
        <v/>
      </c>
      <c r="C221" s="15">
        <f>IF($A221="","",N(Auftrag!$G221))</f>
        <v/>
      </c>
      <c r="D221" s="18">
        <f>IF($A221="","",SUMIFS(Schnittplan!$R$5:$R$1004,Schnittplan!$B$5:$B$1004,Auftrag!$D221,Schnittplan!$C$5:$C$1004,Auftrag!$E221,Schnittplan!$D$5:$D$1004,Auftrag!$Q221))</f>
        <v/>
      </c>
      <c r="E221" s="32">
        <f>IF($A221="","",IFERROR(N(Auftrag!$P221)/SUMIFS(Auftrag!$P$13:$P$512,Auftrag!$D$13:$D$512,Auftrag!$D221,Auftrag!$E$13:$E$512,Auftrag!$E221,Auftrag!$Q$13:$Q$512,Auftrag!$Q221),0))</f>
        <v/>
      </c>
      <c r="F221" s="33">
        <f>IF($A221="","",IF($C221=0,0,$D221*$E221/$C221))</f>
        <v/>
      </c>
      <c r="G221" s="34">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5">
        <f>IF($A221="","",IF($H221="","",60*((N(Auftrag!$H221)-N(Auftrag!$AI221)-N(Auftrag!$AK221))/$H221+N(Auftrag!$AI221)/$J221+N(Auftrag!$AK221)/$I221+N(Auftrag!$AD221)/$K221)+N(Auftrag!$I221)*$L221))</f>
        <v/>
      </c>
      <c r="N221" s="35">
        <f>IF($A221="","",IF(OR($H221="",$C221=0),0,(60*SUMIFS(Stangenbelegung!$K$5:$K$10004,Stangenbelegung!$E$5:$E$10004,ROW())/$H221+SUMIFS(Stangenbelegung!$L$5:$L$10004,Stangenbelegung!$E$5:$E$10004,ROW())*$L221)/$C221))</f>
        <v/>
      </c>
      <c r="O221" s="35">
        <f>IF($A221="","",IF($M221="","",MAX(0,$M221-$N221)))</f>
        <v/>
      </c>
      <c r="P221" s="35">
        <f>IF($A221="","",IFERROR(SUMPRODUCT(--("0"&amp;TRIM(RIGHT(SUBSTITUTE(LEFT(";"&amp;SUBSTITUTE(UPPER(Auftrag!$AG221)," ","")&amp;";"&amp;"X"&amp;UPPER(Gewinde!$A$5:$A$54)&amp;";",SEARCH("X"&amp;UPPER(Gewinde!$A$5:$A$54)&amp;";",";"&amp;SUBSTITUTE(UPPER(Auftrag!$AG221)," ","")&amp;";"&amp;"X"&amp;UPPER(Gewinde!$A$5:$A$54)&amp;";")-1),";",REPT(" ",50)),50))),Gewinde!$C$5:$C$54),0))</f>
        <v/>
      </c>
      <c r="Q221" s="33">
        <f>IF($A221="","",(N($O221)+$P221)/3600*N(Auftrag!$H$8))</f>
        <v/>
      </c>
      <c r="R221" s="33">
        <f>IF($A221="","",IF($F$8=0,0,$F$7/$F$8))</f>
        <v/>
      </c>
      <c r="S221" s="33">
        <f>IF($A221="","",$F221*(1+$C$4)+($Q221+$R221)*(1+$C$5))</f>
        <v/>
      </c>
      <c r="T221" s="33">
        <f>IF($A221="","",$S221*(1+$C$6))</f>
        <v/>
      </c>
      <c r="U221" s="18">
        <f>IF($A221="","",$T221*$C221)</f>
        <v/>
      </c>
      <c r="V221" s="18">
        <f>IF($A221="","",$S221*$C221)</f>
        <v/>
      </c>
      <c r="W221" s="28">
        <f>IF($A221="","",IF(N(Auftrag!$AO221)&gt;0,"nicht vollständig eingeplant",IF($D221=0,"kein Schnittplan oder Preis",IF($H221="","keine Schneiddaten",IF(AND(Auftrag!$AF221&lt;&gt;"",Auftrag!$AG221=""),"Gewinde ungeprüft","")))))</f>
        <v/>
      </c>
      <c r="X221" s="18">
        <f>IF($A221="","",$F221*$C221)</f>
        <v/>
      </c>
      <c r="Y221" s="18">
        <f>IF($A221="","",$Q221*$C221)</f>
        <v/>
      </c>
    </row>
    <row r="222">
      <c r="A222" s="25">
        <f>IF(Auftrag!$D222="","",Auftrag!$A222)</f>
        <v/>
      </c>
      <c r="B222" s="25">
        <f>IF($A222="","",Auftrag!$B222)</f>
        <v/>
      </c>
      <c r="C222" s="15">
        <f>IF($A222="","",N(Auftrag!$G222))</f>
        <v/>
      </c>
      <c r="D222" s="18">
        <f>IF($A222="","",SUMIFS(Schnittplan!$R$5:$R$1004,Schnittplan!$B$5:$B$1004,Auftrag!$D222,Schnittplan!$C$5:$C$1004,Auftrag!$E222,Schnittplan!$D$5:$D$1004,Auftrag!$Q222))</f>
        <v/>
      </c>
      <c r="E222" s="32">
        <f>IF($A222="","",IFERROR(N(Auftrag!$P222)/SUMIFS(Auftrag!$P$13:$P$512,Auftrag!$D$13:$D$512,Auftrag!$D222,Auftrag!$E$13:$E$512,Auftrag!$E222,Auftrag!$Q$13:$Q$512,Auftrag!$Q222),0))</f>
        <v/>
      </c>
      <c r="F222" s="33">
        <f>IF($A222="","",IF($C222=0,0,$D222*$E222/$C222))</f>
        <v/>
      </c>
      <c r="G222" s="34">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5">
        <f>IF($A222="","",IF($H222="","",60*((N(Auftrag!$H222)-N(Auftrag!$AI222)-N(Auftrag!$AK222))/$H222+N(Auftrag!$AI222)/$J222+N(Auftrag!$AK222)/$I222+N(Auftrag!$AD222)/$K222)+N(Auftrag!$I222)*$L222))</f>
        <v/>
      </c>
      <c r="N222" s="35">
        <f>IF($A222="","",IF(OR($H222="",$C222=0),0,(60*SUMIFS(Stangenbelegung!$K$5:$K$10004,Stangenbelegung!$E$5:$E$10004,ROW())/$H222+SUMIFS(Stangenbelegung!$L$5:$L$10004,Stangenbelegung!$E$5:$E$10004,ROW())*$L222)/$C222))</f>
        <v/>
      </c>
      <c r="O222" s="35">
        <f>IF($A222="","",IF($M222="","",MAX(0,$M222-$N222)))</f>
        <v/>
      </c>
      <c r="P222" s="35">
        <f>IF($A222="","",IFERROR(SUMPRODUCT(--("0"&amp;TRIM(RIGHT(SUBSTITUTE(LEFT(";"&amp;SUBSTITUTE(UPPER(Auftrag!$AG222)," ","")&amp;";"&amp;"X"&amp;UPPER(Gewinde!$A$5:$A$54)&amp;";",SEARCH("X"&amp;UPPER(Gewinde!$A$5:$A$54)&amp;";",";"&amp;SUBSTITUTE(UPPER(Auftrag!$AG222)," ","")&amp;";"&amp;"X"&amp;UPPER(Gewinde!$A$5:$A$54)&amp;";")-1),";",REPT(" ",50)),50))),Gewinde!$C$5:$C$54),0))</f>
        <v/>
      </c>
      <c r="Q222" s="33">
        <f>IF($A222="","",(N($O222)+$P222)/3600*N(Auftrag!$H$8))</f>
        <v/>
      </c>
      <c r="R222" s="33">
        <f>IF($A222="","",IF($F$8=0,0,$F$7/$F$8))</f>
        <v/>
      </c>
      <c r="S222" s="33">
        <f>IF($A222="","",$F222*(1+$C$4)+($Q222+$R222)*(1+$C$5))</f>
        <v/>
      </c>
      <c r="T222" s="33">
        <f>IF($A222="","",$S222*(1+$C$6))</f>
        <v/>
      </c>
      <c r="U222" s="18">
        <f>IF($A222="","",$T222*$C222)</f>
        <v/>
      </c>
      <c r="V222" s="18">
        <f>IF($A222="","",$S222*$C222)</f>
        <v/>
      </c>
      <c r="W222" s="28">
        <f>IF($A222="","",IF(N(Auftrag!$AO222)&gt;0,"nicht vollständig eingeplant",IF($D222=0,"kein Schnittplan oder Preis",IF($H222="","keine Schneiddaten",IF(AND(Auftrag!$AF222&lt;&gt;"",Auftrag!$AG222=""),"Gewinde ungeprüft","")))))</f>
        <v/>
      </c>
      <c r="X222" s="18">
        <f>IF($A222="","",$F222*$C222)</f>
        <v/>
      </c>
      <c r="Y222" s="18">
        <f>IF($A222="","",$Q222*$C222)</f>
        <v/>
      </c>
    </row>
    <row r="223">
      <c r="A223" s="25">
        <f>IF(Auftrag!$D223="","",Auftrag!$A223)</f>
        <v/>
      </c>
      <c r="B223" s="25">
        <f>IF($A223="","",Auftrag!$B223)</f>
        <v/>
      </c>
      <c r="C223" s="15">
        <f>IF($A223="","",N(Auftrag!$G223))</f>
        <v/>
      </c>
      <c r="D223" s="18">
        <f>IF($A223="","",SUMIFS(Schnittplan!$R$5:$R$1004,Schnittplan!$B$5:$B$1004,Auftrag!$D223,Schnittplan!$C$5:$C$1004,Auftrag!$E223,Schnittplan!$D$5:$D$1004,Auftrag!$Q223))</f>
        <v/>
      </c>
      <c r="E223" s="32">
        <f>IF($A223="","",IFERROR(N(Auftrag!$P223)/SUMIFS(Auftrag!$P$13:$P$512,Auftrag!$D$13:$D$512,Auftrag!$D223,Auftrag!$E$13:$E$512,Auftrag!$E223,Auftrag!$Q$13:$Q$512,Auftrag!$Q223),0))</f>
        <v/>
      </c>
      <c r="F223" s="33">
        <f>IF($A223="","",IF($C223=0,0,$D223*$E223/$C223))</f>
        <v/>
      </c>
      <c r="G223" s="34">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5">
        <f>IF($A223="","",IF($H223="","",60*((N(Auftrag!$H223)-N(Auftrag!$AI223)-N(Auftrag!$AK223))/$H223+N(Auftrag!$AI223)/$J223+N(Auftrag!$AK223)/$I223+N(Auftrag!$AD223)/$K223)+N(Auftrag!$I223)*$L223))</f>
        <v/>
      </c>
      <c r="N223" s="35">
        <f>IF($A223="","",IF(OR($H223="",$C223=0),0,(60*SUMIFS(Stangenbelegung!$K$5:$K$10004,Stangenbelegung!$E$5:$E$10004,ROW())/$H223+SUMIFS(Stangenbelegung!$L$5:$L$10004,Stangenbelegung!$E$5:$E$10004,ROW())*$L223)/$C223))</f>
        <v/>
      </c>
      <c r="O223" s="35">
        <f>IF($A223="","",IF($M223="","",MAX(0,$M223-$N223)))</f>
        <v/>
      </c>
      <c r="P223" s="35">
        <f>IF($A223="","",IFERROR(SUMPRODUCT(--("0"&amp;TRIM(RIGHT(SUBSTITUTE(LEFT(";"&amp;SUBSTITUTE(UPPER(Auftrag!$AG223)," ","")&amp;";"&amp;"X"&amp;UPPER(Gewinde!$A$5:$A$54)&amp;";",SEARCH("X"&amp;UPPER(Gewinde!$A$5:$A$54)&amp;";",";"&amp;SUBSTITUTE(UPPER(Auftrag!$AG223)," ","")&amp;";"&amp;"X"&amp;UPPER(Gewinde!$A$5:$A$54)&amp;";")-1),";",REPT(" ",50)),50))),Gewinde!$C$5:$C$54),0))</f>
        <v/>
      </c>
      <c r="Q223" s="33">
        <f>IF($A223="","",(N($O223)+$P223)/3600*N(Auftrag!$H$8))</f>
        <v/>
      </c>
      <c r="R223" s="33">
        <f>IF($A223="","",IF($F$8=0,0,$F$7/$F$8))</f>
        <v/>
      </c>
      <c r="S223" s="33">
        <f>IF($A223="","",$F223*(1+$C$4)+($Q223+$R223)*(1+$C$5))</f>
        <v/>
      </c>
      <c r="T223" s="33">
        <f>IF($A223="","",$S223*(1+$C$6))</f>
        <v/>
      </c>
      <c r="U223" s="18">
        <f>IF($A223="","",$T223*$C223)</f>
        <v/>
      </c>
      <c r="V223" s="18">
        <f>IF($A223="","",$S223*$C223)</f>
        <v/>
      </c>
      <c r="W223" s="28">
        <f>IF($A223="","",IF(N(Auftrag!$AO223)&gt;0,"nicht vollständig eingeplant",IF($D223=0,"kein Schnittplan oder Preis",IF($H223="","keine Schneiddaten",IF(AND(Auftrag!$AF223&lt;&gt;"",Auftrag!$AG223=""),"Gewinde ungeprüft","")))))</f>
        <v/>
      </c>
      <c r="X223" s="18">
        <f>IF($A223="","",$F223*$C223)</f>
        <v/>
      </c>
      <c r="Y223" s="18">
        <f>IF($A223="","",$Q223*$C223)</f>
        <v/>
      </c>
    </row>
    <row r="224">
      <c r="A224" s="25">
        <f>IF(Auftrag!$D224="","",Auftrag!$A224)</f>
        <v/>
      </c>
      <c r="B224" s="25">
        <f>IF($A224="","",Auftrag!$B224)</f>
        <v/>
      </c>
      <c r="C224" s="15">
        <f>IF($A224="","",N(Auftrag!$G224))</f>
        <v/>
      </c>
      <c r="D224" s="18">
        <f>IF($A224="","",SUMIFS(Schnittplan!$R$5:$R$1004,Schnittplan!$B$5:$B$1004,Auftrag!$D224,Schnittplan!$C$5:$C$1004,Auftrag!$E224,Schnittplan!$D$5:$D$1004,Auftrag!$Q224))</f>
        <v/>
      </c>
      <c r="E224" s="32">
        <f>IF($A224="","",IFERROR(N(Auftrag!$P224)/SUMIFS(Auftrag!$P$13:$P$512,Auftrag!$D$13:$D$512,Auftrag!$D224,Auftrag!$E$13:$E$512,Auftrag!$E224,Auftrag!$Q$13:$Q$512,Auftrag!$Q224),0))</f>
        <v/>
      </c>
      <c r="F224" s="33">
        <f>IF($A224="","",IF($C224=0,0,$D224*$E224/$C224))</f>
        <v/>
      </c>
      <c r="G224" s="34">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5">
        <f>IF($A224="","",IF($H224="","",60*((N(Auftrag!$H224)-N(Auftrag!$AI224)-N(Auftrag!$AK224))/$H224+N(Auftrag!$AI224)/$J224+N(Auftrag!$AK224)/$I224+N(Auftrag!$AD224)/$K224)+N(Auftrag!$I224)*$L224))</f>
        <v/>
      </c>
      <c r="N224" s="35">
        <f>IF($A224="","",IF(OR($H224="",$C224=0),0,(60*SUMIFS(Stangenbelegung!$K$5:$K$10004,Stangenbelegung!$E$5:$E$10004,ROW())/$H224+SUMIFS(Stangenbelegung!$L$5:$L$10004,Stangenbelegung!$E$5:$E$10004,ROW())*$L224)/$C224))</f>
        <v/>
      </c>
      <c r="O224" s="35">
        <f>IF($A224="","",IF($M224="","",MAX(0,$M224-$N224)))</f>
        <v/>
      </c>
      <c r="P224" s="35">
        <f>IF($A224="","",IFERROR(SUMPRODUCT(--("0"&amp;TRIM(RIGHT(SUBSTITUTE(LEFT(";"&amp;SUBSTITUTE(UPPER(Auftrag!$AG224)," ","")&amp;";"&amp;"X"&amp;UPPER(Gewinde!$A$5:$A$54)&amp;";",SEARCH("X"&amp;UPPER(Gewinde!$A$5:$A$54)&amp;";",";"&amp;SUBSTITUTE(UPPER(Auftrag!$AG224)," ","")&amp;";"&amp;"X"&amp;UPPER(Gewinde!$A$5:$A$54)&amp;";")-1),";",REPT(" ",50)),50))),Gewinde!$C$5:$C$54),0))</f>
        <v/>
      </c>
      <c r="Q224" s="33">
        <f>IF($A224="","",(N($O224)+$P224)/3600*N(Auftrag!$H$8))</f>
        <v/>
      </c>
      <c r="R224" s="33">
        <f>IF($A224="","",IF($F$8=0,0,$F$7/$F$8))</f>
        <v/>
      </c>
      <c r="S224" s="33">
        <f>IF($A224="","",$F224*(1+$C$4)+($Q224+$R224)*(1+$C$5))</f>
        <v/>
      </c>
      <c r="T224" s="33">
        <f>IF($A224="","",$S224*(1+$C$6))</f>
        <v/>
      </c>
      <c r="U224" s="18">
        <f>IF($A224="","",$T224*$C224)</f>
        <v/>
      </c>
      <c r="V224" s="18">
        <f>IF($A224="","",$S224*$C224)</f>
        <v/>
      </c>
      <c r="W224" s="28">
        <f>IF($A224="","",IF(N(Auftrag!$AO224)&gt;0,"nicht vollständig eingeplant",IF($D224=0,"kein Schnittplan oder Preis",IF($H224="","keine Schneiddaten",IF(AND(Auftrag!$AF224&lt;&gt;"",Auftrag!$AG224=""),"Gewinde ungeprüft","")))))</f>
        <v/>
      </c>
      <c r="X224" s="18">
        <f>IF($A224="","",$F224*$C224)</f>
        <v/>
      </c>
      <c r="Y224" s="18">
        <f>IF($A224="","",$Q224*$C224)</f>
        <v/>
      </c>
    </row>
    <row r="225">
      <c r="A225" s="25">
        <f>IF(Auftrag!$D225="","",Auftrag!$A225)</f>
        <v/>
      </c>
      <c r="B225" s="25">
        <f>IF($A225="","",Auftrag!$B225)</f>
        <v/>
      </c>
      <c r="C225" s="15">
        <f>IF($A225="","",N(Auftrag!$G225))</f>
        <v/>
      </c>
      <c r="D225" s="18">
        <f>IF($A225="","",SUMIFS(Schnittplan!$R$5:$R$1004,Schnittplan!$B$5:$B$1004,Auftrag!$D225,Schnittplan!$C$5:$C$1004,Auftrag!$E225,Schnittplan!$D$5:$D$1004,Auftrag!$Q225))</f>
        <v/>
      </c>
      <c r="E225" s="32">
        <f>IF($A225="","",IFERROR(N(Auftrag!$P225)/SUMIFS(Auftrag!$P$13:$P$512,Auftrag!$D$13:$D$512,Auftrag!$D225,Auftrag!$E$13:$E$512,Auftrag!$E225,Auftrag!$Q$13:$Q$512,Auftrag!$Q225),0))</f>
        <v/>
      </c>
      <c r="F225" s="33">
        <f>IF($A225="","",IF($C225=0,0,$D225*$E225/$C225))</f>
        <v/>
      </c>
      <c r="G225" s="34">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5">
        <f>IF($A225="","",IF($H225="","",60*((N(Auftrag!$H225)-N(Auftrag!$AI225)-N(Auftrag!$AK225))/$H225+N(Auftrag!$AI225)/$J225+N(Auftrag!$AK225)/$I225+N(Auftrag!$AD225)/$K225)+N(Auftrag!$I225)*$L225))</f>
        <v/>
      </c>
      <c r="N225" s="35">
        <f>IF($A225="","",IF(OR($H225="",$C225=0),0,(60*SUMIFS(Stangenbelegung!$K$5:$K$10004,Stangenbelegung!$E$5:$E$10004,ROW())/$H225+SUMIFS(Stangenbelegung!$L$5:$L$10004,Stangenbelegung!$E$5:$E$10004,ROW())*$L225)/$C225))</f>
        <v/>
      </c>
      <c r="O225" s="35">
        <f>IF($A225="","",IF($M225="","",MAX(0,$M225-$N225)))</f>
        <v/>
      </c>
      <c r="P225" s="35">
        <f>IF($A225="","",IFERROR(SUMPRODUCT(--("0"&amp;TRIM(RIGHT(SUBSTITUTE(LEFT(";"&amp;SUBSTITUTE(UPPER(Auftrag!$AG225)," ","")&amp;";"&amp;"X"&amp;UPPER(Gewinde!$A$5:$A$54)&amp;";",SEARCH("X"&amp;UPPER(Gewinde!$A$5:$A$54)&amp;";",";"&amp;SUBSTITUTE(UPPER(Auftrag!$AG225)," ","")&amp;";"&amp;"X"&amp;UPPER(Gewinde!$A$5:$A$54)&amp;";")-1),";",REPT(" ",50)),50))),Gewinde!$C$5:$C$54),0))</f>
        <v/>
      </c>
      <c r="Q225" s="33">
        <f>IF($A225="","",(N($O225)+$P225)/3600*N(Auftrag!$H$8))</f>
        <v/>
      </c>
      <c r="R225" s="33">
        <f>IF($A225="","",IF($F$8=0,0,$F$7/$F$8))</f>
        <v/>
      </c>
      <c r="S225" s="33">
        <f>IF($A225="","",$F225*(1+$C$4)+($Q225+$R225)*(1+$C$5))</f>
        <v/>
      </c>
      <c r="T225" s="33">
        <f>IF($A225="","",$S225*(1+$C$6))</f>
        <v/>
      </c>
      <c r="U225" s="18">
        <f>IF($A225="","",$T225*$C225)</f>
        <v/>
      </c>
      <c r="V225" s="18">
        <f>IF($A225="","",$S225*$C225)</f>
        <v/>
      </c>
      <c r="W225" s="28">
        <f>IF($A225="","",IF(N(Auftrag!$AO225)&gt;0,"nicht vollständig eingeplant",IF($D225=0,"kein Schnittplan oder Preis",IF($H225="","keine Schneiddaten",IF(AND(Auftrag!$AF225&lt;&gt;"",Auftrag!$AG225=""),"Gewinde ungeprüft","")))))</f>
        <v/>
      </c>
      <c r="X225" s="18">
        <f>IF($A225="","",$F225*$C225)</f>
        <v/>
      </c>
      <c r="Y225" s="18">
        <f>IF($A225="","",$Q225*$C225)</f>
        <v/>
      </c>
    </row>
    <row r="226">
      <c r="A226" s="25">
        <f>IF(Auftrag!$D226="","",Auftrag!$A226)</f>
        <v/>
      </c>
      <c r="B226" s="25">
        <f>IF($A226="","",Auftrag!$B226)</f>
        <v/>
      </c>
      <c r="C226" s="15">
        <f>IF($A226="","",N(Auftrag!$G226))</f>
        <v/>
      </c>
      <c r="D226" s="18">
        <f>IF($A226="","",SUMIFS(Schnittplan!$R$5:$R$1004,Schnittplan!$B$5:$B$1004,Auftrag!$D226,Schnittplan!$C$5:$C$1004,Auftrag!$E226,Schnittplan!$D$5:$D$1004,Auftrag!$Q226))</f>
        <v/>
      </c>
      <c r="E226" s="32">
        <f>IF($A226="","",IFERROR(N(Auftrag!$P226)/SUMIFS(Auftrag!$P$13:$P$512,Auftrag!$D$13:$D$512,Auftrag!$D226,Auftrag!$E$13:$E$512,Auftrag!$E226,Auftrag!$Q$13:$Q$512,Auftrag!$Q226),0))</f>
        <v/>
      </c>
      <c r="F226" s="33">
        <f>IF($A226="","",IF($C226=0,0,$D226*$E226/$C226))</f>
        <v/>
      </c>
      <c r="G226" s="34">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5">
        <f>IF($A226="","",IF($H226="","",60*((N(Auftrag!$H226)-N(Auftrag!$AI226)-N(Auftrag!$AK226))/$H226+N(Auftrag!$AI226)/$J226+N(Auftrag!$AK226)/$I226+N(Auftrag!$AD226)/$K226)+N(Auftrag!$I226)*$L226))</f>
        <v/>
      </c>
      <c r="N226" s="35">
        <f>IF($A226="","",IF(OR($H226="",$C226=0),0,(60*SUMIFS(Stangenbelegung!$K$5:$K$10004,Stangenbelegung!$E$5:$E$10004,ROW())/$H226+SUMIFS(Stangenbelegung!$L$5:$L$10004,Stangenbelegung!$E$5:$E$10004,ROW())*$L226)/$C226))</f>
        <v/>
      </c>
      <c r="O226" s="35">
        <f>IF($A226="","",IF($M226="","",MAX(0,$M226-$N226)))</f>
        <v/>
      </c>
      <c r="P226" s="35">
        <f>IF($A226="","",IFERROR(SUMPRODUCT(--("0"&amp;TRIM(RIGHT(SUBSTITUTE(LEFT(";"&amp;SUBSTITUTE(UPPER(Auftrag!$AG226)," ","")&amp;";"&amp;"X"&amp;UPPER(Gewinde!$A$5:$A$54)&amp;";",SEARCH("X"&amp;UPPER(Gewinde!$A$5:$A$54)&amp;";",";"&amp;SUBSTITUTE(UPPER(Auftrag!$AG226)," ","")&amp;";"&amp;"X"&amp;UPPER(Gewinde!$A$5:$A$54)&amp;";")-1),";",REPT(" ",50)),50))),Gewinde!$C$5:$C$54),0))</f>
        <v/>
      </c>
      <c r="Q226" s="33">
        <f>IF($A226="","",(N($O226)+$P226)/3600*N(Auftrag!$H$8))</f>
        <v/>
      </c>
      <c r="R226" s="33">
        <f>IF($A226="","",IF($F$8=0,0,$F$7/$F$8))</f>
        <v/>
      </c>
      <c r="S226" s="33">
        <f>IF($A226="","",$F226*(1+$C$4)+($Q226+$R226)*(1+$C$5))</f>
        <v/>
      </c>
      <c r="T226" s="33">
        <f>IF($A226="","",$S226*(1+$C$6))</f>
        <v/>
      </c>
      <c r="U226" s="18">
        <f>IF($A226="","",$T226*$C226)</f>
        <v/>
      </c>
      <c r="V226" s="18">
        <f>IF($A226="","",$S226*$C226)</f>
        <v/>
      </c>
      <c r="W226" s="28">
        <f>IF($A226="","",IF(N(Auftrag!$AO226)&gt;0,"nicht vollständig eingeplant",IF($D226=0,"kein Schnittplan oder Preis",IF($H226="","keine Schneiddaten",IF(AND(Auftrag!$AF226&lt;&gt;"",Auftrag!$AG226=""),"Gewinde ungeprüft","")))))</f>
        <v/>
      </c>
      <c r="X226" s="18">
        <f>IF($A226="","",$F226*$C226)</f>
        <v/>
      </c>
      <c r="Y226" s="18">
        <f>IF($A226="","",$Q226*$C226)</f>
        <v/>
      </c>
    </row>
    <row r="227">
      <c r="A227" s="25">
        <f>IF(Auftrag!$D227="","",Auftrag!$A227)</f>
        <v/>
      </c>
      <c r="B227" s="25">
        <f>IF($A227="","",Auftrag!$B227)</f>
        <v/>
      </c>
      <c r="C227" s="15">
        <f>IF($A227="","",N(Auftrag!$G227))</f>
        <v/>
      </c>
      <c r="D227" s="18">
        <f>IF($A227="","",SUMIFS(Schnittplan!$R$5:$R$1004,Schnittplan!$B$5:$B$1004,Auftrag!$D227,Schnittplan!$C$5:$C$1004,Auftrag!$E227,Schnittplan!$D$5:$D$1004,Auftrag!$Q227))</f>
        <v/>
      </c>
      <c r="E227" s="32">
        <f>IF($A227="","",IFERROR(N(Auftrag!$P227)/SUMIFS(Auftrag!$P$13:$P$512,Auftrag!$D$13:$D$512,Auftrag!$D227,Auftrag!$E$13:$E$512,Auftrag!$E227,Auftrag!$Q$13:$Q$512,Auftrag!$Q227),0))</f>
        <v/>
      </c>
      <c r="F227" s="33">
        <f>IF($A227="","",IF($C227=0,0,$D227*$E227/$C227))</f>
        <v/>
      </c>
      <c r="G227" s="34">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5">
        <f>IF($A227="","",IF($H227="","",60*((N(Auftrag!$H227)-N(Auftrag!$AI227)-N(Auftrag!$AK227))/$H227+N(Auftrag!$AI227)/$J227+N(Auftrag!$AK227)/$I227+N(Auftrag!$AD227)/$K227)+N(Auftrag!$I227)*$L227))</f>
        <v/>
      </c>
      <c r="N227" s="35">
        <f>IF($A227="","",IF(OR($H227="",$C227=0),0,(60*SUMIFS(Stangenbelegung!$K$5:$K$10004,Stangenbelegung!$E$5:$E$10004,ROW())/$H227+SUMIFS(Stangenbelegung!$L$5:$L$10004,Stangenbelegung!$E$5:$E$10004,ROW())*$L227)/$C227))</f>
        <v/>
      </c>
      <c r="O227" s="35">
        <f>IF($A227="","",IF($M227="","",MAX(0,$M227-$N227)))</f>
        <v/>
      </c>
      <c r="P227" s="35">
        <f>IF($A227="","",IFERROR(SUMPRODUCT(--("0"&amp;TRIM(RIGHT(SUBSTITUTE(LEFT(";"&amp;SUBSTITUTE(UPPER(Auftrag!$AG227)," ","")&amp;";"&amp;"X"&amp;UPPER(Gewinde!$A$5:$A$54)&amp;";",SEARCH("X"&amp;UPPER(Gewinde!$A$5:$A$54)&amp;";",";"&amp;SUBSTITUTE(UPPER(Auftrag!$AG227)," ","")&amp;";"&amp;"X"&amp;UPPER(Gewinde!$A$5:$A$54)&amp;";")-1),";",REPT(" ",50)),50))),Gewinde!$C$5:$C$54),0))</f>
        <v/>
      </c>
      <c r="Q227" s="33">
        <f>IF($A227="","",(N($O227)+$P227)/3600*N(Auftrag!$H$8))</f>
        <v/>
      </c>
      <c r="R227" s="33">
        <f>IF($A227="","",IF($F$8=0,0,$F$7/$F$8))</f>
        <v/>
      </c>
      <c r="S227" s="33">
        <f>IF($A227="","",$F227*(1+$C$4)+($Q227+$R227)*(1+$C$5))</f>
        <v/>
      </c>
      <c r="T227" s="33">
        <f>IF($A227="","",$S227*(1+$C$6))</f>
        <v/>
      </c>
      <c r="U227" s="18">
        <f>IF($A227="","",$T227*$C227)</f>
        <v/>
      </c>
      <c r="V227" s="18">
        <f>IF($A227="","",$S227*$C227)</f>
        <v/>
      </c>
      <c r="W227" s="28">
        <f>IF($A227="","",IF(N(Auftrag!$AO227)&gt;0,"nicht vollständig eingeplant",IF($D227=0,"kein Schnittplan oder Preis",IF($H227="","keine Schneiddaten",IF(AND(Auftrag!$AF227&lt;&gt;"",Auftrag!$AG227=""),"Gewinde ungeprüft","")))))</f>
        <v/>
      </c>
      <c r="X227" s="18">
        <f>IF($A227="","",$F227*$C227)</f>
        <v/>
      </c>
      <c r="Y227" s="18">
        <f>IF($A227="","",$Q227*$C227)</f>
        <v/>
      </c>
    </row>
    <row r="228">
      <c r="A228" s="25">
        <f>IF(Auftrag!$D228="","",Auftrag!$A228)</f>
        <v/>
      </c>
      <c r="B228" s="25">
        <f>IF($A228="","",Auftrag!$B228)</f>
        <v/>
      </c>
      <c r="C228" s="15">
        <f>IF($A228="","",N(Auftrag!$G228))</f>
        <v/>
      </c>
      <c r="D228" s="18">
        <f>IF($A228="","",SUMIFS(Schnittplan!$R$5:$R$1004,Schnittplan!$B$5:$B$1004,Auftrag!$D228,Schnittplan!$C$5:$C$1004,Auftrag!$E228,Schnittplan!$D$5:$D$1004,Auftrag!$Q228))</f>
        <v/>
      </c>
      <c r="E228" s="32">
        <f>IF($A228="","",IFERROR(N(Auftrag!$P228)/SUMIFS(Auftrag!$P$13:$P$512,Auftrag!$D$13:$D$512,Auftrag!$D228,Auftrag!$E$13:$E$512,Auftrag!$E228,Auftrag!$Q$13:$Q$512,Auftrag!$Q228),0))</f>
        <v/>
      </c>
      <c r="F228" s="33">
        <f>IF($A228="","",IF($C228=0,0,$D228*$E228/$C228))</f>
        <v/>
      </c>
      <c r="G228" s="34">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5">
        <f>IF($A228="","",IF($H228="","",60*((N(Auftrag!$H228)-N(Auftrag!$AI228)-N(Auftrag!$AK228))/$H228+N(Auftrag!$AI228)/$J228+N(Auftrag!$AK228)/$I228+N(Auftrag!$AD228)/$K228)+N(Auftrag!$I228)*$L228))</f>
        <v/>
      </c>
      <c r="N228" s="35">
        <f>IF($A228="","",IF(OR($H228="",$C228=0),0,(60*SUMIFS(Stangenbelegung!$K$5:$K$10004,Stangenbelegung!$E$5:$E$10004,ROW())/$H228+SUMIFS(Stangenbelegung!$L$5:$L$10004,Stangenbelegung!$E$5:$E$10004,ROW())*$L228)/$C228))</f>
        <v/>
      </c>
      <c r="O228" s="35">
        <f>IF($A228="","",IF($M228="","",MAX(0,$M228-$N228)))</f>
        <v/>
      </c>
      <c r="P228" s="35">
        <f>IF($A228="","",IFERROR(SUMPRODUCT(--("0"&amp;TRIM(RIGHT(SUBSTITUTE(LEFT(";"&amp;SUBSTITUTE(UPPER(Auftrag!$AG228)," ","")&amp;";"&amp;"X"&amp;UPPER(Gewinde!$A$5:$A$54)&amp;";",SEARCH("X"&amp;UPPER(Gewinde!$A$5:$A$54)&amp;";",";"&amp;SUBSTITUTE(UPPER(Auftrag!$AG228)," ","")&amp;";"&amp;"X"&amp;UPPER(Gewinde!$A$5:$A$54)&amp;";")-1),";",REPT(" ",50)),50))),Gewinde!$C$5:$C$54),0))</f>
        <v/>
      </c>
      <c r="Q228" s="33">
        <f>IF($A228="","",(N($O228)+$P228)/3600*N(Auftrag!$H$8))</f>
        <v/>
      </c>
      <c r="R228" s="33">
        <f>IF($A228="","",IF($F$8=0,0,$F$7/$F$8))</f>
        <v/>
      </c>
      <c r="S228" s="33">
        <f>IF($A228="","",$F228*(1+$C$4)+($Q228+$R228)*(1+$C$5))</f>
        <v/>
      </c>
      <c r="T228" s="33">
        <f>IF($A228="","",$S228*(1+$C$6))</f>
        <v/>
      </c>
      <c r="U228" s="18">
        <f>IF($A228="","",$T228*$C228)</f>
        <v/>
      </c>
      <c r="V228" s="18">
        <f>IF($A228="","",$S228*$C228)</f>
        <v/>
      </c>
      <c r="W228" s="28">
        <f>IF($A228="","",IF(N(Auftrag!$AO228)&gt;0,"nicht vollständig eingeplant",IF($D228=0,"kein Schnittplan oder Preis",IF($H228="","keine Schneiddaten",IF(AND(Auftrag!$AF228&lt;&gt;"",Auftrag!$AG228=""),"Gewinde ungeprüft","")))))</f>
        <v/>
      </c>
      <c r="X228" s="18">
        <f>IF($A228="","",$F228*$C228)</f>
        <v/>
      </c>
      <c r="Y228" s="18">
        <f>IF($A228="","",$Q228*$C228)</f>
        <v/>
      </c>
    </row>
    <row r="229">
      <c r="A229" s="25">
        <f>IF(Auftrag!$D229="","",Auftrag!$A229)</f>
        <v/>
      </c>
      <c r="B229" s="25">
        <f>IF($A229="","",Auftrag!$B229)</f>
        <v/>
      </c>
      <c r="C229" s="15">
        <f>IF($A229="","",N(Auftrag!$G229))</f>
        <v/>
      </c>
      <c r="D229" s="18">
        <f>IF($A229="","",SUMIFS(Schnittplan!$R$5:$R$1004,Schnittplan!$B$5:$B$1004,Auftrag!$D229,Schnittplan!$C$5:$C$1004,Auftrag!$E229,Schnittplan!$D$5:$D$1004,Auftrag!$Q229))</f>
        <v/>
      </c>
      <c r="E229" s="32">
        <f>IF($A229="","",IFERROR(N(Auftrag!$P229)/SUMIFS(Auftrag!$P$13:$P$512,Auftrag!$D$13:$D$512,Auftrag!$D229,Auftrag!$E$13:$E$512,Auftrag!$E229,Auftrag!$Q$13:$Q$512,Auftrag!$Q229),0))</f>
        <v/>
      </c>
      <c r="F229" s="33">
        <f>IF($A229="","",IF($C229=0,0,$D229*$E229/$C229))</f>
        <v/>
      </c>
      <c r="G229" s="34">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5">
        <f>IF($A229="","",IF($H229="","",60*((N(Auftrag!$H229)-N(Auftrag!$AI229)-N(Auftrag!$AK229))/$H229+N(Auftrag!$AI229)/$J229+N(Auftrag!$AK229)/$I229+N(Auftrag!$AD229)/$K229)+N(Auftrag!$I229)*$L229))</f>
        <v/>
      </c>
      <c r="N229" s="35">
        <f>IF($A229="","",IF(OR($H229="",$C229=0),0,(60*SUMIFS(Stangenbelegung!$K$5:$K$10004,Stangenbelegung!$E$5:$E$10004,ROW())/$H229+SUMIFS(Stangenbelegung!$L$5:$L$10004,Stangenbelegung!$E$5:$E$10004,ROW())*$L229)/$C229))</f>
        <v/>
      </c>
      <c r="O229" s="35">
        <f>IF($A229="","",IF($M229="","",MAX(0,$M229-$N229)))</f>
        <v/>
      </c>
      <c r="P229" s="35">
        <f>IF($A229="","",IFERROR(SUMPRODUCT(--("0"&amp;TRIM(RIGHT(SUBSTITUTE(LEFT(";"&amp;SUBSTITUTE(UPPER(Auftrag!$AG229)," ","")&amp;";"&amp;"X"&amp;UPPER(Gewinde!$A$5:$A$54)&amp;";",SEARCH("X"&amp;UPPER(Gewinde!$A$5:$A$54)&amp;";",";"&amp;SUBSTITUTE(UPPER(Auftrag!$AG229)," ","")&amp;";"&amp;"X"&amp;UPPER(Gewinde!$A$5:$A$54)&amp;";")-1),";",REPT(" ",50)),50))),Gewinde!$C$5:$C$54),0))</f>
        <v/>
      </c>
      <c r="Q229" s="33">
        <f>IF($A229="","",(N($O229)+$P229)/3600*N(Auftrag!$H$8))</f>
        <v/>
      </c>
      <c r="R229" s="33">
        <f>IF($A229="","",IF($F$8=0,0,$F$7/$F$8))</f>
        <v/>
      </c>
      <c r="S229" s="33">
        <f>IF($A229="","",$F229*(1+$C$4)+($Q229+$R229)*(1+$C$5))</f>
        <v/>
      </c>
      <c r="T229" s="33">
        <f>IF($A229="","",$S229*(1+$C$6))</f>
        <v/>
      </c>
      <c r="U229" s="18">
        <f>IF($A229="","",$T229*$C229)</f>
        <v/>
      </c>
      <c r="V229" s="18">
        <f>IF($A229="","",$S229*$C229)</f>
        <v/>
      </c>
      <c r="W229" s="28">
        <f>IF($A229="","",IF(N(Auftrag!$AO229)&gt;0,"nicht vollständig eingeplant",IF($D229=0,"kein Schnittplan oder Preis",IF($H229="","keine Schneiddaten",IF(AND(Auftrag!$AF229&lt;&gt;"",Auftrag!$AG229=""),"Gewinde ungeprüft","")))))</f>
        <v/>
      </c>
      <c r="X229" s="18">
        <f>IF($A229="","",$F229*$C229)</f>
        <v/>
      </c>
      <c r="Y229" s="18">
        <f>IF($A229="","",$Q229*$C229)</f>
        <v/>
      </c>
    </row>
    <row r="230">
      <c r="A230" s="25">
        <f>IF(Auftrag!$D230="","",Auftrag!$A230)</f>
        <v/>
      </c>
      <c r="B230" s="25">
        <f>IF($A230="","",Auftrag!$B230)</f>
        <v/>
      </c>
      <c r="C230" s="15">
        <f>IF($A230="","",N(Auftrag!$G230))</f>
        <v/>
      </c>
      <c r="D230" s="18">
        <f>IF($A230="","",SUMIFS(Schnittplan!$R$5:$R$1004,Schnittplan!$B$5:$B$1004,Auftrag!$D230,Schnittplan!$C$5:$C$1004,Auftrag!$E230,Schnittplan!$D$5:$D$1004,Auftrag!$Q230))</f>
        <v/>
      </c>
      <c r="E230" s="32">
        <f>IF($A230="","",IFERROR(N(Auftrag!$P230)/SUMIFS(Auftrag!$P$13:$P$512,Auftrag!$D$13:$D$512,Auftrag!$D230,Auftrag!$E$13:$E$512,Auftrag!$E230,Auftrag!$Q$13:$Q$512,Auftrag!$Q230),0))</f>
        <v/>
      </c>
      <c r="F230" s="33">
        <f>IF($A230="","",IF($C230=0,0,$D230*$E230/$C230))</f>
        <v/>
      </c>
      <c r="G230" s="34">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5">
        <f>IF($A230="","",IF($H230="","",60*((N(Auftrag!$H230)-N(Auftrag!$AI230)-N(Auftrag!$AK230))/$H230+N(Auftrag!$AI230)/$J230+N(Auftrag!$AK230)/$I230+N(Auftrag!$AD230)/$K230)+N(Auftrag!$I230)*$L230))</f>
        <v/>
      </c>
      <c r="N230" s="35">
        <f>IF($A230="","",IF(OR($H230="",$C230=0),0,(60*SUMIFS(Stangenbelegung!$K$5:$K$10004,Stangenbelegung!$E$5:$E$10004,ROW())/$H230+SUMIFS(Stangenbelegung!$L$5:$L$10004,Stangenbelegung!$E$5:$E$10004,ROW())*$L230)/$C230))</f>
        <v/>
      </c>
      <c r="O230" s="35">
        <f>IF($A230="","",IF($M230="","",MAX(0,$M230-$N230)))</f>
        <v/>
      </c>
      <c r="P230" s="35">
        <f>IF($A230="","",IFERROR(SUMPRODUCT(--("0"&amp;TRIM(RIGHT(SUBSTITUTE(LEFT(";"&amp;SUBSTITUTE(UPPER(Auftrag!$AG230)," ","")&amp;";"&amp;"X"&amp;UPPER(Gewinde!$A$5:$A$54)&amp;";",SEARCH("X"&amp;UPPER(Gewinde!$A$5:$A$54)&amp;";",";"&amp;SUBSTITUTE(UPPER(Auftrag!$AG230)," ","")&amp;";"&amp;"X"&amp;UPPER(Gewinde!$A$5:$A$54)&amp;";")-1),";",REPT(" ",50)),50))),Gewinde!$C$5:$C$54),0))</f>
        <v/>
      </c>
      <c r="Q230" s="33">
        <f>IF($A230="","",(N($O230)+$P230)/3600*N(Auftrag!$H$8))</f>
        <v/>
      </c>
      <c r="R230" s="33">
        <f>IF($A230="","",IF($F$8=0,0,$F$7/$F$8))</f>
        <v/>
      </c>
      <c r="S230" s="33">
        <f>IF($A230="","",$F230*(1+$C$4)+($Q230+$R230)*(1+$C$5))</f>
        <v/>
      </c>
      <c r="T230" s="33">
        <f>IF($A230="","",$S230*(1+$C$6))</f>
        <v/>
      </c>
      <c r="U230" s="18">
        <f>IF($A230="","",$T230*$C230)</f>
        <v/>
      </c>
      <c r="V230" s="18">
        <f>IF($A230="","",$S230*$C230)</f>
        <v/>
      </c>
      <c r="W230" s="28">
        <f>IF($A230="","",IF(N(Auftrag!$AO230)&gt;0,"nicht vollständig eingeplant",IF($D230=0,"kein Schnittplan oder Preis",IF($H230="","keine Schneiddaten",IF(AND(Auftrag!$AF230&lt;&gt;"",Auftrag!$AG230=""),"Gewinde ungeprüft","")))))</f>
        <v/>
      </c>
      <c r="X230" s="18">
        <f>IF($A230="","",$F230*$C230)</f>
        <v/>
      </c>
      <c r="Y230" s="18">
        <f>IF($A230="","",$Q230*$C230)</f>
        <v/>
      </c>
    </row>
    <row r="231">
      <c r="A231" s="25">
        <f>IF(Auftrag!$D231="","",Auftrag!$A231)</f>
        <v/>
      </c>
      <c r="B231" s="25">
        <f>IF($A231="","",Auftrag!$B231)</f>
        <v/>
      </c>
      <c r="C231" s="15">
        <f>IF($A231="","",N(Auftrag!$G231))</f>
        <v/>
      </c>
      <c r="D231" s="18">
        <f>IF($A231="","",SUMIFS(Schnittplan!$R$5:$R$1004,Schnittplan!$B$5:$B$1004,Auftrag!$D231,Schnittplan!$C$5:$C$1004,Auftrag!$E231,Schnittplan!$D$5:$D$1004,Auftrag!$Q231))</f>
        <v/>
      </c>
      <c r="E231" s="32">
        <f>IF($A231="","",IFERROR(N(Auftrag!$P231)/SUMIFS(Auftrag!$P$13:$P$512,Auftrag!$D$13:$D$512,Auftrag!$D231,Auftrag!$E$13:$E$512,Auftrag!$E231,Auftrag!$Q$13:$Q$512,Auftrag!$Q231),0))</f>
        <v/>
      </c>
      <c r="F231" s="33">
        <f>IF($A231="","",IF($C231=0,0,$D231*$E231/$C231))</f>
        <v/>
      </c>
      <c r="G231" s="34">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5">
        <f>IF($A231="","",IF($H231="","",60*((N(Auftrag!$H231)-N(Auftrag!$AI231)-N(Auftrag!$AK231))/$H231+N(Auftrag!$AI231)/$J231+N(Auftrag!$AK231)/$I231+N(Auftrag!$AD231)/$K231)+N(Auftrag!$I231)*$L231))</f>
        <v/>
      </c>
      <c r="N231" s="35">
        <f>IF($A231="","",IF(OR($H231="",$C231=0),0,(60*SUMIFS(Stangenbelegung!$K$5:$K$10004,Stangenbelegung!$E$5:$E$10004,ROW())/$H231+SUMIFS(Stangenbelegung!$L$5:$L$10004,Stangenbelegung!$E$5:$E$10004,ROW())*$L231)/$C231))</f>
        <v/>
      </c>
      <c r="O231" s="35">
        <f>IF($A231="","",IF($M231="","",MAX(0,$M231-$N231)))</f>
        <v/>
      </c>
      <c r="P231" s="35">
        <f>IF($A231="","",IFERROR(SUMPRODUCT(--("0"&amp;TRIM(RIGHT(SUBSTITUTE(LEFT(";"&amp;SUBSTITUTE(UPPER(Auftrag!$AG231)," ","")&amp;";"&amp;"X"&amp;UPPER(Gewinde!$A$5:$A$54)&amp;";",SEARCH("X"&amp;UPPER(Gewinde!$A$5:$A$54)&amp;";",";"&amp;SUBSTITUTE(UPPER(Auftrag!$AG231)," ","")&amp;";"&amp;"X"&amp;UPPER(Gewinde!$A$5:$A$54)&amp;";")-1),";",REPT(" ",50)),50))),Gewinde!$C$5:$C$54),0))</f>
        <v/>
      </c>
      <c r="Q231" s="33">
        <f>IF($A231="","",(N($O231)+$P231)/3600*N(Auftrag!$H$8))</f>
        <v/>
      </c>
      <c r="R231" s="33">
        <f>IF($A231="","",IF($F$8=0,0,$F$7/$F$8))</f>
        <v/>
      </c>
      <c r="S231" s="33">
        <f>IF($A231="","",$F231*(1+$C$4)+($Q231+$R231)*(1+$C$5))</f>
        <v/>
      </c>
      <c r="T231" s="33">
        <f>IF($A231="","",$S231*(1+$C$6))</f>
        <v/>
      </c>
      <c r="U231" s="18">
        <f>IF($A231="","",$T231*$C231)</f>
        <v/>
      </c>
      <c r="V231" s="18">
        <f>IF($A231="","",$S231*$C231)</f>
        <v/>
      </c>
      <c r="W231" s="28">
        <f>IF($A231="","",IF(N(Auftrag!$AO231)&gt;0,"nicht vollständig eingeplant",IF($D231=0,"kein Schnittplan oder Preis",IF($H231="","keine Schneiddaten",IF(AND(Auftrag!$AF231&lt;&gt;"",Auftrag!$AG231=""),"Gewinde ungeprüft","")))))</f>
        <v/>
      </c>
      <c r="X231" s="18">
        <f>IF($A231="","",$F231*$C231)</f>
        <v/>
      </c>
      <c r="Y231" s="18">
        <f>IF($A231="","",$Q231*$C231)</f>
        <v/>
      </c>
    </row>
    <row r="232">
      <c r="A232" s="25">
        <f>IF(Auftrag!$D232="","",Auftrag!$A232)</f>
        <v/>
      </c>
      <c r="B232" s="25">
        <f>IF($A232="","",Auftrag!$B232)</f>
        <v/>
      </c>
      <c r="C232" s="15">
        <f>IF($A232="","",N(Auftrag!$G232))</f>
        <v/>
      </c>
      <c r="D232" s="18">
        <f>IF($A232="","",SUMIFS(Schnittplan!$R$5:$R$1004,Schnittplan!$B$5:$B$1004,Auftrag!$D232,Schnittplan!$C$5:$C$1004,Auftrag!$E232,Schnittplan!$D$5:$D$1004,Auftrag!$Q232))</f>
        <v/>
      </c>
      <c r="E232" s="32">
        <f>IF($A232="","",IFERROR(N(Auftrag!$P232)/SUMIFS(Auftrag!$P$13:$P$512,Auftrag!$D$13:$D$512,Auftrag!$D232,Auftrag!$E$13:$E$512,Auftrag!$E232,Auftrag!$Q$13:$Q$512,Auftrag!$Q232),0))</f>
        <v/>
      </c>
      <c r="F232" s="33">
        <f>IF($A232="","",IF($C232=0,0,$D232*$E232/$C232))</f>
        <v/>
      </c>
      <c r="G232" s="34">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5">
        <f>IF($A232="","",IF($H232="","",60*((N(Auftrag!$H232)-N(Auftrag!$AI232)-N(Auftrag!$AK232))/$H232+N(Auftrag!$AI232)/$J232+N(Auftrag!$AK232)/$I232+N(Auftrag!$AD232)/$K232)+N(Auftrag!$I232)*$L232))</f>
        <v/>
      </c>
      <c r="N232" s="35">
        <f>IF($A232="","",IF(OR($H232="",$C232=0),0,(60*SUMIFS(Stangenbelegung!$K$5:$K$10004,Stangenbelegung!$E$5:$E$10004,ROW())/$H232+SUMIFS(Stangenbelegung!$L$5:$L$10004,Stangenbelegung!$E$5:$E$10004,ROW())*$L232)/$C232))</f>
        <v/>
      </c>
      <c r="O232" s="35">
        <f>IF($A232="","",IF($M232="","",MAX(0,$M232-$N232)))</f>
        <v/>
      </c>
      <c r="P232" s="35">
        <f>IF($A232="","",IFERROR(SUMPRODUCT(--("0"&amp;TRIM(RIGHT(SUBSTITUTE(LEFT(";"&amp;SUBSTITUTE(UPPER(Auftrag!$AG232)," ","")&amp;";"&amp;"X"&amp;UPPER(Gewinde!$A$5:$A$54)&amp;";",SEARCH("X"&amp;UPPER(Gewinde!$A$5:$A$54)&amp;";",";"&amp;SUBSTITUTE(UPPER(Auftrag!$AG232)," ","")&amp;";"&amp;"X"&amp;UPPER(Gewinde!$A$5:$A$54)&amp;";")-1),";",REPT(" ",50)),50))),Gewinde!$C$5:$C$54),0))</f>
        <v/>
      </c>
      <c r="Q232" s="33">
        <f>IF($A232="","",(N($O232)+$P232)/3600*N(Auftrag!$H$8))</f>
        <v/>
      </c>
      <c r="R232" s="33">
        <f>IF($A232="","",IF($F$8=0,0,$F$7/$F$8))</f>
        <v/>
      </c>
      <c r="S232" s="33">
        <f>IF($A232="","",$F232*(1+$C$4)+($Q232+$R232)*(1+$C$5))</f>
        <v/>
      </c>
      <c r="T232" s="33">
        <f>IF($A232="","",$S232*(1+$C$6))</f>
        <v/>
      </c>
      <c r="U232" s="18">
        <f>IF($A232="","",$T232*$C232)</f>
        <v/>
      </c>
      <c r="V232" s="18">
        <f>IF($A232="","",$S232*$C232)</f>
        <v/>
      </c>
      <c r="W232" s="28">
        <f>IF($A232="","",IF(N(Auftrag!$AO232)&gt;0,"nicht vollständig eingeplant",IF($D232=0,"kein Schnittplan oder Preis",IF($H232="","keine Schneiddaten",IF(AND(Auftrag!$AF232&lt;&gt;"",Auftrag!$AG232=""),"Gewinde ungeprüft","")))))</f>
        <v/>
      </c>
      <c r="X232" s="18">
        <f>IF($A232="","",$F232*$C232)</f>
        <v/>
      </c>
      <c r="Y232" s="18">
        <f>IF($A232="","",$Q232*$C232)</f>
        <v/>
      </c>
    </row>
    <row r="233">
      <c r="A233" s="25">
        <f>IF(Auftrag!$D233="","",Auftrag!$A233)</f>
        <v/>
      </c>
      <c r="B233" s="25">
        <f>IF($A233="","",Auftrag!$B233)</f>
        <v/>
      </c>
      <c r="C233" s="15">
        <f>IF($A233="","",N(Auftrag!$G233))</f>
        <v/>
      </c>
      <c r="D233" s="18">
        <f>IF($A233="","",SUMIFS(Schnittplan!$R$5:$R$1004,Schnittplan!$B$5:$B$1004,Auftrag!$D233,Schnittplan!$C$5:$C$1004,Auftrag!$E233,Schnittplan!$D$5:$D$1004,Auftrag!$Q233))</f>
        <v/>
      </c>
      <c r="E233" s="32">
        <f>IF($A233="","",IFERROR(N(Auftrag!$P233)/SUMIFS(Auftrag!$P$13:$P$512,Auftrag!$D$13:$D$512,Auftrag!$D233,Auftrag!$E$13:$E$512,Auftrag!$E233,Auftrag!$Q$13:$Q$512,Auftrag!$Q233),0))</f>
        <v/>
      </c>
      <c r="F233" s="33">
        <f>IF($A233="","",IF($C233=0,0,$D233*$E233/$C233))</f>
        <v/>
      </c>
      <c r="G233" s="34">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5">
        <f>IF($A233="","",IF($H233="","",60*((N(Auftrag!$H233)-N(Auftrag!$AI233)-N(Auftrag!$AK233))/$H233+N(Auftrag!$AI233)/$J233+N(Auftrag!$AK233)/$I233+N(Auftrag!$AD233)/$K233)+N(Auftrag!$I233)*$L233))</f>
        <v/>
      </c>
      <c r="N233" s="35">
        <f>IF($A233="","",IF(OR($H233="",$C233=0),0,(60*SUMIFS(Stangenbelegung!$K$5:$K$10004,Stangenbelegung!$E$5:$E$10004,ROW())/$H233+SUMIFS(Stangenbelegung!$L$5:$L$10004,Stangenbelegung!$E$5:$E$10004,ROW())*$L233)/$C233))</f>
        <v/>
      </c>
      <c r="O233" s="35">
        <f>IF($A233="","",IF($M233="","",MAX(0,$M233-$N233)))</f>
        <v/>
      </c>
      <c r="P233" s="35">
        <f>IF($A233="","",IFERROR(SUMPRODUCT(--("0"&amp;TRIM(RIGHT(SUBSTITUTE(LEFT(";"&amp;SUBSTITUTE(UPPER(Auftrag!$AG233)," ","")&amp;";"&amp;"X"&amp;UPPER(Gewinde!$A$5:$A$54)&amp;";",SEARCH("X"&amp;UPPER(Gewinde!$A$5:$A$54)&amp;";",";"&amp;SUBSTITUTE(UPPER(Auftrag!$AG233)," ","")&amp;";"&amp;"X"&amp;UPPER(Gewinde!$A$5:$A$54)&amp;";")-1),";",REPT(" ",50)),50))),Gewinde!$C$5:$C$54),0))</f>
        <v/>
      </c>
      <c r="Q233" s="33">
        <f>IF($A233="","",(N($O233)+$P233)/3600*N(Auftrag!$H$8))</f>
        <v/>
      </c>
      <c r="R233" s="33">
        <f>IF($A233="","",IF($F$8=0,0,$F$7/$F$8))</f>
        <v/>
      </c>
      <c r="S233" s="33">
        <f>IF($A233="","",$F233*(1+$C$4)+($Q233+$R233)*(1+$C$5))</f>
        <v/>
      </c>
      <c r="T233" s="33">
        <f>IF($A233="","",$S233*(1+$C$6))</f>
        <v/>
      </c>
      <c r="U233" s="18">
        <f>IF($A233="","",$T233*$C233)</f>
        <v/>
      </c>
      <c r="V233" s="18">
        <f>IF($A233="","",$S233*$C233)</f>
        <v/>
      </c>
      <c r="W233" s="28">
        <f>IF($A233="","",IF(N(Auftrag!$AO233)&gt;0,"nicht vollständig eingeplant",IF($D233=0,"kein Schnittplan oder Preis",IF($H233="","keine Schneiddaten",IF(AND(Auftrag!$AF233&lt;&gt;"",Auftrag!$AG233=""),"Gewinde ungeprüft","")))))</f>
        <v/>
      </c>
      <c r="X233" s="18">
        <f>IF($A233="","",$F233*$C233)</f>
        <v/>
      </c>
      <c r="Y233" s="18">
        <f>IF($A233="","",$Q233*$C233)</f>
        <v/>
      </c>
    </row>
    <row r="234">
      <c r="A234" s="25">
        <f>IF(Auftrag!$D234="","",Auftrag!$A234)</f>
        <v/>
      </c>
      <c r="B234" s="25">
        <f>IF($A234="","",Auftrag!$B234)</f>
        <v/>
      </c>
      <c r="C234" s="15">
        <f>IF($A234="","",N(Auftrag!$G234))</f>
        <v/>
      </c>
      <c r="D234" s="18">
        <f>IF($A234="","",SUMIFS(Schnittplan!$R$5:$R$1004,Schnittplan!$B$5:$B$1004,Auftrag!$D234,Schnittplan!$C$5:$C$1004,Auftrag!$E234,Schnittplan!$D$5:$D$1004,Auftrag!$Q234))</f>
        <v/>
      </c>
      <c r="E234" s="32">
        <f>IF($A234="","",IFERROR(N(Auftrag!$P234)/SUMIFS(Auftrag!$P$13:$P$512,Auftrag!$D$13:$D$512,Auftrag!$D234,Auftrag!$E$13:$E$512,Auftrag!$E234,Auftrag!$Q$13:$Q$512,Auftrag!$Q234),0))</f>
        <v/>
      </c>
      <c r="F234" s="33">
        <f>IF($A234="","",IF($C234=0,0,$D234*$E234/$C234))</f>
        <v/>
      </c>
      <c r="G234" s="34">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5">
        <f>IF($A234="","",IF($H234="","",60*((N(Auftrag!$H234)-N(Auftrag!$AI234)-N(Auftrag!$AK234))/$H234+N(Auftrag!$AI234)/$J234+N(Auftrag!$AK234)/$I234+N(Auftrag!$AD234)/$K234)+N(Auftrag!$I234)*$L234))</f>
        <v/>
      </c>
      <c r="N234" s="35">
        <f>IF($A234="","",IF(OR($H234="",$C234=0),0,(60*SUMIFS(Stangenbelegung!$K$5:$K$10004,Stangenbelegung!$E$5:$E$10004,ROW())/$H234+SUMIFS(Stangenbelegung!$L$5:$L$10004,Stangenbelegung!$E$5:$E$10004,ROW())*$L234)/$C234))</f>
        <v/>
      </c>
      <c r="O234" s="35">
        <f>IF($A234="","",IF($M234="","",MAX(0,$M234-$N234)))</f>
        <v/>
      </c>
      <c r="P234" s="35">
        <f>IF($A234="","",IFERROR(SUMPRODUCT(--("0"&amp;TRIM(RIGHT(SUBSTITUTE(LEFT(";"&amp;SUBSTITUTE(UPPER(Auftrag!$AG234)," ","")&amp;";"&amp;"X"&amp;UPPER(Gewinde!$A$5:$A$54)&amp;";",SEARCH("X"&amp;UPPER(Gewinde!$A$5:$A$54)&amp;";",";"&amp;SUBSTITUTE(UPPER(Auftrag!$AG234)," ","")&amp;";"&amp;"X"&amp;UPPER(Gewinde!$A$5:$A$54)&amp;";")-1),";",REPT(" ",50)),50))),Gewinde!$C$5:$C$54),0))</f>
        <v/>
      </c>
      <c r="Q234" s="33">
        <f>IF($A234="","",(N($O234)+$P234)/3600*N(Auftrag!$H$8))</f>
        <v/>
      </c>
      <c r="R234" s="33">
        <f>IF($A234="","",IF($F$8=0,0,$F$7/$F$8))</f>
        <v/>
      </c>
      <c r="S234" s="33">
        <f>IF($A234="","",$F234*(1+$C$4)+($Q234+$R234)*(1+$C$5))</f>
        <v/>
      </c>
      <c r="T234" s="33">
        <f>IF($A234="","",$S234*(1+$C$6))</f>
        <v/>
      </c>
      <c r="U234" s="18">
        <f>IF($A234="","",$T234*$C234)</f>
        <v/>
      </c>
      <c r="V234" s="18">
        <f>IF($A234="","",$S234*$C234)</f>
        <v/>
      </c>
      <c r="W234" s="28">
        <f>IF($A234="","",IF(N(Auftrag!$AO234)&gt;0,"nicht vollständig eingeplant",IF($D234=0,"kein Schnittplan oder Preis",IF($H234="","keine Schneiddaten",IF(AND(Auftrag!$AF234&lt;&gt;"",Auftrag!$AG234=""),"Gewinde ungeprüft","")))))</f>
        <v/>
      </c>
      <c r="X234" s="18">
        <f>IF($A234="","",$F234*$C234)</f>
        <v/>
      </c>
      <c r="Y234" s="18">
        <f>IF($A234="","",$Q234*$C234)</f>
        <v/>
      </c>
    </row>
    <row r="235">
      <c r="A235" s="25">
        <f>IF(Auftrag!$D235="","",Auftrag!$A235)</f>
        <v/>
      </c>
      <c r="B235" s="25">
        <f>IF($A235="","",Auftrag!$B235)</f>
        <v/>
      </c>
      <c r="C235" s="15">
        <f>IF($A235="","",N(Auftrag!$G235))</f>
        <v/>
      </c>
      <c r="D235" s="18">
        <f>IF($A235="","",SUMIFS(Schnittplan!$R$5:$R$1004,Schnittplan!$B$5:$B$1004,Auftrag!$D235,Schnittplan!$C$5:$C$1004,Auftrag!$E235,Schnittplan!$D$5:$D$1004,Auftrag!$Q235))</f>
        <v/>
      </c>
      <c r="E235" s="32">
        <f>IF($A235="","",IFERROR(N(Auftrag!$P235)/SUMIFS(Auftrag!$P$13:$P$512,Auftrag!$D$13:$D$512,Auftrag!$D235,Auftrag!$E$13:$E$512,Auftrag!$E235,Auftrag!$Q$13:$Q$512,Auftrag!$Q235),0))</f>
        <v/>
      </c>
      <c r="F235" s="33">
        <f>IF($A235="","",IF($C235=0,0,$D235*$E235/$C235))</f>
        <v/>
      </c>
      <c r="G235" s="34">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5">
        <f>IF($A235="","",IF($H235="","",60*((N(Auftrag!$H235)-N(Auftrag!$AI235)-N(Auftrag!$AK235))/$H235+N(Auftrag!$AI235)/$J235+N(Auftrag!$AK235)/$I235+N(Auftrag!$AD235)/$K235)+N(Auftrag!$I235)*$L235))</f>
        <v/>
      </c>
      <c r="N235" s="35">
        <f>IF($A235="","",IF(OR($H235="",$C235=0),0,(60*SUMIFS(Stangenbelegung!$K$5:$K$10004,Stangenbelegung!$E$5:$E$10004,ROW())/$H235+SUMIFS(Stangenbelegung!$L$5:$L$10004,Stangenbelegung!$E$5:$E$10004,ROW())*$L235)/$C235))</f>
        <v/>
      </c>
      <c r="O235" s="35">
        <f>IF($A235="","",IF($M235="","",MAX(0,$M235-$N235)))</f>
        <v/>
      </c>
      <c r="P235" s="35">
        <f>IF($A235="","",IFERROR(SUMPRODUCT(--("0"&amp;TRIM(RIGHT(SUBSTITUTE(LEFT(";"&amp;SUBSTITUTE(UPPER(Auftrag!$AG235)," ","")&amp;";"&amp;"X"&amp;UPPER(Gewinde!$A$5:$A$54)&amp;";",SEARCH("X"&amp;UPPER(Gewinde!$A$5:$A$54)&amp;";",";"&amp;SUBSTITUTE(UPPER(Auftrag!$AG235)," ","")&amp;";"&amp;"X"&amp;UPPER(Gewinde!$A$5:$A$54)&amp;";")-1),";",REPT(" ",50)),50))),Gewinde!$C$5:$C$54),0))</f>
        <v/>
      </c>
      <c r="Q235" s="33">
        <f>IF($A235="","",(N($O235)+$P235)/3600*N(Auftrag!$H$8))</f>
        <v/>
      </c>
      <c r="R235" s="33">
        <f>IF($A235="","",IF($F$8=0,0,$F$7/$F$8))</f>
        <v/>
      </c>
      <c r="S235" s="33">
        <f>IF($A235="","",$F235*(1+$C$4)+($Q235+$R235)*(1+$C$5))</f>
        <v/>
      </c>
      <c r="T235" s="33">
        <f>IF($A235="","",$S235*(1+$C$6))</f>
        <v/>
      </c>
      <c r="U235" s="18">
        <f>IF($A235="","",$T235*$C235)</f>
        <v/>
      </c>
      <c r="V235" s="18">
        <f>IF($A235="","",$S235*$C235)</f>
        <v/>
      </c>
      <c r="W235" s="28">
        <f>IF($A235="","",IF(N(Auftrag!$AO235)&gt;0,"nicht vollständig eingeplant",IF($D235=0,"kein Schnittplan oder Preis",IF($H235="","keine Schneiddaten",IF(AND(Auftrag!$AF235&lt;&gt;"",Auftrag!$AG235=""),"Gewinde ungeprüft","")))))</f>
        <v/>
      </c>
      <c r="X235" s="18">
        <f>IF($A235="","",$F235*$C235)</f>
        <v/>
      </c>
      <c r="Y235" s="18">
        <f>IF($A235="","",$Q235*$C235)</f>
        <v/>
      </c>
    </row>
    <row r="236">
      <c r="A236" s="25">
        <f>IF(Auftrag!$D236="","",Auftrag!$A236)</f>
        <v/>
      </c>
      <c r="B236" s="25">
        <f>IF($A236="","",Auftrag!$B236)</f>
        <v/>
      </c>
      <c r="C236" s="15">
        <f>IF($A236="","",N(Auftrag!$G236))</f>
        <v/>
      </c>
      <c r="D236" s="18">
        <f>IF($A236="","",SUMIFS(Schnittplan!$R$5:$R$1004,Schnittplan!$B$5:$B$1004,Auftrag!$D236,Schnittplan!$C$5:$C$1004,Auftrag!$E236,Schnittplan!$D$5:$D$1004,Auftrag!$Q236))</f>
        <v/>
      </c>
      <c r="E236" s="32">
        <f>IF($A236="","",IFERROR(N(Auftrag!$P236)/SUMIFS(Auftrag!$P$13:$P$512,Auftrag!$D$13:$D$512,Auftrag!$D236,Auftrag!$E$13:$E$512,Auftrag!$E236,Auftrag!$Q$13:$Q$512,Auftrag!$Q236),0))</f>
        <v/>
      </c>
      <c r="F236" s="33">
        <f>IF($A236="","",IF($C236=0,0,$D236*$E236/$C236))</f>
        <v/>
      </c>
      <c r="G236" s="34">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5">
        <f>IF($A236="","",IF($H236="","",60*((N(Auftrag!$H236)-N(Auftrag!$AI236)-N(Auftrag!$AK236))/$H236+N(Auftrag!$AI236)/$J236+N(Auftrag!$AK236)/$I236+N(Auftrag!$AD236)/$K236)+N(Auftrag!$I236)*$L236))</f>
        <v/>
      </c>
      <c r="N236" s="35">
        <f>IF($A236="","",IF(OR($H236="",$C236=0),0,(60*SUMIFS(Stangenbelegung!$K$5:$K$10004,Stangenbelegung!$E$5:$E$10004,ROW())/$H236+SUMIFS(Stangenbelegung!$L$5:$L$10004,Stangenbelegung!$E$5:$E$10004,ROW())*$L236)/$C236))</f>
        <v/>
      </c>
      <c r="O236" s="35">
        <f>IF($A236="","",IF($M236="","",MAX(0,$M236-$N236)))</f>
        <v/>
      </c>
      <c r="P236" s="35">
        <f>IF($A236="","",IFERROR(SUMPRODUCT(--("0"&amp;TRIM(RIGHT(SUBSTITUTE(LEFT(";"&amp;SUBSTITUTE(UPPER(Auftrag!$AG236)," ","")&amp;";"&amp;"X"&amp;UPPER(Gewinde!$A$5:$A$54)&amp;";",SEARCH("X"&amp;UPPER(Gewinde!$A$5:$A$54)&amp;";",";"&amp;SUBSTITUTE(UPPER(Auftrag!$AG236)," ","")&amp;";"&amp;"X"&amp;UPPER(Gewinde!$A$5:$A$54)&amp;";")-1),";",REPT(" ",50)),50))),Gewinde!$C$5:$C$54),0))</f>
        <v/>
      </c>
      <c r="Q236" s="33">
        <f>IF($A236="","",(N($O236)+$P236)/3600*N(Auftrag!$H$8))</f>
        <v/>
      </c>
      <c r="R236" s="33">
        <f>IF($A236="","",IF($F$8=0,0,$F$7/$F$8))</f>
        <v/>
      </c>
      <c r="S236" s="33">
        <f>IF($A236="","",$F236*(1+$C$4)+($Q236+$R236)*(1+$C$5))</f>
        <v/>
      </c>
      <c r="T236" s="33">
        <f>IF($A236="","",$S236*(1+$C$6))</f>
        <v/>
      </c>
      <c r="U236" s="18">
        <f>IF($A236="","",$T236*$C236)</f>
        <v/>
      </c>
      <c r="V236" s="18">
        <f>IF($A236="","",$S236*$C236)</f>
        <v/>
      </c>
      <c r="W236" s="28">
        <f>IF($A236="","",IF(N(Auftrag!$AO236)&gt;0,"nicht vollständig eingeplant",IF($D236=0,"kein Schnittplan oder Preis",IF($H236="","keine Schneiddaten",IF(AND(Auftrag!$AF236&lt;&gt;"",Auftrag!$AG236=""),"Gewinde ungeprüft","")))))</f>
        <v/>
      </c>
      <c r="X236" s="18">
        <f>IF($A236="","",$F236*$C236)</f>
        <v/>
      </c>
      <c r="Y236" s="18">
        <f>IF($A236="","",$Q236*$C236)</f>
        <v/>
      </c>
    </row>
    <row r="237">
      <c r="A237" s="25">
        <f>IF(Auftrag!$D237="","",Auftrag!$A237)</f>
        <v/>
      </c>
      <c r="B237" s="25">
        <f>IF($A237="","",Auftrag!$B237)</f>
        <v/>
      </c>
      <c r="C237" s="15">
        <f>IF($A237="","",N(Auftrag!$G237))</f>
        <v/>
      </c>
      <c r="D237" s="18">
        <f>IF($A237="","",SUMIFS(Schnittplan!$R$5:$R$1004,Schnittplan!$B$5:$B$1004,Auftrag!$D237,Schnittplan!$C$5:$C$1004,Auftrag!$E237,Schnittplan!$D$5:$D$1004,Auftrag!$Q237))</f>
        <v/>
      </c>
      <c r="E237" s="32">
        <f>IF($A237="","",IFERROR(N(Auftrag!$P237)/SUMIFS(Auftrag!$P$13:$P$512,Auftrag!$D$13:$D$512,Auftrag!$D237,Auftrag!$E$13:$E$512,Auftrag!$E237,Auftrag!$Q$13:$Q$512,Auftrag!$Q237),0))</f>
        <v/>
      </c>
      <c r="F237" s="33">
        <f>IF($A237="","",IF($C237=0,0,$D237*$E237/$C237))</f>
        <v/>
      </c>
      <c r="G237" s="34">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5">
        <f>IF($A237="","",IF($H237="","",60*((N(Auftrag!$H237)-N(Auftrag!$AI237)-N(Auftrag!$AK237))/$H237+N(Auftrag!$AI237)/$J237+N(Auftrag!$AK237)/$I237+N(Auftrag!$AD237)/$K237)+N(Auftrag!$I237)*$L237))</f>
        <v/>
      </c>
      <c r="N237" s="35">
        <f>IF($A237="","",IF(OR($H237="",$C237=0),0,(60*SUMIFS(Stangenbelegung!$K$5:$K$10004,Stangenbelegung!$E$5:$E$10004,ROW())/$H237+SUMIFS(Stangenbelegung!$L$5:$L$10004,Stangenbelegung!$E$5:$E$10004,ROW())*$L237)/$C237))</f>
        <v/>
      </c>
      <c r="O237" s="35">
        <f>IF($A237="","",IF($M237="","",MAX(0,$M237-$N237)))</f>
        <v/>
      </c>
      <c r="P237" s="35">
        <f>IF($A237="","",IFERROR(SUMPRODUCT(--("0"&amp;TRIM(RIGHT(SUBSTITUTE(LEFT(";"&amp;SUBSTITUTE(UPPER(Auftrag!$AG237)," ","")&amp;";"&amp;"X"&amp;UPPER(Gewinde!$A$5:$A$54)&amp;";",SEARCH("X"&amp;UPPER(Gewinde!$A$5:$A$54)&amp;";",";"&amp;SUBSTITUTE(UPPER(Auftrag!$AG237)," ","")&amp;";"&amp;"X"&amp;UPPER(Gewinde!$A$5:$A$54)&amp;";")-1),";",REPT(" ",50)),50))),Gewinde!$C$5:$C$54),0))</f>
        <v/>
      </c>
      <c r="Q237" s="33">
        <f>IF($A237="","",(N($O237)+$P237)/3600*N(Auftrag!$H$8))</f>
        <v/>
      </c>
      <c r="R237" s="33">
        <f>IF($A237="","",IF($F$8=0,0,$F$7/$F$8))</f>
        <v/>
      </c>
      <c r="S237" s="33">
        <f>IF($A237="","",$F237*(1+$C$4)+($Q237+$R237)*(1+$C$5))</f>
        <v/>
      </c>
      <c r="T237" s="33">
        <f>IF($A237="","",$S237*(1+$C$6))</f>
        <v/>
      </c>
      <c r="U237" s="18">
        <f>IF($A237="","",$T237*$C237)</f>
        <v/>
      </c>
      <c r="V237" s="18">
        <f>IF($A237="","",$S237*$C237)</f>
        <v/>
      </c>
      <c r="W237" s="28">
        <f>IF($A237="","",IF(N(Auftrag!$AO237)&gt;0,"nicht vollständig eingeplant",IF($D237=0,"kein Schnittplan oder Preis",IF($H237="","keine Schneiddaten",IF(AND(Auftrag!$AF237&lt;&gt;"",Auftrag!$AG237=""),"Gewinde ungeprüft","")))))</f>
        <v/>
      </c>
      <c r="X237" s="18">
        <f>IF($A237="","",$F237*$C237)</f>
        <v/>
      </c>
      <c r="Y237" s="18">
        <f>IF($A237="","",$Q237*$C237)</f>
        <v/>
      </c>
    </row>
    <row r="238">
      <c r="A238" s="25">
        <f>IF(Auftrag!$D238="","",Auftrag!$A238)</f>
        <v/>
      </c>
      <c r="B238" s="25">
        <f>IF($A238="","",Auftrag!$B238)</f>
        <v/>
      </c>
      <c r="C238" s="15">
        <f>IF($A238="","",N(Auftrag!$G238))</f>
        <v/>
      </c>
      <c r="D238" s="18">
        <f>IF($A238="","",SUMIFS(Schnittplan!$R$5:$R$1004,Schnittplan!$B$5:$B$1004,Auftrag!$D238,Schnittplan!$C$5:$C$1004,Auftrag!$E238,Schnittplan!$D$5:$D$1004,Auftrag!$Q238))</f>
        <v/>
      </c>
      <c r="E238" s="32">
        <f>IF($A238="","",IFERROR(N(Auftrag!$P238)/SUMIFS(Auftrag!$P$13:$P$512,Auftrag!$D$13:$D$512,Auftrag!$D238,Auftrag!$E$13:$E$512,Auftrag!$E238,Auftrag!$Q$13:$Q$512,Auftrag!$Q238),0))</f>
        <v/>
      </c>
      <c r="F238" s="33">
        <f>IF($A238="","",IF($C238=0,0,$D238*$E238/$C238))</f>
        <v/>
      </c>
      <c r="G238" s="34">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5">
        <f>IF($A238="","",IF($H238="","",60*((N(Auftrag!$H238)-N(Auftrag!$AI238)-N(Auftrag!$AK238))/$H238+N(Auftrag!$AI238)/$J238+N(Auftrag!$AK238)/$I238+N(Auftrag!$AD238)/$K238)+N(Auftrag!$I238)*$L238))</f>
        <v/>
      </c>
      <c r="N238" s="35">
        <f>IF($A238="","",IF(OR($H238="",$C238=0),0,(60*SUMIFS(Stangenbelegung!$K$5:$K$10004,Stangenbelegung!$E$5:$E$10004,ROW())/$H238+SUMIFS(Stangenbelegung!$L$5:$L$10004,Stangenbelegung!$E$5:$E$10004,ROW())*$L238)/$C238))</f>
        <v/>
      </c>
      <c r="O238" s="35">
        <f>IF($A238="","",IF($M238="","",MAX(0,$M238-$N238)))</f>
        <v/>
      </c>
      <c r="P238" s="35">
        <f>IF($A238="","",IFERROR(SUMPRODUCT(--("0"&amp;TRIM(RIGHT(SUBSTITUTE(LEFT(";"&amp;SUBSTITUTE(UPPER(Auftrag!$AG238)," ","")&amp;";"&amp;"X"&amp;UPPER(Gewinde!$A$5:$A$54)&amp;";",SEARCH("X"&amp;UPPER(Gewinde!$A$5:$A$54)&amp;";",";"&amp;SUBSTITUTE(UPPER(Auftrag!$AG238)," ","")&amp;";"&amp;"X"&amp;UPPER(Gewinde!$A$5:$A$54)&amp;";")-1),";",REPT(" ",50)),50))),Gewinde!$C$5:$C$54),0))</f>
        <v/>
      </c>
      <c r="Q238" s="33">
        <f>IF($A238="","",(N($O238)+$P238)/3600*N(Auftrag!$H$8))</f>
        <v/>
      </c>
      <c r="R238" s="33">
        <f>IF($A238="","",IF($F$8=0,0,$F$7/$F$8))</f>
        <v/>
      </c>
      <c r="S238" s="33">
        <f>IF($A238="","",$F238*(1+$C$4)+($Q238+$R238)*(1+$C$5))</f>
        <v/>
      </c>
      <c r="T238" s="33">
        <f>IF($A238="","",$S238*(1+$C$6))</f>
        <v/>
      </c>
      <c r="U238" s="18">
        <f>IF($A238="","",$T238*$C238)</f>
        <v/>
      </c>
      <c r="V238" s="18">
        <f>IF($A238="","",$S238*$C238)</f>
        <v/>
      </c>
      <c r="W238" s="28">
        <f>IF($A238="","",IF(N(Auftrag!$AO238)&gt;0,"nicht vollständig eingeplant",IF($D238=0,"kein Schnittplan oder Preis",IF($H238="","keine Schneiddaten",IF(AND(Auftrag!$AF238&lt;&gt;"",Auftrag!$AG238=""),"Gewinde ungeprüft","")))))</f>
        <v/>
      </c>
      <c r="X238" s="18">
        <f>IF($A238="","",$F238*$C238)</f>
        <v/>
      </c>
      <c r="Y238" s="18">
        <f>IF($A238="","",$Q238*$C238)</f>
        <v/>
      </c>
    </row>
    <row r="239">
      <c r="A239" s="25">
        <f>IF(Auftrag!$D239="","",Auftrag!$A239)</f>
        <v/>
      </c>
      <c r="B239" s="25">
        <f>IF($A239="","",Auftrag!$B239)</f>
        <v/>
      </c>
      <c r="C239" s="15">
        <f>IF($A239="","",N(Auftrag!$G239))</f>
        <v/>
      </c>
      <c r="D239" s="18">
        <f>IF($A239="","",SUMIFS(Schnittplan!$R$5:$R$1004,Schnittplan!$B$5:$B$1004,Auftrag!$D239,Schnittplan!$C$5:$C$1004,Auftrag!$E239,Schnittplan!$D$5:$D$1004,Auftrag!$Q239))</f>
        <v/>
      </c>
      <c r="E239" s="32">
        <f>IF($A239="","",IFERROR(N(Auftrag!$P239)/SUMIFS(Auftrag!$P$13:$P$512,Auftrag!$D$13:$D$512,Auftrag!$D239,Auftrag!$E$13:$E$512,Auftrag!$E239,Auftrag!$Q$13:$Q$512,Auftrag!$Q239),0))</f>
        <v/>
      </c>
      <c r="F239" s="33">
        <f>IF($A239="","",IF($C239=0,0,$D239*$E239/$C239))</f>
        <v/>
      </c>
      <c r="G239" s="34">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5">
        <f>IF($A239="","",IF($H239="","",60*((N(Auftrag!$H239)-N(Auftrag!$AI239)-N(Auftrag!$AK239))/$H239+N(Auftrag!$AI239)/$J239+N(Auftrag!$AK239)/$I239+N(Auftrag!$AD239)/$K239)+N(Auftrag!$I239)*$L239))</f>
        <v/>
      </c>
      <c r="N239" s="35">
        <f>IF($A239="","",IF(OR($H239="",$C239=0),0,(60*SUMIFS(Stangenbelegung!$K$5:$K$10004,Stangenbelegung!$E$5:$E$10004,ROW())/$H239+SUMIFS(Stangenbelegung!$L$5:$L$10004,Stangenbelegung!$E$5:$E$10004,ROW())*$L239)/$C239))</f>
        <v/>
      </c>
      <c r="O239" s="35">
        <f>IF($A239="","",IF($M239="","",MAX(0,$M239-$N239)))</f>
        <v/>
      </c>
      <c r="P239" s="35">
        <f>IF($A239="","",IFERROR(SUMPRODUCT(--("0"&amp;TRIM(RIGHT(SUBSTITUTE(LEFT(";"&amp;SUBSTITUTE(UPPER(Auftrag!$AG239)," ","")&amp;";"&amp;"X"&amp;UPPER(Gewinde!$A$5:$A$54)&amp;";",SEARCH("X"&amp;UPPER(Gewinde!$A$5:$A$54)&amp;";",";"&amp;SUBSTITUTE(UPPER(Auftrag!$AG239)," ","")&amp;";"&amp;"X"&amp;UPPER(Gewinde!$A$5:$A$54)&amp;";")-1),";",REPT(" ",50)),50))),Gewinde!$C$5:$C$54),0))</f>
        <v/>
      </c>
      <c r="Q239" s="33">
        <f>IF($A239="","",(N($O239)+$P239)/3600*N(Auftrag!$H$8))</f>
        <v/>
      </c>
      <c r="R239" s="33">
        <f>IF($A239="","",IF($F$8=0,0,$F$7/$F$8))</f>
        <v/>
      </c>
      <c r="S239" s="33">
        <f>IF($A239="","",$F239*(1+$C$4)+($Q239+$R239)*(1+$C$5))</f>
        <v/>
      </c>
      <c r="T239" s="33">
        <f>IF($A239="","",$S239*(1+$C$6))</f>
        <v/>
      </c>
      <c r="U239" s="18">
        <f>IF($A239="","",$T239*$C239)</f>
        <v/>
      </c>
      <c r="V239" s="18">
        <f>IF($A239="","",$S239*$C239)</f>
        <v/>
      </c>
      <c r="W239" s="28">
        <f>IF($A239="","",IF(N(Auftrag!$AO239)&gt;0,"nicht vollständig eingeplant",IF($D239=0,"kein Schnittplan oder Preis",IF($H239="","keine Schneiddaten",IF(AND(Auftrag!$AF239&lt;&gt;"",Auftrag!$AG239=""),"Gewinde ungeprüft","")))))</f>
        <v/>
      </c>
      <c r="X239" s="18">
        <f>IF($A239="","",$F239*$C239)</f>
        <v/>
      </c>
      <c r="Y239" s="18">
        <f>IF($A239="","",$Q239*$C239)</f>
        <v/>
      </c>
    </row>
    <row r="240">
      <c r="A240" s="25">
        <f>IF(Auftrag!$D240="","",Auftrag!$A240)</f>
        <v/>
      </c>
      <c r="B240" s="25">
        <f>IF($A240="","",Auftrag!$B240)</f>
        <v/>
      </c>
      <c r="C240" s="15">
        <f>IF($A240="","",N(Auftrag!$G240))</f>
        <v/>
      </c>
      <c r="D240" s="18">
        <f>IF($A240="","",SUMIFS(Schnittplan!$R$5:$R$1004,Schnittplan!$B$5:$B$1004,Auftrag!$D240,Schnittplan!$C$5:$C$1004,Auftrag!$E240,Schnittplan!$D$5:$D$1004,Auftrag!$Q240))</f>
        <v/>
      </c>
      <c r="E240" s="32">
        <f>IF($A240="","",IFERROR(N(Auftrag!$P240)/SUMIFS(Auftrag!$P$13:$P$512,Auftrag!$D$13:$D$512,Auftrag!$D240,Auftrag!$E$13:$E$512,Auftrag!$E240,Auftrag!$Q$13:$Q$512,Auftrag!$Q240),0))</f>
        <v/>
      </c>
      <c r="F240" s="33">
        <f>IF($A240="","",IF($C240=0,0,$D240*$E240/$C240))</f>
        <v/>
      </c>
      <c r="G240" s="34">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5">
        <f>IF($A240="","",IF($H240="","",60*((N(Auftrag!$H240)-N(Auftrag!$AI240)-N(Auftrag!$AK240))/$H240+N(Auftrag!$AI240)/$J240+N(Auftrag!$AK240)/$I240+N(Auftrag!$AD240)/$K240)+N(Auftrag!$I240)*$L240))</f>
        <v/>
      </c>
      <c r="N240" s="35">
        <f>IF($A240="","",IF(OR($H240="",$C240=0),0,(60*SUMIFS(Stangenbelegung!$K$5:$K$10004,Stangenbelegung!$E$5:$E$10004,ROW())/$H240+SUMIFS(Stangenbelegung!$L$5:$L$10004,Stangenbelegung!$E$5:$E$10004,ROW())*$L240)/$C240))</f>
        <v/>
      </c>
      <c r="O240" s="35">
        <f>IF($A240="","",IF($M240="","",MAX(0,$M240-$N240)))</f>
        <v/>
      </c>
      <c r="P240" s="35">
        <f>IF($A240="","",IFERROR(SUMPRODUCT(--("0"&amp;TRIM(RIGHT(SUBSTITUTE(LEFT(";"&amp;SUBSTITUTE(UPPER(Auftrag!$AG240)," ","")&amp;";"&amp;"X"&amp;UPPER(Gewinde!$A$5:$A$54)&amp;";",SEARCH("X"&amp;UPPER(Gewinde!$A$5:$A$54)&amp;";",";"&amp;SUBSTITUTE(UPPER(Auftrag!$AG240)," ","")&amp;";"&amp;"X"&amp;UPPER(Gewinde!$A$5:$A$54)&amp;";")-1),";",REPT(" ",50)),50))),Gewinde!$C$5:$C$54),0))</f>
        <v/>
      </c>
      <c r="Q240" s="33">
        <f>IF($A240="","",(N($O240)+$P240)/3600*N(Auftrag!$H$8))</f>
        <v/>
      </c>
      <c r="R240" s="33">
        <f>IF($A240="","",IF($F$8=0,0,$F$7/$F$8))</f>
        <v/>
      </c>
      <c r="S240" s="33">
        <f>IF($A240="","",$F240*(1+$C$4)+($Q240+$R240)*(1+$C$5))</f>
        <v/>
      </c>
      <c r="T240" s="33">
        <f>IF($A240="","",$S240*(1+$C$6))</f>
        <v/>
      </c>
      <c r="U240" s="18">
        <f>IF($A240="","",$T240*$C240)</f>
        <v/>
      </c>
      <c r="V240" s="18">
        <f>IF($A240="","",$S240*$C240)</f>
        <v/>
      </c>
      <c r="W240" s="28">
        <f>IF($A240="","",IF(N(Auftrag!$AO240)&gt;0,"nicht vollständig eingeplant",IF($D240=0,"kein Schnittplan oder Preis",IF($H240="","keine Schneiddaten",IF(AND(Auftrag!$AF240&lt;&gt;"",Auftrag!$AG240=""),"Gewinde ungeprüft","")))))</f>
        <v/>
      </c>
      <c r="X240" s="18">
        <f>IF($A240="","",$F240*$C240)</f>
        <v/>
      </c>
      <c r="Y240" s="18">
        <f>IF($A240="","",$Q240*$C240)</f>
        <v/>
      </c>
    </row>
    <row r="241">
      <c r="A241" s="25">
        <f>IF(Auftrag!$D241="","",Auftrag!$A241)</f>
        <v/>
      </c>
      <c r="B241" s="25">
        <f>IF($A241="","",Auftrag!$B241)</f>
        <v/>
      </c>
      <c r="C241" s="15">
        <f>IF($A241="","",N(Auftrag!$G241))</f>
        <v/>
      </c>
      <c r="D241" s="18">
        <f>IF($A241="","",SUMIFS(Schnittplan!$R$5:$R$1004,Schnittplan!$B$5:$B$1004,Auftrag!$D241,Schnittplan!$C$5:$C$1004,Auftrag!$E241,Schnittplan!$D$5:$D$1004,Auftrag!$Q241))</f>
        <v/>
      </c>
      <c r="E241" s="32">
        <f>IF($A241="","",IFERROR(N(Auftrag!$P241)/SUMIFS(Auftrag!$P$13:$P$512,Auftrag!$D$13:$D$512,Auftrag!$D241,Auftrag!$E$13:$E$512,Auftrag!$E241,Auftrag!$Q$13:$Q$512,Auftrag!$Q241),0))</f>
        <v/>
      </c>
      <c r="F241" s="33">
        <f>IF($A241="","",IF($C241=0,0,$D241*$E241/$C241))</f>
        <v/>
      </c>
      <c r="G241" s="34">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5">
        <f>IF($A241="","",IF($H241="","",60*((N(Auftrag!$H241)-N(Auftrag!$AI241)-N(Auftrag!$AK241))/$H241+N(Auftrag!$AI241)/$J241+N(Auftrag!$AK241)/$I241+N(Auftrag!$AD241)/$K241)+N(Auftrag!$I241)*$L241))</f>
        <v/>
      </c>
      <c r="N241" s="35">
        <f>IF($A241="","",IF(OR($H241="",$C241=0),0,(60*SUMIFS(Stangenbelegung!$K$5:$K$10004,Stangenbelegung!$E$5:$E$10004,ROW())/$H241+SUMIFS(Stangenbelegung!$L$5:$L$10004,Stangenbelegung!$E$5:$E$10004,ROW())*$L241)/$C241))</f>
        <v/>
      </c>
      <c r="O241" s="35">
        <f>IF($A241="","",IF($M241="","",MAX(0,$M241-$N241)))</f>
        <v/>
      </c>
      <c r="P241" s="35">
        <f>IF($A241="","",IFERROR(SUMPRODUCT(--("0"&amp;TRIM(RIGHT(SUBSTITUTE(LEFT(";"&amp;SUBSTITUTE(UPPER(Auftrag!$AG241)," ","")&amp;";"&amp;"X"&amp;UPPER(Gewinde!$A$5:$A$54)&amp;";",SEARCH("X"&amp;UPPER(Gewinde!$A$5:$A$54)&amp;";",";"&amp;SUBSTITUTE(UPPER(Auftrag!$AG241)," ","")&amp;";"&amp;"X"&amp;UPPER(Gewinde!$A$5:$A$54)&amp;";")-1),";",REPT(" ",50)),50))),Gewinde!$C$5:$C$54),0))</f>
        <v/>
      </c>
      <c r="Q241" s="33">
        <f>IF($A241="","",(N($O241)+$P241)/3600*N(Auftrag!$H$8))</f>
        <v/>
      </c>
      <c r="R241" s="33">
        <f>IF($A241="","",IF($F$8=0,0,$F$7/$F$8))</f>
        <v/>
      </c>
      <c r="S241" s="33">
        <f>IF($A241="","",$F241*(1+$C$4)+($Q241+$R241)*(1+$C$5))</f>
        <v/>
      </c>
      <c r="T241" s="33">
        <f>IF($A241="","",$S241*(1+$C$6))</f>
        <v/>
      </c>
      <c r="U241" s="18">
        <f>IF($A241="","",$T241*$C241)</f>
        <v/>
      </c>
      <c r="V241" s="18">
        <f>IF($A241="","",$S241*$C241)</f>
        <v/>
      </c>
      <c r="W241" s="28">
        <f>IF($A241="","",IF(N(Auftrag!$AO241)&gt;0,"nicht vollständig eingeplant",IF($D241=0,"kein Schnittplan oder Preis",IF($H241="","keine Schneiddaten",IF(AND(Auftrag!$AF241&lt;&gt;"",Auftrag!$AG241=""),"Gewinde ungeprüft","")))))</f>
        <v/>
      </c>
      <c r="X241" s="18">
        <f>IF($A241="","",$F241*$C241)</f>
        <v/>
      </c>
      <c r="Y241" s="18">
        <f>IF($A241="","",$Q241*$C241)</f>
        <v/>
      </c>
    </row>
    <row r="242">
      <c r="A242" s="25">
        <f>IF(Auftrag!$D242="","",Auftrag!$A242)</f>
        <v/>
      </c>
      <c r="B242" s="25">
        <f>IF($A242="","",Auftrag!$B242)</f>
        <v/>
      </c>
      <c r="C242" s="15">
        <f>IF($A242="","",N(Auftrag!$G242))</f>
        <v/>
      </c>
      <c r="D242" s="18">
        <f>IF($A242="","",SUMIFS(Schnittplan!$R$5:$R$1004,Schnittplan!$B$5:$B$1004,Auftrag!$D242,Schnittplan!$C$5:$C$1004,Auftrag!$E242,Schnittplan!$D$5:$D$1004,Auftrag!$Q242))</f>
        <v/>
      </c>
      <c r="E242" s="32">
        <f>IF($A242="","",IFERROR(N(Auftrag!$P242)/SUMIFS(Auftrag!$P$13:$P$512,Auftrag!$D$13:$D$512,Auftrag!$D242,Auftrag!$E$13:$E$512,Auftrag!$E242,Auftrag!$Q$13:$Q$512,Auftrag!$Q242),0))</f>
        <v/>
      </c>
      <c r="F242" s="33">
        <f>IF($A242="","",IF($C242=0,0,$D242*$E242/$C242))</f>
        <v/>
      </c>
      <c r="G242" s="34">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5">
        <f>IF($A242="","",IF($H242="","",60*((N(Auftrag!$H242)-N(Auftrag!$AI242)-N(Auftrag!$AK242))/$H242+N(Auftrag!$AI242)/$J242+N(Auftrag!$AK242)/$I242+N(Auftrag!$AD242)/$K242)+N(Auftrag!$I242)*$L242))</f>
        <v/>
      </c>
      <c r="N242" s="35">
        <f>IF($A242="","",IF(OR($H242="",$C242=0),0,(60*SUMIFS(Stangenbelegung!$K$5:$K$10004,Stangenbelegung!$E$5:$E$10004,ROW())/$H242+SUMIFS(Stangenbelegung!$L$5:$L$10004,Stangenbelegung!$E$5:$E$10004,ROW())*$L242)/$C242))</f>
        <v/>
      </c>
      <c r="O242" s="35">
        <f>IF($A242="","",IF($M242="","",MAX(0,$M242-$N242)))</f>
        <v/>
      </c>
      <c r="P242" s="35">
        <f>IF($A242="","",IFERROR(SUMPRODUCT(--("0"&amp;TRIM(RIGHT(SUBSTITUTE(LEFT(";"&amp;SUBSTITUTE(UPPER(Auftrag!$AG242)," ","")&amp;";"&amp;"X"&amp;UPPER(Gewinde!$A$5:$A$54)&amp;";",SEARCH("X"&amp;UPPER(Gewinde!$A$5:$A$54)&amp;";",";"&amp;SUBSTITUTE(UPPER(Auftrag!$AG242)," ","")&amp;";"&amp;"X"&amp;UPPER(Gewinde!$A$5:$A$54)&amp;";")-1),";",REPT(" ",50)),50))),Gewinde!$C$5:$C$54),0))</f>
        <v/>
      </c>
      <c r="Q242" s="33">
        <f>IF($A242="","",(N($O242)+$P242)/3600*N(Auftrag!$H$8))</f>
        <v/>
      </c>
      <c r="R242" s="33">
        <f>IF($A242="","",IF($F$8=0,0,$F$7/$F$8))</f>
        <v/>
      </c>
      <c r="S242" s="33">
        <f>IF($A242="","",$F242*(1+$C$4)+($Q242+$R242)*(1+$C$5))</f>
        <v/>
      </c>
      <c r="T242" s="33">
        <f>IF($A242="","",$S242*(1+$C$6))</f>
        <v/>
      </c>
      <c r="U242" s="18">
        <f>IF($A242="","",$T242*$C242)</f>
        <v/>
      </c>
      <c r="V242" s="18">
        <f>IF($A242="","",$S242*$C242)</f>
        <v/>
      </c>
      <c r="W242" s="28">
        <f>IF($A242="","",IF(N(Auftrag!$AO242)&gt;0,"nicht vollständig eingeplant",IF($D242=0,"kein Schnittplan oder Preis",IF($H242="","keine Schneiddaten",IF(AND(Auftrag!$AF242&lt;&gt;"",Auftrag!$AG242=""),"Gewinde ungeprüft","")))))</f>
        <v/>
      </c>
      <c r="X242" s="18">
        <f>IF($A242="","",$F242*$C242)</f>
        <v/>
      </c>
      <c r="Y242" s="18">
        <f>IF($A242="","",$Q242*$C242)</f>
        <v/>
      </c>
    </row>
    <row r="243">
      <c r="A243" s="25">
        <f>IF(Auftrag!$D243="","",Auftrag!$A243)</f>
        <v/>
      </c>
      <c r="B243" s="25">
        <f>IF($A243="","",Auftrag!$B243)</f>
        <v/>
      </c>
      <c r="C243" s="15">
        <f>IF($A243="","",N(Auftrag!$G243))</f>
        <v/>
      </c>
      <c r="D243" s="18">
        <f>IF($A243="","",SUMIFS(Schnittplan!$R$5:$R$1004,Schnittplan!$B$5:$B$1004,Auftrag!$D243,Schnittplan!$C$5:$C$1004,Auftrag!$E243,Schnittplan!$D$5:$D$1004,Auftrag!$Q243))</f>
        <v/>
      </c>
      <c r="E243" s="32">
        <f>IF($A243="","",IFERROR(N(Auftrag!$P243)/SUMIFS(Auftrag!$P$13:$P$512,Auftrag!$D$13:$D$512,Auftrag!$D243,Auftrag!$E$13:$E$512,Auftrag!$E243,Auftrag!$Q$13:$Q$512,Auftrag!$Q243),0))</f>
        <v/>
      </c>
      <c r="F243" s="33">
        <f>IF($A243="","",IF($C243=0,0,$D243*$E243/$C243))</f>
        <v/>
      </c>
      <c r="G243" s="34">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5">
        <f>IF($A243="","",IF($H243="","",60*((N(Auftrag!$H243)-N(Auftrag!$AI243)-N(Auftrag!$AK243))/$H243+N(Auftrag!$AI243)/$J243+N(Auftrag!$AK243)/$I243+N(Auftrag!$AD243)/$K243)+N(Auftrag!$I243)*$L243))</f>
        <v/>
      </c>
      <c r="N243" s="35">
        <f>IF($A243="","",IF(OR($H243="",$C243=0),0,(60*SUMIFS(Stangenbelegung!$K$5:$K$10004,Stangenbelegung!$E$5:$E$10004,ROW())/$H243+SUMIFS(Stangenbelegung!$L$5:$L$10004,Stangenbelegung!$E$5:$E$10004,ROW())*$L243)/$C243))</f>
        <v/>
      </c>
      <c r="O243" s="35">
        <f>IF($A243="","",IF($M243="","",MAX(0,$M243-$N243)))</f>
        <v/>
      </c>
      <c r="P243" s="35">
        <f>IF($A243="","",IFERROR(SUMPRODUCT(--("0"&amp;TRIM(RIGHT(SUBSTITUTE(LEFT(";"&amp;SUBSTITUTE(UPPER(Auftrag!$AG243)," ","")&amp;";"&amp;"X"&amp;UPPER(Gewinde!$A$5:$A$54)&amp;";",SEARCH("X"&amp;UPPER(Gewinde!$A$5:$A$54)&amp;";",";"&amp;SUBSTITUTE(UPPER(Auftrag!$AG243)," ","")&amp;";"&amp;"X"&amp;UPPER(Gewinde!$A$5:$A$54)&amp;";")-1),";",REPT(" ",50)),50))),Gewinde!$C$5:$C$54),0))</f>
        <v/>
      </c>
      <c r="Q243" s="33">
        <f>IF($A243="","",(N($O243)+$P243)/3600*N(Auftrag!$H$8))</f>
        <v/>
      </c>
      <c r="R243" s="33">
        <f>IF($A243="","",IF($F$8=0,0,$F$7/$F$8))</f>
        <v/>
      </c>
      <c r="S243" s="33">
        <f>IF($A243="","",$F243*(1+$C$4)+($Q243+$R243)*(1+$C$5))</f>
        <v/>
      </c>
      <c r="T243" s="33">
        <f>IF($A243="","",$S243*(1+$C$6))</f>
        <v/>
      </c>
      <c r="U243" s="18">
        <f>IF($A243="","",$T243*$C243)</f>
        <v/>
      </c>
      <c r="V243" s="18">
        <f>IF($A243="","",$S243*$C243)</f>
        <v/>
      </c>
      <c r="W243" s="28">
        <f>IF($A243="","",IF(N(Auftrag!$AO243)&gt;0,"nicht vollständig eingeplant",IF($D243=0,"kein Schnittplan oder Preis",IF($H243="","keine Schneiddaten",IF(AND(Auftrag!$AF243&lt;&gt;"",Auftrag!$AG243=""),"Gewinde ungeprüft","")))))</f>
        <v/>
      </c>
      <c r="X243" s="18">
        <f>IF($A243="","",$F243*$C243)</f>
        <v/>
      </c>
      <c r="Y243" s="18">
        <f>IF($A243="","",$Q243*$C243)</f>
        <v/>
      </c>
    </row>
    <row r="244">
      <c r="A244" s="25">
        <f>IF(Auftrag!$D244="","",Auftrag!$A244)</f>
        <v/>
      </c>
      <c r="B244" s="25">
        <f>IF($A244="","",Auftrag!$B244)</f>
        <v/>
      </c>
      <c r="C244" s="15">
        <f>IF($A244="","",N(Auftrag!$G244))</f>
        <v/>
      </c>
      <c r="D244" s="18">
        <f>IF($A244="","",SUMIFS(Schnittplan!$R$5:$R$1004,Schnittplan!$B$5:$B$1004,Auftrag!$D244,Schnittplan!$C$5:$C$1004,Auftrag!$E244,Schnittplan!$D$5:$D$1004,Auftrag!$Q244))</f>
        <v/>
      </c>
      <c r="E244" s="32">
        <f>IF($A244="","",IFERROR(N(Auftrag!$P244)/SUMIFS(Auftrag!$P$13:$P$512,Auftrag!$D$13:$D$512,Auftrag!$D244,Auftrag!$E$13:$E$512,Auftrag!$E244,Auftrag!$Q$13:$Q$512,Auftrag!$Q244),0))</f>
        <v/>
      </c>
      <c r="F244" s="33">
        <f>IF($A244="","",IF($C244=0,0,$D244*$E244/$C244))</f>
        <v/>
      </c>
      <c r="G244" s="34">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5">
        <f>IF($A244="","",IF($H244="","",60*((N(Auftrag!$H244)-N(Auftrag!$AI244)-N(Auftrag!$AK244))/$H244+N(Auftrag!$AI244)/$J244+N(Auftrag!$AK244)/$I244+N(Auftrag!$AD244)/$K244)+N(Auftrag!$I244)*$L244))</f>
        <v/>
      </c>
      <c r="N244" s="35">
        <f>IF($A244="","",IF(OR($H244="",$C244=0),0,(60*SUMIFS(Stangenbelegung!$K$5:$K$10004,Stangenbelegung!$E$5:$E$10004,ROW())/$H244+SUMIFS(Stangenbelegung!$L$5:$L$10004,Stangenbelegung!$E$5:$E$10004,ROW())*$L244)/$C244))</f>
        <v/>
      </c>
      <c r="O244" s="35">
        <f>IF($A244="","",IF($M244="","",MAX(0,$M244-$N244)))</f>
        <v/>
      </c>
      <c r="P244" s="35">
        <f>IF($A244="","",IFERROR(SUMPRODUCT(--("0"&amp;TRIM(RIGHT(SUBSTITUTE(LEFT(";"&amp;SUBSTITUTE(UPPER(Auftrag!$AG244)," ","")&amp;";"&amp;"X"&amp;UPPER(Gewinde!$A$5:$A$54)&amp;";",SEARCH("X"&amp;UPPER(Gewinde!$A$5:$A$54)&amp;";",";"&amp;SUBSTITUTE(UPPER(Auftrag!$AG244)," ","")&amp;";"&amp;"X"&amp;UPPER(Gewinde!$A$5:$A$54)&amp;";")-1),";",REPT(" ",50)),50))),Gewinde!$C$5:$C$54),0))</f>
        <v/>
      </c>
      <c r="Q244" s="33">
        <f>IF($A244="","",(N($O244)+$P244)/3600*N(Auftrag!$H$8))</f>
        <v/>
      </c>
      <c r="R244" s="33">
        <f>IF($A244="","",IF($F$8=0,0,$F$7/$F$8))</f>
        <v/>
      </c>
      <c r="S244" s="33">
        <f>IF($A244="","",$F244*(1+$C$4)+($Q244+$R244)*(1+$C$5))</f>
        <v/>
      </c>
      <c r="T244" s="33">
        <f>IF($A244="","",$S244*(1+$C$6))</f>
        <v/>
      </c>
      <c r="U244" s="18">
        <f>IF($A244="","",$T244*$C244)</f>
        <v/>
      </c>
      <c r="V244" s="18">
        <f>IF($A244="","",$S244*$C244)</f>
        <v/>
      </c>
      <c r="W244" s="28">
        <f>IF($A244="","",IF(N(Auftrag!$AO244)&gt;0,"nicht vollständig eingeplant",IF($D244=0,"kein Schnittplan oder Preis",IF($H244="","keine Schneiddaten",IF(AND(Auftrag!$AF244&lt;&gt;"",Auftrag!$AG244=""),"Gewinde ungeprüft","")))))</f>
        <v/>
      </c>
      <c r="X244" s="18">
        <f>IF($A244="","",$F244*$C244)</f>
        <v/>
      </c>
      <c r="Y244" s="18">
        <f>IF($A244="","",$Q244*$C244)</f>
        <v/>
      </c>
    </row>
    <row r="245">
      <c r="A245" s="25">
        <f>IF(Auftrag!$D245="","",Auftrag!$A245)</f>
        <v/>
      </c>
      <c r="B245" s="25">
        <f>IF($A245="","",Auftrag!$B245)</f>
        <v/>
      </c>
      <c r="C245" s="15">
        <f>IF($A245="","",N(Auftrag!$G245))</f>
        <v/>
      </c>
      <c r="D245" s="18">
        <f>IF($A245="","",SUMIFS(Schnittplan!$R$5:$R$1004,Schnittplan!$B$5:$B$1004,Auftrag!$D245,Schnittplan!$C$5:$C$1004,Auftrag!$E245,Schnittplan!$D$5:$D$1004,Auftrag!$Q245))</f>
        <v/>
      </c>
      <c r="E245" s="32">
        <f>IF($A245="","",IFERROR(N(Auftrag!$P245)/SUMIFS(Auftrag!$P$13:$P$512,Auftrag!$D$13:$D$512,Auftrag!$D245,Auftrag!$E$13:$E$512,Auftrag!$E245,Auftrag!$Q$13:$Q$512,Auftrag!$Q245),0))</f>
        <v/>
      </c>
      <c r="F245" s="33">
        <f>IF($A245="","",IF($C245=0,0,$D245*$E245/$C245))</f>
        <v/>
      </c>
      <c r="G245" s="34">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5">
        <f>IF($A245="","",IF($H245="","",60*((N(Auftrag!$H245)-N(Auftrag!$AI245)-N(Auftrag!$AK245))/$H245+N(Auftrag!$AI245)/$J245+N(Auftrag!$AK245)/$I245+N(Auftrag!$AD245)/$K245)+N(Auftrag!$I245)*$L245))</f>
        <v/>
      </c>
      <c r="N245" s="35">
        <f>IF($A245="","",IF(OR($H245="",$C245=0),0,(60*SUMIFS(Stangenbelegung!$K$5:$K$10004,Stangenbelegung!$E$5:$E$10004,ROW())/$H245+SUMIFS(Stangenbelegung!$L$5:$L$10004,Stangenbelegung!$E$5:$E$10004,ROW())*$L245)/$C245))</f>
        <v/>
      </c>
      <c r="O245" s="35">
        <f>IF($A245="","",IF($M245="","",MAX(0,$M245-$N245)))</f>
        <v/>
      </c>
      <c r="P245" s="35">
        <f>IF($A245="","",IFERROR(SUMPRODUCT(--("0"&amp;TRIM(RIGHT(SUBSTITUTE(LEFT(";"&amp;SUBSTITUTE(UPPER(Auftrag!$AG245)," ","")&amp;";"&amp;"X"&amp;UPPER(Gewinde!$A$5:$A$54)&amp;";",SEARCH("X"&amp;UPPER(Gewinde!$A$5:$A$54)&amp;";",";"&amp;SUBSTITUTE(UPPER(Auftrag!$AG245)," ","")&amp;";"&amp;"X"&amp;UPPER(Gewinde!$A$5:$A$54)&amp;";")-1),";",REPT(" ",50)),50))),Gewinde!$C$5:$C$54),0))</f>
        <v/>
      </c>
      <c r="Q245" s="33">
        <f>IF($A245="","",(N($O245)+$P245)/3600*N(Auftrag!$H$8))</f>
        <v/>
      </c>
      <c r="R245" s="33">
        <f>IF($A245="","",IF($F$8=0,0,$F$7/$F$8))</f>
        <v/>
      </c>
      <c r="S245" s="33">
        <f>IF($A245="","",$F245*(1+$C$4)+($Q245+$R245)*(1+$C$5))</f>
        <v/>
      </c>
      <c r="T245" s="33">
        <f>IF($A245="","",$S245*(1+$C$6))</f>
        <v/>
      </c>
      <c r="U245" s="18">
        <f>IF($A245="","",$T245*$C245)</f>
        <v/>
      </c>
      <c r="V245" s="18">
        <f>IF($A245="","",$S245*$C245)</f>
        <v/>
      </c>
      <c r="W245" s="28">
        <f>IF($A245="","",IF(N(Auftrag!$AO245)&gt;0,"nicht vollständig eingeplant",IF($D245=0,"kein Schnittplan oder Preis",IF($H245="","keine Schneiddaten",IF(AND(Auftrag!$AF245&lt;&gt;"",Auftrag!$AG245=""),"Gewinde ungeprüft","")))))</f>
        <v/>
      </c>
      <c r="X245" s="18">
        <f>IF($A245="","",$F245*$C245)</f>
        <v/>
      </c>
      <c r="Y245" s="18">
        <f>IF($A245="","",$Q245*$C245)</f>
        <v/>
      </c>
    </row>
    <row r="246">
      <c r="A246" s="25">
        <f>IF(Auftrag!$D246="","",Auftrag!$A246)</f>
        <v/>
      </c>
      <c r="B246" s="25">
        <f>IF($A246="","",Auftrag!$B246)</f>
        <v/>
      </c>
      <c r="C246" s="15">
        <f>IF($A246="","",N(Auftrag!$G246))</f>
        <v/>
      </c>
      <c r="D246" s="18">
        <f>IF($A246="","",SUMIFS(Schnittplan!$R$5:$R$1004,Schnittplan!$B$5:$B$1004,Auftrag!$D246,Schnittplan!$C$5:$C$1004,Auftrag!$E246,Schnittplan!$D$5:$D$1004,Auftrag!$Q246))</f>
        <v/>
      </c>
      <c r="E246" s="32">
        <f>IF($A246="","",IFERROR(N(Auftrag!$P246)/SUMIFS(Auftrag!$P$13:$P$512,Auftrag!$D$13:$D$512,Auftrag!$D246,Auftrag!$E$13:$E$512,Auftrag!$E246,Auftrag!$Q$13:$Q$512,Auftrag!$Q246),0))</f>
        <v/>
      </c>
      <c r="F246" s="33">
        <f>IF($A246="","",IF($C246=0,0,$D246*$E246/$C246))</f>
        <v/>
      </c>
      <c r="G246" s="34">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5">
        <f>IF($A246="","",IF($H246="","",60*((N(Auftrag!$H246)-N(Auftrag!$AI246)-N(Auftrag!$AK246))/$H246+N(Auftrag!$AI246)/$J246+N(Auftrag!$AK246)/$I246+N(Auftrag!$AD246)/$K246)+N(Auftrag!$I246)*$L246))</f>
        <v/>
      </c>
      <c r="N246" s="35">
        <f>IF($A246="","",IF(OR($H246="",$C246=0),0,(60*SUMIFS(Stangenbelegung!$K$5:$K$10004,Stangenbelegung!$E$5:$E$10004,ROW())/$H246+SUMIFS(Stangenbelegung!$L$5:$L$10004,Stangenbelegung!$E$5:$E$10004,ROW())*$L246)/$C246))</f>
        <v/>
      </c>
      <c r="O246" s="35">
        <f>IF($A246="","",IF($M246="","",MAX(0,$M246-$N246)))</f>
        <v/>
      </c>
      <c r="P246" s="35">
        <f>IF($A246="","",IFERROR(SUMPRODUCT(--("0"&amp;TRIM(RIGHT(SUBSTITUTE(LEFT(";"&amp;SUBSTITUTE(UPPER(Auftrag!$AG246)," ","")&amp;";"&amp;"X"&amp;UPPER(Gewinde!$A$5:$A$54)&amp;";",SEARCH("X"&amp;UPPER(Gewinde!$A$5:$A$54)&amp;";",";"&amp;SUBSTITUTE(UPPER(Auftrag!$AG246)," ","")&amp;";"&amp;"X"&amp;UPPER(Gewinde!$A$5:$A$54)&amp;";")-1),";",REPT(" ",50)),50))),Gewinde!$C$5:$C$54),0))</f>
        <v/>
      </c>
      <c r="Q246" s="33">
        <f>IF($A246="","",(N($O246)+$P246)/3600*N(Auftrag!$H$8))</f>
        <v/>
      </c>
      <c r="R246" s="33">
        <f>IF($A246="","",IF($F$8=0,0,$F$7/$F$8))</f>
        <v/>
      </c>
      <c r="S246" s="33">
        <f>IF($A246="","",$F246*(1+$C$4)+($Q246+$R246)*(1+$C$5))</f>
        <v/>
      </c>
      <c r="T246" s="33">
        <f>IF($A246="","",$S246*(1+$C$6))</f>
        <v/>
      </c>
      <c r="U246" s="18">
        <f>IF($A246="","",$T246*$C246)</f>
        <v/>
      </c>
      <c r="V246" s="18">
        <f>IF($A246="","",$S246*$C246)</f>
        <v/>
      </c>
      <c r="W246" s="28">
        <f>IF($A246="","",IF(N(Auftrag!$AO246)&gt;0,"nicht vollständig eingeplant",IF($D246=0,"kein Schnittplan oder Preis",IF($H246="","keine Schneiddaten",IF(AND(Auftrag!$AF246&lt;&gt;"",Auftrag!$AG246=""),"Gewinde ungeprüft","")))))</f>
        <v/>
      </c>
      <c r="X246" s="18">
        <f>IF($A246="","",$F246*$C246)</f>
        <v/>
      </c>
      <c r="Y246" s="18">
        <f>IF($A246="","",$Q246*$C246)</f>
        <v/>
      </c>
    </row>
    <row r="247">
      <c r="A247" s="25">
        <f>IF(Auftrag!$D247="","",Auftrag!$A247)</f>
        <v/>
      </c>
      <c r="B247" s="25">
        <f>IF($A247="","",Auftrag!$B247)</f>
        <v/>
      </c>
      <c r="C247" s="15">
        <f>IF($A247="","",N(Auftrag!$G247))</f>
        <v/>
      </c>
      <c r="D247" s="18">
        <f>IF($A247="","",SUMIFS(Schnittplan!$R$5:$R$1004,Schnittplan!$B$5:$B$1004,Auftrag!$D247,Schnittplan!$C$5:$C$1004,Auftrag!$E247,Schnittplan!$D$5:$D$1004,Auftrag!$Q247))</f>
        <v/>
      </c>
      <c r="E247" s="32">
        <f>IF($A247="","",IFERROR(N(Auftrag!$P247)/SUMIFS(Auftrag!$P$13:$P$512,Auftrag!$D$13:$D$512,Auftrag!$D247,Auftrag!$E$13:$E$512,Auftrag!$E247,Auftrag!$Q$13:$Q$512,Auftrag!$Q247),0))</f>
        <v/>
      </c>
      <c r="F247" s="33">
        <f>IF($A247="","",IF($C247=0,0,$D247*$E247/$C247))</f>
        <v/>
      </c>
      <c r="G247" s="34">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5">
        <f>IF($A247="","",IF($H247="","",60*((N(Auftrag!$H247)-N(Auftrag!$AI247)-N(Auftrag!$AK247))/$H247+N(Auftrag!$AI247)/$J247+N(Auftrag!$AK247)/$I247+N(Auftrag!$AD247)/$K247)+N(Auftrag!$I247)*$L247))</f>
        <v/>
      </c>
      <c r="N247" s="35">
        <f>IF($A247="","",IF(OR($H247="",$C247=0),0,(60*SUMIFS(Stangenbelegung!$K$5:$K$10004,Stangenbelegung!$E$5:$E$10004,ROW())/$H247+SUMIFS(Stangenbelegung!$L$5:$L$10004,Stangenbelegung!$E$5:$E$10004,ROW())*$L247)/$C247))</f>
        <v/>
      </c>
      <c r="O247" s="35">
        <f>IF($A247="","",IF($M247="","",MAX(0,$M247-$N247)))</f>
        <v/>
      </c>
      <c r="P247" s="35">
        <f>IF($A247="","",IFERROR(SUMPRODUCT(--("0"&amp;TRIM(RIGHT(SUBSTITUTE(LEFT(";"&amp;SUBSTITUTE(UPPER(Auftrag!$AG247)," ","")&amp;";"&amp;"X"&amp;UPPER(Gewinde!$A$5:$A$54)&amp;";",SEARCH("X"&amp;UPPER(Gewinde!$A$5:$A$54)&amp;";",";"&amp;SUBSTITUTE(UPPER(Auftrag!$AG247)," ","")&amp;";"&amp;"X"&amp;UPPER(Gewinde!$A$5:$A$54)&amp;";")-1),";",REPT(" ",50)),50))),Gewinde!$C$5:$C$54),0))</f>
        <v/>
      </c>
      <c r="Q247" s="33">
        <f>IF($A247="","",(N($O247)+$P247)/3600*N(Auftrag!$H$8))</f>
        <v/>
      </c>
      <c r="R247" s="33">
        <f>IF($A247="","",IF($F$8=0,0,$F$7/$F$8))</f>
        <v/>
      </c>
      <c r="S247" s="33">
        <f>IF($A247="","",$F247*(1+$C$4)+($Q247+$R247)*(1+$C$5))</f>
        <v/>
      </c>
      <c r="T247" s="33">
        <f>IF($A247="","",$S247*(1+$C$6))</f>
        <v/>
      </c>
      <c r="U247" s="18">
        <f>IF($A247="","",$T247*$C247)</f>
        <v/>
      </c>
      <c r="V247" s="18">
        <f>IF($A247="","",$S247*$C247)</f>
        <v/>
      </c>
      <c r="W247" s="28">
        <f>IF($A247="","",IF(N(Auftrag!$AO247)&gt;0,"nicht vollständig eingeplant",IF($D247=0,"kein Schnittplan oder Preis",IF($H247="","keine Schneiddaten",IF(AND(Auftrag!$AF247&lt;&gt;"",Auftrag!$AG247=""),"Gewinde ungeprüft","")))))</f>
        <v/>
      </c>
      <c r="X247" s="18">
        <f>IF($A247="","",$F247*$C247)</f>
        <v/>
      </c>
      <c r="Y247" s="18">
        <f>IF($A247="","",$Q247*$C247)</f>
        <v/>
      </c>
    </row>
    <row r="248">
      <c r="A248" s="25">
        <f>IF(Auftrag!$D248="","",Auftrag!$A248)</f>
        <v/>
      </c>
      <c r="B248" s="25">
        <f>IF($A248="","",Auftrag!$B248)</f>
        <v/>
      </c>
      <c r="C248" s="15">
        <f>IF($A248="","",N(Auftrag!$G248))</f>
        <v/>
      </c>
      <c r="D248" s="18">
        <f>IF($A248="","",SUMIFS(Schnittplan!$R$5:$R$1004,Schnittplan!$B$5:$B$1004,Auftrag!$D248,Schnittplan!$C$5:$C$1004,Auftrag!$E248,Schnittplan!$D$5:$D$1004,Auftrag!$Q248))</f>
        <v/>
      </c>
      <c r="E248" s="32">
        <f>IF($A248="","",IFERROR(N(Auftrag!$P248)/SUMIFS(Auftrag!$P$13:$P$512,Auftrag!$D$13:$D$512,Auftrag!$D248,Auftrag!$E$13:$E$512,Auftrag!$E248,Auftrag!$Q$13:$Q$512,Auftrag!$Q248),0))</f>
        <v/>
      </c>
      <c r="F248" s="33">
        <f>IF($A248="","",IF($C248=0,0,$D248*$E248/$C248))</f>
        <v/>
      </c>
      <c r="G248" s="34">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5">
        <f>IF($A248="","",IF($H248="","",60*((N(Auftrag!$H248)-N(Auftrag!$AI248)-N(Auftrag!$AK248))/$H248+N(Auftrag!$AI248)/$J248+N(Auftrag!$AK248)/$I248+N(Auftrag!$AD248)/$K248)+N(Auftrag!$I248)*$L248))</f>
        <v/>
      </c>
      <c r="N248" s="35">
        <f>IF($A248="","",IF(OR($H248="",$C248=0),0,(60*SUMIFS(Stangenbelegung!$K$5:$K$10004,Stangenbelegung!$E$5:$E$10004,ROW())/$H248+SUMIFS(Stangenbelegung!$L$5:$L$10004,Stangenbelegung!$E$5:$E$10004,ROW())*$L248)/$C248))</f>
        <v/>
      </c>
      <c r="O248" s="35">
        <f>IF($A248="","",IF($M248="","",MAX(0,$M248-$N248)))</f>
        <v/>
      </c>
      <c r="P248" s="35">
        <f>IF($A248="","",IFERROR(SUMPRODUCT(--("0"&amp;TRIM(RIGHT(SUBSTITUTE(LEFT(";"&amp;SUBSTITUTE(UPPER(Auftrag!$AG248)," ","")&amp;";"&amp;"X"&amp;UPPER(Gewinde!$A$5:$A$54)&amp;";",SEARCH("X"&amp;UPPER(Gewinde!$A$5:$A$54)&amp;";",";"&amp;SUBSTITUTE(UPPER(Auftrag!$AG248)," ","")&amp;";"&amp;"X"&amp;UPPER(Gewinde!$A$5:$A$54)&amp;";")-1),";",REPT(" ",50)),50))),Gewinde!$C$5:$C$54),0))</f>
        <v/>
      </c>
      <c r="Q248" s="33">
        <f>IF($A248="","",(N($O248)+$P248)/3600*N(Auftrag!$H$8))</f>
        <v/>
      </c>
      <c r="R248" s="33">
        <f>IF($A248="","",IF($F$8=0,0,$F$7/$F$8))</f>
        <v/>
      </c>
      <c r="S248" s="33">
        <f>IF($A248="","",$F248*(1+$C$4)+($Q248+$R248)*(1+$C$5))</f>
        <v/>
      </c>
      <c r="T248" s="33">
        <f>IF($A248="","",$S248*(1+$C$6))</f>
        <v/>
      </c>
      <c r="U248" s="18">
        <f>IF($A248="","",$T248*$C248)</f>
        <v/>
      </c>
      <c r="V248" s="18">
        <f>IF($A248="","",$S248*$C248)</f>
        <v/>
      </c>
      <c r="W248" s="28">
        <f>IF($A248="","",IF(N(Auftrag!$AO248)&gt;0,"nicht vollständig eingeplant",IF($D248=0,"kein Schnittplan oder Preis",IF($H248="","keine Schneiddaten",IF(AND(Auftrag!$AF248&lt;&gt;"",Auftrag!$AG248=""),"Gewinde ungeprüft","")))))</f>
        <v/>
      </c>
      <c r="X248" s="18">
        <f>IF($A248="","",$F248*$C248)</f>
        <v/>
      </c>
      <c r="Y248" s="18">
        <f>IF($A248="","",$Q248*$C248)</f>
        <v/>
      </c>
    </row>
    <row r="249">
      <c r="A249" s="25">
        <f>IF(Auftrag!$D249="","",Auftrag!$A249)</f>
        <v/>
      </c>
      <c r="B249" s="25">
        <f>IF($A249="","",Auftrag!$B249)</f>
        <v/>
      </c>
      <c r="C249" s="15">
        <f>IF($A249="","",N(Auftrag!$G249))</f>
        <v/>
      </c>
      <c r="D249" s="18">
        <f>IF($A249="","",SUMIFS(Schnittplan!$R$5:$R$1004,Schnittplan!$B$5:$B$1004,Auftrag!$D249,Schnittplan!$C$5:$C$1004,Auftrag!$E249,Schnittplan!$D$5:$D$1004,Auftrag!$Q249))</f>
        <v/>
      </c>
      <c r="E249" s="32">
        <f>IF($A249="","",IFERROR(N(Auftrag!$P249)/SUMIFS(Auftrag!$P$13:$P$512,Auftrag!$D$13:$D$512,Auftrag!$D249,Auftrag!$E$13:$E$512,Auftrag!$E249,Auftrag!$Q$13:$Q$512,Auftrag!$Q249),0))</f>
        <v/>
      </c>
      <c r="F249" s="33">
        <f>IF($A249="","",IF($C249=0,0,$D249*$E249/$C249))</f>
        <v/>
      </c>
      <c r="G249" s="34">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5">
        <f>IF($A249="","",IF($H249="","",60*((N(Auftrag!$H249)-N(Auftrag!$AI249)-N(Auftrag!$AK249))/$H249+N(Auftrag!$AI249)/$J249+N(Auftrag!$AK249)/$I249+N(Auftrag!$AD249)/$K249)+N(Auftrag!$I249)*$L249))</f>
        <v/>
      </c>
      <c r="N249" s="35">
        <f>IF($A249="","",IF(OR($H249="",$C249=0),0,(60*SUMIFS(Stangenbelegung!$K$5:$K$10004,Stangenbelegung!$E$5:$E$10004,ROW())/$H249+SUMIFS(Stangenbelegung!$L$5:$L$10004,Stangenbelegung!$E$5:$E$10004,ROW())*$L249)/$C249))</f>
        <v/>
      </c>
      <c r="O249" s="35">
        <f>IF($A249="","",IF($M249="","",MAX(0,$M249-$N249)))</f>
        <v/>
      </c>
      <c r="P249" s="35">
        <f>IF($A249="","",IFERROR(SUMPRODUCT(--("0"&amp;TRIM(RIGHT(SUBSTITUTE(LEFT(";"&amp;SUBSTITUTE(UPPER(Auftrag!$AG249)," ","")&amp;";"&amp;"X"&amp;UPPER(Gewinde!$A$5:$A$54)&amp;";",SEARCH("X"&amp;UPPER(Gewinde!$A$5:$A$54)&amp;";",";"&amp;SUBSTITUTE(UPPER(Auftrag!$AG249)," ","")&amp;";"&amp;"X"&amp;UPPER(Gewinde!$A$5:$A$54)&amp;";")-1),";",REPT(" ",50)),50))),Gewinde!$C$5:$C$54),0))</f>
        <v/>
      </c>
      <c r="Q249" s="33">
        <f>IF($A249="","",(N($O249)+$P249)/3600*N(Auftrag!$H$8))</f>
        <v/>
      </c>
      <c r="R249" s="33">
        <f>IF($A249="","",IF($F$8=0,0,$F$7/$F$8))</f>
        <v/>
      </c>
      <c r="S249" s="33">
        <f>IF($A249="","",$F249*(1+$C$4)+($Q249+$R249)*(1+$C$5))</f>
        <v/>
      </c>
      <c r="T249" s="33">
        <f>IF($A249="","",$S249*(1+$C$6))</f>
        <v/>
      </c>
      <c r="U249" s="18">
        <f>IF($A249="","",$T249*$C249)</f>
        <v/>
      </c>
      <c r="V249" s="18">
        <f>IF($A249="","",$S249*$C249)</f>
        <v/>
      </c>
      <c r="W249" s="28">
        <f>IF($A249="","",IF(N(Auftrag!$AO249)&gt;0,"nicht vollständig eingeplant",IF($D249=0,"kein Schnittplan oder Preis",IF($H249="","keine Schneiddaten",IF(AND(Auftrag!$AF249&lt;&gt;"",Auftrag!$AG249=""),"Gewinde ungeprüft","")))))</f>
        <v/>
      </c>
      <c r="X249" s="18">
        <f>IF($A249="","",$F249*$C249)</f>
        <v/>
      </c>
      <c r="Y249" s="18">
        <f>IF($A249="","",$Q249*$C249)</f>
        <v/>
      </c>
    </row>
    <row r="250">
      <c r="A250" s="25">
        <f>IF(Auftrag!$D250="","",Auftrag!$A250)</f>
        <v/>
      </c>
      <c r="B250" s="25">
        <f>IF($A250="","",Auftrag!$B250)</f>
        <v/>
      </c>
      <c r="C250" s="15">
        <f>IF($A250="","",N(Auftrag!$G250))</f>
        <v/>
      </c>
      <c r="D250" s="18">
        <f>IF($A250="","",SUMIFS(Schnittplan!$R$5:$R$1004,Schnittplan!$B$5:$B$1004,Auftrag!$D250,Schnittplan!$C$5:$C$1004,Auftrag!$E250,Schnittplan!$D$5:$D$1004,Auftrag!$Q250))</f>
        <v/>
      </c>
      <c r="E250" s="32">
        <f>IF($A250="","",IFERROR(N(Auftrag!$P250)/SUMIFS(Auftrag!$P$13:$P$512,Auftrag!$D$13:$D$512,Auftrag!$D250,Auftrag!$E$13:$E$512,Auftrag!$E250,Auftrag!$Q$13:$Q$512,Auftrag!$Q250),0))</f>
        <v/>
      </c>
      <c r="F250" s="33">
        <f>IF($A250="","",IF($C250=0,0,$D250*$E250/$C250))</f>
        <v/>
      </c>
      <c r="G250" s="34">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5">
        <f>IF($A250="","",IF($H250="","",60*((N(Auftrag!$H250)-N(Auftrag!$AI250)-N(Auftrag!$AK250))/$H250+N(Auftrag!$AI250)/$J250+N(Auftrag!$AK250)/$I250+N(Auftrag!$AD250)/$K250)+N(Auftrag!$I250)*$L250))</f>
        <v/>
      </c>
      <c r="N250" s="35">
        <f>IF($A250="","",IF(OR($H250="",$C250=0),0,(60*SUMIFS(Stangenbelegung!$K$5:$K$10004,Stangenbelegung!$E$5:$E$10004,ROW())/$H250+SUMIFS(Stangenbelegung!$L$5:$L$10004,Stangenbelegung!$E$5:$E$10004,ROW())*$L250)/$C250))</f>
        <v/>
      </c>
      <c r="O250" s="35">
        <f>IF($A250="","",IF($M250="","",MAX(0,$M250-$N250)))</f>
        <v/>
      </c>
      <c r="P250" s="35">
        <f>IF($A250="","",IFERROR(SUMPRODUCT(--("0"&amp;TRIM(RIGHT(SUBSTITUTE(LEFT(";"&amp;SUBSTITUTE(UPPER(Auftrag!$AG250)," ","")&amp;";"&amp;"X"&amp;UPPER(Gewinde!$A$5:$A$54)&amp;";",SEARCH("X"&amp;UPPER(Gewinde!$A$5:$A$54)&amp;";",";"&amp;SUBSTITUTE(UPPER(Auftrag!$AG250)," ","")&amp;";"&amp;"X"&amp;UPPER(Gewinde!$A$5:$A$54)&amp;";")-1),";",REPT(" ",50)),50))),Gewinde!$C$5:$C$54),0))</f>
        <v/>
      </c>
      <c r="Q250" s="33">
        <f>IF($A250="","",(N($O250)+$P250)/3600*N(Auftrag!$H$8))</f>
        <v/>
      </c>
      <c r="R250" s="33">
        <f>IF($A250="","",IF($F$8=0,0,$F$7/$F$8))</f>
        <v/>
      </c>
      <c r="S250" s="33">
        <f>IF($A250="","",$F250*(1+$C$4)+($Q250+$R250)*(1+$C$5))</f>
        <v/>
      </c>
      <c r="T250" s="33">
        <f>IF($A250="","",$S250*(1+$C$6))</f>
        <v/>
      </c>
      <c r="U250" s="18">
        <f>IF($A250="","",$T250*$C250)</f>
        <v/>
      </c>
      <c r="V250" s="18">
        <f>IF($A250="","",$S250*$C250)</f>
        <v/>
      </c>
      <c r="W250" s="28">
        <f>IF($A250="","",IF(N(Auftrag!$AO250)&gt;0,"nicht vollständig eingeplant",IF($D250=0,"kein Schnittplan oder Preis",IF($H250="","keine Schneiddaten",IF(AND(Auftrag!$AF250&lt;&gt;"",Auftrag!$AG250=""),"Gewinde ungeprüft","")))))</f>
        <v/>
      </c>
      <c r="X250" s="18">
        <f>IF($A250="","",$F250*$C250)</f>
        <v/>
      </c>
      <c r="Y250" s="18">
        <f>IF($A250="","",$Q250*$C250)</f>
        <v/>
      </c>
    </row>
    <row r="251">
      <c r="A251" s="25">
        <f>IF(Auftrag!$D251="","",Auftrag!$A251)</f>
        <v/>
      </c>
      <c r="B251" s="25">
        <f>IF($A251="","",Auftrag!$B251)</f>
        <v/>
      </c>
      <c r="C251" s="15">
        <f>IF($A251="","",N(Auftrag!$G251))</f>
        <v/>
      </c>
      <c r="D251" s="18">
        <f>IF($A251="","",SUMIFS(Schnittplan!$R$5:$R$1004,Schnittplan!$B$5:$B$1004,Auftrag!$D251,Schnittplan!$C$5:$C$1004,Auftrag!$E251,Schnittplan!$D$5:$D$1004,Auftrag!$Q251))</f>
        <v/>
      </c>
      <c r="E251" s="32">
        <f>IF($A251="","",IFERROR(N(Auftrag!$P251)/SUMIFS(Auftrag!$P$13:$P$512,Auftrag!$D$13:$D$512,Auftrag!$D251,Auftrag!$E$13:$E$512,Auftrag!$E251,Auftrag!$Q$13:$Q$512,Auftrag!$Q251),0))</f>
        <v/>
      </c>
      <c r="F251" s="33">
        <f>IF($A251="","",IF($C251=0,0,$D251*$E251/$C251))</f>
        <v/>
      </c>
      <c r="G251" s="34">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5">
        <f>IF($A251="","",IF($H251="","",60*((N(Auftrag!$H251)-N(Auftrag!$AI251)-N(Auftrag!$AK251))/$H251+N(Auftrag!$AI251)/$J251+N(Auftrag!$AK251)/$I251+N(Auftrag!$AD251)/$K251)+N(Auftrag!$I251)*$L251))</f>
        <v/>
      </c>
      <c r="N251" s="35">
        <f>IF($A251="","",IF(OR($H251="",$C251=0),0,(60*SUMIFS(Stangenbelegung!$K$5:$K$10004,Stangenbelegung!$E$5:$E$10004,ROW())/$H251+SUMIFS(Stangenbelegung!$L$5:$L$10004,Stangenbelegung!$E$5:$E$10004,ROW())*$L251)/$C251))</f>
        <v/>
      </c>
      <c r="O251" s="35">
        <f>IF($A251="","",IF($M251="","",MAX(0,$M251-$N251)))</f>
        <v/>
      </c>
      <c r="P251" s="35">
        <f>IF($A251="","",IFERROR(SUMPRODUCT(--("0"&amp;TRIM(RIGHT(SUBSTITUTE(LEFT(";"&amp;SUBSTITUTE(UPPER(Auftrag!$AG251)," ","")&amp;";"&amp;"X"&amp;UPPER(Gewinde!$A$5:$A$54)&amp;";",SEARCH("X"&amp;UPPER(Gewinde!$A$5:$A$54)&amp;";",";"&amp;SUBSTITUTE(UPPER(Auftrag!$AG251)," ","")&amp;";"&amp;"X"&amp;UPPER(Gewinde!$A$5:$A$54)&amp;";")-1),";",REPT(" ",50)),50))),Gewinde!$C$5:$C$54),0))</f>
        <v/>
      </c>
      <c r="Q251" s="33">
        <f>IF($A251="","",(N($O251)+$P251)/3600*N(Auftrag!$H$8))</f>
        <v/>
      </c>
      <c r="R251" s="33">
        <f>IF($A251="","",IF($F$8=0,0,$F$7/$F$8))</f>
        <v/>
      </c>
      <c r="S251" s="33">
        <f>IF($A251="","",$F251*(1+$C$4)+($Q251+$R251)*(1+$C$5))</f>
        <v/>
      </c>
      <c r="T251" s="33">
        <f>IF($A251="","",$S251*(1+$C$6))</f>
        <v/>
      </c>
      <c r="U251" s="18">
        <f>IF($A251="","",$T251*$C251)</f>
        <v/>
      </c>
      <c r="V251" s="18">
        <f>IF($A251="","",$S251*$C251)</f>
        <v/>
      </c>
      <c r="W251" s="28">
        <f>IF($A251="","",IF(N(Auftrag!$AO251)&gt;0,"nicht vollständig eingeplant",IF($D251=0,"kein Schnittplan oder Preis",IF($H251="","keine Schneiddaten",IF(AND(Auftrag!$AF251&lt;&gt;"",Auftrag!$AG251=""),"Gewinde ungeprüft","")))))</f>
        <v/>
      </c>
      <c r="X251" s="18">
        <f>IF($A251="","",$F251*$C251)</f>
        <v/>
      </c>
      <c r="Y251" s="18">
        <f>IF($A251="","",$Q251*$C251)</f>
        <v/>
      </c>
    </row>
    <row r="252">
      <c r="A252" s="25">
        <f>IF(Auftrag!$D252="","",Auftrag!$A252)</f>
        <v/>
      </c>
      <c r="B252" s="25">
        <f>IF($A252="","",Auftrag!$B252)</f>
        <v/>
      </c>
      <c r="C252" s="15">
        <f>IF($A252="","",N(Auftrag!$G252))</f>
        <v/>
      </c>
      <c r="D252" s="18">
        <f>IF($A252="","",SUMIFS(Schnittplan!$R$5:$R$1004,Schnittplan!$B$5:$B$1004,Auftrag!$D252,Schnittplan!$C$5:$C$1004,Auftrag!$E252,Schnittplan!$D$5:$D$1004,Auftrag!$Q252))</f>
        <v/>
      </c>
      <c r="E252" s="32">
        <f>IF($A252="","",IFERROR(N(Auftrag!$P252)/SUMIFS(Auftrag!$P$13:$P$512,Auftrag!$D$13:$D$512,Auftrag!$D252,Auftrag!$E$13:$E$512,Auftrag!$E252,Auftrag!$Q$13:$Q$512,Auftrag!$Q252),0))</f>
        <v/>
      </c>
      <c r="F252" s="33">
        <f>IF($A252="","",IF($C252=0,0,$D252*$E252/$C252))</f>
        <v/>
      </c>
      <c r="G252" s="34">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5">
        <f>IF($A252="","",IF($H252="","",60*((N(Auftrag!$H252)-N(Auftrag!$AI252)-N(Auftrag!$AK252))/$H252+N(Auftrag!$AI252)/$J252+N(Auftrag!$AK252)/$I252+N(Auftrag!$AD252)/$K252)+N(Auftrag!$I252)*$L252))</f>
        <v/>
      </c>
      <c r="N252" s="35">
        <f>IF($A252="","",IF(OR($H252="",$C252=0),0,(60*SUMIFS(Stangenbelegung!$K$5:$K$10004,Stangenbelegung!$E$5:$E$10004,ROW())/$H252+SUMIFS(Stangenbelegung!$L$5:$L$10004,Stangenbelegung!$E$5:$E$10004,ROW())*$L252)/$C252))</f>
        <v/>
      </c>
      <c r="O252" s="35">
        <f>IF($A252="","",IF($M252="","",MAX(0,$M252-$N252)))</f>
        <v/>
      </c>
      <c r="P252" s="35">
        <f>IF($A252="","",IFERROR(SUMPRODUCT(--("0"&amp;TRIM(RIGHT(SUBSTITUTE(LEFT(";"&amp;SUBSTITUTE(UPPER(Auftrag!$AG252)," ","")&amp;";"&amp;"X"&amp;UPPER(Gewinde!$A$5:$A$54)&amp;";",SEARCH("X"&amp;UPPER(Gewinde!$A$5:$A$54)&amp;";",";"&amp;SUBSTITUTE(UPPER(Auftrag!$AG252)," ","")&amp;";"&amp;"X"&amp;UPPER(Gewinde!$A$5:$A$54)&amp;";")-1),";",REPT(" ",50)),50))),Gewinde!$C$5:$C$54),0))</f>
        <v/>
      </c>
      <c r="Q252" s="33">
        <f>IF($A252="","",(N($O252)+$P252)/3600*N(Auftrag!$H$8))</f>
        <v/>
      </c>
      <c r="R252" s="33">
        <f>IF($A252="","",IF($F$8=0,0,$F$7/$F$8))</f>
        <v/>
      </c>
      <c r="S252" s="33">
        <f>IF($A252="","",$F252*(1+$C$4)+($Q252+$R252)*(1+$C$5))</f>
        <v/>
      </c>
      <c r="T252" s="33">
        <f>IF($A252="","",$S252*(1+$C$6))</f>
        <v/>
      </c>
      <c r="U252" s="18">
        <f>IF($A252="","",$T252*$C252)</f>
        <v/>
      </c>
      <c r="V252" s="18">
        <f>IF($A252="","",$S252*$C252)</f>
        <v/>
      </c>
      <c r="W252" s="28">
        <f>IF($A252="","",IF(N(Auftrag!$AO252)&gt;0,"nicht vollständig eingeplant",IF($D252=0,"kein Schnittplan oder Preis",IF($H252="","keine Schneiddaten",IF(AND(Auftrag!$AF252&lt;&gt;"",Auftrag!$AG252=""),"Gewinde ungeprüft","")))))</f>
        <v/>
      </c>
      <c r="X252" s="18">
        <f>IF($A252="","",$F252*$C252)</f>
        <v/>
      </c>
      <c r="Y252" s="18">
        <f>IF($A252="","",$Q252*$C252)</f>
        <v/>
      </c>
    </row>
    <row r="253">
      <c r="A253" s="25">
        <f>IF(Auftrag!$D253="","",Auftrag!$A253)</f>
        <v/>
      </c>
      <c r="B253" s="25">
        <f>IF($A253="","",Auftrag!$B253)</f>
        <v/>
      </c>
      <c r="C253" s="15">
        <f>IF($A253="","",N(Auftrag!$G253))</f>
        <v/>
      </c>
      <c r="D253" s="18">
        <f>IF($A253="","",SUMIFS(Schnittplan!$R$5:$R$1004,Schnittplan!$B$5:$B$1004,Auftrag!$D253,Schnittplan!$C$5:$C$1004,Auftrag!$E253,Schnittplan!$D$5:$D$1004,Auftrag!$Q253))</f>
        <v/>
      </c>
      <c r="E253" s="32">
        <f>IF($A253="","",IFERROR(N(Auftrag!$P253)/SUMIFS(Auftrag!$P$13:$P$512,Auftrag!$D$13:$D$512,Auftrag!$D253,Auftrag!$E$13:$E$512,Auftrag!$E253,Auftrag!$Q$13:$Q$512,Auftrag!$Q253),0))</f>
        <v/>
      </c>
      <c r="F253" s="33">
        <f>IF($A253="","",IF($C253=0,0,$D253*$E253/$C253))</f>
        <v/>
      </c>
      <c r="G253" s="34">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5">
        <f>IF($A253="","",IF($H253="","",60*((N(Auftrag!$H253)-N(Auftrag!$AI253)-N(Auftrag!$AK253))/$H253+N(Auftrag!$AI253)/$J253+N(Auftrag!$AK253)/$I253+N(Auftrag!$AD253)/$K253)+N(Auftrag!$I253)*$L253))</f>
        <v/>
      </c>
      <c r="N253" s="35">
        <f>IF($A253="","",IF(OR($H253="",$C253=0),0,(60*SUMIFS(Stangenbelegung!$K$5:$K$10004,Stangenbelegung!$E$5:$E$10004,ROW())/$H253+SUMIFS(Stangenbelegung!$L$5:$L$10004,Stangenbelegung!$E$5:$E$10004,ROW())*$L253)/$C253))</f>
        <v/>
      </c>
      <c r="O253" s="35">
        <f>IF($A253="","",IF($M253="","",MAX(0,$M253-$N253)))</f>
        <v/>
      </c>
      <c r="P253" s="35">
        <f>IF($A253="","",IFERROR(SUMPRODUCT(--("0"&amp;TRIM(RIGHT(SUBSTITUTE(LEFT(";"&amp;SUBSTITUTE(UPPER(Auftrag!$AG253)," ","")&amp;";"&amp;"X"&amp;UPPER(Gewinde!$A$5:$A$54)&amp;";",SEARCH("X"&amp;UPPER(Gewinde!$A$5:$A$54)&amp;";",";"&amp;SUBSTITUTE(UPPER(Auftrag!$AG253)," ","")&amp;";"&amp;"X"&amp;UPPER(Gewinde!$A$5:$A$54)&amp;";")-1),";",REPT(" ",50)),50))),Gewinde!$C$5:$C$54),0))</f>
        <v/>
      </c>
      <c r="Q253" s="33">
        <f>IF($A253="","",(N($O253)+$P253)/3600*N(Auftrag!$H$8))</f>
        <v/>
      </c>
      <c r="R253" s="33">
        <f>IF($A253="","",IF($F$8=0,0,$F$7/$F$8))</f>
        <v/>
      </c>
      <c r="S253" s="33">
        <f>IF($A253="","",$F253*(1+$C$4)+($Q253+$R253)*(1+$C$5))</f>
        <v/>
      </c>
      <c r="T253" s="33">
        <f>IF($A253="","",$S253*(1+$C$6))</f>
        <v/>
      </c>
      <c r="U253" s="18">
        <f>IF($A253="","",$T253*$C253)</f>
        <v/>
      </c>
      <c r="V253" s="18">
        <f>IF($A253="","",$S253*$C253)</f>
        <v/>
      </c>
      <c r="W253" s="28">
        <f>IF($A253="","",IF(N(Auftrag!$AO253)&gt;0,"nicht vollständig eingeplant",IF($D253=0,"kein Schnittplan oder Preis",IF($H253="","keine Schneiddaten",IF(AND(Auftrag!$AF253&lt;&gt;"",Auftrag!$AG253=""),"Gewinde ungeprüft","")))))</f>
        <v/>
      </c>
      <c r="X253" s="18">
        <f>IF($A253="","",$F253*$C253)</f>
        <v/>
      </c>
      <c r="Y253" s="18">
        <f>IF($A253="","",$Q253*$C253)</f>
        <v/>
      </c>
    </row>
    <row r="254">
      <c r="A254" s="25">
        <f>IF(Auftrag!$D254="","",Auftrag!$A254)</f>
        <v/>
      </c>
      <c r="B254" s="25">
        <f>IF($A254="","",Auftrag!$B254)</f>
        <v/>
      </c>
      <c r="C254" s="15">
        <f>IF($A254="","",N(Auftrag!$G254))</f>
        <v/>
      </c>
      <c r="D254" s="18">
        <f>IF($A254="","",SUMIFS(Schnittplan!$R$5:$R$1004,Schnittplan!$B$5:$B$1004,Auftrag!$D254,Schnittplan!$C$5:$C$1004,Auftrag!$E254,Schnittplan!$D$5:$D$1004,Auftrag!$Q254))</f>
        <v/>
      </c>
      <c r="E254" s="32">
        <f>IF($A254="","",IFERROR(N(Auftrag!$P254)/SUMIFS(Auftrag!$P$13:$P$512,Auftrag!$D$13:$D$512,Auftrag!$D254,Auftrag!$E$13:$E$512,Auftrag!$E254,Auftrag!$Q$13:$Q$512,Auftrag!$Q254),0))</f>
        <v/>
      </c>
      <c r="F254" s="33">
        <f>IF($A254="","",IF($C254=0,0,$D254*$E254/$C254))</f>
        <v/>
      </c>
      <c r="G254" s="34">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5">
        <f>IF($A254="","",IF($H254="","",60*((N(Auftrag!$H254)-N(Auftrag!$AI254)-N(Auftrag!$AK254))/$H254+N(Auftrag!$AI254)/$J254+N(Auftrag!$AK254)/$I254+N(Auftrag!$AD254)/$K254)+N(Auftrag!$I254)*$L254))</f>
        <v/>
      </c>
      <c r="N254" s="35">
        <f>IF($A254="","",IF(OR($H254="",$C254=0),0,(60*SUMIFS(Stangenbelegung!$K$5:$K$10004,Stangenbelegung!$E$5:$E$10004,ROW())/$H254+SUMIFS(Stangenbelegung!$L$5:$L$10004,Stangenbelegung!$E$5:$E$10004,ROW())*$L254)/$C254))</f>
        <v/>
      </c>
      <c r="O254" s="35">
        <f>IF($A254="","",IF($M254="","",MAX(0,$M254-$N254)))</f>
        <v/>
      </c>
      <c r="P254" s="35">
        <f>IF($A254="","",IFERROR(SUMPRODUCT(--("0"&amp;TRIM(RIGHT(SUBSTITUTE(LEFT(";"&amp;SUBSTITUTE(UPPER(Auftrag!$AG254)," ","")&amp;";"&amp;"X"&amp;UPPER(Gewinde!$A$5:$A$54)&amp;";",SEARCH("X"&amp;UPPER(Gewinde!$A$5:$A$54)&amp;";",";"&amp;SUBSTITUTE(UPPER(Auftrag!$AG254)," ","")&amp;";"&amp;"X"&amp;UPPER(Gewinde!$A$5:$A$54)&amp;";")-1),";",REPT(" ",50)),50))),Gewinde!$C$5:$C$54),0))</f>
        <v/>
      </c>
      <c r="Q254" s="33">
        <f>IF($A254="","",(N($O254)+$P254)/3600*N(Auftrag!$H$8))</f>
        <v/>
      </c>
      <c r="R254" s="33">
        <f>IF($A254="","",IF($F$8=0,0,$F$7/$F$8))</f>
        <v/>
      </c>
      <c r="S254" s="33">
        <f>IF($A254="","",$F254*(1+$C$4)+($Q254+$R254)*(1+$C$5))</f>
        <v/>
      </c>
      <c r="T254" s="33">
        <f>IF($A254="","",$S254*(1+$C$6))</f>
        <v/>
      </c>
      <c r="U254" s="18">
        <f>IF($A254="","",$T254*$C254)</f>
        <v/>
      </c>
      <c r="V254" s="18">
        <f>IF($A254="","",$S254*$C254)</f>
        <v/>
      </c>
      <c r="W254" s="28">
        <f>IF($A254="","",IF(N(Auftrag!$AO254)&gt;0,"nicht vollständig eingeplant",IF($D254=0,"kein Schnittplan oder Preis",IF($H254="","keine Schneiddaten",IF(AND(Auftrag!$AF254&lt;&gt;"",Auftrag!$AG254=""),"Gewinde ungeprüft","")))))</f>
        <v/>
      </c>
      <c r="X254" s="18">
        <f>IF($A254="","",$F254*$C254)</f>
        <v/>
      </c>
      <c r="Y254" s="18">
        <f>IF($A254="","",$Q254*$C254)</f>
        <v/>
      </c>
    </row>
    <row r="255">
      <c r="A255" s="25">
        <f>IF(Auftrag!$D255="","",Auftrag!$A255)</f>
        <v/>
      </c>
      <c r="B255" s="25">
        <f>IF($A255="","",Auftrag!$B255)</f>
        <v/>
      </c>
      <c r="C255" s="15">
        <f>IF($A255="","",N(Auftrag!$G255))</f>
        <v/>
      </c>
      <c r="D255" s="18">
        <f>IF($A255="","",SUMIFS(Schnittplan!$R$5:$R$1004,Schnittplan!$B$5:$B$1004,Auftrag!$D255,Schnittplan!$C$5:$C$1004,Auftrag!$E255,Schnittplan!$D$5:$D$1004,Auftrag!$Q255))</f>
        <v/>
      </c>
      <c r="E255" s="32">
        <f>IF($A255="","",IFERROR(N(Auftrag!$P255)/SUMIFS(Auftrag!$P$13:$P$512,Auftrag!$D$13:$D$512,Auftrag!$D255,Auftrag!$E$13:$E$512,Auftrag!$E255,Auftrag!$Q$13:$Q$512,Auftrag!$Q255),0))</f>
        <v/>
      </c>
      <c r="F255" s="33">
        <f>IF($A255="","",IF($C255=0,0,$D255*$E255/$C255))</f>
        <v/>
      </c>
      <c r="G255" s="34">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5">
        <f>IF($A255="","",IF($H255="","",60*((N(Auftrag!$H255)-N(Auftrag!$AI255)-N(Auftrag!$AK255))/$H255+N(Auftrag!$AI255)/$J255+N(Auftrag!$AK255)/$I255+N(Auftrag!$AD255)/$K255)+N(Auftrag!$I255)*$L255))</f>
        <v/>
      </c>
      <c r="N255" s="35">
        <f>IF($A255="","",IF(OR($H255="",$C255=0),0,(60*SUMIFS(Stangenbelegung!$K$5:$K$10004,Stangenbelegung!$E$5:$E$10004,ROW())/$H255+SUMIFS(Stangenbelegung!$L$5:$L$10004,Stangenbelegung!$E$5:$E$10004,ROW())*$L255)/$C255))</f>
        <v/>
      </c>
      <c r="O255" s="35">
        <f>IF($A255="","",IF($M255="","",MAX(0,$M255-$N255)))</f>
        <v/>
      </c>
      <c r="P255" s="35">
        <f>IF($A255="","",IFERROR(SUMPRODUCT(--("0"&amp;TRIM(RIGHT(SUBSTITUTE(LEFT(";"&amp;SUBSTITUTE(UPPER(Auftrag!$AG255)," ","")&amp;";"&amp;"X"&amp;UPPER(Gewinde!$A$5:$A$54)&amp;";",SEARCH("X"&amp;UPPER(Gewinde!$A$5:$A$54)&amp;";",";"&amp;SUBSTITUTE(UPPER(Auftrag!$AG255)," ","")&amp;";"&amp;"X"&amp;UPPER(Gewinde!$A$5:$A$54)&amp;";")-1),";",REPT(" ",50)),50))),Gewinde!$C$5:$C$54),0))</f>
        <v/>
      </c>
      <c r="Q255" s="33">
        <f>IF($A255="","",(N($O255)+$P255)/3600*N(Auftrag!$H$8))</f>
        <v/>
      </c>
      <c r="R255" s="33">
        <f>IF($A255="","",IF($F$8=0,0,$F$7/$F$8))</f>
        <v/>
      </c>
      <c r="S255" s="33">
        <f>IF($A255="","",$F255*(1+$C$4)+($Q255+$R255)*(1+$C$5))</f>
        <v/>
      </c>
      <c r="T255" s="33">
        <f>IF($A255="","",$S255*(1+$C$6))</f>
        <v/>
      </c>
      <c r="U255" s="18">
        <f>IF($A255="","",$T255*$C255)</f>
        <v/>
      </c>
      <c r="V255" s="18">
        <f>IF($A255="","",$S255*$C255)</f>
        <v/>
      </c>
      <c r="W255" s="28">
        <f>IF($A255="","",IF(N(Auftrag!$AO255)&gt;0,"nicht vollständig eingeplant",IF($D255=0,"kein Schnittplan oder Preis",IF($H255="","keine Schneiddaten",IF(AND(Auftrag!$AF255&lt;&gt;"",Auftrag!$AG255=""),"Gewinde ungeprüft","")))))</f>
        <v/>
      </c>
      <c r="X255" s="18">
        <f>IF($A255="","",$F255*$C255)</f>
        <v/>
      </c>
      <c r="Y255" s="18">
        <f>IF($A255="","",$Q255*$C255)</f>
        <v/>
      </c>
    </row>
    <row r="256">
      <c r="A256" s="25">
        <f>IF(Auftrag!$D256="","",Auftrag!$A256)</f>
        <v/>
      </c>
      <c r="B256" s="25">
        <f>IF($A256="","",Auftrag!$B256)</f>
        <v/>
      </c>
      <c r="C256" s="15">
        <f>IF($A256="","",N(Auftrag!$G256))</f>
        <v/>
      </c>
      <c r="D256" s="18">
        <f>IF($A256="","",SUMIFS(Schnittplan!$R$5:$R$1004,Schnittplan!$B$5:$B$1004,Auftrag!$D256,Schnittplan!$C$5:$C$1004,Auftrag!$E256,Schnittplan!$D$5:$D$1004,Auftrag!$Q256))</f>
        <v/>
      </c>
      <c r="E256" s="32">
        <f>IF($A256="","",IFERROR(N(Auftrag!$P256)/SUMIFS(Auftrag!$P$13:$P$512,Auftrag!$D$13:$D$512,Auftrag!$D256,Auftrag!$E$13:$E$512,Auftrag!$E256,Auftrag!$Q$13:$Q$512,Auftrag!$Q256),0))</f>
        <v/>
      </c>
      <c r="F256" s="33">
        <f>IF($A256="","",IF($C256=0,0,$D256*$E256/$C256))</f>
        <v/>
      </c>
      <c r="G256" s="34">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5">
        <f>IF($A256="","",IF($H256="","",60*((N(Auftrag!$H256)-N(Auftrag!$AI256)-N(Auftrag!$AK256))/$H256+N(Auftrag!$AI256)/$J256+N(Auftrag!$AK256)/$I256+N(Auftrag!$AD256)/$K256)+N(Auftrag!$I256)*$L256))</f>
        <v/>
      </c>
      <c r="N256" s="35">
        <f>IF($A256="","",IF(OR($H256="",$C256=0),0,(60*SUMIFS(Stangenbelegung!$K$5:$K$10004,Stangenbelegung!$E$5:$E$10004,ROW())/$H256+SUMIFS(Stangenbelegung!$L$5:$L$10004,Stangenbelegung!$E$5:$E$10004,ROW())*$L256)/$C256))</f>
        <v/>
      </c>
      <c r="O256" s="35">
        <f>IF($A256="","",IF($M256="","",MAX(0,$M256-$N256)))</f>
        <v/>
      </c>
      <c r="P256" s="35">
        <f>IF($A256="","",IFERROR(SUMPRODUCT(--("0"&amp;TRIM(RIGHT(SUBSTITUTE(LEFT(";"&amp;SUBSTITUTE(UPPER(Auftrag!$AG256)," ","")&amp;";"&amp;"X"&amp;UPPER(Gewinde!$A$5:$A$54)&amp;";",SEARCH("X"&amp;UPPER(Gewinde!$A$5:$A$54)&amp;";",";"&amp;SUBSTITUTE(UPPER(Auftrag!$AG256)," ","")&amp;";"&amp;"X"&amp;UPPER(Gewinde!$A$5:$A$54)&amp;";")-1),";",REPT(" ",50)),50))),Gewinde!$C$5:$C$54),0))</f>
        <v/>
      </c>
      <c r="Q256" s="33">
        <f>IF($A256="","",(N($O256)+$P256)/3600*N(Auftrag!$H$8))</f>
        <v/>
      </c>
      <c r="R256" s="33">
        <f>IF($A256="","",IF($F$8=0,0,$F$7/$F$8))</f>
        <v/>
      </c>
      <c r="S256" s="33">
        <f>IF($A256="","",$F256*(1+$C$4)+($Q256+$R256)*(1+$C$5))</f>
        <v/>
      </c>
      <c r="T256" s="33">
        <f>IF($A256="","",$S256*(1+$C$6))</f>
        <v/>
      </c>
      <c r="U256" s="18">
        <f>IF($A256="","",$T256*$C256)</f>
        <v/>
      </c>
      <c r="V256" s="18">
        <f>IF($A256="","",$S256*$C256)</f>
        <v/>
      </c>
      <c r="W256" s="28">
        <f>IF($A256="","",IF(N(Auftrag!$AO256)&gt;0,"nicht vollständig eingeplant",IF($D256=0,"kein Schnittplan oder Preis",IF($H256="","keine Schneiddaten",IF(AND(Auftrag!$AF256&lt;&gt;"",Auftrag!$AG256=""),"Gewinde ungeprüft","")))))</f>
        <v/>
      </c>
      <c r="X256" s="18">
        <f>IF($A256="","",$F256*$C256)</f>
        <v/>
      </c>
      <c r="Y256" s="18">
        <f>IF($A256="","",$Q256*$C256)</f>
        <v/>
      </c>
    </row>
    <row r="257">
      <c r="A257" s="25">
        <f>IF(Auftrag!$D257="","",Auftrag!$A257)</f>
        <v/>
      </c>
      <c r="B257" s="25">
        <f>IF($A257="","",Auftrag!$B257)</f>
        <v/>
      </c>
      <c r="C257" s="15">
        <f>IF($A257="","",N(Auftrag!$G257))</f>
        <v/>
      </c>
      <c r="D257" s="18">
        <f>IF($A257="","",SUMIFS(Schnittplan!$R$5:$R$1004,Schnittplan!$B$5:$B$1004,Auftrag!$D257,Schnittplan!$C$5:$C$1004,Auftrag!$E257,Schnittplan!$D$5:$D$1004,Auftrag!$Q257))</f>
        <v/>
      </c>
      <c r="E257" s="32">
        <f>IF($A257="","",IFERROR(N(Auftrag!$P257)/SUMIFS(Auftrag!$P$13:$P$512,Auftrag!$D$13:$D$512,Auftrag!$D257,Auftrag!$E$13:$E$512,Auftrag!$E257,Auftrag!$Q$13:$Q$512,Auftrag!$Q257),0))</f>
        <v/>
      </c>
      <c r="F257" s="33">
        <f>IF($A257="","",IF($C257=0,0,$D257*$E257/$C257))</f>
        <v/>
      </c>
      <c r="G257" s="34">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5">
        <f>IF($A257="","",IF($H257="","",60*((N(Auftrag!$H257)-N(Auftrag!$AI257)-N(Auftrag!$AK257))/$H257+N(Auftrag!$AI257)/$J257+N(Auftrag!$AK257)/$I257+N(Auftrag!$AD257)/$K257)+N(Auftrag!$I257)*$L257))</f>
        <v/>
      </c>
      <c r="N257" s="35">
        <f>IF($A257="","",IF(OR($H257="",$C257=0),0,(60*SUMIFS(Stangenbelegung!$K$5:$K$10004,Stangenbelegung!$E$5:$E$10004,ROW())/$H257+SUMIFS(Stangenbelegung!$L$5:$L$10004,Stangenbelegung!$E$5:$E$10004,ROW())*$L257)/$C257))</f>
        <v/>
      </c>
      <c r="O257" s="35">
        <f>IF($A257="","",IF($M257="","",MAX(0,$M257-$N257)))</f>
        <v/>
      </c>
      <c r="P257" s="35">
        <f>IF($A257="","",IFERROR(SUMPRODUCT(--("0"&amp;TRIM(RIGHT(SUBSTITUTE(LEFT(";"&amp;SUBSTITUTE(UPPER(Auftrag!$AG257)," ","")&amp;";"&amp;"X"&amp;UPPER(Gewinde!$A$5:$A$54)&amp;";",SEARCH("X"&amp;UPPER(Gewinde!$A$5:$A$54)&amp;";",";"&amp;SUBSTITUTE(UPPER(Auftrag!$AG257)," ","")&amp;";"&amp;"X"&amp;UPPER(Gewinde!$A$5:$A$54)&amp;";")-1),";",REPT(" ",50)),50))),Gewinde!$C$5:$C$54),0))</f>
        <v/>
      </c>
      <c r="Q257" s="33">
        <f>IF($A257="","",(N($O257)+$P257)/3600*N(Auftrag!$H$8))</f>
        <v/>
      </c>
      <c r="R257" s="33">
        <f>IF($A257="","",IF($F$8=0,0,$F$7/$F$8))</f>
        <v/>
      </c>
      <c r="S257" s="33">
        <f>IF($A257="","",$F257*(1+$C$4)+($Q257+$R257)*(1+$C$5))</f>
        <v/>
      </c>
      <c r="T257" s="33">
        <f>IF($A257="","",$S257*(1+$C$6))</f>
        <v/>
      </c>
      <c r="U257" s="18">
        <f>IF($A257="","",$T257*$C257)</f>
        <v/>
      </c>
      <c r="V257" s="18">
        <f>IF($A257="","",$S257*$C257)</f>
        <v/>
      </c>
      <c r="W257" s="28">
        <f>IF($A257="","",IF(N(Auftrag!$AO257)&gt;0,"nicht vollständig eingeplant",IF($D257=0,"kein Schnittplan oder Preis",IF($H257="","keine Schneiddaten",IF(AND(Auftrag!$AF257&lt;&gt;"",Auftrag!$AG257=""),"Gewinde ungeprüft","")))))</f>
        <v/>
      </c>
      <c r="X257" s="18">
        <f>IF($A257="","",$F257*$C257)</f>
        <v/>
      </c>
      <c r="Y257" s="18">
        <f>IF($A257="","",$Q257*$C257)</f>
        <v/>
      </c>
    </row>
    <row r="258">
      <c r="A258" s="25">
        <f>IF(Auftrag!$D258="","",Auftrag!$A258)</f>
        <v/>
      </c>
      <c r="B258" s="25">
        <f>IF($A258="","",Auftrag!$B258)</f>
        <v/>
      </c>
      <c r="C258" s="15">
        <f>IF($A258="","",N(Auftrag!$G258))</f>
        <v/>
      </c>
      <c r="D258" s="18">
        <f>IF($A258="","",SUMIFS(Schnittplan!$R$5:$R$1004,Schnittplan!$B$5:$B$1004,Auftrag!$D258,Schnittplan!$C$5:$C$1004,Auftrag!$E258,Schnittplan!$D$5:$D$1004,Auftrag!$Q258))</f>
        <v/>
      </c>
      <c r="E258" s="32">
        <f>IF($A258="","",IFERROR(N(Auftrag!$P258)/SUMIFS(Auftrag!$P$13:$P$512,Auftrag!$D$13:$D$512,Auftrag!$D258,Auftrag!$E$13:$E$512,Auftrag!$E258,Auftrag!$Q$13:$Q$512,Auftrag!$Q258),0))</f>
        <v/>
      </c>
      <c r="F258" s="33">
        <f>IF($A258="","",IF($C258=0,0,$D258*$E258/$C258))</f>
        <v/>
      </c>
      <c r="G258" s="34">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5">
        <f>IF($A258="","",IF($H258="","",60*((N(Auftrag!$H258)-N(Auftrag!$AI258)-N(Auftrag!$AK258))/$H258+N(Auftrag!$AI258)/$J258+N(Auftrag!$AK258)/$I258+N(Auftrag!$AD258)/$K258)+N(Auftrag!$I258)*$L258))</f>
        <v/>
      </c>
      <c r="N258" s="35">
        <f>IF($A258="","",IF(OR($H258="",$C258=0),0,(60*SUMIFS(Stangenbelegung!$K$5:$K$10004,Stangenbelegung!$E$5:$E$10004,ROW())/$H258+SUMIFS(Stangenbelegung!$L$5:$L$10004,Stangenbelegung!$E$5:$E$10004,ROW())*$L258)/$C258))</f>
        <v/>
      </c>
      <c r="O258" s="35">
        <f>IF($A258="","",IF($M258="","",MAX(0,$M258-$N258)))</f>
        <v/>
      </c>
      <c r="P258" s="35">
        <f>IF($A258="","",IFERROR(SUMPRODUCT(--("0"&amp;TRIM(RIGHT(SUBSTITUTE(LEFT(";"&amp;SUBSTITUTE(UPPER(Auftrag!$AG258)," ","")&amp;";"&amp;"X"&amp;UPPER(Gewinde!$A$5:$A$54)&amp;";",SEARCH("X"&amp;UPPER(Gewinde!$A$5:$A$54)&amp;";",";"&amp;SUBSTITUTE(UPPER(Auftrag!$AG258)," ","")&amp;";"&amp;"X"&amp;UPPER(Gewinde!$A$5:$A$54)&amp;";")-1),";",REPT(" ",50)),50))),Gewinde!$C$5:$C$54),0))</f>
        <v/>
      </c>
      <c r="Q258" s="33">
        <f>IF($A258="","",(N($O258)+$P258)/3600*N(Auftrag!$H$8))</f>
        <v/>
      </c>
      <c r="R258" s="33">
        <f>IF($A258="","",IF($F$8=0,0,$F$7/$F$8))</f>
        <v/>
      </c>
      <c r="S258" s="33">
        <f>IF($A258="","",$F258*(1+$C$4)+($Q258+$R258)*(1+$C$5))</f>
        <v/>
      </c>
      <c r="T258" s="33">
        <f>IF($A258="","",$S258*(1+$C$6))</f>
        <v/>
      </c>
      <c r="U258" s="18">
        <f>IF($A258="","",$T258*$C258)</f>
        <v/>
      </c>
      <c r="V258" s="18">
        <f>IF($A258="","",$S258*$C258)</f>
        <v/>
      </c>
      <c r="W258" s="28">
        <f>IF($A258="","",IF(N(Auftrag!$AO258)&gt;0,"nicht vollständig eingeplant",IF($D258=0,"kein Schnittplan oder Preis",IF($H258="","keine Schneiddaten",IF(AND(Auftrag!$AF258&lt;&gt;"",Auftrag!$AG258=""),"Gewinde ungeprüft","")))))</f>
        <v/>
      </c>
      <c r="X258" s="18">
        <f>IF($A258="","",$F258*$C258)</f>
        <v/>
      </c>
      <c r="Y258" s="18">
        <f>IF($A258="","",$Q258*$C258)</f>
        <v/>
      </c>
    </row>
    <row r="259">
      <c r="A259" s="25">
        <f>IF(Auftrag!$D259="","",Auftrag!$A259)</f>
        <v/>
      </c>
      <c r="B259" s="25">
        <f>IF($A259="","",Auftrag!$B259)</f>
        <v/>
      </c>
      <c r="C259" s="15">
        <f>IF($A259="","",N(Auftrag!$G259))</f>
        <v/>
      </c>
      <c r="D259" s="18">
        <f>IF($A259="","",SUMIFS(Schnittplan!$R$5:$R$1004,Schnittplan!$B$5:$B$1004,Auftrag!$D259,Schnittplan!$C$5:$C$1004,Auftrag!$E259,Schnittplan!$D$5:$D$1004,Auftrag!$Q259))</f>
        <v/>
      </c>
      <c r="E259" s="32">
        <f>IF($A259="","",IFERROR(N(Auftrag!$P259)/SUMIFS(Auftrag!$P$13:$P$512,Auftrag!$D$13:$D$512,Auftrag!$D259,Auftrag!$E$13:$E$512,Auftrag!$E259,Auftrag!$Q$13:$Q$512,Auftrag!$Q259),0))</f>
        <v/>
      </c>
      <c r="F259" s="33">
        <f>IF($A259="","",IF($C259=0,0,$D259*$E259/$C259))</f>
        <v/>
      </c>
      <c r="G259" s="34">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5">
        <f>IF($A259="","",IF($H259="","",60*((N(Auftrag!$H259)-N(Auftrag!$AI259)-N(Auftrag!$AK259))/$H259+N(Auftrag!$AI259)/$J259+N(Auftrag!$AK259)/$I259+N(Auftrag!$AD259)/$K259)+N(Auftrag!$I259)*$L259))</f>
        <v/>
      </c>
      <c r="N259" s="35">
        <f>IF($A259="","",IF(OR($H259="",$C259=0),0,(60*SUMIFS(Stangenbelegung!$K$5:$K$10004,Stangenbelegung!$E$5:$E$10004,ROW())/$H259+SUMIFS(Stangenbelegung!$L$5:$L$10004,Stangenbelegung!$E$5:$E$10004,ROW())*$L259)/$C259))</f>
        <v/>
      </c>
      <c r="O259" s="35">
        <f>IF($A259="","",IF($M259="","",MAX(0,$M259-$N259)))</f>
        <v/>
      </c>
      <c r="P259" s="35">
        <f>IF($A259="","",IFERROR(SUMPRODUCT(--("0"&amp;TRIM(RIGHT(SUBSTITUTE(LEFT(";"&amp;SUBSTITUTE(UPPER(Auftrag!$AG259)," ","")&amp;";"&amp;"X"&amp;UPPER(Gewinde!$A$5:$A$54)&amp;";",SEARCH("X"&amp;UPPER(Gewinde!$A$5:$A$54)&amp;";",";"&amp;SUBSTITUTE(UPPER(Auftrag!$AG259)," ","")&amp;";"&amp;"X"&amp;UPPER(Gewinde!$A$5:$A$54)&amp;";")-1),";",REPT(" ",50)),50))),Gewinde!$C$5:$C$54),0))</f>
        <v/>
      </c>
      <c r="Q259" s="33">
        <f>IF($A259="","",(N($O259)+$P259)/3600*N(Auftrag!$H$8))</f>
        <v/>
      </c>
      <c r="R259" s="33">
        <f>IF($A259="","",IF($F$8=0,0,$F$7/$F$8))</f>
        <v/>
      </c>
      <c r="S259" s="33">
        <f>IF($A259="","",$F259*(1+$C$4)+($Q259+$R259)*(1+$C$5))</f>
        <v/>
      </c>
      <c r="T259" s="33">
        <f>IF($A259="","",$S259*(1+$C$6))</f>
        <v/>
      </c>
      <c r="U259" s="18">
        <f>IF($A259="","",$T259*$C259)</f>
        <v/>
      </c>
      <c r="V259" s="18">
        <f>IF($A259="","",$S259*$C259)</f>
        <v/>
      </c>
      <c r="W259" s="28">
        <f>IF($A259="","",IF(N(Auftrag!$AO259)&gt;0,"nicht vollständig eingeplant",IF($D259=0,"kein Schnittplan oder Preis",IF($H259="","keine Schneiddaten",IF(AND(Auftrag!$AF259&lt;&gt;"",Auftrag!$AG259=""),"Gewinde ungeprüft","")))))</f>
        <v/>
      </c>
      <c r="X259" s="18">
        <f>IF($A259="","",$F259*$C259)</f>
        <v/>
      </c>
      <c r="Y259" s="18">
        <f>IF($A259="","",$Q259*$C259)</f>
        <v/>
      </c>
    </row>
    <row r="260">
      <c r="A260" s="25">
        <f>IF(Auftrag!$D260="","",Auftrag!$A260)</f>
        <v/>
      </c>
      <c r="B260" s="25">
        <f>IF($A260="","",Auftrag!$B260)</f>
        <v/>
      </c>
      <c r="C260" s="15">
        <f>IF($A260="","",N(Auftrag!$G260))</f>
        <v/>
      </c>
      <c r="D260" s="18">
        <f>IF($A260="","",SUMIFS(Schnittplan!$R$5:$R$1004,Schnittplan!$B$5:$B$1004,Auftrag!$D260,Schnittplan!$C$5:$C$1004,Auftrag!$E260,Schnittplan!$D$5:$D$1004,Auftrag!$Q260))</f>
        <v/>
      </c>
      <c r="E260" s="32">
        <f>IF($A260="","",IFERROR(N(Auftrag!$P260)/SUMIFS(Auftrag!$P$13:$P$512,Auftrag!$D$13:$D$512,Auftrag!$D260,Auftrag!$E$13:$E$512,Auftrag!$E260,Auftrag!$Q$13:$Q$512,Auftrag!$Q260),0))</f>
        <v/>
      </c>
      <c r="F260" s="33">
        <f>IF($A260="","",IF($C260=0,0,$D260*$E260/$C260))</f>
        <v/>
      </c>
      <c r="G260" s="34">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5">
        <f>IF($A260="","",IF($H260="","",60*((N(Auftrag!$H260)-N(Auftrag!$AI260)-N(Auftrag!$AK260))/$H260+N(Auftrag!$AI260)/$J260+N(Auftrag!$AK260)/$I260+N(Auftrag!$AD260)/$K260)+N(Auftrag!$I260)*$L260))</f>
        <v/>
      </c>
      <c r="N260" s="35">
        <f>IF($A260="","",IF(OR($H260="",$C260=0),0,(60*SUMIFS(Stangenbelegung!$K$5:$K$10004,Stangenbelegung!$E$5:$E$10004,ROW())/$H260+SUMIFS(Stangenbelegung!$L$5:$L$10004,Stangenbelegung!$E$5:$E$10004,ROW())*$L260)/$C260))</f>
        <v/>
      </c>
      <c r="O260" s="35">
        <f>IF($A260="","",IF($M260="","",MAX(0,$M260-$N260)))</f>
        <v/>
      </c>
      <c r="P260" s="35">
        <f>IF($A260="","",IFERROR(SUMPRODUCT(--("0"&amp;TRIM(RIGHT(SUBSTITUTE(LEFT(";"&amp;SUBSTITUTE(UPPER(Auftrag!$AG260)," ","")&amp;";"&amp;"X"&amp;UPPER(Gewinde!$A$5:$A$54)&amp;";",SEARCH("X"&amp;UPPER(Gewinde!$A$5:$A$54)&amp;";",";"&amp;SUBSTITUTE(UPPER(Auftrag!$AG260)," ","")&amp;";"&amp;"X"&amp;UPPER(Gewinde!$A$5:$A$54)&amp;";")-1),";",REPT(" ",50)),50))),Gewinde!$C$5:$C$54),0))</f>
        <v/>
      </c>
      <c r="Q260" s="33">
        <f>IF($A260="","",(N($O260)+$P260)/3600*N(Auftrag!$H$8))</f>
        <v/>
      </c>
      <c r="R260" s="33">
        <f>IF($A260="","",IF($F$8=0,0,$F$7/$F$8))</f>
        <v/>
      </c>
      <c r="S260" s="33">
        <f>IF($A260="","",$F260*(1+$C$4)+($Q260+$R260)*(1+$C$5))</f>
        <v/>
      </c>
      <c r="T260" s="33">
        <f>IF($A260="","",$S260*(1+$C$6))</f>
        <v/>
      </c>
      <c r="U260" s="18">
        <f>IF($A260="","",$T260*$C260)</f>
        <v/>
      </c>
      <c r="V260" s="18">
        <f>IF($A260="","",$S260*$C260)</f>
        <v/>
      </c>
      <c r="W260" s="28">
        <f>IF($A260="","",IF(N(Auftrag!$AO260)&gt;0,"nicht vollständig eingeplant",IF($D260=0,"kein Schnittplan oder Preis",IF($H260="","keine Schneiddaten",IF(AND(Auftrag!$AF260&lt;&gt;"",Auftrag!$AG260=""),"Gewinde ungeprüft","")))))</f>
        <v/>
      </c>
      <c r="X260" s="18">
        <f>IF($A260="","",$F260*$C260)</f>
        <v/>
      </c>
      <c r="Y260" s="18">
        <f>IF($A260="","",$Q260*$C260)</f>
        <v/>
      </c>
    </row>
    <row r="261">
      <c r="A261" s="25">
        <f>IF(Auftrag!$D261="","",Auftrag!$A261)</f>
        <v/>
      </c>
      <c r="B261" s="25">
        <f>IF($A261="","",Auftrag!$B261)</f>
        <v/>
      </c>
      <c r="C261" s="15">
        <f>IF($A261="","",N(Auftrag!$G261))</f>
        <v/>
      </c>
      <c r="D261" s="18">
        <f>IF($A261="","",SUMIFS(Schnittplan!$R$5:$R$1004,Schnittplan!$B$5:$B$1004,Auftrag!$D261,Schnittplan!$C$5:$C$1004,Auftrag!$E261,Schnittplan!$D$5:$D$1004,Auftrag!$Q261))</f>
        <v/>
      </c>
      <c r="E261" s="32">
        <f>IF($A261="","",IFERROR(N(Auftrag!$P261)/SUMIFS(Auftrag!$P$13:$P$512,Auftrag!$D$13:$D$512,Auftrag!$D261,Auftrag!$E$13:$E$512,Auftrag!$E261,Auftrag!$Q$13:$Q$512,Auftrag!$Q261),0))</f>
        <v/>
      </c>
      <c r="F261" s="33">
        <f>IF($A261="","",IF($C261=0,0,$D261*$E261/$C261))</f>
        <v/>
      </c>
      <c r="G261" s="34">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5">
        <f>IF($A261="","",IF($H261="","",60*((N(Auftrag!$H261)-N(Auftrag!$AI261)-N(Auftrag!$AK261))/$H261+N(Auftrag!$AI261)/$J261+N(Auftrag!$AK261)/$I261+N(Auftrag!$AD261)/$K261)+N(Auftrag!$I261)*$L261))</f>
        <v/>
      </c>
      <c r="N261" s="35">
        <f>IF($A261="","",IF(OR($H261="",$C261=0),0,(60*SUMIFS(Stangenbelegung!$K$5:$K$10004,Stangenbelegung!$E$5:$E$10004,ROW())/$H261+SUMIFS(Stangenbelegung!$L$5:$L$10004,Stangenbelegung!$E$5:$E$10004,ROW())*$L261)/$C261))</f>
        <v/>
      </c>
      <c r="O261" s="35">
        <f>IF($A261="","",IF($M261="","",MAX(0,$M261-$N261)))</f>
        <v/>
      </c>
      <c r="P261" s="35">
        <f>IF($A261="","",IFERROR(SUMPRODUCT(--("0"&amp;TRIM(RIGHT(SUBSTITUTE(LEFT(";"&amp;SUBSTITUTE(UPPER(Auftrag!$AG261)," ","")&amp;";"&amp;"X"&amp;UPPER(Gewinde!$A$5:$A$54)&amp;";",SEARCH("X"&amp;UPPER(Gewinde!$A$5:$A$54)&amp;";",";"&amp;SUBSTITUTE(UPPER(Auftrag!$AG261)," ","")&amp;";"&amp;"X"&amp;UPPER(Gewinde!$A$5:$A$54)&amp;";")-1),";",REPT(" ",50)),50))),Gewinde!$C$5:$C$54),0))</f>
        <v/>
      </c>
      <c r="Q261" s="33">
        <f>IF($A261="","",(N($O261)+$P261)/3600*N(Auftrag!$H$8))</f>
        <v/>
      </c>
      <c r="R261" s="33">
        <f>IF($A261="","",IF($F$8=0,0,$F$7/$F$8))</f>
        <v/>
      </c>
      <c r="S261" s="33">
        <f>IF($A261="","",$F261*(1+$C$4)+($Q261+$R261)*(1+$C$5))</f>
        <v/>
      </c>
      <c r="T261" s="33">
        <f>IF($A261="","",$S261*(1+$C$6))</f>
        <v/>
      </c>
      <c r="U261" s="18">
        <f>IF($A261="","",$T261*$C261)</f>
        <v/>
      </c>
      <c r="V261" s="18">
        <f>IF($A261="","",$S261*$C261)</f>
        <v/>
      </c>
      <c r="W261" s="28">
        <f>IF($A261="","",IF(N(Auftrag!$AO261)&gt;0,"nicht vollständig eingeplant",IF($D261=0,"kein Schnittplan oder Preis",IF($H261="","keine Schneiddaten",IF(AND(Auftrag!$AF261&lt;&gt;"",Auftrag!$AG261=""),"Gewinde ungeprüft","")))))</f>
        <v/>
      </c>
      <c r="X261" s="18">
        <f>IF($A261="","",$F261*$C261)</f>
        <v/>
      </c>
      <c r="Y261" s="18">
        <f>IF($A261="","",$Q261*$C261)</f>
        <v/>
      </c>
    </row>
    <row r="262">
      <c r="A262" s="25">
        <f>IF(Auftrag!$D262="","",Auftrag!$A262)</f>
        <v/>
      </c>
      <c r="B262" s="25">
        <f>IF($A262="","",Auftrag!$B262)</f>
        <v/>
      </c>
      <c r="C262" s="15">
        <f>IF($A262="","",N(Auftrag!$G262))</f>
        <v/>
      </c>
      <c r="D262" s="18">
        <f>IF($A262="","",SUMIFS(Schnittplan!$R$5:$R$1004,Schnittplan!$B$5:$B$1004,Auftrag!$D262,Schnittplan!$C$5:$C$1004,Auftrag!$E262,Schnittplan!$D$5:$D$1004,Auftrag!$Q262))</f>
        <v/>
      </c>
      <c r="E262" s="32">
        <f>IF($A262="","",IFERROR(N(Auftrag!$P262)/SUMIFS(Auftrag!$P$13:$P$512,Auftrag!$D$13:$D$512,Auftrag!$D262,Auftrag!$E$13:$E$512,Auftrag!$E262,Auftrag!$Q$13:$Q$512,Auftrag!$Q262),0))</f>
        <v/>
      </c>
      <c r="F262" s="33">
        <f>IF($A262="","",IF($C262=0,0,$D262*$E262/$C262))</f>
        <v/>
      </c>
      <c r="G262" s="34">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5">
        <f>IF($A262="","",IF($H262="","",60*((N(Auftrag!$H262)-N(Auftrag!$AI262)-N(Auftrag!$AK262))/$H262+N(Auftrag!$AI262)/$J262+N(Auftrag!$AK262)/$I262+N(Auftrag!$AD262)/$K262)+N(Auftrag!$I262)*$L262))</f>
        <v/>
      </c>
      <c r="N262" s="35">
        <f>IF($A262="","",IF(OR($H262="",$C262=0),0,(60*SUMIFS(Stangenbelegung!$K$5:$K$10004,Stangenbelegung!$E$5:$E$10004,ROW())/$H262+SUMIFS(Stangenbelegung!$L$5:$L$10004,Stangenbelegung!$E$5:$E$10004,ROW())*$L262)/$C262))</f>
        <v/>
      </c>
      <c r="O262" s="35">
        <f>IF($A262="","",IF($M262="","",MAX(0,$M262-$N262)))</f>
        <v/>
      </c>
      <c r="P262" s="35">
        <f>IF($A262="","",IFERROR(SUMPRODUCT(--("0"&amp;TRIM(RIGHT(SUBSTITUTE(LEFT(";"&amp;SUBSTITUTE(UPPER(Auftrag!$AG262)," ","")&amp;";"&amp;"X"&amp;UPPER(Gewinde!$A$5:$A$54)&amp;";",SEARCH("X"&amp;UPPER(Gewinde!$A$5:$A$54)&amp;";",";"&amp;SUBSTITUTE(UPPER(Auftrag!$AG262)," ","")&amp;";"&amp;"X"&amp;UPPER(Gewinde!$A$5:$A$54)&amp;";")-1),";",REPT(" ",50)),50))),Gewinde!$C$5:$C$54),0))</f>
        <v/>
      </c>
      <c r="Q262" s="33">
        <f>IF($A262="","",(N($O262)+$P262)/3600*N(Auftrag!$H$8))</f>
        <v/>
      </c>
      <c r="R262" s="33">
        <f>IF($A262="","",IF($F$8=0,0,$F$7/$F$8))</f>
        <v/>
      </c>
      <c r="S262" s="33">
        <f>IF($A262="","",$F262*(1+$C$4)+($Q262+$R262)*(1+$C$5))</f>
        <v/>
      </c>
      <c r="T262" s="33">
        <f>IF($A262="","",$S262*(1+$C$6))</f>
        <v/>
      </c>
      <c r="U262" s="18">
        <f>IF($A262="","",$T262*$C262)</f>
        <v/>
      </c>
      <c r="V262" s="18">
        <f>IF($A262="","",$S262*$C262)</f>
        <v/>
      </c>
      <c r="W262" s="28">
        <f>IF($A262="","",IF(N(Auftrag!$AO262)&gt;0,"nicht vollständig eingeplant",IF($D262=0,"kein Schnittplan oder Preis",IF($H262="","keine Schneiddaten",IF(AND(Auftrag!$AF262&lt;&gt;"",Auftrag!$AG262=""),"Gewinde ungeprüft","")))))</f>
        <v/>
      </c>
      <c r="X262" s="18">
        <f>IF($A262="","",$F262*$C262)</f>
        <v/>
      </c>
      <c r="Y262" s="18">
        <f>IF($A262="","",$Q262*$C262)</f>
        <v/>
      </c>
    </row>
    <row r="263">
      <c r="A263" s="25">
        <f>IF(Auftrag!$D263="","",Auftrag!$A263)</f>
        <v/>
      </c>
      <c r="B263" s="25">
        <f>IF($A263="","",Auftrag!$B263)</f>
        <v/>
      </c>
      <c r="C263" s="15">
        <f>IF($A263="","",N(Auftrag!$G263))</f>
        <v/>
      </c>
      <c r="D263" s="18">
        <f>IF($A263="","",SUMIFS(Schnittplan!$R$5:$R$1004,Schnittplan!$B$5:$B$1004,Auftrag!$D263,Schnittplan!$C$5:$C$1004,Auftrag!$E263,Schnittplan!$D$5:$D$1004,Auftrag!$Q263))</f>
        <v/>
      </c>
      <c r="E263" s="32">
        <f>IF($A263="","",IFERROR(N(Auftrag!$P263)/SUMIFS(Auftrag!$P$13:$P$512,Auftrag!$D$13:$D$512,Auftrag!$D263,Auftrag!$E$13:$E$512,Auftrag!$E263,Auftrag!$Q$13:$Q$512,Auftrag!$Q263),0))</f>
        <v/>
      </c>
      <c r="F263" s="33">
        <f>IF($A263="","",IF($C263=0,0,$D263*$E263/$C263))</f>
        <v/>
      </c>
      <c r="G263" s="34">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5">
        <f>IF($A263="","",IF($H263="","",60*((N(Auftrag!$H263)-N(Auftrag!$AI263)-N(Auftrag!$AK263))/$H263+N(Auftrag!$AI263)/$J263+N(Auftrag!$AK263)/$I263+N(Auftrag!$AD263)/$K263)+N(Auftrag!$I263)*$L263))</f>
        <v/>
      </c>
      <c r="N263" s="35">
        <f>IF($A263="","",IF(OR($H263="",$C263=0),0,(60*SUMIFS(Stangenbelegung!$K$5:$K$10004,Stangenbelegung!$E$5:$E$10004,ROW())/$H263+SUMIFS(Stangenbelegung!$L$5:$L$10004,Stangenbelegung!$E$5:$E$10004,ROW())*$L263)/$C263))</f>
        <v/>
      </c>
      <c r="O263" s="35">
        <f>IF($A263="","",IF($M263="","",MAX(0,$M263-$N263)))</f>
        <v/>
      </c>
      <c r="P263" s="35">
        <f>IF($A263="","",IFERROR(SUMPRODUCT(--("0"&amp;TRIM(RIGHT(SUBSTITUTE(LEFT(";"&amp;SUBSTITUTE(UPPER(Auftrag!$AG263)," ","")&amp;";"&amp;"X"&amp;UPPER(Gewinde!$A$5:$A$54)&amp;";",SEARCH("X"&amp;UPPER(Gewinde!$A$5:$A$54)&amp;";",";"&amp;SUBSTITUTE(UPPER(Auftrag!$AG263)," ","")&amp;";"&amp;"X"&amp;UPPER(Gewinde!$A$5:$A$54)&amp;";")-1),";",REPT(" ",50)),50))),Gewinde!$C$5:$C$54),0))</f>
        <v/>
      </c>
      <c r="Q263" s="33">
        <f>IF($A263="","",(N($O263)+$P263)/3600*N(Auftrag!$H$8))</f>
        <v/>
      </c>
      <c r="R263" s="33">
        <f>IF($A263="","",IF($F$8=0,0,$F$7/$F$8))</f>
        <v/>
      </c>
      <c r="S263" s="33">
        <f>IF($A263="","",$F263*(1+$C$4)+($Q263+$R263)*(1+$C$5))</f>
        <v/>
      </c>
      <c r="T263" s="33">
        <f>IF($A263="","",$S263*(1+$C$6))</f>
        <v/>
      </c>
      <c r="U263" s="18">
        <f>IF($A263="","",$T263*$C263)</f>
        <v/>
      </c>
      <c r="V263" s="18">
        <f>IF($A263="","",$S263*$C263)</f>
        <v/>
      </c>
      <c r="W263" s="28">
        <f>IF($A263="","",IF(N(Auftrag!$AO263)&gt;0,"nicht vollständig eingeplant",IF($D263=0,"kein Schnittplan oder Preis",IF($H263="","keine Schneiddaten",IF(AND(Auftrag!$AF263&lt;&gt;"",Auftrag!$AG263=""),"Gewinde ungeprüft","")))))</f>
        <v/>
      </c>
      <c r="X263" s="18">
        <f>IF($A263="","",$F263*$C263)</f>
        <v/>
      </c>
      <c r="Y263" s="18">
        <f>IF($A263="","",$Q263*$C263)</f>
        <v/>
      </c>
    </row>
    <row r="264">
      <c r="A264" s="25">
        <f>IF(Auftrag!$D264="","",Auftrag!$A264)</f>
        <v/>
      </c>
      <c r="B264" s="25">
        <f>IF($A264="","",Auftrag!$B264)</f>
        <v/>
      </c>
      <c r="C264" s="15">
        <f>IF($A264="","",N(Auftrag!$G264))</f>
        <v/>
      </c>
      <c r="D264" s="18">
        <f>IF($A264="","",SUMIFS(Schnittplan!$R$5:$R$1004,Schnittplan!$B$5:$B$1004,Auftrag!$D264,Schnittplan!$C$5:$C$1004,Auftrag!$E264,Schnittplan!$D$5:$D$1004,Auftrag!$Q264))</f>
        <v/>
      </c>
      <c r="E264" s="32">
        <f>IF($A264="","",IFERROR(N(Auftrag!$P264)/SUMIFS(Auftrag!$P$13:$P$512,Auftrag!$D$13:$D$512,Auftrag!$D264,Auftrag!$E$13:$E$512,Auftrag!$E264,Auftrag!$Q$13:$Q$512,Auftrag!$Q264),0))</f>
        <v/>
      </c>
      <c r="F264" s="33">
        <f>IF($A264="","",IF($C264=0,0,$D264*$E264/$C264))</f>
        <v/>
      </c>
      <c r="G264" s="34">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5">
        <f>IF($A264="","",IF($H264="","",60*((N(Auftrag!$H264)-N(Auftrag!$AI264)-N(Auftrag!$AK264))/$H264+N(Auftrag!$AI264)/$J264+N(Auftrag!$AK264)/$I264+N(Auftrag!$AD264)/$K264)+N(Auftrag!$I264)*$L264))</f>
        <v/>
      </c>
      <c r="N264" s="35">
        <f>IF($A264="","",IF(OR($H264="",$C264=0),0,(60*SUMIFS(Stangenbelegung!$K$5:$K$10004,Stangenbelegung!$E$5:$E$10004,ROW())/$H264+SUMIFS(Stangenbelegung!$L$5:$L$10004,Stangenbelegung!$E$5:$E$10004,ROW())*$L264)/$C264))</f>
        <v/>
      </c>
      <c r="O264" s="35">
        <f>IF($A264="","",IF($M264="","",MAX(0,$M264-$N264)))</f>
        <v/>
      </c>
      <c r="P264" s="35">
        <f>IF($A264="","",IFERROR(SUMPRODUCT(--("0"&amp;TRIM(RIGHT(SUBSTITUTE(LEFT(";"&amp;SUBSTITUTE(UPPER(Auftrag!$AG264)," ","")&amp;";"&amp;"X"&amp;UPPER(Gewinde!$A$5:$A$54)&amp;";",SEARCH("X"&amp;UPPER(Gewinde!$A$5:$A$54)&amp;";",";"&amp;SUBSTITUTE(UPPER(Auftrag!$AG264)," ","")&amp;";"&amp;"X"&amp;UPPER(Gewinde!$A$5:$A$54)&amp;";")-1),";",REPT(" ",50)),50))),Gewinde!$C$5:$C$54),0))</f>
        <v/>
      </c>
      <c r="Q264" s="33">
        <f>IF($A264="","",(N($O264)+$P264)/3600*N(Auftrag!$H$8))</f>
        <v/>
      </c>
      <c r="R264" s="33">
        <f>IF($A264="","",IF($F$8=0,0,$F$7/$F$8))</f>
        <v/>
      </c>
      <c r="S264" s="33">
        <f>IF($A264="","",$F264*(1+$C$4)+($Q264+$R264)*(1+$C$5))</f>
        <v/>
      </c>
      <c r="T264" s="33">
        <f>IF($A264="","",$S264*(1+$C$6))</f>
        <v/>
      </c>
      <c r="U264" s="18">
        <f>IF($A264="","",$T264*$C264)</f>
        <v/>
      </c>
      <c r="V264" s="18">
        <f>IF($A264="","",$S264*$C264)</f>
        <v/>
      </c>
      <c r="W264" s="28">
        <f>IF($A264="","",IF(N(Auftrag!$AO264)&gt;0,"nicht vollständig eingeplant",IF($D264=0,"kein Schnittplan oder Preis",IF($H264="","keine Schneiddaten",IF(AND(Auftrag!$AF264&lt;&gt;"",Auftrag!$AG264=""),"Gewinde ungeprüft","")))))</f>
        <v/>
      </c>
      <c r="X264" s="18">
        <f>IF($A264="","",$F264*$C264)</f>
        <v/>
      </c>
      <c r="Y264" s="18">
        <f>IF($A264="","",$Q264*$C264)</f>
        <v/>
      </c>
    </row>
    <row r="265">
      <c r="A265" s="25">
        <f>IF(Auftrag!$D265="","",Auftrag!$A265)</f>
        <v/>
      </c>
      <c r="B265" s="25">
        <f>IF($A265="","",Auftrag!$B265)</f>
        <v/>
      </c>
      <c r="C265" s="15">
        <f>IF($A265="","",N(Auftrag!$G265))</f>
        <v/>
      </c>
      <c r="D265" s="18">
        <f>IF($A265="","",SUMIFS(Schnittplan!$R$5:$R$1004,Schnittplan!$B$5:$B$1004,Auftrag!$D265,Schnittplan!$C$5:$C$1004,Auftrag!$E265,Schnittplan!$D$5:$D$1004,Auftrag!$Q265))</f>
        <v/>
      </c>
      <c r="E265" s="32">
        <f>IF($A265="","",IFERROR(N(Auftrag!$P265)/SUMIFS(Auftrag!$P$13:$P$512,Auftrag!$D$13:$D$512,Auftrag!$D265,Auftrag!$E$13:$E$512,Auftrag!$E265,Auftrag!$Q$13:$Q$512,Auftrag!$Q265),0))</f>
        <v/>
      </c>
      <c r="F265" s="33">
        <f>IF($A265="","",IF($C265=0,0,$D265*$E265/$C265))</f>
        <v/>
      </c>
      <c r="G265" s="34">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5">
        <f>IF($A265="","",IF($H265="","",60*((N(Auftrag!$H265)-N(Auftrag!$AI265)-N(Auftrag!$AK265))/$H265+N(Auftrag!$AI265)/$J265+N(Auftrag!$AK265)/$I265+N(Auftrag!$AD265)/$K265)+N(Auftrag!$I265)*$L265))</f>
        <v/>
      </c>
      <c r="N265" s="35">
        <f>IF($A265="","",IF(OR($H265="",$C265=0),0,(60*SUMIFS(Stangenbelegung!$K$5:$K$10004,Stangenbelegung!$E$5:$E$10004,ROW())/$H265+SUMIFS(Stangenbelegung!$L$5:$L$10004,Stangenbelegung!$E$5:$E$10004,ROW())*$L265)/$C265))</f>
        <v/>
      </c>
      <c r="O265" s="35">
        <f>IF($A265="","",IF($M265="","",MAX(0,$M265-$N265)))</f>
        <v/>
      </c>
      <c r="P265" s="35">
        <f>IF($A265="","",IFERROR(SUMPRODUCT(--("0"&amp;TRIM(RIGHT(SUBSTITUTE(LEFT(";"&amp;SUBSTITUTE(UPPER(Auftrag!$AG265)," ","")&amp;";"&amp;"X"&amp;UPPER(Gewinde!$A$5:$A$54)&amp;";",SEARCH("X"&amp;UPPER(Gewinde!$A$5:$A$54)&amp;";",";"&amp;SUBSTITUTE(UPPER(Auftrag!$AG265)," ","")&amp;";"&amp;"X"&amp;UPPER(Gewinde!$A$5:$A$54)&amp;";")-1),";",REPT(" ",50)),50))),Gewinde!$C$5:$C$54),0))</f>
        <v/>
      </c>
      <c r="Q265" s="33">
        <f>IF($A265="","",(N($O265)+$P265)/3600*N(Auftrag!$H$8))</f>
        <v/>
      </c>
      <c r="R265" s="33">
        <f>IF($A265="","",IF($F$8=0,0,$F$7/$F$8))</f>
        <v/>
      </c>
      <c r="S265" s="33">
        <f>IF($A265="","",$F265*(1+$C$4)+($Q265+$R265)*(1+$C$5))</f>
        <v/>
      </c>
      <c r="T265" s="33">
        <f>IF($A265="","",$S265*(1+$C$6))</f>
        <v/>
      </c>
      <c r="U265" s="18">
        <f>IF($A265="","",$T265*$C265)</f>
        <v/>
      </c>
      <c r="V265" s="18">
        <f>IF($A265="","",$S265*$C265)</f>
        <v/>
      </c>
      <c r="W265" s="28">
        <f>IF($A265="","",IF(N(Auftrag!$AO265)&gt;0,"nicht vollständig eingeplant",IF($D265=0,"kein Schnittplan oder Preis",IF($H265="","keine Schneiddaten",IF(AND(Auftrag!$AF265&lt;&gt;"",Auftrag!$AG265=""),"Gewinde ungeprüft","")))))</f>
        <v/>
      </c>
      <c r="X265" s="18">
        <f>IF($A265="","",$F265*$C265)</f>
        <v/>
      </c>
      <c r="Y265" s="18">
        <f>IF($A265="","",$Q265*$C265)</f>
        <v/>
      </c>
    </row>
    <row r="266">
      <c r="A266" s="25">
        <f>IF(Auftrag!$D266="","",Auftrag!$A266)</f>
        <v/>
      </c>
      <c r="B266" s="25">
        <f>IF($A266="","",Auftrag!$B266)</f>
        <v/>
      </c>
      <c r="C266" s="15">
        <f>IF($A266="","",N(Auftrag!$G266))</f>
        <v/>
      </c>
      <c r="D266" s="18">
        <f>IF($A266="","",SUMIFS(Schnittplan!$R$5:$R$1004,Schnittplan!$B$5:$B$1004,Auftrag!$D266,Schnittplan!$C$5:$C$1004,Auftrag!$E266,Schnittplan!$D$5:$D$1004,Auftrag!$Q266))</f>
        <v/>
      </c>
      <c r="E266" s="32">
        <f>IF($A266="","",IFERROR(N(Auftrag!$P266)/SUMIFS(Auftrag!$P$13:$P$512,Auftrag!$D$13:$D$512,Auftrag!$D266,Auftrag!$E$13:$E$512,Auftrag!$E266,Auftrag!$Q$13:$Q$512,Auftrag!$Q266),0))</f>
        <v/>
      </c>
      <c r="F266" s="33">
        <f>IF($A266="","",IF($C266=0,0,$D266*$E266/$C266))</f>
        <v/>
      </c>
      <c r="G266" s="34">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5">
        <f>IF($A266="","",IF($H266="","",60*((N(Auftrag!$H266)-N(Auftrag!$AI266)-N(Auftrag!$AK266))/$H266+N(Auftrag!$AI266)/$J266+N(Auftrag!$AK266)/$I266+N(Auftrag!$AD266)/$K266)+N(Auftrag!$I266)*$L266))</f>
        <v/>
      </c>
      <c r="N266" s="35">
        <f>IF($A266="","",IF(OR($H266="",$C266=0),0,(60*SUMIFS(Stangenbelegung!$K$5:$K$10004,Stangenbelegung!$E$5:$E$10004,ROW())/$H266+SUMIFS(Stangenbelegung!$L$5:$L$10004,Stangenbelegung!$E$5:$E$10004,ROW())*$L266)/$C266))</f>
        <v/>
      </c>
      <c r="O266" s="35">
        <f>IF($A266="","",IF($M266="","",MAX(0,$M266-$N266)))</f>
        <v/>
      </c>
      <c r="P266" s="35">
        <f>IF($A266="","",IFERROR(SUMPRODUCT(--("0"&amp;TRIM(RIGHT(SUBSTITUTE(LEFT(";"&amp;SUBSTITUTE(UPPER(Auftrag!$AG266)," ","")&amp;";"&amp;"X"&amp;UPPER(Gewinde!$A$5:$A$54)&amp;";",SEARCH("X"&amp;UPPER(Gewinde!$A$5:$A$54)&amp;";",";"&amp;SUBSTITUTE(UPPER(Auftrag!$AG266)," ","")&amp;";"&amp;"X"&amp;UPPER(Gewinde!$A$5:$A$54)&amp;";")-1),";",REPT(" ",50)),50))),Gewinde!$C$5:$C$54),0))</f>
        <v/>
      </c>
      <c r="Q266" s="33">
        <f>IF($A266="","",(N($O266)+$P266)/3600*N(Auftrag!$H$8))</f>
        <v/>
      </c>
      <c r="R266" s="33">
        <f>IF($A266="","",IF($F$8=0,0,$F$7/$F$8))</f>
        <v/>
      </c>
      <c r="S266" s="33">
        <f>IF($A266="","",$F266*(1+$C$4)+($Q266+$R266)*(1+$C$5))</f>
        <v/>
      </c>
      <c r="T266" s="33">
        <f>IF($A266="","",$S266*(1+$C$6))</f>
        <v/>
      </c>
      <c r="U266" s="18">
        <f>IF($A266="","",$T266*$C266)</f>
        <v/>
      </c>
      <c r="V266" s="18">
        <f>IF($A266="","",$S266*$C266)</f>
        <v/>
      </c>
      <c r="W266" s="28">
        <f>IF($A266="","",IF(N(Auftrag!$AO266)&gt;0,"nicht vollständig eingeplant",IF($D266=0,"kein Schnittplan oder Preis",IF($H266="","keine Schneiddaten",IF(AND(Auftrag!$AF266&lt;&gt;"",Auftrag!$AG266=""),"Gewinde ungeprüft","")))))</f>
        <v/>
      </c>
      <c r="X266" s="18">
        <f>IF($A266="","",$F266*$C266)</f>
        <v/>
      </c>
      <c r="Y266" s="18">
        <f>IF($A266="","",$Q266*$C266)</f>
        <v/>
      </c>
    </row>
    <row r="267">
      <c r="A267" s="25">
        <f>IF(Auftrag!$D267="","",Auftrag!$A267)</f>
        <v/>
      </c>
      <c r="B267" s="25">
        <f>IF($A267="","",Auftrag!$B267)</f>
        <v/>
      </c>
      <c r="C267" s="15">
        <f>IF($A267="","",N(Auftrag!$G267))</f>
        <v/>
      </c>
      <c r="D267" s="18">
        <f>IF($A267="","",SUMIFS(Schnittplan!$R$5:$R$1004,Schnittplan!$B$5:$B$1004,Auftrag!$D267,Schnittplan!$C$5:$C$1004,Auftrag!$E267,Schnittplan!$D$5:$D$1004,Auftrag!$Q267))</f>
        <v/>
      </c>
      <c r="E267" s="32">
        <f>IF($A267="","",IFERROR(N(Auftrag!$P267)/SUMIFS(Auftrag!$P$13:$P$512,Auftrag!$D$13:$D$512,Auftrag!$D267,Auftrag!$E$13:$E$512,Auftrag!$E267,Auftrag!$Q$13:$Q$512,Auftrag!$Q267),0))</f>
        <v/>
      </c>
      <c r="F267" s="33">
        <f>IF($A267="","",IF($C267=0,0,$D267*$E267/$C267))</f>
        <v/>
      </c>
      <c r="G267" s="34">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5">
        <f>IF($A267="","",IF($H267="","",60*((N(Auftrag!$H267)-N(Auftrag!$AI267)-N(Auftrag!$AK267))/$H267+N(Auftrag!$AI267)/$J267+N(Auftrag!$AK267)/$I267+N(Auftrag!$AD267)/$K267)+N(Auftrag!$I267)*$L267))</f>
        <v/>
      </c>
      <c r="N267" s="35">
        <f>IF($A267="","",IF(OR($H267="",$C267=0),0,(60*SUMIFS(Stangenbelegung!$K$5:$K$10004,Stangenbelegung!$E$5:$E$10004,ROW())/$H267+SUMIFS(Stangenbelegung!$L$5:$L$10004,Stangenbelegung!$E$5:$E$10004,ROW())*$L267)/$C267))</f>
        <v/>
      </c>
      <c r="O267" s="35">
        <f>IF($A267="","",IF($M267="","",MAX(0,$M267-$N267)))</f>
        <v/>
      </c>
      <c r="P267" s="35">
        <f>IF($A267="","",IFERROR(SUMPRODUCT(--("0"&amp;TRIM(RIGHT(SUBSTITUTE(LEFT(";"&amp;SUBSTITUTE(UPPER(Auftrag!$AG267)," ","")&amp;";"&amp;"X"&amp;UPPER(Gewinde!$A$5:$A$54)&amp;";",SEARCH("X"&amp;UPPER(Gewinde!$A$5:$A$54)&amp;";",";"&amp;SUBSTITUTE(UPPER(Auftrag!$AG267)," ","")&amp;";"&amp;"X"&amp;UPPER(Gewinde!$A$5:$A$54)&amp;";")-1),";",REPT(" ",50)),50))),Gewinde!$C$5:$C$54),0))</f>
        <v/>
      </c>
      <c r="Q267" s="33">
        <f>IF($A267="","",(N($O267)+$P267)/3600*N(Auftrag!$H$8))</f>
        <v/>
      </c>
      <c r="R267" s="33">
        <f>IF($A267="","",IF($F$8=0,0,$F$7/$F$8))</f>
        <v/>
      </c>
      <c r="S267" s="33">
        <f>IF($A267="","",$F267*(1+$C$4)+($Q267+$R267)*(1+$C$5))</f>
        <v/>
      </c>
      <c r="T267" s="33">
        <f>IF($A267="","",$S267*(1+$C$6))</f>
        <v/>
      </c>
      <c r="U267" s="18">
        <f>IF($A267="","",$T267*$C267)</f>
        <v/>
      </c>
      <c r="V267" s="18">
        <f>IF($A267="","",$S267*$C267)</f>
        <v/>
      </c>
      <c r="W267" s="28">
        <f>IF($A267="","",IF(N(Auftrag!$AO267)&gt;0,"nicht vollständig eingeplant",IF($D267=0,"kein Schnittplan oder Preis",IF($H267="","keine Schneiddaten",IF(AND(Auftrag!$AF267&lt;&gt;"",Auftrag!$AG267=""),"Gewinde ungeprüft","")))))</f>
        <v/>
      </c>
      <c r="X267" s="18">
        <f>IF($A267="","",$F267*$C267)</f>
        <v/>
      </c>
      <c r="Y267" s="18">
        <f>IF($A267="","",$Q267*$C267)</f>
        <v/>
      </c>
    </row>
    <row r="268">
      <c r="A268" s="25">
        <f>IF(Auftrag!$D268="","",Auftrag!$A268)</f>
        <v/>
      </c>
      <c r="B268" s="25">
        <f>IF($A268="","",Auftrag!$B268)</f>
        <v/>
      </c>
      <c r="C268" s="15">
        <f>IF($A268="","",N(Auftrag!$G268))</f>
        <v/>
      </c>
      <c r="D268" s="18">
        <f>IF($A268="","",SUMIFS(Schnittplan!$R$5:$R$1004,Schnittplan!$B$5:$B$1004,Auftrag!$D268,Schnittplan!$C$5:$C$1004,Auftrag!$E268,Schnittplan!$D$5:$D$1004,Auftrag!$Q268))</f>
        <v/>
      </c>
      <c r="E268" s="32">
        <f>IF($A268="","",IFERROR(N(Auftrag!$P268)/SUMIFS(Auftrag!$P$13:$P$512,Auftrag!$D$13:$D$512,Auftrag!$D268,Auftrag!$E$13:$E$512,Auftrag!$E268,Auftrag!$Q$13:$Q$512,Auftrag!$Q268),0))</f>
        <v/>
      </c>
      <c r="F268" s="33">
        <f>IF($A268="","",IF($C268=0,0,$D268*$E268/$C268))</f>
        <v/>
      </c>
      <c r="G268" s="34">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5">
        <f>IF($A268="","",IF($H268="","",60*((N(Auftrag!$H268)-N(Auftrag!$AI268)-N(Auftrag!$AK268))/$H268+N(Auftrag!$AI268)/$J268+N(Auftrag!$AK268)/$I268+N(Auftrag!$AD268)/$K268)+N(Auftrag!$I268)*$L268))</f>
        <v/>
      </c>
      <c r="N268" s="35">
        <f>IF($A268="","",IF(OR($H268="",$C268=0),0,(60*SUMIFS(Stangenbelegung!$K$5:$K$10004,Stangenbelegung!$E$5:$E$10004,ROW())/$H268+SUMIFS(Stangenbelegung!$L$5:$L$10004,Stangenbelegung!$E$5:$E$10004,ROW())*$L268)/$C268))</f>
        <v/>
      </c>
      <c r="O268" s="35">
        <f>IF($A268="","",IF($M268="","",MAX(0,$M268-$N268)))</f>
        <v/>
      </c>
      <c r="P268" s="35">
        <f>IF($A268="","",IFERROR(SUMPRODUCT(--("0"&amp;TRIM(RIGHT(SUBSTITUTE(LEFT(";"&amp;SUBSTITUTE(UPPER(Auftrag!$AG268)," ","")&amp;";"&amp;"X"&amp;UPPER(Gewinde!$A$5:$A$54)&amp;";",SEARCH("X"&amp;UPPER(Gewinde!$A$5:$A$54)&amp;";",";"&amp;SUBSTITUTE(UPPER(Auftrag!$AG268)," ","")&amp;";"&amp;"X"&amp;UPPER(Gewinde!$A$5:$A$54)&amp;";")-1),";",REPT(" ",50)),50))),Gewinde!$C$5:$C$54),0))</f>
        <v/>
      </c>
      <c r="Q268" s="33">
        <f>IF($A268="","",(N($O268)+$P268)/3600*N(Auftrag!$H$8))</f>
        <v/>
      </c>
      <c r="R268" s="33">
        <f>IF($A268="","",IF($F$8=0,0,$F$7/$F$8))</f>
        <v/>
      </c>
      <c r="S268" s="33">
        <f>IF($A268="","",$F268*(1+$C$4)+($Q268+$R268)*(1+$C$5))</f>
        <v/>
      </c>
      <c r="T268" s="33">
        <f>IF($A268="","",$S268*(1+$C$6))</f>
        <v/>
      </c>
      <c r="U268" s="18">
        <f>IF($A268="","",$T268*$C268)</f>
        <v/>
      </c>
      <c r="V268" s="18">
        <f>IF($A268="","",$S268*$C268)</f>
        <v/>
      </c>
      <c r="W268" s="28">
        <f>IF($A268="","",IF(N(Auftrag!$AO268)&gt;0,"nicht vollständig eingeplant",IF($D268=0,"kein Schnittplan oder Preis",IF($H268="","keine Schneiddaten",IF(AND(Auftrag!$AF268&lt;&gt;"",Auftrag!$AG268=""),"Gewinde ungeprüft","")))))</f>
        <v/>
      </c>
      <c r="X268" s="18">
        <f>IF($A268="","",$F268*$C268)</f>
        <v/>
      </c>
      <c r="Y268" s="18">
        <f>IF($A268="","",$Q268*$C268)</f>
        <v/>
      </c>
    </row>
    <row r="269">
      <c r="A269" s="25">
        <f>IF(Auftrag!$D269="","",Auftrag!$A269)</f>
        <v/>
      </c>
      <c r="B269" s="25">
        <f>IF($A269="","",Auftrag!$B269)</f>
        <v/>
      </c>
      <c r="C269" s="15">
        <f>IF($A269="","",N(Auftrag!$G269))</f>
        <v/>
      </c>
      <c r="D269" s="18">
        <f>IF($A269="","",SUMIFS(Schnittplan!$R$5:$R$1004,Schnittplan!$B$5:$B$1004,Auftrag!$D269,Schnittplan!$C$5:$C$1004,Auftrag!$E269,Schnittplan!$D$5:$D$1004,Auftrag!$Q269))</f>
        <v/>
      </c>
      <c r="E269" s="32">
        <f>IF($A269="","",IFERROR(N(Auftrag!$P269)/SUMIFS(Auftrag!$P$13:$P$512,Auftrag!$D$13:$D$512,Auftrag!$D269,Auftrag!$E$13:$E$512,Auftrag!$E269,Auftrag!$Q$13:$Q$512,Auftrag!$Q269),0))</f>
        <v/>
      </c>
      <c r="F269" s="33">
        <f>IF($A269="","",IF($C269=0,0,$D269*$E269/$C269))</f>
        <v/>
      </c>
      <c r="G269" s="34">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5">
        <f>IF($A269="","",IF($H269="","",60*((N(Auftrag!$H269)-N(Auftrag!$AI269)-N(Auftrag!$AK269))/$H269+N(Auftrag!$AI269)/$J269+N(Auftrag!$AK269)/$I269+N(Auftrag!$AD269)/$K269)+N(Auftrag!$I269)*$L269))</f>
        <v/>
      </c>
      <c r="N269" s="35">
        <f>IF($A269="","",IF(OR($H269="",$C269=0),0,(60*SUMIFS(Stangenbelegung!$K$5:$K$10004,Stangenbelegung!$E$5:$E$10004,ROW())/$H269+SUMIFS(Stangenbelegung!$L$5:$L$10004,Stangenbelegung!$E$5:$E$10004,ROW())*$L269)/$C269))</f>
        <v/>
      </c>
      <c r="O269" s="35">
        <f>IF($A269="","",IF($M269="","",MAX(0,$M269-$N269)))</f>
        <v/>
      </c>
      <c r="P269" s="35">
        <f>IF($A269="","",IFERROR(SUMPRODUCT(--("0"&amp;TRIM(RIGHT(SUBSTITUTE(LEFT(";"&amp;SUBSTITUTE(UPPER(Auftrag!$AG269)," ","")&amp;";"&amp;"X"&amp;UPPER(Gewinde!$A$5:$A$54)&amp;";",SEARCH("X"&amp;UPPER(Gewinde!$A$5:$A$54)&amp;";",";"&amp;SUBSTITUTE(UPPER(Auftrag!$AG269)," ","")&amp;";"&amp;"X"&amp;UPPER(Gewinde!$A$5:$A$54)&amp;";")-1),";",REPT(" ",50)),50))),Gewinde!$C$5:$C$54),0))</f>
        <v/>
      </c>
      <c r="Q269" s="33">
        <f>IF($A269="","",(N($O269)+$P269)/3600*N(Auftrag!$H$8))</f>
        <v/>
      </c>
      <c r="R269" s="33">
        <f>IF($A269="","",IF($F$8=0,0,$F$7/$F$8))</f>
        <v/>
      </c>
      <c r="S269" s="33">
        <f>IF($A269="","",$F269*(1+$C$4)+($Q269+$R269)*(1+$C$5))</f>
        <v/>
      </c>
      <c r="T269" s="33">
        <f>IF($A269="","",$S269*(1+$C$6))</f>
        <v/>
      </c>
      <c r="U269" s="18">
        <f>IF($A269="","",$T269*$C269)</f>
        <v/>
      </c>
      <c r="V269" s="18">
        <f>IF($A269="","",$S269*$C269)</f>
        <v/>
      </c>
      <c r="W269" s="28">
        <f>IF($A269="","",IF(N(Auftrag!$AO269)&gt;0,"nicht vollständig eingeplant",IF($D269=0,"kein Schnittplan oder Preis",IF($H269="","keine Schneiddaten",IF(AND(Auftrag!$AF269&lt;&gt;"",Auftrag!$AG269=""),"Gewinde ungeprüft","")))))</f>
        <v/>
      </c>
      <c r="X269" s="18">
        <f>IF($A269="","",$F269*$C269)</f>
        <v/>
      </c>
      <c r="Y269" s="18">
        <f>IF($A269="","",$Q269*$C269)</f>
        <v/>
      </c>
    </row>
    <row r="270">
      <c r="A270" s="25">
        <f>IF(Auftrag!$D270="","",Auftrag!$A270)</f>
        <v/>
      </c>
      <c r="B270" s="25">
        <f>IF($A270="","",Auftrag!$B270)</f>
        <v/>
      </c>
      <c r="C270" s="15">
        <f>IF($A270="","",N(Auftrag!$G270))</f>
        <v/>
      </c>
      <c r="D270" s="18">
        <f>IF($A270="","",SUMIFS(Schnittplan!$R$5:$R$1004,Schnittplan!$B$5:$B$1004,Auftrag!$D270,Schnittplan!$C$5:$C$1004,Auftrag!$E270,Schnittplan!$D$5:$D$1004,Auftrag!$Q270))</f>
        <v/>
      </c>
      <c r="E270" s="32">
        <f>IF($A270="","",IFERROR(N(Auftrag!$P270)/SUMIFS(Auftrag!$P$13:$P$512,Auftrag!$D$13:$D$512,Auftrag!$D270,Auftrag!$E$13:$E$512,Auftrag!$E270,Auftrag!$Q$13:$Q$512,Auftrag!$Q270),0))</f>
        <v/>
      </c>
      <c r="F270" s="33">
        <f>IF($A270="","",IF($C270=0,0,$D270*$E270/$C270))</f>
        <v/>
      </c>
      <c r="G270" s="34">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5">
        <f>IF($A270="","",IF($H270="","",60*((N(Auftrag!$H270)-N(Auftrag!$AI270)-N(Auftrag!$AK270))/$H270+N(Auftrag!$AI270)/$J270+N(Auftrag!$AK270)/$I270+N(Auftrag!$AD270)/$K270)+N(Auftrag!$I270)*$L270))</f>
        <v/>
      </c>
      <c r="N270" s="35">
        <f>IF($A270="","",IF(OR($H270="",$C270=0),0,(60*SUMIFS(Stangenbelegung!$K$5:$K$10004,Stangenbelegung!$E$5:$E$10004,ROW())/$H270+SUMIFS(Stangenbelegung!$L$5:$L$10004,Stangenbelegung!$E$5:$E$10004,ROW())*$L270)/$C270))</f>
        <v/>
      </c>
      <c r="O270" s="35">
        <f>IF($A270="","",IF($M270="","",MAX(0,$M270-$N270)))</f>
        <v/>
      </c>
      <c r="P270" s="35">
        <f>IF($A270="","",IFERROR(SUMPRODUCT(--("0"&amp;TRIM(RIGHT(SUBSTITUTE(LEFT(";"&amp;SUBSTITUTE(UPPER(Auftrag!$AG270)," ","")&amp;";"&amp;"X"&amp;UPPER(Gewinde!$A$5:$A$54)&amp;";",SEARCH("X"&amp;UPPER(Gewinde!$A$5:$A$54)&amp;";",";"&amp;SUBSTITUTE(UPPER(Auftrag!$AG270)," ","")&amp;";"&amp;"X"&amp;UPPER(Gewinde!$A$5:$A$54)&amp;";")-1),";",REPT(" ",50)),50))),Gewinde!$C$5:$C$54),0))</f>
        <v/>
      </c>
      <c r="Q270" s="33">
        <f>IF($A270="","",(N($O270)+$P270)/3600*N(Auftrag!$H$8))</f>
        <v/>
      </c>
      <c r="R270" s="33">
        <f>IF($A270="","",IF($F$8=0,0,$F$7/$F$8))</f>
        <v/>
      </c>
      <c r="S270" s="33">
        <f>IF($A270="","",$F270*(1+$C$4)+($Q270+$R270)*(1+$C$5))</f>
        <v/>
      </c>
      <c r="T270" s="33">
        <f>IF($A270="","",$S270*(1+$C$6))</f>
        <v/>
      </c>
      <c r="U270" s="18">
        <f>IF($A270="","",$T270*$C270)</f>
        <v/>
      </c>
      <c r="V270" s="18">
        <f>IF($A270="","",$S270*$C270)</f>
        <v/>
      </c>
      <c r="W270" s="28">
        <f>IF($A270="","",IF(N(Auftrag!$AO270)&gt;0,"nicht vollständig eingeplant",IF($D270=0,"kein Schnittplan oder Preis",IF($H270="","keine Schneiddaten",IF(AND(Auftrag!$AF270&lt;&gt;"",Auftrag!$AG270=""),"Gewinde ungeprüft","")))))</f>
        <v/>
      </c>
      <c r="X270" s="18">
        <f>IF($A270="","",$F270*$C270)</f>
        <v/>
      </c>
      <c r="Y270" s="18">
        <f>IF($A270="","",$Q270*$C270)</f>
        <v/>
      </c>
    </row>
    <row r="271">
      <c r="A271" s="25">
        <f>IF(Auftrag!$D271="","",Auftrag!$A271)</f>
        <v/>
      </c>
      <c r="B271" s="25">
        <f>IF($A271="","",Auftrag!$B271)</f>
        <v/>
      </c>
      <c r="C271" s="15">
        <f>IF($A271="","",N(Auftrag!$G271))</f>
        <v/>
      </c>
      <c r="D271" s="18">
        <f>IF($A271="","",SUMIFS(Schnittplan!$R$5:$R$1004,Schnittplan!$B$5:$B$1004,Auftrag!$D271,Schnittplan!$C$5:$C$1004,Auftrag!$E271,Schnittplan!$D$5:$D$1004,Auftrag!$Q271))</f>
        <v/>
      </c>
      <c r="E271" s="32">
        <f>IF($A271="","",IFERROR(N(Auftrag!$P271)/SUMIFS(Auftrag!$P$13:$P$512,Auftrag!$D$13:$D$512,Auftrag!$D271,Auftrag!$E$13:$E$512,Auftrag!$E271,Auftrag!$Q$13:$Q$512,Auftrag!$Q271),0))</f>
        <v/>
      </c>
      <c r="F271" s="33">
        <f>IF($A271="","",IF($C271=0,0,$D271*$E271/$C271))</f>
        <v/>
      </c>
      <c r="G271" s="34">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5">
        <f>IF($A271="","",IF($H271="","",60*((N(Auftrag!$H271)-N(Auftrag!$AI271)-N(Auftrag!$AK271))/$H271+N(Auftrag!$AI271)/$J271+N(Auftrag!$AK271)/$I271+N(Auftrag!$AD271)/$K271)+N(Auftrag!$I271)*$L271))</f>
        <v/>
      </c>
      <c r="N271" s="35">
        <f>IF($A271="","",IF(OR($H271="",$C271=0),0,(60*SUMIFS(Stangenbelegung!$K$5:$K$10004,Stangenbelegung!$E$5:$E$10004,ROW())/$H271+SUMIFS(Stangenbelegung!$L$5:$L$10004,Stangenbelegung!$E$5:$E$10004,ROW())*$L271)/$C271))</f>
        <v/>
      </c>
      <c r="O271" s="35">
        <f>IF($A271="","",IF($M271="","",MAX(0,$M271-$N271)))</f>
        <v/>
      </c>
      <c r="P271" s="35">
        <f>IF($A271="","",IFERROR(SUMPRODUCT(--("0"&amp;TRIM(RIGHT(SUBSTITUTE(LEFT(";"&amp;SUBSTITUTE(UPPER(Auftrag!$AG271)," ","")&amp;";"&amp;"X"&amp;UPPER(Gewinde!$A$5:$A$54)&amp;";",SEARCH("X"&amp;UPPER(Gewinde!$A$5:$A$54)&amp;";",";"&amp;SUBSTITUTE(UPPER(Auftrag!$AG271)," ","")&amp;";"&amp;"X"&amp;UPPER(Gewinde!$A$5:$A$54)&amp;";")-1),";",REPT(" ",50)),50))),Gewinde!$C$5:$C$54),0))</f>
        <v/>
      </c>
      <c r="Q271" s="33">
        <f>IF($A271="","",(N($O271)+$P271)/3600*N(Auftrag!$H$8))</f>
        <v/>
      </c>
      <c r="R271" s="33">
        <f>IF($A271="","",IF($F$8=0,0,$F$7/$F$8))</f>
        <v/>
      </c>
      <c r="S271" s="33">
        <f>IF($A271="","",$F271*(1+$C$4)+($Q271+$R271)*(1+$C$5))</f>
        <v/>
      </c>
      <c r="T271" s="33">
        <f>IF($A271="","",$S271*(1+$C$6))</f>
        <v/>
      </c>
      <c r="U271" s="18">
        <f>IF($A271="","",$T271*$C271)</f>
        <v/>
      </c>
      <c r="V271" s="18">
        <f>IF($A271="","",$S271*$C271)</f>
        <v/>
      </c>
      <c r="W271" s="28">
        <f>IF($A271="","",IF(N(Auftrag!$AO271)&gt;0,"nicht vollständig eingeplant",IF($D271=0,"kein Schnittplan oder Preis",IF($H271="","keine Schneiddaten",IF(AND(Auftrag!$AF271&lt;&gt;"",Auftrag!$AG271=""),"Gewinde ungeprüft","")))))</f>
        <v/>
      </c>
      <c r="X271" s="18">
        <f>IF($A271="","",$F271*$C271)</f>
        <v/>
      </c>
      <c r="Y271" s="18">
        <f>IF($A271="","",$Q271*$C271)</f>
        <v/>
      </c>
    </row>
    <row r="272">
      <c r="A272" s="25">
        <f>IF(Auftrag!$D272="","",Auftrag!$A272)</f>
        <v/>
      </c>
      <c r="B272" s="25">
        <f>IF($A272="","",Auftrag!$B272)</f>
        <v/>
      </c>
      <c r="C272" s="15">
        <f>IF($A272="","",N(Auftrag!$G272))</f>
        <v/>
      </c>
      <c r="D272" s="18">
        <f>IF($A272="","",SUMIFS(Schnittplan!$R$5:$R$1004,Schnittplan!$B$5:$B$1004,Auftrag!$D272,Schnittplan!$C$5:$C$1004,Auftrag!$E272,Schnittplan!$D$5:$D$1004,Auftrag!$Q272))</f>
        <v/>
      </c>
      <c r="E272" s="32">
        <f>IF($A272="","",IFERROR(N(Auftrag!$P272)/SUMIFS(Auftrag!$P$13:$P$512,Auftrag!$D$13:$D$512,Auftrag!$D272,Auftrag!$E$13:$E$512,Auftrag!$E272,Auftrag!$Q$13:$Q$512,Auftrag!$Q272),0))</f>
        <v/>
      </c>
      <c r="F272" s="33">
        <f>IF($A272="","",IF($C272=0,0,$D272*$E272/$C272))</f>
        <v/>
      </c>
      <c r="G272" s="34">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5">
        <f>IF($A272="","",IF($H272="","",60*((N(Auftrag!$H272)-N(Auftrag!$AI272)-N(Auftrag!$AK272))/$H272+N(Auftrag!$AI272)/$J272+N(Auftrag!$AK272)/$I272+N(Auftrag!$AD272)/$K272)+N(Auftrag!$I272)*$L272))</f>
        <v/>
      </c>
      <c r="N272" s="35">
        <f>IF($A272="","",IF(OR($H272="",$C272=0),0,(60*SUMIFS(Stangenbelegung!$K$5:$K$10004,Stangenbelegung!$E$5:$E$10004,ROW())/$H272+SUMIFS(Stangenbelegung!$L$5:$L$10004,Stangenbelegung!$E$5:$E$10004,ROW())*$L272)/$C272))</f>
        <v/>
      </c>
      <c r="O272" s="35">
        <f>IF($A272="","",IF($M272="","",MAX(0,$M272-$N272)))</f>
        <v/>
      </c>
      <c r="P272" s="35">
        <f>IF($A272="","",IFERROR(SUMPRODUCT(--("0"&amp;TRIM(RIGHT(SUBSTITUTE(LEFT(";"&amp;SUBSTITUTE(UPPER(Auftrag!$AG272)," ","")&amp;";"&amp;"X"&amp;UPPER(Gewinde!$A$5:$A$54)&amp;";",SEARCH("X"&amp;UPPER(Gewinde!$A$5:$A$54)&amp;";",";"&amp;SUBSTITUTE(UPPER(Auftrag!$AG272)," ","")&amp;";"&amp;"X"&amp;UPPER(Gewinde!$A$5:$A$54)&amp;";")-1),";",REPT(" ",50)),50))),Gewinde!$C$5:$C$54),0))</f>
        <v/>
      </c>
      <c r="Q272" s="33">
        <f>IF($A272="","",(N($O272)+$P272)/3600*N(Auftrag!$H$8))</f>
        <v/>
      </c>
      <c r="R272" s="33">
        <f>IF($A272="","",IF($F$8=0,0,$F$7/$F$8))</f>
        <v/>
      </c>
      <c r="S272" s="33">
        <f>IF($A272="","",$F272*(1+$C$4)+($Q272+$R272)*(1+$C$5))</f>
        <v/>
      </c>
      <c r="T272" s="33">
        <f>IF($A272="","",$S272*(1+$C$6))</f>
        <v/>
      </c>
      <c r="U272" s="18">
        <f>IF($A272="","",$T272*$C272)</f>
        <v/>
      </c>
      <c r="V272" s="18">
        <f>IF($A272="","",$S272*$C272)</f>
        <v/>
      </c>
      <c r="W272" s="28">
        <f>IF($A272="","",IF(N(Auftrag!$AO272)&gt;0,"nicht vollständig eingeplant",IF($D272=0,"kein Schnittplan oder Preis",IF($H272="","keine Schneiddaten",IF(AND(Auftrag!$AF272&lt;&gt;"",Auftrag!$AG272=""),"Gewinde ungeprüft","")))))</f>
        <v/>
      </c>
      <c r="X272" s="18">
        <f>IF($A272="","",$F272*$C272)</f>
        <v/>
      </c>
      <c r="Y272" s="18">
        <f>IF($A272="","",$Q272*$C272)</f>
        <v/>
      </c>
    </row>
    <row r="273">
      <c r="A273" s="25">
        <f>IF(Auftrag!$D273="","",Auftrag!$A273)</f>
        <v/>
      </c>
      <c r="B273" s="25">
        <f>IF($A273="","",Auftrag!$B273)</f>
        <v/>
      </c>
      <c r="C273" s="15">
        <f>IF($A273="","",N(Auftrag!$G273))</f>
        <v/>
      </c>
      <c r="D273" s="18">
        <f>IF($A273="","",SUMIFS(Schnittplan!$R$5:$R$1004,Schnittplan!$B$5:$B$1004,Auftrag!$D273,Schnittplan!$C$5:$C$1004,Auftrag!$E273,Schnittplan!$D$5:$D$1004,Auftrag!$Q273))</f>
        <v/>
      </c>
      <c r="E273" s="32">
        <f>IF($A273="","",IFERROR(N(Auftrag!$P273)/SUMIFS(Auftrag!$P$13:$P$512,Auftrag!$D$13:$D$512,Auftrag!$D273,Auftrag!$E$13:$E$512,Auftrag!$E273,Auftrag!$Q$13:$Q$512,Auftrag!$Q273),0))</f>
        <v/>
      </c>
      <c r="F273" s="33">
        <f>IF($A273="","",IF($C273=0,0,$D273*$E273/$C273))</f>
        <v/>
      </c>
      <c r="G273" s="34">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5">
        <f>IF($A273="","",IF($H273="","",60*((N(Auftrag!$H273)-N(Auftrag!$AI273)-N(Auftrag!$AK273))/$H273+N(Auftrag!$AI273)/$J273+N(Auftrag!$AK273)/$I273+N(Auftrag!$AD273)/$K273)+N(Auftrag!$I273)*$L273))</f>
        <v/>
      </c>
      <c r="N273" s="35">
        <f>IF($A273="","",IF(OR($H273="",$C273=0),0,(60*SUMIFS(Stangenbelegung!$K$5:$K$10004,Stangenbelegung!$E$5:$E$10004,ROW())/$H273+SUMIFS(Stangenbelegung!$L$5:$L$10004,Stangenbelegung!$E$5:$E$10004,ROW())*$L273)/$C273))</f>
        <v/>
      </c>
      <c r="O273" s="35">
        <f>IF($A273="","",IF($M273="","",MAX(0,$M273-$N273)))</f>
        <v/>
      </c>
      <c r="P273" s="35">
        <f>IF($A273="","",IFERROR(SUMPRODUCT(--("0"&amp;TRIM(RIGHT(SUBSTITUTE(LEFT(";"&amp;SUBSTITUTE(UPPER(Auftrag!$AG273)," ","")&amp;";"&amp;"X"&amp;UPPER(Gewinde!$A$5:$A$54)&amp;";",SEARCH("X"&amp;UPPER(Gewinde!$A$5:$A$54)&amp;";",";"&amp;SUBSTITUTE(UPPER(Auftrag!$AG273)," ","")&amp;";"&amp;"X"&amp;UPPER(Gewinde!$A$5:$A$54)&amp;";")-1),";",REPT(" ",50)),50))),Gewinde!$C$5:$C$54),0))</f>
        <v/>
      </c>
      <c r="Q273" s="33">
        <f>IF($A273="","",(N($O273)+$P273)/3600*N(Auftrag!$H$8))</f>
        <v/>
      </c>
      <c r="R273" s="33">
        <f>IF($A273="","",IF($F$8=0,0,$F$7/$F$8))</f>
        <v/>
      </c>
      <c r="S273" s="33">
        <f>IF($A273="","",$F273*(1+$C$4)+($Q273+$R273)*(1+$C$5))</f>
        <v/>
      </c>
      <c r="T273" s="33">
        <f>IF($A273="","",$S273*(1+$C$6))</f>
        <v/>
      </c>
      <c r="U273" s="18">
        <f>IF($A273="","",$T273*$C273)</f>
        <v/>
      </c>
      <c r="V273" s="18">
        <f>IF($A273="","",$S273*$C273)</f>
        <v/>
      </c>
      <c r="W273" s="28">
        <f>IF($A273="","",IF(N(Auftrag!$AO273)&gt;0,"nicht vollständig eingeplant",IF($D273=0,"kein Schnittplan oder Preis",IF($H273="","keine Schneiddaten",IF(AND(Auftrag!$AF273&lt;&gt;"",Auftrag!$AG273=""),"Gewinde ungeprüft","")))))</f>
        <v/>
      </c>
      <c r="X273" s="18">
        <f>IF($A273="","",$F273*$C273)</f>
        <v/>
      </c>
      <c r="Y273" s="18">
        <f>IF($A273="","",$Q273*$C273)</f>
        <v/>
      </c>
    </row>
    <row r="274">
      <c r="A274" s="25">
        <f>IF(Auftrag!$D274="","",Auftrag!$A274)</f>
        <v/>
      </c>
      <c r="B274" s="25">
        <f>IF($A274="","",Auftrag!$B274)</f>
        <v/>
      </c>
      <c r="C274" s="15">
        <f>IF($A274="","",N(Auftrag!$G274))</f>
        <v/>
      </c>
      <c r="D274" s="18">
        <f>IF($A274="","",SUMIFS(Schnittplan!$R$5:$R$1004,Schnittplan!$B$5:$B$1004,Auftrag!$D274,Schnittplan!$C$5:$C$1004,Auftrag!$E274,Schnittplan!$D$5:$D$1004,Auftrag!$Q274))</f>
        <v/>
      </c>
      <c r="E274" s="32">
        <f>IF($A274="","",IFERROR(N(Auftrag!$P274)/SUMIFS(Auftrag!$P$13:$P$512,Auftrag!$D$13:$D$512,Auftrag!$D274,Auftrag!$E$13:$E$512,Auftrag!$E274,Auftrag!$Q$13:$Q$512,Auftrag!$Q274),0))</f>
        <v/>
      </c>
      <c r="F274" s="33">
        <f>IF($A274="","",IF($C274=0,0,$D274*$E274/$C274))</f>
        <v/>
      </c>
      <c r="G274" s="34">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5">
        <f>IF($A274="","",IF($H274="","",60*((N(Auftrag!$H274)-N(Auftrag!$AI274)-N(Auftrag!$AK274))/$H274+N(Auftrag!$AI274)/$J274+N(Auftrag!$AK274)/$I274+N(Auftrag!$AD274)/$K274)+N(Auftrag!$I274)*$L274))</f>
        <v/>
      </c>
      <c r="N274" s="35">
        <f>IF($A274="","",IF(OR($H274="",$C274=0),0,(60*SUMIFS(Stangenbelegung!$K$5:$K$10004,Stangenbelegung!$E$5:$E$10004,ROW())/$H274+SUMIFS(Stangenbelegung!$L$5:$L$10004,Stangenbelegung!$E$5:$E$10004,ROW())*$L274)/$C274))</f>
        <v/>
      </c>
      <c r="O274" s="35">
        <f>IF($A274="","",IF($M274="","",MAX(0,$M274-$N274)))</f>
        <v/>
      </c>
      <c r="P274" s="35">
        <f>IF($A274="","",IFERROR(SUMPRODUCT(--("0"&amp;TRIM(RIGHT(SUBSTITUTE(LEFT(";"&amp;SUBSTITUTE(UPPER(Auftrag!$AG274)," ","")&amp;";"&amp;"X"&amp;UPPER(Gewinde!$A$5:$A$54)&amp;";",SEARCH("X"&amp;UPPER(Gewinde!$A$5:$A$54)&amp;";",";"&amp;SUBSTITUTE(UPPER(Auftrag!$AG274)," ","")&amp;";"&amp;"X"&amp;UPPER(Gewinde!$A$5:$A$54)&amp;";")-1),";",REPT(" ",50)),50))),Gewinde!$C$5:$C$54),0))</f>
        <v/>
      </c>
      <c r="Q274" s="33">
        <f>IF($A274="","",(N($O274)+$P274)/3600*N(Auftrag!$H$8))</f>
        <v/>
      </c>
      <c r="R274" s="33">
        <f>IF($A274="","",IF($F$8=0,0,$F$7/$F$8))</f>
        <v/>
      </c>
      <c r="S274" s="33">
        <f>IF($A274="","",$F274*(1+$C$4)+($Q274+$R274)*(1+$C$5))</f>
        <v/>
      </c>
      <c r="T274" s="33">
        <f>IF($A274="","",$S274*(1+$C$6))</f>
        <v/>
      </c>
      <c r="U274" s="18">
        <f>IF($A274="","",$T274*$C274)</f>
        <v/>
      </c>
      <c r="V274" s="18">
        <f>IF($A274="","",$S274*$C274)</f>
        <v/>
      </c>
      <c r="W274" s="28">
        <f>IF($A274="","",IF(N(Auftrag!$AO274)&gt;0,"nicht vollständig eingeplant",IF($D274=0,"kein Schnittplan oder Preis",IF($H274="","keine Schneiddaten",IF(AND(Auftrag!$AF274&lt;&gt;"",Auftrag!$AG274=""),"Gewinde ungeprüft","")))))</f>
        <v/>
      </c>
      <c r="X274" s="18">
        <f>IF($A274="","",$F274*$C274)</f>
        <v/>
      </c>
      <c r="Y274" s="18">
        <f>IF($A274="","",$Q274*$C274)</f>
        <v/>
      </c>
    </row>
    <row r="275">
      <c r="A275" s="25">
        <f>IF(Auftrag!$D275="","",Auftrag!$A275)</f>
        <v/>
      </c>
      <c r="B275" s="25">
        <f>IF($A275="","",Auftrag!$B275)</f>
        <v/>
      </c>
      <c r="C275" s="15">
        <f>IF($A275="","",N(Auftrag!$G275))</f>
        <v/>
      </c>
      <c r="D275" s="18">
        <f>IF($A275="","",SUMIFS(Schnittplan!$R$5:$R$1004,Schnittplan!$B$5:$B$1004,Auftrag!$D275,Schnittplan!$C$5:$C$1004,Auftrag!$E275,Schnittplan!$D$5:$D$1004,Auftrag!$Q275))</f>
        <v/>
      </c>
      <c r="E275" s="32">
        <f>IF($A275="","",IFERROR(N(Auftrag!$P275)/SUMIFS(Auftrag!$P$13:$P$512,Auftrag!$D$13:$D$512,Auftrag!$D275,Auftrag!$E$13:$E$512,Auftrag!$E275,Auftrag!$Q$13:$Q$512,Auftrag!$Q275),0))</f>
        <v/>
      </c>
      <c r="F275" s="33">
        <f>IF($A275="","",IF($C275=0,0,$D275*$E275/$C275))</f>
        <v/>
      </c>
      <c r="G275" s="34">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5">
        <f>IF($A275="","",IF($H275="","",60*((N(Auftrag!$H275)-N(Auftrag!$AI275)-N(Auftrag!$AK275))/$H275+N(Auftrag!$AI275)/$J275+N(Auftrag!$AK275)/$I275+N(Auftrag!$AD275)/$K275)+N(Auftrag!$I275)*$L275))</f>
        <v/>
      </c>
      <c r="N275" s="35">
        <f>IF($A275="","",IF(OR($H275="",$C275=0),0,(60*SUMIFS(Stangenbelegung!$K$5:$K$10004,Stangenbelegung!$E$5:$E$10004,ROW())/$H275+SUMIFS(Stangenbelegung!$L$5:$L$10004,Stangenbelegung!$E$5:$E$10004,ROW())*$L275)/$C275))</f>
        <v/>
      </c>
      <c r="O275" s="35">
        <f>IF($A275="","",IF($M275="","",MAX(0,$M275-$N275)))</f>
        <v/>
      </c>
      <c r="P275" s="35">
        <f>IF($A275="","",IFERROR(SUMPRODUCT(--("0"&amp;TRIM(RIGHT(SUBSTITUTE(LEFT(";"&amp;SUBSTITUTE(UPPER(Auftrag!$AG275)," ","")&amp;";"&amp;"X"&amp;UPPER(Gewinde!$A$5:$A$54)&amp;";",SEARCH("X"&amp;UPPER(Gewinde!$A$5:$A$54)&amp;";",";"&amp;SUBSTITUTE(UPPER(Auftrag!$AG275)," ","")&amp;";"&amp;"X"&amp;UPPER(Gewinde!$A$5:$A$54)&amp;";")-1),";",REPT(" ",50)),50))),Gewinde!$C$5:$C$54),0))</f>
        <v/>
      </c>
      <c r="Q275" s="33">
        <f>IF($A275="","",(N($O275)+$P275)/3600*N(Auftrag!$H$8))</f>
        <v/>
      </c>
      <c r="R275" s="33">
        <f>IF($A275="","",IF($F$8=0,0,$F$7/$F$8))</f>
        <v/>
      </c>
      <c r="S275" s="33">
        <f>IF($A275="","",$F275*(1+$C$4)+($Q275+$R275)*(1+$C$5))</f>
        <v/>
      </c>
      <c r="T275" s="33">
        <f>IF($A275="","",$S275*(1+$C$6))</f>
        <v/>
      </c>
      <c r="U275" s="18">
        <f>IF($A275="","",$T275*$C275)</f>
        <v/>
      </c>
      <c r="V275" s="18">
        <f>IF($A275="","",$S275*$C275)</f>
        <v/>
      </c>
      <c r="W275" s="28">
        <f>IF($A275="","",IF(N(Auftrag!$AO275)&gt;0,"nicht vollständig eingeplant",IF($D275=0,"kein Schnittplan oder Preis",IF($H275="","keine Schneiddaten",IF(AND(Auftrag!$AF275&lt;&gt;"",Auftrag!$AG275=""),"Gewinde ungeprüft","")))))</f>
        <v/>
      </c>
      <c r="X275" s="18">
        <f>IF($A275="","",$F275*$C275)</f>
        <v/>
      </c>
      <c r="Y275" s="18">
        <f>IF($A275="","",$Q275*$C275)</f>
        <v/>
      </c>
    </row>
    <row r="276">
      <c r="A276" s="25">
        <f>IF(Auftrag!$D276="","",Auftrag!$A276)</f>
        <v/>
      </c>
      <c r="B276" s="25">
        <f>IF($A276="","",Auftrag!$B276)</f>
        <v/>
      </c>
      <c r="C276" s="15">
        <f>IF($A276="","",N(Auftrag!$G276))</f>
        <v/>
      </c>
      <c r="D276" s="18">
        <f>IF($A276="","",SUMIFS(Schnittplan!$R$5:$R$1004,Schnittplan!$B$5:$B$1004,Auftrag!$D276,Schnittplan!$C$5:$C$1004,Auftrag!$E276,Schnittplan!$D$5:$D$1004,Auftrag!$Q276))</f>
        <v/>
      </c>
      <c r="E276" s="32">
        <f>IF($A276="","",IFERROR(N(Auftrag!$P276)/SUMIFS(Auftrag!$P$13:$P$512,Auftrag!$D$13:$D$512,Auftrag!$D276,Auftrag!$E$13:$E$512,Auftrag!$E276,Auftrag!$Q$13:$Q$512,Auftrag!$Q276),0))</f>
        <v/>
      </c>
      <c r="F276" s="33">
        <f>IF($A276="","",IF($C276=0,0,$D276*$E276/$C276))</f>
        <v/>
      </c>
      <c r="G276" s="34">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5">
        <f>IF($A276="","",IF($H276="","",60*((N(Auftrag!$H276)-N(Auftrag!$AI276)-N(Auftrag!$AK276))/$H276+N(Auftrag!$AI276)/$J276+N(Auftrag!$AK276)/$I276+N(Auftrag!$AD276)/$K276)+N(Auftrag!$I276)*$L276))</f>
        <v/>
      </c>
      <c r="N276" s="35">
        <f>IF($A276="","",IF(OR($H276="",$C276=0),0,(60*SUMIFS(Stangenbelegung!$K$5:$K$10004,Stangenbelegung!$E$5:$E$10004,ROW())/$H276+SUMIFS(Stangenbelegung!$L$5:$L$10004,Stangenbelegung!$E$5:$E$10004,ROW())*$L276)/$C276))</f>
        <v/>
      </c>
      <c r="O276" s="35">
        <f>IF($A276="","",IF($M276="","",MAX(0,$M276-$N276)))</f>
        <v/>
      </c>
      <c r="P276" s="35">
        <f>IF($A276="","",IFERROR(SUMPRODUCT(--("0"&amp;TRIM(RIGHT(SUBSTITUTE(LEFT(";"&amp;SUBSTITUTE(UPPER(Auftrag!$AG276)," ","")&amp;";"&amp;"X"&amp;UPPER(Gewinde!$A$5:$A$54)&amp;";",SEARCH("X"&amp;UPPER(Gewinde!$A$5:$A$54)&amp;";",";"&amp;SUBSTITUTE(UPPER(Auftrag!$AG276)," ","")&amp;";"&amp;"X"&amp;UPPER(Gewinde!$A$5:$A$54)&amp;";")-1),";",REPT(" ",50)),50))),Gewinde!$C$5:$C$54),0))</f>
        <v/>
      </c>
      <c r="Q276" s="33">
        <f>IF($A276="","",(N($O276)+$P276)/3600*N(Auftrag!$H$8))</f>
        <v/>
      </c>
      <c r="R276" s="33">
        <f>IF($A276="","",IF($F$8=0,0,$F$7/$F$8))</f>
        <v/>
      </c>
      <c r="S276" s="33">
        <f>IF($A276="","",$F276*(1+$C$4)+($Q276+$R276)*(1+$C$5))</f>
        <v/>
      </c>
      <c r="T276" s="33">
        <f>IF($A276="","",$S276*(1+$C$6))</f>
        <v/>
      </c>
      <c r="U276" s="18">
        <f>IF($A276="","",$T276*$C276)</f>
        <v/>
      </c>
      <c r="V276" s="18">
        <f>IF($A276="","",$S276*$C276)</f>
        <v/>
      </c>
      <c r="W276" s="28">
        <f>IF($A276="","",IF(N(Auftrag!$AO276)&gt;0,"nicht vollständig eingeplant",IF($D276=0,"kein Schnittplan oder Preis",IF($H276="","keine Schneiddaten",IF(AND(Auftrag!$AF276&lt;&gt;"",Auftrag!$AG276=""),"Gewinde ungeprüft","")))))</f>
        <v/>
      </c>
      <c r="X276" s="18">
        <f>IF($A276="","",$F276*$C276)</f>
        <v/>
      </c>
      <c r="Y276" s="18">
        <f>IF($A276="","",$Q276*$C276)</f>
        <v/>
      </c>
    </row>
    <row r="277">
      <c r="A277" s="25">
        <f>IF(Auftrag!$D277="","",Auftrag!$A277)</f>
        <v/>
      </c>
      <c r="B277" s="25">
        <f>IF($A277="","",Auftrag!$B277)</f>
        <v/>
      </c>
      <c r="C277" s="15">
        <f>IF($A277="","",N(Auftrag!$G277))</f>
        <v/>
      </c>
      <c r="D277" s="18">
        <f>IF($A277="","",SUMIFS(Schnittplan!$R$5:$R$1004,Schnittplan!$B$5:$B$1004,Auftrag!$D277,Schnittplan!$C$5:$C$1004,Auftrag!$E277,Schnittplan!$D$5:$D$1004,Auftrag!$Q277))</f>
        <v/>
      </c>
      <c r="E277" s="32">
        <f>IF($A277="","",IFERROR(N(Auftrag!$P277)/SUMIFS(Auftrag!$P$13:$P$512,Auftrag!$D$13:$D$512,Auftrag!$D277,Auftrag!$E$13:$E$512,Auftrag!$E277,Auftrag!$Q$13:$Q$512,Auftrag!$Q277),0))</f>
        <v/>
      </c>
      <c r="F277" s="33">
        <f>IF($A277="","",IF($C277=0,0,$D277*$E277/$C277))</f>
        <v/>
      </c>
      <c r="G277" s="34">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5">
        <f>IF($A277="","",IF($H277="","",60*((N(Auftrag!$H277)-N(Auftrag!$AI277)-N(Auftrag!$AK277))/$H277+N(Auftrag!$AI277)/$J277+N(Auftrag!$AK277)/$I277+N(Auftrag!$AD277)/$K277)+N(Auftrag!$I277)*$L277))</f>
        <v/>
      </c>
      <c r="N277" s="35">
        <f>IF($A277="","",IF(OR($H277="",$C277=0),0,(60*SUMIFS(Stangenbelegung!$K$5:$K$10004,Stangenbelegung!$E$5:$E$10004,ROW())/$H277+SUMIFS(Stangenbelegung!$L$5:$L$10004,Stangenbelegung!$E$5:$E$10004,ROW())*$L277)/$C277))</f>
        <v/>
      </c>
      <c r="O277" s="35">
        <f>IF($A277="","",IF($M277="","",MAX(0,$M277-$N277)))</f>
        <v/>
      </c>
      <c r="P277" s="35">
        <f>IF($A277="","",IFERROR(SUMPRODUCT(--("0"&amp;TRIM(RIGHT(SUBSTITUTE(LEFT(";"&amp;SUBSTITUTE(UPPER(Auftrag!$AG277)," ","")&amp;";"&amp;"X"&amp;UPPER(Gewinde!$A$5:$A$54)&amp;";",SEARCH("X"&amp;UPPER(Gewinde!$A$5:$A$54)&amp;";",";"&amp;SUBSTITUTE(UPPER(Auftrag!$AG277)," ","")&amp;";"&amp;"X"&amp;UPPER(Gewinde!$A$5:$A$54)&amp;";")-1),";",REPT(" ",50)),50))),Gewinde!$C$5:$C$54),0))</f>
        <v/>
      </c>
      <c r="Q277" s="33">
        <f>IF($A277="","",(N($O277)+$P277)/3600*N(Auftrag!$H$8))</f>
        <v/>
      </c>
      <c r="R277" s="33">
        <f>IF($A277="","",IF($F$8=0,0,$F$7/$F$8))</f>
        <v/>
      </c>
      <c r="S277" s="33">
        <f>IF($A277="","",$F277*(1+$C$4)+($Q277+$R277)*(1+$C$5))</f>
        <v/>
      </c>
      <c r="T277" s="33">
        <f>IF($A277="","",$S277*(1+$C$6))</f>
        <v/>
      </c>
      <c r="U277" s="18">
        <f>IF($A277="","",$T277*$C277)</f>
        <v/>
      </c>
      <c r="V277" s="18">
        <f>IF($A277="","",$S277*$C277)</f>
        <v/>
      </c>
      <c r="W277" s="28">
        <f>IF($A277="","",IF(N(Auftrag!$AO277)&gt;0,"nicht vollständig eingeplant",IF($D277=0,"kein Schnittplan oder Preis",IF($H277="","keine Schneiddaten",IF(AND(Auftrag!$AF277&lt;&gt;"",Auftrag!$AG277=""),"Gewinde ungeprüft","")))))</f>
        <v/>
      </c>
      <c r="X277" s="18">
        <f>IF($A277="","",$F277*$C277)</f>
        <v/>
      </c>
      <c r="Y277" s="18">
        <f>IF($A277="","",$Q277*$C277)</f>
        <v/>
      </c>
    </row>
    <row r="278">
      <c r="A278" s="25">
        <f>IF(Auftrag!$D278="","",Auftrag!$A278)</f>
        <v/>
      </c>
      <c r="B278" s="25">
        <f>IF($A278="","",Auftrag!$B278)</f>
        <v/>
      </c>
      <c r="C278" s="15">
        <f>IF($A278="","",N(Auftrag!$G278))</f>
        <v/>
      </c>
      <c r="D278" s="18">
        <f>IF($A278="","",SUMIFS(Schnittplan!$R$5:$R$1004,Schnittplan!$B$5:$B$1004,Auftrag!$D278,Schnittplan!$C$5:$C$1004,Auftrag!$E278,Schnittplan!$D$5:$D$1004,Auftrag!$Q278))</f>
        <v/>
      </c>
      <c r="E278" s="32">
        <f>IF($A278="","",IFERROR(N(Auftrag!$P278)/SUMIFS(Auftrag!$P$13:$P$512,Auftrag!$D$13:$D$512,Auftrag!$D278,Auftrag!$E$13:$E$512,Auftrag!$E278,Auftrag!$Q$13:$Q$512,Auftrag!$Q278),0))</f>
        <v/>
      </c>
      <c r="F278" s="33">
        <f>IF($A278="","",IF($C278=0,0,$D278*$E278/$C278))</f>
        <v/>
      </c>
      <c r="G278" s="34">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5">
        <f>IF($A278="","",IF($H278="","",60*((N(Auftrag!$H278)-N(Auftrag!$AI278)-N(Auftrag!$AK278))/$H278+N(Auftrag!$AI278)/$J278+N(Auftrag!$AK278)/$I278+N(Auftrag!$AD278)/$K278)+N(Auftrag!$I278)*$L278))</f>
        <v/>
      </c>
      <c r="N278" s="35">
        <f>IF($A278="","",IF(OR($H278="",$C278=0),0,(60*SUMIFS(Stangenbelegung!$K$5:$K$10004,Stangenbelegung!$E$5:$E$10004,ROW())/$H278+SUMIFS(Stangenbelegung!$L$5:$L$10004,Stangenbelegung!$E$5:$E$10004,ROW())*$L278)/$C278))</f>
        <v/>
      </c>
      <c r="O278" s="35">
        <f>IF($A278="","",IF($M278="","",MAX(0,$M278-$N278)))</f>
        <v/>
      </c>
      <c r="P278" s="35">
        <f>IF($A278="","",IFERROR(SUMPRODUCT(--("0"&amp;TRIM(RIGHT(SUBSTITUTE(LEFT(";"&amp;SUBSTITUTE(UPPER(Auftrag!$AG278)," ","")&amp;";"&amp;"X"&amp;UPPER(Gewinde!$A$5:$A$54)&amp;";",SEARCH("X"&amp;UPPER(Gewinde!$A$5:$A$54)&amp;";",";"&amp;SUBSTITUTE(UPPER(Auftrag!$AG278)," ","")&amp;";"&amp;"X"&amp;UPPER(Gewinde!$A$5:$A$54)&amp;";")-1),";",REPT(" ",50)),50))),Gewinde!$C$5:$C$54),0))</f>
        <v/>
      </c>
      <c r="Q278" s="33">
        <f>IF($A278="","",(N($O278)+$P278)/3600*N(Auftrag!$H$8))</f>
        <v/>
      </c>
      <c r="R278" s="33">
        <f>IF($A278="","",IF($F$8=0,0,$F$7/$F$8))</f>
        <v/>
      </c>
      <c r="S278" s="33">
        <f>IF($A278="","",$F278*(1+$C$4)+($Q278+$R278)*(1+$C$5))</f>
        <v/>
      </c>
      <c r="T278" s="33">
        <f>IF($A278="","",$S278*(1+$C$6))</f>
        <v/>
      </c>
      <c r="U278" s="18">
        <f>IF($A278="","",$T278*$C278)</f>
        <v/>
      </c>
      <c r="V278" s="18">
        <f>IF($A278="","",$S278*$C278)</f>
        <v/>
      </c>
      <c r="W278" s="28">
        <f>IF($A278="","",IF(N(Auftrag!$AO278)&gt;0,"nicht vollständig eingeplant",IF($D278=0,"kein Schnittplan oder Preis",IF($H278="","keine Schneiddaten",IF(AND(Auftrag!$AF278&lt;&gt;"",Auftrag!$AG278=""),"Gewinde ungeprüft","")))))</f>
        <v/>
      </c>
      <c r="X278" s="18">
        <f>IF($A278="","",$F278*$C278)</f>
        <v/>
      </c>
      <c r="Y278" s="18">
        <f>IF($A278="","",$Q278*$C278)</f>
        <v/>
      </c>
    </row>
    <row r="279">
      <c r="A279" s="25">
        <f>IF(Auftrag!$D279="","",Auftrag!$A279)</f>
        <v/>
      </c>
      <c r="B279" s="25">
        <f>IF($A279="","",Auftrag!$B279)</f>
        <v/>
      </c>
      <c r="C279" s="15">
        <f>IF($A279="","",N(Auftrag!$G279))</f>
        <v/>
      </c>
      <c r="D279" s="18">
        <f>IF($A279="","",SUMIFS(Schnittplan!$R$5:$R$1004,Schnittplan!$B$5:$B$1004,Auftrag!$D279,Schnittplan!$C$5:$C$1004,Auftrag!$E279,Schnittplan!$D$5:$D$1004,Auftrag!$Q279))</f>
        <v/>
      </c>
      <c r="E279" s="32">
        <f>IF($A279="","",IFERROR(N(Auftrag!$P279)/SUMIFS(Auftrag!$P$13:$P$512,Auftrag!$D$13:$D$512,Auftrag!$D279,Auftrag!$E$13:$E$512,Auftrag!$E279,Auftrag!$Q$13:$Q$512,Auftrag!$Q279),0))</f>
        <v/>
      </c>
      <c r="F279" s="33">
        <f>IF($A279="","",IF($C279=0,0,$D279*$E279/$C279))</f>
        <v/>
      </c>
      <c r="G279" s="34">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5">
        <f>IF($A279="","",IF($H279="","",60*((N(Auftrag!$H279)-N(Auftrag!$AI279)-N(Auftrag!$AK279))/$H279+N(Auftrag!$AI279)/$J279+N(Auftrag!$AK279)/$I279+N(Auftrag!$AD279)/$K279)+N(Auftrag!$I279)*$L279))</f>
        <v/>
      </c>
      <c r="N279" s="35">
        <f>IF($A279="","",IF(OR($H279="",$C279=0),0,(60*SUMIFS(Stangenbelegung!$K$5:$K$10004,Stangenbelegung!$E$5:$E$10004,ROW())/$H279+SUMIFS(Stangenbelegung!$L$5:$L$10004,Stangenbelegung!$E$5:$E$10004,ROW())*$L279)/$C279))</f>
        <v/>
      </c>
      <c r="O279" s="35">
        <f>IF($A279="","",IF($M279="","",MAX(0,$M279-$N279)))</f>
        <v/>
      </c>
      <c r="P279" s="35">
        <f>IF($A279="","",IFERROR(SUMPRODUCT(--("0"&amp;TRIM(RIGHT(SUBSTITUTE(LEFT(";"&amp;SUBSTITUTE(UPPER(Auftrag!$AG279)," ","")&amp;";"&amp;"X"&amp;UPPER(Gewinde!$A$5:$A$54)&amp;";",SEARCH("X"&amp;UPPER(Gewinde!$A$5:$A$54)&amp;";",";"&amp;SUBSTITUTE(UPPER(Auftrag!$AG279)," ","")&amp;";"&amp;"X"&amp;UPPER(Gewinde!$A$5:$A$54)&amp;";")-1),";",REPT(" ",50)),50))),Gewinde!$C$5:$C$54),0))</f>
        <v/>
      </c>
      <c r="Q279" s="33">
        <f>IF($A279="","",(N($O279)+$P279)/3600*N(Auftrag!$H$8))</f>
        <v/>
      </c>
      <c r="R279" s="33">
        <f>IF($A279="","",IF($F$8=0,0,$F$7/$F$8))</f>
        <v/>
      </c>
      <c r="S279" s="33">
        <f>IF($A279="","",$F279*(1+$C$4)+($Q279+$R279)*(1+$C$5))</f>
        <v/>
      </c>
      <c r="T279" s="33">
        <f>IF($A279="","",$S279*(1+$C$6))</f>
        <v/>
      </c>
      <c r="U279" s="18">
        <f>IF($A279="","",$T279*$C279)</f>
        <v/>
      </c>
      <c r="V279" s="18">
        <f>IF($A279="","",$S279*$C279)</f>
        <v/>
      </c>
      <c r="W279" s="28">
        <f>IF($A279="","",IF(N(Auftrag!$AO279)&gt;0,"nicht vollständig eingeplant",IF($D279=0,"kein Schnittplan oder Preis",IF($H279="","keine Schneiddaten",IF(AND(Auftrag!$AF279&lt;&gt;"",Auftrag!$AG279=""),"Gewinde ungeprüft","")))))</f>
        <v/>
      </c>
      <c r="X279" s="18">
        <f>IF($A279="","",$F279*$C279)</f>
        <v/>
      </c>
      <c r="Y279" s="18">
        <f>IF($A279="","",$Q279*$C279)</f>
        <v/>
      </c>
    </row>
    <row r="280">
      <c r="A280" s="25">
        <f>IF(Auftrag!$D280="","",Auftrag!$A280)</f>
        <v/>
      </c>
      <c r="B280" s="25">
        <f>IF($A280="","",Auftrag!$B280)</f>
        <v/>
      </c>
      <c r="C280" s="15">
        <f>IF($A280="","",N(Auftrag!$G280))</f>
        <v/>
      </c>
      <c r="D280" s="18">
        <f>IF($A280="","",SUMIFS(Schnittplan!$R$5:$R$1004,Schnittplan!$B$5:$B$1004,Auftrag!$D280,Schnittplan!$C$5:$C$1004,Auftrag!$E280,Schnittplan!$D$5:$D$1004,Auftrag!$Q280))</f>
        <v/>
      </c>
      <c r="E280" s="32">
        <f>IF($A280="","",IFERROR(N(Auftrag!$P280)/SUMIFS(Auftrag!$P$13:$P$512,Auftrag!$D$13:$D$512,Auftrag!$D280,Auftrag!$E$13:$E$512,Auftrag!$E280,Auftrag!$Q$13:$Q$512,Auftrag!$Q280),0))</f>
        <v/>
      </c>
      <c r="F280" s="33">
        <f>IF($A280="","",IF($C280=0,0,$D280*$E280/$C280))</f>
        <v/>
      </c>
      <c r="G280" s="34">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5">
        <f>IF($A280="","",IF($H280="","",60*((N(Auftrag!$H280)-N(Auftrag!$AI280)-N(Auftrag!$AK280))/$H280+N(Auftrag!$AI280)/$J280+N(Auftrag!$AK280)/$I280+N(Auftrag!$AD280)/$K280)+N(Auftrag!$I280)*$L280))</f>
        <v/>
      </c>
      <c r="N280" s="35">
        <f>IF($A280="","",IF(OR($H280="",$C280=0),0,(60*SUMIFS(Stangenbelegung!$K$5:$K$10004,Stangenbelegung!$E$5:$E$10004,ROW())/$H280+SUMIFS(Stangenbelegung!$L$5:$L$10004,Stangenbelegung!$E$5:$E$10004,ROW())*$L280)/$C280))</f>
        <v/>
      </c>
      <c r="O280" s="35">
        <f>IF($A280="","",IF($M280="","",MAX(0,$M280-$N280)))</f>
        <v/>
      </c>
      <c r="P280" s="35">
        <f>IF($A280="","",IFERROR(SUMPRODUCT(--("0"&amp;TRIM(RIGHT(SUBSTITUTE(LEFT(";"&amp;SUBSTITUTE(UPPER(Auftrag!$AG280)," ","")&amp;";"&amp;"X"&amp;UPPER(Gewinde!$A$5:$A$54)&amp;";",SEARCH("X"&amp;UPPER(Gewinde!$A$5:$A$54)&amp;";",";"&amp;SUBSTITUTE(UPPER(Auftrag!$AG280)," ","")&amp;";"&amp;"X"&amp;UPPER(Gewinde!$A$5:$A$54)&amp;";")-1),";",REPT(" ",50)),50))),Gewinde!$C$5:$C$54),0))</f>
        <v/>
      </c>
      <c r="Q280" s="33">
        <f>IF($A280="","",(N($O280)+$P280)/3600*N(Auftrag!$H$8))</f>
        <v/>
      </c>
      <c r="R280" s="33">
        <f>IF($A280="","",IF($F$8=0,0,$F$7/$F$8))</f>
        <v/>
      </c>
      <c r="S280" s="33">
        <f>IF($A280="","",$F280*(1+$C$4)+($Q280+$R280)*(1+$C$5))</f>
        <v/>
      </c>
      <c r="T280" s="33">
        <f>IF($A280="","",$S280*(1+$C$6))</f>
        <v/>
      </c>
      <c r="U280" s="18">
        <f>IF($A280="","",$T280*$C280)</f>
        <v/>
      </c>
      <c r="V280" s="18">
        <f>IF($A280="","",$S280*$C280)</f>
        <v/>
      </c>
      <c r="W280" s="28">
        <f>IF($A280="","",IF(N(Auftrag!$AO280)&gt;0,"nicht vollständig eingeplant",IF($D280=0,"kein Schnittplan oder Preis",IF($H280="","keine Schneiddaten",IF(AND(Auftrag!$AF280&lt;&gt;"",Auftrag!$AG280=""),"Gewinde ungeprüft","")))))</f>
        <v/>
      </c>
      <c r="X280" s="18">
        <f>IF($A280="","",$F280*$C280)</f>
        <v/>
      </c>
      <c r="Y280" s="18">
        <f>IF($A280="","",$Q280*$C280)</f>
        <v/>
      </c>
    </row>
    <row r="281">
      <c r="A281" s="25">
        <f>IF(Auftrag!$D281="","",Auftrag!$A281)</f>
        <v/>
      </c>
      <c r="B281" s="25">
        <f>IF($A281="","",Auftrag!$B281)</f>
        <v/>
      </c>
      <c r="C281" s="15">
        <f>IF($A281="","",N(Auftrag!$G281))</f>
        <v/>
      </c>
      <c r="D281" s="18">
        <f>IF($A281="","",SUMIFS(Schnittplan!$R$5:$R$1004,Schnittplan!$B$5:$B$1004,Auftrag!$D281,Schnittplan!$C$5:$C$1004,Auftrag!$E281,Schnittplan!$D$5:$D$1004,Auftrag!$Q281))</f>
        <v/>
      </c>
      <c r="E281" s="32">
        <f>IF($A281="","",IFERROR(N(Auftrag!$P281)/SUMIFS(Auftrag!$P$13:$P$512,Auftrag!$D$13:$D$512,Auftrag!$D281,Auftrag!$E$13:$E$512,Auftrag!$E281,Auftrag!$Q$13:$Q$512,Auftrag!$Q281),0))</f>
        <v/>
      </c>
      <c r="F281" s="33">
        <f>IF($A281="","",IF($C281=0,0,$D281*$E281/$C281))</f>
        <v/>
      </c>
      <c r="G281" s="34">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5">
        <f>IF($A281="","",IF($H281="","",60*((N(Auftrag!$H281)-N(Auftrag!$AI281)-N(Auftrag!$AK281))/$H281+N(Auftrag!$AI281)/$J281+N(Auftrag!$AK281)/$I281+N(Auftrag!$AD281)/$K281)+N(Auftrag!$I281)*$L281))</f>
        <v/>
      </c>
      <c r="N281" s="35">
        <f>IF($A281="","",IF(OR($H281="",$C281=0),0,(60*SUMIFS(Stangenbelegung!$K$5:$K$10004,Stangenbelegung!$E$5:$E$10004,ROW())/$H281+SUMIFS(Stangenbelegung!$L$5:$L$10004,Stangenbelegung!$E$5:$E$10004,ROW())*$L281)/$C281))</f>
        <v/>
      </c>
      <c r="O281" s="35">
        <f>IF($A281="","",IF($M281="","",MAX(0,$M281-$N281)))</f>
        <v/>
      </c>
      <c r="P281" s="35">
        <f>IF($A281="","",IFERROR(SUMPRODUCT(--("0"&amp;TRIM(RIGHT(SUBSTITUTE(LEFT(";"&amp;SUBSTITUTE(UPPER(Auftrag!$AG281)," ","")&amp;";"&amp;"X"&amp;UPPER(Gewinde!$A$5:$A$54)&amp;";",SEARCH("X"&amp;UPPER(Gewinde!$A$5:$A$54)&amp;";",";"&amp;SUBSTITUTE(UPPER(Auftrag!$AG281)," ","")&amp;";"&amp;"X"&amp;UPPER(Gewinde!$A$5:$A$54)&amp;";")-1),";",REPT(" ",50)),50))),Gewinde!$C$5:$C$54),0))</f>
        <v/>
      </c>
      <c r="Q281" s="33">
        <f>IF($A281="","",(N($O281)+$P281)/3600*N(Auftrag!$H$8))</f>
        <v/>
      </c>
      <c r="R281" s="33">
        <f>IF($A281="","",IF($F$8=0,0,$F$7/$F$8))</f>
        <v/>
      </c>
      <c r="S281" s="33">
        <f>IF($A281="","",$F281*(1+$C$4)+($Q281+$R281)*(1+$C$5))</f>
        <v/>
      </c>
      <c r="T281" s="33">
        <f>IF($A281="","",$S281*(1+$C$6))</f>
        <v/>
      </c>
      <c r="U281" s="18">
        <f>IF($A281="","",$T281*$C281)</f>
        <v/>
      </c>
      <c r="V281" s="18">
        <f>IF($A281="","",$S281*$C281)</f>
        <v/>
      </c>
      <c r="W281" s="28">
        <f>IF($A281="","",IF(N(Auftrag!$AO281)&gt;0,"nicht vollständig eingeplant",IF($D281=0,"kein Schnittplan oder Preis",IF($H281="","keine Schneiddaten",IF(AND(Auftrag!$AF281&lt;&gt;"",Auftrag!$AG281=""),"Gewinde ungeprüft","")))))</f>
        <v/>
      </c>
      <c r="X281" s="18">
        <f>IF($A281="","",$F281*$C281)</f>
        <v/>
      </c>
      <c r="Y281" s="18">
        <f>IF($A281="","",$Q281*$C281)</f>
        <v/>
      </c>
    </row>
    <row r="282">
      <c r="A282" s="25">
        <f>IF(Auftrag!$D282="","",Auftrag!$A282)</f>
        <v/>
      </c>
      <c r="B282" s="25">
        <f>IF($A282="","",Auftrag!$B282)</f>
        <v/>
      </c>
      <c r="C282" s="15">
        <f>IF($A282="","",N(Auftrag!$G282))</f>
        <v/>
      </c>
      <c r="D282" s="18">
        <f>IF($A282="","",SUMIFS(Schnittplan!$R$5:$R$1004,Schnittplan!$B$5:$B$1004,Auftrag!$D282,Schnittplan!$C$5:$C$1004,Auftrag!$E282,Schnittplan!$D$5:$D$1004,Auftrag!$Q282))</f>
        <v/>
      </c>
      <c r="E282" s="32">
        <f>IF($A282="","",IFERROR(N(Auftrag!$P282)/SUMIFS(Auftrag!$P$13:$P$512,Auftrag!$D$13:$D$512,Auftrag!$D282,Auftrag!$E$13:$E$512,Auftrag!$E282,Auftrag!$Q$13:$Q$512,Auftrag!$Q282),0))</f>
        <v/>
      </c>
      <c r="F282" s="33">
        <f>IF($A282="","",IF($C282=0,0,$D282*$E282/$C282))</f>
        <v/>
      </c>
      <c r="G282" s="34">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5">
        <f>IF($A282="","",IF($H282="","",60*((N(Auftrag!$H282)-N(Auftrag!$AI282)-N(Auftrag!$AK282))/$H282+N(Auftrag!$AI282)/$J282+N(Auftrag!$AK282)/$I282+N(Auftrag!$AD282)/$K282)+N(Auftrag!$I282)*$L282))</f>
        <v/>
      </c>
      <c r="N282" s="35">
        <f>IF($A282="","",IF(OR($H282="",$C282=0),0,(60*SUMIFS(Stangenbelegung!$K$5:$K$10004,Stangenbelegung!$E$5:$E$10004,ROW())/$H282+SUMIFS(Stangenbelegung!$L$5:$L$10004,Stangenbelegung!$E$5:$E$10004,ROW())*$L282)/$C282))</f>
        <v/>
      </c>
      <c r="O282" s="35">
        <f>IF($A282="","",IF($M282="","",MAX(0,$M282-$N282)))</f>
        <v/>
      </c>
      <c r="P282" s="35">
        <f>IF($A282="","",IFERROR(SUMPRODUCT(--("0"&amp;TRIM(RIGHT(SUBSTITUTE(LEFT(";"&amp;SUBSTITUTE(UPPER(Auftrag!$AG282)," ","")&amp;";"&amp;"X"&amp;UPPER(Gewinde!$A$5:$A$54)&amp;";",SEARCH("X"&amp;UPPER(Gewinde!$A$5:$A$54)&amp;";",";"&amp;SUBSTITUTE(UPPER(Auftrag!$AG282)," ","")&amp;";"&amp;"X"&amp;UPPER(Gewinde!$A$5:$A$54)&amp;";")-1),";",REPT(" ",50)),50))),Gewinde!$C$5:$C$54),0))</f>
        <v/>
      </c>
      <c r="Q282" s="33">
        <f>IF($A282="","",(N($O282)+$P282)/3600*N(Auftrag!$H$8))</f>
        <v/>
      </c>
      <c r="R282" s="33">
        <f>IF($A282="","",IF($F$8=0,0,$F$7/$F$8))</f>
        <v/>
      </c>
      <c r="S282" s="33">
        <f>IF($A282="","",$F282*(1+$C$4)+($Q282+$R282)*(1+$C$5))</f>
        <v/>
      </c>
      <c r="T282" s="33">
        <f>IF($A282="","",$S282*(1+$C$6))</f>
        <v/>
      </c>
      <c r="U282" s="18">
        <f>IF($A282="","",$T282*$C282)</f>
        <v/>
      </c>
      <c r="V282" s="18">
        <f>IF($A282="","",$S282*$C282)</f>
        <v/>
      </c>
      <c r="W282" s="28">
        <f>IF($A282="","",IF(N(Auftrag!$AO282)&gt;0,"nicht vollständig eingeplant",IF($D282=0,"kein Schnittplan oder Preis",IF($H282="","keine Schneiddaten",IF(AND(Auftrag!$AF282&lt;&gt;"",Auftrag!$AG282=""),"Gewinde ungeprüft","")))))</f>
        <v/>
      </c>
      <c r="X282" s="18">
        <f>IF($A282="","",$F282*$C282)</f>
        <v/>
      </c>
      <c r="Y282" s="18">
        <f>IF($A282="","",$Q282*$C282)</f>
        <v/>
      </c>
    </row>
    <row r="283">
      <c r="A283" s="25">
        <f>IF(Auftrag!$D283="","",Auftrag!$A283)</f>
        <v/>
      </c>
      <c r="B283" s="25">
        <f>IF($A283="","",Auftrag!$B283)</f>
        <v/>
      </c>
      <c r="C283" s="15">
        <f>IF($A283="","",N(Auftrag!$G283))</f>
        <v/>
      </c>
      <c r="D283" s="18">
        <f>IF($A283="","",SUMIFS(Schnittplan!$R$5:$R$1004,Schnittplan!$B$5:$B$1004,Auftrag!$D283,Schnittplan!$C$5:$C$1004,Auftrag!$E283,Schnittplan!$D$5:$D$1004,Auftrag!$Q283))</f>
        <v/>
      </c>
      <c r="E283" s="32">
        <f>IF($A283="","",IFERROR(N(Auftrag!$P283)/SUMIFS(Auftrag!$P$13:$P$512,Auftrag!$D$13:$D$512,Auftrag!$D283,Auftrag!$E$13:$E$512,Auftrag!$E283,Auftrag!$Q$13:$Q$512,Auftrag!$Q283),0))</f>
        <v/>
      </c>
      <c r="F283" s="33">
        <f>IF($A283="","",IF($C283=0,0,$D283*$E283/$C283))</f>
        <v/>
      </c>
      <c r="G283" s="34">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5">
        <f>IF($A283="","",IF($H283="","",60*((N(Auftrag!$H283)-N(Auftrag!$AI283)-N(Auftrag!$AK283))/$H283+N(Auftrag!$AI283)/$J283+N(Auftrag!$AK283)/$I283+N(Auftrag!$AD283)/$K283)+N(Auftrag!$I283)*$L283))</f>
        <v/>
      </c>
      <c r="N283" s="35">
        <f>IF($A283="","",IF(OR($H283="",$C283=0),0,(60*SUMIFS(Stangenbelegung!$K$5:$K$10004,Stangenbelegung!$E$5:$E$10004,ROW())/$H283+SUMIFS(Stangenbelegung!$L$5:$L$10004,Stangenbelegung!$E$5:$E$10004,ROW())*$L283)/$C283))</f>
        <v/>
      </c>
      <c r="O283" s="35">
        <f>IF($A283="","",IF($M283="","",MAX(0,$M283-$N283)))</f>
        <v/>
      </c>
      <c r="P283" s="35">
        <f>IF($A283="","",IFERROR(SUMPRODUCT(--("0"&amp;TRIM(RIGHT(SUBSTITUTE(LEFT(";"&amp;SUBSTITUTE(UPPER(Auftrag!$AG283)," ","")&amp;";"&amp;"X"&amp;UPPER(Gewinde!$A$5:$A$54)&amp;";",SEARCH("X"&amp;UPPER(Gewinde!$A$5:$A$54)&amp;";",";"&amp;SUBSTITUTE(UPPER(Auftrag!$AG283)," ","")&amp;";"&amp;"X"&amp;UPPER(Gewinde!$A$5:$A$54)&amp;";")-1),";",REPT(" ",50)),50))),Gewinde!$C$5:$C$54),0))</f>
        <v/>
      </c>
      <c r="Q283" s="33">
        <f>IF($A283="","",(N($O283)+$P283)/3600*N(Auftrag!$H$8))</f>
        <v/>
      </c>
      <c r="R283" s="33">
        <f>IF($A283="","",IF($F$8=0,0,$F$7/$F$8))</f>
        <v/>
      </c>
      <c r="S283" s="33">
        <f>IF($A283="","",$F283*(1+$C$4)+($Q283+$R283)*(1+$C$5))</f>
        <v/>
      </c>
      <c r="T283" s="33">
        <f>IF($A283="","",$S283*(1+$C$6))</f>
        <v/>
      </c>
      <c r="U283" s="18">
        <f>IF($A283="","",$T283*$C283)</f>
        <v/>
      </c>
      <c r="V283" s="18">
        <f>IF($A283="","",$S283*$C283)</f>
        <v/>
      </c>
      <c r="W283" s="28">
        <f>IF($A283="","",IF(N(Auftrag!$AO283)&gt;0,"nicht vollständig eingeplant",IF($D283=0,"kein Schnittplan oder Preis",IF($H283="","keine Schneiddaten",IF(AND(Auftrag!$AF283&lt;&gt;"",Auftrag!$AG283=""),"Gewinde ungeprüft","")))))</f>
        <v/>
      </c>
      <c r="X283" s="18">
        <f>IF($A283="","",$F283*$C283)</f>
        <v/>
      </c>
      <c r="Y283" s="18">
        <f>IF($A283="","",$Q283*$C283)</f>
        <v/>
      </c>
    </row>
    <row r="284">
      <c r="A284" s="25">
        <f>IF(Auftrag!$D284="","",Auftrag!$A284)</f>
        <v/>
      </c>
      <c r="B284" s="25">
        <f>IF($A284="","",Auftrag!$B284)</f>
        <v/>
      </c>
      <c r="C284" s="15">
        <f>IF($A284="","",N(Auftrag!$G284))</f>
        <v/>
      </c>
      <c r="D284" s="18">
        <f>IF($A284="","",SUMIFS(Schnittplan!$R$5:$R$1004,Schnittplan!$B$5:$B$1004,Auftrag!$D284,Schnittplan!$C$5:$C$1004,Auftrag!$E284,Schnittplan!$D$5:$D$1004,Auftrag!$Q284))</f>
        <v/>
      </c>
      <c r="E284" s="32">
        <f>IF($A284="","",IFERROR(N(Auftrag!$P284)/SUMIFS(Auftrag!$P$13:$P$512,Auftrag!$D$13:$D$512,Auftrag!$D284,Auftrag!$E$13:$E$512,Auftrag!$E284,Auftrag!$Q$13:$Q$512,Auftrag!$Q284),0))</f>
        <v/>
      </c>
      <c r="F284" s="33">
        <f>IF($A284="","",IF($C284=0,0,$D284*$E284/$C284))</f>
        <v/>
      </c>
      <c r="G284" s="34">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5">
        <f>IF($A284="","",IF($H284="","",60*((N(Auftrag!$H284)-N(Auftrag!$AI284)-N(Auftrag!$AK284))/$H284+N(Auftrag!$AI284)/$J284+N(Auftrag!$AK284)/$I284+N(Auftrag!$AD284)/$K284)+N(Auftrag!$I284)*$L284))</f>
        <v/>
      </c>
      <c r="N284" s="35">
        <f>IF($A284="","",IF(OR($H284="",$C284=0),0,(60*SUMIFS(Stangenbelegung!$K$5:$K$10004,Stangenbelegung!$E$5:$E$10004,ROW())/$H284+SUMIFS(Stangenbelegung!$L$5:$L$10004,Stangenbelegung!$E$5:$E$10004,ROW())*$L284)/$C284))</f>
        <v/>
      </c>
      <c r="O284" s="35">
        <f>IF($A284="","",IF($M284="","",MAX(0,$M284-$N284)))</f>
        <v/>
      </c>
      <c r="P284" s="35">
        <f>IF($A284="","",IFERROR(SUMPRODUCT(--("0"&amp;TRIM(RIGHT(SUBSTITUTE(LEFT(";"&amp;SUBSTITUTE(UPPER(Auftrag!$AG284)," ","")&amp;";"&amp;"X"&amp;UPPER(Gewinde!$A$5:$A$54)&amp;";",SEARCH("X"&amp;UPPER(Gewinde!$A$5:$A$54)&amp;";",";"&amp;SUBSTITUTE(UPPER(Auftrag!$AG284)," ","")&amp;";"&amp;"X"&amp;UPPER(Gewinde!$A$5:$A$54)&amp;";")-1),";",REPT(" ",50)),50))),Gewinde!$C$5:$C$54),0))</f>
        <v/>
      </c>
      <c r="Q284" s="33">
        <f>IF($A284="","",(N($O284)+$P284)/3600*N(Auftrag!$H$8))</f>
        <v/>
      </c>
      <c r="R284" s="33">
        <f>IF($A284="","",IF($F$8=0,0,$F$7/$F$8))</f>
        <v/>
      </c>
      <c r="S284" s="33">
        <f>IF($A284="","",$F284*(1+$C$4)+($Q284+$R284)*(1+$C$5))</f>
        <v/>
      </c>
      <c r="T284" s="33">
        <f>IF($A284="","",$S284*(1+$C$6))</f>
        <v/>
      </c>
      <c r="U284" s="18">
        <f>IF($A284="","",$T284*$C284)</f>
        <v/>
      </c>
      <c r="V284" s="18">
        <f>IF($A284="","",$S284*$C284)</f>
        <v/>
      </c>
      <c r="W284" s="28">
        <f>IF($A284="","",IF(N(Auftrag!$AO284)&gt;0,"nicht vollständig eingeplant",IF($D284=0,"kein Schnittplan oder Preis",IF($H284="","keine Schneiddaten",IF(AND(Auftrag!$AF284&lt;&gt;"",Auftrag!$AG284=""),"Gewinde ungeprüft","")))))</f>
        <v/>
      </c>
      <c r="X284" s="18">
        <f>IF($A284="","",$F284*$C284)</f>
        <v/>
      </c>
      <c r="Y284" s="18">
        <f>IF($A284="","",$Q284*$C284)</f>
        <v/>
      </c>
    </row>
    <row r="285">
      <c r="A285" s="25">
        <f>IF(Auftrag!$D285="","",Auftrag!$A285)</f>
        <v/>
      </c>
      <c r="B285" s="25">
        <f>IF($A285="","",Auftrag!$B285)</f>
        <v/>
      </c>
      <c r="C285" s="15">
        <f>IF($A285="","",N(Auftrag!$G285))</f>
        <v/>
      </c>
      <c r="D285" s="18">
        <f>IF($A285="","",SUMIFS(Schnittplan!$R$5:$R$1004,Schnittplan!$B$5:$B$1004,Auftrag!$D285,Schnittplan!$C$5:$C$1004,Auftrag!$E285,Schnittplan!$D$5:$D$1004,Auftrag!$Q285))</f>
        <v/>
      </c>
      <c r="E285" s="32">
        <f>IF($A285="","",IFERROR(N(Auftrag!$P285)/SUMIFS(Auftrag!$P$13:$P$512,Auftrag!$D$13:$D$512,Auftrag!$D285,Auftrag!$E$13:$E$512,Auftrag!$E285,Auftrag!$Q$13:$Q$512,Auftrag!$Q285),0))</f>
        <v/>
      </c>
      <c r="F285" s="33">
        <f>IF($A285="","",IF($C285=0,0,$D285*$E285/$C285))</f>
        <v/>
      </c>
      <c r="G285" s="34">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5">
        <f>IF($A285="","",IF($H285="","",60*((N(Auftrag!$H285)-N(Auftrag!$AI285)-N(Auftrag!$AK285))/$H285+N(Auftrag!$AI285)/$J285+N(Auftrag!$AK285)/$I285+N(Auftrag!$AD285)/$K285)+N(Auftrag!$I285)*$L285))</f>
        <v/>
      </c>
      <c r="N285" s="35">
        <f>IF($A285="","",IF(OR($H285="",$C285=0),0,(60*SUMIFS(Stangenbelegung!$K$5:$K$10004,Stangenbelegung!$E$5:$E$10004,ROW())/$H285+SUMIFS(Stangenbelegung!$L$5:$L$10004,Stangenbelegung!$E$5:$E$10004,ROW())*$L285)/$C285))</f>
        <v/>
      </c>
      <c r="O285" s="35">
        <f>IF($A285="","",IF($M285="","",MAX(0,$M285-$N285)))</f>
        <v/>
      </c>
      <c r="P285" s="35">
        <f>IF($A285="","",IFERROR(SUMPRODUCT(--("0"&amp;TRIM(RIGHT(SUBSTITUTE(LEFT(";"&amp;SUBSTITUTE(UPPER(Auftrag!$AG285)," ","")&amp;";"&amp;"X"&amp;UPPER(Gewinde!$A$5:$A$54)&amp;";",SEARCH("X"&amp;UPPER(Gewinde!$A$5:$A$54)&amp;";",";"&amp;SUBSTITUTE(UPPER(Auftrag!$AG285)," ","")&amp;";"&amp;"X"&amp;UPPER(Gewinde!$A$5:$A$54)&amp;";")-1),";",REPT(" ",50)),50))),Gewinde!$C$5:$C$54),0))</f>
        <v/>
      </c>
      <c r="Q285" s="33">
        <f>IF($A285="","",(N($O285)+$P285)/3600*N(Auftrag!$H$8))</f>
        <v/>
      </c>
      <c r="R285" s="33">
        <f>IF($A285="","",IF($F$8=0,0,$F$7/$F$8))</f>
        <v/>
      </c>
      <c r="S285" s="33">
        <f>IF($A285="","",$F285*(1+$C$4)+($Q285+$R285)*(1+$C$5))</f>
        <v/>
      </c>
      <c r="T285" s="33">
        <f>IF($A285="","",$S285*(1+$C$6))</f>
        <v/>
      </c>
      <c r="U285" s="18">
        <f>IF($A285="","",$T285*$C285)</f>
        <v/>
      </c>
      <c r="V285" s="18">
        <f>IF($A285="","",$S285*$C285)</f>
        <v/>
      </c>
      <c r="W285" s="28">
        <f>IF($A285="","",IF(N(Auftrag!$AO285)&gt;0,"nicht vollständig eingeplant",IF($D285=0,"kein Schnittplan oder Preis",IF($H285="","keine Schneiddaten",IF(AND(Auftrag!$AF285&lt;&gt;"",Auftrag!$AG285=""),"Gewinde ungeprüft","")))))</f>
        <v/>
      </c>
      <c r="X285" s="18">
        <f>IF($A285="","",$F285*$C285)</f>
        <v/>
      </c>
      <c r="Y285" s="18">
        <f>IF($A285="","",$Q285*$C285)</f>
        <v/>
      </c>
    </row>
    <row r="286">
      <c r="A286" s="25">
        <f>IF(Auftrag!$D286="","",Auftrag!$A286)</f>
        <v/>
      </c>
      <c r="B286" s="25">
        <f>IF($A286="","",Auftrag!$B286)</f>
        <v/>
      </c>
      <c r="C286" s="15">
        <f>IF($A286="","",N(Auftrag!$G286))</f>
        <v/>
      </c>
      <c r="D286" s="18">
        <f>IF($A286="","",SUMIFS(Schnittplan!$R$5:$R$1004,Schnittplan!$B$5:$B$1004,Auftrag!$D286,Schnittplan!$C$5:$C$1004,Auftrag!$E286,Schnittplan!$D$5:$D$1004,Auftrag!$Q286))</f>
        <v/>
      </c>
      <c r="E286" s="32">
        <f>IF($A286="","",IFERROR(N(Auftrag!$P286)/SUMIFS(Auftrag!$P$13:$P$512,Auftrag!$D$13:$D$512,Auftrag!$D286,Auftrag!$E$13:$E$512,Auftrag!$E286,Auftrag!$Q$13:$Q$512,Auftrag!$Q286),0))</f>
        <v/>
      </c>
      <c r="F286" s="33">
        <f>IF($A286="","",IF($C286=0,0,$D286*$E286/$C286))</f>
        <v/>
      </c>
      <c r="G286" s="34">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5">
        <f>IF($A286="","",IF($H286="","",60*((N(Auftrag!$H286)-N(Auftrag!$AI286)-N(Auftrag!$AK286))/$H286+N(Auftrag!$AI286)/$J286+N(Auftrag!$AK286)/$I286+N(Auftrag!$AD286)/$K286)+N(Auftrag!$I286)*$L286))</f>
        <v/>
      </c>
      <c r="N286" s="35">
        <f>IF($A286="","",IF(OR($H286="",$C286=0),0,(60*SUMIFS(Stangenbelegung!$K$5:$K$10004,Stangenbelegung!$E$5:$E$10004,ROW())/$H286+SUMIFS(Stangenbelegung!$L$5:$L$10004,Stangenbelegung!$E$5:$E$10004,ROW())*$L286)/$C286))</f>
        <v/>
      </c>
      <c r="O286" s="35">
        <f>IF($A286="","",IF($M286="","",MAX(0,$M286-$N286)))</f>
        <v/>
      </c>
      <c r="P286" s="35">
        <f>IF($A286="","",IFERROR(SUMPRODUCT(--("0"&amp;TRIM(RIGHT(SUBSTITUTE(LEFT(";"&amp;SUBSTITUTE(UPPER(Auftrag!$AG286)," ","")&amp;";"&amp;"X"&amp;UPPER(Gewinde!$A$5:$A$54)&amp;";",SEARCH("X"&amp;UPPER(Gewinde!$A$5:$A$54)&amp;";",";"&amp;SUBSTITUTE(UPPER(Auftrag!$AG286)," ","")&amp;";"&amp;"X"&amp;UPPER(Gewinde!$A$5:$A$54)&amp;";")-1),";",REPT(" ",50)),50))),Gewinde!$C$5:$C$54),0))</f>
        <v/>
      </c>
      <c r="Q286" s="33">
        <f>IF($A286="","",(N($O286)+$P286)/3600*N(Auftrag!$H$8))</f>
        <v/>
      </c>
      <c r="R286" s="33">
        <f>IF($A286="","",IF($F$8=0,0,$F$7/$F$8))</f>
        <v/>
      </c>
      <c r="S286" s="33">
        <f>IF($A286="","",$F286*(1+$C$4)+($Q286+$R286)*(1+$C$5))</f>
        <v/>
      </c>
      <c r="T286" s="33">
        <f>IF($A286="","",$S286*(1+$C$6))</f>
        <v/>
      </c>
      <c r="U286" s="18">
        <f>IF($A286="","",$T286*$C286)</f>
        <v/>
      </c>
      <c r="V286" s="18">
        <f>IF($A286="","",$S286*$C286)</f>
        <v/>
      </c>
      <c r="W286" s="28">
        <f>IF($A286="","",IF(N(Auftrag!$AO286)&gt;0,"nicht vollständig eingeplant",IF($D286=0,"kein Schnittplan oder Preis",IF($H286="","keine Schneiddaten",IF(AND(Auftrag!$AF286&lt;&gt;"",Auftrag!$AG286=""),"Gewinde ungeprüft","")))))</f>
        <v/>
      </c>
      <c r="X286" s="18">
        <f>IF($A286="","",$F286*$C286)</f>
        <v/>
      </c>
      <c r="Y286" s="18">
        <f>IF($A286="","",$Q286*$C286)</f>
        <v/>
      </c>
    </row>
    <row r="287">
      <c r="A287" s="25">
        <f>IF(Auftrag!$D287="","",Auftrag!$A287)</f>
        <v/>
      </c>
      <c r="B287" s="25">
        <f>IF($A287="","",Auftrag!$B287)</f>
        <v/>
      </c>
      <c r="C287" s="15">
        <f>IF($A287="","",N(Auftrag!$G287))</f>
        <v/>
      </c>
      <c r="D287" s="18">
        <f>IF($A287="","",SUMIFS(Schnittplan!$R$5:$R$1004,Schnittplan!$B$5:$B$1004,Auftrag!$D287,Schnittplan!$C$5:$C$1004,Auftrag!$E287,Schnittplan!$D$5:$D$1004,Auftrag!$Q287))</f>
        <v/>
      </c>
      <c r="E287" s="32">
        <f>IF($A287="","",IFERROR(N(Auftrag!$P287)/SUMIFS(Auftrag!$P$13:$P$512,Auftrag!$D$13:$D$512,Auftrag!$D287,Auftrag!$E$13:$E$512,Auftrag!$E287,Auftrag!$Q$13:$Q$512,Auftrag!$Q287),0))</f>
        <v/>
      </c>
      <c r="F287" s="33">
        <f>IF($A287="","",IF($C287=0,0,$D287*$E287/$C287))</f>
        <v/>
      </c>
      <c r="G287" s="34">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5">
        <f>IF($A287="","",IF($H287="","",60*((N(Auftrag!$H287)-N(Auftrag!$AI287)-N(Auftrag!$AK287))/$H287+N(Auftrag!$AI287)/$J287+N(Auftrag!$AK287)/$I287+N(Auftrag!$AD287)/$K287)+N(Auftrag!$I287)*$L287))</f>
        <v/>
      </c>
      <c r="N287" s="35">
        <f>IF($A287="","",IF(OR($H287="",$C287=0),0,(60*SUMIFS(Stangenbelegung!$K$5:$K$10004,Stangenbelegung!$E$5:$E$10004,ROW())/$H287+SUMIFS(Stangenbelegung!$L$5:$L$10004,Stangenbelegung!$E$5:$E$10004,ROW())*$L287)/$C287))</f>
        <v/>
      </c>
      <c r="O287" s="35">
        <f>IF($A287="","",IF($M287="","",MAX(0,$M287-$N287)))</f>
        <v/>
      </c>
      <c r="P287" s="35">
        <f>IF($A287="","",IFERROR(SUMPRODUCT(--("0"&amp;TRIM(RIGHT(SUBSTITUTE(LEFT(";"&amp;SUBSTITUTE(UPPER(Auftrag!$AG287)," ","")&amp;";"&amp;"X"&amp;UPPER(Gewinde!$A$5:$A$54)&amp;";",SEARCH("X"&amp;UPPER(Gewinde!$A$5:$A$54)&amp;";",";"&amp;SUBSTITUTE(UPPER(Auftrag!$AG287)," ","")&amp;";"&amp;"X"&amp;UPPER(Gewinde!$A$5:$A$54)&amp;";")-1),";",REPT(" ",50)),50))),Gewinde!$C$5:$C$54),0))</f>
        <v/>
      </c>
      <c r="Q287" s="33">
        <f>IF($A287="","",(N($O287)+$P287)/3600*N(Auftrag!$H$8))</f>
        <v/>
      </c>
      <c r="R287" s="33">
        <f>IF($A287="","",IF($F$8=0,0,$F$7/$F$8))</f>
        <v/>
      </c>
      <c r="S287" s="33">
        <f>IF($A287="","",$F287*(1+$C$4)+($Q287+$R287)*(1+$C$5))</f>
        <v/>
      </c>
      <c r="T287" s="33">
        <f>IF($A287="","",$S287*(1+$C$6))</f>
        <v/>
      </c>
      <c r="U287" s="18">
        <f>IF($A287="","",$T287*$C287)</f>
        <v/>
      </c>
      <c r="V287" s="18">
        <f>IF($A287="","",$S287*$C287)</f>
        <v/>
      </c>
      <c r="W287" s="28">
        <f>IF($A287="","",IF(N(Auftrag!$AO287)&gt;0,"nicht vollständig eingeplant",IF($D287=0,"kein Schnittplan oder Preis",IF($H287="","keine Schneiddaten",IF(AND(Auftrag!$AF287&lt;&gt;"",Auftrag!$AG287=""),"Gewinde ungeprüft","")))))</f>
        <v/>
      </c>
      <c r="X287" s="18">
        <f>IF($A287="","",$F287*$C287)</f>
        <v/>
      </c>
      <c r="Y287" s="18">
        <f>IF($A287="","",$Q287*$C287)</f>
        <v/>
      </c>
    </row>
    <row r="288">
      <c r="A288" s="25">
        <f>IF(Auftrag!$D288="","",Auftrag!$A288)</f>
        <v/>
      </c>
      <c r="B288" s="25">
        <f>IF($A288="","",Auftrag!$B288)</f>
        <v/>
      </c>
      <c r="C288" s="15">
        <f>IF($A288="","",N(Auftrag!$G288))</f>
        <v/>
      </c>
      <c r="D288" s="18">
        <f>IF($A288="","",SUMIFS(Schnittplan!$R$5:$R$1004,Schnittplan!$B$5:$B$1004,Auftrag!$D288,Schnittplan!$C$5:$C$1004,Auftrag!$E288,Schnittplan!$D$5:$D$1004,Auftrag!$Q288))</f>
        <v/>
      </c>
      <c r="E288" s="32">
        <f>IF($A288="","",IFERROR(N(Auftrag!$P288)/SUMIFS(Auftrag!$P$13:$P$512,Auftrag!$D$13:$D$512,Auftrag!$D288,Auftrag!$E$13:$E$512,Auftrag!$E288,Auftrag!$Q$13:$Q$512,Auftrag!$Q288),0))</f>
        <v/>
      </c>
      <c r="F288" s="33">
        <f>IF($A288="","",IF($C288=0,0,$D288*$E288/$C288))</f>
        <v/>
      </c>
      <c r="G288" s="34">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5">
        <f>IF($A288="","",IF($H288="","",60*((N(Auftrag!$H288)-N(Auftrag!$AI288)-N(Auftrag!$AK288))/$H288+N(Auftrag!$AI288)/$J288+N(Auftrag!$AK288)/$I288+N(Auftrag!$AD288)/$K288)+N(Auftrag!$I288)*$L288))</f>
        <v/>
      </c>
      <c r="N288" s="35">
        <f>IF($A288="","",IF(OR($H288="",$C288=0),0,(60*SUMIFS(Stangenbelegung!$K$5:$K$10004,Stangenbelegung!$E$5:$E$10004,ROW())/$H288+SUMIFS(Stangenbelegung!$L$5:$L$10004,Stangenbelegung!$E$5:$E$10004,ROW())*$L288)/$C288))</f>
        <v/>
      </c>
      <c r="O288" s="35">
        <f>IF($A288="","",IF($M288="","",MAX(0,$M288-$N288)))</f>
        <v/>
      </c>
      <c r="P288" s="35">
        <f>IF($A288="","",IFERROR(SUMPRODUCT(--("0"&amp;TRIM(RIGHT(SUBSTITUTE(LEFT(";"&amp;SUBSTITUTE(UPPER(Auftrag!$AG288)," ","")&amp;";"&amp;"X"&amp;UPPER(Gewinde!$A$5:$A$54)&amp;";",SEARCH("X"&amp;UPPER(Gewinde!$A$5:$A$54)&amp;";",";"&amp;SUBSTITUTE(UPPER(Auftrag!$AG288)," ","")&amp;";"&amp;"X"&amp;UPPER(Gewinde!$A$5:$A$54)&amp;";")-1),";",REPT(" ",50)),50))),Gewinde!$C$5:$C$54),0))</f>
        <v/>
      </c>
      <c r="Q288" s="33">
        <f>IF($A288="","",(N($O288)+$P288)/3600*N(Auftrag!$H$8))</f>
        <v/>
      </c>
      <c r="R288" s="33">
        <f>IF($A288="","",IF($F$8=0,0,$F$7/$F$8))</f>
        <v/>
      </c>
      <c r="S288" s="33">
        <f>IF($A288="","",$F288*(1+$C$4)+($Q288+$R288)*(1+$C$5))</f>
        <v/>
      </c>
      <c r="T288" s="33">
        <f>IF($A288="","",$S288*(1+$C$6))</f>
        <v/>
      </c>
      <c r="U288" s="18">
        <f>IF($A288="","",$T288*$C288)</f>
        <v/>
      </c>
      <c r="V288" s="18">
        <f>IF($A288="","",$S288*$C288)</f>
        <v/>
      </c>
      <c r="W288" s="28">
        <f>IF($A288="","",IF(N(Auftrag!$AO288)&gt;0,"nicht vollständig eingeplant",IF($D288=0,"kein Schnittplan oder Preis",IF($H288="","keine Schneiddaten",IF(AND(Auftrag!$AF288&lt;&gt;"",Auftrag!$AG288=""),"Gewinde ungeprüft","")))))</f>
        <v/>
      </c>
      <c r="X288" s="18">
        <f>IF($A288="","",$F288*$C288)</f>
        <v/>
      </c>
      <c r="Y288" s="18">
        <f>IF($A288="","",$Q288*$C288)</f>
        <v/>
      </c>
    </row>
    <row r="289">
      <c r="A289" s="25">
        <f>IF(Auftrag!$D289="","",Auftrag!$A289)</f>
        <v/>
      </c>
      <c r="B289" s="25">
        <f>IF($A289="","",Auftrag!$B289)</f>
        <v/>
      </c>
      <c r="C289" s="15">
        <f>IF($A289="","",N(Auftrag!$G289))</f>
        <v/>
      </c>
      <c r="D289" s="18">
        <f>IF($A289="","",SUMIFS(Schnittplan!$R$5:$R$1004,Schnittplan!$B$5:$B$1004,Auftrag!$D289,Schnittplan!$C$5:$C$1004,Auftrag!$E289,Schnittplan!$D$5:$D$1004,Auftrag!$Q289))</f>
        <v/>
      </c>
      <c r="E289" s="32">
        <f>IF($A289="","",IFERROR(N(Auftrag!$P289)/SUMIFS(Auftrag!$P$13:$P$512,Auftrag!$D$13:$D$512,Auftrag!$D289,Auftrag!$E$13:$E$512,Auftrag!$E289,Auftrag!$Q$13:$Q$512,Auftrag!$Q289),0))</f>
        <v/>
      </c>
      <c r="F289" s="33">
        <f>IF($A289="","",IF($C289=0,0,$D289*$E289/$C289))</f>
        <v/>
      </c>
      <c r="G289" s="34">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5">
        <f>IF($A289="","",IF($H289="","",60*((N(Auftrag!$H289)-N(Auftrag!$AI289)-N(Auftrag!$AK289))/$H289+N(Auftrag!$AI289)/$J289+N(Auftrag!$AK289)/$I289+N(Auftrag!$AD289)/$K289)+N(Auftrag!$I289)*$L289))</f>
        <v/>
      </c>
      <c r="N289" s="35">
        <f>IF($A289="","",IF(OR($H289="",$C289=0),0,(60*SUMIFS(Stangenbelegung!$K$5:$K$10004,Stangenbelegung!$E$5:$E$10004,ROW())/$H289+SUMIFS(Stangenbelegung!$L$5:$L$10004,Stangenbelegung!$E$5:$E$10004,ROW())*$L289)/$C289))</f>
        <v/>
      </c>
      <c r="O289" s="35">
        <f>IF($A289="","",IF($M289="","",MAX(0,$M289-$N289)))</f>
        <v/>
      </c>
      <c r="P289" s="35">
        <f>IF($A289="","",IFERROR(SUMPRODUCT(--("0"&amp;TRIM(RIGHT(SUBSTITUTE(LEFT(";"&amp;SUBSTITUTE(UPPER(Auftrag!$AG289)," ","")&amp;";"&amp;"X"&amp;UPPER(Gewinde!$A$5:$A$54)&amp;";",SEARCH("X"&amp;UPPER(Gewinde!$A$5:$A$54)&amp;";",";"&amp;SUBSTITUTE(UPPER(Auftrag!$AG289)," ","")&amp;";"&amp;"X"&amp;UPPER(Gewinde!$A$5:$A$54)&amp;";")-1),";",REPT(" ",50)),50))),Gewinde!$C$5:$C$54),0))</f>
        <v/>
      </c>
      <c r="Q289" s="33">
        <f>IF($A289="","",(N($O289)+$P289)/3600*N(Auftrag!$H$8))</f>
        <v/>
      </c>
      <c r="R289" s="33">
        <f>IF($A289="","",IF($F$8=0,0,$F$7/$F$8))</f>
        <v/>
      </c>
      <c r="S289" s="33">
        <f>IF($A289="","",$F289*(1+$C$4)+($Q289+$R289)*(1+$C$5))</f>
        <v/>
      </c>
      <c r="T289" s="33">
        <f>IF($A289="","",$S289*(1+$C$6))</f>
        <v/>
      </c>
      <c r="U289" s="18">
        <f>IF($A289="","",$T289*$C289)</f>
        <v/>
      </c>
      <c r="V289" s="18">
        <f>IF($A289="","",$S289*$C289)</f>
        <v/>
      </c>
      <c r="W289" s="28">
        <f>IF($A289="","",IF(N(Auftrag!$AO289)&gt;0,"nicht vollständig eingeplant",IF($D289=0,"kein Schnittplan oder Preis",IF($H289="","keine Schneiddaten",IF(AND(Auftrag!$AF289&lt;&gt;"",Auftrag!$AG289=""),"Gewinde ungeprüft","")))))</f>
        <v/>
      </c>
      <c r="X289" s="18">
        <f>IF($A289="","",$F289*$C289)</f>
        <v/>
      </c>
      <c r="Y289" s="18">
        <f>IF($A289="","",$Q289*$C289)</f>
        <v/>
      </c>
    </row>
    <row r="290">
      <c r="A290" s="25">
        <f>IF(Auftrag!$D290="","",Auftrag!$A290)</f>
        <v/>
      </c>
      <c r="B290" s="25">
        <f>IF($A290="","",Auftrag!$B290)</f>
        <v/>
      </c>
      <c r="C290" s="15">
        <f>IF($A290="","",N(Auftrag!$G290))</f>
        <v/>
      </c>
      <c r="D290" s="18">
        <f>IF($A290="","",SUMIFS(Schnittplan!$R$5:$R$1004,Schnittplan!$B$5:$B$1004,Auftrag!$D290,Schnittplan!$C$5:$C$1004,Auftrag!$E290,Schnittplan!$D$5:$D$1004,Auftrag!$Q290))</f>
        <v/>
      </c>
      <c r="E290" s="32">
        <f>IF($A290="","",IFERROR(N(Auftrag!$P290)/SUMIFS(Auftrag!$P$13:$P$512,Auftrag!$D$13:$D$512,Auftrag!$D290,Auftrag!$E$13:$E$512,Auftrag!$E290,Auftrag!$Q$13:$Q$512,Auftrag!$Q290),0))</f>
        <v/>
      </c>
      <c r="F290" s="33">
        <f>IF($A290="","",IF($C290=0,0,$D290*$E290/$C290))</f>
        <v/>
      </c>
      <c r="G290" s="34">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5">
        <f>IF($A290="","",IF($H290="","",60*((N(Auftrag!$H290)-N(Auftrag!$AI290)-N(Auftrag!$AK290))/$H290+N(Auftrag!$AI290)/$J290+N(Auftrag!$AK290)/$I290+N(Auftrag!$AD290)/$K290)+N(Auftrag!$I290)*$L290))</f>
        <v/>
      </c>
      <c r="N290" s="35">
        <f>IF($A290="","",IF(OR($H290="",$C290=0),0,(60*SUMIFS(Stangenbelegung!$K$5:$K$10004,Stangenbelegung!$E$5:$E$10004,ROW())/$H290+SUMIFS(Stangenbelegung!$L$5:$L$10004,Stangenbelegung!$E$5:$E$10004,ROW())*$L290)/$C290))</f>
        <v/>
      </c>
      <c r="O290" s="35">
        <f>IF($A290="","",IF($M290="","",MAX(0,$M290-$N290)))</f>
        <v/>
      </c>
      <c r="P290" s="35">
        <f>IF($A290="","",IFERROR(SUMPRODUCT(--("0"&amp;TRIM(RIGHT(SUBSTITUTE(LEFT(";"&amp;SUBSTITUTE(UPPER(Auftrag!$AG290)," ","")&amp;";"&amp;"X"&amp;UPPER(Gewinde!$A$5:$A$54)&amp;";",SEARCH("X"&amp;UPPER(Gewinde!$A$5:$A$54)&amp;";",";"&amp;SUBSTITUTE(UPPER(Auftrag!$AG290)," ","")&amp;";"&amp;"X"&amp;UPPER(Gewinde!$A$5:$A$54)&amp;";")-1),";",REPT(" ",50)),50))),Gewinde!$C$5:$C$54),0))</f>
        <v/>
      </c>
      <c r="Q290" s="33">
        <f>IF($A290="","",(N($O290)+$P290)/3600*N(Auftrag!$H$8))</f>
        <v/>
      </c>
      <c r="R290" s="33">
        <f>IF($A290="","",IF($F$8=0,0,$F$7/$F$8))</f>
        <v/>
      </c>
      <c r="S290" s="33">
        <f>IF($A290="","",$F290*(1+$C$4)+($Q290+$R290)*(1+$C$5))</f>
        <v/>
      </c>
      <c r="T290" s="33">
        <f>IF($A290="","",$S290*(1+$C$6))</f>
        <v/>
      </c>
      <c r="U290" s="18">
        <f>IF($A290="","",$T290*$C290)</f>
        <v/>
      </c>
      <c r="V290" s="18">
        <f>IF($A290="","",$S290*$C290)</f>
        <v/>
      </c>
      <c r="W290" s="28">
        <f>IF($A290="","",IF(N(Auftrag!$AO290)&gt;0,"nicht vollständig eingeplant",IF($D290=0,"kein Schnittplan oder Preis",IF($H290="","keine Schneiddaten",IF(AND(Auftrag!$AF290&lt;&gt;"",Auftrag!$AG290=""),"Gewinde ungeprüft","")))))</f>
        <v/>
      </c>
      <c r="X290" s="18">
        <f>IF($A290="","",$F290*$C290)</f>
        <v/>
      </c>
      <c r="Y290" s="18">
        <f>IF($A290="","",$Q290*$C290)</f>
        <v/>
      </c>
    </row>
    <row r="291">
      <c r="A291" s="25">
        <f>IF(Auftrag!$D291="","",Auftrag!$A291)</f>
        <v/>
      </c>
      <c r="B291" s="25">
        <f>IF($A291="","",Auftrag!$B291)</f>
        <v/>
      </c>
      <c r="C291" s="15">
        <f>IF($A291="","",N(Auftrag!$G291))</f>
        <v/>
      </c>
      <c r="D291" s="18">
        <f>IF($A291="","",SUMIFS(Schnittplan!$R$5:$R$1004,Schnittplan!$B$5:$B$1004,Auftrag!$D291,Schnittplan!$C$5:$C$1004,Auftrag!$E291,Schnittplan!$D$5:$D$1004,Auftrag!$Q291))</f>
        <v/>
      </c>
      <c r="E291" s="32">
        <f>IF($A291="","",IFERROR(N(Auftrag!$P291)/SUMIFS(Auftrag!$P$13:$P$512,Auftrag!$D$13:$D$512,Auftrag!$D291,Auftrag!$E$13:$E$512,Auftrag!$E291,Auftrag!$Q$13:$Q$512,Auftrag!$Q291),0))</f>
        <v/>
      </c>
      <c r="F291" s="33">
        <f>IF($A291="","",IF($C291=0,0,$D291*$E291/$C291))</f>
        <v/>
      </c>
      <c r="G291" s="34">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5">
        <f>IF($A291="","",IF($H291="","",60*((N(Auftrag!$H291)-N(Auftrag!$AI291)-N(Auftrag!$AK291))/$H291+N(Auftrag!$AI291)/$J291+N(Auftrag!$AK291)/$I291+N(Auftrag!$AD291)/$K291)+N(Auftrag!$I291)*$L291))</f>
        <v/>
      </c>
      <c r="N291" s="35">
        <f>IF($A291="","",IF(OR($H291="",$C291=0),0,(60*SUMIFS(Stangenbelegung!$K$5:$K$10004,Stangenbelegung!$E$5:$E$10004,ROW())/$H291+SUMIFS(Stangenbelegung!$L$5:$L$10004,Stangenbelegung!$E$5:$E$10004,ROW())*$L291)/$C291))</f>
        <v/>
      </c>
      <c r="O291" s="35">
        <f>IF($A291="","",IF($M291="","",MAX(0,$M291-$N291)))</f>
        <v/>
      </c>
      <c r="P291" s="35">
        <f>IF($A291="","",IFERROR(SUMPRODUCT(--("0"&amp;TRIM(RIGHT(SUBSTITUTE(LEFT(";"&amp;SUBSTITUTE(UPPER(Auftrag!$AG291)," ","")&amp;";"&amp;"X"&amp;UPPER(Gewinde!$A$5:$A$54)&amp;";",SEARCH("X"&amp;UPPER(Gewinde!$A$5:$A$54)&amp;";",";"&amp;SUBSTITUTE(UPPER(Auftrag!$AG291)," ","")&amp;";"&amp;"X"&amp;UPPER(Gewinde!$A$5:$A$54)&amp;";")-1),";",REPT(" ",50)),50))),Gewinde!$C$5:$C$54),0))</f>
        <v/>
      </c>
      <c r="Q291" s="33">
        <f>IF($A291="","",(N($O291)+$P291)/3600*N(Auftrag!$H$8))</f>
        <v/>
      </c>
      <c r="R291" s="33">
        <f>IF($A291="","",IF($F$8=0,0,$F$7/$F$8))</f>
        <v/>
      </c>
      <c r="S291" s="33">
        <f>IF($A291="","",$F291*(1+$C$4)+($Q291+$R291)*(1+$C$5))</f>
        <v/>
      </c>
      <c r="T291" s="33">
        <f>IF($A291="","",$S291*(1+$C$6))</f>
        <v/>
      </c>
      <c r="U291" s="18">
        <f>IF($A291="","",$T291*$C291)</f>
        <v/>
      </c>
      <c r="V291" s="18">
        <f>IF($A291="","",$S291*$C291)</f>
        <v/>
      </c>
      <c r="W291" s="28">
        <f>IF($A291="","",IF(N(Auftrag!$AO291)&gt;0,"nicht vollständig eingeplant",IF($D291=0,"kein Schnittplan oder Preis",IF($H291="","keine Schneiddaten",IF(AND(Auftrag!$AF291&lt;&gt;"",Auftrag!$AG291=""),"Gewinde ungeprüft","")))))</f>
        <v/>
      </c>
      <c r="X291" s="18">
        <f>IF($A291="","",$F291*$C291)</f>
        <v/>
      </c>
      <c r="Y291" s="18">
        <f>IF($A291="","",$Q291*$C291)</f>
        <v/>
      </c>
    </row>
    <row r="292">
      <c r="A292" s="25">
        <f>IF(Auftrag!$D292="","",Auftrag!$A292)</f>
        <v/>
      </c>
      <c r="B292" s="25">
        <f>IF($A292="","",Auftrag!$B292)</f>
        <v/>
      </c>
      <c r="C292" s="15">
        <f>IF($A292="","",N(Auftrag!$G292))</f>
        <v/>
      </c>
      <c r="D292" s="18">
        <f>IF($A292="","",SUMIFS(Schnittplan!$R$5:$R$1004,Schnittplan!$B$5:$B$1004,Auftrag!$D292,Schnittplan!$C$5:$C$1004,Auftrag!$E292,Schnittplan!$D$5:$D$1004,Auftrag!$Q292))</f>
        <v/>
      </c>
      <c r="E292" s="32">
        <f>IF($A292="","",IFERROR(N(Auftrag!$P292)/SUMIFS(Auftrag!$P$13:$P$512,Auftrag!$D$13:$D$512,Auftrag!$D292,Auftrag!$E$13:$E$512,Auftrag!$E292,Auftrag!$Q$13:$Q$512,Auftrag!$Q292),0))</f>
        <v/>
      </c>
      <c r="F292" s="33">
        <f>IF($A292="","",IF($C292=0,0,$D292*$E292/$C292))</f>
        <v/>
      </c>
      <c r="G292" s="34">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5">
        <f>IF($A292="","",IF($H292="","",60*((N(Auftrag!$H292)-N(Auftrag!$AI292)-N(Auftrag!$AK292))/$H292+N(Auftrag!$AI292)/$J292+N(Auftrag!$AK292)/$I292+N(Auftrag!$AD292)/$K292)+N(Auftrag!$I292)*$L292))</f>
        <v/>
      </c>
      <c r="N292" s="35">
        <f>IF($A292="","",IF(OR($H292="",$C292=0),0,(60*SUMIFS(Stangenbelegung!$K$5:$K$10004,Stangenbelegung!$E$5:$E$10004,ROW())/$H292+SUMIFS(Stangenbelegung!$L$5:$L$10004,Stangenbelegung!$E$5:$E$10004,ROW())*$L292)/$C292))</f>
        <v/>
      </c>
      <c r="O292" s="35">
        <f>IF($A292="","",IF($M292="","",MAX(0,$M292-$N292)))</f>
        <v/>
      </c>
      <c r="P292" s="35">
        <f>IF($A292="","",IFERROR(SUMPRODUCT(--("0"&amp;TRIM(RIGHT(SUBSTITUTE(LEFT(";"&amp;SUBSTITUTE(UPPER(Auftrag!$AG292)," ","")&amp;";"&amp;"X"&amp;UPPER(Gewinde!$A$5:$A$54)&amp;";",SEARCH("X"&amp;UPPER(Gewinde!$A$5:$A$54)&amp;";",";"&amp;SUBSTITUTE(UPPER(Auftrag!$AG292)," ","")&amp;";"&amp;"X"&amp;UPPER(Gewinde!$A$5:$A$54)&amp;";")-1),";",REPT(" ",50)),50))),Gewinde!$C$5:$C$54),0))</f>
        <v/>
      </c>
      <c r="Q292" s="33">
        <f>IF($A292="","",(N($O292)+$P292)/3600*N(Auftrag!$H$8))</f>
        <v/>
      </c>
      <c r="R292" s="33">
        <f>IF($A292="","",IF($F$8=0,0,$F$7/$F$8))</f>
        <v/>
      </c>
      <c r="S292" s="33">
        <f>IF($A292="","",$F292*(1+$C$4)+($Q292+$R292)*(1+$C$5))</f>
        <v/>
      </c>
      <c r="T292" s="33">
        <f>IF($A292="","",$S292*(1+$C$6))</f>
        <v/>
      </c>
      <c r="U292" s="18">
        <f>IF($A292="","",$T292*$C292)</f>
        <v/>
      </c>
      <c r="V292" s="18">
        <f>IF($A292="","",$S292*$C292)</f>
        <v/>
      </c>
      <c r="W292" s="28">
        <f>IF($A292="","",IF(N(Auftrag!$AO292)&gt;0,"nicht vollständig eingeplant",IF($D292=0,"kein Schnittplan oder Preis",IF($H292="","keine Schneiddaten",IF(AND(Auftrag!$AF292&lt;&gt;"",Auftrag!$AG292=""),"Gewinde ungeprüft","")))))</f>
        <v/>
      </c>
      <c r="X292" s="18">
        <f>IF($A292="","",$F292*$C292)</f>
        <v/>
      </c>
      <c r="Y292" s="18">
        <f>IF($A292="","",$Q292*$C292)</f>
        <v/>
      </c>
    </row>
    <row r="293">
      <c r="A293" s="25">
        <f>IF(Auftrag!$D293="","",Auftrag!$A293)</f>
        <v/>
      </c>
      <c r="B293" s="25">
        <f>IF($A293="","",Auftrag!$B293)</f>
        <v/>
      </c>
      <c r="C293" s="15">
        <f>IF($A293="","",N(Auftrag!$G293))</f>
        <v/>
      </c>
      <c r="D293" s="18">
        <f>IF($A293="","",SUMIFS(Schnittplan!$R$5:$R$1004,Schnittplan!$B$5:$B$1004,Auftrag!$D293,Schnittplan!$C$5:$C$1004,Auftrag!$E293,Schnittplan!$D$5:$D$1004,Auftrag!$Q293))</f>
        <v/>
      </c>
      <c r="E293" s="32">
        <f>IF($A293="","",IFERROR(N(Auftrag!$P293)/SUMIFS(Auftrag!$P$13:$P$512,Auftrag!$D$13:$D$512,Auftrag!$D293,Auftrag!$E$13:$E$512,Auftrag!$E293,Auftrag!$Q$13:$Q$512,Auftrag!$Q293),0))</f>
        <v/>
      </c>
      <c r="F293" s="33">
        <f>IF($A293="","",IF($C293=0,0,$D293*$E293/$C293))</f>
        <v/>
      </c>
      <c r="G293" s="34">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5">
        <f>IF($A293="","",IF($H293="","",60*((N(Auftrag!$H293)-N(Auftrag!$AI293)-N(Auftrag!$AK293))/$H293+N(Auftrag!$AI293)/$J293+N(Auftrag!$AK293)/$I293+N(Auftrag!$AD293)/$K293)+N(Auftrag!$I293)*$L293))</f>
        <v/>
      </c>
      <c r="N293" s="35">
        <f>IF($A293="","",IF(OR($H293="",$C293=0),0,(60*SUMIFS(Stangenbelegung!$K$5:$K$10004,Stangenbelegung!$E$5:$E$10004,ROW())/$H293+SUMIFS(Stangenbelegung!$L$5:$L$10004,Stangenbelegung!$E$5:$E$10004,ROW())*$L293)/$C293))</f>
        <v/>
      </c>
      <c r="O293" s="35">
        <f>IF($A293="","",IF($M293="","",MAX(0,$M293-$N293)))</f>
        <v/>
      </c>
      <c r="P293" s="35">
        <f>IF($A293="","",IFERROR(SUMPRODUCT(--("0"&amp;TRIM(RIGHT(SUBSTITUTE(LEFT(";"&amp;SUBSTITUTE(UPPER(Auftrag!$AG293)," ","")&amp;";"&amp;"X"&amp;UPPER(Gewinde!$A$5:$A$54)&amp;";",SEARCH("X"&amp;UPPER(Gewinde!$A$5:$A$54)&amp;";",";"&amp;SUBSTITUTE(UPPER(Auftrag!$AG293)," ","")&amp;";"&amp;"X"&amp;UPPER(Gewinde!$A$5:$A$54)&amp;";")-1),";",REPT(" ",50)),50))),Gewinde!$C$5:$C$54),0))</f>
        <v/>
      </c>
      <c r="Q293" s="33">
        <f>IF($A293="","",(N($O293)+$P293)/3600*N(Auftrag!$H$8))</f>
        <v/>
      </c>
      <c r="R293" s="33">
        <f>IF($A293="","",IF($F$8=0,0,$F$7/$F$8))</f>
        <v/>
      </c>
      <c r="S293" s="33">
        <f>IF($A293="","",$F293*(1+$C$4)+($Q293+$R293)*(1+$C$5))</f>
        <v/>
      </c>
      <c r="T293" s="33">
        <f>IF($A293="","",$S293*(1+$C$6))</f>
        <v/>
      </c>
      <c r="U293" s="18">
        <f>IF($A293="","",$T293*$C293)</f>
        <v/>
      </c>
      <c r="V293" s="18">
        <f>IF($A293="","",$S293*$C293)</f>
        <v/>
      </c>
      <c r="W293" s="28">
        <f>IF($A293="","",IF(N(Auftrag!$AO293)&gt;0,"nicht vollständig eingeplant",IF($D293=0,"kein Schnittplan oder Preis",IF($H293="","keine Schneiddaten",IF(AND(Auftrag!$AF293&lt;&gt;"",Auftrag!$AG293=""),"Gewinde ungeprüft","")))))</f>
        <v/>
      </c>
      <c r="X293" s="18">
        <f>IF($A293="","",$F293*$C293)</f>
        <v/>
      </c>
      <c r="Y293" s="18">
        <f>IF($A293="","",$Q293*$C293)</f>
        <v/>
      </c>
    </row>
    <row r="294">
      <c r="A294" s="25">
        <f>IF(Auftrag!$D294="","",Auftrag!$A294)</f>
        <v/>
      </c>
      <c r="B294" s="25">
        <f>IF($A294="","",Auftrag!$B294)</f>
        <v/>
      </c>
      <c r="C294" s="15">
        <f>IF($A294="","",N(Auftrag!$G294))</f>
        <v/>
      </c>
      <c r="D294" s="18">
        <f>IF($A294="","",SUMIFS(Schnittplan!$R$5:$R$1004,Schnittplan!$B$5:$B$1004,Auftrag!$D294,Schnittplan!$C$5:$C$1004,Auftrag!$E294,Schnittplan!$D$5:$D$1004,Auftrag!$Q294))</f>
        <v/>
      </c>
      <c r="E294" s="32">
        <f>IF($A294="","",IFERROR(N(Auftrag!$P294)/SUMIFS(Auftrag!$P$13:$P$512,Auftrag!$D$13:$D$512,Auftrag!$D294,Auftrag!$E$13:$E$512,Auftrag!$E294,Auftrag!$Q$13:$Q$512,Auftrag!$Q294),0))</f>
        <v/>
      </c>
      <c r="F294" s="33">
        <f>IF($A294="","",IF($C294=0,0,$D294*$E294/$C294))</f>
        <v/>
      </c>
      <c r="G294" s="34">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5">
        <f>IF($A294="","",IF($H294="","",60*((N(Auftrag!$H294)-N(Auftrag!$AI294)-N(Auftrag!$AK294))/$H294+N(Auftrag!$AI294)/$J294+N(Auftrag!$AK294)/$I294+N(Auftrag!$AD294)/$K294)+N(Auftrag!$I294)*$L294))</f>
        <v/>
      </c>
      <c r="N294" s="35">
        <f>IF($A294="","",IF(OR($H294="",$C294=0),0,(60*SUMIFS(Stangenbelegung!$K$5:$K$10004,Stangenbelegung!$E$5:$E$10004,ROW())/$H294+SUMIFS(Stangenbelegung!$L$5:$L$10004,Stangenbelegung!$E$5:$E$10004,ROW())*$L294)/$C294))</f>
        <v/>
      </c>
      <c r="O294" s="35">
        <f>IF($A294="","",IF($M294="","",MAX(0,$M294-$N294)))</f>
        <v/>
      </c>
      <c r="P294" s="35">
        <f>IF($A294="","",IFERROR(SUMPRODUCT(--("0"&amp;TRIM(RIGHT(SUBSTITUTE(LEFT(";"&amp;SUBSTITUTE(UPPER(Auftrag!$AG294)," ","")&amp;";"&amp;"X"&amp;UPPER(Gewinde!$A$5:$A$54)&amp;";",SEARCH("X"&amp;UPPER(Gewinde!$A$5:$A$54)&amp;";",";"&amp;SUBSTITUTE(UPPER(Auftrag!$AG294)," ","")&amp;";"&amp;"X"&amp;UPPER(Gewinde!$A$5:$A$54)&amp;";")-1),";",REPT(" ",50)),50))),Gewinde!$C$5:$C$54),0))</f>
        <v/>
      </c>
      <c r="Q294" s="33">
        <f>IF($A294="","",(N($O294)+$P294)/3600*N(Auftrag!$H$8))</f>
        <v/>
      </c>
      <c r="R294" s="33">
        <f>IF($A294="","",IF($F$8=0,0,$F$7/$F$8))</f>
        <v/>
      </c>
      <c r="S294" s="33">
        <f>IF($A294="","",$F294*(1+$C$4)+($Q294+$R294)*(1+$C$5))</f>
        <v/>
      </c>
      <c r="T294" s="33">
        <f>IF($A294="","",$S294*(1+$C$6))</f>
        <v/>
      </c>
      <c r="U294" s="18">
        <f>IF($A294="","",$T294*$C294)</f>
        <v/>
      </c>
      <c r="V294" s="18">
        <f>IF($A294="","",$S294*$C294)</f>
        <v/>
      </c>
      <c r="W294" s="28">
        <f>IF($A294="","",IF(N(Auftrag!$AO294)&gt;0,"nicht vollständig eingeplant",IF($D294=0,"kein Schnittplan oder Preis",IF($H294="","keine Schneiddaten",IF(AND(Auftrag!$AF294&lt;&gt;"",Auftrag!$AG294=""),"Gewinde ungeprüft","")))))</f>
        <v/>
      </c>
      <c r="X294" s="18">
        <f>IF($A294="","",$F294*$C294)</f>
        <v/>
      </c>
      <c r="Y294" s="18">
        <f>IF($A294="","",$Q294*$C294)</f>
        <v/>
      </c>
    </row>
    <row r="295">
      <c r="A295" s="25">
        <f>IF(Auftrag!$D295="","",Auftrag!$A295)</f>
        <v/>
      </c>
      <c r="B295" s="25">
        <f>IF($A295="","",Auftrag!$B295)</f>
        <v/>
      </c>
      <c r="C295" s="15">
        <f>IF($A295="","",N(Auftrag!$G295))</f>
        <v/>
      </c>
      <c r="D295" s="18">
        <f>IF($A295="","",SUMIFS(Schnittplan!$R$5:$R$1004,Schnittplan!$B$5:$B$1004,Auftrag!$D295,Schnittplan!$C$5:$C$1004,Auftrag!$E295,Schnittplan!$D$5:$D$1004,Auftrag!$Q295))</f>
        <v/>
      </c>
      <c r="E295" s="32">
        <f>IF($A295="","",IFERROR(N(Auftrag!$P295)/SUMIFS(Auftrag!$P$13:$P$512,Auftrag!$D$13:$D$512,Auftrag!$D295,Auftrag!$E$13:$E$512,Auftrag!$E295,Auftrag!$Q$13:$Q$512,Auftrag!$Q295),0))</f>
        <v/>
      </c>
      <c r="F295" s="33">
        <f>IF($A295="","",IF($C295=0,0,$D295*$E295/$C295))</f>
        <v/>
      </c>
      <c r="G295" s="34">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5">
        <f>IF($A295="","",IF($H295="","",60*((N(Auftrag!$H295)-N(Auftrag!$AI295)-N(Auftrag!$AK295))/$H295+N(Auftrag!$AI295)/$J295+N(Auftrag!$AK295)/$I295+N(Auftrag!$AD295)/$K295)+N(Auftrag!$I295)*$L295))</f>
        <v/>
      </c>
      <c r="N295" s="35">
        <f>IF($A295="","",IF(OR($H295="",$C295=0),0,(60*SUMIFS(Stangenbelegung!$K$5:$K$10004,Stangenbelegung!$E$5:$E$10004,ROW())/$H295+SUMIFS(Stangenbelegung!$L$5:$L$10004,Stangenbelegung!$E$5:$E$10004,ROW())*$L295)/$C295))</f>
        <v/>
      </c>
      <c r="O295" s="35">
        <f>IF($A295="","",IF($M295="","",MAX(0,$M295-$N295)))</f>
        <v/>
      </c>
      <c r="P295" s="35">
        <f>IF($A295="","",IFERROR(SUMPRODUCT(--("0"&amp;TRIM(RIGHT(SUBSTITUTE(LEFT(";"&amp;SUBSTITUTE(UPPER(Auftrag!$AG295)," ","")&amp;";"&amp;"X"&amp;UPPER(Gewinde!$A$5:$A$54)&amp;";",SEARCH("X"&amp;UPPER(Gewinde!$A$5:$A$54)&amp;";",";"&amp;SUBSTITUTE(UPPER(Auftrag!$AG295)," ","")&amp;";"&amp;"X"&amp;UPPER(Gewinde!$A$5:$A$54)&amp;";")-1),";",REPT(" ",50)),50))),Gewinde!$C$5:$C$54),0))</f>
        <v/>
      </c>
      <c r="Q295" s="33">
        <f>IF($A295="","",(N($O295)+$P295)/3600*N(Auftrag!$H$8))</f>
        <v/>
      </c>
      <c r="R295" s="33">
        <f>IF($A295="","",IF($F$8=0,0,$F$7/$F$8))</f>
        <v/>
      </c>
      <c r="S295" s="33">
        <f>IF($A295="","",$F295*(1+$C$4)+($Q295+$R295)*(1+$C$5))</f>
        <v/>
      </c>
      <c r="T295" s="33">
        <f>IF($A295="","",$S295*(1+$C$6))</f>
        <v/>
      </c>
      <c r="U295" s="18">
        <f>IF($A295="","",$T295*$C295)</f>
        <v/>
      </c>
      <c r="V295" s="18">
        <f>IF($A295="","",$S295*$C295)</f>
        <v/>
      </c>
      <c r="W295" s="28">
        <f>IF($A295="","",IF(N(Auftrag!$AO295)&gt;0,"nicht vollständig eingeplant",IF($D295=0,"kein Schnittplan oder Preis",IF($H295="","keine Schneiddaten",IF(AND(Auftrag!$AF295&lt;&gt;"",Auftrag!$AG295=""),"Gewinde ungeprüft","")))))</f>
        <v/>
      </c>
      <c r="X295" s="18">
        <f>IF($A295="","",$F295*$C295)</f>
        <v/>
      </c>
      <c r="Y295" s="18">
        <f>IF($A295="","",$Q295*$C295)</f>
        <v/>
      </c>
    </row>
    <row r="296">
      <c r="A296" s="25">
        <f>IF(Auftrag!$D296="","",Auftrag!$A296)</f>
        <v/>
      </c>
      <c r="B296" s="25">
        <f>IF($A296="","",Auftrag!$B296)</f>
        <v/>
      </c>
      <c r="C296" s="15">
        <f>IF($A296="","",N(Auftrag!$G296))</f>
        <v/>
      </c>
      <c r="D296" s="18">
        <f>IF($A296="","",SUMIFS(Schnittplan!$R$5:$R$1004,Schnittplan!$B$5:$B$1004,Auftrag!$D296,Schnittplan!$C$5:$C$1004,Auftrag!$E296,Schnittplan!$D$5:$D$1004,Auftrag!$Q296))</f>
        <v/>
      </c>
      <c r="E296" s="32">
        <f>IF($A296="","",IFERROR(N(Auftrag!$P296)/SUMIFS(Auftrag!$P$13:$P$512,Auftrag!$D$13:$D$512,Auftrag!$D296,Auftrag!$E$13:$E$512,Auftrag!$E296,Auftrag!$Q$13:$Q$512,Auftrag!$Q296),0))</f>
        <v/>
      </c>
      <c r="F296" s="33">
        <f>IF($A296="","",IF($C296=0,0,$D296*$E296/$C296))</f>
        <v/>
      </c>
      <c r="G296" s="34">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5">
        <f>IF($A296="","",IF($H296="","",60*((N(Auftrag!$H296)-N(Auftrag!$AI296)-N(Auftrag!$AK296))/$H296+N(Auftrag!$AI296)/$J296+N(Auftrag!$AK296)/$I296+N(Auftrag!$AD296)/$K296)+N(Auftrag!$I296)*$L296))</f>
        <v/>
      </c>
      <c r="N296" s="35">
        <f>IF($A296="","",IF(OR($H296="",$C296=0),0,(60*SUMIFS(Stangenbelegung!$K$5:$K$10004,Stangenbelegung!$E$5:$E$10004,ROW())/$H296+SUMIFS(Stangenbelegung!$L$5:$L$10004,Stangenbelegung!$E$5:$E$10004,ROW())*$L296)/$C296))</f>
        <v/>
      </c>
      <c r="O296" s="35">
        <f>IF($A296="","",IF($M296="","",MAX(0,$M296-$N296)))</f>
        <v/>
      </c>
      <c r="P296" s="35">
        <f>IF($A296="","",IFERROR(SUMPRODUCT(--("0"&amp;TRIM(RIGHT(SUBSTITUTE(LEFT(";"&amp;SUBSTITUTE(UPPER(Auftrag!$AG296)," ","")&amp;";"&amp;"X"&amp;UPPER(Gewinde!$A$5:$A$54)&amp;";",SEARCH("X"&amp;UPPER(Gewinde!$A$5:$A$54)&amp;";",";"&amp;SUBSTITUTE(UPPER(Auftrag!$AG296)," ","")&amp;";"&amp;"X"&amp;UPPER(Gewinde!$A$5:$A$54)&amp;";")-1),";",REPT(" ",50)),50))),Gewinde!$C$5:$C$54),0))</f>
        <v/>
      </c>
      <c r="Q296" s="33">
        <f>IF($A296="","",(N($O296)+$P296)/3600*N(Auftrag!$H$8))</f>
        <v/>
      </c>
      <c r="R296" s="33">
        <f>IF($A296="","",IF($F$8=0,0,$F$7/$F$8))</f>
        <v/>
      </c>
      <c r="S296" s="33">
        <f>IF($A296="","",$F296*(1+$C$4)+($Q296+$R296)*(1+$C$5))</f>
        <v/>
      </c>
      <c r="T296" s="33">
        <f>IF($A296="","",$S296*(1+$C$6))</f>
        <v/>
      </c>
      <c r="U296" s="18">
        <f>IF($A296="","",$T296*$C296)</f>
        <v/>
      </c>
      <c r="V296" s="18">
        <f>IF($A296="","",$S296*$C296)</f>
        <v/>
      </c>
      <c r="W296" s="28">
        <f>IF($A296="","",IF(N(Auftrag!$AO296)&gt;0,"nicht vollständig eingeplant",IF($D296=0,"kein Schnittplan oder Preis",IF($H296="","keine Schneiddaten",IF(AND(Auftrag!$AF296&lt;&gt;"",Auftrag!$AG296=""),"Gewinde ungeprüft","")))))</f>
        <v/>
      </c>
      <c r="X296" s="18">
        <f>IF($A296="","",$F296*$C296)</f>
        <v/>
      </c>
      <c r="Y296" s="18">
        <f>IF($A296="","",$Q296*$C296)</f>
        <v/>
      </c>
    </row>
    <row r="297">
      <c r="A297" s="25">
        <f>IF(Auftrag!$D297="","",Auftrag!$A297)</f>
        <v/>
      </c>
      <c r="B297" s="25">
        <f>IF($A297="","",Auftrag!$B297)</f>
        <v/>
      </c>
      <c r="C297" s="15">
        <f>IF($A297="","",N(Auftrag!$G297))</f>
        <v/>
      </c>
      <c r="D297" s="18">
        <f>IF($A297="","",SUMIFS(Schnittplan!$R$5:$R$1004,Schnittplan!$B$5:$B$1004,Auftrag!$D297,Schnittplan!$C$5:$C$1004,Auftrag!$E297,Schnittplan!$D$5:$D$1004,Auftrag!$Q297))</f>
        <v/>
      </c>
      <c r="E297" s="32">
        <f>IF($A297="","",IFERROR(N(Auftrag!$P297)/SUMIFS(Auftrag!$P$13:$P$512,Auftrag!$D$13:$D$512,Auftrag!$D297,Auftrag!$E$13:$E$512,Auftrag!$E297,Auftrag!$Q$13:$Q$512,Auftrag!$Q297),0))</f>
        <v/>
      </c>
      <c r="F297" s="33">
        <f>IF($A297="","",IF($C297=0,0,$D297*$E297/$C297))</f>
        <v/>
      </c>
      <c r="G297" s="34">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5">
        <f>IF($A297="","",IF($H297="","",60*((N(Auftrag!$H297)-N(Auftrag!$AI297)-N(Auftrag!$AK297))/$H297+N(Auftrag!$AI297)/$J297+N(Auftrag!$AK297)/$I297+N(Auftrag!$AD297)/$K297)+N(Auftrag!$I297)*$L297))</f>
        <v/>
      </c>
      <c r="N297" s="35">
        <f>IF($A297="","",IF(OR($H297="",$C297=0),0,(60*SUMIFS(Stangenbelegung!$K$5:$K$10004,Stangenbelegung!$E$5:$E$10004,ROW())/$H297+SUMIFS(Stangenbelegung!$L$5:$L$10004,Stangenbelegung!$E$5:$E$10004,ROW())*$L297)/$C297))</f>
        <v/>
      </c>
      <c r="O297" s="35">
        <f>IF($A297="","",IF($M297="","",MAX(0,$M297-$N297)))</f>
        <v/>
      </c>
      <c r="P297" s="35">
        <f>IF($A297="","",IFERROR(SUMPRODUCT(--("0"&amp;TRIM(RIGHT(SUBSTITUTE(LEFT(";"&amp;SUBSTITUTE(UPPER(Auftrag!$AG297)," ","")&amp;";"&amp;"X"&amp;UPPER(Gewinde!$A$5:$A$54)&amp;";",SEARCH("X"&amp;UPPER(Gewinde!$A$5:$A$54)&amp;";",";"&amp;SUBSTITUTE(UPPER(Auftrag!$AG297)," ","")&amp;";"&amp;"X"&amp;UPPER(Gewinde!$A$5:$A$54)&amp;";")-1),";",REPT(" ",50)),50))),Gewinde!$C$5:$C$54),0))</f>
        <v/>
      </c>
      <c r="Q297" s="33">
        <f>IF($A297="","",(N($O297)+$P297)/3600*N(Auftrag!$H$8))</f>
        <v/>
      </c>
      <c r="R297" s="33">
        <f>IF($A297="","",IF($F$8=0,0,$F$7/$F$8))</f>
        <v/>
      </c>
      <c r="S297" s="33">
        <f>IF($A297="","",$F297*(1+$C$4)+($Q297+$R297)*(1+$C$5))</f>
        <v/>
      </c>
      <c r="T297" s="33">
        <f>IF($A297="","",$S297*(1+$C$6))</f>
        <v/>
      </c>
      <c r="U297" s="18">
        <f>IF($A297="","",$T297*$C297)</f>
        <v/>
      </c>
      <c r="V297" s="18">
        <f>IF($A297="","",$S297*$C297)</f>
        <v/>
      </c>
      <c r="W297" s="28">
        <f>IF($A297="","",IF(N(Auftrag!$AO297)&gt;0,"nicht vollständig eingeplant",IF($D297=0,"kein Schnittplan oder Preis",IF($H297="","keine Schneiddaten",IF(AND(Auftrag!$AF297&lt;&gt;"",Auftrag!$AG297=""),"Gewinde ungeprüft","")))))</f>
        <v/>
      </c>
      <c r="X297" s="18">
        <f>IF($A297="","",$F297*$C297)</f>
        <v/>
      </c>
      <c r="Y297" s="18">
        <f>IF($A297="","",$Q297*$C297)</f>
        <v/>
      </c>
    </row>
    <row r="298">
      <c r="A298" s="25">
        <f>IF(Auftrag!$D298="","",Auftrag!$A298)</f>
        <v/>
      </c>
      <c r="B298" s="25">
        <f>IF($A298="","",Auftrag!$B298)</f>
        <v/>
      </c>
      <c r="C298" s="15">
        <f>IF($A298="","",N(Auftrag!$G298))</f>
        <v/>
      </c>
      <c r="D298" s="18">
        <f>IF($A298="","",SUMIFS(Schnittplan!$R$5:$R$1004,Schnittplan!$B$5:$B$1004,Auftrag!$D298,Schnittplan!$C$5:$C$1004,Auftrag!$E298,Schnittplan!$D$5:$D$1004,Auftrag!$Q298))</f>
        <v/>
      </c>
      <c r="E298" s="32">
        <f>IF($A298="","",IFERROR(N(Auftrag!$P298)/SUMIFS(Auftrag!$P$13:$P$512,Auftrag!$D$13:$D$512,Auftrag!$D298,Auftrag!$E$13:$E$512,Auftrag!$E298,Auftrag!$Q$13:$Q$512,Auftrag!$Q298),0))</f>
        <v/>
      </c>
      <c r="F298" s="33">
        <f>IF($A298="","",IF($C298=0,0,$D298*$E298/$C298))</f>
        <v/>
      </c>
      <c r="G298" s="34">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5">
        <f>IF($A298="","",IF($H298="","",60*((N(Auftrag!$H298)-N(Auftrag!$AI298)-N(Auftrag!$AK298))/$H298+N(Auftrag!$AI298)/$J298+N(Auftrag!$AK298)/$I298+N(Auftrag!$AD298)/$K298)+N(Auftrag!$I298)*$L298))</f>
        <v/>
      </c>
      <c r="N298" s="35">
        <f>IF($A298="","",IF(OR($H298="",$C298=0),0,(60*SUMIFS(Stangenbelegung!$K$5:$K$10004,Stangenbelegung!$E$5:$E$10004,ROW())/$H298+SUMIFS(Stangenbelegung!$L$5:$L$10004,Stangenbelegung!$E$5:$E$10004,ROW())*$L298)/$C298))</f>
        <v/>
      </c>
      <c r="O298" s="35">
        <f>IF($A298="","",IF($M298="","",MAX(0,$M298-$N298)))</f>
        <v/>
      </c>
      <c r="P298" s="35">
        <f>IF($A298="","",IFERROR(SUMPRODUCT(--("0"&amp;TRIM(RIGHT(SUBSTITUTE(LEFT(";"&amp;SUBSTITUTE(UPPER(Auftrag!$AG298)," ","")&amp;";"&amp;"X"&amp;UPPER(Gewinde!$A$5:$A$54)&amp;";",SEARCH("X"&amp;UPPER(Gewinde!$A$5:$A$54)&amp;";",";"&amp;SUBSTITUTE(UPPER(Auftrag!$AG298)," ","")&amp;";"&amp;"X"&amp;UPPER(Gewinde!$A$5:$A$54)&amp;";")-1),";",REPT(" ",50)),50))),Gewinde!$C$5:$C$54),0))</f>
        <v/>
      </c>
      <c r="Q298" s="33">
        <f>IF($A298="","",(N($O298)+$P298)/3600*N(Auftrag!$H$8))</f>
        <v/>
      </c>
      <c r="R298" s="33">
        <f>IF($A298="","",IF($F$8=0,0,$F$7/$F$8))</f>
        <v/>
      </c>
      <c r="S298" s="33">
        <f>IF($A298="","",$F298*(1+$C$4)+($Q298+$R298)*(1+$C$5))</f>
        <v/>
      </c>
      <c r="T298" s="33">
        <f>IF($A298="","",$S298*(1+$C$6))</f>
        <v/>
      </c>
      <c r="U298" s="18">
        <f>IF($A298="","",$T298*$C298)</f>
        <v/>
      </c>
      <c r="V298" s="18">
        <f>IF($A298="","",$S298*$C298)</f>
        <v/>
      </c>
      <c r="W298" s="28">
        <f>IF($A298="","",IF(N(Auftrag!$AO298)&gt;0,"nicht vollständig eingeplant",IF($D298=0,"kein Schnittplan oder Preis",IF($H298="","keine Schneiddaten",IF(AND(Auftrag!$AF298&lt;&gt;"",Auftrag!$AG298=""),"Gewinde ungeprüft","")))))</f>
        <v/>
      </c>
      <c r="X298" s="18">
        <f>IF($A298="","",$F298*$C298)</f>
        <v/>
      </c>
      <c r="Y298" s="18">
        <f>IF($A298="","",$Q298*$C298)</f>
        <v/>
      </c>
    </row>
    <row r="299">
      <c r="A299" s="25">
        <f>IF(Auftrag!$D299="","",Auftrag!$A299)</f>
        <v/>
      </c>
      <c r="B299" s="25">
        <f>IF($A299="","",Auftrag!$B299)</f>
        <v/>
      </c>
      <c r="C299" s="15">
        <f>IF($A299="","",N(Auftrag!$G299))</f>
        <v/>
      </c>
      <c r="D299" s="18">
        <f>IF($A299="","",SUMIFS(Schnittplan!$R$5:$R$1004,Schnittplan!$B$5:$B$1004,Auftrag!$D299,Schnittplan!$C$5:$C$1004,Auftrag!$E299,Schnittplan!$D$5:$D$1004,Auftrag!$Q299))</f>
        <v/>
      </c>
      <c r="E299" s="32">
        <f>IF($A299="","",IFERROR(N(Auftrag!$P299)/SUMIFS(Auftrag!$P$13:$P$512,Auftrag!$D$13:$D$512,Auftrag!$D299,Auftrag!$E$13:$E$512,Auftrag!$E299,Auftrag!$Q$13:$Q$512,Auftrag!$Q299),0))</f>
        <v/>
      </c>
      <c r="F299" s="33">
        <f>IF($A299="","",IF($C299=0,0,$D299*$E299/$C299))</f>
        <v/>
      </c>
      <c r="G299" s="34">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5">
        <f>IF($A299="","",IF($H299="","",60*((N(Auftrag!$H299)-N(Auftrag!$AI299)-N(Auftrag!$AK299))/$H299+N(Auftrag!$AI299)/$J299+N(Auftrag!$AK299)/$I299+N(Auftrag!$AD299)/$K299)+N(Auftrag!$I299)*$L299))</f>
        <v/>
      </c>
      <c r="N299" s="35">
        <f>IF($A299="","",IF(OR($H299="",$C299=0),0,(60*SUMIFS(Stangenbelegung!$K$5:$K$10004,Stangenbelegung!$E$5:$E$10004,ROW())/$H299+SUMIFS(Stangenbelegung!$L$5:$L$10004,Stangenbelegung!$E$5:$E$10004,ROW())*$L299)/$C299))</f>
        <v/>
      </c>
      <c r="O299" s="35">
        <f>IF($A299="","",IF($M299="","",MAX(0,$M299-$N299)))</f>
        <v/>
      </c>
      <c r="P299" s="35">
        <f>IF($A299="","",IFERROR(SUMPRODUCT(--("0"&amp;TRIM(RIGHT(SUBSTITUTE(LEFT(";"&amp;SUBSTITUTE(UPPER(Auftrag!$AG299)," ","")&amp;";"&amp;"X"&amp;UPPER(Gewinde!$A$5:$A$54)&amp;";",SEARCH("X"&amp;UPPER(Gewinde!$A$5:$A$54)&amp;";",";"&amp;SUBSTITUTE(UPPER(Auftrag!$AG299)," ","")&amp;";"&amp;"X"&amp;UPPER(Gewinde!$A$5:$A$54)&amp;";")-1),";",REPT(" ",50)),50))),Gewinde!$C$5:$C$54),0))</f>
        <v/>
      </c>
      <c r="Q299" s="33">
        <f>IF($A299="","",(N($O299)+$P299)/3600*N(Auftrag!$H$8))</f>
        <v/>
      </c>
      <c r="R299" s="33">
        <f>IF($A299="","",IF($F$8=0,0,$F$7/$F$8))</f>
        <v/>
      </c>
      <c r="S299" s="33">
        <f>IF($A299="","",$F299*(1+$C$4)+($Q299+$R299)*(1+$C$5))</f>
        <v/>
      </c>
      <c r="T299" s="33">
        <f>IF($A299="","",$S299*(1+$C$6))</f>
        <v/>
      </c>
      <c r="U299" s="18">
        <f>IF($A299="","",$T299*$C299)</f>
        <v/>
      </c>
      <c r="V299" s="18">
        <f>IF($A299="","",$S299*$C299)</f>
        <v/>
      </c>
      <c r="W299" s="28">
        <f>IF($A299="","",IF(N(Auftrag!$AO299)&gt;0,"nicht vollständig eingeplant",IF($D299=0,"kein Schnittplan oder Preis",IF($H299="","keine Schneiddaten",IF(AND(Auftrag!$AF299&lt;&gt;"",Auftrag!$AG299=""),"Gewinde ungeprüft","")))))</f>
        <v/>
      </c>
      <c r="X299" s="18">
        <f>IF($A299="","",$F299*$C299)</f>
        <v/>
      </c>
      <c r="Y299" s="18">
        <f>IF($A299="","",$Q299*$C299)</f>
        <v/>
      </c>
    </row>
    <row r="300">
      <c r="A300" s="25">
        <f>IF(Auftrag!$D300="","",Auftrag!$A300)</f>
        <v/>
      </c>
      <c r="B300" s="25">
        <f>IF($A300="","",Auftrag!$B300)</f>
        <v/>
      </c>
      <c r="C300" s="15">
        <f>IF($A300="","",N(Auftrag!$G300))</f>
        <v/>
      </c>
      <c r="D300" s="18">
        <f>IF($A300="","",SUMIFS(Schnittplan!$R$5:$R$1004,Schnittplan!$B$5:$B$1004,Auftrag!$D300,Schnittplan!$C$5:$C$1004,Auftrag!$E300,Schnittplan!$D$5:$D$1004,Auftrag!$Q300))</f>
        <v/>
      </c>
      <c r="E300" s="32">
        <f>IF($A300="","",IFERROR(N(Auftrag!$P300)/SUMIFS(Auftrag!$P$13:$P$512,Auftrag!$D$13:$D$512,Auftrag!$D300,Auftrag!$E$13:$E$512,Auftrag!$E300,Auftrag!$Q$13:$Q$512,Auftrag!$Q300),0))</f>
        <v/>
      </c>
      <c r="F300" s="33">
        <f>IF($A300="","",IF($C300=0,0,$D300*$E300/$C300))</f>
        <v/>
      </c>
      <c r="G300" s="34">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5">
        <f>IF($A300="","",IF($H300="","",60*((N(Auftrag!$H300)-N(Auftrag!$AI300)-N(Auftrag!$AK300))/$H300+N(Auftrag!$AI300)/$J300+N(Auftrag!$AK300)/$I300+N(Auftrag!$AD300)/$K300)+N(Auftrag!$I300)*$L300))</f>
        <v/>
      </c>
      <c r="N300" s="35">
        <f>IF($A300="","",IF(OR($H300="",$C300=0),0,(60*SUMIFS(Stangenbelegung!$K$5:$K$10004,Stangenbelegung!$E$5:$E$10004,ROW())/$H300+SUMIFS(Stangenbelegung!$L$5:$L$10004,Stangenbelegung!$E$5:$E$10004,ROW())*$L300)/$C300))</f>
        <v/>
      </c>
      <c r="O300" s="35">
        <f>IF($A300="","",IF($M300="","",MAX(0,$M300-$N300)))</f>
        <v/>
      </c>
      <c r="P300" s="35">
        <f>IF($A300="","",IFERROR(SUMPRODUCT(--("0"&amp;TRIM(RIGHT(SUBSTITUTE(LEFT(";"&amp;SUBSTITUTE(UPPER(Auftrag!$AG300)," ","")&amp;";"&amp;"X"&amp;UPPER(Gewinde!$A$5:$A$54)&amp;";",SEARCH("X"&amp;UPPER(Gewinde!$A$5:$A$54)&amp;";",";"&amp;SUBSTITUTE(UPPER(Auftrag!$AG300)," ","")&amp;";"&amp;"X"&amp;UPPER(Gewinde!$A$5:$A$54)&amp;";")-1),";",REPT(" ",50)),50))),Gewinde!$C$5:$C$54),0))</f>
        <v/>
      </c>
      <c r="Q300" s="33">
        <f>IF($A300="","",(N($O300)+$P300)/3600*N(Auftrag!$H$8))</f>
        <v/>
      </c>
      <c r="R300" s="33">
        <f>IF($A300="","",IF($F$8=0,0,$F$7/$F$8))</f>
        <v/>
      </c>
      <c r="S300" s="33">
        <f>IF($A300="","",$F300*(1+$C$4)+($Q300+$R300)*(1+$C$5))</f>
        <v/>
      </c>
      <c r="T300" s="33">
        <f>IF($A300="","",$S300*(1+$C$6))</f>
        <v/>
      </c>
      <c r="U300" s="18">
        <f>IF($A300="","",$T300*$C300)</f>
        <v/>
      </c>
      <c r="V300" s="18">
        <f>IF($A300="","",$S300*$C300)</f>
        <v/>
      </c>
      <c r="W300" s="28">
        <f>IF($A300="","",IF(N(Auftrag!$AO300)&gt;0,"nicht vollständig eingeplant",IF($D300=0,"kein Schnittplan oder Preis",IF($H300="","keine Schneiddaten",IF(AND(Auftrag!$AF300&lt;&gt;"",Auftrag!$AG300=""),"Gewinde ungeprüft","")))))</f>
        <v/>
      </c>
      <c r="X300" s="18">
        <f>IF($A300="","",$F300*$C300)</f>
        <v/>
      </c>
      <c r="Y300" s="18">
        <f>IF($A300="","",$Q300*$C300)</f>
        <v/>
      </c>
    </row>
    <row r="301">
      <c r="A301" s="25">
        <f>IF(Auftrag!$D301="","",Auftrag!$A301)</f>
        <v/>
      </c>
      <c r="B301" s="25">
        <f>IF($A301="","",Auftrag!$B301)</f>
        <v/>
      </c>
      <c r="C301" s="15">
        <f>IF($A301="","",N(Auftrag!$G301))</f>
        <v/>
      </c>
      <c r="D301" s="18">
        <f>IF($A301="","",SUMIFS(Schnittplan!$R$5:$R$1004,Schnittplan!$B$5:$B$1004,Auftrag!$D301,Schnittplan!$C$5:$C$1004,Auftrag!$E301,Schnittplan!$D$5:$D$1004,Auftrag!$Q301))</f>
        <v/>
      </c>
      <c r="E301" s="32">
        <f>IF($A301="","",IFERROR(N(Auftrag!$P301)/SUMIFS(Auftrag!$P$13:$P$512,Auftrag!$D$13:$D$512,Auftrag!$D301,Auftrag!$E$13:$E$512,Auftrag!$E301,Auftrag!$Q$13:$Q$512,Auftrag!$Q301),0))</f>
        <v/>
      </c>
      <c r="F301" s="33">
        <f>IF($A301="","",IF($C301=0,0,$D301*$E301/$C301))</f>
        <v/>
      </c>
      <c r="G301" s="34">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5">
        <f>IF($A301="","",IF($H301="","",60*((N(Auftrag!$H301)-N(Auftrag!$AI301)-N(Auftrag!$AK301))/$H301+N(Auftrag!$AI301)/$J301+N(Auftrag!$AK301)/$I301+N(Auftrag!$AD301)/$K301)+N(Auftrag!$I301)*$L301))</f>
        <v/>
      </c>
      <c r="N301" s="35">
        <f>IF($A301="","",IF(OR($H301="",$C301=0),0,(60*SUMIFS(Stangenbelegung!$K$5:$K$10004,Stangenbelegung!$E$5:$E$10004,ROW())/$H301+SUMIFS(Stangenbelegung!$L$5:$L$10004,Stangenbelegung!$E$5:$E$10004,ROW())*$L301)/$C301))</f>
        <v/>
      </c>
      <c r="O301" s="35">
        <f>IF($A301="","",IF($M301="","",MAX(0,$M301-$N301)))</f>
        <v/>
      </c>
      <c r="P301" s="35">
        <f>IF($A301="","",IFERROR(SUMPRODUCT(--("0"&amp;TRIM(RIGHT(SUBSTITUTE(LEFT(";"&amp;SUBSTITUTE(UPPER(Auftrag!$AG301)," ","")&amp;";"&amp;"X"&amp;UPPER(Gewinde!$A$5:$A$54)&amp;";",SEARCH("X"&amp;UPPER(Gewinde!$A$5:$A$54)&amp;";",";"&amp;SUBSTITUTE(UPPER(Auftrag!$AG301)," ","")&amp;";"&amp;"X"&amp;UPPER(Gewinde!$A$5:$A$54)&amp;";")-1),";",REPT(" ",50)),50))),Gewinde!$C$5:$C$54),0))</f>
        <v/>
      </c>
      <c r="Q301" s="33">
        <f>IF($A301="","",(N($O301)+$P301)/3600*N(Auftrag!$H$8))</f>
        <v/>
      </c>
      <c r="R301" s="33">
        <f>IF($A301="","",IF($F$8=0,0,$F$7/$F$8))</f>
        <v/>
      </c>
      <c r="S301" s="33">
        <f>IF($A301="","",$F301*(1+$C$4)+($Q301+$R301)*(1+$C$5))</f>
        <v/>
      </c>
      <c r="T301" s="33">
        <f>IF($A301="","",$S301*(1+$C$6))</f>
        <v/>
      </c>
      <c r="U301" s="18">
        <f>IF($A301="","",$T301*$C301)</f>
        <v/>
      </c>
      <c r="V301" s="18">
        <f>IF($A301="","",$S301*$C301)</f>
        <v/>
      </c>
      <c r="W301" s="28">
        <f>IF($A301="","",IF(N(Auftrag!$AO301)&gt;0,"nicht vollständig eingeplant",IF($D301=0,"kein Schnittplan oder Preis",IF($H301="","keine Schneiddaten",IF(AND(Auftrag!$AF301&lt;&gt;"",Auftrag!$AG301=""),"Gewinde ungeprüft","")))))</f>
        <v/>
      </c>
      <c r="X301" s="18">
        <f>IF($A301="","",$F301*$C301)</f>
        <v/>
      </c>
      <c r="Y301" s="18">
        <f>IF($A301="","",$Q301*$C301)</f>
        <v/>
      </c>
    </row>
    <row r="302">
      <c r="A302" s="25">
        <f>IF(Auftrag!$D302="","",Auftrag!$A302)</f>
        <v/>
      </c>
      <c r="B302" s="25">
        <f>IF($A302="","",Auftrag!$B302)</f>
        <v/>
      </c>
      <c r="C302" s="15">
        <f>IF($A302="","",N(Auftrag!$G302))</f>
        <v/>
      </c>
      <c r="D302" s="18">
        <f>IF($A302="","",SUMIFS(Schnittplan!$R$5:$R$1004,Schnittplan!$B$5:$B$1004,Auftrag!$D302,Schnittplan!$C$5:$C$1004,Auftrag!$E302,Schnittplan!$D$5:$D$1004,Auftrag!$Q302))</f>
        <v/>
      </c>
      <c r="E302" s="32">
        <f>IF($A302="","",IFERROR(N(Auftrag!$P302)/SUMIFS(Auftrag!$P$13:$P$512,Auftrag!$D$13:$D$512,Auftrag!$D302,Auftrag!$E$13:$E$512,Auftrag!$E302,Auftrag!$Q$13:$Q$512,Auftrag!$Q302),0))</f>
        <v/>
      </c>
      <c r="F302" s="33">
        <f>IF($A302="","",IF($C302=0,0,$D302*$E302/$C302))</f>
        <v/>
      </c>
      <c r="G302" s="34">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5">
        <f>IF($A302="","",IF($H302="","",60*((N(Auftrag!$H302)-N(Auftrag!$AI302)-N(Auftrag!$AK302))/$H302+N(Auftrag!$AI302)/$J302+N(Auftrag!$AK302)/$I302+N(Auftrag!$AD302)/$K302)+N(Auftrag!$I302)*$L302))</f>
        <v/>
      </c>
      <c r="N302" s="35">
        <f>IF($A302="","",IF(OR($H302="",$C302=0),0,(60*SUMIFS(Stangenbelegung!$K$5:$K$10004,Stangenbelegung!$E$5:$E$10004,ROW())/$H302+SUMIFS(Stangenbelegung!$L$5:$L$10004,Stangenbelegung!$E$5:$E$10004,ROW())*$L302)/$C302))</f>
        <v/>
      </c>
      <c r="O302" s="35">
        <f>IF($A302="","",IF($M302="","",MAX(0,$M302-$N302)))</f>
        <v/>
      </c>
      <c r="P302" s="35">
        <f>IF($A302="","",IFERROR(SUMPRODUCT(--("0"&amp;TRIM(RIGHT(SUBSTITUTE(LEFT(";"&amp;SUBSTITUTE(UPPER(Auftrag!$AG302)," ","")&amp;";"&amp;"X"&amp;UPPER(Gewinde!$A$5:$A$54)&amp;";",SEARCH("X"&amp;UPPER(Gewinde!$A$5:$A$54)&amp;";",";"&amp;SUBSTITUTE(UPPER(Auftrag!$AG302)," ","")&amp;";"&amp;"X"&amp;UPPER(Gewinde!$A$5:$A$54)&amp;";")-1),";",REPT(" ",50)),50))),Gewinde!$C$5:$C$54),0))</f>
        <v/>
      </c>
      <c r="Q302" s="33">
        <f>IF($A302="","",(N($O302)+$P302)/3600*N(Auftrag!$H$8))</f>
        <v/>
      </c>
      <c r="R302" s="33">
        <f>IF($A302="","",IF($F$8=0,0,$F$7/$F$8))</f>
        <v/>
      </c>
      <c r="S302" s="33">
        <f>IF($A302="","",$F302*(1+$C$4)+($Q302+$R302)*(1+$C$5))</f>
        <v/>
      </c>
      <c r="T302" s="33">
        <f>IF($A302="","",$S302*(1+$C$6))</f>
        <v/>
      </c>
      <c r="U302" s="18">
        <f>IF($A302="","",$T302*$C302)</f>
        <v/>
      </c>
      <c r="V302" s="18">
        <f>IF($A302="","",$S302*$C302)</f>
        <v/>
      </c>
      <c r="W302" s="28">
        <f>IF($A302="","",IF(N(Auftrag!$AO302)&gt;0,"nicht vollständig eingeplant",IF($D302=0,"kein Schnittplan oder Preis",IF($H302="","keine Schneiddaten",IF(AND(Auftrag!$AF302&lt;&gt;"",Auftrag!$AG302=""),"Gewinde ungeprüft","")))))</f>
        <v/>
      </c>
      <c r="X302" s="18">
        <f>IF($A302="","",$F302*$C302)</f>
        <v/>
      </c>
      <c r="Y302" s="18">
        <f>IF($A302="","",$Q302*$C302)</f>
        <v/>
      </c>
    </row>
    <row r="303">
      <c r="A303" s="25">
        <f>IF(Auftrag!$D303="","",Auftrag!$A303)</f>
        <v/>
      </c>
      <c r="B303" s="25">
        <f>IF($A303="","",Auftrag!$B303)</f>
        <v/>
      </c>
      <c r="C303" s="15">
        <f>IF($A303="","",N(Auftrag!$G303))</f>
        <v/>
      </c>
      <c r="D303" s="18">
        <f>IF($A303="","",SUMIFS(Schnittplan!$R$5:$R$1004,Schnittplan!$B$5:$B$1004,Auftrag!$D303,Schnittplan!$C$5:$C$1004,Auftrag!$E303,Schnittplan!$D$5:$D$1004,Auftrag!$Q303))</f>
        <v/>
      </c>
      <c r="E303" s="32">
        <f>IF($A303="","",IFERROR(N(Auftrag!$P303)/SUMIFS(Auftrag!$P$13:$P$512,Auftrag!$D$13:$D$512,Auftrag!$D303,Auftrag!$E$13:$E$512,Auftrag!$E303,Auftrag!$Q$13:$Q$512,Auftrag!$Q303),0))</f>
        <v/>
      </c>
      <c r="F303" s="33">
        <f>IF($A303="","",IF($C303=0,0,$D303*$E303/$C303))</f>
        <v/>
      </c>
      <c r="G303" s="34">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5">
        <f>IF($A303="","",IF($H303="","",60*((N(Auftrag!$H303)-N(Auftrag!$AI303)-N(Auftrag!$AK303))/$H303+N(Auftrag!$AI303)/$J303+N(Auftrag!$AK303)/$I303+N(Auftrag!$AD303)/$K303)+N(Auftrag!$I303)*$L303))</f>
        <v/>
      </c>
      <c r="N303" s="35">
        <f>IF($A303="","",IF(OR($H303="",$C303=0),0,(60*SUMIFS(Stangenbelegung!$K$5:$K$10004,Stangenbelegung!$E$5:$E$10004,ROW())/$H303+SUMIFS(Stangenbelegung!$L$5:$L$10004,Stangenbelegung!$E$5:$E$10004,ROW())*$L303)/$C303))</f>
        <v/>
      </c>
      <c r="O303" s="35">
        <f>IF($A303="","",IF($M303="","",MAX(0,$M303-$N303)))</f>
        <v/>
      </c>
      <c r="P303" s="35">
        <f>IF($A303="","",IFERROR(SUMPRODUCT(--("0"&amp;TRIM(RIGHT(SUBSTITUTE(LEFT(";"&amp;SUBSTITUTE(UPPER(Auftrag!$AG303)," ","")&amp;";"&amp;"X"&amp;UPPER(Gewinde!$A$5:$A$54)&amp;";",SEARCH("X"&amp;UPPER(Gewinde!$A$5:$A$54)&amp;";",";"&amp;SUBSTITUTE(UPPER(Auftrag!$AG303)," ","")&amp;";"&amp;"X"&amp;UPPER(Gewinde!$A$5:$A$54)&amp;";")-1),";",REPT(" ",50)),50))),Gewinde!$C$5:$C$54),0))</f>
        <v/>
      </c>
      <c r="Q303" s="33">
        <f>IF($A303="","",(N($O303)+$P303)/3600*N(Auftrag!$H$8))</f>
        <v/>
      </c>
      <c r="R303" s="33">
        <f>IF($A303="","",IF($F$8=0,0,$F$7/$F$8))</f>
        <v/>
      </c>
      <c r="S303" s="33">
        <f>IF($A303="","",$F303*(1+$C$4)+($Q303+$R303)*(1+$C$5))</f>
        <v/>
      </c>
      <c r="T303" s="33">
        <f>IF($A303="","",$S303*(1+$C$6))</f>
        <v/>
      </c>
      <c r="U303" s="18">
        <f>IF($A303="","",$T303*$C303)</f>
        <v/>
      </c>
      <c r="V303" s="18">
        <f>IF($A303="","",$S303*$C303)</f>
        <v/>
      </c>
      <c r="W303" s="28">
        <f>IF($A303="","",IF(N(Auftrag!$AO303)&gt;0,"nicht vollständig eingeplant",IF($D303=0,"kein Schnittplan oder Preis",IF($H303="","keine Schneiddaten",IF(AND(Auftrag!$AF303&lt;&gt;"",Auftrag!$AG303=""),"Gewinde ungeprüft","")))))</f>
        <v/>
      </c>
      <c r="X303" s="18">
        <f>IF($A303="","",$F303*$C303)</f>
        <v/>
      </c>
      <c r="Y303" s="18">
        <f>IF($A303="","",$Q303*$C303)</f>
        <v/>
      </c>
    </row>
    <row r="304">
      <c r="A304" s="25">
        <f>IF(Auftrag!$D304="","",Auftrag!$A304)</f>
        <v/>
      </c>
      <c r="B304" s="25">
        <f>IF($A304="","",Auftrag!$B304)</f>
        <v/>
      </c>
      <c r="C304" s="15">
        <f>IF($A304="","",N(Auftrag!$G304))</f>
        <v/>
      </c>
      <c r="D304" s="18">
        <f>IF($A304="","",SUMIFS(Schnittplan!$R$5:$R$1004,Schnittplan!$B$5:$B$1004,Auftrag!$D304,Schnittplan!$C$5:$C$1004,Auftrag!$E304,Schnittplan!$D$5:$D$1004,Auftrag!$Q304))</f>
        <v/>
      </c>
      <c r="E304" s="32">
        <f>IF($A304="","",IFERROR(N(Auftrag!$P304)/SUMIFS(Auftrag!$P$13:$P$512,Auftrag!$D$13:$D$512,Auftrag!$D304,Auftrag!$E$13:$E$512,Auftrag!$E304,Auftrag!$Q$13:$Q$512,Auftrag!$Q304),0))</f>
        <v/>
      </c>
      <c r="F304" s="33">
        <f>IF($A304="","",IF($C304=0,0,$D304*$E304/$C304))</f>
        <v/>
      </c>
      <c r="G304" s="34">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5">
        <f>IF($A304="","",IF($H304="","",60*((N(Auftrag!$H304)-N(Auftrag!$AI304)-N(Auftrag!$AK304))/$H304+N(Auftrag!$AI304)/$J304+N(Auftrag!$AK304)/$I304+N(Auftrag!$AD304)/$K304)+N(Auftrag!$I304)*$L304))</f>
        <v/>
      </c>
      <c r="N304" s="35">
        <f>IF($A304="","",IF(OR($H304="",$C304=0),0,(60*SUMIFS(Stangenbelegung!$K$5:$K$10004,Stangenbelegung!$E$5:$E$10004,ROW())/$H304+SUMIFS(Stangenbelegung!$L$5:$L$10004,Stangenbelegung!$E$5:$E$10004,ROW())*$L304)/$C304))</f>
        <v/>
      </c>
      <c r="O304" s="35">
        <f>IF($A304="","",IF($M304="","",MAX(0,$M304-$N304)))</f>
        <v/>
      </c>
      <c r="P304" s="35">
        <f>IF($A304="","",IFERROR(SUMPRODUCT(--("0"&amp;TRIM(RIGHT(SUBSTITUTE(LEFT(";"&amp;SUBSTITUTE(UPPER(Auftrag!$AG304)," ","")&amp;";"&amp;"X"&amp;UPPER(Gewinde!$A$5:$A$54)&amp;";",SEARCH("X"&amp;UPPER(Gewinde!$A$5:$A$54)&amp;";",";"&amp;SUBSTITUTE(UPPER(Auftrag!$AG304)," ","")&amp;";"&amp;"X"&amp;UPPER(Gewinde!$A$5:$A$54)&amp;";")-1),";",REPT(" ",50)),50))),Gewinde!$C$5:$C$54),0))</f>
        <v/>
      </c>
      <c r="Q304" s="33">
        <f>IF($A304="","",(N($O304)+$P304)/3600*N(Auftrag!$H$8))</f>
        <v/>
      </c>
      <c r="R304" s="33">
        <f>IF($A304="","",IF($F$8=0,0,$F$7/$F$8))</f>
        <v/>
      </c>
      <c r="S304" s="33">
        <f>IF($A304="","",$F304*(1+$C$4)+($Q304+$R304)*(1+$C$5))</f>
        <v/>
      </c>
      <c r="T304" s="33">
        <f>IF($A304="","",$S304*(1+$C$6))</f>
        <v/>
      </c>
      <c r="U304" s="18">
        <f>IF($A304="","",$T304*$C304)</f>
        <v/>
      </c>
      <c r="V304" s="18">
        <f>IF($A304="","",$S304*$C304)</f>
        <v/>
      </c>
      <c r="W304" s="28">
        <f>IF($A304="","",IF(N(Auftrag!$AO304)&gt;0,"nicht vollständig eingeplant",IF($D304=0,"kein Schnittplan oder Preis",IF($H304="","keine Schneiddaten",IF(AND(Auftrag!$AF304&lt;&gt;"",Auftrag!$AG304=""),"Gewinde ungeprüft","")))))</f>
        <v/>
      </c>
      <c r="X304" s="18">
        <f>IF($A304="","",$F304*$C304)</f>
        <v/>
      </c>
      <c r="Y304" s="18">
        <f>IF($A304="","",$Q304*$C304)</f>
        <v/>
      </c>
    </row>
    <row r="305">
      <c r="A305" s="25">
        <f>IF(Auftrag!$D305="","",Auftrag!$A305)</f>
        <v/>
      </c>
      <c r="B305" s="25">
        <f>IF($A305="","",Auftrag!$B305)</f>
        <v/>
      </c>
      <c r="C305" s="15">
        <f>IF($A305="","",N(Auftrag!$G305))</f>
        <v/>
      </c>
      <c r="D305" s="18">
        <f>IF($A305="","",SUMIFS(Schnittplan!$R$5:$R$1004,Schnittplan!$B$5:$B$1004,Auftrag!$D305,Schnittplan!$C$5:$C$1004,Auftrag!$E305,Schnittplan!$D$5:$D$1004,Auftrag!$Q305))</f>
        <v/>
      </c>
      <c r="E305" s="32">
        <f>IF($A305="","",IFERROR(N(Auftrag!$P305)/SUMIFS(Auftrag!$P$13:$P$512,Auftrag!$D$13:$D$512,Auftrag!$D305,Auftrag!$E$13:$E$512,Auftrag!$E305,Auftrag!$Q$13:$Q$512,Auftrag!$Q305),0))</f>
        <v/>
      </c>
      <c r="F305" s="33">
        <f>IF($A305="","",IF($C305=0,0,$D305*$E305/$C305))</f>
        <v/>
      </c>
      <c r="G305" s="34">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5">
        <f>IF($A305="","",IF($H305="","",60*((N(Auftrag!$H305)-N(Auftrag!$AI305)-N(Auftrag!$AK305))/$H305+N(Auftrag!$AI305)/$J305+N(Auftrag!$AK305)/$I305+N(Auftrag!$AD305)/$K305)+N(Auftrag!$I305)*$L305))</f>
        <v/>
      </c>
      <c r="N305" s="35">
        <f>IF($A305="","",IF(OR($H305="",$C305=0),0,(60*SUMIFS(Stangenbelegung!$K$5:$K$10004,Stangenbelegung!$E$5:$E$10004,ROW())/$H305+SUMIFS(Stangenbelegung!$L$5:$L$10004,Stangenbelegung!$E$5:$E$10004,ROW())*$L305)/$C305))</f>
        <v/>
      </c>
      <c r="O305" s="35">
        <f>IF($A305="","",IF($M305="","",MAX(0,$M305-$N305)))</f>
        <v/>
      </c>
      <c r="P305" s="35">
        <f>IF($A305="","",IFERROR(SUMPRODUCT(--("0"&amp;TRIM(RIGHT(SUBSTITUTE(LEFT(";"&amp;SUBSTITUTE(UPPER(Auftrag!$AG305)," ","")&amp;";"&amp;"X"&amp;UPPER(Gewinde!$A$5:$A$54)&amp;";",SEARCH("X"&amp;UPPER(Gewinde!$A$5:$A$54)&amp;";",";"&amp;SUBSTITUTE(UPPER(Auftrag!$AG305)," ","")&amp;";"&amp;"X"&amp;UPPER(Gewinde!$A$5:$A$54)&amp;";")-1),";",REPT(" ",50)),50))),Gewinde!$C$5:$C$54),0))</f>
        <v/>
      </c>
      <c r="Q305" s="33">
        <f>IF($A305="","",(N($O305)+$P305)/3600*N(Auftrag!$H$8))</f>
        <v/>
      </c>
      <c r="R305" s="33">
        <f>IF($A305="","",IF($F$8=0,0,$F$7/$F$8))</f>
        <v/>
      </c>
      <c r="S305" s="33">
        <f>IF($A305="","",$F305*(1+$C$4)+($Q305+$R305)*(1+$C$5))</f>
        <v/>
      </c>
      <c r="T305" s="33">
        <f>IF($A305="","",$S305*(1+$C$6))</f>
        <v/>
      </c>
      <c r="U305" s="18">
        <f>IF($A305="","",$T305*$C305)</f>
        <v/>
      </c>
      <c r="V305" s="18">
        <f>IF($A305="","",$S305*$C305)</f>
        <v/>
      </c>
      <c r="W305" s="28">
        <f>IF($A305="","",IF(N(Auftrag!$AO305)&gt;0,"nicht vollständig eingeplant",IF($D305=0,"kein Schnittplan oder Preis",IF($H305="","keine Schneiddaten",IF(AND(Auftrag!$AF305&lt;&gt;"",Auftrag!$AG305=""),"Gewinde ungeprüft","")))))</f>
        <v/>
      </c>
      <c r="X305" s="18">
        <f>IF($A305="","",$F305*$C305)</f>
        <v/>
      </c>
      <c r="Y305" s="18">
        <f>IF($A305="","",$Q305*$C305)</f>
        <v/>
      </c>
    </row>
    <row r="306">
      <c r="A306" s="25">
        <f>IF(Auftrag!$D306="","",Auftrag!$A306)</f>
        <v/>
      </c>
      <c r="B306" s="25">
        <f>IF($A306="","",Auftrag!$B306)</f>
        <v/>
      </c>
      <c r="C306" s="15">
        <f>IF($A306="","",N(Auftrag!$G306))</f>
        <v/>
      </c>
      <c r="D306" s="18">
        <f>IF($A306="","",SUMIFS(Schnittplan!$R$5:$R$1004,Schnittplan!$B$5:$B$1004,Auftrag!$D306,Schnittplan!$C$5:$C$1004,Auftrag!$E306,Schnittplan!$D$5:$D$1004,Auftrag!$Q306))</f>
        <v/>
      </c>
      <c r="E306" s="32">
        <f>IF($A306="","",IFERROR(N(Auftrag!$P306)/SUMIFS(Auftrag!$P$13:$P$512,Auftrag!$D$13:$D$512,Auftrag!$D306,Auftrag!$E$13:$E$512,Auftrag!$E306,Auftrag!$Q$13:$Q$512,Auftrag!$Q306),0))</f>
        <v/>
      </c>
      <c r="F306" s="33">
        <f>IF($A306="","",IF($C306=0,0,$D306*$E306/$C306))</f>
        <v/>
      </c>
      <c r="G306" s="34">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5">
        <f>IF($A306="","",IF($H306="","",60*((N(Auftrag!$H306)-N(Auftrag!$AI306)-N(Auftrag!$AK306))/$H306+N(Auftrag!$AI306)/$J306+N(Auftrag!$AK306)/$I306+N(Auftrag!$AD306)/$K306)+N(Auftrag!$I306)*$L306))</f>
        <v/>
      </c>
      <c r="N306" s="35">
        <f>IF($A306="","",IF(OR($H306="",$C306=0),0,(60*SUMIFS(Stangenbelegung!$K$5:$K$10004,Stangenbelegung!$E$5:$E$10004,ROW())/$H306+SUMIFS(Stangenbelegung!$L$5:$L$10004,Stangenbelegung!$E$5:$E$10004,ROW())*$L306)/$C306))</f>
        <v/>
      </c>
      <c r="O306" s="35">
        <f>IF($A306="","",IF($M306="","",MAX(0,$M306-$N306)))</f>
        <v/>
      </c>
      <c r="P306" s="35">
        <f>IF($A306="","",IFERROR(SUMPRODUCT(--("0"&amp;TRIM(RIGHT(SUBSTITUTE(LEFT(";"&amp;SUBSTITUTE(UPPER(Auftrag!$AG306)," ","")&amp;";"&amp;"X"&amp;UPPER(Gewinde!$A$5:$A$54)&amp;";",SEARCH("X"&amp;UPPER(Gewinde!$A$5:$A$54)&amp;";",";"&amp;SUBSTITUTE(UPPER(Auftrag!$AG306)," ","")&amp;";"&amp;"X"&amp;UPPER(Gewinde!$A$5:$A$54)&amp;";")-1),";",REPT(" ",50)),50))),Gewinde!$C$5:$C$54),0))</f>
        <v/>
      </c>
      <c r="Q306" s="33">
        <f>IF($A306="","",(N($O306)+$P306)/3600*N(Auftrag!$H$8))</f>
        <v/>
      </c>
      <c r="R306" s="33">
        <f>IF($A306="","",IF($F$8=0,0,$F$7/$F$8))</f>
        <v/>
      </c>
      <c r="S306" s="33">
        <f>IF($A306="","",$F306*(1+$C$4)+($Q306+$R306)*(1+$C$5))</f>
        <v/>
      </c>
      <c r="T306" s="33">
        <f>IF($A306="","",$S306*(1+$C$6))</f>
        <v/>
      </c>
      <c r="U306" s="18">
        <f>IF($A306="","",$T306*$C306)</f>
        <v/>
      </c>
      <c r="V306" s="18">
        <f>IF($A306="","",$S306*$C306)</f>
        <v/>
      </c>
      <c r="W306" s="28">
        <f>IF($A306="","",IF(N(Auftrag!$AO306)&gt;0,"nicht vollständig eingeplant",IF($D306=0,"kein Schnittplan oder Preis",IF($H306="","keine Schneiddaten",IF(AND(Auftrag!$AF306&lt;&gt;"",Auftrag!$AG306=""),"Gewinde ungeprüft","")))))</f>
        <v/>
      </c>
      <c r="X306" s="18">
        <f>IF($A306="","",$F306*$C306)</f>
        <v/>
      </c>
      <c r="Y306" s="18">
        <f>IF($A306="","",$Q306*$C306)</f>
        <v/>
      </c>
    </row>
    <row r="307">
      <c r="A307" s="25">
        <f>IF(Auftrag!$D307="","",Auftrag!$A307)</f>
        <v/>
      </c>
      <c r="B307" s="25">
        <f>IF($A307="","",Auftrag!$B307)</f>
        <v/>
      </c>
      <c r="C307" s="15">
        <f>IF($A307="","",N(Auftrag!$G307))</f>
        <v/>
      </c>
      <c r="D307" s="18">
        <f>IF($A307="","",SUMIFS(Schnittplan!$R$5:$R$1004,Schnittplan!$B$5:$B$1004,Auftrag!$D307,Schnittplan!$C$5:$C$1004,Auftrag!$E307,Schnittplan!$D$5:$D$1004,Auftrag!$Q307))</f>
        <v/>
      </c>
      <c r="E307" s="32">
        <f>IF($A307="","",IFERROR(N(Auftrag!$P307)/SUMIFS(Auftrag!$P$13:$P$512,Auftrag!$D$13:$D$512,Auftrag!$D307,Auftrag!$E$13:$E$512,Auftrag!$E307,Auftrag!$Q$13:$Q$512,Auftrag!$Q307),0))</f>
        <v/>
      </c>
      <c r="F307" s="33">
        <f>IF($A307="","",IF($C307=0,0,$D307*$E307/$C307))</f>
        <v/>
      </c>
      <c r="G307" s="34">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5">
        <f>IF($A307="","",IF($H307="","",60*((N(Auftrag!$H307)-N(Auftrag!$AI307)-N(Auftrag!$AK307))/$H307+N(Auftrag!$AI307)/$J307+N(Auftrag!$AK307)/$I307+N(Auftrag!$AD307)/$K307)+N(Auftrag!$I307)*$L307))</f>
        <v/>
      </c>
      <c r="N307" s="35">
        <f>IF($A307="","",IF(OR($H307="",$C307=0),0,(60*SUMIFS(Stangenbelegung!$K$5:$K$10004,Stangenbelegung!$E$5:$E$10004,ROW())/$H307+SUMIFS(Stangenbelegung!$L$5:$L$10004,Stangenbelegung!$E$5:$E$10004,ROW())*$L307)/$C307))</f>
        <v/>
      </c>
      <c r="O307" s="35">
        <f>IF($A307="","",IF($M307="","",MAX(0,$M307-$N307)))</f>
        <v/>
      </c>
      <c r="P307" s="35">
        <f>IF($A307="","",IFERROR(SUMPRODUCT(--("0"&amp;TRIM(RIGHT(SUBSTITUTE(LEFT(";"&amp;SUBSTITUTE(UPPER(Auftrag!$AG307)," ","")&amp;";"&amp;"X"&amp;UPPER(Gewinde!$A$5:$A$54)&amp;";",SEARCH("X"&amp;UPPER(Gewinde!$A$5:$A$54)&amp;";",";"&amp;SUBSTITUTE(UPPER(Auftrag!$AG307)," ","")&amp;";"&amp;"X"&amp;UPPER(Gewinde!$A$5:$A$54)&amp;";")-1),";",REPT(" ",50)),50))),Gewinde!$C$5:$C$54),0))</f>
        <v/>
      </c>
      <c r="Q307" s="33">
        <f>IF($A307="","",(N($O307)+$P307)/3600*N(Auftrag!$H$8))</f>
        <v/>
      </c>
      <c r="R307" s="33">
        <f>IF($A307="","",IF($F$8=0,0,$F$7/$F$8))</f>
        <v/>
      </c>
      <c r="S307" s="33">
        <f>IF($A307="","",$F307*(1+$C$4)+($Q307+$R307)*(1+$C$5))</f>
        <v/>
      </c>
      <c r="T307" s="33">
        <f>IF($A307="","",$S307*(1+$C$6))</f>
        <v/>
      </c>
      <c r="U307" s="18">
        <f>IF($A307="","",$T307*$C307)</f>
        <v/>
      </c>
      <c r="V307" s="18">
        <f>IF($A307="","",$S307*$C307)</f>
        <v/>
      </c>
      <c r="W307" s="28">
        <f>IF($A307="","",IF(N(Auftrag!$AO307)&gt;0,"nicht vollständig eingeplant",IF($D307=0,"kein Schnittplan oder Preis",IF($H307="","keine Schneiddaten",IF(AND(Auftrag!$AF307&lt;&gt;"",Auftrag!$AG307=""),"Gewinde ungeprüft","")))))</f>
        <v/>
      </c>
      <c r="X307" s="18">
        <f>IF($A307="","",$F307*$C307)</f>
        <v/>
      </c>
      <c r="Y307" s="18">
        <f>IF($A307="","",$Q307*$C307)</f>
        <v/>
      </c>
    </row>
    <row r="308">
      <c r="A308" s="25">
        <f>IF(Auftrag!$D308="","",Auftrag!$A308)</f>
        <v/>
      </c>
      <c r="B308" s="25">
        <f>IF($A308="","",Auftrag!$B308)</f>
        <v/>
      </c>
      <c r="C308" s="15">
        <f>IF($A308="","",N(Auftrag!$G308))</f>
        <v/>
      </c>
      <c r="D308" s="18">
        <f>IF($A308="","",SUMIFS(Schnittplan!$R$5:$R$1004,Schnittplan!$B$5:$B$1004,Auftrag!$D308,Schnittplan!$C$5:$C$1004,Auftrag!$E308,Schnittplan!$D$5:$D$1004,Auftrag!$Q308))</f>
        <v/>
      </c>
      <c r="E308" s="32">
        <f>IF($A308="","",IFERROR(N(Auftrag!$P308)/SUMIFS(Auftrag!$P$13:$P$512,Auftrag!$D$13:$D$512,Auftrag!$D308,Auftrag!$E$13:$E$512,Auftrag!$E308,Auftrag!$Q$13:$Q$512,Auftrag!$Q308),0))</f>
        <v/>
      </c>
      <c r="F308" s="33">
        <f>IF($A308="","",IF($C308=0,0,$D308*$E308/$C308))</f>
        <v/>
      </c>
      <c r="G308" s="34">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5">
        <f>IF($A308="","",IF($H308="","",60*((N(Auftrag!$H308)-N(Auftrag!$AI308)-N(Auftrag!$AK308))/$H308+N(Auftrag!$AI308)/$J308+N(Auftrag!$AK308)/$I308+N(Auftrag!$AD308)/$K308)+N(Auftrag!$I308)*$L308))</f>
        <v/>
      </c>
      <c r="N308" s="35">
        <f>IF($A308="","",IF(OR($H308="",$C308=0),0,(60*SUMIFS(Stangenbelegung!$K$5:$K$10004,Stangenbelegung!$E$5:$E$10004,ROW())/$H308+SUMIFS(Stangenbelegung!$L$5:$L$10004,Stangenbelegung!$E$5:$E$10004,ROW())*$L308)/$C308))</f>
        <v/>
      </c>
      <c r="O308" s="35">
        <f>IF($A308="","",IF($M308="","",MAX(0,$M308-$N308)))</f>
        <v/>
      </c>
      <c r="P308" s="35">
        <f>IF($A308="","",IFERROR(SUMPRODUCT(--("0"&amp;TRIM(RIGHT(SUBSTITUTE(LEFT(";"&amp;SUBSTITUTE(UPPER(Auftrag!$AG308)," ","")&amp;";"&amp;"X"&amp;UPPER(Gewinde!$A$5:$A$54)&amp;";",SEARCH("X"&amp;UPPER(Gewinde!$A$5:$A$54)&amp;";",";"&amp;SUBSTITUTE(UPPER(Auftrag!$AG308)," ","")&amp;";"&amp;"X"&amp;UPPER(Gewinde!$A$5:$A$54)&amp;";")-1),";",REPT(" ",50)),50))),Gewinde!$C$5:$C$54),0))</f>
        <v/>
      </c>
      <c r="Q308" s="33">
        <f>IF($A308="","",(N($O308)+$P308)/3600*N(Auftrag!$H$8))</f>
        <v/>
      </c>
      <c r="R308" s="33">
        <f>IF($A308="","",IF($F$8=0,0,$F$7/$F$8))</f>
        <v/>
      </c>
      <c r="S308" s="33">
        <f>IF($A308="","",$F308*(1+$C$4)+($Q308+$R308)*(1+$C$5))</f>
        <v/>
      </c>
      <c r="T308" s="33">
        <f>IF($A308="","",$S308*(1+$C$6))</f>
        <v/>
      </c>
      <c r="U308" s="18">
        <f>IF($A308="","",$T308*$C308)</f>
        <v/>
      </c>
      <c r="V308" s="18">
        <f>IF($A308="","",$S308*$C308)</f>
        <v/>
      </c>
      <c r="W308" s="28">
        <f>IF($A308="","",IF(N(Auftrag!$AO308)&gt;0,"nicht vollständig eingeplant",IF($D308=0,"kein Schnittplan oder Preis",IF($H308="","keine Schneiddaten",IF(AND(Auftrag!$AF308&lt;&gt;"",Auftrag!$AG308=""),"Gewinde ungeprüft","")))))</f>
        <v/>
      </c>
      <c r="X308" s="18">
        <f>IF($A308="","",$F308*$C308)</f>
        <v/>
      </c>
      <c r="Y308" s="18">
        <f>IF($A308="","",$Q308*$C308)</f>
        <v/>
      </c>
    </row>
    <row r="309">
      <c r="A309" s="25">
        <f>IF(Auftrag!$D309="","",Auftrag!$A309)</f>
        <v/>
      </c>
      <c r="B309" s="25">
        <f>IF($A309="","",Auftrag!$B309)</f>
        <v/>
      </c>
      <c r="C309" s="15">
        <f>IF($A309="","",N(Auftrag!$G309))</f>
        <v/>
      </c>
      <c r="D309" s="18">
        <f>IF($A309="","",SUMIFS(Schnittplan!$R$5:$R$1004,Schnittplan!$B$5:$B$1004,Auftrag!$D309,Schnittplan!$C$5:$C$1004,Auftrag!$E309,Schnittplan!$D$5:$D$1004,Auftrag!$Q309))</f>
        <v/>
      </c>
      <c r="E309" s="32">
        <f>IF($A309="","",IFERROR(N(Auftrag!$P309)/SUMIFS(Auftrag!$P$13:$P$512,Auftrag!$D$13:$D$512,Auftrag!$D309,Auftrag!$E$13:$E$512,Auftrag!$E309,Auftrag!$Q$13:$Q$512,Auftrag!$Q309),0))</f>
        <v/>
      </c>
      <c r="F309" s="33">
        <f>IF($A309="","",IF($C309=0,0,$D309*$E309/$C309))</f>
        <v/>
      </c>
      <c r="G309" s="34">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5">
        <f>IF($A309="","",IF($H309="","",60*((N(Auftrag!$H309)-N(Auftrag!$AI309)-N(Auftrag!$AK309))/$H309+N(Auftrag!$AI309)/$J309+N(Auftrag!$AK309)/$I309+N(Auftrag!$AD309)/$K309)+N(Auftrag!$I309)*$L309))</f>
        <v/>
      </c>
      <c r="N309" s="35">
        <f>IF($A309="","",IF(OR($H309="",$C309=0),0,(60*SUMIFS(Stangenbelegung!$K$5:$K$10004,Stangenbelegung!$E$5:$E$10004,ROW())/$H309+SUMIFS(Stangenbelegung!$L$5:$L$10004,Stangenbelegung!$E$5:$E$10004,ROW())*$L309)/$C309))</f>
        <v/>
      </c>
      <c r="O309" s="35">
        <f>IF($A309="","",IF($M309="","",MAX(0,$M309-$N309)))</f>
        <v/>
      </c>
      <c r="P309" s="35">
        <f>IF($A309="","",IFERROR(SUMPRODUCT(--("0"&amp;TRIM(RIGHT(SUBSTITUTE(LEFT(";"&amp;SUBSTITUTE(UPPER(Auftrag!$AG309)," ","")&amp;";"&amp;"X"&amp;UPPER(Gewinde!$A$5:$A$54)&amp;";",SEARCH("X"&amp;UPPER(Gewinde!$A$5:$A$54)&amp;";",";"&amp;SUBSTITUTE(UPPER(Auftrag!$AG309)," ","")&amp;";"&amp;"X"&amp;UPPER(Gewinde!$A$5:$A$54)&amp;";")-1),";",REPT(" ",50)),50))),Gewinde!$C$5:$C$54),0))</f>
        <v/>
      </c>
      <c r="Q309" s="33">
        <f>IF($A309="","",(N($O309)+$P309)/3600*N(Auftrag!$H$8))</f>
        <v/>
      </c>
      <c r="R309" s="33">
        <f>IF($A309="","",IF($F$8=0,0,$F$7/$F$8))</f>
        <v/>
      </c>
      <c r="S309" s="33">
        <f>IF($A309="","",$F309*(1+$C$4)+($Q309+$R309)*(1+$C$5))</f>
        <v/>
      </c>
      <c r="T309" s="33">
        <f>IF($A309="","",$S309*(1+$C$6))</f>
        <v/>
      </c>
      <c r="U309" s="18">
        <f>IF($A309="","",$T309*$C309)</f>
        <v/>
      </c>
      <c r="V309" s="18">
        <f>IF($A309="","",$S309*$C309)</f>
        <v/>
      </c>
      <c r="W309" s="28">
        <f>IF($A309="","",IF(N(Auftrag!$AO309)&gt;0,"nicht vollständig eingeplant",IF($D309=0,"kein Schnittplan oder Preis",IF($H309="","keine Schneiddaten",IF(AND(Auftrag!$AF309&lt;&gt;"",Auftrag!$AG309=""),"Gewinde ungeprüft","")))))</f>
        <v/>
      </c>
      <c r="X309" s="18">
        <f>IF($A309="","",$F309*$C309)</f>
        <v/>
      </c>
      <c r="Y309" s="18">
        <f>IF($A309="","",$Q309*$C309)</f>
        <v/>
      </c>
    </row>
    <row r="310">
      <c r="A310" s="25">
        <f>IF(Auftrag!$D310="","",Auftrag!$A310)</f>
        <v/>
      </c>
      <c r="B310" s="25">
        <f>IF($A310="","",Auftrag!$B310)</f>
        <v/>
      </c>
      <c r="C310" s="15">
        <f>IF($A310="","",N(Auftrag!$G310))</f>
        <v/>
      </c>
      <c r="D310" s="18">
        <f>IF($A310="","",SUMIFS(Schnittplan!$R$5:$R$1004,Schnittplan!$B$5:$B$1004,Auftrag!$D310,Schnittplan!$C$5:$C$1004,Auftrag!$E310,Schnittplan!$D$5:$D$1004,Auftrag!$Q310))</f>
        <v/>
      </c>
      <c r="E310" s="32">
        <f>IF($A310="","",IFERROR(N(Auftrag!$P310)/SUMIFS(Auftrag!$P$13:$P$512,Auftrag!$D$13:$D$512,Auftrag!$D310,Auftrag!$E$13:$E$512,Auftrag!$E310,Auftrag!$Q$13:$Q$512,Auftrag!$Q310),0))</f>
        <v/>
      </c>
      <c r="F310" s="33">
        <f>IF($A310="","",IF($C310=0,0,$D310*$E310/$C310))</f>
        <v/>
      </c>
      <c r="G310" s="34">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5">
        <f>IF($A310="","",IF($H310="","",60*((N(Auftrag!$H310)-N(Auftrag!$AI310)-N(Auftrag!$AK310))/$H310+N(Auftrag!$AI310)/$J310+N(Auftrag!$AK310)/$I310+N(Auftrag!$AD310)/$K310)+N(Auftrag!$I310)*$L310))</f>
        <v/>
      </c>
      <c r="N310" s="35">
        <f>IF($A310="","",IF(OR($H310="",$C310=0),0,(60*SUMIFS(Stangenbelegung!$K$5:$K$10004,Stangenbelegung!$E$5:$E$10004,ROW())/$H310+SUMIFS(Stangenbelegung!$L$5:$L$10004,Stangenbelegung!$E$5:$E$10004,ROW())*$L310)/$C310))</f>
        <v/>
      </c>
      <c r="O310" s="35">
        <f>IF($A310="","",IF($M310="","",MAX(0,$M310-$N310)))</f>
        <v/>
      </c>
      <c r="P310" s="35">
        <f>IF($A310="","",IFERROR(SUMPRODUCT(--("0"&amp;TRIM(RIGHT(SUBSTITUTE(LEFT(";"&amp;SUBSTITUTE(UPPER(Auftrag!$AG310)," ","")&amp;";"&amp;"X"&amp;UPPER(Gewinde!$A$5:$A$54)&amp;";",SEARCH("X"&amp;UPPER(Gewinde!$A$5:$A$54)&amp;";",";"&amp;SUBSTITUTE(UPPER(Auftrag!$AG310)," ","")&amp;";"&amp;"X"&amp;UPPER(Gewinde!$A$5:$A$54)&amp;";")-1),";",REPT(" ",50)),50))),Gewinde!$C$5:$C$54),0))</f>
        <v/>
      </c>
      <c r="Q310" s="33">
        <f>IF($A310="","",(N($O310)+$P310)/3600*N(Auftrag!$H$8))</f>
        <v/>
      </c>
      <c r="R310" s="33">
        <f>IF($A310="","",IF($F$8=0,0,$F$7/$F$8))</f>
        <v/>
      </c>
      <c r="S310" s="33">
        <f>IF($A310="","",$F310*(1+$C$4)+($Q310+$R310)*(1+$C$5))</f>
        <v/>
      </c>
      <c r="T310" s="33">
        <f>IF($A310="","",$S310*(1+$C$6))</f>
        <v/>
      </c>
      <c r="U310" s="18">
        <f>IF($A310="","",$T310*$C310)</f>
        <v/>
      </c>
      <c r="V310" s="18">
        <f>IF($A310="","",$S310*$C310)</f>
        <v/>
      </c>
      <c r="W310" s="28">
        <f>IF($A310="","",IF(N(Auftrag!$AO310)&gt;0,"nicht vollständig eingeplant",IF($D310=0,"kein Schnittplan oder Preis",IF($H310="","keine Schneiddaten",IF(AND(Auftrag!$AF310&lt;&gt;"",Auftrag!$AG310=""),"Gewinde ungeprüft","")))))</f>
        <v/>
      </c>
      <c r="X310" s="18">
        <f>IF($A310="","",$F310*$C310)</f>
        <v/>
      </c>
      <c r="Y310" s="18">
        <f>IF($A310="","",$Q310*$C310)</f>
        <v/>
      </c>
    </row>
    <row r="311">
      <c r="A311" s="25">
        <f>IF(Auftrag!$D311="","",Auftrag!$A311)</f>
        <v/>
      </c>
      <c r="B311" s="25">
        <f>IF($A311="","",Auftrag!$B311)</f>
        <v/>
      </c>
      <c r="C311" s="15">
        <f>IF($A311="","",N(Auftrag!$G311))</f>
        <v/>
      </c>
      <c r="D311" s="18">
        <f>IF($A311="","",SUMIFS(Schnittplan!$R$5:$R$1004,Schnittplan!$B$5:$B$1004,Auftrag!$D311,Schnittplan!$C$5:$C$1004,Auftrag!$E311,Schnittplan!$D$5:$D$1004,Auftrag!$Q311))</f>
        <v/>
      </c>
      <c r="E311" s="32">
        <f>IF($A311="","",IFERROR(N(Auftrag!$P311)/SUMIFS(Auftrag!$P$13:$P$512,Auftrag!$D$13:$D$512,Auftrag!$D311,Auftrag!$E$13:$E$512,Auftrag!$E311,Auftrag!$Q$13:$Q$512,Auftrag!$Q311),0))</f>
        <v/>
      </c>
      <c r="F311" s="33">
        <f>IF($A311="","",IF($C311=0,0,$D311*$E311/$C311))</f>
        <v/>
      </c>
      <c r="G311" s="34">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5">
        <f>IF($A311="","",IF($H311="","",60*((N(Auftrag!$H311)-N(Auftrag!$AI311)-N(Auftrag!$AK311))/$H311+N(Auftrag!$AI311)/$J311+N(Auftrag!$AK311)/$I311+N(Auftrag!$AD311)/$K311)+N(Auftrag!$I311)*$L311))</f>
        <v/>
      </c>
      <c r="N311" s="35">
        <f>IF($A311="","",IF(OR($H311="",$C311=0),0,(60*SUMIFS(Stangenbelegung!$K$5:$K$10004,Stangenbelegung!$E$5:$E$10004,ROW())/$H311+SUMIFS(Stangenbelegung!$L$5:$L$10004,Stangenbelegung!$E$5:$E$10004,ROW())*$L311)/$C311))</f>
        <v/>
      </c>
      <c r="O311" s="35">
        <f>IF($A311="","",IF($M311="","",MAX(0,$M311-$N311)))</f>
        <v/>
      </c>
      <c r="P311" s="35">
        <f>IF($A311="","",IFERROR(SUMPRODUCT(--("0"&amp;TRIM(RIGHT(SUBSTITUTE(LEFT(";"&amp;SUBSTITUTE(UPPER(Auftrag!$AG311)," ","")&amp;";"&amp;"X"&amp;UPPER(Gewinde!$A$5:$A$54)&amp;";",SEARCH("X"&amp;UPPER(Gewinde!$A$5:$A$54)&amp;";",";"&amp;SUBSTITUTE(UPPER(Auftrag!$AG311)," ","")&amp;";"&amp;"X"&amp;UPPER(Gewinde!$A$5:$A$54)&amp;";")-1),";",REPT(" ",50)),50))),Gewinde!$C$5:$C$54),0))</f>
        <v/>
      </c>
      <c r="Q311" s="33">
        <f>IF($A311="","",(N($O311)+$P311)/3600*N(Auftrag!$H$8))</f>
        <v/>
      </c>
      <c r="R311" s="33">
        <f>IF($A311="","",IF($F$8=0,0,$F$7/$F$8))</f>
        <v/>
      </c>
      <c r="S311" s="33">
        <f>IF($A311="","",$F311*(1+$C$4)+($Q311+$R311)*(1+$C$5))</f>
        <v/>
      </c>
      <c r="T311" s="33">
        <f>IF($A311="","",$S311*(1+$C$6))</f>
        <v/>
      </c>
      <c r="U311" s="18">
        <f>IF($A311="","",$T311*$C311)</f>
        <v/>
      </c>
      <c r="V311" s="18">
        <f>IF($A311="","",$S311*$C311)</f>
        <v/>
      </c>
      <c r="W311" s="28">
        <f>IF($A311="","",IF(N(Auftrag!$AO311)&gt;0,"nicht vollständig eingeplant",IF($D311=0,"kein Schnittplan oder Preis",IF($H311="","keine Schneiddaten",IF(AND(Auftrag!$AF311&lt;&gt;"",Auftrag!$AG311=""),"Gewinde ungeprüft","")))))</f>
        <v/>
      </c>
      <c r="X311" s="18">
        <f>IF($A311="","",$F311*$C311)</f>
        <v/>
      </c>
      <c r="Y311" s="18">
        <f>IF($A311="","",$Q311*$C311)</f>
        <v/>
      </c>
    </row>
    <row r="312">
      <c r="A312" s="25">
        <f>IF(Auftrag!$D312="","",Auftrag!$A312)</f>
        <v/>
      </c>
      <c r="B312" s="25">
        <f>IF($A312="","",Auftrag!$B312)</f>
        <v/>
      </c>
      <c r="C312" s="15">
        <f>IF($A312="","",N(Auftrag!$G312))</f>
        <v/>
      </c>
      <c r="D312" s="18">
        <f>IF($A312="","",SUMIFS(Schnittplan!$R$5:$R$1004,Schnittplan!$B$5:$B$1004,Auftrag!$D312,Schnittplan!$C$5:$C$1004,Auftrag!$E312,Schnittplan!$D$5:$D$1004,Auftrag!$Q312))</f>
        <v/>
      </c>
      <c r="E312" s="32">
        <f>IF($A312="","",IFERROR(N(Auftrag!$P312)/SUMIFS(Auftrag!$P$13:$P$512,Auftrag!$D$13:$D$512,Auftrag!$D312,Auftrag!$E$13:$E$512,Auftrag!$E312,Auftrag!$Q$13:$Q$512,Auftrag!$Q312),0))</f>
        <v/>
      </c>
      <c r="F312" s="33">
        <f>IF($A312="","",IF($C312=0,0,$D312*$E312/$C312))</f>
        <v/>
      </c>
      <c r="G312" s="34">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5">
        <f>IF($A312="","",IF($H312="","",60*((N(Auftrag!$H312)-N(Auftrag!$AI312)-N(Auftrag!$AK312))/$H312+N(Auftrag!$AI312)/$J312+N(Auftrag!$AK312)/$I312+N(Auftrag!$AD312)/$K312)+N(Auftrag!$I312)*$L312))</f>
        <v/>
      </c>
      <c r="N312" s="35">
        <f>IF($A312="","",IF(OR($H312="",$C312=0),0,(60*SUMIFS(Stangenbelegung!$K$5:$K$10004,Stangenbelegung!$E$5:$E$10004,ROW())/$H312+SUMIFS(Stangenbelegung!$L$5:$L$10004,Stangenbelegung!$E$5:$E$10004,ROW())*$L312)/$C312))</f>
        <v/>
      </c>
      <c r="O312" s="35">
        <f>IF($A312="","",IF($M312="","",MAX(0,$M312-$N312)))</f>
        <v/>
      </c>
      <c r="P312" s="35">
        <f>IF($A312="","",IFERROR(SUMPRODUCT(--("0"&amp;TRIM(RIGHT(SUBSTITUTE(LEFT(";"&amp;SUBSTITUTE(UPPER(Auftrag!$AG312)," ","")&amp;";"&amp;"X"&amp;UPPER(Gewinde!$A$5:$A$54)&amp;";",SEARCH("X"&amp;UPPER(Gewinde!$A$5:$A$54)&amp;";",";"&amp;SUBSTITUTE(UPPER(Auftrag!$AG312)," ","")&amp;";"&amp;"X"&amp;UPPER(Gewinde!$A$5:$A$54)&amp;";")-1),";",REPT(" ",50)),50))),Gewinde!$C$5:$C$54),0))</f>
        <v/>
      </c>
      <c r="Q312" s="33">
        <f>IF($A312="","",(N($O312)+$P312)/3600*N(Auftrag!$H$8))</f>
        <v/>
      </c>
      <c r="R312" s="33">
        <f>IF($A312="","",IF($F$8=0,0,$F$7/$F$8))</f>
        <v/>
      </c>
      <c r="S312" s="33">
        <f>IF($A312="","",$F312*(1+$C$4)+($Q312+$R312)*(1+$C$5))</f>
        <v/>
      </c>
      <c r="T312" s="33">
        <f>IF($A312="","",$S312*(1+$C$6))</f>
        <v/>
      </c>
      <c r="U312" s="18">
        <f>IF($A312="","",$T312*$C312)</f>
        <v/>
      </c>
      <c r="V312" s="18">
        <f>IF($A312="","",$S312*$C312)</f>
        <v/>
      </c>
      <c r="W312" s="28">
        <f>IF($A312="","",IF(N(Auftrag!$AO312)&gt;0,"nicht vollständig eingeplant",IF($D312=0,"kein Schnittplan oder Preis",IF($H312="","keine Schneiddaten",IF(AND(Auftrag!$AF312&lt;&gt;"",Auftrag!$AG312=""),"Gewinde ungeprüft","")))))</f>
        <v/>
      </c>
      <c r="X312" s="18">
        <f>IF($A312="","",$F312*$C312)</f>
        <v/>
      </c>
      <c r="Y312" s="18">
        <f>IF($A312="","",$Q312*$C312)</f>
        <v/>
      </c>
    </row>
    <row r="313">
      <c r="A313" s="25">
        <f>IF(Auftrag!$D313="","",Auftrag!$A313)</f>
        <v/>
      </c>
      <c r="B313" s="25">
        <f>IF($A313="","",Auftrag!$B313)</f>
        <v/>
      </c>
      <c r="C313" s="15">
        <f>IF($A313="","",N(Auftrag!$G313))</f>
        <v/>
      </c>
      <c r="D313" s="18">
        <f>IF($A313="","",SUMIFS(Schnittplan!$R$5:$R$1004,Schnittplan!$B$5:$B$1004,Auftrag!$D313,Schnittplan!$C$5:$C$1004,Auftrag!$E313,Schnittplan!$D$5:$D$1004,Auftrag!$Q313))</f>
        <v/>
      </c>
      <c r="E313" s="32">
        <f>IF($A313="","",IFERROR(N(Auftrag!$P313)/SUMIFS(Auftrag!$P$13:$P$512,Auftrag!$D$13:$D$512,Auftrag!$D313,Auftrag!$E$13:$E$512,Auftrag!$E313,Auftrag!$Q$13:$Q$512,Auftrag!$Q313),0))</f>
        <v/>
      </c>
      <c r="F313" s="33">
        <f>IF($A313="","",IF($C313=0,0,$D313*$E313/$C313))</f>
        <v/>
      </c>
      <c r="G313" s="34">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5">
        <f>IF($A313="","",IF($H313="","",60*((N(Auftrag!$H313)-N(Auftrag!$AI313)-N(Auftrag!$AK313))/$H313+N(Auftrag!$AI313)/$J313+N(Auftrag!$AK313)/$I313+N(Auftrag!$AD313)/$K313)+N(Auftrag!$I313)*$L313))</f>
        <v/>
      </c>
      <c r="N313" s="35">
        <f>IF($A313="","",IF(OR($H313="",$C313=0),0,(60*SUMIFS(Stangenbelegung!$K$5:$K$10004,Stangenbelegung!$E$5:$E$10004,ROW())/$H313+SUMIFS(Stangenbelegung!$L$5:$L$10004,Stangenbelegung!$E$5:$E$10004,ROW())*$L313)/$C313))</f>
        <v/>
      </c>
      <c r="O313" s="35">
        <f>IF($A313="","",IF($M313="","",MAX(0,$M313-$N313)))</f>
        <v/>
      </c>
      <c r="P313" s="35">
        <f>IF($A313="","",IFERROR(SUMPRODUCT(--("0"&amp;TRIM(RIGHT(SUBSTITUTE(LEFT(";"&amp;SUBSTITUTE(UPPER(Auftrag!$AG313)," ","")&amp;";"&amp;"X"&amp;UPPER(Gewinde!$A$5:$A$54)&amp;";",SEARCH("X"&amp;UPPER(Gewinde!$A$5:$A$54)&amp;";",";"&amp;SUBSTITUTE(UPPER(Auftrag!$AG313)," ","")&amp;";"&amp;"X"&amp;UPPER(Gewinde!$A$5:$A$54)&amp;";")-1),";",REPT(" ",50)),50))),Gewinde!$C$5:$C$54),0))</f>
        <v/>
      </c>
      <c r="Q313" s="33">
        <f>IF($A313="","",(N($O313)+$P313)/3600*N(Auftrag!$H$8))</f>
        <v/>
      </c>
      <c r="R313" s="33">
        <f>IF($A313="","",IF($F$8=0,0,$F$7/$F$8))</f>
        <v/>
      </c>
      <c r="S313" s="33">
        <f>IF($A313="","",$F313*(1+$C$4)+($Q313+$R313)*(1+$C$5))</f>
        <v/>
      </c>
      <c r="T313" s="33">
        <f>IF($A313="","",$S313*(1+$C$6))</f>
        <v/>
      </c>
      <c r="U313" s="18">
        <f>IF($A313="","",$T313*$C313)</f>
        <v/>
      </c>
      <c r="V313" s="18">
        <f>IF($A313="","",$S313*$C313)</f>
        <v/>
      </c>
      <c r="W313" s="28">
        <f>IF($A313="","",IF(N(Auftrag!$AO313)&gt;0,"nicht vollständig eingeplant",IF($D313=0,"kein Schnittplan oder Preis",IF($H313="","keine Schneiddaten",IF(AND(Auftrag!$AF313&lt;&gt;"",Auftrag!$AG313=""),"Gewinde ungeprüft","")))))</f>
        <v/>
      </c>
      <c r="X313" s="18">
        <f>IF($A313="","",$F313*$C313)</f>
        <v/>
      </c>
      <c r="Y313" s="18">
        <f>IF($A313="","",$Q313*$C313)</f>
        <v/>
      </c>
    </row>
    <row r="314">
      <c r="A314" s="25">
        <f>IF(Auftrag!$D314="","",Auftrag!$A314)</f>
        <v/>
      </c>
      <c r="B314" s="25">
        <f>IF($A314="","",Auftrag!$B314)</f>
        <v/>
      </c>
      <c r="C314" s="15">
        <f>IF($A314="","",N(Auftrag!$G314))</f>
        <v/>
      </c>
      <c r="D314" s="18">
        <f>IF($A314="","",SUMIFS(Schnittplan!$R$5:$R$1004,Schnittplan!$B$5:$B$1004,Auftrag!$D314,Schnittplan!$C$5:$C$1004,Auftrag!$E314,Schnittplan!$D$5:$D$1004,Auftrag!$Q314))</f>
        <v/>
      </c>
      <c r="E314" s="32">
        <f>IF($A314="","",IFERROR(N(Auftrag!$P314)/SUMIFS(Auftrag!$P$13:$P$512,Auftrag!$D$13:$D$512,Auftrag!$D314,Auftrag!$E$13:$E$512,Auftrag!$E314,Auftrag!$Q$13:$Q$512,Auftrag!$Q314),0))</f>
        <v/>
      </c>
      <c r="F314" s="33">
        <f>IF($A314="","",IF($C314=0,0,$D314*$E314/$C314))</f>
        <v/>
      </c>
      <c r="G314" s="34">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5">
        <f>IF($A314="","",IF($H314="","",60*((N(Auftrag!$H314)-N(Auftrag!$AI314)-N(Auftrag!$AK314))/$H314+N(Auftrag!$AI314)/$J314+N(Auftrag!$AK314)/$I314+N(Auftrag!$AD314)/$K314)+N(Auftrag!$I314)*$L314))</f>
        <v/>
      </c>
      <c r="N314" s="35">
        <f>IF($A314="","",IF(OR($H314="",$C314=0),0,(60*SUMIFS(Stangenbelegung!$K$5:$K$10004,Stangenbelegung!$E$5:$E$10004,ROW())/$H314+SUMIFS(Stangenbelegung!$L$5:$L$10004,Stangenbelegung!$E$5:$E$10004,ROW())*$L314)/$C314))</f>
        <v/>
      </c>
      <c r="O314" s="35">
        <f>IF($A314="","",IF($M314="","",MAX(0,$M314-$N314)))</f>
        <v/>
      </c>
      <c r="P314" s="35">
        <f>IF($A314="","",IFERROR(SUMPRODUCT(--("0"&amp;TRIM(RIGHT(SUBSTITUTE(LEFT(";"&amp;SUBSTITUTE(UPPER(Auftrag!$AG314)," ","")&amp;";"&amp;"X"&amp;UPPER(Gewinde!$A$5:$A$54)&amp;";",SEARCH("X"&amp;UPPER(Gewinde!$A$5:$A$54)&amp;";",";"&amp;SUBSTITUTE(UPPER(Auftrag!$AG314)," ","")&amp;";"&amp;"X"&amp;UPPER(Gewinde!$A$5:$A$54)&amp;";")-1),";",REPT(" ",50)),50))),Gewinde!$C$5:$C$54),0))</f>
        <v/>
      </c>
      <c r="Q314" s="33">
        <f>IF($A314="","",(N($O314)+$P314)/3600*N(Auftrag!$H$8))</f>
        <v/>
      </c>
      <c r="R314" s="33">
        <f>IF($A314="","",IF($F$8=0,0,$F$7/$F$8))</f>
        <v/>
      </c>
      <c r="S314" s="33">
        <f>IF($A314="","",$F314*(1+$C$4)+($Q314+$R314)*(1+$C$5))</f>
        <v/>
      </c>
      <c r="T314" s="33">
        <f>IF($A314="","",$S314*(1+$C$6))</f>
        <v/>
      </c>
      <c r="U314" s="18">
        <f>IF($A314="","",$T314*$C314)</f>
        <v/>
      </c>
      <c r="V314" s="18">
        <f>IF($A314="","",$S314*$C314)</f>
        <v/>
      </c>
      <c r="W314" s="28">
        <f>IF($A314="","",IF(N(Auftrag!$AO314)&gt;0,"nicht vollständig eingeplant",IF($D314=0,"kein Schnittplan oder Preis",IF($H314="","keine Schneiddaten",IF(AND(Auftrag!$AF314&lt;&gt;"",Auftrag!$AG314=""),"Gewinde ungeprüft","")))))</f>
        <v/>
      </c>
      <c r="X314" s="18">
        <f>IF($A314="","",$F314*$C314)</f>
        <v/>
      </c>
      <c r="Y314" s="18">
        <f>IF($A314="","",$Q314*$C314)</f>
        <v/>
      </c>
    </row>
    <row r="315">
      <c r="A315" s="25">
        <f>IF(Auftrag!$D315="","",Auftrag!$A315)</f>
        <v/>
      </c>
      <c r="B315" s="25">
        <f>IF($A315="","",Auftrag!$B315)</f>
        <v/>
      </c>
      <c r="C315" s="15">
        <f>IF($A315="","",N(Auftrag!$G315))</f>
        <v/>
      </c>
      <c r="D315" s="18">
        <f>IF($A315="","",SUMIFS(Schnittplan!$R$5:$R$1004,Schnittplan!$B$5:$B$1004,Auftrag!$D315,Schnittplan!$C$5:$C$1004,Auftrag!$E315,Schnittplan!$D$5:$D$1004,Auftrag!$Q315))</f>
        <v/>
      </c>
      <c r="E315" s="32">
        <f>IF($A315="","",IFERROR(N(Auftrag!$P315)/SUMIFS(Auftrag!$P$13:$P$512,Auftrag!$D$13:$D$512,Auftrag!$D315,Auftrag!$E$13:$E$512,Auftrag!$E315,Auftrag!$Q$13:$Q$512,Auftrag!$Q315),0))</f>
        <v/>
      </c>
      <c r="F315" s="33">
        <f>IF($A315="","",IF($C315=0,0,$D315*$E315/$C315))</f>
        <v/>
      </c>
      <c r="G315" s="34">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5">
        <f>IF($A315="","",IF($H315="","",60*((N(Auftrag!$H315)-N(Auftrag!$AI315)-N(Auftrag!$AK315))/$H315+N(Auftrag!$AI315)/$J315+N(Auftrag!$AK315)/$I315+N(Auftrag!$AD315)/$K315)+N(Auftrag!$I315)*$L315))</f>
        <v/>
      </c>
      <c r="N315" s="35">
        <f>IF($A315="","",IF(OR($H315="",$C315=0),0,(60*SUMIFS(Stangenbelegung!$K$5:$K$10004,Stangenbelegung!$E$5:$E$10004,ROW())/$H315+SUMIFS(Stangenbelegung!$L$5:$L$10004,Stangenbelegung!$E$5:$E$10004,ROW())*$L315)/$C315))</f>
        <v/>
      </c>
      <c r="O315" s="35">
        <f>IF($A315="","",IF($M315="","",MAX(0,$M315-$N315)))</f>
        <v/>
      </c>
      <c r="P315" s="35">
        <f>IF($A315="","",IFERROR(SUMPRODUCT(--("0"&amp;TRIM(RIGHT(SUBSTITUTE(LEFT(";"&amp;SUBSTITUTE(UPPER(Auftrag!$AG315)," ","")&amp;";"&amp;"X"&amp;UPPER(Gewinde!$A$5:$A$54)&amp;";",SEARCH("X"&amp;UPPER(Gewinde!$A$5:$A$54)&amp;";",";"&amp;SUBSTITUTE(UPPER(Auftrag!$AG315)," ","")&amp;";"&amp;"X"&amp;UPPER(Gewinde!$A$5:$A$54)&amp;";")-1),";",REPT(" ",50)),50))),Gewinde!$C$5:$C$54),0))</f>
        <v/>
      </c>
      <c r="Q315" s="33">
        <f>IF($A315="","",(N($O315)+$P315)/3600*N(Auftrag!$H$8))</f>
        <v/>
      </c>
      <c r="R315" s="33">
        <f>IF($A315="","",IF($F$8=0,0,$F$7/$F$8))</f>
        <v/>
      </c>
      <c r="S315" s="33">
        <f>IF($A315="","",$F315*(1+$C$4)+($Q315+$R315)*(1+$C$5))</f>
        <v/>
      </c>
      <c r="T315" s="33">
        <f>IF($A315="","",$S315*(1+$C$6))</f>
        <v/>
      </c>
      <c r="U315" s="18">
        <f>IF($A315="","",$T315*$C315)</f>
        <v/>
      </c>
      <c r="V315" s="18">
        <f>IF($A315="","",$S315*$C315)</f>
        <v/>
      </c>
      <c r="W315" s="28">
        <f>IF($A315="","",IF(N(Auftrag!$AO315)&gt;0,"nicht vollständig eingeplant",IF($D315=0,"kein Schnittplan oder Preis",IF($H315="","keine Schneiddaten",IF(AND(Auftrag!$AF315&lt;&gt;"",Auftrag!$AG315=""),"Gewinde ungeprüft","")))))</f>
        <v/>
      </c>
      <c r="X315" s="18">
        <f>IF($A315="","",$F315*$C315)</f>
        <v/>
      </c>
      <c r="Y315" s="18">
        <f>IF($A315="","",$Q315*$C315)</f>
        <v/>
      </c>
    </row>
    <row r="316">
      <c r="A316" s="25">
        <f>IF(Auftrag!$D316="","",Auftrag!$A316)</f>
        <v/>
      </c>
      <c r="B316" s="25">
        <f>IF($A316="","",Auftrag!$B316)</f>
        <v/>
      </c>
      <c r="C316" s="15">
        <f>IF($A316="","",N(Auftrag!$G316))</f>
        <v/>
      </c>
      <c r="D316" s="18">
        <f>IF($A316="","",SUMIFS(Schnittplan!$R$5:$R$1004,Schnittplan!$B$5:$B$1004,Auftrag!$D316,Schnittplan!$C$5:$C$1004,Auftrag!$E316,Schnittplan!$D$5:$D$1004,Auftrag!$Q316))</f>
        <v/>
      </c>
      <c r="E316" s="32">
        <f>IF($A316="","",IFERROR(N(Auftrag!$P316)/SUMIFS(Auftrag!$P$13:$P$512,Auftrag!$D$13:$D$512,Auftrag!$D316,Auftrag!$E$13:$E$512,Auftrag!$E316,Auftrag!$Q$13:$Q$512,Auftrag!$Q316),0))</f>
        <v/>
      </c>
      <c r="F316" s="33">
        <f>IF($A316="","",IF($C316=0,0,$D316*$E316/$C316))</f>
        <v/>
      </c>
      <c r="G316" s="34">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5">
        <f>IF($A316="","",IF($H316="","",60*((N(Auftrag!$H316)-N(Auftrag!$AI316)-N(Auftrag!$AK316))/$H316+N(Auftrag!$AI316)/$J316+N(Auftrag!$AK316)/$I316+N(Auftrag!$AD316)/$K316)+N(Auftrag!$I316)*$L316))</f>
        <v/>
      </c>
      <c r="N316" s="35">
        <f>IF($A316="","",IF(OR($H316="",$C316=0),0,(60*SUMIFS(Stangenbelegung!$K$5:$K$10004,Stangenbelegung!$E$5:$E$10004,ROW())/$H316+SUMIFS(Stangenbelegung!$L$5:$L$10004,Stangenbelegung!$E$5:$E$10004,ROW())*$L316)/$C316))</f>
        <v/>
      </c>
      <c r="O316" s="35">
        <f>IF($A316="","",IF($M316="","",MAX(0,$M316-$N316)))</f>
        <v/>
      </c>
      <c r="P316" s="35">
        <f>IF($A316="","",IFERROR(SUMPRODUCT(--("0"&amp;TRIM(RIGHT(SUBSTITUTE(LEFT(";"&amp;SUBSTITUTE(UPPER(Auftrag!$AG316)," ","")&amp;";"&amp;"X"&amp;UPPER(Gewinde!$A$5:$A$54)&amp;";",SEARCH("X"&amp;UPPER(Gewinde!$A$5:$A$54)&amp;";",";"&amp;SUBSTITUTE(UPPER(Auftrag!$AG316)," ","")&amp;";"&amp;"X"&amp;UPPER(Gewinde!$A$5:$A$54)&amp;";")-1),";",REPT(" ",50)),50))),Gewinde!$C$5:$C$54),0))</f>
        <v/>
      </c>
      <c r="Q316" s="33">
        <f>IF($A316="","",(N($O316)+$P316)/3600*N(Auftrag!$H$8))</f>
        <v/>
      </c>
      <c r="R316" s="33">
        <f>IF($A316="","",IF($F$8=0,0,$F$7/$F$8))</f>
        <v/>
      </c>
      <c r="S316" s="33">
        <f>IF($A316="","",$F316*(1+$C$4)+($Q316+$R316)*(1+$C$5))</f>
        <v/>
      </c>
      <c r="T316" s="33">
        <f>IF($A316="","",$S316*(1+$C$6))</f>
        <v/>
      </c>
      <c r="U316" s="18">
        <f>IF($A316="","",$T316*$C316)</f>
        <v/>
      </c>
      <c r="V316" s="18">
        <f>IF($A316="","",$S316*$C316)</f>
        <v/>
      </c>
      <c r="W316" s="28">
        <f>IF($A316="","",IF(N(Auftrag!$AO316)&gt;0,"nicht vollständig eingeplant",IF($D316=0,"kein Schnittplan oder Preis",IF($H316="","keine Schneiddaten",IF(AND(Auftrag!$AF316&lt;&gt;"",Auftrag!$AG316=""),"Gewinde ungeprüft","")))))</f>
        <v/>
      </c>
      <c r="X316" s="18">
        <f>IF($A316="","",$F316*$C316)</f>
        <v/>
      </c>
      <c r="Y316" s="18">
        <f>IF($A316="","",$Q316*$C316)</f>
        <v/>
      </c>
    </row>
    <row r="317">
      <c r="A317" s="25">
        <f>IF(Auftrag!$D317="","",Auftrag!$A317)</f>
        <v/>
      </c>
      <c r="B317" s="25">
        <f>IF($A317="","",Auftrag!$B317)</f>
        <v/>
      </c>
      <c r="C317" s="15">
        <f>IF($A317="","",N(Auftrag!$G317))</f>
        <v/>
      </c>
      <c r="D317" s="18">
        <f>IF($A317="","",SUMIFS(Schnittplan!$R$5:$R$1004,Schnittplan!$B$5:$B$1004,Auftrag!$D317,Schnittplan!$C$5:$C$1004,Auftrag!$E317,Schnittplan!$D$5:$D$1004,Auftrag!$Q317))</f>
        <v/>
      </c>
      <c r="E317" s="32">
        <f>IF($A317="","",IFERROR(N(Auftrag!$P317)/SUMIFS(Auftrag!$P$13:$P$512,Auftrag!$D$13:$D$512,Auftrag!$D317,Auftrag!$E$13:$E$512,Auftrag!$E317,Auftrag!$Q$13:$Q$512,Auftrag!$Q317),0))</f>
        <v/>
      </c>
      <c r="F317" s="33">
        <f>IF($A317="","",IF($C317=0,0,$D317*$E317/$C317))</f>
        <v/>
      </c>
      <c r="G317" s="34">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5">
        <f>IF($A317="","",IF($H317="","",60*((N(Auftrag!$H317)-N(Auftrag!$AI317)-N(Auftrag!$AK317))/$H317+N(Auftrag!$AI317)/$J317+N(Auftrag!$AK317)/$I317+N(Auftrag!$AD317)/$K317)+N(Auftrag!$I317)*$L317))</f>
        <v/>
      </c>
      <c r="N317" s="35">
        <f>IF($A317="","",IF(OR($H317="",$C317=0),0,(60*SUMIFS(Stangenbelegung!$K$5:$K$10004,Stangenbelegung!$E$5:$E$10004,ROW())/$H317+SUMIFS(Stangenbelegung!$L$5:$L$10004,Stangenbelegung!$E$5:$E$10004,ROW())*$L317)/$C317))</f>
        <v/>
      </c>
      <c r="O317" s="35">
        <f>IF($A317="","",IF($M317="","",MAX(0,$M317-$N317)))</f>
        <v/>
      </c>
      <c r="P317" s="35">
        <f>IF($A317="","",IFERROR(SUMPRODUCT(--("0"&amp;TRIM(RIGHT(SUBSTITUTE(LEFT(";"&amp;SUBSTITUTE(UPPER(Auftrag!$AG317)," ","")&amp;";"&amp;"X"&amp;UPPER(Gewinde!$A$5:$A$54)&amp;";",SEARCH("X"&amp;UPPER(Gewinde!$A$5:$A$54)&amp;";",";"&amp;SUBSTITUTE(UPPER(Auftrag!$AG317)," ","")&amp;";"&amp;"X"&amp;UPPER(Gewinde!$A$5:$A$54)&amp;";")-1),";",REPT(" ",50)),50))),Gewinde!$C$5:$C$54),0))</f>
        <v/>
      </c>
      <c r="Q317" s="33">
        <f>IF($A317="","",(N($O317)+$P317)/3600*N(Auftrag!$H$8))</f>
        <v/>
      </c>
      <c r="R317" s="33">
        <f>IF($A317="","",IF($F$8=0,0,$F$7/$F$8))</f>
        <v/>
      </c>
      <c r="S317" s="33">
        <f>IF($A317="","",$F317*(1+$C$4)+($Q317+$R317)*(1+$C$5))</f>
        <v/>
      </c>
      <c r="T317" s="33">
        <f>IF($A317="","",$S317*(1+$C$6))</f>
        <v/>
      </c>
      <c r="U317" s="18">
        <f>IF($A317="","",$T317*$C317)</f>
        <v/>
      </c>
      <c r="V317" s="18">
        <f>IF($A317="","",$S317*$C317)</f>
        <v/>
      </c>
      <c r="W317" s="28">
        <f>IF($A317="","",IF(N(Auftrag!$AO317)&gt;0,"nicht vollständig eingeplant",IF($D317=0,"kein Schnittplan oder Preis",IF($H317="","keine Schneiddaten",IF(AND(Auftrag!$AF317&lt;&gt;"",Auftrag!$AG317=""),"Gewinde ungeprüft","")))))</f>
        <v/>
      </c>
      <c r="X317" s="18">
        <f>IF($A317="","",$F317*$C317)</f>
        <v/>
      </c>
      <c r="Y317" s="18">
        <f>IF($A317="","",$Q317*$C317)</f>
        <v/>
      </c>
    </row>
    <row r="318">
      <c r="A318" s="25">
        <f>IF(Auftrag!$D318="","",Auftrag!$A318)</f>
        <v/>
      </c>
      <c r="B318" s="25">
        <f>IF($A318="","",Auftrag!$B318)</f>
        <v/>
      </c>
      <c r="C318" s="15">
        <f>IF($A318="","",N(Auftrag!$G318))</f>
        <v/>
      </c>
      <c r="D318" s="18">
        <f>IF($A318="","",SUMIFS(Schnittplan!$R$5:$R$1004,Schnittplan!$B$5:$B$1004,Auftrag!$D318,Schnittplan!$C$5:$C$1004,Auftrag!$E318,Schnittplan!$D$5:$D$1004,Auftrag!$Q318))</f>
        <v/>
      </c>
      <c r="E318" s="32">
        <f>IF($A318="","",IFERROR(N(Auftrag!$P318)/SUMIFS(Auftrag!$P$13:$P$512,Auftrag!$D$13:$D$512,Auftrag!$D318,Auftrag!$E$13:$E$512,Auftrag!$E318,Auftrag!$Q$13:$Q$512,Auftrag!$Q318),0))</f>
        <v/>
      </c>
      <c r="F318" s="33">
        <f>IF($A318="","",IF($C318=0,0,$D318*$E318/$C318))</f>
        <v/>
      </c>
      <c r="G318" s="34">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5">
        <f>IF($A318="","",IF($H318="","",60*((N(Auftrag!$H318)-N(Auftrag!$AI318)-N(Auftrag!$AK318))/$H318+N(Auftrag!$AI318)/$J318+N(Auftrag!$AK318)/$I318+N(Auftrag!$AD318)/$K318)+N(Auftrag!$I318)*$L318))</f>
        <v/>
      </c>
      <c r="N318" s="35">
        <f>IF($A318="","",IF(OR($H318="",$C318=0),0,(60*SUMIFS(Stangenbelegung!$K$5:$K$10004,Stangenbelegung!$E$5:$E$10004,ROW())/$H318+SUMIFS(Stangenbelegung!$L$5:$L$10004,Stangenbelegung!$E$5:$E$10004,ROW())*$L318)/$C318))</f>
        <v/>
      </c>
      <c r="O318" s="35">
        <f>IF($A318="","",IF($M318="","",MAX(0,$M318-$N318)))</f>
        <v/>
      </c>
      <c r="P318" s="35">
        <f>IF($A318="","",IFERROR(SUMPRODUCT(--("0"&amp;TRIM(RIGHT(SUBSTITUTE(LEFT(";"&amp;SUBSTITUTE(UPPER(Auftrag!$AG318)," ","")&amp;";"&amp;"X"&amp;UPPER(Gewinde!$A$5:$A$54)&amp;";",SEARCH("X"&amp;UPPER(Gewinde!$A$5:$A$54)&amp;";",";"&amp;SUBSTITUTE(UPPER(Auftrag!$AG318)," ","")&amp;";"&amp;"X"&amp;UPPER(Gewinde!$A$5:$A$54)&amp;";")-1),";",REPT(" ",50)),50))),Gewinde!$C$5:$C$54),0))</f>
        <v/>
      </c>
      <c r="Q318" s="33">
        <f>IF($A318="","",(N($O318)+$P318)/3600*N(Auftrag!$H$8))</f>
        <v/>
      </c>
      <c r="R318" s="33">
        <f>IF($A318="","",IF($F$8=0,0,$F$7/$F$8))</f>
        <v/>
      </c>
      <c r="S318" s="33">
        <f>IF($A318="","",$F318*(1+$C$4)+($Q318+$R318)*(1+$C$5))</f>
        <v/>
      </c>
      <c r="T318" s="33">
        <f>IF($A318="","",$S318*(1+$C$6))</f>
        <v/>
      </c>
      <c r="U318" s="18">
        <f>IF($A318="","",$T318*$C318)</f>
        <v/>
      </c>
      <c r="V318" s="18">
        <f>IF($A318="","",$S318*$C318)</f>
        <v/>
      </c>
      <c r="W318" s="28">
        <f>IF($A318="","",IF(N(Auftrag!$AO318)&gt;0,"nicht vollständig eingeplant",IF($D318=0,"kein Schnittplan oder Preis",IF($H318="","keine Schneiddaten",IF(AND(Auftrag!$AF318&lt;&gt;"",Auftrag!$AG318=""),"Gewinde ungeprüft","")))))</f>
        <v/>
      </c>
      <c r="X318" s="18">
        <f>IF($A318="","",$F318*$C318)</f>
        <v/>
      </c>
      <c r="Y318" s="18">
        <f>IF($A318="","",$Q318*$C318)</f>
        <v/>
      </c>
    </row>
    <row r="319">
      <c r="A319" s="25">
        <f>IF(Auftrag!$D319="","",Auftrag!$A319)</f>
        <v/>
      </c>
      <c r="B319" s="25">
        <f>IF($A319="","",Auftrag!$B319)</f>
        <v/>
      </c>
      <c r="C319" s="15">
        <f>IF($A319="","",N(Auftrag!$G319))</f>
        <v/>
      </c>
      <c r="D319" s="18">
        <f>IF($A319="","",SUMIFS(Schnittplan!$R$5:$R$1004,Schnittplan!$B$5:$B$1004,Auftrag!$D319,Schnittplan!$C$5:$C$1004,Auftrag!$E319,Schnittplan!$D$5:$D$1004,Auftrag!$Q319))</f>
        <v/>
      </c>
      <c r="E319" s="32">
        <f>IF($A319="","",IFERROR(N(Auftrag!$P319)/SUMIFS(Auftrag!$P$13:$P$512,Auftrag!$D$13:$D$512,Auftrag!$D319,Auftrag!$E$13:$E$512,Auftrag!$E319,Auftrag!$Q$13:$Q$512,Auftrag!$Q319),0))</f>
        <v/>
      </c>
      <c r="F319" s="33">
        <f>IF($A319="","",IF($C319=0,0,$D319*$E319/$C319))</f>
        <v/>
      </c>
      <c r="G319" s="34">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5">
        <f>IF($A319="","",IF($H319="","",60*((N(Auftrag!$H319)-N(Auftrag!$AI319)-N(Auftrag!$AK319))/$H319+N(Auftrag!$AI319)/$J319+N(Auftrag!$AK319)/$I319+N(Auftrag!$AD319)/$K319)+N(Auftrag!$I319)*$L319))</f>
        <v/>
      </c>
      <c r="N319" s="35">
        <f>IF($A319="","",IF(OR($H319="",$C319=0),0,(60*SUMIFS(Stangenbelegung!$K$5:$K$10004,Stangenbelegung!$E$5:$E$10004,ROW())/$H319+SUMIFS(Stangenbelegung!$L$5:$L$10004,Stangenbelegung!$E$5:$E$10004,ROW())*$L319)/$C319))</f>
        <v/>
      </c>
      <c r="O319" s="35">
        <f>IF($A319="","",IF($M319="","",MAX(0,$M319-$N319)))</f>
        <v/>
      </c>
      <c r="P319" s="35">
        <f>IF($A319="","",IFERROR(SUMPRODUCT(--("0"&amp;TRIM(RIGHT(SUBSTITUTE(LEFT(";"&amp;SUBSTITUTE(UPPER(Auftrag!$AG319)," ","")&amp;";"&amp;"X"&amp;UPPER(Gewinde!$A$5:$A$54)&amp;";",SEARCH("X"&amp;UPPER(Gewinde!$A$5:$A$54)&amp;";",";"&amp;SUBSTITUTE(UPPER(Auftrag!$AG319)," ","")&amp;";"&amp;"X"&amp;UPPER(Gewinde!$A$5:$A$54)&amp;";")-1),";",REPT(" ",50)),50))),Gewinde!$C$5:$C$54),0))</f>
        <v/>
      </c>
      <c r="Q319" s="33">
        <f>IF($A319="","",(N($O319)+$P319)/3600*N(Auftrag!$H$8))</f>
        <v/>
      </c>
      <c r="R319" s="33">
        <f>IF($A319="","",IF($F$8=0,0,$F$7/$F$8))</f>
        <v/>
      </c>
      <c r="S319" s="33">
        <f>IF($A319="","",$F319*(1+$C$4)+($Q319+$R319)*(1+$C$5))</f>
        <v/>
      </c>
      <c r="T319" s="33">
        <f>IF($A319="","",$S319*(1+$C$6))</f>
        <v/>
      </c>
      <c r="U319" s="18">
        <f>IF($A319="","",$T319*$C319)</f>
        <v/>
      </c>
      <c r="V319" s="18">
        <f>IF($A319="","",$S319*$C319)</f>
        <v/>
      </c>
      <c r="W319" s="28">
        <f>IF($A319="","",IF(N(Auftrag!$AO319)&gt;0,"nicht vollständig eingeplant",IF($D319=0,"kein Schnittplan oder Preis",IF($H319="","keine Schneiddaten",IF(AND(Auftrag!$AF319&lt;&gt;"",Auftrag!$AG319=""),"Gewinde ungeprüft","")))))</f>
        <v/>
      </c>
      <c r="X319" s="18">
        <f>IF($A319="","",$F319*$C319)</f>
        <v/>
      </c>
      <c r="Y319" s="18">
        <f>IF($A319="","",$Q319*$C319)</f>
        <v/>
      </c>
    </row>
    <row r="320">
      <c r="A320" s="25">
        <f>IF(Auftrag!$D320="","",Auftrag!$A320)</f>
        <v/>
      </c>
      <c r="B320" s="25">
        <f>IF($A320="","",Auftrag!$B320)</f>
        <v/>
      </c>
      <c r="C320" s="15">
        <f>IF($A320="","",N(Auftrag!$G320))</f>
        <v/>
      </c>
      <c r="D320" s="18">
        <f>IF($A320="","",SUMIFS(Schnittplan!$R$5:$R$1004,Schnittplan!$B$5:$B$1004,Auftrag!$D320,Schnittplan!$C$5:$C$1004,Auftrag!$E320,Schnittplan!$D$5:$D$1004,Auftrag!$Q320))</f>
        <v/>
      </c>
      <c r="E320" s="32">
        <f>IF($A320="","",IFERROR(N(Auftrag!$P320)/SUMIFS(Auftrag!$P$13:$P$512,Auftrag!$D$13:$D$512,Auftrag!$D320,Auftrag!$E$13:$E$512,Auftrag!$E320,Auftrag!$Q$13:$Q$512,Auftrag!$Q320),0))</f>
        <v/>
      </c>
      <c r="F320" s="33">
        <f>IF($A320="","",IF($C320=0,0,$D320*$E320/$C320))</f>
        <v/>
      </c>
      <c r="G320" s="34">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5">
        <f>IF($A320="","",IF($H320="","",60*((N(Auftrag!$H320)-N(Auftrag!$AI320)-N(Auftrag!$AK320))/$H320+N(Auftrag!$AI320)/$J320+N(Auftrag!$AK320)/$I320+N(Auftrag!$AD320)/$K320)+N(Auftrag!$I320)*$L320))</f>
        <v/>
      </c>
      <c r="N320" s="35">
        <f>IF($A320="","",IF(OR($H320="",$C320=0),0,(60*SUMIFS(Stangenbelegung!$K$5:$K$10004,Stangenbelegung!$E$5:$E$10004,ROW())/$H320+SUMIFS(Stangenbelegung!$L$5:$L$10004,Stangenbelegung!$E$5:$E$10004,ROW())*$L320)/$C320))</f>
        <v/>
      </c>
      <c r="O320" s="35">
        <f>IF($A320="","",IF($M320="","",MAX(0,$M320-$N320)))</f>
        <v/>
      </c>
      <c r="P320" s="35">
        <f>IF($A320="","",IFERROR(SUMPRODUCT(--("0"&amp;TRIM(RIGHT(SUBSTITUTE(LEFT(";"&amp;SUBSTITUTE(UPPER(Auftrag!$AG320)," ","")&amp;";"&amp;"X"&amp;UPPER(Gewinde!$A$5:$A$54)&amp;";",SEARCH("X"&amp;UPPER(Gewinde!$A$5:$A$54)&amp;";",";"&amp;SUBSTITUTE(UPPER(Auftrag!$AG320)," ","")&amp;";"&amp;"X"&amp;UPPER(Gewinde!$A$5:$A$54)&amp;";")-1),";",REPT(" ",50)),50))),Gewinde!$C$5:$C$54),0))</f>
        <v/>
      </c>
      <c r="Q320" s="33">
        <f>IF($A320="","",(N($O320)+$P320)/3600*N(Auftrag!$H$8))</f>
        <v/>
      </c>
      <c r="R320" s="33">
        <f>IF($A320="","",IF($F$8=0,0,$F$7/$F$8))</f>
        <v/>
      </c>
      <c r="S320" s="33">
        <f>IF($A320="","",$F320*(1+$C$4)+($Q320+$R320)*(1+$C$5))</f>
        <v/>
      </c>
      <c r="T320" s="33">
        <f>IF($A320="","",$S320*(1+$C$6))</f>
        <v/>
      </c>
      <c r="U320" s="18">
        <f>IF($A320="","",$T320*$C320)</f>
        <v/>
      </c>
      <c r="V320" s="18">
        <f>IF($A320="","",$S320*$C320)</f>
        <v/>
      </c>
      <c r="W320" s="28">
        <f>IF($A320="","",IF(N(Auftrag!$AO320)&gt;0,"nicht vollständig eingeplant",IF($D320=0,"kein Schnittplan oder Preis",IF($H320="","keine Schneiddaten",IF(AND(Auftrag!$AF320&lt;&gt;"",Auftrag!$AG320=""),"Gewinde ungeprüft","")))))</f>
        <v/>
      </c>
      <c r="X320" s="18">
        <f>IF($A320="","",$F320*$C320)</f>
        <v/>
      </c>
      <c r="Y320" s="18">
        <f>IF($A320="","",$Q320*$C320)</f>
        <v/>
      </c>
    </row>
    <row r="321">
      <c r="A321" s="25">
        <f>IF(Auftrag!$D321="","",Auftrag!$A321)</f>
        <v/>
      </c>
      <c r="B321" s="25">
        <f>IF($A321="","",Auftrag!$B321)</f>
        <v/>
      </c>
      <c r="C321" s="15">
        <f>IF($A321="","",N(Auftrag!$G321))</f>
        <v/>
      </c>
      <c r="D321" s="18">
        <f>IF($A321="","",SUMIFS(Schnittplan!$R$5:$R$1004,Schnittplan!$B$5:$B$1004,Auftrag!$D321,Schnittplan!$C$5:$C$1004,Auftrag!$E321,Schnittplan!$D$5:$D$1004,Auftrag!$Q321))</f>
        <v/>
      </c>
      <c r="E321" s="32">
        <f>IF($A321="","",IFERROR(N(Auftrag!$P321)/SUMIFS(Auftrag!$P$13:$P$512,Auftrag!$D$13:$D$512,Auftrag!$D321,Auftrag!$E$13:$E$512,Auftrag!$E321,Auftrag!$Q$13:$Q$512,Auftrag!$Q321),0))</f>
        <v/>
      </c>
      <c r="F321" s="33">
        <f>IF($A321="","",IF($C321=0,0,$D321*$E321/$C321))</f>
        <v/>
      </c>
      <c r="G321" s="34">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5">
        <f>IF($A321="","",IF($H321="","",60*((N(Auftrag!$H321)-N(Auftrag!$AI321)-N(Auftrag!$AK321))/$H321+N(Auftrag!$AI321)/$J321+N(Auftrag!$AK321)/$I321+N(Auftrag!$AD321)/$K321)+N(Auftrag!$I321)*$L321))</f>
        <v/>
      </c>
      <c r="N321" s="35">
        <f>IF($A321="","",IF(OR($H321="",$C321=0),0,(60*SUMIFS(Stangenbelegung!$K$5:$K$10004,Stangenbelegung!$E$5:$E$10004,ROW())/$H321+SUMIFS(Stangenbelegung!$L$5:$L$10004,Stangenbelegung!$E$5:$E$10004,ROW())*$L321)/$C321))</f>
        <v/>
      </c>
      <c r="O321" s="35">
        <f>IF($A321="","",IF($M321="","",MAX(0,$M321-$N321)))</f>
        <v/>
      </c>
      <c r="P321" s="35">
        <f>IF($A321="","",IFERROR(SUMPRODUCT(--("0"&amp;TRIM(RIGHT(SUBSTITUTE(LEFT(";"&amp;SUBSTITUTE(UPPER(Auftrag!$AG321)," ","")&amp;";"&amp;"X"&amp;UPPER(Gewinde!$A$5:$A$54)&amp;";",SEARCH("X"&amp;UPPER(Gewinde!$A$5:$A$54)&amp;";",";"&amp;SUBSTITUTE(UPPER(Auftrag!$AG321)," ","")&amp;";"&amp;"X"&amp;UPPER(Gewinde!$A$5:$A$54)&amp;";")-1),";",REPT(" ",50)),50))),Gewinde!$C$5:$C$54),0))</f>
        <v/>
      </c>
      <c r="Q321" s="33">
        <f>IF($A321="","",(N($O321)+$P321)/3600*N(Auftrag!$H$8))</f>
        <v/>
      </c>
      <c r="R321" s="33">
        <f>IF($A321="","",IF($F$8=0,0,$F$7/$F$8))</f>
        <v/>
      </c>
      <c r="S321" s="33">
        <f>IF($A321="","",$F321*(1+$C$4)+($Q321+$R321)*(1+$C$5))</f>
        <v/>
      </c>
      <c r="T321" s="33">
        <f>IF($A321="","",$S321*(1+$C$6))</f>
        <v/>
      </c>
      <c r="U321" s="18">
        <f>IF($A321="","",$T321*$C321)</f>
        <v/>
      </c>
      <c r="V321" s="18">
        <f>IF($A321="","",$S321*$C321)</f>
        <v/>
      </c>
      <c r="W321" s="28">
        <f>IF($A321="","",IF(N(Auftrag!$AO321)&gt;0,"nicht vollständig eingeplant",IF($D321=0,"kein Schnittplan oder Preis",IF($H321="","keine Schneiddaten",IF(AND(Auftrag!$AF321&lt;&gt;"",Auftrag!$AG321=""),"Gewinde ungeprüft","")))))</f>
        <v/>
      </c>
      <c r="X321" s="18">
        <f>IF($A321="","",$F321*$C321)</f>
        <v/>
      </c>
      <c r="Y321" s="18">
        <f>IF($A321="","",$Q321*$C321)</f>
        <v/>
      </c>
    </row>
    <row r="322">
      <c r="A322" s="25">
        <f>IF(Auftrag!$D322="","",Auftrag!$A322)</f>
        <v/>
      </c>
      <c r="B322" s="25">
        <f>IF($A322="","",Auftrag!$B322)</f>
        <v/>
      </c>
      <c r="C322" s="15">
        <f>IF($A322="","",N(Auftrag!$G322))</f>
        <v/>
      </c>
      <c r="D322" s="18">
        <f>IF($A322="","",SUMIFS(Schnittplan!$R$5:$R$1004,Schnittplan!$B$5:$B$1004,Auftrag!$D322,Schnittplan!$C$5:$C$1004,Auftrag!$E322,Schnittplan!$D$5:$D$1004,Auftrag!$Q322))</f>
        <v/>
      </c>
      <c r="E322" s="32">
        <f>IF($A322="","",IFERROR(N(Auftrag!$P322)/SUMIFS(Auftrag!$P$13:$P$512,Auftrag!$D$13:$D$512,Auftrag!$D322,Auftrag!$E$13:$E$512,Auftrag!$E322,Auftrag!$Q$13:$Q$512,Auftrag!$Q322),0))</f>
        <v/>
      </c>
      <c r="F322" s="33">
        <f>IF($A322="","",IF($C322=0,0,$D322*$E322/$C322))</f>
        <v/>
      </c>
      <c r="G322" s="34">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5">
        <f>IF($A322="","",IF($H322="","",60*((N(Auftrag!$H322)-N(Auftrag!$AI322)-N(Auftrag!$AK322))/$H322+N(Auftrag!$AI322)/$J322+N(Auftrag!$AK322)/$I322+N(Auftrag!$AD322)/$K322)+N(Auftrag!$I322)*$L322))</f>
        <v/>
      </c>
      <c r="N322" s="35">
        <f>IF($A322="","",IF(OR($H322="",$C322=0),0,(60*SUMIFS(Stangenbelegung!$K$5:$K$10004,Stangenbelegung!$E$5:$E$10004,ROW())/$H322+SUMIFS(Stangenbelegung!$L$5:$L$10004,Stangenbelegung!$E$5:$E$10004,ROW())*$L322)/$C322))</f>
        <v/>
      </c>
      <c r="O322" s="35">
        <f>IF($A322="","",IF($M322="","",MAX(0,$M322-$N322)))</f>
        <v/>
      </c>
      <c r="P322" s="35">
        <f>IF($A322="","",IFERROR(SUMPRODUCT(--("0"&amp;TRIM(RIGHT(SUBSTITUTE(LEFT(";"&amp;SUBSTITUTE(UPPER(Auftrag!$AG322)," ","")&amp;";"&amp;"X"&amp;UPPER(Gewinde!$A$5:$A$54)&amp;";",SEARCH("X"&amp;UPPER(Gewinde!$A$5:$A$54)&amp;";",";"&amp;SUBSTITUTE(UPPER(Auftrag!$AG322)," ","")&amp;";"&amp;"X"&amp;UPPER(Gewinde!$A$5:$A$54)&amp;";")-1),";",REPT(" ",50)),50))),Gewinde!$C$5:$C$54),0))</f>
        <v/>
      </c>
      <c r="Q322" s="33">
        <f>IF($A322="","",(N($O322)+$P322)/3600*N(Auftrag!$H$8))</f>
        <v/>
      </c>
      <c r="R322" s="33">
        <f>IF($A322="","",IF($F$8=0,0,$F$7/$F$8))</f>
        <v/>
      </c>
      <c r="S322" s="33">
        <f>IF($A322="","",$F322*(1+$C$4)+($Q322+$R322)*(1+$C$5))</f>
        <v/>
      </c>
      <c r="T322" s="33">
        <f>IF($A322="","",$S322*(1+$C$6))</f>
        <v/>
      </c>
      <c r="U322" s="18">
        <f>IF($A322="","",$T322*$C322)</f>
        <v/>
      </c>
      <c r="V322" s="18">
        <f>IF($A322="","",$S322*$C322)</f>
        <v/>
      </c>
      <c r="W322" s="28">
        <f>IF($A322="","",IF(N(Auftrag!$AO322)&gt;0,"nicht vollständig eingeplant",IF($D322=0,"kein Schnittplan oder Preis",IF($H322="","keine Schneiddaten",IF(AND(Auftrag!$AF322&lt;&gt;"",Auftrag!$AG322=""),"Gewinde ungeprüft","")))))</f>
        <v/>
      </c>
      <c r="X322" s="18">
        <f>IF($A322="","",$F322*$C322)</f>
        <v/>
      </c>
      <c r="Y322" s="18">
        <f>IF($A322="","",$Q322*$C322)</f>
        <v/>
      </c>
    </row>
    <row r="323">
      <c r="A323" s="25">
        <f>IF(Auftrag!$D323="","",Auftrag!$A323)</f>
        <v/>
      </c>
      <c r="B323" s="25">
        <f>IF($A323="","",Auftrag!$B323)</f>
        <v/>
      </c>
      <c r="C323" s="15">
        <f>IF($A323="","",N(Auftrag!$G323))</f>
        <v/>
      </c>
      <c r="D323" s="18">
        <f>IF($A323="","",SUMIFS(Schnittplan!$R$5:$R$1004,Schnittplan!$B$5:$B$1004,Auftrag!$D323,Schnittplan!$C$5:$C$1004,Auftrag!$E323,Schnittplan!$D$5:$D$1004,Auftrag!$Q323))</f>
        <v/>
      </c>
      <c r="E323" s="32">
        <f>IF($A323="","",IFERROR(N(Auftrag!$P323)/SUMIFS(Auftrag!$P$13:$P$512,Auftrag!$D$13:$D$512,Auftrag!$D323,Auftrag!$E$13:$E$512,Auftrag!$E323,Auftrag!$Q$13:$Q$512,Auftrag!$Q323),0))</f>
        <v/>
      </c>
      <c r="F323" s="33">
        <f>IF($A323="","",IF($C323=0,0,$D323*$E323/$C323))</f>
        <v/>
      </c>
      <c r="G323" s="34">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5">
        <f>IF($A323="","",IF($H323="","",60*((N(Auftrag!$H323)-N(Auftrag!$AI323)-N(Auftrag!$AK323))/$H323+N(Auftrag!$AI323)/$J323+N(Auftrag!$AK323)/$I323+N(Auftrag!$AD323)/$K323)+N(Auftrag!$I323)*$L323))</f>
        <v/>
      </c>
      <c r="N323" s="35">
        <f>IF($A323="","",IF(OR($H323="",$C323=0),0,(60*SUMIFS(Stangenbelegung!$K$5:$K$10004,Stangenbelegung!$E$5:$E$10004,ROW())/$H323+SUMIFS(Stangenbelegung!$L$5:$L$10004,Stangenbelegung!$E$5:$E$10004,ROW())*$L323)/$C323))</f>
        <v/>
      </c>
      <c r="O323" s="35">
        <f>IF($A323="","",IF($M323="","",MAX(0,$M323-$N323)))</f>
        <v/>
      </c>
      <c r="P323" s="35">
        <f>IF($A323="","",IFERROR(SUMPRODUCT(--("0"&amp;TRIM(RIGHT(SUBSTITUTE(LEFT(";"&amp;SUBSTITUTE(UPPER(Auftrag!$AG323)," ","")&amp;";"&amp;"X"&amp;UPPER(Gewinde!$A$5:$A$54)&amp;";",SEARCH("X"&amp;UPPER(Gewinde!$A$5:$A$54)&amp;";",";"&amp;SUBSTITUTE(UPPER(Auftrag!$AG323)," ","")&amp;";"&amp;"X"&amp;UPPER(Gewinde!$A$5:$A$54)&amp;";")-1),";",REPT(" ",50)),50))),Gewinde!$C$5:$C$54),0))</f>
        <v/>
      </c>
      <c r="Q323" s="33">
        <f>IF($A323="","",(N($O323)+$P323)/3600*N(Auftrag!$H$8))</f>
        <v/>
      </c>
      <c r="R323" s="33">
        <f>IF($A323="","",IF($F$8=0,0,$F$7/$F$8))</f>
        <v/>
      </c>
      <c r="S323" s="33">
        <f>IF($A323="","",$F323*(1+$C$4)+($Q323+$R323)*(1+$C$5))</f>
        <v/>
      </c>
      <c r="T323" s="33">
        <f>IF($A323="","",$S323*(1+$C$6))</f>
        <v/>
      </c>
      <c r="U323" s="18">
        <f>IF($A323="","",$T323*$C323)</f>
        <v/>
      </c>
      <c r="V323" s="18">
        <f>IF($A323="","",$S323*$C323)</f>
        <v/>
      </c>
      <c r="W323" s="28">
        <f>IF($A323="","",IF(N(Auftrag!$AO323)&gt;0,"nicht vollständig eingeplant",IF($D323=0,"kein Schnittplan oder Preis",IF($H323="","keine Schneiddaten",IF(AND(Auftrag!$AF323&lt;&gt;"",Auftrag!$AG323=""),"Gewinde ungeprüft","")))))</f>
        <v/>
      </c>
      <c r="X323" s="18">
        <f>IF($A323="","",$F323*$C323)</f>
        <v/>
      </c>
      <c r="Y323" s="18">
        <f>IF($A323="","",$Q323*$C323)</f>
        <v/>
      </c>
    </row>
    <row r="324">
      <c r="A324" s="25">
        <f>IF(Auftrag!$D324="","",Auftrag!$A324)</f>
        <v/>
      </c>
      <c r="B324" s="25">
        <f>IF($A324="","",Auftrag!$B324)</f>
        <v/>
      </c>
      <c r="C324" s="15">
        <f>IF($A324="","",N(Auftrag!$G324))</f>
        <v/>
      </c>
      <c r="D324" s="18">
        <f>IF($A324="","",SUMIFS(Schnittplan!$R$5:$R$1004,Schnittplan!$B$5:$B$1004,Auftrag!$D324,Schnittplan!$C$5:$C$1004,Auftrag!$E324,Schnittplan!$D$5:$D$1004,Auftrag!$Q324))</f>
        <v/>
      </c>
      <c r="E324" s="32">
        <f>IF($A324="","",IFERROR(N(Auftrag!$P324)/SUMIFS(Auftrag!$P$13:$P$512,Auftrag!$D$13:$D$512,Auftrag!$D324,Auftrag!$E$13:$E$512,Auftrag!$E324,Auftrag!$Q$13:$Q$512,Auftrag!$Q324),0))</f>
        <v/>
      </c>
      <c r="F324" s="33">
        <f>IF($A324="","",IF($C324=0,0,$D324*$E324/$C324))</f>
        <v/>
      </c>
      <c r="G324" s="34">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5">
        <f>IF($A324="","",IF($H324="","",60*((N(Auftrag!$H324)-N(Auftrag!$AI324)-N(Auftrag!$AK324))/$H324+N(Auftrag!$AI324)/$J324+N(Auftrag!$AK324)/$I324+N(Auftrag!$AD324)/$K324)+N(Auftrag!$I324)*$L324))</f>
        <v/>
      </c>
      <c r="N324" s="35">
        <f>IF($A324="","",IF(OR($H324="",$C324=0),0,(60*SUMIFS(Stangenbelegung!$K$5:$K$10004,Stangenbelegung!$E$5:$E$10004,ROW())/$H324+SUMIFS(Stangenbelegung!$L$5:$L$10004,Stangenbelegung!$E$5:$E$10004,ROW())*$L324)/$C324))</f>
        <v/>
      </c>
      <c r="O324" s="35">
        <f>IF($A324="","",IF($M324="","",MAX(0,$M324-$N324)))</f>
        <v/>
      </c>
      <c r="P324" s="35">
        <f>IF($A324="","",IFERROR(SUMPRODUCT(--("0"&amp;TRIM(RIGHT(SUBSTITUTE(LEFT(";"&amp;SUBSTITUTE(UPPER(Auftrag!$AG324)," ","")&amp;";"&amp;"X"&amp;UPPER(Gewinde!$A$5:$A$54)&amp;";",SEARCH("X"&amp;UPPER(Gewinde!$A$5:$A$54)&amp;";",";"&amp;SUBSTITUTE(UPPER(Auftrag!$AG324)," ","")&amp;";"&amp;"X"&amp;UPPER(Gewinde!$A$5:$A$54)&amp;";")-1),";",REPT(" ",50)),50))),Gewinde!$C$5:$C$54),0))</f>
        <v/>
      </c>
      <c r="Q324" s="33">
        <f>IF($A324="","",(N($O324)+$P324)/3600*N(Auftrag!$H$8))</f>
        <v/>
      </c>
      <c r="R324" s="33">
        <f>IF($A324="","",IF($F$8=0,0,$F$7/$F$8))</f>
        <v/>
      </c>
      <c r="S324" s="33">
        <f>IF($A324="","",$F324*(1+$C$4)+($Q324+$R324)*(1+$C$5))</f>
        <v/>
      </c>
      <c r="T324" s="33">
        <f>IF($A324="","",$S324*(1+$C$6))</f>
        <v/>
      </c>
      <c r="U324" s="18">
        <f>IF($A324="","",$T324*$C324)</f>
        <v/>
      </c>
      <c r="V324" s="18">
        <f>IF($A324="","",$S324*$C324)</f>
        <v/>
      </c>
      <c r="W324" s="28">
        <f>IF($A324="","",IF(N(Auftrag!$AO324)&gt;0,"nicht vollständig eingeplant",IF($D324=0,"kein Schnittplan oder Preis",IF($H324="","keine Schneiddaten",IF(AND(Auftrag!$AF324&lt;&gt;"",Auftrag!$AG324=""),"Gewinde ungeprüft","")))))</f>
        <v/>
      </c>
      <c r="X324" s="18">
        <f>IF($A324="","",$F324*$C324)</f>
        <v/>
      </c>
      <c r="Y324" s="18">
        <f>IF($A324="","",$Q324*$C324)</f>
        <v/>
      </c>
    </row>
    <row r="325">
      <c r="A325" s="25">
        <f>IF(Auftrag!$D325="","",Auftrag!$A325)</f>
        <v/>
      </c>
      <c r="B325" s="25">
        <f>IF($A325="","",Auftrag!$B325)</f>
        <v/>
      </c>
      <c r="C325" s="15">
        <f>IF($A325="","",N(Auftrag!$G325))</f>
        <v/>
      </c>
      <c r="D325" s="18">
        <f>IF($A325="","",SUMIFS(Schnittplan!$R$5:$R$1004,Schnittplan!$B$5:$B$1004,Auftrag!$D325,Schnittplan!$C$5:$C$1004,Auftrag!$E325,Schnittplan!$D$5:$D$1004,Auftrag!$Q325))</f>
        <v/>
      </c>
      <c r="E325" s="32">
        <f>IF($A325="","",IFERROR(N(Auftrag!$P325)/SUMIFS(Auftrag!$P$13:$P$512,Auftrag!$D$13:$D$512,Auftrag!$D325,Auftrag!$E$13:$E$512,Auftrag!$E325,Auftrag!$Q$13:$Q$512,Auftrag!$Q325),0))</f>
        <v/>
      </c>
      <c r="F325" s="33">
        <f>IF($A325="","",IF($C325=0,0,$D325*$E325/$C325))</f>
        <v/>
      </c>
      <c r="G325" s="34">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5">
        <f>IF($A325="","",IF($H325="","",60*((N(Auftrag!$H325)-N(Auftrag!$AI325)-N(Auftrag!$AK325))/$H325+N(Auftrag!$AI325)/$J325+N(Auftrag!$AK325)/$I325+N(Auftrag!$AD325)/$K325)+N(Auftrag!$I325)*$L325))</f>
        <v/>
      </c>
      <c r="N325" s="35">
        <f>IF($A325="","",IF(OR($H325="",$C325=0),0,(60*SUMIFS(Stangenbelegung!$K$5:$K$10004,Stangenbelegung!$E$5:$E$10004,ROW())/$H325+SUMIFS(Stangenbelegung!$L$5:$L$10004,Stangenbelegung!$E$5:$E$10004,ROW())*$L325)/$C325))</f>
        <v/>
      </c>
      <c r="O325" s="35">
        <f>IF($A325="","",IF($M325="","",MAX(0,$M325-$N325)))</f>
        <v/>
      </c>
      <c r="P325" s="35">
        <f>IF($A325="","",IFERROR(SUMPRODUCT(--("0"&amp;TRIM(RIGHT(SUBSTITUTE(LEFT(";"&amp;SUBSTITUTE(UPPER(Auftrag!$AG325)," ","")&amp;";"&amp;"X"&amp;UPPER(Gewinde!$A$5:$A$54)&amp;";",SEARCH("X"&amp;UPPER(Gewinde!$A$5:$A$54)&amp;";",";"&amp;SUBSTITUTE(UPPER(Auftrag!$AG325)," ","")&amp;";"&amp;"X"&amp;UPPER(Gewinde!$A$5:$A$54)&amp;";")-1),";",REPT(" ",50)),50))),Gewinde!$C$5:$C$54),0))</f>
        <v/>
      </c>
      <c r="Q325" s="33">
        <f>IF($A325="","",(N($O325)+$P325)/3600*N(Auftrag!$H$8))</f>
        <v/>
      </c>
      <c r="R325" s="33">
        <f>IF($A325="","",IF($F$8=0,0,$F$7/$F$8))</f>
        <v/>
      </c>
      <c r="S325" s="33">
        <f>IF($A325="","",$F325*(1+$C$4)+($Q325+$R325)*(1+$C$5))</f>
        <v/>
      </c>
      <c r="T325" s="33">
        <f>IF($A325="","",$S325*(1+$C$6))</f>
        <v/>
      </c>
      <c r="U325" s="18">
        <f>IF($A325="","",$T325*$C325)</f>
        <v/>
      </c>
      <c r="V325" s="18">
        <f>IF($A325="","",$S325*$C325)</f>
        <v/>
      </c>
      <c r="W325" s="28">
        <f>IF($A325="","",IF(N(Auftrag!$AO325)&gt;0,"nicht vollständig eingeplant",IF($D325=0,"kein Schnittplan oder Preis",IF($H325="","keine Schneiddaten",IF(AND(Auftrag!$AF325&lt;&gt;"",Auftrag!$AG325=""),"Gewinde ungeprüft","")))))</f>
        <v/>
      </c>
      <c r="X325" s="18">
        <f>IF($A325="","",$F325*$C325)</f>
        <v/>
      </c>
      <c r="Y325" s="18">
        <f>IF($A325="","",$Q325*$C325)</f>
        <v/>
      </c>
    </row>
    <row r="326">
      <c r="A326" s="25">
        <f>IF(Auftrag!$D326="","",Auftrag!$A326)</f>
        <v/>
      </c>
      <c r="B326" s="25">
        <f>IF($A326="","",Auftrag!$B326)</f>
        <v/>
      </c>
      <c r="C326" s="15">
        <f>IF($A326="","",N(Auftrag!$G326))</f>
        <v/>
      </c>
      <c r="D326" s="18">
        <f>IF($A326="","",SUMIFS(Schnittplan!$R$5:$R$1004,Schnittplan!$B$5:$B$1004,Auftrag!$D326,Schnittplan!$C$5:$C$1004,Auftrag!$E326,Schnittplan!$D$5:$D$1004,Auftrag!$Q326))</f>
        <v/>
      </c>
      <c r="E326" s="32">
        <f>IF($A326="","",IFERROR(N(Auftrag!$P326)/SUMIFS(Auftrag!$P$13:$P$512,Auftrag!$D$13:$D$512,Auftrag!$D326,Auftrag!$E$13:$E$512,Auftrag!$E326,Auftrag!$Q$13:$Q$512,Auftrag!$Q326),0))</f>
        <v/>
      </c>
      <c r="F326" s="33">
        <f>IF($A326="","",IF($C326=0,0,$D326*$E326/$C326))</f>
        <v/>
      </c>
      <c r="G326" s="34">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5">
        <f>IF($A326="","",IF($H326="","",60*((N(Auftrag!$H326)-N(Auftrag!$AI326)-N(Auftrag!$AK326))/$H326+N(Auftrag!$AI326)/$J326+N(Auftrag!$AK326)/$I326+N(Auftrag!$AD326)/$K326)+N(Auftrag!$I326)*$L326))</f>
        <v/>
      </c>
      <c r="N326" s="35">
        <f>IF($A326="","",IF(OR($H326="",$C326=0),0,(60*SUMIFS(Stangenbelegung!$K$5:$K$10004,Stangenbelegung!$E$5:$E$10004,ROW())/$H326+SUMIFS(Stangenbelegung!$L$5:$L$10004,Stangenbelegung!$E$5:$E$10004,ROW())*$L326)/$C326))</f>
        <v/>
      </c>
      <c r="O326" s="35">
        <f>IF($A326="","",IF($M326="","",MAX(0,$M326-$N326)))</f>
        <v/>
      </c>
      <c r="P326" s="35">
        <f>IF($A326="","",IFERROR(SUMPRODUCT(--("0"&amp;TRIM(RIGHT(SUBSTITUTE(LEFT(";"&amp;SUBSTITUTE(UPPER(Auftrag!$AG326)," ","")&amp;";"&amp;"X"&amp;UPPER(Gewinde!$A$5:$A$54)&amp;";",SEARCH("X"&amp;UPPER(Gewinde!$A$5:$A$54)&amp;";",";"&amp;SUBSTITUTE(UPPER(Auftrag!$AG326)," ","")&amp;";"&amp;"X"&amp;UPPER(Gewinde!$A$5:$A$54)&amp;";")-1),";",REPT(" ",50)),50))),Gewinde!$C$5:$C$54),0))</f>
        <v/>
      </c>
      <c r="Q326" s="33">
        <f>IF($A326="","",(N($O326)+$P326)/3600*N(Auftrag!$H$8))</f>
        <v/>
      </c>
      <c r="R326" s="33">
        <f>IF($A326="","",IF($F$8=0,0,$F$7/$F$8))</f>
        <v/>
      </c>
      <c r="S326" s="33">
        <f>IF($A326="","",$F326*(1+$C$4)+($Q326+$R326)*(1+$C$5))</f>
        <v/>
      </c>
      <c r="T326" s="33">
        <f>IF($A326="","",$S326*(1+$C$6))</f>
        <v/>
      </c>
      <c r="U326" s="18">
        <f>IF($A326="","",$T326*$C326)</f>
        <v/>
      </c>
      <c r="V326" s="18">
        <f>IF($A326="","",$S326*$C326)</f>
        <v/>
      </c>
      <c r="W326" s="28">
        <f>IF($A326="","",IF(N(Auftrag!$AO326)&gt;0,"nicht vollständig eingeplant",IF($D326=0,"kein Schnittplan oder Preis",IF($H326="","keine Schneiddaten",IF(AND(Auftrag!$AF326&lt;&gt;"",Auftrag!$AG326=""),"Gewinde ungeprüft","")))))</f>
        <v/>
      </c>
      <c r="X326" s="18">
        <f>IF($A326="","",$F326*$C326)</f>
        <v/>
      </c>
      <c r="Y326" s="18">
        <f>IF($A326="","",$Q326*$C326)</f>
        <v/>
      </c>
    </row>
    <row r="327">
      <c r="A327" s="25">
        <f>IF(Auftrag!$D327="","",Auftrag!$A327)</f>
        <v/>
      </c>
      <c r="B327" s="25">
        <f>IF($A327="","",Auftrag!$B327)</f>
        <v/>
      </c>
      <c r="C327" s="15">
        <f>IF($A327="","",N(Auftrag!$G327))</f>
        <v/>
      </c>
      <c r="D327" s="18">
        <f>IF($A327="","",SUMIFS(Schnittplan!$R$5:$R$1004,Schnittplan!$B$5:$B$1004,Auftrag!$D327,Schnittplan!$C$5:$C$1004,Auftrag!$E327,Schnittplan!$D$5:$D$1004,Auftrag!$Q327))</f>
        <v/>
      </c>
      <c r="E327" s="32">
        <f>IF($A327="","",IFERROR(N(Auftrag!$P327)/SUMIFS(Auftrag!$P$13:$P$512,Auftrag!$D$13:$D$512,Auftrag!$D327,Auftrag!$E$13:$E$512,Auftrag!$E327,Auftrag!$Q$13:$Q$512,Auftrag!$Q327),0))</f>
        <v/>
      </c>
      <c r="F327" s="33">
        <f>IF($A327="","",IF($C327=0,0,$D327*$E327/$C327))</f>
        <v/>
      </c>
      <c r="G327" s="34">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5">
        <f>IF($A327="","",IF($H327="","",60*((N(Auftrag!$H327)-N(Auftrag!$AI327)-N(Auftrag!$AK327))/$H327+N(Auftrag!$AI327)/$J327+N(Auftrag!$AK327)/$I327+N(Auftrag!$AD327)/$K327)+N(Auftrag!$I327)*$L327))</f>
        <v/>
      </c>
      <c r="N327" s="35">
        <f>IF($A327="","",IF(OR($H327="",$C327=0),0,(60*SUMIFS(Stangenbelegung!$K$5:$K$10004,Stangenbelegung!$E$5:$E$10004,ROW())/$H327+SUMIFS(Stangenbelegung!$L$5:$L$10004,Stangenbelegung!$E$5:$E$10004,ROW())*$L327)/$C327))</f>
        <v/>
      </c>
      <c r="O327" s="35">
        <f>IF($A327="","",IF($M327="","",MAX(0,$M327-$N327)))</f>
        <v/>
      </c>
      <c r="P327" s="35">
        <f>IF($A327="","",IFERROR(SUMPRODUCT(--("0"&amp;TRIM(RIGHT(SUBSTITUTE(LEFT(";"&amp;SUBSTITUTE(UPPER(Auftrag!$AG327)," ","")&amp;";"&amp;"X"&amp;UPPER(Gewinde!$A$5:$A$54)&amp;";",SEARCH("X"&amp;UPPER(Gewinde!$A$5:$A$54)&amp;";",";"&amp;SUBSTITUTE(UPPER(Auftrag!$AG327)," ","")&amp;";"&amp;"X"&amp;UPPER(Gewinde!$A$5:$A$54)&amp;";")-1),";",REPT(" ",50)),50))),Gewinde!$C$5:$C$54),0))</f>
        <v/>
      </c>
      <c r="Q327" s="33">
        <f>IF($A327="","",(N($O327)+$P327)/3600*N(Auftrag!$H$8))</f>
        <v/>
      </c>
      <c r="R327" s="33">
        <f>IF($A327="","",IF($F$8=0,0,$F$7/$F$8))</f>
        <v/>
      </c>
      <c r="S327" s="33">
        <f>IF($A327="","",$F327*(1+$C$4)+($Q327+$R327)*(1+$C$5))</f>
        <v/>
      </c>
      <c r="T327" s="33">
        <f>IF($A327="","",$S327*(1+$C$6))</f>
        <v/>
      </c>
      <c r="U327" s="18">
        <f>IF($A327="","",$T327*$C327)</f>
        <v/>
      </c>
      <c r="V327" s="18">
        <f>IF($A327="","",$S327*$C327)</f>
        <v/>
      </c>
      <c r="W327" s="28">
        <f>IF($A327="","",IF(N(Auftrag!$AO327)&gt;0,"nicht vollständig eingeplant",IF($D327=0,"kein Schnittplan oder Preis",IF($H327="","keine Schneiddaten",IF(AND(Auftrag!$AF327&lt;&gt;"",Auftrag!$AG327=""),"Gewinde ungeprüft","")))))</f>
        <v/>
      </c>
      <c r="X327" s="18">
        <f>IF($A327="","",$F327*$C327)</f>
        <v/>
      </c>
      <c r="Y327" s="18">
        <f>IF($A327="","",$Q327*$C327)</f>
        <v/>
      </c>
    </row>
    <row r="328">
      <c r="A328" s="25">
        <f>IF(Auftrag!$D328="","",Auftrag!$A328)</f>
        <v/>
      </c>
      <c r="B328" s="25">
        <f>IF($A328="","",Auftrag!$B328)</f>
        <v/>
      </c>
      <c r="C328" s="15">
        <f>IF($A328="","",N(Auftrag!$G328))</f>
        <v/>
      </c>
      <c r="D328" s="18">
        <f>IF($A328="","",SUMIFS(Schnittplan!$R$5:$R$1004,Schnittplan!$B$5:$B$1004,Auftrag!$D328,Schnittplan!$C$5:$C$1004,Auftrag!$E328,Schnittplan!$D$5:$D$1004,Auftrag!$Q328))</f>
        <v/>
      </c>
      <c r="E328" s="32">
        <f>IF($A328="","",IFERROR(N(Auftrag!$P328)/SUMIFS(Auftrag!$P$13:$P$512,Auftrag!$D$13:$D$512,Auftrag!$D328,Auftrag!$E$13:$E$512,Auftrag!$E328,Auftrag!$Q$13:$Q$512,Auftrag!$Q328),0))</f>
        <v/>
      </c>
      <c r="F328" s="33">
        <f>IF($A328="","",IF($C328=0,0,$D328*$E328/$C328))</f>
        <v/>
      </c>
      <c r="G328" s="34">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5">
        <f>IF($A328="","",IF($H328="","",60*((N(Auftrag!$H328)-N(Auftrag!$AI328)-N(Auftrag!$AK328))/$H328+N(Auftrag!$AI328)/$J328+N(Auftrag!$AK328)/$I328+N(Auftrag!$AD328)/$K328)+N(Auftrag!$I328)*$L328))</f>
        <v/>
      </c>
      <c r="N328" s="35">
        <f>IF($A328="","",IF(OR($H328="",$C328=0),0,(60*SUMIFS(Stangenbelegung!$K$5:$K$10004,Stangenbelegung!$E$5:$E$10004,ROW())/$H328+SUMIFS(Stangenbelegung!$L$5:$L$10004,Stangenbelegung!$E$5:$E$10004,ROW())*$L328)/$C328))</f>
        <v/>
      </c>
      <c r="O328" s="35">
        <f>IF($A328="","",IF($M328="","",MAX(0,$M328-$N328)))</f>
        <v/>
      </c>
      <c r="P328" s="35">
        <f>IF($A328="","",IFERROR(SUMPRODUCT(--("0"&amp;TRIM(RIGHT(SUBSTITUTE(LEFT(";"&amp;SUBSTITUTE(UPPER(Auftrag!$AG328)," ","")&amp;";"&amp;"X"&amp;UPPER(Gewinde!$A$5:$A$54)&amp;";",SEARCH("X"&amp;UPPER(Gewinde!$A$5:$A$54)&amp;";",";"&amp;SUBSTITUTE(UPPER(Auftrag!$AG328)," ","")&amp;";"&amp;"X"&amp;UPPER(Gewinde!$A$5:$A$54)&amp;";")-1),";",REPT(" ",50)),50))),Gewinde!$C$5:$C$54),0))</f>
        <v/>
      </c>
      <c r="Q328" s="33">
        <f>IF($A328="","",(N($O328)+$P328)/3600*N(Auftrag!$H$8))</f>
        <v/>
      </c>
      <c r="R328" s="33">
        <f>IF($A328="","",IF($F$8=0,0,$F$7/$F$8))</f>
        <v/>
      </c>
      <c r="S328" s="33">
        <f>IF($A328="","",$F328*(1+$C$4)+($Q328+$R328)*(1+$C$5))</f>
        <v/>
      </c>
      <c r="T328" s="33">
        <f>IF($A328="","",$S328*(1+$C$6))</f>
        <v/>
      </c>
      <c r="U328" s="18">
        <f>IF($A328="","",$T328*$C328)</f>
        <v/>
      </c>
      <c r="V328" s="18">
        <f>IF($A328="","",$S328*$C328)</f>
        <v/>
      </c>
      <c r="W328" s="28">
        <f>IF($A328="","",IF(N(Auftrag!$AO328)&gt;0,"nicht vollständig eingeplant",IF($D328=0,"kein Schnittplan oder Preis",IF($H328="","keine Schneiddaten",IF(AND(Auftrag!$AF328&lt;&gt;"",Auftrag!$AG328=""),"Gewinde ungeprüft","")))))</f>
        <v/>
      </c>
      <c r="X328" s="18">
        <f>IF($A328="","",$F328*$C328)</f>
        <v/>
      </c>
      <c r="Y328" s="18">
        <f>IF($A328="","",$Q328*$C328)</f>
        <v/>
      </c>
    </row>
    <row r="329">
      <c r="A329" s="25">
        <f>IF(Auftrag!$D329="","",Auftrag!$A329)</f>
        <v/>
      </c>
      <c r="B329" s="25">
        <f>IF($A329="","",Auftrag!$B329)</f>
        <v/>
      </c>
      <c r="C329" s="15">
        <f>IF($A329="","",N(Auftrag!$G329))</f>
        <v/>
      </c>
      <c r="D329" s="18">
        <f>IF($A329="","",SUMIFS(Schnittplan!$R$5:$R$1004,Schnittplan!$B$5:$B$1004,Auftrag!$D329,Schnittplan!$C$5:$C$1004,Auftrag!$E329,Schnittplan!$D$5:$D$1004,Auftrag!$Q329))</f>
        <v/>
      </c>
      <c r="E329" s="32">
        <f>IF($A329="","",IFERROR(N(Auftrag!$P329)/SUMIFS(Auftrag!$P$13:$P$512,Auftrag!$D$13:$D$512,Auftrag!$D329,Auftrag!$E$13:$E$512,Auftrag!$E329,Auftrag!$Q$13:$Q$512,Auftrag!$Q329),0))</f>
        <v/>
      </c>
      <c r="F329" s="33">
        <f>IF($A329="","",IF($C329=0,0,$D329*$E329/$C329))</f>
        <v/>
      </c>
      <c r="G329" s="34">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5">
        <f>IF($A329="","",IF($H329="","",60*((N(Auftrag!$H329)-N(Auftrag!$AI329)-N(Auftrag!$AK329))/$H329+N(Auftrag!$AI329)/$J329+N(Auftrag!$AK329)/$I329+N(Auftrag!$AD329)/$K329)+N(Auftrag!$I329)*$L329))</f>
        <v/>
      </c>
      <c r="N329" s="35">
        <f>IF($A329="","",IF(OR($H329="",$C329=0),0,(60*SUMIFS(Stangenbelegung!$K$5:$K$10004,Stangenbelegung!$E$5:$E$10004,ROW())/$H329+SUMIFS(Stangenbelegung!$L$5:$L$10004,Stangenbelegung!$E$5:$E$10004,ROW())*$L329)/$C329))</f>
        <v/>
      </c>
      <c r="O329" s="35">
        <f>IF($A329="","",IF($M329="","",MAX(0,$M329-$N329)))</f>
        <v/>
      </c>
      <c r="P329" s="35">
        <f>IF($A329="","",IFERROR(SUMPRODUCT(--("0"&amp;TRIM(RIGHT(SUBSTITUTE(LEFT(";"&amp;SUBSTITUTE(UPPER(Auftrag!$AG329)," ","")&amp;";"&amp;"X"&amp;UPPER(Gewinde!$A$5:$A$54)&amp;";",SEARCH("X"&amp;UPPER(Gewinde!$A$5:$A$54)&amp;";",";"&amp;SUBSTITUTE(UPPER(Auftrag!$AG329)," ","")&amp;";"&amp;"X"&amp;UPPER(Gewinde!$A$5:$A$54)&amp;";")-1),";",REPT(" ",50)),50))),Gewinde!$C$5:$C$54),0))</f>
        <v/>
      </c>
      <c r="Q329" s="33">
        <f>IF($A329="","",(N($O329)+$P329)/3600*N(Auftrag!$H$8))</f>
        <v/>
      </c>
      <c r="R329" s="33">
        <f>IF($A329="","",IF($F$8=0,0,$F$7/$F$8))</f>
        <v/>
      </c>
      <c r="S329" s="33">
        <f>IF($A329="","",$F329*(1+$C$4)+($Q329+$R329)*(1+$C$5))</f>
        <v/>
      </c>
      <c r="T329" s="33">
        <f>IF($A329="","",$S329*(1+$C$6))</f>
        <v/>
      </c>
      <c r="U329" s="18">
        <f>IF($A329="","",$T329*$C329)</f>
        <v/>
      </c>
      <c r="V329" s="18">
        <f>IF($A329="","",$S329*$C329)</f>
        <v/>
      </c>
      <c r="W329" s="28">
        <f>IF($A329="","",IF(N(Auftrag!$AO329)&gt;0,"nicht vollständig eingeplant",IF($D329=0,"kein Schnittplan oder Preis",IF($H329="","keine Schneiddaten",IF(AND(Auftrag!$AF329&lt;&gt;"",Auftrag!$AG329=""),"Gewinde ungeprüft","")))))</f>
        <v/>
      </c>
      <c r="X329" s="18">
        <f>IF($A329="","",$F329*$C329)</f>
        <v/>
      </c>
      <c r="Y329" s="18">
        <f>IF($A329="","",$Q329*$C329)</f>
        <v/>
      </c>
    </row>
    <row r="330">
      <c r="A330" s="25">
        <f>IF(Auftrag!$D330="","",Auftrag!$A330)</f>
        <v/>
      </c>
      <c r="B330" s="25">
        <f>IF($A330="","",Auftrag!$B330)</f>
        <v/>
      </c>
      <c r="C330" s="15">
        <f>IF($A330="","",N(Auftrag!$G330))</f>
        <v/>
      </c>
      <c r="D330" s="18">
        <f>IF($A330="","",SUMIFS(Schnittplan!$R$5:$R$1004,Schnittplan!$B$5:$B$1004,Auftrag!$D330,Schnittplan!$C$5:$C$1004,Auftrag!$E330,Schnittplan!$D$5:$D$1004,Auftrag!$Q330))</f>
        <v/>
      </c>
      <c r="E330" s="32">
        <f>IF($A330="","",IFERROR(N(Auftrag!$P330)/SUMIFS(Auftrag!$P$13:$P$512,Auftrag!$D$13:$D$512,Auftrag!$D330,Auftrag!$E$13:$E$512,Auftrag!$E330,Auftrag!$Q$13:$Q$512,Auftrag!$Q330),0))</f>
        <v/>
      </c>
      <c r="F330" s="33">
        <f>IF($A330="","",IF($C330=0,0,$D330*$E330/$C330))</f>
        <v/>
      </c>
      <c r="G330" s="34">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5">
        <f>IF($A330="","",IF($H330="","",60*((N(Auftrag!$H330)-N(Auftrag!$AI330)-N(Auftrag!$AK330))/$H330+N(Auftrag!$AI330)/$J330+N(Auftrag!$AK330)/$I330+N(Auftrag!$AD330)/$K330)+N(Auftrag!$I330)*$L330))</f>
        <v/>
      </c>
      <c r="N330" s="35">
        <f>IF($A330="","",IF(OR($H330="",$C330=0),0,(60*SUMIFS(Stangenbelegung!$K$5:$K$10004,Stangenbelegung!$E$5:$E$10004,ROW())/$H330+SUMIFS(Stangenbelegung!$L$5:$L$10004,Stangenbelegung!$E$5:$E$10004,ROW())*$L330)/$C330))</f>
        <v/>
      </c>
      <c r="O330" s="35">
        <f>IF($A330="","",IF($M330="","",MAX(0,$M330-$N330)))</f>
        <v/>
      </c>
      <c r="P330" s="35">
        <f>IF($A330="","",IFERROR(SUMPRODUCT(--("0"&amp;TRIM(RIGHT(SUBSTITUTE(LEFT(";"&amp;SUBSTITUTE(UPPER(Auftrag!$AG330)," ","")&amp;";"&amp;"X"&amp;UPPER(Gewinde!$A$5:$A$54)&amp;";",SEARCH("X"&amp;UPPER(Gewinde!$A$5:$A$54)&amp;";",";"&amp;SUBSTITUTE(UPPER(Auftrag!$AG330)," ","")&amp;";"&amp;"X"&amp;UPPER(Gewinde!$A$5:$A$54)&amp;";")-1),";",REPT(" ",50)),50))),Gewinde!$C$5:$C$54),0))</f>
        <v/>
      </c>
      <c r="Q330" s="33">
        <f>IF($A330="","",(N($O330)+$P330)/3600*N(Auftrag!$H$8))</f>
        <v/>
      </c>
      <c r="R330" s="33">
        <f>IF($A330="","",IF($F$8=0,0,$F$7/$F$8))</f>
        <v/>
      </c>
      <c r="S330" s="33">
        <f>IF($A330="","",$F330*(1+$C$4)+($Q330+$R330)*(1+$C$5))</f>
        <v/>
      </c>
      <c r="T330" s="33">
        <f>IF($A330="","",$S330*(1+$C$6))</f>
        <v/>
      </c>
      <c r="U330" s="18">
        <f>IF($A330="","",$T330*$C330)</f>
        <v/>
      </c>
      <c r="V330" s="18">
        <f>IF($A330="","",$S330*$C330)</f>
        <v/>
      </c>
      <c r="W330" s="28">
        <f>IF($A330="","",IF(N(Auftrag!$AO330)&gt;0,"nicht vollständig eingeplant",IF($D330=0,"kein Schnittplan oder Preis",IF($H330="","keine Schneiddaten",IF(AND(Auftrag!$AF330&lt;&gt;"",Auftrag!$AG330=""),"Gewinde ungeprüft","")))))</f>
        <v/>
      </c>
      <c r="X330" s="18">
        <f>IF($A330="","",$F330*$C330)</f>
        <v/>
      </c>
      <c r="Y330" s="18">
        <f>IF($A330="","",$Q330*$C330)</f>
        <v/>
      </c>
    </row>
    <row r="331">
      <c r="A331" s="25">
        <f>IF(Auftrag!$D331="","",Auftrag!$A331)</f>
        <v/>
      </c>
      <c r="B331" s="25">
        <f>IF($A331="","",Auftrag!$B331)</f>
        <v/>
      </c>
      <c r="C331" s="15">
        <f>IF($A331="","",N(Auftrag!$G331))</f>
        <v/>
      </c>
      <c r="D331" s="18">
        <f>IF($A331="","",SUMIFS(Schnittplan!$R$5:$R$1004,Schnittplan!$B$5:$B$1004,Auftrag!$D331,Schnittplan!$C$5:$C$1004,Auftrag!$E331,Schnittplan!$D$5:$D$1004,Auftrag!$Q331))</f>
        <v/>
      </c>
      <c r="E331" s="32">
        <f>IF($A331="","",IFERROR(N(Auftrag!$P331)/SUMIFS(Auftrag!$P$13:$P$512,Auftrag!$D$13:$D$512,Auftrag!$D331,Auftrag!$E$13:$E$512,Auftrag!$E331,Auftrag!$Q$13:$Q$512,Auftrag!$Q331),0))</f>
        <v/>
      </c>
      <c r="F331" s="33">
        <f>IF($A331="","",IF($C331=0,0,$D331*$E331/$C331))</f>
        <v/>
      </c>
      <c r="G331" s="34">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5">
        <f>IF($A331="","",IF($H331="","",60*((N(Auftrag!$H331)-N(Auftrag!$AI331)-N(Auftrag!$AK331))/$H331+N(Auftrag!$AI331)/$J331+N(Auftrag!$AK331)/$I331+N(Auftrag!$AD331)/$K331)+N(Auftrag!$I331)*$L331))</f>
        <v/>
      </c>
      <c r="N331" s="35">
        <f>IF($A331="","",IF(OR($H331="",$C331=0),0,(60*SUMIFS(Stangenbelegung!$K$5:$K$10004,Stangenbelegung!$E$5:$E$10004,ROW())/$H331+SUMIFS(Stangenbelegung!$L$5:$L$10004,Stangenbelegung!$E$5:$E$10004,ROW())*$L331)/$C331))</f>
        <v/>
      </c>
      <c r="O331" s="35">
        <f>IF($A331="","",IF($M331="","",MAX(0,$M331-$N331)))</f>
        <v/>
      </c>
      <c r="P331" s="35">
        <f>IF($A331="","",IFERROR(SUMPRODUCT(--("0"&amp;TRIM(RIGHT(SUBSTITUTE(LEFT(";"&amp;SUBSTITUTE(UPPER(Auftrag!$AG331)," ","")&amp;";"&amp;"X"&amp;UPPER(Gewinde!$A$5:$A$54)&amp;";",SEARCH("X"&amp;UPPER(Gewinde!$A$5:$A$54)&amp;";",";"&amp;SUBSTITUTE(UPPER(Auftrag!$AG331)," ","")&amp;";"&amp;"X"&amp;UPPER(Gewinde!$A$5:$A$54)&amp;";")-1),";",REPT(" ",50)),50))),Gewinde!$C$5:$C$54),0))</f>
        <v/>
      </c>
      <c r="Q331" s="33">
        <f>IF($A331="","",(N($O331)+$P331)/3600*N(Auftrag!$H$8))</f>
        <v/>
      </c>
      <c r="R331" s="33">
        <f>IF($A331="","",IF($F$8=0,0,$F$7/$F$8))</f>
        <v/>
      </c>
      <c r="S331" s="33">
        <f>IF($A331="","",$F331*(1+$C$4)+($Q331+$R331)*(1+$C$5))</f>
        <v/>
      </c>
      <c r="T331" s="33">
        <f>IF($A331="","",$S331*(1+$C$6))</f>
        <v/>
      </c>
      <c r="U331" s="18">
        <f>IF($A331="","",$T331*$C331)</f>
        <v/>
      </c>
      <c r="V331" s="18">
        <f>IF($A331="","",$S331*$C331)</f>
        <v/>
      </c>
      <c r="W331" s="28">
        <f>IF($A331="","",IF(N(Auftrag!$AO331)&gt;0,"nicht vollständig eingeplant",IF($D331=0,"kein Schnittplan oder Preis",IF($H331="","keine Schneiddaten",IF(AND(Auftrag!$AF331&lt;&gt;"",Auftrag!$AG331=""),"Gewinde ungeprüft","")))))</f>
        <v/>
      </c>
      <c r="X331" s="18">
        <f>IF($A331="","",$F331*$C331)</f>
        <v/>
      </c>
      <c r="Y331" s="18">
        <f>IF($A331="","",$Q331*$C331)</f>
        <v/>
      </c>
    </row>
    <row r="332">
      <c r="A332" s="25">
        <f>IF(Auftrag!$D332="","",Auftrag!$A332)</f>
        <v/>
      </c>
      <c r="B332" s="25">
        <f>IF($A332="","",Auftrag!$B332)</f>
        <v/>
      </c>
      <c r="C332" s="15">
        <f>IF($A332="","",N(Auftrag!$G332))</f>
        <v/>
      </c>
      <c r="D332" s="18">
        <f>IF($A332="","",SUMIFS(Schnittplan!$R$5:$R$1004,Schnittplan!$B$5:$B$1004,Auftrag!$D332,Schnittplan!$C$5:$C$1004,Auftrag!$E332,Schnittplan!$D$5:$D$1004,Auftrag!$Q332))</f>
        <v/>
      </c>
      <c r="E332" s="32">
        <f>IF($A332="","",IFERROR(N(Auftrag!$P332)/SUMIFS(Auftrag!$P$13:$P$512,Auftrag!$D$13:$D$512,Auftrag!$D332,Auftrag!$E$13:$E$512,Auftrag!$E332,Auftrag!$Q$13:$Q$512,Auftrag!$Q332),0))</f>
        <v/>
      </c>
      <c r="F332" s="33">
        <f>IF($A332="","",IF($C332=0,0,$D332*$E332/$C332))</f>
        <v/>
      </c>
      <c r="G332" s="34">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5">
        <f>IF($A332="","",IF($H332="","",60*((N(Auftrag!$H332)-N(Auftrag!$AI332)-N(Auftrag!$AK332))/$H332+N(Auftrag!$AI332)/$J332+N(Auftrag!$AK332)/$I332+N(Auftrag!$AD332)/$K332)+N(Auftrag!$I332)*$L332))</f>
        <v/>
      </c>
      <c r="N332" s="35">
        <f>IF($A332="","",IF(OR($H332="",$C332=0),0,(60*SUMIFS(Stangenbelegung!$K$5:$K$10004,Stangenbelegung!$E$5:$E$10004,ROW())/$H332+SUMIFS(Stangenbelegung!$L$5:$L$10004,Stangenbelegung!$E$5:$E$10004,ROW())*$L332)/$C332))</f>
        <v/>
      </c>
      <c r="O332" s="35">
        <f>IF($A332="","",IF($M332="","",MAX(0,$M332-$N332)))</f>
        <v/>
      </c>
      <c r="P332" s="35">
        <f>IF($A332="","",IFERROR(SUMPRODUCT(--("0"&amp;TRIM(RIGHT(SUBSTITUTE(LEFT(";"&amp;SUBSTITUTE(UPPER(Auftrag!$AG332)," ","")&amp;";"&amp;"X"&amp;UPPER(Gewinde!$A$5:$A$54)&amp;";",SEARCH("X"&amp;UPPER(Gewinde!$A$5:$A$54)&amp;";",";"&amp;SUBSTITUTE(UPPER(Auftrag!$AG332)," ","")&amp;";"&amp;"X"&amp;UPPER(Gewinde!$A$5:$A$54)&amp;";")-1),";",REPT(" ",50)),50))),Gewinde!$C$5:$C$54),0))</f>
        <v/>
      </c>
      <c r="Q332" s="33">
        <f>IF($A332="","",(N($O332)+$P332)/3600*N(Auftrag!$H$8))</f>
        <v/>
      </c>
      <c r="R332" s="33">
        <f>IF($A332="","",IF($F$8=0,0,$F$7/$F$8))</f>
        <v/>
      </c>
      <c r="S332" s="33">
        <f>IF($A332="","",$F332*(1+$C$4)+($Q332+$R332)*(1+$C$5))</f>
        <v/>
      </c>
      <c r="T332" s="33">
        <f>IF($A332="","",$S332*(1+$C$6))</f>
        <v/>
      </c>
      <c r="U332" s="18">
        <f>IF($A332="","",$T332*$C332)</f>
        <v/>
      </c>
      <c r="V332" s="18">
        <f>IF($A332="","",$S332*$C332)</f>
        <v/>
      </c>
      <c r="W332" s="28">
        <f>IF($A332="","",IF(N(Auftrag!$AO332)&gt;0,"nicht vollständig eingeplant",IF($D332=0,"kein Schnittplan oder Preis",IF($H332="","keine Schneiddaten",IF(AND(Auftrag!$AF332&lt;&gt;"",Auftrag!$AG332=""),"Gewinde ungeprüft","")))))</f>
        <v/>
      </c>
      <c r="X332" s="18">
        <f>IF($A332="","",$F332*$C332)</f>
        <v/>
      </c>
      <c r="Y332" s="18">
        <f>IF($A332="","",$Q332*$C332)</f>
        <v/>
      </c>
    </row>
    <row r="333">
      <c r="A333" s="25">
        <f>IF(Auftrag!$D333="","",Auftrag!$A333)</f>
        <v/>
      </c>
      <c r="B333" s="25">
        <f>IF($A333="","",Auftrag!$B333)</f>
        <v/>
      </c>
      <c r="C333" s="15">
        <f>IF($A333="","",N(Auftrag!$G333))</f>
        <v/>
      </c>
      <c r="D333" s="18">
        <f>IF($A333="","",SUMIFS(Schnittplan!$R$5:$R$1004,Schnittplan!$B$5:$B$1004,Auftrag!$D333,Schnittplan!$C$5:$C$1004,Auftrag!$E333,Schnittplan!$D$5:$D$1004,Auftrag!$Q333))</f>
        <v/>
      </c>
      <c r="E333" s="32">
        <f>IF($A333="","",IFERROR(N(Auftrag!$P333)/SUMIFS(Auftrag!$P$13:$P$512,Auftrag!$D$13:$D$512,Auftrag!$D333,Auftrag!$E$13:$E$512,Auftrag!$E333,Auftrag!$Q$13:$Q$512,Auftrag!$Q333),0))</f>
        <v/>
      </c>
      <c r="F333" s="33">
        <f>IF($A333="","",IF($C333=0,0,$D333*$E333/$C333))</f>
        <v/>
      </c>
      <c r="G333" s="34">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5">
        <f>IF($A333="","",IF($H333="","",60*((N(Auftrag!$H333)-N(Auftrag!$AI333)-N(Auftrag!$AK333))/$H333+N(Auftrag!$AI333)/$J333+N(Auftrag!$AK333)/$I333+N(Auftrag!$AD333)/$K333)+N(Auftrag!$I333)*$L333))</f>
        <v/>
      </c>
      <c r="N333" s="35">
        <f>IF($A333="","",IF(OR($H333="",$C333=0),0,(60*SUMIFS(Stangenbelegung!$K$5:$K$10004,Stangenbelegung!$E$5:$E$10004,ROW())/$H333+SUMIFS(Stangenbelegung!$L$5:$L$10004,Stangenbelegung!$E$5:$E$10004,ROW())*$L333)/$C333))</f>
        <v/>
      </c>
      <c r="O333" s="35">
        <f>IF($A333="","",IF($M333="","",MAX(0,$M333-$N333)))</f>
        <v/>
      </c>
      <c r="P333" s="35">
        <f>IF($A333="","",IFERROR(SUMPRODUCT(--("0"&amp;TRIM(RIGHT(SUBSTITUTE(LEFT(";"&amp;SUBSTITUTE(UPPER(Auftrag!$AG333)," ","")&amp;";"&amp;"X"&amp;UPPER(Gewinde!$A$5:$A$54)&amp;";",SEARCH("X"&amp;UPPER(Gewinde!$A$5:$A$54)&amp;";",";"&amp;SUBSTITUTE(UPPER(Auftrag!$AG333)," ","")&amp;";"&amp;"X"&amp;UPPER(Gewinde!$A$5:$A$54)&amp;";")-1),";",REPT(" ",50)),50))),Gewinde!$C$5:$C$54),0))</f>
        <v/>
      </c>
      <c r="Q333" s="33">
        <f>IF($A333="","",(N($O333)+$P333)/3600*N(Auftrag!$H$8))</f>
        <v/>
      </c>
      <c r="R333" s="33">
        <f>IF($A333="","",IF($F$8=0,0,$F$7/$F$8))</f>
        <v/>
      </c>
      <c r="S333" s="33">
        <f>IF($A333="","",$F333*(1+$C$4)+($Q333+$R333)*(1+$C$5))</f>
        <v/>
      </c>
      <c r="T333" s="33">
        <f>IF($A333="","",$S333*(1+$C$6))</f>
        <v/>
      </c>
      <c r="U333" s="18">
        <f>IF($A333="","",$T333*$C333)</f>
        <v/>
      </c>
      <c r="V333" s="18">
        <f>IF($A333="","",$S333*$C333)</f>
        <v/>
      </c>
      <c r="W333" s="28">
        <f>IF($A333="","",IF(N(Auftrag!$AO333)&gt;0,"nicht vollständig eingeplant",IF($D333=0,"kein Schnittplan oder Preis",IF($H333="","keine Schneiddaten",IF(AND(Auftrag!$AF333&lt;&gt;"",Auftrag!$AG333=""),"Gewinde ungeprüft","")))))</f>
        <v/>
      </c>
      <c r="X333" s="18">
        <f>IF($A333="","",$F333*$C333)</f>
        <v/>
      </c>
      <c r="Y333" s="18">
        <f>IF($A333="","",$Q333*$C333)</f>
        <v/>
      </c>
    </row>
    <row r="334">
      <c r="A334" s="25">
        <f>IF(Auftrag!$D334="","",Auftrag!$A334)</f>
        <v/>
      </c>
      <c r="B334" s="25">
        <f>IF($A334="","",Auftrag!$B334)</f>
        <v/>
      </c>
      <c r="C334" s="15">
        <f>IF($A334="","",N(Auftrag!$G334))</f>
        <v/>
      </c>
      <c r="D334" s="18">
        <f>IF($A334="","",SUMIFS(Schnittplan!$R$5:$R$1004,Schnittplan!$B$5:$B$1004,Auftrag!$D334,Schnittplan!$C$5:$C$1004,Auftrag!$E334,Schnittplan!$D$5:$D$1004,Auftrag!$Q334))</f>
        <v/>
      </c>
      <c r="E334" s="32">
        <f>IF($A334="","",IFERROR(N(Auftrag!$P334)/SUMIFS(Auftrag!$P$13:$P$512,Auftrag!$D$13:$D$512,Auftrag!$D334,Auftrag!$E$13:$E$512,Auftrag!$E334,Auftrag!$Q$13:$Q$512,Auftrag!$Q334),0))</f>
        <v/>
      </c>
      <c r="F334" s="33">
        <f>IF($A334="","",IF($C334=0,0,$D334*$E334/$C334))</f>
        <v/>
      </c>
      <c r="G334" s="34">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5">
        <f>IF($A334="","",IF($H334="","",60*((N(Auftrag!$H334)-N(Auftrag!$AI334)-N(Auftrag!$AK334))/$H334+N(Auftrag!$AI334)/$J334+N(Auftrag!$AK334)/$I334+N(Auftrag!$AD334)/$K334)+N(Auftrag!$I334)*$L334))</f>
        <v/>
      </c>
      <c r="N334" s="35">
        <f>IF($A334="","",IF(OR($H334="",$C334=0),0,(60*SUMIFS(Stangenbelegung!$K$5:$K$10004,Stangenbelegung!$E$5:$E$10004,ROW())/$H334+SUMIFS(Stangenbelegung!$L$5:$L$10004,Stangenbelegung!$E$5:$E$10004,ROW())*$L334)/$C334))</f>
        <v/>
      </c>
      <c r="O334" s="35">
        <f>IF($A334="","",IF($M334="","",MAX(0,$M334-$N334)))</f>
        <v/>
      </c>
      <c r="P334" s="35">
        <f>IF($A334="","",IFERROR(SUMPRODUCT(--("0"&amp;TRIM(RIGHT(SUBSTITUTE(LEFT(";"&amp;SUBSTITUTE(UPPER(Auftrag!$AG334)," ","")&amp;";"&amp;"X"&amp;UPPER(Gewinde!$A$5:$A$54)&amp;";",SEARCH("X"&amp;UPPER(Gewinde!$A$5:$A$54)&amp;";",";"&amp;SUBSTITUTE(UPPER(Auftrag!$AG334)," ","")&amp;";"&amp;"X"&amp;UPPER(Gewinde!$A$5:$A$54)&amp;";")-1),";",REPT(" ",50)),50))),Gewinde!$C$5:$C$54),0))</f>
        <v/>
      </c>
      <c r="Q334" s="33">
        <f>IF($A334="","",(N($O334)+$P334)/3600*N(Auftrag!$H$8))</f>
        <v/>
      </c>
      <c r="R334" s="33">
        <f>IF($A334="","",IF($F$8=0,0,$F$7/$F$8))</f>
        <v/>
      </c>
      <c r="S334" s="33">
        <f>IF($A334="","",$F334*(1+$C$4)+($Q334+$R334)*(1+$C$5))</f>
        <v/>
      </c>
      <c r="T334" s="33">
        <f>IF($A334="","",$S334*(1+$C$6))</f>
        <v/>
      </c>
      <c r="U334" s="18">
        <f>IF($A334="","",$T334*$C334)</f>
        <v/>
      </c>
      <c r="V334" s="18">
        <f>IF($A334="","",$S334*$C334)</f>
        <v/>
      </c>
      <c r="W334" s="28">
        <f>IF($A334="","",IF(N(Auftrag!$AO334)&gt;0,"nicht vollständig eingeplant",IF($D334=0,"kein Schnittplan oder Preis",IF($H334="","keine Schneiddaten",IF(AND(Auftrag!$AF334&lt;&gt;"",Auftrag!$AG334=""),"Gewinde ungeprüft","")))))</f>
        <v/>
      </c>
      <c r="X334" s="18">
        <f>IF($A334="","",$F334*$C334)</f>
        <v/>
      </c>
      <c r="Y334" s="18">
        <f>IF($A334="","",$Q334*$C334)</f>
        <v/>
      </c>
    </row>
    <row r="335">
      <c r="A335" s="25">
        <f>IF(Auftrag!$D335="","",Auftrag!$A335)</f>
        <v/>
      </c>
      <c r="B335" s="25">
        <f>IF($A335="","",Auftrag!$B335)</f>
        <v/>
      </c>
      <c r="C335" s="15">
        <f>IF($A335="","",N(Auftrag!$G335))</f>
        <v/>
      </c>
      <c r="D335" s="18">
        <f>IF($A335="","",SUMIFS(Schnittplan!$R$5:$R$1004,Schnittplan!$B$5:$B$1004,Auftrag!$D335,Schnittplan!$C$5:$C$1004,Auftrag!$E335,Schnittplan!$D$5:$D$1004,Auftrag!$Q335))</f>
        <v/>
      </c>
      <c r="E335" s="32">
        <f>IF($A335="","",IFERROR(N(Auftrag!$P335)/SUMIFS(Auftrag!$P$13:$P$512,Auftrag!$D$13:$D$512,Auftrag!$D335,Auftrag!$E$13:$E$512,Auftrag!$E335,Auftrag!$Q$13:$Q$512,Auftrag!$Q335),0))</f>
        <v/>
      </c>
      <c r="F335" s="33">
        <f>IF($A335="","",IF($C335=0,0,$D335*$E335/$C335))</f>
        <v/>
      </c>
      <c r="G335" s="34">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5">
        <f>IF($A335="","",IF($H335="","",60*((N(Auftrag!$H335)-N(Auftrag!$AI335)-N(Auftrag!$AK335))/$H335+N(Auftrag!$AI335)/$J335+N(Auftrag!$AK335)/$I335+N(Auftrag!$AD335)/$K335)+N(Auftrag!$I335)*$L335))</f>
        <v/>
      </c>
      <c r="N335" s="35">
        <f>IF($A335="","",IF(OR($H335="",$C335=0),0,(60*SUMIFS(Stangenbelegung!$K$5:$K$10004,Stangenbelegung!$E$5:$E$10004,ROW())/$H335+SUMIFS(Stangenbelegung!$L$5:$L$10004,Stangenbelegung!$E$5:$E$10004,ROW())*$L335)/$C335))</f>
        <v/>
      </c>
      <c r="O335" s="35">
        <f>IF($A335="","",IF($M335="","",MAX(0,$M335-$N335)))</f>
        <v/>
      </c>
      <c r="P335" s="35">
        <f>IF($A335="","",IFERROR(SUMPRODUCT(--("0"&amp;TRIM(RIGHT(SUBSTITUTE(LEFT(";"&amp;SUBSTITUTE(UPPER(Auftrag!$AG335)," ","")&amp;";"&amp;"X"&amp;UPPER(Gewinde!$A$5:$A$54)&amp;";",SEARCH("X"&amp;UPPER(Gewinde!$A$5:$A$54)&amp;";",";"&amp;SUBSTITUTE(UPPER(Auftrag!$AG335)," ","")&amp;";"&amp;"X"&amp;UPPER(Gewinde!$A$5:$A$54)&amp;";")-1),";",REPT(" ",50)),50))),Gewinde!$C$5:$C$54),0))</f>
        <v/>
      </c>
      <c r="Q335" s="33">
        <f>IF($A335="","",(N($O335)+$P335)/3600*N(Auftrag!$H$8))</f>
        <v/>
      </c>
      <c r="R335" s="33">
        <f>IF($A335="","",IF($F$8=0,0,$F$7/$F$8))</f>
        <v/>
      </c>
      <c r="S335" s="33">
        <f>IF($A335="","",$F335*(1+$C$4)+($Q335+$R335)*(1+$C$5))</f>
        <v/>
      </c>
      <c r="T335" s="33">
        <f>IF($A335="","",$S335*(1+$C$6))</f>
        <v/>
      </c>
      <c r="U335" s="18">
        <f>IF($A335="","",$T335*$C335)</f>
        <v/>
      </c>
      <c r="V335" s="18">
        <f>IF($A335="","",$S335*$C335)</f>
        <v/>
      </c>
      <c r="W335" s="28">
        <f>IF($A335="","",IF(N(Auftrag!$AO335)&gt;0,"nicht vollständig eingeplant",IF($D335=0,"kein Schnittplan oder Preis",IF($H335="","keine Schneiddaten",IF(AND(Auftrag!$AF335&lt;&gt;"",Auftrag!$AG335=""),"Gewinde ungeprüft","")))))</f>
        <v/>
      </c>
      <c r="X335" s="18">
        <f>IF($A335="","",$F335*$C335)</f>
        <v/>
      </c>
      <c r="Y335" s="18">
        <f>IF($A335="","",$Q335*$C335)</f>
        <v/>
      </c>
    </row>
    <row r="336">
      <c r="A336" s="25">
        <f>IF(Auftrag!$D336="","",Auftrag!$A336)</f>
        <v/>
      </c>
      <c r="B336" s="25">
        <f>IF($A336="","",Auftrag!$B336)</f>
        <v/>
      </c>
      <c r="C336" s="15">
        <f>IF($A336="","",N(Auftrag!$G336))</f>
        <v/>
      </c>
      <c r="D336" s="18">
        <f>IF($A336="","",SUMIFS(Schnittplan!$R$5:$R$1004,Schnittplan!$B$5:$B$1004,Auftrag!$D336,Schnittplan!$C$5:$C$1004,Auftrag!$E336,Schnittplan!$D$5:$D$1004,Auftrag!$Q336))</f>
        <v/>
      </c>
      <c r="E336" s="32">
        <f>IF($A336="","",IFERROR(N(Auftrag!$P336)/SUMIFS(Auftrag!$P$13:$P$512,Auftrag!$D$13:$D$512,Auftrag!$D336,Auftrag!$E$13:$E$512,Auftrag!$E336,Auftrag!$Q$13:$Q$512,Auftrag!$Q336),0))</f>
        <v/>
      </c>
      <c r="F336" s="33">
        <f>IF($A336="","",IF($C336=0,0,$D336*$E336/$C336))</f>
        <v/>
      </c>
      <c r="G336" s="34">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5">
        <f>IF($A336="","",IF($H336="","",60*((N(Auftrag!$H336)-N(Auftrag!$AI336)-N(Auftrag!$AK336))/$H336+N(Auftrag!$AI336)/$J336+N(Auftrag!$AK336)/$I336+N(Auftrag!$AD336)/$K336)+N(Auftrag!$I336)*$L336))</f>
        <v/>
      </c>
      <c r="N336" s="35">
        <f>IF($A336="","",IF(OR($H336="",$C336=0),0,(60*SUMIFS(Stangenbelegung!$K$5:$K$10004,Stangenbelegung!$E$5:$E$10004,ROW())/$H336+SUMIFS(Stangenbelegung!$L$5:$L$10004,Stangenbelegung!$E$5:$E$10004,ROW())*$L336)/$C336))</f>
        <v/>
      </c>
      <c r="O336" s="35">
        <f>IF($A336="","",IF($M336="","",MAX(0,$M336-$N336)))</f>
        <v/>
      </c>
      <c r="P336" s="35">
        <f>IF($A336="","",IFERROR(SUMPRODUCT(--("0"&amp;TRIM(RIGHT(SUBSTITUTE(LEFT(";"&amp;SUBSTITUTE(UPPER(Auftrag!$AG336)," ","")&amp;";"&amp;"X"&amp;UPPER(Gewinde!$A$5:$A$54)&amp;";",SEARCH("X"&amp;UPPER(Gewinde!$A$5:$A$54)&amp;";",";"&amp;SUBSTITUTE(UPPER(Auftrag!$AG336)," ","")&amp;";"&amp;"X"&amp;UPPER(Gewinde!$A$5:$A$54)&amp;";")-1),";",REPT(" ",50)),50))),Gewinde!$C$5:$C$54),0))</f>
        <v/>
      </c>
      <c r="Q336" s="33">
        <f>IF($A336="","",(N($O336)+$P336)/3600*N(Auftrag!$H$8))</f>
        <v/>
      </c>
      <c r="R336" s="33">
        <f>IF($A336="","",IF($F$8=0,0,$F$7/$F$8))</f>
        <v/>
      </c>
      <c r="S336" s="33">
        <f>IF($A336="","",$F336*(1+$C$4)+($Q336+$R336)*(1+$C$5))</f>
        <v/>
      </c>
      <c r="T336" s="33">
        <f>IF($A336="","",$S336*(1+$C$6))</f>
        <v/>
      </c>
      <c r="U336" s="18">
        <f>IF($A336="","",$T336*$C336)</f>
        <v/>
      </c>
      <c r="V336" s="18">
        <f>IF($A336="","",$S336*$C336)</f>
        <v/>
      </c>
      <c r="W336" s="28">
        <f>IF($A336="","",IF(N(Auftrag!$AO336)&gt;0,"nicht vollständig eingeplant",IF($D336=0,"kein Schnittplan oder Preis",IF($H336="","keine Schneiddaten",IF(AND(Auftrag!$AF336&lt;&gt;"",Auftrag!$AG336=""),"Gewinde ungeprüft","")))))</f>
        <v/>
      </c>
      <c r="X336" s="18">
        <f>IF($A336="","",$F336*$C336)</f>
        <v/>
      </c>
      <c r="Y336" s="18">
        <f>IF($A336="","",$Q336*$C336)</f>
        <v/>
      </c>
    </row>
    <row r="337">
      <c r="A337" s="25">
        <f>IF(Auftrag!$D337="","",Auftrag!$A337)</f>
        <v/>
      </c>
      <c r="B337" s="25">
        <f>IF($A337="","",Auftrag!$B337)</f>
        <v/>
      </c>
      <c r="C337" s="15">
        <f>IF($A337="","",N(Auftrag!$G337))</f>
        <v/>
      </c>
      <c r="D337" s="18">
        <f>IF($A337="","",SUMIFS(Schnittplan!$R$5:$R$1004,Schnittplan!$B$5:$B$1004,Auftrag!$D337,Schnittplan!$C$5:$C$1004,Auftrag!$E337,Schnittplan!$D$5:$D$1004,Auftrag!$Q337))</f>
        <v/>
      </c>
      <c r="E337" s="32">
        <f>IF($A337="","",IFERROR(N(Auftrag!$P337)/SUMIFS(Auftrag!$P$13:$P$512,Auftrag!$D$13:$D$512,Auftrag!$D337,Auftrag!$E$13:$E$512,Auftrag!$E337,Auftrag!$Q$13:$Q$512,Auftrag!$Q337),0))</f>
        <v/>
      </c>
      <c r="F337" s="33">
        <f>IF($A337="","",IF($C337=0,0,$D337*$E337/$C337))</f>
        <v/>
      </c>
      <c r="G337" s="34">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5">
        <f>IF($A337="","",IF($H337="","",60*((N(Auftrag!$H337)-N(Auftrag!$AI337)-N(Auftrag!$AK337))/$H337+N(Auftrag!$AI337)/$J337+N(Auftrag!$AK337)/$I337+N(Auftrag!$AD337)/$K337)+N(Auftrag!$I337)*$L337))</f>
        <v/>
      </c>
      <c r="N337" s="35">
        <f>IF($A337="","",IF(OR($H337="",$C337=0),0,(60*SUMIFS(Stangenbelegung!$K$5:$K$10004,Stangenbelegung!$E$5:$E$10004,ROW())/$H337+SUMIFS(Stangenbelegung!$L$5:$L$10004,Stangenbelegung!$E$5:$E$10004,ROW())*$L337)/$C337))</f>
        <v/>
      </c>
      <c r="O337" s="35">
        <f>IF($A337="","",IF($M337="","",MAX(0,$M337-$N337)))</f>
        <v/>
      </c>
      <c r="P337" s="35">
        <f>IF($A337="","",IFERROR(SUMPRODUCT(--("0"&amp;TRIM(RIGHT(SUBSTITUTE(LEFT(";"&amp;SUBSTITUTE(UPPER(Auftrag!$AG337)," ","")&amp;";"&amp;"X"&amp;UPPER(Gewinde!$A$5:$A$54)&amp;";",SEARCH("X"&amp;UPPER(Gewinde!$A$5:$A$54)&amp;";",";"&amp;SUBSTITUTE(UPPER(Auftrag!$AG337)," ","")&amp;";"&amp;"X"&amp;UPPER(Gewinde!$A$5:$A$54)&amp;";")-1),";",REPT(" ",50)),50))),Gewinde!$C$5:$C$54),0))</f>
        <v/>
      </c>
      <c r="Q337" s="33">
        <f>IF($A337="","",(N($O337)+$P337)/3600*N(Auftrag!$H$8))</f>
        <v/>
      </c>
      <c r="R337" s="33">
        <f>IF($A337="","",IF($F$8=0,0,$F$7/$F$8))</f>
        <v/>
      </c>
      <c r="S337" s="33">
        <f>IF($A337="","",$F337*(1+$C$4)+($Q337+$R337)*(1+$C$5))</f>
        <v/>
      </c>
      <c r="T337" s="33">
        <f>IF($A337="","",$S337*(1+$C$6))</f>
        <v/>
      </c>
      <c r="U337" s="18">
        <f>IF($A337="","",$T337*$C337)</f>
        <v/>
      </c>
      <c r="V337" s="18">
        <f>IF($A337="","",$S337*$C337)</f>
        <v/>
      </c>
      <c r="W337" s="28">
        <f>IF($A337="","",IF(N(Auftrag!$AO337)&gt;0,"nicht vollständig eingeplant",IF($D337=0,"kein Schnittplan oder Preis",IF($H337="","keine Schneiddaten",IF(AND(Auftrag!$AF337&lt;&gt;"",Auftrag!$AG337=""),"Gewinde ungeprüft","")))))</f>
        <v/>
      </c>
      <c r="X337" s="18">
        <f>IF($A337="","",$F337*$C337)</f>
        <v/>
      </c>
      <c r="Y337" s="18">
        <f>IF($A337="","",$Q337*$C337)</f>
        <v/>
      </c>
    </row>
    <row r="338">
      <c r="A338" s="25">
        <f>IF(Auftrag!$D338="","",Auftrag!$A338)</f>
        <v/>
      </c>
      <c r="B338" s="25">
        <f>IF($A338="","",Auftrag!$B338)</f>
        <v/>
      </c>
      <c r="C338" s="15">
        <f>IF($A338="","",N(Auftrag!$G338))</f>
        <v/>
      </c>
      <c r="D338" s="18">
        <f>IF($A338="","",SUMIFS(Schnittplan!$R$5:$R$1004,Schnittplan!$B$5:$B$1004,Auftrag!$D338,Schnittplan!$C$5:$C$1004,Auftrag!$E338,Schnittplan!$D$5:$D$1004,Auftrag!$Q338))</f>
        <v/>
      </c>
      <c r="E338" s="32">
        <f>IF($A338="","",IFERROR(N(Auftrag!$P338)/SUMIFS(Auftrag!$P$13:$P$512,Auftrag!$D$13:$D$512,Auftrag!$D338,Auftrag!$E$13:$E$512,Auftrag!$E338,Auftrag!$Q$13:$Q$512,Auftrag!$Q338),0))</f>
        <v/>
      </c>
      <c r="F338" s="33">
        <f>IF($A338="","",IF($C338=0,0,$D338*$E338/$C338))</f>
        <v/>
      </c>
      <c r="G338" s="34">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5">
        <f>IF($A338="","",IF($H338="","",60*((N(Auftrag!$H338)-N(Auftrag!$AI338)-N(Auftrag!$AK338))/$H338+N(Auftrag!$AI338)/$J338+N(Auftrag!$AK338)/$I338+N(Auftrag!$AD338)/$K338)+N(Auftrag!$I338)*$L338))</f>
        <v/>
      </c>
      <c r="N338" s="35">
        <f>IF($A338="","",IF(OR($H338="",$C338=0),0,(60*SUMIFS(Stangenbelegung!$K$5:$K$10004,Stangenbelegung!$E$5:$E$10004,ROW())/$H338+SUMIFS(Stangenbelegung!$L$5:$L$10004,Stangenbelegung!$E$5:$E$10004,ROW())*$L338)/$C338))</f>
        <v/>
      </c>
      <c r="O338" s="35">
        <f>IF($A338="","",IF($M338="","",MAX(0,$M338-$N338)))</f>
        <v/>
      </c>
      <c r="P338" s="35">
        <f>IF($A338="","",IFERROR(SUMPRODUCT(--("0"&amp;TRIM(RIGHT(SUBSTITUTE(LEFT(";"&amp;SUBSTITUTE(UPPER(Auftrag!$AG338)," ","")&amp;";"&amp;"X"&amp;UPPER(Gewinde!$A$5:$A$54)&amp;";",SEARCH("X"&amp;UPPER(Gewinde!$A$5:$A$54)&amp;";",";"&amp;SUBSTITUTE(UPPER(Auftrag!$AG338)," ","")&amp;";"&amp;"X"&amp;UPPER(Gewinde!$A$5:$A$54)&amp;";")-1),";",REPT(" ",50)),50))),Gewinde!$C$5:$C$54),0))</f>
        <v/>
      </c>
      <c r="Q338" s="33">
        <f>IF($A338="","",(N($O338)+$P338)/3600*N(Auftrag!$H$8))</f>
        <v/>
      </c>
      <c r="R338" s="33">
        <f>IF($A338="","",IF($F$8=0,0,$F$7/$F$8))</f>
        <v/>
      </c>
      <c r="S338" s="33">
        <f>IF($A338="","",$F338*(1+$C$4)+($Q338+$R338)*(1+$C$5))</f>
        <v/>
      </c>
      <c r="T338" s="33">
        <f>IF($A338="","",$S338*(1+$C$6))</f>
        <v/>
      </c>
      <c r="U338" s="18">
        <f>IF($A338="","",$T338*$C338)</f>
        <v/>
      </c>
      <c r="V338" s="18">
        <f>IF($A338="","",$S338*$C338)</f>
        <v/>
      </c>
      <c r="W338" s="28">
        <f>IF($A338="","",IF(N(Auftrag!$AO338)&gt;0,"nicht vollständig eingeplant",IF($D338=0,"kein Schnittplan oder Preis",IF($H338="","keine Schneiddaten",IF(AND(Auftrag!$AF338&lt;&gt;"",Auftrag!$AG338=""),"Gewinde ungeprüft","")))))</f>
        <v/>
      </c>
      <c r="X338" s="18">
        <f>IF($A338="","",$F338*$C338)</f>
        <v/>
      </c>
      <c r="Y338" s="18">
        <f>IF($A338="","",$Q338*$C338)</f>
        <v/>
      </c>
    </row>
    <row r="339">
      <c r="A339" s="25">
        <f>IF(Auftrag!$D339="","",Auftrag!$A339)</f>
        <v/>
      </c>
      <c r="B339" s="25">
        <f>IF($A339="","",Auftrag!$B339)</f>
        <v/>
      </c>
      <c r="C339" s="15">
        <f>IF($A339="","",N(Auftrag!$G339))</f>
        <v/>
      </c>
      <c r="D339" s="18">
        <f>IF($A339="","",SUMIFS(Schnittplan!$R$5:$R$1004,Schnittplan!$B$5:$B$1004,Auftrag!$D339,Schnittplan!$C$5:$C$1004,Auftrag!$E339,Schnittplan!$D$5:$D$1004,Auftrag!$Q339))</f>
        <v/>
      </c>
      <c r="E339" s="32">
        <f>IF($A339="","",IFERROR(N(Auftrag!$P339)/SUMIFS(Auftrag!$P$13:$P$512,Auftrag!$D$13:$D$512,Auftrag!$D339,Auftrag!$E$13:$E$512,Auftrag!$E339,Auftrag!$Q$13:$Q$512,Auftrag!$Q339),0))</f>
        <v/>
      </c>
      <c r="F339" s="33">
        <f>IF($A339="","",IF($C339=0,0,$D339*$E339/$C339))</f>
        <v/>
      </c>
      <c r="G339" s="34">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5">
        <f>IF($A339="","",IF($H339="","",60*((N(Auftrag!$H339)-N(Auftrag!$AI339)-N(Auftrag!$AK339))/$H339+N(Auftrag!$AI339)/$J339+N(Auftrag!$AK339)/$I339+N(Auftrag!$AD339)/$K339)+N(Auftrag!$I339)*$L339))</f>
        <v/>
      </c>
      <c r="N339" s="35">
        <f>IF($A339="","",IF(OR($H339="",$C339=0),0,(60*SUMIFS(Stangenbelegung!$K$5:$K$10004,Stangenbelegung!$E$5:$E$10004,ROW())/$H339+SUMIFS(Stangenbelegung!$L$5:$L$10004,Stangenbelegung!$E$5:$E$10004,ROW())*$L339)/$C339))</f>
        <v/>
      </c>
      <c r="O339" s="35">
        <f>IF($A339="","",IF($M339="","",MAX(0,$M339-$N339)))</f>
        <v/>
      </c>
      <c r="P339" s="35">
        <f>IF($A339="","",IFERROR(SUMPRODUCT(--("0"&amp;TRIM(RIGHT(SUBSTITUTE(LEFT(";"&amp;SUBSTITUTE(UPPER(Auftrag!$AG339)," ","")&amp;";"&amp;"X"&amp;UPPER(Gewinde!$A$5:$A$54)&amp;";",SEARCH("X"&amp;UPPER(Gewinde!$A$5:$A$54)&amp;";",";"&amp;SUBSTITUTE(UPPER(Auftrag!$AG339)," ","")&amp;";"&amp;"X"&amp;UPPER(Gewinde!$A$5:$A$54)&amp;";")-1),";",REPT(" ",50)),50))),Gewinde!$C$5:$C$54),0))</f>
        <v/>
      </c>
      <c r="Q339" s="33">
        <f>IF($A339="","",(N($O339)+$P339)/3600*N(Auftrag!$H$8))</f>
        <v/>
      </c>
      <c r="R339" s="33">
        <f>IF($A339="","",IF($F$8=0,0,$F$7/$F$8))</f>
        <v/>
      </c>
      <c r="S339" s="33">
        <f>IF($A339="","",$F339*(1+$C$4)+($Q339+$R339)*(1+$C$5))</f>
        <v/>
      </c>
      <c r="T339" s="33">
        <f>IF($A339="","",$S339*(1+$C$6))</f>
        <v/>
      </c>
      <c r="U339" s="18">
        <f>IF($A339="","",$T339*$C339)</f>
        <v/>
      </c>
      <c r="V339" s="18">
        <f>IF($A339="","",$S339*$C339)</f>
        <v/>
      </c>
      <c r="W339" s="28">
        <f>IF($A339="","",IF(N(Auftrag!$AO339)&gt;0,"nicht vollständig eingeplant",IF($D339=0,"kein Schnittplan oder Preis",IF($H339="","keine Schneiddaten",IF(AND(Auftrag!$AF339&lt;&gt;"",Auftrag!$AG339=""),"Gewinde ungeprüft","")))))</f>
        <v/>
      </c>
      <c r="X339" s="18">
        <f>IF($A339="","",$F339*$C339)</f>
        <v/>
      </c>
      <c r="Y339" s="18">
        <f>IF($A339="","",$Q339*$C339)</f>
        <v/>
      </c>
    </row>
    <row r="340">
      <c r="A340" s="25">
        <f>IF(Auftrag!$D340="","",Auftrag!$A340)</f>
        <v/>
      </c>
      <c r="B340" s="25">
        <f>IF($A340="","",Auftrag!$B340)</f>
        <v/>
      </c>
      <c r="C340" s="15">
        <f>IF($A340="","",N(Auftrag!$G340))</f>
        <v/>
      </c>
      <c r="D340" s="18">
        <f>IF($A340="","",SUMIFS(Schnittplan!$R$5:$R$1004,Schnittplan!$B$5:$B$1004,Auftrag!$D340,Schnittplan!$C$5:$C$1004,Auftrag!$E340,Schnittplan!$D$5:$D$1004,Auftrag!$Q340))</f>
        <v/>
      </c>
      <c r="E340" s="32">
        <f>IF($A340="","",IFERROR(N(Auftrag!$P340)/SUMIFS(Auftrag!$P$13:$P$512,Auftrag!$D$13:$D$512,Auftrag!$D340,Auftrag!$E$13:$E$512,Auftrag!$E340,Auftrag!$Q$13:$Q$512,Auftrag!$Q340),0))</f>
        <v/>
      </c>
      <c r="F340" s="33">
        <f>IF($A340="","",IF($C340=0,0,$D340*$E340/$C340))</f>
        <v/>
      </c>
      <c r="G340" s="34">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5">
        <f>IF($A340="","",IF($H340="","",60*((N(Auftrag!$H340)-N(Auftrag!$AI340)-N(Auftrag!$AK340))/$H340+N(Auftrag!$AI340)/$J340+N(Auftrag!$AK340)/$I340+N(Auftrag!$AD340)/$K340)+N(Auftrag!$I340)*$L340))</f>
        <v/>
      </c>
      <c r="N340" s="35">
        <f>IF($A340="","",IF(OR($H340="",$C340=0),0,(60*SUMIFS(Stangenbelegung!$K$5:$K$10004,Stangenbelegung!$E$5:$E$10004,ROW())/$H340+SUMIFS(Stangenbelegung!$L$5:$L$10004,Stangenbelegung!$E$5:$E$10004,ROW())*$L340)/$C340))</f>
        <v/>
      </c>
      <c r="O340" s="35">
        <f>IF($A340="","",IF($M340="","",MAX(0,$M340-$N340)))</f>
        <v/>
      </c>
      <c r="P340" s="35">
        <f>IF($A340="","",IFERROR(SUMPRODUCT(--("0"&amp;TRIM(RIGHT(SUBSTITUTE(LEFT(";"&amp;SUBSTITUTE(UPPER(Auftrag!$AG340)," ","")&amp;";"&amp;"X"&amp;UPPER(Gewinde!$A$5:$A$54)&amp;";",SEARCH("X"&amp;UPPER(Gewinde!$A$5:$A$54)&amp;";",";"&amp;SUBSTITUTE(UPPER(Auftrag!$AG340)," ","")&amp;";"&amp;"X"&amp;UPPER(Gewinde!$A$5:$A$54)&amp;";")-1),";",REPT(" ",50)),50))),Gewinde!$C$5:$C$54),0))</f>
        <v/>
      </c>
      <c r="Q340" s="33">
        <f>IF($A340="","",(N($O340)+$P340)/3600*N(Auftrag!$H$8))</f>
        <v/>
      </c>
      <c r="R340" s="33">
        <f>IF($A340="","",IF($F$8=0,0,$F$7/$F$8))</f>
        <v/>
      </c>
      <c r="S340" s="33">
        <f>IF($A340="","",$F340*(1+$C$4)+($Q340+$R340)*(1+$C$5))</f>
        <v/>
      </c>
      <c r="T340" s="33">
        <f>IF($A340="","",$S340*(1+$C$6))</f>
        <v/>
      </c>
      <c r="U340" s="18">
        <f>IF($A340="","",$T340*$C340)</f>
        <v/>
      </c>
      <c r="V340" s="18">
        <f>IF($A340="","",$S340*$C340)</f>
        <v/>
      </c>
      <c r="W340" s="28">
        <f>IF($A340="","",IF(N(Auftrag!$AO340)&gt;0,"nicht vollständig eingeplant",IF($D340=0,"kein Schnittplan oder Preis",IF($H340="","keine Schneiddaten",IF(AND(Auftrag!$AF340&lt;&gt;"",Auftrag!$AG340=""),"Gewinde ungeprüft","")))))</f>
        <v/>
      </c>
      <c r="X340" s="18">
        <f>IF($A340="","",$F340*$C340)</f>
        <v/>
      </c>
      <c r="Y340" s="18">
        <f>IF($A340="","",$Q340*$C340)</f>
        <v/>
      </c>
    </row>
    <row r="341">
      <c r="A341" s="25">
        <f>IF(Auftrag!$D341="","",Auftrag!$A341)</f>
        <v/>
      </c>
      <c r="B341" s="25">
        <f>IF($A341="","",Auftrag!$B341)</f>
        <v/>
      </c>
      <c r="C341" s="15">
        <f>IF($A341="","",N(Auftrag!$G341))</f>
        <v/>
      </c>
      <c r="D341" s="18">
        <f>IF($A341="","",SUMIFS(Schnittplan!$R$5:$R$1004,Schnittplan!$B$5:$B$1004,Auftrag!$D341,Schnittplan!$C$5:$C$1004,Auftrag!$E341,Schnittplan!$D$5:$D$1004,Auftrag!$Q341))</f>
        <v/>
      </c>
      <c r="E341" s="32">
        <f>IF($A341="","",IFERROR(N(Auftrag!$P341)/SUMIFS(Auftrag!$P$13:$P$512,Auftrag!$D$13:$D$512,Auftrag!$D341,Auftrag!$E$13:$E$512,Auftrag!$E341,Auftrag!$Q$13:$Q$512,Auftrag!$Q341),0))</f>
        <v/>
      </c>
      <c r="F341" s="33">
        <f>IF($A341="","",IF($C341=0,0,$D341*$E341/$C341))</f>
        <v/>
      </c>
      <c r="G341" s="34">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5">
        <f>IF($A341="","",IF($H341="","",60*((N(Auftrag!$H341)-N(Auftrag!$AI341)-N(Auftrag!$AK341))/$H341+N(Auftrag!$AI341)/$J341+N(Auftrag!$AK341)/$I341+N(Auftrag!$AD341)/$K341)+N(Auftrag!$I341)*$L341))</f>
        <v/>
      </c>
      <c r="N341" s="35">
        <f>IF($A341="","",IF(OR($H341="",$C341=0),0,(60*SUMIFS(Stangenbelegung!$K$5:$K$10004,Stangenbelegung!$E$5:$E$10004,ROW())/$H341+SUMIFS(Stangenbelegung!$L$5:$L$10004,Stangenbelegung!$E$5:$E$10004,ROW())*$L341)/$C341))</f>
        <v/>
      </c>
      <c r="O341" s="35">
        <f>IF($A341="","",IF($M341="","",MAX(0,$M341-$N341)))</f>
        <v/>
      </c>
      <c r="P341" s="35">
        <f>IF($A341="","",IFERROR(SUMPRODUCT(--("0"&amp;TRIM(RIGHT(SUBSTITUTE(LEFT(";"&amp;SUBSTITUTE(UPPER(Auftrag!$AG341)," ","")&amp;";"&amp;"X"&amp;UPPER(Gewinde!$A$5:$A$54)&amp;";",SEARCH("X"&amp;UPPER(Gewinde!$A$5:$A$54)&amp;";",";"&amp;SUBSTITUTE(UPPER(Auftrag!$AG341)," ","")&amp;";"&amp;"X"&amp;UPPER(Gewinde!$A$5:$A$54)&amp;";")-1),";",REPT(" ",50)),50))),Gewinde!$C$5:$C$54),0))</f>
        <v/>
      </c>
      <c r="Q341" s="33">
        <f>IF($A341="","",(N($O341)+$P341)/3600*N(Auftrag!$H$8))</f>
        <v/>
      </c>
      <c r="R341" s="33">
        <f>IF($A341="","",IF($F$8=0,0,$F$7/$F$8))</f>
        <v/>
      </c>
      <c r="S341" s="33">
        <f>IF($A341="","",$F341*(1+$C$4)+($Q341+$R341)*(1+$C$5))</f>
        <v/>
      </c>
      <c r="T341" s="33">
        <f>IF($A341="","",$S341*(1+$C$6))</f>
        <v/>
      </c>
      <c r="U341" s="18">
        <f>IF($A341="","",$T341*$C341)</f>
        <v/>
      </c>
      <c r="V341" s="18">
        <f>IF($A341="","",$S341*$C341)</f>
        <v/>
      </c>
      <c r="W341" s="28">
        <f>IF($A341="","",IF(N(Auftrag!$AO341)&gt;0,"nicht vollständig eingeplant",IF($D341=0,"kein Schnittplan oder Preis",IF($H341="","keine Schneiddaten",IF(AND(Auftrag!$AF341&lt;&gt;"",Auftrag!$AG341=""),"Gewinde ungeprüft","")))))</f>
        <v/>
      </c>
      <c r="X341" s="18">
        <f>IF($A341="","",$F341*$C341)</f>
        <v/>
      </c>
      <c r="Y341" s="18">
        <f>IF($A341="","",$Q341*$C341)</f>
        <v/>
      </c>
    </row>
    <row r="342">
      <c r="A342" s="25">
        <f>IF(Auftrag!$D342="","",Auftrag!$A342)</f>
        <v/>
      </c>
      <c r="B342" s="25">
        <f>IF($A342="","",Auftrag!$B342)</f>
        <v/>
      </c>
      <c r="C342" s="15">
        <f>IF($A342="","",N(Auftrag!$G342))</f>
        <v/>
      </c>
      <c r="D342" s="18">
        <f>IF($A342="","",SUMIFS(Schnittplan!$R$5:$R$1004,Schnittplan!$B$5:$B$1004,Auftrag!$D342,Schnittplan!$C$5:$C$1004,Auftrag!$E342,Schnittplan!$D$5:$D$1004,Auftrag!$Q342))</f>
        <v/>
      </c>
      <c r="E342" s="32">
        <f>IF($A342="","",IFERROR(N(Auftrag!$P342)/SUMIFS(Auftrag!$P$13:$P$512,Auftrag!$D$13:$D$512,Auftrag!$D342,Auftrag!$E$13:$E$512,Auftrag!$E342,Auftrag!$Q$13:$Q$512,Auftrag!$Q342),0))</f>
        <v/>
      </c>
      <c r="F342" s="33">
        <f>IF($A342="","",IF($C342=0,0,$D342*$E342/$C342))</f>
        <v/>
      </c>
      <c r="G342" s="34">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5">
        <f>IF($A342="","",IF($H342="","",60*((N(Auftrag!$H342)-N(Auftrag!$AI342)-N(Auftrag!$AK342))/$H342+N(Auftrag!$AI342)/$J342+N(Auftrag!$AK342)/$I342+N(Auftrag!$AD342)/$K342)+N(Auftrag!$I342)*$L342))</f>
        <v/>
      </c>
      <c r="N342" s="35">
        <f>IF($A342="","",IF(OR($H342="",$C342=0),0,(60*SUMIFS(Stangenbelegung!$K$5:$K$10004,Stangenbelegung!$E$5:$E$10004,ROW())/$H342+SUMIFS(Stangenbelegung!$L$5:$L$10004,Stangenbelegung!$E$5:$E$10004,ROW())*$L342)/$C342))</f>
        <v/>
      </c>
      <c r="O342" s="35">
        <f>IF($A342="","",IF($M342="","",MAX(0,$M342-$N342)))</f>
        <v/>
      </c>
      <c r="P342" s="35">
        <f>IF($A342="","",IFERROR(SUMPRODUCT(--("0"&amp;TRIM(RIGHT(SUBSTITUTE(LEFT(";"&amp;SUBSTITUTE(UPPER(Auftrag!$AG342)," ","")&amp;";"&amp;"X"&amp;UPPER(Gewinde!$A$5:$A$54)&amp;";",SEARCH("X"&amp;UPPER(Gewinde!$A$5:$A$54)&amp;";",";"&amp;SUBSTITUTE(UPPER(Auftrag!$AG342)," ","")&amp;";"&amp;"X"&amp;UPPER(Gewinde!$A$5:$A$54)&amp;";")-1),";",REPT(" ",50)),50))),Gewinde!$C$5:$C$54),0))</f>
        <v/>
      </c>
      <c r="Q342" s="33">
        <f>IF($A342="","",(N($O342)+$P342)/3600*N(Auftrag!$H$8))</f>
        <v/>
      </c>
      <c r="R342" s="33">
        <f>IF($A342="","",IF($F$8=0,0,$F$7/$F$8))</f>
        <v/>
      </c>
      <c r="S342" s="33">
        <f>IF($A342="","",$F342*(1+$C$4)+($Q342+$R342)*(1+$C$5))</f>
        <v/>
      </c>
      <c r="T342" s="33">
        <f>IF($A342="","",$S342*(1+$C$6))</f>
        <v/>
      </c>
      <c r="U342" s="18">
        <f>IF($A342="","",$T342*$C342)</f>
        <v/>
      </c>
      <c r="V342" s="18">
        <f>IF($A342="","",$S342*$C342)</f>
        <v/>
      </c>
      <c r="W342" s="28">
        <f>IF($A342="","",IF(N(Auftrag!$AO342)&gt;0,"nicht vollständig eingeplant",IF($D342=0,"kein Schnittplan oder Preis",IF($H342="","keine Schneiddaten",IF(AND(Auftrag!$AF342&lt;&gt;"",Auftrag!$AG342=""),"Gewinde ungeprüft","")))))</f>
        <v/>
      </c>
      <c r="X342" s="18">
        <f>IF($A342="","",$F342*$C342)</f>
        <v/>
      </c>
      <c r="Y342" s="18">
        <f>IF($A342="","",$Q342*$C342)</f>
        <v/>
      </c>
    </row>
    <row r="343">
      <c r="A343" s="25">
        <f>IF(Auftrag!$D343="","",Auftrag!$A343)</f>
        <v/>
      </c>
      <c r="B343" s="25">
        <f>IF($A343="","",Auftrag!$B343)</f>
        <v/>
      </c>
      <c r="C343" s="15">
        <f>IF($A343="","",N(Auftrag!$G343))</f>
        <v/>
      </c>
      <c r="D343" s="18">
        <f>IF($A343="","",SUMIFS(Schnittplan!$R$5:$R$1004,Schnittplan!$B$5:$B$1004,Auftrag!$D343,Schnittplan!$C$5:$C$1004,Auftrag!$E343,Schnittplan!$D$5:$D$1004,Auftrag!$Q343))</f>
        <v/>
      </c>
      <c r="E343" s="32">
        <f>IF($A343="","",IFERROR(N(Auftrag!$P343)/SUMIFS(Auftrag!$P$13:$P$512,Auftrag!$D$13:$D$512,Auftrag!$D343,Auftrag!$E$13:$E$512,Auftrag!$E343,Auftrag!$Q$13:$Q$512,Auftrag!$Q343),0))</f>
        <v/>
      </c>
      <c r="F343" s="33">
        <f>IF($A343="","",IF($C343=0,0,$D343*$E343/$C343))</f>
        <v/>
      </c>
      <c r="G343" s="34">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5">
        <f>IF($A343="","",IF($H343="","",60*((N(Auftrag!$H343)-N(Auftrag!$AI343)-N(Auftrag!$AK343))/$H343+N(Auftrag!$AI343)/$J343+N(Auftrag!$AK343)/$I343+N(Auftrag!$AD343)/$K343)+N(Auftrag!$I343)*$L343))</f>
        <v/>
      </c>
      <c r="N343" s="35">
        <f>IF($A343="","",IF(OR($H343="",$C343=0),0,(60*SUMIFS(Stangenbelegung!$K$5:$K$10004,Stangenbelegung!$E$5:$E$10004,ROW())/$H343+SUMIFS(Stangenbelegung!$L$5:$L$10004,Stangenbelegung!$E$5:$E$10004,ROW())*$L343)/$C343))</f>
        <v/>
      </c>
      <c r="O343" s="35">
        <f>IF($A343="","",IF($M343="","",MAX(0,$M343-$N343)))</f>
        <v/>
      </c>
      <c r="P343" s="35">
        <f>IF($A343="","",IFERROR(SUMPRODUCT(--("0"&amp;TRIM(RIGHT(SUBSTITUTE(LEFT(";"&amp;SUBSTITUTE(UPPER(Auftrag!$AG343)," ","")&amp;";"&amp;"X"&amp;UPPER(Gewinde!$A$5:$A$54)&amp;";",SEARCH("X"&amp;UPPER(Gewinde!$A$5:$A$54)&amp;";",";"&amp;SUBSTITUTE(UPPER(Auftrag!$AG343)," ","")&amp;";"&amp;"X"&amp;UPPER(Gewinde!$A$5:$A$54)&amp;";")-1),";",REPT(" ",50)),50))),Gewinde!$C$5:$C$54),0))</f>
        <v/>
      </c>
      <c r="Q343" s="33">
        <f>IF($A343="","",(N($O343)+$P343)/3600*N(Auftrag!$H$8))</f>
        <v/>
      </c>
      <c r="R343" s="33">
        <f>IF($A343="","",IF($F$8=0,0,$F$7/$F$8))</f>
        <v/>
      </c>
      <c r="S343" s="33">
        <f>IF($A343="","",$F343*(1+$C$4)+($Q343+$R343)*(1+$C$5))</f>
        <v/>
      </c>
      <c r="T343" s="33">
        <f>IF($A343="","",$S343*(1+$C$6))</f>
        <v/>
      </c>
      <c r="U343" s="18">
        <f>IF($A343="","",$T343*$C343)</f>
        <v/>
      </c>
      <c r="V343" s="18">
        <f>IF($A343="","",$S343*$C343)</f>
        <v/>
      </c>
      <c r="W343" s="28">
        <f>IF($A343="","",IF(N(Auftrag!$AO343)&gt;0,"nicht vollständig eingeplant",IF($D343=0,"kein Schnittplan oder Preis",IF($H343="","keine Schneiddaten",IF(AND(Auftrag!$AF343&lt;&gt;"",Auftrag!$AG343=""),"Gewinde ungeprüft","")))))</f>
        <v/>
      </c>
      <c r="X343" s="18">
        <f>IF($A343="","",$F343*$C343)</f>
        <v/>
      </c>
      <c r="Y343" s="18">
        <f>IF($A343="","",$Q343*$C343)</f>
        <v/>
      </c>
    </row>
    <row r="344">
      <c r="A344" s="25">
        <f>IF(Auftrag!$D344="","",Auftrag!$A344)</f>
        <v/>
      </c>
      <c r="B344" s="25">
        <f>IF($A344="","",Auftrag!$B344)</f>
        <v/>
      </c>
      <c r="C344" s="15">
        <f>IF($A344="","",N(Auftrag!$G344))</f>
        <v/>
      </c>
      <c r="D344" s="18">
        <f>IF($A344="","",SUMIFS(Schnittplan!$R$5:$R$1004,Schnittplan!$B$5:$B$1004,Auftrag!$D344,Schnittplan!$C$5:$C$1004,Auftrag!$E344,Schnittplan!$D$5:$D$1004,Auftrag!$Q344))</f>
        <v/>
      </c>
      <c r="E344" s="32">
        <f>IF($A344="","",IFERROR(N(Auftrag!$P344)/SUMIFS(Auftrag!$P$13:$P$512,Auftrag!$D$13:$D$512,Auftrag!$D344,Auftrag!$E$13:$E$512,Auftrag!$E344,Auftrag!$Q$13:$Q$512,Auftrag!$Q344),0))</f>
        <v/>
      </c>
      <c r="F344" s="33">
        <f>IF($A344="","",IF($C344=0,0,$D344*$E344/$C344))</f>
        <v/>
      </c>
      <c r="G344" s="34">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5">
        <f>IF($A344="","",IF($H344="","",60*((N(Auftrag!$H344)-N(Auftrag!$AI344)-N(Auftrag!$AK344))/$H344+N(Auftrag!$AI344)/$J344+N(Auftrag!$AK344)/$I344+N(Auftrag!$AD344)/$K344)+N(Auftrag!$I344)*$L344))</f>
        <v/>
      </c>
      <c r="N344" s="35">
        <f>IF($A344="","",IF(OR($H344="",$C344=0),0,(60*SUMIFS(Stangenbelegung!$K$5:$K$10004,Stangenbelegung!$E$5:$E$10004,ROW())/$H344+SUMIFS(Stangenbelegung!$L$5:$L$10004,Stangenbelegung!$E$5:$E$10004,ROW())*$L344)/$C344))</f>
        <v/>
      </c>
      <c r="O344" s="35">
        <f>IF($A344="","",IF($M344="","",MAX(0,$M344-$N344)))</f>
        <v/>
      </c>
      <c r="P344" s="35">
        <f>IF($A344="","",IFERROR(SUMPRODUCT(--("0"&amp;TRIM(RIGHT(SUBSTITUTE(LEFT(";"&amp;SUBSTITUTE(UPPER(Auftrag!$AG344)," ","")&amp;";"&amp;"X"&amp;UPPER(Gewinde!$A$5:$A$54)&amp;";",SEARCH("X"&amp;UPPER(Gewinde!$A$5:$A$54)&amp;";",";"&amp;SUBSTITUTE(UPPER(Auftrag!$AG344)," ","")&amp;";"&amp;"X"&amp;UPPER(Gewinde!$A$5:$A$54)&amp;";")-1),";",REPT(" ",50)),50))),Gewinde!$C$5:$C$54),0))</f>
        <v/>
      </c>
      <c r="Q344" s="33">
        <f>IF($A344="","",(N($O344)+$P344)/3600*N(Auftrag!$H$8))</f>
        <v/>
      </c>
      <c r="R344" s="33">
        <f>IF($A344="","",IF($F$8=0,0,$F$7/$F$8))</f>
        <v/>
      </c>
      <c r="S344" s="33">
        <f>IF($A344="","",$F344*(1+$C$4)+($Q344+$R344)*(1+$C$5))</f>
        <v/>
      </c>
      <c r="T344" s="33">
        <f>IF($A344="","",$S344*(1+$C$6))</f>
        <v/>
      </c>
      <c r="U344" s="18">
        <f>IF($A344="","",$T344*$C344)</f>
        <v/>
      </c>
      <c r="V344" s="18">
        <f>IF($A344="","",$S344*$C344)</f>
        <v/>
      </c>
      <c r="W344" s="28">
        <f>IF($A344="","",IF(N(Auftrag!$AO344)&gt;0,"nicht vollständig eingeplant",IF($D344=0,"kein Schnittplan oder Preis",IF($H344="","keine Schneiddaten",IF(AND(Auftrag!$AF344&lt;&gt;"",Auftrag!$AG344=""),"Gewinde ungeprüft","")))))</f>
        <v/>
      </c>
      <c r="X344" s="18">
        <f>IF($A344="","",$F344*$C344)</f>
        <v/>
      </c>
      <c r="Y344" s="18">
        <f>IF($A344="","",$Q344*$C344)</f>
        <v/>
      </c>
    </row>
    <row r="345">
      <c r="A345" s="25">
        <f>IF(Auftrag!$D345="","",Auftrag!$A345)</f>
        <v/>
      </c>
      <c r="B345" s="25">
        <f>IF($A345="","",Auftrag!$B345)</f>
        <v/>
      </c>
      <c r="C345" s="15">
        <f>IF($A345="","",N(Auftrag!$G345))</f>
        <v/>
      </c>
      <c r="D345" s="18">
        <f>IF($A345="","",SUMIFS(Schnittplan!$R$5:$R$1004,Schnittplan!$B$5:$B$1004,Auftrag!$D345,Schnittplan!$C$5:$C$1004,Auftrag!$E345,Schnittplan!$D$5:$D$1004,Auftrag!$Q345))</f>
        <v/>
      </c>
      <c r="E345" s="32">
        <f>IF($A345="","",IFERROR(N(Auftrag!$P345)/SUMIFS(Auftrag!$P$13:$P$512,Auftrag!$D$13:$D$512,Auftrag!$D345,Auftrag!$E$13:$E$512,Auftrag!$E345,Auftrag!$Q$13:$Q$512,Auftrag!$Q345),0))</f>
        <v/>
      </c>
      <c r="F345" s="33">
        <f>IF($A345="","",IF($C345=0,0,$D345*$E345/$C345))</f>
        <v/>
      </c>
      <c r="G345" s="34">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5">
        <f>IF($A345="","",IF($H345="","",60*((N(Auftrag!$H345)-N(Auftrag!$AI345)-N(Auftrag!$AK345))/$H345+N(Auftrag!$AI345)/$J345+N(Auftrag!$AK345)/$I345+N(Auftrag!$AD345)/$K345)+N(Auftrag!$I345)*$L345))</f>
        <v/>
      </c>
      <c r="N345" s="35">
        <f>IF($A345="","",IF(OR($H345="",$C345=0),0,(60*SUMIFS(Stangenbelegung!$K$5:$K$10004,Stangenbelegung!$E$5:$E$10004,ROW())/$H345+SUMIFS(Stangenbelegung!$L$5:$L$10004,Stangenbelegung!$E$5:$E$10004,ROW())*$L345)/$C345))</f>
        <v/>
      </c>
      <c r="O345" s="35">
        <f>IF($A345="","",IF($M345="","",MAX(0,$M345-$N345)))</f>
        <v/>
      </c>
      <c r="P345" s="35">
        <f>IF($A345="","",IFERROR(SUMPRODUCT(--("0"&amp;TRIM(RIGHT(SUBSTITUTE(LEFT(";"&amp;SUBSTITUTE(UPPER(Auftrag!$AG345)," ","")&amp;";"&amp;"X"&amp;UPPER(Gewinde!$A$5:$A$54)&amp;";",SEARCH("X"&amp;UPPER(Gewinde!$A$5:$A$54)&amp;";",";"&amp;SUBSTITUTE(UPPER(Auftrag!$AG345)," ","")&amp;";"&amp;"X"&amp;UPPER(Gewinde!$A$5:$A$54)&amp;";")-1),";",REPT(" ",50)),50))),Gewinde!$C$5:$C$54),0))</f>
        <v/>
      </c>
      <c r="Q345" s="33">
        <f>IF($A345="","",(N($O345)+$P345)/3600*N(Auftrag!$H$8))</f>
        <v/>
      </c>
      <c r="R345" s="33">
        <f>IF($A345="","",IF($F$8=0,0,$F$7/$F$8))</f>
        <v/>
      </c>
      <c r="S345" s="33">
        <f>IF($A345="","",$F345*(1+$C$4)+($Q345+$R345)*(1+$C$5))</f>
        <v/>
      </c>
      <c r="T345" s="33">
        <f>IF($A345="","",$S345*(1+$C$6))</f>
        <v/>
      </c>
      <c r="U345" s="18">
        <f>IF($A345="","",$T345*$C345)</f>
        <v/>
      </c>
      <c r="V345" s="18">
        <f>IF($A345="","",$S345*$C345)</f>
        <v/>
      </c>
      <c r="W345" s="28">
        <f>IF($A345="","",IF(N(Auftrag!$AO345)&gt;0,"nicht vollständig eingeplant",IF($D345=0,"kein Schnittplan oder Preis",IF($H345="","keine Schneiddaten",IF(AND(Auftrag!$AF345&lt;&gt;"",Auftrag!$AG345=""),"Gewinde ungeprüft","")))))</f>
        <v/>
      </c>
      <c r="X345" s="18">
        <f>IF($A345="","",$F345*$C345)</f>
        <v/>
      </c>
      <c r="Y345" s="18">
        <f>IF($A345="","",$Q345*$C345)</f>
        <v/>
      </c>
    </row>
    <row r="346">
      <c r="A346" s="25">
        <f>IF(Auftrag!$D346="","",Auftrag!$A346)</f>
        <v/>
      </c>
      <c r="B346" s="25">
        <f>IF($A346="","",Auftrag!$B346)</f>
        <v/>
      </c>
      <c r="C346" s="15">
        <f>IF($A346="","",N(Auftrag!$G346))</f>
        <v/>
      </c>
      <c r="D346" s="18">
        <f>IF($A346="","",SUMIFS(Schnittplan!$R$5:$R$1004,Schnittplan!$B$5:$B$1004,Auftrag!$D346,Schnittplan!$C$5:$C$1004,Auftrag!$E346,Schnittplan!$D$5:$D$1004,Auftrag!$Q346))</f>
        <v/>
      </c>
      <c r="E346" s="32">
        <f>IF($A346="","",IFERROR(N(Auftrag!$P346)/SUMIFS(Auftrag!$P$13:$P$512,Auftrag!$D$13:$D$512,Auftrag!$D346,Auftrag!$E$13:$E$512,Auftrag!$E346,Auftrag!$Q$13:$Q$512,Auftrag!$Q346),0))</f>
        <v/>
      </c>
      <c r="F346" s="33">
        <f>IF($A346="","",IF($C346=0,0,$D346*$E346/$C346))</f>
        <v/>
      </c>
      <c r="G346" s="34">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5">
        <f>IF($A346="","",IF($H346="","",60*((N(Auftrag!$H346)-N(Auftrag!$AI346)-N(Auftrag!$AK346))/$H346+N(Auftrag!$AI346)/$J346+N(Auftrag!$AK346)/$I346+N(Auftrag!$AD346)/$K346)+N(Auftrag!$I346)*$L346))</f>
        <v/>
      </c>
      <c r="N346" s="35">
        <f>IF($A346="","",IF(OR($H346="",$C346=0),0,(60*SUMIFS(Stangenbelegung!$K$5:$K$10004,Stangenbelegung!$E$5:$E$10004,ROW())/$H346+SUMIFS(Stangenbelegung!$L$5:$L$10004,Stangenbelegung!$E$5:$E$10004,ROW())*$L346)/$C346))</f>
        <v/>
      </c>
      <c r="O346" s="35">
        <f>IF($A346="","",IF($M346="","",MAX(0,$M346-$N346)))</f>
        <v/>
      </c>
      <c r="P346" s="35">
        <f>IF($A346="","",IFERROR(SUMPRODUCT(--("0"&amp;TRIM(RIGHT(SUBSTITUTE(LEFT(";"&amp;SUBSTITUTE(UPPER(Auftrag!$AG346)," ","")&amp;";"&amp;"X"&amp;UPPER(Gewinde!$A$5:$A$54)&amp;";",SEARCH("X"&amp;UPPER(Gewinde!$A$5:$A$54)&amp;";",";"&amp;SUBSTITUTE(UPPER(Auftrag!$AG346)," ","")&amp;";"&amp;"X"&amp;UPPER(Gewinde!$A$5:$A$54)&amp;";")-1),";",REPT(" ",50)),50))),Gewinde!$C$5:$C$54),0))</f>
        <v/>
      </c>
      <c r="Q346" s="33">
        <f>IF($A346="","",(N($O346)+$P346)/3600*N(Auftrag!$H$8))</f>
        <v/>
      </c>
      <c r="R346" s="33">
        <f>IF($A346="","",IF($F$8=0,0,$F$7/$F$8))</f>
        <v/>
      </c>
      <c r="S346" s="33">
        <f>IF($A346="","",$F346*(1+$C$4)+($Q346+$R346)*(1+$C$5))</f>
        <v/>
      </c>
      <c r="T346" s="33">
        <f>IF($A346="","",$S346*(1+$C$6))</f>
        <v/>
      </c>
      <c r="U346" s="18">
        <f>IF($A346="","",$T346*$C346)</f>
        <v/>
      </c>
      <c r="V346" s="18">
        <f>IF($A346="","",$S346*$C346)</f>
        <v/>
      </c>
      <c r="W346" s="28">
        <f>IF($A346="","",IF(N(Auftrag!$AO346)&gt;0,"nicht vollständig eingeplant",IF($D346=0,"kein Schnittplan oder Preis",IF($H346="","keine Schneiddaten",IF(AND(Auftrag!$AF346&lt;&gt;"",Auftrag!$AG346=""),"Gewinde ungeprüft","")))))</f>
        <v/>
      </c>
      <c r="X346" s="18">
        <f>IF($A346="","",$F346*$C346)</f>
        <v/>
      </c>
      <c r="Y346" s="18">
        <f>IF($A346="","",$Q346*$C346)</f>
        <v/>
      </c>
    </row>
    <row r="347">
      <c r="A347" s="25">
        <f>IF(Auftrag!$D347="","",Auftrag!$A347)</f>
        <v/>
      </c>
      <c r="B347" s="25">
        <f>IF($A347="","",Auftrag!$B347)</f>
        <v/>
      </c>
      <c r="C347" s="15">
        <f>IF($A347="","",N(Auftrag!$G347))</f>
        <v/>
      </c>
      <c r="D347" s="18">
        <f>IF($A347="","",SUMIFS(Schnittplan!$R$5:$R$1004,Schnittplan!$B$5:$B$1004,Auftrag!$D347,Schnittplan!$C$5:$C$1004,Auftrag!$E347,Schnittplan!$D$5:$D$1004,Auftrag!$Q347))</f>
        <v/>
      </c>
      <c r="E347" s="32">
        <f>IF($A347="","",IFERROR(N(Auftrag!$P347)/SUMIFS(Auftrag!$P$13:$P$512,Auftrag!$D$13:$D$512,Auftrag!$D347,Auftrag!$E$13:$E$512,Auftrag!$E347,Auftrag!$Q$13:$Q$512,Auftrag!$Q347),0))</f>
        <v/>
      </c>
      <c r="F347" s="33">
        <f>IF($A347="","",IF($C347=0,0,$D347*$E347/$C347))</f>
        <v/>
      </c>
      <c r="G347" s="34">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5">
        <f>IF($A347="","",IF($H347="","",60*((N(Auftrag!$H347)-N(Auftrag!$AI347)-N(Auftrag!$AK347))/$H347+N(Auftrag!$AI347)/$J347+N(Auftrag!$AK347)/$I347+N(Auftrag!$AD347)/$K347)+N(Auftrag!$I347)*$L347))</f>
        <v/>
      </c>
      <c r="N347" s="35">
        <f>IF($A347="","",IF(OR($H347="",$C347=0),0,(60*SUMIFS(Stangenbelegung!$K$5:$K$10004,Stangenbelegung!$E$5:$E$10004,ROW())/$H347+SUMIFS(Stangenbelegung!$L$5:$L$10004,Stangenbelegung!$E$5:$E$10004,ROW())*$L347)/$C347))</f>
        <v/>
      </c>
      <c r="O347" s="35">
        <f>IF($A347="","",IF($M347="","",MAX(0,$M347-$N347)))</f>
        <v/>
      </c>
      <c r="P347" s="35">
        <f>IF($A347="","",IFERROR(SUMPRODUCT(--("0"&amp;TRIM(RIGHT(SUBSTITUTE(LEFT(";"&amp;SUBSTITUTE(UPPER(Auftrag!$AG347)," ","")&amp;";"&amp;"X"&amp;UPPER(Gewinde!$A$5:$A$54)&amp;";",SEARCH("X"&amp;UPPER(Gewinde!$A$5:$A$54)&amp;";",";"&amp;SUBSTITUTE(UPPER(Auftrag!$AG347)," ","")&amp;";"&amp;"X"&amp;UPPER(Gewinde!$A$5:$A$54)&amp;";")-1),";",REPT(" ",50)),50))),Gewinde!$C$5:$C$54),0))</f>
        <v/>
      </c>
      <c r="Q347" s="33">
        <f>IF($A347="","",(N($O347)+$P347)/3600*N(Auftrag!$H$8))</f>
        <v/>
      </c>
      <c r="R347" s="33">
        <f>IF($A347="","",IF($F$8=0,0,$F$7/$F$8))</f>
        <v/>
      </c>
      <c r="S347" s="33">
        <f>IF($A347="","",$F347*(1+$C$4)+($Q347+$R347)*(1+$C$5))</f>
        <v/>
      </c>
      <c r="T347" s="33">
        <f>IF($A347="","",$S347*(1+$C$6))</f>
        <v/>
      </c>
      <c r="U347" s="18">
        <f>IF($A347="","",$T347*$C347)</f>
        <v/>
      </c>
      <c r="V347" s="18">
        <f>IF($A347="","",$S347*$C347)</f>
        <v/>
      </c>
      <c r="W347" s="28">
        <f>IF($A347="","",IF(N(Auftrag!$AO347)&gt;0,"nicht vollständig eingeplant",IF($D347=0,"kein Schnittplan oder Preis",IF($H347="","keine Schneiddaten",IF(AND(Auftrag!$AF347&lt;&gt;"",Auftrag!$AG347=""),"Gewinde ungeprüft","")))))</f>
        <v/>
      </c>
      <c r="X347" s="18">
        <f>IF($A347="","",$F347*$C347)</f>
        <v/>
      </c>
      <c r="Y347" s="18">
        <f>IF($A347="","",$Q347*$C347)</f>
        <v/>
      </c>
    </row>
    <row r="348">
      <c r="A348" s="25">
        <f>IF(Auftrag!$D348="","",Auftrag!$A348)</f>
        <v/>
      </c>
      <c r="B348" s="25">
        <f>IF($A348="","",Auftrag!$B348)</f>
        <v/>
      </c>
      <c r="C348" s="15">
        <f>IF($A348="","",N(Auftrag!$G348))</f>
        <v/>
      </c>
      <c r="D348" s="18">
        <f>IF($A348="","",SUMIFS(Schnittplan!$R$5:$R$1004,Schnittplan!$B$5:$B$1004,Auftrag!$D348,Schnittplan!$C$5:$C$1004,Auftrag!$E348,Schnittplan!$D$5:$D$1004,Auftrag!$Q348))</f>
        <v/>
      </c>
      <c r="E348" s="32">
        <f>IF($A348="","",IFERROR(N(Auftrag!$P348)/SUMIFS(Auftrag!$P$13:$P$512,Auftrag!$D$13:$D$512,Auftrag!$D348,Auftrag!$E$13:$E$512,Auftrag!$E348,Auftrag!$Q$13:$Q$512,Auftrag!$Q348),0))</f>
        <v/>
      </c>
      <c r="F348" s="33">
        <f>IF($A348="","",IF($C348=0,0,$D348*$E348/$C348))</f>
        <v/>
      </c>
      <c r="G348" s="34">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5">
        <f>IF($A348="","",IF($H348="","",60*((N(Auftrag!$H348)-N(Auftrag!$AI348)-N(Auftrag!$AK348))/$H348+N(Auftrag!$AI348)/$J348+N(Auftrag!$AK348)/$I348+N(Auftrag!$AD348)/$K348)+N(Auftrag!$I348)*$L348))</f>
        <v/>
      </c>
      <c r="N348" s="35">
        <f>IF($A348="","",IF(OR($H348="",$C348=0),0,(60*SUMIFS(Stangenbelegung!$K$5:$K$10004,Stangenbelegung!$E$5:$E$10004,ROW())/$H348+SUMIFS(Stangenbelegung!$L$5:$L$10004,Stangenbelegung!$E$5:$E$10004,ROW())*$L348)/$C348))</f>
        <v/>
      </c>
      <c r="O348" s="35">
        <f>IF($A348="","",IF($M348="","",MAX(0,$M348-$N348)))</f>
        <v/>
      </c>
      <c r="P348" s="35">
        <f>IF($A348="","",IFERROR(SUMPRODUCT(--("0"&amp;TRIM(RIGHT(SUBSTITUTE(LEFT(";"&amp;SUBSTITUTE(UPPER(Auftrag!$AG348)," ","")&amp;";"&amp;"X"&amp;UPPER(Gewinde!$A$5:$A$54)&amp;";",SEARCH("X"&amp;UPPER(Gewinde!$A$5:$A$54)&amp;";",";"&amp;SUBSTITUTE(UPPER(Auftrag!$AG348)," ","")&amp;";"&amp;"X"&amp;UPPER(Gewinde!$A$5:$A$54)&amp;";")-1),";",REPT(" ",50)),50))),Gewinde!$C$5:$C$54),0))</f>
        <v/>
      </c>
      <c r="Q348" s="33">
        <f>IF($A348="","",(N($O348)+$P348)/3600*N(Auftrag!$H$8))</f>
        <v/>
      </c>
      <c r="R348" s="33">
        <f>IF($A348="","",IF($F$8=0,0,$F$7/$F$8))</f>
        <v/>
      </c>
      <c r="S348" s="33">
        <f>IF($A348="","",$F348*(1+$C$4)+($Q348+$R348)*(1+$C$5))</f>
        <v/>
      </c>
      <c r="T348" s="33">
        <f>IF($A348="","",$S348*(1+$C$6))</f>
        <v/>
      </c>
      <c r="U348" s="18">
        <f>IF($A348="","",$T348*$C348)</f>
        <v/>
      </c>
      <c r="V348" s="18">
        <f>IF($A348="","",$S348*$C348)</f>
        <v/>
      </c>
      <c r="W348" s="28">
        <f>IF($A348="","",IF(N(Auftrag!$AO348)&gt;0,"nicht vollständig eingeplant",IF($D348=0,"kein Schnittplan oder Preis",IF($H348="","keine Schneiddaten",IF(AND(Auftrag!$AF348&lt;&gt;"",Auftrag!$AG348=""),"Gewinde ungeprüft","")))))</f>
        <v/>
      </c>
      <c r="X348" s="18">
        <f>IF($A348="","",$F348*$C348)</f>
        <v/>
      </c>
      <c r="Y348" s="18">
        <f>IF($A348="","",$Q348*$C348)</f>
        <v/>
      </c>
    </row>
    <row r="349">
      <c r="A349" s="25">
        <f>IF(Auftrag!$D349="","",Auftrag!$A349)</f>
        <v/>
      </c>
      <c r="B349" s="25">
        <f>IF($A349="","",Auftrag!$B349)</f>
        <v/>
      </c>
      <c r="C349" s="15">
        <f>IF($A349="","",N(Auftrag!$G349))</f>
        <v/>
      </c>
      <c r="D349" s="18">
        <f>IF($A349="","",SUMIFS(Schnittplan!$R$5:$R$1004,Schnittplan!$B$5:$B$1004,Auftrag!$D349,Schnittplan!$C$5:$C$1004,Auftrag!$E349,Schnittplan!$D$5:$D$1004,Auftrag!$Q349))</f>
        <v/>
      </c>
      <c r="E349" s="32">
        <f>IF($A349="","",IFERROR(N(Auftrag!$P349)/SUMIFS(Auftrag!$P$13:$P$512,Auftrag!$D$13:$D$512,Auftrag!$D349,Auftrag!$E$13:$E$512,Auftrag!$E349,Auftrag!$Q$13:$Q$512,Auftrag!$Q349),0))</f>
        <v/>
      </c>
      <c r="F349" s="33">
        <f>IF($A349="","",IF($C349=0,0,$D349*$E349/$C349))</f>
        <v/>
      </c>
      <c r="G349" s="34">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5">
        <f>IF($A349="","",IF($H349="","",60*((N(Auftrag!$H349)-N(Auftrag!$AI349)-N(Auftrag!$AK349))/$H349+N(Auftrag!$AI349)/$J349+N(Auftrag!$AK349)/$I349+N(Auftrag!$AD349)/$K349)+N(Auftrag!$I349)*$L349))</f>
        <v/>
      </c>
      <c r="N349" s="35">
        <f>IF($A349="","",IF(OR($H349="",$C349=0),0,(60*SUMIFS(Stangenbelegung!$K$5:$K$10004,Stangenbelegung!$E$5:$E$10004,ROW())/$H349+SUMIFS(Stangenbelegung!$L$5:$L$10004,Stangenbelegung!$E$5:$E$10004,ROW())*$L349)/$C349))</f>
        <v/>
      </c>
      <c r="O349" s="35">
        <f>IF($A349="","",IF($M349="","",MAX(0,$M349-$N349)))</f>
        <v/>
      </c>
      <c r="P349" s="35">
        <f>IF($A349="","",IFERROR(SUMPRODUCT(--("0"&amp;TRIM(RIGHT(SUBSTITUTE(LEFT(";"&amp;SUBSTITUTE(UPPER(Auftrag!$AG349)," ","")&amp;";"&amp;"X"&amp;UPPER(Gewinde!$A$5:$A$54)&amp;";",SEARCH("X"&amp;UPPER(Gewinde!$A$5:$A$54)&amp;";",";"&amp;SUBSTITUTE(UPPER(Auftrag!$AG349)," ","")&amp;";"&amp;"X"&amp;UPPER(Gewinde!$A$5:$A$54)&amp;";")-1),";",REPT(" ",50)),50))),Gewinde!$C$5:$C$54),0))</f>
        <v/>
      </c>
      <c r="Q349" s="33">
        <f>IF($A349="","",(N($O349)+$P349)/3600*N(Auftrag!$H$8))</f>
        <v/>
      </c>
      <c r="R349" s="33">
        <f>IF($A349="","",IF($F$8=0,0,$F$7/$F$8))</f>
        <v/>
      </c>
      <c r="S349" s="33">
        <f>IF($A349="","",$F349*(1+$C$4)+($Q349+$R349)*(1+$C$5))</f>
        <v/>
      </c>
      <c r="T349" s="33">
        <f>IF($A349="","",$S349*(1+$C$6))</f>
        <v/>
      </c>
      <c r="U349" s="18">
        <f>IF($A349="","",$T349*$C349)</f>
        <v/>
      </c>
      <c r="V349" s="18">
        <f>IF($A349="","",$S349*$C349)</f>
        <v/>
      </c>
      <c r="W349" s="28">
        <f>IF($A349="","",IF(N(Auftrag!$AO349)&gt;0,"nicht vollständig eingeplant",IF($D349=0,"kein Schnittplan oder Preis",IF($H349="","keine Schneiddaten",IF(AND(Auftrag!$AF349&lt;&gt;"",Auftrag!$AG349=""),"Gewinde ungeprüft","")))))</f>
        <v/>
      </c>
      <c r="X349" s="18">
        <f>IF($A349="","",$F349*$C349)</f>
        <v/>
      </c>
      <c r="Y349" s="18">
        <f>IF($A349="","",$Q349*$C349)</f>
        <v/>
      </c>
    </row>
    <row r="350">
      <c r="A350" s="25">
        <f>IF(Auftrag!$D350="","",Auftrag!$A350)</f>
        <v/>
      </c>
      <c r="B350" s="25">
        <f>IF($A350="","",Auftrag!$B350)</f>
        <v/>
      </c>
      <c r="C350" s="15">
        <f>IF($A350="","",N(Auftrag!$G350))</f>
        <v/>
      </c>
      <c r="D350" s="18">
        <f>IF($A350="","",SUMIFS(Schnittplan!$R$5:$R$1004,Schnittplan!$B$5:$B$1004,Auftrag!$D350,Schnittplan!$C$5:$C$1004,Auftrag!$E350,Schnittplan!$D$5:$D$1004,Auftrag!$Q350))</f>
        <v/>
      </c>
      <c r="E350" s="32">
        <f>IF($A350="","",IFERROR(N(Auftrag!$P350)/SUMIFS(Auftrag!$P$13:$P$512,Auftrag!$D$13:$D$512,Auftrag!$D350,Auftrag!$E$13:$E$512,Auftrag!$E350,Auftrag!$Q$13:$Q$512,Auftrag!$Q350),0))</f>
        <v/>
      </c>
      <c r="F350" s="33">
        <f>IF($A350="","",IF($C350=0,0,$D350*$E350/$C350))</f>
        <v/>
      </c>
      <c r="G350" s="34">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5">
        <f>IF($A350="","",IF($H350="","",60*((N(Auftrag!$H350)-N(Auftrag!$AI350)-N(Auftrag!$AK350))/$H350+N(Auftrag!$AI350)/$J350+N(Auftrag!$AK350)/$I350+N(Auftrag!$AD350)/$K350)+N(Auftrag!$I350)*$L350))</f>
        <v/>
      </c>
      <c r="N350" s="35">
        <f>IF($A350="","",IF(OR($H350="",$C350=0),0,(60*SUMIFS(Stangenbelegung!$K$5:$K$10004,Stangenbelegung!$E$5:$E$10004,ROW())/$H350+SUMIFS(Stangenbelegung!$L$5:$L$10004,Stangenbelegung!$E$5:$E$10004,ROW())*$L350)/$C350))</f>
        <v/>
      </c>
      <c r="O350" s="35">
        <f>IF($A350="","",IF($M350="","",MAX(0,$M350-$N350)))</f>
        <v/>
      </c>
      <c r="P350" s="35">
        <f>IF($A350="","",IFERROR(SUMPRODUCT(--("0"&amp;TRIM(RIGHT(SUBSTITUTE(LEFT(";"&amp;SUBSTITUTE(UPPER(Auftrag!$AG350)," ","")&amp;";"&amp;"X"&amp;UPPER(Gewinde!$A$5:$A$54)&amp;";",SEARCH("X"&amp;UPPER(Gewinde!$A$5:$A$54)&amp;";",";"&amp;SUBSTITUTE(UPPER(Auftrag!$AG350)," ","")&amp;";"&amp;"X"&amp;UPPER(Gewinde!$A$5:$A$54)&amp;";")-1),";",REPT(" ",50)),50))),Gewinde!$C$5:$C$54),0))</f>
        <v/>
      </c>
      <c r="Q350" s="33">
        <f>IF($A350="","",(N($O350)+$P350)/3600*N(Auftrag!$H$8))</f>
        <v/>
      </c>
      <c r="R350" s="33">
        <f>IF($A350="","",IF($F$8=0,0,$F$7/$F$8))</f>
        <v/>
      </c>
      <c r="S350" s="33">
        <f>IF($A350="","",$F350*(1+$C$4)+($Q350+$R350)*(1+$C$5))</f>
        <v/>
      </c>
      <c r="T350" s="33">
        <f>IF($A350="","",$S350*(1+$C$6))</f>
        <v/>
      </c>
      <c r="U350" s="18">
        <f>IF($A350="","",$T350*$C350)</f>
        <v/>
      </c>
      <c r="V350" s="18">
        <f>IF($A350="","",$S350*$C350)</f>
        <v/>
      </c>
      <c r="W350" s="28">
        <f>IF($A350="","",IF(N(Auftrag!$AO350)&gt;0,"nicht vollständig eingeplant",IF($D350=0,"kein Schnittplan oder Preis",IF($H350="","keine Schneiddaten",IF(AND(Auftrag!$AF350&lt;&gt;"",Auftrag!$AG350=""),"Gewinde ungeprüft","")))))</f>
        <v/>
      </c>
      <c r="X350" s="18">
        <f>IF($A350="","",$F350*$C350)</f>
        <v/>
      </c>
      <c r="Y350" s="18">
        <f>IF($A350="","",$Q350*$C350)</f>
        <v/>
      </c>
    </row>
    <row r="351">
      <c r="A351" s="25">
        <f>IF(Auftrag!$D351="","",Auftrag!$A351)</f>
        <v/>
      </c>
      <c r="B351" s="25">
        <f>IF($A351="","",Auftrag!$B351)</f>
        <v/>
      </c>
      <c r="C351" s="15">
        <f>IF($A351="","",N(Auftrag!$G351))</f>
        <v/>
      </c>
      <c r="D351" s="18">
        <f>IF($A351="","",SUMIFS(Schnittplan!$R$5:$R$1004,Schnittplan!$B$5:$B$1004,Auftrag!$D351,Schnittplan!$C$5:$C$1004,Auftrag!$E351,Schnittplan!$D$5:$D$1004,Auftrag!$Q351))</f>
        <v/>
      </c>
      <c r="E351" s="32">
        <f>IF($A351="","",IFERROR(N(Auftrag!$P351)/SUMIFS(Auftrag!$P$13:$P$512,Auftrag!$D$13:$D$512,Auftrag!$D351,Auftrag!$E$13:$E$512,Auftrag!$E351,Auftrag!$Q$13:$Q$512,Auftrag!$Q351),0))</f>
        <v/>
      </c>
      <c r="F351" s="33">
        <f>IF($A351="","",IF($C351=0,0,$D351*$E351/$C351))</f>
        <v/>
      </c>
      <c r="G351" s="34">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5">
        <f>IF($A351="","",IF($H351="","",60*((N(Auftrag!$H351)-N(Auftrag!$AI351)-N(Auftrag!$AK351))/$H351+N(Auftrag!$AI351)/$J351+N(Auftrag!$AK351)/$I351+N(Auftrag!$AD351)/$K351)+N(Auftrag!$I351)*$L351))</f>
        <v/>
      </c>
      <c r="N351" s="35">
        <f>IF($A351="","",IF(OR($H351="",$C351=0),0,(60*SUMIFS(Stangenbelegung!$K$5:$K$10004,Stangenbelegung!$E$5:$E$10004,ROW())/$H351+SUMIFS(Stangenbelegung!$L$5:$L$10004,Stangenbelegung!$E$5:$E$10004,ROW())*$L351)/$C351))</f>
        <v/>
      </c>
      <c r="O351" s="35">
        <f>IF($A351="","",IF($M351="","",MAX(0,$M351-$N351)))</f>
        <v/>
      </c>
      <c r="P351" s="35">
        <f>IF($A351="","",IFERROR(SUMPRODUCT(--("0"&amp;TRIM(RIGHT(SUBSTITUTE(LEFT(";"&amp;SUBSTITUTE(UPPER(Auftrag!$AG351)," ","")&amp;";"&amp;"X"&amp;UPPER(Gewinde!$A$5:$A$54)&amp;";",SEARCH("X"&amp;UPPER(Gewinde!$A$5:$A$54)&amp;";",";"&amp;SUBSTITUTE(UPPER(Auftrag!$AG351)," ","")&amp;";"&amp;"X"&amp;UPPER(Gewinde!$A$5:$A$54)&amp;";")-1),";",REPT(" ",50)),50))),Gewinde!$C$5:$C$54),0))</f>
        <v/>
      </c>
      <c r="Q351" s="33">
        <f>IF($A351="","",(N($O351)+$P351)/3600*N(Auftrag!$H$8))</f>
        <v/>
      </c>
      <c r="R351" s="33">
        <f>IF($A351="","",IF($F$8=0,0,$F$7/$F$8))</f>
        <v/>
      </c>
      <c r="S351" s="33">
        <f>IF($A351="","",$F351*(1+$C$4)+($Q351+$R351)*(1+$C$5))</f>
        <v/>
      </c>
      <c r="T351" s="33">
        <f>IF($A351="","",$S351*(1+$C$6))</f>
        <v/>
      </c>
      <c r="U351" s="18">
        <f>IF($A351="","",$T351*$C351)</f>
        <v/>
      </c>
      <c r="V351" s="18">
        <f>IF($A351="","",$S351*$C351)</f>
        <v/>
      </c>
      <c r="W351" s="28">
        <f>IF($A351="","",IF(N(Auftrag!$AO351)&gt;0,"nicht vollständig eingeplant",IF($D351=0,"kein Schnittplan oder Preis",IF($H351="","keine Schneiddaten",IF(AND(Auftrag!$AF351&lt;&gt;"",Auftrag!$AG351=""),"Gewinde ungeprüft","")))))</f>
        <v/>
      </c>
      <c r="X351" s="18">
        <f>IF($A351="","",$F351*$C351)</f>
        <v/>
      </c>
      <c r="Y351" s="18">
        <f>IF($A351="","",$Q351*$C351)</f>
        <v/>
      </c>
    </row>
    <row r="352">
      <c r="A352" s="25">
        <f>IF(Auftrag!$D352="","",Auftrag!$A352)</f>
        <v/>
      </c>
      <c r="B352" s="25">
        <f>IF($A352="","",Auftrag!$B352)</f>
        <v/>
      </c>
      <c r="C352" s="15">
        <f>IF($A352="","",N(Auftrag!$G352))</f>
        <v/>
      </c>
      <c r="D352" s="18">
        <f>IF($A352="","",SUMIFS(Schnittplan!$R$5:$R$1004,Schnittplan!$B$5:$B$1004,Auftrag!$D352,Schnittplan!$C$5:$C$1004,Auftrag!$E352,Schnittplan!$D$5:$D$1004,Auftrag!$Q352))</f>
        <v/>
      </c>
      <c r="E352" s="32">
        <f>IF($A352="","",IFERROR(N(Auftrag!$P352)/SUMIFS(Auftrag!$P$13:$P$512,Auftrag!$D$13:$D$512,Auftrag!$D352,Auftrag!$E$13:$E$512,Auftrag!$E352,Auftrag!$Q$13:$Q$512,Auftrag!$Q352),0))</f>
        <v/>
      </c>
      <c r="F352" s="33">
        <f>IF($A352="","",IF($C352=0,0,$D352*$E352/$C352))</f>
        <v/>
      </c>
      <c r="G352" s="34">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5">
        <f>IF($A352="","",IF($H352="","",60*((N(Auftrag!$H352)-N(Auftrag!$AI352)-N(Auftrag!$AK352))/$H352+N(Auftrag!$AI352)/$J352+N(Auftrag!$AK352)/$I352+N(Auftrag!$AD352)/$K352)+N(Auftrag!$I352)*$L352))</f>
        <v/>
      </c>
      <c r="N352" s="35">
        <f>IF($A352="","",IF(OR($H352="",$C352=0),0,(60*SUMIFS(Stangenbelegung!$K$5:$K$10004,Stangenbelegung!$E$5:$E$10004,ROW())/$H352+SUMIFS(Stangenbelegung!$L$5:$L$10004,Stangenbelegung!$E$5:$E$10004,ROW())*$L352)/$C352))</f>
        <v/>
      </c>
      <c r="O352" s="35">
        <f>IF($A352="","",IF($M352="","",MAX(0,$M352-$N352)))</f>
        <v/>
      </c>
      <c r="P352" s="35">
        <f>IF($A352="","",IFERROR(SUMPRODUCT(--("0"&amp;TRIM(RIGHT(SUBSTITUTE(LEFT(";"&amp;SUBSTITUTE(UPPER(Auftrag!$AG352)," ","")&amp;";"&amp;"X"&amp;UPPER(Gewinde!$A$5:$A$54)&amp;";",SEARCH("X"&amp;UPPER(Gewinde!$A$5:$A$54)&amp;";",";"&amp;SUBSTITUTE(UPPER(Auftrag!$AG352)," ","")&amp;";"&amp;"X"&amp;UPPER(Gewinde!$A$5:$A$54)&amp;";")-1),";",REPT(" ",50)),50))),Gewinde!$C$5:$C$54),0))</f>
        <v/>
      </c>
      <c r="Q352" s="33">
        <f>IF($A352="","",(N($O352)+$P352)/3600*N(Auftrag!$H$8))</f>
        <v/>
      </c>
      <c r="R352" s="33">
        <f>IF($A352="","",IF($F$8=0,0,$F$7/$F$8))</f>
        <v/>
      </c>
      <c r="S352" s="33">
        <f>IF($A352="","",$F352*(1+$C$4)+($Q352+$R352)*(1+$C$5))</f>
        <v/>
      </c>
      <c r="T352" s="33">
        <f>IF($A352="","",$S352*(1+$C$6))</f>
        <v/>
      </c>
      <c r="U352" s="18">
        <f>IF($A352="","",$T352*$C352)</f>
        <v/>
      </c>
      <c r="V352" s="18">
        <f>IF($A352="","",$S352*$C352)</f>
        <v/>
      </c>
      <c r="W352" s="28">
        <f>IF($A352="","",IF(N(Auftrag!$AO352)&gt;0,"nicht vollständig eingeplant",IF($D352=0,"kein Schnittplan oder Preis",IF($H352="","keine Schneiddaten",IF(AND(Auftrag!$AF352&lt;&gt;"",Auftrag!$AG352=""),"Gewinde ungeprüft","")))))</f>
        <v/>
      </c>
      <c r="X352" s="18">
        <f>IF($A352="","",$F352*$C352)</f>
        <v/>
      </c>
      <c r="Y352" s="18">
        <f>IF($A352="","",$Q352*$C352)</f>
        <v/>
      </c>
    </row>
    <row r="353">
      <c r="A353" s="25">
        <f>IF(Auftrag!$D353="","",Auftrag!$A353)</f>
        <v/>
      </c>
      <c r="B353" s="25">
        <f>IF($A353="","",Auftrag!$B353)</f>
        <v/>
      </c>
      <c r="C353" s="15">
        <f>IF($A353="","",N(Auftrag!$G353))</f>
        <v/>
      </c>
      <c r="D353" s="18">
        <f>IF($A353="","",SUMIFS(Schnittplan!$R$5:$R$1004,Schnittplan!$B$5:$B$1004,Auftrag!$D353,Schnittplan!$C$5:$C$1004,Auftrag!$E353,Schnittplan!$D$5:$D$1004,Auftrag!$Q353))</f>
        <v/>
      </c>
      <c r="E353" s="32">
        <f>IF($A353="","",IFERROR(N(Auftrag!$P353)/SUMIFS(Auftrag!$P$13:$P$512,Auftrag!$D$13:$D$512,Auftrag!$D353,Auftrag!$E$13:$E$512,Auftrag!$E353,Auftrag!$Q$13:$Q$512,Auftrag!$Q353),0))</f>
        <v/>
      </c>
      <c r="F353" s="33">
        <f>IF($A353="","",IF($C353=0,0,$D353*$E353/$C353))</f>
        <v/>
      </c>
      <c r="G353" s="34">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5">
        <f>IF($A353="","",IF($H353="","",60*((N(Auftrag!$H353)-N(Auftrag!$AI353)-N(Auftrag!$AK353))/$H353+N(Auftrag!$AI353)/$J353+N(Auftrag!$AK353)/$I353+N(Auftrag!$AD353)/$K353)+N(Auftrag!$I353)*$L353))</f>
        <v/>
      </c>
      <c r="N353" s="35">
        <f>IF($A353="","",IF(OR($H353="",$C353=0),0,(60*SUMIFS(Stangenbelegung!$K$5:$K$10004,Stangenbelegung!$E$5:$E$10004,ROW())/$H353+SUMIFS(Stangenbelegung!$L$5:$L$10004,Stangenbelegung!$E$5:$E$10004,ROW())*$L353)/$C353))</f>
        <v/>
      </c>
      <c r="O353" s="35">
        <f>IF($A353="","",IF($M353="","",MAX(0,$M353-$N353)))</f>
        <v/>
      </c>
      <c r="P353" s="35">
        <f>IF($A353="","",IFERROR(SUMPRODUCT(--("0"&amp;TRIM(RIGHT(SUBSTITUTE(LEFT(";"&amp;SUBSTITUTE(UPPER(Auftrag!$AG353)," ","")&amp;";"&amp;"X"&amp;UPPER(Gewinde!$A$5:$A$54)&amp;";",SEARCH("X"&amp;UPPER(Gewinde!$A$5:$A$54)&amp;";",";"&amp;SUBSTITUTE(UPPER(Auftrag!$AG353)," ","")&amp;";"&amp;"X"&amp;UPPER(Gewinde!$A$5:$A$54)&amp;";")-1),";",REPT(" ",50)),50))),Gewinde!$C$5:$C$54),0))</f>
        <v/>
      </c>
      <c r="Q353" s="33">
        <f>IF($A353="","",(N($O353)+$P353)/3600*N(Auftrag!$H$8))</f>
        <v/>
      </c>
      <c r="R353" s="33">
        <f>IF($A353="","",IF($F$8=0,0,$F$7/$F$8))</f>
        <v/>
      </c>
      <c r="S353" s="33">
        <f>IF($A353="","",$F353*(1+$C$4)+($Q353+$R353)*(1+$C$5))</f>
        <v/>
      </c>
      <c r="T353" s="33">
        <f>IF($A353="","",$S353*(1+$C$6))</f>
        <v/>
      </c>
      <c r="U353" s="18">
        <f>IF($A353="","",$T353*$C353)</f>
        <v/>
      </c>
      <c r="V353" s="18">
        <f>IF($A353="","",$S353*$C353)</f>
        <v/>
      </c>
      <c r="W353" s="28">
        <f>IF($A353="","",IF(N(Auftrag!$AO353)&gt;0,"nicht vollständig eingeplant",IF($D353=0,"kein Schnittplan oder Preis",IF($H353="","keine Schneiddaten",IF(AND(Auftrag!$AF353&lt;&gt;"",Auftrag!$AG353=""),"Gewinde ungeprüft","")))))</f>
        <v/>
      </c>
      <c r="X353" s="18">
        <f>IF($A353="","",$F353*$C353)</f>
        <v/>
      </c>
      <c r="Y353" s="18">
        <f>IF($A353="","",$Q353*$C353)</f>
        <v/>
      </c>
    </row>
    <row r="354">
      <c r="A354" s="25">
        <f>IF(Auftrag!$D354="","",Auftrag!$A354)</f>
        <v/>
      </c>
      <c r="B354" s="25">
        <f>IF($A354="","",Auftrag!$B354)</f>
        <v/>
      </c>
      <c r="C354" s="15">
        <f>IF($A354="","",N(Auftrag!$G354))</f>
        <v/>
      </c>
      <c r="D354" s="18">
        <f>IF($A354="","",SUMIFS(Schnittplan!$R$5:$R$1004,Schnittplan!$B$5:$B$1004,Auftrag!$D354,Schnittplan!$C$5:$C$1004,Auftrag!$E354,Schnittplan!$D$5:$D$1004,Auftrag!$Q354))</f>
        <v/>
      </c>
      <c r="E354" s="32">
        <f>IF($A354="","",IFERROR(N(Auftrag!$P354)/SUMIFS(Auftrag!$P$13:$P$512,Auftrag!$D$13:$D$512,Auftrag!$D354,Auftrag!$E$13:$E$512,Auftrag!$E354,Auftrag!$Q$13:$Q$512,Auftrag!$Q354),0))</f>
        <v/>
      </c>
      <c r="F354" s="33">
        <f>IF($A354="","",IF($C354=0,0,$D354*$E354/$C354))</f>
        <v/>
      </c>
      <c r="G354" s="34">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5">
        <f>IF($A354="","",IF($H354="","",60*((N(Auftrag!$H354)-N(Auftrag!$AI354)-N(Auftrag!$AK354))/$H354+N(Auftrag!$AI354)/$J354+N(Auftrag!$AK354)/$I354+N(Auftrag!$AD354)/$K354)+N(Auftrag!$I354)*$L354))</f>
        <v/>
      </c>
      <c r="N354" s="35">
        <f>IF($A354="","",IF(OR($H354="",$C354=0),0,(60*SUMIFS(Stangenbelegung!$K$5:$K$10004,Stangenbelegung!$E$5:$E$10004,ROW())/$H354+SUMIFS(Stangenbelegung!$L$5:$L$10004,Stangenbelegung!$E$5:$E$10004,ROW())*$L354)/$C354))</f>
        <v/>
      </c>
      <c r="O354" s="35">
        <f>IF($A354="","",IF($M354="","",MAX(0,$M354-$N354)))</f>
        <v/>
      </c>
      <c r="P354" s="35">
        <f>IF($A354="","",IFERROR(SUMPRODUCT(--("0"&amp;TRIM(RIGHT(SUBSTITUTE(LEFT(";"&amp;SUBSTITUTE(UPPER(Auftrag!$AG354)," ","")&amp;";"&amp;"X"&amp;UPPER(Gewinde!$A$5:$A$54)&amp;";",SEARCH("X"&amp;UPPER(Gewinde!$A$5:$A$54)&amp;";",";"&amp;SUBSTITUTE(UPPER(Auftrag!$AG354)," ","")&amp;";"&amp;"X"&amp;UPPER(Gewinde!$A$5:$A$54)&amp;";")-1),";",REPT(" ",50)),50))),Gewinde!$C$5:$C$54),0))</f>
        <v/>
      </c>
      <c r="Q354" s="33">
        <f>IF($A354="","",(N($O354)+$P354)/3600*N(Auftrag!$H$8))</f>
        <v/>
      </c>
      <c r="R354" s="33">
        <f>IF($A354="","",IF($F$8=0,0,$F$7/$F$8))</f>
        <v/>
      </c>
      <c r="S354" s="33">
        <f>IF($A354="","",$F354*(1+$C$4)+($Q354+$R354)*(1+$C$5))</f>
        <v/>
      </c>
      <c r="T354" s="33">
        <f>IF($A354="","",$S354*(1+$C$6))</f>
        <v/>
      </c>
      <c r="U354" s="18">
        <f>IF($A354="","",$T354*$C354)</f>
        <v/>
      </c>
      <c r="V354" s="18">
        <f>IF($A354="","",$S354*$C354)</f>
        <v/>
      </c>
      <c r="W354" s="28">
        <f>IF($A354="","",IF(N(Auftrag!$AO354)&gt;0,"nicht vollständig eingeplant",IF($D354=0,"kein Schnittplan oder Preis",IF($H354="","keine Schneiddaten",IF(AND(Auftrag!$AF354&lt;&gt;"",Auftrag!$AG354=""),"Gewinde ungeprüft","")))))</f>
        <v/>
      </c>
      <c r="X354" s="18">
        <f>IF($A354="","",$F354*$C354)</f>
        <v/>
      </c>
      <c r="Y354" s="18">
        <f>IF($A354="","",$Q354*$C354)</f>
        <v/>
      </c>
    </row>
    <row r="355">
      <c r="A355" s="25">
        <f>IF(Auftrag!$D355="","",Auftrag!$A355)</f>
        <v/>
      </c>
      <c r="B355" s="25">
        <f>IF($A355="","",Auftrag!$B355)</f>
        <v/>
      </c>
      <c r="C355" s="15">
        <f>IF($A355="","",N(Auftrag!$G355))</f>
        <v/>
      </c>
      <c r="D355" s="18">
        <f>IF($A355="","",SUMIFS(Schnittplan!$R$5:$R$1004,Schnittplan!$B$5:$B$1004,Auftrag!$D355,Schnittplan!$C$5:$C$1004,Auftrag!$E355,Schnittplan!$D$5:$D$1004,Auftrag!$Q355))</f>
        <v/>
      </c>
      <c r="E355" s="32">
        <f>IF($A355="","",IFERROR(N(Auftrag!$P355)/SUMIFS(Auftrag!$P$13:$P$512,Auftrag!$D$13:$D$512,Auftrag!$D355,Auftrag!$E$13:$E$512,Auftrag!$E355,Auftrag!$Q$13:$Q$512,Auftrag!$Q355),0))</f>
        <v/>
      </c>
      <c r="F355" s="33">
        <f>IF($A355="","",IF($C355=0,0,$D355*$E355/$C355))</f>
        <v/>
      </c>
      <c r="G355" s="34">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5">
        <f>IF($A355="","",IF($H355="","",60*((N(Auftrag!$H355)-N(Auftrag!$AI355)-N(Auftrag!$AK355))/$H355+N(Auftrag!$AI355)/$J355+N(Auftrag!$AK355)/$I355+N(Auftrag!$AD355)/$K355)+N(Auftrag!$I355)*$L355))</f>
        <v/>
      </c>
      <c r="N355" s="35">
        <f>IF($A355="","",IF(OR($H355="",$C355=0),0,(60*SUMIFS(Stangenbelegung!$K$5:$K$10004,Stangenbelegung!$E$5:$E$10004,ROW())/$H355+SUMIFS(Stangenbelegung!$L$5:$L$10004,Stangenbelegung!$E$5:$E$10004,ROW())*$L355)/$C355))</f>
        <v/>
      </c>
      <c r="O355" s="35">
        <f>IF($A355="","",IF($M355="","",MAX(0,$M355-$N355)))</f>
        <v/>
      </c>
      <c r="P355" s="35">
        <f>IF($A355="","",IFERROR(SUMPRODUCT(--("0"&amp;TRIM(RIGHT(SUBSTITUTE(LEFT(";"&amp;SUBSTITUTE(UPPER(Auftrag!$AG355)," ","")&amp;";"&amp;"X"&amp;UPPER(Gewinde!$A$5:$A$54)&amp;";",SEARCH("X"&amp;UPPER(Gewinde!$A$5:$A$54)&amp;";",";"&amp;SUBSTITUTE(UPPER(Auftrag!$AG355)," ","")&amp;";"&amp;"X"&amp;UPPER(Gewinde!$A$5:$A$54)&amp;";")-1),";",REPT(" ",50)),50))),Gewinde!$C$5:$C$54),0))</f>
        <v/>
      </c>
      <c r="Q355" s="33">
        <f>IF($A355="","",(N($O355)+$P355)/3600*N(Auftrag!$H$8))</f>
        <v/>
      </c>
      <c r="R355" s="33">
        <f>IF($A355="","",IF($F$8=0,0,$F$7/$F$8))</f>
        <v/>
      </c>
      <c r="S355" s="33">
        <f>IF($A355="","",$F355*(1+$C$4)+($Q355+$R355)*(1+$C$5))</f>
        <v/>
      </c>
      <c r="T355" s="33">
        <f>IF($A355="","",$S355*(1+$C$6))</f>
        <v/>
      </c>
      <c r="U355" s="18">
        <f>IF($A355="","",$T355*$C355)</f>
        <v/>
      </c>
      <c r="V355" s="18">
        <f>IF($A355="","",$S355*$C355)</f>
        <v/>
      </c>
      <c r="W355" s="28">
        <f>IF($A355="","",IF(N(Auftrag!$AO355)&gt;0,"nicht vollständig eingeplant",IF($D355=0,"kein Schnittplan oder Preis",IF($H355="","keine Schneiddaten",IF(AND(Auftrag!$AF355&lt;&gt;"",Auftrag!$AG355=""),"Gewinde ungeprüft","")))))</f>
        <v/>
      </c>
      <c r="X355" s="18">
        <f>IF($A355="","",$F355*$C355)</f>
        <v/>
      </c>
      <c r="Y355" s="18">
        <f>IF($A355="","",$Q355*$C355)</f>
        <v/>
      </c>
    </row>
    <row r="356">
      <c r="A356" s="25">
        <f>IF(Auftrag!$D356="","",Auftrag!$A356)</f>
        <v/>
      </c>
      <c r="B356" s="25">
        <f>IF($A356="","",Auftrag!$B356)</f>
        <v/>
      </c>
      <c r="C356" s="15">
        <f>IF($A356="","",N(Auftrag!$G356))</f>
        <v/>
      </c>
      <c r="D356" s="18">
        <f>IF($A356="","",SUMIFS(Schnittplan!$R$5:$R$1004,Schnittplan!$B$5:$B$1004,Auftrag!$D356,Schnittplan!$C$5:$C$1004,Auftrag!$E356,Schnittplan!$D$5:$D$1004,Auftrag!$Q356))</f>
        <v/>
      </c>
      <c r="E356" s="32">
        <f>IF($A356="","",IFERROR(N(Auftrag!$P356)/SUMIFS(Auftrag!$P$13:$P$512,Auftrag!$D$13:$D$512,Auftrag!$D356,Auftrag!$E$13:$E$512,Auftrag!$E356,Auftrag!$Q$13:$Q$512,Auftrag!$Q356),0))</f>
        <v/>
      </c>
      <c r="F356" s="33">
        <f>IF($A356="","",IF($C356=0,0,$D356*$E356/$C356))</f>
        <v/>
      </c>
      <c r="G356" s="34">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5">
        <f>IF($A356="","",IF($H356="","",60*((N(Auftrag!$H356)-N(Auftrag!$AI356)-N(Auftrag!$AK356))/$H356+N(Auftrag!$AI356)/$J356+N(Auftrag!$AK356)/$I356+N(Auftrag!$AD356)/$K356)+N(Auftrag!$I356)*$L356))</f>
        <v/>
      </c>
      <c r="N356" s="35">
        <f>IF($A356="","",IF(OR($H356="",$C356=0),0,(60*SUMIFS(Stangenbelegung!$K$5:$K$10004,Stangenbelegung!$E$5:$E$10004,ROW())/$H356+SUMIFS(Stangenbelegung!$L$5:$L$10004,Stangenbelegung!$E$5:$E$10004,ROW())*$L356)/$C356))</f>
        <v/>
      </c>
      <c r="O356" s="35">
        <f>IF($A356="","",IF($M356="","",MAX(0,$M356-$N356)))</f>
        <v/>
      </c>
      <c r="P356" s="35">
        <f>IF($A356="","",IFERROR(SUMPRODUCT(--("0"&amp;TRIM(RIGHT(SUBSTITUTE(LEFT(";"&amp;SUBSTITUTE(UPPER(Auftrag!$AG356)," ","")&amp;";"&amp;"X"&amp;UPPER(Gewinde!$A$5:$A$54)&amp;";",SEARCH("X"&amp;UPPER(Gewinde!$A$5:$A$54)&amp;";",";"&amp;SUBSTITUTE(UPPER(Auftrag!$AG356)," ","")&amp;";"&amp;"X"&amp;UPPER(Gewinde!$A$5:$A$54)&amp;";")-1),";",REPT(" ",50)),50))),Gewinde!$C$5:$C$54),0))</f>
        <v/>
      </c>
      <c r="Q356" s="33">
        <f>IF($A356="","",(N($O356)+$P356)/3600*N(Auftrag!$H$8))</f>
        <v/>
      </c>
      <c r="R356" s="33">
        <f>IF($A356="","",IF($F$8=0,0,$F$7/$F$8))</f>
        <v/>
      </c>
      <c r="S356" s="33">
        <f>IF($A356="","",$F356*(1+$C$4)+($Q356+$R356)*(1+$C$5))</f>
        <v/>
      </c>
      <c r="T356" s="33">
        <f>IF($A356="","",$S356*(1+$C$6))</f>
        <v/>
      </c>
      <c r="U356" s="18">
        <f>IF($A356="","",$T356*$C356)</f>
        <v/>
      </c>
      <c r="V356" s="18">
        <f>IF($A356="","",$S356*$C356)</f>
        <v/>
      </c>
      <c r="W356" s="28">
        <f>IF($A356="","",IF(N(Auftrag!$AO356)&gt;0,"nicht vollständig eingeplant",IF($D356=0,"kein Schnittplan oder Preis",IF($H356="","keine Schneiddaten",IF(AND(Auftrag!$AF356&lt;&gt;"",Auftrag!$AG356=""),"Gewinde ungeprüft","")))))</f>
        <v/>
      </c>
      <c r="X356" s="18">
        <f>IF($A356="","",$F356*$C356)</f>
        <v/>
      </c>
      <c r="Y356" s="18">
        <f>IF($A356="","",$Q356*$C356)</f>
        <v/>
      </c>
    </row>
    <row r="357">
      <c r="A357" s="25">
        <f>IF(Auftrag!$D357="","",Auftrag!$A357)</f>
        <v/>
      </c>
      <c r="B357" s="25">
        <f>IF($A357="","",Auftrag!$B357)</f>
        <v/>
      </c>
      <c r="C357" s="15">
        <f>IF($A357="","",N(Auftrag!$G357))</f>
        <v/>
      </c>
      <c r="D357" s="18">
        <f>IF($A357="","",SUMIFS(Schnittplan!$R$5:$R$1004,Schnittplan!$B$5:$B$1004,Auftrag!$D357,Schnittplan!$C$5:$C$1004,Auftrag!$E357,Schnittplan!$D$5:$D$1004,Auftrag!$Q357))</f>
        <v/>
      </c>
      <c r="E357" s="32">
        <f>IF($A357="","",IFERROR(N(Auftrag!$P357)/SUMIFS(Auftrag!$P$13:$P$512,Auftrag!$D$13:$D$512,Auftrag!$D357,Auftrag!$E$13:$E$512,Auftrag!$E357,Auftrag!$Q$13:$Q$512,Auftrag!$Q357),0))</f>
        <v/>
      </c>
      <c r="F357" s="33">
        <f>IF($A357="","",IF($C357=0,0,$D357*$E357/$C357))</f>
        <v/>
      </c>
      <c r="G357" s="34">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5">
        <f>IF($A357="","",IF($H357="","",60*((N(Auftrag!$H357)-N(Auftrag!$AI357)-N(Auftrag!$AK357))/$H357+N(Auftrag!$AI357)/$J357+N(Auftrag!$AK357)/$I357+N(Auftrag!$AD357)/$K357)+N(Auftrag!$I357)*$L357))</f>
        <v/>
      </c>
      <c r="N357" s="35">
        <f>IF($A357="","",IF(OR($H357="",$C357=0),0,(60*SUMIFS(Stangenbelegung!$K$5:$K$10004,Stangenbelegung!$E$5:$E$10004,ROW())/$H357+SUMIFS(Stangenbelegung!$L$5:$L$10004,Stangenbelegung!$E$5:$E$10004,ROW())*$L357)/$C357))</f>
        <v/>
      </c>
      <c r="O357" s="35">
        <f>IF($A357="","",IF($M357="","",MAX(0,$M357-$N357)))</f>
        <v/>
      </c>
      <c r="P357" s="35">
        <f>IF($A357="","",IFERROR(SUMPRODUCT(--("0"&amp;TRIM(RIGHT(SUBSTITUTE(LEFT(";"&amp;SUBSTITUTE(UPPER(Auftrag!$AG357)," ","")&amp;";"&amp;"X"&amp;UPPER(Gewinde!$A$5:$A$54)&amp;";",SEARCH("X"&amp;UPPER(Gewinde!$A$5:$A$54)&amp;";",";"&amp;SUBSTITUTE(UPPER(Auftrag!$AG357)," ","")&amp;";"&amp;"X"&amp;UPPER(Gewinde!$A$5:$A$54)&amp;";")-1),";",REPT(" ",50)),50))),Gewinde!$C$5:$C$54),0))</f>
        <v/>
      </c>
      <c r="Q357" s="33">
        <f>IF($A357="","",(N($O357)+$P357)/3600*N(Auftrag!$H$8))</f>
        <v/>
      </c>
      <c r="R357" s="33">
        <f>IF($A357="","",IF($F$8=0,0,$F$7/$F$8))</f>
        <v/>
      </c>
      <c r="S357" s="33">
        <f>IF($A357="","",$F357*(1+$C$4)+($Q357+$R357)*(1+$C$5))</f>
        <v/>
      </c>
      <c r="T357" s="33">
        <f>IF($A357="","",$S357*(1+$C$6))</f>
        <v/>
      </c>
      <c r="U357" s="18">
        <f>IF($A357="","",$T357*$C357)</f>
        <v/>
      </c>
      <c r="V357" s="18">
        <f>IF($A357="","",$S357*$C357)</f>
        <v/>
      </c>
      <c r="W357" s="28">
        <f>IF($A357="","",IF(N(Auftrag!$AO357)&gt;0,"nicht vollständig eingeplant",IF($D357=0,"kein Schnittplan oder Preis",IF($H357="","keine Schneiddaten",IF(AND(Auftrag!$AF357&lt;&gt;"",Auftrag!$AG357=""),"Gewinde ungeprüft","")))))</f>
        <v/>
      </c>
      <c r="X357" s="18">
        <f>IF($A357="","",$F357*$C357)</f>
        <v/>
      </c>
      <c r="Y357" s="18">
        <f>IF($A357="","",$Q357*$C357)</f>
        <v/>
      </c>
    </row>
    <row r="358">
      <c r="A358" s="25">
        <f>IF(Auftrag!$D358="","",Auftrag!$A358)</f>
        <v/>
      </c>
      <c r="B358" s="25">
        <f>IF($A358="","",Auftrag!$B358)</f>
        <v/>
      </c>
      <c r="C358" s="15">
        <f>IF($A358="","",N(Auftrag!$G358))</f>
        <v/>
      </c>
      <c r="D358" s="18">
        <f>IF($A358="","",SUMIFS(Schnittplan!$R$5:$R$1004,Schnittplan!$B$5:$B$1004,Auftrag!$D358,Schnittplan!$C$5:$C$1004,Auftrag!$E358,Schnittplan!$D$5:$D$1004,Auftrag!$Q358))</f>
        <v/>
      </c>
      <c r="E358" s="32">
        <f>IF($A358="","",IFERROR(N(Auftrag!$P358)/SUMIFS(Auftrag!$P$13:$P$512,Auftrag!$D$13:$D$512,Auftrag!$D358,Auftrag!$E$13:$E$512,Auftrag!$E358,Auftrag!$Q$13:$Q$512,Auftrag!$Q358),0))</f>
        <v/>
      </c>
      <c r="F358" s="33">
        <f>IF($A358="","",IF($C358=0,0,$D358*$E358/$C358))</f>
        <v/>
      </c>
      <c r="G358" s="34">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5">
        <f>IF($A358="","",IF($H358="","",60*((N(Auftrag!$H358)-N(Auftrag!$AI358)-N(Auftrag!$AK358))/$H358+N(Auftrag!$AI358)/$J358+N(Auftrag!$AK358)/$I358+N(Auftrag!$AD358)/$K358)+N(Auftrag!$I358)*$L358))</f>
        <v/>
      </c>
      <c r="N358" s="35">
        <f>IF($A358="","",IF(OR($H358="",$C358=0),0,(60*SUMIFS(Stangenbelegung!$K$5:$K$10004,Stangenbelegung!$E$5:$E$10004,ROW())/$H358+SUMIFS(Stangenbelegung!$L$5:$L$10004,Stangenbelegung!$E$5:$E$10004,ROW())*$L358)/$C358))</f>
        <v/>
      </c>
      <c r="O358" s="35">
        <f>IF($A358="","",IF($M358="","",MAX(0,$M358-$N358)))</f>
        <v/>
      </c>
      <c r="P358" s="35">
        <f>IF($A358="","",IFERROR(SUMPRODUCT(--("0"&amp;TRIM(RIGHT(SUBSTITUTE(LEFT(";"&amp;SUBSTITUTE(UPPER(Auftrag!$AG358)," ","")&amp;";"&amp;"X"&amp;UPPER(Gewinde!$A$5:$A$54)&amp;";",SEARCH("X"&amp;UPPER(Gewinde!$A$5:$A$54)&amp;";",";"&amp;SUBSTITUTE(UPPER(Auftrag!$AG358)," ","")&amp;";"&amp;"X"&amp;UPPER(Gewinde!$A$5:$A$54)&amp;";")-1),";",REPT(" ",50)),50))),Gewinde!$C$5:$C$54),0))</f>
        <v/>
      </c>
      <c r="Q358" s="33">
        <f>IF($A358="","",(N($O358)+$P358)/3600*N(Auftrag!$H$8))</f>
        <v/>
      </c>
      <c r="R358" s="33">
        <f>IF($A358="","",IF($F$8=0,0,$F$7/$F$8))</f>
        <v/>
      </c>
      <c r="S358" s="33">
        <f>IF($A358="","",$F358*(1+$C$4)+($Q358+$R358)*(1+$C$5))</f>
        <v/>
      </c>
      <c r="T358" s="33">
        <f>IF($A358="","",$S358*(1+$C$6))</f>
        <v/>
      </c>
      <c r="U358" s="18">
        <f>IF($A358="","",$T358*$C358)</f>
        <v/>
      </c>
      <c r="V358" s="18">
        <f>IF($A358="","",$S358*$C358)</f>
        <v/>
      </c>
      <c r="W358" s="28">
        <f>IF($A358="","",IF(N(Auftrag!$AO358)&gt;0,"nicht vollständig eingeplant",IF($D358=0,"kein Schnittplan oder Preis",IF($H358="","keine Schneiddaten",IF(AND(Auftrag!$AF358&lt;&gt;"",Auftrag!$AG358=""),"Gewinde ungeprüft","")))))</f>
        <v/>
      </c>
      <c r="X358" s="18">
        <f>IF($A358="","",$F358*$C358)</f>
        <v/>
      </c>
      <c r="Y358" s="18">
        <f>IF($A358="","",$Q358*$C358)</f>
        <v/>
      </c>
    </row>
    <row r="359">
      <c r="A359" s="25">
        <f>IF(Auftrag!$D359="","",Auftrag!$A359)</f>
        <v/>
      </c>
      <c r="B359" s="25">
        <f>IF($A359="","",Auftrag!$B359)</f>
        <v/>
      </c>
      <c r="C359" s="15">
        <f>IF($A359="","",N(Auftrag!$G359))</f>
        <v/>
      </c>
      <c r="D359" s="18">
        <f>IF($A359="","",SUMIFS(Schnittplan!$R$5:$R$1004,Schnittplan!$B$5:$B$1004,Auftrag!$D359,Schnittplan!$C$5:$C$1004,Auftrag!$E359,Schnittplan!$D$5:$D$1004,Auftrag!$Q359))</f>
        <v/>
      </c>
      <c r="E359" s="32">
        <f>IF($A359="","",IFERROR(N(Auftrag!$P359)/SUMIFS(Auftrag!$P$13:$P$512,Auftrag!$D$13:$D$512,Auftrag!$D359,Auftrag!$E$13:$E$512,Auftrag!$E359,Auftrag!$Q$13:$Q$512,Auftrag!$Q359),0))</f>
        <v/>
      </c>
      <c r="F359" s="33">
        <f>IF($A359="","",IF($C359=0,0,$D359*$E359/$C359))</f>
        <v/>
      </c>
      <c r="G359" s="34">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5">
        <f>IF($A359="","",IF($H359="","",60*((N(Auftrag!$H359)-N(Auftrag!$AI359)-N(Auftrag!$AK359))/$H359+N(Auftrag!$AI359)/$J359+N(Auftrag!$AK359)/$I359+N(Auftrag!$AD359)/$K359)+N(Auftrag!$I359)*$L359))</f>
        <v/>
      </c>
      <c r="N359" s="35">
        <f>IF($A359="","",IF(OR($H359="",$C359=0),0,(60*SUMIFS(Stangenbelegung!$K$5:$K$10004,Stangenbelegung!$E$5:$E$10004,ROW())/$H359+SUMIFS(Stangenbelegung!$L$5:$L$10004,Stangenbelegung!$E$5:$E$10004,ROW())*$L359)/$C359))</f>
        <v/>
      </c>
      <c r="O359" s="35">
        <f>IF($A359="","",IF($M359="","",MAX(0,$M359-$N359)))</f>
        <v/>
      </c>
      <c r="P359" s="35">
        <f>IF($A359="","",IFERROR(SUMPRODUCT(--("0"&amp;TRIM(RIGHT(SUBSTITUTE(LEFT(";"&amp;SUBSTITUTE(UPPER(Auftrag!$AG359)," ","")&amp;";"&amp;"X"&amp;UPPER(Gewinde!$A$5:$A$54)&amp;";",SEARCH("X"&amp;UPPER(Gewinde!$A$5:$A$54)&amp;";",";"&amp;SUBSTITUTE(UPPER(Auftrag!$AG359)," ","")&amp;";"&amp;"X"&amp;UPPER(Gewinde!$A$5:$A$54)&amp;";")-1),";",REPT(" ",50)),50))),Gewinde!$C$5:$C$54),0))</f>
        <v/>
      </c>
      <c r="Q359" s="33">
        <f>IF($A359="","",(N($O359)+$P359)/3600*N(Auftrag!$H$8))</f>
        <v/>
      </c>
      <c r="R359" s="33">
        <f>IF($A359="","",IF($F$8=0,0,$F$7/$F$8))</f>
        <v/>
      </c>
      <c r="S359" s="33">
        <f>IF($A359="","",$F359*(1+$C$4)+($Q359+$R359)*(1+$C$5))</f>
        <v/>
      </c>
      <c r="T359" s="33">
        <f>IF($A359="","",$S359*(1+$C$6))</f>
        <v/>
      </c>
      <c r="U359" s="18">
        <f>IF($A359="","",$T359*$C359)</f>
        <v/>
      </c>
      <c r="V359" s="18">
        <f>IF($A359="","",$S359*$C359)</f>
        <v/>
      </c>
      <c r="W359" s="28">
        <f>IF($A359="","",IF(N(Auftrag!$AO359)&gt;0,"nicht vollständig eingeplant",IF($D359=0,"kein Schnittplan oder Preis",IF($H359="","keine Schneiddaten",IF(AND(Auftrag!$AF359&lt;&gt;"",Auftrag!$AG359=""),"Gewinde ungeprüft","")))))</f>
        <v/>
      </c>
      <c r="X359" s="18">
        <f>IF($A359="","",$F359*$C359)</f>
        <v/>
      </c>
      <c r="Y359" s="18">
        <f>IF($A359="","",$Q359*$C359)</f>
        <v/>
      </c>
    </row>
    <row r="360">
      <c r="A360" s="25">
        <f>IF(Auftrag!$D360="","",Auftrag!$A360)</f>
        <v/>
      </c>
      <c r="B360" s="25">
        <f>IF($A360="","",Auftrag!$B360)</f>
        <v/>
      </c>
      <c r="C360" s="15">
        <f>IF($A360="","",N(Auftrag!$G360))</f>
        <v/>
      </c>
      <c r="D360" s="18">
        <f>IF($A360="","",SUMIFS(Schnittplan!$R$5:$R$1004,Schnittplan!$B$5:$B$1004,Auftrag!$D360,Schnittplan!$C$5:$C$1004,Auftrag!$E360,Schnittplan!$D$5:$D$1004,Auftrag!$Q360))</f>
        <v/>
      </c>
      <c r="E360" s="32">
        <f>IF($A360="","",IFERROR(N(Auftrag!$P360)/SUMIFS(Auftrag!$P$13:$P$512,Auftrag!$D$13:$D$512,Auftrag!$D360,Auftrag!$E$13:$E$512,Auftrag!$E360,Auftrag!$Q$13:$Q$512,Auftrag!$Q360),0))</f>
        <v/>
      </c>
      <c r="F360" s="33">
        <f>IF($A360="","",IF($C360=0,0,$D360*$E360/$C360))</f>
        <v/>
      </c>
      <c r="G360" s="34">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5">
        <f>IF($A360="","",IF($H360="","",60*((N(Auftrag!$H360)-N(Auftrag!$AI360)-N(Auftrag!$AK360))/$H360+N(Auftrag!$AI360)/$J360+N(Auftrag!$AK360)/$I360+N(Auftrag!$AD360)/$K360)+N(Auftrag!$I360)*$L360))</f>
        <v/>
      </c>
      <c r="N360" s="35">
        <f>IF($A360="","",IF(OR($H360="",$C360=0),0,(60*SUMIFS(Stangenbelegung!$K$5:$K$10004,Stangenbelegung!$E$5:$E$10004,ROW())/$H360+SUMIFS(Stangenbelegung!$L$5:$L$10004,Stangenbelegung!$E$5:$E$10004,ROW())*$L360)/$C360))</f>
        <v/>
      </c>
      <c r="O360" s="35">
        <f>IF($A360="","",IF($M360="","",MAX(0,$M360-$N360)))</f>
        <v/>
      </c>
      <c r="P360" s="35">
        <f>IF($A360="","",IFERROR(SUMPRODUCT(--("0"&amp;TRIM(RIGHT(SUBSTITUTE(LEFT(";"&amp;SUBSTITUTE(UPPER(Auftrag!$AG360)," ","")&amp;";"&amp;"X"&amp;UPPER(Gewinde!$A$5:$A$54)&amp;";",SEARCH("X"&amp;UPPER(Gewinde!$A$5:$A$54)&amp;";",";"&amp;SUBSTITUTE(UPPER(Auftrag!$AG360)," ","")&amp;";"&amp;"X"&amp;UPPER(Gewinde!$A$5:$A$54)&amp;";")-1),";",REPT(" ",50)),50))),Gewinde!$C$5:$C$54),0))</f>
        <v/>
      </c>
      <c r="Q360" s="33">
        <f>IF($A360="","",(N($O360)+$P360)/3600*N(Auftrag!$H$8))</f>
        <v/>
      </c>
      <c r="R360" s="33">
        <f>IF($A360="","",IF($F$8=0,0,$F$7/$F$8))</f>
        <v/>
      </c>
      <c r="S360" s="33">
        <f>IF($A360="","",$F360*(1+$C$4)+($Q360+$R360)*(1+$C$5))</f>
        <v/>
      </c>
      <c r="T360" s="33">
        <f>IF($A360="","",$S360*(1+$C$6))</f>
        <v/>
      </c>
      <c r="U360" s="18">
        <f>IF($A360="","",$T360*$C360)</f>
        <v/>
      </c>
      <c r="V360" s="18">
        <f>IF($A360="","",$S360*$C360)</f>
        <v/>
      </c>
      <c r="W360" s="28">
        <f>IF($A360="","",IF(N(Auftrag!$AO360)&gt;0,"nicht vollständig eingeplant",IF($D360=0,"kein Schnittplan oder Preis",IF($H360="","keine Schneiddaten",IF(AND(Auftrag!$AF360&lt;&gt;"",Auftrag!$AG360=""),"Gewinde ungeprüft","")))))</f>
        <v/>
      </c>
      <c r="X360" s="18">
        <f>IF($A360="","",$F360*$C360)</f>
        <v/>
      </c>
      <c r="Y360" s="18">
        <f>IF($A360="","",$Q360*$C360)</f>
        <v/>
      </c>
    </row>
    <row r="361">
      <c r="A361" s="25">
        <f>IF(Auftrag!$D361="","",Auftrag!$A361)</f>
        <v/>
      </c>
      <c r="B361" s="25">
        <f>IF($A361="","",Auftrag!$B361)</f>
        <v/>
      </c>
      <c r="C361" s="15">
        <f>IF($A361="","",N(Auftrag!$G361))</f>
        <v/>
      </c>
      <c r="D361" s="18">
        <f>IF($A361="","",SUMIFS(Schnittplan!$R$5:$R$1004,Schnittplan!$B$5:$B$1004,Auftrag!$D361,Schnittplan!$C$5:$C$1004,Auftrag!$E361,Schnittplan!$D$5:$D$1004,Auftrag!$Q361))</f>
        <v/>
      </c>
      <c r="E361" s="32">
        <f>IF($A361="","",IFERROR(N(Auftrag!$P361)/SUMIFS(Auftrag!$P$13:$P$512,Auftrag!$D$13:$D$512,Auftrag!$D361,Auftrag!$E$13:$E$512,Auftrag!$E361,Auftrag!$Q$13:$Q$512,Auftrag!$Q361),0))</f>
        <v/>
      </c>
      <c r="F361" s="33">
        <f>IF($A361="","",IF($C361=0,0,$D361*$E361/$C361))</f>
        <v/>
      </c>
      <c r="G361" s="34">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5">
        <f>IF($A361="","",IF($H361="","",60*((N(Auftrag!$H361)-N(Auftrag!$AI361)-N(Auftrag!$AK361))/$H361+N(Auftrag!$AI361)/$J361+N(Auftrag!$AK361)/$I361+N(Auftrag!$AD361)/$K361)+N(Auftrag!$I361)*$L361))</f>
        <v/>
      </c>
      <c r="N361" s="35">
        <f>IF($A361="","",IF(OR($H361="",$C361=0),0,(60*SUMIFS(Stangenbelegung!$K$5:$K$10004,Stangenbelegung!$E$5:$E$10004,ROW())/$H361+SUMIFS(Stangenbelegung!$L$5:$L$10004,Stangenbelegung!$E$5:$E$10004,ROW())*$L361)/$C361))</f>
        <v/>
      </c>
      <c r="O361" s="35">
        <f>IF($A361="","",IF($M361="","",MAX(0,$M361-$N361)))</f>
        <v/>
      </c>
      <c r="P361" s="35">
        <f>IF($A361="","",IFERROR(SUMPRODUCT(--("0"&amp;TRIM(RIGHT(SUBSTITUTE(LEFT(";"&amp;SUBSTITUTE(UPPER(Auftrag!$AG361)," ","")&amp;";"&amp;"X"&amp;UPPER(Gewinde!$A$5:$A$54)&amp;";",SEARCH("X"&amp;UPPER(Gewinde!$A$5:$A$54)&amp;";",";"&amp;SUBSTITUTE(UPPER(Auftrag!$AG361)," ","")&amp;";"&amp;"X"&amp;UPPER(Gewinde!$A$5:$A$54)&amp;";")-1),";",REPT(" ",50)),50))),Gewinde!$C$5:$C$54),0))</f>
        <v/>
      </c>
      <c r="Q361" s="33">
        <f>IF($A361="","",(N($O361)+$P361)/3600*N(Auftrag!$H$8))</f>
        <v/>
      </c>
      <c r="R361" s="33">
        <f>IF($A361="","",IF($F$8=0,0,$F$7/$F$8))</f>
        <v/>
      </c>
      <c r="S361" s="33">
        <f>IF($A361="","",$F361*(1+$C$4)+($Q361+$R361)*(1+$C$5))</f>
        <v/>
      </c>
      <c r="T361" s="33">
        <f>IF($A361="","",$S361*(1+$C$6))</f>
        <v/>
      </c>
      <c r="U361" s="18">
        <f>IF($A361="","",$T361*$C361)</f>
        <v/>
      </c>
      <c r="V361" s="18">
        <f>IF($A361="","",$S361*$C361)</f>
        <v/>
      </c>
      <c r="W361" s="28">
        <f>IF($A361="","",IF(N(Auftrag!$AO361)&gt;0,"nicht vollständig eingeplant",IF($D361=0,"kein Schnittplan oder Preis",IF($H361="","keine Schneiddaten",IF(AND(Auftrag!$AF361&lt;&gt;"",Auftrag!$AG361=""),"Gewinde ungeprüft","")))))</f>
        <v/>
      </c>
      <c r="X361" s="18">
        <f>IF($A361="","",$F361*$C361)</f>
        <v/>
      </c>
      <c r="Y361" s="18">
        <f>IF($A361="","",$Q361*$C361)</f>
        <v/>
      </c>
    </row>
    <row r="362">
      <c r="A362" s="25">
        <f>IF(Auftrag!$D362="","",Auftrag!$A362)</f>
        <v/>
      </c>
      <c r="B362" s="25">
        <f>IF($A362="","",Auftrag!$B362)</f>
        <v/>
      </c>
      <c r="C362" s="15">
        <f>IF($A362="","",N(Auftrag!$G362))</f>
        <v/>
      </c>
      <c r="D362" s="18">
        <f>IF($A362="","",SUMIFS(Schnittplan!$R$5:$R$1004,Schnittplan!$B$5:$B$1004,Auftrag!$D362,Schnittplan!$C$5:$C$1004,Auftrag!$E362,Schnittplan!$D$5:$D$1004,Auftrag!$Q362))</f>
        <v/>
      </c>
      <c r="E362" s="32">
        <f>IF($A362="","",IFERROR(N(Auftrag!$P362)/SUMIFS(Auftrag!$P$13:$P$512,Auftrag!$D$13:$D$512,Auftrag!$D362,Auftrag!$E$13:$E$512,Auftrag!$E362,Auftrag!$Q$13:$Q$512,Auftrag!$Q362),0))</f>
        <v/>
      </c>
      <c r="F362" s="33">
        <f>IF($A362="","",IF($C362=0,0,$D362*$E362/$C362))</f>
        <v/>
      </c>
      <c r="G362" s="34">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5">
        <f>IF($A362="","",IF($H362="","",60*((N(Auftrag!$H362)-N(Auftrag!$AI362)-N(Auftrag!$AK362))/$H362+N(Auftrag!$AI362)/$J362+N(Auftrag!$AK362)/$I362+N(Auftrag!$AD362)/$K362)+N(Auftrag!$I362)*$L362))</f>
        <v/>
      </c>
      <c r="N362" s="35">
        <f>IF($A362="","",IF(OR($H362="",$C362=0),0,(60*SUMIFS(Stangenbelegung!$K$5:$K$10004,Stangenbelegung!$E$5:$E$10004,ROW())/$H362+SUMIFS(Stangenbelegung!$L$5:$L$10004,Stangenbelegung!$E$5:$E$10004,ROW())*$L362)/$C362))</f>
        <v/>
      </c>
      <c r="O362" s="35">
        <f>IF($A362="","",IF($M362="","",MAX(0,$M362-$N362)))</f>
        <v/>
      </c>
      <c r="P362" s="35">
        <f>IF($A362="","",IFERROR(SUMPRODUCT(--("0"&amp;TRIM(RIGHT(SUBSTITUTE(LEFT(";"&amp;SUBSTITUTE(UPPER(Auftrag!$AG362)," ","")&amp;";"&amp;"X"&amp;UPPER(Gewinde!$A$5:$A$54)&amp;";",SEARCH("X"&amp;UPPER(Gewinde!$A$5:$A$54)&amp;";",";"&amp;SUBSTITUTE(UPPER(Auftrag!$AG362)," ","")&amp;";"&amp;"X"&amp;UPPER(Gewinde!$A$5:$A$54)&amp;";")-1),";",REPT(" ",50)),50))),Gewinde!$C$5:$C$54),0))</f>
        <v/>
      </c>
      <c r="Q362" s="33">
        <f>IF($A362="","",(N($O362)+$P362)/3600*N(Auftrag!$H$8))</f>
        <v/>
      </c>
      <c r="R362" s="33">
        <f>IF($A362="","",IF($F$8=0,0,$F$7/$F$8))</f>
        <v/>
      </c>
      <c r="S362" s="33">
        <f>IF($A362="","",$F362*(1+$C$4)+($Q362+$R362)*(1+$C$5))</f>
        <v/>
      </c>
      <c r="T362" s="33">
        <f>IF($A362="","",$S362*(1+$C$6))</f>
        <v/>
      </c>
      <c r="U362" s="18">
        <f>IF($A362="","",$T362*$C362)</f>
        <v/>
      </c>
      <c r="V362" s="18">
        <f>IF($A362="","",$S362*$C362)</f>
        <v/>
      </c>
      <c r="W362" s="28">
        <f>IF($A362="","",IF(N(Auftrag!$AO362)&gt;0,"nicht vollständig eingeplant",IF($D362=0,"kein Schnittplan oder Preis",IF($H362="","keine Schneiddaten",IF(AND(Auftrag!$AF362&lt;&gt;"",Auftrag!$AG362=""),"Gewinde ungeprüft","")))))</f>
        <v/>
      </c>
      <c r="X362" s="18">
        <f>IF($A362="","",$F362*$C362)</f>
        <v/>
      </c>
      <c r="Y362" s="18">
        <f>IF($A362="","",$Q362*$C362)</f>
        <v/>
      </c>
    </row>
    <row r="363">
      <c r="A363" s="25">
        <f>IF(Auftrag!$D363="","",Auftrag!$A363)</f>
        <v/>
      </c>
      <c r="B363" s="25">
        <f>IF($A363="","",Auftrag!$B363)</f>
        <v/>
      </c>
      <c r="C363" s="15">
        <f>IF($A363="","",N(Auftrag!$G363))</f>
        <v/>
      </c>
      <c r="D363" s="18">
        <f>IF($A363="","",SUMIFS(Schnittplan!$R$5:$R$1004,Schnittplan!$B$5:$B$1004,Auftrag!$D363,Schnittplan!$C$5:$C$1004,Auftrag!$E363,Schnittplan!$D$5:$D$1004,Auftrag!$Q363))</f>
        <v/>
      </c>
      <c r="E363" s="32">
        <f>IF($A363="","",IFERROR(N(Auftrag!$P363)/SUMIFS(Auftrag!$P$13:$P$512,Auftrag!$D$13:$D$512,Auftrag!$D363,Auftrag!$E$13:$E$512,Auftrag!$E363,Auftrag!$Q$13:$Q$512,Auftrag!$Q363),0))</f>
        <v/>
      </c>
      <c r="F363" s="33">
        <f>IF($A363="","",IF($C363=0,0,$D363*$E363/$C363))</f>
        <v/>
      </c>
      <c r="G363" s="34">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5">
        <f>IF($A363="","",IF($H363="","",60*((N(Auftrag!$H363)-N(Auftrag!$AI363)-N(Auftrag!$AK363))/$H363+N(Auftrag!$AI363)/$J363+N(Auftrag!$AK363)/$I363+N(Auftrag!$AD363)/$K363)+N(Auftrag!$I363)*$L363))</f>
        <v/>
      </c>
      <c r="N363" s="35">
        <f>IF($A363="","",IF(OR($H363="",$C363=0),0,(60*SUMIFS(Stangenbelegung!$K$5:$K$10004,Stangenbelegung!$E$5:$E$10004,ROW())/$H363+SUMIFS(Stangenbelegung!$L$5:$L$10004,Stangenbelegung!$E$5:$E$10004,ROW())*$L363)/$C363))</f>
        <v/>
      </c>
      <c r="O363" s="35">
        <f>IF($A363="","",IF($M363="","",MAX(0,$M363-$N363)))</f>
        <v/>
      </c>
      <c r="P363" s="35">
        <f>IF($A363="","",IFERROR(SUMPRODUCT(--("0"&amp;TRIM(RIGHT(SUBSTITUTE(LEFT(";"&amp;SUBSTITUTE(UPPER(Auftrag!$AG363)," ","")&amp;";"&amp;"X"&amp;UPPER(Gewinde!$A$5:$A$54)&amp;";",SEARCH("X"&amp;UPPER(Gewinde!$A$5:$A$54)&amp;";",";"&amp;SUBSTITUTE(UPPER(Auftrag!$AG363)," ","")&amp;";"&amp;"X"&amp;UPPER(Gewinde!$A$5:$A$54)&amp;";")-1),";",REPT(" ",50)),50))),Gewinde!$C$5:$C$54),0))</f>
        <v/>
      </c>
      <c r="Q363" s="33">
        <f>IF($A363="","",(N($O363)+$P363)/3600*N(Auftrag!$H$8))</f>
        <v/>
      </c>
      <c r="R363" s="33">
        <f>IF($A363="","",IF($F$8=0,0,$F$7/$F$8))</f>
        <v/>
      </c>
      <c r="S363" s="33">
        <f>IF($A363="","",$F363*(1+$C$4)+($Q363+$R363)*(1+$C$5))</f>
        <v/>
      </c>
      <c r="T363" s="33">
        <f>IF($A363="","",$S363*(1+$C$6))</f>
        <v/>
      </c>
      <c r="U363" s="18">
        <f>IF($A363="","",$T363*$C363)</f>
        <v/>
      </c>
      <c r="V363" s="18">
        <f>IF($A363="","",$S363*$C363)</f>
        <v/>
      </c>
      <c r="W363" s="28">
        <f>IF($A363="","",IF(N(Auftrag!$AO363)&gt;0,"nicht vollständig eingeplant",IF($D363=0,"kein Schnittplan oder Preis",IF($H363="","keine Schneiddaten",IF(AND(Auftrag!$AF363&lt;&gt;"",Auftrag!$AG363=""),"Gewinde ungeprüft","")))))</f>
        <v/>
      </c>
      <c r="X363" s="18">
        <f>IF($A363="","",$F363*$C363)</f>
        <v/>
      </c>
      <c r="Y363" s="18">
        <f>IF($A363="","",$Q363*$C363)</f>
        <v/>
      </c>
    </row>
    <row r="364">
      <c r="A364" s="25">
        <f>IF(Auftrag!$D364="","",Auftrag!$A364)</f>
        <v/>
      </c>
      <c r="B364" s="25">
        <f>IF($A364="","",Auftrag!$B364)</f>
        <v/>
      </c>
      <c r="C364" s="15">
        <f>IF($A364="","",N(Auftrag!$G364))</f>
        <v/>
      </c>
      <c r="D364" s="18">
        <f>IF($A364="","",SUMIFS(Schnittplan!$R$5:$R$1004,Schnittplan!$B$5:$B$1004,Auftrag!$D364,Schnittplan!$C$5:$C$1004,Auftrag!$E364,Schnittplan!$D$5:$D$1004,Auftrag!$Q364))</f>
        <v/>
      </c>
      <c r="E364" s="32">
        <f>IF($A364="","",IFERROR(N(Auftrag!$P364)/SUMIFS(Auftrag!$P$13:$P$512,Auftrag!$D$13:$D$512,Auftrag!$D364,Auftrag!$E$13:$E$512,Auftrag!$E364,Auftrag!$Q$13:$Q$512,Auftrag!$Q364),0))</f>
        <v/>
      </c>
      <c r="F364" s="33">
        <f>IF($A364="","",IF($C364=0,0,$D364*$E364/$C364))</f>
        <v/>
      </c>
      <c r="G364" s="34">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5">
        <f>IF($A364="","",IF($H364="","",60*((N(Auftrag!$H364)-N(Auftrag!$AI364)-N(Auftrag!$AK364))/$H364+N(Auftrag!$AI364)/$J364+N(Auftrag!$AK364)/$I364+N(Auftrag!$AD364)/$K364)+N(Auftrag!$I364)*$L364))</f>
        <v/>
      </c>
      <c r="N364" s="35">
        <f>IF($A364="","",IF(OR($H364="",$C364=0),0,(60*SUMIFS(Stangenbelegung!$K$5:$K$10004,Stangenbelegung!$E$5:$E$10004,ROW())/$H364+SUMIFS(Stangenbelegung!$L$5:$L$10004,Stangenbelegung!$E$5:$E$10004,ROW())*$L364)/$C364))</f>
        <v/>
      </c>
      <c r="O364" s="35">
        <f>IF($A364="","",IF($M364="","",MAX(0,$M364-$N364)))</f>
        <v/>
      </c>
      <c r="P364" s="35">
        <f>IF($A364="","",IFERROR(SUMPRODUCT(--("0"&amp;TRIM(RIGHT(SUBSTITUTE(LEFT(";"&amp;SUBSTITUTE(UPPER(Auftrag!$AG364)," ","")&amp;";"&amp;"X"&amp;UPPER(Gewinde!$A$5:$A$54)&amp;";",SEARCH("X"&amp;UPPER(Gewinde!$A$5:$A$54)&amp;";",";"&amp;SUBSTITUTE(UPPER(Auftrag!$AG364)," ","")&amp;";"&amp;"X"&amp;UPPER(Gewinde!$A$5:$A$54)&amp;";")-1),";",REPT(" ",50)),50))),Gewinde!$C$5:$C$54),0))</f>
        <v/>
      </c>
      <c r="Q364" s="33">
        <f>IF($A364="","",(N($O364)+$P364)/3600*N(Auftrag!$H$8))</f>
        <v/>
      </c>
      <c r="R364" s="33">
        <f>IF($A364="","",IF($F$8=0,0,$F$7/$F$8))</f>
        <v/>
      </c>
      <c r="S364" s="33">
        <f>IF($A364="","",$F364*(1+$C$4)+($Q364+$R364)*(1+$C$5))</f>
        <v/>
      </c>
      <c r="T364" s="33">
        <f>IF($A364="","",$S364*(1+$C$6))</f>
        <v/>
      </c>
      <c r="U364" s="18">
        <f>IF($A364="","",$T364*$C364)</f>
        <v/>
      </c>
      <c r="V364" s="18">
        <f>IF($A364="","",$S364*$C364)</f>
        <v/>
      </c>
      <c r="W364" s="28">
        <f>IF($A364="","",IF(N(Auftrag!$AO364)&gt;0,"nicht vollständig eingeplant",IF($D364=0,"kein Schnittplan oder Preis",IF($H364="","keine Schneiddaten",IF(AND(Auftrag!$AF364&lt;&gt;"",Auftrag!$AG364=""),"Gewinde ungeprüft","")))))</f>
        <v/>
      </c>
      <c r="X364" s="18">
        <f>IF($A364="","",$F364*$C364)</f>
        <v/>
      </c>
      <c r="Y364" s="18">
        <f>IF($A364="","",$Q364*$C364)</f>
        <v/>
      </c>
    </row>
    <row r="365">
      <c r="A365" s="25">
        <f>IF(Auftrag!$D365="","",Auftrag!$A365)</f>
        <v/>
      </c>
      <c r="B365" s="25">
        <f>IF($A365="","",Auftrag!$B365)</f>
        <v/>
      </c>
      <c r="C365" s="15">
        <f>IF($A365="","",N(Auftrag!$G365))</f>
        <v/>
      </c>
      <c r="D365" s="18">
        <f>IF($A365="","",SUMIFS(Schnittplan!$R$5:$R$1004,Schnittplan!$B$5:$B$1004,Auftrag!$D365,Schnittplan!$C$5:$C$1004,Auftrag!$E365,Schnittplan!$D$5:$D$1004,Auftrag!$Q365))</f>
        <v/>
      </c>
      <c r="E365" s="32">
        <f>IF($A365="","",IFERROR(N(Auftrag!$P365)/SUMIFS(Auftrag!$P$13:$P$512,Auftrag!$D$13:$D$512,Auftrag!$D365,Auftrag!$E$13:$E$512,Auftrag!$E365,Auftrag!$Q$13:$Q$512,Auftrag!$Q365),0))</f>
        <v/>
      </c>
      <c r="F365" s="33">
        <f>IF($A365="","",IF($C365=0,0,$D365*$E365/$C365))</f>
        <v/>
      </c>
      <c r="G365" s="34">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5">
        <f>IF($A365="","",IF($H365="","",60*((N(Auftrag!$H365)-N(Auftrag!$AI365)-N(Auftrag!$AK365))/$H365+N(Auftrag!$AI365)/$J365+N(Auftrag!$AK365)/$I365+N(Auftrag!$AD365)/$K365)+N(Auftrag!$I365)*$L365))</f>
        <v/>
      </c>
      <c r="N365" s="35">
        <f>IF($A365="","",IF(OR($H365="",$C365=0),0,(60*SUMIFS(Stangenbelegung!$K$5:$K$10004,Stangenbelegung!$E$5:$E$10004,ROW())/$H365+SUMIFS(Stangenbelegung!$L$5:$L$10004,Stangenbelegung!$E$5:$E$10004,ROW())*$L365)/$C365))</f>
        <v/>
      </c>
      <c r="O365" s="35">
        <f>IF($A365="","",IF($M365="","",MAX(0,$M365-$N365)))</f>
        <v/>
      </c>
      <c r="P365" s="35">
        <f>IF($A365="","",IFERROR(SUMPRODUCT(--("0"&amp;TRIM(RIGHT(SUBSTITUTE(LEFT(";"&amp;SUBSTITUTE(UPPER(Auftrag!$AG365)," ","")&amp;";"&amp;"X"&amp;UPPER(Gewinde!$A$5:$A$54)&amp;";",SEARCH("X"&amp;UPPER(Gewinde!$A$5:$A$54)&amp;";",";"&amp;SUBSTITUTE(UPPER(Auftrag!$AG365)," ","")&amp;";"&amp;"X"&amp;UPPER(Gewinde!$A$5:$A$54)&amp;";")-1),";",REPT(" ",50)),50))),Gewinde!$C$5:$C$54),0))</f>
        <v/>
      </c>
      <c r="Q365" s="33">
        <f>IF($A365="","",(N($O365)+$P365)/3600*N(Auftrag!$H$8))</f>
        <v/>
      </c>
      <c r="R365" s="33">
        <f>IF($A365="","",IF($F$8=0,0,$F$7/$F$8))</f>
        <v/>
      </c>
      <c r="S365" s="33">
        <f>IF($A365="","",$F365*(1+$C$4)+($Q365+$R365)*(1+$C$5))</f>
        <v/>
      </c>
      <c r="T365" s="33">
        <f>IF($A365="","",$S365*(1+$C$6))</f>
        <v/>
      </c>
      <c r="U365" s="18">
        <f>IF($A365="","",$T365*$C365)</f>
        <v/>
      </c>
      <c r="V365" s="18">
        <f>IF($A365="","",$S365*$C365)</f>
        <v/>
      </c>
      <c r="W365" s="28">
        <f>IF($A365="","",IF(N(Auftrag!$AO365)&gt;0,"nicht vollständig eingeplant",IF($D365=0,"kein Schnittplan oder Preis",IF($H365="","keine Schneiddaten",IF(AND(Auftrag!$AF365&lt;&gt;"",Auftrag!$AG365=""),"Gewinde ungeprüft","")))))</f>
        <v/>
      </c>
      <c r="X365" s="18">
        <f>IF($A365="","",$F365*$C365)</f>
        <v/>
      </c>
      <c r="Y365" s="18">
        <f>IF($A365="","",$Q365*$C365)</f>
        <v/>
      </c>
    </row>
    <row r="366">
      <c r="A366" s="25">
        <f>IF(Auftrag!$D366="","",Auftrag!$A366)</f>
        <v/>
      </c>
      <c r="B366" s="25">
        <f>IF($A366="","",Auftrag!$B366)</f>
        <v/>
      </c>
      <c r="C366" s="15">
        <f>IF($A366="","",N(Auftrag!$G366))</f>
        <v/>
      </c>
      <c r="D366" s="18">
        <f>IF($A366="","",SUMIFS(Schnittplan!$R$5:$R$1004,Schnittplan!$B$5:$B$1004,Auftrag!$D366,Schnittplan!$C$5:$C$1004,Auftrag!$E366,Schnittplan!$D$5:$D$1004,Auftrag!$Q366))</f>
        <v/>
      </c>
      <c r="E366" s="32">
        <f>IF($A366="","",IFERROR(N(Auftrag!$P366)/SUMIFS(Auftrag!$P$13:$P$512,Auftrag!$D$13:$D$512,Auftrag!$D366,Auftrag!$E$13:$E$512,Auftrag!$E366,Auftrag!$Q$13:$Q$512,Auftrag!$Q366),0))</f>
        <v/>
      </c>
      <c r="F366" s="33">
        <f>IF($A366="","",IF($C366=0,0,$D366*$E366/$C366))</f>
        <v/>
      </c>
      <c r="G366" s="34">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5">
        <f>IF($A366="","",IF($H366="","",60*((N(Auftrag!$H366)-N(Auftrag!$AI366)-N(Auftrag!$AK366))/$H366+N(Auftrag!$AI366)/$J366+N(Auftrag!$AK366)/$I366+N(Auftrag!$AD366)/$K366)+N(Auftrag!$I366)*$L366))</f>
        <v/>
      </c>
      <c r="N366" s="35">
        <f>IF($A366="","",IF(OR($H366="",$C366=0),0,(60*SUMIFS(Stangenbelegung!$K$5:$K$10004,Stangenbelegung!$E$5:$E$10004,ROW())/$H366+SUMIFS(Stangenbelegung!$L$5:$L$10004,Stangenbelegung!$E$5:$E$10004,ROW())*$L366)/$C366))</f>
        <v/>
      </c>
      <c r="O366" s="35">
        <f>IF($A366="","",IF($M366="","",MAX(0,$M366-$N366)))</f>
        <v/>
      </c>
      <c r="P366" s="35">
        <f>IF($A366="","",IFERROR(SUMPRODUCT(--("0"&amp;TRIM(RIGHT(SUBSTITUTE(LEFT(";"&amp;SUBSTITUTE(UPPER(Auftrag!$AG366)," ","")&amp;";"&amp;"X"&amp;UPPER(Gewinde!$A$5:$A$54)&amp;";",SEARCH("X"&amp;UPPER(Gewinde!$A$5:$A$54)&amp;";",";"&amp;SUBSTITUTE(UPPER(Auftrag!$AG366)," ","")&amp;";"&amp;"X"&amp;UPPER(Gewinde!$A$5:$A$54)&amp;";")-1),";",REPT(" ",50)),50))),Gewinde!$C$5:$C$54),0))</f>
        <v/>
      </c>
      <c r="Q366" s="33">
        <f>IF($A366="","",(N($O366)+$P366)/3600*N(Auftrag!$H$8))</f>
        <v/>
      </c>
      <c r="R366" s="33">
        <f>IF($A366="","",IF($F$8=0,0,$F$7/$F$8))</f>
        <v/>
      </c>
      <c r="S366" s="33">
        <f>IF($A366="","",$F366*(1+$C$4)+($Q366+$R366)*(1+$C$5))</f>
        <v/>
      </c>
      <c r="T366" s="33">
        <f>IF($A366="","",$S366*(1+$C$6))</f>
        <v/>
      </c>
      <c r="U366" s="18">
        <f>IF($A366="","",$T366*$C366)</f>
        <v/>
      </c>
      <c r="V366" s="18">
        <f>IF($A366="","",$S366*$C366)</f>
        <v/>
      </c>
      <c r="W366" s="28">
        <f>IF($A366="","",IF(N(Auftrag!$AO366)&gt;0,"nicht vollständig eingeplant",IF($D366=0,"kein Schnittplan oder Preis",IF($H366="","keine Schneiddaten",IF(AND(Auftrag!$AF366&lt;&gt;"",Auftrag!$AG366=""),"Gewinde ungeprüft","")))))</f>
        <v/>
      </c>
      <c r="X366" s="18">
        <f>IF($A366="","",$F366*$C366)</f>
        <v/>
      </c>
      <c r="Y366" s="18">
        <f>IF($A366="","",$Q366*$C366)</f>
        <v/>
      </c>
    </row>
    <row r="367">
      <c r="A367" s="25">
        <f>IF(Auftrag!$D367="","",Auftrag!$A367)</f>
        <v/>
      </c>
      <c r="B367" s="25">
        <f>IF($A367="","",Auftrag!$B367)</f>
        <v/>
      </c>
      <c r="C367" s="15">
        <f>IF($A367="","",N(Auftrag!$G367))</f>
        <v/>
      </c>
      <c r="D367" s="18">
        <f>IF($A367="","",SUMIFS(Schnittplan!$R$5:$R$1004,Schnittplan!$B$5:$B$1004,Auftrag!$D367,Schnittplan!$C$5:$C$1004,Auftrag!$E367,Schnittplan!$D$5:$D$1004,Auftrag!$Q367))</f>
        <v/>
      </c>
      <c r="E367" s="32">
        <f>IF($A367="","",IFERROR(N(Auftrag!$P367)/SUMIFS(Auftrag!$P$13:$P$512,Auftrag!$D$13:$D$512,Auftrag!$D367,Auftrag!$E$13:$E$512,Auftrag!$E367,Auftrag!$Q$13:$Q$512,Auftrag!$Q367),0))</f>
        <v/>
      </c>
      <c r="F367" s="33">
        <f>IF($A367="","",IF($C367=0,0,$D367*$E367/$C367))</f>
        <v/>
      </c>
      <c r="G367" s="34">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5">
        <f>IF($A367="","",IF($H367="","",60*((N(Auftrag!$H367)-N(Auftrag!$AI367)-N(Auftrag!$AK367))/$H367+N(Auftrag!$AI367)/$J367+N(Auftrag!$AK367)/$I367+N(Auftrag!$AD367)/$K367)+N(Auftrag!$I367)*$L367))</f>
        <v/>
      </c>
      <c r="N367" s="35">
        <f>IF($A367="","",IF(OR($H367="",$C367=0),0,(60*SUMIFS(Stangenbelegung!$K$5:$K$10004,Stangenbelegung!$E$5:$E$10004,ROW())/$H367+SUMIFS(Stangenbelegung!$L$5:$L$10004,Stangenbelegung!$E$5:$E$10004,ROW())*$L367)/$C367))</f>
        <v/>
      </c>
      <c r="O367" s="35">
        <f>IF($A367="","",IF($M367="","",MAX(0,$M367-$N367)))</f>
        <v/>
      </c>
      <c r="P367" s="35">
        <f>IF($A367="","",IFERROR(SUMPRODUCT(--("0"&amp;TRIM(RIGHT(SUBSTITUTE(LEFT(";"&amp;SUBSTITUTE(UPPER(Auftrag!$AG367)," ","")&amp;";"&amp;"X"&amp;UPPER(Gewinde!$A$5:$A$54)&amp;";",SEARCH("X"&amp;UPPER(Gewinde!$A$5:$A$54)&amp;";",";"&amp;SUBSTITUTE(UPPER(Auftrag!$AG367)," ","")&amp;";"&amp;"X"&amp;UPPER(Gewinde!$A$5:$A$54)&amp;";")-1),";",REPT(" ",50)),50))),Gewinde!$C$5:$C$54),0))</f>
        <v/>
      </c>
      <c r="Q367" s="33">
        <f>IF($A367="","",(N($O367)+$P367)/3600*N(Auftrag!$H$8))</f>
        <v/>
      </c>
      <c r="R367" s="33">
        <f>IF($A367="","",IF($F$8=0,0,$F$7/$F$8))</f>
        <v/>
      </c>
      <c r="S367" s="33">
        <f>IF($A367="","",$F367*(1+$C$4)+($Q367+$R367)*(1+$C$5))</f>
        <v/>
      </c>
      <c r="T367" s="33">
        <f>IF($A367="","",$S367*(1+$C$6))</f>
        <v/>
      </c>
      <c r="U367" s="18">
        <f>IF($A367="","",$T367*$C367)</f>
        <v/>
      </c>
      <c r="V367" s="18">
        <f>IF($A367="","",$S367*$C367)</f>
        <v/>
      </c>
      <c r="W367" s="28">
        <f>IF($A367="","",IF(N(Auftrag!$AO367)&gt;0,"nicht vollständig eingeplant",IF($D367=0,"kein Schnittplan oder Preis",IF($H367="","keine Schneiddaten",IF(AND(Auftrag!$AF367&lt;&gt;"",Auftrag!$AG367=""),"Gewinde ungeprüft","")))))</f>
        <v/>
      </c>
      <c r="X367" s="18">
        <f>IF($A367="","",$F367*$C367)</f>
        <v/>
      </c>
      <c r="Y367" s="18">
        <f>IF($A367="","",$Q367*$C367)</f>
        <v/>
      </c>
    </row>
    <row r="368">
      <c r="A368" s="25">
        <f>IF(Auftrag!$D368="","",Auftrag!$A368)</f>
        <v/>
      </c>
      <c r="B368" s="25">
        <f>IF($A368="","",Auftrag!$B368)</f>
        <v/>
      </c>
      <c r="C368" s="15">
        <f>IF($A368="","",N(Auftrag!$G368))</f>
        <v/>
      </c>
      <c r="D368" s="18">
        <f>IF($A368="","",SUMIFS(Schnittplan!$R$5:$R$1004,Schnittplan!$B$5:$B$1004,Auftrag!$D368,Schnittplan!$C$5:$C$1004,Auftrag!$E368,Schnittplan!$D$5:$D$1004,Auftrag!$Q368))</f>
        <v/>
      </c>
      <c r="E368" s="32">
        <f>IF($A368="","",IFERROR(N(Auftrag!$P368)/SUMIFS(Auftrag!$P$13:$P$512,Auftrag!$D$13:$D$512,Auftrag!$D368,Auftrag!$E$13:$E$512,Auftrag!$E368,Auftrag!$Q$13:$Q$512,Auftrag!$Q368),0))</f>
        <v/>
      </c>
      <c r="F368" s="33">
        <f>IF($A368="","",IF($C368=0,0,$D368*$E368/$C368))</f>
        <v/>
      </c>
      <c r="G368" s="34">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5">
        <f>IF($A368="","",IF($H368="","",60*((N(Auftrag!$H368)-N(Auftrag!$AI368)-N(Auftrag!$AK368))/$H368+N(Auftrag!$AI368)/$J368+N(Auftrag!$AK368)/$I368+N(Auftrag!$AD368)/$K368)+N(Auftrag!$I368)*$L368))</f>
        <v/>
      </c>
      <c r="N368" s="35">
        <f>IF($A368="","",IF(OR($H368="",$C368=0),0,(60*SUMIFS(Stangenbelegung!$K$5:$K$10004,Stangenbelegung!$E$5:$E$10004,ROW())/$H368+SUMIFS(Stangenbelegung!$L$5:$L$10004,Stangenbelegung!$E$5:$E$10004,ROW())*$L368)/$C368))</f>
        <v/>
      </c>
      <c r="O368" s="35">
        <f>IF($A368="","",IF($M368="","",MAX(0,$M368-$N368)))</f>
        <v/>
      </c>
      <c r="P368" s="35">
        <f>IF($A368="","",IFERROR(SUMPRODUCT(--("0"&amp;TRIM(RIGHT(SUBSTITUTE(LEFT(";"&amp;SUBSTITUTE(UPPER(Auftrag!$AG368)," ","")&amp;";"&amp;"X"&amp;UPPER(Gewinde!$A$5:$A$54)&amp;";",SEARCH("X"&amp;UPPER(Gewinde!$A$5:$A$54)&amp;";",";"&amp;SUBSTITUTE(UPPER(Auftrag!$AG368)," ","")&amp;";"&amp;"X"&amp;UPPER(Gewinde!$A$5:$A$54)&amp;";")-1),";",REPT(" ",50)),50))),Gewinde!$C$5:$C$54),0))</f>
        <v/>
      </c>
      <c r="Q368" s="33">
        <f>IF($A368="","",(N($O368)+$P368)/3600*N(Auftrag!$H$8))</f>
        <v/>
      </c>
      <c r="R368" s="33">
        <f>IF($A368="","",IF($F$8=0,0,$F$7/$F$8))</f>
        <v/>
      </c>
      <c r="S368" s="33">
        <f>IF($A368="","",$F368*(1+$C$4)+($Q368+$R368)*(1+$C$5))</f>
        <v/>
      </c>
      <c r="T368" s="33">
        <f>IF($A368="","",$S368*(1+$C$6))</f>
        <v/>
      </c>
      <c r="U368" s="18">
        <f>IF($A368="","",$T368*$C368)</f>
        <v/>
      </c>
      <c r="V368" s="18">
        <f>IF($A368="","",$S368*$C368)</f>
        <v/>
      </c>
      <c r="W368" s="28">
        <f>IF($A368="","",IF(N(Auftrag!$AO368)&gt;0,"nicht vollständig eingeplant",IF($D368=0,"kein Schnittplan oder Preis",IF($H368="","keine Schneiddaten",IF(AND(Auftrag!$AF368&lt;&gt;"",Auftrag!$AG368=""),"Gewinde ungeprüft","")))))</f>
        <v/>
      </c>
      <c r="X368" s="18">
        <f>IF($A368="","",$F368*$C368)</f>
        <v/>
      </c>
      <c r="Y368" s="18">
        <f>IF($A368="","",$Q368*$C368)</f>
        <v/>
      </c>
    </row>
    <row r="369">
      <c r="A369" s="25">
        <f>IF(Auftrag!$D369="","",Auftrag!$A369)</f>
        <v/>
      </c>
      <c r="B369" s="25">
        <f>IF($A369="","",Auftrag!$B369)</f>
        <v/>
      </c>
      <c r="C369" s="15">
        <f>IF($A369="","",N(Auftrag!$G369))</f>
        <v/>
      </c>
      <c r="D369" s="18">
        <f>IF($A369="","",SUMIFS(Schnittplan!$R$5:$R$1004,Schnittplan!$B$5:$B$1004,Auftrag!$D369,Schnittplan!$C$5:$C$1004,Auftrag!$E369,Schnittplan!$D$5:$D$1004,Auftrag!$Q369))</f>
        <v/>
      </c>
      <c r="E369" s="32">
        <f>IF($A369="","",IFERROR(N(Auftrag!$P369)/SUMIFS(Auftrag!$P$13:$P$512,Auftrag!$D$13:$D$512,Auftrag!$D369,Auftrag!$E$13:$E$512,Auftrag!$E369,Auftrag!$Q$13:$Q$512,Auftrag!$Q369),0))</f>
        <v/>
      </c>
      <c r="F369" s="33">
        <f>IF($A369="","",IF($C369=0,0,$D369*$E369/$C369))</f>
        <v/>
      </c>
      <c r="G369" s="34">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5">
        <f>IF($A369="","",IF($H369="","",60*((N(Auftrag!$H369)-N(Auftrag!$AI369)-N(Auftrag!$AK369))/$H369+N(Auftrag!$AI369)/$J369+N(Auftrag!$AK369)/$I369+N(Auftrag!$AD369)/$K369)+N(Auftrag!$I369)*$L369))</f>
        <v/>
      </c>
      <c r="N369" s="35">
        <f>IF($A369="","",IF(OR($H369="",$C369=0),0,(60*SUMIFS(Stangenbelegung!$K$5:$K$10004,Stangenbelegung!$E$5:$E$10004,ROW())/$H369+SUMIFS(Stangenbelegung!$L$5:$L$10004,Stangenbelegung!$E$5:$E$10004,ROW())*$L369)/$C369))</f>
        <v/>
      </c>
      <c r="O369" s="35">
        <f>IF($A369="","",IF($M369="","",MAX(0,$M369-$N369)))</f>
        <v/>
      </c>
      <c r="P369" s="35">
        <f>IF($A369="","",IFERROR(SUMPRODUCT(--("0"&amp;TRIM(RIGHT(SUBSTITUTE(LEFT(";"&amp;SUBSTITUTE(UPPER(Auftrag!$AG369)," ","")&amp;";"&amp;"X"&amp;UPPER(Gewinde!$A$5:$A$54)&amp;";",SEARCH("X"&amp;UPPER(Gewinde!$A$5:$A$54)&amp;";",";"&amp;SUBSTITUTE(UPPER(Auftrag!$AG369)," ","")&amp;";"&amp;"X"&amp;UPPER(Gewinde!$A$5:$A$54)&amp;";")-1),";",REPT(" ",50)),50))),Gewinde!$C$5:$C$54),0))</f>
        <v/>
      </c>
      <c r="Q369" s="33">
        <f>IF($A369="","",(N($O369)+$P369)/3600*N(Auftrag!$H$8))</f>
        <v/>
      </c>
      <c r="R369" s="33">
        <f>IF($A369="","",IF($F$8=0,0,$F$7/$F$8))</f>
        <v/>
      </c>
      <c r="S369" s="33">
        <f>IF($A369="","",$F369*(1+$C$4)+($Q369+$R369)*(1+$C$5))</f>
        <v/>
      </c>
      <c r="T369" s="33">
        <f>IF($A369="","",$S369*(1+$C$6))</f>
        <v/>
      </c>
      <c r="U369" s="18">
        <f>IF($A369="","",$T369*$C369)</f>
        <v/>
      </c>
      <c r="V369" s="18">
        <f>IF($A369="","",$S369*$C369)</f>
        <v/>
      </c>
      <c r="W369" s="28">
        <f>IF($A369="","",IF(N(Auftrag!$AO369)&gt;0,"nicht vollständig eingeplant",IF($D369=0,"kein Schnittplan oder Preis",IF($H369="","keine Schneiddaten",IF(AND(Auftrag!$AF369&lt;&gt;"",Auftrag!$AG369=""),"Gewinde ungeprüft","")))))</f>
        <v/>
      </c>
      <c r="X369" s="18">
        <f>IF($A369="","",$F369*$C369)</f>
        <v/>
      </c>
      <c r="Y369" s="18">
        <f>IF($A369="","",$Q369*$C369)</f>
        <v/>
      </c>
    </row>
    <row r="370">
      <c r="A370" s="25">
        <f>IF(Auftrag!$D370="","",Auftrag!$A370)</f>
        <v/>
      </c>
      <c r="B370" s="25">
        <f>IF($A370="","",Auftrag!$B370)</f>
        <v/>
      </c>
      <c r="C370" s="15">
        <f>IF($A370="","",N(Auftrag!$G370))</f>
        <v/>
      </c>
      <c r="D370" s="18">
        <f>IF($A370="","",SUMIFS(Schnittplan!$R$5:$R$1004,Schnittplan!$B$5:$B$1004,Auftrag!$D370,Schnittplan!$C$5:$C$1004,Auftrag!$E370,Schnittplan!$D$5:$D$1004,Auftrag!$Q370))</f>
        <v/>
      </c>
      <c r="E370" s="32">
        <f>IF($A370="","",IFERROR(N(Auftrag!$P370)/SUMIFS(Auftrag!$P$13:$P$512,Auftrag!$D$13:$D$512,Auftrag!$D370,Auftrag!$E$13:$E$512,Auftrag!$E370,Auftrag!$Q$13:$Q$512,Auftrag!$Q370),0))</f>
        <v/>
      </c>
      <c r="F370" s="33">
        <f>IF($A370="","",IF($C370=0,0,$D370*$E370/$C370))</f>
        <v/>
      </c>
      <c r="G370" s="34">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5">
        <f>IF($A370="","",IF($H370="","",60*((N(Auftrag!$H370)-N(Auftrag!$AI370)-N(Auftrag!$AK370))/$H370+N(Auftrag!$AI370)/$J370+N(Auftrag!$AK370)/$I370+N(Auftrag!$AD370)/$K370)+N(Auftrag!$I370)*$L370))</f>
        <v/>
      </c>
      <c r="N370" s="35">
        <f>IF($A370="","",IF(OR($H370="",$C370=0),0,(60*SUMIFS(Stangenbelegung!$K$5:$K$10004,Stangenbelegung!$E$5:$E$10004,ROW())/$H370+SUMIFS(Stangenbelegung!$L$5:$L$10004,Stangenbelegung!$E$5:$E$10004,ROW())*$L370)/$C370))</f>
        <v/>
      </c>
      <c r="O370" s="35">
        <f>IF($A370="","",IF($M370="","",MAX(0,$M370-$N370)))</f>
        <v/>
      </c>
      <c r="P370" s="35">
        <f>IF($A370="","",IFERROR(SUMPRODUCT(--("0"&amp;TRIM(RIGHT(SUBSTITUTE(LEFT(";"&amp;SUBSTITUTE(UPPER(Auftrag!$AG370)," ","")&amp;";"&amp;"X"&amp;UPPER(Gewinde!$A$5:$A$54)&amp;";",SEARCH("X"&amp;UPPER(Gewinde!$A$5:$A$54)&amp;";",";"&amp;SUBSTITUTE(UPPER(Auftrag!$AG370)," ","")&amp;";"&amp;"X"&amp;UPPER(Gewinde!$A$5:$A$54)&amp;";")-1),";",REPT(" ",50)),50))),Gewinde!$C$5:$C$54),0))</f>
        <v/>
      </c>
      <c r="Q370" s="33">
        <f>IF($A370="","",(N($O370)+$P370)/3600*N(Auftrag!$H$8))</f>
        <v/>
      </c>
      <c r="R370" s="33">
        <f>IF($A370="","",IF($F$8=0,0,$F$7/$F$8))</f>
        <v/>
      </c>
      <c r="S370" s="33">
        <f>IF($A370="","",$F370*(1+$C$4)+($Q370+$R370)*(1+$C$5))</f>
        <v/>
      </c>
      <c r="T370" s="33">
        <f>IF($A370="","",$S370*(1+$C$6))</f>
        <v/>
      </c>
      <c r="U370" s="18">
        <f>IF($A370="","",$T370*$C370)</f>
        <v/>
      </c>
      <c r="V370" s="18">
        <f>IF($A370="","",$S370*$C370)</f>
        <v/>
      </c>
      <c r="W370" s="28">
        <f>IF($A370="","",IF(N(Auftrag!$AO370)&gt;0,"nicht vollständig eingeplant",IF($D370=0,"kein Schnittplan oder Preis",IF($H370="","keine Schneiddaten",IF(AND(Auftrag!$AF370&lt;&gt;"",Auftrag!$AG370=""),"Gewinde ungeprüft","")))))</f>
        <v/>
      </c>
      <c r="X370" s="18">
        <f>IF($A370="","",$F370*$C370)</f>
        <v/>
      </c>
      <c r="Y370" s="18">
        <f>IF($A370="","",$Q370*$C370)</f>
        <v/>
      </c>
    </row>
    <row r="371">
      <c r="A371" s="25">
        <f>IF(Auftrag!$D371="","",Auftrag!$A371)</f>
        <v/>
      </c>
      <c r="B371" s="25">
        <f>IF($A371="","",Auftrag!$B371)</f>
        <v/>
      </c>
      <c r="C371" s="15">
        <f>IF($A371="","",N(Auftrag!$G371))</f>
        <v/>
      </c>
      <c r="D371" s="18">
        <f>IF($A371="","",SUMIFS(Schnittplan!$R$5:$R$1004,Schnittplan!$B$5:$B$1004,Auftrag!$D371,Schnittplan!$C$5:$C$1004,Auftrag!$E371,Schnittplan!$D$5:$D$1004,Auftrag!$Q371))</f>
        <v/>
      </c>
      <c r="E371" s="32">
        <f>IF($A371="","",IFERROR(N(Auftrag!$P371)/SUMIFS(Auftrag!$P$13:$P$512,Auftrag!$D$13:$D$512,Auftrag!$D371,Auftrag!$E$13:$E$512,Auftrag!$E371,Auftrag!$Q$13:$Q$512,Auftrag!$Q371),0))</f>
        <v/>
      </c>
      <c r="F371" s="33">
        <f>IF($A371="","",IF($C371=0,0,$D371*$E371/$C371))</f>
        <v/>
      </c>
      <c r="G371" s="34">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5">
        <f>IF($A371="","",IF($H371="","",60*((N(Auftrag!$H371)-N(Auftrag!$AI371)-N(Auftrag!$AK371))/$H371+N(Auftrag!$AI371)/$J371+N(Auftrag!$AK371)/$I371+N(Auftrag!$AD371)/$K371)+N(Auftrag!$I371)*$L371))</f>
        <v/>
      </c>
      <c r="N371" s="35">
        <f>IF($A371="","",IF(OR($H371="",$C371=0),0,(60*SUMIFS(Stangenbelegung!$K$5:$K$10004,Stangenbelegung!$E$5:$E$10004,ROW())/$H371+SUMIFS(Stangenbelegung!$L$5:$L$10004,Stangenbelegung!$E$5:$E$10004,ROW())*$L371)/$C371))</f>
        <v/>
      </c>
      <c r="O371" s="35">
        <f>IF($A371="","",IF($M371="","",MAX(0,$M371-$N371)))</f>
        <v/>
      </c>
      <c r="P371" s="35">
        <f>IF($A371="","",IFERROR(SUMPRODUCT(--("0"&amp;TRIM(RIGHT(SUBSTITUTE(LEFT(";"&amp;SUBSTITUTE(UPPER(Auftrag!$AG371)," ","")&amp;";"&amp;"X"&amp;UPPER(Gewinde!$A$5:$A$54)&amp;";",SEARCH("X"&amp;UPPER(Gewinde!$A$5:$A$54)&amp;";",";"&amp;SUBSTITUTE(UPPER(Auftrag!$AG371)," ","")&amp;";"&amp;"X"&amp;UPPER(Gewinde!$A$5:$A$54)&amp;";")-1),";",REPT(" ",50)),50))),Gewinde!$C$5:$C$54),0))</f>
        <v/>
      </c>
      <c r="Q371" s="33">
        <f>IF($A371="","",(N($O371)+$P371)/3600*N(Auftrag!$H$8))</f>
        <v/>
      </c>
      <c r="R371" s="33">
        <f>IF($A371="","",IF($F$8=0,0,$F$7/$F$8))</f>
        <v/>
      </c>
      <c r="S371" s="33">
        <f>IF($A371="","",$F371*(1+$C$4)+($Q371+$R371)*(1+$C$5))</f>
        <v/>
      </c>
      <c r="T371" s="33">
        <f>IF($A371="","",$S371*(1+$C$6))</f>
        <v/>
      </c>
      <c r="U371" s="18">
        <f>IF($A371="","",$T371*$C371)</f>
        <v/>
      </c>
      <c r="V371" s="18">
        <f>IF($A371="","",$S371*$C371)</f>
        <v/>
      </c>
      <c r="W371" s="28">
        <f>IF($A371="","",IF(N(Auftrag!$AO371)&gt;0,"nicht vollständig eingeplant",IF($D371=0,"kein Schnittplan oder Preis",IF($H371="","keine Schneiddaten",IF(AND(Auftrag!$AF371&lt;&gt;"",Auftrag!$AG371=""),"Gewinde ungeprüft","")))))</f>
        <v/>
      </c>
      <c r="X371" s="18">
        <f>IF($A371="","",$F371*$C371)</f>
        <v/>
      </c>
      <c r="Y371" s="18">
        <f>IF($A371="","",$Q371*$C371)</f>
        <v/>
      </c>
    </row>
    <row r="372">
      <c r="A372" s="25">
        <f>IF(Auftrag!$D372="","",Auftrag!$A372)</f>
        <v/>
      </c>
      <c r="B372" s="25">
        <f>IF($A372="","",Auftrag!$B372)</f>
        <v/>
      </c>
      <c r="C372" s="15">
        <f>IF($A372="","",N(Auftrag!$G372))</f>
        <v/>
      </c>
      <c r="D372" s="18">
        <f>IF($A372="","",SUMIFS(Schnittplan!$R$5:$R$1004,Schnittplan!$B$5:$B$1004,Auftrag!$D372,Schnittplan!$C$5:$C$1004,Auftrag!$E372,Schnittplan!$D$5:$D$1004,Auftrag!$Q372))</f>
        <v/>
      </c>
      <c r="E372" s="32">
        <f>IF($A372="","",IFERROR(N(Auftrag!$P372)/SUMIFS(Auftrag!$P$13:$P$512,Auftrag!$D$13:$D$512,Auftrag!$D372,Auftrag!$E$13:$E$512,Auftrag!$E372,Auftrag!$Q$13:$Q$512,Auftrag!$Q372),0))</f>
        <v/>
      </c>
      <c r="F372" s="33">
        <f>IF($A372="","",IF($C372=0,0,$D372*$E372/$C372))</f>
        <v/>
      </c>
      <c r="G372" s="34">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5">
        <f>IF($A372="","",IF($H372="","",60*((N(Auftrag!$H372)-N(Auftrag!$AI372)-N(Auftrag!$AK372))/$H372+N(Auftrag!$AI372)/$J372+N(Auftrag!$AK372)/$I372+N(Auftrag!$AD372)/$K372)+N(Auftrag!$I372)*$L372))</f>
        <v/>
      </c>
      <c r="N372" s="35">
        <f>IF($A372="","",IF(OR($H372="",$C372=0),0,(60*SUMIFS(Stangenbelegung!$K$5:$K$10004,Stangenbelegung!$E$5:$E$10004,ROW())/$H372+SUMIFS(Stangenbelegung!$L$5:$L$10004,Stangenbelegung!$E$5:$E$10004,ROW())*$L372)/$C372))</f>
        <v/>
      </c>
      <c r="O372" s="35">
        <f>IF($A372="","",IF($M372="","",MAX(0,$M372-$N372)))</f>
        <v/>
      </c>
      <c r="P372" s="35">
        <f>IF($A372="","",IFERROR(SUMPRODUCT(--("0"&amp;TRIM(RIGHT(SUBSTITUTE(LEFT(";"&amp;SUBSTITUTE(UPPER(Auftrag!$AG372)," ","")&amp;";"&amp;"X"&amp;UPPER(Gewinde!$A$5:$A$54)&amp;";",SEARCH("X"&amp;UPPER(Gewinde!$A$5:$A$54)&amp;";",";"&amp;SUBSTITUTE(UPPER(Auftrag!$AG372)," ","")&amp;";"&amp;"X"&amp;UPPER(Gewinde!$A$5:$A$54)&amp;";")-1),";",REPT(" ",50)),50))),Gewinde!$C$5:$C$54),0))</f>
        <v/>
      </c>
      <c r="Q372" s="33">
        <f>IF($A372="","",(N($O372)+$P372)/3600*N(Auftrag!$H$8))</f>
        <v/>
      </c>
      <c r="R372" s="33">
        <f>IF($A372="","",IF($F$8=0,0,$F$7/$F$8))</f>
        <v/>
      </c>
      <c r="S372" s="33">
        <f>IF($A372="","",$F372*(1+$C$4)+($Q372+$R372)*(1+$C$5))</f>
        <v/>
      </c>
      <c r="T372" s="33">
        <f>IF($A372="","",$S372*(1+$C$6))</f>
        <v/>
      </c>
      <c r="U372" s="18">
        <f>IF($A372="","",$T372*$C372)</f>
        <v/>
      </c>
      <c r="V372" s="18">
        <f>IF($A372="","",$S372*$C372)</f>
        <v/>
      </c>
      <c r="W372" s="28">
        <f>IF($A372="","",IF(N(Auftrag!$AO372)&gt;0,"nicht vollständig eingeplant",IF($D372=0,"kein Schnittplan oder Preis",IF($H372="","keine Schneiddaten",IF(AND(Auftrag!$AF372&lt;&gt;"",Auftrag!$AG372=""),"Gewinde ungeprüft","")))))</f>
        <v/>
      </c>
      <c r="X372" s="18">
        <f>IF($A372="","",$F372*$C372)</f>
        <v/>
      </c>
      <c r="Y372" s="18">
        <f>IF($A372="","",$Q372*$C372)</f>
        <v/>
      </c>
    </row>
    <row r="373">
      <c r="A373" s="25">
        <f>IF(Auftrag!$D373="","",Auftrag!$A373)</f>
        <v/>
      </c>
      <c r="B373" s="25">
        <f>IF($A373="","",Auftrag!$B373)</f>
        <v/>
      </c>
      <c r="C373" s="15">
        <f>IF($A373="","",N(Auftrag!$G373))</f>
        <v/>
      </c>
      <c r="D373" s="18">
        <f>IF($A373="","",SUMIFS(Schnittplan!$R$5:$R$1004,Schnittplan!$B$5:$B$1004,Auftrag!$D373,Schnittplan!$C$5:$C$1004,Auftrag!$E373,Schnittplan!$D$5:$D$1004,Auftrag!$Q373))</f>
        <v/>
      </c>
      <c r="E373" s="32">
        <f>IF($A373="","",IFERROR(N(Auftrag!$P373)/SUMIFS(Auftrag!$P$13:$P$512,Auftrag!$D$13:$D$512,Auftrag!$D373,Auftrag!$E$13:$E$512,Auftrag!$E373,Auftrag!$Q$13:$Q$512,Auftrag!$Q373),0))</f>
        <v/>
      </c>
      <c r="F373" s="33">
        <f>IF($A373="","",IF($C373=0,0,$D373*$E373/$C373))</f>
        <v/>
      </c>
      <c r="G373" s="34">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5">
        <f>IF($A373="","",IF($H373="","",60*((N(Auftrag!$H373)-N(Auftrag!$AI373)-N(Auftrag!$AK373))/$H373+N(Auftrag!$AI373)/$J373+N(Auftrag!$AK373)/$I373+N(Auftrag!$AD373)/$K373)+N(Auftrag!$I373)*$L373))</f>
        <v/>
      </c>
      <c r="N373" s="35">
        <f>IF($A373="","",IF(OR($H373="",$C373=0),0,(60*SUMIFS(Stangenbelegung!$K$5:$K$10004,Stangenbelegung!$E$5:$E$10004,ROW())/$H373+SUMIFS(Stangenbelegung!$L$5:$L$10004,Stangenbelegung!$E$5:$E$10004,ROW())*$L373)/$C373))</f>
        <v/>
      </c>
      <c r="O373" s="35">
        <f>IF($A373="","",IF($M373="","",MAX(0,$M373-$N373)))</f>
        <v/>
      </c>
      <c r="P373" s="35">
        <f>IF($A373="","",IFERROR(SUMPRODUCT(--("0"&amp;TRIM(RIGHT(SUBSTITUTE(LEFT(";"&amp;SUBSTITUTE(UPPER(Auftrag!$AG373)," ","")&amp;";"&amp;"X"&amp;UPPER(Gewinde!$A$5:$A$54)&amp;";",SEARCH("X"&amp;UPPER(Gewinde!$A$5:$A$54)&amp;";",";"&amp;SUBSTITUTE(UPPER(Auftrag!$AG373)," ","")&amp;";"&amp;"X"&amp;UPPER(Gewinde!$A$5:$A$54)&amp;";")-1),";",REPT(" ",50)),50))),Gewinde!$C$5:$C$54),0))</f>
        <v/>
      </c>
      <c r="Q373" s="33">
        <f>IF($A373="","",(N($O373)+$P373)/3600*N(Auftrag!$H$8))</f>
        <v/>
      </c>
      <c r="R373" s="33">
        <f>IF($A373="","",IF($F$8=0,0,$F$7/$F$8))</f>
        <v/>
      </c>
      <c r="S373" s="33">
        <f>IF($A373="","",$F373*(1+$C$4)+($Q373+$R373)*(1+$C$5))</f>
        <v/>
      </c>
      <c r="T373" s="33">
        <f>IF($A373="","",$S373*(1+$C$6))</f>
        <v/>
      </c>
      <c r="U373" s="18">
        <f>IF($A373="","",$T373*$C373)</f>
        <v/>
      </c>
      <c r="V373" s="18">
        <f>IF($A373="","",$S373*$C373)</f>
        <v/>
      </c>
      <c r="W373" s="28">
        <f>IF($A373="","",IF(N(Auftrag!$AO373)&gt;0,"nicht vollständig eingeplant",IF($D373=0,"kein Schnittplan oder Preis",IF($H373="","keine Schneiddaten",IF(AND(Auftrag!$AF373&lt;&gt;"",Auftrag!$AG373=""),"Gewinde ungeprüft","")))))</f>
        <v/>
      </c>
      <c r="X373" s="18">
        <f>IF($A373="","",$F373*$C373)</f>
        <v/>
      </c>
      <c r="Y373" s="18">
        <f>IF($A373="","",$Q373*$C373)</f>
        <v/>
      </c>
    </row>
    <row r="374">
      <c r="A374" s="25">
        <f>IF(Auftrag!$D374="","",Auftrag!$A374)</f>
        <v/>
      </c>
      <c r="B374" s="25">
        <f>IF($A374="","",Auftrag!$B374)</f>
        <v/>
      </c>
      <c r="C374" s="15">
        <f>IF($A374="","",N(Auftrag!$G374))</f>
        <v/>
      </c>
      <c r="D374" s="18">
        <f>IF($A374="","",SUMIFS(Schnittplan!$R$5:$R$1004,Schnittplan!$B$5:$B$1004,Auftrag!$D374,Schnittplan!$C$5:$C$1004,Auftrag!$E374,Schnittplan!$D$5:$D$1004,Auftrag!$Q374))</f>
        <v/>
      </c>
      <c r="E374" s="32">
        <f>IF($A374="","",IFERROR(N(Auftrag!$P374)/SUMIFS(Auftrag!$P$13:$P$512,Auftrag!$D$13:$D$512,Auftrag!$D374,Auftrag!$E$13:$E$512,Auftrag!$E374,Auftrag!$Q$13:$Q$512,Auftrag!$Q374),0))</f>
        <v/>
      </c>
      <c r="F374" s="33">
        <f>IF($A374="","",IF($C374=0,0,$D374*$E374/$C374))</f>
        <v/>
      </c>
      <c r="G374" s="34">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5">
        <f>IF($A374="","",IF($H374="","",60*((N(Auftrag!$H374)-N(Auftrag!$AI374)-N(Auftrag!$AK374))/$H374+N(Auftrag!$AI374)/$J374+N(Auftrag!$AK374)/$I374+N(Auftrag!$AD374)/$K374)+N(Auftrag!$I374)*$L374))</f>
        <v/>
      </c>
      <c r="N374" s="35">
        <f>IF($A374="","",IF(OR($H374="",$C374=0),0,(60*SUMIFS(Stangenbelegung!$K$5:$K$10004,Stangenbelegung!$E$5:$E$10004,ROW())/$H374+SUMIFS(Stangenbelegung!$L$5:$L$10004,Stangenbelegung!$E$5:$E$10004,ROW())*$L374)/$C374))</f>
        <v/>
      </c>
      <c r="O374" s="35">
        <f>IF($A374="","",IF($M374="","",MAX(0,$M374-$N374)))</f>
        <v/>
      </c>
      <c r="P374" s="35">
        <f>IF($A374="","",IFERROR(SUMPRODUCT(--("0"&amp;TRIM(RIGHT(SUBSTITUTE(LEFT(";"&amp;SUBSTITUTE(UPPER(Auftrag!$AG374)," ","")&amp;";"&amp;"X"&amp;UPPER(Gewinde!$A$5:$A$54)&amp;";",SEARCH("X"&amp;UPPER(Gewinde!$A$5:$A$54)&amp;";",";"&amp;SUBSTITUTE(UPPER(Auftrag!$AG374)," ","")&amp;";"&amp;"X"&amp;UPPER(Gewinde!$A$5:$A$54)&amp;";")-1),";",REPT(" ",50)),50))),Gewinde!$C$5:$C$54),0))</f>
        <v/>
      </c>
      <c r="Q374" s="33">
        <f>IF($A374="","",(N($O374)+$P374)/3600*N(Auftrag!$H$8))</f>
        <v/>
      </c>
      <c r="R374" s="33">
        <f>IF($A374="","",IF($F$8=0,0,$F$7/$F$8))</f>
        <v/>
      </c>
      <c r="S374" s="33">
        <f>IF($A374="","",$F374*(1+$C$4)+($Q374+$R374)*(1+$C$5))</f>
        <v/>
      </c>
      <c r="T374" s="33">
        <f>IF($A374="","",$S374*(1+$C$6))</f>
        <v/>
      </c>
      <c r="U374" s="18">
        <f>IF($A374="","",$T374*$C374)</f>
        <v/>
      </c>
      <c r="V374" s="18">
        <f>IF($A374="","",$S374*$C374)</f>
        <v/>
      </c>
      <c r="W374" s="28">
        <f>IF($A374="","",IF(N(Auftrag!$AO374)&gt;0,"nicht vollständig eingeplant",IF($D374=0,"kein Schnittplan oder Preis",IF($H374="","keine Schneiddaten",IF(AND(Auftrag!$AF374&lt;&gt;"",Auftrag!$AG374=""),"Gewinde ungeprüft","")))))</f>
        <v/>
      </c>
      <c r="X374" s="18">
        <f>IF($A374="","",$F374*$C374)</f>
        <v/>
      </c>
      <c r="Y374" s="18">
        <f>IF($A374="","",$Q374*$C374)</f>
        <v/>
      </c>
    </row>
    <row r="375">
      <c r="A375" s="25">
        <f>IF(Auftrag!$D375="","",Auftrag!$A375)</f>
        <v/>
      </c>
      <c r="B375" s="25">
        <f>IF($A375="","",Auftrag!$B375)</f>
        <v/>
      </c>
      <c r="C375" s="15">
        <f>IF($A375="","",N(Auftrag!$G375))</f>
        <v/>
      </c>
      <c r="D375" s="18">
        <f>IF($A375="","",SUMIFS(Schnittplan!$R$5:$R$1004,Schnittplan!$B$5:$B$1004,Auftrag!$D375,Schnittplan!$C$5:$C$1004,Auftrag!$E375,Schnittplan!$D$5:$D$1004,Auftrag!$Q375))</f>
        <v/>
      </c>
      <c r="E375" s="32">
        <f>IF($A375="","",IFERROR(N(Auftrag!$P375)/SUMIFS(Auftrag!$P$13:$P$512,Auftrag!$D$13:$D$512,Auftrag!$D375,Auftrag!$E$13:$E$512,Auftrag!$E375,Auftrag!$Q$13:$Q$512,Auftrag!$Q375),0))</f>
        <v/>
      </c>
      <c r="F375" s="33">
        <f>IF($A375="","",IF($C375=0,0,$D375*$E375/$C375))</f>
        <v/>
      </c>
      <c r="G375" s="34">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5">
        <f>IF($A375="","",IF($H375="","",60*((N(Auftrag!$H375)-N(Auftrag!$AI375)-N(Auftrag!$AK375))/$H375+N(Auftrag!$AI375)/$J375+N(Auftrag!$AK375)/$I375+N(Auftrag!$AD375)/$K375)+N(Auftrag!$I375)*$L375))</f>
        <v/>
      </c>
      <c r="N375" s="35">
        <f>IF($A375="","",IF(OR($H375="",$C375=0),0,(60*SUMIFS(Stangenbelegung!$K$5:$K$10004,Stangenbelegung!$E$5:$E$10004,ROW())/$H375+SUMIFS(Stangenbelegung!$L$5:$L$10004,Stangenbelegung!$E$5:$E$10004,ROW())*$L375)/$C375))</f>
        <v/>
      </c>
      <c r="O375" s="35">
        <f>IF($A375="","",IF($M375="","",MAX(0,$M375-$N375)))</f>
        <v/>
      </c>
      <c r="P375" s="35">
        <f>IF($A375="","",IFERROR(SUMPRODUCT(--("0"&amp;TRIM(RIGHT(SUBSTITUTE(LEFT(";"&amp;SUBSTITUTE(UPPER(Auftrag!$AG375)," ","")&amp;";"&amp;"X"&amp;UPPER(Gewinde!$A$5:$A$54)&amp;";",SEARCH("X"&amp;UPPER(Gewinde!$A$5:$A$54)&amp;";",";"&amp;SUBSTITUTE(UPPER(Auftrag!$AG375)," ","")&amp;";"&amp;"X"&amp;UPPER(Gewinde!$A$5:$A$54)&amp;";")-1),";",REPT(" ",50)),50))),Gewinde!$C$5:$C$54),0))</f>
        <v/>
      </c>
      <c r="Q375" s="33">
        <f>IF($A375="","",(N($O375)+$P375)/3600*N(Auftrag!$H$8))</f>
        <v/>
      </c>
      <c r="R375" s="33">
        <f>IF($A375="","",IF($F$8=0,0,$F$7/$F$8))</f>
        <v/>
      </c>
      <c r="S375" s="33">
        <f>IF($A375="","",$F375*(1+$C$4)+($Q375+$R375)*(1+$C$5))</f>
        <v/>
      </c>
      <c r="T375" s="33">
        <f>IF($A375="","",$S375*(1+$C$6))</f>
        <v/>
      </c>
      <c r="U375" s="18">
        <f>IF($A375="","",$T375*$C375)</f>
        <v/>
      </c>
      <c r="V375" s="18">
        <f>IF($A375="","",$S375*$C375)</f>
        <v/>
      </c>
      <c r="W375" s="28">
        <f>IF($A375="","",IF(N(Auftrag!$AO375)&gt;0,"nicht vollständig eingeplant",IF($D375=0,"kein Schnittplan oder Preis",IF($H375="","keine Schneiddaten",IF(AND(Auftrag!$AF375&lt;&gt;"",Auftrag!$AG375=""),"Gewinde ungeprüft","")))))</f>
        <v/>
      </c>
      <c r="X375" s="18">
        <f>IF($A375="","",$F375*$C375)</f>
        <v/>
      </c>
      <c r="Y375" s="18">
        <f>IF($A375="","",$Q375*$C375)</f>
        <v/>
      </c>
    </row>
    <row r="376">
      <c r="A376" s="25">
        <f>IF(Auftrag!$D376="","",Auftrag!$A376)</f>
        <v/>
      </c>
      <c r="B376" s="25">
        <f>IF($A376="","",Auftrag!$B376)</f>
        <v/>
      </c>
      <c r="C376" s="15">
        <f>IF($A376="","",N(Auftrag!$G376))</f>
        <v/>
      </c>
      <c r="D376" s="18">
        <f>IF($A376="","",SUMIFS(Schnittplan!$R$5:$R$1004,Schnittplan!$B$5:$B$1004,Auftrag!$D376,Schnittplan!$C$5:$C$1004,Auftrag!$E376,Schnittplan!$D$5:$D$1004,Auftrag!$Q376))</f>
        <v/>
      </c>
      <c r="E376" s="32">
        <f>IF($A376="","",IFERROR(N(Auftrag!$P376)/SUMIFS(Auftrag!$P$13:$P$512,Auftrag!$D$13:$D$512,Auftrag!$D376,Auftrag!$E$13:$E$512,Auftrag!$E376,Auftrag!$Q$13:$Q$512,Auftrag!$Q376),0))</f>
        <v/>
      </c>
      <c r="F376" s="33">
        <f>IF($A376="","",IF($C376=0,0,$D376*$E376/$C376))</f>
        <v/>
      </c>
      <c r="G376" s="34">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5">
        <f>IF($A376="","",IF($H376="","",60*((N(Auftrag!$H376)-N(Auftrag!$AI376)-N(Auftrag!$AK376))/$H376+N(Auftrag!$AI376)/$J376+N(Auftrag!$AK376)/$I376+N(Auftrag!$AD376)/$K376)+N(Auftrag!$I376)*$L376))</f>
        <v/>
      </c>
      <c r="N376" s="35">
        <f>IF($A376="","",IF(OR($H376="",$C376=0),0,(60*SUMIFS(Stangenbelegung!$K$5:$K$10004,Stangenbelegung!$E$5:$E$10004,ROW())/$H376+SUMIFS(Stangenbelegung!$L$5:$L$10004,Stangenbelegung!$E$5:$E$10004,ROW())*$L376)/$C376))</f>
        <v/>
      </c>
      <c r="O376" s="35">
        <f>IF($A376="","",IF($M376="","",MAX(0,$M376-$N376)))</f>
        <v/>
      </c>
      <c r="P376" s="35">
        <f>IF($A376="","",IFERROR(SUMPRODUCT(--("0"&amp;TRIM(RIGHT(SUBSTITUTE(LEFT(";"&amp;SUBSTITUTE(UPPER(Auftrag!$AG376)," ","")&amp;";"&amp;"X"&amp;UPPER(Gewinde!$A$5:$A$54)&amp;";",SEARCH("X"&amp;UPPER(Gewinde!$A$5:$A$54)&amp;";",";"&amp;SUBSTITUTE(UPPER(Auftrag!$AG376)," ","")&amp;";"&amp;"X"&amp;UPPER(Gewinde!$A$5:$A$54)&amp;";")-1),";",REPT(" ",50)),50))),Gewinde!$C$5:$C$54),0))</f>
        <v/>
      </c>
      <c r="Q376" s="33">
        <f>IF($A376="","",(N($O376)+$P376)/3600*N(Auftrag!$H$8))</f>
        <v/>
      </c>
      <c r="R376" s="33">
        <f>IF($A376="","",IF($F$8=0,0,$F$7/$F$8))</f>
        <v/>
      </c>
      <c r="S376" s="33">
        <f>IF($A376="","",$F376*(1+$C$4)+($Q376+$R376)*(1+$C$5))</f>
        <v/>
      </c>
      <c r="T376" s="33">
        <f>IF($A376="","",$S376*(1+$C$6))</f>
        <v/>
      </c>
      <c r="U376" s="18">
        <f>IF($A376="","",$T376*$C376)</f>
        <v/>
      </c>
      <c r="V376" s="18">
        <f>IF($A376="","",$S376*$C376)</f>
        <v/>
      </c>
      <c r="W376" s="28">
        <f>IF($A376="","",IF(N(Auftrag!$AO376)&gt;0,"nicht vollständig eingeplant",IF($D376=0,"kein Schnittplan oder Preis",IF($H376="","keine Schneiddaten",IF(AND(Auftrag!$AF376&lt;&gt;"",Auftrag!$AG376=""),"Gewinde ungeprüft","")))))</f>
        <v/>
      </c>
      <c r="X376" s="18">
        <f>IF($A376="","",$F376*$C376)</f>
        <v/>
      </c>
      <c r="Y376" s="18">
        <f>IF($A376="","",$Q376*$C376)</f>
        <v/>
      </c>
    </row>
    <row r="377">
      <c r="A377" s="25">
        <f>IF(Auftrag!$D377="","",Auftrag!$A377)</f>
        <v/>
      </c>
      <c r="B377" s="25">
        <f>IF($A377="","",Auftrag!$B377)</f>
        <v/>
      </c>
      <c r="C377" s="15">
        <f>IF($A377="","",N(Auftrag!$G377))</f>
        <v/>
      </c>
      <c r="D377" s="18">
        <f>IF($A377="","",SUMIFS(Schnittplan!$R$5:$R$1004,Schnittplan!$B$5:$B$1004,Auftrag!$D377,Schnittplan!$C$5:$C$1004,Auftrag!$E377,Schnittplan!$D$5:$D$1004,Auftrag!$Q377))</f>
        <v/>
      </c>
      <c r="E377" s="32">
        <f>IF($A377="","",IFERROR(N(Auftrag!$P377)/SUMIFS(Auftrag!$P$13:$P$512,Auftrag!$D$13:$D$512,Auftrag!$D377,Auftrag!$E$13:$E$512,Auftrag!$E377,Auftrag!$Q$13:$Q$512,Auftrag!$Q377),0))</f>
        <v/>
      </c>
      <c r="F377" s="33">
        <f>IF($A377="","",IF($C377=0,0,$D377*$E377/$C377))</f>
        <v/>
      </c>
      <c r="G377" s="34">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5">
        <f>IF($A377="","",IF($H377="","",60*((N(Auftrag!$H377)-N(Auftrag!$AI377)-N(Auftrag!$AK377))/$H377+N(Auftrag!$AI377)/$J377+N(Auftrag!$AK377)/$I377+N(Auftrag!$AD377)/$K377)+N(Auftrag!$I377)*$L377))</f>
        <v/>
      </c>
      <c r="N377" s="35">
        <f>IF($A377="","",IF(OR($H377="",$C377=0),0,(60*SUMIFS(Stangenbelegung!$K$5:$K$10004,Stangenbelegung!$E$5:$E$10004,ROW())/$H377+SUMIFS(Stangenbelegung!$L$5:$L$10004,Stangenbelegung!$E$5:$E$10004,ROW())*$L377)/$C377))</f>
        <v/>
      </c>
      <c r="O377" s="35">
        <f>IF($A377="","",IF($M377="","",MAX(0,$M377-$N377)))</f>
        <v/>
      </c>
      <c r="P377" s="35">
        <f>IF($A377="","",IFERROR(SUMPRODUCT(--("0"&amp;TRIM(RIGHT(SUBSTITUTE(LEFT(";"&amp;SUBSTITUTE(UPPER(Auftrag!$AG377)," ","")&amp;";"&amp;"X"&amp;UPPER(Gewinde!$A$5:$A$54)&amp;";",SEARCH("X"&amp;UPPER(Gewinde!$A$5:$A$54)&amp;";",";"&amp;SUBSTITUTE(UPPER(Auftrag!$AG377)," ","")&amp;";"&amp;"X"&amp;UPPER(Gewinde!$A$5:$A$54)&amp;";")-1),";",REPT(" ",50)),50))),Gewinde!$C$5:$C$54),0))</f>
        <v/>
      </c>
      <c r="Q377" s="33">
        <f>IF($A377="","",(N($O377)+$P377)/3600*N(Auftrag!$H$8))</f>
        <v/>
      </c>
      <c r="R377" s="33">
        <f>IF($A377="","",IF($F$8=0,0,$F$7/$F$8))</f>
        <v/>
      </c>
      <c r="S377" s="33">
        <f>IF($A377="","",$F377*(1+$C$4)+($Q377+$R377)*(1+$C$5))</f>
        <v/>
      </c>
      <c r="T377" s="33">
        <f>IF($A377="","",$S377*(1+$C$6))</f>
        <v/>
      </c>
      <c r="U377" s="18">
        <f>IF($A377="","",$T377*$C377)</f>
        <v/>
      </c>
      <c r="V377" s="18">
        <f>IF($A377="","",$S377*$C377)</f>
        <v/>
      </c>
      <c r="W377" s="28">
        <f>IF($A377="","",IF(N(Auftrag!$AO377)&gt;0,"nicht vollständig eingeplant",IF($D377=0,"kein Schnittplan oder Preis",IF($H377="","keine Schneiddaten",IF(AND(Auftrag!$AF377&lt;&gt;"",Auftrag!$AG377=""),"Gewinde ungeprüft","")))))</f>
        <v/>
      </c>
      <c r="X377" s="18">
        <f>IF($A377="","",$F377*$C377)</f>
        <v/>
      </c>
      <c r="Y377" s="18">
        <f>IF($A377="","",$Q377*$C377)</f>
        <v/>
      </c>
    </row>
    <row r="378">
      <c r="A378" s="25">
        <f>IF(Auftrag!$D378="","",Auftrag!$A378)</f>
        <v/>
      </c>
      <c r="B378" s="25">
        <f>IF($A378="","",Auftrag!$B378)</f>
        <v/>
      </c>
      <c r="C378" s="15">
        <f>IF($A378="","",N(Auftrag!$G378))</f>
        <v/>
      </c>
      <c r="D378" s="18">
        <f>IF($A378="","",SUMIFS(Schnittplan!$R$5:$R$1004,Schnittplan!$B$5:$B$1004,Auftrag!$D378,Schnittplan!$C$5:$C$1004,Auftrag!$E378,Schnittplan!$D$5:$D$1004,Auftrag!$Q378))</f>
        <v/>
      </c>
      <c r="E378" s="32">
        <f>IF($A378="","",IFERROR(N(Auftrag!$P378)/SUMIFS(Auftrag!$P$13:$P$512,Auftrag!$D$13:$D$512,Auftrag!$D378,Auftrag!$E$13:$E$512,Auftrag!$E378,Auftrag!$Q$13:$Q$512,Auftrag!$Q378),0))</f>
        <v/>
      </c>
      <c r="F378" s="33">
        <f>IF($A378="","",IF($C378=0,0,$D378*$E378/$C378))</f>
        <v/>
      </c>
      <c r="G378" s="34">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5">
        <f>IF($A378="","",IF($H378="","",60*((N(Auftrag!$H378)-N(Auftrag!$AI378)-N(Auftrag!$AK378))/$H378+N(Auftrag!$AI378)/$J378+N(Auftrag!$AK378)/$I378+N(Auftrag!$AD378)/$K378)+N(Auftrag!$I378)*$L378))</f>
        <v/>
      </c>
      <c r="N378" s="35">
        <f>IF($A378="","",IF(OR($H378="",$C378=0),0,(60*SUMIFS(Stangenbelegung!$K$5:$K$10004,Stangenbelegung!$E$5:$E$10004,ROW())/$H378+SUMIFS(Stangenbelegung!$L$5:$L$10004,Stangenbelegung!$E$5:$E$10004,ROW())*$L378)/$C378))</f>
        <v/>
      </c>
      <c r="O378" s="35">
        <f>IF($A378="","",IF($M378="","",MAX(0,$M378-$N378)))</f>
        <v/>
      </c>
      <c r="P378" s="35">
        <f>IF($A378="","",IFERROR(SUMPRODUCT(--("0"&amp;TRIM(RIGHT(SUBSTITUTE(LEFT(";"&amp;SUBSTITUTE(UPPER(Auftrag!$AG378)," ","")&amp;";"&amp;"X"&amp;UPPER(Gewinde!$A$5:$A$54)&amp;";",SEARCH("X"&amp;UPPER(Gewinde!$A$5:$A$54)&amp;";",";"&amp;SUBSTITUTE(UPPER(Auftrag!$AG378)," ","")&amp;";"&amp;"X"&amp;UPPER(Gewinde!$A$5:$A$54)&amp;";")-1),";",REPT(" ",50)),50))),Gewinde!$C$5:$C$54),0))</f>
        <v/>
      </c>
      <c r="Q378" s="33">
        <f>IF($A378="","",(N($O378)+$P378)/3600*N(Auftrag!$H$8))</f>
        <v/>
      </c>
      <c r="R378" s="33">
        <f>IF($A378="","",IF($F$8=0,0,$F$7/$F$8))</f>
        <v/>
      </c>
      <c r="S378" s="33">
        <f>IF($A378="","",$F378*(1+$C$4)+($Q378+$R378)*(1+$C$5))</f>
        <v/>
      </c>
      <c r="T378" s="33">
        <f>IF($A378="","",$S378*(1+$C$6))</f>
        <v/>
      </c>
      <c r="U378" s="18">
        <f>IF($A378="","",$T378*$C378)</f>
        <v/>
      </c>
      <c r="V378" s="18">
        <f>IF($A378="","",$S378*$C378)</f>
        <v/>
      </c>
      <c r="W378" s="28">
        <f>IF($A378="","",IF(N(Auftrag!$AO378)&gt;0,"nicht vollständig eingeplant",IF($D378=0,"kein Schnittplan oder Preis",IF($H378="","keine Schneiddaten",IF(AND(Auftrag!$AF378&lt;&gt;"",Auftrag!$AG378=""),"Gewinde ungeprüft","")))))</f>
        <v/>
      </c>
      <c r="X378" s="18">
        <f>IF($A378="","",$F378*$C378)</f>
        <v/>
      </c>
      <c r="Y378" s="18">
        <f>IF($A378="","",$Q378*$C378)</f>
        <v/>
      </c>
    </row>
    <row r="379">
      <c r="A379" s="25">
        <f>IF(Auftrag!$D379="","",Auftrag!$A379)</f>
        <v/>
      </c>
      <c r="B379" s="25">
        <f>IF($A379="","",Auftrag!$B379)</f>
        <v/>
      </c>
      <c r="C379" s="15">
        <f>IF($A379="","",N(Auftrag!$G379))</f>
        <v/>
      </c>
      <c r="D379" s="18">
        <f>IF($A379="","",SUMIFS(Schnittplan!$R$5:$R$1004,Schnittplan!$B$5:$B$1004,Auftrag!$D379,Schnittplan!$C$5:$C$1004,Auftrag!$E379,Schnittplan!$D$5:$D$1004,Auftrag!$Q379))</f>
        <v/>
      </c>
      <c r="E379" s="32">
        <f>IF($A379="","",IFERROR(N(Auftrag!$P379)/SUMIFS(Auftrag!$P$13:$P$512,Auftrag!$D$13:$D$512,Auftrag!$D379,Auftrag!$E$13:$E$512,Auftrag!$E379,Auftrag!$Q$13:$Q$512,Auftrag!$Q379),0))</f>
        <v/>
      </c>
      <c r="F379" s="33">
        <f>IF($A379="","",IF($C379=0,0,$D379*$E379/$C379))</f>
        <v/>
      </c>
      <c r="G379" s="34">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5">
        <f>IF($A379="","",IF($H379="","",60*((N(Auftrag!$H379)-N(Auftrag!$AI379)-N(Auftrag!$AK379))/$H379+N(Auftrag!$AI379)/$J379+N(Auftrag!$AK379)/$I379+N(Auftrag!$AD379)/$K379)+N(Auftrag!$I379)*$L379))</f>
        <v/>
      </c>
      <c r="N379" s="35">
        <f>IF($A379="","",IF(OR($H379="",$C379=0),0,(60*SUMIFS(Stangenbelegung!$K$5:$K$10004,Stangenbelegung!$E$5:$E$10004,ROW())/$H379+SUMIFS(Stangenbelegung!$L$5:$L$10004,Stangenbelegung!$E$5:$E$10004,ROW())*$L379)/$C379))</f>
        <v/>
      </c>
      <c r="O379" s="35">
        <f>IF($A379="","",IF($M379="","",MAX(0,$M379-$N379)))</f>
        <v/>
      </c>
      <c r="P379" s="35">
        <f>IF($A379="","",IFERROR(SUMPRODUCT(--("0"&amp;TRIM(RIGHT(SUBSTITUTE(LEFT(";"&amp;SUBSTITUTE(UPPER(Auftrag!$AG379)," ","")&amp;";"&amp;"X"&amp;UPPER(Gewinde!$A$5:$A$54)&amp;";",SEARCH("X"&amp;UPPER(Gewinde!$A$5:$A$54)&amp;";",";"&amp;SUBSTITUTE(UPPER(Auftrag!$AG379)," ","")&amp;";"&amp;"X"&amp;UPPER(Gewinde!$A$5:$A$54)&amp;";")-1),";",REPT(" ",50)),50))),Gewinde!$C$5:$C$54),0))</f>
        <v/>
      </c>
      <c r="Q379" s="33">
        <f>IF($A379="","",(N($O379)+$P379)/3600*N(Auftrag!$H$8))</f>
        <v/>
      </c>
      <c r="R379" s="33">
        <f>IF($A379="","",IF($F$8=0,0,$F$7/$F$8))</f>
        <v/>
      </c>
      <c r="S379" s="33">
        <f>IF($A379="","",$F379*(1+$C$4)+($Q379+$R379)*(1+$C$5))</f>
        <v/>
      </c>
      <c r="T379" s="33">
        <f>IF($A379="","",$S379*(1+$C$6))</f>
        <v/>
      </c>
      <c r="U379" s="18">
        <f>IF($A379="","",$T379*$C379)</f>
        <v/>
      </c>
      <c r="V379" s="18">
        <f>IF($A379="","",$S379*$C379)</f>
        <v/>
      </c>
      <c r="W379" s="28">
        <f>IF($A379="","",IF(N(Auftrag!$AO379)&gt;0,"nicht vollständig eingeplant",IF($D379=0,"kein Schnittplan oder Preis",IF($H379="","keine Schneiddaten",IF(AND(Auftrag!$AF379&lt;&gt;"",Auftrag!$AG379=""),"Gewinde ungeprüft","")))))</f>
        <v/>
      </c>
      <c r="X379" s="18">
        <f>IF($A379="","",$F379*$C379)</f>
        <v/>
      </c>
      <c r="Y379" s="18">
        <f>IF($A379="","",$Q379*$C379)</f>
        <v/>
      </c>
    </row>
    <row r="380">
      <c r="A380" s="25">
        <f>IF(Auftrag!$D380="","",Auftrag!$A380)</f>
        <v/>
      </c>
      <c r="B380" s="25">
        <f>IF($A380="","",Auftrag!$B380)</f>
        <v/>
      </c>
      <c r="C380" s="15">
        <f>IF($A380="","",N(Auftrag!$G380))</f>
        <v/>
      </c>
      <c r="D380" s="18">
        <f>IF($A380="","",SUMIFS(Schnittplan!$R$5:$R$1004,Schnittplan!$B$5:$B$1004,Auftrag!$D380,Schnittplan!$C$5:$C$1004,Auftrag!$E380,Schnittplan!$D$5:$D$1004,Auftrag!$Q380))</f>
        <v/>
      </c>
      <c r="E380" s="32">
        <f>IF($A380="","",IFERROR(N(Auftrag!$P380)/SUMIFS(Auftrag!$P$13:$P$512,Auftrag!$D$13:$D$512,Auftrag!$D380,Auftrag!$E$13:$E$512,Auftrag!$E380,Auftrag!$Q$13:$Q$512,Auftrag!$Q380),0))</f>
        <v/>
      </c>
      <c r="F380" s="33">
        <f>IF($A380="","",IF($C380=0,0,$D380*$E380/$C380))</f>
        <v/>
      </c>
      <c r="G380" s="34">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5">
        <f>IF($A380="","",IF($H380="","",60*((N(Auftrag!$H380)-N(Auftrag!$AI380)-N(Auftrag!$AK380))/$H380+N(Auftrag!$AI380)/$J380+N(Auftrag!$AK380)/$I380+N(Auftrag!$AD380)/$K380)+N(Auftrag!$I380)*$L380))</f>
        <v/>
      </c>
      <c r="N380" s="35">
        <f>IF($A380="","",IF(OR($H380="",$C380=0),0,(60*SUMIFS(Stangenbelegung!$K$5:$K$10004,Stangenbelegung!$E$5:$E$10004,ROW())/$H380+SUMIFS(Stangenbelegung!$L$5:$L$10004,Stangenbelegung!$E$5:$E$10004,ROW())*$L380)/$C380))</f>
        <v/>
      </c>
      <c r="O380" s="35">
        <f>IF($A380="","",IF($M380="","",MAX(0,$M380-$N380)))</f>
        <v/>
      </c>
      <c r="P380" s="35">
        <f>IF($A380="","",IFERROR(SUMPRODUCT(--("0"&amp;TRIM(RIGHT(SUBSTITUTE(LEFT(";"&amp;SUBSTITUTE(UPPER(Auftrag!$AG380)," ","")&amp;";"&amp;"X"&amp;UPPER(Gewinde!$A$5:$A$54)&amp;";",SEARCH("X"&amp;UPPER(Gewinde!$A$5:$A$54)&amp;";",";"&amp;SUBSTITUTE(UPPER(Auftrag!$AG380)," ","")&amp;";"&amp;"X"&amp;UPPER(Gewinde!$A$5:$A$54)&amp;";")-1),";",REPT(" ",50)),50))),Gewinde!$C$5:$C$54),0))</f>
        <v/>
      </c>
      <c r="Q380" s="33">
        <f>IF($A380="","",(N($O380)+$P380)/3600*N(Auftrag!$H$8))</f>
        <v/>
      </c>
      <c r="R380" s="33">
        <f>IF($A380="","",IF($F$8=0,0,$F$7/$F$8))</f>
        <v/>
      </c>
      <c r="S380" s="33">
        <f>IF($A380="","",$F380*(1+$C$4)+($Q380+$R380)*(1+$C$5))</f>
        <v/>
      </c>
      <c r="T380" s="33">
        <f>IF($A380="","",$S380*(1+$C$6))</f>
        <v/>
      </c>
      <c r="U380" s="18">
        <f>IF($A380="","",$T380*$C380)</f>
        <v/>
      </c>
      <c r="V380" s="18">
        <f>IF($A380="","",$S380*$C380)</f>
        <v/>
      </c>
      <c r="W380" s="28">
        <f>IF($A380="","",IF(N(Auftrag!$AO380)&gt;0,"nicht vollständig eingeplant",IF($D380=0,"kein Schnittplan oder Preis",IF($H380="","keine Schneiddaten",IF(AND(Auftrag!$AF380&lt;&gt;"",Auftrag!$AG380=""),"Gewinde ungeprüft","")))))</f>
        <v/>
      </c>
      <c r="X380" s="18">
        <f>IF($A380="","",$F380*$C380)</f>
        <v/>
      </c>
      <c r="Y380" s="18">
        <f>IF($A380="","",$Q380*$C380)</f>
        <v/>
      </c>
    </row>
    <row r="381">
      <c r="A381" s="25">
        <f>IF(Auftrag!$D381="","",Auftrag!$A381)</f>
        <v/>
      </c>
      <c r="B381" s="25">
        <f>IF($A381="","",Auftrag!$B381)</f>
        <v/>
      </c>
      <c r="C381" s="15">
        <f>IF($A381="","",N(Auftrag!$G381))</f>
        <v/>
      </c>
      <c r="D381" s="18">
        <f>IF($A381="","",SUMIFS(Schnittplan!$R$5:$R$1004,Schnittplan!$B$5:$B$1004,Auftrag!$D381,Schnittplan!$C$5:$C$1004,Auftrag!$E381,Schnittplan!$D$5:$D$1004,Auftrag!$Q381))</f>
        <v/>
      </c>
      <c r="E381" s="32">
        <f>IF($A381="","",IFERROR(N(Auftrag!$P381)/SUMIFS(Auftrag!$P$13:$P$512,Auftrag!$D$13:$D$512,Auftrag!$D381,Auftrag!$E$13:$E$512,Auftrag!$E381,Auftrag!$Q$13:$Q$512,Auftrag!$Q381),0))</f>
        <v/>
      </c>
      <c r="F381" s="33">
        <f>IF($A381="","",IF($C381=0,0,$D381*$E381/$C381))</f>
        <v/>
      </c>
      <c r="G381" s="34">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5">
        <f>IF($A381="","",IF($H381="","",60*((N(Auftrag!$H381)-N(Auftrag!$AI381)-N(Auftrag!$AK381))/$H381+N(Auftrag!$AI381)/$J381+N(Auftrag!$AK381)/$I381+N(Auftrag!$AD381)/$K381)+N(Auftrag!$I381)*$L381))</f>
        <v/>
      </c>
      <c r="N381" s="35">
        <f>IF($A381="","",IF(OR($H381="",$C381=0),0,(60*SUMIFS(Stangenbelegung!$K$5:$K$10004,Stangenbelegung!$E$5:$E$10004,ROW())/$H381+SUMIFS(Stangenbelegung!$L$5:$L$10004,Stangenbelegung!$E$5:$E$10004,ROW())*$L381)/$C381))</f>
        <v/>
      </c>
      <c r="O381" s="35">
        <f>IF($A381="","",IF($M381="","",MAX(0,$M381-$N381)))</f>
        <v/>
      </c>
      <c r="P381" s="35">
        <f>IF($A381="","",IFERROR(SUMPRODUCT(--("0"&amp;TRIM(RIGHT(SUBSTITUTE(LEFT(";"&amp;SUBSTITUTE(UPPER(Auftrag!$AG381)," ","")&amp;";"&amp;"X"&amp;UPPER(Gewinde!$A$5:$A$54)&amp;";",SEARCH("X"&amp;UPPER(Gewinde!$A$5:$A$54)&amp;";",";"&amp;SUBSTITUTE(UPPER(Auftrag!$AG381)," ","")&amp;";"&amp;"X"&amp;UPPER(Gewinde!$A$5:$A$54)&amp;";")-1),";",REPT(" ",50)),50))),Gewinde!$C$5:$C$54),0))</f>
        <v/>
      </c>
      <c r="Q381" s="33">
        <f>IF($A381="","",(N($O381)+$P381)/3600*N(Auftrag!$H$8))</f>
        <v/>
      </c>
      <c r="R381" s="33">
        <f>IF($A381="","",IF($F$8=0,0,$F$7/$F$8))</f>
        <v/>
      </c>
      <c r="S381" s="33">
        <f>IF($A381="","",$F381*(1+$C$4)+($Q381+$R381)*(1+$C$5))</f>
        <v/>
      </c>
      <c r="T381" s="33">
        <f>IF($A381="","",$S381*(1+$C$6))</f>
        <v/>
      </c>
      <c r="U381" s="18">
        <f>IF($A381="","",$T381*$C381)</f>
        <v/>
      </c>
      <c r="V381" s="18">
        <f>IF($A381="","",$S381*$C381)</f>
        <v/>
      </c>
      <c r="W381" s="28">
        <f>IF($A381="","",IF(N(Auftrag!$AO381)&gt;0,"nicht vollständig eingeplant",IF($D381=0,"kein Schnittplan oder Preis",IF($H381="","keine Schneiddaten",IF(AND(Auftrag!$AF381&lt;&gt;"",Auftrag!$AG381=""),"Gewinde ungeprüft","")))))</f>
        <v/>
      </c>
      <c r="X381" s="18">
        <f>IF($A381="","",$F381*$C381)</f>
        <v/>
      </c>
      <c r="Y381" s="18">
        <f>IF($A381="","",$Q381*$C381)</f>
        <v/>
      </c>
    </row>
    <row r="382">
      <c r="A382" s="25">
        <f>IF(Auftrag!$D382="","",Auftrag!$A382)</f>
        <v/>
      </c>
      <c r="B382" s="25">
        <f>IF($A382="","",Auftrag!$B382)</f>
        <v/>
      </c>
      <c r="C382" s="15">
        <f>IF($A382="","",N(Auftrag!$G382))</f>
        <v/>
      </c>
      <c r="D382" s="18">
        <f>IF($A382="","",SUMIFS(Schnittplan!$R$5:$R$1004,Schnittplan!$B$5:$B$1004,Auftrag!$D382,Schnittplan!$C$5:$C$1004,Auftrag!$E382,Schnittplan!$D$5:$D$1004,Auftrag!$Q382))</f>
        <v/>
      </c>
      <c r="E382" s="32">
        <f>IF($A382="","",IFERROR(N(Auftrag!$P382)/SUMIFS(Auftrag!$P$13:$P$512,Auftrag!$D$13:$D$512,Auftrag!$D382,Auftrag!$E$13:$E$512,Auftrag!$E382,Auftrag!$Q$13:$Q$512,Auftrag!$Q382),0))</f>
        <v/>
      </c>
      <c r="F382" s="33">
        <f>IF($A382="","",IF($C382=0,0,$D382*$E382/$C382))</f>
        <v/>
      </c>
      <c r="G382" s="34">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5">
        <f>IF($A382="","",IF($H382="","",60*((N(Auftrag!$H382)-N(Auftrag!$AI382)-N(Auftrag!$AK382))/$H382+N(Auftrag!$AI382)/$J382+N(Auftrag!$AK382)/$I382+N(Auftrag!$AD382)/$K382)+N(Auftrag!$I382)*$L382))</f>
        <v/>
      </c>
      <c r="N382" s="35">
        <f>IF($A382="","",IF(OR($H382="",$C382=0),0,(60*SUMIFS(Stangenbelegung!$K$5:$K$10004,Stangenbelegung!$E$5:$E$10004,ROW())/$H382+SUMIFS(Stangenbelegung!$L$5:$L$10004,Stangenbelegung!$E$5:$E$10004,ROW())*$L382)/$C382))</f>
        <v/>
      </c>
      <c r="O382" s="35">
        <f>IF($A382="","",IF($M382="","",MAX(0,$M382-$N382)))</f>
        <v/>
      </c>
      <c r="P382" s="35">
        <f>IF($A382="","",IFERROR(SUMPRODUCT(--("0"&amp;TRIM(RIGHT(SUBSTITUTE(LEFT(";"&amp;SUBSTITUTE(UPPER(Auftrag!$AG382)," ","")&amp;";"&amp;"X"&amp;UPPER(Gewinde!$A$5:$A$54)&amp;";",SEARCH("X"&amp;UPPER(Gewinde!$A$5:$A$54)&amp;";",";"&amp;SUBSTITUTE(UPPER(Auftrag!$AG382)," ","")&amp;";"&amp;"X"&amp;UPPER(Gewinde!$A$5:$A$54)&amp;";")-1),";",REPT(" ",50)),50))),Gewinde!$C$5:$C$54),0))</f>
        <v/>
      </c>
      <c r="Q382" s="33">
        <f>IF($A382="","",(N($O382)+$P382)/3600*N(Auftrag!$H$8))</f>
        <v/>
      </c>
      <c r="R382" s="33">
        <f>IF($A382="","",IF($F$8=0,0,$F$7/$F$8))</f>
        <v/>
      </c>
      <c r="S382" s="33">
        <f>IF($A382="","",$F382*(1+$C$4)+($Q382+$R382)*(1+$C$5))</f>
        <v/>
      </c>
      <c r="T382" s="33">
        <f>IF($A382="","",$S382*(1+$C$6))</f>
        <v/>
      </c>
      <c r="U382" s="18">
        <f>IF($A382="","",$T382*$C382)</f>
        <v/>
      </c>
      <c r="V382" s="18">
        <f>IF($A382="","",$S382*$C382)</f>
        <v/>
      </c>
      <c r="W382" s="28">
        <f>IF($A382="","",IF(N(Auftrag!$AO382)&gt;0,"nicht vollständig eingeplant",IF($D382=0,"kein Schnittplan oder Preis",IF($H382="","keine Schneiddaten",IF(AND(Auftrag!$AF382&lt;&gt;"",Auftrag!$AG382=""),"Gewinde ungeprüft","")))))</f>
        <v/>
      </c>
      <c r="X382" s="18">
        <f>IF($A382="","",$F382*$C382)</f>
        <v/>
      </c>
      <c r="Y382" s="18">
        <f>IF($A382="","",$Q382*$C382)</f>
        <v/>
      </c>
    </row>
    <row r="383">
      <c r="A383" s="25">
        <f>IF(Auftrag!$D383="","",Auftrag!$A383)</f>
        <v/>
      </c>
      <c r="B383" s="25">
        <f>IF($A383="","",Auftrag!$B383)</f>
        <v/>
      </c>
      <c r="C383" s="15">
        <f>IF($A383="","",N(Auftrag!$G383))</f>
        <v/>
      </c>
      <c r="D383" s="18">
        <f>IF($A383="","",SUMIFS(Schnittplan!$R$5:$R$1004,Schnittplan!$B$5:$B$1004,Auftrag!$D383,Schnittplan!$C$5:$C$1004,Auftrag!$E383,Schnittplan!$D$5:$D$1004,Auftrag!$Q383))</f>
        <v/>
      </c>
      <c r="E383" s="32">
        <f>IF($A383="","",IFERROR(N(Auftrag!$P383)/SUMIFS(Auftrag!$P$13:$P$512,Auftrag!$D$13:$D$512,Auftrag!$D383,Auftrag!$E$13:$E$512,Auftrag!$E383,Auftrag!$Q$13:$Q$512,Auftrag!$Q383),0))</f>
        <v/>
      </c>
      <c r="F383" s="33">
        <f>IF($A383="","",IF($C383=0,0,$D383*$E383/$C383))</f>
        <v/>
      </c>
      <c r="G383" s="34">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5">
        <f>IF($A383="","",IF($H383="","",60*((N(Auftrag!$H383)-N(Auftrag!$AI383)-N(Auftrag!$AK383))/$H383+N(Auftrag!$AI383)/$J383+N(Auftrag!$AK383)/$I383+N(Auftrag!$AD383)/$K383)+N(Auftrag!$I383)*$L383))</f>
        <v/>
      </c>
      <c r="N383" s="35">
        <f>IF($A383="","",IF(OR($H383="",$C383=0),0,(60*SUMIFS(Stangenbelegung!$K$5:$K$10004,Stangenbelegung!$E$5:$E$10004,ROW())/$H383+SUMIFS(Stangenbelegung!$L$5:$L$10004,Stangenbelegung!$E$5:$E$10004,ROW())*$L383)/$C383))</f>
        <v/>
      </c>
      <c r="O383" s="35">
        <f>IF($A383="","",IF($M383="","",MAX(0,$M383-$N383)))</f>
        <v/>
      </c>
      <c r="P383" s="35">
        <f>IF($A383="","",IFERROR(SUMPRODUCT(--("0"&amp;TRIM(RIGHT(SUBSTITUTE(LEFT(";"&amp;SUBSTITUTE(UPPER(Auftrag!$AG383)," ","")&amp;";"&amp;"X"&amp;UPPER(Gewinde!$A$5:$A$54)&amp;";",SEARCH("X"&amp;UPPER(Gewinde!$A$5:$A$54)&amp;";",";"&amp;SUBSTITUTE(UPPER(Auftrag!$AG383)," ","")&amp;";"&amp;"X"&amp;UPPER(Gewinde!$A$5:$A$54)&amp;";")-1),";",REPT(" ",50)),50))),Gewinde!$C$5:$C$54),0))</f>
        <v/>
      </c>
      <c r="Q383" s="33">
        <f>IF($A383="","",(N($O383)+$P383)/3600*N(Auftrag!$H$8))</f>
        <v/>
      </c>
      <c r="R383" s="33">
        <f>IF($A383="","",IF($F$8=0,0,$F$7/$F$8))</f>
        <v/>
      </c>
      <c r="S383" s="33">
        <f>IF($A383="","",$F383*(1+$C$4)+($Q383+$R383)*(1+$C$5))</f>
        <v/>
      </c>
      <c r="T383" s="33">
        <f>IF($A383="","",$S383*(1+$C$6))</f>
        <v/>
      </c>
      <c r="U383" s="18">
        <f>IF($A383="","",$T383*$C383)</f>
        <v/>
      </c>
      <c r="V383" s="18">
        <f>IF($A383="","",$S383*$C383)</f>
        <v/>
      </c>
      <c r="W383" s="28">
        <f>IF($A383="","",IF(N(Auftrag!$AO383)&gt;0,"nicht vollständig eingeplant",IF($D383=0,"kein Schnittplan oder Preis",IF($H383="","keine Schneiddaten",IF(AND(Auftrag!$AF383&lt;&gt;"",Auftrag!$AG383=""),"Gewinde ungeprüft","")))))</f>
        <v/>
      </c>
      <c r="X383" s="18">
        <f>IF($A383="","",$F383*$C383)</f>
        <v/>
      </c>
      <c r="Y383" s="18">
        <f>IF($A383="","",$Q383*$C383)</f>
        <v/>
      </c>
    </row>
    <row r="384">
      <c r="A384" s="25">
        <f>IF(Auftrag!$D384="","",Auftrag!$A384)</f>
        <v/>
      </c>
      <c r="B384" s="25">
        <f>IF($A384="","",Auftrag!$B384)</f>
        <v/>
      </c>
      <c r="C384" s="15">
        <f>IF($A384="","",N(Auftrag!$G384))</f>
        <v/>
      </c>
      <c r="D384" s="18">
        <f>IF($A384="","",SUMIFS(Schnittplan!$R$5:$R$1004,Schnittplan!$B$5:$B$1004,Auftrag!$D384,Schnittplan!$C$5:$C$1004,Auftrag!$E384,Schnittplan!$D$5:$D$1004,Auftrag!$Q384))</f>
        <v/>
      </c>
      <c r="E384" s="32">
        <f>IF($A384="","",IFERROR(N(Auftrag!$P384)/SUMIFS(Auftrag!$P$13:$P$512,Auftrag!$D$13:$D$512,Auftrag!$D384,Auftrag!$E$13:$E$512,Auftrag!$E384,Auftrag!$Q$13:$Q$512,Auftrag!$Q384),0))</f>
        <v/>
      </c>
      <c r="F384" s="33">
        <f>IF($A384="","",IF($C384=0,0,$D384*$E384/$C384))</f>
        <v/>
      </c>
      <c r="G384" s="34">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5">
        <f>IF($A384="","",IF($H384="","",60*((N(Auftrag!$H384)-N(Auftrag!$AI384)-N(Auftrag!$AK384))/$H384+N(Auftrag!$AI384)/$J384+N(Auftrag!$AK384)/$I384+N(Auftrag!$AD384)/$K384)+N(Auftrag!$I384)*$L384))</f>
        <v/>
      </c>
      <c r="N384" s="35">
        <f>IF($A384="","",IF(OR($H384="",$C384=0),0,(60*SUMIFS(Stangenbelegung!$K$5:$K$10004,Stangenbelegung!$E$5:$E$10004,ROW())/$H384+SUMIFS(Stangenbelegung!$L$5:$L$10004,Stangenbelegung!$E$5:$E$10004,ROW())*$L384)/$C384))</f>
        <v/>
      </c>
      <c r="O384" s="35">
        <f>IF($A384="","",IF($M384="","",MAX(0,$M384-$N384)))</f>
        <v/>
      </c>
      <c r="P384" s="35">
        <f>IF($A384="","",IFERROR(SUMPRODUCT(--("0"&amp;TRIM(RIGHT(SUBSTITUTE(LEFT(";"&amp;SUBSTITUTE(UPPER(Auftrag!$AG384)," ","")&amp;";"&amp;"X"&amp;UPPER(Gewinde!$A$5:$A$54)&amp;";",SEARCH("X"&amp;UPPER(Gewinde!$A$5:$A$54)&amp;";",";"&amp;SUBSTITUTE(UPPER(Auftrag!$AG384)," ","")&amp;";"&amp;"X"&amp;UPPER(Gewinde!$A$5:$A$54)&amp;";")-1),";",REPT(" ",50)),50))),Gewinde!$C$5:$C$54),0))</f>
        <v/>
      </c>
      <c r="Q384" s="33">
        <f>IF($A384="","",(N($O384)+$P384)/3600*N(Auftrag!$H$8))</f>
        <v/>
      </c>
      <c r="R384" s="33">
        <f>IF($A384="","",IF($F$8=0,0,$F$7/$F$8))</f>
        <v/>
      </c>
      <c r="S384" s="33">
        <f>IF($A384="","",$F384*(1+$C$4)+($Q384+$R384)*(1+$C$5))</f>
        <v/>
      </c>
      <c r="T384" s="33">
        <f>IF($A384="","",$S384*(1+$C$6))</f>
        <v/>
      </c>
      <c r="U384" s="18">
        <f>IF($A384="","",$T384*$C384)</f>
        <v/>
      </c>
      <c r="V384" s="18">
        <f>IF($A384="","",$S384*$C384)</f>
        <v/>
      </c>
      <c r="W384" s="28">
        <f>IF($A384="","",IF(N(Auftrag!$AO384)&gt;0,"nicht vollständig eingeplant",IF($D384=0,"kein Schnittplan oder Preis",IF($H384="","keine Schneiddaten",IF(AND(Auftrag!$AF384&lt;&gt;"",Auftrag!$AG384=""),"Gewinde ungeprüft","")))))</f>
        <v/>
      </c>
      <c r="X384" s="18">
        <f>IF($A384="","",$F384*$C384)</f>
        <v/>
      </c>
      <c r="Y384" s="18">
        <f>IF($A384="","",$Q384*$C384)</f>
        <v/>
      </c>
    </row>
    <row r="385">
      <c r="A385" s="25">
        <f>IF(Auftrag!$D385="","",Auftrag!$A385)</f>
        <v/>
      </c>
      <c r="B385" s="25">
        <f>IF($A385="","",Auftrag!$B385)</f>
        <v/>
      </c>
      <c r="C385" s="15">
        <f>IF($A385="","",N(Auftrag!$G385))</f>
        <v/>
      </c>
      <c r="D385" s="18">
        <f>IF($A385="","",SUMIFS(Schnittplan!$R$5:$R$1004,Schnittplan!$B$5:$B$1004,Auftrag!$D385,Schnittplan!$C$5:$C$1004,Auftrag!$E385,Schnittplan!$D$5:$D$1004,Auftrag!$Q385))</f>
        <v/>
      </c>
      <c r="E385" s="32">
        <f>IF($A385="","",IFERROR(N(Auftrag!$P385)/SUMIFS(Auftrag!$P$13:$P$512,Auftrag!$D$13:$D$512,Auftrag!$D385,Auftrag!$E$13:$E$512,Auftrag!$E385,Auftrag!$Q$13:$Q$512,Auftrag!$Q385),0))</f>
        <v/>
      </c>
      <c r="F385" s="33">
        <f>IF($A385="","",IF($C385=0,0,$D385*$E385/$C385))</f>
        <v/>
      </c>
      <c r="G385" s="34">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5">
        <f>IF($A385="","",IF($H385="","",60*((N(Auftrag!$H385)-N(Auftrag!$AI385)-N(Auftrag!$AK385))/$H385+N(Auftrag!$AI385)/$J385+N(Auftrag!$AK385)/$I385+N(Auftrag!$AD385)/$K385)+N(Auftrag!$I385)*$L385))</f>
        <v/>
      </c>
      <c r="N385" s="35">
        <f>IF($A385="","",IF(OR($H385="",$C385=0),0,(60*SUMIFS(Stangenbelegung!$K$5:$K$10004,Stangenbelegung!$E$5:$E$10004,ROW())/$H385+SUMIFS(Stangenbelegung!$L$5:$L$10004,Stangenbelegung!$E$5:$E$10004,ROW())*$L385)/$C385))</f>
        <v/>
      </c>
      <c r="O385" s="35">
        <f>IF($A385="","",IF($M385="","",MAX(0,$M385-$N385)))</f>
        <v/>
      </c>
      <c r="P385" s="35">
        <f>IF($A385="","",IFERROR(SUMPRODUCT(--("0"&amp;TRIM(RIGHT(SUBSTITUTE(LEFT(";"&amp;SUBSTITUTE(UPPER(Auftrag!$AG385)," ","")&amp;";"&amp;"X"&amp;UPPER(Gewinde!$A$5:$A$54)&amp;";",SEARCH("X"&amp;UPPER(Gewinde!$A$5:$A$54)&amp;";",";"&amp;SUBSTITUTE(UPPER(Auftrag!$AG385)," ","")&amp;";"&amp;"X"&amp;UPPER(Gewinde!$A$5:$A$54)&amp;";")-1),";",REPT(" ",50)),50))),Gewinde!$C$5:$C$54),0))</f>
        <v/>
      </c>
      <c r="Q385" s="33">
        <f>IF($A385="","",(N($O385)+$P385)/3600*N(Auftrag!$H$8))</f>
        <v/>
      </c>
      <c r="R385" s="33">
        <f>IF($A385="","",IF($F$8=0,0,$F$7/$F$8))</f>
        <v/>
      </c>
      <c r="S385" s="33">
        <f>IF($A385="","",$F385*(1+$C$4)+($Q385+$R385)*(1+$C$5))</f>
        <v/>
      </c>
      <c r="T385" s="33">
        <f>IF($A385="","",$S385*(1+$C$6))</f>
        <v/>
      </c>
      <c r="U385" s="18">
        <f>IF($A385="","",$T385*$C385)</f>
        <v/>
      </c>
      <c r="V385" s="18">
        <f>IF($A385="","",$S385*$C385)</f>
        <v/>
      </c>
      <c r="W385" s="28">
        <f>IF($A385="","",IF(N(Auftrag!$AO385)&gt;0,"nicht vollständig eingeplant",IF($D385=0,"kein Schnittplan oder Preis",IF($H385="","keine Schneiddaten",IF(AND(Auftrag!$AF385&lt;&gt;"",Auftrag!$AG385=""),"Gewinde ungeprüft","")))))</f>
        <v/>
      </c>
      <c r="X385" s="18">
        <f>IF($A385="","",$F385*$C385)</f>
        <v/>
      </c>
      <c r="Y385" s="18">
        <f>IF($A385="","",$Q385*$C385)</f>
        <v/>
      </c>
    </row>
    <row r="386">
      <c r="A386" s="25">
        <f>IF(Auftrag!$D386="","",Auftrag!$A386)</f>
        <v/>
      </c>
      <c r="B386" s="25">
        <f>IF($A386="","",Auftrag!$B386)</f>
        <v/>
      </c>
      <c r="C386" s="15">
        <f>IF($A386="","",N(Auftrag!$G386))</f>
        <v/>
      </c>
      <c r="D386" s="18">
        <f>IF($A386="","",SUMIFS(Schnittplan!$R$5:$R$1004,Schnittplan!$B$5:$B$1004,Auftrag!$D386,Schnittplan!$C$5:$C$1004,Auftrag!$E386,Schnittplan!$D$5:$D$1004,Auftrag!$Q386))</f>
        <v/>
      </c>
      <c r="E386" s="32">
        <f>IF($A386="","",IFERROR(N(Auftrag!$P386)/SUMIFS(Auftrag!$P$13:$P$512,Auftrag!$D$13:$D$512,Auftrag!$D386,Auftrag!$E$13:$E$512,Auftrag!$E386,Auftrag!$Q$13:$Q$512,Auftrag!$Q386),0))</f>
        <v/>
      </c>
      <c r="F386" s="33">
        <f>IF($A386="","",IF($C386=0,0,$D386*$E386/$C386))</f>
        <v/>
      </c>
      <c r="G386" s="34">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5">
        <f>IF($A386="","",IF($H386="","",60*((N(Auftrag!$H386)-N(Auftrag!$AI386)-N(Auftrag!$AK386))/$H386+N(Auftrag!$AI386)/$J386+N(Auftrag!$AK386)/$I386+N(Auftrag!$AD386)/$K386)+N(Auftrag!$I386)*$L386))</f>
        <v/>
      </c>
      <c r="N386" s="35">
        <f>IF($A386="","",IF(OR($H386="",$C386=0),0,(60*SUMIFS(Stangenbelegung!$K$5:$K$10004,Stangenbelegung!$E$5:$E$10004,ROW())/$H386+SUMIFS(Stangenbelegung!$L$5:$L$10004,Stangenbelegung!$E$5:$E$10004,ROW())*$L386)/$C386))</f>
        <v/>
      </c>
      <c r="O386" s="35">
        <f>IF($A386="","",IF($M386="","",MAX(0,$M386-$N386)))</f>
        <v/>
      </c>
      <c r="P386" s="35">
        <f>IF($A386="","",IFERROR(SUMPRODUCT(--("0"&amp;TRIM(RIGHT(SUBSTITUTE(LEFT(";"&amp;SUBSTITUTE(UPPER(Auftrag!$AG386)," ","")&amp;";"&amp;"X"&amp;UPPER(Gewinde!$A$5:$A$54)&amp;";",SEARCH("X"&amp;UPPER(Gewinde!$A$5:$A$54)&amp;";",";"&amp;SUBSTITUTE(UPPER(Auftrag!$AG386)," ","")&amp;";"&amp;"X"&amp;UPPER(Gewinde!$A$5:$A$54)&amp;";")-1),";",REPT(" ",50)),50))),Gewinde!$C$5:$C$54),0))</f>
        <v/>
      </c>
      <c r="Q386" s="33">
        <f>IF($A386="","",(N($O386)+$P386)/3600*N(Auftrag!$H$8))</f>
        <v/>
      </c>
      <c r="R386" s="33">
        <f>IF($A386="","",IF($F$8=0,0,$F$7/$F$8))</f>
        <v/>
      </c>
      <c r="S386" s="33">
        <f>IF($A386="","",$F386*(1+$C$4)+($Q386+$R386)*(1+$C$5))</f>
        <v/>
      </c>
      <c r="T386" s="33">
        <f>IF($A386="","",$S386*(1+$C$6))</f>
        <v/>
      </c>
      <c r="U386" s="18">
        <f>IF($A386="","",$T386*$C386)</f>
        <v/>
      </c>
      <c r="V386" s="18">
        <f>IF($A386="","",$S386*$C386)</f>
        <v/>
      </c>
      <c r="W386" s="28">
        <f>IF($A386="","",IF(N(Auftrag!$AO386)&gt;0,"nicht vollständig eingeplant",IF($D386=0,"kein Schnittplan oder Preis",IF($H386="","keine Schneiddaten",IF(AND(Auftrag!$AF386&lt;&gt;"",Auftrag!$AG386=""),"Gewinde ungeprüft","")))))</f>
        <v/>
      </c>
      <c r="X386" s="18">
        <f>IF($A386="","",$F386*$C386)</f>
        <v/>
      </c>
      <c r="Y386" s="18">
        <f>IF($A386="","",$Q386*$C386)</f>
        <v/>
      </c>
    </row>
    <row r="387">
      <c r="A387" s="25">
        <f>IF(Auftrag!$D387="","",Auftrag!$A387)</f>
        <v/>
      </c>
      <c r="B387" s="25">
        <f>IF($A387="","",Auftrag!$B387)</f>
        <v/>
      </c>
      <c r="C387" s="15">
        <f>IF($A387="","",N(Auftrag!$G387))</f>
        <v/>
      </c>
      <c r="D387" s="18">
        <f>IF($A387="","",SUMIFS(Schnittplan!$R$5:$R$1004,Schnittplan!$B$5:$B$1004,Auftrag!$D387,Schnittplan!$C$5:$C$1004,Auftrag!$E387,Schnittplan!$D$5:$D$1004,Auftrag!$Q387))</f>
        <v/>
      </c>
      <c r="E387" s="32">
        <f>IF($A387="","",IFERROR(N(Auftrag!$P387)/SUMIFS(Auftrag!$P$13:$P$512,Auftrag!$D$13:$D$512,Auftrag!$D387,Auftrag!$E$13:$E$512,Auftrag!$E387,Auftrag!$Q$13:$Q$512,Auftrag!$Q387),0))</f>
        <v/>
      </c>
      <c r="F387" s="33">
        <f>IF($A387="","",IF($C387=0,0,$D387*$E387/$C387))</f>
        <v/>
      </c>
      <c r="G387" s="34">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5">
        <f>IF($A387="","",IF($H387="","",60*((N(Auftrag!$H387)-N(Auftrag!$AI387)-N(Auftrag!$AK387))/$H387+N(Auftrag!$AI387)/$J387+N(Auftrag!$AK387)/$I387+N(Auftrag!$AD387)/$K387)+N(Auftrag!$I387)*$L387))</f>
        <v/>
      </c>
      <c r="N387" s="35">
        <f>IF($A387="","",IF(OR($H387="",$C387=0),0,(60*SUMIFS(Stangenbelegung!$K$5:$K$10004,Stangenbelegung!$E$5:$E$10004,ROW())/$H387+SUMIFS(Stangenbelegung!$L$5:$L$10004,Stangenbelegung!$E$5:$E$10004,ROW())*$L387)/$C387))</f>
        <v/>
      </c>
      <c r="O387" s="35">
        <f>IF($A387="","",IF($M387="","",MAX(0,$M387-$N387)))</f>
        <v/>
      </c>
      <c r="P387" s="35">
        <f>IF($A387="","",IFERROR(SUMPRODUCT(--("0"&amp;TRIM(RIGHT(SUBSTITUTE(LEFT(";"&amp;SUBSTITUTE(UPPER(Auftrag!$AG387)," ","")&amp;";"&amp;"X"&amp;UPPER(Gewinde!$A$5:$A$54)&amp;";",SEARCH("X"&amp;UPPER(Gewinde!$A$5:$A$54)&amp;";",";"&amp;SUBSTITUTE(UPPER(Auftrag!$AG387)," ","")&amp;";"&amp;"X"&amp;UPPER(Gewinde!$A$5:$A$54)&amp;";")-1),";",REPT(" ",50)),50))),Gewinde!$C$5:$C$54),0))</f>
        <v/>
      </c>
      <c r="Q387" s="33">
        <f>IF($A387="","",(N($O387)+$P387)/3600*N(Auftrag!$H$8))</f>
        <v/>
      </c>
      <c r="R387" s="33">
        <f>IF($A387="","",IF($F$8=0,0,$F$7/$F$8))</f>
        <v/>
      </c>
      <c r="S387" s="33">
        <f>IF($A387="","",$F387*(1+$C$4)+($Q387+$R387)*(1+$C$5))</f>
        <v/>
      </c>
      <c r="T387" s="33">
        <f>IF($A387="","",$S387*(1+$C$6))</f>
        <v/>
      </c>
      <c r="U387" s="18">
        <f>IF($A387="","",$T387*$C387)</f>
        <v/>
      </c>
      <c r="V387" s="18">
        <f>IF($A387="","",$S387*$C387)</f>
        <v/>
      </c>
      <c r="W387" s="28">
        <f>IF($A387="","",IF(N(Auftrag!$AO387)&gt;0,"nicht vollständig eingeplant",IF($D387=0,"kein Schnittplan oder Preis",IF($H387="","keine Schneiddaten",IF(AND(Auftrag!$AF387&lt;&gt;"",Auftrag!$AG387=""),"Gewinde ungeprüft","")))))</f>
        <v/>
      </c>
      <c r="X387" s="18">
        <f>IF($A387="","",$F387*$C387)</f>
        <v/>
      </c>
      <c r="Y387" s="18">
        <f>IF($A387="","",$Q387*$C387)</f>
        <v/>
      </c>
    </row>
    <row r="388">
      <c r="A388" s="25">
        <f>IF(Auftrag!$D388="","",Auftrag!$A388)</f>
        <v/>
      </c>
      <c r="B388" s="25">
        <f>IF($A388="","",Auftrag!$B388)</f>
        <v/>
      </c>
      <c r="C388" s="15">
        <f>IF($A388="","",N(Auftrag!$G388))</f>
        <v/>
      </c>
      <c r="D388" s="18">
        <f>IF($A388="","",SUMIFS(Schnittplan!$R$5:$R$1004,Schnittplan!$B$5:$B$1004,Auftrag!$D388,Schnittplan!$C$5:$C$1004,Auftrag!$E388,Schnittplan!$D$5:$D$1004,Auftrag!$Q388))</f>
        <v/>
      </c>
      <c r="E388" s="32">
        <f>IF($A388="","",IFERROR(N(Auftrag!$P388)/SUMIFS(Auftrag!$P$13:$P$512,Auftrag!$D$13:$D$512,Auftrag!$D388,Auftrag!$E$13:$E$512,Auftrag!$E388,Auftrag!$Q$13:$Q$512,Auftrag!$Q388),0))</f>
        <v/>
      </c>
      <c r="F388" s="33">
        <f>IF($A388="","",IF($C388=0,0,$D388*$E388/$C388))</f>
        <v/>
      </c>
      <c r="G388" s="34">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5">
        <f>IF($A388="","",IF($H388="","",60*((N(Auftrag!$H388)-N(Auftrag!$AI388)-N(Auftrag!$AK388))/$H388+N(Auftrag!$AI388)/$J388+N(Auftrag!$AK388)/$I388+N(Auftrag!$AD388)/$K388)+N(Auftrag!$I388)*$L388))</f>
        <v/>
      </c>
      <c r="N388" s="35">
        <f>IF($A388="","",IF(OR($H388="",$C388=0),0,(60*SUMIFS(Stangenbelegung!$K$5:$K$10004,Stangenbelegung!$E$5:$E$10004,ROW())/$H388+SUMIFS(Stangenbelegung!$L$5:$L$10004,Stangenbelegung!$E$5:$E$10004,ROW())*$L388)/$C388))</f>
        <v/>
      </c>
      <c r="O388" s="35">
        <f>IF($A388="","",IF($M388="","",MAX(0,$M388-$N388)))</f>
        <v/>
      </c>
      <c r="P388" s="35">
        <f>IF($A388="","",IFERROR(SUMPRODUCT(--("0"&amp;TRIM(RIGHT(SUBSTITUTE(LEFT(";"&amp;SUBSTITUTE(UPPER(Auftrag!$AG388)," ","")&amp;";"&amp;"X"&amp;UPPER(Gewinde!$A$5:$A$54)&amp;";",SEARCH("X"&amp;UPPER(Gewinde!$A$5:$A$54)&amp;";",";"&amp;SUBSTITUTE(UPPER(Auftrag!$AG388)," ","")&amp;";"&amp;"X"&amp;UPPER(Gewinde!$A$5:$A$54)&amp;";")-1),";",REPT(" ",50)),50))),Gewinde!$C$5:$C$54),0))</f>
        <v/>
      </c>
      <c r="Q388" s="33">
        <f>IF($A388="","",(N($O388)+$P388)/3600*N(Auftrag!$H$8))</f>
        <v/>
      </c>
      <c r="R388" s="33">
        <f>IF($A388="","",IF($F$8=0,0,$F$7/$F$8))</f>
        <v/>
      </c>
      <c r="S388" s="33">
        <f>IF($A388="","",$F388*(1+$C$4)+($Q388+$R388)*(1+$C$5))</f>
        <v/>
      </c>
      <c r="T388" s="33">
        <f>IF($A388="","",$S388*(1+$C$6))</f>
        <v/>
      </c>
      <c r="U388" s="18">
        <f>IF($A388="","",$T388*$C388)</f>
        <v/>
      </c>
      <c r="V388" s="18">
        <f>IF($A388="","",$S388*$C388)</f>
        <v/>
      </c>
      <c r="W388" s="28">
        <f>IF($A388="","",IF(N(Auftrag!$AO388)&gt;0,"nicht vollständig eingeplant",IF($D388=0,"kein Schnittplan oder Preis",IF($H388="","keine Schneiddaten",IF(AND(Auftrag!$AF388&lt;&gt;"",Auftrag!$AG388=""),"Gewinde ungeprüft","")))))</f>
        <v/>
      </c>
      <c r="X388" s="18">
        <f>IF($A388="","",$F388*$C388)</f>
        <v/>
      </c>
      <c r="Y388" s="18">
        <f>IF($A388="","",$Q388*$C388)</f>
        <v/>
      </c>
    </row>
    <row r="389">
      <c r="A389" s="25">
        <f>IF(Auftrag!$D389="","",Auftrag!$A389)</f>
        <v/>
      </c>
      <c r="B389" s="25">
        <f>IF($A389="","",Auftrag!$B389)</f>
        <v/>
      </c>
      <c r="C389" s="15">
        <f>IF($A389="","",N(Auftrag!$G389))</f>
        <v/>
      </c>
      <c r="D389" s="18">
        <f>IF($A389="","",SUMIFS(Schnittplan!$R$5:$R$1004,Schnittplan!$B$5:$B$1004,Auftrag!$D389,Schnittplan!$C$5:$C$1004,Auftrag!$E389,Schnittplan!$D$5:$D$1004,Auftrag!$Q389))</f>
        <v/>
      </c>
      <c r="E389" s="32">
        <f>IF($A389="","",IFERROR(N(Auftrag!$P389)/SUMIFS(Auftrag!$P$13:$P$512,Auftrag!$D$13:$D$512,Auftrag!$D389,Auftrag!$E$13:$E$512,Auftrag!$E389,Auftrag!$Q$13:$Q$512,Auftrag!$Q389),0))</f>
        <v/>
      </c>
      <c r="F389" s="33">
        <f>IF($A389="","",IF($C389=0,0,$D389*$E389/$C389))</f>
        <v/>
      </c>
      <c r="G389" s="34">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5">
        <f>IF($A389="","",IF($H389="","",60*((N(Auftrag!$H389)-N(Auftrag!$AI389)-N(Auftrag!$AK389))/$H389+N(Auftrag!$AI389)/$J389+N(Auftrag!$AK389)/$I389+N(Auftrag!$AD389)/$K389)+N(Auftrag!$I389)*$L389))</f>
        <v/>
      </c>
      <c r="N389" s="35">
        <f>IF($A389="","",IF(OR($H389="",$C389=0),0,(60*SUMIFS(Stangenbelegung!$K$5:$K$10004,Stangenbelegung!$E$5:$E$10004,ROW())/$H389+SUMIFS(Stangenbelegung!$L$5:$L$10004,Stangenbelegung!$E$5:$E$10004,ROW())*$L389)/$C389))</f>
        <v/>
      </c>
      <c r="O389" s="35">
        <f>IF($A389="","",IF($M389="","",MAX(0,$M389-$N389)))</f>
        <v/>
      </c>
      <c r="P389" s="35">
        <f>IF($A389="","",IFERROR(SUMPRODUCT(--("0"&amp;TRIM(RIGHT(SUBSTITUTE(LEFT(";"&amp;SUBSTITUTE(UPPER(Auftrag!$AG389)," ","")&amp;";"&amp;"X"&amp;UPPER(Gewinde!$A$5:$A$54)&amp;";",SEARCH("X"&amp;UPPER(Gewinde!$A$5:$A$54)&amp;";",";"&amp;SUBSTITUTE(UPPER(Auftrag!$AG389)," ","")&amp;";"&amp;"X"&amp;UPPER(Gewinde!$A$5:$A$54)&amp;";")-1),";",REPT(" ",50)),50))),Gewinde!$C$5:$C$54),0))</f>
        <v/>
      </c>
      <c r="Q389" s="33">
        <f>IF($A389="","",(N($O389)+$P389)/3600*N(Auftrag!$H$8))</f>
        <v/>
      </c>
      <c r="R389" s="33">
        <f>IF($A389="","",IF($F$8=0,0,$F$7/$F$8))</f>
        <v/>
      </c>
      <c r="S389" s="33">
        <f>IF($A389="","",$F389*(1+$C$4)+($Q389+$R389)*(1+$C$5))</f>
        <v/>
      </c>
      <c r="T389" s="33">
        <f>IF($A389="","",$S389*(1+$C$6))</f>
        <v/>
      </c>
      <c r="U389" s="18">
        <f>IF($A389="","",$T389*$C389)</f>
        <v/>
      </c>
      <c r="V389" s="18">
        <f>IF($A389="","",$S389*$C389)</f>
        <v/>
      </c>
      <c r="W389" s="28">
        <f>IF($A389="","",IF(N(Auftrag!$AO389)&gt;0,"nicht vollständig eingeplant",IF($D389=0,"kein Schnittplan oder Preis",IF($H389="","keine Schneiddaten",IF(AND(Auftrag!$AF389&lt;&gt;"",Auftrag!$AG389=""),"Gewinde ungeprüft","")))))</f>
        <v/>
      </c>
      <c r="X389" s="18">
        <f>IF($A389="","",$F389*$C389)</f>
        <v/>
      </c>
      <c r="Y389" s="18">
        <f>IF($A389="","",$Q389*$C389)</f>
        <v/>
      </c>
    </row>
    <row r="390">
      <c r="A390" s="25">
        <f>IF(Auftrag!$D390="","",Auftrag!$A390)</f>
        <v/>
      </c>
      <c r="B390" s="25">
        <f>IF($A390="","",Auftrag!$B390)</f>
        <v/>
      </c>
      <c r="C390" s="15">
        <f>IF($A390="","",N(Auftrag!$G390))</f>
        <v/>
      </c>
      <c r="D390" s="18">
        <f>IF($A390="","",SUMIFS(Schnittplan!$R$5:$R$1004,Schnittplan!$B$5:$B$1004,Auftrag!$D390,Schnittplan!$C$5:$C$1004,Auftrag!$E390,Schnittplan!$D$5:$D$1004,Auftrag!$Q390))</f>
        <v/>
      </c>
      <c r="E390" s="32">
        <f>IF($A390="","",IFERROR(N(Auftrag!$P390)/SUMIFS(Auftrag!$P$13:$P$512,Auftrag!$D$13:$D$512,Auftrag!$D390,Auftrag!$E$13:$E$512,Auftrag!$E390,Auftrag!$Q$13:$Q$512,Auftrag!$Q390),0))</f>
        <v/>
      </c>
      <c r="F390" s="33">
        <f>IF($A390="","",IF($C390=0,0,$D390*$E390/$C390))</f>
        <v/>
      </c>
      <c r="G390" s="34">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5">
        <f>IF($A390="","",IF($H390="","",60*((N(Auftrag!$H390)-N(Auftrag!$AI390)-N(Auftrag!$AK390))/$H390+N(Auftrag!$AI390)/$J390+N(Auftrag!$AK390)/$I390+N(Auftrag!$AD390)/$K390)+N(Auftrag!$I390)*$L390))</f>
        <v/>
      </c>
      <c r="N390" s="35">
        <f>IF($A390="","",IF(OR($H390="",$C390=0),0,(60*SUMIFS(Stangenbelegung!$K$5:$K$10004,Stangenbelegung!$E$5:$E$10004,ROW())/$H390+SUMIFS(Stangenbelegung!$L$5:$L$10004,Stangenbelegung!$E$5:$E$10004,ROW())*$L390)/$C390))</f>
        <v/>
      </c>
      <c r="O390" s="35">
        <f>IF($A390="","",IF($M390="","",MAX(0,$M390-$N390)))</f>
        <v/>
      </c>
      <c r="P390" s="35">
        <f>IF($A390="","",IFERROR(SUMPRODUCT(--("0"&amp;TRIM(RIGHT(SUBSTITUTE(LEFT(";"&amp;SUBSTITUTE(UPPER(Auftrag!$AG390)," ","")&amp;";"&amp;"X"&amp;UPPER(Gewinde!$A$5:$A$54)&amp;";",SEARCH("X"&amp;UPPER(Gewinde!$A$5:$A$54)&amp;";",";"&amp;SUBSTITUTE(UPPER(Auftrag!$AG390)," ","")&amp;";"&amp;"X"&amp;UPPER(Gewinde!$A$5:$A$54)&amp;";")-1),";",REPT(" ",50)),50))),Gewinde!$C$5:$C$54),0))</f>
        <v/>
      </c>
      <c r="Q390" s="33">
        <f>IF($A390="","",(N($O390)+$P390)/3600*N(Auftrag!$H$8))</f>
        <v/>
      </c>
      <c r="R390" s="33">
        <f>IF($A390="","",IF($F$8=0,0,$F$7/$F$8))</f>
        <v/>
      </c>
      <c r="S390" s="33">
        <f>IF($A390="","",$F390*(1+$C$4)+($Q390+$R390)*(1+$C$5))</f>
        <v/>
      </c>
      <c r="T390" s="33">
        <f>IF($A390="","",$S390*(1+$C$6))</f>
        <v/>
      </c>
      <c r="U390" s="18">
        <f>IF($A390="","",$T390*$C390)</f>
        <v/>
      </c>
      <c r="V390" s="18">
        <f>IF($A390="","",$S390*$C390)</f>
        <v/>
      </c>
      <c r="W390" s="28">
        <f>IF($A390="","",IF(N(Auftrag!$AO390)&gt;0,"nicht vollständig eingeplant",IF($D390=0,"kein Schnittplan oder Preis",IF($H390="","keine Schneiddaten",IF(AND(Auftrag!$AF390&lt;&gt;"",Auftrag!$AG390=""),"Gewinde ungeprüft","")))))</f>
        <v/>
      </c>
      <c r="X390" s="18">
        <f>IF($A390="","",$F390*$C390)</f>
        <v/>
      </c>
      <c r="Y390" s="18">
        <f>IF($A390="","",$Q390*$C390)</f>
        <v/>
      </c>
    </row>
    <row r="391">
      <c r="A391" s="25">
        <f>IF(Auftrag!$D391="","",Auftrag!$A391)</f>
        <v/>
      </c>
      <c r="B391" s="25">
        <f>IF($A391="","",Auftrag!$B391)</f>
        <v/>
      </c>
      <c r="C391" s="15">
        <f>IF($A391="","",N(Auftrag!$G391))</f>
        <v/>
      </c>
      <c r="D391" s="18">
        <f>IF($A391="","",SUMIFS(Schnittplan!$R$5:$R$1004,Schnittplan!$B$5:$B$1004,Auftrag!$D391,Schnittplan!$C$5:$C$1004,Auftrag!$E391,Schnittplan!$D$5:$D$1004,Auftrag!$Q391))</f>
        <v/>
      </c>
      <c r="E391" s="32">
        <f>IF($A391="","",IFERROR(N(Auftrag!$P391)/SUMIFS(Auftrag!$P$13:$P$512,Auftrag!$D$13:$D$512,Auftrag!$D391,Auftrag!$E$13:$E$512,Auftrag!$E391,Auftrag!$Q$13:$Q$512,Auftrag!$Q391),0))</f>
        <v/>
      </c>
      <c r="F391" s="33">
        <f>IF($A391="","",IF($C391=0,0,$D391*$E391/$C391))</f>
        <v/>
      </c>
      <c r="G391" s="34">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5">
        <f>IF($A391="","",IF($H391="","",60*((N(Auftrag!$H391)-N(Auftrag!$AI391)-N(Auftrag!$AK391))/$H391+N(Auftrag!$AI391)/$J391+N(Auftrag!$AK391)/$I391+N(Auftrag!$AD391)/$K391)+N(Auftrag!$I391)*$L391))</f>
        <v/>
      </c>
      <c r="N391" s="35">
        <f>IF($A391="","",IF(OR($H391="",$C391=0),0,(60*SUMIFS(Stangenbelegung!$K$5:$K$10004,Stangenbelegung!$E$5:$E$10004,ROW())/$H391+SUMIFS(Stangenbelegung!$L$5:$L$10004,Stangenbelegung!$E$5:$E$10004,ROW())*$L391)/$C391))</f>
        <v/>
      </c>
      <c r="O391" s="35">
        <f>IF($A391="","",IF($M391="","",MAX(0,$M391-$N391)))</f>
        <v/>
      </c>
      <c r="P391" s="35">
        <f>IF($A391="","",IFERROR(SUMPRODUCT(--("0"&amp;TRIM(RIGHT(SUBSTITUTE(LEFT(";"&amp;SUBSTITUTE(UPPER(Auftrag!$AG391)," ","")&amp;";"&amp;"X"&amp;UPPER(Gewinde!$A$5:$A$54)&amp;";",SEARCH("X"&amp;UPPER(Gewinde!$A$5:$A$54)&amp;";",";"&amp;SUBSTITUTE(UPPER(Auftrag!$AG391)," ","")&amp;";"&amp;"X"&amp;UPPER(Gewinde!$A$5:$A$54)&amp;";")-1),";",REPT(" ",50)),50))),Gewinde!$C$5:$C$54),0))</f>
        <v/>
      </c>
      <c r="Q391" s="33">
        <f>IF($A391="","",(N($O391)+$P391)/3600*N(Auftrag!$H$8))</f>
        <v/>
      </c>
      <c r="R391" s="33">
        <f>IF($A391="","",IF($F$8=0,0,$F$7/$F$8))</f>
        <v/>
      </c>
      <c r="S391" s="33">
        <f>IF($A391="","",$F391*(1+$C$4)+($Q391+$R391)*(1+$C$5))</f>
        <v/>
      </c>
      <c r="T391" s="33">
        <f>IF($A391="","",$S391*(1+$C$6))</f>
        <v/>
      </c>
      <c r="U391" s="18">
        <f>IF($A391="","",$T391*$C391)</f>
        <v/>
      </c>
      <c r="V391" s="18">
        <f>IF($A391="","",$S391*$C391)</f>
        <v/>
      </c>
      <c r="W391" s="28">
        <f>IF($A391="","",IF(N(Auftrag!$AO391)&gt;0,"nicht vollständig eingeplant",IF($D391=0,"kein Schnittplan oder Preis",IF($H391="","keine Schneiddaten",IF(AND(Auftrag!$AF391&lt;&gt;"",Auftrag!$AG391=""),"Gewinde ungeprüft","")))))</f>
        <v/>
      </c>
      <c r="X391" s="18">
        <f>IF($A391="","",$F391*$C391)</f>
        <v/>
      </c>
      <c r="Y391" s="18">
        <f>IF($A391="","",$Q391*$C391)</f>
        <v/>
      </c>
    </row>
    <row r="392">
      <c r="A392" s="25">
        <f>IF(Auftrag!$D392="","",Auftrag!$A392)</f>
        <v/>
      </c>
      <c r="B392" s="25">
        <f>IF($A392="","",Auftrag!$B392)</f>
        <v/>
      </c>
      <c r="C392" s="15">
        <f>IF($A392="","",N(Auftrag!$G392))</f>
        <v/>
      </c>
      <c r="D392" s="18">
        <f>IF($A392="","",SUMIFS(Schnittplan!$R$5:$R$1004,Schnittplan!$B$5:$B$1004,Auftrag!$D392,Schnittplan!$C$5:$C$1004,Auftrag!$E392,Schnittplan!$D$5:$D$1004,Auftrag!$Q392))</f>
        <v/>
      </c>
      <c r="E392" s="32">
        <f>IF($A392="","",IFERROR(N(Auftrag!$P392)/SUMIFS(Auftrag!$P$13:$P$512,Auftrag!$D$13:$D$512,Auftrag!$D392,Auftrag!$E$13:$E$512,Auftrag!$E392,Auftrag!$Q$13:$Q$512,Auftrag!$Q392),0))</f>
        <v/>
      </c>
      <c r="F392" s="33">
        <f>IF($A392="","",IF($C392=0,0,$D392*$E392/$C392))</f>
        <v/>
      </c>
      <c r="G392" s="34">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5">
        <f>IF($A392="","",IF($H392="","",60*((N(Auftrag!$H392)-N(Auftrag!$AI392)-N(Auftrag!$AK392))/$H392+N(Auftrag!$AI392)/$J392+N(Auftrag!$AK392)/$I392+N(Auftrag!$AD392)/$K392)+N(Auftrag!$I392)*$L392))</f>
        <v/>
      </c>
      <c r="N392" s="35">
        <f>IF($A392="","",IF(OR($H392="",$C392=0),0,(60*SUMIFS(Stangenbelegung!$K$5:$K$10004,Stangenbelegung!$E$5:$E$10004,ROW())/$H392+SUMIFS(Stangenbelegung!$L$5:$L$10004,Stangenbelegung!$E$5:$E$10004,ROW())*$L392)/$C392))</f>
        <v/>
      </c>
      <c r="O392" s="35">
        <f>IF($A392="","",IF($M392="","",MAX(0,$M392-$N392)))</f>
        <v/>
      </c>
      <c r="P392" s="35">
        <f>IF($A392="","",IFERROR(SUMPRODUCT(--("0"&amp;TRIM(RIGHT(SUBSTITUTE(LEFT(";"&amp;SUBSTITUTE(UPPER(Auftrag!$AG392)," ","")&amp;";"&amp;"X"&amp;UPPER(Gewinde!$A$5:$A$54)&amp;";",SEARCH("X"&amp;UPPER(Gewinde!$A$5:$A$54)&amp;";",";"&amp;SUBSTITUTE(UPPER(Auftrag!$AG392)," ","")&amp;";"&amp;"X"&amp;UPPER(Gewinde!$A$5:$A$54)&amp;";")-1),";",REPT(" ",50)),50))),Gewinde!$C$5:$C$54),0))</f>
        <v/>
      </c>
      <c r="Q392" s="33">
        <f>IF($A392="","",(N($O392)+$P392)/3600*N(Auftrag!$H$8))</f>
        <v/>
      </c>
      <c r="R392" s="33">
        <f>IF($A392="","",IF($F$8=0,0,$F$7/$F$8))</f>
        <v/>
      </c>
      <c r="S392" s="33">
        <f>IF($A392="","",$F392*(1+$C$4)+($Q392+$R392)*(1+$C$5))</f>
        <v/>
      </c>
      <c r="T392" s="33">
        <f>IF($A392="","",$S392*(1+$C$6))</f>
        <v/>
      </c>
      <c r="U392" s="18">
        <f>IF($A392="","",$T392*$C392)</f>
        <v/>
      </c>
      <c r="V392" s="18">
        <f>IF($A392="","",$S392*$C392)</f>
        <v/>
      </c>
      <c r="W392" s="28">
        <f>IF($A392="","",IF(N(Auftrag!$AO392)&gt;0,"nicht vollständig eingeplant",IF($D392=0,"kein Schnittplan oder Preis",IF($H392="","keine Schneiddaten",IF(AND(Auftrag!$AF392&lt;&gt;"",Auftrag!$AG392=""),"Gewinde ungeprüft","")))))</f>
        <v/>
      </c>
      <c r="X392" s="18">
        <f>IF($A392="","",$F392*$C392)</f>
        <v/>
      </c>
      <c r="Y392" s="18">
        <f>IF($A392="","",$Q392*$C392)</f>
        <v/>
      </c>
    </row>
    <row r="393">
      <c r="A393" s="25">
        <f>IF(Auftrag!$D393="","",Auftrag!$A393)</f>
        <v/>
      </c>
      <c r="B393" s="25">
        <f>IF($A393="","",Auftrag!$B393)</f>
        <v/>
      </c>
      <c r="C393" s="15">
        <f>IF($A393="","",N(Auftrag!$G393))</f>
        <v/>
      </c>
      <c r="D393" s="18">
        <f>IF($A393="","",SUMIFS(Schnittplan!$R$5:$R$1004,Schnittplan!$B$5:$B$1004,Auftrag!$D393,Schnittplan!$C$5:$C$1004,Auftrag!$E393,Schnittplan!$D$5:$D$1004,Auftrag!$Q393))</f>
        <v/>
      </c>
      <c r="E393" s="32">
        <f>IF($A393="","",IFERROR(N(Auftrag!$P393)/SUMIFS(Auftrag!$P$13:$P$512,Auftrag!$D$13:$D$512,Auftrag!$D393,Auftrag!$E$13:$E$512,Auftrag!$E393,Auftrag!$Q$13:$Q$512,Auftrag!$Q393),0))</f>
        <v/>
      </c>
      <c r="F393" s="33">
        <f>IF($A393="","",IF($C393=0,0,$D393*$E393/$C393))</f>
        <v/>
      </c>
      <c r="G393" s="34">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5">
        <f>IF($A393="","",IF($H393="","",60*((N(Auftrag!$H393)-N(Auftrag!$AI393)-N(Auftrag!$AK393))/$H393+N(Auftrag!$AI393)/$J393+N(Auftrag!$AK393)/$I393+N(Auftrag!$AD393)/$K393)+N(Auftrag!$I393)*$L393))</f>
        <v/>
      </c>
      <c r="N393" s="35">
        <f>IF($A393="","",IF(OR($H393="",$C393=0),0,(60*SUMIFS(Stangenbelegung!$K$5:$K$10004,Stangenbelegung!$E$5:$E$10004,ROW())/$H393+SUMIFS(Stangenbelegung!$L$5:$L$10004,Stangenbelegung!$E$5:$E$10004,ROW())*$L393)/$C393))</f>
        <v/>
      </c>
      <c r="O393" s="35">
        <f>IF($A393="","",IF($M393="","",MAX(0,$M393-$N393)))</f>
        <v/>
      </c>
      <c r="P393" s="35">
        <f>IF($A393="","",IFERROR(SUMPRODUCT(--("0"&amp;TRIM(RIGHT(SUBSTITUTE(LEFT(";"&amp;SUBSTITUTE(UPPER(Auftrag!$AG393)," ","")&amp;";"&amp;"X"&amp;UPPER(Gewinde!$A$5:$A$54)&amp;";",SEARCH("X"&amp;UPPER(Gewinde!$A$5:$A$54)&amp;";",";"&amp;SUBSTITUTE(UPPER(Auftrag!$AG393)," ","")&amp;";"&amp;"X"&amp;UPPER(Gewinde!$A$5:$A$54)&amp;";")-1),";",REPT(" ",50)),50))),Gewinde!$C$5:$C$54),0))</f>
        <v/>
      </c>
      <c r="Q393" s="33">
        <f>IF($A393="","",(N($O393)+$P393)/3600*N(Auftrag!$H$8))</f>
        <v/>
      </c>
      <c r="R393" s="33">
        <f>IF($A393="","",IF($F$8=0,0,$F$7/$F$8))</f>
        <v/>
      </c>
      <c r="S393" s="33">
        <f>IF($A393="","",$F393*(1+$C$4)+($Q393+$R393)*(1+$C$5))</f>
        <v/>
      </c>
      <c r="T393" s="33">
        <f>IF($A393="","",$S393*(1+$C$6))</f>
        <v/>
      </c>
      <c r="U393" s="18">
        <f>IF($A393="","",$T393*$C393)</f>
        <v/>
      </c>
      <c r="V393" s="18">
        <f>IF($A393="","",$S393*$C393)</f>
        <v/>
      </c>
      <c r="W393" s="28">
        <f>IF($A393="","",IF(N(Auftrag!$AO393)&gt;0,"nicht vollständig eingeplant",IF($D393=0,"kein Schnittplan oder Preis",IF($H393="","keine Schneiddaten",IF(AND(Auftrag!$AF393&lt;&gt;"",Auftrag!$AG393=""),"Gewinde ungeprüft","")))))</f>
        <v/>
      </c>
      <c r="X393" s="18">
        <f>IF($A393="","",$F393*$C393)</f>
        <v/>
      </c>
      <c r="Y393" s="18">
        <f>IF($A393="","",$Q393*$C393)</f>
        <v/>
      </c>
    </row>
    <row r="394">
      <c r="A394" s="25">
        <f>IF(Auftrag!$D394="","",Auftrag!$A394)</f>
        <v/>
      </c>
      <c r="B394" s="25">
        <f>IF($A394="","",Auftrag!$B394)</f>
        <v/>
      </c>
      <c r="C394" s="15">
        <f>IF($A394="","",N(Auftrag!$G394))</f>
        <v/>
      </c>
      <c r="D394" s="18">
        <f>IF($A394="","",SUMIFS(Schnittplan!$R$5:$R$1004,Schnittplan!$B$5:$B$1004,Auftrag!$D394,Schnittplan!$C$5:$C$1004,Auftrag!$E394,Schnittplan!$D$5:$D$1004,Auftrag!$Q394))</f>
        <v/>
      </c>
      <c r="E394" s="32">
        <f>IF($A394="","",IFERROR(N(Auftrag!$P394)/SUMIFS(Auftrag!$P$13:$P$512,Auftrag!$D$13:$D$512,Auftrag!$D394,Auftrag!$E$13:$E$512,Auftrag!$E394,Auftrag!$Q$13:$Q$512,Auftrag!$Q394),0))</f>
        <v/>
      </c>
      <c r="F394" s="33">
        <f>IF($A394="","",IF($C394=0,0,$D394*$E394/$C394))</f>
        <v/>
      </c>
      <c r="G394" s="34">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5">
        <f>IF($A394="","",IF($H394="","",60*((N(Auftrag!$H394)-N(Auftrag!$AI394)-N(Auftrag!$AK394))/$H394+N(Auftrag!$AI394)/$J394+N(Auftrag!$AK394)/$I394+N(Auftrag!$AD394)/$K394)+N(Auftrag!$I394)*$L394))</f>
        <v/>
      </c>
      <c r="N394" s="35">
        <f>IF($A394="","",IF(OR($H394="",$C394=0),0,(60*SUMIFS(Stangenbelegung!$K$5:$K$10004,Stangenbelegung!$E$5:$E$10004,ROW())/$H394+SUMIFS(Stangenbelegung!$L$5:$L$10004,Stangenbelegung!$E$5:$E$10004,ROW())*$L394)/$C394))</f>
        <v/>
      </c>
      <c r="O394" s="35">
        <f>IF($A394="","",IF($M394="","",MAX(0,$M394-$N394)))</f>
        <v/>
      </c>
      <c r="P394" s="35">
        <f>IF($A394="","",IFERROR(SUMPRODUCT(--("0"&amp;TRIM(RIGHT(SUBSTITUTE(LEFT(";"&amp;SUBSTITUTE(UPPER(Auftrag!$AG394)," ","")&amp;";"&amp;"X"&amp;UPPER(Gewinde!$A$5:$A$54)&amp;";",SEARCH("X"&amp;UPPER(Gewinde!$A$5:$A$54)&amp;";",";"&amp;SUBSTITUTE(UPPER(Auftrag!$AG394)," ","")&amp;";"&amp;"X"&amp;UPPER(Gewinde!$A$5:$A$54)&amp;";")-1),";",REPT(" ",50)),50))),Gewinde!$C$5:$C$54),0))</f>
        <v/>
      </c>
      <c r="Q394" s="33">
        <f>IF($A394="","",(N($O394)+$P394)/3600*N(Auftrag!$H$8))</f>
        <v/>
      </c>
      <c r="R394" s="33">
        <f>IF($A394="","",IF($F$8=0,0,$F$7/$F$8))</f>
        <v/>
      </c>
      <c r="S394" s="33">
        <f>IF($A394="","",$F394*(1+$C$4)+($Q394+$R394)*(1+$C$5))</f>
        <v/>
      </c>
      <c r="T394" s="33">
        <f>IF($A394="","",$S394*(1+$C$6))</f>
        <v/>
      </c>
      <c r="U394" s="18">
        <f>IF($A394="","",$T394*$C394)</f>
        <v/>
      </c>
      <c r="V394" s="18">
        <f>IF($A394="","",$S394*$C394)</f>
        <v/>
      </c>
      <c r="W394" s="28">
        <f>IF($A394="","",IF(N(Auftrag!$AO394)&gt;0,"nicht vollständig eingeplant",IF($D394=0,"kein Schnittplan oder Preis",IF($H394="","keine Schneiddaten",IF(AND(Auftrag!$AF394&lt;&gt;"",Auftrag!$AG394=""),"Gewinde ungeprüft","")))))</f>
        <v/>
      </c>
      <c r="X394" s="18">
        <f>IF($A394="","",$F394*$C394)</f>
        <v/>
      </c>
      <c r="Y394" s="18">
        <f>IF($A394="","",$Q394*$C394)</f>
        <v/>
      </c>
    </row>
    <row r="395">
      <c r="A395" s="25">
        <f>IF(Auftrag!$D395="","",Auftrag!$A395)</f>
        <v/>
      </c>
      <c r="B395" s="25">
        <f>IF($A395="","",Auftrag!$B395)</f>
        <v/>
      </c>
      <c r="C395" s="15">
        <f>IF($A395="","",N(Auftrag!$G395))</f>
        <v/>
      </c>
      <c r="D395" s="18">
        <f>IF($A395="","",SUMIFS(Schnittplan!$R$5:$R$1004,Schnittplan!$B$5:$B$1004,Auftrag!$D395,Schnittplan!$C$5:$C$1004,Auftrag!$E395,Schnittplan!$D$5:$D$1004,Auftrag!$Q395))</f>
        <v/>
      </c>
      <c r="E395" s="32">
        <f>IF($A395="","",IFERROR(N(Auftrag!$P395)/SUMIFS(Auftrag!$P$13:$P$512,Auftrag!$D$13:$D$512,Auftrag!$D395,Auftrag!$E$13:$E$512,Auftrag!$E395,Auftrag!$Q$13:$Q$512,Auftrag!$Q395),0))</f>
        <v/>
      </c>
      <c r="F395" s="33">
        <f>IF($A395="","",IF($C395=0,0,$D395*$E395/$C395))</f>
        <v/>
      </c>
      <c r="G395" s="34">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5">
        <f>IF($A395="","",IF($H395="","",60*((N(Auftrag!$H395)-N(Auftrag!$AI395)-N(Auftrag!$AK395))/$H395+N(Auftrag!$AI395)/$J395+N(Auftrag!$AK395)/$I395+N(Auftrag!$AD395)/$K395)+N(Auftrag!$I395)*$L395))</f>
        <v/>
      </c>
      <c r="N395" s="35">
        <f>IF($A395="","",IF(OR($H395="",$C395=0),0,(60*SUMIFS(Stangenbelegung!$K$5:$K$10004,Stangenbelegung!$E$5:$E$10004,ROW())/$H395+SUMIFS(Stangenbelegung!$L$5:$L$10004,Stangenbelegung!$E$5:$E$10004,ROW())*$L395)/$C395))</f>
        <v/>
      </c>
      <c r="O395" s="35">
        <f>IF($A395="","",IF($M395="","",MAX(0,$M395-$N395)))</f>
        <v/>
      </c>
      <c r="P395" s="35">
        <f>IF($A395="","",IFERROR(SUMPRODUCT(--("0"&amp;TRIM(RIGHT(SUBSTITUTE(LEFT(";"&amp;SUBSTITUTE(UPPER(Auftrag!$AG395)," ","")&amp;";"&amp;"X"&amp;UPPER(Gewinde!$A$5:$A$54)&amp;";",SEARCH("X"&amp;UPPER(Gewinde!$A$5:$A$54)&amp;";",";"&amp;SUBSTITUTE(UPPER(Auftrag!$AG395)," ","")&amp;";"&amp;"X"&amp;UPPER(Gewinde!$A$5:$A$54)&amp;";")-1),";",REPT(" ",50)),50))),Gewinde!$C$5:$C$54),0))</f>
        <v/>
      </c>
      <c r="Q395" s="33">
        <f>IF($A395="","",(N($O395)+$P395)/3600*N(Auftrag!$H$8))</f>
        <v/>
      </c>
      <c r="R395" s="33">
        <f>IF($A395="","",IF($F$8=0,0,$F$7/$F$8))</f>
        <v/>
      </c>
      <c r="S395" s="33">
        <f>IF($A395="","",$F395*(1+$C$4)+($Q395+$R395)*(1+$C$5))</f>
        <v/>
      </c>
      <c r="T395" s="33">
        <f>IF($A395="","",$S395*(1+$C$6))</f>
        <v/>
      </c>
      <c r="U395" s="18">
        <f>IF($A395="","",$T395*$C395)</f>
        <v/>
      </c>
      <c r="V395" s="18">
        <f>IF($A395="","",$S395*$C395)</f>
        <v/>
      </c>
      <c r="W395" s="28">
        <f>IF($A395="","",IF(N(Auftrag!$AO395)&gt;0,"nicht vollständig eingeplant",IF($D395=0,"kein Schnittplan oder Preis",IF($H395="","keine Schneiddaten",IF(AND(Auftrag!$AF395&lt;&gt;"",Auftrag!$AG395=""),"Gewinde ungeprüft","")))))</f>
        <v/>
      </c>
      <c r="X395" s="18">
        <f>IF($A395="","",$F395*$C395)</f>
        <v/>
      </c>
      <c r="Y395" s="18">
        <f>IF($A395="","",$Q395*$C395)</f>
        <v/>
      </c>
    </row>
    <row r="396">
      <c r="A396" s="25">
        <f>IF(Auftrag!$D396="","",Auftrag!$A396)</f>
        <v/>
      </c>
      <c r="B396" s="25">
        <f>IF($A396="","",Auftrag!$B396)</f>
        <v/>
      </c>
      <c r="C396" s="15">
        <f>IF($A396="","",N(Auftrag!$G396))</f>
        <v/>
      </c>
      <c r="D396" s="18">
        <f>IF($A396="","",SUMIFS(Schnittplan!$R$5:$R$1004,Schnittplan!$B$5:$B$1004,Auftrag!$D396,Schnittplan!$C$5:$C$1004,Auftrag!$E396,Schnittplan!$D$5:$D$1004,Auftrag!$Q396))</f>
        <v/>
      </c>
      <c r="E396" s="32">
        <f>IF($A396="","",IFERROR(N(Auftrag!$P396)/SUMIFS(Auftrag!$P$13:$P$512,Auftrag!$D$13:$D$512,Auftrag!$D396,Auftrag!$E$13:$E$512,Auftrag!$E396,Auftrag!$Q$13:$Q$512,Auftrag!$Q396),0))</f>
        <v/>
      </c>
      <c r="F396" s="33">
        <f>IF($A396="","",IF($C396=0,0,$D396*$E396/$C396))</f>
        <v/>
      </c>
      <c r="G396" s="34">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5">
        <f>IF($A396="","",IF($H396="","",60*((N(Auftrag!$H396)-N(Auftrag!$AI396)-N(Auftrag!$AK396))/$H396+N(Auftrag!$AI396)/$J396+N(Auftrag!$AK396)/$I396+N(Auftrag!$AD396)/$K396)+N(Auftrag!$I396)*$L396))</f>
        <v/>
      </c>
      <c r="N396" s="35">
        <f>IF($A396="","",IF(OR($H396="",$C396=0),0,(60*SUMIFS(Stangenbelegung!$K$5:$K$10004,Stangenbelegung!$E$5:$E$10004,ROW())/$H396+SUMIFS(Stangenbelegung!$L$5:$L$10004,Stangenbelegung!$E$5:$E$10004,ROW())*$L396)/$C396))</f>
        <v/>
      </c>
      <c r="O396" s="35">
        <f>IF($A396="","",IF($M396="","",MAX(0,$M396-$N396)))</f>
        <v/>
      </c>
      <c r="P396" s="35">
        <f>IF($A396="","",IFERROR(SUMPRODUCT(--("0"&amp;TRIM(RIGHT(SUBSTITUTE(LEFT(";"&amp;SUBSTITUTE(UPPER(Auftrag!$AG396)," ","")&amp;";"&amp;"X"&amp;UPPER(Gewinde!$A$5:$A$54)&amp;";",SEARCH("X"&amp;UPPER(Gewinde!$A$5:$A$54)&amp;";",";"&amp;SUBSTITUTE(UPPER(Auftrag!$AG396)," ","")&amp;";"&amp;"X"&amp;UPPER(Gewinde!$A$5:$A$54)&amp;";")-1),";",REPT(" ",50)),50))),Gewinde!$C$5:$C$54),0))</f>
        <v/>
      </c>
      <c r="Q396" s="33">
        <f>IF($A396="","",(N($O396)+$P396)/3600*N(Auftrag!$H$8))</f>
        <v/>
      </c>
      <c r="R396" s="33">
        <f>IF($A396="","",IF($F$8=0,0,$F$7/$F$8))</f>
        <v/>
      </c>
      <c r="S396" s="33">
        <f>IF($A396="","",$F396*(1+$C$4)+($Q396+$R396)*(1+$C$5))</f>
        <v/>
      </c>
      <c r="T396" s="33">
        <f>IF($A396="","",$S396*(1+$C$6))</f>
        <v/>
      </c>
      <c r="U396" s="18">
        <f>IF($A396="","",$T396*$C396)</f>
        <v/>
      </c>
      <c r="V396" s="18">
        <f>IF($A396="","",$S396*$C396)</f>
        <v/>
      </c>
      <c r="W396" s="28">
        <f>IF($A396="","",IF(N(Auftrag!$AO396)&gt;0,"nicht vollständig eingeplant",IF($D396=0,"kein Schnittplan oder Preis",IF($H396="","keine Schneiddaten",IF(AND(Auftrag!$AF396&lt;&gt;"",Auftrag!$AG396=""),"Gewinde ungeprüft","")))))</f>
        <v/>
      </c>
      <c r="X396" s="18">
        <f>IF($A396="","",$F396*$C396)</f>
        <v/>
      </c>
      <c r="Y396" s="18">
        <f>IF($A396="","",$Q396*$C396)</f>
        <v/>
      </c>
    </row>
    <row r="397">
      <c r="A397" s="25">
        <f>IF(Auftrag!$D397="","",Auftrag!$A397)</f>
        <v/>
      </c>
      <c r="B397" s="25">
        <f>IF($A397="","",Auftrag!$B397)</f>
        <v/>
      </c>
      <c r="C397" s="15">
        <f>IF($A397="","",N(Auftrag!$G397))</f>
        <v/>
      </c>
      <c r="D397" s="18">
        <f>IF($A397="","",SUMIFS(Schnittplan!$R$5:$R$1004,Schnittplan!$B$5:$B$1004,Auftrag!$D397,Schnittplan!$C$5:$C$1004,Auftrag!$E397,Schnittplan!$D$5:$D$1004,Auftrag!$Q397))</f>
        <v/>
      </c>
      <c r="E397" s="32">
        <f>IF($A397="","",IFERROR(N(Auftrag!$P397)/SUMIFS(Auftrag!$P$13:$P$512,Auftrag!$D$13:$D$512,Auftrag!$D397,Auftrag!$E$13:$E$512,Auftrag!$E397,Auftrag!$Q$13:$Q$512,Auftrag!$Q397),0))</f>
        <v/>
      </c>
      <c r="F397" s="33">
        <f>IF($A397="","",IF($C397=0,0,$D397*$E397/$C397))</f>
        <v/>
      </c>
      <c r="G397" s="34">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5">
        <f>IF($A397="","",IF($H397="","",60*((N(Auftrag!$H397)-N(Auftrag!$AI397)-N(Auftrag!$AK397))/$H397+N(Auftrag!$AI397)/$J397+N(Auftrag!$AK397)/$I397+N(Auftrag!$AD397)/$K397)+N(Auftrag!$I397)*$L397))</f>
        <v/>
      </c>
      <c r="N397" s="35">
        <f>IF($A397="","",IF(OR($H397="",$C397=0),0,(60*SUMIFS(Stangenbelegung!$K$5:$K$10004,Stangenbelegung!$E$5:$E$10004,ROW())/$H397+SUMIFS(Stangenbelegung!$L$5:$L$10004,Stangenbelegung!$E$5:$E$10004,ROW())*$L397)/$C397))</f>
        <v/>
      </c>
      <c r="O397" s="35">
        <f>IF($A397="","",IF($M397="","",MAX(0,$M397-$N397)))</f>
        <v/>
      </c>
      <c r="P397" s="35">
        <f>IF($A397="","",IFERROR(SUMPRODUCT(--("0"&amp;TRIM(RIGHT(SUBSTITUTE(LEFT(";"&amp;SUBSTITUTE(UPPER(Auftrag!$AG397)," ","")&amp;";"&amp;"X"&amp;UPPER(Gewinde!$A$5:$A$54)&amp;";",SEARCH("X"&amp;UPPER(Gewinde!$A$5:$A$54)&amp;";",";"&amp;SUBSTITUTE(UPPER(Auftrag!$AG397)," ","")&amp;";"&amp;"X"&amp;UPPER(Gewinde!$A$5:$A$54)&amp;";")-1),";",REPT(" ",50)),50))),Gewinde!$C$5:$C$54),0))</f>
        <v/>
      </c>
      <c r="Q397" s="33">
        <f>IF($A397="","",(N($O397)+$P397)/3600*N(Auftrag!$H$8))</f>
        <v/>
      </c>
      <c r="R397" s="33">
        <f>IF($A397="","",IF($F$8=0,0,$F$7/$F$8))</f>
        <v/>
      </c>
      <c r="S397" s="33">
        <f>IF($A397="","",$F397*(1+$C$4)+($Q397+$R397)*(1+$C$5))</f>
        <v/>
      </c>
      <c r="T397" s="33">
        <f>IF($A397="","",$S397*(1+$C$6))</f>
        <v/>
      </c>
      <c r="U397" s="18">
        <f>IF($A397="","",$T397*$C397)</f>
        <v/>
      </c>
      <c r="V397" s="18">
        <f>IF($A397="","",$S397*$C397)</f>
        <v/>
      </c>
      <c r="W397" s="28">
        <f>IF($A397="","",IF(N(Auftrag!$AO397)&gt;0,"nicht vollständig eingeplant",IF($D397=0,"kein Schnittplan oder Preis",IF($H397="","keine Schneiddaten",IF(AND(Auftrag!$AF397&lt;&gt;"",Auftrag!$AG397=""),"Gewinde ungeprüft","")))))</f>
        <v/>
      </c>
      <c r="X397" s="18">
        <f>IF($A397="","",$F397*$C397)</f>
        <v/>
      </c>
      <c r="Y397" s="18">
        <f>IF($A397="","",$Q397*$C397)</f>
        <v/>
      </c>
    </row>
    <row r="398">
      <c r="A398" s="25">
        <f>IF(Auftrag!$D398="","",Auftrag!$A398)</f>
        <v/>
      </c>
      <c r="B398" s="25">
        <f>IF($A398="","",Auftrag!$B398)</f>
        <v/>
      </c>
      <c r="C398" s="15">
        <f>IF($A398="","",N(Auftrag!$G398))</f>
        <v/>
      </c>
      <c r="D398" s="18">
        <f>IF($A398="","",SUMIFS(Schnittplan!$R$5:$R$1004,Schnittplan!$B$5:$B$1004,Auftrag!$D398,Schnittplan!$C$5:$C$1004,Auftrag!$E398,Schnittplan!$D$5:$D$1004,Auftrag!$Q398))</f>
        <v/>
      </c>
      <c r="E398" s="32">
        <f>IF($A398="","",IFERROR(N(Auftrag!$P398)/SUMIFS(Auftrag!$P$13:$P$512,Auftrag!$D$13:$D$512,Auftrag!$D398,Auftrag!$E$13:$E$512,Auftrag!$E398,Auftrag!$Q$13:$Q$512,Auftrag!$Q398),0))</f>
        <v/>
      </c>
      <c r="F398" s="33">
        <f>IF($A398="","",IF($C398=0,0,$D398*$E398/$C398))</f>
        <v/>
      </c>
      <c r="G398" s="34">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5">
        <f>IF($A398="","",IF($H398="","",60*((N(Auftrag!$H398)-N(Auftrag!$AI398)-N(Auftrag!$AK398))/$H398+N(Auftrag!$AI398)/$J398+N(Auftrag!$AK398)/$I398+N(Auftrag!$AD398)/$K398)+N(Auftrag!$I398)*$L398))</f>
        <v/>
      </c>
      <c r="N398" s="35">
        <f>IF($A398="","",IF(OR($H398="",$C398=0),0,(60*SUMIFS(Stangenbelegung!$K$5:$K$10004,Stangenbelegung!$E$5:$E$10004,ROW())/$H398+SUMIFS(Stangenbelegung!$L$5:$L$10004,Stangenbelegung!$E$5:$E$10004,ROW())*$L398)/$C398))</f>
        <v/>
      </c>
      <c r="O398" s="35">
        <f>IF($A398="","",IF($M398="","",MAX(0,$M398-$N398)))</f>
        <v/>
      </c>
      <c r="P398" s="35">
        <f>IF($A398="","",IFERROR(SUMPRODUCT(--("0"&amp;TRIM(RIGHT(SUBSTITUTE(LEFT(";"&amp;SUBSTITUTE(UPPER(Auftrag!$AG398)," ","")&amp;";"&amp;"X"&amp;UPPER(Gewinde!$A$5:$A$54)&amp;";",SEARCH("X"&amp;UPPER(Gewinde!$A$5:$A$54)&amp;";",";"&amp;SUBSTITUTE(UPPER(Auftrag!$AG398)," ","")&amp;";"&amp;"X"&amp;UPPER(Gewinde!$A$5:$A$54)&amp;";")-1),";",REPT(" ",50)),50))),Gewinde!$C$5:$C$54),0))</f>
        <v/>
      </c>
      <c r="Q398" s="33">
        <f>IF($A398="","",(N($O398)+$P398)/3600*N(Auftrag!$H$8))</f>
        <v/>
      </c>
      <c r="R398" s="33">
        <f>IF($A398="","",IF($F$8=0,0,$F$7/$F$8))</f>
        <v/>
      </c>
      <c r="S398" s="33">
        <f>IF($A398="","",$F398*(1+$C$4)+($Q398+$R398)*(1+$C$5))</f>
        <v/>
      </c>
      <c r="T398" s="33">
        <f>IF($A398="","",$S398*(1+$C$6))</f>
        <v/>
      </c>
      <c r="U398" s="18">
        <f>IF($A398="","",$T398*$C398)</f>
        <v/>
      </c>
      <c r="V398" s="18">
        <f>IF($A398="","",$S398*$C398)</f>
        <v/>
      </c>
      <c r="W398" s="28">
        <f>IF($A398="","",IF(N(Auftrag!$AO398)&gt;0,"nicht vollständig eingeplant",IF($D398=0,"kein Schnittplan oder Preis",IF($H398="","keine Schneiddaten",IF(AND(Auftrag!$AF398&lt;&gt;"",Auftrag!$AG398=""),"Gewinde ungeprüft","")))))</f>
        <v/>
      </c>
      <c r="X398" s="18">
        <f>IF($A398="","",$F398*$C398)</f>
        <v/>
      </c>
      <c r="Y398" s="18">
        <f>IF($A398="","",$Q398*$C398)</f>
        <v/>
      </c>
    </row>
    <row r="399">
      <c r="A399" s="25">
        <f>IF(Auftrag!$D399="","",Auftrag!$A399)</f>
        <v/>
      </c>
      <c r="B399" s="25">
        <f>IF($A399="","",Auftrag!$B399)</f>
        <v/>
      </c>
      <c r="C399" s="15">
        <f>IF($A399="","",N(Auftrag!$G399))</f>
        <v/>
      </c>
      <c r="D399" s="18">
        <f>IF($A399="","",SUMIFS(Schnittplan!$R$5:$R$1004,Schnittplan!$B$5:$B$1004,Auftrag!$D399,Schnittplan!$C$5:$C$1004,Auftrag!$E399,Schnittplan!$D$5:$D$1004,Auftrag!$Q399))</f>
        <v/>
      </c>
      <c r="E399" s="32">
        <f>IF($A399="","",IFERROR(N(Auftrag!$P399)/SUMIFS(Auftrag!$P$13:$P$512,Auftrag!$D$13:$D$512,Auftrag!$D399,Auftrag!$E$13:$E$512,Auftrag!$E399,Auftrag!$Q$13:$Q$512,Auftrag!$Q399),0))</f>
        <v/>
      </c>
      <c r="F399" s="33">
        <f>IF($A399="","",IF($C399=0,0,$D399*$E399/$C399))</f>
        <v/>
      </c>
      <c r="G399" s="34">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5">
        <f>IF($A399="","",IF($H399="","",60*((N(Auftrag!$H399)-N(Auftrag!$AI399)-N(Auftrag!$AK399))/$H399+N(Auftrag!$AI399)/$J399+N(Auftrag!$AK399)/$I399+N(Auftrag!$AD399)/$K399)+N(Auftrag!$I399)*$L399))</f>
        <v/>
      </c>
      <c r="N399" s="35">
        <f>IF($A399="","",IF(OR($H399="",$C399=0),0,(60*SUMIFS(Stangenbelegung!$K$5:$K$10004,Stangenbelegung!$E$5:$E$10004,ROW())/$H399+SUMIFS(Stangenbelegung!$L$5:$L$10004,Stangenbelegung!$E$5:$E$10004,ROW())*$L399)/$C399))</f>
        <v/>
      </c>
      <c r="O399" s="35">
        <f>IF($A399="","",IF($M399="","",MAX(0,$M399-$N399)))</f>
        <v/>
      </c>
      <c r="P399" s="35">
        <f>IF($A399="","",IFERROR(SUMPRODUCT(--("0"&amp;TRIM(RIGHT(SUBSTITUTE(LEFT(";"&amp;SUBSTITUTE(UPPER(Auftrag!$AG399)," ","")&amp;";"&amp;"X"&amp;UPPER(Gewinde!$A$5:$A$54)&amp;";",SEARCH("X"&amp;UPPER(Gewinde!$A$5:$A$54)&amp;";",";"&amp;SUBSTITUTE(UPPER(Auftrag!$AG399)," ","")&amp;";"&amp;"X"&amp;UPPER(Gewinde!$A$5:$A$54)&amp;";")-1),";",REPT(" ",50)),50))),Gewinde!$C$5:$C$54),0))</f>
        <v/>
      </c>
      <c r="Q399" s="33">
        <f>IF($A399="","",(N($O399)+$P399)/3600*N(Auftrag!$H$8))</f>
        <v/>
      </c>
      <c r="R399" s="33">
        <f>IF($A399="","",IF($F$8=0,0,$F$7/$F$8))</f>
        <v/>
      </c>
      <c r="S399" s="33">
        <f>IF($A399="","",$F399*(1+$C$4)+($Q399+$R399)*(1+$C$5))</f>
        <v/>
      </c>
      <c r="T399" s="33">
        <f>IF($A399="","",$S399*(1+$C$6))</f>
        <v/>
      </c>
      <c r="U399" s="18">
        <f>IF($A399="","",$T399*$C399)</f>
        <v/>
      </c>
      <c r="V399" s="18">
        <f>IF($A399="","",$S399*$C399)</f>
        <v/>
      </c>
      <c r="W399" s="28">
        <f>IF($A399="","",IF(N(Auftrag!$AO399)&gt;0,"nicht vollständig eingeplant",IF($D399=0,"kein Schnittplan oder Preis",IF($H399="","keine Schneiddaten",IF(AND(Auftrag!$AF399&lt;&gt;"",Auftrag!$AG399=""),"Gewinde ungeprüft","")))))</f>
        <v/>
      </c>
      <c r="X399" s="18">
        <f>IF($A399="","",$F399*$C399)</f>
        <v/>
      </c>
      <c r="Y399" s="18">
        <f>IF($A399="","",$Q399*$C399)</f>
        <v/>
      </c>
    </row>
    <row r="400">
      <c r="A400" s="25">
        <f>IF(Auftrag!$D400="","",Auftrag!$A400)</f>
        <v/>
      </c>
      <c r="B400" s="25">
        <f>IF($A400="","",Auftrag!$B400)</f>
        <v/>
      </c>
      <c r="C400" s="15">
        <f>IF($A400="","",N(Auftrag!$G400))</f>
        <v/>
      </c>
      <c r="D400" s="18">
        <f>IF($A400="","",SUMIFS(Schnittplan!$R$5:$R$1004,Schnittplan!$B$5:$B$1004,Auftrag!$D400,Schnittplan!$C$5:$C$1004,Auftrag!$E400,Schnittplan!$D$5:$D$1004,Auftrag!$Q400))</f>
        <v/>
      </c>
      <c r="E400" s="32">
        <f>IF($A400="","",IFERROR(N(Auftrag!$P400)/SUMIFS(Auftrag!$P$13:$P$512,Auftrag!$D$13:$D$512,Auftrag!$D400,Auftrag!$E$13:$E$512,Auftrag!$E400,Auftrag!$Q$13:$Q$512,Auftrag!$Q400),0))</f>
        <v/>
      </c>
      <c r="F400" s="33">
        <f>IF($A400="","",IF($C400=0,0,$D400*$E400/$C400))</f>
        <v/>
      </c>
      <c r="G400" s="34">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5">
        <f>IF($A400="","",IF($H400="","",60*((N(Auftrag!$H400)-N(Auftrag!$AI400)-N(Auftrag!$AK400))/$H400+N(Auftrag!$AI400)/$J400+N(Auftrag!$AK400)/$I400+N(Auftrag!$AD400)/$K400)+N(Auftrag!$I400)*$L400))</f>
        <v/>
      </c>
      <c r="N400" s="35">
        <f>IF($A400="","",IF(OR($H400="",$C400=0),0,(60*SUMIFS(Stangenbelegung!$K$5:$K$10004,Stangenbelegung!$E$5:$E$10004,ROW())/$H400+SUMIFS(Stangenbelegung!$L$5:$L$10004,Stangenbelegung!$E$5:$E$10004,ROW())*$L400)/$C400))</f>
        <v/>
      </c>
      <c r="O400" s="35">
        <f>IF($A400="","",IF($M400="","",MAX(0,$M400-$N400)))</f>
        <v/>
      </c>
      <c r="P400" s="35">
        <f>IF($A400="","",IFERROR(SUMPRODUCT(--("0"&amp;TRIM(RIGHT(SUBSTITUTE(LEFT(";"&amp;SUBSTITUTE(UPPER(Auftrag!$AG400)," ","")&amp;";"&amp;"X"&amp;UPPER(Gewinde!$A$5:$A$54)&amp;";",SEARCH("X"&amp;UPPER(Gewinde!$A$5:$A$54)&amp;";",";"&amp;SUBSTITUTE(UPPER(Auftrag!$AG400)," ","")&amp;";"&amp;"X"&amp;UPPER(Gewinde!$A$5:$A$54)&amp;";")-1),";",REPT(" ",50)),50))),Gewinde!$C$5:$C$54),0))</f>
        <v/>
      </c>
      <c r="Q400" s="33">
        <f>IF($A400="","",(N($O400)+$P400)/3600*N(Auftrag!$H$8))</f>
        <v/>
      </c>
      <c r="R400" s="33">
        <f>IF($A400="","",IF($F$8=0,0,$F$7/$F$8))</f>
        <v/>
      </c>
      <c r="S400" s="33">
        <f>IF($A400="","",$F400*(1+$C$4)+($Q400+$R400)*(1+$C$5))</f>
        <v/>
      </c>
      <c r="T400" s="33">
        <f>IF($A400="","",$S400*(1+$C$6))</f>
        <v/>
      </c>
      <c r="U400" s="18">
        <f>IF($A400="","",$T400*$C400)</f>
        <v/>
      </c>
      <c r="V400" s="18">
        <f>IF($A400="","",$S400*$C400)</f>
        <v/>
      </c>
      <c r="W400" s="28">
        <f>IF($A400="","",IF(N(Auftrag!$AO400)&gt;0,"nicht vollständig eingeplant",IF($D400=0,"kein Schnittplan oder Preis",IF($H400="","keine Schneiddaten",IF(AND(Auftrag!$AF400&lt;&gt;"",Auftrag!$AG400=""),"Gewinde ungeprüft","")))))</f>
        <v/>
      </c>
      <c r="X400" s="18">
        <f>IF($A400="","",$F400*$C400)</f>
        <v/>
      </c>
      <c r="Y400" s="18">
        <f>IF($A400="","",$Q400*$C400)</f>
        <v/>
      </c>
    </row>
    <row r="401">
      <c r="A401" s="25">
        <f>IF(Auftrag!$D401="","",Auftrag!$A401)</f>
        <v/>
      </c>
      <c r="B401" s="25">
        <f>IF($A401="","",Auftrag!$B401)</f>
        <v/>
      </c>
      <c r="C401" s="15">
        <f>IF($A401="","",N(Auftrag!$G401))</f>
        <v/>
      </c>
      <c r="D401" s="18">
        <f>IF($A401="","",SUMIFS(Schnittplan!$R$5:$R$1004,Schnittplan!$B$5:$B$1004,Auftrag!$D401,Schnittplan!$C$5:$C$1004,Auftrag!$E401,Schnittplan!$D$5:$D$1004,Auftrag!$Q401))</f>
        <v/>
      </c>
      <c r="E401" s="32">
        <f>IF($A401="","",IFERROR(N(Auftrag!$P401)/SUMIFS(Auftrag!$P$13:$P$512,Auftrag!$D$13:$D$512,Auftrag!$D401,Auftrag!$E$13:$E$512,Auftrag!$E401,Auftrag!$Q$13:$Q$512,Auftrag!$Q401),0))</f>
        <v/>
      </c>
      <c r="F401" s="33">
        <f>IF($A401="","",IF($C401=0,0,$D401*$E401/$C401))</f>
        <v/>
      </c>
      <c r="G401" s="34">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5">
        <f>IF($A401="","",IF($H401="","",60*((N(Auftrag!$H401)-N(Auftrag!$AI401)-N(Auftrag!$AK401))/$H401+N(Auftrag!$AI401)/$J401+N(Auftrag!$AK401)/$I401+N(Auftrag!$AD401)/$K401)+N(Auftrag!$I401)*$L401))</f>
        <v/>
      </c>
      <c r="N401" s="35">
        <f>IF($A401="","",IF(OR($H401="",$C401=0),0,(60*SUMIFS(Stangenbelegung!$K$5:$K$10004,Stangenbelegung!$E$5:$E$10004,ROW())/$H401+SUMIFS(Stangenbelegung!$L$5:$L$10004,Stangenbelegung!$E$5:$E$10004,ROW())*$L401)/$C401))</f>
        <v/>
      </c>
      <c r="O401" s="35">
        <f>IF($A401="","",IF($M401="","",MAX(0,$M401-$N401)))</f>
        <v/>
      </c>
      <c r="P401" s="35">
        <f>IF($A401="","",IFERROR(SUMPRODUCT(--("0"&amp;TRIM(RIGHT(SUBSTITUTE(LEFT(";"&amp;SUBSTITUTE(UPPER(Auftrag!$AG401)," ","")&amp;";"&amp;"X"&amp;UPPER(Gewinde!$A$5:$A$54)&amp;";",SEARCH("X"&amp;UPPER(Gewinde!$A$5:$A$54)&amp;";",";"&amp;SUBSTITUTE(UPPER(Auftrag!$AG401)," ","")&amp;";"&amp;"X"&amp;UPPER(Gewinde!$A$5:$A$54)&amp;";")-1),";",REPT(" ",50)),50))),Gewinde!$C$5:$C$54),0))</f>
        <v/>
      </c>
      <c r="Q401" s="33">
        <f>IF($A401="","",(N($O401)+$P401)/3600*N(Auftrag!$H$8))</f>
        <v/>
      </c>
      <c r="R401" s="33">
        <f>IF($A401="","",IF($F$8=0,0,$F$7/$F$8))</f>
        <v/>
      </c>
      <c r="S401" s="33">
        <f>IF($A401="","",$F401*(1+$C$4)+($Q401+$R401)*(1+$C$5))</f>
        <v/>
      </c>
      <c r="T401" s="33">
        <f>IF($A401="","",$S401*(1+$C$6))</f>
        <v/>
      </c>
      <c r="U401" s="18">
        <f>IF($A401="","",$T401*$C401)</f>
        <v/>
      </c>
      <c r="V401" s="18">
        <f>IF($A401="","",$S401*$C401)</f>
        <v/>
      </c>
      <c r="W401" s="28">
        <f>IF($A401="","",IF(N(Auftrag!$AO401)&gt;0,"nicht vollständig eingeplant",IF($D401=0,"kein Schnittplan oder Preis",IF($H401="","keine Schneiddaten",IF(AND(Auftrag!$AF401&lt;&gt;"",Auftrag!$AG401=""),"Gewinde ungeprüft","")))))</f>
        <v/>
      </c>
      <c r="X401" s="18">
        <f>IF($A401="","",$F401*$C401)</f>
        <v/>
      </c>
      <c r="Y401" s="18">
        <f>IF($A401="","",$Q401*$C401)</f>
        <v/>
      </c>
    </row>
    <row r="402">
      <c r="A402" s="25">
        <f>IF(Auftrag!$D402="","",Auftrag!$A402)</f>
        <v/>
      </c>
      <c r="B402" s="25">
        <f>IF($A402="","",Auftrag!$B402)</f>
        <v/>
      </c>
      <c r="C402" s="15">
        <f>IF($A402="","",N(Auftrag!$G402))</f>
        <v/>
      </c>
      <c r="D402" s="18">
        <f>IF($A402="","",SUMIFS(Schnittplan!$R$5:$R$1004,Schnittplan!$B$5:$B$1004,Auftrag!$D402,Schnittplan!$C$5:$C$1004,Auftrag!$E402,Schnittplan!$D$5:$D$1004,Auftrag!$Q402))</f>
        <v/>
      </c>
      <c r="E402" s="32">
        <f>IF($A402="","",IFERROR(N(Auftrag!$P402)/SUMIFS(Auftrag!$P$13:$P$512,Auftrag!$D$13:$D$512,Auftrag!$D402,Auftrag!$E$13:$E$512,Auftrag!$E402,Auftrag!$Q$13:$Q$512,Auftrag!$Q402),0))</f>
        <v/>
      </c>
      <c r="F402" s="33">
        <f>IF($A402="","",IF($C402=0,0,$D402*$E402/$C402))</f>
        <v/>
      </c>
      <c r="G402" s="34">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5">
        <f>IF($A402="","",IF($H402="","",60*((N(Auftrag!$H402)-N(Auftrag!$AI402)-N(Auftrag!$AK402))/$H402+N(Auftrag!$AI402)/$J402+N(Auftrag!$AK402)/$I402+N(Auftrag!$AD402)/$K402)+N(Auftrag!$I402)*$L402))</f>
        <v/>
      </c>
      <c r="N402" s="35">
        <f>IF($A402="","",IF(OR($H402="",$C402=0),0,(60*SUMIFS(Stangenbelegung!$K$5:$K$10004,Stangenbelegung!$E$5:$E$10004,ROW())/$H402+SUMIFS(Stangenbelegung!$L$5:$L$10004,Stangenbelegung!$E$5:$E$10004,ROW())*$L402)/$C402))</f>
        <v/>
      </c>
      <c r="O402" s="35">
        <f>IF($A402="","",IF($M402="","",MAX(0,$M402-$N402)))</f>
        <v/>
      </c>
      <c r="P402" s="35">
        <f>IF($A402="","",IFERROR(SUMPRODUCT(--("0"&amp;TRIM(RIGHT(SUBSTITUTE(LEFT(";"&amp;SUBSTITUTE(UPPER(Auftrag!$AG402)," ","")&amp;";"&amp;"X"&amp;UPPER(Gewinde!$A$5:$A$54)&amp;";",SEARCH("X"&amp;UPPER(Gewinde!$A$5:$A$54)&amp;";",";"&amp;SUBSTITUTE(UPPER(Auftrag!$AG402)," ","")&amp;";"&amp;"X"&amp;UPPER(Gewinde!$A$5:$A$54)&amp;";")-1),";",REPT(" ",50)),50))),Gewinde!$C$5:$C$54),0))</f>
        <v/>
      </c>
      <c r="Q402" s="33">
        <f>IF($A402="","",(N($O402)+$P402)/3600*N(Auftrag!$H$8))</f>
        <v/>
      </c>
      <c r="R402" s="33">
        <f>IF($A402="","",IF($F$8=0,0,$F$7/$F$8))</f>
        <v/>
      </c>
      <c r="S402" s="33">
        <f>IF($A402="","",$F402*(1+$C$4)+($Q402+$R402)*(1+$C$5))</f>
        <v/>
      </c>
      <c r="T402" s="33">
        <f>IF($A402="","",$S402*(1+$C$6))</f>
        <v/>
      </c>
      <c r="U402" s="18">
        <f>IF($A402="","",$T402*$C402)</f>
        <v/>
      </c>
      <c r="V402" s="18">
        <f>IF($A402="","",$S402*$C402)</f>
        <v/>
      </c>
      <c r="W402" s="28">
        <f>IF($A402="","",IF(N(Auftrag!$AO402)&gt;0,"nicht vollständig eingeplant",IF($D402=0,"kein Schnittplan oder Preis",IF($H402="","keine Schneiddaten",IF(AND(Auftrag!$AF402&lt;&gt;"",Auftrag!$AG402=""),"Gewinde ungeprüft","")))))</f>
        <v/>
      </c>
      <c r="X402" s="18">
        <f>IF($A402="","",$F402*$C402)</f>
        <v/>
      </c>
      <c r="Y402" s="18">
        <f>IF($A402="","",$Q402*$C402)</f>
        <v/>
      </c>
    </row>
    <row r="403">
      <c r="A403" s="25">
        <f>IF(Auftrag!$D403="","",Auftrag!$A403)</f>
        <v/>
      </c>
      <c r="B403" s="25">
        <f>IF($A403="","",Auftrag!$B403)</f>
        <v/>
      </c>
      <c r="C403" s="15">
        <f>IF($A403="","",N(Auftrag!$G403))</f>
        <v/>
      </c>
      <c r="D403" s="18">
        <f>IF($A403="","",SUMIFS(Schnittplan!$R$5:$R$1004,Schnittplan!$B$5:$B$1004,Auftrag!$D403,Schnittplan!$C$5:$C$1004,Auftrag!$E403,Schnittplan!$D$5:$D$1004,Auftrag!$Q403))</f>
        <v/>
      </c>
      <c r="E403" s="32">
        <f>IF($A403="","",IFERROR(N(Auftrag!$P403)/SUMIFS(Auftrag!$P$13:$P$512,Auftrag!$D$13:$D$512,Auftrag!$D403,Auftrag!$E$13:$E$512,Auftrag!$E403,Auftrag!$Q$13:$Q$512,Auftrag!$Q403),0))</f>
        <v/>
      </c>
      <c r="F403" s="33">
        <f>IF($A403="","",IF($C403=0,0,$D403*$E403/$C403))</f>
        <v/>
      </c>
      <c r="G403" s="34">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5">
        <f>IF($A403="","",IF($H403="","",60*((N(Auftrag!$H403)-N(Auftrag!$AI403)-N(Auftrag!$AK403))/$H403+N(Auftrag!$AI403)/$J403+N(Auftrag!$AK403)/$I403+N(Auftrag!$AD403)/$K403)+N(Auftrag!$I403)*$L403))</f>
        <v/>
      </c>
      <c r="N403" s="35">
        <f>IF($A403="","",IF(OR($H403="",$C403=0),0,(60*SUMIFS(Stangenbelegung!$K$5:$K$10004,Stangenbelegung!$E$5:$E$10004,ROW())/$H403+SUMIFS(Stangenbelegung!$L$5:$L$10004,Stangenbelegung!$E$5:$E$10004,ROW())*$L403)/$C403))</f>
        <v/>
      </c>
      <c r="O403" s="35">
        <f>IF($A403="","",IF($M403="","",MAX(0,$M403-$N403)))</f>
        <v/>
      </c>
      <c r="P403" s="35">
        <f>IF($A403="","",IFERROR(SUMPRODUCT(--("0"&amp;TRIM(RIGHT(SUBSTITUTE(LEFT(";"&amp;SUBSTITUTE(UPPER(Auftrag!$AG403)," ","")&amp;";"&amp;"X"&amp;UPPER(Gewinde!$A$5:$A$54)&amp;";",SEARCH("X"&amp;UPPER(Gewinde!$A$5:$A$54)&amp;";",";"&amp;SUBSTITUTE(UPPER(Auftrag!$AG403)," ","")&amp;";"&amp;"X"&amp;UPPER(Gewinde!$A$5:$A$54)&amp;";")-1),";",REPT(" ",50)),50))),Gewinde!$C$5:$C$54),0))</f>
        <v/>
      </c>
      <c r="Q403" s="33">
        <f>IF($A403="","",(N($O403)+$P403)/3600*N(Auftrag!$H$8))</f>
        <v/>
      </c>
      <c r="R403" s="33">
        <f>IF($A403="","",IF($F$8=0,0,$F$7/$F$8))</f>
        <v/>
      </c>
      <c r="S403" s="33">
        <f>IF($A403="","",$F403*(1+$C$4)+($Q403+$R403)*(1+$C$5))</f>
        <v/>
      </c>
      <c r="T403" s="33">
        <f>IF($A403="","",$S403*(1+$C$6))</f>
        <v/>
      </c>
      <c r="U403" s="18">
        <f>IF($A403="","",$T403*$C403)</f>
        <v/>
      </c>
      <c r="V403" s="18">
        <f>IF($A403="","",$S403*$C403)</f>
        <v/>
      </c>
      <c r="W403" s="28">
        <f>IF($A403="","",IF(N(Auftrag!$AO403)&gt;0,"nicht vollständig eingeplant",IF($D403=0,"kein Schnittplan oder Preis",IF($H403="","keine Schneiddaten",IF(AND(Auftrag!$AF403&lt;&gt;"",Auftrag!$AG403=""),"Gewinde ungeprüft","")))))</f>
        <v/>
      </c>
      <c r="X403" s="18">
        <f>IF($A403="","",$F403*$C403)</f>
        <v/>
      </c>
      <c r="Y403" s="18">
        <f>IF($A403="","",$Q403*$C403)</f>
        <v/>
      </c>
    </row>
    <row r="404">
      <c r="A404" s="25">
        <f>IF(Auftrag!$D404="","",Auftrag!$A404)</f>
        <v/>
      </c>
      <c r="B404" s="25">
        <f>IF($A404="","",Auftrag!$B404)</f>
        <v/>
      </c>
      <c r="C404" s="15">
        <f>IF($A404="","",N(Auftrag!$G404))</f>
        <v/>
      </c>
      <c r="D404" s="18">
        <f>IF($A404="","",SUMIFS(Schnittplan!$R$5:$R$1004,Schnittplan!$B$5:$B$1004,Auftrag!$D404,Schnittplan!$C$5:$C$1004,Auftrag!$E404,Schnittplan!$D$5:$D$1004,Auftrag!$Q404))</f>
        <v/>
      </c>
      <c r="E404" s="32">
        <f>IF($A404="","",IFERROR(N(Auftrag!$P404)/SUMIFS(Auftrag!$P$13:$P$512,Auftrag!$D$13:$D$512,Auftrag!$D404,Auftrag!$E$13:$E$512,Auftrag!$E404,Auftrag!$Q$13:$Q$512,Auftrag!$Q404),0))</f>
        <v/>
      </c>
      <c r="F404" s="33">
        <f>IF($A404="","",IF($C404=0,0,$D404*$E404/$C404))</f>
        <v/>
      </c>
      <c r="G404" s="34">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5">
        <f>IF($A404="","",IF($H404="","",60*((N(Auftrag!$H404)-N(Auftrag!$AI404)-N(Auftrag!$AK404))/$H404+N(Auftrag!$AI404)/$J404+N(Auftrag!$AK404)/$I404+N(Auftrag!$AD404)/$K404)+N(Auftrag!$I404)*$L404))</f>
        <v/>
      </c>
      <c r="N404" s="35">
        <f>IF($A404="","",IF(OR($H404="",$C404=0),0,(60*SUMIFS(Stangenbelegung!$K$5:$K$10004,Stangenbelegung!$E$5:$E$10004,ROW())/$H404+SUMIFS(Stangenbelegung!$L$5:$L$10004,Stangenbelegung!$E$5:$E$10004,ROW())*$L404)/$C404))</f>
        <v/>
      </c>
      <c r="O404" s="35">
        <f>IF($A404="","",IF($M404="","",MAX(0,$M404-$N404)))</f>
        <v/>
      </c>
      <c r="P404" s="35">
        <f>IF($A404="","",IFERROR(SUMPRODUCT(--("0"&amp;TRIM(RIGHT(SUBSTITUTE(LEFT(";"&amp;SUBSTITUTE(UPPER(Auftrag!$AG404)," ","")&amp;";"&amp;"X"&amp;UPPER(Gewinde!$A$5:$A$54)&amp;";",SEARCH("X"&amp;UPPER(Gewinde!$A$5:$A$54)&amp;";",";"&amp;SUBSTITUTE(UPPER(Auftrag!$AG404)," ","")&amp;";"&amp;"X"&amp;UPPER(Gewinde!$A$5:$A$54)&amp;";")-1),";",REPT(" ",50)),50))),Gewinde!$C$5:$C$54),0))</f>
        <v/>
      </c>
      <c r="Q404" s="33">
        <f>IF($A404="","",(N($O404)+$P404)/3600*N(Auftrag!$H$8))</f>
        <v/>
      </c>
      <c r="R404" s="33">
        <f>IF($A404="","",IF($F$8=0,0,$F$7/$F$8))</f>
        <v/>
      </c>
      <c r="S404" s="33">
        <f>IF($A404="","",$F404*(1+$C$4)+($Q404+$R404)*(1+$C$5))</f>
        <v/>
      </c>
      <c r="T404" s="33">
        <f>IF($A404="","",$S404*(1+$C$6))</f>
        <v/>
      </c>
      <c r="U404" s="18">
        <f>IF($A404="","",$T404*$C404)</f>
        <v/>
      </c>
      <c r="V404" s="18">
        <f>IF($A404="","",$S404*$C404)</f>
        <v/>
      </c>
      <c r="W404" s="28">
        <f>IF($A404="","",IF(N(Auftrag!$AO404)&gt;0,"nicht vollständig eingeplant",IF($D404=0,"kein Schnittplan oder Preis",IF($H404="","keine Schneiddaten",IF(AND(Auftrag!$AF404&lt;&gt;"",Auftrag!$AG404=""),"Gewinde ungeprüft","")))))</f>
        <v/>
      </c>
      <c r="X404" s="18">
        <f>IF($A404="","",$F404*$C404)</f>
        <v/>
      </c>
      <c r="Y404" s="18">
        <f>IF($A404="","",$Q404*$C404)</f>
        <v/>
      </c>
    </row>
    <row r="405">
      <c r="A405" s="25">
        <f>IF(Auftrag!$D405="","",Auftrag!$A405)</f>
        <v/>
      </c>
      <c r="B405" s="25">
        <f>IF($A405="","",Auftrag!$B405)</f>
        <v/>
      </c>
      <c r="C405" s="15">
        <f>IF($A405="","",N(Auftrag!$G405))</f>
        <v/>
      </c>
      <c r="D405" s="18">
        <f>IF($A405="","",SUMIFS(Schnittplan!$R$5:$R$1004,Schnittplan!$B$5:$B$1004,Auftrag!$D405,Schnittplan!$C$5:$C$1004,Auftrag!$E405,Schnittplan!$D$5:$D$1004,Auftrag!$Q405))</f>
        <v/>
      </c>
      <c r="E405" s="32">
        <f>IF($A405="","",IFERROR(N(Auftrag!$P405)/SUMIFS(Auftrag!$P$13:$P$512,Auftrag!$D$13:$D$512,Auftrag!$D405,Auftrag!$E$13:$E$512,Auftrag!$E405,Auftrag!$Q$13:$Q$512,Auftrag!$Q405),0))</f>
        <v/>
      </c>
      <c r="F405" s="33">
        <f>IF($A405="","",IF($C405=0,0,$D405*$E405/$C405))</f>
        <v/>
      </c>
      <c r="G405" s="34">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5">
        <f>IF($A405="","",IF($H405="","",60*((N(Auftrag!$H405)-N(Auftrag!$AI405)-N(Auftrag!$AK405))/$H405+N(Auftrag!$AI405)/$J405+N(Auftrag!$AK405)/$I405+N(Auftrag!$AD405)/$K405)+N(Auftrag!$I405)*$L405))</f>
        <v/>
      </c>
      <c r="N405" s="35">
        <f>IF($A405="","",IF(OR($H405="",$C405=0),0,(60*SUMIFS(Stangenbelegung!$K$5:$K$10004,Stangenbelegung!$E$5:$E$10004,ROW())/$H405+SUMIFS(Stangenbelegung!$L$5:$L$10004,Stangenbelegung!$E$5:$E$10004,ROW())*$L405)/$C405))</f>
        <v/>
      </c>
      <c r="O405" s="35">
        <f>IF($A405="","",IF($M405="","",MAX(0,$M405-$N405)))</f>
        <v/>
      </c>
      <c r="P405" s="35">
        <f>IF($A405="","",IFERROR(SUMPRODUCT(--("0"&amp;TRIM(RIGHT(SUBSTITUTE(LEFT(";"&amp;SUBSTITUTE(UPPER(Auftrag!$AG405)," ","")&amp;";"&amp;"X"&amp;UPPER(Gewinde!$A$5:$A$54)&amp;";",SEARCH("X"&amp;UPPER(Gewinde!$A$5:$A$54)&amp;";",";"&amp;SUBSTITUTE(UPPER(Auftrag!$AG405)," ","")&amp;";"&amp;"X"&amp;UPPER(Gewinde!$A$5:$A$54)&amp;";")-1),";",REPT(" ",50)),50))),Gewinde!$C$5:$C$54),0))</f>
        <v/>
      </c>
      <c r="Q405" s="33">
        <f>IF($A405="","",(N($O405)+$P405)/3600*N(Auftrag!$H$8))</f>
        <v/>
      </c>
      <c r="R405" s="33">
        <f>IF($A405="","",IF($F$8=0,0,$F$7/$F$8))</f>
        <v/>
      </c>
      <c r="S405" s="33">
        <f>IF($A405="","",$F405*(1+$C$4)+($Q405+$R405)*(1+$C$5))</f>
        <v/>
      </c>
      <c r="T405" s="33">
        <f>IF($A405="","",$S405*(1+$C$6))</f>
        <v/>
      </c>
      <c r="U405" s="18">
        <f>IF($A405="","",$T405*$C405)</f>
        <v/>
      </c>
      <c r="V405" s="18">
        <f>IF($A405="","",$S405*$C405)</f>
        <v/>
      </c>
      <c r="W405" s="28">
        <f>IF($A405="","",IF(N(Auftrag!$AO405)&gt;0,"nicht vollständig eingeplant",IF($D405=0,"kein Schnittplan oder Preis",IF($H405="","keine Schneiddaten",IF(AND(Auftrag!$AF405&lt;&gt;"",Auftrag!$AG405=""),"Gewinde ungeprüft","")))))</f>
        <v/>
      </c>
      <c r="X405" s="18">
        <f>IF($A405="","",$F405*$C405)</f>
        <v/>
      </c>
      <c r="Y405" s="18">
        <f>IF($A405="","",$Q405*$C405)</f>
        <v/>
      </c>
    </row>
    <row r="406">
      <c r="A406" s="25">
        <f>IF(Auftrag!$D406="","",Auftrag!$A406)</f>
        <v/>
      </c>
      <c r="B406" s="25">
        <f>IF($A406="","",Auftrag!$B406)</f>
        <v/>
      </c>
      <c r="C406" s="15">
        <f>IF($A406="","",N(Auftrag!$G406))</f>
        <v/>
      </c>
      <c r="D406" s="18">
        <f>IF($A406="","",SUMIFS(Schnittplan!$R$5:$R$1004,Schnittplan!$B$5:$B$1004,Auftrag!$D406,Schnittplan!$C$5:$C$1004,Auftrag!$E406,Schnittplan!$D$5:$D$1004,Auftrag!$Q406))</f>
        <v/>
      </c>
      <c r="E406" s="32">
        <f>IF($A406="","",IFERROR(N(Auftrag!$P406)/SUMIFS(Auftrag!$P$13:$P$512,Auftrag!$D$13:$D$512,Auftrag!$D406,Auftrag!$E$13:$E$512,Auftrag!$E406,Auftrag!$Q$13:$Q$512,Auftrag!$Q406),0))</f>
        <v/>
      </c>
      <c r="F406" s="33">
        <f>IF($A406="","",IF($C406=0,0,$D406*$E406/$C406))</f>
        <v/>
      </c>
      <c r="G406" s="34">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5">
        <f>IF($A406="","",IF($H406="","",60*((N(Auftrag!$H406)-N(Auftrag!$AI406)-N(Auftrag!$AK406))/$H406+N(Auftrag!$AI406)/$J406+N(Auftrag!$AK406)/$I406+N(Auftrag!$AD406)/$K406)+N(Auftrag!$I406)*$L406))</f>
        <v/>
      </c>
      <c r="N406" s="35">
        <f>IF($A406="","",IF(OR($H406="",$C406=0),0,(60*SUMIFS(Stangenbelegung!$K$5:$K$10004,Stangenbelegung!$E$5:$E$10004,ROW())/$H406+SUMIFS(Stangenbelegung!$L$5:$L$10004,Stangenbelegung!$E$5:$E$10004,ROW())*$L406)/$C406))</f>
        <v/>
      </c>
      <c r="O406" s="35">
        <f>IF($A406="","",IF($M406="","",MAX(0,$M406-$N406)))</f>
        <v/>
      </c>
      <c r="P406" s="35">
        <f>IF($A406="","",IFERROR(SUMPRODUCT(--("0"&amp;TRIM(RIGHT(SUBSTITUTE(LEFT(";"&amp;SUBSTITUTE(UPPER(Auftrag!$AG406)," ","")&amp;";"&amp;"X"&amp;UPPER(Gewinde!$A$5:$A$54)&amp;";",SEARCH("X"&amp;UPPER(Gewinde!$A$5:$A$54)&amp;";",";"&amp;SUBSTITUTE(UPPER(Auftrag!$AG406)," ","")&amp;";"&amp;"X"&amp;UPPER(Gewinde!$A$5:$A$54)&amp;";")-1),";",REPT(" ",50)),50))),Gewinde!$C$5:$C$54),0))</f>
        <v/>
      </c>
      <c r="Q406" s="33">
        <f>IF($A406="","",(N($O406)+$P406)/3600*N(Auftrag!$H$8))</f>
        <v/>
      </c>
      <c r="R406" s="33">
        <f>IF($A406="","",IF($F$8=0,0,$F$7/$F$8))</f>
        <v/>
      </c>
      <c r="S406" s="33">
        <f>IF($A406="","",$F406*(1+$C$4)+($Q406+$R406)*(1+$C$5))</f>
        <v/>
      </c>
      <c r="T406" s="33">
        <f>IF($A406="","",$S406*(1+$C$6))</f>
        <v/>
      </c>
      <c r="U406" s="18">
        <f>IF($A406="","",$T406*$C406)</f>
        <v/>
      </c>
      <c r="V406" s="18">
        <f>IF($A406="","",$S406*$C406)</f>
        <v/>
      </c>
      <c r="W406" s="28">
        <f>IF($A406="","",IF(N(Auftrag!$AO406)&gt;0,"nicht vollständig eingeplant",IF($D406=0,"kein Schnittplan oder Preis",IF($H406="","keine Schneiddaten",IF(AND(Auftrag!$AF406&lt;&gt;"",Auftrag!$AG406=""),"Gewinde ungeprüft","")))))</f>
        <v/>
      </c>
      <c r="X406" s="18">
        <f>IF($A406="","",$F406*$C406)</f>
        <v/>
      </c>
      <c r="Y406" s="18">
        <f>IF($A406="","",$Q406*$C406)</f>
        <v/>
      </c>
    </row>
    <row r="407">
      <c r="A407" s="25">
        <f>IF(Auftrag!$D407="","",Auftrag!$A407)</f>
        <v/>
      </c>
      <c r="B407" s="25">
        <f>IF($A407="","",Auftrag!$B407)</f>
        <v/>
      </c>
      <c r="C407" s="15">
        <f>IF($A407="","",N(Auftrag!$G407))</f>
        <v/>
      </c>
      <c r="D407" s="18">
        <f>IF($A407="","",SUMIFS(Schnittplan!$R$5:$R$1004,Schnittplan!$B$5:$B$1004,Auftrag!$D407,Schnittplan!$C$5:$C$1004,Auftrag!$E407,Schnittplan!$D$5:$D$1004,Auftrag!$Q407))</f>
        <v/>
      </c>
      <c r="E407" s="32">
        <f>IF($A407="","",IFERROR(N(Auftrag!$P407)/SUMIFS(Auftrag!$P$13:$P$512,Auftrag!$D$13:$D$512,Auftrag!$D407,Auftrag!$E$13:$E$512,Auftrag!$E407,Auftrag!$Q$13:$Q$512,Auftrag!$Q407),0))</f>
        <v/>
      </c>
      <c r="F407" s="33">
        <f>IF($A407="","",IF($C407=0,0,$D407*$E407/$C407))</f>
        <v/>
      </c>
      <c r="G407" s="34">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5">
        <f>IF($A407="","",IF($H407="","",60*((N(Auftrag!$H407)-N(Auftrag!$AI407)-N(Auftrag!$AK407))/$H407+N(Auftrag!$AI407)/$J407+N(Auftrag!$AK407)/$I407+N(Auftrag!$AD407)/$K407)+N(Auftrag!$I407)*$L407))</f>
        <v/>
      </c>
      <c r="N407" s="35">
        <f>IF($A407="","",IF(OR($H407="",$C407=0),0,(60*SUMIFS(Stangenbelegung!$K$5:$K$10004,Stangenbelegung!$E$5:$E$10004,ROW())/$H407+SUMIFS(Stangenbelegung!$L$5:$L$10004,Stangenbelegung!$E$5:$E$10004,ROW())*$L407)/$C407))</f>
        <v/>
      </c>
      <c r="O407" s="35">
        <f>IF($A407="","",IF($M407="","",MAX(0,$M407-$N407)))</f>
        <v/>
      </c>
      <c r="P407" s="35">
        <f>IF($A407="","",IFERROR(SUMPRODUCT(--("0"&amp;TRIM(RIGHT(SUBSTITUTE(LEFT(";"&amp;SUBSTITUTE(UPPER(Auftrag!$AG407)," ","")&amp;";"&amp;"X"&amp;UPPER(Gewinde!$A$5:$A$54)&amp;";",SEARCH("X"&amp;UPPER(Gewinde!$A$5:$A$54)&amp;";",";"&amp;SUBSTITUTE(UPPER(Auftrag!$AG407)," ","")&amp;";"&amp;"X"&amp;UPPER(Gewinde!$A$5:$A$54)&amp;";")-1),";",REPT(" ",50)),50))),Gewinde!$C$5:$C$54),0))</f>
        <v/>
      </c>
      <c r="Q407" s="33">
        <f>IF($A407="","",(N($O407)+$P407)/3600*N(Auftrag!$H$8))</f>
        <v/>
      </c>
      <c r="R407" s="33">
        <f>IF($A407="","",IF($F$8=0,0,$F$7/$F$8))</f>
        <v/>
      </c>
      <c r="S407" s="33">
        <f>IF($A407="","",$F407*(1+$C$4)+($Q407+$R407)*(1+$C$5))</f>
        <v/>
      </c>
      <c r="T407" s="33">
        <f>IF($A407="","",$S407*(1+$C$6))</f>
        <v/>
      </c>
      <c r="U407" s="18">
        <f>IF($A407="","",$T407*$C407)</f>
        <v/>
      </c>
      <c r="V407" s="18">
        <f>IF($A407="","",$S407*$C407)</f>
        <v/>
      </c>
      <c r="W407" s="28">
        <f>IF($A407="","",IF(N(Auftrag!$AO407)&gt;0,"nicht vollständig eingeplant",IF($D407=0,"kein Schnittplan oder Preis",IF($H407="","keine Schneiddaten",IF(AND(Auftrag!$AF407&lt;&gt;"",Auftrag!$AG407=""),"Gewinde ungeprüft","")))))</f>
        <v/>
      </c>
      <c r="X407" s="18">
        <f>IF($A407="","",$F407*$C407)</f>
        <v/>
      </c>
      <c r="Y407" s="18">
        <f>IF($A407="","",$Q407*$C407)</f>
        <v/>
      </c>
    </row>
    <row r="408">
      <c r="A408" s="25">
        <f>IF(Auftrag!$D408="","",Auftrag!$A408)</f>
        <v/>
      </c>
      <c r="B408" s="25">
        <f>IF($A408="","",Auftrag!$B408)</f>
        <v/>
      </c>
      <c r="C408" s="15">
        <f>IF($A408="","",N(Auftrag!$G408))</f>
        <v/>
      </c>
      <c r="D408" s="18">
        <f>IF($A408="","",SUMIFS(Schnittplan!$R$5:$R$1004,Schnittplan!$B$5:$B$1004,Auftrag!$D408,Schnittplan!$C$5:$C$1004,Auftrag!$E408,Schnittplan!$D$5:$D$1004,Auftrag!$Q408))</f>
        <v/>
      </c>
      <c r="E408" s="32">
        <f>IF($A408="","",IFERROR(N(Auftrag!$P408)/SUMIFS(Auftrag!$P$13:$P$512,Auftrag!$D$13:$D$512,Auftrag!$D408,Auftrag!$E$13:$E$512,Auftrag!$E408,Auftrag!$Q$13:$Q$512,Auftrag!$Q408),0))</f>
        <v/>
      </c>
      <c r="F408" s="33">
        <f>IF($A408="","",IF($C408=0,0,$D408*$E408/$C408))</f>
        <v/>
      </c>
      <c r="G408" s="34">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5">
        <f>IF($A408="","",IF($H408="","",60*((N(Auftrag!$H408)-N(Auftrag!$AI408)-N(Auftrag!$AK408))/$H408+N(Auftrag!$AI408)/$J408+N(Auftrag!$AK408)/$I408+N(Auftrag!$AD408)/$K408)+N(Auftrag!$I408)*$L408))</f>
        <v/>
      </c>
      <c r="N408" s="35">
        <f>IF($A408="","",IF(OR($H408="",$C408=0),0,(60*SUMIFS(Stangenbelegung!$K$5:$K$10004,Stangenbelegung!$E$5:$E$10004,ROW())/$H408+SUMIFS(Stangenbelegung!$L$5:$L$10004,Stangenbelegung!$E$5:$E$10004,ROW())*$L408)/$C408))</f>
        <v/>
      </c>
      <c r="O408" s="35">
        <f>IF($A408="","",IF($M408="","",MAX(0,$M408-$N408)))</f>
        <v/>
      </c>
      <c r="P408" s="35">
        <f>IF($A408="","",IFERROR(SUMPRODUCT(--("0"&amp;TRIM(RIGHT(SUBSTITUTE(LEFT(";"&amp;SUBSTITUTE(UPPER(Auftrag!$AG408)," ","")&amp;";"&amp;"X"&amp;UPPER(Gewinde!$A$5:$A$54)&amp;";",SEARCH("X"&amp;UPPER(Gewinde!$A$5:$A$54)&amp;";",";"&amp;SUBSTITUTE(UPPER(Auftrag!$AG408)," ","")&amp;";"&amp;"X"&amp;UPPER(Gewinde!$A$5:$A$54)&amp;";")-1),";",REPT(" ",50)),50))),Gewinde!$C$5:$C$54),0))</f>
        <v/>
      </c>
      <c r="Q408" s="33">
        <f>IF($A408="","",(N($O408)+$P408)/3600*N(Auftrag!$H$8))</f>
        <v/>
      </c>
      <c r="R408" s="33">
        <f>IF($A408="","",IF($F$8=0,0,$F$7/$F$8))</f>
        <v/>
      </c>
      <c r="S408" s="33">
        <f>IF($A408="","",$F408*(1+$C$4)+($Q408+$R408)*(1+$C$5))</f>
        <v/>
      </c>
      <c r="T408" s="33">
        <f>IF($A408="","",$S408*(1+$C$6))</f>
        <v/>
      </c>
      <c r="U408" s="18">
        <f>IF($A408="","",$T408*$C408)</f>
        <v/>
      </c>
      <c r="V408" s="18">
        <f>IF($A408="","",$S408*$C408)</f>
        <v/>
      </c>
      <c r="W408" s="28">
        <f>IF($A408="","",IF(N(Auftrag!$AO408)&gt;0,"nicht vollständig eingeplant",IF($D408=0,"kein Schnittplan oder Preis",IF($H408="","keine Schneiddaten",IF(AND(Auftrag!$AF408&lt;&gt;"",Auftrag!$AG408=""),"Gewinde ungeprüft","")))))</f>
        <v/>
      </c>
      <c r="X408" s="18">
        <f>IF($A408="","",$F408*$C408)</f>
        <v/>
      </c>
      <c r="Y408" s="18">
        <f>IF($A408="","",$Q408*$C408)</f>
        <v/>
      </c>
    </row>
    <row r="409">
      <c r="A409" s="25">
        <f>IF(Auftrag!$D409="","",Auftrag!$A409)</f>
        <v/>
      </c>
      <c r="B409" s="25">
        <f>IF($A409="","",Auftrag!$B409)</f>
        <v/>
      </c>
      <c r="C409" s="15">
        <f>IF($A409="","",N(Auftrag!$G409))</f>
        <v/>
      </c>
      <c r="D409" s="18">
        <f>IF($A409="","",SUMIFS(Schnittplan!$R$5:$R$1004,Schnittplan!$B$5:$B$1004,Auftrag!$D409,Schnittplan!$C$5:$C$1004,Auftrag!$E409,Schnittplan!$D$5:$D$1004,Auftrag!$Q409))</f>
        <v/>
      </c>
      <c r="E409" s="32">
        <f>IF($A409="","",IFERROR(N(Auftrag!$P409)/SUMIFS(Auftrag!$P$13:$P$512,Auftrag!$D$13:$D$512,Auftrag!$D409,Auftrag!$E$13:$E$512,Auftrag!$E409,Auftrag!$Q$13:$Q$512,Auftrag!$Q409),0))</f>
        <v/>
      </c>
      <c r="F409" s="33">
        <f>IF($A409="","",IF($C409=0,0,$D409*$E409/$C409))</f>
        <v/>
      </c>
      <c r="G409" s="34">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5">
        <f>IF($A409="","",IF($H409="","",60*((N(Auftrag!$H409)-N(Auftrag!$AI409)-N(Auftrag!$AK409))/$H409+N(Auftrag!$AI409)/$J409+N(Auftrag!$AK409)/$I409+N(Auftrag!$AD409)/$K409)+N(Auftrag!$I409)*$L409))</f>
        <v/>
      </c>
      <c r="N409" s="35">
        <f>IF($A409="","",IF(OR($H409="",$C409=0),0,(60*SUMIFS(Stangenbelegung!$K$5:$K$10004,Stangenbelegung!$E$5:$E$10004,ROW())/$H409+SUMIFS(Stangenbelegung!$L$5:$L$10004,Stangenbelegung!$E$5:$E$10004,ROW())*$L409)/$C409))</f>
        <v/>
      </c>
      <c r="O409" s="35">
        <f>IF($A409="","",IF($M409="","",MAX(0,$M409-$N409)))</f>
        <v/>
      </c>
      <c r="P409" s="35">
        <f>IF($A409="","",IFERROR(SUMPRODUCT(--("0"&amp;TRIM(RIGHT(SUBSTITUTE(LEFT(";"&amp;SUBSTITUTE(UPPER(Auftrag!$AG409)," ","")&amp;";"&amp;"X"&amp;UPPER(Gewinde!$A$5:$A$54)&amp;";",SEARCH("X"&amp;UPPER(Gewinde!$A$5:$A$54)&amp;";",";"&amp;SUBSTITUTE(UPPER(Auftrag!$AG409)," ","")&amp;";"&amp;"X"&amp;UPPER(Gewinde!$A$5:$A$54)&amp;";")-1),";",REPT(" ",50)),50))),Gewinde!$C$5:$C$54),0))</f>
        <v/>
      </c>
      <c r="Q409" s="33">
        <f>IF($A409="","",(N($O409)+$P409)/3600*N(Auftrag!$H$8))</f>
        <v/>
      </c>
      <c r="R409" s="33">
        <f>IF($A409="","",IF($F$8=0,0,$F$7/$F$8))</f>
        <v/>
      </c>
      <c r="S409" s="33">
        <f>IF($A409="","",$F409*(1+$C$4)+($Q409+$R409)*(1+$C$5))</f>
        <v/>
      </c>
      <c r="T409" s="33">
        <f>IF($A409="","",$S409*(1+$C$6))</f>
        <v/>
      </c>
      <c r="U409" s="18">
        <f>IF($A409="","",$T409*$C409)</f>
        <v/>
      </c>
      <c r="V409" s="18">
        <f>IF($A409="","",$S409*$C409)</f>
        <v/>
      </c>
      <c r="W409" s="28">
        <f>IF($A409="","",IF(N(Auftrag!$AO409)&gt;0,"nicht vollständig eingeplant",IF($D409=0,"kein Schnittplan oder Preis",IF($H409="","keine Schneiddaten",IF(AND(Auftrag!$AF409&lt;&gt;"",Auftrag!$AG409=""),"Gewinde ungeprüft","")))))</f>
        <v/>
      </c>
      <c r="X409" s="18">
        <f>IF($A409="","",$F409*$C409)</f>
        <v/>
      </c>
      <c r="Y409" s="18">
        <f>IF($A409="","",$Q409*$C409)</f>
        <v/>
      </c>
    </row>
    <row r="410">
      <c r="A410" s="25">
        <f>IF(Auftrag!$D410="","",Auftrag!$A410)</f>
        <v/>
      </c>
      <c r="B410" s="25">
        <f>IF($A410="","",Auftrag!$B410)</f>
        <v/>
      </c>
      <c r="C410" s="15">
        <f>IF($A410="","",N(Auftrag!$G410))</f>
        <v/>
      </c>
      <c r="D410" s="18">
        <f>IF($A410="","",SUMIFS(Schnittplan!$R$5:$R$1004,Schnittplan!$B$5:$B$1004,Auftrag!$D410,Schnittplan!$C$5:$C$1004,Auftrag!$E410,Schnittplan!$D$5:$D$1004,Auftrag!$Q410))</f>
        <v/>
      </c>
      <c r="E410" s="32">
        <f>IF($A410="","",IFERROR(N(Auftrag!$P410)/SUMIFS(Auftrag!$P$13:$P$512,Auftrag!$D$13:$D$512,Auftrag!$D410,Auftrag!$E$13:$E$512,Auftrag!$E410,Auftrag!$Q$13:$Q$512,Auftrag!$Q410),0))</f>
        <v/>
      </c>
      <c r="F410" s="33">
        <f>IF($A410="","",IF($C410=0,0,$D410*$E410/$C410))</f>
        <v/>
      </c>
      <c r="G410" s="34">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5">
        <f>IF($A410="","",IF($H410="","",60*((N(Auftrag!$H410)-N(Auftrag!$AI410)-N(Auftrag!$AK410))/$H410+N(Auftrag!$AI410)/$J410+N(Auftrag!$AK410)/$I410+N(Auftrag!$AD410)/$K410)+N(Auftrag!$I410)*$L410))</f>
        <v/>
      </c>
      <c r="N410" s="35">
        <f>IF($A410="","",IF(OR($H410="",$C410=0),0,(60*SUMIFS(Stangenbelegung!$K$5:$K$10004,Stangenbelegung!$E$5:$E$10004,ROW())/$H410+SUMIFS(Stangenbelegung!$L$5:$L$10004,Stangenbelegung!$E$5:$E$10004,ROW())*$L410)/$C410))</f>
        <v/>
      </c>
      <c r="O410" s="35">
        <f>IF($A410="","",IF($M410="","",MAX(0,$M410-$N410)))</f>
        <v/>
      </c>
      <c r="P410" s="35">
        <f>IF($A410="","",IFERROR(SUMPRODUCT(--("0"&amp;TRIM(RIGHT(SUBSTITUTE(LEFT(";"&amp;SUBSTITUTE(UPPER(Auftrag!$AG410)," ","")&amp;";"&amp;"X"&amp;UPPER(Gewinde!$A$5:$A$54)&amp;";",SEARCH("X"&amp;UPPER(Gewinde!$A$5:$A$54)&amp;";",";"&amp;SUBSTITUTE(UPPER(Auftrag!$AG410)," ","")&amp;";"&amp;"X"&amp;UPPER(Gewinde!$A$5:$A$54)&amp;";")-1),";",REPT(" ",50)),50))),Gewinde!$C$5:$C$54),0))</f>
        <v/>
      </c>
      <c r="Q410" s="33">
        <f>IF($A410="","",(N($O410)+$P410)/3600*N(Auftrag!$H$8))</f>
        <v/>
      </c>
      <c r="R410" s="33">
        <f>IF($A410="","",IF($F$8=0,0,$F$7/$F$8))</f>
        <v/>
      </c>
      <c r="S410" s="33">
        <f>IF($A410="","",$F410*(1+$C$4)+($Q410+$R410)*(1+$C$5))</f>
        <v/>
      </c>
      <c r="T410" s="33">
        <f>IF($A410="","",$S410*(1+$C$6))</f>
        <v/>
      </c>
      <c r="U410" s="18">
        <f>IF($A410="","",$T410*$C410)</f>
        <v/>
      </c>
      <c r="V410" s="18">
        <f>IF($A410="","",$S410*$C410)</f>
        <v/>
      </c>
      <c r="W410" s="28">
        <f>IF($A410="","",IF(N(Auftrag!$AO410)&gt;0,"nicht vollständig eingeplant",IF($D410=0,"kein Schnittplan oder Preis",IF($H410="","keine Schneiddaten",IF(AND(Auftrag!$AF410&lt;&gt;"",Auftrag!$AG410=""),"Gewinde ungeprüft","")))))</f>
        <v/>
      </c>
      <c r="X410" s="18">
        <f>IF($A410="","",$F410*$C410)</f>
        <v/>
      </c>
      <c r="Y410" s="18">
        <f>IF($A410="","",$Q410*$C410)</f>
        <v/>
      </c>
    </row>
    <row r="411">
      <c r="A411" s="25">
        <f>IF(Auftrag!$D411="","",Auftrag!$A411)</f>
        <v/>
      </c>
      <c r="B411" s="25">
        <f>IF($A411="","",Auftrag!$B411)</f>
        <v/>
      </c>
      <c r="C411" s="15">
        <f>IF($A411="","",N(Auftrag!$G411))</f>
        <v/>
      </c>
      <c r="D411" s="18">
        <f>IF($A411="","",SUMIFS(Schnittplan!$R$5:$R$1004,Schnittplan!$B$5:$B$1004,Auftrag!$D411,Schnittplan!$C$5:$C$1004,Auftrag!$E411,Schnittplan!$D$5:$D$1004,Auftrag!$Q411))</f>
        <v/>
      </c>
      <c r="E411" s="32">
        <f>IF($A411="","",IFERROR(N(Auftrag!$P411)/SUMIFS(Auftrag!$P$13:$P$512,Auftrag!$D$13:$D$512,Auftrag!$D411,Auftrag!$E$13:$E$512,Auftrag!$E411,Auftrag!$Q$13:$Q$512,Auftrag!$Q411),0))</f>
        <v/>
      </c>
      <c r="F411" s="33">
        <f>IF($A411="","",IF($C411=0,0,$D411*$E411/$C411))</f>
        <v/>
      </c>
      <c r="G411" s="34">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5">
        <f>IF($A411="","",IF($H411="","",60*((N(Auftrag!$H411)-N(Auftrag!$AI411)-N(Auftrag!$AK411))/$H411+N(Auftrag!$AI411)/$J411+N(Auftrag!$AK411)/$I411+N(Auftrag!$AD411)/$K411)+N(Auftrag!$I411)*$L411))</f>
        <v/>
      </c>
      <c r="N411" s="35">
        <f>IF($A411="","",IF(OR($H411="",$C411=0),0,(60*SUMIFS(Stangenbelegung!$K$5:$K$10004,Stangenbelegung!$E$5:$E$10004,ROW())/$H411+SUMIFS(Stangenbelegung!$L$5:$L$10004,Stangenbelegung!$E$5:$E$10004,ROW())*$L411)/$C411))</f>
        <v/>
      </c>
      <c r="O411" s="35">
        <f>IF($A411="","",IF($M411="","",MAX(0,$M411-$N411)))</f>
        <v/>
      </c>
      <c r="P411" s="35">
        <f>IF($A411="","",IFERROR(SUMPRODUCT(--("0"&amp;TRIM(RIGHT(SUBSTITUTE(LEFT(";"&amp;SUBSTITUTE(UPPER(Auftrag!$AG411)," ","")&amp;";"&amp;"X"&amp;UPPER(Gewinde!$A$5:$A$54)&amp;";",SEARCH("X"&amp;UPPER(Gewinde!$A$5:$A$54)&amp;";",";"&amp;SUBSTITUTE(UPPER(Auftrag!$AG411)," ","")&amp;";"&amp;"X"&amp;UPPER(Gewinde!$A$5:$A$54)&amp;";")-1),";",REPT(" ",50)),50))),Gewinde!$C$5:$C$54),0))</f>
        <v/>
      </c>
      <c r="Q411" s="33">
        <f>IF($A411="","",(N($O411)+$P411)/3600*N(Auftrag!$H$8))</f>
        <v/>
      </c>
      <c r="R411" s="33">
        <f>IF($A411="","",IF($F$8=0,0,$F$7/$F$8))</f>
        <v/>
      </c>
      <c r="S411" s="33">
        <f>IF($A411="","",$F411*(1+$C$4)+($Q411+$R411)*(1+$C$5))</f>
        <v/>
      </c>
      <c r="T411" s="33">
        <f>IF($A411="","",$S411*(1+$C$6))</f>
        <v/>
      </c>
      <c r="U411" s="18">
        <f>IF($A411="","",$T411*$C411)</f>
        <v/>
      </c>
      <c r="V411" s="18">
        <f>IF($A411="","",$S411*$C411)</f>
        <v/>
      </c>
      <c r="W411" s="28">
        <f>IF($A411="","",IF(N(Auftrag!$AO411)&gt;0,"nicht vollständig eingeplant",IF($D411=0,"kein Schnittplan oder Preis",IF($H411="","keine Schneiddaten",IF(AND(Auftrag!$AF411&lt;&gt;"",Auftrag!$AG411=""),"Gewinde ungeprüft","")))))</f>
        <v/>
      </c>
      <c r="X411" s="18">
        <f>IF($A411="","",$F411*$C411)</f>
        <v/>
      </c>
      <c r="Y411" s="18">
        <f>IF($A411="","",$Q411*$C411)</f>
        <v/>
      </c>
    </row>
    <row r="412">
      <c r="A412" s="25">
        <f>IF(Auftrag!$D412="","",Auftrag!$A412)</f>
        <v/>
      </c>
      <c r="B412" s="25">
        <f>IF($A412="","",Auftrag!$B412)</f>
        <v/>
      </c>
      <c r="C412" s="15">
        <f>IF($A412="","",N(Auftrag!$G412))</f>
        <v/>
      </c>
      <c r="D412" s="18">
        <f>IF($A412="","",SUMIFS(Schnittplan!$R$5:$R$1004,Schnittplan!$B$5:$B$1004,Auftrag!$D412,Schnittplan!$C$5:$C$1004,Auftrag!$E412,Schnittplan!$D$5:$D$1004,Auftrag!$Q412))</f>
        <v/>
      </c>
      <c r="E412" s="32">
        <f>IF($A412="","",IFERROR(N(Auftrag!$P412)/SUMIFS(Auftrag!$P$13:$P$512,Auftrag!$D$13:$D$512,Auftrag!$D412,Auftrag!$E$13:$E$512,Auftrag!$E412,Auftrag!$Q$13:$Q$512,Auftrag!$Q412),0))</f>
        <v/>
      </c>
      <c r="F412" s="33">
        <f>IF($A412="","",IF($C412=0,0,$D412*$E412/$C412))</f>
        <v/>
      </c>
      <c r="G412" s="34">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5">
        <f>IF($A412="","",IF($H412="","",60*((N(Auftrag!$H412)-N(Auftrag!$AI412)-N(Auftrag!$AK412))/$H412+N(Auftrag!$AI412)/$J412+N(Auftrag!$AK412)/$I412+N(Auftrag!$AD412)/$K412)+N(Auftrag!$I412)*$L412))</f>
        <v/>
      </c>
      <c r="N412" s="35">
        <f>IF($A412="","",IF(OR($H412="",$C412=0),0,(60*SUMIFS(Stangenbelegung!$K$5:$K$10004,Stangenbelegung!$E$5:$E$10004,ROW())/$H412+SUMIFS(Stangenbelegung!$L$5:$L$10004,Stangenbelegung!$E$5:$E$10004,ROW())*$L412)/$C412))</f>
        <v/>
      </c>
      <c r="O412" s="35">
        <f>IF($A412="","",IF($M412="","",MAX(0,$M412-$N412)))</f>
        <v/>
      </c>
      <c r="P412" s="35">
        <f>IF($A412="","",IFERROR(SUMPRODUCT(--("0"&amp;TRIM(RIGHT(SUBSTITUTE(LEFT(";"&amp;SUBSTITUTE(UPPER(Auftrag!$AG412)," ","")&amp;";"&amp;"X"&amp;UPPER(Gewinde!$A$5:$A$54)&amp;";",SEARCH("X"&amp;UPPER(Gewinde!$A$5:$A$54)&amp;";",";"&amp;SUBSTITUTE(UPPER(Auftrag!$AG412)," ","")&amp;";"&amp;"X"&amp;UPPER(Gewinde!$A$5:$A$54)&amp;";")-1),";",REPT(" ",50)),50))),Gewinde!$C$5:$C$54),0))</f>
        <v/>
      </c>
      <c r="Q412" s="33">
        <f>IF($A412="","",(N($O412)+$P412)/3600*N(Auftrag!$H$8))</f>
        <v/>
      </c>
      <c r="R412" s="33">
        <f>IF($A412="","",IF($F$8=0,0,$F$7/$F$8))</f>
        <v/>
      </c>
      <c r="S412" s="33">
        <f>IF($A412="","",$F412*(1+$C$4)+($Q412+$R412)*(1+$C$5))</f>
        <v/>
      </c>
      <c r="T412" s="33">
        <f>IF($A412="","",$S412*(1+$C$6))</f>
        <v/>
      </c>
      <c r="U412" s="18">
        <f>IF($A412="","",$T412*$C412)</f>
        <v/>
      </c>
      <c r="V412" s="18">
        <f>IF($A412="","",$S412*$C412)</f>
        <v/>
      </c>
      <c r="W412" s="28">
        <f>IF($A412="","",IF(N(Auftrag!$AO412)&gt;0,"nicht vollständig eingeplant",IF($D412=0,"kein Schnittplan oder Preis",IF($H412="","keine Schneiddaten",IF(AND(Auftrag!$AF412&lt;&gt;"",Auftrag!$AG412=""),"Gewinde ungeprüft","")))))</f>
        <v/>
      </c>
      <c r="X412" s="18">
        <f>IF($A412="","",$F412*$C412)</f>
        <v/>
      </c>
      <c r="Y412" s="18">
        <f>IF($A412="","",$Q412*$C412)</f>
        <v/>
      </c>
    </row>
    <row r="413">
      <c r="A413" s="25">
        <f>IF(Auftrag!$D413="","",Auftrag!$A413)</f>
        <v/>
      </c>
      <c r="B413" s="25">
        <f>IF($A413="","",Auftrag!$B413)</f>
        <v/>
      </c>
      <c r="C413" s="15">
        <f>IF($A413="","",N(Auftrag!$G413))</f>
        <v/>
      </c>
      <c r="D413" s="18">
        <f>IF($A413="","",SUMIFS(Schnittplan!$R$5:$R$1004,Schnittplan!$B$5:$B$1004,Auftrag!$D413,Schnittplan!$C$5:$C$1004,Auftrag!$E413,Schnittplan!$D$5:$D$1004,Auftrag!$Q413))</f>
        <v/>
      </c>
      <c r="E413" s="32">
        <f>IF($A413="","",IFERROR(N(Auftrag!$P413)/SUMIFS(Auftrag!$P$13:$P$512,Auftrag!$D$13:$D$512,Auftrag!$D413,Auftrag!$E$13:$E$512,Auftrag!$E413,Auftrag!$Q$13:$Q$512,Auftrag!$Q413),0))</f>
        <v/>
      </c>
      <c r="F413" s="33">
        <f>IF($A413="","",IF($C413=0,0,$D413*$E413/$C413))</f>
        <v/>
      </c>
      <c r="G413" s="34">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5">
        <f>IF($A413="","",IF($H413="","",60*((N(Auftrag!$H413)-N(Auftrag!$AI413)-N(Auftrag!$AK413))/$H413+N(Auftrag!$AI413)/$J413+N(Auftrag!$AK413)/$I413+N(Auftrag!$AD413)/$K413)+N(Auftrag!$I413)*$L413))</f>
        <v/>
      </c>
      <c r="N413" s="35">
        <f>IF($A413="","",IF(OR($H413="",$C413=0),0,(60*SUMIFS(Stangenbelegung!$K$5:$K$10004,Stangenbelegung!$E$5:$E$10004,ROW())/$H413+SUMIFS(Stangenbelegung!$L$5:$L$10004,Stangenbelegung!$E$5:$E$10004,ROW())*$L413)/$C413))</f>
        <v/>
      </c>
      <c r="O413" s="35">
        <f>IF($A413="","",IF($M413="","",MAX(0,$M413-$N413)))</f>
        <v/>
      </c>
      <c r="P413" s="35">
        <f>IF($A413="","",IFERROR(SUMPRODUCT(--("0"&amp;TRIM(RIGHT(SUBSTITUTE(LEFT(";"&amp;SUBSTITUTE(UPPER(Auftrag!$AG413)," ","")&amp;";"&amp;"X"&amp;UPPER(Gewinde!$A$5:$A$54)&amp;";",SEARCH("X"&amp;UPPER(Gewinde!$A$5:$A$54)&amp;";",";"&amp;SUBSTITUTE(UPPER(Auftrag!$AG413)," ","")&amp;";"&amp;"X"&amp;UPPER(Gewinde!$A$5:$A$54)&amp;";")-1),";",REPT(" ",50)),50))),Gewinde!$C$5:$C$54),0))</f>
        <v/>
      </c>
      <c r="Q413" s="33">
        <f>IF($A413="","",(N($O413)+$P413)/3600*N(Auftrag!$H$8))</f>
        <v/>
      </c>
      <c r="R413" s="33">
        <f>IF($A413="","",IF($F$8=0,0,$F$7/$F$8))</f>
        <v/>
      </c>
      <c r="S413" s="33">
        <f>IF($A413="","",$F413*(1+$C$4)+($Q413+$R413)*(1+$C$5))</f>
        <v/>
      </c>
      <c r="T413" s="33">
        <f>IF($A413="","",$S413*(1+$C$6))</f>
        <v/>
      </c>
      <c r="U413" s="18">
        <f>IF($A413="","",$T413*$C413)</f>
        <v/>
      </c>
      <c r="V413" s="18">
        <f>IF($A413="","",$S413*$C413)</f>
        <v/>
      </c>
      <c r="W413" s="28">
        <f>IF($A413="","",IF(N(Auftrag!$AO413)&gt;0,"nicht vollständig eingeplant",IF($D413=0,"kein Schnittplan oder Preis",IF($H413="","keine Schneiddaten",IF(AND(Auftrag!$AF413&lt;&gt;"",Auftrag!$AG413=""),"Gewinde ungeprüft","")))))</f>
        <v/>
      </c>
      <c r="X413" s="18">
        <f>IF($A413="","",$F413*$C413)</f>
        <v/>
      </c>
      <c r="Y413" s="18">
        <f>IF($A413="","",$Q413*$C413)</f>
        <v/>
      </c>
    </row>
    <row r="414">
      <c r="A414" s="25">
        <f>IF(Auftrag!$D414="","",Auftrag!$A414)</f>
        <v/>
      </c>
      <c r="B414" s="25">
        <f>IF($A414="","",Auftrag!$B414)</f>
        <v/>
      </c>
      <c r="C414" s="15">
        <f>IF($A414="","",N(Auftrag!$G414))</f>
        <v/>
      </c>
      <c r="D414" s="18">
        <f>IF($A414="","",SUMIFS(Schnittplan!$R$5:$R$1004,Schnittplan!$B$5:$B$1004,Auftrag!$D414,Schnittplan!$C$5:$C$1004,Auftrag!$E414,Schnittplan!$D$5:$D$1004,Auftrag!$Q414))</f>
        <v/>
      </c>
      <c r="E414" s="32">
        <f>IF($A414="","",IFERROR(N(Auftrag!$P414)/SUMIFS(Auftrag!$P$13:$P$512,Auftrag!$D$13:$D$512,Auftrag!$D414,Auftrag!$E$13:$E$512,Auftrag!$E414,Auftrag!$Q$13:$Q$512,Auftrag!$Q414),0))</f>
        <v/>
      </c>
      <c r="F414" s="33">
        <f>IF($A414="","",IF($C414=0,0,$D414*$E414/$C414))</f>
        <v/>
      </c>
      <c r="G414" s="34">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5">
        <f>IF($A414="","",IF($H414="","",60*((N(Auftrag!$H414)-N(Auftrag!$AI414)-N(Auftrag!$AK414))/$H414+N(Auftrag!$AI414)/$J414+N(Auftrag!$AK414)/$I414+N(Auftrag!$AD414)/$K414)+N(Auftrag!$I414)*$L414))</f>
        <v/>
      </c>
      <c r="N414" s="35">
        <f>IF($A414="","",IF(OR($H414="",$C414=0),0,(60*SUMIFS(Stangenbelegung!$K$5:$K$10004,Stangenbelegung!$E$5:$E$10004,ROW())/$H414+SUMIFS(Stangenbelegung!$L$5:$L$10004,Stangenbelegung!$E$5:$E$10004,ROW())*$L414)/$C414))</f>
        <v/>
      </c>
      <c r="O414" s="35">
        <f>IF($A414="","",IF($M414="","",MAX(0,$M414-$N414)))</f>
        <v/>
      </c>
      <c r="P414" s="35">
        <f>IF($A414="","",IFERROR(SUMPRODUCT(--("0"&amp;TRIM(RIGHT(SUBSTITUTE(LEFT(";"&amp;SUBSTITUTE(UPPER(Auftrag!$AG414)," ","")&amp;";"&amp;"X"&amp;UPPER(Gewinde!$A$5:$A$54)&amp;";",SEARCH("X"&amp;UPPER(Gewinde!$A$5:$A$54)&amp;";",";"&amp;SUBSTITUTE(UPPER(Auftrag!$AG414)," ","")&amp;";"&amp;"X"&amp;UPPER(Gewinde!$A$5:$A$54)&amp;";")-1),";",REPT(" ",50)),50))),Gewinde!$C$5:$C$54),0))</f>
        <v/>
      </c>
      <c r="Q414" s="33">
        <f>IF($A414="","",(N($O414)+$P414)/3600*N(Auftrag!$H$8))</f>
        <v/>
      </c>
      <c r="R414" s="33">
        <f>IF($A414="","",IF($F$8=0,0,$F$7/$F$8))</f>
        <v/>
      </c>
      <c r="S414" s="33">
        <f>IF($A414="","",$F414*(1+$C$4)+($Q414+$R414)*(1+$C$5))</f>
        <v/>
      </c>
      <c r="T414" s="33">
        <f>IF($A414="","",$S414*(1+$C$6))</f>
        <v/>
      </c>
      <c r="U414" s="18">
        <f>IF($A414="","",$T414*$C414)</f>
        <v/>
      </c>
      <c r="V414" s="18">
        <f>IF($A414="","",$S414*$C414)</f>
        <v/>
      </c>
      <c r="W414" s="28">
        <f>IF($A414="","",IF(N(Auftrag!$AO414)&gt;0,"nicht vollständig eingeplant",IF($D414=0,"kein Schnittplan oder Preis",IF($H414="","keine Schneiddaten",IF(AND(Auftrag!$AF414&lt;&gt;"",Auftrag!$AG414=""),"Gewinde ungeprüft","")))))</f>
        <v/>
      </c>
      <c r="X414" s="18">
        <f>IF($A414="","",$F414*$C414)</f>
        <v/>
      </c>
      <c r="Y414" s="18">
        <f>IF($A414="","",$Q414*$C414)</f>
        <v/>
      </c>
    </row>
    <row r="415">
      <c r="A415" s="25">
        <f>IF(Auftrag!$D415="","",Auftrag!$A415)</f>
        <v/>
      </c>
      <c r="B415" s="25">
        <f>IF($A415="","",Auftrag!$B415)</f>
        <v/>
      </c>
      <c r="C415" s="15">
        <f>IF($A415="","",N(Auftrag!$G415))</f>
        <v/>
      </c>
      <c r="D415" s="18">
        <f>IF($A415="","",SUMIFS(Schnittplan!$R$5:$R$1004,Schnittplan!$B$5:$B$1004,Auftrag!$D415,Schnittplan!$C$5:$C$1004,Auftrag!$E415,Schnittplan!$D$5:$D$1004,Auftrag!$Q415))</f>
        <v/>
      </c>
      <c r="E415" s="32">
        <f>IF($A415="","",IFERROR(N(Auftrag!$P415)/SUMIFS(Auftrag!$P$13:$P$512,Auftrag!$D$13:$D$512,Auftrag!$D415,Auftrag!$E$13:$E$512,Auftrag!$E415,Auftrag!$Q$13:$Q$512,Auftrag!$Q415),0))</f>
        <v/>
      </c>
      <c r="F415" s="33">
        <f>IF($A415="","",IF($C415=0,0,$D415*$E415/$C415))</f>
        <v/>
      </c>
      <c r="G415" s="34">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5">
        <f>IF($A415="","",IF($H415="","",60*((N(Auftrag!$H415)-N(Auftrag!$AI415)-N(Auftrag!$AK415))/$H415+N(Auftrag!$AI415)/$J415+N(Auftrag!$AK415)/$I415+N(Auftrag!$AD415)/$K415)+N(Auftrag!$I415)*$L415))</f>
        <v/>
      </c>
      <c r="N415" s="35">
        <f>IF($A415="","",IF(OR($H415="",$C415=0),0,(60*SUMIFS(Stangenbelegung!$K$5:$K$10004,Stangenbelegung!$E$5:$E$10004,ROW())/$H415+SUMIFS(Stangenbelegung!$L$5:$L$10004,Stangenbelegung!$E$5:$E$10004,ROW())*$L415)/$C415))</f>
        <v/>
      </c>
      <c r="O415" s="35">
        <f>IF($A415="","",IF($M415="","",MAX(0,$M415-$N415)))</f>
        <v/>
      </c>
      <c r="P415" s="35">
        <f>IF($A415="","",IFERROR(SUMPRODUCT(--("0"&amp;TRIM(RIGHT(SUBSTITUTE(LEFT(";"&amp;SUBSTITUTE(UPPER(Auftrag!$AG415)," ","")&amp;";"&amp;"X"&amp;UPPER(Gewinde!$A$5:$A$54)&amp;";",SEARCH("X"&amp;UPPER(Gewinde!$A$5:$A$54)&amp;";",";"&amp;SUBSTITUTE(UPPER(Auftrag!$AG415)," ","")&amp;";"&amp;"X"&amp;UPPER(Gewinde!$A$5:$A$54)&amp;";")-1),";",REPT(" ",50)),50))),Gewinde!$C$5:$C$54),0))</f>
        <v/>
      </c>
      <c r="Q415" s="33">
        <f>IF($A415="","",(N($O415)+$P415)/3600*N(Auftrag!$H$8))</f>
        <v/>
      </c>
      <c r="R415" s="33">
        <f>IF($A415="","",IF($F$8=0,0,$F$7/$F$8))</f>
        <v/>
      </c>
      <c r="S415" s="33">
        <f>IF($A415="","",$F415*(1+$C$4)+($Q415+$R415)*(1+$C$5))</f>
        <v/>
      </c>
      <c r="T415" s="33">
        <f>IF($A415="","",$S415*(1+$C$6))</f>
        <v/>
      </c>
      <c r="U415" s="18">
        <f>IF($A415="","",$T415*$C415)</f>
        <v/>
      </c>
      <c r="V415" s="18">
        <f>IF($A415="","",$S415*$C415)</f>
        <v/>
      </c>
      <c r="W415" s="28">
        <f>IF($A415="","",IF(N(Auftrag!$AO415)&gt;0,"nicht vollständig eingeplant",IF($D415=0,"kein Schnittplan oder Preis",IF($H415="","keine Schneiddaten",IF(AND(Auftrag!$AF415&lt;&gt;"",Auftrag!$AG415=""),"Gewinde ungeprüft","")))))</f>
        <v/>
      </c>
      <c r="X415" s="18">
        <f>IF($A415="","",$F415*$C415)</f>
        <v/>
      </c>
      <c r="Y415" s="18">
        <f>IF($A415="","",$Q415*$C415)</f>
        <v/>
      </c>
    </row>
    <row r="416">
      <c r="A416" s="25">
        <f>IF(Auftrag!$D416="","",Auftrag!$A416)</f>
        <v/>
      </c>
      <c r="B416" s="25">
        <f>IF($A416="","",Auftrag!$B416)</f>
        <v/>
      </c>
      <c r="C416" s="15">
        <f>IF($A416="","",N(Auftrag!$G416))</f>
        <v/>
      </c>
      <c r="D416" s="18">
        <f>IF($A416="","",SUMIFS(Schnittplan!$R$5:$R$1004,Schnittplan!$B$5:$B$1004,Auftrag!$D416,Schnittplan!$C$5:$C$1004,Auftrag!$E416,Schnittplan!$D$5:$D$1004,Auftrag!$Q416))</f>
        <v/>
      </c>
      <c r="E416" s="32">
        <f>IF($A416="","",IFERROR(N(Auftrag!$P416)/SUMIFS(Auftrag!$P$13:$P$512,Auftrag!$D$13:$D$512,Auftrag!$D416,Auftrag!$E$13:$E$512,Auftrag!$E416,Auftrag!$Q$13:$Q$512,Auftrag!$Q416),0))</f>
        <v/>
      </c>
      <c r="F416" s="33">
        <f>IF($A416="","",IF($C416=0,0,$D416*$E416/$C416))</f>
        <v/>
      </c>
      <c r="G416" s="34">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5">
        <f>IF($A416="","",IF($H416="","",60*((N(Auftrag!$H416)-N(Auftrag!$AI416)-N(Auftrag!$AK416))/$H416+N(Auftrag!$AI416)/$J416+N(Auftrag!$AK416)/$I416+N(Auftrag!$AD416)/$K416)+N(Auftrag!$I416)*$L416))</f>
        <v/>
      </c>
      <c r="N416" s="35">
        <f>IF($A416="","",IF(OR($H416="",$C416=0),0,(60*SUMIFS(Stangenbelegung!$K$5:$K$10004,Stangenbelegung!$E$5:$E$10004,ROW())/$H416+SUMIFS(Stangenbelegung!$L$5:$L$10004,Stangenbelegung!$E$5:$E$10004,ROW())*$L416)/$C416))</f>
        <v/>
      </c>
      <c r="O416" s="35">
        <f>IF($A416="","",IF($M416="","",MAX(0,$M416-$N416)))</f>
        <v/>
      </c>
      <c r="P416" s="35">
        <f>IF($A416="","",IFERROR(SUMPRODUCT(--("0"&amp;TRIM(RIGHT(SUBSTITUTE(LEFT(";"&amp;SUBSTITUTE(UPPER(Auftrag!$AG416)," ","")&amp;";"&amp;"X"&amp;UPPER(Gewinde!$A$5:$A$54)&amp;";",SEARCH("X"&amp;UPPER(Gewinde!$A$5:$A$54)&amp;";",";"&amp;SUBSTITUTE(UPPER(Auftrag!$AG416)," ","")&amp;";"&amp;"X"&amp;UPPER(Gewinde!$A$5:$A$54)&amp;";")-1),";",REPT(" ",50)),50))),Gewinde!$C$5:$C$54),0))</f>
        <v/>
      </c>
      <c r="Q416" s="33">
        <f>IF($A416="","",(N($O416)+$P416)/3600*N(Auftrag!$H$8))</f>
        <v/>
      </c>
      <c r="R416" s="33">
        <f>IF($A416="","",IF($F$8=0,0,$F$7/$F$8))</f>
        <v/>
      </c>
      <c r="S416" s="33">
        <f>IF($A416="","",$F416*(1+$C$4)+($Q416+$R416)*(1+$C$5))</f>
        <v/>
      </c>
      <c r="T416" s="33">
        <f>IF($A416="","",$S416*(1+$C$6))</f>
        <v/>
      </c>
      <c r="U416" s="18">
        <f>IF($A416="","",$T416*$C416)</f>
        <v/>
      </c>
      <c r="V416" s="18">
        <f>IF($A416="","",$S416*$C416)</f>
        <v/>
      </c>
      <c r="W416" s="28">
        <f>IF($A416="","",IF(N(Auftrag!$AO416)&gt;0,"nicht vollständig eingeplant",IF($D416=0,"kein Schnittplan oder Preis",IF($H416="","keine Schneiddaten",IF(AND(Auftrag!$AF416&lt;&gt;"",Auftrag!$AG416=""),"Gewinde ungeprüft","")))))</f>
        <v/>
      </c>
      <c r="X416" s="18">
        <f>IF($A416="","",$F416*$C416)</f>
        <v/>
      </c>
      <c r="Y416" s="18">
        <f>IF($A416="","",$Q416*$C416)</f>
        <v/>
      </c>
    </row>
    <row r="417">
      <c r="A417" s="25">
        <f>IF(Auftrag!$D417="","",Auftrag!$A417)</f>
        <v/>
      </c>
      <c r="B417" s="25">
        <f>IF($A417="","",Auftrag!$B417)</f>
        <v/>
      </c>
      <c r="C417" s="15">
        <f>IF($A417="","",N(Auftrag!$G417))</f>
        <v/>
      </c>
      <c r="D417" s="18">
        <f>IF($A417="","",SUMIFS(Schnittplan!$R$5:$R$1004,Schnittplan!$B$5:$B$1004,Auftrag!$D417,Schnittplan!$C$5:$C$1004,Auftrag!$E417,Schnittplan!$D$5:$D$1004,Auftrag!$Q417))</f>
        <v/>
      </c>
      <c r="E417" s="32">
        <f>IF($A417="","",IFERROR(N(Auftrag!$P417)/SUMIFS(Auftrag!$P$13:$P$512,Auftrag!$D$13:$D$512,Auftrag!$D417,Auftrag!$E$13:$E$512,Auftrag!$E417,Auftrag!$Q$13:$Q$512,Auftrag!$Q417),0))</f>
        <v/>
      </c>
      <c r="F417" s="33">
        <f>IF($A417="","",IF($C417=0,0,$D417*$E417/$C417))</f>
        <v/>
      </c>
      <c r="G417" s="34">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5">
        <f>IF($A417="","",IF($H417="","",60*((N(Auftrag!$H417)-N(Auftrag!$AI417)-N(Auftrag!$AK417))/$H417+N(Auftrag!$AI417)/$J417+N(Auftrag!$AK417)/$I417+N(Auftrag!$AD417)/$K417)+N(Auftrag!$I417)*$L417))</f>
        <v/>
      </c>
      <c r="N417" s="35">
        <f>IF($A417="","",IF(OR($H417="",$C417=0),0,(60*SUMIFS(Stangenbelegung!$K$5:$K$10004,Stangenbelegung!$E$5:$E$10004,ROW())/$H417+SUMIFS(Stangenbelegung!$L$5:$L$10004,Stangenbelegung!$E$5:$E$10004,ROW())*$L417)/$C417))</f>
        <v/>
      </c>
      <c r="O417" s="35">
        <f>IF($A417="","",IF($M417="","",MAX(0,$M417-$N417)))</f>
        <v/>
      </c>
      <c r="P417" s="35">
        <f>IF($A417="","",IFERROR(SUMPRODUCT(--("0"&amp;TRIM(RIGHT(SUBSTITUTE(LEFT(";"&amp;SUBSTITUTE(UPPER(Auftrag!$AG417)," ","")&amp;";"&amp;"X"&amp;UPPER(Gewinde!$A$5:$A$54)&amp;";",SEARCH("X"&amp;UPPER(Gewinde!$A$5:$A$54)&amp;";",";"&amp;SUBSTITUTE(UPPER(Auftrag!$AG417)," ","")&amp;";"&amp;"X"&amp;UPPER(Gewinde!$A$5:$A$54)&amp;";")-1),";",REPT(" ",50)),50))),Gewinde!$C$5:$C$54),0))</f>
        <v/>
      </c>
      <c r="Q417" s="33">
        <f>IF($A417="","",(N($O417)+$P417)/3600*N(Auftrag!$H$8))</f>
        <v/>
      </c>
      <c r="R417" s="33">
        <f>IF($A417="","",IF($F$8=0,0,$F$7/$F$8))</f>
        <v/>
      </c>
      <c r="S417" s="33">
        <f>IF($A417="","",$F417*(1+$C$4)+($Q417+$R417)*(1+$C$5))</f>
        <v/>
      </c>
      <c r="T417" s="33">
        <f>IF($A417="","",$S417*(1+$C$6))</f>
        <v/>
      </c>
      <c r="U417" s="18">
        <f>IF($A417="","",$T417*$C417)</f>
        <v/>
      </c>
      <c r="V417" s="18">
        <f>IF($A417="","",$S417*$C417)</f>
        <v/>
      </c>
      <c r="W417" s="28">
        <f>IF($A417="","",IF(N(Auftrag!$AO417)&gt;0,"nicht vollständig eingeplant",IF($D417=0,"kein Schnittplan oder Preis",IF($H417="","keine Schneiddaten",IF(AND(Auftrag!$AF417&lt;&gt;"",Auftrag!$AG417=""),"Gewinde ungeprüft","")))))</f>
        <v/>
      </c>
      <c r="X417" s="18">
        <f>IF($A417="","",$F417*$C417)</f>
        <v/>
      </c>
      <c r="Y417" s="18">
        <f>IF($A417="","",$Q417*$C417)</f>
        <v/>
      </c>
    </row>
    <row r="418">
      <c r="A418" s="25">
        <f>IF(Auftrag!$D418="","",Auftrag!$A418)</f>
        <v/>
      </c>
      <c r="B418" s="25">
        <f>IF($A418="","",Auftrag!$B418)</f>
        <v/>
      </c>
      <c r="C418" s="15">
        <f>IF($A418="","",N(Auftrag!$G418))</f>
        <v/>
      </c>
      <c r="D418" s="18">
        <f>IF($A418="","",SUMIFS(Schnittplan!$R$5:$R$1004,Schnittplan!$B$5:$B$1004,Auftrag!$D418,Schnittplan!$C$5:$C$1004,Auftrag!$E418,Schnittplan!$D$5:$D$1004,Auftrag!$Q418))</f>
        <v/>
      </c>
      <c r="E418" s="32">
        <f>IF($A418="","",IFERROR(N(Auftrag!$P418)/SUMIFS(Auftrag!$P$13:$P$512,Auftrag!$D$13:$D$512,Auftrag!$D418,Auftrag!$E$13:$E$512,Auftrag!$E418,Auftrag!$Q$13:$Q$512,Auftrag!$Q418),0))</f>
        <v/>
      </c>
      <c r="F418" s="33">
        <f>IF($A418="","",IF($C418=0,0,$D418*$E418/$C418))</f>
        <v/>
      </c>
      <c r="G418" s="34">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5">
        <f>IF($A418="","",IF($H418="","",60*((N(Auftrag!$H418)-N(Auftrag!$AI418)-N(Auftrag!$AK418))/$H418+N(Auftrag!$AI418)/$J418+N(Auftrag!$AK418)/$I418+N(Auftrag!$AD418)/$K418)+N(Auftrag!$I418)*$L418))</f>
        <v/>
      </c>
      <c r="N418" s="35">
        <f>IF($A418="","",IF(OR($H418="",$C418=0),0,(60*SUMIFS(Stangenbelegung!$K$5:$K$10004,Stangenbelegung!$E$5:$E$10004,ROW())/$H418+SUMIFS(Stangenbelegung!$L$5:$L$10004,Stangenbelegung!$E$5:$E$10004,ROW())*$L418)/$C418))</f>
        <v/>
      </c>
      <c r="O418" s="35">
        <f>IF($A418="","",IF($M418="","",MAX(0,$M418-$N418)))</f>
        <v/>
      </c>
      <c r="P418" s="35">
        <f>IF($A418="","",IFERROR(SUMPRODUCT(--("0"&amp;TRIM(RIGHT(SUBSTITUTE(LEFT(";"&amp;SUBSTITUTE(UPPER(Auftrag!$AG418)," ","")&amp;";"&amp;"X"&amp;UPPER(Gewinde!$A$5:$A$54)&amp;";",SEARCH("X"&amp;UPPER(Gewinde!$A$5:$A$54)&amp;";",";"&amp;SUBSTITUTE(UPPER(Auftrag!$AG418)," ","")&amp;";"&amp;"X"&amp;UPPER(Gewinde!$A$5:$A$54)&amp;";")-1),";",REPT(" ",50)),50))),Gewinde!$C$5:$C$54),0))</f>
        <v/>
      </c>
      <c r="Q418" s="33">
        <f>IF($A418="","",(N($O418)+$P418)/3600*N(Auftrag!$H$8))</f>
        <v/>
      </c>
      <c r="R418" s="33">
        <f>IF($A418="","",IF($F$8=0,0,$F$7/$F$8))</f>
        <v/>
      </c>
      <c r="S418" s="33">
        <f>IF($A418="","",$F418*(1+$C$4)+($Q418+$R418)*(1+$C$5))</f>
        <v/>
      </c>
      <c r="T418" s="33">
        <f>IF($A418="","",$S418*(1+$C$6))</f>
        <v/>
      </c>
      <c r="U418" s="18">
        <f>IF($A418="","",$T418*$C418)</f>
        <v/>
      </c>
      <c r="V418" s="18">
        <f>IF($A418="","",$S418*$C418)</f>
        <v/>
      </c>
      <c r="W418" s="28">
        <f>IF($A418="","",IF(N(Auftrag!$AO418)&gt;0,"nicht vollständig eingeplant",IF($D418=0,"kein Schnittplan oder Preis",IF($H418="","keine Schneiddaten",IF(AND(Auftrag!$AF418&lt;&gt;"",Auftrag!$AG418=""),"Gewinde ungeprüft","")))))</f>
        <v/>
      </c>
      <c r="X418" s="18">
        <f>IF($A418="","",$F418*$C418)</f>
        <v/>
      </c>
      <c r="Y418" s="18">
        <f>IF($A418="","",$Q418*$C418)</f>
        <v/>
      </c>
    </row>
    <row r="419">
      <c r="A419" s="25">
        <f>IF(Auftrag!$D419="","",Auftrag!$A419)</f>
        <v/>
      </c>
      <c r="B419" s="25">
        <f>IF($A419="","",Auftrag!$B419)</f>
        <v/>
      </c>
      <c r="C419" s="15">
        <f>IF($A419="","",N(Auftrag!$G419))</f>
        <v/>
      </c>
      <c r="D419" s="18">
        <f>IF($A419="","",SUMIFS(Schnittplan!$R$5:$R$1004,Schnittplan!$B$5:$B$1004,Auftrag!$D419,Schnittplan!$C$5:$C$1004,Auftrag!$E419,Schnittplan!$D$5:$D$1004,Auftrag!$Q419))</f>
        <v/>
      </c>
      <c r="E419" s="32">
        <f>IF($A419="","",IFERROR(N(Auftrag!$P419)/SUMIFS(Auftrag!$P$13:$P$512,Auftrag!$D$13:$D$512,Auftrag!$D419,Auftrag!$E$13:$E$512,Auftrag!$E419,Auftrag!$Q$13:$Q$512,Auftrag!$Q419),0))</f>
        <v/>
      </c>
      <c r="F419" s="33">
        <f>IF($A419="","",IF($C419=0,0,$D419*$E419/$C419))</f>
        <v/>
      </c>
      <c r="G419" s="34">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5">
        <f>IF($A419="","",IF($H419="","",60*((N(Auftrag!$H419)-N(Auftrag!$AI419)-N(Auftrag!$AK419))/$H419+N(Auftrag!$AI419)/$J419+N(Auftrag!$AK419)/$I419+N(Auftrag!$AD419)/$K419)+N(Auftrag!$I419)*$L419))</f>
        <v/>
      </c>
      <c r="N419" s="35">
        <f>IF($A419="","",IF(OR($H419="",$C419=0),0,(60*SUMIFS(Stangenbelegung!$K$5:$K$10004,Stangenbelegung!$E$5:$E$10004,ROW())/$H419+SUMIFS(Stangenbelegung!$L$5:$L$10004,Stangenbelegung!$E$5:$E$10004,ROW())*$L419)/$C419))</f>
        <v/>
      </c>
      <c r="O419" s="35">
        <f>IF($A419="","",IF($M419="","",MAX(0,$M419-$N419)))</f>
        <v/>
      </c>
      <c r="P419" s="35">
        <f>IF($A419="","",IFERROR(SUMPRODUCT(--("0"&amp;TRIM(RIGHT(SUBSTITUTE(LEFT(";"&amp;SUBSTITUTE(UPPER(Auftrag!$AG419)," ","")&amp;";"&amp;"X"&amp;UPPER(Gewinde!$A$5:$A$54)&amp;";",SEARCH("X"&amp;UPPER(Gewinde!$A$5:$A$54)&amp;";",";"&amp;SUBSTITUTE(UPPER(Auftrag!$AG419)," ","")&amp;";"&amp;"X"&amp;UPPER(Gewinde!$A$5:$A$54)&amp;";")-1),";",REPT(" ",50)),50))),Gewinde!$C$5:$C$54),0))</f>
        <v/>
      </c>
      <c r="Q419" s="33">
        <f>IF($A419="","",(N($O419)+$P419)/3600*N(Auftrag!$H$8))</f>
        <v/>
      </c>
      <c r="R419" s="33">
        <f>IF($A419="","",IF($F$8=0,0,$F$7/$F$8))</f>
        <v/>
      </c>
      <c r="S419" s="33">
        <f>IF($A419="","",$F419*(1+$C$4)+($Q419+$R419)*(1+$C$5))</f>
        <v/>
      </c>
      <c r="T419" s="33">
        <f>IF($A419="","",$S419*(1+$C$6))</f>
        <v/>
      </c>
      <c r="U419" s="18">
        <f>IF($A419="","",$T419*$C419)</f>
        <v/>
      </c>
      <c r="V419" s="18">
        <f>IF($A419="","",$S419*$C419)</f>
        <v/>
      </c>
      <c r="W419" s="28">
        <f>IF($A419="","",IF(N(Auftrag!$AO419)&gt;0,"nicht vollständig eingeplant",IF($D419=0,"kein Schnittplan oder Preis",IF($H419="","keine Schneiddaten",IF(AND(Auftrag!$AF419&lt;&gt;"",Auftrag!$AG419=""),"Gewinde ungeprüft","")))))</f>
        <v/>
      </c>
      <c r="X419" s="18">
        <f>IF($A419="","",$F419*$C419)</f>
        <v/>
      </c>
      <c r="Y419" s="18">
        <f>IF($A419="","",$Q419*$C419)</f>
        <v/>
      </c>
    </row>
    <row r="420">
      <c r="A420" s="25">
        <f>IF(Auftrag!$D420="","",Auftrag!$A420)</f>
        <v/>
      </c>
      <c r="B420" s="25">
        <f>IF($A420="","",Auftrag!$B420)</f>
        <v/>
      </c>
      <c r="C420" s="15">
        <f>IF($A420="","",N(Auftrag!$G420))</f>
        <v/>
      </c>
      <c r="D420" s="18">
        <f>IF($A420="","",SUMIFS(Schnittplan!$R$5:$R$1004,Schnittplan!$B$5:$B$1004,Auftrag!$D420,Schnittplan!$C$5:$C$1004,Auftrag!$E420,Schnittplan!$D$5:$D$1004,Auftrag!$Q420))</f>
        <v/>
      </c>
      <c r="E420" s="32">
        <f>IF($A420="","",IFERROR(N(Auftrag!$P420)/SUMIFS(Auftrag!$P$13:$P$512,Auftrag!$D$13:$D$512,Auftrag!$D420,Auftrag!$E$13:$E$512,Auftrag!$E420,Auftrag!$Q$13:$Q$512,Auftrag!$Q420),0))</f>
        <v/>
      </c>
      <c r="F420" s="33">
        <f>IF($A420="","",IF($C420=0,0,$D420*$E420/$C420))</f>
        <v/>
      </c>
      <c r="G420" s="34">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5">
        <f>IF($A420="","",IF($H420="","",60*((N(Auftrag!$H420)-N(Auftrag!$AI420)-N(Auftrag!$AK420))/$H420+N(Auftrag!$AI420)/$J420+N(Auftrag!$AK420)/$I420+N(Auftrag!$AD420)/$K420)+N(Auftrag!$I420)*$L420))</f>
        <v/>
      </c>
      <c r="N420" s="35">
        <f>IF($A420="","",IF(OR($H420="",$C420=0),0,(60*SUMIFS(Stangenbelegung!$K$5:$K$10004,Stangenbelegung!$E$5:$E$10004,ROW())/$H420+SUMIFS(Stangenbelegung!$L$5:$L$10004,Stangenbelegung!$E$5:$E$10004,ROW())*$L420)/$C420))</f>
        <v/>
      </c>
      <c r="O420" s="35">
        <f>IF($A420="","",IF($M420="","",MAX(0,$M420-$N420)))</f>
        <v/>
      </c>
      <c r="P420" s="35">
        <f>IF($A420="","",IFERROR(SUMPRODUCT(--("0"&amp;TRIM(RIGHT(SUBSTITUTE(LEFT(";"&amp;SUBSTITUTE(UPPER(Auftrag!$AG420)," ","")&amp;";"&amp;"X"&amp;UPPER(Gewinde!$A$5:$A$54)&amp;";",SEARCH("X"&amp;UPPER(Gewinde!$A$5:$A$54)&amp;";",";"&amp;SUBSTITUTE(UPPER(Auftrag!$AG420)," ","")&amp;";"&amp;"X"&amp;UPPER(Gewinde!$A$5:$A$54)&amp;";")-1),";",REPT(" ",50)),50))),Gewinde!$C$5:$C$54),0))</f>
        <v/>
      </c>
      <c r="Q420" s="33">
        <f>IF($A420="","",(N($O420)+$P420)/3600*N(Auftrag!$H$8))</f>
        <v/>
      </c>
      <c r="R420" s="33">
        <f>IF($A420="","",IF($F$8=0,0,$F$7/$F$8))</f>
        <v/>
      </c>
      <c r="S420" s="33">
        <f>IF($A420="","",$F420*(1+$C$4)+($Q420+$R420)*(1+$C$5))</f>
        <v/>
      </c>
      <c r="T420" s="33">
        <f>IF($A420="","",$S420*(1+$C$6))</f>
        <v/>
      </c>
      <c r="U420" s="18">
        <f>IF($A420="","",$T420*$C420)</f>
        <v/>
      </c>
      <c r="V420" s="18">
        <f>IF($A420="","",$S420*$C420)</f>
        <v/>
      </c>
      <c r="W420" s="28">
        <f>IF($A420="","",IF(N(Auftrag!$AO420)&gt;0,"nicht vollständig eingeplant",IF($D420=0,"kein Schnittplan oder Preis",IF($H420="","keine Schneiddaten",IF(AND(Auftrag!$AF420&lt;&gt;"",Auftrag!$AG420=""),"Gewinde ungeprüft","")))))</f>
        <v/>
      </c>
      <c r="X420" s="18">
        <f>IF($A420="","",$F420*$C420)</f>
        <v/>
      </c>
      <c r="Y420" s="18">
        <f>IF($A420="","",$Q420*$C420)</f>
        <v/>
      </c>
    </row>
    <row r="421">
      <c r="A421" s="25">
        <f>IF(Auftrag!$D421="","",Auftrag!$A421)</f>
        <v/>
      </c>
      <c r="B421" s="25">
        <f>IF($A421="","",Auftrag!$B421)</f>
        <v/>
      </c>
      <c r="C421" s="15">
        <f>IF($A421="","",N(Auftrag!$G421))</f>
        <v/>
      </c>
      <c r="D421" s="18">
        <f>IF($A421="","",SUMIFS(Schnittplan!$R$5:$R$1004,Schnittplan!$B$5:$B$1004,Auftrag!$D421,Schnittplan!$C$5:$C$1004,Auftrag!$E421,Schnittplan!$D$5:$D$1004,Auftrag!$Q421))</f>
        <v/>
      </c>
      <c r="E421" s="32">
        <f>IF($A421="","",IFERROR(N(Auftrag!$P421)/SUMIFS(Auftrag!$P$13:$P$512,Auftrag!$D$13:$D$512,Auftrag!$D421,Auftrag!$E$13:$E$512,Auftrag!$E421,Auftrag!$Q$13:$Q$512,Auftrag!$Q421),0))</f>
        <v/>
      </c>
      <c r="F421" s="33">
        <f>IF($A421="","",IF($C421=0,0,$D421*$E421/$C421))</f>
        <v/>
      </c>
      <c r="G421" s="34">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5">
        <f>IF($A421="","",IF($H421="","",60*((N(Auftrag!$H421)-N(Auftrag!$AI421)-N(Auftrag!$AK421))/$H421+N(Auftrag!$AI421)/$J421+N(Auftrag!$AK421)/$I421+N(Auftrag!$AD421)/$K421)+N(Auftrag!$I421)*$L421))</f>
        <v/>
      </c>
      <c r="N421" s="35">
        <f>IF($A421="","",IF(OR($H421="",$C421=0),0,(60*SUMIFS(Stangenbelegung!$K$5:$K$10004,Stangenbelegung!$E$5:$E$10004,ROW())/$H421+SUMIFS(Stangenbelegung!$L$5:$L$10004,Stangenbelegung!$E$5:$E$10004,ROW())*$L421)/$C421))</f>
        <v/>
      </c>
      <c r="O421" s="35">
        <f>IF($A421="","",IF($M421="","",MAX(0,$M421-$N421)))</f>
        <v/>
      </c>
      <c r="P421" s="35">
        <f>IF($A421="","",IFERROR(SUMPRODUCT(--("0"&amp;TRIM(RIGHT(SUBSTITUTE(LEFT(";"&amp;SUBSTITUTE(UPPER(Auftrag!$AG421)," ","")&amp;";"&amp;"X"&amp;UPPER(Gewinde!$A$5:$A$54)&amp;";",SEARCH("X"&amp;UPPER(Gewinde!$A$5:$A$54)&amp;";",";"&amp;SUBSTITUTE(UPPER(Auftrag!$AG421)," ","")&amp;";"&amp;"X"&amp;UPPER(Gewinde!$A$5:$A$54)&amp;";")-1),";",REPT(" ",50)),50))),Gewinde!$C$5:$C$54),0))</f>
        <v/>
      </c>
      <c r="Q421" s="33">
        <f>IF($A421="","",(N($O421)+$P421)/3600*N(Auftrag!$H$8))</f>
        <v/>
      </c>
      <c r="R421" s="33">
        <f>IF($A421="","",IF($F$8=0,0,$F$7/$F$8))</f>
        <v/>
      </c>
      <c r="S421" s="33">
        <f>IF($A421="","",$F421*(1+$C$4)+($Q421+$R421)*(1+$C$5))</f>
        <v/>
      </c>
      <c r="T421" s="33">
        <f>IF($A421="","",$S421*(1+$C$6))</f>
        <v/>
      </c>
      <c r="U421" s="18">
        <f>IF($A421="","",$T421*$C421)</f>
        <v/>
      </c>
      <c r="V421" s="18">
        <f>IF($A421="","",$S421*$C421)</f>
        <v/>
      </c>
      <c r="W421" s="28">
        <f>IF($A421="","",IF(N(Auftrag!$AO421)&gt;0,"nicht vollständig eingeplant",IF($D421=0,"kein Schnittplan oder Preis",IF($H421="","keine Schneiddaten",IF(AND(Auftrag!$AF421&lt;&gt;"",Auftrag!$AG421=""),"Gewinde ungeprüft","")))))</f>
        <v/>
      </c>
      <c r="X421" s="18">
        <f>IF($A421="","",$F421*$C421)</f>
        <v/>
      </c>
      <c r="Y421" s="18">
        <f>IF($A421="","",$Q421*$C421)</f>
        <v/>
      </c>
    </row>
    <row r="422">
      <c r="A422" s="25">
        <f>IF(Auftrag!$D422="","",Auftrag!$A422)</f>
        <v/>
      </c>
      <c r="B422" s="25">
        <f>IF($A422="","",Auftrag!$B422)</f>
        <v/>
      </c>
      <c r="C422" s="15">
        <f>IF($A422="","",N(Auftrag!$G422))</f>
        <v/>
      </c>
      <c r="D422" s="18">
        <f>IF($A422="","",SUMIFS(Schnittplan!$R$5:$R$1004,Schnittplan!$B$5:$B$1004,Auftrag!$D422,Schnittplan!$C$5:$C$1004,Auftrag!$E422,Schnittplan!$D$5:$D$1004,Auftrag!$Q422))</f>
        <v/>
      </c>
      <c r="E422" s="32">
        <f>IF($A422="","",IFERROR(N(Auftrag!$P422)/SUMIFS(Auftrag!$P$13:$P$512,Auftrag!$D$13:$D$512,Auftrag!$D422,Auftrag!$E$13:$E$512,Auftrag!$E422,Auftrag!$Q$13:$Q$512,Auftrag!$Q422),0))</f>
        <v/>
      </c>
      <c r="F422" s="33">
        <f>IF($A422="","",IF($C422=0,0,$D422*$E422/$C422))</f>
        <v/>
      </c>
      <c r="G422" s="34">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5">
        <f>IF($A422="","",IF($H422="","",60*((N(Auftrag!$H422)-N(Auftrag!$AI422)-N(Auftrag!$AK422))/$H422+N(Auftrag!$AI422)/$J422+N(Auftrag!$AK422)/$I422+N(Auftrag!$AD422)/$K422)+N(Auftrag!$I422)*$L422))</f>
        <v/>
      </c>
      <c r="N422" s="35">
        <f>IF($A422="","",IF(OR($H422="",$C422=0),0,(60*SUMIFS(Stangenbelegung!$K$5:$K$10004,Stangenbelegung!$E$5:$E$10004,ROW())/$H422+SUMIFS(Stangenbelegung!$L$5:$L$10004,Stangenbelegung!$E$5:$E$10004,ROW())*$L422)/$C422))</f>
        <v/>
      </c>
      <c r="O422" s="35">
        <f>IF($A422="","",IF($M422="","",MAX(0,$M422-$N422)))</f>
        <v/>
      </c>
      <c r="P422" s="35">
        <f>IF($A422="","",IFERROR(SUMPRODUCT(--("0"&amp;TRIM(RIGHT(SUBSTITUTE(LEFT(";"&amp;SUBSTITUTE(UPPER(Auftrag!$AG422)," ","")&amp;";"&amp;"X"&amp;UPPER(Gewinde!$A$5:$A$54)&amp;";",SEARCH("X"&amp;UPPER(Gewinde!$A$5:$A$54)&amp;";",";"&amp;SUBSTITUTE(UPPER(Auftrag!$AG422)," ","")&amp;";"&amp;"X"&amp;UPPER(Gewinde!$A$5:$A$54)&amp;";")-1),";",REPT(" ",50)),50))),Gewinde!$C$5:$C$54),0))</f>
        <v/>
      </c>
      <c r="Q422" s="33">
        <f>IF($A422="","",(N($O422)+$P422)/3600*N(Auftrag!$H$8))</f>
        <v/>
      </c>
      <c r="R422" s="33">
        <f>IF($A422="","",IF($F$8=0,0,$F$7/$F$8))</f>
        <v/>
      </c>
      <c r="S422" s="33">
        <f>IF($A422="","",$F422*(1+$C$4)+($Q422+$R422)*(1+$C$5))</f>
        <v/>
      </c>
      <c r="T422" s="33">
        <f>IF($A422="","",$S422*(1+$C$6))</f>
        <v/>
      </c>
      <c r="U422" s="18">
        <f>IF($A422="","",$T422*$C422)</f>
        <v/>
      </c>
      <c r="V422" s="18">
        <f>IF($A422="","",$S422*$C422)</f>
        <v/>
      </c>
      <c r="W422" s="28">
        <f>IF($A422="","",IF(N(Auftrag!$AO422)&gt;0,"nicht vollständig eingeplant",IF($D422=0,"kein Schnittplan oder Preis",IF($H422="","keine Schneiddaten",IF(AND(Auftrag!$AF422&lt;&gt;"",Auftrag!$AG422=""),"Gewinde ungeprüft","")))))</f>
        <v/>
      </c>
      <c r="X422" s="18">
        <f>IF($A422="","",$F422*$C422)</f>
        <v/>
      </c>
      <c r="Y422" s="18">
        <f>IF($A422="","",$Q422*$C422)</f>
        <v/>
      </c>
    </row>
    <row r="423">
      <c r="A423" s="25">
        <f>IF(Auftrag!$D423="","",Auftrag!$A423)</f>
        <v/>
      </c>
      <c r="B423" s="25">
        <f>IF($A423="","",Auftrag!$B423)</f>
        <v/>
      </c>
      <c r="C423" s="15">
        <f>IF($A423="","",N(Auftrag!$G423))</f>
        <v/>
      </c>
      <c r="D423" s="18">
        <f>IF($A423="","",SUMIFS(Schnittplan!$R$5:$R$1004,Schnittplan!$B$5:$B$1004,Auftrag!$D423,Schnittplan!$C$5:$C$1004,Auftrag!$E423,Schnittplan!$D$5:$D$1004,Auftrag!$Q423))</f>
        <v/>
      </c>
      <c r="E423" s="32">
        <f>IF($A423="","",IFERROR(N(Auftrag!$P423)/SUMIFS(Auftrag!$P$13:$P$512,Auftrag!$D$13:$D$512,Auftrag!$D423,Auftrag!$E$13:$E$512,Auftrag!$E423,Auftrag!$Q$13:$Q$512,Auftrag!$Q423),0))</f>
        <v/>
      </c>
      <c r="F423" s="33">
        <f>IF($A423="","",IF($C423=0,0,$D423*$E423/$C423))</f>
        <v/>
      </c>
      <c r="G423" s="34">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5">
        <f>IF($A423="","",IF($H423="","",60*((N(Auftrag!$H423)-N(Auftrag!$AI423)-N(Auftrag!$AK423))/$H423+N(Auftrag!$AI423)/$J423+N(Auftrag!$AK423)/$I423+N(Auftrag!$AD423)/$K423)+N(Auftrag!$I423)*$L423))</f>
        <v/>
      </c>
      <c r="N423" s="35">
        <f>IF($A423="","",IF(OR($H423="",$C423=0),0,(60*SUMIFS(Stangenbelegung!$K$5:$K$10004,Stangenbelegung!$E$5:$E$10004,ROW())/$H423+SUMIFS(Stangenbelegung!$L$5:$L$10004,Stangenbelegung!$E$5:$E$10004,ROW())*$L423)/$C423))</f>
        <v/>
      </c>
      <c r="O423" s="35">
        <f>IF($A423="","",IF($M423="","",MAX(0,$M423-$N423)))</f>
        <v/>
      </c>
      <c r="P423" s="35">
        <f>IF($A423="","",IFERROR(SUMPRODUCT(--("0"&amp;TRIM(RIGHT(SUBSTITUTE(LEFT(";"&amp;SUBSTITUTE(UPPER(Auftrag!$AG423)," ","")&amp;";"&amp;"X"&amp;UPPER(Gewinde!$A$5:$A$54)&amp;";",SEARCH("X"&amp;UPPER(Gewinde!$A$5:$A$54)&amp;";",";"&amp;SUBSTITUTE(UPPER(Auftrag!$AG423)," ","")&amp;";"&amp;"X"&amp;UPPER(Gewinde!$A$5:$A$54)&amp;";")-1),";",REPT(" ",50)),50))),Gewinde!$C$5:$C$54),0))</f>
        <v/>
      </c>
      <c r="Q423" s="33">
        <f>IF($A423="","",(N($O423)+$P423)/3600*N(Auftrag!$H$8))</f>
        <v/>
      </c>
      <c r="R423" s="33">
        <f>IF($A423="","",IF($F$8=0,0,$F$7/$F$8))</f>
        <v/>
      </c>
      <c r="S423" s="33">
        <f>IF($A423="","",$F423*(1+$C$4)+($Q423+$R423)*(1+$C$5))</f>
        <v/>
      </c>
      <c r="T423" s="33">
        <f>IF($A423="","",$S423*(1+$C$6))</f>
        <v/>
      </c>
      <c r="U423" s="18">
        <f>IF($A423="","",$T423*$C423)</f>
        <v/>
      </c>
      <c r="V423" s="18">
        <f>IF($A423="","",$S423*$C423)</f>
        <v/>
      </c>
      <c r="W423" s="28">
        <f>IF($A423="","",IF(N(Auftrag!$AO423)&gt;0,"nicht vollständig eingeplant",IF($D423=0,"kein Schnittplan oder Preis",IF($H423="","keine Schneiddaten",IF(AND(Auftrag!$AF423&lt;&gt;"",Auftrag!$AG423=""),"Gewinde ungeprüft","")))))</f>
        <v/>
      </c>
      <c r="X423" s="18">
        <f>IF($A423="","",$F423*$C423)</f>
        <v/>
      </c>
      <c r="Y423" s="18">
        <f>IF($A423="","",$Q423*$C423)</f>
        <v/>
      </c>
    </row>
    <row r="424">
      <c r="A424" s="25">
        <f>IF(Auftrag!$D424="","",Auftrag!$A424)</f>
        <v/>
      </c>
      <c r="B424" s="25">
        <f>IF($A424="","",Auftrag!$B424)</f>
        <v/>
      </c>
      <c r="C424" s="15">
        <f>IF($A424="","",N(Auftrag!$G424))</f>
        <v/>
      </c>
      <c r="D424" s="18">
        <f>IF($A424="","",SUMIFS(Schnittplan!$R$5:$R$1004,Schnittplan!$B$5:$B$1004,Auftrag!$D424,Schnittplan!$C$5:$C$1004,Auftrag!$E424,Schnittplan!$D$5:$D$1004,Auftrag!$Q424))</f>
        <v/>
      </c>
      <c r="E424" s="32">
        <f>IF($A424="","",IFERROR(N(Auftrag!$P424)/SUMIFS(Auftrag!$P$13:$P$512,Auftrag!$D$13:$D$512,Auftrag!$D424,Auftrag!$E$13:$E$512,Auftrag!$E424,Auftrag!$Q$13:$Q$512,Auftrag!$Q424),0))</f>
        <v/>
      </c>
      <c r="F424" s="33">
        <f>IF($A424="","",IF($C424=0,0,$D424*$E424/$C424))</f>
        <v/>
      </c>
      <c r="G424" s="34">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5">
        <f>IF($A424="","",IF($H424="","",60*((N(Auftrag!$H424)-N(Auftrag!$AI424)-N(Auftrag!$AK424))/$H424+N(Auftrag!$AI424)/$J424+N(Auftrag!$AK424)/$I424+N(Auftrag!$AD424)/$K424)+N(Auftrag!$I424)*$L424))</f>
        <v/>
      </c>
      <c r="N424" s="35">
        <f>IF($A424="","",IF(OR($H424="",$C424=0),0,(60*SUMIFS(Stangenbelegung!$K$5:$K$10004,Stangenbelegung!$E$5:$E$10004,ROW())/$H424+SUMIFS(Stangenbelegung!$L$5:$L$10004,Stangenbelegung!$E$5:$E$10004,ROW())*$L424)/$C424))</f>
        <v/>
      </c>
      <c r="O424" s="35">
        <f>IF($A424="","",IF($M424="","",MAX(0,$M424-$N424)))</f>
        <v/>
      </c>
      <c r="P424" s="35">
        <f>IF($A424="","",IFERROR(SUMPRODUCT(--("0"&amp;TRIM(RIGHT(SUBSTITUTE(LEFT(";"&amp;SUBSTITUTE(UPPER(Auftrag!$AG424)," ","")&amp;";"&amp;"X"&amp;UPPER(Gewinde!$A$5:$A$54)&amp;";",SEARCH("X"&amp;UPPER(Gewinde!$A$5:$A$54)&amp;";",";"&amp;SUBSTITUTE(UPPER(Auftrag!$AG424)," ","")&amp;";"&amp;"X"&amp;UPPER(Gewinde!$A$5:$A$54)&amp;";")-1),";",REPT(" ",50)),50))),Gewinde!$C$5:$C$54),0))</f>
        <v/>
      </c>
      <c r="Q424" s="33">
        <f>IF($A424="","",(N($O424)+$P424)/3600*N(Auftrag!$H$8))</f>
        <v/>
      </c>
      <c r="R424" s="33">
        <f>IF($A424="","",IF($F$8=0,0,$F$7/$F$8))</f>
        <v/>
      </c>
      <c r="S424" s="33">
        <f>IF($A424="","",$F424*(1+$C$4)+($Q424+$R424)*(1+$C$5))</f>
        <v/>
      </c>
      <c r="T424" s="33">
        <f>IF($A424="","",$S424*(1+$C$6))</f>
        <v/>
      </c>
      <c r="U424" s="18">
        <f>IF($A424="","",$T424*$C424)</f>
        <v/>
      </c>
      <c r="V424" s="18">
        <f>IF($A424="","",$S424*$C424)</f>
        <v/>
      </c>
      <c r="W424" s="28">
        <f>IF($A424="","",IF(N(Auftrag!$AO424)&gt;0,"nicht vollständig eingeplant",IF($D424=0,"kein Schnittplan oder Preis",IF($H424="","keine Schneiddaten",IF(AND(Auftrag!$AF424&lt;&gt;"",Auftrag!$AG424=""),"Gewinde ungeprüft","")))))</f>
        <v/>
      </c>
      <c r="X424" s="18">
        <f>IF($A424="","",$F424*$C424)</f>
        <v/>
      </c>
      <c r="Y424" s="18">
        <f>IF($A424="","",$Q424*$C424)</f>
        <v/>
      </c>
    </row>
    <row r="425">
      <c r="A425" s="25">
        <f>IF(Auftrag!$D425="","",Auftrag!$A425)</f>
        <v/>
      </c>
      <c r="B425" s="25">
        <f>IF($A425="","",Auftrag!$B425)</f>
        <v/>
      </c>
      <c r="C425" s="15">
        <f>IF($A425="","",N(Auftrag!$G425))</f>
        <v/>
      </c>
      <c r="D425" s="18">
        <f>IF($A425="","",SUMIFS(Schnittplan!$R$5:$R$1004,Schnittplan!$B$5:$B$1004,Auftrag!$D425,Schnittplan!$C$5:$C$1004,Auftrag!$E425,Schnittplan!$D$5:$D$1004,Auftrag!$Q425))</f>
        <v/>
      </c>
      <c r="E425" s="32">
        <f>IF($A425="","",IFERROR(N(Auftrag!$P425)/SUMIFS(Auftrag!$P$13:$P$512,Auftrag!$D$13:$D$512,Auftrag!$D425,Auftrag!$E$13:$E$512,Auftrag!$E425,Auftrag!$Q$13:$Q$512,Auftrag!$Q425),0))</f>
        <v/>
      </c>
      <c r="F425" s="33">
        <f>IF($A425="","",IF($C425=0,0,$D425*$E425/$C425))</f>
        <v/>
      </c>
      <c r="G425" s="34">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5">
        <f>IF($A425="","",IF($H425="","",60*((N(Auftrag!$H425)-N(Auftrag!$AI425)-N(Auftrag!$AK425))/$H425+N(Auftrag!$AI425)/$J425+N(Auftrag!$AK425)/$I425+N(Auftrag!$AD425)/$K425)+N(Auftrag!$I425)*$L425))</f>
        <v/>
      </c>
      <c r="N425" s="35">
        <f>IF($A425="","",IF(OR($H425="",$C425=0),0,(60*SUMIFS(Stangenbelegung!$K$5:$K$10004,Stangenbelegung!$E$5:$E$10004,ROW())/$H425+SUMIFS(Stangenbelegung!$L$5:$L$10004,Stangenbelegung!$E$5:$E$10004,ROW())*$L425)/$C425))</f>
        <v/>
      </c>
      <c r="O425" s="35">
        <f>IF($A425="","",IF($M425="","",MAX(0,$M425-$N425)))</f>
        <v/>
      </c>
      <c r="P425" s="35">
        <f>IF($A425="","",IFERROR(SUMPRODUCT(--("0"&amp;TRIM(RIGHT(SUBSTITUTE(LEFT(";"&amp;SUBSTITUTE(UPPER(Auftrag!$AG425)," ","")&amp;";"&amp;"X"&amp;UPPER(Gewinde!$A$5:$A$54)&amp;";",SEARCH("X"&amp;UPPER(Gewinde!$A$5:$A$54)&amp;";",";"&amp;SUBSTITUTE(UPPER(Auftrag!$AG425)," ","")&amp;";"&amp;"X"&amp;UPPER(Gewinde!$A$5:$A$54)&amp;";")-1),";",REPT(" ",50)),50))),Gewinde!$C$5:$C$54),0))</f>
        <v/>
      </c>
      <c r="Q425" s="33">
        <f>IF($A425="","",(N($O425)+$P425)/3600*N(Auftrag!$H$8))</f>
        <v/>
      </c>
      <c r="R425" s="33">
        <f>IF($A425="","",IF($F$8=0,0,$F$7/$F$8))</f>
        <v/>
      </c>
      <c r="S425" s="33">
        <f>IF($A425="","",$F425*(1+$C$4)+($Q425+$R425)*(1+$C$5))</f>
        <v/>
      </c>
      <c r="T425" s="33">
        <f>IF($A425="","",$S425*(1+$C$6))</f>
        <v/>
      </c>
      <c r="U425" s="18">
        <f>IF($A425="","",$T425*$C425)</f>
        <v/>
      </c>
      <c r="V425" s="18">
        <f>IF($A425="","",$S425*$C425)</f>
        <v/>
      </c>
      <c r="W425" s="28">
        <f>IF($A425="","",IF(N(Auftrag!$AO425)&gt;0,"nicht vollständig eingeplant",IF($D425=0,"kein Schnittplan oder Preis",IF($H425="","keine Schneiddaten",IF(AND(Auftrag!$AF425&lt;&gt;"",Auftrag!$AG425=""),"Gewinde ungeprüft","")))))</f>
        <v/>
      </c>
      <c r="X425" s="18">
        <f>IF($A425="","",$F425*$C425)</f>
        <v/>
      </c>
      <c r="Y425" s="18">
        <f>IF($A425="","",$Q425*$C425)</f>
        <v/>
      </c>
    </row>
    <row r="426">
      <c r="A426" s="25">
        <f>IF(Auftrag!$D426="","",Auftrag!$A426)</f>
        <v/>
      </c>
      <c r="B426" s="25">
        <f>IF($A426="","",Auftrag!$B426)</f>
        <v/>
      </c>
      <c r="C426" s="15">
        <f>IF($A426="","",N(Auftrag!$G426))</f>
        <v/>
      </c>
      <c r="D426" s="18">
        <f>IF($A426="","",SUMIFS(Schnittplan!$R$5:$R$1004,Schnittplan!$B$5:$B$1004,Auftrag!$D426,Schnittplan!$C$5:$C$1004,Auftrag!$E426,Schnittplan!$D$5:$D$1004,Auftrag!$Q426))</f>
        <v/>
      </c>
      <c r="E426" s="32">
        <f>IF($A426="","",IFERROR(N(Auftrag!$P426)/SUMIFS(Auftrag!$P$13:$P$512,Auftrag!$D$13:$D$512,Auftrag!$D426,Auftrag!$E$13:$E$512,Auftrag!$E426,Auftrag!$Q$13:$Q$512,Auftrag!$Q426),0))</f>
        <v/>
      </c>
      <c r="F426" s="33">
        <f>IF($A426="","",IF($C426=0,0,$D426*$E426/$C426))</f>
        <v/>
      </c>
      <c r="G426" s="34">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5">
        <f>IF($A426="","",IF($H426="","",60*((N(Auftrag!$H426)-N(Auftrag!$AI426)-N(Auftrag!$AK426))/$H426+N(Auftrag!$AI426)/$J426+N(Auftrag!$AK426)/$I426+N(Auftrag!$AD426)/$K426)+N(Auftrag!$I426)*$L426))</f>
        <v/>
      </c>
      <c r="N426" s="35">
        <f>IF($A426="","",IF(OR($H426="",$C426=0),0,(60*SUMIFS(Stangenbelegung!$K$5:$K$10004,Stangenbelegung!$E$5:$E$10004,ROW())/$H426+SUMIFS(Stangenbelegung!$L$5:$L$10004,Stangenbelegung!$E$5:$E$10004,ROW())*$L426)/$C426))</f>
        <v/>
      </c>
      <c r="O426" s="35">
        <f>IF($A426="","",IF($M426="","",MAX(0,$M426-$N426)))</f>
        <v/>
      </c>
      <c r="P426" s="35">
        <f>IF($A426="","",IFERROR(SUMPRODUCT(--("0"&amp;TRIM(RIGHT(SUBSTITUTE(LEFT(";"&amp;SUBSTITUTE(UPPER(Auftrag!$AG426)," ","")&amp;";"&amp;"X"&amp;UPPER(Gewinde!$A$5:$A$54)&amp;";",SEARCH("X"&amp;UPPER(Gewinde!$A$5:$A$54)&amp;";",";"&amp;SUBSTITUTE(UPPER(Auftrag!$AG426)," ","")&amp;";"&amp;"X"&amp;UPPER(Gewinde!$A$5:$A$54)&amp;";")-1),";",REPT(" ",50)),50))),Gewinde!$C$5:$C$54),0))</f>
        <v/>
      </c>
      <c r="Q426" s="33">
        <f>IF($A426="","",(N($O426)+$P426)/3600*N(Auftrag!$H$8))</f>
        <v/>
      </c>
      <c r="R426" s="33">
        <f>IF($A426="","",IF($F$8=0,0,$F$7/$F$8))</f>
        <v/>
      </c>
      <c r="S426" s="33">
        <f>IF($A426="","",$F426*(1+$C$4)+($Q426+$R426)*(1+$C$5))</f>
        <v/>
      </c>
      <c r="T426" s="33">
        <f>IF($A426="","",$S426*(1+$C$6))</f>
        <v/>
      </c>
      <c r="U426" s="18">
        <f>IF($A426="","",$T426*$C426)</f>
        <v/>
      </c>
      <c r="V426" s="18">
        <f>IF($A426="","",$S426*$C426)</f>
        <v/>
      </c>
      <c r="W426" s="28">
        <f>IF($A426="","",IF(N(Auftrag!$AO426)&gt;0,"nicht vollständig eingeplant",IF($D426=0,"kein Schnittplan oder Preis",IF($H426="","keine Schneiddaten",IF(AND(Auftrag!$AF426&lt;&gt;"",Auftrag!$AG426=""),"Gewinde ungeprüft","")))))</f>
        <v/>
      </c>
      <c r="X426" s="18">
        <f>IF($A426="","",$F426*$C426)</f>
        <v/>
      </c>
      <c r="Y426" s="18">
        <f>IF($A426="","",$Q426*$C426)</f>
        <v/>
      </c>
    </row>
    <row r="427">
      <c r="A427" s="25">
        <f>IF(Auftrag!$D427="","",Auftrag!$A427)</f>
        <v/>
      </c>
      <c r="B427" s="25">
        <f>IF($A427="","",Auftrag!$B427)</f>
        <v/>
      </c>
      <c r="C427" s="15">
        <f>IF($A427="","",N(Auftrag!$G427))</f>
        <v/>
      </c>
      <c r="D427" s="18">
        <f>IF($A427="","",SUMIFS(Schnittplan!$R$5:$R$1004,Schnittplan!$B$5:$B$1004,Auftrag!$D427,Schnittplan!$C$5:$C$1004,Auftrag!$E427,Schnittplan!$D$5:$D$1004,Auftrag!$Q427))</f>
        <v/>
      </c>
      <c r="E427" s="32">
        <f>IF($A427="","",IFERROR(N(Auftrag!$P427)/SUMIFS(Auftrag!$P$13:$P$512,Auftrag!$D$13:$D$512,Auftrag!$D427,Auftrag!$E$13:$E$512,Auftrag!$E427,Auftrag!$Q$13:$Q$512,Auftrag!$Q427),0))</f>
        <v/>
      </c>
      <c r="F427" s="33">
        <f>IF($A427="","",IF($C427=0,0,$D427*$E427/$C427))</f>
        <v/>
      </c>
      <c r="G427" s="34">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5">
        <f>IF($A427="","",IF($H427="","",60*((N(Auftrag!$H427)-N(Auftrag!$AI427)-N(Auftrag!$AK427))/$H427+N(Auftrag!$AI427)/$J427+N(Auftrag!$AK427)/$I427+N(Auftrag!$AD427)/$K427)+N(Auftrag!$I427)*$L427))</f>
        <v/>
      </c>
      <c r="N427" s="35">
        <f>IF($A427="","",IF(OR($H427="",$C427=0),0,(60*SUMIFS(Stangenbelegung!$K$5:$K$10004,Stangenbelegung!$E$5:$E$10004,ROW())/$H427+SUMIFS(Stangenbelegung!$L$5:$L$10004,Stangenbelegung!$E$5:$E$10004,ROW())*$L427)/$C427))</f>
        <v/>
      </c>
      <c r="O427" s="35">
        <f>IF($A427="","",IF($M427="","",MAX(0,$M427-$N427)))</f>
        <v/>
      </c>
      <c r="P427" s="35">
        <f>IF($A427="","",IFERROR(SUMPRODUCT(--("0"&amp;TRIM(RIGHT(SUBSTITUTE(LEFT(";"&amp;SUBSTITUTE(UPPER(Auftrag!$AG427)," ","")&amp;";"&amp;"X"&amp;UPPER(Gewinde!$A$5:$A$54)&amp;";",SEARCH("X"&amp;UPPER(Gewinde!$A$5:$A$54)&amp;";",";"&amp;SUBSTITUTE(UPPER(Auftrag!$AG427)," ","")&amp;";"&amp;"X"&amp;UPPER(Gewinde!$A$5:$A$54)&amp;";")-1),";",REPT(" ",50)),50))),Gewinde!$C$5:$C$54),0))</f>
        <v/>
      </c>
      <c r="Q427" s="33">
        <f>IF($A427="","",(N($O427)+$P427)/3600*N(Auftrag!$H$8))</f>
        <v/>
      </c>
      <c r="R427" s="33">
        <f>IF($A427="","",IF($F$8=0,0,$F$7/$F$8))</f>
        <v/>
      </c>
      <c r="S427" s="33">
        <f>IF($A427="","",$F427*(1+$C$4)+($Q427+$R427)*(1+$C$5))</f>
        <v/>
      </c>
      <c r="T427" s="33">
        <f>IF($A427="","",$S427*(1+$C$6))</f>
        <v/>
      </c>
      <c r="U427" s="18">
        <f>IF($A427="","",$T427*$C427)</f>
        <v/>
      </c>
      <c r="V427" s="18">
        <f>IF($A427="","",$S427*$C427)</f>
        <v/>
      </c>
      <c r="W427" s="28">
        <f>IF($A427="","",IF(N(Auftrag!$AO427)&gt;0,"nicht vollständig eingeplant",IF($D427=0,"kein Schnittplan oder Preis",IF($H427="","keine Schneiddaten",IF(AND(Auftrag!$AF427&lt;&gt;"",Auftrag!$AG427=""),"Gewinde ungeprüft","")))))</f>
        <v/>
      </c>
      <c r="X427" s="18">
        <f>IF($A427="","",$F427*$C427)</f>
        <v/>
      </c>
      <c r="Y427" s="18">
        <f>IF($A427="","",$Q427*$C427)</f>
        <v/>
      </c>
    </row>
    <row r="428">
      <c r="A428" s="25">
        <f>IF(Auftrag!$D428="","",Auftrag!$A428)</f>
        <v/>
      </c>
      <c r="B428" s="25">
        <f>IF($A428="","",Auftrag!$B428)</f>
        <v/>
      </c>
      <c r="C428" s="15">
        <f>IF($A428="","",N(Auftrag!$G428))</f>
        <v/>
      </c>
      <c r="D428" s="18">
        <f>IF($A428="","",SUMIFS(Schnittplan!$R$5:$R$1004,Schnittplan!$B$5:$B$1004,Auftrag!$D428,Schnittplan!$C$5:$C$1004,Auftrag!$E428,Schnittplan!$D$5:$D$1004,Auftrag!$Q428))</f>
        <v/>
      </c>
      <c r="E428" s="32">
        <f>IF($A428="","",IFERROR(N(Auftrag!$P428)/SUMIFS(Auftrag!$P$13:$P$512,Auftrag!$D$13:$D$512,Auftrag!$D428,Auftrag!$E$13:$E$512,Auftrag!$E428,Auftrag!$Q$13:$Q$512,Auftrag!$Q428),0))</f>
        <v/>
      </c>
      <c r="F428" s="33">
        <f>IF($A428="","",IF($C428=0,0,$D428*$E428/$C428))</f>
        <v/>
      </c>
      <c r="G428" s="34">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5">
        <f>IF($A428="","",IF($H428="","",60*((N(Auftrag!$H428)-N(Auftrag!$AI428)-N(Auftrag!$AK428))/$H428+N(Auftrag!$AI428)/$J428+N(Auftrag!$AK428)/$I428+N(Auftrag!$AD428)/$K428)+N(Auftrag!$I428)*$L428))</f>
        <v/>
      </c>
      <c r="N428" s="35">
        <f>IF($A428="","",IF(OR($H428="",$C428=0),0,(60*SUMIFS(Stangenbelegung!$K$5:$K$10004,Stangenbelegung!$E$5:$E$10004,ROW())/$H428+SUMIFS(Stangenbelegung!$L$5:$L$10004,Stangenbelegung!$E$5:$E$10004,ROW())*$L428)/$C428))</f>
        <v/>
      </c>
      <c r="O428" s="35">
        <f>IF($A428="","",IF($M428="","",MAX(0,$M428-$N428)))</f>
        <v/>
      </c>
      <c r="P428" s="35">
        <f>IF($A428="","",IFERROR(SUMPRODUCT(--("0"&amp;TRIM(RIGHT(SUBSTITUTE(LEFT(";"&amp;SUBSTITUTE(UPPER(Auftrag!$AG428)," ","")&amp;";"&amp;"X"&amp;UPPER(Gewinde!$A$5:$A$54)&amp;";",SEARCH("X"&amp;UPPER(Gewinde!$A$5:$A$54)&amp;";",";"&amp;SUBSTITUTE(UPPER(Auftrag!$AG428)," ","")&amp;";"&amp;"X"&amp;UPPER(Gewinde!$A$5:$A$54)&amp;";")-1),";",REPT(" ",50)),50))),Gewinde!$C$5:$C$54),0))</f>
        <v/>
      </c>
      <c r="Q428" s="33">
        <f>IF($A428="","",(N($O428)+$P428)/3600*N(Auftrag!$H$8))</f>
        <v/>
      </c>
      <c r="R428" s="33">
        <f>IF($A428="","",IF($F$8=0,0,$F$7/$F$8))</f>
        <v/>
      </c>
      <c r="S428" s="33">
        <f>IF($A428="","",$F428*(1+$C$4)+($Q428+$R428)*(1+$C$5))</f>
        <v/>
      </c>
      <c r="T428" s="33">
        <f>IF($A428="","",$S428*(1+$C$6))</f>
        <v/>
      </c>
      <c r="U428" s="18">
        <f>IF($A428="","",$T428*$C428)</f>
        <v/>
      </c>
      <c r="V428" s="18">
        <f>IF($A428="","",$S428*$C428)</f>
        <v/>
      </c>
      <c r="W428" s="28">
        <f>IF($A428="","",IF(N(Auftrag!$AO428)&gt;0,"nicht vollständig eingeplant",IF($D428=0,"kein Schnittplan oder Preis",IF($H428="","keine Schneiddaten",IF(AND(Auftrag!$AF428&lt;&gt;"",Auftrag!$AG428=""),"Gewinde ungeprüft","")))))</f>
        <v/>
      </c>
      <c r="X428" s="18">
        <f>IF($A428="","",$F428*$C428)</f>
        <v/>
      </c>
      <c r="Y428" s="18">
        <f>IF($A428="","",$Q428*$C428)</f>
        <v/>
      </c>
    </row>
    <row r="429">
      <c r="A429" s="25">
        <f>IF(Auftrag!$D429="","",Auftrag!$A429)</f>
        <v/>
      </c>
      <c r="B429" s="25">
        <f>IF($A429="","",Auftrag!$B429)</f>
        <v/>
      </c>
      <c r="C429" s="15">
        <f>IF($A429="","",N(Auftrag!$G429))</f>
        <v/>
      </c>
      <c r="D429" s="18">
        <f>IF($A429="","",SUMIFS(Schnittplan!$R$5:$R$1004,Schnittplan!$B$5:$B$1004,Auftrag!$D429,Schnittplan!$C$5:$C$1004,Auftrag!$E429,Schnittplan!$D$5:$D$1004,Auftrag!$Q429))</f>
        <v/>
      </c>
      <c r="E429" s="32">
        <f>IF($A429="","",IFERROR(N(Auftrag!$P429)/SUMIFS(Auftrag!$P$13:$P$512,Auftrag!$D$13:$D$512,Auftrag!$D429,Auftrag!$E$13:$E$512,Auftrag!$E429,Auftrag!$Q$13:$Q$512,Auftrag!$Q429),0))</f>
        <v/>
      </c>
      <c r="F429" s="33">
        <f>IF($A429="","",IF($C429=0,0,$D429*$E429/$C429))</f>
        <v/>
      </c>
      <c r="G429" s="34">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5">
        <f>IF($A429="","",IF($H429="","",60*((N(Auftrag!$H429)-N(Auftrag!$AI429)-N(Auftrag!$AK429))/$H429+N(Auftrag!$AI429)/$J429+N(Auftrag!$AK429)/$I429+N(Auftrag!$AD429)/$K429)+N(Auftrag!$I429)*$L429))</f>
        <v/>
      </c>
      <c r="N429" s="35">
        <f>IF($A429="","",IF(OR($H429="",$C429=0),0,(60*SUMIFS(Stangenbelegung!$K$5:$K$10004,Stangenbelegung!$E$5:$E$10004,ROW())/$H429+SUMIFS(Stangenbelegung!$L$5:$L$10004,Stangenbelegung!$E$5:$E$10004,ROW())*$L429)/$C429))</f>
        <v/>
      </c>
      <c r="O429" s="35">
        <f>IF($A429="","",IF($M429="","",MAX(0,$M429-$N429)))</f>
        <v/>
      </c>
      <c r="P429" s="35">
        <f>IF($A429="","",IFERROR(SUMPRODUCT(--("0"&amp;TRIM(RIGHT(SUBSTITUTE(LEFT(";"&amp;SUBSTITUTE(UPPER(Auftrag!$AG429)," ","")&amp;";"&amp;"X"&amp;UPPER(Gewinde!$A$5:$A$54)&amp;";",SEARCH("X"&amp;UPPER(Gewinde!$A$5:$A$54)&amp;";",";"&amp;SUBSTITUTE(UPPER(Auftrag!$AG429)," ","")&amp;";"&amp;"X"&amp;UPPER(Gewinde!$A$5:$A$54)&amp;";")-1),";",REPT(" ",50)),50))),Gewinde!$C$5:$C$54),0))</f>
        <v/>
      </c>
      <c r="Q429" s="33">
        <f>IF($A429="","",(N($O429)+$P429)/3600*N(Auftrag!$H$8))</f>
        <v/>
      </c>
      <c r="R429" s="33">
        <f>IF($A429="","",IF($F$8=0,0,$F$7/$F$8))</f>
        <v/>
      </c>
      <c r="S429" s="33">
        <f>IF($A429="","",$F429*(1+$C$4)+($Q429+$R429)*(1+$C$5))</f>
        <v/>
      </c>
      <c r="T429" s="33">
        <f>IF($A429="","",$S429*(1+$C$6))</f>
        <v/>
      </c>
      <c r="U429" s="18">
        <f>IF($A429="","",$T429*$C429)</f>
        <v/>
      </c>
      <c r="V429" s="18">
        <f>IF($A429="","",$S429*$C429)</f>
        <v/>
      </c>
      <c r="W429" s="28">
        <f>IF($A429="","",IF(N(Auftrag!$AO429)&gt;0,"nicht vollständig eingeplant",IF($D429=0,"kein Schnittplan oder Preis",IF($H429="","keine Schneiddaten",IF(AND(Auftrag!$AF429&lt;&gt;"",Auftrag!$AG429=""),"Gewinde ungeprüft","")))))</f>
        <v/>
      </c>
      <c r="X429" s="18">
        <f>IF($A429="","",$F429*$C429)</f>
        <v/>
      </c>
      <c r="Y429" s="18">
        <f>IF($A429="","",$Q429*$C429)</f>
        <v/>
      </c>
    </row>
    <row r="430">
      <c r="A430" s="25">
        <f>IF(Auftrag!$D430="","",Auftrag!$A430)</f>
        <v/>
      </c>
      <c r="B430" s="25">
        <f>IF($A430="","",Auftrag!$B430)</f>
        <v/>
      </c>
      <c r="C430" s="15">
        <f>IF($A430="","",N(Auftrag!$G430))</f>
        <v/>
      </c>
      <c r="D430" s="18">
        <f>IF($A430="","",SUMIFS(Schnittplan!$R$5:$R$1004,Schnittplan!$B$5:$B$1004,Auftrag!$D430,Schnittplan!$C$5:$C$1004,Auftrag!$E430,Schnittplan!$D$5:$D$1004,Auftrag!$Q430))</f>
        <v/>
      </c>
      <c r="E430" s="32">
        <f>IF($A430="","",IFERROR(N(Auftrag!$P430)/SUMIFS(Auftrag!$P$13:$P$512,Auftrag!$D$13:$D$512,Auftrag!$D430,Auftrag!$E$13:$E$512,Auftrag!$E430,Auftrag!$Q$13:$Q$512,Auftrag!$Q430),0))</f>
        <v/>
      </c>
      <c r="F430" s="33">
        <f>IF($A430="","",IF($C430=0,0,$D430*$E430/$C430))</f>
        <v/>
      </c>
      <c r="G430" s="34">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5">
        <f>IF($A430="","",IF($H430="","",60*((N(Auftrag!$H430)-N(Auftrag!$AI430)-N(Auftrag!$AK430))/$H430+N(Auftrag!$AI430)/$J430+N(Auftrag!$AK430)/$I430+N(Auftrag!$AD430)/$K430)+N(Auftrag!$I430)*$L430))</f>
        <v/>
      </c>
      <c r="N430" s="35">
        <f>IF($A430="","",IF(OR($H430="",$C430=0),0,(60*SUMIFS(Stangenbelegung!$K$5:$K$10004,Stangenbelegung!$E$5:$E$10004,ROW())/$H430+SUMIFS(Stangenbelegung!$L$5:$L$10004,Stangenbelegung!$E$5:$E$10004,ROW())*$L430)/$C430))</f>
        <v/>
      </c>
      <c r="O430" s="35">
        <f>IF($A430="","",IF($M430="","",MAX(0,$M430-$N430)))</f>
        <v/>
      </c>
      <c r="P430" s="35">
        <f>IF($A430="","",IFERROR(SUMPRODUCT(--("0"&amp;TRIM(RIGHT(SUBSTITUTE(LEFT(";"&amp;SUBSTITUTE(UPPER(Auftrag!$AG430)," ","")&amp;";"&amp;"X"&amp;UPPER(Gewinde!$A$5:$A$54)&amp;";",SEARCH("X"&amp;UPPER(Gewinde!$A$5:$A$54)&amp;";",";"&amp;SUBSTITUTE(UPPER(Auftrag!$AG430)," ","")&amp;";"&amp;"X"&amp;UPPER(Gewinde!$A$5:$A$54)&amp;";")-1),";",REPT(" ",50)),50))),Gewinde!$C$5:$C$54),0))</f>
        <v/>
      </c>
      <c r="Q430" s="33">
        <f>IF($A430="","",(N($O430)+$P430)/3600*N(Auftrag!$H$8))</f>
        <v/>
      </c>
      <c r="R430" s="33">
        <f>IF($A430="","",IF($F$8=0,0,$F$7/$F$8))</f>
        <v/>
      </c>
      <c r="S430" s="33">
        <f>IF($A430="","",$F430*(1+$C$4)+($Q430+$R430)*(1+$C$5))</f>
        <v/>
      </c>
      <c r="T430" s="33">
        <f>IF($A430="","",$S430*(1+$C$6))</f>
        <v/>
      </c>
      <c r="U430" s="18">
        <f>IF($A430="","",$T430*$C430)</f>
        <v/>
      </c>
      <c r="V430" s="18">
        <f>IF($A430="","",$S430*$C430)</f>
        <v/>
      </c>
      <c r="W430" s="28">
        <f>IF($A430="","",IF(N(Auftrag!$AO430)&gt;0,"nicht vollständig eingeplant",IF($D430=0,"kein Schnittplan oder Preis",IF($H430="","keine Schneiddaten",IF(AND(Auftrag!$AF430&lt;&gt;"",Auftrag!$AG430=""),"Gewinde ungeprüft","")))))</f>
        <v/>
      </c>
      <c r="X430" s="18">
        <f>IF($A430="","",$F430*$C430)</f>
        <v/>
      </c>
      <c r="Y430" s="18">
        <f>IF($A430="","",$Q430*$C430)</f>
        <v/>
      </c>
    </row>
    <row r="431">
      <c r="A431" s="25">
        <f>IF(Auftrag!$D431="","",Auftrag!$A431)</f>
        <v/>
      </c>
      <c r="B431" s="25">
        <f>IF($A431="","",Auftrag!$B431)</f>
        <v/>
      </c>
      <c r="C431" s="15">
        <f>IF($A431="","",N(Auftrag!$G431))</f>
        <v/>
      </c>
      <c r="D431" s="18">
        <f>IF($A431="","",SUMIFS(Schnittplan!$R$5:$R$1004,Schnittplan!$B$5:$B$1004,Auftrag!$D431,Schnittplan!$C$5:$C$1004,Auftrag!$E431,Schnittplan!$D$5:$D$1004,Auftrag!$Q431))</f>
        <v/>
      </c>
      <c r="E431" s="32">
        <f>IF($A431="","",IFERROR(N(Auftrag!$P431)/SUMIFS(Auftrag!$P$13:$P$512,Auftrag!$D$13:$D$512,Auftrag!$D431,Auftrag!$E$13:$E$512,Auftrag!$E431,Auftrag!$Q$13:$Q$512,Auftrag!$Q431),0))</f>
        <v/>
      </c>
      <c r="F431" s="33">
        <f>IF($A431="","",IF($C431=0,0,$D431*$E431/$C431))</f>
        <v/>
      </c>
      <c r="G431" s="34">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5">
        <f>IF($A431="","",IF($H431="","",60*((N(Auftrag!$H431)-N(Auftrag!$AI431)-N(Auftrag!$AK431))/$H431+N(Auftrag!$AI431)/$J431+N(Auftrag!$AK431)/$I431+N(Auftrag!$AD431)/$K431)+N(Auftrag!$I431)*$L431))</f>
        <v/>
      </c>
      <c r="N431" s="35">
        <f>IF($A431="","",IF(OR($H431="",$C431=0),0,(60*SUMIFS(Stangenbelegung!$K$5:$K$10004,Stangenbelegung!$E$5:$E$10004,ROW())/$H431+SUMIFS(Stangenbelegung!$L$5:$L$10004,Stangenbelegung!$E$5:$E$10004,ROW())*$L431)/$C431))</f>
        <v/>
      </c>
      <c r="O431" s="35">
        <f>IF($A431="","",IF($M431="","",MAX(0,$M431-$N431)))</f>
        <v/>
      </c>
      <c r="P431" s="35">
        <f>IF($A431="","",IFERROR(SUMPRODUCT(--("0"&amp;TRIM(RIGHT(SUBSTITUTE(LEFT(";"&amp;SUBSTITUTE(UPPER(Auftrag!$AG431)," ","")&amp;";"&amp;"X"&amp;UPPER(Gewinde!$A$5:$A$54)&amp;";",SEARCH("X"&amp;UPPER(Gewinde!$A$5:$A$54)&amp;";",";"&amp;SUBSTITUTE(UPPER(Auftrag!$AG431)," ","")&amp;";"&amp;"X"&amp;UPPER(Gewinde!$A$5:$A$54)&amp;";")-1),";",REPT(" ",50)),50))),Gewinde!$C$5:$C$54),0))</f>
        <v/>
      </c>
      <c r="Q431" s="33">
        <f>IF($A431="","",(N($O431)+$P431)/3600*N(Auftrag!$H$8))</f>
        <v/>
      </c>
      <c r="R431" s="33">
        <f>IF($A431="","",IF($F$8=0,0,$F$7/$F$8))</f>
        <v/>
      </c>
      <c r="S431" s="33">
        <f>IF($A431="","",$F431*(1+$C$4)+($Q431+$R431)*(1+$C$5))</f>
        <v/>
      </c>
      <c r="T431" s="33">
        <f>IF($A431="","",$S431*(1+$C$6))</f>
        <v/>
      </c>
      <c r="U431" s="18">
        <f>IF($A431="","",$T431*$C431)</f>
        <v/>
      </c>
      <c r="V431" s="18">
        <f>IF($A431="","",$S431*$C431)</f>
        <v/>
      </c>
      <c r="W431" s="28">
        <f>IF($A431="","",IF(N(Auftrag!$AO431)&gt;0,"nicht vollständig eingeplant",IF($D431=0,"kein Schnittplan oder Preis",IF($H431="","keine Schneiddaten",IF(AND(Auftrag!$AF431&lt;&gt;"",Auftrag!$AG431=""),"Gewinde ungeprüft","")))))</f>
        <v/>
      </c>
      <c r="X431" s="18">
        <f>IF($A431="","",$F431*$C431)</f>
        <v/>
      </c>
      <c r="Y431" s="18">
        <f>IF($A431="","",$Q431*$C431)</f>
        <v/>
      </c>
    </row>
    <row r="432">
      <c r="A432" s="25">
        <f>IF(Auftrag!$D432="","",Auftrag!$A432)</f>
        <v/>
      </c>
      <c r="B432" s="25">
        <f>IF($A432="","",Auftrag!$B432)</f>
        <v/>
      </c>
      <c r="C432" s="15">
        <f>IF($A432="","",N(Auftrag!$G432))</f>
        <v/>
      </c>
      <c r="D432" s="18">
        <f>IF($A432="","",SUMIFS(Schnittplan!$R$5:$R$1004,Schnittplan!$B$5:$B$1004,Auftrag!$D432,Schnittplan!$C$5:$C$1004,Auftrag!$E432,Schnittplan!$D$5:$D$1004,Auftrag!$Q432))</f>
        <v/>
      </c>
      <c r="E432" s="32">
        <f>IF($A432="","",IFERROR(N(Auftrag!$P432)/SUMIFS(Auftrag!$P$13:$P$512,Auftrag!$D$13:$D$512,Auftrag!$D432,Auftrag!$E$13:$E$512,Auftrag!$E432,Auftrag!$Q$13:$Q$512,Auftrag!$Q432),0))</f>
        <v/>
      </c>
      <c r="F432" s="33">
        <f>IF($A432="","",IF($C432=0,0,$D432*$E432/$C432))</f>
        <v/>
      </c>
      <c r="G432" s="34">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5">
        <f>IF($A432="","",IF($H432="","",60*((N(Auftrag!$H432)-N(Auftrag!$AI432)-N(Auftrag!$AK432))/$H432+N(Auftrag!$AI432)/$J432+N(Auftrag!$AK432)/$I432+N(Auftrag!$AD432)/$K432)+N(Auftrag!$I432)*$L432))</f>
        <v/>
      </c>
      <c r="N432" s="35">
        <f>IF($A432="","",IF(OR($H432="",$C432=0),0,(60*SUMIFS(Stangenbelegung!$K$5:$K$10004,Stangenbelegung!$E$5:$E$10004,ROW())/$H432+SUMIFS(Stangenbelegung!$L$5:$L$10004,Stangenbelegung!$E$5:$E$10004,ROW())*$L432)/$C432))</f>
        <v/>
      </c>
      <c r="O432" s="35">
        <f>IF($A432="","",IF($M432="","",MAX(0,$M432-$N432)))</f>
        <v/>
      </c>
      <c r="P432" s="35">
        <f>IF($A432="","",IFERROR(SUMPRODUCT(--("0"&amp;TRIM(RIGHT(SUBSTITUTE(LEFT(";"&amp;SUBSTITUTE(UPPER(Auftrag!$AG432)," ","")&amp;";"&amp;"X"&amp;UPPER(Gewinde!$A$5:$A$54)&amp;";",SEARCH("X"&amp;UPPER(Gewinde!$A$5:$A$54)&amp;";",";"&amp;SUBSTITUTE(UPPER(Auftrag!$AG432)," ","")&amp;";"&amp;"X"&amp;UPPER(Gewinde!$A$5:$A$54)&amp;";")-1),";",REPT(" ",50)),50))),Gewinde!$C$5:$C$54),0))</f>
        <v/>
      </c>
      <c r="Q432" s="33">
        <f>IF($A432="","",(N($O432)+$P432)/3600*N(Auftrag!$H$8))</f>
        <v/>
      </c>
      <c r="R432" s="33">
        <f>IF($A432="","",IF($F$8=0,0,$F$7/$F$8))</f>
        <v/>
      </c>
      <c r="S432" s="33">
        <f>IF($A432="","",$F432*(1+$C$4)+($Q432+$R432)*(1+$C$5))</f>
        <v/>
      </c>
      <c r="T432" s="33">
        <f>IF($A432="","",$S432*(1+$C$6))</f>
        <v/>
      </c>
      <c r="U432" s="18">
        <f>IF($A432="","",$T432*$C432)</f>
        <v/>
      </c>
      <c r="V432" s="18">
        <f>IF($A432="","",$S432*$C432)</f>
        <v/>
      </c>
      <c r="W432" s="28">
        <f>IF($A432="","",IF(N(Auftrag!$AO432)&gt;0,"nicht vollständig eingeplant",IF($D432=0,"kein Schnittplan oder Preis",IF($H432="","keine Schneiddaten",IF(AND(Auftrag!$AF432&lt;&gt;"",Auftrag!$AG432=""),"Gewinde ungeprüft","")))))</f>
        <v/>
      </c>
      <c r="X432" s="18">
        <f>IF($A432="","",$F432*$C432)</f>
        <v/>
      </c>
      <c r="Y432" s="18">
        <f>IF($A432="","",$Q432*$C432)</f>
        <v/>
      </c>
    </row>
    <row r="433">
      <c r="A433" s="25">
        <f>IF(Auftrag!$D433="","",Auftrag!$A433)</f>
        <v/>
      </c>
      <c r="B433" s="25">
        <f>IF($A433="","",Auftrag!$B433)</f>
        <v/>
      </c>
      <c r="C433" s="15">
        <f>IF($A433="","",N(Auftrag!$G433))</f>
        <v/>
      </c>
      <c r="D433" s="18">
        <f>IF($A433="","",SUMIFS(Schnittplan!$R$5:$R$1004,Schnittplan!$B$5:$B$1004,Auftrag!$D433,Schnittplan!$C$5:$C$1004,Auftrag!$E433,Schnittplan!$D$5:$D$1004,Auftrag!$Q433))</f>
        <v/>
      </c>
      <c r="E433" s="32">
        <f>IF($A433="","",IFERROR(N(Auftrag!$P433)/SUMIFS(Auftrag!$P$13:$P$512,Auftrag!$D$13:$D$512,Auftrag!$D433,Auftrag!$E$13:$E$512,Auftrag!$E433,Auftrag!$Q$13:$Q$512,Auftrag!$Q433),0))</f>
        <v/>
      </c>
      <c r="F433" s="33">
        <f>IF($A433="","",IF($C433=0,0,$D433*$E433/$C433))</f>
        <v/>
      </c>
      <c r="G433" s="34">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5">
        <f>IF($A433="","",IF($H433="","",60*((N(Auftrag!$H433)-N(Auftrag!$AI433)-N(Auftrag!$AK433))/$H433+N(Auftrag!$AI433)/$J433+N(Auftrag!$AK433)/$I433+N(Auftrag!$AD433)/$K433)+N(Auftrag!$I433)*$L433))</f>
        <v/>
      </c>
      <c r="N433" s="35">
        <f>IF($A433="","",IF(OR($H433="",$C433=0),0,(60*SUMIFS(Stangenbelegung!$K$5:$K$10004,Stangenbelegung!$E$5:$E$10004,ROW())/$H433+SUMIFS(Stangenbelegung!$L$5:$L$10004,Stangenbelegung!$E$5:$E$10004,ROW())*$L433)/$C433))</f>
        <v/>
      </c>
      <c r="O433" s="35">
        <f>IF($A433="","",IF($M433="","",MAX(0,$M433-$N433)))</f>
        <v/>
      </c>
      <c r="P433" s="35">
        <f>IF($A433="","",IFERROR(SUMPRODUCT(--("0"&amp;TRIM(RIGHT(SUBSTITUTE(LEFT(";"&amp;SUBSTITUTE(UPPER(Auftrag!$AG433)," ","")&amp;";"&amp;"X"&amp;UPPER(Gewinde!$A$5:$A$54)&amp;";",SEARCH("X"&amp;UPPER(Gewinde!$A$5:$A$54)&amp;";",";"&amp;SUBSTITUTE(UPPER(Auftrag!$AG433)," ","")&amp;";"&amp;"X"&amp;UPPER(Gewinde!$A$5:$A$54)&amp;";")-1),";",REPT(" ",50)),50))),Gewinde!$C$5:$C$54),0))</f>
        <v/>
      </c>
      <c r="Q433" s="33">
        <f>IF($A433="","",(N($O433)+$P433)/3600*N(Auftrag!$H$8))</f>
        <v/>
      </c>
      <c r="R433" s="33">
        <f>IF($A433="","",IF($F$8=0,0,$F$7/$F$8))</f>
        <v/>
      </c>
      <c r="S433" s="33">
        <f>IF($A433="","",$F433*(1+$C$4)+($Q433+$R433)*(1+$C$5))</f>
        <v/>
      </c>
      <c r="T433" s="33">
        <f>IF($A433="","",$S433*(1+$C$6))</f>
        <v/>
      </c>
      <c r="U433" s="18">
        <f>IF($A433="","",$T433*$C433)</f>
        <v/>
      </c>
      <c r="V433" s="18">
        <f>IF($A433="","",$S433*$C433)</f>
        <v/>
      </c>
      <c r="W433" s="28">
        <f>IF($A433="","",IF(N(Auftrag!$AO433)&gt;0,"nicht vollständig eingeplant",IF($D433=0,"kein Schnittplan oder Preis",IF($H433="","keine Schneiddaten",IF(AND(Auftrag!$AF433&lt;&gt;"",Auftrag!$AG433=""),"Gewinde ungeprüft","")))))</f>
        <v/>
      </c>
      <c r="X433" s="18">
        <f>IF($A433="","",$F433*$C433)</f>
        <v/>
      </c>
      <c r="Y433" s="18">
        <f>IF($A433="","",$Q433*$C433)</f>
        <v/>
      </c>
    </row>
    <row r="434">
      <c r="A434" s="25">
        <f>IF(Auftrag!$D434="","",Auftrag!$A434)</f>
        <v/>
      </c>
      <c r="B434" s="25">
        <f>IF($A434="","",Auftrag!$B434)</f>
        <v/>
      </c>
      <c r="C434" s="15">
        <f>IF($A434="","",N(Auftrag!$G434))</f>
        <v/>
      </c>
      <c r="D434" s="18">
        <f>IF($A434="","",SUMIFS(Schnittplan!$R$5:$R$1004,Schnittplan!$B$5:$B$1004,Auftrag!$D434,Schnittplan!$C$5:$C$1004,Auftrag!$E434,Schnittplan!$D$5:$D$1004,Auftrag!$Q434))</f>
        <v/>
      </c>
      <c r="E434" s="32">
        <f>IF($A434="","",IFERROR(N(Auftrag!$P434)/SUMIFS(Auftrag!$P$13:$P$512,Auftrag!$D$13:$D$512,Auftrag!$D434,Auftrag!$E$13:$E$512,Auftrag!$E434,Auftrag!$Q$13:$Q$512,Auftrag!$Q434),0))</f>
        <v/>
      </c>
      <c r="F434" s="33">
        <f>IF($A434="","",IF($C434=0,0,$D434*$E434/$C434))</f>
        <v/>
      </c>
      <c r="G434" s="34">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5">
        <f>IF($A434="","",IF($H434="","",60*((N(Auftrag!$H434)-N(Auftrag!$AI434)-N(Auftrag!$AK434))/$H434+N(Auftrag!$AI434)/$J434+N(Auftrag!$AK434)/$I434+N(Auftrag!$AD434)/$K434)+N(Auftrag!$I434)*$L434))</f>
        <v/>
      </c>
      <c r="N434" s="35">
        <f>IF($A434="","",IF(OR($H434="",$C434=0),0,(60*SUMIFS(Stangenbelegung!$K$5:$K$10004,Stangenbelegung!$E$5:$E$10004,ROW())/$H434+SUMIFS(Stangenbelegung!$L$5:$L$10004,Stangenbelegung!$E$5:$E$10004,ROW())*$L434)/$C434))</f>
        <v/>
      </c>
      <c r="O434" s="35">
        <f>IF($A434="","",IF($M434="","",MAX(0,$M434-$N434)))</f>
        <v/>
      </c>
      <c r="P434" s="35">
        <f>IF($A434="","",IFERROR(SUMPRODUCT(--("0"&amp;TRIM(RIGHT(SUBSTITUTE(LEFT(";"&amp;SUBSTITUTE(UPPER(Auftrag!$AG434)," ","")&amp;";"&amp;"X"&amp;UPPER(Gewinde!$A$5:$A$54)&amp;";",SEARCH("X"&amp;UPPER(Gewinde!$A$5:$A$54)&amp;";",";"&amp;SUBSTITUTE(UPPER(Auftrag!$AG434)," ","")&amp;";"&amp;"X"&amp;UPPER(Gewinde!$A$5:$A$54)&amp;";")-1),";",REPT(" ",50)),50))),Gewinde!$C$5:$C$54),0))</f>
        <v/>
      </c>
      <c r="Q434" s="33">
        <f>IF($A434="","",(N($O434)+$P434)/3600*N(Auftrag!$H$8))</f>
        <v/>
      </c>
      <c r="R434" s="33">
        <f>IF($A434="","",IF($F$8=0,0,$F$7/$F$8))</f>
        <v/>
      </c>
      <c r="S434" s="33">
        <f>IF($A434="","",$F434*(1+$C$4)+($Q434+$R434)*(1+$C$5))</f>
        <v/>
      </c>
      <c r="T434" s="33">
        <f>IF($A434="","",$S434*(1+$C$6))</f>
        <v/>
      </c>
      <c r="U434" s="18">
        <f>IF($A434="","",$T434*$C434)</f>
        <v/>
      </c>
      <c r="V434" s="18">
        <f>IF($A434="","",$S434*$C434)</f>
        <v/>
      </c>
      <c r="W434" s="28">
        <f>IF($A434="","",IF(N(Auftrag!$AO434)&gt;0,"nicht vollständig eingeplant",IF($D434=0,"kein Schnittplan oder Preis",IF($H434="","keine Schneiddaten",IF(AND(Auftrag!$AF434&lt;&gt;"",Auftrag!$AG434=""),"Gewinde ungeprüft","")))))</f>
        <v/>
      </c>
      <c r="X434" s="18">
        <f>IF($A434="","",$F434*$C434)</f>
        <v/>
      </c>
      <c r="Y434" s="18">
        <f>IF($A434="","",$Q434*$C434)</f>
        <v/>
      </c>
    </row>
    <row r="435">
      <c r="A435" s="25">
        <f>IF(Auftrag!$D435="","",Auftrag!$A435)</f>
        <v/>
      </c>
      <c r="B435" s="25">
        <f>IF($A435="","",Auftrag!$B435)</f>
        <v/>
      </c>
      <c r="C435" s="15">
        <f>IF($A435="","",N(Auftrag!$G435))</f>
        <v/>
      </c>
      <c r="D435" s="18">
        <f>IF($A435="","",SUMIFS(Schnittplan!$R$5:$R$1004,Schnittplan!$B$5:$B$1004,Auftrag!$D435,Schnittplan!$C$5:$C$1004,Auftrag!$E435,Schnittplan!$D$5:$D$1004,Auftrag!$Q435))</f>
        <v/>
      </c>
      <c r="E435" s="32">
        <f>IF($A435="","",IFERROR(N(Auftrag!$P435)/SUMIFS(Auftrag!$P$13:$P$512,Auftrag!$D$13:$D$512,Auftrag!$D435,Auftrag!$E$13:$E$512,Auftrag!$E435,Auftrag!$Q$13:$Q$512,Auftrag!$Q435),0))</f>
        <v/>
      </c>
      <c r="F435" s="33">
        <f>IF($A435="","",IF($C435=0,0,$D435*$E435/$C435))</f>
        <v/>
      </c>
      <c r="G435" s="34">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5">
        <f>IF($A435="","",IF($H435="","",60*((N(Auftrag!$H435)-N(Auftrag!$AI435)-N(Auftrag!$AK435))/$H435+N(Auftrag!$AI435)/$J435+N(Auftrag!$AK435)/$I435+N(Auftrag!$AD435)/$K435)+N(Auftrag!$I435)*$L435))</f>
        <v/>
      </c>
      <c r="N435" s="35">
        <f>IF($A435="","",IF(OR($H435="",$C435=0),0,(60*SUMIFS(Stangenbelegung!$K$5:$K$10004,Stangenbelegung!$E$5:$E$10004,ROW())/$H435+SUMIFS(Stangenbelegung!$L$5:$L$10004,Stangenbelegung!$E$5:$E$10004,ROW())*$L435)/$C435))</f>
        <v/>
      </c>
      <c r="O435" s="35">
        <f>IF($A435="","",IF($M435="","",MAX(0,$M435-$N435)))</f>
        <v/>
      </c>
      <c r="P435" s="35">
        <f>IF($A435="","",IFERROR(SUMPRODUCT(--("0"&amp;TRIM(RIGHT(SUBSTITUTE(LEFT(";"&amp;SUBSTITUTE(UPPER(Auftrag!$AG435)," ","")&amp;";"&amp;"X"&amp;UPPER(Gewinde!$A$5:$A$54)&amp;";",SEARCH("X"&amp;UPPER(Gewinde!$A$5:$A$54)&amp;";",";"&amp;SUBSTITUTE(UPPER(Auftrag!$AG435)," ","")&amp;";"&amp;"X"&amp;UPPER(Gewinde!$A$5:$A$54)&amp;";")-1),";",REPT(" ",50)),50))),Gewinde!$C$5:$C$54),0))</f>
        <v/>
      </c>
      <c r="Q435" s="33">
        <f>IF($A435="","",(N($O435)+$P435)/3600*N(Auftrag!$H$8))</f>
        <v/>
      </c>
      <c r="R435" s="33">
        <f>IF($A435="","",IF($F$8=0,0,$F$7/$F$8))</f>
        <v/>
      </c>
      <c r="S435" s="33">
        <f>IF($A435="","",$F435*(1+$C$4)+($Q435+$R435)*(1+$C$5))</f>
        <v/>
      </c>
      <c r="T435" s="33">
        <f>IF($A435="","",$S435*(1+$C$6))</f>
        <v/>
      </c>
      <c r="U435" s="18">
        <f>IF($A435="","",$T435*$C435)</f>
        <v/>
      </c>
      <c r="V435" s="18">
        <f>IF($A435="","",$S435*$C435)</f>
        <v/>
      </c>
      <c r="W435" s="28">
        <f>IF($A435="","",IF(N(Auftrag!$AO435)&gt;0,"nicht vollständig eingeplant",IF($D435=0,"kein Schnittplan oder Preis",IF($H435="","keine Schneiddaten",IF(AND(Auftrag!$AF435&lt;&gt;"",Auftrag!$AG435=""),"Gewinde ungeprüft","")))))</f>
        <v/>
      </c>
      <c r="X435" s="18">
        <f>IF($A435="","",$F435*$C435)</f>
        <v/>
      </c>
      <c r="Y435" s="18">
        <f>IF($A435="","",$Q435*$C435)</f>
        <v/>
      </c>
    </row>
    <row r="436">
      <c r="A436" s="25">
        <f>IF(Auftrag!$D436="","",Auftrag!$A436)</f>
        <v/>
      </c>
      <c r="B436" s="25">
        <f>IF($A436="","",Auftrag!$B436)</f>
        <v/>
      </c>
      <c r="C436" s="15">
        <f>IF($A436="","",N(Auftrag!$G436))</f>
        <v/>
      </c>
      <c r="D436" s="18">
        <f>IF($A436="","",SUMIFS(Schnittplan!$R$5:$R$1004,Schnittplan!$B$5:$B$1004,Auftrag!$D436,Schnittplan!$C$5:$C$1004,Auftrag!$E436,Schnittplan!$D$5:$D$1004,Auftrag!$Q436))</f>
        <v/>
      </c>
      <c r="E436" s="32">
        <f>IF($A436="","",IFERROR(N(Auftrag!$P436)/SUMIFS(Auftrag!$P$13:$P$512,Auftrag!$D$13:$D$512,Auftrag!$D436,Auftrag!$E$13:$E$512,Auftrag!$E436,Auftrag!$Q$13:$Q$512,Auftrag!$Q436),0))</f>
        <v/>
      </c>
      <c r="F436" s="33">
        <f>IF($A436="","",IF($C436=0,0,$D436*$E436/$C436))</f>
        <v/>
      </c>
      <c r="G436" s="34">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5">
        <f>IF($A436="","",IF($H436="","",60*((N(Auftrag!$H436)-N(Auftrag!$AI436)-N(Auftrag!$AK436))/$H436+N(Auftrag!$AI436)/$J436+N(Auftrag!$AK436)/$I436+N(Auftrag!$AD436)/$K436)+N(Auftrag!$I436)*$L436))</f>
        <v/>
      </c>
      <c r="N436" s="35">
        <f>IF($A436="","",IF(OR($H436="",$C436=0),0,(60*SUMIFS(Stangenbelegung!$K$5:$K$10004,Stangenbelegung!$E$5:$E$10004,ROW())/$H436+SUMIFS(Stangenbelegung!$L$5:$L$10004,Stangenbelegung!$E$5:$E$10004,ROW())*$L436)/$C436))</f>
        <v/>
      </c>
      <c r="O436" s="35">
        <f>IF($A436="","",IF($M436="","",MAX(0,$M436-$N436)))</f>
        <v/>
      </c>
      <c r="P436" s="35">
        <f>IF($A436="","",IFERROR(SUMPRODUCT(--("0"&amp;TRIM(RIGHT(SUBSTITUTE(LEFT(";"&amp;SUBSTITUTE(UPPER(Auftrag!$AG436)," ","")&amp;";"&amp;"X"&amp;UPPER(Gewinde!$A$5:$A$54)&amp;";",SEARCH("X"&amp;UPPER(Gewinde!$A$5:$A$54)&amp;";",";"&amp;SUBSTITUTE(UPPER(Auftrag!$AG436)," ","")&amp;";"&amp;"X"&amp;UPPER(Gewinde!$A$5:$A$54)&amp;";")-1),";",REPT(" ",50)),50))),Gewinde!$C$5:$C$54),0))</f>
        <v/>
      </c>
      <c r="Q436" s="33">
        <f>IF($A436="","",(N($O436)+$P436)/3600*N(Auftrag!$H$8))</f>
        <v/>
      </c>
      <c r="R436" s="33">
        <f>IF($A436="","",IF($F$8=0,0,$F$7/$F$8))</f>
        <v/>
      </c>
      <c r="S436" s="33">
        <f>IF($A436="","",$F436*(1+$C$4)+($Q436+$R436)*(1+$C$5))</f>
        <v/>
      </c>
      <c r="T436" s="33">
        <f>IF($A436="","",$S436*(1+$C$6))</f>
        <v/>
      </c>
      <c r="U436" s="18">
        <f>IF($A436="","",$T436*$C436)</f>
        <v/>
      </c>
      <c r="V436" s="18">
        <f>IF($A436="","",$S436*$C436)</f>
        <v/>
      </c>
      <c r="W436" s="28">
        <f>IF($A436="","",IF(N(Auftrag!$AO436)&gt;0,"nicht vollständig eingeplant",IF($D436=0,"kein Schnittplan oder Preis",IF($H436="","keine Schneiddaten",IF(AND(Auftrag!$AF436&lt;&gt;"",Auftrag!$AG436=""),"Gewinde ungeprüft","")))))</f>
        <v/>
      </c>
      <c r="X436" s="18">
        <f>IF($A436="","",$F436*$C436)</f>
        <v/>
      </c>
      <c r="Y436" s="18">
        <f>IF($A436="","",$Q436*$C436)</f>
        <v/>
      </c>
    </row>
    <row r="437">
      <c r="A437" s="25">
        <f>IF(Auftrag!$D437="","",Auftrag!$A437)</f>
        <v/>
      </c>
      <c r="B437" s="25">
        <f>IF($A437="","",Auftrag!$B437)</f>
        <v/>
      </c>
      <c r="C437" s="15">
        <f>IF($A437="","",N(Auftrag!$G437))</f>
        <v/>
      </c>
      <c r="D437" s="18">
        <f>IF($A437="","",SUMIFS(Schnittplan!$R$5:$R$1004,Schnittplan!$B$5:$B$1004,Auftrag!$D437,Schnittplan!$C$5:$C$1004,Auftrag!$E437,Schnittplan!$D$5:$D$1004,Auftrag!$Q437))</f>
        <v/>
      </c>
      <c r="E437" s="32">
        <f>IF($A437="","",IFERROR(N(Auftrag!$P437)/SUMIFS(Auftrag!$P$13:$P$512,Auftrag!$D$13:$D$512,Auftrag!$D437,Auftrag!$E$13:$E$512,Auftrag!$E437,Auftrag!$Q$13:$Q$512,Auftrag!$Q437),0))</f>
        <v/>
      </c>
      <c r="F437" s="33">
        <f>IF($A437="","",IF($C437=0,0,$D437*$E437/$C437))</f>
        <v/>
      </c>
      <c r="G437" s="34">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5">
        <f>IF($A437="","",IF($H437="","",60*((N(Auftrag!$H437)-N(Auftrag!$AI437)-N(Auftrag!$AK437))/$H437+N(Auftrag!$AI437)/$J437+N(Auftrag!$AK437)/$I437+N(Auftrag!$AD437)/$K437)+N(Auftrag!$I437)*$L437))</f>
        <v/>
      </c>
      <c r="N437" s="35">
        <f>IF($A437="","",IF(OR($H437="",$C437=0),0,(60*SUMIFS(Stangenbelegung!$K$5:$K$10004,Stangenbelegung!$E$5:$E$10004,ROW())/$H437+SUMIFS(Stangenbelegung!$L$5:$L$10004,Stangenbelegung!$E$5:$E$10004,ROW())*$L437)/$C437))</f>
        <v/>
      </c>
      <c r="O437" s="35">
        <f>IF($A437="","",IF($M437="","",MAX(0,$M437-$N437)))</f>
        <v/>
      </c>
      <c r="P437" s="35">
        <f>IF($A437="","",IFERROR(SUMPRODUCT(--("0"&amp;TRIM(RIGHT(SUBSTITUTE(LEFT(";"&amp;SUBSTITUTE(UPPER(Auftrag!$AG437)," ","")&amp;";"&amp;"X"&amp;UPPER(Gewinde!$A$5:$A$54)&amp;";",SEARCH("X"&amp;UPPER(Gewinde!$A$5:$A$54)&amp;";",";"&amp;SUBSTITUTE(UPPER(Auftrag!$AG437)," ","")&amp;";"&amp;"X"&amp;UPPER(Gewinde!$A$5:$A$54)&amp;";")-1),";",REPT(" ",50)),50))),Gewinde!$C$5:$C$54),0))</f>
        <v/>
      </c>
      <c r="Q437" s="33">
        <f>IF($A437="","",(N($O437)+$P437)/3600*N(Auftrag!$H$8))</f>
        <v/>
      </c>
      <c r="R437" s="33">
        <f>IF($A437="","",IF($F$8=0,0,$F$7/$F$8))</f>
        <v/>
      </c>
      <c r="S437" s="33">
        <f>IF($A437="","",$F437*(1+$C$4)+($Q437+$R437)*(1+$C$5))</f>
        <v/>
      </c>
      <c r="T437" s="33">
        <f>IF($A437="","",$S437*(1+$C$6))</f>
        <v/>
      </c>
      <c r="U437" s="18">
        <f>IF($A437="","",$T437*$C437)</f>
        <v/>
      </c>
      <c r="V437" s="18">
        <f>IF($A437="","",$S437*$C437)</f>
        <v/>
      </c>
      <c r="W437" s="28">
        <f>IF($A437="","",IF(N(Auftrag!$AO437)&gt;0,"nicht vollständig eingeplant",IF($D437=0,"kein Schnittplan oder Preis",IF($H437="","keine Schneiddaten",IF(AND(Auftrag!$AF437&lt;&gt;"",Auftrag!$AG437=""),"Gewinde ungeprüft","")))))</f>
        <v/>
      </c>
      <c r="X437" s="18">
        <f>IF($A437="","",$F437*$C437)</f>
        <v/>
      </c>
      <c r="Y437" s="18">
        <f>IF($A437="","",$Q437*$C437)</f>
        <v/>
      </c>
    </row>
    <row r="438">
      <c r="A438" s="25">
        <f>IF(Auftrag!$D438="","",Auftrag!$A438)</f>
        <v/>
      </c>
      <c r="B438" s="25">
        <f>IF($A438="","",Auftrag!$B438)</f>
        <v/>
      </c>
      <c r="C438" s="15">
        <f>IF($A438="","",N(Auftrag!$G438))</f>
        <v/>
      </c>
      <c r="D438" s="18">
        <f>IF($A438="","",SUMIFS(Schnittplan!$R$5:$R$1004,Schnittplan!$B$5:$B$1004,Auftrag!$D438,Schnittplan!$C$5:$C$1004,Auftrag!$E438,Schnittplan!$D$5:$D$1004,Auftrag!$Q438))</f>
        <v/>
      </c>
      <c r="E438" s="32">
        <f>IF($A438="","",IFERROR(N(Auftrag!$P438)/SUMIFS(Auftrag!$P$13:$P$512,Auftrag!$D$13:$D$512,Auftrag!$D438,Auftrag!$E$13:$E$512,Auftrag!$E438,Auftrag!$Q$13:$Q$512,Auftrag!$Q438),0))</f>
        <v/>
      </c>
      <c r="F438" s="33">
        <f>IF($A438="","",IF($C438=0,0,$D438*$E438/$C438))</f>
        <v/>
      </c>
      <c r="G438" s="34">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5">
        <f>IF($A438="","",IF($H438="","",60*((N(Auftrag!$H438)-N(Auftrag!$AI438)-N(Auftrag!$AK438))/$H438+N(Auftrag!$AI438)/$J438+N(Auftrag!$AK438)/$I438+N(Auftrag!$AD438)/$K438)+N(Auftrag!$I438)*$L438))</f>
        <v/>
      </c>
      <c r="N438" s="35">
        <f>IF($A438="","",IF(OR($H438="",$C438=0),0,(60*SUMIFS(Stangenbelegung!$K$5:$K$10004,Stangenbelegung!$E$5:$E$10004,ROW())/$H438+SUMIFS(Stangenbelegung!$L$5:$L$10004,Stangenbelegung!$E$5:$E$10004,ROW())*$L438)/$C438))</f>
        <v/>
      </c>
      <c r="O438" s="35">
        <f>IF($A438="","",IF($M438="","",MAX(0,$M438-$N438)))</f>
        <v/>
      </c>
      <c r="P438" s="35">
        <f>IF($A438="","",IFERROR(SUMPRODUCT(--("0"&amp;TRIM(RIGHT(SUBSTITUTE(LEFT(";"&amp;SUBSTITUTE(UPPER(Auftrag!$AG438)," ","")&amp;";"&amp;"X"&amp;UPPER(Gewinde!$A$5:$A$54)&amp;";",SEARCH("X"&amp;UPPER(Gewinde!$A$5:$A$54)&amp;";",";"&amp;SUBSTITUTE(UPPER(Auftrag!$AG438)," ","")&amp;";"&amp;"X"&amp;UPPER(Gewinde!$A$5:$A$54)&amp;";")-1),";",REPT(" ",50)),50))),Gewinde!$C$5:$C$54),0))</f>
        <v/>
      </c>
      <c r="Q438" s="33">
        <f>IF($A438="","",(N($O438)+$P438)/3600*N(Auftrag!$H$8))</f>
        <v/>
      </c>
      <c r="R438" s="33">
        <f>IF($A438="","",IF($F$8=0,0,$F$7/$F$8))</f>
        <v/>
      </c>
      <c r="S438" s="33">
        <f>IF($A438="","",$F438*(1+$C$4)+($Q438+$R438)*(1+$C$5))</f>
        <v/>
      </c>
      <c r="T438" s="33">
        <f>IF($A438="","",$S438*(1+$C$6))</f>
        <v/>
      </c>
      <c r="U438" s="18">
        <f>IF($A438="","",$T438*$C438)</f>
        <v/>
      </c>
      <c r="V438" s="18">
        <f>IF($A438="","",$S438*$C438)</f>
        <v/>
      </c>
      <c r="W438" s="28">
        <f>IF($A438="","",IF(N(Auftrag!$AO438)&gt;0,"nicht vollständig eingeplant",IF($D438=0,"kein Schnittplan oder Preis",IF($H438="","keine Schneiddaten",IF(AND(Auftrag!$AF438&lt;&gt;"",Auftrag!$AG438=""),"Gewinde ungeprüft","")))))</f>
        <v/>
      </c>
      <c r="X438" s="18">
        <f>IF($A438="","",$F438*$C438)</f>
        <v/>
      </c>
      <c r="Y438" s="18">
        <f>IF($A438="","",$Q438*$C438)</f>
        <v/>
      </c>
    </row>
    <row r="439">
      <c r="A439" s="25">
        <f>IF(Auftrag!$D439="","",Auftrag!$A439)</f>
        <v/>
      </c>
      <c r="B439" s="25">
        <f>IF($A439="","",Auftrag!$B439)</f>
        <v/>
      </c>
      <c r="C439" s="15">
        <f>IF($A439="","",N(Auftrag!$G439))</f>
        <v/>
      </c>
      <c r="D439" s="18">
        <f>IF($A439="","",SUMIFS(Schnittplan!$R$5:$R$1004,Schnittplan!$B$5:$B$1004,Auftrag!$D439,Schnittplan!$C$5:$C$1004,Auftrag!$E439,Schnittplan!$D$5:$D$1004,Auftrag!$Q439))</f>
        <v/>
      </c>
      <c r="E439" s="32">
        <f>IF($A439="","",IFERROR(N(Auftrag!$P439)/SUMIFS(Auftrag!$P$13:$P$512,Auftrag!$D$13:$D$512,Auftrag!$D439,Auftrag!$E$13:$E$512,Auftrag!$E439,Auftrag!$Q$13:$Q$512,Auftrag!$Q439),0))</f>
        <v/>
      </c>
      <c r="F439" s="33">
        <f>IF($A439="","",IF($C439=0,0,$D439*$E439/$C439))</f>
        <v/>
      </c>
      <c r="G439" s="34">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5">
        <f>IF($A439="","",IF($H439="","",60*((N(Auftrag!$H439)-N(Auftrag!$AI439)-N(Auftrag!$AK439))/$H439+N(Auftrag!$AI439)/$J439+N(Auftrag!$AK439)/$I439+N(Auftrag!$AD439)/$K439)+N(Auftrag!$I439)*$L439))</f>
        <v/>
      </c>
      <c r="N439" s="35">
        <f>IF($A439="","",IF(OR($H439="",$C439=0),0,(60*SUMIFS(Stangenbelegung!$K$5:$K$10004,Stangenbelegung!$E$5:$E$10004,ROW())/$H439+SUMIFS(Stangenbelegung!$L$5:$L$10004,Stangenbelegung!$E$5:$E$10004,ROW())*$L439)/$C439))</f>
        <v/>
      </c>
      <c r="O439" s="35">
        <f>IF($A439="","",IF($M439="","",MAX(0,$M439-$N439)))</f>
        <v/>
      </c>
      <c r="P439" s="35">
        <f>IF($A439="","",IFERROR(SUMPRODUCT(--("0"&amp;TRIM(RIGHT(SUBSTITUTE(LEFT(";"&amp;SUBSTITUTE(UPPER(Auftrag!$AG439)," ","")&amp;";"&amp;"X"&amp;UPPER(Gewinde!$A$5:$A$54)&amp;";",SEARCH("X"&amp;UPPER(Gewinde!$A$5:$A$54)&amp;";",";"&amp;SUBSTITUTE(UPPER(Auftrag!$AG439)," ","")&amp;";"&amp;"X"&amp;UPPER(Gewinde!$A$5:$A$54)&amp;";")-1),";",REPT(" ",50)),50))),Gewinde!$C$5:$C$54),0))</f>
        <v/>
      </c>
      <c r="Q439" s="33">
        <f>IF($A439="","",(N($O439)+$P439)/3600*N(Auftrag!$H$8))</f>
        <v/>
      </c>
      <c r="R439" s="33">
        <f>IF($A439="","",IF($F$8=0,0,$F$7/$F$8))</f>
        <v/>
      </c>
      <c r="S439" s="33">
        <f>IF($A439="","",$F439*(1+$C$4)+($Q439+$R439)*(1+$C$5))</f>
        <v/>
      </c>
      <c r="T439" s="33">
        <f>IF($A439="","",$S439*(1+$C$6))</f>
        <v/>
      </c>
      <c r="U439" s="18">
        <f>IF($A439="","",$T439*$C439)</f>
        <v/>
      </c>
      <c r="V439" s="18">
        <f>IF($A439="","",$S439*$C439)</f>
        <v/>
      </c>
      <c r="W439" s="28">
        <f>IF($A439="","",IF(N(Auftrag!$AO439)&gt;0,"nicht vollständig eingeplant",IF($D439=0,"kein Schnittplan oder Preis",IF($H439="","keine Schneiddaten",IF(AND(Auftrag!$AF439&lt;&gt;"",Auftrag!$AG439=""),"Gewinde ungeprüft","")))))</f>
        <v/>
      </c>
      <c r="X439" s="18">
        <f>IF($A439="","",$F439*$C439)</f>
        <v/>
      </c>
      <c r="Y439" s="18">
        <f>IF($A439="","",$Q439*$C439)</f>
        <v/>
      </c>
    </row>
    <row r="440">
      <c r="A440" s="25">
        <f>IF(Auftrag!$D440="","",Auftrag!$A440)</f>
        <v/>
      </c>
      <c r="B440" s="25">
        <f>IF($A440="","",Auftrag!$B440)</f>
        <v/>
      </c>
      <c r="C440" s="15">
        <f>IF($A440="","",N(Auftrag!$G440))</f>
        <v/>
      </c>
      <c r="D440" s="18">
        <f>IF($A440="","",SUMIFS(Schnittplan!$R$5:$R$1004,Schnittplan!$B$5:$B$1004,Auftrag!$D440,Schnittplan!$C$5:$C$1004,Auftrag!$E440,Schnittplan!$D$5:$D$1004,Auftrag!$Q440))</f>
        <v/>
      </c>
      <c r="E440" s="32">
        <f>IF($A440="","",IFERROR(N(Auftrag!$P440)/SUMIFS(Auftrag!$P$13:$P$512,Auftrag!$D$13:$D$512,Auftrag!$D440,Auftrag!$E$13:$E$512,Auftrag!$E440,Auftrag!$Q$13:$Q$512,Auftrag!$Q440),0))</f>
        <v/>
      </c>
      <c r="F440" s="33">
        <f>IF($A440="","",IF($C440=0,0,$D440*$E440/$C440))</f>
        <v/>
      </c>
      <c r="G440" s="34">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5">
        <f>IF($A440="","",IF($H440="","",60*((N(Auftrag!$H440)-N(Auftrag!$AI440)-N(Auftrag!$AK440))/$H440+N(Auftrag!$AI440)/$J440+N(Auftrag!$AK440)/$I440+N(Auftrag!$AD440)/$K440)+N(Auftrag!$I440)*$L440))</f>
        <v/>
      </c>
      <c r="N440" s="35">
        <f>IF($A440="","",IF(OR($H440="",$C440=0),0,(60*SUMIFS(Stangenbelegung!$K$5:$K$10004,Stangenbelegung!$E$5:$E$10004,ROW())/$H440+SUMIFS(Stangenbelegung!$L$5:$L$10004,Stangenbelegung!$E$5:$E$10004,ROW())*$L440)/$C440))</f>
        <v/>
      </c>
      <c r="O440" s="35">
        <f>IF($A440="","",IF($M440="","",MAX(0,$M440-$N440)))</f>
        <v/>
      </c>
      <c r="P440" s="35">
        <f>IF($A440="","",IFERROR(SUMPRODUCT(--("0"&amp;TRIM(RIGHT(SUBSTITUTE(LEFT(";"&amp;SUBSTITUTE(UPPER(Auftrag!$AG440)," ","")&amp;";"&amp;"X"&amp;UPPER(Gewinde!$A$5:$A$54)&amp;";",SEARCH("X"&amp;UPPER(Gewinde!$A$5:$A$54)&amp;";",";"&amp;SUBSTITUTE(UPPER(Auftrag!$AG440)," ","")&amp;";"&amp;"X"&amp;UPPER(Gewinde!$A$5:$A$54)&amp;";")-1),";",REPT(" ",50)),50))),Gewinde!$C$5:$C$54),0))</f>
        <v/>
      </c>
      <c r="Q440" s="33">
        <f>IF($A440="","",(N($O440)+$P440)/3600*N(Auftrag!$H$8))</f>
        <v/>
      </c>
      <c r="R440" s="33">
        <f>IF($A440="","",IF($F$8=0,0,$F$7/$F$8))</f>
        <v/>
      </c>
      <c r="S440" s="33">
        <f>IF($A440="","",$F440*(1+$C$4)+($Q440+$R440)*(1+$C$5))</f>
        <v/>
      </c>
      <c r="T440" s="33">
        <f>IF($A440="","",$S440*(1+$C$6))</f>
        <v/>
      </c>
      <c r="U440" s="18">
        <f>IF($A440="","",$T440*$C440)</f>
        <v/>
      </c>
      <c r="V440" s="18">
        <f>IF($A440="","",$S440*$C440)</f>
        <v/>
      </c>
      <c r="W440" s="28">
        <f>IF($A440="","",IF(N(Auftrag!$AO440)&gt;0,"nicht vollständig eingeplant",IF($D440=0,"kein Schnittplan oder Preis",IF($H440="","keine Schneiddaten",IF(AND(Auftrag!$AF440&lt;&gt;"",Auftrag!$AG440=""),"Gewinde ungeprüft","")))))</f>
        <v/>
      </c>
      <c r="X440" s="18">
        <f>IF($A440="","",$F440*$C440)</f>
        <v/>
      </c>
      <c r="Y440" s="18">
        <f>IF($A440="","",$Q440*$C440)</f>
        <v/>
      </c>
    </row>
    <row r="441">
      <c r="A441" s="25">
        <f>IF(Auftrag!$D441="","",Auftrag!$A441)</f>
        <v/>
      </c>
      <c r="B441" s="25">
        <f>IF($A441="","",Auftrag!$B441)</f>
        <v/>
      </c>
      <c r="C441" s="15">
        <f>IF($A441="","",N(Auftrag!$G441))</f>
        <v/>
      </c>
      <c r="D441" s="18">
        <f>IF($A441="","",SUMIFS(Schnittplan!$R$5:$R$1004,Schnittplan!$B$5:$B$1004,Auftrag!$D441,Schnittplan!$C$5:$C$1004,Auftrag!$E441,Schnittplan!$D$5:$D$1004,Auftrag!$Q441))</f>
        <v/>
      </c>
      <c r="E441" s="32">
        <f>IF($A441="","",IFERROR(N(Auftrag!$P441)/SUMIFS(Auftrag!$P$13:$P$512,Auftrag!$D$13:$D$512,Auftrag!$D441,Auftrag!$E$13:$E$512,Auftrag!$E441,Auftrag!$Q$13:$Q$512,Auftrag!$Q441),0))</f>
        <v/>
      </c>
      <c r="F441" s="33">
        <f>IF($A441="","",IF($C441=0,0,$D441*$E441/$C441))</f>
        <v/>
      </c>
      <c r="G441" s="34">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5">
        <f>IF($A441="","",IF($H441="","",60*((N(Auftrag!$H441)-N(Auftrag!$AI441)-N(Auftrag!$AK441))/$H441+N(Auftrag!$AI441)/$J441+N(Auftrag!$AK441)/$I441+N(Auftrag!$AD441)/$K441)+N(Auftrag!$I441)*$L441))</f>
        <v/>
      </c>
      <c r="N441" s="35">
        <f>IF($A441="","",IF(OR($H441="",$C441=0),0,(60*SUMIFS(Stangenbelegung!$K$5:$K$10004,Stangenbelegung!$E$5:$E$10004,ROW())/$H441+SUMIFS(Stangenbelegung!$L$5:$L$10004,Stangenbelegung!$E$5:$E$10004,ROW())*$L441)/$C441))</f>
        <v/>
      </c>
      <c r="O441" s="35">
        <f>IF($A441="","",IF($M441="","",MAX(0,$M441-$N441)))</f>
        <v/>
      </c>
      <c r="P441" s="35">
        <f>IF($A441="","",IFERROR(SUMPRODUCT(--("0"&amp;TRIM(RIGHT(SUBSTITUTE(LEFT(";"&amp;SUBSTITUTE(UPPER(Auftrag!$AG441)," ","")&amp;";"&amp;"X"&amp;UPPER(Gewinde!$A$5:$A$54)&amp;";",SEARCH("X"&amp;UPPER(Gewinde!$A$5:$A$54)&amp;";",";"&amp;SUBSTITUTE(UPPER(Auftrag!$AG441)," ","")&amp;";"&amp;"X"&amp;UPPER(Gewinde!$A$5:$A$54)&amp;";")-1),";",REPT(" ",50)),50))),Gewinde!$C$5:$C$54),0))</f>
        <v/>
      </c>
      <c r="Q441" s="33">
        <f>IF($A441="","",(N($O441)+$P441)/3600*N(Auftrag!$H$8))</f>
        <v/>
      </c>
      <c r="R441" s="33">
        <f>IF($A441="","",IF($F$8=0,0,$F$7/$F$8))</f>
        <v/>
      </c>
      <c r="S441" s="33">
        <f>IF($A441="","",$F441*(1+$C$4)+($Q441+$R441)*(1+$C$5))</f>
        <v/>
      </c>
      <c r="T441" s="33">
        <f>IF($A441="","",$S441*(1+$C$6))</f>
        <v/>
      </c>
      <c r="U441" s="18">
        <f>IF($A441="","",$T441*$C441)</f>
        <v/>
      </c>
      <c r="V441" s="18">
        <f>IF($A441="","",$S441*$C441)</f>
        <v/>
      </c>
      <c r="W441" s="28">
        <f>IF($A441="","",IF(N(Auftrag!$AO441)&gt;0,"nicht vollständig eingeplant",IF($D441=0,"kein Schnittplan oder Preis",IF($H441="","keine Schneiddaten",IF(AND(Auftrag!$AF441&lt;&gt;"",Auftrag!$AG441=""),"Gewinde ungeprüft","")))))</f>
        <v/>
      </c>
      <c r="X441" s="18">
        <f>IF($A441="","",$F441*$C441)</f>
        <v/>
      </c>
      <c r="Y441" s="18">
        <f>IF($A441="","",$Q441*$C441)</f>
        <v/>
      </c>
    </row>
    <row r="442">
      <c r="A442" s="25">
        <f>IF(Auftrag!$D442="","",Auftrag!$A442)</f>
        <v/>
      </c>
      <c r="B442" s="25">
        <f>IF($A442="","",Auftrag!$B442)</f>
        <v/>
      </c>
      <c r="C442" s="15">
        <f>IF($A442="","",N(Auftrag!$G442))</f>
        <v/>
      </c>
      <c r="D442" s="18">
        <f>IF($A442="","",SUMIFS(Schnittplan!$R$5:$R$1004,Schnittplan!$B$5:$B$1004,Auftrag!$D442,Schnittplan!$C$5:$C$1004,Auftrag!$E442,Schnittplan!$D$5:$D$1004,Auftrag!$Q442))</f>
        <v/>
      </c>
      <c r="E442" s="32">
        <f>IF($A442="","",IFERROR(N(Auftrag!$P442)/SUMIFS(Auftrag!$P$13:$P$512,Auftrag!$D$13:$D$512,Auftrag!$D442,Auftrag!$E$13:$E$512,Auftrag!$E442,Auftrag!$Q$13:$Q$512,Auftrag!$Q442),0))</f>
        <v/>
      </c>
      <c r="F442" s="33">
        <f>IF($A442="","",IF($C442=0,0,$D442*$E442/$C442))</f>
        <v/>
      </c>
      <c r="G442" s="34">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5">
        <f>IF($A442="","",IF($H442="","",60*((N(Auftrag!$H442)-N(Auftrag!$AI442)-N(Auftrag!$AK442))/$H442+N(Auftrag!$AI442)/$J442+N(Auftrag!$AK442)/$I442+N(Auftrag!$AD442)/$K442)+N(Auftrag!$I442)*$L442))</f>
        <v/>
      </c>
      <c r="N442" s="35">
        <f>IF($A442="","",IF(OR($H442="",$C442=0),0,(60*SUMIFS(Stangenbelegung!$K$5:$K$10004,Stangenbelegung!$E$5:$E$10004,ROW())/$H442+SUMIFS(Stangenbelegung!$L$5:$L$10004,Stangenbelegung!$E$5:$E$10004,ROW())*$L442)/$C442))</f>
        <v/>
      </c>
      <c r="O442" s="35">
        <f>IF($A442="","",IF($M442="","",MAX(0,$M442-$N442)))</f>
        <v/>
      </c>
      <c r="P442" s="35">
        <f>IF($A442="","",IFERROR(SUMPRODUCT(--("0"&amp;TRIM(RIGHT(SUBSTITUTE(LEFT(";"&amp;SUBSTITUTE(UPPER(Auftrag!$AG442)," ","")&amp;";"&amp;"X"&amp;UPPER(Gewinde!$A$5:$A$54)&amp;";",SEARCH("X"&amp;UPPER(Gewinde!$A$5:$A$54)&amp;";",";"&amp;SUBSTITUTE(UPPER(Auftrag!$AG442)," ","")&amp;";"&amp;"X"&amp;UPPER(Gewinde!$A$5:$A$54)&amp;";")-1),";",REPT(" ",50)),50))),Gewinde!$C$5:$C$54),0))</f>
        <v/>
      </c>
      <c r="Q442" s="33">
        <f>IF($A442="","",(N($O442)+$P442)/3600*N(Auftrag!$H$8))</f>
        <v/>
      </c>
      <c r="R442" s="33">
        <f>IF($A442="","",IF($F$8=0,0,$F$7/$F$8))</f>
        <v/>
      </c>
      <c r="S442" s="33">
        <f>IF($A442="","",$F442*(1+$C$4)+($Q442+$R442)*(1+$C$5))</f>
        <v/>
      </c>
      <c r="T442" s="33">
        <f>IF($A442="","",$S442*(1+$C$6))</f>
        <v/>
      </c>
      <c r="U442" s="18">
        <f>IF($A442="","",$T442*$C442)</f>
        <v/>
      </c>
      <c r="V442" s="18">
        <f>IF($A442="","",$S442*$C442)</f>
        <v/>
      </c>
      <c r="W442" s="28">
        <f>IF($A442="","",IF(N(Auftrag!$AO442)&gt;0,"nicht vollständig eingeplant",IF($D442=0,"kein Schnittplan oder Preis",IF($H442="","keine Schneiddaten",IF(AND(Auftrag!$AF442&lt;&gt;"",Auftrag!$AG442=""),"Gewinde ungeprüft","")))))</f>
        <v/>
      </c>
      <c r="X442" s="18">
        <f>IF($A442="","",$F442*$C442)</f>
        <v/>
      </c>
      <c r="Y442" s="18">
        <f>IF($A442="","",$Q442*$C442)</f>
        <v/>
      </c>
    </row>
    <row r="443">
      <c r="A443" s="25">
        <f>IF(Auftrag!$D443="","",Auftrag!$A443)</f>
        <v/>
      </c>
      <c r="B443" s="25">
        <f>IF($A443="","",Auftrag!$B443)</f>
        <v/>
      </c>
      <c r="C443" s="15">
        <f>IF($A443="","",N(Auftrag!$G443))</f>
        <v/>
      </c>
      <c r="D443" s="18">
        <f>IF($A443="","",SUMIFS(Schnittplan!$R$5:$R$1004,Schnittplan!$B$5:$B$1004,Auftrag!$D443,Schnittplan!$C$5:$C$1004,Auftrag!$E443,Schnittplan!$D$5:$D$1004,Auftrag!$Q443))</f>
        <v/>
      </c>
      <c r="E443" s="32">
        <f>IF($A443="","",IFERROR(N(Auftrag!$P443)/SUMIFS(Auftrag!$P$13:$P$512,Auftrag!$D$13:$D$512,Auftrag!$D443,Auftrag!$E$13:$E$512,Auftrag!$E443,Auftrag!$Q$13:$Q$512,Auftrag!$Q443),0))</f>
        <v/>
      </c>
      <c r="F443" s="33">
        <f>IF($A443="","",IF($C443=0,0,$D443*$E443/$C443))</f>
        <v/>
      </c>
      <c r="G443" s="34">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5">
        <f>IF($A443="","",IF($H443="","",60*((N(Auftrag!$H443)-N(Auftrag!$AI443)-N(Auftrag!$AK443))/$H443+N(Auftrag!$AI443)/$J443+N(Auftrag!$AK443)/$I443+N(Auftrag!$AD443)/$K443)+N(Auftrag!$I443)*$L443))</f>
        <v/>
      </c>
      <c r="N443" s="35">
        <f>IF($A443="","",IF(OR($H443="",$C443=0),0,(60*SUMIFS(Stangenbelegung!$K$5:$K$10004,Stangenbelegung!$E$5:$E$10004,ROW())/$H443+SUMIFS(Stangenbelegung!$L$5:$L$10004,Stangenbelegung!$E$5:$E$10004,ROW())*$L443)/$C443))</f>
        <v/>
      </c>
      <c r="O443" s="35">
        <f>IF($A443="","",IF($M443="","",MAX(0,$M443-$N443)))</f>
        <v/>
      </c>
      <c r="P443" s="35">
        <f>IF($A443="","",IFERROR(SUMPRODUCT(--("0"&amp;TRIM(RIGHT(SUBSTITUTE(LEFT(";"&amp;SUBSTITUTE(UPPER(Auftrag!$AG443)," ","")&amp;";"&amp;"X"&amp;UPPER(Gewinde!$A$5:$A$54)&amp;";",SEARCH("X"&amp;UPPER(Gewinde!$A$5:$A$54)&amp;";",";"&amp;SUBSTITUTE(UPPER(Auftrag!$AG443)," ","")&amp;";"&amp;"X"&amp;UPPER(Gewinde!$A$5:$A$54)&amp;";")-1),";",REPT(" ",50)),50))),Gewinde!$C$5:$C$54),0))</f>
        <v/>
      </c>
      <c r="Q443" s="33">
        <f>IF($A443="","",(N($O443)+$P443)/3600*N(Auftrag!$H$8))</f>
        <v/>
      </c>
      <c r="R443" s="33">
        <f>IF($A443="","",IF($F$8=0,0,$F$7/$F$8))</f>
        <v/>
      </c>
      <c r="S443" s="33">
        <f>IF($A443="","",$F443*(1+$C$4)+($Q443+$R443)*(1+$C$5))</f>
        <v/>
      </c>
      <c r="T443" s="33">
        <f>IF($A443="","",$S443*(1+$C$6))</f>
        <v/>
      </c>
      <c r="U443" s="18">
        <f>IF($A443="","",$T443*$C443)</f>
        <v/>
      </c>
      <c r="V443" s="18">
        <f>IF($A443="","",$S443*$C443)</f>
        <v/>
      </c>
      <c r="W443" s="28">
        <f>IF($A443="","",IF(N(Auftrag!$AO443)&gt;0,"nicht vollständig eingeplant",IF($D443=0,"kein Schnittplan oder Preis",IF($H443="","keine Schneiddaten",IF(AND(Auftrag!$AF443&lt;&gt;"",Auftrag!$AG443=""),"Gewinde ungeprüft","")))))</f>
        <v/>
      </c>
      <c r="X443" s="18">
        <f>IF($A443="","",$F443*$C443)</f>
        <v/>
      </c>
      <c r="Y443" s="18">
        <f>IF($A443="","",$Q443*$C443)</f>
        <v/>
      </c>
    </row>
    <row r="444">
      <c r="A444" s="25">
        <f>IF(Auftrag!$D444="","",Auftrag!$A444)</f>
        <v/>
      </c>
      <c r="B444" s="25">
        <f>IF($A444="","",Auftrag!$B444)</f>
        <v/>
      </c>
      <c r="C444" s="15">
        <f>IF($A444="","",N(Auftrag!$G444))</f>
        <v/>
      </c>
      <c r="D444" s="18">
        <f>IF($A444="","",SUMIFS(Schnittplan!$R$5:$R$1004,Schnittplan!$B$5:$B$1004,Auftrag!$D444,Schnittplan!$C$5:$C$1004,Auftrag!$E444,Schnittplan!$D$5:$D$1004,Auftrag!$Q444))</f>
        <v/>
      </c>
      <c r="E444" s="32">
        <f>IF($A444="","",IFERROR(N(Auftrag!$P444)/SUMIFS(Auftrag!$P$13:$P$512,Auftrag!$D$13:$D$512,Auftrag!$D444,Auftrag!$E$13:$E$512,Auftrag!$E444,Auftrag!$Q$13:$Q$512,Auftrag!$Q444),0))</f>
        <v/>
      </c>
      <c r="F444" s="33">
        <f>IF($A444="","",IF($C444=0,0,$D444*$E444/$C444))</f>
        <v/>
      </c>
      <c r="G444" s="34">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5">
        <f>IF($A444="","",IF($H444="","",60*((N(Auftrag!$H444)-N(Auftrag!$AI444)-N(Auftrag!$AK444))/$H444+N(Auftrag!$AI444)/$J444+N(Auftrag!$AK444)/$I444+N(Auftrag!$AD444)/$K444)+N(Auftrag!$I444)*$L444))</f>
        <v/>
      </c>
      <c r="N444" s="35">
        <f>IF($A444="","",IF(OR($H444="",$C444=0),0,(60*SUMIFS(Stangenbelegung!$K$5:$K$10004,Stangenbelegung!$E$5:$E$10004,ROW())/$H444+SUMIFS(Stangenbelegung!$L$5:$L$10004,Stangenbelegung!$E$5:$E$10004,ROW())*$L444)/$C444))</f>
        <v/>
      </c>
      <c r="O444" s="35">
        <f>IF($A444="","",IF($M444="","",MAX(0,$M444-$N444)))</f>
        <v/>
      </c>
      <c r="P444" s="35">
        <f>IF($A444="","",IFERROR(SUMPRODUCT(--("0"&amp;TRIM(RIGHT(SUBSTITUTE(LEFT(";"&amp;SUBSTITUTE(UPPER(Auftrag!$AG444)," ","")&amp;";"&amp;"X"&amp;UPPER(Gewinde!$A$5:$A$54)&amp;";",SEARCH("X"&amp;UPPER(Gewinde!$A$5:$A$54)&amp;";",";"&amp;SUBSTITUTE(UPPER(Auftrag!$AG444)," ","")&amp;";"&amp;"X"&amp;UPPER(Gewinde!$A$5:$A$54)&amp;";")-1),";",REPT(" ",50)),50))),Gewinde!$C$5:$C$54),0))</f>
        <v/>
      </c>
      <c r="Q444" s="33">
        <f>IF($A444="","",(N($O444)+$P444)/3600*N(Auftrag!$H$8))</f>
        <v/>
      </c>
      <c r="R444" s="33">
        <f>IF($A444="","",IF($F$8=0,0,$F$7/$F$8))</f>
        <v/>
      </c>
      <c r="S444" s="33">
        <f>IF($A444="","",$F444*(1+$C$4)+($Q444+$R444)*(1+$C$5))</f>
        <v/>
      </c>
      <c r="T444" s="33">
        <f>IF($A444="","",$S444*(1+$C$6))</f>
        <v/>
      </c>
      <c r="U444" s="18">
        <f>IF($A444="","",$T444*$C444)</f>
        <v/>
      </c>
      <c r="V444" s="18">
        <f>IF($A444="","",$S444*$C444)</f>
        <v/>
      </c>
      <c r="W444" s="28">
        <f>IF($A444="","",IF(N(Auftrag!$AO444)&gt;0,"nicht vollständig eingeplant",IF($D444=0,"kein Schnittplan oder Preis",IF($H444="","keine Schneiddaten",IF(AND(Auftrag!$AF444&lt;&gt;"",Auftrag!$AG444=""),"Gewinde ungeprüft","")))))</f>
        <v/>
      </c>
      <c r="X444" s="18">
        <f>IF($A444="","",$F444*$C444)</f>
        <v/>
      </c>
      <c r="Y444" s="18">
        <f>IF($A444="","",$Q444*$C444)</f>
        <v/>
      </c>
    </row>
    <row r="445">
      <c r="A445" s="25">
        <f>IF(Auftrag!$D445="","",Auftrag!$A445)</f>
        <v/>
      </c>
      <c r="B445" s="25">
        <f>IF($A445="","",Auftrag!$B445)</f>
        <v/>
      </c>
      <c r="C445" s="15">
        <f>IF($A445="","",N(Auftrag!$G445))</f>
        <v/>
      </c>
      <c r="D445" s="18">
        <f>IF($A445="","",SUMIFS(Schnittplan!$R$5:$R$1004,Schnittplan!$B$5:$B$1004,Auftrag!$D445,Schnittplan!$C$5:$C$1004,Auftrag!$E445,Schnittplan!$D$5:$D$1004,Auftrag!$Q445))</f>
        <v/>
      </c>
      <c r="E445" s="32">
        <f>IF($A445="","",IFERROR(N(Auftrag!$P445)/SUMIFS(Auftrag!$P$13:$P$512,Auftrag!$D$13:$D$512,Auftrag!$D445,Auftrag!$E$13:$E$512,Auftrag!$E445,Auftrag!$Q$13:$Q$512,Auftrag!$Q445),0))</f>
        <v/>
      </c>
      <c r="F445" s="33">
        <f>IF($A445="","",IF($C445=0,0,$D445*$E445/$C445))</f>
        <v/>
      </c>
      <c r="G445" s="34">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5">
        <f>IF($A445="","",IF($H445="","",60*((N(Auftrag!$H445)-N(Auftrag!$AI445)-N(Auftrag!$AK445))/$H445+N(Auftrag!$AI445)/$J445+N(Auftrag!$AK445)/$I445+N(Auftrag!$AD445)/$K445)+N(Auftrag!$I445)*$L445))</f>
        <v/>
      </c>
      <c r="N445" s="35">
        <f>IF($A445="","",IF(OR($H445="",$C445=0),0,(60*SUMIFS(Stangenbelegung!$K$5:$K$10004,Stangenbelegung!$E$5:$E$10004,ROW())/$H445+SUMIFS(Stangenbelegung!$L$5:$L$10004,Stangenbelegung!$E$5:$E$10004,ROW())*$L445)/$C445))</f>
        <v/>
      </c>
      <c r="O445" s="35">
        <f>IF($A445="","",IF($M445="","",MAX(0,$M445-$N445)))</f>
        <v/>
      </c>
      <c r="P445" s="35">
        <f>IF($A445="","",IFERROR(SUMPRODUCT(--("0"&amp;TRIM(RIGHT(SUBSTITUTE(LEFT(";"&amp;SUBSTITUTE(UPPER(Auftrag!$AG445)," ","")&amp;";"&amp;"X"&amp;UPPER(Gewinde!$A$5:$A$54)&amp;";",SEARCH("X"&amp;UPPER(Gewinde!$A$5:$A$54)&amp;";",";"&amp;SUBSTITUTE(UPPER(Auftrag!$AG445)," ","")&amp;";"&amp;"X"&amp;UPPER(Gewinde!$A$5:$A$54)&amp;";")-1),";",REPT(" ",50)),50))),Gewinde!$C$5:$C$54),0))</f>
        <v/>
      </c>
      <c r="Q445" s="33">
        <f>IF($A445="","",(N($O445)+$P445)/3600*N(Auftrag!$H$8))</f>
        <v/>
      </c>
      <c r="R445" s="33">
        <f>IF($A445="","",IF($F$8=0,0,$F$7/$F$8))</f>
        <v/>
      </c>
      <c r="S445" s="33">
        <f>IF($A445="","",$F445*(1+$C$4)+($Q445+$R445)*(1+$C$5))</f>
        <v/>
      </c>
      <c r="T445" s="33">
        <f>IF($A445="","",$S445*(1+$C$6))</f>
        <v/>
      </c>
      <c r="U445" s="18">
        <f>IF($A445="","",$T445*$C445)</f>
        <v/>
      </c>
      <c r="V445" s="18">
        <f>IF($A445="","",$S445*$C445)</f>
        <v/>
      </c>
      <c r="W445" s="28">
        <f>IF($A445="","",IF(N(Auftrag!$AO445)&gt;0,"nicht vollständig eingeplant",IF($D445=0,"kein Schnittplan oder Preis",IF($H445="","keine Schneiddaten",IF(AND(Auftrag!$AF445&lt;&gt;"",Auftrag!$AG445=""),"Gewinde ungeprüft","")))))</f>
        <v/>
      </c>
      <c r="X445" s="18">
        <f>IF($A445="","",$F445*$C445)</f>
        <v/>
      </c>
      <c r="Y445" s="18">
        <f>IF($A445="","",$Q445*$C445)</f>
        <v/>
      </c>
    </row>
    <row r="446">
      <c r="A446" s="25">
        <f>IF(Auftrag!$D446="","",Auftrag!$A446)</f>
        <v/>
      </c>
      <c r="B446" s="25">
        <f>IF($A446="","",Auftrag!$B446)</f>
        <v/>
      </c>
      <c r="C446" s="15">
        <f>IF($A446="","",N(Auftrag!$G446))</f>
        <v/>
      </c>
      <c r="D446" s="18">
        <f>IF($A446="","",SUMIFS(Schnittplan!$R$5:$R$1004,Schnittplan!$B$5:$B$1004,Auftrag!$D446,Schnittplan!$C$5:$C$1004,Auftrag!$E446,Schnittplan!$D$5:$D$1004,Auftrag!$Q446))</f>
        <v/>
      </c>
      <c r="E446" s="32">
        <f>IF($A446="","",IFERROR(N(Auftrag!$P446)/SUMIFS(Auftrag!$P$13:$P$512,Auftrag!$D$13:$D$512,Auftrag!$D446,Auftrag!$E$13:$E$512,Auftrag!$E446,Auftrag!$Q$13:$Q$512,Auftrag!$Q446),0))</f>
        <v/>
      </c>
      <c r="F446" s="33">
        <f>IF($A446="","",IF($C446=0,0,$D446*$E446/$C446))</f>
        <v/>
      </c>
      <c r="G446" s="34">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5">
        <f>IF($A446="","",IF($H446="","",60*((N(Auftrag!$H446)-N(Auftrag!$AI446)-N(Auftrag!$AK446))/$H446+N(Auftrag!$AI446)/$J446+N(Auftrag!$AK446)/$I446+N(Auftrag!$AD446)/$K446)+N(Auftrag!$I446)*$L446))</f>
        <v/>
      </c>
      <c r="N446" s="35">
        <f>IF($A446="","",IF(OR($H446="",$C446=0),0,(60*SUMIFS(Stangenbelegung!$K$5:$K$10004,Stangenbelegung!$E$5:$E$10004,ROW())/$H446+SUMIFS(Stangenbelegung!$L$5:$L$10004,Stangenbelegung!$E$5:$E$10004,ROW())*$L446)/$C446))</f>
        <v/>
      </c>
      <c r="O446" s="35">
        <f>IF($A446="","",IF($M446="","",MAX(0,$M446-$N446)))</f>
        <v/>
      </c>
      <c r="P446" s="35">
        <f>IF($A446="","",IFERROR(SUMPRODUCT(--("0"&amp;TRIM(RIGHT(SUBSTITUTE(LEFT(";"&amp;SUBSTITUTE(UPPER(Auftrag!$AG446)," ","")&amp;";"&amp;"X"&amp;UPPER(Gewinde!$A$5:$A$54)&amp;";",SEARCH("X"&amp;UPPER(Gewinde!$A$5:$A$54)&amp;";",";"&amp;SUBSTITUTE(UPPER(Auftrag!$AG446)," ","")&amp;";"&amp;"X"&amp;UPPER(Gewinde!$A$5:$A$54)&amp;";")-1),";",REPT(" ",50)),50))),Gewinde!$C$5:$C$54),0))</f>
        <v/>
      </c>
      <c r="Q446" s="33">
        <f>IF($A446="","",(N($O446)+$P446)/3600*N(Auftrag!$H$8))</f>
        <v/>
      </c>
      <c r="R446" s="33">
        <f>IF($A446="","",IF($F$8=0,0,$F$7/$F$8))</f>
        <v/>
      </c>
      <c r="S446" s="33">
        <f>IF($A446="","",$F446*(1+$C$4)+($Q446+$R446)*(1+$C$5))</f>
        <v/>
      </c>
      <c r="T446" s="33">
        <f>IF($A446="","",$S446*(1+$C$6))</f>
        <v/>
      </c>
      <c r="U446" s="18">
        <f>IF($A446="","",$T446*$C446)</f>
        <v/>
      </c>
      <c r="V446" s="18">
        <f>IF($A446="","",$S446*$C446)</f>
        <v/>
      </c>
      <c r="W446" s="28">
        <f>IF($A446="","",IF(N(Auftrag!$AO446)&gt;0,"nicht vollständig eingeplant",IF($D446=0,"kein Schnittplan oder Preis",IF($H446="","keine Schneiddaten",IF(AND(Auftrag!$AF446&lt;&gt;"",Auftrag!$AG446=""),"Gewinde ungeprüft","")))))</f>
        <v/>
      </c>
      <c r="X446" s="18">
        <f>IF($A446="","",$F446*$C446)</f>
        <v/>
      </c>
      <c r="Y446" s="18">
        <f>IF($A446="","",$Q446*$C446)</f>
        <v/>
      </c>
    </row>
    <row r="447">
      <c r="A447" s="25">
        <f>IF(Auftrag!$D447="","",Auftrag!$A447)</f>
        <v/>
      </c>
      <c r="B447" s="25">
        <f>IF($A447="","",Auftrag!$B447)</f>
        <v/>
      </c>
      <c r="C447" s="15">
        <f>IF($A447="","",N(Auftrag!$G447))</f>
        <v/>
      </c>
      <c r="D447" s="18">
        <f>IF($A447="","",SUMIFS(Schnittplan!$R$5:$R$1004,Schnittplan!$B$5:$B$1004,Auftrag!$D447,Schnittplan!$C$5:$C$1004,Auftrag!$E447,Schnittplan!$D$5:$D$1004,Auftrag!$Q447))</f>
        <v/>
      </c>
      <c r="E447" s="32">
        <f>IF($A447="","",IFERROR(N(Auftrag!$P447)/SUMIFS(Auftrag!$P$13:$P$512,Auftrag!$D$13:$D$512,Auftrag!$D447,Auftrag!$E$13:$E$512,Auftrag!$E447,Auftrag!$Q$13:$Q$512,Auftrag!$Q447),0))</f>
        <v/>
      </c>
      <c r="F447" s="33">
        <f>IF($A447="","",IF($C447=0,0,$D447*$E447/$C447))</f>
        <v/>
      </c>
      <c r="G447" s="34">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5">
        <f>IF($A447="","",IF($H447="","",60*((N(Auftrag!$H447)-N(Auftrag!$AI447)-N(Auftrag!$AK447))/$H447+N(Auftrag!$AI447)/$J447+N(Auftrag!$AK447)/$I447+N(Auftrag!$AD447)/$K447)+N(Auftrag!$I447)*$L447))</f>
        <v/>
      </c>
      <c r="N447" s="35">
        <f>IF($A447="","",IF(OR($H447="",$C447=0),0,(60*SUMIFS(Stangenbelegung!$K$5:$K$10004,Stangenbelegung!$E$5:$E$10004,ROW())/$H447+SUMIFS(Stangenbelegung!$L$5:$L$10004,Stangenbelegung!$E$5:$E$10004,ROW())*$L447)/$C447))</f>
        <v/>
      </c>
      <c r="O447" s="35">
        <f>IF($A447="","",IF($M447="","",MAX(0,$M447-$N447)))</f>
        <v/>
      </c>
      <c r="P447" s="35">
        <f>IF($A447="","",IFERROR(SUMPRODUCT(--("0"&amp;TRIM(RIGHT(SUBSTITUTE(LEFT(";"&amp;SUBSTITUTE(UPPER(Auftrag!$AG447)," ","")&amp;";"&amp;"X"&amp;UPPER(Gewinde!$A$5:$A$54)&amp;";",SEARCH("X"&amp;UPPER(Gewinde!$A$5:$A$54)&amp;";",";"&amp;SUBSTITUTE(UPPER(Auftrag!$AG447)," ","")&amp;";"&amp;"X"&amp;UPPER(Gewinde!$A$5:$A$54)&amp;";")-1),";",REPT(" ",50)),50))),Gewinde!$C$5:$C$54),0))</f>
        <v/>
      </c>
      <c r="Q447" s="33">
        <f>IF($A447="","",(N($O447)+$P447)/3600*N(Auftrag!$H$8))</f>
        <v/>
      </c>
      <c r="R447" s="33">
        <f>IF($A447="","",IF($F$8=0,0,$F$7/$F$8))</f>
        <v/>
      </c>
      <c r="S447" s="33">
        <f>IF($A447="","",$F447*(1+$C$4)+($Q447+$R447)*(1+$C$5))</f>
        <v/>
      </c>
      <c r="T447" s="33">
        <f>IF($A447="","",$S447*(1+$C$6))</f>
        <v/>
      </c>
      <c r="U447" s="18">
        <f>IF($A447="","",$T447*$C447)</f>
        <v/>
      </c>
      <c r="V447" s="18">
        <f>IF($A447="","",$S447*$C447)</f>
        <v/>
      </c>
      <c r="W447" s="28">
        <f>IF($A447="","",IF(N(Auftrag!$AO447)&gt;0,"nicht vollständig eingeplant",IF($D447=0,"kein Schnittplan oder Preis",IF($H447="","keine Schneiddaten",IF(AND(Auftrag!$AF447&lt;&gt;"",Auftrag!$AG447=""),"Gewinde ungeprüft","")))))</f>
        <v/>
      </c>
      <c r="X447" s="18">
        <f>IF($A447="","",$F447*$C447)</f>
        <v/>
      </c>
      <c r="Y447" s="18">
        <f>IF($A447="","",$Q447*$C447)</f>
        <v/>
      </c>
    </row>
    <row r="448">
      <c r="A448" s="25">
        <f>IF(Auftrag!$D448="","",Auftrag!$A448)</f>
        <v/>
      </c>
      <c r="B448" s="25">
        <f>IF($A448="","",Auftrag!$B448)</f>
        <v/>
      </c>
      <c r="C448" s="15">
        <f>IF($A448="","",N(Auftrag!$G448))</f>
        <v/>
      </c>
      <c r="D448" s="18">
        <f>IF($A448="","",SUMIFS(Schnittplan!$R$5:$R$1004,Schnittplan!$B$5:$B$1004,Auftrag!$D448,Schnittplan!$C$5:$C$1004,Auftrag!$E448,Schnittplan!$D$5:$D$1004,Auftrag!$Q448))</f>
        <v/>
      </c>
      <c r="E448" s="32">
        <f>IF($A448="","",IFERROR(N(Auftrag!$P448)/SUMIFS(Auftrag!$P$13:$P$512,Auftrag!$D$13:$D$512,Auftrag!$D448,Auftrag!$E$13:$E$512,Auftrag!$E448,Auftrag!$Q$13:$Q$512,Auftrag!$Q448),0))</f>
        <v/>
      </c>
      <c r="F448" s="33">
        <f>IF($A448="","",IF($C448=0,0,$D448*$E448/$C448))</f>
        <v/>
      </c>
      <c r="G448" s="34">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5">
        <f>IF($A448="","",IF($H448="","",60*((N(Auftrag!$H448)-N(Auftrag!$AI448)-N(Auftrag!$AK448))/$H448+N(Auftrag!$AI448)/$J448+N(Auftrag!$AK448)/$I448+N(Auftrag!$AD448)/$K448)+N(Auftrag!$I448)*$L448))</f>
        <v/>
      </c>
      <c r="N448" s="35">
        <f>IF($A448="","",IF(OR($H448="",$C448=0),0,(60*SUMIFS(Stangenbelegung!$K$5:$K$10004,Stangenbelegung!$E$5:$E$10004,ROW())/$H448+SUMIFS(Stangenbelegung!$L$5:$L$10004,Stangenbelegung!$E$5:$E$10004,ROW())*$L448)/$C448))</f>
        <v/>
      </c>
      <c r="O448" s="35">
        <f>IF($A448="","",IF($M448="","",MAX(0,$M448-$N448)))</f>
        <v/>
      </c>
      <c r="P448" s="35">
        <f>IF($A448="","",IFERROR(SUMPRODUCT(--("0"&amp;TRIM(RIGHT(SUBSTITUTE(LEFT(";"&amp;SUBSTITUTE(UPPER(Auftrag!$AG448)," ","")&amp;";"&amp;"X"&amp;UPPER(Gewinde!$A$5:$A$54)&amp;";",SEARCH("X"&amp;UPPER(Gewinde!$A$5:$A$54)&amp;";",";"&amp;SUBSTITUTE(UPPER(Auftrag!$AG448)," ","")&amp;";"&amp;"X"&amp;UPPER(Gewinde!$A$5:$A$54)&amp;";")-1),";",REPT(" ",50)),50))),Gewinde!$C$5:$C$54),0))</f>
        <v/>
      </c>
      <c r="Q448" s="33">
        <f>IF($A448="","",(N($O448)+$P448)/3600*N(Auftrag!$H$8))</f>
        <v/>
      </c>
      <c r="R448" s="33">
        <f>IF($A448="","",IF($F$8=0,0,$F$7/$F$8))</f>
        <v/>
      </c>
      <c r="S448" s="33">
        <f>IF($A448="","",$F448*(1+$C$4)+($Q448+$R448)*(1+$C$5))</f>
        <v/>
      </c>
      <c r="T448" s="33">
        <f>IF($A448="","",$S448*(1+$C$6))</f>
        <v/>
      </c>
      <c r="U448" s="18">
        <f>IF($A448="","",$T448*$C448)</f>
        <v/>
      </c>
      <c r="V448" s="18">
        <f>IF($A448="","",$S448*$C448)</f>
        <v/>
      </c>
      <c r="W448" s="28">
        <f>IF($A448="","",IF(N(Auftrag!$AO448)&gt;0,"nicht vollständig eingeplant",IF($D448=0,"kein Schnittplan oder Preis",IF($H448="","keine Schneiddaten",IF(AND(Auftrag!$AF448&lt;&gt;"",Auftrag!$AG448=""),"Gewinde ungeprüft","")))))</f>
        <v/>
      </c>
      <c r="X448" s="18">
        <f>IF($A448="","",$F448*$C448)</f>
        <v/>
      </c>
      <c r="Y448" s="18">
        <f>IF($A448="","",$Q448*$C448)</f>
        <v/>
      </c>
    </row>
    <row r="449">
      <c r="A449" s="25">
        <f>IF(Auftrag!$D449="","",Auftrag!$A449)</f>
        <v/>
      </c>
      <c r="B449" s="25">
        <f>IF($A449="","",Auftrag!$B449)</f>
        <v/>
      </c>
      <c r="C449" s="15">
        <f>IF($A449="","",N(Auftrag!$G449))</f>
        <v/>
      </c>
      <c r="D449" s="18">
        <f>IF($A449="","",SUMIFS(Schnittplan!$R$5:$R$1004,Schnittplan!$B$5:$B$1004,Auftrag!$D449,Schnittplan!$C$5:$C$1004,Auftrag!$E449,Schnittplan!$D$5:$D$1004,Auftrag!$Q449))</f>
        <v/>
      </c>
      <c r="E449" s="32">
        <f>IF($A449="","",IFERROR(N(Auftrag!$P449)/SUMIFS(Auftrag!$P$13:$P$512,Auftrag!$D$13:$D$512,Auftrag!$D449,Auftrag!$E$13:$E$512,Auftrag!$E449,Auftrag!$Q$13:$Q$512,Auftrag!$Q449),0))</f>
        <v/>
      </c>
      <c r="F449" s="33">
        <f>IF($A449="","",IF($C449=0,0,$D449*$E449/$C449))</f>
        <v/>
      </c>
      <c r="G449" s="34">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5">
        <f>IF($A449="","",IF($H449="","",60*((N(Auftrag!$H449)-N(Auftrag!$AI449)-N(Auftrag!$AK449))/$H449+N(Auftrag!$AI449)/$J449+N(Auftrag!$AK449)/$I449+N(Auftrag!$AD449)/$K449)+N(Auftrag!$I449)*$L449))</f>
        <v/>
      </c>
      <c r="N449" s="35">
        <f>IF($A449="","",IF(OR($H449="",$C449=0),0,(60*SUMIFS(Stangenbelegung!$K$5:$K$10004,Stangenbelegung!$E$5:$E$10004,ROW())/$H449+SUMIFS(Stangenbelegung!$L$5:$L$10004,Stangenbelegung!$E$5:$E$10004,ROW())*$L449)/$C449))</f>
        <v/>
      </c>
      <c r="O449" s="35">
        <f>IF($A449="","",IF($M449="","",MAX(0,$M449-$N449)))</f>
        <v/>
      </c>
      <c r="P449" s="35">
        <f>IF($A449="","",IFERROR(SUMPRODUCT(--("0"&amp;TRIM(RIGHT(SUBSTITUTE(LEFT(";"&amp;SUBSTITUTE(UPPER(Auftrag!$AG449)," ","")&amp;";"&amp;"X"&amp;UPPER(Gewinde!$A$5:$A$54)&amp;";",SEARCH("X"&amp;UPPER(Gewinde!$A$5:$A$54)&amp;";",";"&amp;SUBSTITUTE(UPPER(Auftrag!$AG449)," ","")&amp;";"&amp;"X"&amp;UPPER(Gewinde!$A$5:$A$54)&amp;";")-1),";",REPT(" ",50)),50))),Gewinde!$C$5:$C$54),0))</f>
        <v/>
      </c>
      <c r="Q449" s="33">
        <f>IF($A449="","",(N($O449)+$P449)/3600*N(Auftrag!$H$8))</f>
        <v/>
      </c>
      <c r="R449" s="33">
        <f>IF($A449="","",IF($F$8=0,0,$F$7/$F$8))</f>
        <v/>
      </c>
      <c r="S449" s="33">
        <f>IF($A449="","",$F449*(1+$C$4)+($Q449+$R449)*(1+$C$5))</f>
        <v/>
      </c>
      <c r="T449" s="33">
        <f>IF($A449="","",$S449*(1+$C$6))</f>
        <v/>
      </c>
      <c r="U449" s="18">
        <f>IF($A449="","",$T449*$C449)</f>
        <v/>
      </c>
      <c r="V449" s="18">
        <f>IF($A449="","",$S449*$C449)</f>
        <v/>
      </c>
      <c r="W449" s="28">
        <f>IF($A449="","",IF(N(Auftrag!$AO449)&gt;0,"nicht vollständig eingeplant",IF($D449=0,"kein Schnittplan oder Preis",IF($H449="","keine Schneiddaten",IF(AND(Auftrag!$AF449&lt;&gt;"",Auftrag!$AG449=""),"Gewinde ungeprüft","")))))</f>
        <v/>
      </c>
      <c r="X449" s="18">
        <f>IF($A449="","",$F449*$C449)</f>
        <v/>
      </c>
      <c r="Y449" s="18">
        <f>IF($A449="","",$Q449*$C449)</f>
        <v/>
      </c>
    </row>
    <row r="450">
      <c r="A450" s="25">
        <f>IF(Auftrag!$D450="","",Auftrag!$A450)</f>
        <v/>
      </c>
      <c r="B450" s="25">
        <f>IF($A450="","",Auftrag!$B450)</f>
        <v/>
      </c>
      <c r="C450" s="15">
        <f>IF($A450="","",N(Auftrag!$G450))</f>
        <v/>
      </c>
      <c r="D450" s="18">
        <f>IF($A450="","",SUMIFS(Schnittplan!$R$5:$R$1004,Schnittplan!$B$5:$B$1004,Auftrag!$D450,Schnittplan!$C$5:$C$1004,Auftrag!$E450,Schnittplan!$D$5:$D$1004,Auftrag!$Q450))</f>
        <v/>
      </c>
      <c r="E450" s="32">
        <f>IF($A450="","",IFERROR(N(Auftrag!$P450)/SUMIFS(Auftrag!$P$13:$P$512,Auftrag!$D$13:$D$512,Auftrag!$D450,Auftrag!$E$13:$E$512,Auftrag!$E450,Auftrag!$Q$13:$Q$512,Auftrag!$Q450),0))</f>
        <v/>
      </c>
      <c r="F450" s="33">
        <f>IF($A450="","",IF($C450=0,0,$D450*$E450/$C450))</f>
        <v/>
      </c>
      <c r="G450" s="34">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5">
        <f>IF($A450="","",IF($H450="","",60*((N(Auftrag!$H450)-N(Auftrag!$AI450)-N(Auftrag!$AK450))/$H450+N(Auftrag!$AI450)/$J450+N(Auftrag!$AK450)/$I450+N(Auftrag!$AD450)/$K450)+N(Auftrag!$I450)*$L450))</f>
        <v/>
      </c>
      <c r="N450" s="35">
        <f>IF($A450="","",IF(OR($H450="",$C450=0),0,(60*SUMIFS(Stangenbelegung!$K$5:$K$10004,Stangenbelegung!$E$5:$E$10004,ROW())/$H450+SUMIFS(Stangenbelegung!$L$5:$L$10004,Stangenbelegung!$E$5:$E$10004,ROW())*$L450)/$C450))</f>
        <v/>
      </c>
      <c r="O450" s="35">
        <f>IF($A450="","",IF($M450="","",MAX(0,$M450-$N450)))</f>
        <v/>
      </c>
      <c r="P450" s="35">
        <f>IF($A450="","",IFERROR(SUMPRODUCT(--("0"&amp;TRIM(RIGHT(SUBSTITUTE(LEFT(";"&amp;SUBSTITUTE(UPPER(Auftrag!$AG450)," ","")&amp;";"&amp;"X"&amp;UPPER(Gewinde!$A$5:$A$54)&amp;";",SEARCH("X"&amp;UPPER(Gewinde!$A$5:$A$54)&amp;";",";"&amp;SUBSTITUTE(UPPER(Auftrag!$AG450)," ","")&amp;";"&amp;"X"&amp;UPPER(Gewinde!$A$5:$A$54)&amp;";")-1),";",REPT(" ",50)),50))),Gewinde!$C$5:$C$54),0))</f>
        <v/>
      </c>
      <c r="Q450" s="33">
        <f>IF($A450="","",(N($O450)+$P450)/3600*N(Auftrag!$H$8))</f>
        <v/>
      </c>
      <c r="R450" s="33">
        <f>IF($A450="","",IF($F$8=0,0,$F$7/$F$8))</f>
        <v/>
      </c>
      <c r="S450" s="33">
        <f>IF($A450="","",$F450*(1+$C$4)+($Q450+$R450)*(1+$C$5))</f>
        <v/>
      </c>
      <c r="T450" s="33">
        <f>IF($A450="","",$S450*(1+$C$6))</f>
        <v/>
      </c>
      <c r="U450" s="18">
        <f>IF($A450="","",$T450*$C450)</f>
        <v/>
      </c>
      <c r="V450" s="18">
        <f>IF($A450="","",$S450*$C450)</f>
        <v/>
      </c>
      <c r="W450" s="28">
        <f>IF($A450="","",IF(N(Auftrag!$AO450)&gt;0,"nicht vollständig eingeplant",IF($D450=0,"kein Schnittplan oder Preis",IF($H450="","keine Schneiddaten",IF(AND(Auftrag!$AF450&lt;&gt;"",Auftrag!$AG450=""),"Gewinde ungeprüft","")))))</f>
        <v/>
      </c>
      <c r="X450" s="18">
        <f>IF($A450="","",$F450*$C450)</f>
        <v/>
      </c>
      <c r="Y450" s="18">
        <f>IF($A450="","",$Q450*$C450)</f>
        <v/>
      </c>
    </row>
    <row r="451">
      <c r="A451" s="25">
        <f>IF(Auftrag!$D451="","",Auftrag!$A451)</f>
        <v/>
      </c>
      <c r="B451" s="25">
        <f>IF($A451="","",Auftrag!$B451)</f>
        <v/>
      </c>
      <c r="C451" s="15">
        <f>IF($A451="","",N(Auftrag!$G451))</f>
        <v/>
      </c>
      <c r="D451" s="18">
        <f>IF($A451="","",SUMIFS(Schnittplan!$R$5:$R$1004,Schnittplan!$B$5:$B$1004,Auftrag!$D451,Schnittplan!$C$5:$C$1004,Auftrag!$E451,Schnittplan!$D$5:$D$1004,Auftrag!$Q451))</f>
        <v/>
      </c>
      <c r="E451" s="32">
        <f>IF($A451="","",IFERROR(N(Auftrag!$P451)/SUMIFS(Auftrag!$P$13:$P$512,Auftrag!$D$13:$D$512,Auftrag!$D451,Auftrag!$E$13:$E$512,Auftrag!$E451,Auftrag!$Q$13:$Q$512,Auftrag!$Q451),0))</f>
        <v/>
      </c>
      <c r="F451" s="33">
        <f>IF($A451="","",IF($C451=0,0,$D451*$E451/$C451))</f>
        <v/>
      </c>
      <c r="G451" s="34">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5">
        <f>IF($A451="","",IF($H451="","",60*((N(Auftrag!$H451)-N(Auftrag!$AI451)-N(Auftrag!$AK451))/$H451+N(Auftrag!$AI451)/$J451+N(Auftrag!$AK451)/$I451+N(Auftrag!$AD451)/$K451)+N(Auftrag!$I451)*$L451))</f>
        <v/>
      </c>
      <c r="N451" s="35">
        <f>IF($A451="","",IF(OR($H451="",$C451=0),0,(60*SUMIFS(Stangenbelegung!$K$5:$K$10004,Stangenbelegung!$E$5:$E$10004,ROW())/$H451+SUMIFS(Stangenbelegung!$L$5:$L$10004,Stangenbelegung!$E$5:$E$10004,ROW())*$L451)/$C451))</f>
        <v/>
      </c>
      <c r="O451" s="35">
        <f>IF($A451="","",IF($M451="","",MAX(0,$M451-$N451)))</f>
        <v/>
      </c>
      <c r="P451" s="35">
        <f>IF($A451="","",IFERROR(SUMPRODUCT(--("0"&amp;TRIM(RIGHT(SUBSTITUTE(LEFT(";"&amp;SUBSTITUTE(UPPER(Auftrag!$AG451)," ","")&amp;";"&amp;"X"&amp;UPPER(Gewinde!$A$5:$A$54)&amp;";",SEARCH("X"&amp;UPPER(Gewinde!$A$5:$A$54)&amp;";",";"&amp;SUBSTITUTE(UPPER(Auftrag!$AG451)," ","")&amp;";"&amp;"X"&amp;UPPER(Gewinde!$A$5:$A$54)&amp;";")-1),";",REPT(" ",50)),50))),Gewinde!$C$5:$C$54),0))</f>
        <v/>
      </c>
      <c r="Q451" s="33">
        <f>IF($A451="","",(N($O451)+$P451)/3600*N(Auftrag!$H$8))</f>
        <v/>
      </c>
      <c r="R451" s="33">
        <f>IF($A451="","",IF($F$8=0,0,$F$7/$F$8))</f>
        <v/>
      </c>
      <c r="S451" s="33">
        <f>IF($A451="","",$F451*(1+$C$4)+($Q451+$R451)*(1+$C$5))</f>
        <v/>
      </c>
      <c r="T451" s="33">
        <f>IF($A451="","",$S451*(1+$C$6))</f>
        <v/>
      </c>
      <c r="U451" s="18">
        <f>IF($A451="","",$T451*$C451)</f>
        <v/>
      </c>
      <c r="V451" s="18">
        <f>IF($A451="","",$S451*$C451)</f>
        <v/>
      </c>
      <c r="W451" s="28">
        <f>IF($A451="","",IF(N(Auftrag!$AO451)&gt;0,"nicht vollständig eingeplant",IF($D451=0,"kein Schnittplan oder Preis",IF($H451="","keine Schneiddaten",IF(AND(Auftrag!$AF451&lt;&gt;"",Auftrag!$AG451=""),"Gewinde ungeprüft","")))))</f>
        <v/>
      </c>
      <c r="X451" s="18">
        <f>IF($A451="","",$F451*$C451)</f>
        <v/>
      </c>
      <c r="Y451" s="18">
        <f>IF($A451="","",$Q451*$C451)</f>
        <v/>
      </c>
    </row>
    <row r="452">
      <c r="A452" s="25">
        <f>IF(Auftrag!$D452="","",Auftrag!$A452)</f>
        <v/>
      </c>
      <c r="B452" s="25">
        <f>IF($A452="","",Auftrag!$B452)</f>
        <v/>
      </c>
      <c r="C452" s="15">
        <f>IF($A452="","",N(Auftrag!$G452))</f>
        <v/>
      </c>
      <c r="D452" s="18">
        <f>IF($A452="","",SUMIFS(Schnittplan!$R$5:$R$1004,Schnittplan!$B$5:$B$1004,Auftrag!$D452,Schnittplan!$C$5:$C$1004,Auftrag!$E452,Schnittplan!$D$5:$D$1004,Auftrag!$Q452))</f>
        <v/>
      </c>
      <c r="E452" s="32">
        <f>IF($A452="","",IFERROR(N(Auftrag!$P452)/SUMIFS(Auftrag!$P$13:$P$512,Auftrag!$D$13:$D$512,Auftrag!$D452,Auftrag!$E$13:$E$512,Auftrag!$E452,Auftrag!$Q$13:$Q$512,Auftrag!$Q452),0))</f>
        <v/>
      </c>
      <c r="F452" s="33">
        <f>IF($A452="","",IF($C452=0,0,$D452*$E452/$C452))</f>
        <v/>
      </c>
      <c r="G452" s="34">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5">
        <f>IF($A452="","",IF($H452="","",60*((N(Auftrag!$H452)-N(Auftrag!$AI452)-N(Auftrag!$AK452))/$H452+N(Auftrag!$AI452)/$J452+N(Auftrag!$AK452)/$I452+N(Auftrag!$AD452)/$K452)+N(Auftrag!$I452)*$L452))</f>
        <v/>
      </c>
      <c r="N452" s="35">
        <f>IF($A452="","",IF(OR($H452="",$C452=0),0,(60*SUMIFS(Stangenbelegung!$K$5:$K$10004,Stangenbelegung!$E$5:$E$10004,ROW())/$H452+SUMIFS(Stangenbelegung!$L$5:$L$10004,Stangenbelegung!$E$5:$E$10004,ROW())*$L452)/$C452))</f>
        <v/>
      </c>
      <c r="O452" s="35">
        <f>IF($A452="","",IF($M452="","",MAX(0,$M452-$N452)))</f>
        <v/>
      </c>
      <c r="P452" s="35">
        <f>IF($A452="","",IFERROR(SUMPRODUCT(--("0"&amp;TRIM(RIGHT(SUBSTITUTE(LEFT(";"&amp;SUBSTITUTE(UPPER(Auftrag!$AG452)," ","")&amp;";"&amp;"X"&amp;UPPER(Gewinde!$A$5:$A$54)&amp;";",SEARCH("X"&amp;UPPER(Gewinde!$A$5:$A$54)&amp;";",";"&amp;SUBSTITUTE(UPPER(Auftrag!$AG452)," ","")&amp;";"&amp;"X"&amp;UPPER(Gewinde!$A$5:$A$54)&amp;";")-1),";",REPT(" ",50)),50))),Gewinde!$C$5:$C$54),0))</f>
        <v/>
      </c>
      <c r="Q452" s="33">
        <f>IF($A452="","",(N($O452)+$P452)/3600*N(Auftrag!$H$8))</f>
        <v/>
      </c>
      <c r="R452" s="33">
        <f>IF($A452="","",IF($F$8=0,0,$F$7/$F$8))</f>
        <v/>
      </c>
      <c r="S452" s="33">
        <f>IF($A452="","",$F452*(1+$C$4)+($Q452+$R452)*(1+$C$5))</f>
        <v/>
      </c>
      <c r="T452" s="33">
        <f>IF($A452="","",$S452*(1+$C$6))</f>
        <v/>
      </c>
      <c r="U452" s="18">
        <f>IF($A452="","",$T452*$C452)</f>
        <v/>
      </c>
      <c r="V452" s="18">
        <f>IF($A452="","",$S452*$C452)</f>
        <v/>
      </c>
      <c r="W452" s="28">
        <f>IF($A452="","",IF(N(Auftrag!$AO452)&gt;0,"nicht vollständig eingeplant",IF($D452=0,"kein Schnittplan oder Preis",IF($H452="","keine Schneiddaten",IF(AND(Auftrag!$AF452&lt;&gt;"",Auftrag!$AG452=""),"Gewinde ungeprüft","")))))</f>
        <v/>
      </c>
      <c r="X452" s="18">
        <f>IF($A452="","",$F452*$C452)</f>
        <v/>
      </c>
      <c r="Y452" s="18">
        <f>IF($A452="","",$Q452*$C452)</f>
        <v/>
      </c>
    </row>
    <row r="453">
      <c r="A453" s="25">
        <f>IF(Auftrag!$D453="","",Auftrag!$A453)</f>
        <v/>
      </c>
      <c r="B453" s="25">
        <f>IF($A453="","",Auftrag!$B453)</f>
        <v/>
      </c>
      <c r="C453" s="15">
        <f>IF($A453="","",N(Auftrag!$G453))</f>
        <v/>
      </c>
      <c r="D453" s="18">
        <f>IF($A453="","",SUMIFS(Schnittplan!$R$5:$R$1004,Schnittplan!$B$5:$B$1004,Auftrag!$D453,Schnittplan!$C$5:$C$1004,Auftrag!$E453,Schnittplan!$D$5:$D$1004,Auftrag!$Q453))</f>
        <v/>
      </c>
      <c r="E453" s="32">
        <f>IF($A453="","",IFERROR(N(Auftrag!$P453)/SUMIFS(Auftrag!$P$13:$P$512,Auftrag!$D$13:$D$512,Auftrag!$D453,Auftrag!$E$13:$E$512,Auftrag!$E453,Auftrag!$Q$13:$Q$512,Auftrag!$Q453),0))</f>
        <v/>
      </c>
      <c r="F453" s="33">
        <f>IF($A453="","",IF($C453=0,0,$D453*$E453/$C453))</f>
        <v/>
      </c>
      <c r="G453" s="34">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5">
        <f>IF($A453="","",IF($H453="","",60*((N(Auftrag!$H453)-N(Auftrag!$AI453)-N(Auftrag!$AK453))/$H453+N(Auftrag!$AI453)/$J453+N(Auftrag!$AK453)/$I453+N(Auftrag!$AD453)/$K453)+N(Auftrag!$I453)*$L453))</f>
        <v/>
      </c>
      <c r="N453" s="35">
        <f>IF($A453="","",IF(OR($H453="",$C453=0),0,(60*SUMIFS(Stangenbelegung!$K$5:$K$10004,Stangenbelegung!$E$5:$E$10004,ROW())/$H453+SUMIFS(Stangenbelegung!$L$5:$L$10004,Stangenbelegung!$E$5:$E$10004,ROW())*$L453)/$C453))</f>
        <v/>
      </c>
      <c r="O453" s="35">
        <f>IF($A453="","",IF($M453="","",MAX(0,$M453-$N453)))</f>
        <v/>
      </c>
      <c r="P453" s="35">
        <f>IF($A453="","",IFERROR(SUMPRODUCT(--("0"&amp;TRIM(RIGHT(SUBSTITUTE(LEFT(";"&amp;SUBSTITUTE(UPPER(Auftrag!$AG453)," ","")&amp;";"&amp;"X"&amp;UPPER(Gewinde!$A$5:$A$54)&amp;";",SEARCH("X"&amp;UPPER(Gewinde!$A$5:$A$54)&amp;";",";"&amp;SUBSTITUTE(UPPER(Auftrag!$AG453)," ","")&amp;";"&amp;"X"&amp;UPPER(Gewinde!$A$5:$A$54)&amp;";")-1),";",REPT(" ",50)),50))),Gewinde!$C$5:$C$54),0))</f>
        <v/>
      </c>
      <c r="Q453" s="33">
        <f>IF($A453="","",(N($O453)+$P453)/3600*N(Auftrag!$H$8))</f>
        <v/>
      </c>
      <c r="R453" s="33">
        <f>IF($A453="","",IF($F$8=0,0,$F$7/$F$8))</f>
        <v/>
      </c>
      <c r="S453" s="33">
        <f>IF($A453="","",$F453*(1+$C$4)+($Q453+$R453)*(1+$C$5))</f>
        <v/>
      </c>
      <c r="T453" s="33">
        <f>IF($A453="","",$S453*(1+$C$6))</f>
        <v/>
      </c>
      <c r="U453" s="18">
        <f>IF($A453="","",$T453*$C453)</f>
        <v/>
      </c>
      <c r="V453" s="18">
        <f>IF($A453="","",$S453*$C453)</f>
        <v/>
      </c>
      <c r="W453" s="28">
        <f>IF($A453="","",IF(N(Auftrag!$AO453)&gt;0,"nicht vollständig eingeplant",IF($D453=0,"kein Schnittplan oder Preis",IF($H453="","keine Schneiddaten",IF(AND(Auftrag!$AF453&lt;&gt;"",Auftrag!$AG453=""),"Gewinde ungeprüft","")))))</f>
        <v/>
      </c>
      <c r="X453" s="18">
        <f>IF($A453="","",$F453*$C453)</f>
        <v/>
      </c>
      <c r="Y453" s="18">
        <f>IF($A453="","",$Q453*$C453)</f>
        <v/>
      </c>
    </row>
    <row r="454">
      <c r="A454" s="25">
        <f>IF(Auftrag!$D454="","",Auftrag!$A454)</f>
        <v/>
      </c>
      <c r="B454" s="25">
        <f>IF($A454="","",Auftrag!$B454)</f>
        <v/>
      </c>
      <c r="C454" s="15">
        <f>IF($A454="","",N(Auftrag!$G454))</f>
        <v/>
      </c>
      <c r="D454" s="18">
        <f>IF($A454="","",SUMIFS(Schnittplan!$R$5:$R$1004,Schnittplan!$B$5:$B$1004,Auftrag!$D454,Schnittplan!$C$5:$C$1004,Auftrag!$E454,Schnittplan!$D$5:$D$1004,Auftrag!$Q454))</f>
        <v/>
      </c>
      <c r="E454" s="32">
        <f>IF($A454="","",IFERROR(N(Auftrag!$P454)/SUMIFS(Auftrag!$P$13:$P$512,Auftrag!$D$13:$D$512,Auftrag!$D454,Auftrag!$E$13:$E$512,Auftrag!$E454,Auftrag!$Q$13:$Q$512,Auftrag!$Q454),0))</f>
        <v/>
      </c>
      <c r="F454" s="33">
        <f>IF($A454="","",IF($C454=0,0,$D454*$E454/$C454))</f>
        <v/>
      </c>
      <c r="G454" s="34">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5">
        <f>IF($A454="","",IF($H454="","",60*((N(Auftrag!$H454)-N(Auftrag!$AI454)-N(Auftrag!$AK454))/$H454+N(Auftrag!$AI454)/$J454+N(Auftrag!$AK454)/$I454+N(Auftrag!$AD454)/$K454)+N(Auftrag!$I454)*$L454))</f>
        <v/>
      </c>
      <c r="N454" s="35">
        <f>IF($A454="","",IF(OR($H454="",$C454=0),0,(60*SUMIFS(Stangenbelegung!$K$5:$K$10004,Stangenbelegung!$E$5:$E$10004,ROW())/$H454+SUMIFS(Stangenbelegung!$L$5:$L$10004,Stangenbelegung!$E$5:$E$10004,ROW())*$L454)/$C454))</f>
        <v/>
      </c>
      <c r="O454" s="35">
        <f>IF($A454="","",IF($M454="","",MAX(0,$M454-$N454)))</f>
        <v/>
      </c>
      <c r="P454" s="35">
        <f>IF($A454="","",IFERROR(SUMPRODUCT(--("0"&amp;TRIM(RIGHT(SUBSTITUTE(LEFT(";"&amp;SUBSTITUTE(UPPER(Auftrag!$AG454)," ","")&amp;";"&amp;"X"&amp;UPPER(Gewinde!$A$5:$A$54)&amp;";",SEARCH("X"&amp;UPPER(Gewinde!$A$5:$A$54)&amp;";",";"&amp;SUBSTITUTE(UPPER(Auftrag!$AG454)," ","")&amp;";"&amp;"X"&amp;UPPER(Gewinde!$A$5:$A$54)&amp;";")-1),";",REPT(" ",50)),50))),Gewinde!$C$5:$C$54),0))</f>
        <v/>
      </c>
      <c r="Q454" s="33">
        <f>IF($A454="","",(N($O454)+$P454)/3600*N(Auftrag!$H$8))</f>
        <v/>
      </c>
      <c r="R454" s="33">
        <f>IF($A454="","",IF($F$8=0,0,$F$7/$F$8))</f>
        <v/>
      </c>
      <c r="S454" s="33">
        <f>IF($A454="","",$F454*(1+$C$4)+($Q454+$R454)*(1+$C$5))</f>
        <v/>
      </c>
      <c r="T454" s="33">
        <f>IF($A454="","",$S454*(1+$C$6))</f>
        <v/>
      </c>
      <c r="U454" s="18">
        <f>IF($A454="","",$T454*$C454)</f>
        <v/>
      </c>
      <c r="V454" s="18">
        <f>IF($A454="","",$S454*$C454)</f>
        <v/>
      </c>
      <c r="W454" s="28">
        <f>IF($A454="","",IF(N(Auftrag!$AO454)&gt;0,"nicht vollständig eingeplant",IF($D454=0,"kein Schnittplan oder Preis",IF($H454="","keine Schneiddaten",IF(AND(Auftrag!$AF454&lt;&gt;"",Auftrag!$AG454=""),"Gewinde ungeprüft","")))))</f>
        <v/>
      </c>
      <c r="X454" s="18">
        <f>IF($A454="","",$F454*$C454)</f>
        <v/>
      </c>
      <c r="Y454" s="18">
        <f>IF($A454="","",$Q454*$C454)</f>
        <v/>
      </c>
    </row>
    <row r="455">
      <c r="A455" s="25">
        <f>IF(Auftrag!$D455="","",Auftrag!$A455)</f>
        <v/>
      </c>
      <c r="B455" s="25">
        <f>IF($A455="","",Auftrag!$B455)</f>
        <v/>
      </c>
      <c r="C455" s="15">
        <f>IF($A455="","",N(Auftrag!$G455))</f>
        <v/>
      </c>
      <c r="D455" s="18">
        <f>IF($A455="","",SUMIFS(Schnittplan!$R$5:$R$1004,Schnittplan!$B$5:$B$1004,Auftrag!$D455,Schnittplan!$C$5:$C$1004,Auftrag!$E455,Schnittplan!$D$5:$D$1004,Auftrag!$Q455))</f>
        <v/>
      </c>
      <c r="E455" s="32">
        <f>IF($A455="","",IFERROR(N(Auftrag!$P455)/SUMIFS(Auftrag!$P$13:$P$512,Auftrag!$D$13:$D$512,Auftrag!$D455,Auftrag!$E$13:$E$512,Auftrag!$E455,Auftrag!$Q$13:$Q$512,Auftrag!$Q455),0))</f>
        <v/>
      </c>
      <c r="F455" s="33">
        <f>IF($A455="","",IF($C455=0,0,$D455*$E455/$C455))</f>
        <v/>
      </c>
      <c r="G455" s="34">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5">
        <f>IF($A455="","",IF($H455="","",60*((N(Auftrag!$H455)-N(Auftrag!$AI455)-N(Auftrag!$AK455))/$H455+N(Auftrag!$AI455)/$J455+N(Auftrag!$AK455)/$I455+N(Auftrag!$AD455)/$K455)+N(Auftrag!$I455)*$L455))</f>
        <v/>
      </c>
      <c r="N455" s="35">
        <f>IF($A455="","",IF(OR($H455="",$C455=0),0,(60*SUMIFS(Stangenbelegung!$K$5:$K$10004,Stangenbelegung!$E$5:$E$10004,ROW())/$H455+SUMIFS(Stangenbelegung!$L$5:$L$10004,Stangenbelegung!$E$5:$E$10004,ROW())*$L455)/$C455))</f>
        <v/>
      </c>
      <c r="O455" s="35">
        <f>IF($A455="","",IF($M455="","",MAX(0,$M455-$N455)))</f>
        <v/>
      </c>
      <c r="P455" s="35">
        <f>IF($A455="","",IFERROR(SUMPRODUCT(--("0"&amp;TRIM(RIGHT(SUBSTITUTE(LEFT(";"&amp;SUBSTITUTE(UPPER(Auftrag!$AG455)," ","")&amp;";"&amp;"X"&amp;UPPER(Gewinde!$A$5:$A$54)&amp;";",SEARCH("X"&amp;UPPER(Gewinde!$A$5:$A$54)&amp;";",";"&amp;SUBSTITUTE(UPPER(Auftrag!$AG455)," ","")&amp;";"&amp;"X"&amp;UPPER(Gewinde!$A$5:$A$54)&amp;";")-1),";",REPT(" ",50)),50))),Gewinde!$C$5:$C$54),0))</f>
        <v/>
      </c>
      <c r="Q455" s="33">
        <f>IF($A455="","",(N($O455)+$P455)/3600*N(Auftrag!$H$8))</f>
        <v/>
      </c>
      <c r="R455" s="33">
        <f>IF($A455="","",IF($F$8=0,0,$F$7/$F$8))</f>
        <v/>
      </c>
      <c r="S455" s="33">
        <f>IF($A455="","",$F455*(1+$C$4)+($Q455+$R455)*(1+$C$5))</f>
        <v/>
      </c>
      <c r="T455" s="33">
        <f>IF($A455="","",$S455*(1+$C$6))</f>
        <v/>
      </c>
      <c r="U455" s="18">
        <f>IF($A455="","",$T455*$C455)</f>
        <v/>
      </c>
      <c r="V455" s="18">
        <f>IF($A455="","",$S455*$C455)</f>
        <v/>
      </c>
      <c r="W455" s="28">
        <f>IF($A455="","",IF(N(Auftrag!$AO455)&gt;0,"nicht vollständig eingeplant",IF($D455=0,"kein Schnittplan oder Preis",IF($H455="","keine Schneiddaten",IF(AND(Auftrag!$AF455&lt;&gt;"",Auftrag!$AG455=""),"Gewinde ungeprüft","")))))</f>
        <v/>
      </c>
      <c r="X455" s="18">
        <f>IF($A455="","",$F455*$C455)</f>
        <v/>
      </c>
      <c r="Y455" s="18">
        <f>IF($A455="","",$Q455*$C455)</f>
        <v/>
      </c>
    </row>
    <row r="456">
      <c r="A456" s="25">
        <f>IF(Auftrag!$D456="","",Auftrag!$A456)</f>
        <v/>
      </c>
      <c r="B456" s="25">
        <f>IF($A456="","",Auftrag!$B456)</f>
        <v/>
      </c>
      <c r="C456" s="15">
        <f>IF($A456="","",N(Auftrag!$G456))</f>
        <v/>
      </c>
      <c r="D456" s="18">
        <f>IF($A456="","",SUMIFS(Schnittplan!$R$5:$R$1004,Schnittplan!$B$5:$B$1004,Auftrag!$D456,Schnittplan!$C$5:$C$1004,Auftrag!$E456,Schnittplan!$D$5:$D$1004,Auftrag!$Q456))</f>
        <v/>
      </c>
      <c r="E456" s="32">
        <f>IF($A456="","",IFERROR(N(Auftrag!$P456)/SUMIFS(Auftrag!$P$13:$P$512,Auftrag!$D$13:$D$512,Auftrag!$D456,Auftrag!$E$13:$E$512,Auftrag!$E456,Auftrag!$Q$13:$Q$512,Auftrag!$Q456),0))</f>
        <v/>
      </c>
      <c r="F456" s="33">
        <f>IF($A456="","",IF($C456=0,0,$D456*$E456/$C456))</f>
        <v/>
      </c>
      <c r="G456" s="34">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5">
        <f>IF($A456="","",IF($H456="","",60*((N(Auftrag!$H456)-N(Auftrag!$AI456)-N(Auftrag!$AK456))/$H456+N(Auftrag!$AI456)/$J456+N(Auftrag!$AK456)/$I456+N(Auftrag!$AD456)/$K456)+N(Auftrag!$I456)*$L456))</f>
        <v/>
      </c>
      <c r="N456" s="35">
        <f>IF($A456="","",IF(OR($H456="",$C456=0),0,(60*SUMIFS(Stangenbelegung!$K$5:$K$10004,Stangenbelegung!$E$5:$E$10004,ROW())/$H456+SUMIFS(Stangenbelegung!$L$5:$L$10004,Stangenbelegung!$E$5:$E$10004,ROW())*$L456)/$C456))</f>
        <v/>
      </c>
      <c r="O456" s="35">
        <f>IF($A456="","",IF($M456="","",MAX(0,$M456-$N456)))</f>
        <v/>
      </c>
      <c r="P456" s="35">
        <f>IF($A456="","",IFERROR(SUMPRODUCT(--("0"&amp;TRIM(RIGHT(SUBSTITUTE(LEFT(";"&amp;SUBSTITUTE(UPPER(Auftrag!$AG456)," ","")&amp;";"&amp;"X"&amp;UPPER(Gewinde!$A$5:$A$54)&amp;";",SEARCH("X"&amp;UPPER(Gewinde!$A$5:$A$54)&amp;";",";"&amp;SUBSTITUTE(UPPER(Auftrag!$AG456)," ","")&amp;";"&amp;"X"&amp;UPPER(Gewinde!$A$5:$A$54)&amp;";")-1),";",REPT(" ",50)),50))),Gewinde!$C$5:$C$54),0))</f>
        <v/>
      </c>
      <c r="Q456" s="33">
        <f>IF($A456="","",(N($O456)+$P456)/3600*N(Auftrag!$H$8))</f>
        <v/>
      </c>
      <c r="R456" s="33">
        <f>IF($A456="","",IF($F$8=0,0,$F$7/$F$8))</f>
        <v/>
      </c>
      <c r="S456" s="33">
        <f>IF($A456="","",$F456*(1+$C$4)+($Q456+$R456)*(1+$C$5))</f>
        <v/>
      </c>
      <c r="T456" s="33">
        <f>IF($A456="","",$S456*(1+$C$6))</f>
        <v/>
      </c>
      <c r="U456" s="18">
        <f>IF($A456="","",$T456*$C456)</f>
        <v/>
      </c>
      <c r="V456" s="18">
        <f>IF($A456="","",$S456*$C456)</f>
        <v/>
      </c>
      <c r="W456" s="28">
        <f>IF($A456="","",IF(N(Auftrag!$AO456)&gt;0,"nicht vollständig eingeplant",IF($D456=0,"kein Schnittplan oder Preis",IF($H456="","keine Schneiddaten",IF(AND(Auftrag!$AF456&lt;&gt;"",Auftrag!$AG456=""),"Gewinde ungeprüft","")))))</f>
        <v/>
      </c>
      <c r="X456" s="18">
        <f>IF($A456="","",$F456*$C456)</f>
        <v/>
      </c>
      <c r="Y456" s="18">
        <f>IF($A456="","",$Q456*$C456)</f>
        <v/>
      </c>
    </row>
    <row r="457">
      <c r="A457" s="25">
        <f>IF(Auftrag!$D457="","",Auftrag!$A457)</f>
        <v/>
      </c>
      <c r="B457" s="25">
        <f>IF($A457="","",Auftrag!$B457)</f>
        <v/>
      </c>
      <c r="C457" s="15">
        <f>IF($A457="","",N(Auftrag!$G457))</f>
        <v/>
      </c>
      <c r="D457" s="18">
        <f>IF($A457="","",SUMIFS(Schnittplan!$R$5:$R$1004,Schnittplan!$B$5:$B$1004,Auftrag!$D457,Schnittplan!$C$5:$C$1004,Auftrag!$E457,Schnittplan!$D$5:$D$1004,Auftrag!$Q457))</f>
        <v/>
      </c>
      <c r="E457" s="32">
        <f>IF($A457="","",IFERROR(N(Auftrag!$P457)/SUMIFS(Auftrag!$P$13:$P$512,Auftrag!$D$13:$D$512,Auftrag!$D457,Auftrag!$E$13:$E$512,Auftrag!$E457,Auftrag!$Q$13:$Q$512,Auftrag!$Q457),0))</f>
        <v/>
      </c>
      <c r="F457" s="33">
        <f>IF($A457="","",IF($C457=0,0,$D457*$E457/$C457))</f>
        <v/>
      </c>
      <c r="G457" s="34">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5">
        <f>IF($A457="","",IF($H457="","",60*((N(Auftrag!$H457)-N(Auftrag!$AI457)-N(Auftrag!$AK457))/$H457+N(Auftrag!$AI457)/$J457+N(Auftrag!$AK457)/$I457+N(Auftrag!$AD457)/$K457)+N(Auftrag!$I457)*$L457))</f>
        <v/>
      </c>
      <c r="N457" s="35">
        <f>IF($A457="","",IF(OR($H457="",$C457=0),0,(60*SUMIFS(Stangenbelegung!$K$5:$K$10004,Stangenbelegung!$E$5:$E$10004,ROW())/$H457+SUMIFS(Stangenbelegung!$L$5:$L$10004,Stangenbelegung!$E$5:$E$10004,ROW())*$L457)/$C457))</f>
        <v/>
      </c>
      <c r="O457" s="35">
        <f>IF($A457="","",IF($M457="","",MAX(0,$M457-$N457)))</f>
        <v/>
      </c>
      <c r="P457" s="35">
        <f>IF($A457="","",IFERROR(SUMPRODUCT(--("0"&amp;TRIM(RIGHT(SUBSTITUTE(LEFT(";"&amp;SUBSTITUTE(UPPER(Auftrag!$AG457)," ","")&amp;";"&amp;"X"&amp;UPPER(Gewinde!$A$5:$A$54)&amp;";",SEARCH("X"&amp;UPPER(Gewinde!$A$5:$A$54)&amp;";",";"&amp;SUBSTITUTE(UPPER(Auftrag!$AG457)," ","")&amp;";"&amp;"X"&amp;UPPER(Gewinde!$A$5:$A$54)&amp;";")-1),";",REPT(" ",50)),50))),Gewinde!$C$5:$C$54),0))</f>
        <v/>
      </c>
      <c r="Q457" s="33">
        <f>IF($A457="","",(N($O457)+$P457)/3600*N(Auftrag!$H$8))</f>
        <v/>
      </c>
      <c r="R457" s="33">
        <f>IF($A457="","",IF($F$8=0,0,$F$7/$F$8))</f>
        <v/>
      </c>
      <c r="S457" s="33">
        <f>IF($A457="","",$F457*(1+$C$4)+($Q457+$R457)*(1+$C$5))</f>
        <v/>
      </c>
      <c r="T457" s="33">
        <f>IF($A457="","",$S457*(1+$C$6))</f>
        <v/>
      </c>
      <c r="U457" s="18">
        <f>IF($A457="","",$T457*$C457)</f>
        <v/>
      </c>
      <c r="V457" s="18">
        <f>IF($A457="","",$S457*$C457)</f>
        <v/>
      </c>
      <c r="W457" s="28">
        <f>IF($A457="","",IF(N(Auftrag!$AO457)&gt;0,"nicht vollständig eingeplant",IF($D457=0,"kein Schnittplan oder Preis",IF($H457="","keine Schneiddaten",IF(AND(Auftrag!$AF457&lt;&gt;"",Auftrag!$AG457=""),"Gewinde ungeprüft","")))))</f>
        <v/>
      </c>
      <c r="X457" s="18">
        <f>IF($A457="","",$F457*$C457)</f>
        <v/>
      </c>
      <c r="Y457" s="18">
        <f>IF($A457="","",$Q457*$C457)</f>
        <v/>
      </c>
    </row>
    <row r="458">
      <c r="A458" s="25">
        <f>IF(Auftrag!$D458="","",Auftrag!$A458)</f>
        <v/>
      </c>
      <c r="B458" s="25">
        <f>IF($A458="","",Auftrag!$B458)</f>
        <v/>
      </c>
      <c r="C458" s="15">
        <f>IF($A458="","",N(Auftrag!$G458))</f>
        <v/>
      </c>
      <c r="D458" s="18">
        <f>IF($A458="","",SUMIFS(Schnittplan!$R$5:$R$1004,Schnittplan!$B$5:$B$1004,Auftrag!$D458,Schnittplan!$C$5:$C$1004,Auftrag!$E458,Schnittplan!$D$5:$D$1004,Auftrag!$Q458))</f>
        <v/>
      </c>
      <c r="E458" s="32">
        <f>IF($A458="","",IFERROR(N(Auftrag!$P458)/SUMIFS(Auftrag!$P$13:$P$512,Auftrag!$D$13:$D$512,Auftrag!$D458,Auftrag!$E$13:$E$512,Auftrag!$E458,Auftrag!$Q$13:$Q$512,Auftrag!$Q458),0))</f>
        <v/>
      </c>
      <c r="F458" s="33">
        <f>IF($A458="","",IF($C458=0,0,$D458*$E458/$C458))</f>
        <v/>
      </c>
      <c r="G458" s="34">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5">
        <f>IF($A458="","",IF($H458="","",60*((N(Auftrag!$H458)-N(Auftrag!$AI458)-N(Auftrag!$AK458))/$H458+N(Auftrag!$AI458)/$J458+N(Auftrag!$AK458)/$I458+N(Auftrag!$AD458)/$K458)+N(Auftrag!$I458)*$L458))</f>
        <v/>
      </c>
      <c r="N458" s="35">
        <f>IF($A458="","",IF(OR($H458="",$C458=0),0,(60*SUMIFS(Stangenbelegung!$K$5:$K$10004,Stangenbelegung!$E$5:$E$10004,ROW())/$H458+SUMIFS(Stangenbelegung!$L$5:$L$10004,Stangenbelegung!$E$5:$E$10004,ROW())*$L458)/$C458))</f>
        <v/>
      </c>
      <c r="O458" s="35">
        <f>IF($A458="","",IF($M458="","",MAX(0,$M458-$N458)))</f>
        <v/>
      </c>
      <c r="P458" s="35">
        <f>IF($A458="","",IFERROR(SUMPRODUCT(--("0"&amp;TRIM(RIGHT(SUBSTITUTE(LEFT(";"&amp;SUBSTITUTE(UPPER(Auftrag!$AG458)," ","")&amp;";"&amp;"X"&amp;UPPER(Gewinde!$A$5:$A$54)&amp;";",SEARCH("X"&amp;UPPER(Gewinde!$A$5:$A$54)&amp;";",";"&amp;SUBSTITUTE(UPPER(Auftrag!$AG458)," ","")&amp;";"&amp;"X"&amp;UPPER(Gewinde!$A$5:$A$54)&amp;";")-1),";",REPT(" ",50)),50))),Gewinde!$C$5:$C$54),0))</f>
        <v/>
      </c>
      <c r="Q458" s="33">
        <f>IF($A458="","",(N($O458)+$P458)/3600*N(Auftrag!$H$8))</f>
        <v/>
      </c>
      <c r="R458" s="33">
        <f>IF($A458="","",IF($F$8=0,0,$F$7/$F$8))</f>
        <v/>
      </c>
      <c r="S458" s="33">
        <f>IF($A458="","",$F458*(1+$C$4)+($Q458+$R458)*(1+$C$5))</f>
        <v/>
      </c>
      <c r="T458" s="33">
        <f>IF($A458="","",$S458*(1+$C$6))</f>
        <v/>
      </c>
      <c r="U458" s="18">
        <f>IF($A458="","",$T458*$C458)</f>
        <v/>
      </c>
      <c r="V458" s="18">
        <f>IF($A458="","",$S458*$C458)</f>
        <v/>
      </c>
      <c r="W458" s="28">
        <f>IF($A458="","",IF(N(Auftrag!$AO458)&gt;0,"nicht vollständig eingeplant",IF($D458=0,"kein Schnittplan oder Preis",IF($H458="","keine Schneiddaten",IF(AND(Auftrag!$AF458&lt;&gt;"",Auftrag!$AG458=""),"Gewinde ungeprüft","")))))</f>
        <v/>
      </c>
      <c r="X458" s="18">
        <f>IF($A458="","",$F458*$C458)</f>
        <v/>
      </c>
      <c r="Y458" s="18">
        <f>IF($A458="","",$Q458*$C458)</f>
        <v/>
      </c>
    </row>
    <row r="459">
      <c r="A459" s="25">
        <f>IF(Auftrag!$D459="","",Auftrag!$A459)</f>
        <v/>
      </c>
      <c r="B459" s="25">
        <f>IF($A459="","",Auftrag!$B459)</f>
        <v/>
      </c>
      <c r="C459" s="15">
        <f>IF($A459="","",N(Auftrag!$G459))</f>
        <v/>
      </c>
      <c r="D459" s="18">
        <f>IF($A459="","",SUMIFS(Schnittplan!$R$5:$R$1004,Schnittplan!$B$5:$B$1004,Auftrag!$D459,Schnittplan!$C$5:$C$1004,Auftrag!$E459,Schnittplan!$D$5:$D$1004,Auftrag!$Q459))</f>
        <v/>
      </c>
      <c r="E459" s="32">
        <f>IF($A459="","",IFERROR(N(Auftrag!$P459)/SUMIFS(Auftrag!$P$13:$P$512,Auftrag!$D$13:$D$512,Auftrag!$D459,Auftrag!$E$13:$E$512,Auftrag!$E459,Auftrag!$Q$13:$Q$512,Auftrag!$Q459),0))</f>
        <v/>
      </c>
      <c r="F459" s="33">
        <f>IF($A459="","",IF($C459=0,0,$D459*$E459/$C459))</f>
        <v/>
      </c>
      <c r="G459" s="34">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5">
        <f>IF($A459="","",IF($H459="","",60*((N(Auftrag!$H459)-N(Auftrag!$AI459)-N(Auftrag!$AK459))/$H459+N(Auftrag!$AI459)/$J459+N(Auftrag!$AK459)/$I459+N(Auftrag!$AD459)/$K459)+N(Auftrag!$I459)*$L459))</f>
        <v/>
      </c>
      <c r="N459" s="35">
        <f>IF($A459="","",IF(OR($H459="",$C459=0),0,(60*SUMIFS(Stangenbelegung!$K$5:$K$10004,Stangenbelegung!$E$5:$E$10004,ROW())/$H459+SUMIFS(Stangenbelegung!$L$5:$L$10004,Stangenbelegung!$E$5:$E$10004,ROW())*$L459)/$C459))</f>
        <v/>
      </c>
      <c r="O459" s="35">
        <f>IF($A459="","",IF($M459="","",MAX(0,$M459-$N459)))</f>
        <v/>
      </c>
      <c r="P459" s="35">
        <f>IF($A459="","",IFERROR(SUMPRODUCT(--("0"&amp;TRIM(RIGHT(SUBSTITUTE(LEFT(";"&amp;SUBSTITUTE(UPPER(Auftrag!$AG459)," ","")&amp;";"&amp;"X"&amp;UPPER(Gewinde!$A$5:$A$54)&amp;";",SEARCH("X"&amp;UPPER(Gewinde!$A$5:$A$54)&amp;";",";"&amp;SUBSTITUTE(UPPER(Auftrag!$AG459)," ","")&amp;";"&amp;"X"&amp;UPPER(Gewinde!$A$5:$A$54)&amp;";")-1),";",REPT(" ",50)),50))),Gewinde!$C$5:$C$54),0))</f>
        <v/>
      </c>
      <c r="Q459" s="33">
        <f>IF($A459="","",(N($O459)+$P459)/3600*N(Auftrag!$H$8))</f>
        <v/>
      </c>
      <c r="R459" s="33">
        <f>IF($A459="","",IF($F$8=0,0,$F$7/$F$8))</f>
        <v/>
      </c>
      <c r="S459" s="33">
        <f>IF($A459="","",$F459*(1+$C$4)+($Q459+$R459)*(1+$C$5))</f>
        <v/>
      </c>
      <c r="T459" s="33">
        <f>IF($A459="","",$S459*(1+$C$6))</f>
        <v/>
      </c>
      <c r="U459" s="18">
        <f>IF($A459="","",$T459*$C459)</f>
        <v/>
      </c>
      <c r="V459" s="18">
        <f>IF($A459="","",$S459*$C459)</f>
        <v/>
      </c>
      <c r="W459" s="28">
        <f>IF($A459="","",IF(N(Auftrag!$AO459)&gt;0,"nicht vollständig eingeplant",IF($D459=0,"kein Schnittplan oder Preis",IF($H459="","keine Schneiddaten",IF(AND(Auftrag!$AF459&lt;&gt;"",Auftrag!$AG459=""),"Gewinde ungeprüft","")))))</f>
        <v/>
      </c>
      <c r="X459" s="18">
        <f>IF($A459="","",$F459*$C459)</f>
        <v/>
      </c>
      <c r="Y459" s="18">
        <f>IF($A459="","",$Q459*$C459)</f>
        <v/>
      </c>
    </row>
    <row r="460">
      <c r="A460" s="25">
        <f>IF(Auftrag!$D460="","",Auftrag!$A460)</f>
        <v/>
      </c>
      <c r="B460" s="25">
        <f>IF($A460="","",Auftrag!$B460)</f>
        <v/>
      </c>
      <c r="C460" s="15">
        <f>IF($A460="","",N(Auftrag!$G460))</f>
        <v/>
      </c>
      <c r="D460" s="18">
        <f>IF($A460="","",SUMIFS(Schnittplan!$R$5:$R$1004,Schnittplan!$B$5:$B$1004,Auftrag!$D460,Schnittplan!$C$5:$C$1004,Auftrag!$E460,Schnittplan!$D$5:$D$1004,Auftrag!$Q460))</f>
        <v/>
      </c>
      <c r="E460" s="32">
        <f>IF($A460="","",IFERROR(N(Auftrag!$P460)/SUMIFS(Auftrag!$P$13:$P$512,Auftrag!$D$13:$D$512,Auftrag!$D460,Auftrag!$E$13:$E$512,Auftrag!$E460,Auftrag!$Q$13:$Q$512,Auftrag!$Q460),0))</f>
        <v/>
      </c>
      <c r="F460" s="33">
        <f>IF($A460="","",IF($C460=0,0,$D460*$E460/$C460))</f>
        <v/>
      </c>
      <c r="G460" s="34">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5">
        <f>IF($A460="","",IF($H460="","",60*((N(Auftrag!$H460)-N(Auftrag!$AI460)-N(Auftrag!$AK460))/$H460+N(Auftrag!$AI460)/$J460+N(Auftrag!$AK460)/$I460+N(Auftrag!$AD460)/$K460)+N(Auftrag!$I460)*$L460))</f>
        <v/>
      </c>
      <c r="N460" s="35">
        <f>IF($A460="","",IF(OR($H460="",$C460=0),0,(60*SUMIFS(Stangenbelegung!$K$5:$K$10004,Stangenbelegung!$E$5:$E$10004,ROW())/$H460+SUMIFS(Stangenbelegung!$L$5:$L$10004,Stangenbelegung!$E$5:$E$10004,ROW())*$L460)/$C460))</f>
        <v/>
      </c>
      <c r="O460" s="35">
        <f>IF($A460="","",IF($M460="","",MAX(0,$M460-$N460)))</f>
        <v/>
      </c>
      <c r="P460" s="35">
        <f>IF($A460="","",IFERROR(SUMPRODUCT(--("0"&amp;TRIM(RIGHT(SUBSTITUTE(LEFT(";"&amp;SUBSTITUTE(UPPER(Auftrag!$AG460)," ","")&amp;";"&amp;"X"&amp;UPPER(Gewinde!$A$5:$A$54)&amp;";",SEARCH("X"&amp;UPPER(Gewinde!$A$5:$A$54)&amp;";",";"&amp;SUBSTITUTE(UPPER(Auftrag!$AG460)," ","")&amp;";"&amp;"X"&amp;UPPER(Gewinde!$A$5:$A$54)&amp;";")-1),";",REPT(" ",50)),50))),Gewinde!$C$5:$C$54),0))</f>
        <v/>
      </c>
      <c r="Q460" s="33">
        <f>IF($A460="","",(N($O460)+$P460)/3600*N(Auftrag!$H$8))</f>
        <v/>
      </c>
      <c r="R460" s="33">
        <f>IF($A460="","",IF($F$8=0,0,$F$7/$F$8))</f>
        <v/>
      </c>
      <c r="S460" s="33">
        <f>IF($A460="","",$F460*(1+$C$4)+($Q460+$R460)*(1+$C$5))</f>
        <v/>
      </c>
      <c r="T460" s="33">
        <f>IF($A460="","",$S460*(1+$C$6))</f>
        <v/>
      </c>
      <c r="U460" s="18">
        <f>IF($A460="","",$T460*$C460)</f>
        <v/>
      </c>
      <c r="V460" s="18">
        <f>IF($A460="","",$S460*$C460)</f>
        <v/>
      </c>
      <c r="W460" s="28">
        <f>IF($A460="","",IF(N(Auftrag!$AO460)&gt;0,"nicht vollständig eingeplant",IF($D460=0,"kein Schnittplan oder Preis",IF($H460="","keine Schneiddaten",IF(AND(Auftrag!$AF460&lt;&gt;"",Auftrag!$AG460=""),"Gewinde ungeprüft","")))))</f>
        <v/>
      </c>
      <c r="X460" s="18">
        <f>IF($A460="","",$F460*$C460)</f>
        <v/>
      </c>
      <c r="Y460" s="18">
        <f>IF($A460="","",$Q460*$C460)</f>
        <v/>
      </c>
    </row>
    <row r="461">
      <c r="A461" s="25">
        <f>IF(Auftrag!$D461="","",Auftrag!$A461)</f>
        <v/>
      </c>
      <c r="B461" s="25">
        <f>IF($A461="","",Auftrag!$B461)</f>
        <v/>
      </c>
      <c r="C461" s="15">
        <f>IF($A461="","",N(Auftrag!$G461))</f>
        <v/>
      </c>
      <c r="D461" s="18">
        <f>IF($A461="","",SUMIFS(Schnittplan!$R$5:$R$1004,Schnittplan!$B$5:$B$1004,Auftrag!$D461,Schnittplan!$C$5:$C$1004,Auftrag!$E461,Schnittplan!$D$5:$D$1004,Auftrag!$Q461))</f>
        <v/>
      </c>
      <c r="E461" s="32">
        <f>IF($A461="","",IFERROR(N(Auftrag!$P461)/SUMIFS(Auftrag!$P$13:$P$512,Auftrag!$D$13:$D$512,Auftrag!$D461,Auftrag!$E$13:$E$512,Auftrag!$E461,Auftrag!$Q$13:$Q$512,Auftrag!$Q461),0))</f>
        <v/>
      </c>
      <c r="F461" s="33">
        <f>IF($A461="","",IF($C461=0,0,$D461*$E461/$C461))</f>
        <v/>
      </c>
      <c r="G461" s="34">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5">
        <f>IF($A461="","",IF($H461="","",60*((N(Auftrag!$H461)-N(Auftrag!$AI461)-N(Auftrag!$AK461))/$H461+N(Auftrag!$AI461)/$J461+N(Auftrag!$AK461)/$I461+N(Auftrag!$AD461)/$K461)+N(Auftrag!$I461)*$L461))</f>
        <v/>
      </c>
      <c r="N461" s="35">
        <f>IF($A461="","",IF(OR($H461="",$C461=0),0,(60*SUMIFS(Stangenbelegung!$K$5:$K$10004,Stangenbelegung!$E$5:$E$10004,ROW())/$H461+SUMIFS(Stangenbelegung!$L$5:$L$10004,Stangenbelegung!$E$5:$E$10004,ROW())*$L461)/$C461))</f>
        <v/>
      </c>
      <c r="O461" s="35">
        <f>IF($A461="","",IF($M461="","",MAX(0,$M461-$N461)))</f>
        <v/>
      </c>
      <c r="P461" s="35">
        <f>IF($A461="","",IFERROR(SUMPRODUCT(--("0"&amp;TRIM(RIGHT(SUBSTITUTE(LEFT(";"&amp;SUBSTITUTE(UPPER(Auftrag!$AG461)," ","")&amp;";"&amp;"X"&amp;UPPER(Gewinde!$A$5:$A$54)&amp;";",SEARCH("X"&amp;UPPER(Gewinde!$A$5:$A$54)&amp;";",";"&amp;SUBSTITUTE(UPPER(Auftrag!$AG461)," ","")&amp;";"&amp;"X"&amp;UPPER(Gewinde!$A$5:$A$54)&amp;";")-1),";",REPT(" ",50)),50))),Gewinde!$C$5:$C$54),0))</f>
        <v/>
      </c>
      <c r="Q461" s="33">
        <f>IF($A461="","",(N($O461)+$P461)/3600*N(Auftrag!$H$8))</f>
        <v/>
      </c>
      <c r="R461" s="33">
        <f>IF($A461="","",IF($F$8=0,0,$F$7/$F$8))</f>
        <v/>
      </c>
      <c r="S461" s="33">
        <f>IF($A461="","",$F461*(1+$C$4)+($Q461+$R461)*(1+$C$5))</f>
        <v/>
      </c>
      <c r="T461" s="33">
        <f>IF($A461="","",$S461*(1+$C$6))</f>
        <v/>
      </c>
      <c r="U461" s="18">
        <f>IF($A461="","",$T461*$C461)</f>
        <v/>
      </c>
      <c r="V461" s="18">
        <f>IF($A461="","",$S461*$C461)</f>
        <v/>
      </c>
      <c r="W461" s="28">
        <f>IF($A461="","",IF(N(Auftrag!$AO461)&gt;0,"nicht vollständig eingeplant",IF($D461=0,"kein Schnittplan oder Preis",IF($H461="","keine Schneiddaten",IF(AND(Auftrag!$AF461&lt;&gt;"",Auftrag!$AG461=""),"Gewinde ungeprüft","")))))</f>
        <v/>
      </c>
      <c r="X461" s="18">
        <f>IF($A461="","",$F461*$C461)</f>
        <v/>
      </c>
      <c r="Y461" s="18">
        <f>IF($A461="","",$Q461*$C461)</f>
        <v/>
      </c>
    </row>
    <row r="462">
      <c r="A462" s="25">
        <f>IF(Auftrag!$D462="","",Auftrag!$A462)</f>
        <v/>
      </c>
      <c r="B462" s="25">
        <f>IF($A462="","",Auftrag!$B462)</f>
        <v/>
      </c>
      <c r="C462" s="15">
        <f>IF($A462="","",N(Auftrag!$G462))</f>
        <v/>
      </c>
      <c r="D462" s="18">
        <f>IF($A462="","",SUMIFS(Schnittplan!$R$5:$R$1004,Schnittplan!$B$5:$B$1004,Auftrag!$D462,Schnittplan!$C$5:$C$1004,Auftrag!$E462,Schnittplan!$D$5:$D$1004,Auftrag!$Q462))</f>
        <v/>
      </c>
      <c r="E462" s="32">
        <f>IF($A462="","",IFERROR(N(Auftrag!$P462)/SUMIFS(Auftrag!$P$13:$P$512,Auftrag!$D$13:$D$512,Auftrag!$D462,Auftrag!$E$13:$E$512,Auftrag!$E462,Auftrag!$Q$13:$Q$512,Auftrag!$Q462),0))</f>
        <v/>
      </c>
      <c r="F462" s="33">
        <f>IF($A462="","",IF($C462=0,0,$D462*$E462/$C462))</f>
        <v/>
      </c>
      <c r="G462" s="34">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5">
        <f>IF($A462="","",IF($H462="","",60*((N(Auftrag!$H462)-N(Auftrag!$AI462)-N(Auftrag!$AK462))/$H462+N(Auftrag!$AI462)/$J462+N(Auftrag!$AK462)/$I462+N(Auftrag!$AD462)/$K462)+N(Auftrag!$I462)*$L462))</f>
        <v/>
      </c>
      <c r="N462" s="35">
        <f>IF($A462="","",IF(OR($H462="",$C462=0),0,(60*SUMIFS(Stangenbelegung!$K$5:$K$10004,Stangenbelegung!$E$5:$E$10004,ROW())/$H462+SUMIFS(Stangenbelegung!$L$5:$L$10004,Stangenbelegung!$E$5:$E$10004,ROW())*$L462)/$C462))</f>
        <v/>
      </c>
      <c r="O462" s="35">
        <f>IF($A462="","",IF($M462="","",MAX(0,$M462-$N462)))</f>
        <v/>
      </c>
      <c r="P462" s="35">
        <f>IF($A462="","",IFERROR(SUMPRODUCT(--("0"&amp;TRIM(RIGHT(SUBSTITUTE(LEFT(";"&amp;SUBSTITUTE(UPPER(Auftrag!$AG462)," ","")&amp;";"&amp;"X"&amp;UPPER(Gewinde!$A$5:$A$54)&amp;";",SEARCH("X"&amp;UPPER(Gewinde!$A$5:$A$54)&amp;";",";"&amp;SUBSTITUTE(UPPER(Auftrag!$AG462)," ","")&amp;";"&amp;"X"&amp;UPPER(Gewinde!$A$5:$A$54)&amp;";")-1),";",REPT(" ",50)),50))),Gewinde!$C$5:$C$54),0))</f>
        <v/>
      </c>
      <c r="Q462" s="33">
        <f>IF($A462="","",(N($O462)+$P462)/3600*N(Auftrag!$H$8))</f>
        <v/>
      </c>
      <c r="R462" s="33">
        <f>IF($A462="","",IF($F$8=0,0,$F$7/$F$8))</f>
        <v/>
      </c>
      <c r="S462" s="33">
        <f>IF($A462="","",$F462*(1+$C$4)+($Q462+$R462)*(1+$C$5))</f>
        <v/>
      </c>
      <c r="T462" s="33">
        <f>IF($A462="","",$S462*(1+$C$6))</f>
        <v/>
      </c>
      <c r="U462" s="18">
        <f>IF($A462="","",$T462*$C462)</f>
        <v/>
      </c>
      <c r="V462" s="18">
        <f>IF($A462="","",$S462*$C462)</f>
        <v/>
      </c>
      <c r="W462" s="28">
        <f>IF($A462="","",IF(N(Auftrag!$AO462)&gt;0,"nicht vollständig eingeplant",IF($D462=0,"kein Schnittplan oder Preis",IF($H462="","keine Schneiddaten",IF(AND(Auftrag!$AF462&lt;&gt;"",Auftrag!$AG462=""),"Gewinde ungeprüft","")))))</f>
        <v/>
      </c>
      <c r="X462" s="18">
        <f>IF($A462="","",$F462*$C462)</f>
        <v/>
      </c>
      <c r="Y462" s="18">
        <f>IF($A462="","",$Q462*$C462)</f>
        <v/>
      </c>
    </row>
    <row r="463">
      <c r="A463" s="25">
        <f>IF(Auftrag!$D463="","",Auftrag!$A463)</f>
        <v/>
      </c>
      <c r="B463" s="25">
        <f>IF($A463="","",Auftrag!$B463)</f>
        <v/>
      </c>
      <c r="C463" s="15">
        <f>IF($A463="","",N(Auftrag!$G463))</f>
        <v/>
      </c>
      <c r="D463" s="18">
        <f>IF($A463="","",SUMIFS(Schnittplan!$R$5:$R$1004,Schnittplan!$B$5:$B$1004,Auftrag!$D463,Schnittplan!$C$5:$C$1004,Auftrag!$E463,Schnittplan!$D$5:$D$1004,Auftrag!$Q463))</f>
        <v/>
      </c>
      <c r="E463" s="32">
        <f>IF($A463="","",IFERROR(N(Auftrag!$P463)/SUMIFS(Auftrag!$P$13:$P$512,Auftrag!$D$13:$D$512,Auftrag!$D463,Auftrag!$E$13:$E$512,Auftrag!$E463,Auftrag!$Q$13:$Q$512,Auftrag!$Q463),0))</f>
        <v/>
      </c>
      <c r="F463" s="33">
        <f>IF($A463="","",IF($C463=0,0,$D463*$E463/$C463))</f>
        <v/>
      </c>
      <c r="G463" s="34">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5">
        <f>IF($A463="","",IF($H463="","",60*((N(Auftrag!$H463)-N(Auftrag!$AI463)-N(Auftrag!$AK463))/$H463+N(Auftrag!$AI463)/$J463+N(Auftrag!$AK463)/$I463+N(Auftrag!$AD463)/$K463)+N(Auftrag!$I463)*$L463))</f>
        <v/>
      </c>
      <c r="N463" s="35">
        <f>IF($A463="","",IF(OR($H463="",$C463=0),0,(60*SUMIFS(Stangenbelegung!$K$5:$K$10004,Stangenbelegung!$E$5:$E$10004,ROW())/$H463+SUMIFS(Stangenbelegung!$L$5:$L$10004,Stangenbelegung!$E$5:$E$10004,ROW())*$L463)/$C463))</f>
        <v/>
      </c>
      <c r="O463" s="35">
        <f>IF($A463="","",IF($M463="","",MAX(0,$M463-$N463)))</f>
        <v/>
      </c>
      <c r="P463" s="35">
        <f>IF($A463="","",IFERROR(SUMPRODUCT(--("0"&amp;TRIM(RIGHT(SUBSTITUTE(LEFT(";"&amp;SUBSTITUTE(UPPER(Auftrag!$AG463)," ","")&amp;";"&amp;"X"&amp;UPPER(Gewinde!$A$5:$A$54)&amp;";",SEARCH("X"&amp;UPPER(Gewinde!$A$5:$A$54)&amp;";",";"&amp;SUBSTITUTE(UPPER(Auftrag!$AG463)," ","")&amp;";"&amp;"X"&amp;UPPER(Gewinde!$A$5:$A$54)&amp;";")-1),";",REPT(" ",50)),50))),Gewinde!$C$5:$C$54),0))</f>
        <v/>
      </c>
      <c r="Q463" s="33">
        <f>IF($A463="","",(N($O463)+$P463)/3600*N(Auftrag!$H$8))</f>
        <v/>
      </c>
      <c r="R463" s="33">
        <f>IF($A463="","",IF($F$8=0,0,$F$7/$F$8))</f>
        <v/>
      </c>
      <c r="S463" s="33">
        <f>IF($A463="","",$F463*(1+$C$4)+($Q463+$R463)*(1+$C$5))</f>
        <v/>
      </c>
      <c r="T463" s="33">
        <f>IF($A463="","",$S463*(1+$C$6))</f>
        <v/>
      </c>
      <c r="U463" s="18">
        <f>IF($A463="","",$T463*$C463)</f>
        <v/>
      </c>
      <c r="V463" s="18">
        <f>IF($A463="","",$S463*$C463)</f>
        <v/>
      </c>
      <c r="W463" s="28">
        <f>IF($A463="","",IF(N(Auftrag!$AO463)&gt;0,"nicht vollständig eingeplant",IF($D463=0,"kein Schnittplan oder Preis",IF($H463="","keine Schneiddaten",IF(AND(Auftrag!$AF463&lt;&gt;"",Auftrag!$AG463=""),"Gewinde ungeprüft","")))))</f>
        <v/>
      </c>
      <c r="X463" s="18">
        <f>IF($A463="","",$F463*$C463)</f>
        <v/>
      </c>
      <c r="Y463" s="18">
        <f>IF($A463="","",$Q463*$C463)</f>
        <v/>
      </c>
    </row>
    <row r="464">
      <c r="A464" s="25">
        <f>IF(Auftrag!$D464="","",Auftrag!$A464)</f>
        <v/>
      </c>
      <c r="B464" s="25">
        <f>IF($A464="","",Auftrag!$B464)</f>
        <v/>
      </c>
      <c r="C464" s="15">
        <f>IF($A464="","",N(Auftrag!$G464))</f>
        <v/>
      </c>
      <c r="D464" s="18">
        <f>IF($A464="","",SUMIFS(Schnittplan!$R$5:$R$1004,Schnittplan!$B$5:$B$1004,Auftrag!$D464,Schnittplan!$C$5:$C$1004,Auftrag!$E464,Schnittplan!$D$5:$D$1004,Auftrag!$Q464))</f>
        <v/>
      </c>
      <c r="E464" s="32">
        <f>IF($A464="","",IFERROR(N(Auftrag!$P464)/SUMIFS(Auftrag!$P$13:$P$512,Auftrag!$D$13:$D$512,Auftrag!$D464,Auftrag!$E$13:$E$512,Auftrag!$E464,Auftrag!$Q$13:$Q$512,Auftrag!$Q464),0))</f>
        <v/>
      </c>
      <c r="F464" s="33">
        <f>IF($A464="","",IF($C464=0,0,$D464*$E464/$C464))</f>
        <v/>
      </c>
      <c r="G464" s="34">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5">
        <f>IF($A464="","",IF($H464="","",60*((N(Auftrag!$H464)-N(Auftrag!$AI464)-N(Auftrag!$AK464))/$H464+N(Auftrag!$AI464)/$J464+N(Auftrag!$AK464)/$I464+N(Auftrag!$AD464)/$K464)+N(Auftrag!$I464)*$L464))</f>
        <v/>
      </c>
      <c r="N464" s="35">
        <f>IF($A464="","",IF(OR($H464="",$C464=0),0,(60*SUMIFS(Stangenbelegung!$K$5:$K$10004,Stangenbelegung!$E$5:$E$10004,ROW())/$H464+SUMIFS(Stangenbelegung!$L$5:$L$10004,Stangenbelegung!$E$5:$E$10004,ROW())*$L464)/$C464))</f>
        <v/>
      </c>
      <c r="O464" s="35">
        <f>IF($A464="","",IF($M464="","",MAX(0,$M464-$N464)))</f>
        <v/>
      </c>
      <c r="P464" s="35">
        <f>IF($A464="","",IFERROR(SUMPRODUCT(--("0"&amp;TRIM(RIGHT(SUBSTITUTE(LEFT(";"&amp;SUBSTITUTE(UPPER(Auftrag!$AG464)," ","")&amp;";"&amp;"X"&amp;UPPER(Gewinde!$A$5:$A$54)&amp;";",SEARCH("X"&amp;UPPER(Gewinde!$A$5:$A$54)&amp;";",";"&amp;SUBSTITUTE(UPPER(Auftrag!$AG464)," ","")&amp;";"&amp;"X"&amp;UPPER(Gewinde!$A$5:$A$54)&amp;";")-1),";",REPT(" ",50)),50))),Gewinde!$C$5:$C$54),0))</f>
        <v/>
      </c>
      <c r="Q464" s="33">
        <f>IF($A464="","",(N($O464)+$P464)/3600*N(Auftrag!$H$8))</f>
        <v/>
      </c>
      <c r="R464" s="33">
        <f>IF($A464="","",IF($F$8=0,0,$F$7/$F$8))</f>
        <v/>
      </c>
      <c r="S464" s="33">
        <f>IF($A464="","",$F464*(1+$C$4)+($Q464+$R464)*(1+$C$5))</f>
        <v/>
      </c>
      <c r="T464" s="33">
        <f>IF($A464="","",$S464*(1+$C$6))</f>
        <v/>
      </c>
      <c r="U464" s="18">
        <f>IF($A464="","",$T464*$C464)</f>
        <v/>
      </c>
      <c r="V464" s="18">
        <f>IF($A464="","",$S464*$C464)</f>
        <v/>
      </c>
      <c r="W464" s="28">
        <f>IF($A464="","",IF(N(Auftrag!$AO464)&gt;0,"nicht vollständig eingeplant",IF($D464=0,"kein Schnittplan oder Preis",IF($H464="","keine Schneiddaten",IF(AND(Auftrag!$AF464&lt;&gt;"",Auftrag!$AG464=""),"Gewinde ungeprüft","")))))</f>
        <v/>
      </c>
      <c r="X464" s="18">
        <f>IF($A464="","",$F464*$C464)</f>
        <v/>
      </c>
      <c r="Y464" s="18">
        <f>IF($A464="","",$Q464*$C464)</f>
        <v/>
      </c>
    </row>
    <row r="465">
      <c r="A465" s="25">
        <f>IF(Auftrag!$D465="","",Auftrag!$A465)</f>
        <v/>
      </c>
      <c r="B465" s="25">
        <f>IF($A465="","",Auftrag!$B465)</f>
        <v/>
      </c>
      <c r="C465" s="15">
        <f>IF($A465="","",N(Auftrag!$G465))</f>
        <v/>
      </c>
      <c r="D465" s="18">
        <f>IF($A465="","",SUMIFS(Schnittplan!$R$5:$R$1004,Schnittplan!$B$5:$B$1004,Auftrag!$D465,Schnittplan!$C$5:$C$1004,Auftrag!$E465,Schnittplan!$D$5:$D$1004,Auftrag!$Q465))</f>
        <v/>
      </c>
      <c r="E465" s="32">
        <f>IF($A465="","",IFERROR(N(Auftrag!$P465)/SUMIFS(Auftrag!$P$13:$P$512,Auftrag!$D$13:$D$512,Auftrag!$D465,Auftrag!$E$13:$E$512,Auftrag!$E465,Auftrag!$Q$13:$Q$512,Auftrag!$Q465),0))</f>
        <v/>
      </c>
      <c r="F465" s="33">
        <f>IF($A465="","",IF($C465=0,0,$D465*$E465/$C465))</f>
        <v/>
      </c>
      <c r="G465" s="34">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5">
        <f>IF($A465="","",IF($H465="","",60*((N(Auftrag!$H465)-N(Auftrag!$AI465)-N(Auftrag!$AK465))/$H465+N(Auftrag!$AI465)/$J465+N(Auftrag!$AK465)/$I465+N(Auftrag!$AD465)/$K465)+N(Auftrag!$I465)*$L465))</f>
        <v/>
      </c>
      <c r="N465" s="35">
        <f>IF($A465="","",IF(OR($H465="",$C465=0),0,(60*SUMIFS(Stangenbelegung!$K$5:$K$10004,Stangenbelegung!$E$5:$E$10004,ROW())/$H465+SUMIFS(Stangenbelegung!$L$5:$L$10004,Stangenbelegung!$E$5:$E$10004,ROW())*$L465)/$C465))</f>
        <v/>
      </c>
      <c r="O465" s="35">
        <f>IF($A465="","",IF($M465="","",MAX(0,$M465-$N465)))</f>
        <v/>
      </c>
      <c r="P465" s="35">
        <f>IF($A465="","",IFERROR(SUMPRODUCT(--("0"&amp;TRIM(RIGHT(SUBSTITUTE(LEFT(";"&amp;SUBSTITUTE(UPPER(Auftrag!$AG465)," ","")&amp;";"&amp;"X"&amp;UPPER(Gewinde!$A$5:$A$54)&amp;";",SEARCH("X"&amp;UPPER(Gewinde!$A$5:$A$54)&amp;";",";"&amp;SUBSTITUTE(UPPER(Auftrag!$AG465)," ","")&amp;";"&amp;"X"&amp;UPPER(Gewinde!$A$5:$A$54)&amp;";")-1),";",REPT(" ",50)),50))),Gewinde!$C$5:$C$54),0))</f>
        <v/>
      </c>
      <c r="Q465" s="33">
        <f>IF($A465="","",(N($O465)+$P465)/3600*N(Auftrag!$H$8))</f>
        <v/>
      </c>
      <c r="R465" s="33">
        <f>IF($A465="","",IF($F$8=0,0,$F$7/$F$8))</f>
        <v/>
      </c>
      <c r="S465" s="33">
        <f>IF($A465="","",$F465*(1+$C$4)+($Q465+$R465)*(1+$C$5))</f>
        <v/>
      </c>
      <c r="T465" s="33">
        <f>IF($A465="","",$S465*(1+$C$6))</f>
        <v/>
      </c>
      <c r="U465" s="18">
        <f>IF($A465="","",$T465*$C465)</f>
        <v/>
      </c>
      <c r="V465" s="18">
        <f>IF($A465="","",$S465*$C465)</f>
        <v/>
      </c>
      <c r="W465" s="28">
        <f>IF($A465="","",IF(N(Auftrag!$AO465)&gt;0,"nicht vollständig eingeplant",IF($D465=0,"kein Schnittplan oder Preis",IF($H465="","keine Schneiddaten",IF(AND(Auftrag!$AF465&lt;&gt;"",Auftrag!$AG465=""),"Gewinde ungeprüft","")))))</f>
        <v/>
      </c>
      <c r="X465" s="18">
        <f>IF($A465="","",$F465*$C465)</f>
        <v/>
      </c>
      <c r="Y465" s="18">
        <f>IF($A465="","",$Q465*$C465)</f>
        <v/>
      </c>
    </row>
    <row r="466">
      <c r="A466" s="25">
        <f>IF(Auftrag!$D466="","",Auftrag!$A466)</f>
        <v/>
      </c>
      <c r="B466" s="25">
        <f>IF($A466="","",Auftrag!$B466)</f>
        <v/>
      </c>
      <c r="C466" s="15">
        <f>IF($A466="","",N(Auftrag!$G466))</f>
        <v/>
      </c>
      <c r="D466" s="18">
        <f>IF($A466="","",SUMIFS(Schnittplan!$R$5:$R$1004,Schnittplan!$B$5:$B$1004,Auftrag!$D466,Schnittplan!$C$5:$C$1004,Auftrag!$E466,Schnittplan!$D$5:$D$1004,Auftrag!$Q466))</f>
        <v/>
      </c>
      <c r="E466" s="32">
        <f>IF($A466="","",IFERROR(N(Auftrag!$P466)/SUMIFS(Auftrag!$P$13:$P$512,Auftrag!$D$13:$D$512,Auftrag!$D466,Auftrag!$E$13:$E$512,Auftrag!$E466,Auftrag!$Q$13:$Q$512,Auftrag!$Q466),0))</f>
        <v/>
      </c>
      <c r="F466" s="33">
        <f>IF($A466="","",IF($C466=0,0,$D466*$E466/$C466))</f>
        <v/>
      </c>
      <c r="G466" s="34">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5">
        <f>IF($A466="","",IF($H466="","",60*((N(Auftrag!$H466)-N(Auftrag!$AI466)-N(Auftrag!$AK466))/$H466+N(Auftrag!$AI466)/$J466+N(Auftrag!$AK466)/$I466+N(Auftrag!$AD466)/$K466)+N(Auftrag!$I466)*$L466))</f>
        <v/>
      </c>
      <c r="N466" s="35">
        <f>IF($A466="","",IF(OR($H466="",$C466=0),0,(60*SUMIFS(Stangenbelegung!$K$5:$K$10004,Stangenbelegung!$E$5:$E$10004,ROW())/$H466+SUMIFS(Stangenbelegung!$L$5:$L$10004,Stangenbelegung!$E$5:$E$10004,ROW())*$L466)/$C466))</f>
        <v/>
      </c>
      <c r="O466" s="35">
        <f>IF($A466="","",IF($M466="","",MAX(0,$M466-$N466)))</f>
        <v/>
      </c>
      <c r="P466" s="35">
        <f>IF($A466="","",IFERROR(SUMPRODUCT(--("0"&amp;TRIM(RIGHT(SUBSTITUTE(LEFT(";"&amp;SUBSTITUTE(UPPER(Auftrag!$AG466)," ","")&amp;";"&amp;"X"&amp;UPPER(Gewinde!$A$5:$A$54)&amp;";",SEARCH("X"&amp;UPPER(Gewinde!$A$5:$A$54)&amp;";",";"&amp;SUBSTITUTE(UPPER(Auftrag!$AG466)," ","")&amp;";"&amp;"X"&amp;UPPER(Gewinde!$A$5:$A$54)&amp;";")-1),";",REPT(" ",50)),50))),Gewinde!$C$5:$C$54),0))</f>
        <v/>
      </c>
      <c r="Q466" s="33">
        <f>IF($A466="","",(N($O466)+$P466)/3600*N(Auftrag!$H$8))</f>
        <v/>
      </c>
      <c r="R466" s="33">
        <f>IF($A466="","",IF($F$8=0,0,$F$7/$F$8))</f>
        <v/>
      </c>
      <c r="S466" s="33">
        <f>IF($A466="","",$F466*(1+$C$4)+($Q466+$R466)*(1+$C$5))</f>
        <v/>
      </c>
      <c r="T466" s="33">
        <f>IF($A466="","",$S466*(1+$C$6))</f>
        <v/>
      </c>
      <c r="U466" s="18">
        <f>IF($A466="","",$T466*$C466)</f>
        <v/>
      </c>
      <c r="V466" s="18">
        <f>IF($A466="","",$S466*$C466)</f>
        <v/>
      </c>
      <c r="W466" s="28">
        <f>IF($A466="","",IF(N(Auftrag!$AO466)&gt;0,"nicht vollständig eingeplant",IF($D466=0,"kein Schnittplan oder Preis",IF($H466="","keine Schneiddaten",IF(AND(Auftrag!$AF466&lt;&gt;"",Auftrag!$AG466=""),"Gewinde ungeprüft","")))))</f>
        <v/>
      </c>
      <c r="X466" s="18">
        <f>IF($A466="","",$F466*$C466)</f>
        <v/>
      </c>
      <c r="Y466" s="18">
        <f>IF($A466="","",$Q466*$C466)</f>
        <v/>
      </c>
    </row>
    <row r="467">
      <c r="A467" s="25">
        <f>IF(Auftrag!$D467="","",Auftrag!$A467)</f>
        <v/>
      </c>
      <c r="B467" s="25">
        <f>IF($A467="","",Auftrag!$B467)</f>
        <v/>
      </c>
      <c r="C467" s="15">
        <f>IF($A467="","",N(Auftrag!$G467))</f>
        <v/>
      </c>
      <c r="D467" s="18">
        <f>IF($A467="","",SUMIFS(Schnittplan!$R$5:$R$1004,Schnittplan!$B$5:$B$1004,Auftrag!$D467,Schnittplan!$C$5:$C$1004,Auftrag!$E467,Schnittplan!$D$5:$D$1004,Auftrag!$Q467))</f>
        <v/>
      </c>
      <c r="E467" s="32">
        <f>IF($A467="","",IFERROR(N(Auftrag!$P467)/SUMIFS(Auftrag!$P$13:$P$512,Auftrag!$D$13:$D$512,Auftrag!$D467,Auftrag!$E$13:$E$512,Auftrag!$E467,Auftrag!$Q$13:$Q$512,Auftrag!$Q467),0))</f>
        <v/>
      </c>
      <c r="F467" s="33">
        <f>IF($A467="","",IF($C467=0,0,$D467*$E467/$C467))</f>
        <v/>
      </c>
      <c r="G467" s="34">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5">
        <f>IF($A467="","",IF($H467="","",60*((N(Auftrag!$H467)-N(Auftrag!$AI467)-N(Auftrag!$AK467))/$H467+N(Auftrag!$AI467)/$J467+N(Auftrag!$AK467)/$I467+N(Auftrag!$AD467)/$K467)+N(Auftrag!$I467)*$L467))</f>
        <v/>
      </c>
      <c r="N467" s="35">
        <f>IF($A467="","",IF(OR($H467="",$C467=0),0,(60*SUMIFS(Stangenbelegung!$K$5:$K$10004,Stangenbelegung!$E$5:$E$10004,ROW())/$H467+SUMIFS(Stangenbelegung!$L$5:$L$10004,Stangenbelegung!$E$5:$E$10004,ROW())*$L467)/$C467))</f>
        <v/>
      </c>
      <c r="O467" s="35">
        <f>IF($A467="","",IF($M467="","",MAX(0,$M467-$N467)))</f>
        <v/>
      </c>
      <c r="P467" s="35">
        <f>IF($A467="","",IFERROR(SUMPRODUCT(--("0"&amp;TRIM(RIGHT(SUBSTITUTE(LEFT(";"&amp;SUBSTITUTE(UPPER(Auftrag!$AG467)," ","")&amp;";"&amp;"X"&amp;UPPER(Gewinde!$A$5:$A$54)&amp;";",SEARCH("X"&amp;UPPER(Gewinde!$A$5:$A$54)&amp;";",";"&amp;SUBSTITUTE(UPPER(Auftrag!$AG467)," ","")&amp;";"&amp;"X"&amp;UPPER(Gewinde!$A$5:$A$54)&amp;";")-1),";",REPT(" ",50)),50))),Gewinde!$C$5:$C$54),0))</f>
        <v/>
      </c>
      <c r="Q467" s="33">
        <f>IF($A467="","",(N($O467)+$P467)/3600*N(Auftrag!$H$8))</f>
        <v/>
      </c>
      <c r="R467" s="33">
        <f>IF($A467="","",IF($F$8=0,0,$F$7/$F$8))</f>
        <v/>
      </c>
      <c r="S467" s="33">
        <f>IF($A467="","",$F467*(1+$C$4)+($Q467+$R467)*(1+$C$5))</f>
        <v/>
      </c>
      <c r="T467" s="33">
        <f>IF($A467="","",$S467*(1+$C$6))</f>
        <v/>
      </c>
      <c r="U467" s="18">
        <f>IF($A467="","",$T467*$C467)</f>
        <v/>
      </c>
      <c r="V467" s="18">
        <f>IF($A467="","",$S467*$C467)</f>
        <v/>
      </c>
      <c r="W467" s="28">
        <f>IF($A467="","",IF(N(Auftrag!$AO467)&gt;0,"nicht vollständig eingeplant",IF($D467=0,"kein Schnittplan oder Preis",IF($H467="","keine Schneiddaten",IF(AND(Auftrag!$AF467&lt;&gt;"",Auftrag!$AG467=""),"Gewinde ungeprüft","")))))</f>
        <v/>
      </c>
      <c r="X467" s="18">
        <f>IF($A467="","",$F467*$C467)</f>
        <v/>
      </c>
      <c r="Y467" s="18">
        <f>IF($A467="","",$Q467*$C467)</f>
        <v/>
      </c>
    </row>
    <row r="468">
      <c r="A468" s="25">
        <f>IF(Auftrag!$D468="","",Auftrag!$A468)</f>
        <v/>
      </c>
      <c r="B468" s="25">
        <f>IF($A468="","",Auftrag!$B468)</f>
        <v/>
      </c>
      <c r="C468" s="15">
        <f>IF($A468="","",N(Auftrag!$G468))</f>
        <v/>
      </c>
      <c r="D468" s="18">
        <f>IF($A468="","",SUMIFS(Schnittplan!$R$5:$R$1004,Schnittplan!$B$5:$B$1004,Auftrag!$D468,Schnittplan!$C$5:$C$1004,Auftrag!$E468,Schnittplan!$D$5:$D$1004,Auftrag!$Q468))</f>
        <v/>
      </c>
      <c r="E468" s="32">
        <f>IF($A468="","",IFERROR(N(Auftrag!$P468)/SUMIFS(Auftrag!$P$13:$P$512,Auftrag!$D$13:$D$512,Auftrag!$D468,Auftrag!$E$13:$E$512,Auftrag!$E468,Auftrag!$Q$13:$Q$512,Auftrag!$Q468),0))</f>
        <v/>
      </c>
      <c r="F468" s="33">
        <f>IF($A468="","",IF($C468=0,0,$D468*$E468/$C468))</f>
        <v/>
      </c>
      <c r="G468" s="34">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5">
        <f>IF($A468="","",IF($H468="","",60*((N(Auftrag!$H468)-N(Auftrag!$AI468)-N(Auftrag!$AK468))/$H468+N(Auftrag!$AI468)/$J468+N(Auftrag!$AK468)/$I468+N(Auftrag!$AD468)/$K468)+N(Auftrag!$I468)*$L468))</f>
        <v/>
      </c>
      <c r="N468" s="35">
        <f>IF($A468="","",IF(OR($H468="",$C468=0),0,(60*SUMIFS(Stangenbelegung!$K$5:$K$10004,Stangenbelegung!$E$5:$E$10004,ROW())/$H468+SUMIFS(Stangenbelegung!$L$5:$L$10004,Stangenbelegung!$E$5:$E$10004,ROW())*$L468)/$C468))</f>
        <v/>
      </c>
      <c r="O468" s="35">
        <f>IF($A468="","",IF($M468="","",MAX(0,$M468-$N468)))</f>
        <v/>
      </c>
      <c r="P468" s="35">
        <f>IF($A468="","",IFERROR(SUMPRODUCT(--("0"&amp;TRIM(RIGHT(SUBSTITUTE(LEFT(";"&amp;SUBSTITUTE(UPPER(Auftrag!$AG468)," ","")&amp;";"&amp;"X"&amp;UPPER(Gewinde!$A$5:$A$54)&amp;";",SEARCH("X"&amp;UPPER(Gewinde!$A$5:$A$54)&amp;";",";"&amp;SUBSTITUTE(UPPER(Auftrag!$AG468)," ","")&amp;";"&amp;"X"&amp;UPPER(Gewinde!$A$5:$A$54)&amp;";")-1),";",REPT(" ",50)),50))),Gewinde!$C$5:$C$54),0))</f>
        <v/>
      </c>
      <c r="Q468" s="33">
        <f>IF($A468="","",(N($O468)+$P468)/3600*N(Auftrag!$H$8))</f>
        <v/>
      </c>
      <c r="R468" s="33">
        <f>IF($A468="","",IF($F$8=0,0,$F$7/$F$8))</f>
        <v/>
      </c>
      <c r="S468" s="33">
        <f>IF($A468="","",$F468*(1+$C$4)+($Q468+$R468)*(1+$C$5))</f>
        <v/>
      </c>
      <c r="T468" s="33">
        <f>IF($A468="","",$S468*(1+$C$6))</f>
        <v/>
      </c>
      <c r="U468" s="18">
        <f>IF($A468="","",$T468*$C468)</f>
        <v/>
      </c>
      <c r="V468" s="18">
        <f>IF($A468="","",$S468*$C468)</f>
        <v/>
      </c>
      <c r="W468" s="28">
        <f>IF($A468="","",IF(N(Auftrag!$AO468)&gt;0,"nicht vollständig eingeplant",IF($D468=0,"kein Schnittplan oder Preis",IF($H468="","keine Schneiddaten",IF(AND(Auftrag!$AF468&lt;&gt;"",Auftrag!$AG468=""),"Gewinde ungeprüft","")))))</f>
        <v/>
      </c>
      <c r="X468" s="18">
        <f>IF($A468="","",$F468*$C468)</f>
        <v/>
      </c>
      <c r="Y468" s="18">
        <f>IF($A468="","",$Q468*$C468)</f>
        <v/>
      </c>
    </row>
    <row r="469">
      <c r="A469" s="25">
        <f>IF(Auftrag!$D469="","",Auftrag!$A469)</f>
        <v/>
      </c>
      <c r="B469" s="25">
        <f>IF($A469="","",Auftrag!$B469)</f>
        <v/>
      </c>
      <c r="C469" s="15">
        <f>IF($A469="","",N(Auftrag!$G469))</f>
        <v/>
      </c>
      <c r="D469" s="18">
        <f>IF($A469="","",SUMIFS(Schnittplan!$R$5:$R$1004,Schnittplan!$B$5:$B$1004,Auftrag!$D469,Schnittplan!$C$5:$C$1004,Auftrag!$E469,Schnittplan!$D$5:$D$1004,Auftrag!$Q469))</f>
        <v/>
      </c>
      <c r="E469" s="32">
        <f>IF($A469="","",IFERROR(N(Auftrag!$P469)/SUMIFS(Auftrag!$P$13:$P$512,Auftrag!$D$13:$D$512,Auftrag!$D469,Auftrag!$E$13:$E$512,Auftrag!$E469,Auftrag!$Q$13:$Q$512,Auftrag!$Q469),0))</f>
        <v/>
      </c>
      <c r="F469" s="33">
        <f>IF($A469="","",IF($C469=0,0,$D469*$E469/$C469))</f>
        <v/>
      </c>
      <c r="G469" s="34">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5">
        <f>IF($A469="","",IF($H469="","",60*((N(Auftrag!$H469)-N(Auftrag!$AI469)-N(Auftrag!$AK469))/$H469+N(Auftrag!$AI469)/$J469+N(Auftrag!$AK469)/$I469+N(Auftrag!$AD469)/$K469)+N(Auftrag!$I469)*$L469))</f>
        <v/>
      </c>
      <c r="N469" s="35">
        <f>IF($A469="","",IF(OR($H469="",$C469=0),0,(60*SUMIFS(Stangenbelegung!$K$5:$K$10004,Stangenbelegung!$E$5:$E$10004,ROW())/$H469+SUMIFS(Stangenbelegung!$L$5:$L$10004,Stangenbelegung!$E$5:$E$10004,ROW())*$L469)/$C469))</f>
        <v/>
      </c>
      <c r="O469" s="35">
        <f>IF($A469="","",IF($M469="","",MAX(0,$M469-$N469)))</f>
        <v/>
      </c>
      <c r="P469" s="35">
        <f>IF($A469="","",IFERROR(SUMPRODUCT(--("0"&amp;TRIM(RIGHT(SUBSTITUTE(LEFT(";"&amp;SUBSTITUTE(UPPER(Auftrag!$AG469)," ","")&amp;";"&amp;"X"&amp;UPPER(Gewinde!$A$5:$A$54)&amp;";",SEARCH("X"&amp;UPPER(Gewinde!$A$5:$A$54)&amp;";",";"&amp;SUBSTITUTE(UPPER(Auftrag!$AG469)," ","")&amp;";"&amp;"X"&amp;UPPER(Gewinde!$A$5:$A$54)&amp;";")-1),";",REPT(" ",50)),50))),Gewinde!$C$5:$C$54),0))</f>
        <v/>
      </c>
      <c r="Q469" s="33">
        <f>IF($A469="","",(N($O469)+$P469)/3600*N(Auftrag!$H$8))</f>
        <v/>
      </c>
      <c r="R469" s="33">
        <f>IF($A469="","",IF($F$8=0,0,$F$7/$F$8))</f>
        <v/>
      </c>
      <c r="S469" s="33">
        <f>IF($A469="","",$F469*(1+$C$4)+($Q469+$R469)*(1+$C$5))</f>
        <v/>
      </c>
      <c r="T469" s="33">
        <f>IF($A469="","",$S469*(1+$C$6))</f>
        <v/>
      </c>
      <c r="U469" s="18">
        <f>IF($A469="","",$T469*$C469)</f>
        <v/>
      </c>
      <c r="V469" s="18">
        <f>IF($A469="","",$S469*$C469)</f>
        <v/>
      </c>
      <c r="W469" s="28">
        <f>IF($A469="","",IF(N(Auftrag!$AO469)&gt;0,"nicht vollständig eingeplant",IF($D469=0,"kein Schnittplan oder Preis",IF($H469="","keine Schneiddaten",IF(AND(Auftrag!$AF469&lt;&gt;"",Auftrag!$AG469=""),"Gewinde ungeprüft","")))))</f>
        <v/>
      </c>
      <c r="X469" s="18">
        <f>IF($A469="","",$F469*$C469)</f>
        <v/>
      </c>
      <c r="Y469" s="18">
        <f>IF($A469="","",$Q469*$C469)</f>
        <v/>
      </c>
    </row>
    <row r="470">
      <c r="A470" s="25">
        <f>IF(Auftrag!$D470="","",Auftrag!$A470)</f>
        <v/>
      </c>
      <c r="B470" s="25">
        <f>IF($A470="","",Auftrag!$B470)</f>
        <v/>
      </c>
      <c r="C470" s="15">
        <f>IF($A470="","",N(Auftrag!$G470))</f>
        <v/>
      </c>
      <c r="D470" s="18">
        <f>IF($A470="","",SUMIFS(Schnittplan!$R$5:$R$1004,Schnittplan!$B$5:$B$1004,Auftrag!$D470,Schnittplan!$C$5:$C$1004,Auftrag!$E470,Schnittplan!$D$5:$D$1004,Auftrag!$Q470))</f>
        <v/>
      </c>
      <c r="E470" s="32">
        <f>IF($A470="","",IFERROR(N(Auftrag!$P470)/SUMIFS(Auftrag!$P$13:$P$512,Auftrag!$D$13:$D$512,Auftrag!$D470,Auftrag!$E$13:$E$512,Auftrag!$E470,Auftrag!$Q$13:$Q$512,Auftrag!$Q470),0))</f>
        <v/>
      </c>
      <c r="F470" s="33">
        <f>IF($A470="","",IF($C470=0,0,$D470*$E470/$C470))</f>
        <v/>
      </c>
      <c r="G470" s="34">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5">
        <f>IF($A470="","",IF($H470="","",60*((N(Auftrag!$H470)-N(Auftrag!$AI470)-N(Auftrag!$AK470))/$H470+N(Auftrag!$AI470)/$J470+N(Auftrag!$AK470)/$I470+N(Auftrag!$AD470)/$K470)+N(Auftrag!$I470)*$L470))</f>
        <v/>
      </c>
      <c r="N470" s="35">
        <f>IF($A470="","",IF(OR($H470="",$C470=0),0,(60*SUMIFS(Stangenbelegung!$K$5:$K$10004,Stangenbelegung!$E$5:$E$10004,ROW())/$H470+SUMIFS(Stangenbelegung!$L$5:$L$10004,Stangenbelegung!$E$5:$E$10004,ROW())*$L470)/$C470))</f>
        <v/>
      </c>
      <c r="O470" s="35">
        <f>IF($A470="","",IF($M470="","",MAX(0,$M470-$N470)))</f>
        <v/>
      </c>
      <c r="P470" s="35">
        <f>IF($A470="","",IFERROR(SUMPRODUCT(--("0"&amp;TRIM(RIGHT(SUBSTITUTE(LEFT(";"&amp;SUBSTITUTE(UPPER(Auftrag!$AG470)," ","")&amp;";"&amp;"X"&amp;UPPER(Gewinde!$A$5:$A$54)&amp;";",SEARCH("X"&amp;UPPER(Gewinde!$A$5:$A$54)&amp;";",";"&amp;SUBSTITUTE(UPPER(Auftrag!$AG470)," ","")&amp;";"&amp;"X"&amp;UPPER(Gewinde!$A$5:$A$54)&amp;";")-1),";",REPT(" ",50)),50))),Gewinde!$C$5:$C$54),0))</f>
        <v/>
      </c>
      <c r="Q470" s="33">
        <f>IF($A470="","",(N($O470)+$P470)/3600*N(Auftrag!$H$8))</f>
        <v/>
      </c>
      <c r="R470" s="33">
        <f>IF($A470="","",IF($F$8=0,0,$F$7/$F$8))</f>
        <v/>
      </c>
      <c r="S470" s="33">
        <f>IF($A470="","",$F470*(1+$C$4)+($Q470+$R470)*(1+$C$5))</f>
        <v/>
      </c>
      <c r="T470" s="33">
        <f>IF($A470="","",$S470*(1+$C$6))</f>
        <v/>
      </c>
      <c r="U470" s="18">
        <f>IF($A470="","",$T470*$C470)</f>
        <v/>
      </c>
      <c r="V470" s="18">
        <f>IF($A470="","",$S470*$C470)</f>
        <v/>
      </c>
      <c r="W470" s="28">
        <f>IF($A470="","",IF(N(Auftrag!$AO470)&gt;0,"nicht vollständig eingeplant",IF($D470=0,"kein Schnittplan oder Preis",IF($H470="","keine Schneiddaten",IF(AND(Auftrag!$AF470&lt;&gt;"",Auftrag!$AG470=""),"Gewinde ungeprüft","")))))</f>
        <v/>
      </c>
      <c r="X470" s="18">
        <f>IF($A470="","",$F470*$C470)</f>
        <v/>
      </c>
      <c r="Y470" s="18">
        <f>IF($A470="","",$Q470*$C470)</f>
        <v/>
      </c>
    </row>
    <row r="471">
      <c r="A471" s="25">
        <f>IF(Auftrag!$D471="","",Auftrag!$A471)</f>
        <v/>
      </c>
      <c r="B471" s="25">
        <f>IF($A471="","",Auftrag!$B471)</f>
        <v/>
      </c>
      <c r="C471" s="15">
        <f>IF($A471="","",N(Auftrag!$G471))</f>
        <v/>
      </c>
      <c r="D471" s="18">
        <f>IF($A471="","",SUMIFS(Schnittplan!$R$5:$R$1004,Schnittplan!$B$5:$B$1004,Auftrag!$D471,Schnittplan!$C$5:$C$1004,Auftrag!$E471,Schnittplan!$D$5:$D$1004,Auftrag!$Q471))</f>
        <v/>
      </c>
      <c r="E471" s="32">
        <f>IF($A471="","",IFERROR(N(Auftrag!$P471)/SUMIFS(Auftrag!$P$13:$P$512,Auftrag!$D$13:$D$512,Auftrag!$D471,Auftrag!$E$13:$E$512,Auftrag!$E471,Auftrag!$Q$13:$Q$512,Auftrag!$Q471),0))</f>
        <v/>
      </c>
      <c r="F471" s="33">
        <f>IF($A471="","",IF($C471=0,0,$D471*$E471/$C471))</f>
        <v/>
      </c>
      <c r="G471" s="34">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5">
        <f>IF($A471="","",IF($H471="","",60*((N(Auftrag!$H471)-N(Auftrag!$AI471)-N(Auftrag!$AK471))/$H471+N(Auftrag!$AI471)/$J471+N(Auftrag!$AK471)/$I471+N(Auftrag!$AD471)/$K471)+N(Auftrag!$I471)*$L471))</f>
        <v/>
      </c>
      <c r="N471" s="35">
        <f>IF($A471="","",IF(OR($H471="",$C471=0),0,(60*SUMIFS(Stangenbelegung!$K$5:$K$10004,Stangenbelegung!$E$5:$E$10004,ROW())/$H471+SUMIFS(Stangenbelegung!$L$5:$L$10004,Stangenbelegung!$E$5:$E$10004,ROW())*$L471)/$C471))</f>
        <v/>
      </c>
      <c r="O471" s="35">
        <f>IF($A471="","",IF($M471="","",MAX(0,$M471-$N471)))</f>
        <v/>
      </c>
      <c r="P471" s="35">
        <f>IF($A471="","",IFERROR(SUMPRODUCT(--("0"&amp;TRIM(RIGHT(SUBSTITUTE(LEFT(";"&amp;SUBSTITUTE(UPPER(Auftrag!$AG471)," ","")&amp;";"&amp;"X"&amp;UPPER(Gewinde!$A$5:$A$54)&amp;";",SEARCH("X"&amp;UPPER(Gewinde!$A$5:$A$54)&amp;";",";"&amp;SUBSTITUTE(UPPER(Auftrag!$AG471)," ","")&amp;";"&amp;"X"&amp;UPPER(Gewinde!$A$5:$A$54)&amp;";")-1),";",REPT(" ",50)),50))),Gewinde!$C$5:$C$54),0))</f>
        <v/>
      </c>
      <c r="Q471" s="33">
        <f>IF($A471="","",(N($O471)+$P471)/3600*N(Auftrag!$H$8))</f>
        <v/>
      </c>
      <c r="R471" s="33">
        <f>IF($A471="","",IF($F$8=0,0,$F$7/$F$8))</f>
        <v/>
      </c>
      <c r="S471" s="33">
        <f>IF($A471="","",$F471*(1+$C$4)+($Q471+$R471)*(1+$C$5))</f>
        <v/>
      </c>
      <c r="T471" s="33">
        <f>IF($A471="","",$S471*(1+$C$6))</f>
        <v/>
      </c>
      <c r="U471" s="18">
        <f>IF($A471="","",$T471*$C471)</f>
        <v/>
      </c>
      <c r="V471" s="18">
        <f>IF($A471="","",$S471*$C471)</f>
        <v/>
      </c>
      <c r="W471" s="28">
        <f>IF($A471="","",IF(N(Auftrag!$AO471)&gt;0,"nicht vollständig eingeplant",IF($D471=0,"kein Schnittplan oder Preis",IF($H471="","keine Schneiddaten",IF(AND(Auftrag!$AF471&lt;&gt;"",Auftrag!$AG471=""),"Gewinde ungeprüft","")))))</f>
        <v/>
      </c>
      <c r="X471" s="18">
        <f>IF($A471="","",$F471*$C471)</f>
        <v/>
      </c>
      <c r="Y471" s="18">
        <f>IF($A471="","",$Q471*$C471)</f>
        <v/>
      </c>
    </row>
    <row r="472">
      <c r="A472" s="25">
        <f>IF(Auftrag!$D472="","",Auftrag!$A472)</f>
        <v/>
      </c>
      <c r="B472" s="25">
        <f>IF($A472="","",Auftrag!$B472)</f>
        <v/>
      </c>
      <c r="C472" s="15">
        <f>IF($A472="","",N(Auftrag!$G472))</f>
        <v/>
      </c>
      <c r="D472" s="18">
        <f>IF($A472="","",SUMIFS(Schnittplan!$R$5:$R$1004,Schnittplan!$B$5:$B$1004,Auftrag!$D472,Schnittplan!$C$5:$C$1004,Auftrag!$E472,Schnittplan!$D$5:$D$1004,Auftrag!$Q472))</f>
        <v/>
      </c>
      <c r="E472" s="32">
        <f>IF($A472="","",IFERROR(N(Auftrag!$P472)/SUMIFS(Auftrag!$P$13:$P$512,Auftrag!$D$13:$D$512,Auftrag!$D472,Auftrag!$E$13:$E$512,Auftrag!$E472,Auftrag!$Q$13:$Q$512,Auftrag!$Q472),0))</f>
        <v/>
      </c>
      <c r="F472" s="33">
        <f>IF($A472="","",IF($C472=0,0,$D472*$E472/$C472))</f>
        <v/>
      </c>
      <c r="G472" s="34">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5">
        <f>IF($A472="","",IF($H472="","",60*((N(Auftrag!$H472)-N(Auftrag!$AI472)-N(Auftrag!$AK472))/$H472+N(Auftrag!$AI472)/$J472+N(Auftrag!$AK472)/$I472+N(Auftrag!$AD472)/$K472)+N(Auftrag!$I472)*$L472))</f>
        <v/>
      </c>
      <c r="N472" s="35">
        <f>IF($A472="","",IF(OR($H472="",$C472=0),0,(60*SUMIFS(Stangenbelegung!$K$5:$K$10004,Stangenbelegung!$E$5:$E$10004,ROW())/$H472+SUMIFS(Stangenbelegung!$L$5:$L$10004,Stangenbelegung!$E$5:$E$10004,ROW())*$L472)/$C472))</f>
        <v/>
      </c>
      <c r="O472" s="35">
        <f>IF($A472="","",IF($M472="","",MAX(0,$M472-$N472)))</f>
        <v/>
      </c>
      <c r="P472" s="35">
        <f>IF($A472="","",IFERROR(SUMPRODUCT(--("0"&amp;TRIM(RIGHT(SUBSTITUTE(LEFT(";"&amp;SUBSTITUTE(UPPER(Auftrag!$AG472)," ","")&amp;";"&amp;"X"&amp;UPPER(Gewinde!$A$5:$A$54)&amp;";",SEARCH("X"&amp;UPPER(Gewinde!$A$5:$A$54)&amp;";",";"&amp;SUBSTITUTE(UPPER(Auftrag!$AG472)," ","")&amp;";"&amp;"X"&amp;UPPER(Gewinde!$A$5:$A$54)&amp;";")-1),";",REPT(" ",50)),50))),Gewinde!$C$5:$C$54),0))</f>
        <v/>
      </c>
      <c r="Q472" s="33">
        <f>IF($A472="","",(N($O472)+$P472)/3600*N(Auftrag!$H$8))</f>
        <v/>
      </c>
      <c r="R472" s="33">
        <f>IF($A472="","",IF($F$8=0,0,$F$7/$F$8))</f>
        <v/>
      </c>
      <c r="S472" s="33">
        <f>IF($A472="","",$F472*(1+$C$4)+($Q472+$R472)*(1+$C$5))</f>
        <v/>
      </c>
      <c r="T472" s="33">
        <f>IF($A472="","",$S472*(1+$C$6))</f>
        <v/>
      </c>
      <c r="U472" s="18">
        <f>IF($A472="","",$T472*$C472)</f>
        <v/>
      </c>
      <c r="V472" s="18">
        <f>IF($A472="","",$S472*$C472)</f>
        <v/>
      </c>
      <c r="W472" s="28">
        <f>IF($A472="","",IF(N(Auftrag!$AO472)&gt;0,"nicht vollständig eingeplant",IF($D472=0,"kein Schnittplan oder Preis",IF($H472="","keine Schneiddaten",IF(AND(Auftrag!$AF472&lt;&gt;"",Auftrag!$AG472=""),"Gewinde ungeprüft","")))))</f>
        <v/>
      </c>
      <c r="X472" s="18">
        <f>IF($A472="","",$F472*$C472)</f>
        <v/>
      </c>
      <c r="Y472" s="18">
        <f>IF($A472="","",$Q472*$C472)</f>
        <v/>
      </c>
    </row>
    <row r="473">
      <c r="A473" s="25">
        <f>IF(Auftrag!$D473="","",Auftrag!$A473)</f>
        <v/>
      </c>
      <c r="B473" s="25">
        <f>IF($A473="","",Auftrag!$B473)</f>
        <v/>
      </c>
      <c r="C473" s="15">
        <f>IF($A473="","",N(Auftrag!$G473))</f>
        <v/>
      </c>
      <c r="D473" s="18">
        <f>IF($A473="","",SUMIFS(Schnittplan!$R$5:$R$1004,Schnittplan!$B$5:$B$1004,Auftrag!$D473,Schnittplan!$C$5:$C$1004,Auftrag!$E473,Schnittplan!$D$5:$D$1004,Auftrag!$Q473))</f>
        <v/>
      </c>
      <c r="E473" s="32">
        <f>IF($A473="","",IFERROR(N(Auftrag!$P473)/SUMIFS(Auftrag!$P$13:$P$512,Auftrag!$D$13:$D$512,Auftrag!$D473,Auftrag!$E$13:$E$512,Auftrag!$E473,Auftrag!$Q$13:$Q$512,Auftrag!$Q473),0))</f>
        <v/>
      </c>
      <c r="F473" s="33">
        <f>IF($A473="","",IF($C473=0,0,$D473*$E473/$C473))</f>
        <v/>
      </c>
      <c r="G473" s="34">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5">
        <f>IF($A473="","",IF($H473="","",60*((N(Auftrag!$H473)-N(Auftrag!$AI473)-N(Auftrag!$AK473))/$H473+N(Auftrag!$AI473)/$J473+N(Auftrag!$AK473)/$I473+N(Auftrag!$AD473)/$K473)+N(Auftrag!$I473)*$L473))</f>
        <v/>
      </c>
      <c r="N473" s="35">
        <f>IF($A473="","",IF(OR($H473="",$C473=0),0,(60*SUMIFS(Stangenbelegung!$K$5:$K$10004,Stangenbelegung!$E$5:$E$10004,ROW())/$H473+SUMIFS(Stangenbelegung!$L$5:$L$10004,Stangenbelegung!$E$5:$E$10004,ROW())*$L473)/$C473))</f>
        <v/>
      </c>
      <c r="O473" s="35">
        <f>IF($A473="","",IF($M473="","",MAX(0,$M473-$N473)))</f>
        <v/>
      </c>
      <c r="P473" s="35">
        <f>IF($A473="","",IFERROR(SUMPRODUCT(--("0"&amp;TRIM(RIGHT(SUBSTITUTE(LEFT(";"&amp;SUBSTITUTE(UPPER(Auftrag!$AG473)," ","")&amp;";"&amp;"X"&amp;UPPER(Gewinde!$A$5:$A$54)&amp;";",SEARCH("X"&amp;UPPER(Gewinde!$A$5:$A$54)&amp;";",";"&amp;SUBSTITUTE(UPPER(Auftrag!$AG473)," ","")&amp;";"&amp;"X"&amp;UPPER(Gewinde!$A$5:$A$54)&amp;";")-1),";",REPT(" ",50)),50))),Gewinde!$C$5:$C$54),0))</f>
        <v/>
      </c>
      <c r="Q473" s="33">
        <f>IF($A473="","",(N($O473)+$P473)/3600*N(Auftrag!$H$8))</f>
        <v/>
      </c>
      <c r="R473" s="33">
        <f>IF($A473="","",IF($F$8=0,0,$F$7/$F$8))</f>
        <v/>
      </c>
      <c r="S473" s="33">
        <f>IF($A473="","",$F473*(1+$C$4)+($Q473+$R473)*(1+$C$5))</f>
        <v/>
      </c>
      <c r="T473" s="33">
        <f>IF($A473="","",$S473*(1+$C$6))</f>
        <v/>
      </c>
      <c r="U473" s="18">
        <f>IF($A473="","",$T473*$C473)</f>
        <v/>
      </c>
      <c r="V473" s="18">
        <f>IF($A473="","",$S473*$C473)</f>
        <v/>
      </c>
      <c r="W473" s="28">
        <f>IF($A473="","",IF(N(Auftrag!$AO473)&gt;0,"nicht vollständig eingeplant",IF($D473=0,"kein Schnittplan oder Preis",IF($H473="","keine Schneiddaten",IF(AND(Auftrag!$AF473&lt;&gt;"",Auftrag!$AG473=""),"Gewinde ungeprüft","")))))</f>
        <v/>
      </c>
      <c r="X473" s="18">
        <f>IF($A473="","",$F473*$C473)</f>
        <v/>
      </c>
      <c r="Y473" s="18">
        <f>IF($A473="","",$Q473*$C473)</f>
        <v/>
      </c>
    </row>
    <row r="474">
      <c r="A474" s="25">
        <f>IF(Auftrag!$D474="","",Auftrag!$A474)</f>
        <v/>
      </c>
      <c r="B474" s="25">
        <f>IF($A474="","",Auftrag!$B474)</f>
        <v/>
      </c>
      <c r="C474" s="15">
        <f>IF($A474="","",N(Auftrag!$G474))</f>
        <v/>
      </c>
      <c r="D474" s="18">
        <f>IF($A474="","",SUMIFS(Schnittplan!$R$5:$R$1004,Schnittplan!$B$5:$B$1004,Auftrag!$D474,Schnittplan!$C$5:$C$1004,Auftrag!$E474,Schnittplan!$D$5:$D$1004,Auftrag!$Q474))</f>
        <v/>
      </c>
      <c r="E474" s="32">
        <f>IF($A474="","",IFERROR(N(Auftrag!$P474)/SUMIFS(Auftrag!$P$13:$P$512,Auftrag!$D$13:$D$512,Auftrag!$D474,Auftrag!$E$13:$E$512,Auftrag!$E474,Auftrag!$Q$13:$Q$512,Auftrag!$Q474),0))</f>
        <v/>
      </c>
      <c r="F474" s="33">
        <f>IF($A474="","",IF($C474=0,0,$D474*$E474/$C474))</f>
        <v/>
      </c>
      <c r="G474" s="34">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5">
        <f>IF($A474="","",IF($H474="","",60*((N(Auftrag!$H474)-N(Auftrag!$AI474)-N(Auftrag!$AK474))/$H474+N(Auftrag!$AI474)/$J474+N(Auftrag!$AK474)/$I474+N(Auftrag!$AD474)/$K474)+N(Auftrag!$I474)*$L474))</f>
        <v/>
      </c>
      <c r="N474" s="35">
        <f>IF($A474="","",IF(OR($H474="",$C474=0),0,(60*SUMIFS(Stangenbelegung!$K$5:$K$10004,Stangenbelegung!$E$5:$E$10004,ROW())/$H474+SUMIFS(Stangenbelegung!$L$5:$L$10004,Stangenbelegung!$E$5:$E$10004,ROW())*$L474)/$C474))</f>
        <v/>
      </c>
      <c r="O474" s="35">
        <f>IF($A474="","",IF($M474="","",MAX(0,$M474-$N474)))</f>
        <v/>
      </c>
      <c r="P474" s="35">
        <f>IF($A474="","",IFERROR(SUMPRODUCT(--("0"&amp;TRIM(RIGHT(SUBSTITUTE(LEFT(";"&amp;SUBSTITUTE(UPPER(Auftrag!$AG474)," ","")&amp;";"&amp;"X"&amp;UPPER(Gewinde!$A$5:$A$54)&amp;";",SEARCH("X"&amp;UPPER(Gewinde!$A$5:$A$54)&amp;";",";"&amp;SUBSTITUTE(UPPER(Auftrag!$AG474)," ","")&amp;";"&amp;"X"&amp;UPPER(Gewinde!$A$5:$A$54)&amp;";")-1),";",REPT(" ",50)),50))),Gewinde!$C$5:$C$54),0))</f>
        <v/>
      </c>
      <c r="Q474" s="33">
        <f>IF($A474="","",(N($O474)+$P474)/3600*N(Auftrag!$H$8))</f>
        <v/>
      </c>
      <c r="R474" s="33">
        <f>IF($A474="","",IF($F$8=0,0,$F$7/$F$8))</f>
        <v/>
      </c>
      <c r="S474" s="33">
        <f>IF($A474="","",$F474*(1+$C$4)+($Q474+$R474)*(1+$C$5))</f>
        <v/>
      </c>
      <c r="T474" s="33">
        <f>IF($A474="","",$S474*(1+$C$6))</f>
        <v/>
      </c>
      <c r="U474" s="18">
        <f>IF($A474="","",$T474*$C474)</f>
        <v/>
      </c>
      <c r="V474" s="18">
        <f>IF($A474="","",$S474*$C474)</f>
        <v/>
      </c>
      <c r="W474" s="28">
        <f>IF($A474="","",IF(N(Auftrag!$AO474)&gt;0,"nicht vollständig eingeplant",IF($D474=0,"kein Schnittplan oder Preis",IF($H474="","keine Schneiddaten",IF(AND(Auftrag!$AF474&lt;&gt;"",Auftrag!$AG474=""),"Gewinde ungeprüft","")))))</f>
        <v/>
      </c>
      <c r="X474" s="18">
        <f>IF($A474="","",$F474*$C474)</f>
        <v/>
      </c>
      <c r="Y474" s="18">
        <f>IF($A474="","",$Q474*$C474)</f>
        <v/>
      </c>
    </row>
    <row r="475">
      <c r="A475" s="25">
        <f>IF(Auftrag!$D475="","",Auftrag!$A475)</f>
        <v/>
      </c>
      <c r="B475" s="25">
        <f>IF($A475="","",Auftrag!$B475)</f>
        <v/>
      </c>
      <c r="C475" s="15">
        <f>IF($A475="","",N(Auftrag!$G475))</f>
        <v/>
      </c>
      <c r="D475" s="18">
        <f>IF($A475="","",SUMIFS(Schnittplan!$R$5:$R$1004,Schnittplan!$B$5:$B$1004,Auftrag!$D475,Schnittplan!$C$5:$C$1004,Auftrag!$E475,Schnittplan!$D$5:$D$1004,Auftrag!$Q475))</f>
        <v/>
      </c>
      <c r="E475" s="32">
        <f>IF($A475="","",IFERROR(N(Auftrag!$P475)/SUMIFS(Auftrag!$P$13:$P$512,Auftrag!$D$13:$D$512,Auftrag!$D475,Auftrag!$E$13:$E$512,Auftrag!$E475,Auftrag!$Q$13:$Q$512,Auftrag!$Q475),0))</f>
        <v/>
      </c>
      <c r="F475" s="33">
        <f>IF($A475="","",IF($C475=0,0,$D475*$E475/$C475))</f>
        <v/>
      </c>
      <c r="G475" s="34">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5">
        <f>IF($A475="","",IF($H475="","",60*((N(Auftrag!$H475)-N(Auftrag!$AI475)-N(Auftrag!$AK475))/$H475+N(Auftrag!$AI475)/$J475+N(Auftrag!$AK475)/$I475+N(Auftrag!$AD475)/$K475)+N(Auftrag!$I475)*$L475))</f>
        <v/>
      </c>
      <c r="N475" s="35">
        <f>IF($A475="","",IF(OR($H475="",$C475=0),0,(60*SUMIFS(Stangenbelegung!$K$5:$K$10004,Stangenbelegung!$E$5:$E$10004,ROW())/$H475+SUMIFS(Stangenbelegung!$L$5:$L$10004,Stangenbelegung!$E$5:$E$10004,ROW())*$L475)/$C475))</f>
        <v/>
      </c>
      <c r="O475" s="35">
        <f>IF($A475="","",IF($M475="","",MAX(0,$M475-$N475)))</f>
        <v/>
      </c>
      <c r="P475" s="35">
        <f>IF($A475="","",IFERROR(SUMPRODUCT(--("0"&amp;TRIM(RIGHT(SUBSTITUTE(LEFT(";"&amp;SUBSTITUTE(UPPER(Auftrag!$AG475)," ","")&amp;";"&amp;"X"&amp;UPPER(Gewinde!$A$5:$A$54)&amp;";",SEARCH("X"&amp;UPPER(Gewinde!$A$5:$A$54)&amp;";",";"&amp;SUBSTITUTE(UPPER(Auftrag!$AG475)," ","")&amp;";"&amp;"X"&amp;UPPER(Gewinde!$A$5:$A$54)&amp;";")-1),";",REPT(" ",50)),50))),Gewinde!$C$5:$C$54),0))</f>
        <v/>
      </c>
      <c r="Q475" s="33">
        <f>IF($A475="","",(N($O475)+$P475)/3600*N(Auftrag!$H$8))</f>
        <v/>
      </c>
      <c r="R475" s="33">
        <f>IF($A475="","",IF($F$8=0,0,$F$7/$F$8))</f>
        <v/>
      </c>
      <c r="S475" s="33">
        <f>IF($A475="","",$F475*(1+$C$4)+($Q475+$R475)*(1+$C$5))</f>
        <v/>
      </c>
      <c r="T475" s="33">
        <f>IF($A475="","",$S475*(1+$C$6))</f>
        <v/>
      </c>
      <c r="U475" s="18">
        <f>IF($A475="","",$T475*$C475)</f>
        <v/>
      </c>
      <c r="V475" s="18">
        <f>IF($A475="","",$S475*$C475)</f>
        <v/>
      </c>
      <c r="W475" s="28">
        <f>IF($A475="","",IF(N(Auftrag!$AO475)&gt;0,"nicht vollständig eingeplant",IF($D475=0,"kein Schnittplan oder Preis",IF($H475="","keine Schneiddaten",IF(AND(Auftrag!$AF475&lt;&gt;"",Auftrag!$AG475=""),"Gewinde ungeprüft","")))))</f>
        <v/>
      </c>
      <c r="X475" s="18">
        <f>IF($A475="","",$F475*$C475)</f>
        <v/>
      </c>
      <c r="Y475" s="18">
        <f>IF($A475="","",$Q475*$C475)</f>
        <v/>
      </c>
    </row>
    <row r="476">
      <c r="A476" s="25">
        <f>IF(Auftrag!$D476="","",Auftrag!$A476)</f>
        <v/>
      </c>
      <c r="B476" s="25">
        <f>IF($A476="","",Auftrag!$B476)</f>
        <v/>
      </c>
      <c r="C476" s="15">
        <f>IF($A476="","",N(Auftrag!$G476))</f>
        <v/>
      </c>
      <c r="D476" s="18">
        <f>IF($A476="","",SUMIFS(Schnittplan!$R$5:$R$1004,Schnittplan!$B$5:$B$1004,Auftrag!$D476,Schnittplan!$C$5:$C$1004,Auftrag!$E476,Schnittplan!$D$5:$D$1004,Auftrag!$Q476))</f>
        <v/>
      </c>
      <c r="E476" s="32">
        <f>IF($A476="","",IFERROR(N(Auftrag!$P476)/SUMIFS(Auftrag!$P$13:$P$512,Auftrag!$D$13:$D$512,Auftrag!$D476,Auftrag!$E$13:$E$512,Auftrag!$E476,Auftrag!$Q$13:$Q$512,Auftrag!$Q476),0))</f>
        <v/>
      </c>
      <c r="F476" s="33">
        <f>IF($A476="","",IF($C476=0,0,$D476*$E476/$C476))</f>
        <v/>
      </c>
      <c r="G476" s="34">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5">
        <f>IF($A476="","",IF($H476="","",60*((N(Auftrag!$H476)-N(Auftrag!$AI476)-N(Auftrag!$AK476))/$H476+N(Auftrag!$AI476)/$J476+N(Auftrag!$AK476)/$I476+N(Auftrag!$AD476)/$K476)+N(Auftrag!$I476)*$L476))</f>
        <v/>
      </c>
      <c r="N476" s="35">
        <f>IF($A476="","",IF(OR($H476="",$C476=0),0,(60*SUMIFS(Stangenbelegung!$K$5:$K$10004,Stangenbelegung!$E$5:$E$10004,ROW())/$H476+SUMIFS(Stangenbelegung!$L$5:$L$10004,Stangenbelegung!$E$5:$E$10004,ROW())*$L476)/$C476))</f>
        <v/>
      </c>
      <c r="O476" s="35">
        <f>IF($A476="","",IF($M476="","",MAX(0,$M476-$N476)))</f>
        <v/>
      </c>
      <c r="P476" s="35">
        <f>IF($A476="","",IFERROR(SUMPRODUCT(--("0"&amp;TRIM(RIGHT(SUBSTITUTE(LEFT(";"&amp;SUBSTITUTE(UPPER(Auftrag!$AG476)," ","")&amp;";"&amp;"X"&amp;UPPER(Gewinde!$A$5:$A$54)&amp;";",SEARCH("X"&amp;UPPER(Gewinde!$A$5:$A$54)&amp;";",";"&amp;SUBSTITUTE(UPPER(Auftrag!$AG476)," ","")&amp;";"&amp;"X"&amp;UPPER(Gewinde!$A$5:$A$54)&amp;";")-1),";",REPT(" ",50)),50))),Gewinde!$C$5:$C$54),0))</f>
        <v/>
      </c>
      <c r="Q476" s="33">
        <f>IF($A476="","",(N($O476)+$P476)/3600*N(Auftrag!$H$8))</f>
        <v/>
      </c>
      <c r="R476" s="33">
        <f>IF($A476="","",IF($F$8=0,0,$F$7/$F$8))</f>
        <v/>
      </c>
      <c r="S476" s="33">
        <f>IF($A476="","",$F476*(1+$C$4)+($Q476+$R476)*(1+$C$5))</f>
        <v/>
      </c>
      <c r="T476" s="33">
        <f>IF($A476="","",$S476*(1+$C$6))</f>
        <v/>
      </c>
      <c r="U476" s="18">
        <f>IF($A476="","",$T476*$C476)</f>
        <v/>
      </c>
      <c r="V476" s="18">
        <f>IF($A476="","",$S476*$C476)</f>
        <v/>
      </c>
      <c r="W476" s="28">
        <f>IF($A476="","",IF(N(Auftrag!$AO476)&gt;0,"nicht vollständig eingeplant",IF($D476=0,"kein Schnittplan oder Preis",IF($H476="","keine Schneiddaten",IF(AND(Auftrag!$AF476&lt;&gt;"",Auftrag!$AG476=""),"Gewinde ungeprüft","")))))</f>
        <v/>
      </c>
      <c r="X476" s="18">
        <f>IF($A476="","",$F476*$C476)</f>
        <v/>
      </c>
      <c r="Y476" s="18">
        <f>IF($A476="","",$Q476*$C476)</f>
        <v/>
      </c>
    </row>
    <row r="477">
      <c r="A477" s="25">
        <f>IF(Auftrag!$D477="","",Auftrag!$A477)</f>
        <v/>
      </c>
      <c r="B477" s="25">
        <f>IF($A477="","",Auftrag!$B477)</f>
        <v/>
      </c>
      <c r="C477" s="15">
        <f>IF($A477="","",N(Auftrag!$G477))</f>
        <v/>
      </c>
      <c r="D477" s="18">
        <f>IF($A477="","",SUMIFS(Schnittplan!$R$5:$R$1004,Schnittplan!$B$5:$B$1004,Auftrag!$D477,Schnittplan!$C$5:$C$1004,Auftrag!$E477,Schnittplan!$D$5:$D$1004,Auftrag!$Q477))</f>
        <v/>
      </c>
      <c r="E477" s="32">
        <f>IF($A477="","",IFERROR(N(Auftrag!$P477)/SUMIFS(Auftrag!$P$13:$P$512,Auftrag!$D$13:$D$512,Auftrag!$D477,Auftrag!$E$13:$E$512,Auftrag!$E477,Auftrag!$Q$13:$Q$512,Auftrag!$Q477),0))</f>
        <v/>
      </c>
      <c r="F477" s="33">
        <f>IF($A477="","",IF($C477=0,0,$D477*$E477/$C477))</f>
        <v/>
      </c>
      <c r="G477" s="34">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5">
        <f>IF($A477="","",IF($H477="","",60*((N(Auftrag!$H477)-N(Auftrag!$AI477)-N(Auftrag!$AK477))/$H477+N(Auftrag!$AI477)/$J477+N(Auftrag!$AK477)/$I477+N(Auftrag!$AD477)/$K477)+N(Auftrag!$I477)*$L477))</f>
        <v/>
      </c>
      <c r="N477" s="35">
        <f>IF($A477="","",IF(OR($H477="",$C477=0),0,(60*SUMIFS(Stangenbelegung!$K$5:$K$10004,Stangenbelegung!$E$5:$E$10004,ROW())/$H477+SUMIFS(Stangenbelegung!$L$5:$L$10004,Stangenbelegung!$E$5:$E$10004,ROW())*$L477)/$C477))</f>
        <v/>
      </c>
      <c r="O477" s="35">
        <f>IF($A477="","",IF($M477="","",MAX(0,$M477-$N477)))</f>
        <v/>
      </c>
      <c r="P477" s="35">
        <f>IF($A477="","",IFERROR(SUMPRODUCT(--("0"&amp;TRIM(RIGHT(SUBSTITUTE(LEFT(";"&amp;SUBSTITUTE(UPPER(Auftrag!$AG477)," ","")&amp;";"&amp;"X"&amp;UPPER(Gewinde!$A$5:$A$54)&amp;";",SEARCH("X"&amp;UPPER(Gewinde!$A$5:$A$54)&amp;";",";"&amp;SUBSTITUTE(UPPER(Auftrag!$AG477)," ","")&amp;";"&amp;"X"&amp;UPPER(Gewinde!$A$5:$A$54)&amp;";")-1),";",REPT(" ",50)),50))),Gewinde!$C$5:$C$54),0))</f>
        <v/>
      </c>
      <c r="Q477" s="33">
        <f>IF($A477="","",(N($O477)+$P477)/3600*N(Auftrag!$H$8))</f>
        <v/>
      </c>
      <c r="R477" s="33">
        <f>IF($A477="","",IF($F$8=0,0,$F$7/$F$8))</f>
        <v/>
      </c>
      <c r="S477" s="33">
        <f>IF($A477="","",$F477*(1+$C$4)+($Q477+$R477)*(1+$C$5))</f>
        <v/>
      </c>
      <c r="T477" s="33">
        <f>IF($A477="","",$S477*(1+$C$6))</f>
        <v/>
      </c>
      <c r="U477" s="18">
        <f>IF($A477="","",$T477*$C477)</f>
        <v/>
      </c>
      <c r="V477" s="18">
        <f>IF($A477="","",$S477*$C477)</f>
        <v/>
      </c>
      <c r="W477" s="28">
        <f>IF($A477="","",IF(N(Auftrag!$AO477)&gt;0,"nicht vollständig eingeplant",IF($D477=0,"kein Schnittplan oder Preis",IF($H477="","keine Schneiddaten",IF(AND(Auftrag!$AF477&lt;&gt;"",Auftrag!$AG477=""),"Gewinde ungeprüft","")))))</f>
        <v/>
      </c>
      <c r="X477" s="18">
        <f>IF($A477="","",$F477*$C477)</f>
        <v/>
      </c>
      <c r="Y477" s="18">
        <f>IF($A477="","",$Q477*$C477)</f>
        <v/>
      </c>
    </row>
    <row r="478">
      <c r="A478" s="25">
        <f>IF(Auftrag!$D478="","",Auftrag!$A478)</f>
        <v/>
      </c>
      <c r="B478" s="25">
        <f>IF($A478="","",Auftrag!$B478)</f>
        <v/>
      </c>
      <c r="C478" s="15">
        <f>IF($A478="","",N(Auftrag!$G478))</f>
        <v/>
      </c>
      <c r="D478" s="18">
        <f>IF($A478="","",SUMIFS(Schnittplan!$R$5:$R$1004,Schnittplan!$B$5:$B$1004,Auftrag!$D478,Schnittplan!$C$5:$C$1004,Auftrag!$E478,Schnittplan!$D$5:$D$1004,Auftrag!$Q478))</f>
        <v/>
      </c>
      <c r="E478" s="32">
        <f>IF($A478="","",IFERROR(N(Auftrag!$P478)/SUMIFS(Auftrag!$P$13:$P$512,Auftrag!$D$13:$D$512,Auftrag!$D478,Auftrag!$E$13:$E$512,Auftrag!$E478,Auftrag!$Q$13:$Q$512,Auftrag!$Q478),0))</f>
        <v/>
      </c>
      <c r="F478" s="33">
        <f>IF($A478="","",IF($C478=0,0,$D478*$E478/$C478))</f>
        <v/>
      </c>
      <c r="G478" s="34">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5">
        <f>IF($A478="","",IF($H478="","",60*((N(Auftrag!$H478)-N(Auftrag!$AI478)-N(Auftrag!$AK478))/$H478+N(Auftrag!$AI478)/$J478+N(Auftrag!$AK478)/$I478+N(Auftrag!$AD478)/$K478)+N(Auftrag!$I478)*$L478))</f>
        <v/>
      </c>
      <c r="N478" s="35">
        <f>IF($A478="","",IF(OR($H478="",$C478=0),0,(60*SUMIFS(Stangenbelegung!$K$5:$K$10004,Stangenbelegung!$E$5:$E$10004,ROW())/$H478+SUMIFS(Stangenbelegung!$L$5:$L$10004,Stangenbelegung!$E$5:$E$10004,ROW())*$L478)/$C478))</f>
        <v/>
      </c>
      <c r="O478" s="35">
        <f>IF($A478="","",IF($M478="","",MAX(0,$M478-$N478)))</f>
        <v/>
      </c>
      <c r="P478" s="35">
        <f>IF($A478="","",IFERROR(SUMPRODUCT(--("0"&amp;TRIM(RIGHT(SUBSTITUTE(LEFT(";"&amp;SUBSTITUTE(UPPER(Auftrag!$AG478)," ","")&amp;";"&amp;"X"&amp;UPPER(Gewinde!$A$5:$A$54)&amp;";",SEARCH("X"&amp;UPPER(Gewinde!$A$5:$A$54)&amp;";",";"&amp;SUBSTITUTE(UPPER(Auftrag!$AG478)," ","")&amp;";"&amp;"X"&amp;UPPER(Gewinde!$A$5:$A$54)&amp;";")-1),";",REPT(" ",50)),50))),Gewinde!$C$5:$C$54),0))</f>
        <v/>
      </c>
      <c r="Q478" s="33">
        <f>IF($A478="","",(N($O478)+$P478)/3600*N(Auftrag!$H$8))</f>
        <v/>
      </c>
      <c r="R478" s="33">
        <f>IF($A478="","",IF($F$8=0,0,$F$7/$F$8))</f>
        <v/>
      </c>
      <c r="S478" s="33">
        <f>IF($A478="","",$F478*(1+$C$4)+($Q478+$R478)*(1+$C$5))</f>
        <v/>
      </c>
      <c r="T478" s="33">
        <f>IF($A478="","",$S478*(1+$C$6))</f>
        <v/>
      </c>
      <c r="U478" s="18">
        <f>IF($A478="","",$T478*$C478)</f>
        <v/>
      </c>
      <c r="V478" s="18">
        <f>IF($A478="","",$S478*$C478)</f>
        <v/>
      </c>
      <c r="W478" s="28">
        <f>IF($A478="","",IF(N(Auftrag!$AO478)&gt;0,"nicht vollständig eingeplant",IF($D478=0,"kein Schnittplan oder Preis",IF($H478="","keine Schneiddaten",IF(AND(Auftrag!$AF478&lt;&gt;"",Auftrag!$AG478=""),"Gewinde ungeprüft","")))))</f>
        <v/>
      </c>
      <c r="X478" s="18">
        <f>IF($A478="","",$F478*$C478)</f>
        <v/>
      </c>
      <c r="Y478" s="18">
        <f>IF($A478="","",$Q478*$C478)</f>
        <v/>
      </c>
    </row>
    <row r="479">
      <c r="A479" s="25">
        <f>IF(Auftrag!$D479="","",Auftrag!$A479)</f>
        <v/>
      </c>
      <c r="B479" s="25">
        <f>IF($A479="","",Auftrag!$B479)</f>
        <v/>
      </c>
      <c r="C479" s="15">
        <f>IF($A479="","",N(Auftrag!$G479))</f>
        <v/>
      </c>
      <c r="D479" s="18">
        <f>IF($A479="","",SUMIFS(Schnittplan!$R$5:$R$1004,Schnittplan!$B$5:$B$1004,Auftrag!$D479,Schnittplan!$C$5:$C$1004,Auftrag!$E479,Schnittplan!$D$5:$D$1004,Auftrag!$Q479))</f>
        <v/>
      </c>
      <c r="E479" s="32">
        <f>IF($A479="","",IFERROR(N(Auftrag!$P479)/SUMIFS(Auftrag!$P$13:$P$512,Auftrag!$D$13:$D$512,Auftrag!$D479,Auftrag!$E$13:$E$512,Auftrag!$E479,Auftrag!$Q$13:$Q$512,Auftrag!$Q479),0))</f>
        <v/>
      </c>
      <c r="F479" s="33">
        <f>IF($A479="","",IF($C479=0,0,$D479*$E479/$C479))</f>
        <v/>
      </c>
      <c r="G479" s="34">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5">
        <f>IF($A479="","",IF($H479="","",60*((N(Auftrag!$H479)-N(Auftrag!$AI479)-N(Auftrag!$AK479))/$H479+N(Auftrag!$AI479)/$J479+N(Auftrag!$AK479)/$I479+N(Auftrag!$AD479)/$K479)+N(Auftrag!$I479)*$L479))</f>
        <v/>
      </c>
      <c r="N479" s="35">
        <f>IF($A479="","",IF(OR($H479="",$C479=0),0,(60*SUMIFS(Stangenbelegung!$K$5:$K$10004,Stangenbelegung!$E$5:$E$10004,ROW())/$H479+SUMIFS(Stangenbelegung!$L$5:$L$10004,Stangenbelegung!$E$5:$E$10004,ROW())*$L479)/$C479))</f>
        <v/>
      </c>
      <c r="O479" s="35">
        <f>IF($A479="","",IF($M479="","",MAX(0,$M479-$N479)))</f>
        <v/>
      </c>
      <c r="P479" s="35">
        <f>IF($A479="","",IFERROR(SUMPRODUCT(--("0"&amp;TRIM(RIGHT(SUBSTITUTE(LEFT(";"&amp;SUBSTITUTE(UPPER(Auftrag!$AG479)," ","")&amp;";"&amp;"X"&amp;UPPER(Gewinde!$A$5:$A$54)&amp;";",SEARCH("X"&amp;UPPER(Gewinde!$A$5:$A$54)&amp;";",";"&amp;SUBSTITUTE(UPPER(Auftrag!$AG479)," ","")&amp;";"&amp;"X"&amp;UPPER(Gewinde!$A$5:$A$54)&amp;";")-1),";",REPT(" ",50)),50))),Gewinde!$C$5:$C$54),0))</f>
        <v/>
      </c>
      <c r="Q479" s="33">
        <f>IF($A479="","",(N($O479)+$P479)/3600*N(Auftrag!$H$8))</f>
        <v/>
      </c>
      <c r="R479" s="33">
        <f>IF($A479="","",IF($F$8=0,0,$F$7/$F$8))</f>
        <v/>
      </c>
      <c r="S479" s="33">
        <f>IF($A479="","",$F479*(1+$C$4)+($Q479+$R479)*(1+$C$5))</f>
        <v/>
      </c>
      <c r="T479" s="33">
        <f>IF($A479="","",$S479*(1+$C$6))</f>
        <v/>
      </c>
      <c r="U479" s="18">
        <f>IF($A479="","",$T479*$C479)</f>
        <v/>
      </c>
      <c r="V479" s="18">
        <f>IF($A479="","",$S479*$C479)</f>
        <v/>
      </c>
      <c r="W479" s="28">
        <f>IF($A479="","",IF(N(Auftrag!$AO479)&gt;0,"nicht vollständig eingeplant",IF($D479=0,"kein Schnittplan oder Preis",IF($H479="","keine Schneiddaten",IF(AND(Auftrag!$AF479&lt;&gt;"",Auftrag!$AG479=""),"Gewinde ungeprüft","")))))</f>
        <v/>
      </c>
      <c r="X479" s="18">
        <f>IF($A479="","",$F479*$C479)</f>
        <v/>
      </c>
      <c r="Y479" s="18">
        <f>IF($A479="","",$Q479*$C479)</f>
        <v/>
      </c>
    </row>
    <row r="480">
      <c r="A480" s="25">
        <f>IF(Auftrag!$D480="","",Auftrag!$A480)</f>
        <v/>
      </c>
      <c r="B480" s="25">
        <f>IF($A480="","",Auftrag!$B480)</f>
        <v/>
      </c>
      <c r="C480" s="15">
        <f>IF($A480="","",N(Auftrag!$G480))</f>
        <v/>
      </c>
      <c r="D480" s="18">
        <f>IF($A480="","",SUMIFS(Schnittplan!$R$5:$R$1004,Schnittplan!$B$5:$B$1004,Auftrag!$D480,Schnittplan!$C$5:$C$1004,Auftrag!$E480,Schnittplan!$D$5:$D$1004,Auftrag!$Q480))</f>
        <v/>
      </c>
      <c r="E480" s="32">
        <f>IF($A480="","",IFERROR(N(Auftrag!$P480)/SUMIFS(Auftrag!$P$13:$P$512,Auftrag!$D$13:$D$512,Auftrag!$D480,Auftrag!$E$13:$E$512,Auftrag!$E480,Auftrag!$Q$13:$Q$512,Auftrag!$Q480),0))</f>
        <v/>
      </c>
      <c r="F480" s="33">
        <f>IF($A480="","",IF($C480=0,0,$D480*$E480/$C480))</f>
        <v/>
      </c>
      <c r="G480" s="34">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5">
        <f>IF($A480="","",IF($H480="","",60*((N(Auftrag!$H480)-N(Auftrag!$AI480)-N(Auftrag!$AK480))/$H480+N(Auftrag!$AI480)/$J480+N(Auftrag!$AK480)/$I480+N(Auftrag!$AD480)/$K480)+N(Auftrag!$I480)*$L480))</f>
        <v/>
      </c>
      <c r="N480" s="35">
        <f>IF($A480="","",IF(OR($H480="",$C480=0),0,(60*SUMIFS(Stangenbelegung!$K$5:$K$10004,Stangenbelegung!$E$5:$E$10004,ROW())/$H480+SUMIFS(Stangenbelegung!$L$5:$L$10004,Stangenbelegung!$E$5:$E$10004,ROW())*$L480)/$C480))</f>
        <v/>
      </c>
      <c r="O480" s="35">
        <f>IF($A480="","",IF($M480="","",MAX(0,$M480-$N480)))</f>
        <v/>
      </c>
      <c r="P480" s="35">
        <f>IF($A480="","",IFERROR(SUMPRODUCT(--("0"&amp;TRIM(RIGHT(SUBSTITUTE(LEFT(";"&amp;SUBSTITUTE(UPPER(Auftrag!$AG480)," ","")&amp;";"&amp;"X"&amp;UPPER(Gewinde!$A$5:$A$54)&amp;";",SEARCH("X"&amp;UPPER(Gewinde!$A$5:$A$54)&amp;";",";"&amp;SUBSTITUTE(UPPER(Auftrag!$AG480)," ","")&amp;";"&amp;"X"&amp;UPPER(Gewinde!$A$5:$A$54)&amp;";")-1),";",REPT(" ",50)),50))),Gewinde!$C$5:$C$54),0))</f>
        <v/>
      </c>
      <c r="Q480" s="33">
        <f>IF($A480="","",(N($O480)+$P480)/3600*N(Auftrag!$H$8))</f>
        <v/>
      </c>
      <c r="R480" s="33">
        <f>IF($A480="","",IF($F$8=0,0,$F$7/$F$8))</f>
        <v/>
      </c>
      <c r="S480" s="33">
        <f>IF($A480="","",$F480*(1+$C$4)+($Q480+$R480)*(1+$C$5))</f>
        <v/>
      </c>
      <c r="T480" s="33">
        <f>IF($A480="","",$S480*(1+$C$6))</f>
        <v/>
      </c>
      <c r="U480" s="18">
        <f>IF($A480="","",$T480*$C480)</f>
        <v/>
      </c>
      <c r="V480" s="18">
        <f>IF($A480="","",$S480*$C480)</f>
        <v/>
      </c>
      <c r="W480" s="28">
        <f>IF($A480="","",IF(N(Auftrag!$AO480)&gt;0,"nicht vollständig eingeplant",IF($D480=0,"kein Schnittplan oder Preis",IF($H480="","keine Schneiddaten",IF(AND(Auftrag!$AF480&lt;&gt;"",Auftrag!$AG480=""),"Gewinde ungeprüft","")))))</f>
        <v/>
      </c>
      <c r="X480" s="18">
        <f>IF($A480="","",$F480*$C480)</f>
        <v/>
      </c>
      <c r="Y480" s="18">
        <f>IF($A480="","",$Q480*$C480)</f>
        <v/>
      </c>
    </row>
    <row r="481">
      <c r="A481" s="25">
        <f>IF(Auftrag!$D481="","",Auftrag!$A481)</f>
        <v/>
      </c>
      <c r="B481" s="25">
        <f>IF($A481="","",Auftrag!$B481)</f>
        <v/>
      </c>
      <c r="C481" s="15">
        <f>IF($A481="","",N(Auftrag!$G481))</f>
        <v/>
      </c>
      <c r="D481" s="18">
        <f>IF($A481="","",SUMIFS(Schnittplan!$R$5:$R$1004,Schnittplan!$B$5:$B$1004,Auftrag!$D481,Schnittplan!$C$5:$C$1004,Auftrag!$E481,Schnittplan!$D$5:$D$1004,Auftrag!$Q481))</f>
        <v/>
      </c>
      <c r="E481" s="32">
        <f>IF($A481="","",IFERROR(N(Auftrag!$P481)/SUMIFS(Auftrag!$P$13:$P$512,Auftrag!$D$13:$D$512,Auftrag!$D481,Auftrag!$E$13:$E$512,Auftrag!$E481,Auftrag!$Q$13:$Q$512,Auftrag!$Q481),0))</f>
        <v/>
      </c>
      <c r="F481" s="33">
        <f>IF($A481="","",IF($C481=0,0,$D481*$E481/$C481))</f>
        <v/>
      </c>
      <c r="G481" s="34">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5">
        <f>IF($A481="","",IF($H481="","",60*((N(Auftrag!$H481)-N(Auftrag!$AI481)-N(Auftrag!$AK481))/$H481+N(Auftrag!$AI481)/$J481+N(Auftrag!$AK481)/$I481+N(Auftrag!$AD481)/$K481)+N(Auftrag!$I481)*$L481))</f>
        <v/>
      </c>
      <c r="N481" s="35">
        <f>IF($A481="","",IF(OR($H481="",$C481=0),0,(60*SUMIFS(Stangenbelegung!$K$5:$K$10004,Stangenbelegung!$E$5:$E$10004,ROW())/$H481+SUMIFS(Stangenbelegung!$L$5:$L$10004,Stangenbelegung!$E$5:$E$10004,ROW())*$L481)/$C481))</f>
        <v/>
      </c>
      <c r="O481" s="35">
        <f>IF($A481="","",IF($M481="","",MAX(0,$M481-$N481)))</f>
        <v/>
      </c>
      <c r="P481" s="35">
        <f>IF($A481="","",IFERROR(SUMPRODUCT(--("0"&amp;TRIM(RIGHT(SUBSTITUTE(LEFT(";"&amp;SUBSTITUTE(UPPER(Auftrag!$AG481)," ","")&amp;";"&amp;"X"&amp;UPPER(Gewinde!$A$5:$A$54)&amp;";",SEARCH("X"&amp;UPPER(Gewinde!$A$5:$A$54)&amp;";",";"&amp;SUBSTITUTE(UPPER(Auftrag!$AG481)," ","")&amp;";"&amp;"X"&amp;UPPER(Gewinde!$A$5:$A$54)&amp;";")-1),";",REPT(" ",50)),50))),Gewinde!$C$5:$C$54),0))</f>
        <v/>
      </c>
      <c r="Q481" s="33">
        <f>IF($A481="","",(N($O481)+$P481)/3600*N(Auftrag!$H$8))</f>
        <v/>
      </c>
      <c r="R481" s="33">
        <f>IF($A481="","",IF($F$8=0,0,$F$7/$F$8))</f>
        <v/>
      </c>
      <c r="S481" s="33">
        <f>IF($A481="","",$F481*(1+$C$4)+($Q481+$R481)*(1+$C$5))</f>
        <v/>
      </c>
      <c r="T481" s="33">
        <f>IF($A481="","",$S481*(1+$C$6))</f>
        <v/>
      </c>
      <c r="U481" s="18">
        <f>IF($A481="","",$T481*$C481)</f>
        <v/>
      </c>
      <c r="V481" s="18">
        <f>IF($A481="","",$S481*$C481)</f>
        <v/>
      </c>
      <c r="W481" s="28">
        <f>IF($A481="","",IF(N(Auftrag!$AO481)&gt;0,"nicht vollständig eingeplant",IF($D481=0,"kein Schnittplan oder Preis",IF($H481="","keine Schneiddaten",IF(AND(Auftrag!$AF481&lt;&gt;"",Auftrag!$AG481=""),"Gewinde ungeprüft","")))))</f>
        <v/>
      </c>
      <c r="X481" s="18">
        <f>IF($A481="","",$F481*$C481)</f>
        <v/>
      </c>
      <c r="Y481" s="18">
        <f>IF($A481="","",$Q481*$C481)</f>
        <v/>
      </c>
    </row>
    <row r="482">
      <c r="A482" s="25">
        <f>IF(Auftrag!$D482="","",Auftrag!$A482)</f>
        <v/>
      </c>
      <c r="B482" s="25">
        <f>IF($A482="","",Auftrag!$B482)</f>
        <v/>
      </c>
      <c r="C482" s="15">
        <f>IF($A482="","",N(Auftrag!$G482))</f>
        <v/>
      </c>
      <c r="D482" s="18">
        <f>IF($A482="","",SUMIFS(Schnittplan!$R$5:$R$1004,Schnittplan!$B$5:$B$1004,Auftrag!$D482,Schnittplan!$C$5:$C$1004,Auftrag!$E482,Schnittplan!$D$5:$D$1004,Auftrag!$Q482))</f>
        <v/>
      </c>
      <c r="E482" s="32">
        <f>IF($A482="","",IFERROR(N(Auftrag!$P482)/SUMIFS(Auftrag!$P$13:$P$512,Auftrag!$D$13:$D$512,Auftrag!$D482,Auftrag!$E$13:$E$512,Auftrag!$E482,Auftrag!$Q$13:$Q$512,Auftrag!$Q482),0))</f>
        <v/>
      </c>
      <c r="F482" s="33">
        <f>IF($A482="","",IF($C482=0,0,$D482*$E482/$C482))</f>
        <v/>
      </c>
      <c r="G482" s="34">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5">
        <f>IF($A482="","",IF($H482="","",60*((N(Auftrag!$H482)-N(Auftrag!$AI482)-N(Auftrag!$AK482))/$H482+N(Auftrag!$AI482)/$J482+N(Auftrag!$AK482)/$I482+N(Auftrag!$AD482)/$K482)+N(Auftrag!$I482)*$L482))</f>
        <v/>
      </c>
      <c r="N482" s="35">
        <f>IF($A482="","",IF(OR($H482="",$C482=0),0,(60*SUMIFS(Stangenbelegung!$K$5:$K$10004,Stangenbelegung!$E$5:$E$10004,ROW())/$H482+SUMIFS(Stangenbelegung!$L$5:$L$10004,Stangenbelegung!$E$5:$E$10004,ROW())*$L482)/$C482))</f>
        <v/>
      </c>
      <c r="O482" s="35">
        <f>IF($A482="","",IF($M482="","",MAX(0,$M482-$N482)))</f>
        <v/>
      </c>
      <c r="P482" s="35">
        <f>IF($A482="","",IFERROR(SUMPRODUCT(--("0"&amp;TRIM(RIGHT(SUBSTITUTE(LEFT(";"&amp;SUBSTITUTE(UPPER(Auftrag!$AG482)," ","")&amp;";"&amp;"X"&amp;UPPER(Gewinde!$A$5:$A$54)&amp;";",SEARCH("X"&amp;UPPER(Gewinde!$A$5:$A$54)&amp;";",";"&amp;SUBSTITUTE(UPPER(Auftrag!$AG482)," ","")&amp;";"&amp;"X"&amp;UPPER(Gewinde!$A$5:$A$54)&amp;";")-1),";",REPT(" ",50)),50))),Gewinde!$C$5:$C$54),0))</f>
        <v/>
      </c>
      <c r="Q482" s="33">
        <f>IF($A482="","",(N($O482)+$P482)/3600*N(Auftrag!$H$8))</f>
        <v/>
      </c>
      <c r="R482" s="33">
        <f>IF($A482="","",IF($F$8=0,0,$F$7/$F$8))</f>
        <v/>
      </c>
      <c r="S482" s="33">
        <f>IF($A482="","",$F482*(1+$C$4)+($Q482+$R482)*(1+$C$5))</f>
        <v/>
      </c>
      <c r="T482" s="33">
        <f>IF($A482="","",$S482*(1+$C$6))</f>
        <v/>
      </c>
      <c r="U482" s="18">
        <f>IF($A482="","",$T482*$C482)</f>
        <v/>
      </c>
      <c r="V482" s="18">
        <f>IF($A482="","",$S482*$C482)</f>
        <v/>
      </c>
      <c r="W482" s="28">
        <f>IF($A482="","",IF(N(Auftrag!$AO482)&gt;0,"nicht vollständig eingeplant",IF($D482=0,"kein Schnittplan oder Preis",IF($H482="","keine Schneiddaten",IF(AND(Auftrag!$AF482&lt;&gt;"",Auftrag!$AG482=""),"Gewinde ungeprüft","")))))</f>
        <v/>
      </c>
      <c r="X482" s="18">
        <f>IF($A482="","",$F482*$C482)</f>
        <v/>
      </c>
      <c r="Y482" s="18">
        <f>IF($A482="","",$Q482*$C482)</f>
        <v/>
      </c>
    </row>
    <row r="483">
      <c r="A483" s="25">
        <f>IF(Auftrag!$D483="","",Auftrag!$A483)</f>
        <v/>
      </c>
      <c r="B483" s="25">
        <f>IF($A483="","",Auftrag!$B483)</f>
        <v/>
      </c>
      <c r="C483" s="15">
        <f>IF($A483="","",N(Auftrag!$G483))</f>
        <v/>
      </c>
      <c r="D483" s="18">
        <f>IF($A483="","",SUMIFS(Schnittplan!$R$5:$R$1004,Schnittplan!$B$5:$B$1004,Auftrag!$D483,Schnittplan!$C$5:$C$1004,Auftrag!$E483,Schnittplan!$D$5:$D$1004,Auftrag!$Q483))</f>
        <v/>
      </c>
      <c r="E483" s="32">
        <f>IF($A483="","",IFERROR(N(Auftrag!$P483)/SUMIFS(Auftrag!$P$13:$P$512,Auftrag!$D$13:$D$512,Auftrag!$D483,Auftrag!$E$13:$E$512,Auftrag!$E483,Auftrag!$Q$13:$Q$512,Auftrag!$Q483),0))</f>
        <v/>
      </c>
      <c r="F483" s="33">
        <f>IF($A483="","",IF($C483=0,0,$D483*$E483/$C483))</f>
        <v/>
      </c>
      <c r="G483" s="34">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5">
        <f>IF($A483="","",IF($H483="","",60*((N(Auftrag!$H483)-N(Auftrag!$AI483)-N(Auftrag!$AK483))/$H483+N(Auftrag!$AI483)/$J483+N(Auftrag!$AK483)/$I483+N(Auftrag!$AD483)/$K483)+N(Auftrag!$I483)*$L483))</f>
        <v/>
      </c>
      <c r="N483" s="35">
        <f>IF($A483="","",IF(OR($H483="",$C483=0),0,(60*SUMIFS(Stangenbelegung!$K$5:$K$10004,Stangenbelegung!$E$5:$E$10004,ROW())/$H483+SUMIFS(Stangenbelegung!$L$5:$L$10004,Stangenbelegung!$E$5:$E$10004,ROW())*$L483)/$C483))</f>
        <v/>
      </c>
      <c r="O483" s="35">
        <f>IF($A483="","",IF($M483="","",MAX(0,$M483-$N483)))</f>
        <v/>
      </c>
      <c r="P483" s="35">
        <f>IF($A483="","",IFERROR(SUMPRODUCT(--("0"&amp;TRIM(RIGHT(SUBSTITUTE(LEFT(";"&amp;SUBSTITUTE(UPPER(Auftrag!$AG483)," ","")&amp;";"&amp;"X"&amp;UPPER(Gewinde!$A$5:$A$54)&amp;";",SEARCH("X"&amp;UPPER(Gewinde!$A$5:$A$54)&amp;";",";"&amp;SUBSTITUTE(UPPER(Auftrag!$AG483)," ","")&amp;";"&amp;"X"&amp;UPPER(Gewinde!$A$5:$A$54)&amp;";")-1),";",REPT(" ",50)),50))),Gewinde!$C$5:$C$54),0))</f>
        <v/>
      </c>
      <c r="Q483" s="33">
        <f>IF($A483="","",(N($O483)+$P483)/3600*N(Auftrag!$H$8))</f>
        <v/>
      </c>
      <c r="R483" s="33">
        <f>IF($A483="","",IF($F$8=0,0,$F$7/$F$8))</f>
        <v/>
      </c>
      <c r="S483" s="33">
        <f>IF($A483="","",$F483*(1+$C$4)+($Q483+$R483)*(1+$C$5))</f>
        <v/>
      </c>
      <c r="T483" s="33">
        <f>IF($A483="","",$S483*(1+$C$6))</f>
        <v/>
      </c>
      <c r="U483" s="18">
        <f>IF($A483="","",$T483*$C483)</f>
        <v/>
      </c>
      <c r="V483" s="18">
        <f>IF($A483="","",$S483*$C483)</f>
        <v/>
      </c>
      <c r="W483" s="28">
        <f>IF($A483="","",IF(N(Auftrag!$AO483)&gt;0,"nicht vollständig eingeplant",IF($D483=0,"kein Schnittplan oder Preis",IF($H483="","keine Schneiddaten",IF(AND(Auftrag!$AF483&lt;&gt;"",Auftrag!$AG483=""),"Gewinde ungeprüft","")))))</f>
        <v/>
      </c>
      <c r="X483" s="18">
        <f>IF($A483="","",$F483*$C483)</f>
        <v/>
      </c>
      <c r="Y483" s="18">
        <f>IF($A483="","",$Q483*$C483)</f>
        <v/>
      </c>
    </row>
    <row r="484">
      <c r="A484" s="25">
        <f>IF(Auftrag!$D484="","",Auftrag!$A484)</f>
        <v/>
      </c>
      <c r="B484" s="25">
        <f>IF($A484="","",Auftrag!$B484)</f>
        <v/>
      </c>
      <c r="C484" s="15">
        <f>IF($A484="","",N(Auftrag!$G484))</f>
        <v/>
      </c>
      <c r="D484" s="18">
        <f>IF($A484="","",SUMIFS(Schnittplan!$R$5:$R$1004,Schnittplan!$B$5:$B$1004,Auftrag!$D484,Schnittplan!$C$5:$C$1004,Auftrag!$E484,Schnittplan!$D$5:$D$1004,Auftrag!$Q484))</f>
        <v/>
      </c>
      <c r="E484" s="32">
        <f>IF($A484="","",IFERROR(N(Auftrag!$P484)/SUMIFS(Auftrag!$P$13:$P$512,Auftrag!$D$13:$D$512,Auftrag!$D484,Auftrag!$E$13:$E$512,Auftrag!$E484,Auftrag!$Q$13:$Q$512,Auftrag!$Q484),0))</f>
        <v/>
      </c>
      <c r="F484" s="33">
        <f>IF($A484="","",IF($C484=0,0,$D484*$E484/$C484))</f>
        <v/>
      </c>
      <c r="G484" s="34">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5">
        <f>IF($A484="","",IF($H484="","",60*((N(Auftrag!$H484)-N(Auftrag!$AI484)-N(Auftrag!$AK484))/$H484+N(Auftrag!$AI484)/$J484+N(Auftrag!$AK484)/$I484+N(Auftrag!$AD484)/$K484)+N(Auftrag!$I484)*$L484))</f>
        <v/>
      </c>
      <c r="N484" s="35">
        <f>IF($A484="","",IF(OR($H484="",$C484=0),0,(60*SUMIFS(Stangenbelegung!$K$5:$K$10004,Stangenbelegung!$E$5:$E$10004,ROW())/$H484+SUMIFS(Stangenbelegung!$L$5:$L$10004,Stangenbelegung!$E$5:$E$10004,ROW())*$L484)/$C484))</f>
        <v/>
      </c>
      <c r="O484" s="35">
        <f>IF($A484="","",IF($M484="","",MAX(0,$M484-$N484)))</f>
        <v/>
      </c>
      <c r="P484" s="35">
        <f>IF($A484="","",IFERROR(SUMPRODUCT(--("0"&amp;TRIM(RIGHT(SUBSTITUTE(LEFT(";"&amp;SUBSTITUTE(UPPER(Auftrag!$AG484)," ","")&amp;";"&amp;"X"&amp;UPPER(Gewinde!$A$5:$A$54)&amp;";",SEARCH("X"&amp;UPPER(Gewinde!$A$5:$A$54)&amp;";",";"&amp;SUBSTITUTE(UPPER(Auftrag!$AG484)," ","")&amp;";"&amp;"X"&amp;UPPER(Gewinde!$A$5:$A$54)&amp;";")-1),";",REPT(" ",50)),50))),Gewinde!$C$5:$C$54),0))</f>
        <v/>
      </c>
      <c r="Q484" s="33">
        <f>IF($A484="","",(N($O484)+$P484)/3600*N(Auftrag!$H$8))</f>
        <v/>
      </c>
      <c r="R484" s="33">
        <f>IF($A484="","",IF($F$8=0,0,$F$7/$F$8))</f>
        <v/>
      </c>
      <c r="S484" s="33">
        <f>IF($A484="","",$F484*(1+$C$4)+($Q484+$R484)*(1+$C$5))</f>
        <v/>
      </c>
      <c r="T484" s="33">
        <f>IF($A484="","",$S484*(1+$C$6))</f>
        <v/>
      </c>
      <c r="U484" s="18">
        <f>IF($A484="","",$T484*$C484)</f>
        <v/>
      </c>
      <c r="V484" s="18">
        <f>IF($A484="","",$S484*$C484)</f>
        <v/>
      </c>
      <c r="W484" s="28">
        <f>IF($A484="","",IF(N(Auftrag!$AO484)&gt;0,"nicht vollständig eingeplant",IF($D484=0,"kein Schnittplan oder Preis",IF($H484="","keine Schneiddaten",IF(AND(Auftrag!$AF484&lt;&gt;"",Auftrag!$AG484=""),"Gewinde ungeprüft","")))))</f>
        <v/>
      </c>
      <c r="X484" s="18">
        <f>IF($A484="","",$F484*$C484)</f>
        <v/>
      </c>
      <c r="Y484" s="18">
        <f>IF($A484="","",$Q484*$C484)</f>
        <v/>
      </c>
    </row>
    <row r="485">
      <c r="A485" s="25">
        <f>IF(Auftrag!$D485="","",Auftrag!$A485)</f>
        <v/>
      </c>
      <c r="B485" s="25">
        <f>IF($A485="","",Auftrag!$B485)</f>
        <v/>
      </c>
      <c r="C485" s="15">
        <f>IF($A485="","",N(Auftrag!$G485))</f>
        <v/>
      </c>
      <c r="D485" s="18">
        <f>IF($A485="","",SUMIFS(Schnittplan!$R$5:$R$1004,Schnittplan!$B$5:$B$1004,Auftrag!$D485,Schnittplan!$C$5:$C$1004,Auftrag!$E485,Schnittplan!$D$5:$D$1004,Auftrag!$Q485))</f>
        <v/>
      </c>
      <c r="E485" s="32">
        <f>IF($A485="","",IFERROR(N(Auftrag!$P485)/SUMIFS(Auftrag!$P$13:$P$512,Auftrag!$D$13:$D$512,Auftrag!$D485,Auftrag!$E$13:$E$512,Auftrag!$E485,Auftrag!$Q$13:$Q$512,Auftrag!$Q485),0))</f>
        <v/>
      </c>
      <c r="F485" s="33">
        <f>IF($A485="","",IF($C485=0,0,$D485*$E485/$C485))</f>
        <v/>
      </c>
      <c r="G485" s="34">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5">
        <f>IF($A485="","",IF($H485="","",60*((N(Auftrag!$H485)-N(Auftrag!$AI485)-N(Auftrag!$AK485))/$H485+N(Auftrag!$AI485)/$J485+N(Auftrag!$AK485)/$I485+N(Auftrag!$AD485)/$K485)+N(Auftrag!$I485)*$L485))</f>
        <v/>
      </c>
      <c r="N485" s="35">
        <f>IF($A485="","",IF(OR($H485="",$C485=0),0,(60*SUMIFS(Stangenbelegung!$K$5:$K$10004,Stangenbelegung!$E$5:$E$10004,ROW())/$H485+SUMIFS(Stangenbelegung!$L$5:$L$10004,Stangenbelegung!$E$5:$E$10004,ROW())*$L485)/$C485))</f>
        <v/>
      </c>
      <c r="O485" s="35">
        <f>IF($A485="","",IF($M485="","",MAX(0,$M485-$N485)))</f>
        <v/>
      </c>
      <c r="P485" s="35">
        <f>IF($A485="","",IFERROR(SUMPRODUCT(--("0"&amp;TRIM(RIGHT(SUBSTITUTE(LEFT(";"&amp;SUBSTITUTE(UPPER(Auftrag!$AG485)," ","")&amp;";"&amp;"X"&amp;UPPER(Gewinde!$A$5:$A$54)&amp;";",SEARCH("X"&amp;UPPER(Gewinde!$A$5:$A$54)&amp;";",";"&amp;SUBSTITUTE(UPPER(Auftrag!$AG485)," ","")&amp;";"&amp;"X"&amp;UPPER(Gewinde!$A$5:$A$54)&amp;";")-1),";",REPT(" ",50)),50))),Gewinde!$C$5:$C$54),0))</f>
        <v/>
      </c>
      <c r="Q485" s="33">
        <f>IF($A485="","",(N($O485)+$P485)/3600*N(Auftrag!$H$8))</f>
        <v/>
      </c>
      <c r="R485" s="33">
        <f>IF($A485="","",IF($F$8=0,0,$F$7/$F$8))</f>
        <v/>
      </c>
      <c r="S485" s="33">
        <f>IF($A485="","",$F485*(1+$C$4)+($Q485+$R485)*(1+$C$5))</f>
        <v/>
      </c>
      <c r="T485" s="33">
        <f>IF($A485="","",$S485*(1+$C$6))</f>
        <v/>
      </c>
      <c r="U485" s="18">
        <f>IF($A485="","",$T485*$C485)</f>
        <v/>
      </c>
      <c r="V485" s="18">
        <f>IF($A485="","",$S485*$C485)</f>
        <v/>
      </c>
      <c r="W485" s="28">
        <f>IF($A485="","",IF(N(Auftrag!$AO485)&gt;0,"nicht vollständig eingeplant",IF($D485=0,"kein Schnittplan oder Preis",IF($H485="","keine Schneiddaten",IF(AND(Auftrag!$AF485&lt;&gt;"",Auftrag!$AG485=""),"Gewinde ungeprüft","")))))</f>
        <v/>
      </c>
      <c r="X485" s="18">
        <f>IF($A485="","",$F485*$C485)</f>
        <v/>
      </c>
      <c r="Y485" s="18">
        <f>IF($A485="","",$Q485*$C485)</f>
        <v/>
      </c>
    </row>
    <row r="486">
      <c r="A486" s="25">
        <f>IF(Auftrag!$D486="","",Auftrag!$A486)</f>
        <v/>
      </c>
      <c r="B486" s="25">
        <f>IF($A486="","",Auftrag!$B486)</f>
        <v/>
      </c>
      <c r="C486" s="15">
        <f>IF($A486="","",N(Auftrag!$G486))</f>
        <v/>
      </c>
      <c r="D486" s="18">
        <f>IF($A486="","",SUMIFS(Schnittplan!$R$5:$R$1004,Schnittplan!$B$5:$B$1004,Auftrag!$D486,Schnittplan!$C$5:$C$1004,Auftrag!$E486,Schnittplan!$D$5:$D$1004,Auftrag!$Q486))</f>
        <v/>
      </c>
      <c r="E486" s="32">
        <f>IF($A486="","",IFERROR(N(Auftrag!$P486)/SUMIFS(Auftrag!$P$13:$P$512,Auftrag!$D$13:$D$512,Auftrag!$D486,Auftrag!$E$13:$E$512,Auftrag!$E486,Auftrag!$Q$13:$Q$512,Auftrag!$Q486),0))</f>
        <v/>
      </c>
      <c r="F486" s="33">
        <f>IF($A486="","",IF($C486=0,0,$D486*$E486/$C486))</f>
        <v/>
      </c>
      <c r="G486" s="34">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5">
        <f>IF($A486="","",IF($H486="","",60*((N(Auftrag!$H486)-N(Auftrag!$AI486)-N(Auftrag!$AK486))/$H486+N(Auftrag!$AI486)/$J486+N(Auftrag!$AK486)/$I486+N(Auftrag!$AD486)/$K486)+N(Auftrag!$I486)*$L486))</f>
        <v/>
      </c>
      <c r="N486" s="35">
        <f>IF($A486="","",IF(OR($H486="",$C486=0),0,(60*SUMIFS(Stangenbelegung!$K$5:$K$10004,Stangenbelegung!$E$5:$E$10004,ROW())/$H486+SUMIFS(Stangenbelegung!$L$5:$L$10004,Stangenbelegung!$E$5:$E$10004,ROW())*$L486)/$C486))</f>
        <v/>
      </c>
      <c r="O486" s="35">
        <f>IF($A486="","",IF($M486="","",MAX(0,$M486-$N486)))</f>
        <v/>
      </c>
      <c r="P486" s="35">
        <f>IF($A486="","",IFERROR(SUMPRODUCT(--("0"&amp;TRIM(RIGHT(SUBSTITUTE(LEFT(";"&amp;SUBSTITUTE(UPPER(Auftrag!$AG486)," ","")&amp;";"&amp;"X"&amp;UPPER(Gewinde!$A$5:$A$54)&amp;";",SEARCH("X"&amp;UPPER(Gewinde!$A$5:$A$54)&amp;";",";"&amp;SUBSTITUTE(UPPER(Auftrag!$AG486)," ","")&amp;";"&amp;"X"&amp;UPPER(Gewinde!$A$5:$A$54)&amp;";")-1),";",REPT(" ",50)),50))),Gewinde!$C$5:$C$54),0))</f>
        <v/>
      </c>
      <c r="Q486" s="33">
        <f>IF($A486="","",(N($O486)+$P486)/3600*N(Auftrag!$H$8))</f>
        <v/>
      </c>
      <c r="R486" s="33">
        <f>IF($A486="","",IF($F$8=0,0,$F$7/$F$8))</f>
        <v/>
      </c>
      <c r="S486" s="33">
        <f>IF($A486="","",$F486*(1+$C$4)+($Q486+$R486)*(1+$C$5))</f>
        <v/>
      </c>
      <c r="T486" s="33">
        <f>IF($A486="","",$S486*(1+$C$6))</f>
        <v/>
      </c>
      <c r="U486" s="18">
        <f>IF($A486="","",$T486*$C486)</f>
        <v/>
      </c>
      <c r="V486" s="18">
        <f>IF($A486="","",$S486*$C486)</f>
        <v/>
      </c>
      <c r="W486" s="28">
        <f>IF($A486="","",IF(N(Auftrag!$AO486)&gt;0,"nicht vollständig eingeplant",IF($D486=0,"kein Schnittplan oder Preis",IF($H486="","keine Schneiddaten",IF(AND(Auftrag!$AF486&lt;&gt;"",Auftrag!$AG486=""),"Gewinde ungeprüft","")))))</f>
        <v/>
      </c>
      <c r="X486" s="18">
        <f>IF($A486="","",$F486*$C486)</f>
        <v/>
      </c>
      <c r="Y486" s="18">
        <f>IF($A486="","",$Q486*$C486)</f>
        <v/>
      </c>
    </row>
    <row r="487">
      <c r="A487" s="25">
        <f>IF(Auftrag!$D487="","",Auftrag!$A487)</f>
        <v/>
      </c>
      <c r="B487" s="25">
        <f>IF($A487="","",Auftrag!$B487)</f>
        <v/>
      </c>
      <c r="C487" s="15">
        <f>IF($A487="","",N(Auftrag!$G487))</f>
        <v/>
      </c>
      <c r="D487" s="18">
        <f>IF($A487="","",SUMIFS(Schnittplan!$R$5:$R$1004,Schnittplan!$B$5:$B$1004,Auftrag!$D487,Schnittplan!$C$5:$C$1004,Auftrag!$E487,Schnittplan!$D$5:$D$1004,Auftrag!$Q487))</f>
        <v/>
      </c>
      <c r="E487" s="32">
        <f>IF($A487="","",IFERROR(N(Auftrag!$P487)/SUMIFS(Auftrag!$P$13:$P$512,Auftrag!$D$13:$D$512,Auftrag!$D487,Auftrag!$E$13:$E$512,Auftrag!$E487,Auftrag!$Q$13:$Q$512,Auftrag!$Q487),0))</f>
        <v/>
      </c>
      <c r="F487" s="33">
        <f>IF($A487="","",IF($C487=0,0,$D487*$E487/$C487))</f>
        <v/>
      </c>
      <c r="G487" s="34">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5">
        <f>IF($A487="","",IF($H487="","",60*((N(Auftrag!$H487)-N(Auftrag!$AI487)-N(Auftrag!$AK487))/$H487+N(Auftrag!$AI487)/$J487+N(Auftrag!$AK487)/$I487+N(Auftrag!$AD487)/$K487)+N(Auftrag!$I487)*$L487))</f>
        <v/>
      </c>
      <c r="N487" s="35">
        <f>IF($A487="","",IF(OR($H487="",$C487=0),0,(60*SUMIFS(Stangenbelegung!$K$5:$K$10004,Stangenbelegung!$E$5:$E$10004,ROW())/$H487+SUMIFS(Stangenbelegung!$L$5:$L$10004,Stangenbelegung!$E$5:$E$10004,ROW())*$L487)/$C487))</f>
        <v/>
      </c>
      <c r="O487" s="35">
        <f>IF($A487="","",IF($M487="","",MAX(0,$M487-$N487)))</f>
        <v/>
      </c>
      <c r="P487" s="35">
        <f>IF($A487="","",IFERROR(SUMPRODUCT(--("0"&amp;TRIM(RIGHT(SUBSTITUTE(LEFT(";"&amp;SUBSTITUTE(UPPER(Auftrag!$AG487)," ","")&amp;";"&amp;"X"&amp;UPPER(Gewinde!$A$5:$A$54)&amp;";",SEARCH("X"&amp;UPPER(Gewinde!$A$5:$A$54)&amp;";",";"&amp;SUBSTITUTE(UPPER(Auftrag!$AG487)," ","")&amp;";"&amp;"X"&amp;UPPER(Gewinde!$A$5:$A$54)&amp;";")-1),";",REPT(" ",50)),50))),Gewinde!$C$5:$C$54),0))</f>
        <v/>
      </c>
      <c r="Q487" s="33">
        <f>IF($A487="","",(N($O487)+$P487)/3600*N(Auftrag!$H$8))</f>
        <v/>
      </c>
      <c r="R487" s="33">
        <f>IF($A487="","",IF($F$8=0,0,$F$7/$F$8))</f>
        <v/>
      </c>
      <c r="S487" s="33">
        <f>IF($A487="","",$F487*(1+$C$4)+($Q487+$R487)*(1+$C$5))</f>
        <v/>
      </c>
      <c r="T487" s="33">
        <f>IF($A487="","",$S487*(1+$C$6))</f>
        <v/>
      </c>
      <c r="U487" s="18">
        <f>IF($A487="","",$T487*$C487)</f>
        <v/>
      </c>
      <c r="V487" s="18">
        <f>IF($A487="","",$S487*$C487)</f>
        <v/>
      </c>
      <c r="W487" s="28">
        <f>IF($A487="","",IF(N(Auftrag!$AO487)&gt;0,"nicht vollständig eingeplant",IF($D487=0,"kein Schnittplan oder Preis",IF($H487="","keine Schneiddaten",IF(AND(Auftrag!$AF487&lt;&gt;"",Auftrag!$AG487=""),"Gewinde ungeprüft","")))))</f>
        <v/>
      </c>
      <c r="X487" s="18">
        <f>IF($A487="","",$F487*$C487)</f>
        <v/>
      </c>
      <c r="Y487" s="18">
        <f>IF($A487="","",$Q487*$C487)</f>
        <v/>
      </c>
    </row>
    <row r="488">
      <c r="A488" s="25">
        <f>IF(Auftrag!$D488="","",Auftrag!$A488)</f>
        <v/>
      </c>
      <c r="B488" s="25">
        <f>IF($A488="","",Auftrag!$B488)</f>
        <v/>
      </c>
      <c r="C488" s="15">
        <f>IF($A488="","",N(Auftrag!$G488))</f>
        <v/>
      </c>
      <c r="D488" s="18">
        <f>IF($A488="","",SUMIFS(Schnittplan!$R$5:$R$1004,Schnittplan!$B$5:$B$1004,Auftrag!$D488,Schnittplan!$C$5:$C$1004,Auftrag!$E488,Schnittplan!$D$5:$D$1004,Auftrag!$Q488))</f>
        <v/>
      </c>
      <c r="E488" s="32">
        <f>IF($A488="","",IFERROR(N(Auftrag!$P488)/SUMIFS(Auftrag!$P$13:$P$512,Auftrag!$D$13:$D$512,Auftrag!$D488,Auftrag!$E$13:$E$512,Auftrag!$E488,Auftrag!$Q$13:$Q$512,Auftrag!$Q488),0))</f>
        <v/>
      </c>
      <c r="F488" s="33">
        <f>IF($A488="","",IF($C488=0,0,$D488*$E488/$C488))</f>
        <v/>
      </c>
      <c r="G488" s="34">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5">
        <f>IF($A488="","",IF($H488="","",60*((N(Auftrag!$H488)-N(Auftrag!$AI488)-N(Auftrag!$AK488))/$H488+N(Auftrag!$AI488)/$J488+N(Auftrag!$AK488)/$I488+N(Auftrag!$AD488)/$K488)+N(Auftrag!$I488)*$L488))</f>
        <v/>
      </c>
      <c r="N488" s="35">
        <f>IF($A488="","",IF(OR($H488="",$C488=0),0,(60*SUMIFS(Stangenbelegung!$K$5:$K$10004,Stangenbelegung!$E$5:$E$10004,ROW())/$H488+SUMIFS(Stangenbelegung!$L$5:$L$10004,Stangenbelegung!$E$5:$E$10004,ROW())*$L488)/$C488))</f>
        <v/>
      </c>
      <c r="O488" s="35">
        <f>IF($A488="","",IF($M488="","",MAX(0,$M488-$N488)))</f>
        <v/>
      </c>
      <c r="P488" s="35">
        <f>IF($A488="","",IFERROR(SUMPRODUCT(--("0"&amp;TRIM(RIGHT(SUBSTITUTE(LEFT(";"&amp;SUBSTITUTE(UPPER(Auftrag!$AG488)," ","")&amp;";"&amp;"X"&amp;UPPER(Gewinde!$A$5:$A$54)&amp;";",SEARCH("X"&amp;UPPER(Gewinde!$A$5:$A$54)&amp;";",";"&amp;SUBSTITUTE(UPPER(Auftrag!$AG488)," ","")&amp;";"&amp;"X"&amp;UPPER(Gewinde!$A$5:$A$54)&amp;";")-1),";",REPT(" ",50)),50))),Gewinde!$C$5:$C$54),0))</f>
        <v/>
      </c>
      <c r="Q488" s="33">
        <f>IF($A488="","",(N($O488)+$P488)/3600*N(Auftrag!$H$8))</f>
        <v/>
      </c>
      <c r="R488" s="33">
        <f>IF($A488="","",IF($F$8=0,0,$F$7/$F$8))</f>
        <v/>
      </c>
      <c r="S488" s="33">
        <f>IF($A488="","",$F488*(1+$C$4)+($Q488+$R488)*(1+$C$5))</f>
        <v/>
      </c>
      <c r="T488" s="33">
        <f>IF($A488="","",$S488*(1+$C$6))</f>
        <v/>
      </c>
      <c r="U488" s="18">
        <f>IF($A488="","",$T488*$C488)</f>
        <v/>
      </c>
      <c r="V488" s="18">
        <f>IF($A488="","",$S488*$C488)</f>
        <v/>
      </c>
      <c r="W488" s="28">
        <f>IF($A488="","",IF(N(Auftrag!$AO488)&gt;0,"nicht vollständig eingeplant",IF($D488=0,"kein Schnittplan oder Preis",IF($H488="","keine Schneiddaten",IF(AND(Auftrag!$AF488&lt;&gt;"",Auftrag!$AG488=""),"Gewinde ungeprüft","")))))</f>
        <v/>
      </c>
      <c r="X488" s="18">
        <f>IF($A488="","",$F488*$C488)</f>
        <v/>
      </c>
      <c r="Y488" s="18">
        <f>IF($A488="","",$Q488*$C488)</f>
        <v/>
      </c>
    </row>
    <row r="489">
      <c r="A489" s="25">
        <f>IF(Auftrag!$D489="","",Auftrag!$A489)</f>
        <v/>
      </c>
      <c r="B489" s="25">
        <f>IF($A489="","",Auftrag!$B489)</f>
        <v/>
      </c>
      <c r="C489" s="15">
        <f>IF($A489="","",N(Auftrag!$G489))</f>
        <v/>
      </c>
      <c r="D489" s="18">
        <f>IF($A489="","",SUMIFS(Schnittplan!$R$5:$R$1004,Schnittplan!$B$5:$B$1004,Auftrag!$D489,Schnittplan!$C$5:$C$1004,Auftrag!$E489,Schnittplan!$D$5:$D$1004,Auftrag!$Q489))</f>
        <v/>
      </c>
      <c r="E489" s="32">
        <f>IF($A489="","",IFERROR(N(Auftrag!$P489)/SUMIFS(Auftrag!$P$13:$P$512,Auftrag!$D$13:$D$512,Auftrag!$D489,Auftrag!$E$13:$E$512,Auftrag!$E489,Auftrag!$Q$13:$Q$512,Auftrag!$Q489),0))</f>
        <v/>
      </c>
      <c r="F489" s="33">
        <f>IF($A489="","",IF($C489=0,0,$D489*$E489/$C489))</f>
        <v/>
      </c>
      <c r="G489" s="34">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5">
        <f>IF($A489="","",IF($H489="","",60*((N(Auftrag!$H489)-N(Auftrag!$AI489)-N(Auftrag!$AK489))/$H489+N(Auftrag!$AI489)/$J489+N(Auftrag!$AK489)/$I489+N(Auftrag!$AD489)/$K489)+N(Auftrag!$I489)*$L489))</f>
        <v/>
      </c>
      <c r="N489" s="35">
        <f>IF($A489="","",IF(OR($H489="",$C489=0),0,(60*SUMIFS(Stangenbelegung!$K$5:$K$10004,Stangenbelegung!$E$5:$E$10004,ROW())/$H489+SUMIFS(Stangenbelegung!$L$5:$L$10004,Stangenbelegung!$E$5:$E$10004,ROW())*$L489)/$C489))</f>
        <v/>
      </c>
      <c r="O489" s="35">
        <f>IF($A489="","",IF($M489="","",MAX(0,$M489-$N489)))</f>
        <v/>
      </c>
      <c r="P489" s="35">
        <f>IF($A489="","",IFERROR(SUMPRODUCT(--("0"&amp;TRIM(RIGHT(SUBSTITUTE(LEFT(";"&amp;SUBSTITUTE(UPPER(Auftrag!$AG489)," ","")&amp;";"&amp;"X"&amp;UPPER(Gewinde!$A$5:$A$54)&amp;";",SEARCH("X"&amp;UPPER(Gewinde!$A$5:$A$54)&amp;";",";"&amp;SUBSTITUTE(UPPER(Auftrag!$AG489)," ","")&amp;";"&amp;"X"&amp;UPPER(Gewinde!$A$5:$A$54)&amp;";")-1),";",REPT(" ",50)),50))),Gewinde!$C$5:$C$54),0))</f>
        <v/>
      </c>
      <c r="Q489" s="33">
        <f>IF($A489="","",(N($O489)+$P489)/3600*N(Auftrag!$H$8))</f>
        <v/>
      </c>
      <c r="R489" s="33">
        <f>IF($A489="","",IF($F$8=0,0,$F$7/$F$8))</f>
        <v/>
      </c>
      <c r="S489" s="33">
        <f>IF($A489="","",$F489*(1+$C$4)+($Q489+$R489)*(1+$C$5))</f>
        <v/>
      </c>
      <c r="T489" s="33">
        <f>IF($A489="","",$S489*(1+$C$6))</f>
        <v/>
      </c>
      <c r="U489" s="18">
        <f>IF($A489="","",$T489*$C489)</f>
        <v/>
      </c>
      <c r="V489" s="18">
        <f>IF($A489="","",$S489*$C489)</f>
        <v/>
      </c>
      <c r="W489" s="28">
        <f>IF($A489="","",IF(N(Auftrag!$AO489)&gt;0,"nicht vollständig eingeplant",IF($D489=0,"kein Schnittplan oder Preis",IF($H489="","keine Schneiddaten",IF(AND(Auftrag!$AF489&lt;&gt;"",Auftrag!$AG489=""),"Gewinde ungeprüft","")))))</f>
        <v/>
      </c>
      <c r="X489" s="18">
        <f>IF($A489="","",$F489*$C489)</f>
        <v/>
      </c>
      <c r="Y489" s="18">
        <f>IF($A489="","",$Q489*$C489)</f>
        <v/>
      </c>
    </row>
    <row r="490">
      <c r="A490" s="25">
        <f>IF(Auftrag!$D490="","",Auftrag!$A490)</f>
        <v/>
      </c>
      <c r="B490" s="25">
        <f>IF($A490="","",Auftrag!$B490)</f>
        <v/>
      </c>
      <c r="C490" s="15">
        <f>IF($A490="","",N(Auftrag!$G490))</f>
        <v/>
      </c>
      <c r="D490" s="18">
        <f>IF($A490="","",SUMIFS(Schnittplan!$R$5:$R$1004,Schnittplan!$B$5:$B$1004,Auftrag!$D490,Schnittplan!$C$5:$C$1004,Auftrag!$E490,Schnittplan!$D$5:$D$1004,Auftrag!$Q490))</f>
        <v/>
      </c>
      <c r="E490" s="32">
        <f>IF($A490="","",IFERROR(N(Auftrag!$P490)/SUMIFS(Auftrag!$P$13:$P$512,Auftrag!$D$13:$D$512,Auftrag!$D490,Auftrag!$E$13:$E$512,Auftrag!$E490,Auftrag!$Q$13:$Q$512,Auftrag!$Q490),0))</f>
        <v/>
      </c>
      <c r="F490" s="33">
        <f>IF($A490="","",IF($C490=0,0,$D490*$E490/$C490))</f>
        <v/>
      </c>
      <c r="G490" s="34">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5">
        <f>IF($A490="","",IF($H490="","",60*((N(Auftrag!$H490)-N(Auftrag!$AI490)-N(Auftrag!$AK490))/$H490+N(Auftrag!$AI490)/$J490+N(Auftrag!$AK490)/$I490+N(Auftrag!$AD490)/$K490)+N(Auftrag!$I490)*$L490))</f>
        <v/>
      </c>
      <c r="N490" s="35">
        <f>IF($A490="","",IF(OR($H490="",$C490=0),0,(60*SUMIFS(Stangenbelegung!$K$5:$K$10004,Stangenbelegung!$E$5:$E$10004,ROW())/$H490+SUMIFS(Stangenbelegung!$L$5:$L$10004,Stangenbelegung!$E$5:$E$10004,ROW())*$L490)/$C490))</f>
        <v/>
      </c>
      <c r="O490" s="35">
        <f>IF($A490="","",IF($M490="","",MAX(0,$M490-$N490)))</f>
        <v/>
      </c>
      <c r="P490" s="35">
        <f>IF($A490="","",IFERROR(SUMPRODUCT(--("0"&amp;TRIM(RIGHT(SUBSTITUTE(LEFT(";"&amp;SUBSTITUTE(UPPER(Auftrag!$AG490)," ","")&amp;";"&amp;"X"&amp;UPPER(Gewinde!$A$5:$A$54)&amp;";",SEARCH("X"&amp;UPPER(Gewinde!$A$5:$A$54)&amp;";",";"&amp;SUBSTITUTE(UPPER(Auftrag!$AG490)," ","")&amp;";"&amp;"X"&amp;UPPER(Gewinde!$A$5:$A$54)&amp;";")-1),";",REPT(" ",50)),50))),Gewinde!$C$5:$C$54),0))</f>
        <v/>
      </c>
      <c r="Q490" s="33">
        <f>IF($A490="","",(N($O490)+$P490)/3600*N(Auftrag!$H$8))</f>
        <v/>
      </c>
      <c r="R490" s="33">
        <f>IF($A490="","",IF($F$8=0,0,$F$7/$F$8))</f>
        <v/>
      </c>
      <c r="S490" s="33">
        <f>IF($A490="","",$F490*(1+$C$4)+($Q490+$R490)*(1+$C$5))</f>
        <v/>
      </c>
      <c r="T490" s="33">
        <f>IF($A490="","",$S490*(1+$C$6))</f>
        <v/>
      </c>
      <c r="U490" s="18">
        <f>IF($A490="","",$T490*$C490)</f>
        <v/>
      </c>
      <c r="V490" s="18">
        <f>IF($A490="","",$S490*$C490)</f>
        <v/>
      </c>
      <c r="W490" s="28">
        <f>IF($A490="","",IF(N(Auftrag!$AO490)&gt;0,"nicht vollständig eingeplant",IF($D490=0,"kein Schnittplan oder Preis",IF($H490="","keine Schneiddaten",IF(AND(Auftrag!$AF490&lt;&gt;"",Auftrag!$AG490=""),"Gewinde ungeprüft","")))))</f>
        <v/>
      </c>
      <c r="X490" s="18">
        <f>IF($A490="","",$F490*$C490)</f>
        <v/>
      </c>
      <c r="Y490" s="18">
        <f>IF($A490="","",$Q490*$C490)</f>
        <v/>
      </c>
    </row>
    <row r="491">
      <c r="A491" s="25">
        <f>IF(Auftrag!$D491="","",Auftrag!$A491)</f>
        <v/>
      </c>
      <c r="B491" s="25">
        <f>IF($A491="","",Auftrag!$B491)</f>
        <v/>
      </c>
      <c r="C491" s="15">
        <f>IF($A491="","",N(Auftrag!$G491))</f>
        <v/>
      </c>
      <c r="D491" s="18">
        <f>IF($A491="","",SUMIFS(Schnittplan!$R$5:$R$1004,Schnittplan!$B$5:$B$1004,Auftrag!$D491,Schnittplan!$C$5:$C$1004,Auftrag!$E491,Schnittplan!$D$5:$D$1004,Auftrag!$Q491))</f>
        <v/>
      </c>
      <c r="E491" s="32">
        <f>IF($A491="","",IFERROR(N(Auftrag!$P491)/SUMIFS(Auftrag!$P$13:$P$512,Auftrag!$D$13:$D$512,Auftrag!$D491,Auftrag!$E$13:$E$512,Auftrag!$E491,Auftrag!$Q$13:$Q$512,Auftrag!$Q491),0))</f>
        <v/>
      </c>
      <c r="F491" s="33">
        <f>IF($A491="","",IF($C491=0,0,$D491*$E491/$C491))</f>
        <v/>
      </c>
      <c r="G491" s="34">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5">
        <f>IF($A491="","",IF($H491="","",60*((N(Auftrag!$H491)-N(Auftrag!$AI491)-N(Auftrag!$AK491))/$H491+N(Auftrag!$AI491)/$J491+N(Auftrag!$AK491)/$I491+N(Auftrag!$AD491)/$K491)+N(Auftrag!$I491)*$L491))</f>
        <v/>
      </c>
      <c r="N491" s="35">
        <f>IF($A491="","",IF(OR($H491="",$C491=0),0,(60*SUMIFS(Stangenbelegung!$K$5:$K$10004,Stangenbelegung!$E$5:$E$10004,ROW())/$H491+SUMIFS(Stangenbelegung!$L$5:$L$10004,Stangenbelegung!$E$5:$E$10004,ROW())*$L491)/$C491))</f>
        <v/>
      </c>
      <c r="O491" s="35">
        <f>IF($A491="","",IF($M491="","",MAX(0,$M491-$N491)))</f>
        <v/>
      </c>
      <c r="P491" s="35">
        <f>IF($A491="","",IFERROR(SUMPRODUCT(--("0"&amp;TRIM(RIGHT(SUBSTITUTE(LEFT(";"&amp;SUBSTITUTE(UPPER(Auftrag!$AG491)," ","")&amp;";"&amp;"X"&amp;UPPER(Gewinde!$A$5:$A$54)&amp;";",SEARCH("X"&amp;UPPER(Gewinde!$A$5:$A$54)&amp;";",";"&amp;SUBSTITUTE(UPPER(Auftrag!$AG491)," ","")&amp;";"&amp;"X"&amp;UPPER(Gewinde!$A$5:$A$54)&amp;";")-1),";",REPT(" ",50)),50))),Gewinde!$C$5:$C$54),0))</f>
        <v/>
      </c>
      <c r="Q491" s="33">
        <f>IF($A491="","",(N($O491)+$P491)/3600*N(Auftrag!$H$8))</f>
        <v/>
      </c>
      <c r="R491" s="33">
        <f>IF($A491="","",IF($F$8=0,0,$F$7/$F$8))</f>
        <v/>
      </c>
      <c r="S491" s="33">
        <f>IF($A491="","",$F491*(1+$C$4)+($Q491+$R491)*(1+$C$5))</f>
        <v/>
      </c>
      <c r="T491" s="33">
        <f>IF($A491="","",$S491*(1+$C$6))</f>
        <v/>
      </c>
      <c r="U491" s="18">
        <f>IF($A491="","",$T491*$C491)</f>
        <v/>
      </c>
      <c r="V491" s="18">
        <f>IF($A491="","",$S491*$C491)</f>
        <v/>
      </c>
      <c r="W491" s="28">
        <f>IF($A491="","",IF(N(Auftrag!$AO491)&gt;0,"nicht vollständig eingeplant",IF($D491=0,"kein Schnittplan oder Preis",IF($H491="","keine Schneiddaten",IF(AND(Auftrag!$AF491&lt;&gt;"",Auftrag!$AG491=""),"Gewinde ungeprüft","")))))</f>
        <v/>
      </c>
      <c r="X491" s="18">
        <f>IF($A491="","",$F491*$C491)</f>
        <v/>
      </c>
      <c r="Y491" s="18">
        <f>IF($A491="","",$Q491*$C491)</f>
        <v/>
      </c>
    </row>
    <row r="492">
      <c r="A492" s="25">
        <f>IF(Auftrag!$D492="","",Auftrag!$A492)</f>
        <v/>
      </c>
      <c r="B492" s="25">
        <f>IF($A492="","",Auftrag!$B492)</f>
        <v/>
      </c>
      <c r="C492" s="15">
        <f>IF($A492="","",N(Auftrag!$G492))</f>
        <v/>
      </c>
      <c r="D492" s="18">
        <f>IF($A492="","",SUMIFS(Schnittplan!$R$5:$R$1004,Schnittplan!$B$5:$B$1004,Auftrag!$D492,Schnittplan!$C$5:$C$1004,Auftrag!$E492,Schnittplan!$D$5:$D$1004,Auftrag!$Q492))</f>
        <v/>
      </c>
      <c r="E492" s="32">
        <f>IF($A492="","",IFERROR(N(Auftrag!$P492)/SUMIFS(Auftrag!$P$13:$P$512,Auftrag!$D$13:$D$512,Auftrag!$D492,Auftrag!$E$13:$E$512,Auftrag!$E492,Auftrag!$Q$13:$Q$512,Auftrag!$Q492),0))</f>
        <v/>
      </c>
      <c r="F492" s="33">
        <f>IF($A492="","",IF($C492=0,0,$D492*$E492/$C492))</f>
        <v/>
      </c>
      <c r="G492" s="34">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5">
        <f>IF($A492="","",IF($H492="","",60*((N(Auftrag!$H492)-N(Auftrag!$AI492)-N(Auftrag!$AK492))/$H492+N(Auftrag!$AI492)/$J492+N(Auftrag!$AK492)/$I492+N(Auftrag!$AD492)/$K492)+N(Auftrag!$I492)*$L492))</f>
        <v/>
      </c>
      <c r="N492" s="35">
        <f>IF($A492="","",IF(OR($H492="",$C492=0),0,(60*SUMIFS(Stangenbelegung!$K$5:$K$10004,Stangenbelegung!$E$5:$E$10004,ROW())/$H492+SUMIFS(Stangenbelegung!$L$5:$L$10004,Stangenbelegung!$E$5:$E$10004,ROW())*$L492)/$C492))</f>
        <v/>
      </c>
      <c r="O492" s="35">
        <f>IF($A492="","",IF($M492="","",MAX(0,$M492-$N492)))</f>
        <v/>
      </c>
      <c r="P492" s="35">
        <f>IF($A492="","",IFERROR(SUMPRODUCT(--("0"&amp;TRIM(RIGHT(SUBSTITUTE(LEFT(";"&amp;SUBSTITUTE(UPPER(Auftrag!$AG492)," ","")&amp;";"&amp;"X"&amp;UPPER(Gewinde!$A$5:$A$54)&amp;";",SEARCH("X"&amp;UPPER(Gewinde!$A$5:$A$54)&amp;";",";"&amp;SUBSTITUTE(UPPER(Auftrag!$AG492)," ","")&amp;";"&amp;"X"&amp;UPPER(Gewinde!$A$5:$A$54)&amp;";")-1),";",REPT(" ",50)),50))),Gewinde!$C$5:$C$54),0))</f>
        <v/>
      </c>
      <c r="Q492" s="33">
        <f>IF($A492="","",(N($O492)+$P492)/3600*N(Auftrag!$H$8))</f>
        <v/>
      </c>
      <c r="R492" s="33">
        <f>IF($A492="","",IF($F$8=0,0,$F$7/$F$8))</f>
        <v/>
      </c>
      <c r="S492" s="33">
        <f>IF($A492="","",$F492*(1+$C$4)+($Q492+$R492)*(1+$C$5))</f>
        <v/>
      </c>
      <c r="T492" s="33">
        <f>IF($A492="","",$S492*(1+$C$6))</f>
        <v/>
      </c>
      <c r="U492" s="18">
        <f>IF($A492="","",$T492*$C492)</f>
        <v/>
      </c>
      <c r="V492" s="18">
        <f>IF($A492="","",$S492*$C492)</f>
        <v/>
      </c>
      <c r="W492" s="28">
        <f>IF($A492="","",IF(N(Auftrag!$AO492)&gt;0,"nicht vollständig eingeplant",IF($D492=0,"kein Schnittplan oder Preis",IF($H492="","keine Schneiddaten",IF(AND(Auftrag!$AF492&lt;&gt;"",Auftrag!$AG492=""),"Gewinde ungeprüft","")))))</f>
        <v/>
      </c>
      <c r="X492" s="18">
        <f>IF($A492="","",$F492*$C492)</f>
        <v/>
      </c>
      <c r="Y492" s="18">
        <f>IF($A492="","",$Q492*$C492)</f>
        <v/>
      </c>
    </row>
    <row r="493">
      <c r="A493" s="25">
        <f>IF(Auftrag!$D493="","",Auftrag!$A493)</f>
        <v/>
      </c>
      <c r="B493" s="25">
        <f>IF($A493="","",Auftrag!$B493)</f>
        <v/>
      </c>
      <c r="C493" s="15">
        <f>IF($A493="","",N(Auftrag!$G493))</f>
        <v/>
      </c>
      <c r="D493" s="18">
        <f>IF($A493="","",SUMIFS(Schnittplan!$R$5:$R$1004,Schnittplan!$B$5:$B$1004,Auftrag!$D493,Schnittplan!$C$5:$C$1004,Auftrag!$E493,Schnittplan!$D$5:$D$1004,Auftrag!$Q493))</f>
        <v/>
      </c>
      <c r="E493" s="32">
        <f>IF($A493="","",IFERROR(N(Auftrag!$P493)/SUMIFS(Auftrag!$P$13:$P$512,Auftrag!$D$13:$D$512,Auftrag!$D493,Auftrag!$E$13:$E$512,Auftrag!$E493,Auftrag!$Q$13:$Q$512,Auftrag!$Q493),0))</f>
        <v/>
      </c>
      <c r="F493" s="33">
        <f>IF($A493="","",IF($C493=0,0,$D493*$E493/$C493))</f>
        <v/>
      </c>
      <c r="G493" s="34">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5">
        <f>IF($A493="","",IF($H493="","",60*((N(Auftrag!$H493)-N(Auftrag!$AI493)-N(Auftrag!$AK493))/$H493+N(Auftrag!$AI493)/$J493+N(Auftrag!$AK493)/$I493+N(Auftrag!$AD493)/$K493)+N(Auftrag!$I493)*$L493))</f>
        <v/>
      </c>
      <c r="N493" s="35">
        <f>IF($A493="","",IF(OR($H493="",$C493=0),0,(60*SUMIFS(Stangenbelegung!$K$5:$K$10004,Stangenbelegung!$E$5:$E$10004,ROW())/$H493+SUMIFS(Stangenbelegung!$L$5:$L$10004,Stangenbelegung!$E$5:$E$10004,ROW())*$L493)/$C493))</f>
        <v/>
      </c>
      <c r="O493" s="35">
        <f>IF($A493="","",IF($M493="","",MAX(0,$M493-$N493)))</f>
        <v/>
      </c>
      <c r="P493" s="35">
        <f>IF($A493="","",IFERROR(SUMPRODUCT(--("0"&amp;TRIM(RIGHT(SUBSTITUTE(LEFT(";"&amp;SUBSTITUTE(UPPER(Auftrag!$AG493)," ","")&amp;";"&amp;"X"&amp;UPPER(Gewinde!$A$5:$A$54)&amp;";",SEARCH("X"&amp;UPPER(Gewinde!$A$5:$A$54)&amp;";",";"&amp;SUBSTITUTE(UPPER(Auftrag!$AG493)," ","")&amp;";"&amp;"X"&amp;UPPER(Gewinde!$A$5:$A$54)&amp;";")-1),";",REPT(" ",50)),50))),Gewinde!$C$5:$C$54),0))</f>
        <v/>
      </c>
      <c r="Q493" s="33">
        <f>IF($A493="","",(N($O493)+$P493)/3600*N(Auftrag!$H$8))</f>
        <v/>
      </c>
      <c r="R493" s="33">
        <f>IF($A493="","",IF($F$8=0,0,$F$7/$F$8))</f>
        <v/>
      </c>
      <c r="S493" s="33">
        <f>IF($A493="","",$F493*(1+$C$4)+($Q493+$R493)*(1+$C$5))</f>
        <v/>
      </c>
      <c r="T493" s="33">
        <f>IF($A493="","",$S493*(1+$C$6))</f>
        <v/>
      </c>
      <c r="U493" s="18">
        <f>IF($A493="","",$T493*$C493)</f>
        <v/>
      </c>
      <c r="V493" s="18">
        <f>IF($A493="","",$S493*$C493)</f>
        <v/>
      </c>
      <c r="W493" s="28">
        <f>IF($A493="","",IF(N(Auftrag!$AO493)&gt;0,"nicht vollständig eingeplant",IF($D493=0,"kein Schnittplan oder Preis",IF($H493="","keine Schneiddaten",IF(AND(Auftrag!$AF493&lt;&gt;"",Auftrag!$AG493=""),"Gewinde ungeprüft","")))))</f>
        <v/>
      </c>
      <c r="X493" s="18">
        <f>IF($A493="","",$F493*$C493)</f>
        <v/>
      </c>
      <c r="Y493" s="18">
        <f>IF($A493="","",$Q493*$C493)</f>
        <v/>
      </c>
    </row>
    <row r="494">
      <c r="A494" s="25">
        <f>IF(Auftrag!$D494="","",Auftrag!$A494)</f>
        <v/>
      </c>
      <c r="B494" s="25">
        <f>IF($A494="","",Auftrag!$B494)</f>
        <v/>
      </c>
      <c r="C494" s="15">
        <f>IF($A494="","",N(Auftrag!$G494))</f>
        <v/>
      </c>
      <c r="D494" s="18">
        <f>IF($A494="","",SUMIFS(Schnittplan!$R$5:$R$1004,Schnittplan!$B$5:$B$1004,Auftrag!$D494,Schnittplan!$C$5:$C$1004,Auftrag!$E494,Schnittplan!$D$5:$D$1004,Auftrag!$Q494))</f>
        <v/>
      </c>
      <c r="E494" s="32">
        <f>IF($A494="","",IFERROR(N(Auftrag!$P494)/SUMIFS(Auftrag!$P$13:$P$512,Auftrag!$D$13:$D$512,Auftrag!$D494,Auftrag!$E$13:$E$512,Auftrag!$E494,Auftrag!$Q$13:$Q$512,Auftrag!$Q494),0))</f>
        <v/>
      </c>
      <c r="F494" s="33">
        <f>IF($A494="","",IF($C494=0,0,$D494*$E494/$C494))</f>
        <v/>
      </c>
      <c r="G494" s="34">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5">
        <f>IF($A494="","",IF($H494="","",60*((N(Auftrag!$H494)-N(Auftrag!$AI494)-N(Auftrag!$AK494))/$H494+N(Auftrag!$AI494)/$J494+N(Auftrag!$AK494)/$I494+N(Auftrag!$AD494)/$K494)+N(Auftrag!$I494)*$L494))</f>
        <v/>
      </c>
      <c r="N494" s="35">
        <f>IF($A494="","",IF(OR($H494="",$C494=0),0,(60*SUMIFS(Stangenbelegung!$K$5:$K$10004,Stangenbelegung!$E$5:$E$10004,ROW())/$H494+SUMIFS(Stangenbelegung!$L$5:$L$10004,Stangenbelegung!$E$5:$E$10004,ROW())*$L494)/$C494))</f>
        <v/>
      </c>
      <c r="O494" s="35">
        <f>IF($A494="","",IF($M494="","",MAX(0,$M494-$N494)))</f>
        <v/>
      </c>
      <c r="P494" s="35">
        <f>IF($A494="","",IFERROR(SUMPRODUCT(--("0"&amp;TRIM(RIGHT(SUBSTITUTE(LEFT(";"&amp;SUBSTITUTE(UPPER(Auftrag!$AG494)," ","")&amp;";"&amp;"X"&amp;UPPER(Gewinde!$A$5:$A$54)&amp;";",SEARCH("X"&amp;UPPER(Gewinde!$A$5:$A$54)&amp;";",";"&amp;SUBSTITUTE(UPPER(Auftrag!$AG494)," ","")&amp;";"&amp;"X"&amp;UPPER(Gewinde!$A$5:$A$54)&amp;";")-1),";",REPT(" ",50)),50))),Gewinde!$C$5:$C$54),0))</f>
        <v/>
      </c>
      <c r="Q494" s="33">
        <f>IF($A494="","",(N($O494)+$P494)/3600*N(Auftrag!$H$8))</f>
        <v/>
      </c>
      <c r="R494" s="33">
        <f>IF($A494="","",IF($F$8=0,0,$F$7/$F$8))</f>
        <v/>
      </c>
      <c r="S494" s="33">
        <f>IF($A494="","",$F494*(1+$C$4)+($Q494+$R494)*(1+$C$5))</f>
        <v/>
      </c>
      <c r="T494" s="33">
        <f>IF($A494="","",$S494*(1+$C$6))</f>
        <v/>
      </c>
      <c r="U494" s="18">
        <f>IF($A494="","",$T494*$C494)</f>
        <v/>
      </c>
      <c r="V494" s="18">
        <f>IF($A494="","",$S494*$C494)</f>
        <v/>
      </c>
      <c r="W494" s="28">
        <f>IF($A494="","",IF(N(Auftrag!$AO494)&gt;0,"nicht vollständig eingeplant",IF($D494=0,"kein Schnittplan oder Preis",IF($H494="","keine Schneiddaten",IF(AND(Auftrag!$AF494&lt;&gt;"",Auftrag!$AG494=""),"Gewinde ungeprüft","")))))</f>
        <v/>
      </c>
      <c r="X494" s="18">
        <f>IF($A494="","",$F494*$C494)</f>
        <v/>
      </c>
      <c r="Y494" s="18">
        <f>IF($A494="","",$Q494*$C494)</f>
        <v/>
      </c>
    </row>
    <row r="495">
      <c r="A495" s="25">
        <f>IF(Auftrag!$D495="","",Auftrag!$A495)</f>
        <v/>
      </c>
      <c r="B495" s="25">
        <f>IF($A495="","",Auftrag!$B495)</f>
        <v/>
      </c>
      <c r="C495" s="15">
        <f>IF($A495="","",N(Auftrag!$G495))</f>
        <v/>
      </c>
      <c r="D495" s="18">
        <f>IF($A495="","",SUMIFS(Schnittplan!$R$5:$R$1004,Schnittplan!$B$5:$B$1004,Auftrag!$D495,Schnittplan!$C$5:$C$1004,Auftrag!$E495,Schnittplan!$D$5:$D$1004,Auftrag!$Q495))</f>
        <v/>
      </c>
      <c r="E495" s="32">
        <f>IF($A495="","",IFERROR(N(Auftrag!$P495)/SUMIFS(Auftrag!$P$13:$P$512,Auftrag!$D$13:$D$512,Auftrag!$D495,Auftrag!$E$13:$E$512,Auftrag!$E495,Auftrag!$Q$13:$Q$512,Auftrag!$Q495),0))</f>
        <v/>
      </c>
      <c r="F495" s="33">
        <f>IF($A495="","",IF($C495=0,0,$D495*$E495/$C495))</f>
        <v/>
      </c>
      <c r="G495" s="34">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5">
        <f>IF($A495="","",IF($H495="","",60*((N(Auftrag!$H495)-N(Auftrag!$AI495)-N(Auftrag!$AK495))/$H495+N(Auftrag!$AI495)/$J495+N(Auftrag!$AK495)/$I495+N(Auftrag!$AD495)/$K495)+N(Auftrag!$I495)*$L495))</f>
        <v/>
      </c>
      <c r="N495" s="35">
        <f>IF($A495="","",IF(OR($H495="",$C495=0),0,(60*SUMIFS(Stangenbelegung!$K$5:$K$10004,Stangenbelegung!$E$5:$E$10004,ROW())/$H495+SUMIFS(Stangenbelegung!$L$5:$L$10004,Stangenbelegung!$E$5:$E$10004,ROW())*$L495)/$C495))</f>
        <v/>
      </c>
      <c r="O495" s="35">
        <f>IF($A495="","",IF($M495="","",MAX(0,$M495-$N495)))</f>
        <v/>
      </c>
      <c r="P495" s="35">
        <f>IF($A495="","",IFERROR(SUMPRODUCT(--("0"&amp;TRIM(RIGHT(SUBSTITUTE(LEFT(";"&amp;SUBSTITUTE(UPPER(Auftrag!$AG495)," ","")&amp;";"&amp;"X"&amp;UPPER(Gewinde!$A$5:$A$54)&amp;";",SEARCH("X"&amp;UPPER(Gewinde!$A$5:$A$54)&amp;";",";"&amp;SUBSTITUTE(UPPER(Auftrag!$AG495)," ","")&amp;";"&amp;"X"&amp;UPPER(Gewinde!$A$5:$A$54)&amp;";")-1),";",REPT(" ",50)),50))),Gewinde!$C$5:$C$54),0))</f>
        <v/>
      </c>
      <c r="Q495" s="33">
        <f>IF($A495="","",(N($O495)+$P495)/3600*N(Auftrag!$H$8))</f>
        <v/>
      </c>
      <c r="R495" s="33">
        <f>IF($A495="","",IF($F$8=0,0,$F$7/$F$8))</f>
        <v/>
      </c>
      <c r="S495" s="33">
        <f>IF($A495="","",$F495*(1+$C$4)+($Q495+$R495)*(1+$C$5))</f>
        <v/>
      </c>
      <c r="T495" s="33">
        <f>IF($A495="","",$S495*(1+$C$6))</f>
        <v/>
      </c>
      <c r="U495" s="18">
        <f>IF($A495="","",$T495*$C495)</f>
        <v/>
      </c>
      <c r="V495" s="18">
        <f>IF($A495="","",$S495*$C495)</f>
        <v/>
      </c>
      <c r="W495" s="28">
        <f>IF($A495="","",IF(N(Auftrag!$AO495)&gt;0,"nicht vollständig eingeplant",IF($D495=0,"kein Schnittplan oder Preis",IF($H495="","keine Schneiddaten",IF(AND(Auftrag!$AF495&lt;&gt;"",Auftrag!$AG495=""),"Gewinde ungeprüft","")))))</f>
        <v/>
      </c>
      <c r="X495" s="18">
        <f>IF($A495="","",$F495*$C495)</f>
        <v/>
      </c>
      <c r="Y495" s="18">
        <f>IF($A495="","",$Q495*$C495)</f>
        <v/>
      </c>
    </row>
    <row r="496">
      <c r="A496" s="25">
        <f>IF(Auftrag!$D496="","",Auftrag!$A496)</f>
        <v/>
      </c>
      <c r="B496" s="25">
        <f>IF($A496="","",Auftrag!$B496)</f>
        <v/>
      </c>
      <c r="C496" s="15">
        <f>IF($A496="","",N(Auftrag!$G496))</f>
        <v/>
      </c>
      <c r="D496" s="18">
        <f>IF($A496="","",SUMIFS(Schnittplan!$R$5:$R$1004,Schnittplan!$B$5:$B$1004,Auftrag!$D496,Schnittplan!$C$5:$C$1004,Auftrag!$E496,Schnittplan!$D$5:$D$1004,Auftrag!$Q496))</f>
        <v/>
      </c>
      <c r="E496" s="32">
        <f>IF($A496="","",IFERROR(N(Auftrag!$P496)/SUMIFS(Auftrag!$P$13:$P$512,Auftrag!$D$13:$D$512,Auftrag!$D496,Auftrag!$E$13:$E$512,Auftrag!$E496,Auftrag!$Q$13:$Q$512,Auftrag!$Q496),0))</f>
        <v/>
      </c>
      <c r="F496" s="33">
        <f>IF($A496="","",IF($C496=0,0,$D496*$E496/$C496))</f>
        <v/>
      </c>
      <c r="G496" s="34">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5">
        <f>IF($A496="","",IF($H496="","",60*((N(Auftrag!$H496)-N(Auftrag!$AI496)-N(Auftrag!$AK496))/$H496+N(Auftrag!$AI496)/$J496+N(Auftrag!$AK496)/$I496+N(Auftrag!$AD496)/$K496)+N(Auftrag!$I496)*$L496))</f>
        <v/>
      </c>
      <c r="N496" s="35">
        <f>IF($A496="","",IF(OR($H496="",$C496=0),0,(60*SUMIFS(Stangenbelegung!$K$5:$K$10004,Stangenbelegung!$E$5:$E$10004,ROW())/$H496+SUMIFS(Stangenbelegung!$L$5:$L$10004,Stangenbelegung!$E$5:$E$10004,ROW())*$L496)/$C496))</f>
        <v/>
      </c>
      <c r="O496" s="35">
        <f>IF($A496="","",IF($M496="","",MAX(0,$M496-$N496)))</f>
        <v/>
      </c>
      <c r="P496" s="35">
        <f>IF($A496="","",IFERROR(SUMPRODUCT(--("0"&amp;TRIM(RIGHT(SUBSTITUTE(LEFT(";"&amp;SUBSTITUTE(UPPER(Auftrag!$AG496)," ","")&amp;";"&amp;"X"&amp;UPPER(Gewinde!$A$5:$A$54)&amp;";",SEARCH("X"&amp;UPPER(Gewinde!$A$5:$A$54)&amp;";",";"&amp;SUBSTITUTE(UPPER(Auftrag!$AG496)," ","")&amp;";"&amp;"X"&amp;UPPER(Gewinde!$A$5:$A$54)&amp;";")-1),";",REPT(" ",50)),50))),Gewinde!$C$5:$C$54),0))</f>
        <v/>
      </c>
      <c r="Q496" s="33">
        <f>IF($A496="","",(N($O496)+$P496)/3600*N(Auftrag!$H$8))</f>
        <v/>
      </c>
      <c r="R496" s="33">
        <f>IF($A496="","",IF($F$8=0,0,$F$7/$F$8))</f>
        <v/>
      </c>
      <c r="S496" s="33">
        <f>IF($A496="","",$F496*(1+$C$4)+($Q496+$R496)*(1+$C$5))</f>
        <v/>
      </c>
      <c r="T496" s="33">
        <f>IF($A496="","",$S496*(1+$C$6))</f>
        <v/>
      </c>
      <c r="U496" s="18">
        <f>IF($A496="","",$T496*$C496)</f>
        <v/>
      </c>
      <c r="V496" s="18">
        <f>IF($A496="","",$S496*$C496)</f>
        <v/>
      </c>
      <c r="W496" s="28">
        <f>IF($A496="","",IF(N(Auftrag!$AO496)&gt;0,"nicht vollständig eingeplant",IF($D496=0,"kein Schnittplan oder Preis",IF($H496="","keine Schneiddaten",IF(AND(Auftrag!$AF496&lt;&gt;"",Auftrag!$AG496=""),"Gewinde ungeprüft","")))))</f>
        <v/>
      </c>
      <c r="X496" s="18">
        <f>IF($A496="","",$F496*$C496)</f>
        <v/>
      </c>
      <c r="Y496" s="18">
        <f>IF($A496="","",$Q496*$C496)</f>
        <v/>
      </c>
    </row>
    <row r="497">
      <c r="A497" s="25">
        <f>IF(Auftrag!$D497="","",Auftrag!$A497)</f>
        <v/>
      </c>
      <c r="B497" s="25">
        <f>IF($A497="","",Auftrag!$B497)</f>
        <v/>
      </c>
      <c r="C497" s="15">
        <f>IF($A497="","",N(Auftrag!$G497))</f>
        <v/>
      </c>
      <c r="D497" s="18">
        <f>IF($A497="","",SUMIFS(Schnittplan!$R$5:$R$1004,Schnittplan!$B$5:$B$1004,Auftrag!$D497,Schnittplan!$C$5:$C$1004,Auftrag!$E497,Schnittplan!$D$5:$D$1004,Auftrag!$Q497))</f>
        <v/>
      </c>
      <c r="E497" s="32">
        <f>IF($A497="","",IFERROR(N(Auftrag!$P497)/SUMIFS(Auftrag!$P$13:$P$512,Auftrag!$D$13:$D$512,Auftrag!$D497,Auftrag!$E$13:$E$512,Auftrag!$E497,Auftrag!$Q$13:$Q$512,Auftrag!$Q497),0))</f>
        <v/>
      </c>
      <c r="F497" s="33">
        <f>IF($A497="","",IF($C497=0,0,$D497*$E497/$C497))</f>
        <v/>
      </c>
      <c r="G497" s="34">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5">
        <f>IF($A497="","",IF($H497="","",60*((N(Auftrag!$H497)-N(Auftrag!$AI497)-N(Auftrag!$AK497))/$H497+N(Auftrag!$AI497)/$J497+N(Auftrag!$AK497)/$I497+N(Auftrag!$AD497)/$K497)+N(Auftrag!$I497)*$L497))</f>
        <v/>
      </c>
      <c r="N497" s="35">
        <f>IF($A497="","",IF(OR($H497="",$C497=0),0,(60*SUMIFS(Stangenbelegung!$K$5:$K$10004,Stangenbelegung!$E$5:$E$10004,ROW())/$H497+SUMIFS(Stangenbelegung!$L$5:$L$10004,Stangenbelegung!$E$5:$E$10004,ROW())*$L497)/$C497))</f>
        <v/>
      </c>
      <c r="O497" s="35">
        <f>IF($A497="","",IF($M497="","",MAX(0,$M497-$N497)))</f>
        <v/>
      </c>
      <c r="P497" s="35">
        <f>IF($A497="","",IFERROR(SUMPRODUCT(--("0"&amp;TRIM(RIGHT(SUBSTITUTE(LEFT(";"&amp;SUBSTITUTE(UPPER(Auftrag!$AG497)," ","")&amp;";"&amp;"X"&amp;UPPER(Gewinde!$A$5:$A$54)&amp;";",SEARCH("X"&amp;UPPER(Gewinde!$A$5:$A$54)&amp;";",";"&amp;SUBSTITUTE(UPPER(Auftrag!$AG497)," ","")&amp;";"&amp;"X"&amp;UPPER(Gewinde!$A$5:$A$54)&amp;";")-1),";",REPT(" ",50)),50))),Gewinde!$C$5:$C$54),0))</f>
        <v/>
      </c>
      <c r="Q497" s="33">
        <f>IF($A497="","",(N($O497)+$P497)/3600*N(Auftrag!$H$8))</f>
        <v/>
      </c>
      <c r="R497" s="33">
        <f>IF($A497="","",IF($F$8=0,0,$F$7/$F$8))</f>
        <v/>
      </c>
      <c r="S497" s="33">
        <f>IF($A497="","",$F497*(1+$C$4)+($Q497+$R497)*(1+$C$5))</f>
        <v/>
      </c>
      <c r="T497" s="33">
        <f>IF($A497="","",$S497*(1+$C$6))</f>
        <v/>
      </c>
      <c r="U497" s="18">
        <f>IF($A497="","",$T497*$C497)</f>
        <v/>
      </c>
      <c r="V497" s="18">
        <f>IF($A497="","",$S497*$C497)</f>
        <v/>
      </c>
      <c r="W497" s="28">
        <f>IF($A497="","",IF(N(Auftrag!$AO497)&gt;0,"nicht vollständig eingeplant",IF($D497=0,"kein Schnittplan oder Preis",IF($H497="","keine Schneiddaten",IF(AND(Auftrag!$AF497&lt;&gt;"",Auftrag!$AG497=""),"Gewinde ungeprüft","")))))</f>
        <v/>
      </c>
      <c r="X497" s="18">
        <f>IF($A497="","",$F497*$C497)</f>
        <v/>
      </c>
      <c r="Y497" s="18">
        <f>IF($A497="","",$Q497*$C497)</f>
        <v/>
      </c>
    </row>
    <row r="498">
      <c r="A498" s="25">
        <f>IF(Auftrag!$D498="","",Auftrag!$A498)</f>
        <v/>
      </c>
      <c r="B498" s="25">
        <f>IF($A498="","",Auftrag!$B498)</f>
        <v/>
      </c>
      <c r="C498" s="15">
        <f>IF($A498="","",N(Auftrag!$G498))</f>
        <v/>
      </c>
      <c r="D498" s="18">
        <f>IF($A498="","",SUMIFS(Schnittplan!$R$5:$R$1004,Schnittplan!$B$5:$B$1004,Auftrag!$D498,Schnittplan!$C$5:$C$1004,Auftrag!$E498,Schnittplan!$D$5:$D$1004,Auftrag!$Q498))</f>
        <v/>
      </c>
      <c r="E498" s="32">
        <f>IF($A498="","",IFERROR(N(Auftrag!$P498)/SUMIFS(Auftrag!$P$13:$P$512,Auftrag!$D$13:$D$512,Auftrag!$D498,Auftrag!$E$13:$E$512,Auftrag!$E498,Auftrag!$Q$13:$Q$512,Auftrag!$Q498),0))</f>
        <v/>
      </c>
      <c r="F498" s="33">
        <f>IF($A498="","",IF($C498=0,0,$D498*$E498/$C498))</f>
        <v/>
      </c>
      <c r="G498" s="34">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5">
        <f>IF($A498="","",IF($H498="","",60*((N(Auftrag!$H498)-N(Auftrag!$AI498)-N(Auftrag!$AK498))/$H498+N(Auftrag!$AI498)/$J498+N(Auftrag!$AK498)/$I498+N(Auftrag!$AD498)/$K498)+N(Auftrag!$I498)*$L498))</f>
        <v/>
      </c>
      <c r="N498" s="35">
        <f>IF($A498="","",IF(OR($H498="",$C498=0),0,(60*SUMIFS(Stangenbelegung!$K$5:$K$10004,Stangenbelegung!$E$5:$E$10004,ROW())/$H498+SUMIFS(Stangenbelegung!$L$5:$L$10004,Stangenbelegung!$E$5:$E$10004,ROW())*$L498)/$C498))</f>
        <v/>
      </c>
      <c r="O498" s="35">
        <f>IF($A498="","",IF($M498="","",MAX(0,$M498-$N498)))</f>
        <v/>
      </c>
      <c r="P498" s="35">
        <f>IF($A498="","",IFERROR(SUMPRODUCT(--("0"&amp;TRIM(RIGHT(SUBSTITUTE(LEFT(";"&amp;SUBSTITUTE(UPPER(Auftrag!$AG498)," ","")&amp;";"&amp;"X"&amp;UPPER(Gewinde!$A$5:$A$54)&amp;";",SEARCH("X"&amp;UPPER(Gewinde!$A$5:$A$54)&amp;";",";"&amp;SUBSTITUTE(UPPER(Auftrag!$AG498)," ","")&amp;";"&amp;"X"&amp;UPPER(Gewinde!$A$5:$A$54)&amp;";")-1),";",REPT(" ",50)),50))),Gewinde!$C$5:$C$54),0))</f>
        <v/>
      </c>
      <c r="Q498" s="33">
        <f>IF($A498="","",(N($O498)+$P498)/3600*N(Auftrag!$H$8))</f>
        <v/>
      </c>
      <c r="R498" s="33">
        <f>IF($A498="","",IF($F$8=0,0,$F$7/$F$8))</f>
        <v/>
      </c>
      <c r="S498" s="33">
        <f>IF($A498="","",$F498*(1+$C$4)+($Q498+$R498)*(1+$C$5))</f>
        <v/>
      </c>
      <c r="T498" s="33">
        <f>IF($A498="","",$S498*(1+$C$6))</f>
        <v/>
      </c>
      <c r="U498" s="18">
        <f>IF($A498="","",$T498*$C498)</f>
        <v/>
      </c>
      <c r="V498" s="18">
        <f>IF($A498="","",$S498*$C498)</f>
        <v/>
      </c>
      <c r="W498" s="28">
        <f>IF($A498="","",IF(N(Auftrag!$AO498)&gt;0,"nicht vollständig eingeplant",IF($D498=0,"kein Schnittplan oder Preis",IF($H498="","keine Schneiddaten",IF(AND(Auftrag!$AF498&lt;&gt;"",Auftrag!$AG498=""),"Gewinde ungeprüft","")))))</f>
        <v/>
      </c>
      <c r="X498" s="18">
        <f>IF($A498="","",$F498*$C498)</f>
        <v/>
      </c>
      <c r="Y498" s="18">
        <f>IF($A498="","",$Q498*$C498)</f>
        <v/>
      </c>
    </row>
    <row r="499">
      <c r="A499" s="25">
        <f>IF(Auftrag!$D499="","",Auftrag!$A499)</f>
        <v/>
      </c>
      <c r="B499" s="25">
        <f>IF($A499="","",Auftrag!$B499)</f>
        <v/>
      </c>
      <c r="C499" s="15">
        <f>IF($A499="","",N(Auftrag!$G499))</f>
        <v/>
      </c>
      <c r="D499" s="18">
        <f>IF($A499="","",SUMIFS(Schnittplan!$R$5:$R$1004,Schnittplan!$B$5:$B$1004,Auftrag!$D499,Schnittplan!$C$5:$C$1004,Auftrag!$E499,Schnittplan!$D$5:$D$1004,Auftrag!$Q499))</f>
        <v/>
      </c>
      <c r="E499" s="32">
        <f>IF($A499="","",IFERROR(N(Auftrag!$P499)/SUMIFS(Auftrag!$P$13:$P$512,Auftrag!$D$13:$D$512,Auftrag!$D499,Auftrag!$E$13:$E$512,Auftrag!$E499,Auftrag!$Q$13:$Q$512,Auftrag!$Q499),0))</f>
        <v/>
      </c>
      <c r="F499" s="33">
        <f>IF($A499="","",IF($C499=0,0,$D499*$E499/$C499))</f>
        <v/>
      </c>
      <c r="G499" s="34">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5">
        <f>IF($A499="","",IF($H499="","",60*((N(Auftrag!$H499)-N(Auftrag!$AI499)-N(Auftrag!$AK499))/$H499+N(Auftrag!$AI499)/$J499+N(Auftrag!$AK499)/$I499+N(Auftrag!$AD499)/$K499)+N(Auftrag!$I499)*$L499))</f>
        <v/>
      </c>
      <c r="N499" s="35">
        <f>IF($A499="","",IF(OR($H499="",$C499=0),0,(60*SUMIFS(Stangenbelegung!$K$5:$K$10004,Stangenbelegung!$E$5:$E$10004,ROW())/$H499+SUMIFS(Stangenbelegung!$L$5:$L$10004,Stangenbelegung!$E$5:$E$10004,ROW())*$L499)/$C499))</f>
        <v/>
      </c>
      <c r="O499" s="35">
        <f>IF($A499="","",IF($M499="","",MAX(0,$M499-$N499)))</f>
        <v/>
      </c>
      <c r="P499" s="35">
        <f>IF($A499="","",IFERROR(SUMPRODUCT(--("0"&amp;TRIM(RIGHT(SUBSTITUTE(LEFT(";"&amp;SUBSTITUTE(UPPER(Auftrag!$AG499)," ","")&amp;";"&amp;"X"&amp;UPPER(Gewinde!$A$5:$A$54)&amp;";",SEARCH("X"&amp;UPPER(Gewinde!$A$5:$A$54)&amp;";",";"&amp;SUBSTITUTE(UPPER(Auftrag!$AG499)," ","")&amp;";"&amp;"X"&amp;UPPER(Gewinde!$A$5:$A$54)&amp;";")-1),";",REPT(" ",50)),50))),Gewinde!$C$5:$C$54),0))</f>
        <v/>
      </c>
      <c r="Q499" s="33">
        <f>IF($A499="","",(N($O499)+$P499)/3600*N(Auftrag!$H$8))</f>
        <v/>
      </c>
      <c r="R499" s="33">
        <f>IF($A499="","",IF($F$8=0,0,$F$7/$F$8))</f>
        <v/>
      </c>
      <c r="S499" s="33">
        <f>IF($A499="","",$F499*(1+$C$4)+($Q499+$R499)*(1+$C$5))</f>
        <v/>
      </c>
      <c r="T499" s="33">
        <f>IF($A499="","",$S499*(1+$C$6))</f>
        <v/>
      </c>
      <c r="U499" s="18">
        <f>IF($A499="","",$T499*$C499)</f>
        <v/>
      </c>
      <c r="V499" s="18">
        <f>IF($A499="","",$S499*$C499)</f>
        <v/>
      </c>
      <c r="W499" s="28">
        <f>IF($A499="","",IF(N(Auftrag!$AO499)&gt;0,"nicht vollständig eingeplant",IF($D499=0,"kein Schnittplan oder Preis",IF($H499="","keine Schneiddaten",IF(AND(Auftrag!$AF499&lt;&gt;"",Auftrag!$AG499=""),"Gewinde ungeprüft","")))))</f>
        <v/>
      </c>
      <c r="X499" s="18">
        <f>IF($A499="","",$F499*$C499)</f>
        <v/>
      </c>
      <c r="Y499" s="18">
        <f>IF($A499="","",$Q499*$C499)</f>
        <v/>
      </c>
    </row>
    <row r="500">
      <c r="A500" s="25">
        <f>IF(Auftrag!$D500="","",Auftrag!$A500)</f>
        <v/>
      </c>
      <c r="B500" s="25">
        <f>IF($A500="","",Auftrag!$B500)</f>
        <v/>
      </c>
      <c r="C500" s="15">
        <f>IF($A500="","",N(Auftrag!$G500))</f>
        <v/>
      </c>
      <c r="D500" s="18">
        <f>IF($A500="","",SUMIFS(Schnittplan!$R$5:$R$1004,Schnittplan!$B$5:$B$1004,Auftrag!$D500,Schnittplan!$C$5:$C$1004,Auftrag!$E500,Schnittplan!$D$5:$D$1004,Auftrag!$Q500))</f>
        <v/>
      </c>
      <c r="E500" s="32">
        <f>IF($A500="","",IFERROR(N(Auftrag!$P500)/SUMIFS(Auftrag!$P$13:$P$512,Auftrag!$D$13:$D$512,Auftrag!$D500,Auftrag!$E$13:$E$512,Auftrag!$E500,Auftrag!$Q$13:$Q$512,Auftrag!$Q500),0))</f>
        <v/>
      </c>
      <c r="F500" s="33">
        <f>IF($A500="","",IF($C500=0,0,$D500*$E500/$C500))</f>
        <v/>
      </c>
      <c r="G500" s="34">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5">
        <f>IF($A500="","",IF($H500="","",60*((N(Auftrag!$H500)-N(Auftrag!$AI500)-N(Auftrag!$AK500))/$H500+N(Auftrag!$AI500)/$J500+N(Auftrag!$AK500)/$I500+N(Auftrag!$AD500)/$K500)+N(Auftrag!$I500)*$L500))</f>
        <v/>
      </c>
      <c r="N500" s="35">
        <f>IF($A500="","",IF(OR($H500="",$C500=0),0,(60*SUMIFS(Stangenbelegung!$K$5:$K$10004,Stangenbelegung!$E$5:$E$10004,ROW())/$H500+SUMIFS(Stangenbelegung!$L$5:$L$10004,Stangenbelegung!$E$5:$E$10004,ROW())*$L500)/$C500))</f>
        <v/>
      </c>
      <c r="O500" s="35">
        <f>IF($A500="","",IF($M500="","",MAX(0,$M500-$N500)))</f>
        <v/>
      </c>
      <c r="P500" s="35">
        <f>IF($A500="","",IFERROR(SUMPRODUCT(--("0"&amp;TRIM(RIGHT(SUBSTITUTE(LEFT(";"&amp;SUBSTITUTE(UPPER(Auftrag!$AG500)," ","")&amp;";"&amp;"X"&amp;UPPER(Gewinde!$A$5:$A$54)&amp;";",SEARCH("X"&amp;UPPER(Gewinde!$A$5:$A$54)&amp;";",";"&amp;SUBSTITUTE(UPPER(Auftrag!$AG500)," ","")&amp;";"&amp;"X"&amp;UPPER(Gewinde!$A$5:$A$54)&amp;";")-1),";",REPT(" ",50)),50))),Gewinde!$C$5:$C$54),0))</f>
        <v/>
      </c>
      <c r="Q500" s="33">
        <f>IF($A500="","",(N($O500)+$P500)/3600*N(Auftrag!$H$8))</f>
        <v/>
      </c>
      <c r="R500" s="33">
        <f>IF($A500="","",IF($F$8=0,0,$F$7/$F$8))</f>
        <v/>
      </c>
      <c r="S500" s="33">
        <f>IF($A500="","",$F500*(1+$C$4)+($Q500+$R500)*(1+$C$5))</f>
        <v/>
      </c>
      <c r="T500" s="33">
        <f>IF($A500="","",$S500*(1+$C$6))</f>
        <v/>
      </c>
      <c r="U500" s="18">
        <f>IF($A500="","",$T500*$C500)</f>
        <v/>
      </c>
      <c r="V500" s="18">
        <f>IF($A500="","",$S500*$C500)</f>
        <v/>
      </c>
      <c r="W500" s="28">
        <f>IF($A500="","",IF(N(Auftrag!$AO500)&gt;0,"nicht vollständig eingeplant",IF($D500=0,"kein Schnittplan oder Preis",IF($H500="","keine Schneiddaten",IF(AND(Auftrag!$AF500&lt;&gt;"",Auftrag!$AG500=""),"Gewinde ungeprüft","")))))</f>
        <v/>
      </c>
      <c r="X500" s="18">
        <f>IF($A500="","",$F500*$C500)</f>
        <v/>
      </c>
      <c r="Y500" s="18">
        <f>IF($A500="","",$Q500*$C500)</f>
        <v/>
      </c>
    </row>
    <row r="501">
      <c r="A501" s="25">
        <f>IF(Auftrag!$D501="","",Auftrag!$A501)</f>
        <v/>
      </c>
      <c r="B501" s="25">
        <f>IF($A501="","",Auftrag!$B501)</f>
        <v/>
      </c>
      <c r="C501" s="15">
        <f>IF($A501="","",N(Auftrag!$G501))</f>
        <v/>
      </c>
      <c r="D501" s="18">
        <f>IF($A501="","",SUMIFS(Schnittplan!$R$5:$R$1004,Schnittplan!$B$5:$B$1004,Auftrag!$D501,Schnittplan!$C$5:$C$1004,Auftrag!$E501,Schnittplan!$D$5:$D$1004,Auftrag!$Q501))</f>
        <v/>
      </c>
      <c r="E501" s="32">
        <f>IF($A501="","",IFERROR(N(Auftrag!$P501)/SUMIFS(Auftrag!$P$13:$P$512,Auftrag!$D$13:$D$512,Auftrag!$D501,Auftrag!$E$13:$E$512,Auftrag!$E501,Auftrag!$Q$13:$Q$512,Auftrag!$Q501),0))</f>
        <v/>
      </c>
      <c r="F501" s="33">
        <f>IF($A501="","",IF($C501=0,0,$D501*$E501/$C501))</f>
        <v/>
      </c>
      <c r="G501" s="34">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5">
        <f>IF($A501="","",IF($H501="","",60*((N(Auftrag!$H501)-N(Auftrag!$AI501)-N(Auftrag!$AK501))/$H501+N(Auftrag!$AI501)/$J501+N(Auftrag!$AK501)/$I501+N(Auftrag!$AD501)/$K501)+N(Auftrag!$I501)*$L501))</f>
        <v/>
      </c>
      <c r="N501" s="35">
        <f>IF($A501="","",IF(OR($H501="",$C501=0),0,(60*SUMIFS(Stangenbelegung!$K$5:$K$10004,Stangenbelegung!$E$5:$E$10004,ROW())/$H501+SUMIFS(Stangenbelegung!$L$5:$L$10004,Stangenbelegung!$E$5:$E$10004,ROW())*$L501)/$C501))</f>
        <v/>
      </c>
      <c r="O501" s="35">
        <f>IF($A501="","",IF($M501="","",MAX(0,$M501-$N501)))</f>
        <v/>
      </c>
      <c r="P501" s="35">
        <f>IF($A501="","",IFERROR(SUMPRODUCT(--("0"&amp;TRIM(RIGHT(SUBSTITUTE(LEFT(";"&amp;SUBSTITUTE(UPPER(Auftrag!$AG501)," ","")&amp;";"&amp;"X"&amp;UPPER(Gewinde!$A$5:$A$54)&amp;";",SEARCH("X"&amp;UPPER(Gewinde!$A$5:$A$54)&amp;";",";"&amp;SUBSTITUTE(UPPER(Auftrag!$AG501)," ","")&amp;";"&amp;"X"&amp;UPPER(Gewinde!$A$5:$A$54)&amp;";")-1),";",REPT(" ",50)),50))),Gewinde!$C$5:$C$54),0))</f>
        <v/>
      </c>
      <c r="Q501" s="33">
        <f>IF($A501="","",(N($O501)+$P501)/3600*N(Auftrag!$H$8))</f>
        <v/>
      </c>
      <c r="R501" s="33">
        <f>IF($A501="","",IF($F$8=0,0,$F$7/$F$8))</f>
        <v/>
      </c>
      <c r="S501" s="33">
        <f>IF($A501="","",$F501*(1+$C$4)+($Q501+$R501)*(1+$C$5))</f>
        <v/>
      </c>
      <c r="T501" s="33">
        <f>IF($A501="","",$S501*(1+$C$6))</f>
        <v/>
      </c>
      <c r="U501" s="18">
        <f>IF($A501="","",$T501*$C501)</f>
        <v/>
      </c>
      <c r="V501" s="18">
        <f>IF($A501="","",$S501*$C501)</f>
        <v/>
      </c>
      <c r="W501" s="28">
        <f>IF($A501="","",IF(N(Auftrag!$AO501)&gt;0,"nicht vollständig eingeplant",IF($D501=0,"kein Schnittplan oder Preis",IF($H501="","keine Schneiddaten",IF(AND(Auftrag!$AF501&lt;&gt;"",Auftrag!$AG501=""),"Gewinde ungeprüft","")))))</f>
        <v/>
      </c>
      <c r="X501" s="18">
        <f>IF($A501="","",$F501*$C501)</f>
        <v/>
      </c>
      <c r="Y501" s="18">
        <f>IF($A501="","",$Q501*$C501)</f>
        <v/>
      </c>
    </row>
    <row r="502">
      <c r="A502" s="25">
        <f>IF(Auftrag!$D502="","",Auftrag!$A502)</f>
        <v/>
      </c>
      <c r="B502" s="25">
        <f>IF($A502="","",Auftrag!$B502)</f>
        <v/>
      </c>
      <c r="C502" s="15">
        <f>IF($A502="","",N(Auftrag!$G502))</f>
        <v/>
      </c>
      <c r="D502" s="18">
        <f>IF($A502="","",SUMIFS(Schnittplan!$R$5:$R$1004,Schnittplan!$B$5:$B$1004,Auftrag!$D502,Schnittplan!$C$5:$C$1004,Auftrag!$E502,Schnittplan!$D$5:$D$1004,Auftrag!$Q502))</f>
        <v/>
      </c>
      <c r="E502" s="32">
        <f>IF($A502="","",IFERROR(N(Auftrag!$P502)/SUMIFS(Auftrag!$P$13:$P$512,Auftrag!$D$13:$D$512,Auftrag!$D502,Auftrag!$E$13:$E$512,Auftrag!$E502,Auftrag!$Q$13:$Q$512,Auftrag!$Q502),0))</f>
        <v/>
      </c>
      <c r="F502" s="33">
        <f>IF($A502="","",IF($C502=0,0,$D502*$E502/$C502))</f>
        <v/>
      </c>
      <c r="G502" s="34">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5">
        <f>IF($A502="","",IF($H502="","",60*((N(Auftrag!$H502)-N(Auftrag!$AI502)-N(Auftrag!$AK502))/$H502+N(Auftrag!$AI502)/$J502+N(Auftrag!$AK502)/$I502+N(Auftrag!$AD502)/$K502)+N(Auftrag!$I502)*$L502))</f>
        <v/>
      </c>
      <c r="N502" s="35">
        <f>IF($A502="","",IF(OR($H502="",$C502=0),0,(60*SUMIFS(Stangenbelegung!$K$5:$K$10004,Stangenbelegung!$E$5:$E$10004,ROW())/$H502+SUMIFS(Stangenbelegung!$L$5:$L$10004,Stangenbelegung!$E$5:$E$10004,ROW())*$L502)/$C502))</f>
        <v/>
      </c>
      <c r="O502" s="35">
        <f>IF($A502="","",IF($M502="","",MAX(0,$M502-$N502)))</f>
        <v/>
      </c>
      <c r="P502" s="35">
        <f>IF($A502="","",IFERROR(SUMPRODUCT(--("0"&amp;TRIM(RIGHT(SUBSTITUTE(LEFT(";"&amp;SUBSTITUTE(UPPER(Auftrag!$AG502)," ","")&amp;";"&amp;"X"&amp;UPPER(Gewinde!$A$5:$A$54)&amp;";",SEARCH("X"&amp;UPPER(Gewinde!$A$5:$A$54)&amp;";",";"&amp;SUBSTITUTE(UPPER(Auftrag!$AG502)," ","")&amp;";"&amp;"X"&amp;UPPER(Gewinde!$A$5:$A$54)&amp;";")-1),";",REPT(" ",50)),50))),Gewinde!$C$5:$C$54),0))</f>
        <v/>
      </c>
      <c r="Q502" s="33">
        <f>IF($A502="","",(N($O502)+$P502)/3600*N(Auftrag!$H$8))</f>
        <v/>
      </c>
      <c r="R502" s="33">
        <f>IF($A502="","",IF($F$8=0,0,$F$7/$F$8))</f>
        <v/>
      </c>
      <c r="S502" s="33">
        <f>IF($A502="","",$F502*(1+$C$4)+($Q502+$R502)*(1+$C$5))</f>
        <v/>
      </c>
      <c r="T502" s="33">
        <f>IF($A502="","",$S502*(1+$C$6))</f>
        <v/>
      </c>
      <c r="U502" s="18">
        <f>IF($A502="","",$T502*$C502)</f>
        <v/>
      </c>
      <c r="V502" s="18">
        <f>IF($A502="","",$S502*$C502)</f>
        <v/>
      </c>
      <c r="W502" s="28">
        <f>IF($A502="","",IF(N(Auftrag!$AO502)&gt;0,"nicht vollständig eingeplant",IF($D502=0,"kein Schnittplan oder Preis",IF($H502="","keine Schneiddaten",IF(AND(Auftrag!$AF502&lt;&gt;"",Auftrag!$AG502=""),"Gewinde ungeprüft","")))))</f>
        <v/>
      </c>
      <c r="X502" s="18">
        <f>IF($A502="","",$F502*$C502)</f>
        <v/>
      </c>
      <c r="Y502" s="18">
        <f>IF($A502="","",$Q502*$C502)</f>
        <v/>
      </c>
    </row>
    <row r="503">
      <c r="A503" s="25">
        <f>IF(Auftrag!$D503="","",Auftrag!$A503)</f>
        <v/>
      </c>
      <c r="B503" s="25">
        <f>IF($A503="","",Auftrag!$B503)</f>
        <v/>
      </c>
      <c r="C503" s="15">
        <f>IF($A503="","",N(Auftrag!$G503))</f>
        <v/>
      </c>
      <c r="D503" s="18">
        <f>IF($A503="","",SUMIFS(Schnittplan!$R$5:$R$1004,Schnittplan!$B$5:$B$1004,Auftrag!$D503,Schnittplan!$C$5:$C$1004,Auftrag!$E503,Schnittplan!$D$5:$D$1004,Auftrag!$Q503))</f>
        <v/>
      </c>
      <c r="E503" s="32">
        <f>IF($A503="","",IFERROR(N(Auftrag!$P503)/SUMIFS(Auftrag!$P$13:$P$512,Auftrag!$D$13:$D$512,Auftrag!$D503,Auftrag!$E$13:$E$512,Auftrag!$E503,Auftrag!$Q$13:$Q$512,Auftrag!$Q503),0))</f>
        <v/>
      </c>
      <c r="F503" s="33">
        <f>IF($A503="","",IF($C503=0,0,$D503*$E503/$C503))</f>
        <v/>
      </c>
      <c r="G503" s="34">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5">
        <f>IF($A503="","",IF($H503="","",60*((N(Auftrag!$H503)-N(Auftrag!$AI503)-N(Auftrag!$AK503))/$H503+N(Auftrag!$AI503)/$J503+N(Auftrag!$AK503)/$I503+N(Auftrag!$AD503)/$K503)+N(Auftrag!$I503)*$L503))</f>
        <v/>
      </c>
      <c r="N503" s="35">
        <f>IF($A503="","",IF(OR($H503="",$C503=0),0,(60*SUMIFS(Stangenbelegung!$K$5:$K$10004,Stangenbelegung!$E$5:$E$10004,ROW())/$H503+SUMIFS(Stangenbelegung!$L$5:$L$10004,Stangenbelegung!$E$5:$E$10004,ROW())*$L503)/$C503))</f>
        <v/>
      </c>
      <c r="O503" s="35">
        <f>IF($A503="","",IF($M503="","",MAX(0,$M503-$N503)))</f>
        <v/>
      </c>
      <c r="P503" s="35">
        <f>IF($A503="","",IFERROR(SUMPRODUCT(--("0"&amp;TRIM(RIGHT(SUBSTITUTE(LEFT(";"&amp;SUBSTITUTE(UPPER(Auftrag!$AG503)," ","")&amp;";"&amp;"X"&amp;UPPER(Gewinde!$A$5:$A$54)&amp;";",SEARCH("X"&amp;UPPER(Gewinde!$A$5:$A$54)&amp;";",";"&amp;SUBSTITUTE(UPPER(Auftrag!$AG503)," ","")&amp;";"&amp;"X"&amp;UPPER(Gewinde!$A$5:$A$54)&amp;";")-1),";",REPT(" ",50)),50))),Gewinde!$C$5:$C$54),0))</f>
        <v/>
      </c>
      <c r="Q503" s="33">
        <f>IF($A503="","",(N($O503)+$P503)/3600*N(Auftrag!$H$8))</f>
        <v/>
      </c>
      <c r="R503" s="33">
        <f>IF($A503="","",IF($F$8=0,0,$F$7/$F$8))</f>
        <v/>
      </c>
      <c r="S503" s="33">
        <f>IF($A503="","",$F503*(1+$C$4)+($Q503+$R503)*(1+$C$5))</f>
        <v/>
      </c>
      <c r="T503" s="33">
        <f>IF($A503="","",$S503*(1+$C$6))</f>
        <v/>
      </c>
      <c r="U503" s="18">
        <f>IF($A503="","",$T503*$C503)</f>
        <v/>
      </c>
      <c r="V503" s="18">
        <f>IF($A503="","",$S503*$C503)</f>
        <v/>
      </c>
      <c r="W503" s="28">
        <f>IF($A503="","",IF(N(Auftrag!$AO503)&gt;0,"nicht vollständig eingeplant",IF($D503=0,"kein Schnittplan oder Preis",IF($H503="","keine Schneiddaten",IF(AND(Auftrag!$AF503&lt;&gt;"",Auftrag!$AG503=""),"Gewinde ungeprüft","")))))</f>
        <v/>
      </c>
      <c r="X503" s="18">
        <f>IF($A503="","",$F503*$C503)</f>
        <v/>
      </c>
      <c r="Y503" s="18">
        <f>IF($A503="","",$Q503*$C503)</f>
        <v/>
      </c>
    </row>
    <row r="504">
      <c r="A504" s="25">
        <f>IF(Auftrag!$D504="","",Auftrag!$A504)</f>
        <v/>
      </c>
      <c r="B504" s="25">
        <f>IF($A504="","",Auftrag!$B504)</f>
        <v/>
      </c>
      <c r="C504" s="15">
        <f>IF($A504="","",N(Auftrag!$G504))</f>
        <v/>
      </c>
      <c r="D504" s="18">
        <f>IF($A504="","",SUMIFS(Schnittplan!$R$5:$R$1004,Schnittplan!$B$5:$B$1004,Auftrag!$D504,Schnittplan!$C$5:$C$1004,Auftrag!$E504,Schnittplan!$D$5:$D$1004,Auftrag!$Q504))</f>
        <v/>
      </c>
      <c r="E504" s="32">
        <f>IF($A504="","",IFERROR(N(Auftrag!$P504)/SUMIFS(Auftrag!$P$13:$P$512,Auftrag!$D$13:$D$512,Auftrag!$D504,Auftrag!$E$13:$E$512,Auftrag!$E504,Auftrag!$Q$13:$Q$512,Auftrag!$Q504),0))</f>
        <v/>
      </c>
      <c r="F504" s="33">
        <f>IF($A504="","",IF($C504=0,0,$D504*$E504/$C504))</f>
        <v/>
      </c>
      <c r="G504" s="34">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5">
        <f>IF($A504="","",IF($H504="","",60*((N(Auftrag!$H504)-N(Auftrag!$AI504)-N(Auftrag!$AK504))/$H504+N(Auftrag!$AI504)/$J504+N(Auftrag!$AK504)/$I504+N(Auftrag!$AD504)/$K504)+N(Auftrag!$I504)*$L504))</f>
        <v/>
      </c>
      <c r="N504" s="35">
        <f>IF($A504="","",IF(OR($H504="",$C504=0),0,(60*SUMIFS(Stangenbelegung!$K$5:$K$10004,Stangenbelegung!$E$5:$E$10004,ROW())/$H504+SUMIFS(Stangenbelegung!$L$5:$L$10004,Stangenbelegung!$E$5:$E$10004,ROW())*$L504)/$C504))</f>
        <v/>
      </c>
      <c r="O504" s="35">
        <f>IF($A504="","",IF($M504="","",MAX(0,$M504-$N504)))</f>
        <v/>
      </c>
      <c r="P504" s="35">
        <f>IF($A504="","",IFERROR(SUMPRODUCT(--("0"&amp;TRIM(RIGHT(SUBSTITUTE(LEFT(";"&amp;SUBSTITUTE(UPPER(Auftrag!$AG504)," ","")&amp;";"&amp;"X"&amp;UPPER(Gewinde!$A$5:$A$54)&amp;";",SEARCH("X"&amp;UPPER(Gewinde!$A$5:$A$54)&amp;";",";"&amp;SUBSTITUTE(UPPER(Auftrag!$AG504)," ","")&amp;";"&amp;"X"&amp;UPPER(Gewinde!$A$5:$A$54)&amp;";")-1),";",REPT(" ",50)),50))),Gewinde!$C$5:$C$54),0))</f>
        <v/>
      </c>
      <c r="Q504" s="33">
        <f>IF($A504="","",(N($O504)+$P504)/3600*N(Auftrag!$H$8))</f>
        <v/>
      </c>
      <c r="R504" s="33">
        <f>IF($A504="","",IF($F$8=0,0,$F$7/$F$8))</f>
        <v/>
      </c>
      <c r="S504" s="33">
        <f>IF($A504="","",$F504*(1+$C$4)+($Q504+$R504)*(1+$C$5))</f>
        <v/>
      </c>
      <c r="T504" s="33">
        <f>IF($A504="","",$S504*(1+$C$6))</f>
        <v/>
      </c>
      <c r="U504" s="18">
        <f>IF($A504="","",$T504*$C504)</f>
        <v/>
      </c>
      <c r="V504" s="18">
        <f>IF($A504="","",$S504*$C504)</f>
        <v/>
      </c>
      <c r="W504" s="28">
        <f>IF($A504="","",IF(N(Auftrag!$AO504)&gt;0,"nicht vollständig eingeplant",IF($D504=0,"kein Schnittplan oder Preis",IF($H504="","keine Schneiddaten",IF(AND(Auftrag!$AF504&lt;&gt;"",Auftrag!$AG504=""),"Gewinde ungeprüft","")))))</f>
        <v/>
      </c>
      <c r="X504" s="18">
        <f>IF($A504="","",$F504*$C504)</f>
        <v/>
      </c>
      <c r="Y504" s="18">
        <f>IF($A504="","",$Q504*$C504)</f>
        <v/>
      </c>
    </row>
    <row r="505">
      <c r="A505" s="25">
        <f>IF(Auftrag!$D505="","",Auftrag!$A505)</f>
        <v/>
      </c>
      <c r="B505" s="25">
        <f>IF($A505="","",Auftrag!$B505)</f>
        <v/>
      </c>
      <c r="C505" s="15">
        <f>IF($A505="","",N(Auftrag!$G505))</f>
        <v/>
      </c>
      <c r="D505" s="18">
        <f>IF($A505="","",SUMIFS(Schnittplan!$R$5:$R$1004,Schnittplan!$B$5:$B$1004,Auftrag!$D505,Schnittplan!$C$5:$C$1004,Auftrag!$E505,Schnittplan!$D$5:$D$1004,Auftrag!$Q505))</f>
        <v/>
      </c>
      <c r="E505" s="32">
        <f>IF($A505="","",IFERROR(N(Auftrag!$P505)/SUMIFS(Auftrag!$P$13:$P$512,Auftrag!$D$13:$D$512,Auftrag!$D505,Auftrag!$E$13:$E$512,Auftrag!$E505,Auftrag!$Q$13:$Q$512,Auftrag!$Q505),0))</f>
        <v/>
      </c>
      <c r="F505" s="33">
        <f>IF($A505="","",IF($C505=0,0,$D505*$E505/$C505))</f>
        <v/>
      </c>
      <c r="G505" s="34">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5">
        <f>IF($A505="","",IF($H505="","",60*((N(Auftrag!$H505)-N(Auftrag!$AI505)-N(Auftrag!$AK505))/$H505+N(Auftrag!$AI505)/$J505+N(Auftrag!$AK505)/$I505+N(Auftrag!$AD505)/$K505)+N(Auftrag!$I505)*$L505))</f>
        <v/>
      </c>
      <c r="N505" s="35">
        <f>IF($A505="","",IF(OR($H505="",$C505=0),0,(60*SUMIFS(Stangenbelegung!$K$5:$K$10004,Stangenbelegung!$E$5:$E$10004,ROW())/$H505+SUMIFS(Stangenbelegung!$L$5:$L$10004,Stangenbelegung!$E$5:$E$10004,ROW())*$L505)/$C505))</f>
        <v/>
      </c>
      <c r="O505" s="35">
        <f>IF($A505="","",IF($M505="","",MAX(0,$M505-$N505)))</f>
        <v/>
      </c>
      <c r="P505" s="35">
        <f>IF($A505="","",IFERROR(SUMPRODUCT(--("0"&amp;TRIM(RIGHT(SUBSTITUTE(LEFT(";"&amp;SUBSTITUTE(UPPER(Auftrag!$AG505)," ","")&amp;";"&amp;"X"&amp;UPPER(Gewinde!$A$5:$A$54)&amp;";",SEARCH("X"&amp;UPPER(Gewinde!$A$5:$A$54)&amp;";",";"&amp;SUBSTITUTE(UPPER(Auftrag!$AG505)," ","")&amp;";"&amp;"X"&amp;UPPER(Gewinde!$A$5:$A$54)&amp;";")-1),";",REPT(" ",50)),50))),Gewinde!$C$5:$C$54),0))</f>
        <v/>
      </c>
      <c r="Q505" s="33">
        <f>IF($A505="","",(N($O505)+$P505)/3600*N(Auftrag!$H$8))</f>
        <v/>
      </c>
      <c r="R505" s="33">
        <f>IF($A505="","",IF($F$8=0,0,$F$7/$F$8))</f>
        <v/>
      </c>
      <c r="S505" s="33">
        <f>IF($A505="","",$F505*(1+$C$4)+($Q505+$R505)*(1+$C$5))</f>
        <v/>
      </c>
      <c r="T505" s="33">
        <f>IF($A505="","",$S505*(1+$C$6))</f>
        <v/>
      </c>
      <c r="U505" s="18">
        <f>IF($A505="","",$T505*$C505)</f>
        <v/>
      </c>
      <c r="V505" s="18">
        <f>IF($A505="","",$S505*$C505)</f>
        <v/>
      </c>
      <c r="W505" s="28">
        <f>IF($A505="","",IF(N(Auftrag!$AO505)&gt;0,"nicht vollständig eingeplant",IF($D505=0,"kein Schnittplan oder Preis",IF($H505="","keine Schneiddaten",IF(AND(Auftrag!$AF505&lt;&gt;"",Auftrag!$AG505=""),"Gewinde ungeprüft","")))))</f>
        <v/>
      </c>
      <c r="X505" s="18">
        <f>IF($A505="","",$F505*$C505)</f>
        <v/>
      </c>
      <c r="Y505" s="18">
        <f>IF($A505="","",$Q505*$C505)</f>
        <v/>
      </c>
    </row>
    <row r="506">
      <c r="A506" s="25">
        <f>IF(Auftrag!$D506="","",Auftrag!$A506)</f>
        <v/>
      </c>
      <c r="B506" s="25">
        <f>IF($A506="","",Auftrag!$B506)</f>
        <v/>
      </c>
      <c r="C506" s="15">
        <f>IF($A506="","",N(Auftrag!$G506))</f>
        <v/>
      </c>
      <c r="D506" s="18">
        <f>IF($A506="","",SUMIFS(Schnittplan!$R$5:$R$1004,Schnittplan!$B$5:$B$1004,Auftrag!$D506,Schnittplan!$C$5:$C$1004,Auftrag!$E506,Schnittplan!$D$5:$D$1004,Auftrag!$Q506))</f>
        <v/>
      </c>
      <c r="E506" s="32">
        <f>IF($A506="","",IFERROR(N(Auftrag!$P506)/SUMIFS(Auftrag!$P$13:$P$512,Auftrag!$D$13:$D$512,Auftrag!$D506,Auftrag!$E$13:$E$512,Auftrag!$E506,Auftrag!$Q$13:$Q$512,Auftrag!$Q506),0))</f>
        <v/>
      </c>
      <c r="F506" s="33">
        <f>IF($A506="","",IF($C506=0,0,$D506*$E506/$C506))</f>
        <v/>
      </c>
      <c r="G506" s="34">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5">
        <f>IF($A506="","",IF($H506="","",60*((N(Auftrag!$H506)-N(Auftrag!$AI506)-N(Auftrag!$AK506))/$H506+N(Auftrag!$AI506)/$J506+N(Auftrag!$AK506)/$I506+N(Auftrag!$AD506)/$K506)+N(Auftrag!$I506)*$L506))</f>
        <v/>
      </c>
      <c r="N506" s="35">
        <f>IF($A506="","",IF(OR($H506="",$C506=0),0,(60*SUMIFS(Stangenbelegung!$K$5:$K$10004,Stangenbelegung!$E$5:$E$10004,ROW())/$H506+SUMIFS(Stangenbelegung!$L$5:$L$10004,Stangenbelegung!$E$5:$E$10004,ROW())*$L506)/$C506))</f>
        <v/>
      </c>
      <c r="O506" s="35">
        <f>IF($A506="","",IF($M506="","",MAX(0,$M506-$N506)))</f>
        <v/>
      </c>
      <c r="P506" s="35">
        <f>IF($A506="","",IFERROR(SUMPRODUCT(--("0"&amp;TRIM(RIGHT(SUBSTITUTE(LEFT(";"&amp;SUBSTITUTE(UPPER(Auftrag!$AG506)," ","")&amp;";"&amp;"X"&amp;UPPER(Gewinde!$A$5:$A$54)&amp;";",SEARCH("X"&amp;UPPER(Gewinde!$A$5:$A$54)&amp;";",";"&amp;SUBSTITUTE(UPPER(Auftrag!$AG506)," ","")&amp;";"&amp;"X"&amp;UPPER(Gewinde!$A$5:$A$54)&amp;";")-1),";",REPT(" ",50)),50))),Gewinde!$C$5:$C$54),0))</f>
        <v/>
      </c>
      <c r="Q506" s="33">
        <f>IF($A506="","",(N($O506)+$P506)/3600*N(Auftrag!$H$8))</f>
        <v/>
      </c>
      <c r="R506" s="33">
        <f>IF($A506="","",IF($F$8=0,0,$F$7/$F$8))</f>
        <v/>
      </c>
      <c r="S506" s="33">
        <f>IF($A506="","",$F506*(1+$C$4)+($Q506+$R506)*(1+$C$5))</f>
        <v/>
      </c>
      <c r="T506" s="33">
        <f>IF($A506="","",$S506*(1+$C$6))</f>
        <v/>
      </c>
      <c r="U506" s="18">
        <f>IF($A506="","",$T506*$C506)</f>
        <v/>
      </c>
      <c r="V506" s="18">
        <f>IF($A506="","",$S506*$C506)</f>
        <v/>
      </c>
      <c r="W506" s="28">
        <f>IF($A506="","",IF(N(Auftrag!$AO506)&gt;0,"nicht vollständig eingeplant",IF($D506=0,"kein Schnittplan oder Preis",IF($H506="","keine Schneiddaten",IF(AND(Auftrag!$AF506&lt;&gt;"",Auftrag!$AG506=""),"Gewinde ungeprüft","")))))</f>
        <v/>
      </c>
      <c r="X506" s="18">
        <f>IF($A506="","",$F506*$C506)</f>
        <v/>
      </c>
      <c r="Y506" s="18">
        <f>IF($A506="","",$Q506*$C506)</f>
        <v/>
      </c>
    </row>
    <row r="507">
      <c r="A507" s="25">
        <f>IF(Auftrag!$D507="","",Auftrag!$A507)</f>
        <v/>
      </c>
      <c r="B507" s="25">
        <f>IF($A507="","",Auftrag!$B507)</f>
        <v/>
      </c>
      <c r="C507" s="15">
        <f>IF($A507="","",N(Auftrag!$G507))</f>
        <v/>
      </c>
      <c r="D507" s="18">
        <f>IF($A507="","",SUMIFS(Schnittplan!$R$5:$R$1004,Schnittplan!$B$5:$B$1004,Auftrag!$D507,Schnittplan!$C$5:$C$1004,Auftrag!$E507,Schnittplan!$D$5:$D$1004,Auftrag!$Q507))</f>
        <v/>
      </c>
      <c r="E507" s="32">
        <f>IF($A507="","",IFERROR(N(Auftrag!$P507)/SUMIFS(Auftrag!$P$13:$P$512,Auftrag!$D$13:$D$512,Auftrag!$D507,Auftrag!$E$13:$E$512,Auftrag!$E507,Auftrag!$Q$13:$Q$512,Auftrag!$Q507),0))</f>
        <v/>
      </c>
      <c r="F507" s="33">
        <f>IF($A507="","",IF($C507=0,0,$D507*$E507/$C507))</f>
        <v/>
      </c>
      <c r="G507" s="34">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5">
        <f>IF($A507="","",IF($H507="","",60*((N(Auftrag!$H507)-N(Auftrag!$AI507)-N(Auftrag!$AK507))/$H507+N(Auftrag!$AI507)/$J507+N(Auftrag!$AK507)/$I507+N(Auftrag!$AD507)/$K507)+N(Auftrag!$I507)*$L507))</f>
        <v/>
      </c>
      <c r="N507" s="35">
        <f>IF($A507="","",IF(OR($H507="",$C507=0),0,(60*SUMIFS(Stangenbelegung!$K$5:$K$10004,Stangenbelegung!$E$5:$E$10004,ROW())/$H507+SUMIFS(Stangenbelegung!$L$5:$L$10004,Stangenbelegung!$E$5:$E$10004,ROW())*$L507)/$C507))</f>
        <v/>
      </c>
      <c r="O507" s="35">
        <f>IF($A507="","",IF($M507="","",MAX(0,$M507-$N507)))</f>
        <v/>
      </c>
      <c r="P507" s="35">
        <f>IF($A507="","",IFERROR(SUMPRODUCT(--("0"&amp;TRIM(RIGHT(SUBSTITUTE(LEFT(";"&amp;SUBSTITUTE(UPPER(Auftrag!$AG507)," ","")&amp;";"&amp;"X"&amp;UPPER(Gewinde!$A$5:$A$54)&amp;";",SEARCH("X"&amp;UPPER(Gewinde!$A$5:$A$54)&amp;";",";"&amp;SUBSTITUTE(UPPER(Auftrag!$AG507)," ","")&amp;";"&amp;"X"&amp;UPPER(Gewinde!$A$5:$A$54)&amp;";")-1),";",REPT(" ",50)),50))),Gewinde!$C$5:$C$54),0))</f>
        <v/>
      </c>
      <c r="Q507" s="33">
        <f>IF($A507="","",(N($O507)+$P507)/3600*N(Auftrag!$H$8))</f>
        <v/>
      </c>
      <c r="R507" s="33">
        <f>IF($A507="","",IF($F$8=0,0,$F$7/$F$8))</f>
        <v/>
      </c>
      <c r="S507" s="33">
        <f>IF($A507="","",$F507*(1+$C$4)+($Q507+$R507)*(1+$C$5))</f>
        <v/>
      </c>
      <c r="T507" s="33">
        <f>IF($A507="","",$S507*(1+$C$6))</f>
        <v/>
      </c>
      <c r="U507" s="18">
        <f>IF($A507="","",$T507*$C507)</f>
        <v/>
      </c>
      <c r="V507" s="18">
        <f>IF($A507="","",$S507*$C507)</f>
        <v/>
      </c>
      <c r="W507" s="28">
        <f>IF($A507="","",IF(N(Auftrag!$AO507)&gt;0,"nicht vollständig eingeplant",IF($D507=0,"kein Schnittplan oder Preis",IF($H507="","keine Schneiddaten",IF(AND(Auftrag!$AF507&lt;&gt;"",Auftrag!$AG507=""),"Gewinde ungeprüft","")))))</f>
        <v/>
      </c>
      <c r="X507" s="18">
        <f>IF($A507="","",$F507*$C507)</f>
        <v/>
      </c>
      <c r="Y507" s="18">
        <f>IF($A507="","",$Q507*$C507)</f>
        <v/>
      </c>
    </row>
    <row r="508">
      <c r="A508" s="25">
        <f>IF(Auftrag!$D508="","",Auftrag!$A508)</f>
        <v/>
      </c>
      <c r="B508" s="25">
        <f>IF($A508="","",Auftrag!$B508)</f>
        <v/>
      </c>
      <c r="C508" s="15">
        <f>IF($A508="","",N(Auftrag!$G508))</f>
        <v/>
      </c>
      <c r="D508" s="18">
        <f>IF($A508="","",SUMIFS(Schnittplan!$R$5:$R$1004,Schnittplan!$B$5:$B$1004,Auftrag!$D508,Schnittplan!$C$5:$C$1004,Auftrag!$E508,Schnittplan!$D$5:$D$1004,Auftrag!$Q508))</f>
        <v/>
      </c>
      <c r="E508" s="32">
        <f>IF($A508="","",IFERROR(N(Auftrag!$P508)/SUMIFS(Auftrag!$P$13:$P$512,Auftrag!$D$13:$D$512,Auftrag!$D508,Auftrag!$E$13:$E$512,Auftrag!$E508,Auftrag!$Q$13:$Q$512,Auftrag!$Q508),0))</f>
        <v/>
      </c>
      <c r="F508" s="33">
        <f>IF($A508="","",IF($C508=0,0,$D508*$E508/$C508))</f>
        <v/>
      </c>
      <c r="G508" s="34">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5">
        <f>IF($A508="","",IF($H508="","",60*((N(Auftrag!$H508)-N(Auftrag!$AI508)-N(Auftrag!$AK508))/$H508+N(Auftrag!$AI508)/$J508+N(Auftrag!$AK508)/$I508+N(Auftrag!$AD508)/$K508)+N(Auftrag!$I508)*$L508))</f>
        <v/>
      </c>
      <c r="N508" s="35">
        <f>IF($A508="","",IF(OR($H508="",$C508=0),0,(60*SUMIFS(Stangenbelegung!$K$5:$K$10004,Stangenbelegung!$E$5:$E$10004,ROW())/$H508+SUMIFS(Stangenbelegung!$L$5:$L$10004,Stangenbelegung!$E$5:$E$10004,ROW())*$L508)/$C508))</f>
        <v/>
      </c>
      <c r="O508" s="35">
        <f>IF($A508="","",IF($M508="","",MAX(0,$M508-$N508)))</f>
        <v/>
      </c>
      <c r="P508" s="35">
        <f>IF($A508="","",IFERROR(SUMPRODUCT(--("0"&amp;TRIM(RIGHT(SUBSTITUTE(LEFT(";"&amp;SUBSTITUTE(UPPER(Auftrag!$AG508)," ","")&amp;";"&amp;"X"&amp;UPPER(Gewinde!$A$5:$A$54)&amp;";",SEARCH("X"&amp;UPPER(Gewinde!$A$5:$A$54)&amp;";",";"&amp;SUBSTITUTE(UPPER(Auftrag!$AG508)," ","")&amp;";"&amp;"X"&amp;UPPER(Gewinde!$A$5:$A$54)&amp;";")-1),";",REPT(" ",50)),50))),Gewinde!$C$5:$C$54),0))</f>
        <v/>
      </c>
      <c r="Q508" s="33">
        <f>IF($A508="","",(N($O508)+$P508)/3600*N(Auftrag!$H$8))</f>
        <v/>
      </c>
      <c r="R508" s="33">
        <f>IF($A508="","",IF($F$8=0,0,$F$7/$F$8))</f>
        <v/>
      </c>
      <c r="S508" s="33">
        <f>IF($A508="","",$F508*(1+$C$4)+($Q508+$R508)*(1+$C$5))</f>
        <v/>
      </c>
      <c r="T508" s="33">
        <f>IF($A508="","",$S508*(1+$C$6))</f>
        <v/>
      </c>
      <c r="U508" s="18">
        <f>IF($A508="","",$T508*$C508)</f>
        <v/>
      </c>
      <c r="V508" s="18">
        <f>IF($A508="","",$S508*$C508)</f>
        <v/>
      </c>
      <c r="W508" s="28">
        <f>IF($A508="","",IF(N(Auftrag!$AO508)&gt;0,"nicht vollständig eingeplant",IF($D508=0,"kein Schnittplan oder Preis",IF($H508="","keine Schneiddaten",IF(AND(Auftrag!$AF508&lt;&gt;"",Auftrag!$AG508=""),"Gewinde ungeprüft","")))))</f>
        <v/>
      </c>
      <c r="X508" s="18">
        <f>IF($A508="","",$F508*$C508)</f>
        <v/>
      </c>
      <c r="Y508" s="18">
        <f>IF($A508="","",$Q508*$C508)</f>
        <v/>
      </c>
    </row>
    <row r="509">
      <c r="A509" s="25">
        <f>IF(Auftrag!$D509="","",Auftrag!$A509)</f>
        <v/>
      </c>
      <c r="B509" s="25">
        <f>IF($A509="","",Auftrag!$B509)</f>
        <v/>
      </c>
      <c r="C509" s="15">
        <f>IF($A509="","",N(Auftrag!$G509))</f>
        <v/>
      </c>
      <c r="D509" s="18">
        <f>IF($A509="","",SUMIFS(Schnittplan!$R$5:$R$1004,Schnittplan!$B$5:$B$1004,Auftrag!$D509,Schnittplan!$C$5:$C$1004,Auftrag!$E509,Schnittplan!$D$5:$D$1004,Auftrag!$Q509))</f>
        <v/>
      </c>
      <c r="E509" s="32">
        <f>IF($A509="","",IFERROR(N(Auftrag!$P509)/SUMIFS(Auftrag!$P$13:$P$512,Auftrag!$D$13:$D$512,Auftrag!$D509,Auftrag!$E$13:$E$512,Auftrag!$E509,Auftrag!$Q$13:$Q$512,Auftrag!$Q509),0))</f>
        <v/>
      </c>
      <c r="F509" s="33">
        <f>IF($A509="","",IF($C509=0,0,$D509*$E509/$C509))</f>
        <v/>
      </c>
      <c r="G509" s="34">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5">
        <f>IF($A509="","",IF($H509="","",60*((N(Auftrag!$H509)-N(Auftrag!$AI509)-N(Auftrag!$AK509))/$H509+N(Auftrag!$AI509)/$J509+N(Auftrag!$AK509)/$I509+N(Auftrag!$AD509)/$K509)+N(Auftrag!$I509)*$L509))</f>
        <v/>
      </c>
      <c r="N509" s="35">
        <f>IF($A509="","",IF(OR($H509="",$C509=0),0,(60*SUMIFS(Stangenbelegung!$K$5:$K$10004,Stangenbelegung!$E$5:$E$10004,ROW())/$H509+SUMIFS(Stangenbelegung!$L$5:$L$10004,Stangenbelegung!$E$5:$E$10004,ROW())*$L509)/$C509))</f>
        <v/>
      </c>
      <c r="O509" s="35">
        <f>IF($A509="","",IF($M509="","",MAX(0,$M509-$N509)))</f>
        <v/>
      </c>
      <c r="P509" s="35">
        <f>IF($A509="","",IFERROR(SUMPRODUCT(--("0"&amp;TRIM(RIGHT(SUBSTITUTE(LEFT(";"&amp;SUBSTITUTE(UPPER(Auftrag!$AG509)," ","")&amp;";"&amp;"X"&amp;UPPER(Gewinde!$A$5:$A$54)&amp;";",SEARCH("X"&amp;UPPER(Gewinde!$A$5:$A$54)&amp;";",";"&amp;SUBSTITUTE(UPPER(Auftrag!$AG509)," ","")&amp;";"&amp;"X"&amp;UPPER(Gewinde!$A$5:$A$54)&amp;";")-1),";",REPT(" ",50)),50))),Gewinde!$C$5:$C$54),0))</f>
        <v/>
      </c>
      <c r="Q509" s="33">
        <f>IF($A509="","",(N($O509)+$P509)/3600*N(Auftrag!$H$8))</f>
        <v/>
      </c>
      <c r="R509" s="33">
        <f>IF($A509="","",IF($F$8=0,0,$F$7/$F$8))</f>
        <v/>
      </c>
      <c r="S509" s="33">
        <f>IF($A509="","",$F509*(1+$C$4)+($Q509+$R509)*(1+$C$5))</f>
        <v/>
      </c>
      <c r="T509" s="33">
        <f>IF($A509="","",$S509*(1+$C$6))</f>
        <v/>
      </c>
      <c r="U509" s="18">
        <f>IF($A509="","",$T509*$C509)</f>
        <v/>
      </c>
      <c r="V509" s="18">
        <f>IF($A509="","",$S509*$C509)</f>
        <v/>
      </c>
      <c r="W509" s="28">
        <f>IF($A509="","",IF(N(Auftrag!$AO509)&gt;0,"nicht vollständig eingeplant",IF($D509=0,"kein Schnittplan oder Preis",IF($H509="","keine Schneiddaten",IF(AND(Auftrag!$AF509&lt;&gt;"",Auftrag!$AG509=""),"Gewinde ungeprüft","")))))</f>
        <v/>
      </c>
      <c r="X509" s="18">
        <f>IF($A509="","",$F509*$C509)</f>
        <v/>
      </c>
      <c r="Y509" s="18">
        <f>IF($A509="","",$Q509*$C509)</f>
        <v/>
      </c>
    </row>
    <row r="510">
      <c r="A510" s="25">
        <f>IF(Auftrag!$D510="","",Auftrag!$A510)</f>
        <v/>
      </c>
      <c r="B510" s="25">
        <f>IF($A510="","",Auftrag!$B510)</f>
        <v/>
      </c>
      <c r="C510" s="15">
        <f>IF($A510="","",N(Auftrag!$G510))</f>
        <v/>
      </c>
      <c r="D510" s="18">
        <f>IF($A510="","",SUMIFS(Schnittplan!$R$5:$R$1004,Schnittplan!$B$5:$B$1004,Auftrag!$D510,Schnittplan!$C$5:$C$1004,Auftrag!$E510,Schnittplan!$D$5:$D$1004,Auftrag!$Q510))</f>
        <v/>
      </c>
      <c r="E510" s="32">
        <f>IF($A510="","",IFERROR(N(Auftrag!$P510)/SUMIFS(Auftrag!$P$13:$P$512,Auftrag!$D$13:$D$512,Auftrag!$D510,Auftrag!$E$13:$E$512,Auftrag!$E510,Auftrag!$Q$13:$Q$512,Auftrag!$Q510),0))</f>
        <v/>
      </c>
      <c r="F510" s="33">
        <f>IF($A510="","",IF($C510=0,0,$D510*$E510/$C510))</f>
        <v/>
      </c>
      <c r="G510" s="34">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5">
        <f>IF($A510="","",IF($H510="","",60*((N(Auftrag!$H510)-N(Auftrag!$AI510)-N(Auftrag!$AK510))/$H510+N(Auftrag!$AI510)/$J510+N(Auftrag!$AK510)/$I510+N(Auftrag!$AD510)/$K510)+N(Auftrag!$I510)*$L510))</f>
        <v/>
      </c>
      <c r="N510" s="35">
        <f>IF($A510="","",IF(OR($H510="",$C510=0),0,(60*SUMIFS(Stangenbelegung!$K$5:$K$10004,Stangenbelegung!$E$5:$E$10004,ROW())/$H510+SUMIFS(Stangenbelegung!$L$5:$L$10004,Stangenbelegung!$E$5:$E$10004,ROW())*$L510)/$C510))</f>
        <v/>
      </c>
      <c r="O510" s="35">
        <f>IF($A510="","",IF($M510="","",MAX(0,$M510-$N510)))</f>
        <v/>
      </c>
      <c r="P510" s="35">
        <f>IF($A510="","",IFERROR(SUMPRODUCT(--("0"&amp;TRIM(RIGHT(SUBSTITUTE(LEFT(";"&amp;SUBSTITUTE(UPPER(Auftrag!$AG510)," ","")&amp;";"&amp;"X"&amp;UPPER(Gewinde!$A$5:$A$54)&amp;";",SEARCH("X"&amp;UPPER(Gewinde!$A$5:$A$54)&amp;";",";"&amp;SUBSTITUTE(UPPER(Auftrag!$AG510)," ","")&amp;";"&amp;"X"&amp;UPPER(Gewinde!$A$5:$A$54)&amp;";")-1),";",REPT(" ",50)),50))),Gewinde!$C$5:$C$54),0))</f>
        <v/>
      </c>
      <c r="Q510" s="33">
        <f>IF($A510="","",(N($O510)+$P510)/3600*N(Auftrag!$H$8))</f>
        <v/>
      </c>
      <c r="R510" s="33">
        <f>IF($A510="","",IF($F$8=0,0,$F$7/$F$8))</f>
        <v/>
      </c>
      <c r="S510" s="33">
        <f>IF($A510="","",$F510*(1+$C$4)+($Q510+$R510)*(1+$C$5))</f>
        <v/>
      </c>
      <c r="T510" s="33">
        <f>IF($A510="","",$S510*(1+$C$6))</f>
        <v/>
      </c>
      <c r="U510" s="18">
        <f>IF($A510="","",$T510*$C510)</f>
        <v/>
      </c>
      <c r="V510" s="18">
        <f>IF($A510="","",$S510*$C510)</f>
        <v/>
      </c>
      <c r="W510" s="28">
        <f>IF($A510="","",IF(N(Auftrag!$AO510)&gt;0,"nicht vollständig eingeplant",IF($D510=0,"kein Schnittplan oder Preis",IF($H510="","keine Schneiddaten",IF(AND(Auftrag!$AF510&lt;&gt;"",Auftrag!$AG510=""),"Gewinde ungeprüft","")))))</f>
        <v/>
      </c>
      <c r="X510" s="18">
        <f>IF($A510="","",$F510*$C510)</f>
        <v/>
      </c>
      <c r="Y510" s="18">
        <f>IF($A510="","",$Q510*$C510)</f>
        <v/>
      </c>
    </row>
    <row r="511">
      <c r="A511" s="25">
        <f>IF(Auftrag!$D511="","",Auftrag!$A511)</f>
        <v/>
      </c>
      <c r="B511" s="25">
        <f>IF($A511="","",Auftrag!$B511)</f>
        <v/>
      </c>
      <c r="C511" s="15">
        <f>IF($A511="","",N(Auftrag!$G511))</f>
        <v/>
      </c>
      <c r="D511" s="18">
        <f>IF($A511="","",SUMIFS(Schnittplan!$R$5:$R$1004,Schnittplan!$B$5:$B$1004,Auftrag!$D511,Schnittplan!$C$5:$C$1004,Auftrag!$E511,Schnittplan!$D$5:$D$1004,Auftrag!$Q511))</f>
        <v/>
      </c>
      <c r="E511" s="32">
        <f>IF($A511="","",IFERROR(N(Auftrag!$P511)/SUMIFS(Auftrag!$P$13:$P$512,Auftrag!$D$13:$D$512,Auftrag!$D511,Auftrag!$E$13:$E$512,Auftrag!$E511,Auftrag!$Q$13:$Q$512,Auftrag!$Q511),0))</f>
        <v/>
      </c>
      <c r="F511" s="33">
        <f>IF($A511="","",IF($C511=0,0,$D511*$E511/$C511))</f>
        <v/>
      </c>
      <c r="G511" s="34">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5">
        <f>IF($A511="","",IF($H511="","",60*((N(Auftrag!$H511)-N(Auftrag!$AI511)-N(Auftrag!$AK511))/$H511+N(Auftrag!$AI511)/$J511+N(Auftrag!$AK511)/$I511+N(Auftrag!$AD511)/$K511)+N(Auftrag!$I511)*$L511))</f>
        <v/>
      </c>
      <c r="N511" s="35">
        <f>IF($A511="","",IF(OR($H511="",$C511=0),0,(60*SUMIFS(Stangenbelegung!$K$5:$K$10004,Stangenbelegung!$E$5:$E$10004,ROW())/$H511+SUMIFS(Stangenbelegung!$L$5:$L$10004,Stangenbelegung!$E$5:$E$10004,ROW())*$L511)/$C511))</f>
        <v/>
      </c>
      <c r="O511" s="35">
        <f>IF($A511="","",IF($M511="","",MAX(0,$M511-$N511)))</f>
        <v/>
      </c>
      <c r="P511" s="35">
        <f>IF($A511="","",IFERROR(SUMPRODUCT(--("0"&amp;TRIM(RIGHT(SUBSTITUTE(LEFT(";"&amp;SUBSTITUTE(UPPER(Auftrag!$AG511)," ","")&amp;";"&amp;"X"&amp;UPPER(Gewinde!$A$5:$A$54)&amp;";",SEARCH("X"&amp;UPPER(Gewinde!$A$5:$A$54)&amp;";",";"&amp;SUBSTITUTE(UPPER(Auftrag!$AG511)," ","")&amp;";"&amp;"X"&amp;UPPER(Gewinde!$A$5:$A$54)&amp;";")-1),";",REPT(" ",50)),50))),Gewinde!$C$5:$C$54),0))</f>
        <v/>
      </c>
      <c r="Q511" s="33">
        <f>IF($A511="","",(N($O511)+$P511)/3600*N(Auftrag!$H$8))</f>
        <v/>
      </c>
      <c r="R511" s="33">
        <f>IF($A511="","",IF($F$8=0,0,$F$7/$F$8))</f>
        <v/>
      </c>
      <c r="S511" s="33">
        <f>IF($A511="","",$F511*(1+$C$4)+($Q511+$R511)*(1+$C$5))</f>
        <v/>
      </c>
      <c r="T511" s="33">
        <f>IF($A511="","",$S511*(1+$C$6))</f>
        <v/>
      </c>
      <c r="U511" s="18">
        <f>IF($A511="","",$T511*$C511)</f>
        <v/>
      </c>
      <c r="V511" s="18">
        <f>IF($A511="","",$S511*$C511)</f>
        <v/>
      </c>
      <c r="W511" s="28">
        <f>IF($A511="","",IF(N(Auftrag!$AO511)&gt;0,"nicht vollständig eingeplant",IF($D511=0,"kein Schnittplan oder Preis",IF($H511="","keine Schneiddaten",IF(AND(Auftrag!$AF511&lt;&gt;"",Auftrag!$AG511=""),"Gewinde ungeprüft","")))))</f>
        <v/>
      </c>
      <c r="X511" s="18">
        <f>IF($A511="","",$F511*$C511)</f>
        <v/>
      </c>
      <c r="Y511" s="18">
        <f>IF($A511="","",$Q511*$C511)</f>
        <v/>
      </c>
    </row>
    <row r="512">
      <c r="A512" s="25">
        <f>IF(Auftrag!$D512="","",Auftrag!$A512)</f>
        <v/>
      </c>
      <c r="B512" s="25">
        <f>IF($A512="","",Auftrag!$B512)</f>
        <v/>
      </c>
      <c r="C512" s="15">
        <f>IF($A512="","",N(Auftrag!$G512))</f>
        <v/>
      </c>
      <c r="D512" s="18">
        <f>IF($A512="","",SUMIFS(Schnittplan!$R$5:$R$1004,Schnittplan!$B$5:$B$1004,Auftrag!$D512,Schnittplan!$C$5:$C$1004,Auftrag!$E512,Schnittplan!$D$5:$D$1004,Auftrag!$Q512))</f>
        <v/>
      </c>
      <c r="E512" s="32">
        <f>IF($A512="","",IFERROR(N(Auftrag!$P512)/SUMIFS(Auftrag!$P$13:$P$512,Auftrag!$D$13:$D$512,Auftrag!$D512,Auftrag!$E$13:$E$512,Auftrag!$E512,Auftrag!$Q$13:$Q$512,Auftrag!$Q512),0))</f>
        <v/>
      </c>
      <c r="F512" s="33">
        <f>IF($A512="","",IF($C512=0,0,$D512*$E512/$C512))</f>
        <v/>
      </c>
      <c r="G512" s="34">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5">
        <f>IF($A512="","",IF($H512="","",60*((N(Auftrag!$H512)-N(Auftrag!$AI512)-N(Auftrag!$AK512))/$H512+N(Auftrag!$AI512)/$J512+N(Auftrag!$AK512)/$I512+N(Auftrag!$AD512)/$K512)+N(Auftrag!$I512)*$L512))</f>
        <v/>
      </c>
      <c r="N512" s="35">
        <f>IF($A512="","",IF(OR($H512="",$C512=0),0,(60*SUMIFS(Stangenbelegung!$K$5:$K$10004,Stangenbelegung!$E$5:$E$10004,ROW())/$H512+SUMIFS(Stangenbelegung!$L$5:$L$10004,Stangenbelegung!$E$5:$E$10004,ROW())*$L512)/$C512))</f>
        <v/>
      </c>
      <c r="O512" s="35">
        <f>IF($A512="","",IF($M512="","",MAX(0,$M512-$N512)))</f>
        <v/>
      </c>
      <c r="P512" s="35">
        <f>IF($A512="","",IFERROR(SUMPRODUCT(--("0"&amp;TRIM(RIGHT(SUBSTITUTE(LEFT(";"&amp;SUBSTITUTE(UPPER(Auftrag!$AG512)," ","")&amp;";"&amp;"X"&amp;UPPER(Gewinde!$A$5:$A$54)&amp;";",SEARCH("X"&amp;UPPER(Gewinde!$A$5:$A$54)&amp;";",";"&amp;SUBSTITUTE(UPPER(Auftrag!$AG512)," ","")&amp;";"&amp;"X"&amp;UPPER(Gewinde!$A$5:$A$54)&amp;";")-1),";",REPT(" ",50)),50))),Gewinde!$C$5:$C$54),0))</f>
        <v/>
      </c>
      <c r="Q512" s="33">
        <f>IF($A512="","",(N($O512)+$P512)/3600*N(Auftrag!$H$8))</f>
        <v/>
      </c>
      <c r="R512" s="33">
        <f>IF($A512="","",IF($F$8=0,0,$F$7/$F$8))</f>
        <v/>
      </c>
      <c r="S512" s="33">
        <f>IF($A512="","",$F512*(1+$C$4)+($Q512+$R512)*(1+$C$5))</f>
        <v/>
      </c>
      <c r="T512" s="33">
        <f>IF($A512="","",$S512*(1+$C$6))</f>
        <v/>
      </c>
      <c r="U512" s="18">
        <f>IF($A512="","",$T512*$C512)</f>
        <v/>
      </c>
      <c r="V512" s="18">
        <f>IF($A512="","",$S512*$C512)</f>
        <v/>
      </c>
      <c r="W512" s="28">
        <f>IF($A512="","",IF(N(Auftrag!$AO512)&gt;0,"nicht vollständig eingeplant",IF($D512=0,"kein Schnittplan oder Preis",IF($H512="","keine Schneiddaten",IF(AND(Auftrag!$AF512&lt;&gt;"",Auftrag!$AG512=""),"Gewinde ungeprüft","")))))</f>
        <v/>
      </c>
      <c r="X512" s="18">
        <f>IF($A512="","",$F512*$C512)</f>
        <v/>
      </c>
      <c r="Y512" s="18">
        <f>IF($A512="","",$Q512*$C512)</f>
        <v/>
      </c>
    </row>
  </sheetData>
  <mergeCells count="15">
    <mergeCell ref="A4:B4"/>
    <mergeCell ref="D6:E6"/>
    <mergeCell ref="D8:E8"/>
    <mergeCell ref="D7:E7"/>
    <mergeCell ref="H5:J5"/>
    <mergeCell ref="D5:E5"/>
    <mergeCell ref="A5:B5"/>
    <mergeCell ref="H4:J4"/>
    <mergeCell ref="H8:J8"/>
    <mergeCell ref="A10:B10"/>
    <mergeCell ref="D4:E4"/>
    <mergeCell ref="C10:F10"/>
    <mergeCell ref="A6:B6"/>
    <mergeCell ref="H7:J7"/>
    <mergeCell ref="H6:J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pageSetup orientation="landscape" fitToHeight="0" fitToWidth="1"/>
</worksheet>
</file>

<file path=xl/worksheets/sheet4.xml><?xml version="1.0" encoding="utf-8"?>
<worksheet xmlns="http://schemas.openxmlformats.org/spreadsheetml/2006/main">
  <sheetPr codeName="Tabelle4">
    <outlinePr summaryBelow="1" summaryRight="1"/>
    <pageSetUpPr/>
  </sheetPr>
  <dimension ref="A1:D104"/>
  <sheetViews>
    <sheetView tabSelected="0" zoomScale="90" workbookViewId="0">
      <pane ySplit="4" topLeftCell="A5" activePane="bottomLeft" state="frozen"/>
      <selection pane="bottomLeft" activeCell="A1" sqref="A1"/>
    </sheetView>
  </sheetViews>
  <sheetFormatPr baseColWidth="8" defaultRowHeight="15"/>
  <cols>
    <col width="18" customWidth="1" min="1" max="1"/>
    <col width="13" customWidth="1" min="2" max="2"/>
    <col width="36" customWidth="1" min="3" max="3"/>
    <col width="32" customWidth="1" min="4" max="4"/>
  </cols>
  <sheetData>
    <row r="1">
      <c r="A1" s="1" t="inlineStr">
        <is>
          <t>Staffeln (Mengenstufen)</t>
        </is>
      </c>
    </row>
    <row r="2">
      <c r="A2" s="2" t="inlineStr">
        <is>
          <t>Je Zeile eine Mengenstufe: Satzbezeichnung aus Spalte AQ des Auftrags oder Positionsnummer aus Spalte A. 'Staffelpreise' rechnet jede Stufe als eigenen Auftrag neu – Stangenbedarf, Verschnitt, Rüsten und Stangenwechsel fallen je Stufe neu an.</t>
        </is>
      </c>
    </row>
    <row r="4" ht="45" customHeight="1">
      <c r="A4" s="22" t="inlineStr">
        <is>
          <t>Satz oder Pos.</t>
        </is>
      </c>
      <c r="B4" s="22" t="inlineStr">
        <is>
          <t>Menge [Sätze bzw. Stück]</t>
        </is>
      </c>
      <c r="C4" s="22" t="inlineStr">
        <is>
          <t>Bemerkung</t>
        </is>
      </c>
      <c r="D4" s="22" t="inlineStr">
        <is>
          <t>Prüfung</t>
        </is>
      </c>
    </row>
    <row r="5">
      <c r="A5" s="9" t="inlineStr">
        <is>
          <t>Rahmen</t>
        </is>
      </c>
      <c r="B5" s="19" t="n">
        <v>2</v>
      </c>
      <c r="C5" s="9" t="inlineStr">
        <is>
          <t>Beispiel: Satz aus Pos. 30 und 40</t>
        </is>
      </c>
      <c r="D5" s="28">
        <f>IF($A5="","",IF(N($B5)&lt;1,"FEHLER: Menge fehlt",IF(COUNTIF(Auftrag!$AQ$13:$AQ$512,$A5)&gt;0,"Satz mit "&amp;COUNTIF(Auftrag!$AQ$13:$AQ$512,$A5)&amp;" Positionen",IF(COUNTIF(Auftrag!$A$13:$A$512,$A5)&gt;0,"Position","FEHLER: Satz/Pos. nicht im Auftrag"))))</f>
        <v/>
      </c>
    </row>
    <row r="6">
      <c r="A6" s="9" t="inlineStr">
        <is>
          <t>Rahmen</t>
        </is>
      </c>
      <c r="B6" s="19" t="n">
        <v>4</v>
      </c>
      <c r="C6" s="9" t="n"/>
      <c r="D6" s="28">
        <f>IF($A6="","",IF(N($B6)&lt;1,"FEHLER: Menge fehlt",IF(COUNTIF(Auftrag!$AQ$13:$AQ$512,$A6)&gt;0,"Satz mit "&amp;COUNTIF(Auftrag!$AQ$13:$AQ$512,$A6)&amp;" Positionen",IF(COUNTIF(Auftrag!$A$13:$A$512,$A6)&gt;0,"Position","FEHLER: Satz/Pos. nicht im Auftrag"))))</f>
        <v/>
      </c>
    </row>
    <row r="7">
      <c r="A7" s="9" t="inlineStr">
        <is>
          <t>Rahmen</t>
        </is>
      </c>
      <c r="B7" s="19" t="n">
        <v>8</v>
      </c>
      <c r="C7" s="9" t="n"/>
      <c r="D7" s="28">
        <f>IF($A7="","",IF(N($B7)&lt;1,"FEHLER: Menge fehlt",IF(COUNTIF(Auftrag!$AQ$13:$AQ$512,$A7)&gt;0,"Satz mit "&amp;COUNTIF(Auftrag!$AQ$13:$AQ$512,$A7)&amp;" Positionen",IF(COUNTIF(Auftrag!$A$13:$A$512,$A7)&gt;0,"Position","FEHLER: Satz/Pos. nicht im Auftrag"))))</f>
        <v/>
      </c>
    </row>
    <row r="8">
      <c r="A8" s="9" t="n">
        <v>10</v>
      </c>
      <c r="B8" s="19" t="n">
        <v>24</v>
      </c>
      <c r="C8" s="9" t="inlineStr">
        <is>
          <t>Beispiel: Einzelposition</t>
        </is>
      </c>
      <c r="D8" s="28">
        <f>IF($A8="","",IF(N($B8)&lt;1,"FEHLER: Menge fehlt",IF(COUNTIF(Auftrag!$AQ$13:$AQ$512,$A8)&gt;0,"Satz mit "&amp;COUNTIF(Auftrag!$AQ$13:$AQ$512,$A8)&amp;" Positionen",IF(COUNTIF(Auftrag!$A$13:$A$512,$A8)&gt;0,"Position","FEHLER: Satz/Pos. nicht im Auftrag"))))</f>
        <v/>
      </c>
    </row>
    <row r="9">
      <c r="A9" s="9" t="n">
        <v>10</v>
      </c>
      <c r="B9" s="19" t="n">
        <v>50</v>
      </c>
      <c r="C9" s="9" t="n"/>
      <c r="D9" s="28">
        <f>IF($A9="","",IF(N($B9)&lt;1,"FEHLER: Menge fehlt",IF(COUNTIF(Auftrag!$AQ$13:$AQ$512,$A9)&gt;0,"Satz mit "&amp;COUNTIF(Auftrag!$AQ$13:$AQ$512,$A9)&amp;" Positionen",IF(COUNTIF(Auftrag!$A$13:$A$512,$A9)&gt;0,"Position","FEHLER: Satz/Pos. nicht im Auftrag"))))</f>
        <v/>
      </c>
    </row>
    <row r="10">
      <c r="A10" s="9" t="n">
        <v>10</v>
      </c>
      <c r="B10" s="19" t="n">
        <v>100</v>
      </c>
      <c r="C10" s="9" t="n"/>
      <c r="D10" s="28">
        <f>IF($A10="","",IF(N($B10)&lt;1,"FEHLER: Menge fehlt",IF(COUNTIF(Auftrag!$AQ$13:$AQ$512,$A10)&gt;0,"Satz mit "&amp;COUNTIF(Auftrag!$AQ$13:$AQ$512,$A10)&amp;" Positionen",IF(COUNTIF(Auftrag!$A$13:$A$512,$A10)&gt;0,"Position","FEHLER: Satz/Pos. nicht im Auftrag"))))</f>
        <v/>
      </c>
    </row>
    <row r="11">
      <c r="A11" s="9" t="n"/>
      <c r="B11" s="19" t="n"/>
      <c r="C11" s="9" t="n"/>
      <c r="D11" s="28">
        <f>IF($A11="","",IF(N($B11)&lt;1,"FEHLER: Menge fehlt",IF(COUNTIF(Auftrag!$AQ$13:$AQ$512,$A11)&gt;0,"Satz mit "&amp;COUNTIF(Auftrag!$AQ$13:$AQ$512,$A11)&amp;" Positionen",IF(COUNTIF(Auftrag!$A$13:$A$512,$A11)&gt;0,"Position","FEHLER: Satz/Pos. nicht im Auftrag"))))</f>
        <v/>
      </c>
    </row>
    <row r="12">
      <c r="A12" s="9" t="n"/>
      <c r="B12" s="19" t="n"/>
      <c r="C12" s="9" t="n"/>
      <c r="D12" s="28">
        <f>IF($A12="","",IF(N($B12)&lt;1,"FEHLER: Menge fehlt",IF(COUNTIF(Auftrag!$AQ$13:$AQ$512,$A12)&gt;0,"Satz mit "&amp;COUNTIF(Auftrag!$AQ$13:$AQ$512,$A12)&amp;" Positionen",IF(COUNTIF(Auftrag!$A$13:$A$512,$A12)&gt;0,"Position","FEHLER: Satz/Pos. nicht im Auftrag"))))</f>
        <v/>
      </c>
    </row>
    <row r="13">
      <c r="A13" s="9" t="n"/>
      <c r="B13" s="19" t="n"/>
      <c r="C13" s="9" t="n"/>
      <c r="D13" s="28">
        <f>IF($A13="","",IF(N($B13)&lt;1,"FEHLER: Menge fehlt",IF(COUNTIF(Auftrag!$AQ$13:$AQ$512,$A13)&gt;0,"Satz mit "&amp;COUNTIF(Auftrag!$AQ$13:$AQ$512,$A13)&amp;" Positionen",IF(COUNTIF(Auftrag!$A$13:$A$512,$A13)&gt;0,"Position","FEHLER: Satz/Pos. nicht im Auftrag"))))</f>
        <v/>
      </c>
    </row>
    <row r="14">
      <c r="A14" s="9" t="n"/>
      <c r="B14" s="19" t="n"/>
      <c r="C14" s="9" t="n"/>
      <c r="D14" s="28">
        <f>IF($A14="","",IF(N($B14)&lt;1,"FEHLER: Menge fehlt",IF(COUNTIF(Auftrag!$AQ$13:$AQ$512,$A14)&gt;0,"Satz mit "&amp;COUNTIF(Auftrag!$AQ$13:$AQ$512,$A14)&amp;" Positionen",IF(COUNTIF(Auftrag!$A$13:$A$512,$A14)&gt;0,"Position","FEHLER: Satz/Pos. nicht im Auftrag"))))</f>
        <v/>
      </c>
    </row>
    <row r="15">
      <c r="A15" s="9" t="n"/>
      <c r="B15" s="19" t="n"/>
      <c r="C15" s="9" t="n"/>
      <c r="D15" s="28">
        <f>IF($A15="","",IF(N($B15)&lt;1,"FEHLER: Menge fehlt",IF(COUNTIF(Auftrag!$AQ$13:$AQ$512,$A15)&gt;0,"Satz mit "&amp;COUNTIF(Auftrag!$AQ$13:$AQ$512,$A15)&amp;" Positionen",IF(COUNTIF(Auftrag!$A$13:$A$512,$A15)&gt;0,"Position","FEHLER: Satz/Pos. nicht im Auftrag"))))</f>
        <v/>
      </c>
    </row>
    <row r="16">
      <c r="A16" s="9" t="n"/>
      <c r="B16" s="19" t="n"/>
      <c r="C16" s="9" t="n"/>
      <c r="D16" s="28">
        <f>IF($A16="","",IF(N($B16)&lt;1,"FEHLER: Menge fehlt",IF(COUNTIF(Auftrag!$AQ$13:$AQ$512,$A16)&gt;0,"Satz mit "&amp;COUNTIF(Auftrag!$AQ$13:$AQ$512,$A16)&amp;" Positionen",IF(COUNTIF(Auftrag!$A$13:$A$512,$A16)&gt;0,"Position","FEHLER: Satz/Pos. nicht im Auftrag"))))</f>
        <v/>
      </c>
    </row>
    <row r="17">
      <c r="A17" s="9" t="n"/>
      <c r="B17" s="19" t="n"/>
      <c r="C17" s="9" t="n"/>
      <c r="D17" s="28">
        <f>IF($A17="","",IF(N($B17)&lt;1,"FEHLER: Menge fehlt",IF(COUNTIF(Auftrag!$AQ$13:$AQ$512,$A17)&gt;0,"Satz mit "&amp;COUNTIF(Auftrag!$AQ$13:$AQ$512,$A17)&amp;" Positionen",IF(COUNTIF(Auftrag!$A$13:$A$512,$A17)&gt;0,"Position","FEHLER: Satz/Pos. nicht im Auftrag"))))</f>
        <v/>
      </c>
    </row>
    <row r="18">
      <c r="A18" s="9" t="n"/>
      <c r="B18" s="19" t="n"/>
      <c r="C18" s="9" t="n"/>
      <c r="D18" s="28">
        <f>IF($A18="","",IF(N($B18)&lt;1,"FEHLER: Menge fehlt",IF(COUNTIF(Auftrag!$AQ$13:$AQ$512,$A18)&gt;0,"Satz mit "&amp;COUNTIF(Auftrag!$AQ$13:$AQ$512,$A18)&amp;" Positionen",IF(COUNTIF(Auftrag!$A$13:$A$512,$A18)&gt;0,"Position","FEHLER: Satz/Pos. nicht im Auftrag"))))</f>
        <v/>
      </c>
    </row>
    <row r="19">
      <c r="A19" s="9" t="n"/>
      <c r="B19" s="19" t="n"/>
      <c r="C19" s="9" t="n"/>
      <c r="D19" s="28">
        <f>IF($A19="","",IF(N($B19)&lt;1,"FEHLER: Menge fehlt",IF(COUNTIF(Auftrag!$AQ$13:$AQ$512,$A19)&gt;0,"Satz mit "&amp;COUNTIF(Auftrag!$AQ$13:$AQ$512,$A19)&amp;" Positionen",IF(COUNTIF(Auftrag!$A$13:$A$512,$A19)&gt;0,"Position","FEHLER: Satz/Pos. nicht im Auftrag"))))</f>
        <v/>
      </c>
    </row>
    <row r="20">
      <c r="A20" s="9" t="n"/>
      <c r="B20" s="19" t="n"/>
      <c r="C20" s="9" t="n"/>
      <c r="D20" s="28">
        <f>IF($A20="","",IF(N($B20)&lt;1,"FEHLER: Menge fehlt",IF(COUNTIF(Auftrag!$AQ$13:$AQ$512,$A20)&gt;0,"Satz mit "&amp;COUNTIF(Auftrag!$AQ$13:$AQ$512,$A20)&amp;" Positionen",IF(COUNTIF(Auftrag!$A$13:$A$512,$A20)&gt;0,"Position","FEHLER: Satz/Pos. nicht im Auftrag"))))</f>
        <v/>
      </c>
    </row>
    <row r="21">
      <c r="A21" s="9" t="n"/>
      <c r="B21" s="19" t="n"/>
      <c r="C21" s="9" t="n"/>
      <c r="D21" s="28">
        <f>IF($A21="","",IF(N($B21)&lt;1,"FEHLER: Menge fehlt",IF(COUNTIF(Auftrag!$AQ$13:$AQ$512,$A21)&gt;0,"Satz mit "&amp;COUNTIF(Auftrag!$AQ$13:$AQ$512,$A21)&amp;" Positionen",IF(COUNTIF(Auftrag!$A$13:$A$512,$A21)&gt;0,"Position","FEHLER: Satz/Pos. nicht im Auftrag"))))</f>
        <v/>
      </c>
    </row>
    <row r="22">
      <c r="A22" s="9" t="n"/>
      <c r="B22" s="19" t="n"/>
      <c r="C22" s="9" t="n"/>
      <c r="D22" s="28">
        <f>IF($A22="","",IF(N($B22)&lt;1,"FEHLER: Menge fehlt",IF(COUNTIF(Auftrag!$AQ$13:$AQ$512,$A22)&gt;0,"Satz mit "&amp;COUNTIF(Auftrag!$AQ$13:$AQ$512,$A22)&amp;" Positionen",IF(COUNTIF(Auftrag!$A$13:$A$512,$A22)&gt;0,"Position","FEHLER: Satz/Pos. nicht im Auftrag"))))</f>
        <v/>
      </c>
    </row>
    <row r="23">
      <c r="A23" s="9" t="n"/>
      <c r="B23" s="19" t="n"/>
      <c r="C23" s="9" t="n"/>
      <c r="D23" s="28">
        <f>IF($A23="","",IF(N($B23)&lt;1,"FEHLER: Menge fehlt",IF(COUNTIF(Auftrag!$AQ$13:$AQ$512,$A23)&gt;0,"Satz mit "&amp;COUNTIF(Auftrag!$AQ$13:$AQ$512,$A23)&amp;" Positionen",IF(COUNTIF(Auftrag!$A$13:$A$512,$A23)&gt;0,"Position","FEHLER: Satz/Pos. nicht im Auftrag"))))</f>
        <v/>
      </c>
    </row>
    <row r="24">
      <c r="A24" s="9" t="n"/>
      <c r="B24" s="19" t="n"/>
      <c r="C24" s="9" t="n"/>
      <c r="D24" s="28">
        <f>IF($A24="","",IF(N($B24)&lt;1,"FEHLER: Menge fehlt",IF(COUNTIF(Auftrag!$AQ$13:$AQ$512,$A24)&gt;0,"Satz mit "&amp;COUNTIF(Auftrag!$AQ$13:$AQ$512,$A24)&amp;" Positionen",IF(COUNTIF(Auftrag!$A$13:$A$512,$A24)&gt;0,"Position","FEHLER: Satz/Pos. nicht im Auftrag"))))</f>
        <v/>
      </c>
    </row>
    <row r="25">
      <c r="A25" s="9" t="n"/>
      <c r="B25" s="19" t="n"/>
      <c r="C25" s="9" t="n"/>
      <c r="D25" s="28">
        <f>IF($A25="","",IF(N($B25)&lt;1,"FEHLER: Menge fehlt",IF(COUNTIF(Auftrag!$AQ$13:$AQ$512,$A25)&gt;0,"Satz mit "&amp;COUNTIF(Auftrag!$AQ$13:$AQ$512,$A25)&amp;" Positionen",IF(COUNTIF(Auftrag!$A$13:$A$512,$A25)&gt;0,"Position","FEHLER: Satz/Pos. nicht im Auftrag"))))</f>
        <v/>
      </c>
    </row>
    <row r="26">
      <c r="A26" s="9" t="n"/>
      <c r="B26" s="19" t="n"/>
      <c r="C26" s="9" t="n"/>
      <c r="D26" s="28">
        <f>IF($A26="","",IF(N($B26)&lt;1,"FEHLER: Menge fehlt",IF(COUNTIF(Auftrag!$AQ$13:$AQ$512,$A26)&gt;0,"Satz mit "&amp;COUNTIF(Auftrag!$AQ$13:$AQ$512,$A26)&amp;" Positionen",IF(COUNTIF(Auftrag!$A$13:$A$512,$A26)&gt;0,"Position","FEHLER: Satz/Pos. nicht im Auftrag"))))</f>
        <v/>
      </c>
    </row>
    <row r="27">
      <c r="A27" s="9" t="n"/>
      <c r="B27" s="19" t="n"/>
      <c r="C27" s="9" t="n"/>
      <c r="D27" s="28">
        <f>IF($A27="","",IF(N($B27)&lt;1,"FEHLER: Menge fehlt",IF(COUNTIF(Auftrag!$AQ$13:$AQ$512,$A27)&gt;0,"Satz mit "&amp;COUNTIF(Auftrag!$AQ$13:$AQ$512,$A27)&amp;" Positionen",IF(COUNTIF(Auftrag!$A$13:$A$512,$A27)&gt;0,"Position","FEHLER: Satz/Pos. nicht im Auftrag"))))</f>
        <v/>
      </c>
    </row>
    <row r="28">
      <c r="A28" s="9" t="n"/>
      <c r="B28" s="19" t="n"/>
      <c r="C28" s="9" t="n"/>
      <c r="D28" s="28">
        <f>IF($A28="","",IF(N($B28)&lt;1,"FEHLER: Menge fehlt",IF(COUNTIF(Auftrag!$AQ$13:$AQ$512,$A28)&gt;0,"Satz mit "&amp;COUNTIF(Auftrag!$AQ$13:$AQ$512,$A28)&amp;" Positionen",IF(COUNTIF(Auftrag!$A$13:$A$512,$A28)&gt;0,"Position","FEHLER: Satz/Pos. nicht im Auftrag"))))</f>
        <v/>
      </c>
    </row>
    <row r="29">
      <c r="A29" s="9" t="n"/>
      <c r="B29" s="19" t="n"/>
      <c r="C29" s="9" t="n"/>
      <c r="D29" s="28">
        <f>IF($A29="","",IF(N($B29)&lt;1,"FEHLER: Menge fehlt",IF(COUNTIF(Auftrag!$AQ$13:$AQ$512,$A29)&gt;0,"Satz mit "&amp;COUNTIF(Auftrag!$AQ$13:$AQ$512,$A29)&amp;" Positionen",IF(COUNTIF(Auftrag!$A$13:$A$512,$A29)&gt;0,"Position","FEHLER: Satz/Pos. nicht im Auftrag"))))</f>
        <v/>
      </c>
    </row>
    <row r="30">
      <c r="A30" s="9" t="n"/>
      <c r="B30" s="19" t="n"/>
      <c r="C30" s="9" t="n"/>
      <c r="D30" s="28">
        <f>IF($A30="","",IF(N($B30)&lt;1,"FEHLER: Menge fehlt",IF(COUNTIF(Auftrag!$AQ$13:$AQ$512,$A30)&gt;0,"Satz mit "&amp;COUNTIF(Auftrag!$AQ$13:$AQ$512,$A30)&amp;" Positionen",IF(COUNTIF(Auftrag!$A$13:$A$512,$A30)&gt;0,"Position","FEHLER: Satz/Pos. nicht im Auftrag"))))</f>
        <v/>
      </c>
    </row>
    <row r="31">
      <c r="A31" s="9" t="n"/>
      <c r="B31" s="19" t="n"/>
      <c r="C31" s="9" t="n"/>
      <c r="D31" s="28">
        <f>IF($A31="","",IF(N($B31)&lt;1,"FEHLER: Menge fehlt",IF(COUNTIF(Auftrag!$AQ$13:$AQ$512,$A31)&gt;0,"Satz mit "&amp;COUNTIF(Auftrag!$AQ$13:$AQ$512,$A31)&amp;" Positionen",IF(COUNTIF(Auftrag!$A$13:$A$512,$A31)&gt;0,"Position","FEHLER: Satz/Pos. nicht im Auftrag"))))</f>
        <v/>
      </c>
    </row>
    <row r="32">
      <c r="A32" s="9" t="n"/>
      <c r="B32" s="19" t="n"/>
      <c r="C32" s="9" t="n"/>
      <c r="D32" s="28">
        <f>IF($A32="","",IF(N($B32)&lt;1,"FEHLER: Menge fehlt",IF(COUNTIF(Auftrag!$AQ$13:$AQ$512,$A32)&gt;0,"Satz mit "&amp;COUNTIF(Auftrag!$AQ$13:$AQ$512,$A32)&amp;" Positionen",IF(COUNTIF(Auftrag!$A$13:$A$512,$A32)&gt;0,"Position","FEHLER: Satz/Pos. nicht im Auftrag"))))</f>
        <v/>
      </c>
    </row>
    <row r="33">
      <c r="A33" s="9" t="n"/>
      <c r="B33" s="19" t="n"/>
      <c r="C33" s="9" t="n"/>
      <c r="D33" s="28">
        <f>IF($A33="","",IF(N($B33)&lt;1,"FEHLER: Menge fehlt",IF(COUNTIF(Auftrag!$AQ$13:$AQ$512,$A33)&gt;0,"Satz mit "&amp;COUNTIF(Auftrag!$AQ$13:$AQ$512,$A33)&amp;" Positionen",IF(COUNTIF(Auftrag!$A$13:$A$512,$A33)&gt;0,"Position","FEHLER: Satz/Pos. nicht im Auftrag"))))</f>
        <v/>
      </c>
    </row>
    <row r="34">
      <c r="A34" s="9" t="n"/>
      <c r="B34" s="19" t="n"/>
      <c r="C34" s="9" t="n"/>
      <c r="D34" s="28">
        <f>IF($A34="","",IF(N($B34)&lt;1,"FEHLER: Menge fehlt",IF(COUNTIF(Auftrag!$AQ$13:$AQ$512,$A34)&gt;0,"Satz mit "&amp;COUNTIF(Auftrag!$AQ$13:$AQ$512,$A34)&amp;" Positionen",IF(COUNTIF(Auftrag!$A$13:$A$512,$A34)&gt;0,"Position","FEHLER: Satz/Pos. nicht im Auftrag"))))</f>
        <v/>
      </c>
    </row>
    <row r="35">
      <c r="A35" s="9" t="n"/>
      <c r="B35" s="19" t="n"/>
      <c r="C35" s="9" t="n"/>
      <c r="D35" s="28">
        <f>IF($A35="","",IF(N($B35)&lt;1,"FEHLER: Menge fehlt",IF(COUNTIF(Auftrag!$AQ$13:$AQ$512,$A35)&gt;0,"Satz mit "&amp;COUNTIF(Auftrag!$AQ$13:$AQ$512,$A35)&amp;" Positionen",IF(COUNTIF(Auftrag!$A$13:$A$512,$A35)&gt;0,"Position","FEHLER: Satz/Pos. nicht im Auftrag"))))</f>
        <v/>
      </c>
    </row>
    <row r="36">
      <c r="A36" s="9" t="n"/>
      <c r="B36" s="19" t="n"/>
      <c r="C36" s="9" t="n"/>
      <c r="D36" s="28">
        <f>IF($A36="","",IF(N($B36)&lt;1,"FEHLER: Menge fehlt",IF(COUNTIF(Auftrag!$AQ$13:$AQ$512,$A36)&gt;0,"Satz mit "&amp;COUNTIF(Auftrag!$AQ$13:$AQ$512,$A36)&amp;" Positionen",IF(COUNTIF(Auftrag!$A$13:$A$512,$A36)&gt;0,"Position","FEHLER: Satz/Pos. nicht im Auftrag"))))</f>
        <v/>
      </c>
    </row>
    <row r="37">
      <c r="A37" s="9" t="n"/>
      <c r="B37" s="19" t="n"/>
      <c r="C37" s="9" t="n"/>
      <c r="D37" s="28">
        <f>IF($A37="","",IF(N($B37)&lt;1,"FEHLER: Menge fehlt",IF(COUNTIF(Auftrag!$AQ$13:$AQ$512,$A37)&gt;0,"Satz mit "&amp;COUNTIF(Auftrag!$AQ$13:$AQ$512,$A37)&amp;" Positionen",IF(COUNTIF(Auftrag!$A$13:$A$512,$A37)&gt;0,"Position","FEHLER: Satz/Pos. nicht im Auftrag"))))</f>
        <v/>
      </c>
    </row>
    <row r="38">
      <c r="A38" s="9" t="n"/>
      <c r="B38" s="19" t="n"/>
      <c r="C38" s="9" t="n"/>
      <c r="D38" s="28">
        <f>IF($A38="","",IF(N($B38)&lt;1,"FEHLER: Menge fehlt",IF(COUNTIF(Auftrag!$AQ$13:$AQ$512,$A38)&gt;0,"Satz mit "&amp;COUNTIF(Auftrag!$AQ$13:$AQ$512,$A38)&amp;" Positionen",IF(COUNTIF(Auftrag!$A$13:$A$512,$A38)&gt;0,"Position","FEHLER: Satz/Pos. nicht im Auftrag"))))</f>
        <v/>
      </c>
    </row>
    <row r="39">
      <c r="A39" s="9" t="n"/>
      <c r="B39" s="19" t="n"/>
      <c r="C39" s="9" t="n"/>
      <c r="D39" s="28">
        <f>IF($A39="","",IF(N($B39)&lt;1,"FEHLER: Menge fehlt",IF(COUNTIF(Auftrag!$AQ$13:$AQ$512,$A39)&gt;0,"Satz mit "&amp;COUNTIF(Auftrag!$AQ$13:$AQ$512,$A39)&amp;" Positionen",IF(COUNTIF(Auftrag!$A$13:$A$512,$A39)&gt;0,"Position","FEHLER: Satz/Pos. nicht im Auftrag"))))</f>
        <v/>
      </c>
    </row>
    <row r="40">
      <c r="A40" s="9" t="n"/>
      <c r="B40" s="19" t="n"/>
      <c r="C40" s="9" t="n"/>
      <c r="D40" s="28">
        <f>IF($A40="","",IF(N($B40)&lt;1,"FEHLER: Menge fehlt",IF(COUNTIF(Auftrag!$AQ$13:$AQ$512,$A40)&gt;0,"Satz mit "&amp;COUNTIF(Auftrag!$AQ$13:$AQ$512,$A40)&amp;" Positionen",IF(COUNTIF(Auftrag!$A$13:$A$512,$A40)&gt;0,"Position","FEHLER: Satz/Pos. nicht im Auftrag"))))</f>
        <v/>
      </c>
    </row>
    <row r="41">
      <c r="A41" s="9" t="n"/>
      <c r="B41" s="19" t="n"/>
      <c r="C41" s="9" t="n"/>
      <c r="D41" s="28">
        <f>IF($A41="","",IF(N($B41)&lt;1,"FEHLER: Menge fehlt",IF(COUNTIF(Auftrag!$AQ$13:$AQ$512,$A41)&gt;0,"Satz mit "&amp;COUNTIF(Auftrag!$AQ$13:$AQ$512,$A41)&amp;" Positionen",IF(COUNTIF(Auftrag!$A$13:$A$512,$A41)&gt;0,"Position","FEHLER: Satz/Pos. nicht im Auftrag"))))</f>
        <v/>
      </c>
    </row>
    <row r="42">
      <c r="A42" s="9" t="n"/>
      <c r="B42" s="19" t="n"/>
      <c r="C42" s="9" t="n"/>
      <c r="D42" s="28">
        <f>IF($A42="","",IF(N($B42)&lt;1,"FEHLER: Menge fehlt",IF(COUNTIF(Auftrag!$AQ$13:$AQ$512,$A42)&gt;0,"Satz mit "&amp;COUNTIF(Auftrag!$AQ$13:$AQ$512,$A42)&amp;" Positionen",IF(COUNTIF(Auftrag!$A$13:$A$512,$A42)&gt;0,"Position","FEHLER: Satz/Pos. nicht im Auftrag"))))</f>
        <v/>
      </c>
    </row>
    <row r="43">
      <c r="A43" s="9" t="n"/>
      <c r="B43" s="19" t="n"/>
      <c r="C43" s="9" t="n"/>
      <c r="D43" s="28">
        <f>IF($A43="","",IF(N($B43)&lt;1,"FEHLER: Menge fehlt",IF(COUNTIF(Auftrag!$AQ$13:$AQ$512,$A43)&gt;0,"Satz mit "&amp;COUNTIF(Auftrag!$AQ$13:$AQ$512,$A43)&amp;" Positionen",IF(COUNTIF(Auftrag!$A$13:$A$512,$A43)&gt;0,"Position","FEHLER: Satz/Pos. nicht im Auftrag"))))</f>
        <v/>
      </c>
    </row>
    <row r="44">
      <c r="A44" s="9" t="n"/>
      <c r="B44" s="19" t="n"/>
      <c r="C44" s="9" t="n"/>
      <c r="D44" s="28">
        <f>IF($A44="","",IF(N($B44)&lt;1,"FEHLER: Menge fehlt",IF(COUNTIF(Auftrag!$AQ$13:$AQ$512,$A44)&gt;0,"Satz mit "&amp;COUNTIF(Auftrag!$AQ$13:$AQ$512,$A44)&amp;" Positionen",IF(COUNTIF(Auftrag!$A$13:$A$512,$A44)&gt;0,"Position","FEHLER: Satz/Pos. nicht im Auftrag"))))</f>
        <v/>
      </c>
    </row>
    <row r="45">
      <c r="A45" s="9" t="n"/>
      <c r="B45" s="19" t="n"/>
      <c r="C45" s="9" t="n"/>
      <c r="D45" s="28">
        <f>IF($A45="","",IF(N($B45)&lt;1,"FEHLER: Menge fehlt",IF(COUNTIF(Auftrag!$AQ$13:$AQ$512,$A45)&gt;0,"Satz mit "&amp;COUNTIF(Auftrag!$AQ$13:$AQ$512,$A45)&amp;" Positionen",IF(COUNTIF(Auftrag!$A$13:$A$512,$A45)&gt;0,"Position","FEHLER: Satz/Pos. nicht im Auftrag"))))</f>
        <v/>
      </c>
    </row>
    <row r="46">
      <c r="A46" s="9" t="n"/>
      <c r="B46" s="19" t="n"/>
      <c r="C46" s="9" t="n"/>
      <c r="D46" s="28">
        <f>IF($A46="","",IF(N($B46)&lt;1,"FEHLER: Menge fehlt",IF(COUNTIF(Auftrag!$AQ$13:$AQ$512,$A46)&gt;0,"Satz mit "&amp;COUNTIF(Auftrag!$AQ$13:$AQ$512,$A46)&amp;" Positionen",IF(COUNTIF(Auftrag!$A$13:$A$512,$A46)&gt;0,"Position","FEHLER: Satz/Pos. nicht im Auftrag"))))</f>
        <v/>
      </c>
    </row>
    <row r="47">
      <c r="A47" s="9" t="n"/>
      <c r="B47" s="19" t="n"/>
      <c r="C47" s="9" t="n"/>
      <c r="D47" s="28">
        <f>IF($A47="","",IF(N($B47)&lt;1,"FEHLER: Menge fehlt",IF(COUNTIF(Auftrag!$AQ$13:$AQ$512,$A47)&gt;0,"Satz mit "&amp;COUNTIF(Auftrag!$AQ$13:$AQ$512,$A47)&amp;" Positionen",IF(COUNTIF(Auftrag!$A$13:$A$512,$A47)&gt;0,"Position","FEHLER: Satz/Pos. nicht im Auftrag"))))</f>
        <v/>
      </c>
    </row>
    <row r="48">
      <c r="A48" s="9" t="n"/>
      <c r="B48" s="19" t="n"/>
      <c r="C48" s="9" t="n"/>
      <c r="D48" s="28">
        <f>IF($A48="","",IF(N($B48)&lt;1,"FEHLER: Menge fehlt",IF(COUNTIF(Auftrag!$AQ$13:$AQ$512,$A48)&gt;0,"Satz mit "&amp;COUNTIF(Auftrag!$AQ$13:$AQ$512,$A48)&amp;" Positionen",IF(COUNTIF(Auftrag!$A$13:$A$512,$A48)&gt;0,"Position","FEHLER: Satz/Pos. nicht im Auftrag"))))</f>
        <v/>
      </c>
    </row>
    <row r="49">
      <c r="A49" s="9" t="n"/>
      <c r="B49" s="19" t="n"/>
      <c r="C49" s="9" t="n"/>
      <c r="D49" s="28">
        <f>IF($A49="","",IF(N($B49)&lt;1,"FEHLER: Menge fehlt",IF(COUNTIF(Auftrag!$AQ$13:$AQ$512,$A49)&gt;0,"Satz mit "&amp;COUNTIF(Auftrag!$AQ$13:$AQ$512,$A49)&amp;" Positionen",IF(COUNTIF(Auftrag!$A$13:$A$512,$A49)&gt;0,"Position","FEHLER: Satz/Pos. nicht im Auftrag"))))</f>
        <v/>
      </c>
    </row>
    <row r="50">
      <c r="A50" s="9" t="n"/>
      <c r="B50" s="19" t="n"/>
      <c r="C50" s="9" t="n"/>
      <c r="D50" s="28">
        <f>IF($A50="","",IF(N($B50)&lt;1,"FEHLER: Menge fehlt",IF(COUNTIF(Auftrag!$AQ$13:$AQ$512,$A50)&gt;0,"Satz mit "&amp;COUNTIF(Auftrag!$AQ$13:$AQ$512,$A50)&amp;" Positionen",IF(COUNTIF(Auftrag!$A$13:$A$512,$A50)&gt;0,"Position","FEHLER: Satz/Pos. nicht im Auftrag"))))</f>
        <v/>
      </c>
    </row>
    <row r="51">
      <c r="A51" s="9" t="n"/>
      <c r="B51" s="19" t="n"/>
      <c r="C51" s="9" t="n"/>
      <c r="D51" s="28">
        <f>IF($A51="","",IF(N($B51)&lt;1,"FEHLER: Menge fehlt",IF(COUNTIF(Auftrag!$AQ$13:$AQ$512,$A51)&gt;0,"Satz mit "&amp;COUNTIF(Auftrag!$AQ$13:$AQ$512,$A51)&amp;" Positionen",IF(COUNTIF(Auftrag!$A$13:$A$512,$A51)&gt;0,"Position","FEHLER: Satz/Pos. nicht im Auftrag"))))</f>
        <v/>
      </c>
    </row>
    <row r="52">
      <c r="A52" s="9" t="n"/>
      <c r="B52" s="19" t="n"/>
      <c r="C52" s="9" t="n"/>
      <c r="D52" s="28">
        <f>IF($A52="","",IF(N($B52)&lt;1,"FEHLER: Menge fehlt",IF(COUNTIF(Auftrag!$AQ$13:$AQ$512,$A52)&gt;0,"Satz mit "&amp;COUNTIF(Auftrag!$AQ$13:$AQ$512,$A52)&amp;" Positionen",IF(COUNTIF(Auftrag!$A$13:$A$512,$A52)&gt;0,"Position","FEHLER: Satz/Pos. nicht im Auftrag"))))</f>
        <v/>
      </c>
    </row>
    <row r="53">
      <c r="A53" s="9" t="n"/>
      <c r="B53" s="19" t="n"/>
      <c r="C53" s="9" t="n"/>
      <c r="D53" s="28">
        <f>IF($A53="","",IF(N($B53)&lt;1,"FEHLER: Menge fehlt",IF(COUNTIF(Auftrag!$AQ$13:$AQ$512,$A53)&gt;0,"Satz mit "&amp;COUNTIF(Auftrag!$AQ$13:$AQ$512,$A53)&amp;" Positionen",IF(COUNTIF(Auftrag!$A$13:$A$512,$A53)&gt;0,"Position","FEHLER: Satz/Pos. nicht im Auftrag"))))</f>
        <v/>
      </c>
    </row>
    <row r="54">
      <c r="A54" s="9" t="n"/>
      <c r="B54" s="19" t="n"/>
      <c r="C54" s="9" t="n"/>
      <c r="D54" s="28">
        <f>IF($A54="","",IF(N($B54)&lt;1,"FEHLER: Menge fehlt",IF(COUNTIF(Auftrag!$AQ$13:$AQ$512,$A54)&gt;0,"Satz mit "&amp;COUNTIF(Auftrag!$AQ$13:$AQ$512,$A54)&amp;" Positionen",IF(COUNTIF(Auftrag!$A$13:$A$512,$A54)&gt;0,"Position","FEHLER: Satz/Pos. nicht im Auftrag"))))</f>
        <v/>
      </c>
    </row>
    <row r="55">
      <c r="A55" s="9" t="n"/>
      <c r="B55" s="19" t="n"/>
      <c r="C55" s="9" t="n"/>
      <c r="D55" s="28">
        <f>IF($A55="","",IF(N($B55)&lt;1,"FEHLER: Menge fehlt",IF(COUNTIF(Auftrag!$AQ$13:$AQ$512,$A55)&gt;0,"Satz mit "&amp;COUNTIF(Auftrag!$AQ$13:$AQ$512,$A55)&amp;" Positionen",IF(COUNTIF(Auftrag!$A$13:$A$512,$A55)&gt;0,"Position","FEHLER: Satz/Pos. nicht im Auftrag"))))</f>
        <v/>
      </c>
    </row>
    <row r="56">
      <c r="A56" s="9" t="n"/>
      <c r="B56" s="19" t="n"/>
      <c r="C56" s="9" t="n"/>
      <c r="D56" s="28">
        <f>IF($A56="","",IF(N($B56)&lt;1,"FEHLER: Menge fehlt",IF(COUNTIF(Auftrag!$AQ$13:$AQ$512,$A56)&gt;0,"Satz mit "&amp;COUNTIF(Auftrag!$AQ$13:$AQ$512,$A56)&amp;" Positionen",IF(COUNTIF(Auftrag!$A$13:$A$512,$A56)&gt;0,"Position","FEHLER: Satz/Pos. nicht im Auftrag"))))</f>
        <v/>
      </c>
    </row>
    <row r="57">
      <c r="A57" s="9" t="n"/>
      <c r="B57" s="19" t="n"/>
      <c r="C57" s="9" t="n"/>
      <c r="D57" s="28">
        <f>IF($A57="","",IF(N($B57)&lt;1,"FEHLER: Menge fehlt",IF(COUNTIF(Auftrag!$AQ$13:$AQ$512,$A57)&gt;0,"Satz mit "&amp;COUNTIF(Auftrag!$AQ$13:$AQ$512,$A57)&amp;" Positionen",IF(COUNTIF(Auftrag!$A$13:$A$512,$A57)&gt;0,"Position","FEHLER: Satz/Pos. nicht im Auftrag"))))</f>
        <v/>
      </c>
    </row>
    <row r="58">
      <c r="A58" s="9" t="n"/>
      <c r="B58" s="19" t="n"/>
      <c r="C58" s="9" t="n"/>
      <c r="D58" s="28">
        <f>IF($A58="","",IF(N($B58)&lt;1,"FEHLER: Menge fehlt",IF(COUNTIF(Auftrag!$AQ$13:$AQ$512,$A58)&gt;0,"Satz mit "&amp;COUNTIF(Auftrag!$AQ$13:$AQ$512,$A58)&amp;" Positionen",IF(COUNTIF(Auftrag!$A$13:$A$512,$A58)&gt;0,"Position","FEHLER: Satz/Pos. nicht im Auftrag"))))</f>
        <v/>
      </c>
    </row>
    <row r="59">
      <c r="A59" s="9" t="n"/>
      <c r="B59" s="19" t="n"/>
      <c r="C59" s="9" t="n"/>
      <c r="D59" s="28">
        <f>IF($A59="","",IF(N($B59)&lt;1,"FEHLER: Menge fehlt",IF(COUNTIF(Auftrag!$AQ$13:$AQ$512,$A59)&gt;0,"Satz mit "&amp;COUNTIF(Auftrag!$AQ$13:$AQ$512,$A59)&amp;" Positionen",IF(COUNTIF(Auftrag!$A$13:$A$512,$A59)&gt;0,"Position","FEHLER: Satz/Pos. nicht im Auftrag"))))</f>
        <v/>
      </c>
    </row>
    <row r="60">
      <c r="A60" s="9" t="n"/>
      <c r="B60" s="19" t="n"/>
      <c r="C60" s="9" t="n"/>
      <c r="D60" s="28">
        <f>IF($A60="","",IF(N($B60)&lt;1,"FEHLER: Menge fehlt",IF(COUNTIF(Auftrag!$AQ$13:$AQ$512,$A60)&gt;0,"Satz mit "&amp;COUNTIF(Auftrag!$AQ$13:$AQ$512,$A60)&amp;" Positionen",IF(COUNTIF(Auftrag!$A$13:$A$512,$A60)&gt;0,"Position","FEHLER: Satz/Pos. nicht im Auftrag"))))</f>
        <v/>
      </c>
    </row>
    <row r="61">
      <c r="A61" s="9" t="n"/>
      <c r="B61" s="19" t="n"/>
      <c r="C61" s="9" t="n"/>
      <c r="D61" s="28">
        <f>IF($A61="","",IF(N($B61)&lt;1,"FEHLER: Menge fehlt",IF(COUNTIF(Auftrag!$AQ$13:$AQ$512,$A61)&gt;0,"Satz mit "&amp;COUNTIF(Auftrag!$AQ$13:$AQ$512,$A61)&amp;" Positionen",IF(COUNTIF(Auftrag!$A$13:$A$512,$A61)&gt;0,"Position","FEHLER: Satz/Pos. nicht im Auftrag"))))</f>
        <v/>
      </c>
    </row>
    <row r="62">
      <c r="A62" s="9" t="n"/>
      <c r="B62" s="19" t="n"/>
      <c r="C62" s="9" t="n"/>
      <c r="D62" s="28">
        <f>IF($A62="","",IF(N($B62)&lt;1,"FEHLER: Menge fehlt",IF(COUNTIF(Auftrag!$AQ$13:$AQ$512,$A62)&gt;0,"Satz mit "&amp;COUNTIF(Auftrag!$AQ$13:$AQ$512,$A62)&amp;" Positionen",IF(COUNTIF(Auftrag!$A$13:$A$512,$A62)&gt;0,"Position","FEHLER: Satz/Pos. nicht im Auftrag"))))</f>
        <v/>
      </c>
    </row>
    <row r="63">
      <c r="A63" s="9" t="n"/>
      <c r="B63" s="19" t="n"/>
      <c r="C63" s="9" t="n"/>
      <c r="D63" s="28">
        <f>IF($A63="","",IF(N($B63)&lt;1,"FEHLER: Menge fehlt",IF(COUNTIF(Auftrag!$AQ$13:$AQ$512,$A63)&gt;0,"Satz mit "&amp;COUNTIF(Auftrag!$AQ$13:$AQ$512,$A63)&amp;" Positionen",IF(COUNTIF(Auftrag!$A$13:$A$512,$A63)&gt;0,"Position","FEHLER: Satz/Pos. nicht im Auftrag"))))</f>
        <v/>
      </c>
    </row>
    <row r="64">
      <c r="A64" s="9" t="n"/>
      <c r="B64" s="19" t="n"/>
      <c r="C64" s="9" t="n"/>
      <c r="D64" s="28">
        <f>IF($A64="","",IF(N($B64)&lt;1,"FEHLER: Menge fehlt",IF(COUNTIF(Auftrag!$AQ$13:$AQ$512,$A64)&gt;0,"Satz mit "&amp;COUNTIF(Auftrag!$AQ$13:$AQ$512,$A64)&amp;" Positionen",IF(COUNTIF(Auftrag!$A$13:$A$512,$A64)&gt;0,"Position","FEHLER: Satz/Pos. nicht im Auftrag"))))</f>
        <v/>
      </c>
    </row>
    <row r="65">
      <c r="A65" s="9" t="n"/>
      <c r="B65" s="19" t="n"/>
      <c r="C65" s="9" t="n"/>
      <c r="D65" s="28">
        <f>IF($A65="","",IF(N($B65)&lt;1,"FEHLER: Menge fehlt",IF(COUNTIF(Auftrag!$AQ$13:$AQ$512,$A65)&gt;0,"Satz mit "&amp;COUNTIF(Auftrag!$AQ$13:$AQ$512,$A65)&amp;" Positionen",IF(COUNTIF(Auftrag!$A$13:$A$512,$A65)&gt;0,"Position","FEHLER: Satz/Pos. nicht im Auftrag"))))</f>
        <v/>
      </c>
    </row>
    <row r="66">
      <c r="A66" s="9" t="n"/>
      <c r="B66" s="19" t="n"/>
      <c r="C66" s="9" t="n"/>
      <c r="D66" s="28">
        <f>IF($A66="","",IF(N($B66)&lt;1,"FEHLER: Menge fehlt",IF(COUNTIF(Auftrag!$AQ$13:$AQ$512,$A66)&gt;0,"Satz mit "&amp;COUNTIF(Auftrag!$AQ$13:$AQ$512,$A66)&amp;" Positionen",IF(COUNTIF(Auftrag!$A$13:$A$512,$A66)&gt;0,"Position","FEHLER: Satz/Pos. nicht im Auftrag"))))</f>
        <v/>
      </c>
    </row>
    <row r="67">
      <c r="A67" s="9" t="n"/>
      <c r="B67" s="19" t="n"/>
      <c r="C67" s="9" t="n"/>
      <c r="D67" s="28">
        <f>IF($A67="","",IF(N($B67)&lt;1,"FEHLER: Menge fehlt",IF(COUNTIF(Auftrag!$AQ$13:$AQ$512,$A67)&gt;0,"Satz mit "&amp;COUNTIF(Auftrag!$AQ$13:$AQ$512,$A67)&amp;" Positionen",IF(COUNTIF(Auftrag!$A$13:$A$512,$A67)&gt;0,"Position","FEHLER: Satz/Pos. nicht im Auftrag"))))</f>
        <v/>
      </c>
    </row>
    <row r="68">
      <c r="A68" s="9" t="n"/>
      <c r="B68" s="19" t="n"/>
      <c r="C68" s="9" t="n"/>
      <c r="D68" s="28">
        <f>IF($A68="","",IF(N($B68)&lt;1,"FEHLER: Menge fehlt",IF(COUNTIF(Auftrag!$AQ$13:$AQ$512,$A68)&gt;0,"Satz mit "&amp;COUNTIF(Auftrag!$AQ$13:$AQ$512,$A68)&amp;" Positionen",IF(COUNTIF(Auftrag!$A$13:$A$512,$A68)&gt;0,"Position","FEHLER: Satz/Pos. nicht im Auftrag"))))</f>
        <v/>
      </c>
    </row>
    <row r="69">
      <c r="A69" s="9" t="n"/>
      <c r="B69" s="19" t="n"/>
      <c r="C69" s="9" t="n"/>
      <c r="D69" s="28">
        <f>IF($A69="","",IF(N($B69)&lt;1,"FEHLER: Menge fehlt",IF(COUNTIF(Auftrag!$AQ$13:$AQ$512,$A69)&gt;0,"Satz mit "&amp;COUNTIF(Auftrag!$AQ$13:$AQ$512,$A69)&amp;" Positionen",IF(COUNTIF(Auftrag!$A$13:$A$512,$A69)&gt;0,"Position","FEHLER: Satz/Pos. nicht im Auftrag"))))</f>
        <v/>
      </c>
    </row>
    <row r="70">
      <c r="A70" s="9" t="n"/>
      <c r="B70" s="19" t="n"/>
      <c r="C70" s="9" t="n"/>
      <c r="D70" s="28">
        <f>IF($A70="","",IF(N($B70)&lt;1,"FEHLER: Menge fehlt",IF(COUNTIF(Auftrag!$AQ$13:$AQ$512,$A70)&gt;0,"Satz mit "&amp;COUNTIF(Auftrag!$AQ$13:$AQ$512,$A70)&amp;" Positionen",IF(COUNTIF(Auftrag!$A$13:$A$512,$A70)&gt;0,"Position","FEHLER: Satz/Pos. nicht im Auftrag"))))</f>
        <v/>
      </c>
    </row>
    <row r="71">
      <c r="A71" s="9" t="n"/>
      <c r="B71" s="19" t="n"/>
      <c r="C71" s="9" t="n"/>
      <c r="D71" s="28">
        <f>IF($A71="","",IF(N($B71)&lt;1,"FEHLER: Menge fehlt",IF(COUNTIF(Auftrag!$AQ$13:$AQ$512,$A71)&gt;0,"Satz mit "&amp;COUNTIF(Auftrag!$AQ$13:$AQ$512,$A71)&amp;" Positionen",IF(COUNTIF(Auftrag!$A$13:$A$512,$A71)&gt;0,"Position","FEHLER: Satz/Pos. nicht im Auftrag"))))</f>
        <v/>
      </c>
    </row>
    <row r="72">
      <c r="A72" s="9" t="n"/>
      <c r="B72" s="19" t="n"/>
      <c r="C72" s="9" t="n"/>
      <c r="D72" s="28">
        <f>IF($A72="","",IF(N($B72)&lt;1,"FEHLER: Menge fehlt",IF(COUNTIF(Auftrag!$AQ$13:$AQ$512,$A72)&gt;0,"Satz mit "&amp;COUNTIF(Auftrag!$AQ$13:$AQ$512,$A72)&amp;" Positionen",IF(COUNTIF(Auftrag!$A$13:$A$512,$A72)&gt;0,"Position","FEHLER: Satz/Pos. nicht im Auftrag"))))</f>
        <v/>
      </c>
    </row>
    <row r="73">
      <c r="A73" s="9" t="n"/>
      <c r="B73" s="19" t="n"/>
      <c r="C73" s="9" t="n"/>
      <c r="D73" s="28">
        <f>IF($A73="","",IF(N($B73)&lt;1,"FEHLER: Menge fehlt",IF(COUNTIF(Auftrag!$AQ$13:$AQ$512,$A73)&gt;0,"Satz mit "&amp;COUNTIF(Auftrag!$AQ$13:$AQ$512,$A73)&amp;" Positionen",IF(COUNTIF(Auftrag!$A$13:$A$512,$A73)&gt;0,"Position","FEHLER: Satz/Pos. nicht im Auftrag"))))</f>
        <v/>
      </c>
    </row>
    <row r="74">
      <c r="A74" s="9" t="n"/>
      <c r="B74" s="19" t="n"/>
      <c r="C74" s="9" t="n"/>
      <c r="D74" s="28">
        <f>IF($A74="","",IF(N($B74)&lt;1,"FEHLER: Menge fehlt",IF(COUNTIF(Auftrag!$AQ$13:$AQ$512,$A74)&gt;0,"Satz mit "&amp;COUNTIF(Auftrag!$AQ$13:$AQ$512,$A74)&amp;" Positionen",IF(COUNTIF(Auftrag!$A$13:$A$512,$A74)&gt;0,"Position","FEHLER: Satz/Pos. nicht im Auftrag"))))</f>
        <v/>
      </c>
    </row>
    <row r="75">
      <c r="A75" s="9" t="n"/>
      <c r="B75" s="19" t="n"/>
      <c r="C75" s="9" t="n"/>
      <c r="D75" s="28">
        <f>IF($A75="","",IF(N($B75)&lt;1,"FEHLER: Menge fehlt",IF(COUNTIF(Auftrag!$AQ$13:$AQ$512,$A75)&gt;0,"Satz mit "&amp;COUNTIF(Auftrag!$AQ$13:$AQ$512,$A75)&amp;" Positionen",IF(COUNTIF(Auftrag!$A$13:$A$512,$A75)&gt;0,"Position","FEHLER: Satz/Pos. nicht im Auftrag"))))</f>
        <v/>
      </c>
    </row>
    <row r="76">
      <c r="A76" s="9" t="n"/>
      <c r="B76" s="19" t="n"/>
      <c r="C76" s="9" t="n"/>
      <c r="D76" s="28">
        <f>IF($A76="","",IF(N($B76)&lt;1,"FEHLER: Menge fehlt",IF(COUNTIF(Auftrag!$AQ$13:$AQ$512,$A76)&gt;0,"Satz mit "&amp;COUNTIF(Auftrag!$AQ$13:$AQ$512,$A76)&amp;" Positionen",IF(COUNTIF(Auftrag!$A$13:$A$512,$A76)&gt;0,"Position","FEHLER: Satz/Pos. nicht im Auftrag"))))</f>
        <v/>
      </c>
    </row>
    <row r="77">
      <c r="A77" s="9" t="n"/>
      <c r="B77" s="19" t="n"/>
      <c r="C77" s="9" t="n"/>
      <c r="D77" s="28">
        <f>IF($A77="","",IF(N($B77)&lt;1,"FEHLER: Menge fehlt",IF(COUNTIF(Auftrag!$AQ$13:$AQ$512,$A77)&gt;0,"Satz mit "&amp;COUNTIF(Auftrag!$AQ$13:$AQ$512,$A77)&amp;" Positionen",IF(COUNTIF(Auftrag!$A$13:$A$512,$A77)&gt;0,"Position","FEHLER: Satz/Pos. nicht im Auftrag"))))</f>
        <v/>
      </c>
    </row>
    <row r="78">
      <c r="A78" s="9" t="n"/>
      <c r="B78" s="19" t="n"/>
      <c r="C78" s="9" t="n"/>
      <c r="D78" s="28">
        <f>IF($A78="","",IF(N($B78)&lt;1,"FEHLER: Menge fehlt",IF(COUNTIF(Auftrag!$AQ$13:$AQ$512,$A78)&gt;0,"Satz mit "&amp;COUNTIF(Auftrag!$AQ$13:$AQ$512,$A78)&amp;" Positionen",IF(COUNTIF(Auftrag!$A$13:$A$512,$A78)&gt;0,"Position","FEHLER: Satz/Pos. nicht im Auftrag"))))</f>
        <v/>
      </c>
    </row>
    <row r="79">
      <c r="A79" s="9" t="n"/>
      <c r="B79" s="19" t="n"/>
      <c r="C79" s="9" t="n"/>
      <c r="D79" s="28">
        <f>IF($A79="","",IF(N($B79)&lt;1,"FEHLER: Menge fehlt",IF(COUNTIF(Auftrag!$AQ$13:$AQ$512,$A79)&gt;0,"Satz mit "&amp;COUNTIF(Auftrag!$AQ$13:$AQ$512,$A79)&amp;" Positionen",IF(COUNTIF(Auftrag!$A$13:$A$512,$A79)&gt;0,"Position","FEHLER: Satz/Pos. nicht im Auftrag"))))</f>
        <v/>
      </c>
    </row>
    <row r="80">
      <c r="A80" s="9" t="n"/>
      <c r="B80" s="19" t="n"/>
      <c r="C80" s="9" t="n"/>
      <c r="D80" s="28">
        <f>IF($A80="","",IF(N($B80)&lt;1,"FEHLER: Menge fehlt",IF(COUNTIF(Auftrag!$AQ$13:$AQ$512,$A80)&gt;0,"Satz mit "&amp;COUNTIF(Auftrag!$AQ$13:$AQ$512,$A80)&amp;" Positionen",IF(COUNTIF(Auftrag!$A$13:$A$512,$A80)&gt;0,"Position","FEHLER: Satz/Pos. nicht im Auftrag"))))</f>
        <v/>
      </c>
    </row>
    <row r="81">
      <c r="A81" s="9" t="n"/>
      <c r="B81" s="19" t="n"/>
      <c r="C81" s="9" t="n"/>
      <c r="D81" s="28">
        <f>IF($A81="","",IF(N($B81)&lt;1,"FEHLER: Menge fehlt",IF(COUNTIF(Auftrag!$AQ$13:$AQ$512,$A81)&gt;0,"Satz mit "&amp;COUNTIF(Auftrag!$AQ$13:$AQ$512,$A81)&amp;" Positionen",IF(COUNTIF(Auftrag!$A$13:$A$512,$A81)&gt;0,"Position","FEHLER: Satz/Pos. nicht im Auftrag"))))</f>
        <v/>
      </c>
    </row>
    <row r="82">
      <c r="A82" s="9" t="n"/>
      <c r="B82" s="19" t="n"/>
      <c r="C82" s="9" t="n"/>
      <c r="D82" s="28">
        <f>IF($A82="","",IF(N($B82)&lt;1,"FEHLER: Menge fehlt",IF(COUNTIF(Auftrag!$AQ$13:$AQ$512,$A82)&gt;0,"Satz mit "&amp;COUNTIF(Auftrag!$AQ$13:$AQ$512,$A82)&amp;" Positionen",IF(COUNTIF(Auftrag!$A$13:$A$512,$A82)&gt;0,"Position","FEHLER: Satz/Pos. nicht im Auftrag"))))</f>
        <v/>
      </c>
    </row>
    <row r="83">
      <c r="A83" s="9" t="n"/>
      <c r="B83" s="19" t="n"/>
      <c r="C83" s="9" t="n"/>
      <c r="D83" s="28">
        <f>IF($A83="","",IF(N($B83)&lt;1,"FEHLER: Menge fehlt",IF(COUNTIF(Auftrag!$AQ$13:$AQ$512,$A83)&gt;0,"Satz mit "&amp;COUNTIF(Auftrag!$AQ$13:$AQ$512,$A83)&amp;" Positionen",IF(COUNTIF(Auftrag!$A$13:$A$512,$A83)&gt;0,"Position","FEHLER: Satz/Pos. nicht im Auftrag"))))</f>
        <v/>
      </c>
    </row>
    <row r="84">
      <c r="A84" s="9" t="n"/>
      <c r="B84" s="19" t="n"/>
      <c r="C84" s="9" t="n"/>
      <c r="D84" s="28">
        <f>IF($A84="","",IF(N($B84)&lt;1,"FEHLER: Menge fehlt",IF(COUNTIF(Auftrag!$AQ$13:$AQ$512,$A84)&gt;0,"Satz mit "&amp;COUNTIF(Auftrag!$AQ$13:$AQ$512,$A84)&amp;" Positionen",IF(COUNTIF(Auftrag!$A$13:$A$512,$A84)&gt;0,"Position","FEHLER: Satz/Pos. nicht im Auftrag"))))</f>
        <v/>
      </c>
    </row>
    <row r="85">
      <c r="A85" s="9" t="n"/>
      <c r="B85" s="19" t="n"/>
      <c r="C85" s="9" t="n"/>
      <c r="D85" s="28">
        <f>IF($A85="","",IF(N($B85)&lt;1,"FEHLER: Menge fehlt",IF(COUNTIF(Auftrag!$AQ$13:$AQ$512,$A85)&gt;0,"Satz mit "&amp;COUNTIF(Auftrag!$AQ$13:$AQ$512,$A85)&amp;" Positionen",IF(COUNTIF(Auftrag!$A$13:$A$512,$A85)&gt;0,"Position","FEHLER: Satz/Pos. nicht im Auftrag"))))</f>
        <v/>
      </c>
    </row>
    <row r="86">
      <c r="A86" s="9" t="n"/>
      <c r="B86" s="19" t="n"/>
      <c r="C86" s="9" t="n"/>
      <c r="D86" s="28">
        <f>IF($A86="","",IF(N($B86)&lt;1,"FEHLER: Menge fehlt",IF(COUNTIF(Auftrag!$AQ$13:$AQ$512,$A86)&gt;0,"Satz mit "&amp;COUNTIF(Auftrag!$AQ$13:$AQ$512,$A86)&amp;" Positionen",IF(COUNTIF(Auftrag!$A$13:$A$512,$A86)&gt;0,"Position","FEHLER: Satz/Pos. nicht im Auftrag"))))</f>
        <v/>
      </c>
    </row>
    <row r="87">
      <c r="A87" s="9" t="n"/>
      <c r="B87" s="19" t="n"/>
      <c r="C87" s="9" t="n"/>
      <c r="D87" s="28">
        <f>IF($A87="","",IF(N($B87)&lt;1,"FEHLER: Menge fehlt",IF(COUNTIF(Auftrag!$AQ$13:$AQ$512,$A87)&gt;0,"Satz mit "&amp;COUNTIF(Auftrag!$AQ$13:$AQ$512,$A87)&amp;" Positionen",IF(COUNTIF(Auftrag!$A$13:$A$512,$A87)&gt;0,"Position","FEHLER: Satz/Pos. nicht im Auftrag"))))</f>
        <v/>
      </c>
    </row>
    <row r="88">
      <c r="A88" s="9" t="n"/>
      <c r="B88" s="19" t="n"/>
      <c r="C88" s="9" t="n"/>
      <c r="D88" s="28">
        <f>IF($A88="","",IF(N($B88)&lt;1,"FEHLER: Menge fehlt",IF(COUNTIF(Auftrag!$AQ$13:$AQ$512,$A88)&gt;0,"Satz mit "&amp;COUNTIF(Auftrag!$AQ$13:$AQ$512,$A88)&amp;" Positionen",IF(COUNTIF(Auftrag!$A$13:$A$512,$A88)&gt;0,"Position","FEHLER: Satz/Pos. nicht im Auftrag"))))</f>
        <v/>
      </c>
    </row>
    <row r="89">
      <c r="A89" s="9" t="n"/>
      <c r="B89" s="19" t="n"/>
      <c r="C89" s="9" t="n"/>
      <c r="D89" s="28">
        <f>IF($A89="","",IF(N($B89)&lt;1,"FEHLER: Menge fehlt",IF(COUNTIF(Auftrag!$AQ$13:$AQ$512,$A89)&gt;0,"Satz mit "&amp;COUNTIF(Auftrag!$AQ$13:$AQ$512,$A89)&amp;" Positionen",IF(COUNTIF(Auftrag!$A$13:$A$512,$A89)&gt;0,"Position","FEHLER: Satz/Pos. nicht im Auftrag"))))</f>
        <v/>
      </c>
    </row>
    <row r="90">
      <c r="A90" s="9" t="n"/>
      <c r="B90" s="19" t="n"/>
      <c r="C90" s="9" t="n"/>
      <c r="D90" s="28">
        <f>IF($A90="","",IF(N($B90)&lt;1,"FEHLER: Menge fehlt",IF(COUNTIF(Auftrag!$AQ$13:$AQ$512,$A90)&gt;0,"Satz mit "&amp;COUNTIF(Auftrag!$AQ$13:$AQ$512,$A90)&amp;" Positionen",IF(COUNTIF(Auftrag!$A$13:$A$512,$A90)&gt;0,"Position","FEHLER: Satz/Pos. nicht im Auftrag"))))</f>
        <v/>
      </c>
    </row>
    <row r="91">
      <c r="A91" s="9" t="n"/>
      <c r="B91" s="19" t="n"/>
      <c r="C91" s="9" t="n"/>
      <c r="D91" s="28">
        <f>IF($A91="","",IF(N($B91)&lt;1,"FEHLER: Menge fehlt",IF(COUNTIF(Auftrag!$AQ$13:$AQ$512,$A91)&gt;0,"Satz mit "&amp;COUNTIF(Auftrag!$AQ$13:$AQ$512,$A91)&amp;" Positionen",IF(COUNTIF(Auftrag!$A$13:$A$512,$A91)&gt;0,"Position","FEHLER: Satz/Pos. nicht im Auftrag"))))</f>
        <v/>
      </c>
    </row>
    <row r="92">
      <c r="A92" s="9" t="n"/>
      <c r="B92" s="19" t="n"/>
      <c r="C92" s="9" t="n"/>
      <c r="D92" s="28">
        <f>IF($A92="","",IF(N($B92)&lt;1,"FEHLER: Menge fehlt",IF(COUNTIF(Auftrag!$AQ$13:$AQ$512,$A92)&gt;0,"Satz mit "&amp;COUNTIF(Auftrag!$AQ$13:$AQ$512,$A92)&amp;" Positionen",IF(COUNTIF(Auftrag!$A$13:$A$512,$A92)&gt;0,"Position","FEHLER: Satz/Pos. nicht im Auftrag"))))</f>
        <v/>
      </c>
    </row>
    <row r="93">
      <c r="A93" s="9" t="n"/>
      <c r="B93" s="19" t="n"/>
      <c r="C93" s="9" t="n"/>
      <c r="D93" s="28">
        <f>IF($A93="","",IF(N($B93)&lt;1,"FEHLER: Menge fehlt",IF(COUNTIF(Auftrag!$AQ$13:$AQ$512,$A93)&gt;0,"Satz mit "&amp;COUNTIF(Auftrag!$AQ$13:$AQ$512,$A93)&amp;" Positionen",IF(COUNTIF(Auftrag!$A$13:$A$512,$A93)&gt;0,"Position","FEHLER: Satz/Pos. nicht im Auftrag"))))</f>
        <v/>
      </c>
    </row>
    <row r="94">
      <c r="A94" s="9" t="n"/>
      <c r="B94" s="19" t="n"/>
      <c r="C94" s="9" t="n"/>
      <c r="D94" s="28">
        <f>IF($A94="","",IF(N($B94)&lt;1,"FEHLER: Menge fehlt",IF(COUNTIF(Auftrag!$AQ$13:$AQ$512,$A94)&gt;0,"Satz mit "&amp;COUNTIF(Auftrag!$AQ$13:$AQ$512,$A94)&amp;" Positionen",IF(COUNTIF(Auftrag!$A$13:$A$512,$A94)&gt;0,"Position","FEHLER: Satz/Pos. nicht im Auftrag"))))</f>
        <v/>
      </c>
    </row>
    <row r="95">
      <c r="A95" s="9" t="n"/>
      <c r="B95" s="19" t="n"/>
      <c r="C95" s="9" t="n"/>
      <c r="D95" s="28">
        <f>IF($A95="","",IF(N($B95)&lt;1,"FEHLER: Menge fehlt",IF(COUNTIF(Auftrag!$AQ$13:$AQ$512,$A95)&gt;0,"Satz mit "&amp;COUNTIF(Auftrag!$AQ$13:$AQ$512,$A95)&amp;" Positionen",IF(COUNTIF(Auftrag!$A$13:$A$512,$A95)&gt;0,"Position","FEHLER: Satz/Pos. nicht im Auftrag"))))</f>
        <v/>
      </c>
    </row>
    <row r="96">
      <c r="A96" s="9" t="n"/>
      <c r="B96" s="19" t="n"/>
      <c r="C96" s="9" t="n"/>
      <c r="D96" s="28">
        <f>IF($A96="","",IF(N($B96)&lt;1,"FEHLER: Menge fehlt",IF(COUNTIF(Auftrag!$AQ$13:$AQ$512,$A96)&gt;0,"Satz mit "&amp;COUNTIF(Auftrag!$AQ$13:$AQ$512,$A96)&amp;" Positionen",IF(COUNTIF(Auftrag!$A$13:$A$512,$A96)&gt;0,"Position","FEHLER: Satz/Pos. nicht im Auftrag"))))</f>
        <v/>
      </c>
    </row>
    <row r="97">
      <c r="A97" s="9" t="n"/>
      <c r="B97" s="19" t="n"/>
      <c r="C97" s="9" t="n"/>
      <c r="D97" s="28">
        <f>IF($A97="","",IF(N($B97)&lt;1,"FEHLER: Menge fehlt",IF(COUNTIF(Auftrag!$AQ$13:$AQ$512,$A97)&gt;0,"Satz mit "&amp;COUNTIF(Auftrag!$AQ$13:$AQ$512,$A97)&amp;" Positionen",IF(COUNTIF(Auftrag!$A$13:$A$512,$A97)&gt;0,"Position","FEHLER: Satz/Pos. nicht im Auftrag"))))</f>
        <v/>
      </c>
    </row>
    <row r="98">
      <c r="A98" s="9" t="n"/>
      <c r="B98" s="19" t="n"/>
      <c r="C98" s="9" t="n"/>
      <c r="D98" s="28">
        <f>IF($A98="","",IF(N($B98)&lt;1,"FEHLER: Menge fehlt",IF(COUNTIF(Auftrag!$AQ$13:$AQ$512,$A98)&gt;0,"Satz mit "&amp;COUNTIF(Auftrag!$AQ$13:$AQ$512,$A98)&amp;" Positionen",IF(COUNTIF(Auftrag!$A$13:$A$512,$A98)&gt;0,"Position","FEHLER: Satz/Pos. nicht im Auftrag"))))</f>
        <v/>
      </c>
    </row>
    <row r="99">
      <c r="A99" s="9" t="n"/>
      <c r="B99" s="19" t="n"/>
      <c r="C99" s="9" t="n"/>
      <c r="D99" s="28">
        <f>IF($A99="","",IF(N($B99)&lt;1,"FEHLER: Menge fehlt",IF(COUNTIF(Auftrag!$AQ$13:$AQ$512,$A99)&gt;0,"Satz mit "&amp;COUNTIF(Auftrag!$AQ$13:$AQ$512,$A99)&amp;" Positionen",IF(COUNTIF(Auftrag!$A$13:$A$512,$A99)&gt;0,"Position","FEHLER: Satz/Pos. nicht im Auftrag"))))</f>
        <v/>
      </c>
    </row>
    <row r="100">
      <c r="A100" s="9" t="n"/>
      <c r="B100" s="19" t="n"/>
      <c r="C100" s="9" t="n"/>
      <c r="D100" s="28">
        <f>IF($A100="","",IF(N($B100)&lt;1,"FEHLER: Menge fehlt",IF(COUNTIF(Auftrag!$AQ$13:$AQ$512,$A100)&gt;0,"Satz mit "&amp;COUNTIF(Auftrag!$AQ$13:$AQ$512,$A100)&amp;" Positionen",IF(COUNTIF(Auftrag!$A$13:$A$512,$A100)&gt;0,"Position","FEHLER: Satz/Pos. nicht im Auftrag"))))</f>
        <v/>
      </c>
    </row>
    <row r="101">
      <c r="A101" s="9" t="n"/>
      <c r="B101" s="19" t="n"/>
      <c r="C101" s="9" t="n"/>
      <c r="D101" s="28">
        <f>IF($A101="","",IF(N($B101)&lt;1,"FEHLER: Menge fehlt",IF(COUNTIF(Auftrag!$AQ$13:$AQ$512,$A101)&gt;0,"Satz mit "&amp;COUNTIF(Auftrag!$AQ$13:$AQ$512,$A101)&amp;" Positionen",IF(COUNTIF(Auftrag!$A$13:$A$512,$A101)&gt;0,"Position","FEHLER: Satz/Pos. nicht im Auftrag"))))</f>
        <v/>
      </c>
    </row>
    <row r="102">
      <c r="A102" s="9" t="n"/>
      <c r="B102" s="19" t="n"/>
      <c r="C102" s="9" t="n"/>
      <c r="D102" s="28">
        <f>IF($A102="","",IF(N($B102)&lt;1,"FEHLER: Menge fehlt",IF(COUNTIF(Auftrag!$AQ$13:$AQ$512,$A102)&gt;0,"Satz mit "&amp;COUNTIF(Auftrag!$AQ$13:$AQ$512,$A102)&amp;" Positionen",IF(COUNTIF(Auftrag!$A$13:$A$512,$A102)&gt;0,"Position","FEHLER: Satz/Pos. nicht im Auftrag"))))</f>
        <v/>
      </c>
    </row>
    <row r="103">
      <c r="A103" s="9" t="n"/>
      <c r="B103" s="19" t="n"/>
      <c r="C103" s="9" t="n"/>
      <c r="D103" s="28">
        <f>IF($A103="","",IF(N($B103)&lt;1,"FEHLER: Menge fehlt",IF(COUNTIF(Auftrag!$AQ$13:$AQ$512,$A103)&gt;0,"Satz mit "&amp;COUNTIF(Auftrag!$AQ$13:$AQ$512,$A103)&amp;" Positionen",IF(COUNTIF(Auftrag!$A$13:$A$512,$A103)&gt;0,"Position","FEHLER: Satz/Pos. nicht im Auftrag"))))</f>
        <v/>
      </c>
    </row>
    <row r="104">
      <c r="A104" s="9" t="n"/>
      <c r="B104" s="19" t="n"/>
      <c r="C104" s="9" t="n"/>
      <c r="D104" s="28">
        <f>IF($A104="","",IF(N($B104)&lt;1,"FEHLER: Menge fehlt",IF(COUNTIF(Auftrag!$AQ$13:$AQ$512,$A104)&gt;0,"Satz mit "&amp;COUNTIF(Auftrag!$AQ$13:$AQ$512,$A104)&amp;" Positionen",IF(COUNTIF(Auftrag!$A$13:$A$512,$A104)&gt;0,"Position","FEHLER: Satz/Pos. nicht im Auftrag"))))</f>
        <v/>
      </c>
    </row>
  </sheetData>
  <conditionalFormatting sqref="D5:D104">
    <cfRule type="expression" priority="1" dxfId="0">
      <formula>LEFT($D5,6)="FEHLER"</formula>
    </cfRule>
  </conditionalFormatting>
  <dataValidations count="1">
    <dataValidation sqref="B5:B104" showDropDown="0" showInputMessage="0" showErrorMessage="1" allowBlank="1" errorTitle="Ungültige Eingabe" error="Menge als ganze Zahl ≥ 1 (Sätze bzw. Stück)." type="whole" operator="between">
      <formula1>1</formula1>
      <formula2>1000000</formula2>
    </dataValidation>
  </dataValidations>
  <pageMargins left="0.75" right="0.75" top="1" bottom="1" header="0.5" footer="0.5"/>
</worksheet>
</file>

<file path=xl/worksheets/sheet5.xml><?xml version="1.0" encoding="utf-8"?>
<worksheet xmlns="http://schemas.openxmlformats.org/spreadsheetml/2006/main">
  <sheetPr codeName="Tabelle5">
    <outlinePr summaryBelow="1" summaryRight="1"/>
    <pageSetUpPr fitToPage="1"/>
  </sheetPr>
  <dimension ref="A1:N2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30" customWidth="1" min="2" max="2"/>
    <col width="8" customWidth="1" min="3" max="3"/>
    <col width="9" customWidth="1" min="4" max="4"/>
    <col width="9" customWidth="1" min="5" max="5"/>
    <col width="8" customWidth="1" min="6" max="6"/>
    <col width="11" customWidth="1" min="7" max="7"/>
    <col width="11" customWidth="1" min="8" max="8"/>
    <col width="12" customWidth="1" min="9" max="9"/>
    <col width="11" customWidth="1" min="10" max="10"/>
    <col width="12" customWidth="1" min="11" max="11"/>
    <col width="12" customWidth="1" min="12" max="12"/>
    <col width="12" customWidth="1" min="13" max="13"/>
    <col width="28" customWidth="1" min="14" max="14"/>
  </cols>
  <sheetData>
    <row r="1">
      <c r="A1" s="1" t="inlineStr">
        <is>
          <t>Staffelpreise</t>
        </is>
      </c>
    </row>
    <row r="2">
      <c r="A2" s="2" t="inlineStr">
        <is>
          <t>Wird von der Schaltfläche 'Staffelpreise' gefüllt. Jede Zeile ist ein kompletter eigener Rechenlauf mit nur den Positionen dieser Staffel; danach stellt das Makro den ursprünglichen Auftrag wieder her.</t>
        </is>
      </c>
    </row>
    <row r="4" ht="45" customHeight="1">
      <c r="A4" s="22" t="inlineStr">
        <is>
          <t>Satz oder Pos.</t>
        </is>
      </c>
      <c r="B4" s="22" t="inlineStr">
        <is>
          <t>Bezeichnung</t>
        </is>
      </c>
      <c r="C4" s="22" t="inlineStr">
        <is>
          <t>Einheit</t>
        </is>
      </c>
      <c r="D4" s="22" t="inlineStr">
        <is>
          <t>Menge</t>
        </is>
      </c>
      <c r="E4" s="22" t="inlineStr">
        <is>
          <t>Teile gesamt [Stk]</t>
        </is>
      </c>
      <c r="F4" s="22" t="inlineStr">
        <is>
          <t>Stangen</t>
        </is>
      </c>
      <c r="G4" s="22" t="inlineStr">
        <is>
          <t>Material [€]</t>
        </is>
      </c>
      <c r="H4" s="22" t="inlineStr">
        <is>
          <t>Laser + Gewinde [€]</t>
        </is>
      </c>
      <c r="I4" s="22" t="inlineStr">
        <is>
          <t>Rüsten + Stangenwechsel [€]</t>
        </is>
      </c>
      <c r="J4" s="22" t="inlineStr">
        <is>
          <t>Herstellkosten [€]</t>
        </is>
      </c>
      <c r="K4" s="22" t="inlineStr">
        <is>
          <t>Herstellkosten je Einheit [€]</t>
        </is>
      </c>
      <c r="L4" s="22" t="inlineStr">
        <is>
          <t>Verkaufspreis je Einheit [€]</t>
        </is>
      </c>
      <c r="M4" s="22" t="inlineStr">
        <is>
          <t>Verkaufspreis gesamt [€]</t>
        </is>
      </c>
      <c r="N4" s="22" t="inlineStr">
        <is>
          <t>Hinweis</t>
        </is>
      </c>
    </row>
    <row r="5">
      <c r="A5" s="28" t="n"/>
      <c r="B5" s="28" t="n"/>
      <c r="C5" s="28" t="n"/>
      <c r="D5" s="16" t="n"/>
      <c r="E5" s="16" t="n"/>
      <c r="F5" s="16" t="n"/>
      <c r="G5" s="18" t="n"/>
      <c r="H5" s="18" t="n"/>
      <c r="I5" s="18" t="n"/>
      <c r="J5" s="18" t="n"/>
      <c r="K5" s="33" t="n"/>
      <c r="L5" s="18" t="n"/>
      <c r="M5" s="18" t="n"/>
      <c r="N5" s="28" t="n"/>
    </row>
    <row r="6">
      <c r="A6" s="28" t="n"/>
      <c r="B6" s="28" t="n"/>
      <c r="C6" s="28" t="n"/>
      <c r="D6" s="16" t="n"/>
      <c r="E6" s="16" t="n"/>
      <c r="F6" s="16" t="n"/>
      <c r="G6" s="18" t="n"/>
      <c r="H6" s="18" t="n"/>
      <c r="I6" s="18" t="n"/>
      <c r="J6" s="18" t="n"/>
      <c r="K6" s="33" t="n"/>
      <c r="L6" s="18" t="n"/>
      <c r="M6" s="18" t="n"/>
      <c r="N6" s="28" t="n"/>
    </row>
    <row r="7">
      <c r="A7" s="28" t="n"/>
      <c r="B7" s="28" t="n"/>
      <c r="C7" s="28" t="n"/>
      <c r="D7" s="16" t="n"/>
      <c r="E7" s="16" t="n"/>
      <c r="F7" s="16" t="n"/>
      <c r="G7" s="18" t="n"/>
      <c r="H7" s="18" t="n"/>
      <c r="I7" s="18" t="n"/>
      <c r="J7" s="18" t="n"/>
      <c r="K7" s="33" t="n"/>
      <c r="L7" s="18" t="n"/>
      <c r="M7" s="18" t="n"/>
      <c r="N7" s="28" t="n"/>
    </row>
    <row r="8">
      <c r="A8" s="28" t="n"/>
      <c r="B8" s="28" t="n"/>
      <c r="C8" s="28" t="n"/>
      <c r="D8" s="16" t="n"/>
      <c r="E8" s="16" t="n"/>
      <c r="F8" s="16" t="n"/>
      <c r="G8" s="18" t="n"/>
      <c r="H8" s="18" t="n"/>
      <c r="I8" s="18" t="n"/>
      <c r="J8" s="18" t="n"/>
      <c r="K8" s="33" t="n"/>
      <c r="L8" s="18" t="n"/>
      <c r="M8" s="18" t="n"/>
      <c r="N8" s="28" t="n"/>
    </row>
    <row r="9">
      <c r="A9" s="28" t="n"/>
      <c r="B9" s="28" t="n"/>
      <c r="C9" s="28" t="n"/>
      <c r="D9" s="16" t="n"/>
      <c r="E9" s="16" t="n"/>
      <c r="F9" s="16" t="n"/>
      <c r="G9" s="18" t="n"/>
      <c r="H9" s="18" t="n"/>
      <c r="I9" s="18" t="n"/>
      <c r="J9" s="18" t="n"/>
      <c r="K9" s="33" t="n"/>
      <c r="L9" s="18" t="n"/>
      <c r="M9" s="18" t="n"/>
      <c r="N9" s="28" t="n"/>
    </row>
    <row r="10">
      <c r="A10" s="28" t="n"/>
      <c r="B10" s="28" t="n"/>
      <c r="C10" s="28" t="n"/>
      <c r="D10" s="16" t="n"/>
      <c r="E10" s="16" t="n"/>
      <c r="F10" s="16" t="n"/>
      <c r="G10" s="18" t="n"/>
      <c r="H10" s="18" t="n"/>
      <c r="I10" s="18" t="n"/>
      <c r="J10" s="18" t="n"/>
      <c r="K10" s="33" t="n"/>
      <c r="L10" s="18" t="n"/>
      <c r="M10" s="18" t="n"/>
      <c r="N10" s="28" t="n"/>
    </row>
    <row r="11">
      <c r="A11" s="28" t="n"/>
      <c r="B11" s="28" t="n"/>
      <c r="C11" s="28" t="n"/>
      <c r="D11" s="16" t="n"/>
      <c r="E11" s="16" t="n"/>
      <c r="F11" s="16" t="n"/>
      <c r="G11" s="18" t="n"/>
      <c r="H11" s="18" t="n"/>
      <c r="I11" s="18" t="n"/>
      <c r="J11" s="18" t="n"/>
      <c r="K11" s="33" t="n"/>
      <c r="L11" s="18" t="n"/>
      <c r="M11" s="18" t="n"/>
      <c r="N11" s="28" t="n"/>
    </row>
    <row r="12">
      <c r="A12" s="28" t="n"/>
      <c r="B12" s="28" t="n"/>
      <c r="C12" s="28" t="n"/>
      <c r="D12" s="16" t="n"/>
      <c r="E12" s="16" t="n"/>
      <c r="F12" s="16" t="n"/>
      <c r="G12" s="18" t="n"/>
      <c r="H12" s="18" t="n"/>
      <c r="I12" s="18" t="n"/>
      <c r="J12" s="18" t="n"/>
      <c r="K12" s="33" t="n"/>
      <c r="L12" s="18" t="n"/>
      <c r="M12" s="18" t="n"/>
      <c r="N12" s="28" t="n"/>
    </row>
    <row r="13">
      <c r="A13" s="28" t="n"/>
      <c r="B13" s="28" t="n"/>
      <c r="C13" s="28" t="n"/>
      <c r="D13" s="16" t="n"/>
      <c r="E13" s="16" t="n"/>
      <c r="F13" s="16" t="n"/>
      <c r="G13" s="18" t="n"/>
      <c r="H13" s="18" t="n"/>
      <c r="I13" s="18" t="n"/>
      <c r="J13" s="18" t="n"/>
      <c r="K13" s="33" t="n"/>
      <c r="L13" s="18" t="n"/>
      <c r="M13" s="18" t="n"/>
      <c r="N13" s="28" t="n"/>
    </row>
    <row r="14">
      <c r="A14" s="28" t="n"/>
      <c r="B14" s="28" t="n"/>
      <c r="C14" s="28" t="n"/>
      <c r="D14" s="16" t="n"/>
      <c r="E14" s="16" t="n"/>
      <c r="F14" s="16" t="n"/>
      <c r="G14" s="18" t="n"/>
      <c r="H14" s="18" t="n"/>
      <c r="I14" s="18" t="n"/>
      <c r="J14" s="18" t="n"/>
      <c r="K14" s="33" t="n"/>
      <c r="L14" s="18" t="n"/>
      <c r="M14" s="18" t="n"/>
      <c r="N14" s="28" t="n"/>
    </row>
    <row r="15">
      <c r="A15" s="28" t="n"/>
      <c r="B15" s="28" t="n"/>
      <c r="C15" s="28" t="n"/>
      <c r="D15" s="16" t="n"/>
      <c r="E15" s="16" t="n"/>
      <c r="F15" s="16" t="n"/>
      <c r="G15" s="18" t="n"/>
      <c r="H15" s="18" t="n"/>
      <c r="I15" s="18" t="n"/>
      <c r="J15" s="18" t="n"/>
      <c r="K15" s="33" t="n"/>
      <c r="L15" s="18" t="n"/>
      <c r="M15" s="18" t="n"/>
      <c r="N15" s="28" t="n"/>
    </row>
    <row r="16">
      <c r="A16" s="28" t="n"/>
      <c r="B16" s="28" t="n"/>
      <c r="C16" s="28" t="n"/>
      <c r="D16" s="16" t="n"/>
      <c r="E16" s="16" t="n"/>
      <c r="F16" s="16" t="n"/>
      <c r="G16" s="18" t="n"/>
      <c r="H16" s="18" t="n"/>
      <c r="I16" s="18" t="n"/>
      <c r="J16" s="18" t="n"/>
      <c r="K16" s="33" t="n"/>
      <c r="L16" s="18" t="n"/>
      <c r="M16" s="18" t="n"/>
      <c r="N16" s="28" t="n"/>
    </row>
    <row r="17">
      <c r="A17" s="28" t="n"/>
      <c r="B17" s="28" t="n"/>
      <c r="C17" s="28" t="n"/>
      <c r="D17" s="16" t="n"/>
      <c r="E17" s="16" t="n"/>
      <c r="F17" s="16" t="n"/>
      <c r="G17" s="18" t="n"/>
      <c r="H17" s="18" t="n"/>
      <c r="I17" s="18" t="n"/>
      <c r="J17" s="18" t="n"/>
      <c r="K17" s="33" t="n"/>
      <c r="L17" s="18" t="n"/>
      <c r="M17" s="18" t="n"/>
      <c r="N17" s="28" t="n"/>
    </row>
    <row r="18">
      <c r="A18" s="28" t="n"/>
      <c r="B18" s="28" t="n"/>
      <c r="C18" s="28" t="n"/>
      <c r="D18" s="16" t="n"/>
      <c r="E18" s="16" t="n"/>
      <c r="F18" s="16" t="n"/>
      <c r="G18" s="18" t="n"/>
      <c r="H18" s="18" t="n"/>
      <c r="I18" s="18" t="n"/>
      <c r="J18" s="18" t="n"/>
      <c r="K18" s="33" t="n"/>
      <c r="L18" s="18" t="n"/>
      <c r="M18" s="18" t="n"/>
      <c r="N18" s="28" t="n"/>
    </row>
    <row r="19">
      <c r="A19" s="28" t="n"/>
      <c r="B19" s="28" t="n"/>
      <c r="C19" s="28" t="n"/>
      <c r="D19" s="16" t="n"/>
      <c r="E19" s="16" t="n"/>
      <c r="F19" s="16" t="n"/>
      <c r="G19" s="18" t="n"/>
      <c r="H19" s="18" t="n"/>
      <c r="I19" s="18" t="n"/>
      <c r="J19" s="18" t="n"/>
      <c r="K19" s="33" t="n"/>
      <c r="L19" s="18" t="n"/>
      <c r="M19" s="18" t="n"/>
      <c r="N19" s="28" t="n"/>
    </row>
    <row r="20">
      <c r="A20" s="28" t="n"/>
      <c r="B20" s="28" t="n"/>
      <c r="C20" s="28" t="n"/>
      <c r="D20" s="16" t="n"/>
      <c r="E20" s="16" t="n"/>
      <c r="F20" s="16" t="n"/>
      <c r="G20" s="18" t="n"/>
      <c r="H20" s="18" t="n"/>
      <c r="I20" s="18" t="n"/>
      <c r="J20" s="18" t="n"/>
      <c r="K20" s="33" t="n"/>
      <c r="L20" s="18" t="n"/>
      <c r="M20" s="18" t="n"/>
      <c r="N20" s="28" t="n"/>
    </row>
    <row r="21">
      <c r="A21" s="28" t="n"/>
      <c r="B21" s="28" t="n"/>
      <c r="C21" s="28" t="n"/>
      <c r="D21" s="16" t="n"/>
      <c r="E21" s="16" t="n"/>
      <c r="F21" s="16" t="n"/>
      <c r="G21" s="18" t="n"/>
      <c r="H21" s="18" t="n"/>
      <c r="I21" s="18" t="n"/>
      <c r="J21" s="18" t="n"/>
      <c r="K21" s="33" t="n"/>
      <c r="L21" s="18" t="n"/>
      <c r="M21" s="18" t="n"/>
      <c r="N21" s="28" t="n"/>
    </row>
    <row r="22">
      <c r="A22" s="28" t="n"/>
      <c r="B22" s="28" t="n"/>
      <c r="C22" s="28" t="n"/>
      <c r="D22" s="16" t="n"/>
      <c r="E22" s="16" t="n"/>
      <c r="F22" s="16" t="n"/>
      <c r="G22" s="18" t="n"/>
      <c r="H22" s="18" t="n"/>
      <c r="I22" s="18" t="n"/>
      <c r="J22" s="18" t="n"/>
      <c r="K22" s="33" t="n"/>
      <c r="L22" s="18" t="n"/>
      <c r="M22" s="18" t="n"/>
      <c r="N22" s="28" t="n"/>
    </row>
    <row r="23">
      <c r="A23" s="28" t="n"/>
      <c r="B23" s="28" t="n"/>
      <c r="C23" s="28" t="n"/>
      <c r="D23" s="16" t="n"/>
      <c r="E23" s="16" t="n"/>
      <c r="F23" s="16" t="n"/>
      <c r="G23" s="18" t="n"/>
      <c r="H23" s="18" t="n"/>
      <c r="I23" s="18" t="n"/>
      <c r="J23" s="18" t="n"/>
      <c r="K23" s="33" t="n"/>
      <c r="L23" s="18" t="n"/>
      <c r="M23" s="18" t="n"/>
      <c r="N23" s="28" t="n"/>
    </row>
    <row r="24">
      <c r="A24" s="28" t="n"/>
      <c r="B24" s="28" t="n"/>
      <c r="C24" s="28" t="n"/>
      <c r="D24" s="16" t="n"/>
      <c r="E24" s="16" t="n"/>
      <c r="F24" s="16" t="n"/>
      <c r="G24" s="18" t="n"/>
      <c r="H24" s="18" t="n"/>
      <c r="I24" s="18" t="n"/>
      <c r="J24" s="18" t="n"/>
      <c r="K24" s="33" t="n"/>
      <c r="L24" s="18" t="n"/>
      <c r="M24" s="18" t="n"/>
      <c r="N24" s="28" t="n"/>
    </row>
    <row r="25">
      <c r="A25" s="28" t="n"/>
      <c r="B25" s="28" t="n"/>
      <c r="C25" s="28" t="n"/>
      <c r="D25" s="16" t="n"/>
      <c r="E25" s="16" t="n"/>
      <c r="F25" s="16" t="n"/>
      <c r="G25" s="18" t="n"/>
      <c r="H25" s="18" t="n"/>
      <c r="I25" s="18" t="n"/>
      <c r="J25" s="18" t="n"/>
      <c r="K25" s="33" t="n"/>
      <c r="L25" s="18" t="n"/>
      <c r="M25" s="18" t="n"/>
      <c r="N25" s="28" t="n"/>
    </row>
    <row r="26">
      <c r="A26" s="28" t="n"/>
      <c r="B26" s="28" t="n"/>
      <c r="C26" s="28" t="n"/>
      <c r="D26" s="16" t="n"/>
      <c r="E26" s="16" t="n"/>
      <c r="F26" s="16" t="n"/>
      <c r="G26" s="18" t="n"/>
      <c r="H26" s="18" t="n"/>
      <c r="I26" s="18" t="n"/>
      <c r="J26" s="18" t="n"/>
      <c r="K26" s="33" t="n"/>
      <c r="L26" s="18" t="n"/>
      <c r="M26" s="18" t="n"/>
      <c r="N26" s="28" t="n"/>
    </row>
    <row r="27">
      <c r="A27" s="28" t="n"/>
      <c r="B27" s="28" t="n"/>
      <c r="C27" s="28" t="n"/>
      <c r="D27" s="16" t="n"/>
      <c r="E27" s="16" t="n"/>
      <c r="F27" s="16" t="n"/>
      <c r="G27" s="18" t="n"/>
      <c r="H27" s="18" t="n"/>
      <c r="I27" s="18" t="n"/>
      <c r="J27" s="18" t="n"/>
      <c r="K27" s="33" t="n"/>
      <c r="L27" s="18" t="n"/>
      <c r="M27" s="18" t="n"/>
      <c r="N27" s="28" t="n"/>
    </row>
    <row r="28">
      <c r="A28" s="28" t="n"/>
      <c r="B28" s="28" t="n"/>
      <c r="C28" s="28" t="n"/>
      <c r="D28" s="16" t="n"/>
      <c r="E28" s="16" t="n"/>
      <c r="F28" s="16" t="n"/>
      <c r="G28" s="18" t="n"/>
      <c r="H28" s="18" t="n"/>
      <c r="I28" s="18" t="n"/>
      <c r="J28" s="18" t="n"/>
      <c r="K28" s="33" t="n"/>
      <c r="L28" s="18" t="n"/>
      <c r="M28" s="18" t="n"/>
      <c r="N28" s="28" t="n"/>
    </row>
    <row r="29">
      <c r="A29" s="28" t="n"/>
      <c r="B29" s="28" t="n"/>
      <c r="C29" s="28" t="n"/>
      <c r="D29" s="16" t="n"/>
      <c r="E29" s="16" t="n"/>
      <c r="F29" s="16" t="n"/>
      <c r="G29" s="18" t="n"/>
      <c r="H29" s="18" t="n"/>
      <c r="I29" s="18" t="n"/>
      <c r="J29" s="18" t="n"/>
      <c r="K29" s="33" t="n"/>
      <c r="L29" s="18" t="n"/>
      <c r="M29" s="18" t="n"/>
      <c r="N29" s="28" t="n"/>
    </row>
    <row r="30">
      <c r="A30" s="28" t="n"/>
      <c r="B30" s="28" t="n"/>
      <c r="C30" s="28" t="n"/>
      <c r="D30" s="16" t="n"/>
      <c r="E30" s="16" t="n"/>
      <c r="F30" s="16" t="n"/>
      <c r="G30" s="18" t="n"/>
      <c r="H30" s="18" t="n"/>
      <c r="I30" s="18" t="n"/>
      <c r="J30" s="18" t="n"/>
      <c r="K30" s="33" t="n"/>
      <c r="L30" s="18" t="n"/>
      <c r="M30" s="18" t="n"/>
      <c r="N30" s="28" t="n"/>
    </row>
    <row r="31">
      <c r="A31" s="28" t="n"/>
      <c r="B31" s="28" t="n"/>
      <c r="C31" s="28" t="n"/>
      <c r="D31" s="16" t="n"/>
      <c r="E31" s="16" t="n"/>
      <c r="F31" s="16" t="n"/>
      <c r="G31" s="18" t="n"/>
      <c r="H31" s="18" t="n"/>
      <c r="I31" s="18" t="n"/>
      <c r="J31" s="18" t="n"/>
      <c r="K31" s="33" t="n"/>
      <c r="L31" s="18" t="n"/>
      <c r="M31" s="18" t="n"/>
      <c r="N31" s="28" t="n"/>
    </row>
    <row r="32">
      <c r="A32" s="28" t="n"/>
      <c r="B32" s="28" t="n"/>
      <c r="C32" s="28" t="n"/>
      <c r="D32" s="16" t="n"/>
      <c r="E32" s="16" t="n"/>
      <c r="F32" s="16" t="n"/>
      <c r="G32" s="18" t="n"/>
      <c r="H32" s="18" t="n"/>
      <c r="I32" s="18" t="n"/>
      <c r="J32" s="18" t="n"/>
      <c r="K32" s="33" t="n"/>
      <c r="L32" s="18" t="n"/>
      <c r="M32" s="18" t="n"/>
      <c r="N32" s="28" t="n"/>
    </row>
    <row r="33">
      <c r="A33" s="28" t="n"/>
      <c r="B33" s="28" t="n"/>
      <c r="C33" s="28" t="n"/>
      <c r="D33" s="16" t="n"/>
      <c r="E33" s="16" t="n"/>
      <c r="F33" s="16" t="n"/>
      <c r="G33" s="18" t="n"/>
      <c r="H33" s="18" t="n"/>
      <c r="I33" s="18" t="n"/>
      <c r="J33" s="18" t="n"/>
      <c r="K33" s="33" t="n"/>
      <c r="L33" s="18" t="n"/>
      <c r="M33" s="18" t="n"/>
      <c r="N33" s="28" t="n"/>
    </row>
    <row r="34">
      <c r="A34" s="28" t="n"/>
      <c r="B34" s="28" t="n"/>
      <c r="C34" s="28" t="n"/>
      <c r="D34" s="16" t="n"/>
      <c r="E34" s="16" t="n"/>
      <c r="F34" s="16" t="n"/>
      <c r="G34" s="18" t="n"/>
      <c r="H34" s="18" t="n"/>
      <c r="I34" s="18" t="n"/>
      <c r="J34" s="18" t="n"/>
      <c r="K34" s="33" t="n"/>
      <c r="L34" s="18" t="n"/>
      <c r="M34" s="18" t="n"/>
      <c r="N34" s="28" t="n"/>
    </row>
    <row r="35">
      <c r="A35" s="28" t="n"/>
      <c r="B35" s="28" t="n"/>
      <c r="C35" s="28" t="n"/>
      <c r="D35" s="16" t="n"/>
      <c r="E35" s="16" t="n"/>
      <c r="F35" s="16" t="n"/>
      <c r="G35" s="18" t="n"/>
      <c r="H35" s="18" t="n"/>
      <c r="I35" s="18" t="n"/>
      <c r="J35" s="18" t="n"/>
      <c r="K35" s="33" t="n"/>
      <c r="L35" s="18" t="n"/>
      <c r="M35" s="18" t="n"/>
      <c r="N35" s="28" t="n"/>
    </row>
    <row r="36">
      <c r="A36" s="28" t="n"/>
      <c r="B36" s="28" t="n"/>
      <c r="C36" s="28" t="n"/>
      <c r="D36" s="16" t="n"/>
      <c r="E36" s="16" t="n"/>
      <c r="F36" s="16" t="n"/>
      <c r="G36" s="18" t="n"/>
      <c r="H36" s="18" t="n"/>
      <c r="I36" s="18" t="n"/>
      <c r="J36" s="18" t="n"/>
      <c r="K36" s="33" t="n"/>
      <c r="L36" s="18" t="n"/>
      <c r="M36" s="18" t="n"/>
      <c r="N36" s="28" t="n"/>
    </row>
    <row r="37">
      <c r="A37" s="28" t="n"/>
      <c r="B37" s="28" t="n"/>
      <c r="C37" s="28" t="n"/>
      <c r="D37" s="16" t="n"/>
      <c r="E37" s="16" t="n"/>
      <c r="F37" s="16" t="n"/>
      <c r="G37" s="18" t="n"/>
      <c r="H37" s="18" t="n"/>
      <c r="I37" s="18" t="n"/>
      <c r="J37" s="18" t="n"/>
      <c r="K37" s="33" t="n"/>
      <c r="L37" s="18" t="n"/>
      <c r="M37" s="18" t="n"/>
      <c r="N37" s="28" t="n"/>
    </row>
    <row r="38">
      <c r="A38" s="28" t="n"/>
      <c r="B38" s="28" t="n"/>
      <c r="C38" s="28" t="n"/>
      <c r="D38" s="16" t="n"/>
      <c r="E38" s="16" t="n"/>
      <c r="F38" s="16" t="n"/>
      <c r="G38" s="18" t="n"/>
      <c r="H38" s="18" t="n"/>
      <c r="I38" s="18" t="n"/>
      <c r="J38" s="18" t="n"/>
      <c r="K38" s="33" t="n"/>
      <c r="L38" s="18" t="n"/>
      <c r="M38" s="18" t="n"/>
      <c r="N38" s="28" t="n"/>
    </row>
    <row r="39">
      <c r="A39" s="28" t="n"/>
      <c r="B39" s="28" t="n"/>
      <c r="C39" s="28" t="n"/>
      <c r="D39" s="16" t="n"/>
      <c r="E39" s="16" t="n"/>
      <c r="F39" s="16" t="n"/>
      <c r="G39" s="18" t="n"/>
      <c r="H39" s="18" t="n"/>
      <c r="I39" s="18" t="n"/>
      <c r="J39" s="18" t="n"/>
      <c r="K39" s="33" t="n"/>
      <c r="L39" s="18" t="n"/>
      <c r="M39" s="18" t="n"/>
      <c r="N39" s="28" t="n"/>
    </row>
    <row r="40">
      <c r="A40" s="28" t="n"/>
      <c r="B40" s="28" t="n"/>
      <c r="C40" s="28" t="n"/>
      <c r="D40" s="16" t="n"/>
      <c r="E40" s="16" t="n"/>
      <c r="F40" s="16" t="n"/>
      <c r="G40" s="18" t="n"/>
      <c r="H40" s="18" t="n"/>
      <c r="I40" s="18" t="n"/>
      <c r="J40" s="18" t="n"/>
      <c r="K40" s="33" t="n"/>
      <c r="L40" s="18" t="n"/>
      <c r="M40" s="18" t="n"/>
      <c r="N40" s="28" t="n"/>
    </row>
    <row r="41">
      <c r="A41" s="28" t="n"/>
      <c r="B41" s="28" t="n"/>
      <c r="C41" s="28" t="n"/>
      <c r="D41" s="16" t="n"/>
      <c r="E41" s="16" t="n"/>
      <c r="F41" s="16" t="n"/>
      <c r="G41" s="18" t="n"/>
      <c r="H41" s="18" t="n"/>
      <c r="I41" s="18" t="n"/>
      <c r="J41" s="18" t="n"/>
      <c r="K41" s="33" t="n"/>
      <c r="L41" s="18" t="n"/>
      <c r="M41" s="18" t="n"/>
      <c r="N41" s="28" t="n"/>
    </row>
    <row r="42">
      <c r="A42" s="28" t="n"/>
      <c r="B42" s="28" t="n"/>
      <c r="C42" s="28" t="n"/>
      <c r="D42" s="16" t="n"/>
      <c r="E42" s="16" t="n"/>
      <c r="F42" s="16" t="n"/>
      <c r="G42" s="18" t="n"/>
      <c r="H42" s="18" t="n"/>
      <c r="I42" s="18" t="n"/>
      <c r="J42" s="18" t="n"/>
      <c r="K42" s="33" t="n"/>
      <c r="L42" s="18" t="n"/>
      <c r="M42" s="18" t="n"/>
      <c r="N42" s="28" t="n"/>
    </row>
    <row r="43">
      <c r="A43" s="28" t="n"/>
      <c r="B43" s="28" t="n"/>
      <c r="C43" s="28" t="n"/>
      <c r="D43" s="16" t="n"/>
      <c r="E43" s="16" t="n"/>
      <c r="F43" s="16" t="n"/>
      <c r="G43" s="18" t="n"/>
      <c r="H43" s="18" t="n"/>
      <c r="I43" s="18" t="n"/>
      <c r="J43" s="18" t="n"/>
      <c r="K43" s="33" t="n"/>
      <c r="L43" s="18" t="n"/>
      <c r="M43" s="18" t="n"/>
      <c r="N43" s="28" t="n"/>
    </row>
    <row r="44">
      <c r="A44" s="28" t="n"/>
      <c r="B44" s="28" t="n"/>
      <c r="C44" s="28" t="n"/>
      <c r="D44" s="16" t="n"/>
      <c r="E44" s="16" t="n"/>
      <c r="F44" s="16" t="n"/>
      <c r="G44" s="18" t="n"/>
      <c r="H44" s="18" t="n"/>
      <c r="I44" s="18" t="n"/>
      <c r="J44" s="18" t="n"/>
      <c r="K44" s="33" t="n"/>
      <c r="L44" s="18" t="n"/>
      <c r="M44" s="18" t="n"/>
      <c r="N44" s="28" t="n"/>
    </row>
    <row r="45">
      <c r="A45" s="28" t="n"/>
      <c r="B45" s="28" t="n"/>
      <c r="C45" s="28" t="n"/>
      <c r="D45" s="16" t="n"/>
      <c r="E45" s="16" t="n"/>
      <c r="F45" s="16" t="n"/>
      <c r="G45" s="18" t="n"/>
      <c r="H45" s="18" t="n"/>
      <c r="I45" s="18" t="n"/>
      <c r="J45" s="18" t="n"/>
      <c r="K45" s="33" t="n"/>
      <c r="L45" s="18" t="n"/>
      <c r="M45" s="18" t="n"/>
      <c r="N45" s="28" t="n"/>
    </row>
    <row r="46">
      <c r="A46" s="28" t="n"/>
      <c r="B46" s="28" t="n"/>
      <c r="C46" s="28" t="n"/>
      <c r="D46" s="16" t="n"/>
      <c r="E46" s="16" t="n"/>
      <c r="F46" s="16" t="n"/>
      <c r="G46" s="18" t="n"/>
      <c r="H46" s="18" t="n"/>
      <c r="I46" s="18" t="n"/>
      <c r="J46" s="18" t="n"/>
      <c r="K46" s="33" t="n"/>
      <c r="L46" s="18" t="n"/>
      <c r="M46" s="18" t="n"/>
      <c r="N46" s="28" t="n"/>
    </row>
    <row r="47">
      <c r="A47" s="28" t="n"/>
      <c r="B47" s="28" t="n"/>
      <c r="C47" s="28" t="n"/>
      <c r="D47" s="16" t="n"/>
      <c r="E47" s="16" t="n"/>
      <c r="F47" s="16" t="n"/>
      <c r="G47" s="18" t="n"/>
      <c r="H47" s="18" t="n"/>
      <c r="I47" s="18" t="n"/>
      <c r="J47" s="18" t="n"/>
      <c r="K47" s="33" t="n"/>
      <c r="L47" s="18" t="n"/>
      <c r="M47" s="18" t="n"/>
      <c r="N47" s="28" t="n"/>
    </row>
    <row r="48">
      <c r="A48" s="28" t="n"/>
      <c r="B48" s="28" t="n"/>
      <c r="C48" s="28" t="n"/>
      <c r="D48" s="16" t="n"/>
      <c r="E48" s="16" t="n"/>
      <c r="F48" s="16" t="n"/>
      <c r="G48" s="18" t="n"/>
      <c r="H48" s="18" t="n"/>
      <c r="I48" s="18" t="n"/>
      <c r="J48" s="18" t="n"/>
      <c r="K48" s="33" t="n"/>
      <c r="L48" s="18" t="n"/>
      <c r="M48" s="18" t="n"/>
      <c r="N48" s="28" t="n"/>
    </row>
    <row r="49">
      <c r="A49" s="28" t="n"/>
      <c r="B49" s="28" t="n"/>
      <c r="C49" s="28" t="n"/>
      <c r="D49" s="16" t="n"/>
      <c r="E49" s="16" t="n"/>
      <c r="F49" s="16" t="n"/>
      <c r="G49" s="18" t="n"/>
      <c r="H49" s="18" t="n"/>
      <c r="I49" s="18" t="n"/>
      <c r="J49" s="18" t="n"/>
      <c r="K49" s="33" t="n"/>
      <c r="L49" s="18" t="n"/>
      <c r="M49" s="18" t="n"/>
      <c r="N49" s="28" t="n"/>
    </row>
    <row r="50">
      <c r="A50" s="28" t="n"/>
      <c r="B50" s="28" t="n"/>
      <c r="C50" s="28" t="n"/>
      <c r="D50" s="16" t="n"/>
      <c r="E50" s="16" t="n"/>
      <c r="F50" s="16" t="n"/>
      <c r="G50" s="18" t="n"/>
      <c r="H50" s="18" t="n"/>
      <c r="I50" s="18" t="n"/>
      <c r="J50" s="18" t="n"/>
      <c r="K50" s="33" t="n"/>
      <c r="L50" s="18" t="n"/>
      <c r="M50" s="18" t="n"/>
      <c r="N50" s="28" t="n"/>
    </row>
    <row r="51">
      <c r="A51" s="28" t="n"/>
      <c r="B51" s="28" t="n"/>
      <c r="C51" s="28" t="n"/>
      <c r="D51" s="16" t="n"/>
      <c r="E51" s="16" t="n"/>
      <c r="F51" s="16" t="n"/>
      <c r="G51" s="18" t="n"/>
      <c r="H51" s="18" t="n"/>
      <c r="I51" s="18" t="n"/>
      <c r="J51" s="18" t="n"/>
      <c r="K51" s="33" t="n"/>
      <c r="L51" s="18" t="n"/>
      <c r="M51" s="18" t="n"/>
      <c r="N51" s="28" t="n"/>
    </row>
    <row r="52">
      <c r="A52" s="28" t="n"/>
      <c r="B52" s="28" t="n"/>
      <c r="C52" s="28" t="n"/>
      <c r="D52" s="16" t="n"/>
      <c r="E52" s="16" t="n"/>
      <c r="F52" s="16" t="n"/>
      <c r="G52" s="18" t="n"/>
      <c r="H52" s="18" t="n"/>
      <c r="I52" s="18" t="n"/>
      <c r="J52" s="18" t="n"/>
      <c r="K52" s="33" t="n"/>
      <c r="L52" s="18" t="n"/>
      <c r="M52" s="18" t="n"/>
      <c r="N52" s="28" t="n"/>
    </row>
    <row r="53">
      <c r="A53" s="28" t="n"/>
      <c r="B53" s="28" t="n"/>
      <c r="C53" s="28" t="n"/>
      <c r="D53" s="16" t="n"/>
      <c r="E53" s="16" t="n"/>
      <c r="F53" s="16" t="n"/>
      <c r="G53" s="18" t="n"/>
      <c r="H53" s="18" t="n"/>
      <c r="I53" s="18" t="n"/>
      <c r="J53" s="18" t="n"/>
      <c r="K53" s="33" t="n"/>
      <c r="L53" s="18" t="n"/>
      <c r="M53" s="18" t="n"/>
      <c r="N53" s="28" t="n"/>
    </row>
    <row r="54">
      <c r="A54" s="28" t="n"/>
      <c r="B54" s="28" t="n"/>
      <c r="C54" s="28" t="n"/>
      <c r="D54" s="16" t="n"/>
      <c r="E54" s="16" t="n"/>
      <c r="F54" s="16" t="n"/>
      <c r="G54" s="18" t="n"/>
      <c r="H54" s="18" t="n"/>
      <c r="I54" s="18" t="n"/>
      <c r="J54" s="18" t="n"/>
      <c r="K54" s="33" t="n"/>
      <c r="L54" s="18" t="n"/>
      <c r="M54" s="18" t="n"/>
      <c r="N54" s="28" t="n"/>
    </row>
    <row r="55">
      <c r="A55" s="28" t="n"/>
      <c r="B55" s="28" t="n"/>
      <c r="C55" s="28" t="n"/>
      <c r="D55" s="16" t="n"/>
      <c r="E55" s="16" t="n"/>
      <c r="F55" s="16" t="n"/>
      <c r="G55" s="18" t="n"/>
      <c r="H55" s="18" t="n"/>
      <c r="I55" s="18" t="n"/>
      <c r="J55" s="18" t="n"/>
      <c r="K55" s="33" t="n"/>
      <c r="L55" s="18" t="n"/>
      <c r="M55" s="18" t="n"/>
      <c r="N55" s="28" t="n"/>
    </row>
    <row r="56">
      <c r="A56" s="28" t="n"/>
      <c r="B56" s="28" t="n"/>
      <c r="C56" s="28" t="n"/>
      <c r="D56" s="16" t="n"/>
      <c r="E56" s="16" t="n"/>
      <c r="F56" s="16" t="n"/>
      <c r="G56" s="18" t="n"/>
      <c r="H56" s="18" t="n"/>
      <c r="I56" s="18" t="n"/>
      <c r="J56" s="18" t="n"/>
      <c r="K56" s="33" t="n"/>
      <c r="L56" s="18" t="n"/>
      <c r="M56" s="18" t="n"/>
      <c r="N56" s="28" t="n"/>
    </row>
    <row r="57">
      <c r="A57" s="28" t="n"/>
      <c r="B57" s="28" t="n"/>
      <c r="C57" s="28" t="n"/>
      <c r="D57" s="16" t="n"/>
      <c r="E57" s="16" t="n"/>
      <c r="F57" s="16" t="n"/>
      <c r="G57" s="18" t="n"/>
      <c r="H57" s="18" t="n"/>
      <c r="I57" s="18" t="n"/>
      <c r="J57" s="18" t="n"/>
      <c r="K57" s="33" t="n"/>
      <c r="L57" s="18" t="n"/>
      <c r="M57" s="18" t="n"/>
      <c r="N57" s="28" t="n"/>
    </row>
    <row r="58">
      <c r="A58" s="28" t="n"/>
      <c r="B58" s="28" t="n"/>
      <c r="C58" s="28" t="n"/>
      <c r="D58" s="16" t="n"/>
      <c r="E58" s="16" t="n"/>
      <c r="F58" s="16" t="n"/>
      <c r="G58" s="18" t="n"/>
      <c r="H58" s="18" t="n"/>
      <c r="I58" s="18" t="n"/>
      <c r="J58" s="18" t="n"/>
      <c r="K58" s="33" t="n"/>
      <c r="L58" s="18" t="n"/>
      <c r="M58" s="18" t="n"/>
      <c r="N58" s="28" t="n"/>
    </row>
    <row r="59">
      <c r="A59" s="28" t="n"/>
      <c r="B59" s="28" t="n"/>
      <c r="C59" s="28" t="n"/>
      <c r="D59" s="16" t="n"/>
      <c r="E59" s="16" t="n"/>
      <c r="F59" s="16" t="n"/>
      <c r="G59" s="18" t="n"/>
      <c r="H59" s="18" t="n"/>
      <c r="I59" s="18" t="n"/>
      <c r="J59" s="18" t="n"/>
      <c r="K59" s="33" t="n"/>
      <c r="L59" s="18" t="n"/>
      <c r="M59" s="18" t="n"/>
      <c r="N59" s="28" t="n"/>
    </row>
    <row r="60">
      <c r="A60" s="28" t="n"/>
      <c r="B60" s="28" t="n"/>
      <c r="C60" s="28" t="n"/>
      <c r="D60" s="16" t="n"/>
      <c r="E60" s="16" t="n"/>
      <c r="F60" s="16" t="n"/>
      <c r="G60" s="18" t="n"/>
      <c r="H60" s="18" t="n"/>
      <c r="I60" s="18" t="n"/>
      <c r="J60" s="18" t="n"/>
      <c r="K60" s="33" t="n"/>
      <c r="L60" s="18" t="n"/>
      <c r="M60" s="18" t="n"/>
      <c r="N60" s="28" t="n"/>
    </row>
    <row r="61">
      <c r="A61" s="28" t="n"/>
      <c r="B61" s="28" t="n"/>
      <c r="C61" s="28" t="n"/>
      <c r="D61" s="16" t="n"/>
      <c r="E61" s="16" t="n"/>
      <c r="F61" s="16" t="n"/>
      <c r="G61" s="18" t="n"/>
      <c r="H61" s="18" t="n"/>
      <c r="I61" s="18" t="n"/>
      <c r="J61" s="18" t="n"/>
      <c r="K61" s="33" t="n"/>
      <c r="L61" s="18" t="n"/>
      <c r="M61" s="18" t="n"/>
      <c r="N61" s="28" t="n"/>
    </row>
    <row r="62">
      <c r="A62" s="28" t="n"/>
      <c r="B62" s="28" t="n"/>
      <c r="C62" s="28" t="n"/>
      <c r="D62" s="16" t="n"/>
      <c r="E62" s="16" t="n"/>
      <c r="F62" s="16" t="n"/>
      <c r="G62" s="18" t="n"/>
      <c r="H62" s="18" t="n"/>
      <c r="I62" s="18" t="n"/>
      <c r="J62" s="18" t="n"/>
      <c r="K62" s="33" t="n"/>
      <c r="L62" s="18" t="n"/>
      <c r="M62" s="18" t="n"/>
      <c r="N62" s="28" t="n"/>
    </row>
    <row r="63">
      <c r="A63" s="28" t="n"/>
      <c r="B63" s="28" t="n"/>
      <c r="C63" s="28" t="n"/>
      <c r="D63" s="16" t="n"/>
      <c r="E63" s="16" t="n"/>
      <c r="F63" s="16" t="n"/>
      <c r="G63" s="18" t="n"/>
      <c r="H63" s="18" t="n"/>
      <c r="I63" s="18" t="n"/>
      <c r="J63" s="18" t="n"/>
      <c r="K63" s="33" t="n"/>
      <c r="L63" s="18" t="n"/>
      <c r="M63" s="18" t="n"/>
      <c r="N63" s="28" t="n"/>
    </row>
    <row r="64">
      <c r="A64" s="28" t="n"/>
      <c r="B64" s="28" t="n"/>
      <c r="C64" s="28" t="n"/>
      <c r="D64" s="16" t="n"/>
      <c r="E64" s="16" t="n"/>
      <c r="F64" s="16" t="n"/>
      <c r="G64" s="18" t="n"/>
      <c r="H64" s="18" t="n"/>
      <c r="I64" s="18" t="n"/>
      <c r="J64" s="18" t="n"/>
      <c r="K64" s="33" t="n"/>
      <c r="L64" s="18" t="n"/>
      <c r="M64" s="18" t="n"/>
      <c r="N64" s="28" t="n"/>
    </row>
    <row r="65">
      <c r="A65" s="28" t="n"/>
      <c r="B65" s="28" t="n"/>
      <c r="C65" s="28" t="n"/>
      <c r="D65" s="16" t="n"/>
      <c r="E65" s="16" t="n"/>
      <c r="F65" s="16" t="n"/>
      <c r="G65" s="18" t="n"/>
      <c r="H65" s="18" t="n"/>
      <c r="I65" s="18" t="n"/>
      <c r="J65" s="18" t="n"/>
      <c r="K65" s="33" t="n"/>
      <c r="L65" s="18" t="n"/>
      <c r="M65" s="18" t="n"/>
      <c r="N65" s="28" t="n"/>
    </row>
    <row r="66">
      <c r="A66" s="28" t="n"/>
      <c r="B66" s="28" t="n"/>
      <c r="C66" s="28" t="n"/>
      <c r="D66" s="16" t="n"/>
      <c r="E66" s="16" t="n"/>
      <c r="F66" s="16" t="n"/>
      <c r="G66" s="18" t="n"/>
      <c r="H66" s="18" t="n"/>
      <c r="I66" s="18" t="n"/>
      <c r="J66" s="18" t="n"/>
      <c r="K66" s="33" t="n"/>
      <c r="L66" s="18" t="n"/>
      <c r="M66" s="18" t="n"/>
      <c r="N66" s="28" t="n"/>
    </row>
    <row r="67">
      <c r="A67" s="28" t="n"/>
      <c r="B67" s="28" t="n"/>
      <c r="C67" s="28" t="n"/>
      <c r="D67" s="16" t="n"/>
      <c r="E67" s="16" t="n"/>
      <c r="F67" s="16" t="n"/>
      <c r="G67" s="18" t="n"/>
      <c r="H67" s="18" t="n"/>
      <c r="I67" s="18" t="n"/>
      <c r="J67" s="18" t="n"/>
      <c r="K67" s="33" t="n"/>
      <c r="L67" s="18" t="n"/>
      <c r="M67" s="18" t="n"/>
      <c r="N67" s="28" t="n"/>
    </row>
    <row r="68">
      <c r="A68" s="28" t="n"/>
      <c r="B68" s="28" t="n"/>
      <c r="C68" s="28" t="n"/>
      <c r="D68" s="16" t="n"/>
      <c r="E68" s="16" t="n"/>
      <c r="F68" s="16" t="n"/>
      <c r="G68" s="18" t="n"/>
      <c r="H68" s="18" t="n"/>
      <c r="I68" s="18" t="n"/>
      <c r="J68" s="18" t="n"/>
      <c r="K68" s="33" t="n"/>
      <c r="L68" s="18" t="n"/>
      <c r="M68" s="18" t="n"/>
      <c r="N68" s="28" t="n"/>
    </row>
    <row r="69">
      <c r="A69" s="28" t="n"/>
      <c r="B69" s="28" t="n"/>
      <c r="C69" s="28" t="n"/>
      <c r="D69" s="16" t="n"/>
      <c r="E69" s="16" t="n"/>
      <c r="F69" s="16" t="n"/>
      <c r="G69" s="18" t="n"/>
      <c r="H69" s="18" t="n"/>
      <c r="I69" s="18" t="n"/>
      <c r="J69" s="18" t="n"/>
      <c r="K69" s="33" t="n"/>
      <c r="L69" s="18" t="n"/>
      <c r="M69" s="18" t="n"/>
      <c r="N69" s="28" t="n"/>
    </row>
    <row r="70">
      <c r="A70" s="28" t="n"/>
      <c r="B70" s="28" t="n"/>
      <c r="C70" s="28" t="n"/>
      <c r="D70" s="16" t="n"/>
      <c r="E70" s="16" t="n"/>
      <c r="F70" s="16" t="n"/>
      <c r="G70" s="18" t="n"/>
      <c r="H70" s="18" t="n"/>
      <c r="I70" s="18" t="n"/>
      <c r="J70" s="18" t="n"/>
      <c r="K70" s="33" t="n"/>
      <c r="L70" s="18" t="n"/>
      <c r="M70" s="18" t="n"/>
      <c r="N70" s="28" t="n"/>
    </row>
    <row r="71">
      <c r="A71" s="28" t="n"/>
      <c r="B71" s="28" t="n"/>
      <c r="C71" s="28" t="n"/>
      <c r="D71" s="16" t="n"/>
      <c r="E71" s="16" t="n"/>
      <c r="F71" s="16" t="n"/>
      <c r="G71" s="18" t="n"/>
      <c r="H71" s="18" t="n"/>
      <c r="I71" s="18" t="n"/>
      <c r="J71" s="18" t="n"/>
      <c r="K71" s="33" t="n"/>
      <c r="L71" s="18" t="n"/>
      <c r="M71" s="18" t="n"/>
      <c r="N71" s="28" t="n"/>
    </row>
    <row r="72">
      <c r="A72" s="28" t="n"/>
      <c r="B72" s="28" t="n"/>
      <c r="C72" s="28" t="n"/>
      <c r="D72" s="16" t="n"/>
      <c r="E72" s="16" t="n"/>
      <c r="F72" s="16" t="n"/>
      <c r="G72" s="18" t="n"/>
      <c r="H72" s="18" t="n"/>
      <c r="I72" s="18" t="n"/>
      <c r="J72" s="18" t="n"/>
      <c r="K72" s="33" t="n"/>
      <c r="L72" s="18" t="n"/>
      <c r="M72" s="18" t="n"/>
      <c r="N72" s="28" t="n"/>
    </row>
    <row r="73">
      <c r="A73" s="28" t="n"/>
      <c r="B73" s="28" t="n"/>
      <c r="C73" s="28" t="n"/>
      <c r="D73" s="16" t="n"/>
      <c r="E73" s="16" t="n"/>
      <c r="F73" s="16" t="n"/>
      <c r="G73" s="18" t="n"/>
      <c r="H73" s="18" t="n"/>
      <c r="I73" s="18" t="n"/>
      <c r="J73" s="18" t="n"/>
      <c r="K73" s="33" t="n"/>
      <c r="L73" s="18" t="n"/>
      <c r="M73" s="18" t="n"/>
      <c r="N73" s="28" t="n"/>
    </row>
    <row r="74">
      <c r="A74" s="28" t="n"/>
      <c r="B74" s="28" t="n"/>
      <c r="C74" s="28" t="n"/>
      <c r="D74" s="16" t="n"/>
      <c r="E74" s="16" t="n"/>
      <c r="F74" s="16" t="n"/>
      <c r="G74" s="18" t="n"/>
      <c r="H74" s="18" t="n"/>
      <c r="I74" s="18" t="n"/>
      <c r="J74" s="18" t="n"/>
      <c r="K74" s="33" t="n"/>
      <c r="L74" s="18" t="n"/>
      <c r="M74" s="18" t="n"/>
      <c r="N74" s="28" t="n"/>
    </row>
    <row r="75">
      <c r="A75" s="28" t="n"/>
      <c r="B75" s="28" t="n"/>
      <c r="C75" s="28" t="n"/>
      <c r="D75" s="16" t="n"/>
      <c r="E75" s="16" t="n"/>
      <c r="F75" s="16" t="n"/>
      <c r="G75" s="18" t="n"/>
      <c r="H75" s="18" t="n"/>
      <c r="I75" s="18" t="n"/>
      <c r="J75" s="18" t="n"/>
      <c r="K75" s="33" t="n"/>
      <c r="L75" s="18" t="n"/>
      <c r="M75" s="18" t="n"/>
      <c r="N75" s="28" t="n"/>
    </row>
    <row r="76">
      <c r="A76" s="28" t="n"/>
      <c r="B76" s="28" t="n"/>
      <c r="C76" s="28" t="n"/>
      <c r="D76" s="16" t="n"/>
      <c r="E76" s="16" t="n"/>
      <c r="F76" s="16" t="n"/>
      <c r="G76" s="18" t="n"/>
      <c r="H76" s="18" t="n"/>
      <c r="I76" s="18" t="n"/>
      <c r="J76" s="18" t="n"/>
      <c r="K76" s="33" t="n"/>
      <c r="L76" s="18" t="n"/>
      <c r="M76" s="18" t="n"/>
      <c r="N76" s="28" t="n"/>
    </row>
    <row r="77">
      <c r="A77" s="28" t="n"/>
      <c r="B77" s="28" t="n"/>
      <c r="C77" s="28" t="n"/>
      <c r="D77" s="16" t="n"/>
      <c r="E77" s="16" t="n"/>
      <c r="F77" s="16" t="n"/>
      <c r="G77" s="18" t="n"/>
      <c r="H77" s="18" t="n"/>
      <c r="I77" s="18" t="n"/>
      <c r="J77" s="18" t="n"/>
      <c r="K77" s="33" t="n"/>
      <c r="L77" s="18" t="n"/>
      <c r="M77" s="18" t="n"/>
      <c r="N77" s="28" t="n"/>
    </row>
    <row r="78">
      <c r="A78" s="28" t="n"/>
      <c r="B78" s="28" t="n"/>
      <c r="C78" s="28" t="n"/>
      <c r="D78" s="16" t="n"/>
      <c r="E78" s="16" t="n"/>
      <c r="F78" s="16" t="n"/>
      <c r="G78" s="18" t="n"/>
      <c r="H78" s="18" t="n"/>
      <c r="I78" s="18" t="n"/>
      <c r="J78" s="18" t="n"/>
      <c r="K78" s="33" t="n"/>
      <c r="L78" s="18" t="n"/>
      <c r="M78" s="18" t="n"/>
      <c r="N78" s="28" t="n"/>
    </row>
    <row r="79">
      <c r="A79" s="28" t="n"/>
      <c r="B79" s="28" t="n"/>
      <c r="C79" s="28" t="n"/>
      <c r="D79" s="16" t="n"/>
      <c r="E79" s="16" t="n"/>
      <c r="F79" s="16" t="n"/>
      <c r="G79" s="18" t="n"/>
      <c r="H79" s="18" t="n"/>
      <c r="I79" s="18" t="n"/>
      <c r="J79" s="18" t="n"/>
      <c r="K79" s="33" t="n"/>
      <c r="L79" s="18" t="n"/>
      <c r="M79" s="18" t="n"/>
      <c r="N79" s="28" t="n"/>
    </row>
    <row r="80">
      <c r="A80" s="28" t="n"/>
      <c r="B80" s="28" t="n"/>
      <c r="C80" s="28" t="n"/>
      <c r="D80" s="16" t="n"/>
      <c r="E80" s="16" t="n"/>
      <c r="F80" s="16" t="n"/>
      <c r="G80" s="18" t="n"/>
      <c r="H80" s="18" t="n"/>
      <c r="I80" s="18" t="n"/>
      <c r="J80" s="18" t="n"/>
      <c r="K80" s="33" t="n"/>
      <c r="L80" s="18" t="n"/>
      <c r="M80" s="18" t="n"/>
      <c r="N80" s="28" t="n"/>
    </row>
    <row r="81">
      <c r="A81" s="28" t="n"/>
      <c r="B81" s="28" t="n"/>
      <c r="C81" s="28" t="n"/>
      <c r="D81" s="16" t="n"/>
      <c r="E81" s="16" t="n"/>
      <c r="F81" s="16" t="n"/>
      <c r="G81" s="18" t="n"/>
      <c r="H81" s="18" t="n"/>
      <c r="I81" s="18" t="n"/>
      <c r="J81" s="18" t="n"/>
      <c r="K81" s="33" t="n"/>
      <c r="L81" s="18" t="n"/>
      <c r="M81" s="18" t="n"/>
      <c r="N81" s="28" t="n"/>
    </row>
    <row r="82">
      <c r="A82" s="28" t="n"/>
      <c r="B82" s="28" t="n"/>
      <c r="C82" s="28" t="n"/>
      <c r="D82" s="16" t="n"/>
      <c r="E82" s="16" t="n"/>
      <c r="F82" s="16" t="n"/>
      <c r="G82" s="18" t="n"/>
      <c r="H82" s="18" t="n"/>
      <c r="I82" s="18" t="n"/>
      <c r="J82" s="18" t="n"/>
      <c r="K82" s="33" t="n"/>
      <c r="L82" s="18" t="n"/>
      <c r="M82" s="18" t="n"/>
      <c r="N82" s="28" t="n"/>
    </row>
    <row r="83">
      <c r="A83" s="28" t="n"/>
      <c r="B83" s="28" t="n"/>
      <c r="C83" s="28" t="n"/>
      <c r="D83" s="16" t="n"/>
      <c r="E83" s="16" t="n"/>
      <c r="F83" s="16" t="n"/>
      <c r="G83" s="18" t="n"/>
      <c r="H83" s="18" t="n"/>
      <c r="I83" s="18" t="n"/>
      <c r="J83" s="18" t="n"/>
      <c r="K83" s="33" t="n"/>
      <c r="L83" s="18" t="n"/>
      <c r="M83" s="18" t="n"/>
      <c r="N83" s="28" t="n"/>
    </row>
    <row r="84">
      <c r="A84" s="28" t="n"/>
      <c r="B84" s="28" t="n"/>
      <c r="C84" s="28" t="n"/>
      <c r="D84" s="16" t="n"/>
      <c r="E84" s="16" t="n"/>
      <c r="F84" s="16" t="n"/>
      <c r="G84" s="18" t="n"/>
      <c r="H84" s="18" t="n"/>
      <c r="I84" s="18" t="n"/>
      <c r="J84" s="18" t="n"/>
      <c r="K84" s="33" t="n"/>
      <c r="L84" s="18" t="n"/>
      <c r="M84" s="18" t="n"/>
      <c r="N84" s="28" t="n"/>
    </row>
    <row r="85">
      <c r="A85" s="28" t="n"/>
      <c r="B85" s="28" t="n"/>
      <c r="C85" s="28" t="n"/>
      <c r="D85" s="16" t="n"/>
      <c r="E85" s="16" t="n"/>
      <c r="F85" s="16" t="n"/>
      <c r="G85" s="18" t="n"/>
      <c r="H85" s="18" t="n"/>
      <c r="I85" s="18" t="n"/>
      <c r="J85" s="18" t="n"/>
      <c r="K85" s="33" t="n"/>
      <c r="L85" s="18" t="n"/>
      <c r="M85" s="18" t="n"/>
      <c r="N85" s="28" t="n"/>
    </row>
    <row r="86">
      <c r="A86" s="28" t="n"/>
      <c r="B86" s="28" t="n"/>
      <c r="C86" s="28" t="n"/>
      <c r="D86" s="16" t="n"/>
      <c r="E86" s="16" t="n"/>
      <c r="F86" s="16" t="n"/>
      <c r="G86" s="18" t="n"/>
      <c r="H86" s="18" t="n"/>
      <c r="I86" s="18" t="n"/>
      <c r="J86" s="18" t="n"/>
      <c r="K86" s="33" t="n"/>
      <c r="L86" s="18" t="n"/>
      <c r="M86" s="18" t="n"/>
      <c r="N86" s="28" t="n"/>
    </row>
    <row r="87">
      <c r="A87" s="28" t="n"/>
      <c r="B87" s="28" t="n"/>
      <c r="C87" s="28" t="n"/>
      <c r="D87" s="16" t="n"/>
      <c r="E87" s="16" t="n"/>
      <c r="F87" s="16" t="n"/>
      <c r="G87" s="18" t="n"/>
      <c r="H87" s="18" t="n"/>
      <c r="I87" s="18" t="n"/>
      <c r="J87" s="18" t="n"/>
      <c r="K87" s="33" t="n"/>
      <c r="L87" s="18" t="n"/>
      <c r="M87" s="18" t="n"/>
      <c r="N87" s="28" t="n"/>
    </row>
    <row r="88">
      <c r="A88" s="28" t="n"/>
      <c r="B88" s="28" t="n"/>
      <c r="C88" s="28" t="n"/>
      <c r="D88" s="16" t="n"/>
      <c r="E88" s="16" t="n"/>
      <c r="F88" s="16" t="n"/>
      <c r="G88" s="18" t="n"/>
      <c r="H88" s="18" t="n"/>
      <c r="I88" s="18" t="n"/>
      <c r="J88" s="18" t="n"/>
      <c r="K88" s="33" t="n"/>
      <c r="L88" s="18" t="n"/>
      <c r="M88" s="18" t="n"/>
      <c r="N88" s="28" t="n"/>
    </row>
    <row r="89">
      <c r="A89" s="28" t="n"/>
      <c r="B89" s="28" t="n"/>
      <c r="C89" s="28" t="n"/>
      <c r="D89" s="16" t="n"/>
      <c r="E89" s="16" t="n"/>
      <c r="F89" s="16" t="n"/>
      <c r="G89" s="18" t="n"/>
      <c r="H89" s="18" t="n"/>
      <c r="I89" s="18" t="n"/>
      <c r="J89" s="18" t="n"/>
      <c r="K89" s="33" t="n"/>
      <c r="L89" s="18" t="n"/>
      <c r="M89" s="18" t="n"/>
      <c r="N89" s="28" t="n"/>
    </row>
    <row r="90">
      <c r="A90" s="28" t="n"/>
      <c r="B90" s="28" t="n"/>
      <c r="C90" s="28" t="n"/>
      <c r="D90" s="16" t="n"/>
      <c r="E90" s="16" t="n"/>
      <c r="F90" s="16" t="n"/>
      <c r="G90" s="18" t="n"/>
      <c r="H90" s="18" t="n"/>
      <c r="I90" s="18" t="n"/>
      <c r="J90" s="18" t="n"/>
      <c r="K90" s="33" t="n"/>
      <c r="L90" s="18" t="n"/>
      <c r="M90" s="18" t="n"/>
      <c r="N90" s="28" t="n"/>
    </row>
    <row r="91">
      <c r="A91" s="28" t="n"/>
      <c r="B91" s="28" t="n"/>
      <c r="C91" s="28" t="n"/>
      <c r="D91" s="16" t="n"/>
      <c r="E91" s="16" t="n"/>
      <c r="F91" s="16" t="n"/>
      <c r="G91" s="18" t="n"/>
      <c r="H91" s="18" t="n"/>
      <c r="I91" s="18" t="n"/>
      <c r="J91" s="18" t="n"/>
      <c r="K91" s="33" t="n"/>
      <c r="L91" s="18" t="n"/>
      <c r="M91" s="18" t="n"/>
      <c r="N91" s="28" t="n"/>
    </row>
    <row r="92">
      <c r="A92" s="28" t="n"/>
      <c r="B92" s="28" t="n"/>
      <c r="C92" s="28" t="n"/>
      <c r="D92" s="16" t="n"/>
      <c r="E92" s="16" t="n"/>
      <c r="F92" s="16" t="n"/>
      <c r="G92" s="18" t="n"/>
      <c r="H92" s="18" t="n"/>
      <c r="I92" s="18" t="n"/>
      <c r="J92" s="18" t="n"/>
      <c r="K92" s="33" t="n"/>
      <c r="L92" s="18" t="n"/>
      <c r="M92" s="18" t="n"/>
      <c r="N92" s="28" t="n"/>
    </row>
    <row r="93">
      <c r="A93" s="28" t="n"/>
      <c r="B93" s="28" t="n"/>
      <c r="C93" s="28" t="n"/>
      <c r="D93" s="16" t="n"/>
      <c r="E93" s="16" t="n"/>
      <c r="F93" s="16" t="n"/>
      <c r="G93" s="18" t="n"/>
      <c r="H93" s="18" t="n"/>
      <c r="I93" s="18" t="n"/>
      <c r="J93" s="18" t="n"/>
      <c r="K93" s="33" t="n"/>
      <c r="L93" s="18" t="n"/>
      <c r="M93" s="18" t="n"/>
      <c r="N93" s="28" t="n"/>
    </row>
    <row r="94">
      <c r="A94" s="28" t="n"/>
      <c r="B94" s="28" t="n"/>
      <c r="C94" s="28" t="n"/>
      <c r="D94" s="16" t="n"/>
      <c r="E94" s="16" t="n"/>
      <c r="F94" s="16" t="n"/>
      <c r="G94" s="18" t="n"/>
      <c r="H94" s="18" t="n"/>
      <c r="I94" s="18" t="n"/>
      <c r="J94" s="18" t="n"/>
      <c r="K94" s="33" t="n"/>
      <c r="L94" s="18" t="n"/>
      <c r="M94" s="18" t="n"/>
      <c r="N94" s="28" t="n"/>
    </row>
    <row r="95">
      <c r="A95" s="28" t="n"/>
      <c r="B95" s="28" t="n"/>
      <c r="C95" s="28" t="n"/>
      <c r="D95" s="16" t="n"/>
      <c r="E95" s="16" t="n"/>
      <c r="F95" s="16" t="n"/>
      <c r="G95" s="18" t="n"/>
      <c r="H95" s="18" t="n"/>
      <c r="I95" s="18" t="n"/>
      <c r="J95" s="18" t="n"/>
      <c r="K95" s="33" t="n"/>
      <c r="L95" s="18" t="n"/>
      <c r="M95" s="18" t="n"/>
      <c r="N95" s="28" t="n"/>
    </row>
    <row r="96">
      <c r="A96" s="28" t="n"/>
      <c r="B96" s="28" t="n"/>
      <c r="C96" s="28" t="n"/>
      <c r="D96" s="16" t="n"/>
      <c r="E96" s="16" t="n"/>
      <c r="F96" s="16" t="n"/>
      <c r="G96" s="18" t="n"/>
      <c r="H96" s="18" t="n"/>
      <c r="I96" s="18" t="n"/>
      <c r="J96" s="18" t="n"/>
      <c r="K96" s="33" t="n"/>
      <c r="L96" s="18" t="n"/>
      <c r="M96" s="18" t="n"/>
      <c r="N96" s="28" t="n"/>
    </row>
    <row r="97">
      <c r="A97" s="28" t="n"/>
      <c r="B97" s="28" t="n"/>
      <c r="C97" s="28" t="n"/>
      <c r="D97" s="16" t="n"/>
      <c r="E97" s="16" t="n"/>
      <c r="F97" s="16" t="n"/>
      <c r="G97" s="18" t="n"/>
      <c r="H97" s="18" t="n"/>
      <c r="I97" s="18" t="n"/>
      <c r="J97" s="18" t="n"/>
      <c r="K97" s="33" t="n"/>
      <c r="L97" s="18" t="n"/>
      <c r="M97" s="18" t="n"/>
      <c r="N97" s="28" t="n"/>
    </row>
    <row r="98">
      <c r="A98" s="28" t="n"/>
      <c r="B98" s="28" t="n"/>
      <c r="C98" s="28" t="n"/>
      <c r="D98" s="16" t="n"/>
      <c r="E98" s="16" t="n"/>
      <c r="F98" s="16" t="n"/>
      <c r="G98" s="18" t="n"/>
      <c r="H98" s="18" t="n"/>
      <c r="I98" s="18" t="n"/>
      <c r="J98" s="18" t="n"/>
      <c r="K98" s="33" t="n"/>
      <c r="L98" s="18" t="n"/>
      <c r="M98" s="18" t="n"/>
      <c r="N98" s="28" t="n"/>
    </row>
    <row r="99">
      <c r="A99" s="28" t="n"/>
      <c r="B99" s="28" t="n"/>
      <c r="C99" s="28" t="n"/>
      <c r="D99" s="16" t="n"/>
      <c r="E99" s="16" t="n"/>
      <c r="F99" s="16" t="n"/>
      <c r="G99" s="18" t="n"/>
      <c r="H99" s="18" t="n"/>
      <c r="I99" s="18" t="n"/>
      <c r="J99" s="18" t="n"/>
      <c r="K99" s="33" t="n"/>
      <c r="L99" s="18" t="n"/>
      <c r="M99" s="18" t="n"/>
      <c r="N99" s="28" t="n"/>
    </row>
    <row r="100">
      <c r="A100" s="28" t="n"/>
      <c r="B100" s="28" t="n"/>
      <c r="C100" s="28" t="n"/>
      <c r="D100" s="16" t="n"/>
      <c r="E100" s="16" t="n"/>
      <c r="F100" s="16" t="n"/>
      <c r="G100" s="18" t="n"/>
      <c r="H100" s="18" t="n"/>
      <c r="I100" s="18" t="n"/>
      <c r="J100" s="18" t="n"/>
      <c r="K100" s="33" t="n"/>
      <c r="L100" s="18" t="n"/>
      <c r="M100" s="18" t="n"/>
      <c r="N100" s="28" t="n"/>
    </row>
    <row r="101">
      <c r="A101" s="28" t="n"/>
      <c r="B101" s="28" t="n"/>
      <c r="C101" s="28" t="n"/>
      <c r="D101" s="16" t="n"/>
      <c r="E101" s="16" t="n"/>
      <c r="F101" s="16" t="n"/>
      <c r="G101" s="18" t="n"/>
      <c r="H101" s="18" t="n"/>
      <c r="I101" s="18" t="n"/>
      <c r="J101" s="18" t="n"/>
      <c r="K101" s="33" t="n"/>
      <c r="L101" s="18" t="n"/>
      <c r="M101" s="18" t="n"/>
      <c r="N101" s="28" t="n"/>
    </row>
    <row r="102">
      <c r="A102" s="28" t="n"/>
      <c r="B102" s="28" t="n"/>
      <c r="C102" s="28" t="n"/>
      <c r="D102" s="16" t="n"/>
      <c r="E102" s="16" t="n"/>
      <c r="F102" s="16" t="n"/>
      <c r="G102" s="18" t="n"/>
      <c r="H102" s="18" t="n"/>
      <c r="I102" s="18" t="n"/>
      <c r="J102" s="18" t="n"/>
      <c r="K102" s="33" t="n"/>
      <c r="L102" s="18" t="n"/>
      <c r="M102" s="18" t="n"/>
      <c r="N102" s="28" t="n"/>
    </row>
    <row r="103">
      <c r="A103" s="28" t="n"/>
      <c r="B103" s="28" t="n"/>
      <c r="C103" s="28" t="n"/>
      <c r="D103" s="16" t="n"/>
      <c r="E103" s="16" t="n"/>
      <c r="F103" s="16" t="n"/>
      <c r="G103" s="18" t="n"/>
      <c r="H103" s="18" t="n"/>
      <c r="I103" s="18" t="n"/>
      <c r="J103" s="18" t="n"/>
      <c r="K103" s="33" t="n"/>
      <c r="L103" s="18" t="n"/>
      <c r="M103" s="18" t="n"/>
      <c r="N103" s="28" t="n"/>
    </row>
    <row r="104">
      <c r="A104" s="28" t="n"/>
      <c r="B104" s="28" t="n"/>
      <c r="C104" s="28" t="n"/>
      <c r="D104" s="16" t="n"/>
      <c r="E104" s="16" t="n"/>
      <c r="F104" s="16" t="n"/>
      <c r="G104" s="18" t="n"/>
      <c r="H104" s="18" t="n"/>
      <c r="I104" s="18" t="n"/>
      <c r="J104" s="18" t="n"/>
      <c r="K104" s="33" t="n"/>
      <c r="L104" s="18" t="n"/>
      <c r="M104" s="18" t="n"/>
      <c r="N104" s="28" t="n"/>
    </row>
    <row r="105">
      <c r="A105" s="28" t="n"/>
      <c r="B105" s="28" t="n"/>
      <c r="C105" s="28" t="n"/>
      <c r="D105" s="16" t="n"/>
      <c r="E105" s="16" t="n"/>
      <c r="F105" s="16" t="n"/>
      <c r="G105" s="18" t="n"/>
      <c r="H105" s="18" t="n"/>
      <c r="I105" s="18" t="n"/>
      <c r="J105" s="18" t="n"/>
      <c r="K105" s="33" t="n"/>
      <c r="L105" s="18" t="n"/>
      <c r="M105" s="18" t="n"/>
      <c r="N105" s="28" t="n"/>
    </row>
    <row r="106">
      <c r="A106" s="28" t="n"/>
      <c r="B106" s="28" t="n"/>
      <c r="C106" s="28" t="n"/>
      <c r="D106" s="16" t="n"/>
      <c r="E106" s="16" t="n"/>
      <c r="F106" s="16" t="n"/>
      <c r="G106" s="18" t="n"/>
      <c r="H106" s="18" t="n"/>
      <c r="I106" s="18" t="n"/>
      <c r="J106" s="18" t="n"/>
      <c r="K106" s="33" t="n"/>
      <c r="L106" s="18" t="n"/>
      <c r="M106" s="18" t="n"/>
      <c r="N106" s="28" t="n"/>
    </row>
    <row r="107">
      <c r="A107" s="28" t="n"/>
      <c r="B107" s="28" t="n"/>
      <c r="C107" s="28" t="n"/>
      <c r="D107" s="16" t="n"/>
      <c r="E107" s="16" t="n"/>
      <c r="F107" s="16" t="n"/>
      <c r="G107" s="18" t="n"/>
      <c r="H107" s="18" t="n"/>
      <c r="I107" s="18" t="n"/>
      <c r="J107" s="18" t="n"/>
      <c r="K107" s="33" t="n"/>
      <c r="L107" s="18" t="n"/>
      <c r="M107" s="18" t="n"/>
      <c r="N107" s="28" t="n"/>
    </row>
    <row r="108">
      <c r="A108" s="28" t="n"/>
      <c r="B108" s="28" t="n"/>
      <c r="C108" s="28" t="n"/>
      <c r="D108" s="16" t="n"/>
      <c r="E108" s="16" t="n"/>
      <c r="F108" s="16" t="n"/>
      <c r="G108" s="18" t="n"/>
      <c r="H108" s="18" t="n"/>
      <c r="I108" s="18" t="n"/>
      <c r="J108" s="18" t="n"/>
      <c r="K108" s="33" t="n"/>
      <c r="L108" s="18" t="n"/>
      <c r="M108" s="18" t="n"/>
      <c r="N108" s="28" t="n"/>
    </row>
    <row r="109">
      <c r="A109" s="28" t="n"/>
      <c r="B109" s="28" t="n"/>
      <c r="C109" s="28" t="n"/>
      <c r="D109" s="16" t="n"/>
      <c r="E109" s="16" t="n"/>
      <c r="F109" s="16" t="n"/>
      <c r="G109" s="18" t="n"/>
      <c r="H109" s="18" t="n"/>
      <c r="I109" s="18" t="n"/>
      <c r="J109" s="18" t="n"/>
      <c r="K109" s="33" t="n"/>
      <c r="L109" s="18" t="n"/>
      <c r="M109" s="18" t="n"/>
      <c r="N109" s="28" t="n"/>
    </row>
    <row r="110">
      <c r="A110" s="28" t="n"/>
      <c r="B110" s="28" t="n"/>
      <c r="C110" s="28" t="n"/>
      <c r="D110" s="16" t="n"/>
      <c r="E110" s="16" t="n"/>
      <c r="F110" s="16" t="n"/>
      <c r="G110" s="18" t="n"/>
      <c r="H110" s="18" t="n"/>
      <c r="I110" s="18" t="n"/>
      <c r="J110" s="18" t="n"/>
      <c r="K110" s="33" t="n"/>
      <c r="L110" s="18" t="n"/>
      <c r="M110" s="18" t="n"/>
      <c r="N110" s="28" t="n"/>
    </row>
    <row r="111">
      <c r="A111" s="28" t="n"/>
      <c r="B111" s="28" t="n"/>
      <c r="C111" s="28" t="n"/>
      <c r="D111" s="16" t="n"/>
      <c r="E111" s="16" t="n"/>
      <c r="F111" s="16" t="n"/>
      <c r="G111" s="18" t="n"/>
      <c r="H111" s="18" t="n"/>
      <c r="I111" s="18" t="n"/>
      <c r="J111" s="18" t="n"/>
      <c r="K111" s="33" t="n"/>
      <c r="L111" s="18" t="n"/>
      <c r="M111" s="18" t="n"/>
      <c r="N111" s="28" t="n"/>
    </row>
    <row r="112">
      <c r="A112" s="28" t="n"/>
      <c r="B112" s="28" t="n"/>
      <c r="C112" s="28" t="n"/>
      <c r="D112" s="16" t="n"/>
      <c r="E112" s="16" t="n"/>
      <c r="F112" s="16" t="n"/>
      <c r="G112" s="18" t="n"/>
      <c r="H112" s="18" t="n"/>
      <c r="I112" s="18" t="n"/>
      <c r="J112" s="18" t="n"/>
      <c r="K112" s="33" t="n"/>
      <c r="L112" s="18" t="n"/>
      <c r="M112" s="18" t="n"/>
      <c r="N112" s="28" t="n"/>
    </row>
    <row r="113">
      <c r="A113" s="28" t="n"/>
      <c r="B113" s="28" t="n"/>
      <c r="C113" s="28" t="n"/>
      <c r="D113" s="16" t="n"/>
      <c r="E113" s="16" t="n"/>
      <c r="F113" s="16" t="n"/>
      <c r="G113" s="18" t="n"/>
      <c r="H113" s="18" t="n"/>
      <c r="I113" s="18" t="n"/>
      <c r="J113" s="18" t="n"/>
      <c r="K113" s="33" t="n"/>
      <c r="L113" s="18" t="n"/>
      <c r="M113" s="18" t="n"/>
      <c r="N113" s="28" t="n"/>
    </row>
    <row r="114">
      <c r="A114" s="28" t="n"/>
      <c r="B114" s="28" t="n"/>
      <c r="C114" s="28" t="n"/>
      <c r="D114" s="16" t="n"/>
      <c r="E114" s="16" t="n"/>
      <c r="F114" s="16" t="n"/>
      <c r="G114" s="18" t="n"/>
      <c r="H114" s="18" t="n"/>
      <c r="I114" s="18" t="n"/>
      <c r="J114" s="18" t="n"/>
      <c r="K114" s="33" t="n"/>
      <c r="L114" s="18" t="n"/>
      <c r="M114" s="18" t="n"/>
      <c r="N114" s="28" t="n"/>
    </row>
    <row r="115">
      <c r="A115" s="28" t="n"/>
      <c r="B115" s="28" t="n"/>
      <c r="C115" s="28" t="n"/>
      <c r="D115" s="16" t="n"/>
      <c r="E115" s="16" t="n"/>
      <c r="F115" s="16" t="n"/>
      <c r="G115" s="18" t="n"/>
      <c r="H115" s="18" t="n"/>
      <c r="I115" s="18" t="n"/>
      <c r="J115" s="18" t="n"/>
      <c r="K115" s="33" t="n"/>
      <c r="L115" s="18" t="n"/>
      <c r="M115" s="18" t="n"/>
      <c r="N115" s="28" t="n"/>
    </row>
    <row r="116">
      <c r="A116" s="28" t="n"/>
      <c r="B116" s="28" t="n"/>
      <c r="C116" s="28" t="n"/>
      <c r="D116" s="16" t="n"/>
      <c r="E116" s="16" t="n"/>
      <c r="F116" s="16" t="n"/>
      <c r="G116" s="18" t="n"/>
      <c r="H116" s="18" t="n"/>
      <c r="I116" s="18" t="n"/>
      <c r="J116" s="18" t="n"/>
      <c r="K116" s="33" t="n"/>
      <c r="L116" s="18" t="n"/>
      <c r="M116" s="18" t="n"/>
      <c r="N116" s="28" t="n"/>
    </row>
    <row r="117">
      <c r="A117" s="28" t="n"/>
      <c r="B117" s="28" t="n"/>
      <c r="C117" s="28" t="n"/>
      <c r="D117" s="16" t="n"/>
      <c r="E117" s="16" t="n"/>
      <c r="F117" s="16" t="n"/>
      <c r="G117" s="18" t="n"/>
      <c r="H117" s="18" t="n"/>
      <c r="I117" s="18" t="n"/>
      <c r="J117" s="18" t="n"/>
      <c r="K117" s="33" t="n"/>
      <c r="L117" s="18" t="n"/>
      <c r="M117" s="18" t="n"/>
      <c r="N117" s="28" t="n"/>
    </row>
    <row r="118">
      <c r="A118" s="28" t="n"/>
      <c r="B118" s="28" t="n"/>
      <c r="C118" s="28" t="n"/>
      <c r="D118" s="16" t="n"/>
      <c r="E118" s="16" t="n"/>
      <c r="F118" s="16" t="n"/>
      <c r="G118" s="18" t="n"/>
      <c r="H118" s="18" t="n"/>
      <c r="I118" s="18" t="n"/>
      <c r="J118" s="18" t="n"/>
      <c r="K118" s="33" t="n"/>
      <c r="L118" s="18" t="n"/>
      <c r="M118" s="18" t="n"/>
      <c r="N118" s="28" t="n"/>
    </row>
    <row r="119">
      <c r="A119" s="28" t="n"/>
      <c r="B119" s="28" t="n"/>
      <c r="C119" s="28" t="n"/>
      <c r="D119" s="16" t="n"/>
      <c r="E119" s="16" t="n"/>
      <c r="F119" s="16" t="n"/>
      <c r="G119" s="18" t="n"/>
      <c r="H119" s="18" t="n"/>
      <c r="I119" s="18" t="n"/>
      <c r="J119" s="18" t="n"/>
      <c r="K119" s="33" t="n"/>
      <c r="L119" s="18" t="n"/>
      <c r="M119" s="18" t="n"/>
      <c r="N119" s="28" t="n"/>
    </row>
    <row r="120">
      <c r="A120" s="28" t="n"/>
      <c r="B120" s="28" t="n"/>
      <c r="C120" s="28" t="n"/>
      <c r="D120" s="16" t="n"/>
      <c r="E120" s="16" t="n"/>
      <c r="F120" s="16" t="n"/>
      <c r="G120" s="18" t="n"/>
      <c r="H120" s="18" t="n"/>
      <c r="I120" s="18" t="n"/>
      <c r="J120" s="18" t="n"/>
      <c r="K120" s="33" t="n"/>
      <c r="L120" s="18" t="n"/>
      <c r="M120" s="18" t="n"/>
      <c r="N120" s="28" t="n"/>
    </row>
    <row r="121">
      <c r="A121" s="28" t="n"/>
      <c r="B121" s="28" t="n"/>
      <c r="C121" s="28" t="n"/>
      <c r="D121" s="16" t="n"/>
      <c r="E121" s="16" t="n"/>
      <c r="F121" s="16" t="n"/>
      <c r="G121" s="18" t="n"/>
      <c r="H121" s="18" t="n"/>
      <c r="I121" s="18" t="n"/>
      <c r="J121" s="18" t="n"/>
      <c r="K121" s="33" t="n"/>
      <c r="L121" s="18" t="n"/>
      <c r="M121" s="18" t="n"/>
      <c r="N121" s="28" t="n"/>
    </row>
    <row r="122">
      <c r="A122" s="28" t="n"/>
      <c r="B122" s="28" t="n"/>
      <c r="C122" s="28" t="n"/>
      <c r="D122" s="16" t="n"/>
      <c r="E122" s="16" t="n"/>
      <c r="F122" s="16" t="n"/>
      <c r="G122" s="18" t="n"/>
      <c r="H122" s="18" t="n"/>
      <c r="I122" s="18" t="n"/>
      <c r="J122" s="18" t="n"/>
      <c r="K122" s="33" t="n"/>
      <c r="L122" s="18" t="n"/>
      <c r="M122" s="18" t="n"/>
      <c r="N122" s="28" t="n"/>
    </row>
    <row r="123">
      <c r="A123" s="28" t="n"/>
      <c r="B123" s="28" t="n"/>
      <c r="C123" s="28" t="n"/>
      <c r="D123" s="16" t="n"/>
      <c r="E123" s="16" t="n"/>
      <c r="F123" s="16" t="n"/>
      <c r="G123" s="18" t="n"/>
      <c r="H123" s="18" t="n"/>
      <c r="I123" s="18" t="n"/>
      <c r="J123" s="18" t="n"/>
      <c r="K123" s="33" t="n"/>
      <c r="L123" s="18" t="n"/>
      <c r="M123" s="18" t="n"/>
      <c r="N123" s="28" t="n"/>
    </row>
    <row r="124">
      <c r="A124" s="28" t="n"/>
      <c r="B124" s="28" t="n"/>
      <c r="C124" s="28" t="n"/>
      <c r="D124" s="16" t="n"/>
      <c r="E124" s="16" t="n"/>
      <c r="F124" s="16" t="n"/>
      <c r="G124" s="18" t="n"/>
      <c r="H124" s="18" t="n"/>
      <c r="I124" s="18" t="n"/>
      <c r="J124" s="18" t="n"/>
      <c r="K124" s="33" t="n"/>
      <c r="L124" s="18" t="n"/>
      <c r="M124" s="18" t="n"/>
      <c r="N124" s="28" t="n"/>
    </row>
    <row r="125">
      <c r="A125" s="28" t="n"/>
      <c r="B125" s="28" t="n"/>
      <c r="C125" s="28" t="n"/>
      <c r="D125" s="16" t="n"/>
      <c r="E125" s="16" t="n"/>
      <c r="F125" s="16" t="n"/>
      <c r="G125" s="18" t="n"/>
      <c r="H125" s="18" t="n"/>
      <c r="I125" s="18" t="n"/>
      <c r="J125" s="18" t="n"/>
      <c r="K125" s="33" t="n"/>
      <c r="L125" s="18" t="n"/>
      <c r="M125" s="18" t="n"/>
      <c r="N125" s="28" t="n"/>
    </row>
    <row r="126">
      <c r="A126" s="28" t="n"/>
      <c r="B126" s="28" t="n"/>
      <c r="C126" s="28" t="n"/>
      <c r="D126" s="16" t="n"/>
      <c r="E126" s="16" t="n"/>
      <c r="F126" s="16" t="n"/>
      <c r="G126" s="18" t="n"/>
      <c r="H126" s="18" t="n"/>
      <c r="I126" s="18" t="n"/>
      <c r="J126" s="18" t="n"/>
      <c r="K126" s="33" t="n"/>
      <c r="L126" s="18" t="n"/>
      <c r="M126" s="18" t="n"/>
      <c r="N126" s="28" t="n"/>
    </row>
    <row r="127">
      <c r="A127" s="28" t="n"/>
      <c r="B127" s="28" t="n"/>
      <c r="C127" s="28" t="n"/>
      <c r="D127" s="16" t="n"/>
      <c r="E127" s="16" t="n"/>
      <c r="F127" s="16" t="n"/>
      <c r="G127" s="18" t="n"/>
      <c r="H127" s="18" t="n"/>
      <c r="I127" s="18" t="n"/>
      <c r="J127" s="18" t="n"/>
      <c r="K127" s="33" t="n"/>
      <c r="L127" s="18" t="n"/>
      <c r="M127" s="18" t="n"/>
      <c r="N127" s="28" t="n"/>
    </row>
    <row r="128">
      <c r="A128" s="28" t="n"/>
      <c r="B128" s="28" t="n"/>
      <c r="C128" s="28" t="n"/>
      <c r="D128" s="16" t="n"/>
      <c r="E128" s="16" t="n"/>
      <c r="F128" s="16" t="n"/>
      <c r="G128" s="18" t="n"/>
      <c r="H128" s="18" t="n"/>
      <c r="I128" s="18" t="n"/>
      <c r="J128" s="18" t="n"/>
      <c r="K128" s="33" t="n"/>
      <c r="L128" s="18" t="n"/>
      <c r="M128" s="18" t="n"/>
      <c r="N128" s="28" t="n"/>
    </row>
    <row r="129">
      <c r="A129" s="28" t="n"/>
      <c r="B129" s="28" t="n"/>
      <c r="C129" s="28" t="n"/>
      <c r="D129" s="16" t="n"/>
      <c r="E129" s="16" t="n"/>
      <c r="F129" s="16" t="n"/>
      <c r="G129" s="18" t="n"/>
      <c r="H129" s="18" t="n"/>
      <c r="I129" s="18" t="n"/>
      <c r="J129" s="18" t="n"/>
      <c r="K129" s="33" t="n"/>
      <c r="L129" s="18" t="n"/>
      <c r="M129" s="18" t="n"/>
      <c r="N129" s="28" t="n"/>
    </row>
    <row r="130">
      <c r="A130" s="28" t="n"/>
      <c r="B130" s="28" t="n"/>
      <c r="C130" s="28" t="n"/>
      <c r="D130" s="16" t="n"/>
      <c r="E130" s="16" t="n"/>
      <c r="F130" s="16" t="n"/>
      <c r="G130" s="18" t="n"/>
      <c r="H130" s="18" t="n"/>
      <c r="I130" s="18" t="n"/>
      <c r="J130" s="18" t="n"/>
      <c r="K130" s="33" t="n"/>
      <c r="L130" s="18" t="n"/>
      <c r="M130" s="18" t="n"/>
      <c r="N130" s="28" t="n"/>
    </row>
    <row r="131">
      <c r="A131" s="28" t="n"/>
      <c r="B131" s="28" t="n"/>
      <c r="C131" s="28" t="n"/>
      <c r="D131" s="16" t="n"/>
      <c r="E131" s="16" t="n"/>
      <c r="F131" s="16" t="n"/>
      <c r="G131" s="18" t="n"/>
      <c r="H131" s="18" t="n"/>
      <c r="I131" s="18" t="n"/>
      <c r="J131" s="18" t="n"/>
      <c r="K131" s="33" t="n"/>
      <c r="L131" s="18" t="n"/>
      <c r="M131" s="18" t="n"/>
      <c r="N131" s="28" t="n"/>
    </row>
    <row r="132">
      <c r="A132" s="28" t="n"/>
      <c r="B132" s="28" t="n"/>
      <c r="C132" s="28" t="n"/>
      <c r="D132" s="16" t="n"/>
      <c r="E132" s="16" t="n"/>
      <c r="F132" s="16" t="n"/>
      <c r="G132" s="18" t="n"/>
      <c r="H132" s="18" t="n"/>
      <c r="I132" s="18" t="n"/>
      <c r="J132" s="18" t="n"/>
      <c r="K132" s="33" t="n"/>
      <c r="L132" s="18" t="n"/>
      <c r="M132" s="18" t="n"/>
      <c r="N132" s="28" t="n"/>
    </row>
    <row r="133">
      <c r="A133" s="28" t="n"/>
      <c r="B133" s="28" t="n"/>
      <c r="C133" s="28" t="n"/>
      <c r="D133" s="16" t="n"/>
      <c r="E133" s="16" t="n"/>
      <c r="F133" s="16" t="n"/>
      <c r="G133" s="18" t="n"/>
      <c r="H133" s="18" t="n"/>
      <c r="I133" s="18" t="n"/>
      <c r="J133" s="18" t="n"/>
      <c r="K133" s="33" t="n"/>
      <c r="L133" s="18" t="n"/>
      <c r="M133" s="18" t="n"/>
      <c r="N133" s="28" t="n"/>
    </row>
    <row r="134">
      <c r="A134" s="28" t="n"/>
      <c r="B134" s="28" t="n"/>
      <c r="C134" s="28" t="n"/>
      <c r="D134" s="16" t="n"/>
      <c r="E134" s="16" t="n"/>
      <c r="F134" s="16" t="n"/>
      <c r="G134" s="18" t="n"/>
      <c r="H134" s="18" t="n"/>
      <c r="I134" s="18" t="n"/>
      <c r="J134" s="18" t="n"/>
      <c r="K134" s="33" t="n"/>
      <c r="L134" s="18" t="n"/>
      <c r="M134" s="18" t="n"/>
      <c r="N134" s="28" t="n"/>
    </row>
    <row r="135">
      <c r="A135" s="28" t="n"/>
      <c r="B135" s="28" t="n"/>
      <c r="C135" s="28" t="n"/>
      <c r="D135" s="16" t="n"/>
      <c r="E135" s="16" t="n"/>
      <c r="F135" s="16" t="n"/>
      <c r="G135" s="18" t="n"/>
      <c r="H135" s="18" t="n"/>
      <c r="I135" s="18" t="n"/>
      <c r="J135" s="18" t="n"/>
      <c r="K135" s="33" t="n"/>
      <c r="L135" s="18" t="n"/>
      <c r="M135" s="18" t="n"/>
      <c r="N135" s="28" t="n"/>
    </row>
    <row r="136">
      <c r="A136" s="28" t="n"/>
      <c r="B136" s="28" t="n"/>
      <c r="C136" s="28" t="n"/>
      <c r="D136" s="16" t="n"/>
      <c r="E136" s="16" t="n"/>
      <c r="F136" s="16" t="n"/>
      <c r="G136" s="18" t="n"/>
      <c r="H136" s="18" t="n"/>
      <c r="I136" s="18" t="n"/>
      <c r="J136" s="18" t="n"/>
      <c r="K136" s="33" t="n"/>
      <c r="L136" s="18" t="n"/>
      <c r="M136" s="18" t="n"/>
      <c r="N136" s="28" t="n"/>
    </row>
    <row r="137">
      <c r="A137" s="28" t="n"/>
      <c r="B137" s="28" t="n"/>
      <c r="C137" s="28" t="n"/>
      <c r="D137" s="16" t="n"/>
      <c r="E137" s="16" t="n"/>
      <c r="F137" s="16" t="n"/>
      <c r="G137" s="18" t="n"/>
      <c r="H137" s="18" t="n"/>
      <c r="I137" s="18" t="n"/>
      <c r="J137" s="18" t="n"/>
      <c r="K137" s="33" t="n"/>
      <c r="L137" s="18" t="n"/>
      <c r="M137" s="18" t="n"/>
      <c r="N137" s="28" t="n"/>
    </row>
    <row r="138">
      <c r="A138" s="28" t="n"/>
      <c r="B138" s="28" t="n"/>
      <c r="C138" s="28" t="n"/>
      <c r="D138" s="16" t="n"/>
      <c r="E138" s="16" t="n"/>
      <c r="F138" s="16" t="n"/>
      <c r="G138" s="18" t="n"/>
      <c r="H138" s="18" t="n"/>
      <c r="I138" s="18" t="n"/>
      <c r="J138" s="18" t="n"/>
      <c r="K138" s="33" t="n"/>
      <c r="L138" s="18" t="n"/>
      <c r="M138" s="18" t="n"/>
      <c r="N138" s="28" t="n"/>
    </row>
    <row r="139">
      <c r="A139" s="28" t="n"/>
      <c r="B139" s="28" t="n"/>
      <c r="C139" s="28" t="n"/>
      <c r="D139" s="16" t="n"/>
      <c r="E139" s="16" t="n"/>
      <c r="F139" s="16" t="n"/>
      <c r="G139" s="18" t="n"/>
      <c r="H139" s="18" t="n"/>
      <c r="I139" s="18" t="n"/>
      <c r="J139" s="18" t="n"/>
      <c r="K139" s="33" t="n"/>
      <c r="L139" s="18" t="n"/>
      <c r="M139" s="18" t="n"/>
      <c r="N139" s="28" t="n"/>
    </row>
    <row r="140">
      <c r="A140" s="28" t="n"/>
      <c r="B140" s="28" t="n"/>
      <c r="C140" s="28" t="n"/>
      <c r="D140" s="16" t="n"/>
      <c r="E140" s="16" t="n"/>
      <c r="F140" s="16" t="n"/>
      <c r="G140" s="18" t="n"/>
      <c r="H140" s="18" t="n"/>
      <c r="I140" s="18" t="n"/>
      <c r="J140" s="18" t="n"/>
      <c r="K140" s="33" t="n"/>
      <c r="L140" s="18" t="n"/>
      <c r="M140" s="18" t="n"/>
      <c r="N140" s="28" t="n"/>
    </row>
    <row r="141">
      <c r="A141" s="28" t="n"/>
      <c r="B141" s="28" t="n"/>
      <c r="C141" s="28" t="n"/>
      <c r="D141" s="16" t="n"/>
      <c r="E141" s="16" t="n"/>
      <c r="F141" s="16" t="n"/>
      <c r="G141" s="18" t="n"/>
      <c r="H141" s="18" t="n"/>
      <c r="I141" s="18" t="n"/>
      <c r="J141" s="18" t="n"/>
      <c r="K141" s="33" t="n"/>
      <c r="L141" s="18" t="n"/>
      <c r="M141" s="18" t="n"/>
      <c r="N141" s="28" t="n"/>
    </row>
    <row r="142">
      <c r="A142" s="28" t="n"/>
      <c r="B142" s="28" t="n"/>
      <c r="C142" s="28" t="n"/>
      <c r="D142" s="16" t="n"/>
      <c r="E142" s="16" t="n"/>
      <c r="F142" s="16" t="n"/>
      <c r="G142" s="18" t="n"/>
      <c r="H142" s="18" t="n"/>
      <c r="I142" s="18" t="n"/>
      <c r="J142" s="18" t="n"/>
      <c r="K142" s="33" t="n"/>
      <c r="L142" s="18" t="n"/>
      <c r="M142" s="18" t="n"/>
      <c r="N142" s="28" t="n"/>
    </row>
    <row r="143">
      <c r="A143" s="28" t="n"/>
      <c r="B143" s="28" t="n"/>
      <c r="C143" s="28" t="n"/>
      <c r="D143" s="16" t="n"/>
      <c r="E143" s="16" t="n"/>
      <c r="F143" s="16" t="n"/>
      <c r="G143" s="18" t="n"/>
      <c r="H143" s="18" t="n"/>
      <c r="I143" s="18" t="n"/>
      <c r="J143" s="18" t="n"/>
      <c r="K143" s="33" t="n"/>
      <c r="L143" s="18" t="n"/>
      <c r="M143" s="18" t="n"/>
      <c r="N143" s="28" t="n"/>
    </row>
    <row r="144">
      <c r="A144" s="28" t="n"/>
      <c r="B144" s="28" t="n"/>
      <c r="C144" s="28" t="n"/>
      <c r="D144" s="16" t="n"/>
      <c r="E144" s="16" t="n"/>
      <c r="F144" s="16" t="n"/>
      <c r="G144" s="18" t="n"/>
      <c r="H144" s="18" t="n"/>
      <c r="I144" s="18" t="n"/>
      <c r="J144" s="18" t="n"/>
      <c r="K144" s="33" t="n"/>
      <c r="L144" s="18" t="n"/>
      <c r="M144" s="18" t="n"/>
      <c r="N144" s="28" t="n"/>
    </row>
    <row r="145">
      <c r="A145" s="28" t="n"/>
      <c r="B145" s="28" t="n"/>
      <c r="C145" s="28" t="n"/>
      <c r="D145" s="16" t="n"/>
      <c r="E145" s="16" t="n"/>
      <c r="F145" s="16" t="n"/>
      <c r="G145" s="18" t="n"/>
      <c r="H145" s="18" t="n"/>
      <c r="I145" s="18" t="n"/>
      <c r="J145" s="18" t="n"/>
      <c r="K145" s="33" t="n"/>
      <c r="L145" s="18" t="n"/>
      <c r="M145" s="18" t="n"/>
      <c r="N145" s="28" t="n"/>
    </row>
    <row r="146">
      <c r="A146" s="28" t="n"/>
      <c r="B146" s="28" t="n"/>
      <c r="C146" s="28" t="n"/>
      <c r="D146" s="16" t="n"/>
      <c r="E146" s="16" t="n"/>
      <c r="F146" s="16" t="n"/>
      <c r="G146" s="18" t="n"/>
      <c r="H146" s="18" t="n"/>
      <c r="I146" s="18" t="n"/>
      <c r="J146" s="18" t="n"/>
      <c r="K146" s="33" t="n"/>
      <c r="L146" s="18" t="n"/>
      <c r="M146" s="18" t="n"/>
      <c r="N146" s="28" t="n"/>
    </row>
    <row r="147">
      <c r="A147" s="28" t="n"/>
      <c r="B147" s="28" t="n"/>
      <c r="C147" s="28" t="n"/>
      <c r="D147" s="16" t="n"/>
      <c r="E147" s="16" t="n"/>
      <c r="F147" s="16" t="n"/>
      <c r="G147" s="18" t="n"/>
      <c r="H147" s="18" t="n"/>
      <c r="I147" s="18" t="n"/>
      <c r="J147" s="18" t="n"/>
      <c r="K147" s="33" t="n"/>
      <c r="L147" s="18" t="n"/>
      <c r="M147" s="18" t="n"/>
      <c r="N147" s="28" t="n"/>
    </row>
    <row r="148">
      <c r="A148" s="28" t="n"/>
      <c r="B148" s="28" t="n"/>
      <c r="C148" s="28" t="n"/>
      <c r="D148" s="16" t="n"/>
      <c r="E148" s="16" t="n"/>
      <c r="F148" s="16" t="n"/>
      <c r="G148" s="18" t="n"/>
      <c r="H148" s="18" t="n"/>
      <c r="I148" s="18" t="n"/>
      <c r="J148" s="18" t="n"/>
      <c r="K148" s="33" t="n"/>
      <c r="L148" s="18" t="n"/>
      <c r="M148" s="18" t="n"/>
      <c r="N148" s="28" t="n"/>
    </row>
    <row r="149">
      <c r="A149" s="28" t="n"/>
      <c r="B149" s="28" t="n"/>
      <c r="C149" s="28" t="n"/>
      <c r="D149" s="16" t="n"/>
      <c r="E149" s="16" t="n"/>
      <c r="F149" s="16" t="n"/>
      <c r="G149" s="18" t="n"/>
      <c r="H149" s="18" t="n"/>
      <c r="I149" s="18" t="n"/>
      <c r="J149" s="18" t="n"/>
      <c r="K149" s="33" t="n"/>
      <c r="L149" s="18" t="n"/>
      <c r="M149" s="18" t="n"/>
      <c r="N149" s="28" t="n"/>
    </row>
    <row r="150">
      <c r="A150" s="28" t="n"/>
      <c r="B150" s="28" t="n"/>
      <c r="C150" s="28" t="n"/>
      <c r="D150" s="16" t="n"/>
      <c r="E150" s="16" t="n"/>
      <c r="F150" s="16" t="n"/>
      <c r="G150" s="18" t="n"/>
      <c r="H150" s="18" t="n"/>
      <c r="I150" s="18" t="n"/>
      <c r="J150" s="18" t="n"/>
      <c r="K150" s="33" t="n"/>
      <c r="L150" s="18" t="n"/>
      <c r="M150" s="18" t="n"/>
      <c r="N150" s="28" t="n"/>
    </row>
    <row r="151">
      <c r="A151" s="28" t="n"/>
      <c r="B151" s="28" t="n"/>
      <c r="C151" s="28" t="n"/>
      <c r="D151" s="16" t="n"/>
      <c r="E151" s="16" t="n"/>
      <c r="F151" s="16" t="n"/>
      <c r="G151" s="18" t="n"/>
      <c r="H151" s="18" t="n"/>
      <c r="I151" s="18" t="n"/>
      <c r="J151" s="18" t="n"/>
      <c r="K151" s="33" t="n"/>
      <c r="L151" s="18" t="n"/>
      <c r="M151" s="18" t="n"/>
      <c r="N151" s="28" t="n"/>
    </row>
    <row r="152">
      <c r="A152" s="28" t="n"/>
      <c r="B152" s="28" t="n"/>
      <c r="C152" s="28" t="n"/>
      <c r="D152" s="16" t="n"/>
      <c r="E152" s="16" t="n"/>
      <c r="F152" s="16" t="n"/>
      <c r="G152" s="18" t="n"/>
      <c r="H152" s="18" t="n"/>
      <c r="I152" s="18" t="n"/>
      <c r="J152" s="18" t="n"/>
      <c r="K152" s="33" t="n"/>
      <c r="L152" s="18" t="n"/>
      <c r="M152" s="18" t="n"/>
      <c r="N152" s="28" t="n"/>
    </row>
    <row r="153">
      <c r="A153" s="28" t="n"/>
      <c r="B153" s="28" t="n"/>
      <c r="C153" s="28" t="n"/>
      <c r="D153" s="16" t="n"/>
      <c r="E153" s="16" t="n"/>
      <c r="F153" s="16" t="n"/>
      <c r="G153" s="18" t="n"/>
      <c r="H153" s="18" t="n"/>
      <c r="I153" s="18" t="n"/>
      <c r="J153" s="18" t="n"/>
      <c r="K153" s="33" t="n"/>
      <c r="L153" s="18" t="n"/>
      <c r="M153" s="18" t="n"/>
      <c r="N153" s="28" t="n"/>
    </row>
    <row r="154">
      <c r="A154" s="28" t="n"/>
      <c r="B154" s="28" t="n"/>
      <c r="C154" s="28" t="n"/>
      <c r="D154" s="16" t="n"/>
      <c r="E154" s="16" t="n"/>
      <c r="F154" s="16" t="n"/>
      <c r="G154" s="18" t="n"/>
      <c r="H154" s="18" t="n"/>
      <c r="I154" s="18" t="n"/>
      <c r="J154" s="18" t="n"/>
      <c r="K154" s="33" t="n"/>
      <c r="L154" s="18" t="n"/>
      <c r="M154" s="18" t="n"/>
      <c r="N154" s="28" t="n"/>
    </row>
    <row r="155">
      <c r="A155" s="28" t="n"/>
      <c r="B155" s="28" t="n"/>
      <c r="C155" s="28" t="n"/>
      <c r="D155" s="16" t="n"/>
      <c r="E155" s="16" t="n"/>
      <c r="F155" s="16" t="n"/>
      <c r="G155" s="18" t="n"/>
      <c r="H155" s="18" t="n"/>
      <c r="I155" s="18" t="n"/>
      <c r="J155" s="18" t="n"/>
      <c r="K155" s="33" t="n"/>
      <c r="L155" s="18" t="n"/>
      <c r="M155" s="18" t="n"/>
      <c r="N155" s="28" t="n"/>
    </row>
    <row r="156">
      <c r="A156" s="28" t="n"/>
      <c r="B156" s="28" t="n"/>
      <c r="C156" s="28" t="n"/>
      <c r="D156" s="16" t="n"/>
      <c r="E156" s="16" t="n"/>
      <c r="F156" s="16" t="n"/>
      <c r="G156" s="18" t="n"/>
      <c r="H156" s="18" t="n"/>
      <c r="I156" s="18" t="n"/>
      <c r="J156" s="18" t="n"/>
      <c r="K156" s="33" t="n"/>
      <c r="L156" s="18" t="n"/>
      <c r="M156" s="18" t="n"/>
      <c r="N156" s="28" t="n"/>
    </row>
    <row r="157">
      <c r="A157" s="28" t="n"/>
      <c r="B157" s="28" t="n"/>
      <c r="C157" s="28" t="n"/>
      <c r="D157" s="16" t="n"/>
      <c r="E157" s="16" t="n"/>
      <c r="F157" s="16" t="n"/>
      <c r="G157" s="18" t="n"/>
      <c r="H157" s="18" t="n"/>
      <c r="I157" s="18" t="n"/>
      <c r="J157" s="18" t="n"/>
      <c r="K157" s="33" t="n"/>
      <c r="L157" s="18" t="n"/>
      <c r="M157" s="18" t="n"/>
      <c r="N157" s="28" t="n"/>
    </row>
    <row r="158">
      <c r="A158" s="28" t="n"/>
      <c r="B158" s="28" t="n"/>
      <c r="C158" s="28" t="n"/>
      <c r="D158" s="16" t="n"/>
      <c r="E158" s="16" t="n"/>
      <c r="F158" s="16" t="n"/>
      <c r="G158" s="18" t="n"/>
      <c r="H158" s="18" t="n"/>
      <c r="I158" s="18" t="n"/>
      <c r="J158" s="18" t="n"/>
      <c r="K158" s="33" t="n"/>
      <c r="L158" s="18" t="n"/>
      <c r="M158" s="18" t="n"/>
      <c r="N158" s="28" t="n"/>
    </row>
    <row r="159">
      <c r="A159" s="28" t="n"/>
      <c r="B159" s="28" t="n"/>
      <c r="C159" s="28" t="n"/>
      <c r="D159" s="16" t="n"/>
      <c r="E159" s="16" t="n"/>
      <c r="F159" s="16" t="n"/>
      <c r="G159" s="18" t="n"/>
      <c r="H159" s="18" t="n"/>
      <c r="I159" s="18" t="n"/>
      <c r="J159" s="18" t="n"/>
      <c r="K159" s="33" t="n"/>
      <c r="L159" s="18" t="n"/>
      <c r="M159" s="18" t="n"/>
      <c r="N159" s="28" t="n"/>
    </row>
    <row r="160">
      <c r="A160" s="28" t="n"/>
      <c r="B160" s="28" t="n"/>
      <c r="C160" s="28" t="n"/>
      <c r="D160" s="16" t="n"/>
      <c r="E160" s="16" t="n"/>
      <c r="F160" s="16" t="n"/>
      <c r="G160" s="18" t="n"/>
      <c r="H160" s="18" t="n"/>
      <c r="I160" s="18" t="n"/>
      <c r="J160" s="18" t="n"/>
      <c r="K160" s="33" t="n"/>
      <c r="L160" s="18" t="n"/>
      <c r="M160" s="18" t="n"/>
      <c r="N160" s="28" t="n"/>
    </row>
    <row r="161">
      <c r="A161" s="28" t="n"/>
      <c r="B161" s="28" t="n"/>
      <c r="C161" s="28" t="n"/>
      <c r="D161" s="16" t="n"/>
      <c r="E161" s="16" t="n"/>
      <c r="F161" s="16" t="n"/>
      <c r="G161" s="18" t="n"/>
      <c r="H161" s="18" t="n"/>
      <c r="I161" s="18" t="n"/>
      <c r="J161" s="18" t="n"/>
      <c r="K161" s="33" t="n"/>
      <c r="L161" s="18" t="n"/>
      <c r="M161" s="18" t="n"/>
      <c r="N161" s="28" t="n"/>
    </row>
    <row r="162">
      <c r="A162" s="28" t="n"/>
      <c r="B162" s="28" t="n"/>
      <c r="C162" s="28" t="n"/>
      <c r="D162" s="16" t="n"/>
      <c r="E162" s="16" t="n"/>
      <c r="F162" s="16" t="n"/>
      <c r="G162" s="18" t="n"/>
      <c r="H162" s="18" t="n"/>
      <c r="I162" s="18" t="n"/>
      <c r="J162" s="18" t="n"/>
      <c r="K162" s="33" t="n"/>
      <c r="L162" s="18" t="n"/>
      <c r="M162" s="18" t="n"/>
      <c r="N162" s="28" t="n"/>
    </row>
    <row r="163">
      <c r="A163" s="28" t="n"/>
      <c r="B163" s="28" t="n"/>
      <c r="C163" s="28" t="n"/>
      <c r="D163" s="16" t="n"/>
      <c r="E163" s="16" t="n"/>
      <c r="F163" s="16" t="n"/>
      <c r="G163" s="18" t="n"/>
      <c r="H163" s="18" t="n"/>
      <c r="I163" s="18" t="n"/>
      <c r="J163" s="18" t="n"/>
      <c r="K163" s="33" t="n"/>
      <c r="L163" s="18" t="n"/>
      <c r="M163" s="18" t="n"/>
      <c r="N163" s="28" t="n"/>
    </row>
    <row r="164">
      <c r="A164" s="28" t="n"/>
      <c r="B164" s="28" t="n"/>
      <c r="C164" s="28" t="n"/>
      <c r="D164" s="16" t="n"/>
      <c r="E164" s="16" t="n"/>
      <c r="F164" s="16" t="n"/>
      <c r="G164" s="18" t="n"/>
      <c r="H164" s="18" t="n"/>
      <c r="I164" s="18" t="n"/>
      <c r="J164" s="18" t="n"/>
      <c r="K164" s="33" t="n"/>
      <c r="L164" s="18" t="n"/>
      <c r="M164" s="18" t="n"/>
      <c r="N164" s="28" t="n"/>
    </row>
    <row r="165">
      <c r="A165" s="28" t="n"/>
      <c r="B165" s="28" t="n"/>
      <c r="C165" s="28" t="n"/>
      <c r="D165" s="16" t="n"/>
      <c r="E165" s="16" t="n"/>
      <c r="F165" s="16" t="n"/>
      <c r="G165" s="18" t="n"/>
      <c r="H165" s="18" t="n"/>
      <c r="I165" s="18" t="n"/>
      <c r="J165" s="18" t="n"/>
      <c r="K165" s="33" t="n"/>
      <c r="L165" s="18" t="n"/>
      <c r="M165" s="18" t="n"/>
      <c r="N165" s="28" t="n"/>
    </row>
    <row r="166">
      <c r="A166" s="28" t="n"/>
      <c r="B166" s="28" t="n"/>
      <c r="C166" s="28" t="n"/>
      <c r="D166" s="16" t="n"/>
      <c r="E166" s="16" t="n"/>
      <c r="F166" s="16" t="n"/>
      <c r="G166" s="18" t="n"/>
      <c r="H166" s="18" t="n"/>
      <c r="I166" s="18" t="n"/>
      <c r="J166" s="18" t="n"/>
      <c r="K166" s="33" t="n"/>
      <c r="L166" s="18" t="n"/>
      <c r="M166" s="18" t="n"/>
      <c r="N166" s="28" t="n"/>
    </row>
    <row r="167">
      <c r="A167" s="28" t="n"/>
      <c r="B167" s="28" t="n"/>
      <c r="C167" s="28" t="n"/>
      <c r="D167" s="16" t="n"/>
      <c r="E167" s="16" t="n"/>
      <c r="F167" s="16" t="n"/>
      <c r="G167" s="18" t="n"/>
      <c r="H167" s="18" t="n"/>
      <c r="I167" s="18" t="n"/>
      <c r="J167" s="18" t="n"/>
      <c r="K167" s="33" t="n"/>
      <c r="L167" s="18" t="n"/>
      <c r="M167" s="18" t="n"/>
      <c r="N167" s="28" t="n"/>
    </row>
    <row r="168">
      <c r="A168" s="28" t="n"/>
      <c r="B168" s="28" t="n"/>
      <c r="C168" s="28" t="n"/>
      <c r="D168" s="16" t="n"/>
      <c r="E168" s="16" t="n"/>
      <c r="F168" s="16" t="n"/>
      <c r="G168" s="18" t="n"/>
      <c r="H168" s="18" t="n"/>
      <c r="I168" s="18" t="n"/>
      <c r="J168" s="18" t="n"/>
      <c r="K168" s="33" t="n"/>
      <c r="L168" s="18" t="n"/>
      <c r="M168" s="18" t="n"/>
      <c r="N168" s="28" t="n"/>
    </row>
    <row r="169">
      <c r="A169" s="28" t="n"/>
      <c r="B169" s="28" t="n"/>
      <c r="C169" s="28" t="n"/>
      <c r="D169" s="16" t="n"/>
      <c r="E169" s="16" t="n"/>
      <c r="F169" s="16" t="n"/>
      <c r="G169" s="18" t="n"/>
      <c r="H169" s="18" t="n"/>
      <c r="I169" s="18" t="n"/>
      <c r="J169" s="18" t="n"/>
      <c r="K169" s="33" t="n"/>
      <c r="L169" s="18" t="n"/>
      <c r="M169" s="18" t="n"/>
      <c r="N169" s="28" t="n"/>
    </row>
    <row r="170">
      <c r="A170" s="28" t="n"/>
      <c r="B170" s="28" t="n"/>
      <c r="C170" s="28" t="n"/>
      <c r="D170" s="16" t="n"/>
      <c r="E170" s="16" t="n"/>
      <c r="F170" s="16" t="n"/>
      <c r="G170" s="18" t="n"/>
      <c r="H170" s="18" t="n"/>
      <c r="I170" s="18" t="n"/>
      <c r="J170" s="18" t="n"/>
      <c r="K170" s="33" t="n"/>
      <c r="L170" s="18" t="n"/>
      <c r="M170" s="18" t="n"/>
      <c r="N170" s="28" t="n"/>
    </row>
    <row r="171">
      <c r="A171" s="28" t="n"/>
      <c r="B171" s="28" t="n"/>
      <c r="C171" s="28" t="n"/>
      <c r="D171" s="16" t="n"/>
      <c r="E171" s="16" t="n"/>
      <c r="F171" s="16" t="n"/>
      <c r="G171" s="18" t="n"/>
      <c r="H171" s="18" t="n"/>
      <c r="I171" s="18" t="n"/>
      <c r="J171" s="18" t="n"/>
      <c r="K171" s="33" t="n"/>
      <c r="L171" s="18" t="n"/>
      <c r="M171" s="18" t="n"/>
      <c r="N171" s="28" t="n"/>
    </row>
    <row r="172">
      <c r="A172" s="28" t="n"/>
      <c r="B172" s="28" t="n"/>
      <c r="C172" s="28" t="n"/>
      <c r="D172" s="16" t="n"/>
      <c r="E172" s="16" t="n"/>
      <c r="F172" s="16" t="n"/>
      <c r="G172" s="18" t="n"/>
      <c r="H172" s="18" t="n"/>
      <c r="I172" s="18" t="n"/>
      <c r="J172" s="18" t="n"/>
      <c r="K172" s="33" t="n"/>
      <c r="L172" s="18" t="n"/>
      <c r="M172" s="18" t="n"/>
      <c r="N172" s="28" t="n"/>
    </row>
    <row r="173">
      <c r="A173" s="28" t="n"/>
      <c r="B173" s="28" t="n"/>
      <c r="C173" s="28" t="n"/>
      <c r="D173" s="16" t="n"/>
      <c r="E173" s="16" t="n"/>
      <c r="F173" s="16" t="n"/>
      <c r="G173" s="18" t="n"/>
      <c r="H173" s="18" t="n"/>
      <c r="I173" s="18" t="n"/>
      <c r="J173" s="18" t="n"/>
      <c r="K173" s="33" t="n"/>
      <c r="L173" s="18" t="n"/>
      <c r="M173" s="18" t="n"/>
      <c r="N173" s="28" t="n"/>
    </row>
    <row r="174">
      <c r="A174" s="28" t="n"/>
      <c r="B174" s="28" t="n"/>
      <c r="C174" s="28" t="n"/>
      <c r="D174" s="16" t="n"/>
      <c r="E174" s="16" t="n"/>
      <c r="F174" s="16" t="n"/>
      <c r="G174" s="18" t="n"/>
      <c r="H174" s="18" t="n"/>
      <c r="I174" s="18" t="n"/>
      <c r="J174" s="18" t="n"/>
      <c r="K174" s="33" t="n"/>
      <c r="L174" s="18" t="n"/>
      <c r="M174" s="18" t="n"/>
      <c r="N174" s="28" t="n"/>
    </row>
    <row r="175">
      <c r="A175" s="28" t="n"/>
      <c r="B175" s="28" t="n"/>
      <c r="C175" s="28" t="n"/>
      <c r="D175" s="16" t="n"/>
      <c r="E175" s="16" t="n"/>
      <c r="F175" s="16" t="n"/>
      <c r="G175" s="18" t="n"/>
      <c r="H175" s="18" t="n"/>
      <c r="I175" s="18" t="n"/>
      <c r="J175" s="18" t="n"/>
      <c r="K175" s="33" t="n"/>
      <c r="L175" s="18" t="n"/>
      <c r="M175" s="18" t="n"/>
      <c r="N175" s="28" t="n"/>
    </row>
    <row r="176">
      <c r="A176" s="28" t="n"/>
      <c r="B176" s="28" t="n"/>
      <c r="C176" s="28" t="n"/>
      <c r="D176" s="16" t="n"/>
      <c r="E176" s="16" t="n"/>
      <c r="F176" s="16" t="n"/>
      <c r="G176" s="18" t="n"/>
      <c r="H176" s="18" t="n"/>
      <c r="I176" s="18" t="n"/>
      <c r="J176" s="18" t="n"/>
      <c r="K176" s="33" t="n"/>
      <c r="L176" s="18" t="n"/>
      <c r="M176" s="18" t="n"/>
      <c r="N176" s="28" t="n"/>
    </row>
    <row r="177">
      <c r="A177" s="28" t="n"/>
      <c r="B177" s="28" t="n"/>
      <c r="C177" s="28" t="n"/>
      <c r="D177" s="16" t="n"/>
      <c r="E177" s="16" t="n"/>
      <c r="F177" s="16" t="n"/>
      <c r="G177" s="18" t="n"/>
      <c r="H177" s="18" t="n"/>
      <c r="I177" s="18" t="n"/>
      <c r="J177" s="18" t="n"/>
      <c r="K177" s="33" t="n"/>
      <c r="L177" s="18" t="n"/>
      <c r="M177" s="18" t="n"/>
      <c r="N177" s="28" t="n"/>
    </row>
    <row r="178">
      <c r="A178" s="28" t="n"/>
      <c r="B178" s="28" t="n"/>
      <c r="C178" s="28" t="n"/>
      <c r="D178" s="16" t="n"/>
      <c r="E178" s="16" t="n"/>
      <c r="F178" s="16" t="n"/>
      <c r="G178" s="18" t="n"/>
      <c r="H178" s="18" t="n"/>
      <c r="I178" s="18" t="n"/>
      <c r="J178" s="18" t="n"/>
      <c r="K178" s="33" t="n"/>
      <c r="L178" s="18" t="n"/>
      <c r="M178" s="18" t="n"/>
      <c r="N178" s="28" t="n"/>
    </row>
    <row r="179">
      <c r="A179" s="28" t="n"/>
      <c r="B179" s="28" t="n"/>
      <c r="C179" s="28" t="n"/>
      <c r="D179" s="16" t="n"/>
      <c r="E179" s="16" t="n"/>
      <c r="F179" s="16" t="n"/>
      <c r="G179" s="18" t="n"/>
      <c r="H179" s="18" t="n"/>
      <c r="I179" s="18" t="n"/>
      <c r="J179" s="18" t="n"/>
      <c r="K179" s="33" t="n"/>
      <c r="L179" s="18" t="n"/>
      <c r="M179" s="18" t="n"/>
      <c r="N179" s="28" t="n"/>
    </row>
    <row r="180">
      <c r="A180" s="28" t="n"/>
      <c r="B180" s="28" t="n"/>
      <c r="C180" s="28" t="n"/>
      <c r="D180" s="16" t="n"/>
      <c r="E180" s="16" t="n"/>
      <c r="F180" s="16" t="n"/>
      <c r="G180" s="18" t="n"/>
      <c r="H180" s="18" t="n"/>
      <c r="I180" s="18" t="n"/>
      <c r="J180" s="18" t="n"/>
      <c r="K180" s="33" t="n"/>
      <c r="L180" s="18" t="n"/>
      <c r="M180" s="18" t="n"/>
      <c r="N180" s="28" t="n"/>
    </row>
    <row r="181">
      <c r="A181" s="28" t="n"/>
      <c r="B181" s="28" t="n"/>
      <c r="C181" s="28" t="n"/>
      <c r="D181" s="16" t="n"/>
      <c r="E181" s="16" t="n"/>
      <c r="F181" s="16" t="n"/>
      <c r="G181" s="18" t="n"/>
      <c r="H181" s="18" t="n"/>
      <c r="I181" s="18" t="n"/>
      <c r="J181" s="18" t="n"/>
      <c r="K181" s="33" t="n"/>
      <c r="L181" s="18" t="n"/>
      <c r="M181" s="18" t="n"/>
      <c r="N181" s="28" t="n"/>
    </row>
    <row r="182">
      <c r="A182" s="28" t="n"/>
      <c r="B182" s="28" t="n"/>
      <c r="C182" s="28" t="n"/>
      <c r="D182" s="16" t="n"/>
      <c r="E182" s="16" t="n"/>
      <c r="F182" s="16" t="n"/>
      <c r="G182" s="18" t="n"/>
      <c r="H182" s="18" t="n"/>
      <c r="I182" s="18" t="n"/>
      <c r="J182" s="18" t="n"/>
      <c r="K182" s="33" t="n"/>
      <c r="L182" s="18" t="n"/>
      <c r="M182" s="18" t="n"/>
      <c r="N182" s="28" t="n"/>
    </row>
    <row r="183">
      <c r="A183" s="28" t="n"/>
      <c r="B183" s="28" t="n"/>
      <c r="C183" s="28" t="n"/>
      <c r="D183" s="16" t="n"/>
      <c r="E183" s="16" t="n"/>
      <c r="F183" s="16" t="n"/>
      <c r="G183" s="18" t="n"/>
      <c r="H183" s="18" t="n"/>
      <c r="I183" s="18" t="n"/>
      <c r="J183" s="18" t="n"/>
      <c r="K183" s="33" t="n"/>
      <c r="L183" s="18" t="n"/>
      <c r="M183" s="18" t="n"/>
      <c r="N183" s="28" t="n"/>
    </row>
    <row r="184">
      <c r="A184" s="28" t="n"/>
      <c r="B184" s="28" t="n"/>
      <c r="C184" s="28" t="n"/>
      <c r="D184" s="16" t="n"/>
      <c r="E184" s="16" t="n"/>
      <c r="F184" s="16" t="n"/>
      <c r="G184" s="18" t="n"/>
      <c r="H184" s="18" t="n"/>
      <c r="I184" s="18" t="n"/>
      <c r="J184" s="18" t="n"/>
      <c r="K184" s="33" t="n"/>
      <c r="L184" s="18" t="n"/>
      <c r="M184" s="18" t="n"/>
      <c r="N184" s="28" t="n"/>
    </row>
    <row r="185">
      <c r="A185" s="28" t="n"/>
      <c r="B185" s="28" t="n"/>
      <c r="C185" s="28" t="n"/>
      <c r="D185" s="16" t="n"/>
      <c r="E185" s="16" t="n"/>
      <c r="F185" s="16" t="n"/>
      <c r="G185" s="18" t="n"/>
      <c r="H185" s="18" t="n"/>
      <c r="I185" s="18" t="n"/>
      <c r="J185" s="18" t="n"/>
      <c r="K185" s="33" t="n"/>
      <c r="L185" s="18" t="n"/>
      <c r="M185" s="18" t="n"/>
      <c r="N185" s="28" t="n"/>
    </row>
    <row r="186">
      <c r="A186" s="28" t="n"/>
      <c r="B186" s="28" t="n"/>
      <c r="C186" s="28" t="n"/>
      <c r="D186" s="16" t="n"/>
      <c r="E186" s="16" t="n"/>
      <c r="F186" s="16" t="n"/>
      <c r="G186" s="18" t="n"/>
      <c r="H186" s="18" t="n"/>
      <c r="I186" s="18" t="n"/>
      <c r="J186" s="18" t="n"/>
      <c r="K186" s="33" t="n"/>
      <c r="L186" s="18" t="n"/>
      <c r="M186" s="18" t="n"/>
      <c r="N186" s="28" t="n"/>
    </row>
    <row r="187">
      <c r="A187" s="28" t="n"/>
      <c r="B187" s="28" t="n"/>
      <c r="C187" s="28" t="n"/>
      <c r="D187" s="16" t="n"/>
      <c r="E187" s="16" t="n"/>
      <c r="F187" s="16" t="n"/>
      <c r="G187" s="18" t="n"/>
      <c r="H187" s="18" t="n"/>
      <c r="I187" s="18" t="n"/>
      <c r="J187" s="18" t="n"/>
      <c r="K187" s="33" t="n"/>
      <c r="L187" s="18" t="n"/>
      <c r="M187" s="18" t="n"/>
      <c r="N187" s="28" t="n"/>
    </row>
    <row r="188">
      <c r="A188" s="28" t="n"/>
      <c r="B188" s="28" t="n"/>
      <c r="C188" s="28" t="n"/>
      <c r="D188" s="16" t="n"/>
      <c r="E188" s="16" t="n"/>
      <c r="F188" s="16" t="n"/>
      <c r="G188" s="18" t="n"/>
      <c r="H188" s="18" t="n"/>
      <c r="I188" s="18" t="n"/>
      <c r="J188" s="18" t="n"/>
      <c r="K188" s="33" t="n"/>
      <c r="L188" s="18" t="n"/>
      <c r="M188" s="18" t="n"/>
      <c r="N188" s="28" t="n"/>
    </row>
    <row r="189">
      <c r="A189" s="28" t="n"/>
      <c r="B189" s="28" t="n"/>
      <c r="C189" s="28" t="n"/>
      <c r="D189" s="16" t="n"/>
      <c r="E189" s="16" t="n"/>
      <c r="F189" s="16" t="n"/>
      <c r="G189" s="18" t="n"/>
      <c r="H189" s="18" t="n"/>
      <c r="I189" s="18" t="n"/>
      <c r="J189" s="18" t="n"/>
      <c r="K189" s="33" t="n"/>
      <c r="L189" s="18" t="n"/>
      <c r="M189" s="18" t="n"/>
      <c r="N189" s="28" t="n"/>
    </row>
    <row r="190">
      <c r="A190" s="28" t="n"/>
      <c r="B190" s="28" t="n"/>
      <c r="C190" s="28" t="n"/>
      <c r="D190" s="16" t="n"/>
      <c r="E190" s="16" t="n"/>
      <c r="F190" s="16" t="n"/>
      <c r="G190" s="18" t="n"/>
      <c r="H190" s="18" t="n"/>
      <c r="I190" s="18" t="n"/>
      <c r="J190" s="18" t="n"/>
      <c r="K190" s="33" t="n"/>
      <c r="L190" s="18" t="n"/>
      <c r="M190" s="18" t="n"/>
      <c r="N190" s="28" t="n"/>
    </row>
    <row r="191">
      <c r="A191" s="28" t="n"/>
      <c r="B191" s="28" t="n"/>
      <c r="C191" s="28" t="n"/>
      <c r="D191" s="16" t="n"/>
      <c r="E191" s="16" t="n"/>
      <c r="F191" s="16" t="n"/>
      <c r="G191" s="18" t="n"/>
      <c r="H191" s="18" t="n"/>
      <c r="I191" s="18" t="n"/>
      <c r="J191" s="18" t="n"/>
      <c r="K191" s="33" t="n"/>
      <c r="L191" s="18" t="n"/>
      <c r="M191" s="18" t="n"/>
      <c r="N191" s="28" t="n"/>
    </row>
    <row r="192">
      <c r="A192" s="28" t="n"/>
      <c r="B192" s="28" t="n"/>
      <c r="C192" s="28" t="n"/>
      <c r="D192" s="16" t="n"/>
      <c r="E192" s="16" t="n"/>
      <c r="F192" s="16" t="n"/>
      <c r="G192" s="18" t="n"/>
      <c r="H192" s="18" t="n"/>
      <c r="I192" s="18" t="n"/>
      <c r="J192" s="18" t="n"/>
      <c r="K192" s="33" t="n"/>
      <c r="L192" s="18" t="n"/>
      <c r="M192" s="18" t="n"/>
      <c r="N192" s="28" t="n"/>
    </row>
    <row r="193">
      <c r="A193" s="28" t="n"/>
      <c r="B193" s="28" t="n"/>
      <c r="C193" s="28" t="n"/>
      <c r="D193" s="16" t="n"/>
      <c r="E193" s="16" t="n"/>
      <c r="F193" s="16" t="n"/>
      <c r="G193" s="18" t="n"/>
      <c r="H193" s="18" t="n"/>
      <c r="I193" s="18" t="n"/>
      <c r="J193" s="18" t="n"/>
      <c r="K193" s="33" t="n"/>
      <c r="L193" s="18" t="n"/>
      <c r="M193" s="18" t="n"/>
      <c r="N193" s="28" t="n"/>
    </row>
    <row r="194">
      <c r="A194" s="28" t="n"/>
      <c r="B194" s="28" t="n"/>
      <c r="C194" s="28" t="n"/>
      <c r="D194" s="16" t="n"/>
      <c r="E194" s="16" t="n"/>
      <c r="F194" s="16" t="n"/>
      <c r="G194" s="18" t="n"/>
      <c r="H194" s="18" t="n"/>
      <c r="I194" s="18" t="n"/>
      <c r="J194" s="18" t="n"/>
      <c r="K194" s="33" t="n"/>
      <c r="L194" s="18" t="n"/>
      <c r="M194" s="18" t="n"/>
      <c r="N194" s="28" t="n"/>
    </row>
    <row r="195">
      <c r="A195" s="28" t="n"/>
      <c r="B195" s="28" t="n"/>
      <c r="C195" s="28" t="n"/>
      <c r="D195" s="16" t="n"/>
      <c r="E195" s="16" t="n"/>
      <c r="F195" s="16" t="n"/>
      <c r="G195" s="18" t="n"/>
      <c r="H195" s="18" t="n"/>
      <c r="I195" s="18" t="n"/>
      <c r="J195" s="18" t="n"/>
      <c r="K195" s="33" t="n"/>
      <c r="L195" s="18" t="n"/>
      <c r="M195" s="18" t="n"/>
      <c r="N195" s="28" t="n"/>
    </row>
    <row r="196">
      <c r="A196" s="28" t="n"/>
      <c r="B196" s="28" t="n"/>
      <c r="C196" s="28" t="n"/>
      <c r="D196" s="16" t="n"/>
      <c r="E196" s="16" t="n"/>
      <c r="F196" s="16" t="n"/>
      <c r="G196" s="18" t="n"/>
      <c r="H196" s="18" t="n"/>
      <c r="I196" s="18" t="n"/>
      <c r="J196" s="18" t="n"/>
      <c r="K196" s="33" t="n"/>
      <c r="L196" s="18" t="n"/>
      <c r="M196" s="18" t="n"/>
      <c r="N196" s="28" t="n"/>
    </row>
    <row r="197">
      <c r="A197" s="28" t="n"/>
      <c r="B197" s="28" t="n"/>
      <c r="C197" s="28" t="n"/>
      <c r="D197" s="16" t="n"/>
      <c r="E197" s="16" t="n"/>
      <c r="F197" s="16" t="n"/>
      <c r="G197" s="18" t="n"/>
      <c r="H197" s="18" t="n"/>
      <c r="I197" s="18" t="n"/>
      <c r="J197" s="18" t="n"/>
      <c r="K197" s="33" t="n"/>
      <c r="L197" s="18" t="n"/>
      <c r="M197" s="18" t="n"/>
      <c r="N197" s="28" t="n"/>
    </row>
    <row r="198">
      <c r="A198" s="28" t="n"/>
      <c r="B198" s="28" t="n"/>
      <c r="C198" s="28" t="n"/>
      <c r="D198" s="16" t="n"/>
      <c r="E198" s="16" t="n"/>
      <c r="F198" s="16" t="n"/>
      <c r="G198" s="18" t="n"/>
      <c r="H198" s="18" t="n"/>
      <c r="I198" s="18" t="n"/>
      <c r="J198" s="18" t="n"/>
      <c r="K198" s="33" t="n"/>
      <c r="L198" s="18" t="n"/>
      <c r="M198" s="18" t="n"/>
      <c r="N198" s="28" t="n"/>
    </row>
    <row r="199">
      <c r="A199" s="28" t="n"/>
      <c r="B199" s="28" t="n"/>
      <c r="C199" s="28" t="n"/>
      <c r="D199" s="16" t="n"/>
      <c r="E199" s="16" t="n"/>
      <c r="F199" s="16" t="n"/>
      <c r="G199" s="18" t="n"/>
      <c r="H199" s="18" t="n"/>
      <c r="I199" s="18" t="n"/>
      <c r="J199" s="18" t="n"/>
      <c r="K199" s="33" t="n"/>
      <c r="L199" s="18" t="n"/>
      <c r="M199" s="18" t="n"/>
      <c r="N199" s="28" t="n"/>
    </row>
    <row r="200">
      <c r="A200" s="28" t="n"/>
      <c r="B200" s="28" t="n"/>
      <c r="C200" s="28" t="n"/>
      <c r="D200" s="16" t="n"/>
      <c r="E200" s="16" t="n"/>
      <c r="F200" s="16" t="n"/>
      <c r="G200" s="18" t="n"/>
      <c r="H200" s="18" t="n"/>
      <c r="I200" s="18" t="n"/>
      <c r="J200" s="18" t="n"/>
      <c r="K200" s="33" t="n"/>
      <c r="L200" s="18" t="n"/>
      <c r="M200" s="18" t="n"/>
      <c r="N200" s="28" t="n"/>
    </row>
    <row r="201">
      <c r="A201" s="28" t="n"/>
      <c r="B201" s="28" t="n"/>
      <c r="C201" s="28" t="n"/>
      <c r="D201" s="16" t="n"/>
      <c r="E201" s="16" t="n"/>
      <c r="F201" s="16" t="n"/>
      <c r="G201" s="18" t="n"/>
      <c r="H201" s="18" t="n"/>
      <c r="I201" s="18" t="n"/>
      <c r="J201" s="18" t="n"/>
      <c r="K201" s="33" t="n"/>
      <c r="L201" s="18" t="n"/>
      <c r="M201" s="18" t="n"/>
      <c r="N201" s="28" t="n"/>
    </row>
    <row r="202">
      <c r="A202" s="28" t="n"/>
      <c r="B202" s="28" t="n"/>
      <c r="C202" s="28" t="n"/>
      <c r="D202" s="16" t="n"/>
      <c r="E202" s="16" t="n"/>
      <c r="F202" s="16" t="n"/>
      <c r="G202" s="18" t="n"/>
      <c r="H202" s="18" t="n"/>
      <c r="I202" s="18" t="n"/>
      <c r="J202" s="18" t="n"/>
      <c r="K202" s="33" t="n"/>
      <c r="L202" s="18" t="n"/>
      <c r="M202" s="18" t="n"/>
      <c r="N202" s="28" t="n"/>
    </row>
    <row r="203">
      <c r="A203" s="28" t="n"/>
      <c r="B203" s="28" t="n"/>
      <c r="C203" s="28" t="n"/>
      <c r="D203" s="16" t="n"/>
      <c r="E203" s="16" t="n"/>
      <c r="F203" s="16" t="n"/>
      <c r="G203" s="18" t="n"/>
      <c r="H203" s="18" t="n"/>
      <c r="I203" s="18" t="n"/>
      <c r="J203" s="18" t="n"/>
      <c r="K203" s="33" t="n"/>
      <c r="L203" s="18" t="n"/>
      <c r="M203" s="18" t="n"/>
      <c r="N203" s="28" t="n"/>
    </row>
    <row r="204">
      <c r="A204" s="28" t="n"/>
      <c r="B204" s="28" t="n"/>
      <c r="C204" s="28" t="n"/>
      <c r="D204" s="16" t="n"/>
      <c r="E204" s="16" t="n"/>
      <c r="F204" s="16" t="n"/>
      <c r="G204" s="18" t="n"/>
      <c r="H204" s="18" t="n"/>
      <c r="I204" s="18" t="n"/>
      <c r="J204" s="18" t="n"/>
      <c r="K204" s="33" t="n"/>
      <c r="L204" s="18" t="n"/>
      <c r="M204" s="18" t="n"/>
      <c r="N204" s="28" t="n"/>
    </row>
  </sheetData>
  <pageMargins left="0.75" right="0.75" top="1" bottom="1" header="0.5" footer="0.5"/>
  <pageSetup orientation="landscape" fitToHeight="0" fitToWidth="1"/>
</worksheet>
</file>

<file path=xl/worksheets/sheet6.xml><?xml version="1.0" encoding="utf-8"?>
<worksheet xmlns="http://schemas.openxmlformats.org/spreadsheetml/2006/main">
  <sheetPr codeName="Tabelle6">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6" t="inlineStr">
        <is>
          <t>Firmenname</t>
        </is>
      </c>
      <c r="K1" s="2" t="inlineStr">
        <is>
          <t>← eigener Briefkopf (A1:A4), Bedingungen (C12), Gültigkeit (H10) und MwSt.-Satz (C11) einmal eintragen</t>
        </is>
      </c>
    </row>
    <row r="2">
      <c r="A2" s="37" t="inlineStr">
        <is>
          <t>Straße Nr.</t>
        </is>
      </c>
    </row>
    <row r="3">
      <c r="A3" s="37" t="inlineStr">
        <is>
          <t>PLZ Ort</t>
        </is>
      </c>
    </row>
    <row r="4">
      <c r="A4" s="37" t="inlineStr">
        <is>
          <t>Telefon / E-Mail</t>
        </is>
      </c>
    </row>
    <row r="6">
      <c r="A6" s="38" t="inlineStr">
        <is>
          <t>Angebot</t>
        </is>
      </c>
    </row>
    <row r="8">
      <c r="A8" s="3" t="inlineStr">
        <is>
          <t>Kunde</t>
        </is>
      </c>
      <c r="C8" s="39">
        <f>IF(Auftrag!$C$6="","",Auftrag!$C$6)</f>
        <v/>
      </c>
      <c r="D8" s="40" t="inlineStr">
        <is>
          <t>Angebotsnummer</t>
        </is>
      </c>
      <c r="F8" s="41">
        <f>IF(Auftrag!$C$4="","",Auftrag!$C$4)</f>
        <v/>
      </c>
    </row>
    <row r="9">
      <c r="A9" s="3" t="inlineStr">
        <is>
          <t>Kundennummer</t>
        </is>
      </c>
      <c r="C9" s="39">
        <f>IF(Auftrag!$C$5="","",Auftrag!$C$5)</f>
        <v/>
      </c>
      <c r="D9" s="40" t="inlineStr">
        <is>
          <t>Datum</t>
        </is>
      </c>
      <c r="F9" s="42">
        <f>IF(Auftrag!$C$7="","",Auftrag!$C$7)</f>
        <v/>
      </c>
    </row>
    <row r="10">
      <c r="D10" s="40" t="inlineStr">
        <is>
          <t>Gültigkeit [Tage]</t>
        </is>
      </c>
      <c r="F10" s="43" t="n">
        <v>30</v>
      </c>
    </row>
    <row r="11">
      <c r="A11" s="3" t="inlineStr">
        <is>
          <t>MwSt.-Satz</t>
        </is>
      </c>
      <c r="C11" s="44" t="n">
        <v>0.19</v>
      </c>
      <c r="D11" s="40" t="inlineStr">
        <is>
          <t>Gültig bis</t>
        </is>
      </c>
      <c r="F11" s="42">
        <f>IF(N(F9)=0,"",F9+N(F10))</f>
        <v/>
      </c>
    </row>
    <row r="12" ht="30" customHeight="1">
      <c r="A12" s="45" t="inlineStr">
        <is>
          <t>Bedingungen</t>
        </is>
      </c>
      <c r="C12" s="5" t="inlineStr">
        <is>
          <t>Lieferzeit nach Absprache. Zahlung 30 Tage netto. Preise in Euro zuzüglich Mehrwertsteuer.</t>
        </is>
      </c>
    </row>
    <row r="13" ht="30" customHeight="1">
      <c r="A13" s="22" t="inlineStr">
        <is>
          <t>Pos.</t>
        </is>
      </c>
      <c r="B13" s="22" t="inlineStr">
        <is>
          <t>Artikelnummer</t>
        </is>
      </c>
      <c r="C13" s="22" t="inlineStr">
        <is>
          <t>Bezeichnung (automatisch)</t>
        </is>
      </c>
      <c r="D13" s="22" t="inlineStr">
        <is>
          <t>Menge [Stk]</t>
        </is>
      </c>
      <c r="E13" s="22" t="inlineStr">
        <is>
          <t>Stückpreis [€]</t>
        </is>
      </c>
      <c r="F13" s="22" t="inlineStr">
        <is>
          <t>Gesamtpreis [€]</t>
        </is>
      </c>
    </row>
    <row r="14">
      <c r="A14" s="2" t="inlineStr">
        <is>
          <t>Positionen werden über 'Angebot (PDF)' eingetragen. Bezeichnung aus Profil, Länge, Werkstoff (Spalte H im Blatt Werkstoffe) und Zusatzarbeiten.</t>
        </is>
      </c>
    </row>
  </sheetData>
  <mergeCells count="13">
    <mergeCell ref="D8:E8"/>
    <mergeCell ref="A4:E4"/>
    <mergeCell ref="D10:E10"/>
    <mergeCell ref="A2:E2"/>
    <mergeCell ref="D11:E11"/>
    <mergeCell ref="A11:B11"/>
    <mergeCell ref="C12:I12"/>
    <mergeCell ref="A1:E1"/>
    <mergeCell ref="A12:B12"/>
    <mergeCell ref="A9:B9"/>
    <mergeCell ref="D9:E9"/>
    <mergeCell ref="A8:B8"/>
    <mergeCell ref="A3:E3"/>
  </mergeCells>
  <pageMargins left="0.6" right="0.6" top="1" bottom="1" header="0.5" footer="0.5"/>
  <pageSetup orientation="portrait" paperSize="9" fitToHeight="0" fitToWidth="1"/>
  <headerFooter>
    <oddHeader/>
    <oddFooter>&amp;L&amp;8 &amp;A&amp;R&amp;8 Seite &amp;P von &amp;N</oddFooter>
    <evenHeader/>
    <evenFooter/>
    <firstHeader/>
    <firstFooter/>
  </headerFooter>
</worksheet>
</file>

<file path=xl/worksheets/sheet7.xml><?xml version="1.0" encoding="utf-8"?>
<worksheet xmlns="http://schemas.openxmlformats.org/spreadsheetml/2006/main">
  <sheetPr codeName="Tabelle7">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5" right="0.5" top="0.6" bottom="0.6" header="0.5" footer="0.5"/>
  <pageSetup orientation="portrait" paperSize="9" fitToHeight="0" fitToWidth="1"/>
  <headerFooter>
    <oddHeader/>
    <oddFooter>&amp;L&amp;8 Werkstattpapier&amp;R&amp;8 Seite &amp;P von &amp;N</oddFooter>
    <evenHeader/>
    <evenFooter/>
    <firstHeader/>
    <firstFooter/>
  </headerFooter>
</worksheet>
</file>

<file path=xl/worksheets/sheet8.xml><?xml version="1.0" encoding="utf-8"?>
<worksheet xmlns="http://schemas.openxmlformats.org/spreadsheetml/2006/main">
  <sheetPr codeName="Tabelle8">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2" t="inlineStr">
        <is>
          <t>Stange Nr.</t>
        </is>
      </c>
      <c r="B4" s="22" t="inlineStr">
        <is>
          <t>Profil-ID</t>
        </is>
      </c>
      <c r="C4" s="22" t="inlineStr">
        <is>
          <t>Werkstoff-ID</t>
        </is>
      </c>
      <c r="D4" s="22" t="inlineStr">
        <is>
          <t>Stangenlänge [mm]</t>
        </is>
      </c>
      <c r="E4" s="22" t="inlineStr">
        <is>
          <t>Endbeschnitt [mm]</t>
        </is>
      </c>
      <c r="F4" s="22" t="inlineStr">
        <is>
          <t>Greiferrest [mm]</t>
        </is>
      </c>
      <c r="G4" s="22" t="inlineStr">
        <is>
          <t>Teile [Stk]</t>
        </is>
      </c>
      <c r="H4" s="22" t="inlineStr">
        <is>
          <t>Summe Teilelängen [mm]</t>
        </is>
      </c>
      <c r="I4" s="22" t="inlineStr">
        <is>
          <t>Schnittverluste + Abstände [mm]</t>
        </is>
      </c>
      <c r="J4" s="22" t="inlineStr">
        <is>
          <t>Belegt bis [mm]</t>
        </is>
      </c>
      <c r="K4" s="22" t="inlineStr">
        <is>
          <t>Rest / Verschnitt inkl. Greiferrest [mm]</t>
        </is>
      </c>
      <c r="L4" s="22" t="inlineStr">
        <is>
          <t>Ausnutzung</t>
        </is>
      </c>
      <c r="M4" s="22" t="inlineStr">
        <is>
          <t>Prüfung</t>
        </is>
      </c>
      <c r="N4" s="22" t="inlineStr">
        <is>
          <t>Trennungen [Stk]</t>
        </is>
      </c>
      <c r="O4" s="22" t="inlineStr">
        <is>
          <t>davon gemeinsamer Schnitt</t>
        </is>
      </c>
      <c r="P4" s="22" t="inlineStr">
        <is>
          <t>Belegung (Pos. × Länge)</t>
        </is>
      </c>
      <c r="Q4" s="22" t="inlineStr">
        <is>
          <t>Stangengewicht [kg]</t>
        </is>
      </c>
      <c r="R4" s="22" t="inlineStr">
        <is>
          <t>Materialkosten Stange [€]</t>
        </is>
      </c>
    </row>
    <row r="5">
      <c r="A5" s="9" t="n"/>
      <c r="B5" s="9" t="n"/>
      <c r="C5" s="9" t="n"/>
      <c r="D5" s="19" t="n"/>
      <c r="E5" s="24" t="n"/>
      <c r="F5" s="24" t="n"/>
      <c r="G5" s="12">
        <f>IF($A5="","",COUNTIFS(Stangenbelegung!$A$5:$A$10004,$A5))</f>
        <v/>
      </c>
      <c r="H5" s="35">
        <f>IF($A5="","",SUMIFS(Stangenbelegung!$F$5:$F$10004,Stangenbelegung!$A$5:$A$10004,$A5))</f>
        <v/>
      </c>
      <c r="I5" s="23" t="n"/>
      <c r="J5" s="35">
        <f>IF($A5="","",$E5+H5+$I5)</f>
        <v/>
      </c>
      <c r="K5" s="35">
        <f>IF($A5="","",$D5-J5)</f>
        <v/>
      </c>
      <c r="L5" s="32">
        <f>IF($A5="","",H5/$D5)</f>
        <v/>
      </c>
      <c r="M5" s="28">
        <f>IF($A5="","",IF(OR(J5+$F5&gt;$D5+0.001,_xlfn.MAXIFS(Stangenbelegung!$H$5:$H$10004,Stangenbelegung!$A$5:$A$10004,$A5)&gt;$D5-$F5+0.001),"ÜBERBELEGT","OK"))</f>
        <v/>
      </c>
      <c r="N5" s="24" t="n"/>
      <c r="O5" s="24" t="n"/>
      <c r="P5" s="9" t="n"/>
      <c r="Q5" s="18">
        <f>IF($A5="","",IFERROR($D5/1000*INDEX(Profile!$K$5:$K$304,MATCH($B5,lst_Profil,0))*INDEX(Werkstoffe!$E$5:$E$304,MATCH($C5,lst_Werkstoff,0))/1000,""))</f>
        <v/>
      </c>
      <c r="R5" s="18">
        <f>IF($A5="","",IF(N(_xlfn.MAXIFS(Auftrag!$AP$13:$AP$512,Auftrag!$D$13:$D$512,$B5,Auftrag!$E$13:$E$512,$C5,Auftrag!$Q$13:$Q$512,$D5))&gt;0,_xlfn.MAXIFS(Auftrag!$AP$13:$AP$512,Auftrag!$D$13:$D$512,$B5,Auftrag!$E$13:$E$512,$C5,Auftrag!$Q$13:$Q$512,$D5)*$D5/1000,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9" t="n"/>
      <c r="E6" s="24" t="n"/>
      <c r="F6" s="24" t="n"/>
      <c r="G6" s="12">
        <f>IF($A6="","",COUNTIFS(Stangenbelegung!$A$5:$A$10004,$A6))</f>
        <v/>
      </c>
      <c r="H6" s="35">
        <f>IF($A6="","",SUMIFS(Stangenbelegung!$F$5:$F$10004,Stangenbelegung!$A$5:$A$10004,$A6))</f>
        <v/>
      </c>
      <c r="I6" s="23" t="n"/>
      <c r="J6" s="35">
        <f>IF($A6="","",$E6+H6+$I6)</f>
        <v/>
      </c>
      <c r="K6" s="35">
        <f>IF($A6="","",$D6-J6)</f>
        <v/>
      </c>
      <c r="L6" s="32">
        <f>IF($A6="","",H6/$D6)</f>
        <v/>
      </c>
      <c r="M6" s="28">
        <f>IF($A6="","",IF(OR(J6+$F6&gt;$D6+0.001,_xlfn.MAXIFS(Stangenbelegung!$H$5:$H$10004,Stangenbelegung!$A$5:$A$10004,$A6)&gt;$D6-$F6+0.001),"ÜBERBELEGT","OK"))</f>
        <v/>
      </c>
      <c r="N6" s="24" t="n"/>
      <c r="O6" s="24" t="n"/>
      <c r="P6" s="9" t="n"/>
      <c r="Q6" s="18">
        <f>IF($A6="","",IFERROR($D6/1000*INDEX(Profile!$K$5:$K$304,MATCH($B6,lst_Profil,0))*INDEX(Werkstoffe!$E$5:$E$304,MATCH($C6,lst_Werkstoff,0))/1000,""))</f>
        <v/>
      </c>
      <c r="R6" s="18">
        <f>IF($A6="","",IF(N(_xlfn.MAXIFS(Auftrag!$AP$13:$AP$512,Auftrag!$D$13:$D$512,$B6,Auftrag!$E$13:$E$512,$C6,Auftrag!$Q$13:$Q$512,$D6))&gt;0,_xlfn.MAXIFS(Auftrag!$AP$13:$AP$512,Auftrag!$D$13:$D$512,$B6,Auftrag!$E$13:$E$512,$C6,Auftrag!$Q$13:$Q$512,$D6)*$D6/1000,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9" t="n"/>
      <c r="E7" s="24" t="n"/>
      <c r="F7" s="24" t="n"/>
      <c r="G7" s="12">
        <f>IF($A7="","",COUNTIFS(Stangenbelegung!$A$5:$A$10004,$A7))</f>
        <v/>
      </c>
      <c r="H7" s="35">
        <f>IF($A7="","",SUMIFS(Stangenbelegung!$F$5:$F$10004,Stangenbelegung!$A$5:$A$10004,$A7))</f>
        <v/>
      </c>
      <c r="I7" s="23" t="n"/>
      <c r="J7" s="35">
        <f>IF($A7="","",$E7+H7+$I7)</f>
        <v/>
      </c>
      <c r="K7" s="35">
        <f>IF($A7="","",$D7-J7)</f>
        <v/>
      </c>
      <c r="L7" s="32">
        <f>IF($A7="","",H7/$D7)</f>
        <v/>
      </c>
      <c r="M7" s="28">
        <f>IF($A7="","",IF(OR(J7+$F7&gt;$D7+0.001,_xlfn.MAXIFS(Stangenbelegung!$H$5:$H$10004,Stangenbelegung!$A$5:$A$10004,$A7)&gt;$D7-$F7+0.001),"ÜBERBELEGT","OK"))</f>
        <v/>
      </c>
      <c r="N7" s="24" t="n"/>
      <c r="O7" s="24" t="n"/>
      <c r="P7" s="9" t="n"/>
      <c r="Q7" s="18">
        <f>IF($A7="","",IFERROR($D7/1000*INDEX(Profile!$K$5:$K$304,MATCH($B7,lst_Profil,0))*INDEX(Werkstoffe!$E$5:$E$304,MATCH($C7,lst_Werkstoff,0))/1000,""))</f>
        <v/>
      </c>
      <c r="R7" s="18">
        <f>IF($A7="","",IF(N(_xlfn.MAXIFS(Auftrag!$AP$13:$AP$512,Auftrag!$D$13:$D$512,$B7,Auftrag!$E$13:$E$512,$C7,Auftrag!$Q$13:$Q$512,$D7))&gt;0,_xlfn.MAXIFS(Auftrag!$AP$13:$AP$512,Auftrag!$D$13:$D$512,$B7,Auftrag!$E$13:$E$512,$C7,Auftrag!$Q$13:$Q$512,$D7)*$D7/1000,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9" t="n"/>
      <c r="E8" s="24" t="n"/>
      <c r="F8" s="24" t="n"/>
      <c r="G8" s="12">
        <f>IF($A8="","",COUNTIFS(Stangenbelegung!$A$5:$A$10004,$A8))</f>
        <v/>
      </c>
      <c r="H8" s="35">
        <f>IF($A8="","",SUMIFS(Stangenbelegung!$F$5:$F$10004,Stangenbelegung!$A$5:$A$10004,$A8))</f>
        <v/>
      </c>
      <c r="I8" s="23" t="n"/>
      <c r="J8" s="35">
        <f>IF($A8="","",$E8+H8+$I8)</f>
        <v/>
      </c>
      <c r="K8" s="35">
        <f>IF($A8="","",$D8-J8)</f>
        <v/>
      </c>
      <c r="L8" s="32">
        <f>IF($A8="","",H8/$D8)</f>
        <v/>
      </c>
      <c r="M8" s="28">
        <f>IF($A8="","",IF(OR(J8+$F8&gt;$D8+0.001,_xlfn.MAXIFS(Stangenbelegung!$H$5:$H$10004,Stangenbelegung!$A$5:$A$10004,$A8)&gt;$D8-$F8+0.001),"ÜBERBELEGT","OK"))</f>
        <v/>
      </c>
      <c r="N8" s="24" t="n"/>
      <c r="O8" s="24" t="n"/>
      <c r="P8" s="9" t="n"/>
      <c r="Q8" s="18">
        <f>IF($A8="","",IFERROR($D8/1000*INDEX(Profile!$K$5:$K$304,MATCH($B8,lst_Profil,0))*INDEX(Werkstoffe!$E$5:$E$304,MATCH($C8,lst_Werkstoff,0))/1000,""))</f>
        <v/>
      </c>
      <c r="R8" s="18">
        <f>IF($A8="","",IF(N(_xlfn.MAXIFS(Auftrag!$AP$13:$AP$512,Auftrag!$D$13:$D$512,$B8,Auftrag!$E$13:$E$512,$C8,Auftrag!$Q$13:$Q$512,$D8))&gt;0,_xlfn.MAXIFS(Auftrag!$AP$13:$AP$512,Auftrag!$D$13:$D$512,$B8,Auftrag!$E$13:$E$512,$C8,Auftrag!$Q$13:$Q$512,$D8)*$D8/1000,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9" t="n"/>
      <c r="E9" s="24" t="n"/>
      <c r="F9" s="24" t="n"/>
      <c r="G9" s="12">
        <f>IF($A9="","",COUNTIFS(Stangenbelegung!$A$5:$A$10004,$A9))</f>
        <v/>
      </c>
      <c r="H9" s="35">
        <f>IF($A9="","",SUMIFS(Stangenbelegung!$F$5:$F$10004,Stangenbelegung!$A$5:$A$10004,$A9))</f>
        <v/>
      </c>
      <c r="I9" s="23" t="n"/>
      <c r="J9" s="35">
        <f>IF($A9="","",$E9+H9+$I9)</f>
        <v/>
      </c>
      <c r="K9" s="35">
        <f>IF($A9="","",$D9-J9)</f>
        <v/>
      </c>
      <c r="L9" s="32">
        <f>IF($A9="","",H9/$D9)</f>
        <v/>
      </c>
      <c r="M9" s="28">
        <f>IF($A9="","",IF(OR(J9+$F9&gt;$D9+0.001,_xlfn.MAXIFS(Stangenbelegung!$H$5:$H$10004,Stangenbelegung!$A$5:$A$10004,$A9)&gt;$D9-$F9+0.001),"ÜBERBELEGT","OK"))</f>
        <v/>
      </c>
      <c r="N9" s="24" t="n"/>
      <c r="O9" s="24" t="n"/>
      <c r="P9" s="9" t="n"/>
      <c r="Q9" s="18">
        <f>IF($A9="","",IFERROR($D9/1000*INDEX(Profile!$K$5:$K$304,MATCH($B9,lst_Profil,0))*INDEX(Werkstoffe!$E$5:$E$304,MATCH($C9,lst_Werkstoff,0))/1000,""))</f>
        <v/>
      </c>
      <c r="R9" s="18">
        <f>IF($A9="","",IF(N(_xlfn.MAXIFS(Auftrag!$AP$13:$AP$512,Auftrag!$D$13:$D$512,$B9,Auftrag!$E$13:$E$512,$C9,Auftrag!$Q$13:$Q$512,$D9))&gt;0,_xlfn.MAXIFS(Auftrag!$AP$13:$AP$512,Auftrag!$D$13:$D$512,$B9,Auftrag!$E$13:$E$512,$C9,Auftrag!$Q$13:$Q$512,$D9)*$D9/1000,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9" t="n"/>
      <c r="E10" s="24" t="n"/>
      <c r="F10" s="24" t="n"/>
      <c r="G10" s="12">
        <f>IF($A10="","",COUNTIFS(Stangenbelegung!$A$5:$A$10004,$A10))</f>
        <v/>
      </c>
      <c r="H10" s="35">
        <f>IF($A10="","",SUMIFS(Stangenbelegung!$F$5:$F$10004,Stangenbelegung!$A$5:$A$10004,$A10))</f>
        <v/>
      </c>
      <c r="I10" s="23" t="n"/>
      <c r="J10" s="35">
        <f>IF($A10="","",$E10+H10+$I10)</f>
        <v/>
      </c>
      <c r="K10" s="35">
        <f>IF($A10="","",$D10-J10)</f>
        <v/>
      </c>
      <c r="L10" s="32">
        <f>IF($A10="","",H10/$D10)</f>
        <v/>
      </c>
      <c r="M10" s="28">
        <f>IF($A10="","",IF(OR(J10+$F10&gt;$D10+0.001,_xlfn.MAXIFS(Stangenbelegung!$H$5:$H$10004,Stangenbelegung!$A$5:$A$10004,$A10)&gt;$D10-$F10+0.001),"ÜBERBELEGT","OK"))</f>
        <v/>
      </c>
      <c r="N10" s="24" t="n"/>
      <c r="O10" s="24" t="n"/>
      <c r="P10" s="9" t="n"/>
      <c r="Q10" s="18">
        <f>IF($A10="","",IFERROR($D10/1000*INDEX(Profile!$K$5:$K$304,MATCH($B10,lst_Profil,0))*INDEX(Werkstoffe!$E$5:$E$304,MATCH($C10,lst_Werkstoff,0))/1000,""))</f>
        <v/>
      </c>
      <c r="R10" s="18">
        <f>IF($A10="","",IF(N(_xlfn.MAXIFS(Auftrag!$AP$13:$AP$512,Auftrag!$D$13:$D$512,$B10,Auftrag!$E$13:$E$512,$C10,Auftrag!$Q$13:$Q$512,$D10))&gt;0,_xlfn.MAXIFS(Auftrag!$AP$13:$AP$512,Auftrag!$D$13:$D$512,$B10,Auftrag!$E$13:$E$512,$C10,Auftrag!$Q$13:$Q$512,$D10)*$D10/1000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9" t="n"/>
      <c r="E11" s="24" t="n"/>
      <c r="F11" s="24" t="n"/>
      <c r="G11" s="12">
        <f>IF($A11="","",COUNTIFS(Stangenbelegung!$A$5:$A$10004,$A11))</f>
        <v/>
      </c>
      <c r="H11" s="35">
        <f>IF($A11="","",SUMIFS(Stangenbelegung!$F$5:$F$10004,Stangenbelegung!$A$5:$A$10004,$A11))</f>
        <v/>
      </c>
      <c r="I11" s="23" t="n"/>
      <c r="J11" s="35">
        <f>IF($A11="","",$E11+H11+$I11)</f>
        <v/>
      </c>
      <c r="K11" s="35">
        <f>IF($A11="","",$D11-J11)</f>
        <v/>
      </c>
      <c r="L11" s="32">
        <f>IF($A11="","",H11/$D11)</f>
        <v/>
      </c>
      <c r="M11" s="28">
        <f>IF($A11="","",IF(OR(J11+$F11&gt;$D11+0.001,_xlfn.MAXIFS(Stangenbelegung!$H$5:$H$10004,Stangenbelegung!$A$5:$A$10004,$A11)&gt;$D11-$F11+0.001),"ÜBERBELEGT","OK"))</f>
        <v/>
      </c>
      <c r="N11" s="24" t="n"/>
      <c r="O11" s="24" t="n"/>
      <c r="P11" s="9" t="n"/>
      <c r="Q11" s="18">
        <f>IF($A11="","",IFERROR($D11/1000*INDEX(Profile!$K$5:$K$304,MATCH($B11,lst_Profil,0))*INDEX(Werkstoffe!$E$5:$E$304,MATCH($C11,lst_Werkstoff,0))/1000,""))</f>
        <v/>
      </c>
      <c r="R11" s="18">
        <f>IF($A11="","",IF(N(_xlfn.MAXIFS(Auftrag!$AP$13:$AP$512,Auftrag!$D$13:$D$512,$B11,Auftrag!$E$13:$E$512,$C11,Auftrag!$Q$13:$Q$512,$D11))&gt;0,_xlfn.MAXIFS(Auftrag!$AP$13:$AP$512,Auftrag!$D$13:$D$512,$B11,Auftrag!$E$13:$E$512,$C11,Auftrag!$Q$13:$Q$512,$D11)*$D11/1000,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9" t="n"/>
      <c r="E12" s="24" t="n"/>
      <c r="F12" s="24" t="n"/>
      <c r="G12" s="12">
        <f>IF($A12="","",COUNTIFS(Stangenbelegung!$A$5:$A$10004,$A12))</f>
        <v/>
      </c>
      <c r="H12" s="35">
        <f>IF($A12="","",SUMIFS(Stangenbelegung!$F$5:$F$10004,Stangenbelegung!$A$5:$A$10004,$A12))</f>
        <v/>
      </c>
      <c r="I12" s="23" t="n"/>
      <c r="J12" s="35">
        <f>IF($A12="","",$E12+H12+$I12)</f>
        <v/>
      </c>
      <c r="K12" s="35">
        <f>IF($A12="","",$D12-J12)</f>
        <v/>
      </c>
      <c r="L12" s="32">
        <f>IF($A12="","",H12/$D12)</f>
        <v/>
      </c>
      <c r="M12" s="28">
        <f>IF($A12="","",IF(OR(J12+$F12&gt;$D12+0.001,_xlfn.MAXIFS(Stangenbelegung!$H$5:$H$10004,Stangenbelegung!$A$5:$A$10004,$A12)&gt;$D12-$F12+0.001),"ÜBERBELEGT","OK"))</f>
        <v/>
      </c>
      <c r="N12" s="24" t="n"/>
      <c r="O12" s="24" t="n"/>
      <c r="P12" s="9" t="n"/>
      <c r="Q12" s="18">
        <f>IF($A12="","",IFERROR($D12/1000*INDEX(Profile!$K$5:$K$304,MATCH($B12,lst_Profil,0))*INDEX(Werkstoffe!$E$5:$E$304,MATCH($C12,lst_Werkstoff,0))/1000,""))</f>
        <v/>
      </c>
      <c r="R12" s="18">
        <f>IF($A12="","",IF(N(_xlfn.MAXIFS(Auftrag!$AP$13:$AP$512,Auftrag!$D$13:$D$512,$B12,Auftrag!$E$13:$E$512,$C12,Auftrag!$Q$13:$Q$512,$D12))&gt;0,_xlfn.MAXIFS(Auftrag!$AP$13:$AP$512,Auftrag!$D$13:$D$512,$B12,Auftrag!$E$13:$E$512,$C12,Auftrag!$Q$13:$Q$512,$D12)*$D12/1000,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9" t="n"/>
      <c r="E13" s="24" t="n"/>
      <c r="F13" s="24" t="n"/>
      <c r="G13" s="12">
        <f>IF($A13="","",COUNTIFS(Stangenbelegung!$A$5:$A$10004,$A13))</f>
        <v/>
      </c>
      <c r="H13" s="35">
        <f>IF($A13="","",SUMIFS(Stangenbelegung!$F$5:$F$10004,Stangenbelegung!$A$5:$A$10004,$A13))</f>
        <v/>
      </c>
      <c r="I13" s="23" t="n"/>
      <c r="J13" s="35">
        <f>IF($A13="","",$E13+H13+$I13)</f>
        <v/>
      </c>
      <c r="K13" s="35">
        <f>IF($A13="","",$D13-J13)</f>
        <v/>
      </c>
      <c r="L13" s="32">
        <f>IF($A13="","",H13/$D13)</f>
        <v/>
      </c>
      <c r="M13" s="28">
        <f>IF($A13="","",IF(OR(J13+$F13&gt;$D13+0.001,_xlfn.MAXIFS(Stangenbelegung!$H$5:$H$10004,Stangenbelegung!$A$5:$A$10004,$A13)&gt;$D13-$F13+0.001),"ÜBERBELEGT","OK"))</f>
        <v/>
      </c>
      <c r="N13" s="24" t="n"/>
      <c r="O13" s="24" t="n"/>
      <c r="P13" s="9" t="n"/>
      <c r="Q13" s="18">
        <f>IF($A13="","",IFERROR($D13/1000*INDEX(Profile!$K$5:$K$304,MATCH($B13,lst_Profil,0))*INDEX(Werkstoffe!$E$5:$E$304,MATCH($C13,lst_Werkstoff,0))/1000,""))</f>
        <v/>
      </c>
      <c r="R13" s="18">
        <f>IF($A13="","",IF(N(_xlfn.MAXIFS(Auftrag!$AP$13:$AP$512,Auftrag!$D$13:$D$512,$B13,Auftrag!$E$13:$E$512,$C13,Auftrag!$Q$13:$Q$512,$D13))&gt;0,_xlfn.MAXIFS(Auftrag!$AP$13:$AP$512,Auftrag!$D$13:$D$512,$B13,Auftrag!$E$13:$E$512,$C13,Auftrag!$Q$13:$Q$512,$D13)*$D13/1000,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9" t="n"/>
      <c r="E14" s="24" t="n"/>
      <c r="F14" s="24" t="n"/>
      <c r="G14" s="12">
        <f>IF($A14="","",COUNTIFS(Stangenbelegung!$A$5:$A$10004,$A14))</f>
        <v/>
      </c>
      <c r="H14" s="35">
        <f>IF($A14="","",SUMIFS(Stangenbelegung!$F$5:$F$10004,Stangenbelegung!$A$5:$A$10004,$A14))</f>
        <v/>
      </c>
      <c r="I14" s="23" t="n"/>
      <c r="J14" s="35">
        <f>IF($A14="","",$E14+H14+$I14)</f>
        <v/>
      </c>
      <c r="K14" s="35">
        <f>IF($A14="","",$D14-J14)</f>
        <v/>
      </c>
      <c r="L14" s="32">
        <f>IF($A14="","",H14/$D14)</f>
        <v/>
      </c>
      <c r="M14" s="28">
        <f>IF($A14="","",IF(OR(J14+$F14&gt;$D14+0.001,_xlfn.MAXIFS(Stangenbelegung!$H$5:$H$10004,Stangenbelegung!$A$5:$A$10004,$A14)&gt;$D14-$F14+0.001),"ÜBERBELEGT","OK"))</f>
        <v/>
      </c>
      <c r="N14" s="24" t="n"/>
      <c r="O14" s="24" t="n"/>
      <c r="P14" s="9" t="n"/>
      <c r="Q14" s="18">
        <f>IF($A14="","",IFERROR($D14/1000*INDEX(Profile!$K$5:$K$304,MATCH($B14,lst_Profil,0))*INDEX(Werkstoffe!$E$5:$E$304,MATCH($C14,lst_Werkstoff,0))/1000,""))</f>
        <v/>
      </c>
      <c r="R14" s="18">
        <f>IF($A14="","",IF(N(_xlfn.MAXIFS(Auftrag!$AP$13:$AP$512,Auftrag!$D$13:$D$512,$B14,Auftrag!$E$13:$E$512,$C14,Auftrag!$Q$13:$Q$512,$D14))&gt;0,_xlfn.MAXIFS(Auftrag!$AP$13:$AP$512,Auftrag!$D$13:$D$512,$B14,Auftrag!$E$13:$E$512,$C14,Auftrag!$Q$13:$Q$512,$D14)*$D14/1000,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9" t="n"/>
      <c r="E15" s="24" t="n"/>
      <c r="F15" s="24" t="n"/>
      <c r="G15" s="12">
        <f>IF($A15="","",COUNTIFS(Stangenbelegung!$A$5:$A$10004,$A15))</f>
        <v/>
      </c>
      <c r="H15" s="35">
        <f>IF($A15="","",SUMIFS(Stangenbelegung!$F$5:$F$10004,Stangenbelegung!$A$5:$A$10004,$A15))</f>
        <v/>
      </c>
      <c r="I15" s="23" t="n"/>
      <c r="J15" s="35">
        <f>IF($A15="","",$E15+H15+$I15)</f>
        <v/>
      </c>
      <c r="K15" s="35">
        <f>IF($A15="","",$D15-J15)</f>
        <v/>
      </c>
      <c r="L15" s="32">
        <f>IF($A15="","",H15/$D15)</f>
        <v/>
      </c>
      <c r="M15" s="28">
        <f>IF($A15="","",IF(OR(J15+$F15&gt;$D15+0.001,_xlfn.MAXIFS(Stangenbelegung!$H$5:$H$10004,Stangenbelegung!$A$5:$A$10004,$A15)&gt;$D15-$F15+0.001),"ÜBERBELEGT","OK"))</f>
        <v/>
      </c>
      <c r="N15" s="24" t="n"/>
      <c r="O15" s="24" t="n"/>
      <c r="P15" s="9" t="n"/>
      <c r="Q15" s="18">
        <f>IF($A15="","",IFERROR($D15/1000*INDEX(Profile!$K$5:$K$304,MATCH($B15,lst_Profil,0))*INDEX(Werkstoffe!$E$5:$E$304,MATCH($C15,lst_Werkstoff,0))/1000,""))</f>
        <v/>
      </c>
      <c r="R15" s="18">
        <f>IF($A15="","",IF(N(_xlfn.MAXIFS(Auftrag!$AP$13:$AP$512,Auftrag!$D$13:$D$512,$B15,Auftrag!$E$13:$E$512,$C15,Auftrag!$Q$13:$Q$512,$D15))&gt;0,_xlfn.MAXIFS(Auftrag!$AP$13:$AP$512,Auftrag!$D$13:$D$512,$B15,Auftrag!$E$13:$E$512,$C15,Auftrag!$Q$13:$Q$512,$D15)*$D15/1000,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9" t="n"/>
      <c r="E16" s="24" t="n"/>
      <c r="F16" s="24" t="n"/>
      <c r="G16" s="12">
        <f>IF($A16="","",COUNTIFS(Stangenbelegung!$A$5:$A$10004,$A16))</f>
        <v/>
      </c>
      <c r="H16" s="35">
        <f>IF($A16="","",SUMIFS(Stangenbelegung!$F$5:$F$10004,Stangenbelegung!$A$5:$A$10004,$A16))</f>
        <v/>
      </c>
      <c r="I16" s="23" t="n"/>
      <c r="J16" s="35">
        <f>IF($A16="","",$E16+H16+$I16)</f>
        <v/>
      </c>
      <c r="K16" s="35">
        <f>IF($A16="","",$D16-J16)</f>
        <v/>
      </c>
      <c r="L16" s="32">
        <f>IF($A16="","",H16/$D16)</f>
        <v/>
      </c>
      <c r="M16" s="28">
        <f>IF($A16="","",IF(OR(J16+$F16&gt;$D16+0.001,_xlfn.MAXIFS(Stangenbelegung!$H$5:$H$10004,Stangenbelegung!$A$5:$A$10004,$A16)&gt;$D16-$F16+0.001),"ÜBERBELEGT","OK"))</f>
        <v/>
      </c>
      <c r="N16" s="24" t="n"/>
      <c r="O16" s="24" t="n"/>
      <c r="P16" s="9" t="n"/>
      <c r="Q16" s="18">
        <f>IF($A16="","",IFERROR($D16/1000*INDEX(Profile!$K$5:$K$304,MATCH($B16,lst_Profil,0))*INDEX(Werkstoffe!$E$5:$E$304,MATCH($C16,lst_Werkstoff,0))/1000,""))</f>
        <v/>
      </c>
      <c r="R16" s="18">
        <f>IF($A16="","",IF(N(_xlfn.MAXIFS(Auftrag!$AP$13:$AP$512,Auftrag!$D$13:$D$512,$B16,Auftrag!$E$13:$E$512,$C16,Auftrag!$Q$13:$Q$512,$D16))&gt;0,_xlfn.MAXIFS(Auftrag!$AP$13:$AP$512,Auftrag!$D$13:$D$512,$B16,Auftrag!$E$13:$E$512,$C16,Auftrag!$Q$13:$Q$512,$D16)*$D16/1000,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9" t="n"/>
      <c r="E17" s="24" t="n"/>
      <c r="F17" s="24" t="n"/>
      <c r="G17" s="12">
        <f>IF($A17="","",COUNTIFS(Stangenbelegung!$A$5:$A$10004,$A17))</f>
        <v/>
      </c>
      <c r="H17" s="35">
        <f>IF($A17="","",SUMIFS(Stangenbelegung!$F$5:$F$10004,Stangenbelegung!$A$5:$A$10004,$A17))</f>
        <v/>
      </c>
      <c r="I17" s="23" t="n"/>
      <c r="J17" s="35">
        <f>IF($A17="","",$E17+H17+$I17)</f>
        <v/>
      </c>
      <c r="K17" s="35">
        <f>IF($A17="","",$D17-J17)</f>
        <v/>
      </c>
      <c r="L17" s="32">
        <f>IF($A17="","",H17/$D17)</f>
        <v/>
      </c>
      <c r="M17" s="28">
        <f>IF($A17="","",IF(OR(J17+$F17&gt;$D17+0.001,_xlfn.MAXIFS(Stangenbelegung!$H$5:$H$10004,Stangenbelegung!$A$5:$A$10004,$A17)&gt;$D17-$F17+0.001),"ÜBERBELEGT","OK"))</f>
        <v/>
      </c>
      <c r="N17" s="24" t="n"/>
      <c r="O17" s="24" t="n"/>
      <c r="P17" s="9" t="n"/>
      <c r="Q17" s="18">
        <f>IF($A17="","",IFERROR($D17/1000*INDEX(Profile!$K$5:$K$304,MATCH($B17,lst_Profil,0))*INDEX(Werkstoffe!$E$5:$E$304,MATCH($C17,lst_Werkstoff,0))/1000,""))</f>
        <v/>
      </c>
      <c r="R17" s="18">
        <f>IF($A17="","",IF(N(_xlfn.MAXIFS(Auftrag!$AP$13:$AP$512,Auftrag!$D$13:$D$512,$B17,Auftrag!$E$13:$E$512,$C17,Auftrag!$Q$13:$Q$512,$D17))&gt;0,_xlfn.MAXIFS(Auftrag!$AP$13:$AP$512,Auftrag!$D$13:$D$512,$B17,Auftrag!$E$13:$E$512,$C17,Auftrag!$Q$13:$Q$512,$D17)*$D17/1000,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9" t="n"/>
      <c r="E18" s="24" t="n"/>
      <c r="F18" s="24" t="n"/>
      <c r="G18" s="12">
        <f>IF($A18="","",COUNTIFS(Stangenbelegung!$A$5:$A$10004,$A18))</f>
        <v/>
      </c>
      <c r="H18" s="35">
        <f>IF($A18="","",SUMIFS(Stangenbelegung!$F$5:$F$10004,Stangenbelegung!$A$5:$A$10004,$A18))</f>
        <v/>
      </c>
      <c r="I18" s="23" t="n"/>
      <c r="J18" s="35">
        <f>IF($A18="","",$E18+H18+$I18)</f>
        <v/>
      </c>
      <c r="K18" s="35">
        <f>IF($A18="","",$D18-J18)</f>
        <v/>
      </c>
      <c r="L18" s="32">
        <f>IF($A18="","",H18/$D18)</f>
        <v/>
      </c>
      <c r="M18" s="28">
        <f>IF($A18="","",IF(OR(J18+$F18&gt;$D18+0.001,_xlfn.MAXIFS(Stangenbelegung!$H$5:$H$10004,Stangenbelegung!$A$5:$A$10004,$A18)&gt;$D18-$F18+0.001),"ÜBERBELEGT","OK"))</f>
        <v/>
      </c>
      <c r="N18" s="24" t="n"/>
      <c r="O18" s="24" t="n"/>
      <c r="P18" s="9" t="n"/>
      <c r="Q18" s="18">
        <f>IF($A18="","",IFERROR($D18/1000*INDEX(Profile!$K$5:$K$304,MATCH($B18,lst_Profil,0))*INDEX(Werkstoffe!$E$5:$E$304,MATCH($C18,lst_Werkstoff,0))/1000,""))</f>
        <v/>
      </c>
      <c r="R18" s="18">
        <f>IF($A18="","",IF(N(_xlfn.MAXIFS(Auftrag!$AP$13:$AP$512,Auftrag!$D$13:$D$512,$B18,Auftrag!$E$13:$E$512,$C18,Auftrag!$Q$13:$Q$512,$D18))&gt;0,_xlfn.MAXIFS(Auftrag!$AP$13:$AP$512,Auftrag!$D$13:$D$512,$B18,Auftrag!$E$13:$E$512,$C18,Auftrag!$Q$13:$Q$512,$D18)*$D18/1000,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9" t="n"/>
      <c r="E19" s="24" t="n"/>
      <c r="F19" s="24" t="n"/>
      <c r="G19" s="12">
        <f>IF($A19="","",COUNTIFS(Stangenbelegung!$A$5:$A$10004,$A19))</f>
        <v/>
      </c>
      <c r="H19" s="35">
        <f>IF($A19="","",SUMIFS(Stangenbelegung!$F$5:$F$10004,Stangenbelegung!$A$5:$A$10004,$A19))</f>
        <v/>
      </c>
      <c r="I19" s="23" t="n"/>
      <c r="J19" s="35">
        <f>IF($A19="","",$E19+H19+$I19)</f>
        <v/>
      </c>
      <c r="K19" s="35">
        <f>IF($A19="","",$D19-J19)</f>
        <v/>
      </c>
      <c r="L19" s="32">
        <f>IF($A19="","",H19/$D19)</f>
        <v/>
      </c>
      <c r="M19" s="28">
        <f>IF($A19="","",IF(OR(J19+$F19&gt;$D19+0.001,_xlfn.MAXIFS(Stangenbelegung!$H$5:$H$10004,Stangenbelegung!$A$5:$A$10004,$A19)&gt;$D19-$F19+0.001),"ÜBERBELEGT","OK"))</f>
        <v/>
      </c>
      <c r="N19" s="24" t="n"/>
      <c r="O19" s="24" t="n"/>
      <c r="P19" s="9" t="n"/>
      <c r="Q19" s="18">
        <f>IF($A19="","",IFERROR($D19/1000*INDEX(Profile!$K$5:$K$304,MATCH($B19,lst_Profil,0))*INDEX(Werkstoffe!$E$5:$E$304,MATCH($C19,lst_Werkstoff,0))/1000,""))</f>
        <v/>
      </c>
      <c r="R19" s="18">
        <f>IF($A19="","",IF(N(_xlfn.MAXIFS(Auftrag!$AP$13:$AP$512,Auftrag!$D$13:$D$512,$B19,Auftrag!$E$13:$E$512,$C19,Auftrag!$Q$13:$Q$512,$D19))&gt;0,_xlfn.MAXIFS(Auftrag!$AP$13:$AP$512,Auftrag!$D$13:$D$512,$B19,Auftrag!$E$13:$E$512,$C19,Auftrag!$Q$13:$Q$512,$D19)*$D19/1000,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9" t="n"/>
      <c r="E20" s="24" t="n"/>
      <c r="F20" s="24" t="n"/>
      <c r="G20" s="12">
        <f>IF($A20="","",COUNTIFS(Stangenbelegung!$A$5:$A$10004,$A20))</f>
        <v/>
      </c>
      <c r="H20" s="35">
        <f>IF($A20="","",SUMIFS(Stangenbelegung!$F$5:$F$10004,Stangenbelegung!$A$5:$A$10004,$A20))</f>
        <v/>
      </c>
      <c r="I20" s="23" t="n"/>
      <c r="J20" s="35">
        <f>IF($A20="","",$E20+H20+$I20)</f>
        <v/>
      </c>
      <c r="K20" s="35">
        <f>IF($A20="","",$D20-J20)</f>
        <v/>
      </c>
      <c r="L20" s="32">
        <f>IF($A20="","",H20/$D20)</f>
        <v/>
      </c>
      <c r="M20" s="28">
        <f>IF($A20="","",IF(OR(J20+$F20&gt;$D20+0.001,_xlfn.MAXIFS(Stangenbelegung!$H$5:$H$10004,Stangenbelegung!$A$5:$A$10004,$A20)&gt;$D20-$F20+0.001),"ÜBERBELEGT","OK"))</f>
        <v/>
      </c>
      <c r="N20" s="24" t="n"/>
      <c r="O20" s="24" t="n"/>
      <c r="P20" s="9" t="n"/>
      <c r="Q20" s="18">
        <f>IF($A20="","",IFERROR($D20/1000*INDEX(Profile!$K$5:$K$304,MATCH($B20,lst_Profil,0))*INDEX(Werkstoffe!$E$5:$E$304,MATCH($C20,lst_Werkstoff,0))/1000,""))</f>
        <v/>
      </c>
      <c r="R20" s="18">
        <f>IF($A20="","",IF(N(_xlfn.MAXIFS(Auftrag!$AP$13:$AP$512,Auftrag!$D$13:$D$512,$B20,Auftrag!$E$13:$E$512,$C20,Auftrag!$Q$13:$Q$512,$D20))&gt;0,_xlfn.MAXIFS(Auftrag!$AP$13:$AP$512,Auftrag!$D$13:$D$512,$B20,Auftrag!$E$13:$E$512,$C20,Auftrag!$Q$13:$Q$512,$D20)*$D20/1000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9" t="n"/>
      <c r="E21" s="24" t="n"/>
      <c r="F21" s="24" t="n"/>
      <c r="G21" s="12">
        <f>IF($A21="","",COUNTIFS(Stangenbelegung!$A$5:$A$10004,$A21))</f>
        <v/>
      </c>
      <c r="H21" s="35">
        <f>IF($A21="","",SUMIFS(Stangenbelegung!$F$5:$F$10004,Stangenbelegung!$A$5:$A$10004,$A21))</f>
        <v/>
      </c>
      <c r="I21" s="23" t="n"/>
      <c r="J21" s="35">
        <f>IF($A21="","",$E21+H21+$I21)</f>
        <v/>
      </c>
      <c r="K21" s="35">
        <f>IF($A21="","",$D21-J21)</f>
        <v/>
      </c>
      <c r="L21" s="32">
        <f>IF($A21="","",H21/$D21)</f>
        <v/>
      </c>
      <c r="M21" s="28">
        <f>IF($A21="","",IF(OR(J21+$F21&gt;$D21+0.001,_xlfn.MAXIFS(Stangenbelegung!$H$5:$H$10004,Stangenbelegung!$A$5:$A$10004,$A21)&gt;$D21-$F21+0.001),"ÜBERBELEGT","OK"))</f>
        <v/>
      </c>
      <c r="N21" s="24" t="n"/>
      <c r="O21" s="24" t="n"/>
      <c r="P21" s="9" t="n"/>
      <c r="Q21" s="18">
        <f>IF($A21="","",IFERROR($D21/1000*INDEX(Profile!$K$5:$K$304,MATCH($B21,lst_Profil,0))*INDEX(Werkstoffe!$E$5:$E$304,MATCH($C21,lst_Werkstoff,0))/1000,""))</f>
        <v/>
      </c>
      <c r="R21" s="18">
        <f>IF($A21="","",IF(N(_xlfn.MAXIFS(Auftrag!$AP$13:$AP$512,Auftrag!$D$13:$D$512,$B21,Auftrag!$E$13:$E$512,$C21,Auftrag!$Q$13:$Q$512,$D21))&gt;0,_xlfn.MAXIFS(Auftrag!$AP$13:$AP$512,Auftrag!$D$13:$D$512,$B21,Auftrag!$E$13:$E$512,$C21,Auftrag!$Q$13:$Q$512,$D21)*$D21/1000,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9" t="n"/>
      <c r="E22" s="24" t="n"/>
      <c r="F22" s="24" t="n"/>
      <c r="G22" s="12">
        <f>IF($A22="","",COUNTIFS(Stangenbelegung!$A$5:$A$10004,$A22))</f>
        <v/>
      </c>
      <c r="H22" s="35">
        <f>IF($A22="","",SUMIFS(Stangenbelegung!$F$5:$F$10004,Stangenbelegung!$A$5:$A$10004,$A22))</f>
        <v/>
      </c>
      <c r="I22" s="23" t="n"/>
      <c r="J22" s="35">
        <f>IF($A22="","",$E22+H22+$I22)</f>
        <v/>
      </c>
      <c r="K22" s="35">
        <f>IF($A22="","",$D22-J22)</f>
        <v/>
      </c>
      <c r="L22" s="32">
        <f>IF($A22="","",H22/$D22)</f>
        <v/>
      </c>
      <c r="M22" s="28">
        <f>IF($A22="","",IF(OR(J22+$F22&gt;$D22+0.001,_xlfn.MAXIFS(Stangenbelegung!$H$5:$H$10004,Stangenbelegung!$A$5:$A$10004,$A22)&gt;$D22-$F22+0.001),"ÜBERBELEGT","OK"))</f>
        <v/>
      </c>
      <c r="N22" s="24" t="n"/>
      <c r="O22" s="24" t="n"/>
      <c r="P22" s="9" t="n"/>
      <c r="Q22" s="18">
        <f>IF($A22="","",IFERROR($D22/1000*INDEX(Profile!$K$5:$K$304,MATCH($B22,lst_Profil,0))*INDEX(Werkstoffe!$E$5:$E$304,MATCH($C22,lst_Werkstoff,0))/1000,""))</f>
        <v/>
      </c>
      <c r="R22" s="18">
        <f>IF($A22="","",IF(N(_xlfn.MAXIFS(Auftrag!$AP$13:$AP$512,Auftrag!$D$13:$D$512,$B22,Auftrag!$E$13:$E$512,$C22,Auftrag!$Q$13:$Q$512,$D22))&gt;0,_xlfn.MAXIFS(Auftrag!$AP$13:$AP$512,Auftrag!$D$13:$D$512,$B22,Auftrag!$E$13:$E$512,$C22,Auftrag!$Q$13:$Q$512,$D22)*$D22/1000,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9" t="n"/>
      <c r="E23" s="24" t="n"/>
      <c r="F23" s="24" t="n"/>
      <c r="G23" s="12">
        <f>IF($A23="","",COUNTIFS(Stangenbelegung!$A$5:$A$10004,$A23))</f>
        <v/>
      </c>
      <c r="H23" s="35">
        <f>IF($A23="","",SUMIFS(Stangenbelegung!$F$5:$F$10004,Stangenbelegung!$A$5:$A$10004,$A23))</f>
        <v/>
      </c>
      <c r="I23" s="23" t="n"/>
      <c r="J23" s="35">
        <f>IF($A23="","",$E23+H23+$I23)</f>
        <v/>
      </c>
      <c r="K23" s="35">
        <f>IF($A23="","",$D23-J23)</f>
        <v/>
      </c>
      <c r="L23" s="32">
        <f>IF($A23="","",H23/$D23)</f>
        <v/>
      </c>
      <c r="M23" s="28">
        <f>IF($A23="","",IF(OR(J23+$F23&gt;$D23+0.001,_xlfn.MAXIFS(Stangenbelegung!$H$5:$H$10004,Stangenbelegung!$A$5:$A$10004,$A23)&gt;$D23-$F23+0.001),"ÜBERBELEGT","OK"))</f>
        <v/>
      </c>
      <c r="N23" s="24" t="n"/>
      <c r="O23" s="24" t="n"/>
      <c r="P23" s="9" t="n"/>
      <c r="Q23" s="18">
        <f>IF($A23="","",IFERROR($D23/1000*INDEX(Profile!$K$5:$K$304,MATCH($B23,lst_Profil,0))*INDEX(Werkstoffe!$E$5:$E$304,MATCH($C23,lst_Werkstoff,0))/1000,""))</f>
        <v/>
      </c>
      <c r="R23" s="18">
        <f>IF($A23="","",IF(N(_xlfn.MAXIFS(Auftrag!$AP$13:$AP$512,Auftrag!$D$13:$D$512,$B23,Auftrag!$E$13:$E$512,$C23,Auftrag!$Q$13:$Q$512,$D23))&gt;0,_xlfn.MAXIFS(Auftrag!$AP$13:$AP$512,Auftrag!$D$13:$D$512,$B23,Auftrag!$E$13:$E$512,$C23,Auftrag!$Q$13:$Q$512,$D23)*$D23/1000,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9" t="n"/>
      <c r="E24" s="24" t="n"/>
      <c r="F24" s="24" t="n"/>
      <c r="G24" s="12">
        <f>IF($A24="","",COUNTIFS(Stangenbelegung!$A$5:$A$10004,$A24))</f>
        <v/>
      </c>
      <c r="H24" s="35">
        <f>IF($A24="","",SUMIFS(Stangenbelegung!$F$5:$F$10004,Stangenbelegung!$A$5:$A$10004,$A24))</f>
        <v/>
      </c>
      <c r="I24" s="23" t="n"/>
      <c r="J24" s="35">
        <f>IF($A24="","",$E24+H24+$I24)</f>
        <v/>
      </c>
      <c r="K24" s="35">
        <f>IF($A24="","",$D24-J24)</f>
        <v/>
      </c>
      <c r="L24" s="32">
        <f>IF($A24="","",H24/$D24)</f>
        <v/>
      </c>
      <c r="M24" s="28">
        <f>IF($A24="","",IF(OR(J24+$F24&gt;$D24+0.001,_xlfn.MAXIFS(Stangenbelegung!$H$5:$H$10004,Stangenbelegung!$A$5:$A$10004,$A24)&gt;$D24-$F24+0.001),"ÜBERBELEGT","OK"))</f>
        <v/>
      </c>
      <c r="N24" s="24" t="n"/>
      <c r="O24" s="24" t="n"/>
      <c r="P24" s="9" t="n"/>
      <c r="Q24" s="18">
        <f>IF($A24="","",IFERROR($D24/1000*INDEX(Profile!$K$5:$K$304,MATCH($B24,lst_Profil,0))*INDEX(Werkstoffe!$E$5:$E$304,MATCH($C24,lst_Werkstoff,0))/1000,""))</f>
        <v/>
      </c>
      <c r="R24" s="18">
        <f>IF($A24="","",IF(N(_xlfn.MAXIFS(Auftrag!$AP$13:$AP$512,Auftrag!$D$13:$D$512,$B24,Auftrag!$E$13:$E$512,$C24,Auftrag!$Q$13:$Q$512,$D24))&gt;0,_xlfn.MAXIFS(Auftrag!$AP$13:$AP$512,Auftrag!$D$13:$D$512,$B24,Auftrag!$E$13:$E$512,$C24,Auftrag!$Q$13:$Q$512,$D24)*$D24/1000,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9" t="n"/>
      <c r="E25" s="24" t="n"/>
      <c r="F25" s="24" t="n"/>
      <c r="G25" s="12">
        <f>IF($A25="","",COUNTIFS(Stangenbelegung!$A$5:$A$10004,$A25))</f>
        <v/>
      </c>
      <c r="H25" s="35">
        <f>IF($A25="","",SUMIFS(Stangenbelegung!$F$5:$F$10004,Stangenbelegung!$A$5:$A$10004,$A25))</f>
        <v/>
      </c>
      <c r="I25" s="23" t="n"/>
      <c r="J25" s="35">
        <f>IF($A25="","",$E25+H25+$I25)</f>
        <v/>
      </c>
      <c r="K25" s="35">
        <f>IF($A25="","",$D25-J25)</f>
        <v/>
      </c>
      <c r="L25" s="32">
        <f>IF($A25="","",H25/$D25)</f>
        <v/>
      </c>
      <c r="M25" s="28">
        <f>IF($A25="","",IF(OR(J25+$F25&gt;$D25+0.001,_xlfn.MAXIFS(Stangenbelegung!$H$5:$H$10004,Stangenbelegung!$A$5:$A$10004,$A25)&gt;$D25-$F25+0.001),"ÜBERBELEGT","OK"))</f>
        <v/>
      </c>
      <c r="N25" s="24" t="n"/>
      <c r="O25" s="24" t="n"/>
      <c r="P25" s="9" t="n"/>
      <c r="Q25" s="18">
        <f>IF($A25="","",IFERROR($D25/1000*INDEX(Profile!$K$5:$K$304,MATCH($B25,lst_Profil,0))*INDEX(Werkstoffe!$E$5:$E$304,MATCH($C25,lst_Werkstoff,0))/1000,""))</f>
        <v/>
      </c>
      <c r="R25" s="18">
        <f>IF($A25="","",IF(N(_xlfn.MAXIFS(Auftrag!$AP$13:$AP$512,Auftrag!$D$13:$D$512,$B25,Auftrag!$E$13:$E$512,$C25,Auftrag!$Q$13:$Q$512,$D25))&gt;0,_xlfn.MAXIFS(Auftrag!$AP$13:$AP$512,Auftrag!$D$13:$D$512,$B25,Auftrag!$E$13:$E$512,$C25,Auftrag!$Q$13:$Q$512,$D25)*$D25/1000,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9" t="n"/>
      <c r="E26" s="24" t="n"/>
      <c r="F26" s="24" t="n"/>
      <c r="G26" s="12">
        <f>IF($A26="","",COUNTIFS(Stangenbelegung!$A$5:$A$10004,$A26))</f>
        <v/>
      </c>
      <c r="H26" s="35">
        <f>IF($A26="","",SUMIFS(Stangenbelegung!$F$5:$F$10004,Stangenbelegung!$A$5:$A$10004,$A26))</f>
        <v/>
      </c>
      <c r="I26" s="23" t="n"/>
      <c r="J26" s="35">
        <f>IF($A26="","",$E26+H26+$I26)</f>
        <v/>
      </c>
      <c r="K26" s="35">
        <f>IF($A26="","",$D26-J26)</f>
        <v/>
      </c>
      <c r="L26" s="32">
        <f>IF($A26="","",H26/$D26)</f>
        <v/>
      </c>
      <c r="M26" s="28">
        <f>IF($A26="","",IF(OR(J26+$F26&gt;$D26+0.001,_xlfn.MAXIFS(Stangenbelegung!$H$5:$H$10004,Stangenbelegung!$A$5:$A$10004,$A26)&gt;$D26-$F26+0.001),"ÜBERBELEGT","OK"))</f>
        <v/>
      </c>
      <c r="N26" s="24" t="n"/>
      <c r="O26" s="24" t="n"/>
      <c r="P26" s="9" t="n"/>
      <c r="Q26" s="18">
        <f>IF($A26="","",IFERROR($D26/1000*INDEX(Profile!$K$5:$K$304,MATCH($B26,lst_Profil,0))*INDEX(Werkstoffe!$E$5:$E$304,MATCH($C26,lst_Werkstoff,0))/1000,""))</f>
        <v/>
      </c>
      <c r="R26" s="18">
        <f>IF($A26="","",IF(N(_xlfn.MAXIFS(Auftrag!$AP$13:$AP$512,Auftrag!$D$13:$D$512,$B26,Auftrag!$E$13:$E$512,$C26,Auftrag!$Q$13:$Q$512,$D26))&gt;0,_xlfn.MAXIFS(Auftrag!$AP$13:$AP$512,Auftrag!$D$13:$D$512,$B26,Auftrag!$E$13:$E$512,$C26,Auftrag!$Q$13:$Q$512,$D26)*$D26/1000,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9" t="n"/>
      <c r="E27" s="24" t="n"/>
      <c r="F27" s="24" t="n"/>
      <c r="G27" s="12">
        <f>IF($A27="","",COUNTIFS(Stangenbelegung!$A$5:$A$10004,$A27))</f>
        <v/>
      </c>
      <c r="H27" s="35">
        <f>IF($A27="","",SUMIFS(Stangenbelegung!$F$5:$F$10004,Stangenbelegung!$A$5:$A$10004,$A27))</f>
        <v/>
      </c>
      <c r="I27" s="23" t="n"/>
      <c r="J27" s="35">
        <f>IF($A27="","",$E27+H27+$I27)</f>
        <v/>
      </c>
      <c r="K27" s="35">
        <f>IF($A27="","",$D27-J27)</f>
        <v/>
      </c>
      <c r="L27" s="32">
        <f>IF($A27="","",H27/$D27)</f>
        <v/>
      </c>
      <c r="M27" s="28">
        <f>IF($A27="","",IF(OR(J27+$F27&gt;$D27+0.001,_xlfn.MAXIFS(Stangenbelegung!$H$5:$H$10004,Stangenbelegung!$A$5:$A$10004,$A27)&gt;$D27-$F27+0.001),"ÜBERBELEGT","OK"))</f>
        <v/>
      </c>
      <c r="N27" s="24" t="n"/>
      <c r="O27" s="24" t="n"/>
      <c r="P27" s="9" t="n"/>
      <c r="Q27" s="18">
        <f>IF($A27="","",IFERROR($D27/1000*INDEX(Profile!$K$5:$K$304,MATCH($B27,lst_Profil,0))*INDEX(Werkstoffe!$E$5:$E$304,MATCH($C27,lst_Werkstoff,0))/1000,""))</f>
        <v/>
      </c>
      <c r="R27" s="18">
        <f>IF($A27="","",IF(N(_xlfn.MAXIFS(Auftrag!$AP$13:$AP$512,Auftrag!$D$13:$D$512,$B27,Auftrag!$E$13:$E$512,$C27,Auftrag!$Q$13:$Q$512,$D27))&gt;0,_xlfn.MAXIFS(Auftrag!$AP$13:$AP$512,Auftrag!$D$13:$D$512,$B27,Auftrag!$E$13:$E$512,$C27,Auftrag!$Q$13:$Q$512,$D27)*$D27/1000,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9" t="n"/>
      <c r="E28" s="24" t="n"/>
      <c r="F28" s="24" t="n"/>
      <c r="G28" s="12">
        <f>IF($A28="","",COUNTIFS(Stangenbelegung!$A$5:$A$10004,$A28))</f>
        <v/>
      </c>
      <c r="H28" s="35">
        <f>IF($A28="","",SUMIFS(Stangenbelegung!$F$5:$F$10004,Stangenbelegung!$A$5:$A$10004,$A28))</f>
        <v/>
      </c>
      <c r="I28" s="23" t="n"/>
      <c r="J28" s="35">
        <f>IF($A28="","",$E28+H28+$I28)</f>
        <v/>
      </c>
      <c r="K28" s="35">
        <f>IF($A28="","",$D28-J28)</f>
        <v/>
      </c>
      <c r="L28" s="32">
        <f>IF($A28="","",H28/$D28)</f>
        <v/>
      </c>
      <c r="M28" s="28">
        <f>IF($A28="","",IF(OR(J28+$F28&gt;$D28+0.001,_xlfn.MAXIFS(Stangenbelegung!$H$5:$H$10004,Stangenbelegung!$A$5:$A$10004,$A28)&gt;$D28-$F28+0.001),"ÜBERBELEGT","OK"))</f>
        <v/>
      </c>
      <c r="N28" s="24" t="n"/>
      <c r="O28" s="24" t="n"/>
      <c r="P28" s="9" t="n"/>
      <c r="Q28" s="18">
        <f>IF($A28="","",IFERROR($D28/1000*INDEX(Profile!$K$5:$K$304,MATCH($B28,lst_Profil,0))*INDEX(Werkstoffe!$E$5:$E$304,MATCH($C28,lst_Werkstoff,0))/1000,""))</f>
        <v/>
      </c>
      <c r="R28" s="18">
        <f>IF($A28="","",IF(N(_xlfn.MAXIFS(Auftrag!$AP$13:$AP$512,Auftrag!$D$13:$D$512,$B28,Auftrag!$E$13:$E$512,$C28,Auftrag!$Q$13:$Q$512,$D28))&gt;0,_xlfn.MAXIFS(Auftrag!$AP$13:$AP$512,Auftrag!$D$13:$D$512,$B28,Auftrag!$E$13:$E$512,$C28,Auftrag!$Q$13:$Q$512,$D28)*$D28/1000,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9" t="n"/>
      <c r="E29" s="24" t="n"/>
      <c r="F29" s="24" t="n"/>
      <c r="G29" s="12">
        <f>IF($A29="","",COUNTIFS(Stangenbelegung!$A$5:$A$10004,$A29))</f>
        <v/>
      </c>
      <c r="H29" s="35">
        <f>IF($A29="","",SUMIFS(Stangenbelegung!$F$5:$F$10004,Stangenbelegung!$A$5:$A$10004,$A29))</f>
        <v/>
      </c>
      <c r="I29" s="23" t="n"/>
      <c r="J29" s="35">
        <f>IF($A29="","",$E29+H29+$I29)</f>
        <v/>
      </c>
      <c r="K29" s="35">
        <f>IF($A29="","",$D29-J29)</f>
        <v/>
      </c>
      <c r="L29" s="32">
        <f>IF($A29="","",H29/$D29)</f>
        <v/>
      </c>
      <c r="M29" s="28">
        <f>IF($A29="","",IF(OR(J29+$F29&gt;$D29+0.001,_xlfn.MAXIFS(Stangenbelegung!$H$5:$H$10004,Stangenbelegung!$A$5:$A$10004,$A29)&gt;$D29-$F29+0.001),"ÜBERBELEGT","OK"))</f>
        <v/>
      </c>
      <c r="N29" s="24" t="n"/>
      <c r="O29" s="24" t="n"/>
      <c r="P29" s="9" t="n"/>
      <c r="Q29" s="18">
        <f>IF($A29="","",IFERROR($D29/1000*INDEX(Profile!$K$5:$K$304,MATCH($B29,lst_Profil,0))*INDEX(Werkstoffe!$E$5:$E$304,MATCH($C29,lst_Werkstoff,0))/1000,""))</f>
        <v/>
      </c>
      <c r="R29" s="18">
        <f>IF($A29="","",IF(N(_xlfn.MAXIFS(Auftrag!$AP$13:$AP$512,Auftrag!$D$13:$D$512,$B29,Auftrag!$E$13:$E$512,$C29,Auftrag!$Q$13:$Q$512,$D29))&gt;0,_xlfn.MAXIFS(Auftrag!$AP$13:$AP$512,Auftrag!$D$13:$D$512,$B29,Auftrag!$E$13:$E$512,$C29,Auftrag!$Q$13:$Q$512,$D29)*$D29/1000,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9" t="n"/>
      <c r="E30" s="24" t="n"/>
      <c r="F30" s="24" t="n"/>
      <c r="G30" s="12">
        <f>IF($A30="","",COUNTIFS(Stangenbelegung!$A$5:$A$10004,$A30))</f>
        <v/>
      </c>
      <c r="H30" s="35">
        <f>IF($A30="","",SUMIFS(Stangenbelegung!$F$5:$F$10004,Stangenbelegung!$A$5:$A$10004,$A30))</f>
        <v/>
      </c>
      <c r="I30" s="23" t="n"/>
      <c r="J30" s="35">
        <f>IF($A30="","",$E30+H30+$I30)</f>
        <v/>
      </c>
      <c r="K30" s="35">
        <f>IF($A30="","",$D30-J30)</f>
        <v/>
      </c>
      <c r="L30" s="32">
        <f>IF($A30="","",H30/$D30)</f>
        <v/>
      </c>
      <c r="M30" s="28">
        <f>IF($A30="","",IF(OR(J30+$F30&gt;$D30+0.001,_xlfn.MAXIFS(Stangenbelegung!$H$5:$H$10004,Stangenbelegung!$A$5:$A$10004,$A30)&gt;$D30-$F30+0.001),"ÜBERBELEGT","OK"))</f>
        <v/>
      </c>
      <c r="N30" s="24" t="n"/>
      <c r="O30" s="24" t="n"/>
      <c r="P30" s="9" t="n"/>
      <c r="Q30" s="18">
        <f>IF($A30="","",IFERROR($D30/1000*INDEX(Profile!$K$5:$K$304,MATCH($B30,lst_Profil,0))*INDEX(Werkstoffe!$E$5:$E$304,MATCH($C30,lst_Werkstoff,0))/1000,""))</f>
        <v/>
      </c>
      <c r="R30" s="18">
        <f>IF($A30="","",IF(N(_xlfn.MAXIFS(Auftrag!$AP$13:$AP$512,Auftrag!$D$13:$D$512,$B30,Auftrag!$E$13:$E$512,$C30,Auftrag!$Q$13:$Q$512,$D30))&gt;0,_xlfn.MAXIFS(Auftrag!$AP$13:$AP$512,Auftrag!$D$13:$D$512,$B30,Auftrag!$E$13:$E$512,$C30,Auftrag!$Q$13:$Q$512,$D30)*$D30/1000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9" t="n"/>
      <c r="E31" s="24" t="n"/>
      <c r="F31" s="24" t="n"/>
      <c r="G31" s="12">
        <f>IF($A31="","",COUNTIFS(Stangenbelegung!$A$5:$A$10004,$A31))</f>
        <v/>
      </c>
      <c r="H31" s="35">
        <f>IF($A31="","",SUMIFS(Stangenbelegung!$F$5:$F$10004,Stangenbelegung!$A$5:$A$10004,$A31))</f>
        <v/>
      </c>
      <c r="I31" s="23" t="n"/>
      <c r="J31" s="35">
        <f>IF($A31="","",$E31+H31+$I31)</f>
        <v/>
      </c>
      <c r="K31" s="35">
        <f>IF($A31="","",$D31-J31)</f>
        <v/>
      </c>
      <c r="L31" s="32">
        <f>IF($A31="","",H31/$D31)</f>
        <v/>
      </c>
      <c r="M31" s="28">
        <f>IF($A31="","",IF(OR(J31+$F31&gt;$D31+0.001,_xlfn.MAXIFS(Stangenbelegung!$H$5:$H$10004,Stangenbelegung!$A$5:$A$10004,$A31)&gt;$D31-$F31+0.001),"ÜBERBELEGT","OK"))</f>
        <v/>
      </c>
      <c r="N31" s="24" t="n"/>
      <c r="O31" s="24" t="n"/>
      <c r="P31" s="9" t="n"/>
      <c r="Q31" s="18">
        <f>IF($A31="","",IFERROR($D31/1000*INDEX(Profile!$K$5:$K$304,MATCH($B31,lst_Profil,0))*INDEX(Werkstoffe!$E$5:$E$304,MATCH($C31,lst_Werkstoff,0))/1000,""))</f>
        <v/>
      </c>
      <c r="R31" s="18">
        <f>IF($A31="","",IF(N(_xlfn.MAXIFS(Auftrag!$AP$13:$AP$512,Auftrag!$D$13:$D$512,$B31,Auftrag!$E$13:$E$512,$C31,Auftrag!$Q$13:$Q$512,$D31))&gt;0,_xlfn.MAXIFS(Auftrag!$AP$13:$AP$512,Auftrag!$D$13:$D$512,$B31,Auftrag!$E$13:$E$512,$C31,Auftrag!$Q$13:$Q$512,$D31)*$D31/1000,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9" t="n"/>
      <c r="E32" s="24" t="n"/>
      <c r="F32" s="24" t="n"/>
      <c r="G32" s="12">
        <f>IF($A32="","",COUNTIFS(Stangenbelegung!$A$5:$A$10004,$A32))</f>
        <v/>
      </c>
      <c r="H32" s="35">
        <f>IF($A32="","",SUMIFS(Stangenbelegung!$F$5:$F$10004,Stangenbelegung!$A$5:$A$10004,$A32))</f>
        <v/>
      </c>
      <c r="I32" s="23" t="n"/>
      <c r="J32" s="35">
        <f>IF($A32="","",$E32+H32+$I32)</f>
        <v/>
      </c>
      <c r="K32" s="35">
        <f>IF($A32="","",$D32-J32)</f>
        <v/>
      </c>
      <c r="L32" s="32">
        <f>IF($A32="","",H32/$D32)</f>
        <v/>
      </c>
      <c r="M32" s="28">
        <f>IF($A32="","",IF(OR(J32+$F32&gt;$D32+0.001,_xlfn.MAXIFS(Stangenbelegung!$H$5:$H$10004,Stangenbelegung!$A$5:$A$10004,$A32)&gt;$D32-$F32+0.001),"ÜBERBELEGT","OK"))</f>
        <v/>
      </c>
      <c r="N32" s="24" t="n"/>
      <c r="O32" s="24" t="n"/>
      <c r="P32" s="9" t="n"/>
      <c r="Q32" s="18">
        <f>IF($A32="","",IFERROR($D32/1000*INDEX(Profile!$K$5:$K$304,MATCH($B32,lst_Profil,0))*INDEX(Werkstoffe!$E$5:$E$304,MATCH($C32,lst_Werkstoff,0))/1000,""))</f>
        <v/>
      </c>
      <c r="R32" s="18">
        <f>IF($A32="","",IF(N(_xlfn.MAXIFS(Auftrag!$AP$13:$AP$512,Auftrag!$D$13:$D$512,$B32,Auftrag!$E$13:$E$512,$C32,Auftrag!$Q$13:$Q$512,$D32))&gt;0,_xlfn.MAXIFS(Auftrag!$AP$13:$AP$512,Auftrag!$D$13:$D$512,$B32,Auftrag!$E$13:$E$512,$C32,Auftrag!$Q$13:$Q$512,$D32)*$D32/1000,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9" t="n"/>
      <c r="E33" s="24" t="n"/>
      <c r="F33" s="24" t="n"/>
      <c r="G33" s="12">
        <f>IF($A33="","",COUNTIFS(Stangenbelegung!$A$5:$A$10004,$A33))</f>
        <v/>
      </c>
      <c r="H33" s="35">
        <f>IF($A33="","",SUMIFS(Stangenbelegung!$F$5:$F$10004,Stangenbelegung!$A$5:$A$10004,$A33))</f>
        <v/>
      </c>
      <c r="I33" s="23" t="n"/>
      <c r="J33" s="35">
        <f>IF($A33="","",$E33+H33+$I33)</f>
        <v/>
      </c>
      <c r="K33" s="35">
        <f>IF($A33="","",$D33-J33)</f>
        <v/>
      </c>
      <c r="L33" s="32">
        <f>IF($A33="","",H33/$D33)</f>
        <v/>
      </c>
      <c r="M33" s="28">
        <f>IF($A33="","",IF(OR(J33+$F33&gt;$D33+0.001,_xlfn.MAXIFS(Stangenbelegung!$H$5:$H$10004,Stangenbelegung!$A$5:$A$10004,$A33)&gt;$D33-$F33+0.001),"ÜBERBELEGT","OK"))</f>
        <v/>
      </c>
      <c r="N33" s="24" t="n"/>
      <c r="O33" s="24" t="n"/>
      <c r="P33" s="9" t="n"/>
      <c r="Q33" s="18">
        <f>IF($A33="","",IFERROR($D33/1000*INDEX(Profile!$K$5:$K$304,MATCH($B33,lst_Profil,0))*INDEX(Werkstoffe!$E$5:$E$304,MATCH($C33,lst_Werkstoff,0))/1000,""))</f>
        <v/>
      </c>
      <c r="R33" s="18">
        <f>IF($A33="","",IF(N(_xlfn.MAXIFS(Auftrag!$AP$13:$AP$512,Auftrag!$D$13:$D$512,$B33,Auftrag!$E$13:$E$512,$C33,Auftrag!$Q$13:$Q$512,$D33))&gt;0,_xlfn.MAXIFS(Auftrag!$AP$13:$AP$512,Auftrag!$D$13:$D$512,$B33,Auftrag!$E$13:$E$512,$C33,Auftrag!$Q$13:$Q$512,$D33)*$D33/1000,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9" t="n"/>
      <c r="E34" s="24" t="n"/>
      <c r="F34" s="24" t="n"/>
      <c r="G34" s="12">
        <f>IF($A34="","",COUNTIFS(Stangenbelegung!$A$5:$A$10004,$A34))</f>
        <v/>
      </c>
      <c r="H34" s="35">
        <f>IF($A34="","",SUMIFS(Stangenbelegung!$F$5:$F$10004,Stangenbelegung!$A$5:$A$10004,$A34))</f>
        <v/>
      </c>
      <c r="I34" s="23" t="n"/>
      <c r="J34" s="35">
        <f>IF($A34="","",$E34+H34+$I34)</f>
        <v/>
      </c>
      <c r="K34" s="35">
        <f>IF($A34="","",$D34-J34)</f>
        <v/>
      </c>
      <c r="L34" s="32">
        <f>IF($A34="","",H34/$D34)</f>
        <v/>
      </c>
      <c r="M34" s="28">
        <f>IF($A34="","",IF(OR(J34+$F34&gt;$D34+0.001,_xlfn.MAXIFS(Stangenbelegung!$H$5:$H$10004,Stangenbelegung!$A$5:$A$10004,$A34)&gt;$D34-$F34+0.001),"ÜBERBELEGT","OK"))</f>
        <v/>
      </c>
      <c r="N34" s="24" t="n"/>
      <c r="O34" s="24" t="n"/>
      <c r="P34" s="9" t="n"/>
      <c r="Q34" s="18">
        <f>IF($A34="","",IFERROR($D34/1000*INDEX(Profile!$K$5:$K$304,MATCH($B34,lst_Profil,0))*INDEX(Werkstoffe!$E$5:$E$304,MATCH($C34,lst_Werkstoff,0))/1000,""))</f>
        <v/>
      </c>
      <c r="R34" s="18">
        <f>IF($A34="","",IF(N(_xlfn.MAXIFS(Auftrag!$AP$13:$AP$512,Auftrag!$D$13:$D$512,$B34,Auftrag!$E$13:$E$512,$C34,Auftrag!$Q$13:$Q$512,$D34))&gt;0,_xlfn.MAXIFS(Auftrag!$AP$13:$AP$512,Auftrag!$D$13:$D$512,$B34,Auftrag!$E$13:$E$512,$C34,Auftrag!$Q$13:$Q$512,$D34)*$D34/1000,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9" t="n"/>
      <c r="E35" s="24" t="n"/>
      <c r="F35" s="24" t="n"/>
      <c r="G35" s="12">
        <f>IF($A35="","",COUNTIFS(Stangenbelegung!$A$5:$A$10004,$A35))</f>
        <v/>
      </c>
      <c r="H35" s="35">
        <f>IF($A35="","",SUMIFS(Stangenbelegung!$F$5:$F$10004,Stangenbelegung!$A$5:$A$10004,$A35))</f>
        <v/>
      </c>
      <c r="I35" s="23" t="n"/>
      <c r="J35" s="35">
        <f>IF($A35="","",$E35+H35+$I35)</f>
        <v/>
      </c>
      <c r="K35" s="35">
        <f>IF($A35="","",$D35-J35)</f>
        <v/>
      </c>
      <c r="L35" s="32">
        <f>IF($A35="","",H35/$D35)</f>
        <v/>
      </c>
      <c r="M35" s="28">
        <f>IF($A35="","",IF(OR(J35+$F35&gt;$D35+0.001,_xlfn.MAXIFS(Stangenbelegung!$H$5:$H$10004,Stangenbelegung!$A$5:$A$10004,$A35)&gt;$D35-$F35+0.001),"ÜBERBELEGT","OK"))</f>
        <v/>
      </c>
      <c r="N35" s="24" t="n"/>
      <c r="O35" s="24" t="n"/>
      <c r="P35" s="9" t="n"/>
      <c r="Q35" s="18">
        <f>IF($A35="","",IFERROR($D35/1000*INDEX(Profile!$K$5:$K$304,MATCH($B35,lst_Profil,0))*INDEX(Werkstoffe!$E$5:$E$304,MATCH($C35,lst_Werkstoff,0))/1000,""))</f>
        <v/>
      </c>
      <c r="R35" s="18">
        <f>IF($A35="","",IF(N(_xlfn.MAXIFS(Auftrag!$AP$13:$AP$512,Auftrag!$D$13:$D$512,$B35,Auftrag!$E$13:$E$512,$C35,Auftrag!$Q$13:$Q$512,$D35))&gt;0,_xlfn.MAXIFS(Auftrag!$AP$13:$AP$512,Auftrag!$D$13:$D$512,$B35,Auftrag!$E$13:$E$512,$C35,Auftrag!$Q$13:$Q$512,$D35)*$D35/1000,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9" t="n"/>
      <c r="E36" s="24" t="n"/>
      <c r="F36" s="24" t="n"/>
      <c r="G36" s="12">
        <f>IF($A36="","",COUNTIFS(Stangenbelegung!$A$5:$A$10004,$A36))</f>
        <v/>
      </c>
      <c r="H36" s="35">
        <f>IF($A36="","",SUMIFS(Stangenbelegung!$F$5:$F$10004,Stangenbelegung!$A$5:$A$10004,$A36))</f>
        <v/>
      </c>
      <c r="I36" s="23" t="n"/>
      <c r="J36" s="35">
        <f>IF($A36="","",$E36+H36+$I36)</f>
        <v/>
      </c>
      <c r="K36" s="35">
        <f>IF($A36="","",$D36-J36)</f>
        <v/>
      </c>
      <c r="L36" s="32">
        <f>IF($A36="","",H36/$D36)</f>
        <v/>
      </c>
      <c r="M36" s="28">
        <f>IF($A36="","",IF(OR(J36+$F36&gt;$D36+0.001,_xlfn.MAXIFS(Stangenbelegung!$H$5:$H$10004,Stangenbelegung!$A$5:$A$10004,$A36)&gt;$D36-$F36+0.001),"ÜBERBELEGT","OK"))</f>
        <v/>
      </c>
      <c r="N36" s="24" t="n"/>
      <c r="O36" s="24" t="n"/>
      <c r="P36" s="9" t="n"/>
      <c r="Q36" s="18">
        <f>IF($A36="","",IFERROR($D36/1000*INDEX(Profile!$K$5:$K$304,MATCH($B36,lst_Profil,0))*INDEX(Werkstoffe!$E$5:$E$304,MATCH($C36,lst_Werkstoff,0))/1000,""))</f>
        <v/>
      </c>
      <c r="R36" s="18">
        <f>IF($A36="","",IF(N(_xlfn.MAXIFS(Auftrag!$AP$13:$AP$512,Auftrag!$D$13:$D$512,$B36,Auftrag!$E$13:$E$512,$C36,Auftrag!$Q$13:$Q$512,$D36))&gt;0,_xlfn.MAXIFS(Auftrag!$AP$13:$AP$512,Auftrag!$D$13:$D$512,$B36,Auftrag!$E$13:$E$512,$C36,Auftrag!$Q$13:$Q$512,$D36)*$D36/1000,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9" t="n"/>
      <c r="E37" s="24" t="n"/>
      <c r="F37" s="24" t="n"/>
      <c r="G37" s="12">
        <f>IF($A37="","",COUNTIFS(Stangenbelegung!$A$5:$A$10004,$A37))</f>
        <v/>
      </c>
      <c r="H37" s="35">
        <f>IF($A37="","",SUMIFS(Stangenbelegung!$F$5:$F$10004,Stangenbelegung!$A$5:$A$10004,$A37))</f>
        <v/>
      </c>
      <c r="I37" s="23" t="n"/>
      <c r="J37" s="35">
        <f>IF($A37="","",$E37+H37+$I37)</f>
        <v/>
      </c>
      <c r="K37" s="35">
        <f>IF($A37="","",$D37-J37)</f>
        <v/>
      </c>
      <c r="L37" s="32">
        <f>IF($A37="","",H37/$D37)</f>
        <v/>
      </c>
      <c r="M37" s="28">
        <f>IF($A37="","",IF(OR(J37+$F37&gt;$D37+0.001,_xlfn.MAXIFS(Stangenbelegung!$H$5:$H$10004,Stangenbelegung!$A$5:$A$10004,$A37)&gt;$D37-$F37+0.001),"ÜBERBELEGT","OK"))</f>
        <v/>
      </c>
      <c r="N37" s="24" t="n"/>
      <c r="O37" s="24" t="n"/>
      <c r="P37" s="9" t="n"/>
      <c r="Q37" s="18">
        <f>IF($A37="","",IFERROR($D37/1000*INDEX(Profile!$K$5:$K$304,MATCH($B37,lst_Profil,0))*INDEX(Werkstoffe!$E$5:$E$304,MATCH($C37,lst_Werkstoff,0))/1000,""))</f>
        <v/>
      </c>
      <c r="R37" s="18">
        <f>IF($A37="","",IF(N(_xlfn.MAXIFS(Auftrag!$AP$13:$AP$512,Auftrag!$D$13:$D$512,$B37,Auftrag!$E$13:$E$512,$C37,Auftrag!$Q$13:$Q$512,$D37))&gt;0,_xlfn.MAXIFS(Auftrag!$AP$13:$AP$512,Auftrag!$D$13:$D$512,$B37,Auftrag!$E$13:$E$512,$C37,Auftrag!$Q$13:$Q$512,$D37)*$D37/1000,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9" t="n"/>
      <c r="E38" s="24" t="n"/>
      <c r="F38" s="24" t="n"/>
      <c r="G38" s="12">
        <f>IF($A38="","",COUNTIFS(Stangenbelegung!$A$5:$A$10004,$A38))</f>
        <v/>
      </c>
      <c r="H38" s="35">
        <f>IF($A38="","",SUMIFS(Stangenbelegung!$F$5:$F$10004,Stangenbelegung!$A$5:$A$10004,$A38))</f>
        <v/>
      </c>
      <c r="I38" s="23" t="n"/>
      <c r="J38" s="35">
        <f>IF($A38="","",$E38+H38+$I38)</f>
        <v/>
      </c>
      <c r="K38" s="35">
        <f>IF($A38="","",$D38-J38)</f>
        <v/>
      </c>
      <c r="L38" s="32">
        <f>IF($A38="","",H38/$D38)</f>
        <v/>
      </c>
      <c r="M38" s="28">
        <f>IF($A38="","",IF(OR(J38+$F38&gt;$D38+0.001,_xlfn.MAXIFS(Stangenbelegung!$H$5:$H$10004,Stangenbelegung!$A$5:$A$10004,$A38)&gt;$D38-$F38+0.001),"ÜBERBELEGT","OK"))</f>
        <v/>
      </c>
      <c r="N38" s="24" t="n"/>
      <c r="O38" s="24" t="n"/>
      <c r="P38" s="9" t="n"/>
      <c r="Q38" s="18">
        <f>IF($A38="","",IFERROR($D38/1000*INDEX(Profile!$K$5:$K$304,MATCH($B38,lst_Profil,0))*INDEX(Werkstoffe!$E$5:$E$304,MATCH($C38,lst_Werkstoff,0))/1000,""))</f>
        <v/>
      </c>
      <c r="R38" s="18">
        <f>IF($A38="","",IF(N(_xlfn.MAXIFS(Auftrag!$AP$13:$AP$512,Auftrag!$D$13:$D$512,$B38,Auftrag!$E$13:$E$512,$C38,Auftrag!$Q$13:$Q$512,$D38))&gt;0,_xlfn.MAXIFS(Auftrag!$AP$13:$AP$512,Auftrag!$D$13:$D$512,$B38,Auftrag!$E$13:$E$512,$C38,Auftrag!$Q$13:$Q$512,$D38)*$D38/1000,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9" t="n"/>
      <c r="E39" s="24" t="n"/>
      <c r="F39" s="24" t="n"/>
      <c r="G39" s="12">
        <f>IF($A39="","",COUNTIFS(Stangenbelegung!$A$5:$A$10004,$A39))</f>
        <v/>
      </c>
      <c r="H39" s="35">
        <f>IF($A39="","",SUMIFS(Stangenbelegung!$F$5:$F$10004,Stangenbelegung!$A$5:$A$10004,$A39))</f>
        <v/>
      </c>
      <c r="I39" s="23" t="n"/>
      <c r="J39" s="35">
        <f>IF($A39="","",$E39+H39+$I39)</f>
        <v/>
      </c>
      <c r="K39" s="35">
        <f>IF($A39="","",$D39-J39)</f>
        <v/>
      </c>
      <c r="L39" s="32">
        <f>IF($A39="","",H39/$D39)</f>
        <v/>
      </c>
      <c r="M39" s="28">
        <f>IF($A39="","",IF(OR(J39+$F39&gt;$D39+0.001,_xlfn.MAXIFS(Stangenbelegung!$H$5:$H$10004,Stangenbelegung!$A$5:$A$10004,$A39)&gt;$D39-$F39+0.001),"ÜBERBELEGT","OK"))</f>
        <v/>
      </c>
      <c r="N39" s="24" t="n"/>
      <c r="O39" s="24" t="n"/>
      <c r="P39" s="9" t="n"/>
      <c r="Q39" s="18">
        <f>IF($A39="","",IFERROR($D39/1000*INDEX(Profile!$K$5:$K$304,MATCH($B39,lst_Profil,0))*INDEX(Werkstoffe!$E$5:$E$304,MATCH($C39,lst_Werkstoff,0))/1000,""))</f>
        <v/>
      </c>
      <c r="R39" s="18">
        <f>IF($A39="","",IF(N(_xlfn.MAXIFS(Auftrag!$AP$13:$AP$512,Auftrag!$D$13:$D$512,$B39,Auftrag!$E$13:$E$512,$C39,Auftrag!$Q$13:$Q$512,$D39))&gt;0,_xlfn.MAXIFS(Auftrag!$AP$13:$AP$512,Auftrag!$D$13:$D$512,$B39,Auftrag!$E$13:$E$512,$C39,Auftrag!$Q$13:$Q$512,$D39)*$D39/1000,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9" t="n"/>
      <c r="E40" s="24" t="n"/>
      <c r="F40" s="24" t="n"/>
      <c r="G40" s="12">
        <f>IF($A40="","",COUNTIFS(Stangenbelegung!$A$5:$A$10004,$A40))</f>
        <v/>
      </c>
      <c r="H40" s="35">
        <f>IF($A40="","",SUMIFS(Stangenbelegung!$F$5:$F$10004,Stangenbelegung!$A$5:$A$10004,$A40))</f>
        <v/>
      </c>
      <c r="I40" s="23" t="n"/>
      <c r="J40" s="35">
        <f>IF($A40="","",$E40+H40+$I40)</f>
        <v/>
      </c>
      <c r="K40" s="35">
        <f>IF($A40="","",$D40-J40)</f>
        <v/>
      </c>
      <c r="L40" s="32">
        <f>IF($A40="","",H40/$D40)</f>
        <v/>
      </c>
      <c r="M40" s="28">
        <f>IF($A40="","",IF(OR(J40+$F40&gt;$D40+0.001,_xlfn.MAXIFS(Stangenbelegung!$H$5:$H$10004,Stangenbelegung!$A$5:$A$10004,$A40)&gt;$D40-$F40+0.001),"ÜBERBELEGT","OK"))</f>
        <v/>
      </c>
      <c r="N40" s="24" t="n"/>
      <c r="O40" s="24" t="n"/>
      <c r="P40" s="9" t="n"/>
      <c r="Q40" s="18">
        <f>IF($A40="","",IFERROR($D40/1000*INDEX(Profile!$K$5:$K$304,MATCH($B40,lst_Profil,0))*INDEX(Werkstoffe!$E$5:$E$304,MATCH($C40,lst_Werkstoff,0))/1000,""))</f>
        <v/>
      </c>
      <c r="R40" s="18">
        <f>IF($A40="","",IF(N(_xlfn.MAXIFS(Auftrag!$AP$13:$AP$512,Auftrag!$D$13:$D$512,$B40,Auftrag!$E$13:$E$512,$C40,Auftrag!$Q$13:$Q$512,$D40))&gt;0,_xlfn.MAXIFS(Auftrag!$AP$13:$AP$512,Auftrag!$D$13:$D$512,$B40,Auftrag!$E$13:$E$512,$C40,Auftrag!$Q$13:$Q$512,$D40)*$D40/1000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9" t="n"/>
      <c r="E41" s="24" t="n"/>
      <c r="F41" s="24" t="n"/>
      <c r="G41" s="12">
        <f>IF($A41="","",COUNTIFS(Stangenbelegung!$A$5:$A$10004,$A41))</f>
        <v/>
      </c>
      <c r="H41" s="35">
        <f>IF($A41="","",SUMIFS(Stangenbelegung!$F$5:$F$10004,Stangenbelegung!$A$5:$A$10004,$A41))</f>
        <v/>
      </c>
      <c r="I41" s="23" t="n"/>
      <c r="J41" s="35">
        <f>IF($A41="","",$E41+H41+$I41)</f>
        <v/>
      </c>
      <c r="K41" s="35">
        <f>IF($A41="","",$D41-J41)</f>
        <v/>
      </c>
      <c r="L41" s="32">
        <f>IF($A41="","",H41/$D41)</f>
        <v/>
      </c>
      <c r="M41" s="28">
        <f>IF($A41="","",IF(OR(J41+$F41&gt;$D41+0.001,_xlfn.MAXIFS(Stangenbelegung!$H$5:$H$10004,Stangenbelegung!$A$5:$A$10004,$A41)&gt;$D41-$F41+0.001),"ÜBERBELEGT","OK"))</f>
        <v/>
      </c>
      <c r="N41" s="24" t="n"/>
      <c r="O41" s="24" t="n"/>
      <c r="P41" s="9" t="n"/>
      <c r="Q41" s="18">
        <f>IF($A41="","",IFERROR($D41/1000*INDEX(Profile!$K$5:$K$304,MATCH($B41,lst_Profil,0))*INDEX(Werkstoffe!$E$5:$E$304,MATCH($C41,lst_Werkstoff,0))/1000,""))</f>
        <v/>
      </c>
      <c r="R41" s="18">
        <f>IF($A41="","",IF(N(_xlfn.MAXIFS(Auftrag!$AP$13:$AP$512,Auftrag!$D$13:$D$512,$B41,Auftrag!$E$13:$E$512,$C41,Auftrag!$Q$13:$Q$512,$D41))&gt;0,_xlfn.MAXIFS(Auftrag!$AP$13:$AP$512,Auftrag!$D$13:$D$512,$B41,Auftrag!$E$13:$E$512,$C41,Auftrag!$Q$13:$Q$512,$D41)*$D41/1000,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9" t="n"/>
      <c r="E42" s="24" t="n"/>
      <c r="F42" s="24" t="n"/>
      <c r="G42" s="12">
        <f>IF($A42="","",COUNTIFS(Stangenbelegung!$A$5:$A$10004,$A42))</f>
        <v/>
      </c>
      <c r="H42" s="35">
        <f>IF($A42="","",SUMIFS(Stangenbelegung!$F$5:$F$10004,Stangenbelegung!$A$5:$A$10004,$A42))</f>
        <v/>
      </c>
      <c r="I42" s="23" t="n"/>
      <c r="J42" s="35">
        <f>IF($A42="","",$E42+H42+$I42)</f>
        <v/>
      </c>
      <c r="K42" s="35">
        <f>IF($A42="","",$D42-J42)</f>
        <v/>
      </c>
      <c r="L42" s="32">
        <f>IF($A42="","",H42/$D42)</f>
        <v/>
      </c>
      <c r="M42" s="28">
        <f>IF($A42="","",IF(OR(J42+$F42&gt;$D42+0.001,_xlfn.MAXIFS(Stangenbelegung!$H$5:$H$10004,Stangenbelegung!$A$5:$A$10004,$A42)&gt;$D42-$F42+0.001),"ÜBERBELEGT","OK"))</f>
        <v/>
      </c>
      <c r="N42" s="24" t="n"/>
      <c r="O42" s="24" t="n"/>
      <c r="P42" s="9" t="n"/>
      <c r="Q42" s="18">
        <f>IF($A42="","",IFERROR($D42/1000*INDEX(Profile!$K$5:$K$304,MATCH($B42,lst_Profil,0))*INDEX(Werkstoffe!$E$5:$E$304,MATCH($C42,lst_Werkstoff,0))/1000,""))</f>
        <v/>
      </c>
      <c r="R42" s="18">
        <f>IF($A42="","",IF(N(_xlfn.MAXIFS(Auftrag!$AP$13:$AP$512,Auftrag!$D$13:$D$512,$B42,Auftrag!$E$13:$E$512,$C42,Auftrag!$Q$13:$Q$512,$D42))&gt;0,_xlfn.MAXIFS(Auftrag!$AP$13:$AP$512,Auftrag!$D$13:$D$512,$B42,Auftrag!$E$13:$E$512,$C42,Auftrag!$Q$13:$Q$512,$D42)*$D42/1000,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9" t="n"/>
      <c r="E43" s="24" t="n"/>
      <c r="F43" s="24" t="n"/>
      <c r="G43" s="12">
        <f>IF($A43="","",COUNTIFS(Stangenbelegung!$A$5:$A$10004,$A43))</f>
        <v/>
      </c>
      <c r="H43" s="35">
        <f>IF($A43="","",SUMIFS(Stangenbelegung!$F$5:$F$10004,Stangenbelegung!$A$5:$A$10004,$A43))</f>
        <v/>
      </c>
      <c r="I43" s="23" t="n"/>
      <c r="J43" s="35">
        <f>IF($A43="","",$E43+H43+$I43)</f>
        <v/>
      </c>
      <c r="K43" s="35">
        <f>IF($A43="","",$D43-J43)</f>
        <v/>
      </c>
      <c r="L43" s="32">
        <f>IF($A43="","",H43/$D43)</f>
        <v/>
      </c>
      <c r="M43" s="28">
        <f>IF($A43="","",IF(OR(J43+$F43&gt;$D43+0.001,_xlfn.MAXIFS(Stangenbelegung!$H$5:$H$10004,Stangenbelegung!$A$5:$A$10004,$A43)&gt;$D43-$F43+0.001),"ÜBERBELEGT","OK"))</f>
        <v/>
      </c>
      <c r="N43" s="24" t="n"/>
      <c r="O43" s="24" t="n"/>
      <c r="P43" s="9" t="n"/>
      <c r="Q43" s="18">
        <f>IF($A43="","",IFERROR($D43/1000*INDEX(Profile!$K$5:$K$304,MATCH($B43,lst_Profil,0))*INDEX(Werkstoffe!$E$5:$E$304,MATCH($C43,lst_Werkstoff,0))/1000,""))</f>
        <v/>
      </c>
      <c r="R43" s="18">
        <f>IF($A43="","",IF(N(_xlfn.MAXIFS(Auftrag!$AP$13:$AP$512,Auftrag!$D$13:$D$512,$B43,Auftrag!$E$13:$E$512,$C43,Auftrag!$Q$13:$Q$512,$D43))&gt;0,_xlfn.MAXIFS(Auftrag!$AP$13:$AP$512,Auftrag!$D$13:$D$512,$B43,Auftrag!$E$13:$E$512,$C43,Auftrag!$Q$13:$Q$512,$D43)*$D43/1000,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9" t="n"/>
      <c r="E44" s="24" t="n"/>
      <c r="F44" s="24" t="n"/>
      <c r="G44" s="12">
        <f>IF($A44="","",COUNTIFS(Stangenbelegung!$A$5:$A$10004,$A44))</f>
        <v/>
      </c>
      <c r="H44" s="35">
        <f>IF($A44="","",SUMIFS(Stangenbelegung!$F$5:$F$10004,Stangenbelegung!$A$5:$A$10004,$A44))</f>
        <v/>
      </c>
      <c r="I44" s="23" t="n"/>
      <c r="J44" s="35">
        <f>IF($A44="","",$E44+H44+$I44)</f>
        <v/>
      </c>
      <c r="K44" s="35">
        <f>IF($A44="","",$D44-J44)</f>
        <v/>
      </c>
      <c r="L44" s="32">
        <f>IF($A44="","",H44/$D44)</f>
        <v/>
      </c>
      <c r="M44" s="28">
        <f>IF($A44="","",IF(OR(J44+$F44&gt;$D44+0.001,_xlfn.MAXIFS(Stangenbelegung!$H$5:$H$10004,Stangenbelegung!$A$5:$A$10004,$A44)&gt;$D44-$F44+0.001),"ÜBERBELEGT","OK"))</f>
        <v/>
      </c>
      <c r="N44" s="24" t="n"/>
      <c r="O44" s="24" t="n"/>
      <c r="P44" s="9" t="n"/>
      <c r="Q44" s="18">
        <f>IF($A44="","",IFERROR($D44/1000*INDEX(Profile!$K$5:$K$304,MATCH($B44,lst_Profil,0))*INDEX(Werkstoffe!$E$5:$E$304,MATCH($C44,lst_Werkstoff,0))/1000,""))</f>
        <v/>
      </c>
      <c r="R44" s="18">
        <f>IF($A44="","",IF(N(_xlfn.MAXIFS(Auftrag!$AP$13:$AP$512,Auftrag!$D$13:$D$512,$B44,Auftrag!$E$13:$E$512,$C44,Auftrag!$Q$13:$Q$512,$D44))&gt;0,_xlfn.MAXIFS(Auftrag!$AP$13:$AP$512,Auftrag!$D$13:$D$512,$B44,Auftrag!$E$13:$E$512,$C44,Auftrag!$Q$13:$Q$512,$D44)*$D44/1000,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9" t="n"/>
      <c r="E45" s="24" t="n"/>
      <c r="F45" s="24" t="n"/>
      <c r="G45" s="12">
        <f>IF($A45="","",COUNTIFS(Stangenbelegung!$A$5:$A$10004,$A45))</f>
        <v/>
      </c>
      <c r="H45" s="35">
        <f>IF($A45="","",SUMIFS(Stangenbelegung!$F$5:$F$10004,Stangenbelegung!$A$5:$A$10004,$A45))</f>
        <v/>
      </c>
      <c r="I45" s="23" t="n"/>
      <c r="J45" s="35">
        <f>IF($A45="","",$E45+H45+$I45)</f>
        <v/>
      </c>
      <c r="K45" s="35">
        <f>IF($A45="","",$D45-J45)</f>
        <v/>
      </c>
      <c r="L45" s="32">
        <f>IF($A45="","",H45/$D45)</f>
        <v/>
      </c>
      <c r="M45" s="28">
        <f>IF($A45="","",IF(OR(J45+$F45&gt;$D45+0.001,_xlfn.MAXIFS(Stangenbelegung!$H$5:$H$10004,Stangenbelegung!$A$5:$A$10004,$A45)&gt;$D45-$F45+0.001),"ÜBERBELEGT","OK"))</f>
        <v/>
      </c>
      <c r="N45" s="24" t="n"/>
      <c r="O45" s="24" t="n"/>
      <c r="P45" s="9" t="n"/>
      <c r="Q45" s="18">
        <f>IF($A45="","",IFERROR($D45/1000*INDEX(Profile!$K$5:$K$304,MATCH($B45,lst_Profil,0))*INDEX(Werkstoffe!$E$5:$E$304,MATCH($C45,lst_Werkstoff,0))/1000,""))</f>
        <v/>
      </c>
      <c r="R45" s="18">
        <f>IF($A45="","",IF(N(_xlfn.MAXIFS(Auftrag!$AP$13:$AP$512,Auftrag!$D$13:$D$512,$B45,Auftrag!$E$13:$E$512,$C45,Auftrag!$Q$13:$Q$512,$D45))&gt;0,_xlfn.MAXIFS(Auftrag!$AP$13:$AP$512,Auftrag!$D$13:$D$512,$B45,Auftrag!$E$13:$E$512,$C45,Auftrag!$Q$13:$Q$512,$D45)*$D45/1000,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9" t="n"/>
      <c r="E46" s="24" t="n"/>
      <c r="F46" s="24" t="n"/>
      <c r="G46" s="12">
        <f>IF($A46="","",COUNTIFS(Stangenbelegung!$A$5:$A$10004,$A46))</f>
        <v/>
      </c>
      <c r="H46" s="35">
        <f>IF($A46="","",SUMIFS(Stangenbelegung!$F$5:$F$10004,Stangenbelegung!$A$5:$A$10004,$A46))</f>
        <v/>
      </c>
      <c r="I46" s="23" t="n"/>
      <c r="J46" s="35">
        <f>IF($A46="","",$E46+H46+$I46)</f>
        <v/>
      </c>
      <c r="K46" s="35">
        <f>IF($A46="","",$D46-J46)</f>
        <v/>
      </c>
      <c r="L46" s="32">
        <f>IF($A46="","",H46/$D46)</f>
        <v/>
      </c>
      <c r="M46" s="28">
        <f>IF($A46="","",IF(OR(J46+$F46&gt;$D46+0.001,_xlfn.MAXIFS(Stangenbelegung!$H$5:$H$10004,Stangenbelegung!$A$5:$A$10004,$A46)&gt;$D46-$F46+0.001),"ÜBERBELEGT","OK"))</f>
        <v/>
      </c>
      <c r="N46" s="24" t="n"/>
      <c r="O46" s="24" t="n"/>
      <c r="P46" s="9" t="n"/>
      <c r="Q46" s="18">
        <f>IF($A46="","",IFERROR($D46/1000*INDEX(Profile!$K$5:$K$304,MATCH($B46,lst_Profil,0))*INDEX(Werkstoffe!$E$5:$E$304,MATCH($C46,lst_Werkstoff,0))/1000,""))</f>
        <v/>
      </c>
      <c r="R46" s="18">
        <f>IF($A46="","",IF(N(_xlfn.MAXIFS(Auftrag!$AP$13:$AP$512,Auftrag!$D$13:$D$512,$B46,Auftrag!$E$13:$E$512,$C46,Auftrag!$Q$13:$Q$512,$D46))&gt;0,_xlfn.MAXIFS(Auftrag!$AP$13:$AP$512,Auftrag!$D$13:$D$512,$B46,Auftrag!$E$13:$E$512,$C46,Auftrag!$Q$13:$Q$512,$D46)*$D46/1000,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9" t="n"/>
      <c r="E47" s="24" t="n"/>
      <c r="F47" s="24" t="n"/>
      <c r="G47" s="12">
        <f>IF($A47="","",COUNTIFS(Stangenbelegung!$A$5:$A$10004,$A47))</f>
        <v/>
      </c>
      <c r="H47" s="35">
        <f>IF($A47="","",SUMIFS(Stangenbelegung!$F$5:$F$10004,Stangenbelegung!$A$5:$A$10004,$A47))</f>
        <v/>
      </c>
      <c r="I47" s="23" t="n"/>
      <c r="J47" s="35">
        <f>IF($A47="","",$E47+H47+$I47)</f>
        <v/>
      </c>
      <c r="K47" s="35">
        <f>IF($A47="","",$D47-J47)</f>
        <v/>
      </c>
      <c r="L47" s="32">
        <f>IF($A47="","",H47/$D47)</f>
        <v/>
      </c>
      <c r="M47" s="28">
        <f>IF($A47="","",IF(OR(J47+$F47&gt;$D47+0.001,_xlfn.MAXIFS(Stangenbelegung!$H$5:$H$10004,Stangenbelegung!$A$5:$A$10004,$A47)&gt;$D47-$F47+0.001),"ÜBERBELEGT","OK"))</f>
        <v/>
      </c>
      <c r="N47" s="24" t="n"/>
      <c r="O47" s="24" t="n"/>
      <c r="P47" s="9" t="n"/>
      <c r="Q47" s="18">
        <f>IF($A47="","",IFERROR($D47/1000*INDEX(Profile!$K$5:$K$304,MATCH($B47,lst_Profil,0))*INDEX(Werkstoffe!$E$5:$E$304,MATCH($C47,lst_Werkstoff,0))/1000,""))</f>
        <v/>
      </c>
      <c r="R47" s="18">
        <f>IF($A47="","",IF(N(_xlfn.MAXIFS(Auftrag!$AP$13:$AP$512,Auftrag!$D$13:$D$512,$B47,Auftrag!$E$13:$E$512,$C47,Auftrag!$Q$13:$Q$512,$D47))&gt;0,_xlfn.MAXIFS(Auftrag!$AP$13:$AP$512,Auftrag!$D$13:$D$512,$B47,Auftrag!$E$13:$E$512,$C47,Auftrag!$Q$13:$Q$512,$D47)*$D47/1000,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9" t="n"/>
      <c r="E48" s="24" t="n"/>
      <c r="F48" s="24" t="n"/>
      <c r="G48" s="12">
        <f>IF($A48="","",COUNTIFS(Stangenbelegung!$A$5:$A$10004,$A48))</f>
        <v/>
      </c>
      <c r="H48" s="35">
        <f>IF($A48="","",SUMIFS(Stangenbelegung!$F$5:$F$10004,Stangenbelegung!$A$5:$A$10004,$A48))</f>
        <v/>
      </c>
      <c r="I48" s="23" t="n"/>
      <c r="J48" s="35">
        <f>IF($A48="","",$E48+H48+$I48)</f>
        <v/>
      </c>
      <c r="K48" s="35">
        <f>IF($A48="","",$D48-J48)</f>
        <v/>
      </c>
      <c r="L48" s="32">
        <f>IF($A48="","",H48/$D48)</f>
        <v/>
      </c>
      <c r="M48" s="28">
        <f>IF($A48="","",IF(OR(J48+$F48&gt;$D48+0.001,_xlfn.MAXIFS(Stangenbelegung!$H$5:$H$10004,Stangenbelegung!$A$5:$A$10004,$A48)&gt;$D48-$F48+0.001),"ÜBERBELEGT","OK"))</f>
        <v/>
      </c>
      <c r="N48" s="24" t="n"/>
      <c r="O48" s="24" t="n"/>
      <c r="P48" s="9" t="n"/>
      <c r="Q48" s="18">
        <f>IF($A48="","",IFERROR($D48/1000*INDEX(Profile!$K$5:$K$304,MATCH($B48,lst_Profil,0))*INDEX(Werkstoffe!$E$5:$E$304,MATCH($C48,lst_Werkstoff,0))/1000,""))</f>
        <v/>
      </c>
      <c r="R48" s="18">
        <f>IF($A48="","",IF(N(_xlfn.MAXIFS(Auftrag!$AP$13:$AP$512,Auftrag!$D$13:$D$512,$B48,Auftrag!$E$13:$E$512,$C48,Auftrag!$Q$13:$Q$512,$D48))&gt;0,_xlfn.MAXIFS(Auftrag!$AP$13:$AP$512,Auftrag!$D$13:$D$512,$B48,Auftrag!$E$13:$E$512,$C48,Auftrag!$Q$13:$Q$512,$D48)*$D48/1000,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9" t="n"/>
      <c r="E49" s="24" t="n"/>
      <c r="F49" s="24" t="n"/>
      <c r="G49" s="12">
        <f>IF($A49="","",COUNTIFS(Stangenbelegung!$A$5:$A$10004,$A49))</f>
        <v/>
      </c>
      <c r="H49" s="35">
        <f>IF($A49="","",SUMIFS(Stangenbelegung!$F$5:$F$10004,Stangenbelegung!$A$5:$A$10004,$A49))</f>
        <v/>
      </c>
      <c r="I49" s="23" t="n"/>
      <c r="J49" s="35">
        <f>IF($A49="","",$E49+H49+$I49)</f>
        <v/>
      </c>
      <c r="K49" s="35">
        <f>IF($A49="","",$D49-J49)</f>
        <v/>
      </c>
      <c r="L49" s="32">
        <f>IF($A49="","",H49/$D49)</f>
        <v/>
      </c>
      <c r="M49" s="28">
        <f>IF($A49="","",IF(OR(J49+$F49&gt;$D49+0.001,_xlfn.MAXIFS(Stangenbelegung!$H$5:$H$10004,Stangenbelegung!$A$5:$A$10004,$A49)&gt;$D49-$F49+0.001),"ÜBERBELEGT","OK"))</f>
        <v/>
      </c>
      <c r="N49" s="24" t="n"/>
      <c r="O49" s="24" t="n"/>
      <c r="P49" s="9" t="n"/>
      <c r="Q49" s="18">
        <f>IF($A49="","",IFERROR($D49/1000*INDEX(Profile!$K$5:$K$304,MATCH($B49,lst_Profil,0))*INDEX(Werkstoffe!$E$5:$E$304,MATCH($C49,lst_Werkstoff,0))/1000,""))</f>
        <v/>
      </c>
      <c r="R49" s="18">
        <f>IF($A49="","",IF(N(_xlfn.MAXIFS(Auftrag!$AP$13:$AP$512,Auftrag!$D$13:$D$512,$B49,Auftrag!$E$13:$E$512,$C49,Auftrag!$Q$13:$Q$512,$D49))&gt;0,_xlfn.MAXIFS(Auftrag!$AP$13:$AP$512,Auftrag!$D$13:$D$512,$B49,Auftrag!$E$13:$E$512,$C49,Auftrag!$Q$13:$Q$512,$D49)*$D49/1000,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9" t="n"/>
      <c r="E50" s="24" t="n"/>
      <c r="F50" s="24" t="n"/>
      <c r="G50" s="12">
        <f>IF($A50="","",COUNTIFS(Stangenbelegung!$A$5:$A$10004,$A50))</f>
        <v/>
      </c>
      <c r="H50" s="35">
        <f>IF($A50="","",SUMIFS(Stangenbelegung!$F$5:$F$10004,Stangenbelegung!$A$5:$A$10004,$A50))</f>
        <v/>
      </c>
      <c r="I50" s="23" t="n"/>
      <c r="J50" s="35">
        <f>IF($A50="","",$E50+H50+$I50)</f>
        <v/>
      </c>
      <c r="K50" s="35">
        <f>IF($A50="","",$D50-J50)</f>
        <v/>
      </c>
      <c r="L50" s="32">
        <f>IF($A50="","",H50/$D50)</f>
        <v/>
      </c>
      <c r="M50" s="28">
        <f>IF($A50="","",IF(OR(J50+$F50&gt;$D50+0.001,_xlfn.MAXIFS(Stangenbelegung!$H$5:$H$10004,Stangenbelegung!$A$5:$A$10004,$A50)&gt;$D50-$F50+0.001),"ÜBERBELEGT","OK"))</f>
        <v/>
      </c>
      <c r="N50" s="24" t="n"/>
      <c r="O50" s="24" t="n"/>
      <c r="P50" s="9" t="n"/>
      <c r="Q50" s="18">
        <f>IF($A50="","",IFERROR($D50/1000*INDEX(Profile!$K$5:$K$304,MATCH($B50,lst_Profil,0))*INDEX(Werkstoffe!$E$5:$E$304,MATCH($C50,lst_Werkstoff,0))/1000,""))</f>
        <v/>
      </c>
      <c r="R50" s="18">
        <f>IF($A50="","",IF(N(_xlfn.MAXIFS(Auftrag!$AP$13:$AP$512,Auftrag!$D$13:$D$512,$B50,Auftrag!$E$13:$E$512,$C50,Auftrag!$Q$13:$Q$512,$D50))&gt;0,_xlfn.MAXIFS(Auftrag!$AP$13:$AP$512,Auftrag!$D$13:$D$512,$B50,Auftrag!$E$13:$E$512,$C50,Auftrag!$Q$13:$Q$512,$D50)*$D50/1000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9" t="n"/>
      <c r="E51" s="24" t="n"/>
      <c r="F51" s="24" t="n"/>
      <c r="G51" s="12">
        <f>IF($A51="","",COUNTIFS(Stangenbelegung!$A$5:$A$10004,$A51))</f>
        <v/>
      </c>
      <c r="H51" s="35">
        <f>IF($A51="","",SUMIFS(Stangenbelegung!$F$5:$F$10004,Stangenbelegung!$A$5:$A$10004,$A51))</f>
        <v/>
      </c>
      <c r="I51" s="23" t="n"/>
      <c r="J51" s="35">
        <f>IF($A51="","",$E51+H51+$I51)</f>
        <v/>
      </c>
      <c r="K51" s="35">
        <f>IF($A51="","",$D51-J51)</f>
        <v/>
      </c>
      <c r="L51" s="32">
        <f>IF($A51="","",H51/$D51)</f>
        <v/>
      </c>
      <c r="M51" s="28">
        <f>IF($A51="","",IF(OR(J51+$F51&gt;$D51+0.001,_xlfn.MAXIFS(Stangenbelegung!$H$5:$H$10004,Stangenbelegung!$A$5:$A$10004,$A51)&gt;$D51-$F51+0.001),"ÜBERBELEGT","OK"))</f>
        <v/>
      </c>
      <c r="N51" s="24" t="n"/>
      <c r="O51" s="24" t="n"/>
      <c r="P51" s="9" t="n"/>
      <c r="Q51" s="18">
        <f>IF($A51="","",IFERROR($D51/1000*INDEX(Profile!$K$5:$K$304,MATCH($B51,lst_Profil,0))*INDEX(Werkstoffe!$E$5:$E$304,MATCH($C51,lst_Werkstoff,0))/1000,""))</f>
        <v/>
      </c>
      <c r="R51" s="18">
        <f>IF($A51="","",IF(N(_xlfn.MAXIFS(Auftrag!$AP$13:$AP$512,Auftrag!$D$13:$D$512,$B51,Auftrag!$E$13:$E$512,$C51,Auftrag!$Q$13:$Q$512,$D51))&gt;0,_xlfn.MAXIFS(Auftrag!$AP$13:$AP$512,Auftrag!$D$13:$D$512,$B51,Auftrag!$E$13:$E$512,$C51,Auftrag!$Q$13:$Q$512,$D51)*$D51/1000,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9" t="n"/>
      <c r="E52" s="24" t="n"/>
      <c r="F52" s="24" t="n"/>
      <c r="G52" s="12">
        <f>IF($A52="","",COUNTIFS(Stangenbelegung!$A$5:$A$10004,$A52))</f>
        <v/>
      </c>
      <c r="H52" s="35">
        <f>IF($A52="","",SUMIFS(Stangenbelegung!$F$5:$F$10004,Stangenbelegung!$A$5:$A$10004,$A52))</f>
        <v/>
      </c>
      <c r="I52" s="23" t="n"/>
      <c r="J52" s="35">
        <f>IF($A52="","",$E52+H52+$I52)</f>
        <v/>
      </c>
      <c r="K52" s="35">
        <f>IF($A52="","",$D52-J52)</f>
        <v/>
      </c>
      <c r="L52" s="32">
        <f>IF($A52="","",H52/$D52)</f>
        <v/>
      </c>
      <c r="M52" s="28">
        <f>IF($A52="","",IF(OR(J52+$F52&gt;$D52+0.001,_xlfn.MAXIFS(Stangenbelegung!$H$5:$H$10004,Stangenbelegung!$A$5:$A$10004,$A52)&gt;$D52-$F52+0.001),"ÜBERBELEGT","OK"))</f>
        <v/>
      </c>
      <c r="N52" s="24" t="n"/>
      <c r="O52" s="24" t="n"/>
      <c r="P52" s="9" t="n"/>
      <c r="Q52" s="18">
        <f>IF($A52="","",IFERROR($D52/1000*INDEX(Profile!$K$5:$K$304,MATCH($B52,lst_Profil,0))*INDEX(Werkstoffe!$E$5:$E$304,MATCH($C52,lst_Werkstoff,0))/1000,""))</f>
        <v/>
      </c>
      <c r="R52" s="18">
        <f>IF($A52="","",IF(N(_xlfn.MAXIFS(Auftrag!$AP$13:$AP$512,Auftrag!$D$13:$D$512,$B52,Auftrag!$E$13:$E$512,$C52,Auftrag!$Q$13:$Q$512,$D52))&gt;0,_xlfn.MAXIFS(Auftrag!$AP$13:$AP$512,Auftrag!$D$13:$D$512,$B52,Auftrag!$E$13:$E$512,$C52,Auftrag!$Q$13:$Q$512,$D52)*$D52/1000,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9" t="n"/>
      <c r="E53" s="24" t="n"/>
      <c r="F53" s="24" t="n"/>
      <c r="G53" s="12">
        <f>IF($A53="","",COUNTIFS(Stangenbelegung!$A$5:$A$10004,$A53))</f>
        <v/>
      </c>
      <c r="H53" s="35">
        <f>IF($A53="","",SUMIFS(Stangenbelegung!$F$5:$F$10004,Stangenbelegung!$A$5:$A$10004,$A53))</f>
        <v/>
      </c>
      <c r="I53" s="23" t="n"/>
      <c r="J53" s="35">
        <f>IF($A53="","",$E53+H53+$I53)</f>
        <v/>
      </c>
      <c r="K53" s="35">
        <f>IF($A53="","",$D53-J53)</f>
        <v/>
      </c>
      <c r="L53" s="32">
        <f>IF($A53="","",H53/$D53)</f>
        <v/>
      </c>
      <c r="M53" s="28">
        <f>IF($A53="","",IF(OR(J53+$F53&gt;$D53+0.001,_xlfn.MAXIFS(Stangenbelegung!$H$5:$H$10004,Stangenbelegung!$A$5:$A$10004,$A53)&gt;$D53-$F53+0.001),"ÜBERBELEGT","OK"))</f>
        <v/>
      </c>
      <c r="N53" s="24" t="n"/>
      <c r="O53" s="24" t="n"/>
      <c r="P53" s="9" t="n"/>
      <c r="Q53" s="18">
        <f>IF($A53="","",IFERROR($D53/1000*INDEX(Profile!$K$5:$K$304,MATCH($B53,lst_Profil,0))*INDEX(Werkstoffe!$E$5:$E$304,MATCH($C53,lst_Werkstoff,0))/1000,""))</f>
        <v/>
      </c>
      <c r="R53" s="18">
        <f>IF($A53="","",IF(N(_xlfn.MAXIFS(Auftrag!$AP$13:$AP$512,Auftrag!$D$13:$D$512,$B53,Auftrag!$E$13:$E$512,$C53,Auftrag!$Q$13:$Q$512,$D53))&gt;0,_xlfn.MAXIFS(Auftrag!$AP$13:$AP$512,Auftrag!$D$13:$D$512,$B53,Auftrag!$E$13:$E$512,$C53,Auftrag!$Q$13:$Q$512,$D53)*$D53/1000,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9" t="n"/>
      <c r="E54" s="24" t="n"/>
      <c r="F54" s="24" t="n"/>
      <c r="G54" s="12">
        <f>IF($A54="","",COUNTIFS(Stangenbelegung!$A$5:$A$10004,$A54))</f>
        <v/>
      </c>
      <c r="H54" s="35">
        <f>IF($A54="","",SUMIFS(Stangenbelegung!$F$5:$F$10004,Stangenbelegung!$A$5:$A$10004,$A54))</f>
        <v/>
      </c>
      <c r="I54" s="23" t="n"/>
      <c r="J54" s="35">
        <f>IF($A54="","",$E54+H54+$I54)</f>
        <v/>
      </c>
      <c r="K54" s="35">
        <f>IF($A54="","",$D54-J54)</f>
        <v/>
      </c>
      <c r="L54" s="32">
        <f>IF($A54="","",H54/$D54)</f>
        <v/>
      </c>
      <c r="M54" s="28">
        <f>IF($A54="","",IF(OR(J54+$F54&gt;$D54+0.001,_xlfn.MAXIFS(Stangenbelegung!$H$5:$H$10004,Stangenbelegung!$A$5:$A$10004,$A54)&gt;$D54-$F54+0.001),"ÜBERBELEGT","OK"))</f>
        <v/>
      </c>
      <c r="N54" s="24" t="n"/>
      <c r="O54" s="24" t="n"/>
      <c r="P54" s="9" t="n"/>
      <c r="Q54" s="18">
        <f>IF($A54="","",IFERROR($D54/1000*INDEX(Profile!$K$5:$K$304,MATCH($B54,lst_Profil,0))*INDEX(Werkstoffe!$E$5:$E$304,MATCH($C54,lst_Werkstoff,0))/1000,""))</f>
        <v/>
      </c>
      <c r="R54" s="18">
        <f>IF($A54="","",IF(N(_xlfn.MAXIFS(Auftrag!$AP$13:$AP$512,Auftrag!$D$13:$D$512,$B54,Auftrag!$E$13:$E$512,$C54,Auftrag!$Q$13:$Q$512,$D54))&gt;0,_xlfn.MAXIFS(Auftrag!$AP$13:$AP$512,Auftrag!$D$13:$D$512,$B54,Auftrag!$E$13:$E$512,$C54,Auftrag!$Q$13:$Q$512,$D54)*$D54/1000,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9" t="n"/>
      <c r="E55" s="24" t="n"/>
      <c r="F55" s="24" t="n"/>
      <c r="G55" s="12">
        <f>IF($A55="","",COUNTIFS(Stangenbelegung!$A$5:$A$10004,$A55))</f>
        <v/>
      </c>
      <c r="H55" s="35">
        <f>IF($A55="","",SUMIFS(Stangenbelegung!$F$5:$F$10004,Stangenbelegung!$A$5:$A$10004,$A55))</f>
        <v/>
      </c>
      <c r="I55" s="23" t="n"/>
      <c r="J55" s="35">
        <f>IF($A55="","",$E55+H55+$I55)</f>
        <v/>
      </c>
      <c r="K55" s="35">
        <f>IF($A55="","",$D55-J55)</f>
        <v/>
      </c>
      <c r="L55" s="32">
        <f>IF($A55="","",H55/$D55)</f>
        <v/>
      </c>
      <c r="M55" s="28">
        <f>IF($A55="","",IF(OR(J55+$F55&gt;$D55+0.001,_xlfn.MAXIFS(Stangenbelegung!$H$5:$H$10004,Stangenbelegung!$A$5:$A$10004,$A55)&gt;$D55-$F55+0.001),"ÜBERBELEGT","OK"))</f>
        <v/>
      </c>
      <c r="N55" s="24" t="n"/>
      <c r="O55" s="24" t="n"/>
      <c r="P55" s="9" t="n"/>
      <c r="Q55" s="18">
        <f>IF($A55="","",IFERROR($D55/1000*INDEX(Profile!$K$5:$K$304,MATCH($B55,lst_Profil,0))*INDEX(Werkstoffe!$E$5:$E$304,MATCH($C55,lst_Werkstoff,0))/1000,""))</f>
        <v/>
      </c>
      <c r="R55" s="18">
        <f>IF($A55="","",IF(N(_xlfn.MAXIFS(Auftrag!$AP$13:$AP$512,Auftrag!$D$13:$D$512,$B55,Auftrag!$E$13:$E$512,$C55,Auftrag!$Q$13:$Q$512,$D55))&gt;0,_xlfn.MAXIFS(Auftrag!$AP$13:$AP$512,Auftrag!$D$13:$D$512,$B55,Auftrag!$E$13:$E$512,$C55,Auftrag!$Q$13:$Q$512,$D55)*$D55/1000,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9" t="n"/>
      <c r="E56" s="24" t="n"/>
      <c r="F56" s="24" t="n"/>
      <c r="G56" s="12">
        <f>IF($A56="","",COUNTIFS(Stangenbelegung!$A$5:$A$10004,$A56))</f>
        <v/>
      </c>
      <c r="H56" s="35">
        <f>IF($A56="","",SUMIFS(Stangenbelegung!$F$5:$F$10004,Stangenbelegung!$A$5:$A$10004,$A56))</f>
        <v/>
      </c>
      <c r="I56" s="23" t="n"/>
      <c r="J56" s="35">
        <f>IF($A56="","",$E56+H56+$I56)</f>
        <v/>
      </c>
      <c r="K56" s="35">
        <f>IF($A56="","",$D56-J56)</f>
        <v/>
      </c>
      <c r="L56" s="32">
        <f>IF($A56="","",H56/$D56)</f>
        <v/>
      </c>
      <c r="M56" s="28">
        <f>IF($A56="","",IF(OR(J56+$F56&gt;$D56+0.001,_xlfn.MAXIFS(Stangenbelegung!$H$5:$H$10004,Stangenbelegung!$A$5:$A$10004,$A56)&gt;$D56-$F56+0.001),"ÜBERBELEGT","OK"))</f>
        <v/>
      </c>
      <c r="N56" s="24" t="n"/>
      <c r="O56" s="24" t="n"/>
      <c r="P56" s="9" t="n"/>
      <c r="Q56" s="18">
        <f>IF($A56="","",IFERROR($D56/1000*INDEX(Profile!$K$5:$K$304,MATCH($B56,lst_Profil,0))*INDEX(Werkstoffe!$E$5:$E$304,MATCH($C56,lst_Werkstoff,0))/1000,""))</f>
        <v/>
      </c>
      <c r="R56" s="18">
        <f>IF($A56="","",IF(N(_xlfn.MAXIFS(Auftrag!$AP$13:$AP$512,Auftrag!$D$13:$D$512,$B56,Auftrag!$E$13:$E$512,$C56,Auftrag!$Q$13:$Q$512,$D56))&gt;0,_xlfn.MAXIFS(Auftrag!$AP$13:$AP$512,Auftrag!$D$13:$D$512,$B56,Auftrag!$E$13:$E$512,$C56,Auftrag!$Q$13:$Q$512,$D56)*$D56/1000,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9" t="n"/>
      <c r="E57" s="24" t="n"/>
      <c r="F57" s="24" t="n"/>
      <c r="G57" s="12">
        <f>IF($A57="","",COUNTIFS(Stangenbelegung!$A$5:$A$10004,$A57))</f>
        <v/>
      </c>
      <c r="H57" s="35">
        <f>IF($A57="","",SUMIFS(Stangenbelegung!$F$5:$F$10004,Stangenbelegung!$A$5:$A$10004,$A57))</f>
        <v/>
      </c>
      <c r="I57" s="23" t="n"/>
      <c r="J57" s="35">
        <f>IF($A57="","",$E57+H57+$I57)</f>
        <v/>
      </c>
      <c r="K57" s="35">
        <f>IF($A57="","",$D57-J57)</f>
        <v/>
      </c>
      <c r="L57" s="32">
        <f>IF($A57="","",H57/$D57)</f>
        <v/>
      </c>
      <c r="M57" s="28">
        <f>IF($A57="","",IF(OR(J57+$F57&gt;$D57+0.001,_xlfn.MAXIFS(Stangenbelegung!$H$5:$H$10004,Stangenbelegung!$A$5:$A$10004,$A57)&gt;$D57-$F57+0.001),"ÜBERBELEGT","OK"))</f>
        <v/>
      </c>
      <c r="N57" s="24" t="n"/>
      <c r="O57" s="24" t="n"/>
      <c r="P57" s="9" t="n"/>
      <c r="Q57" s="18">
        <f>IF($A57="","",IFERROR($D57/1000*INDEX(Profile!$K$5:$K$304,MATCH($B57,lst_Profil,0))*INDEX(Werkstoffe!$E$5:$E$304,MATCH($C57,lst_Werkstoff,0))/1000,""))</f>
        <v/>
      </c>
      <c r="R57" s="18">
        <f>IF($A57="","",IF(N(_xlfn.MAXIFS(Auftrag!$AP$13:$AP$512,Auftrag!$D$13:$D$512,$B57,Auftrag!$E$13:$E$512,$C57,Auftrag!$Q$13:$Q$512,$D57))&gt;0,_xlfn.MAXIFS(Auftrag!$AP$13:$AP$512,Auftrag!$D$13:$D$512,$B57,Auftrag!$E$13:$E$512,$C57,Auftrag!$Q$13:$Q$512,$D57)*$D57/1000,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9" t="n"/>
      <c r="E58" s="24" t="n"/>
      <c r="F58" s="24" t="n"/>
      <c r="G58" s="12">
        <f>IF($A58="","",COUNTIFS(Stangenbelegung!$A$5:$A$10004,$A58))</f>
        <v/>
      </c>
      <c r="H58" s="35">
        <f>IF($A58="","",SUMIFS(Stangenbelegung!$F$5:$F$10004,Stangenbelegung!$A$5:$A$10004,$A58))</f>
        <v/>
      </c>
      <c r="I58" s="23" t="n"/>
      <c r="J58" s="35">
        <f>IF($A58="","",$E58+H58+$I58)</f>
        <v/>
      </c>
      <c r="K58" s="35">
        <f>IF($A58="","",$D58-J58)</f>
        <v/>
      </c>
      <c r="L58" s="32">
        <f>IF($A58="","",H58/$D58)</f>
        <v/>
      </c>
      <c r="M58" s="28">
        <f>IF($A58="","",IF(OR(J58+$F58&gt;$D58+0.001,_xlfn.MAXIFS(Stangenbelegung!$H$5:$H$10004,Stangenbelegung!$A$5:$A$10004,$A58)&gt;$D58-$F58+0.001),"ÜBERBELEGT","OK"))</f>
        <v/>
      </c>
      <c r="N58" s="24" t="n"/>
      <c r="O58" s="24" t="n"/>
      <c r="P58" s="9" t="n"/>
      <c r="Q58" s="18">
        <f>IF($A58="","",IFERROR($D58/1000*INDEX(Profile!$K$5:$K$304,MATCH($B58,lst_Profil,0))*INDEX(Werkstoffe!$E$5:$E$304,MATCH($C58,lst_Werkstoff,0))/1000,""))</f>
        <v/>
      </c>
      <c r="R58" s="18">
        <f>IF($A58="","",IF(N(_xlfn.MAXIFS(Auftrag!$AP$13:$AP$512,Auftrag!$D$13:$D$512,$B58,Auftrag!$E$13:$E$512,$C58,Auftrag!$Q$13:$Q$512,$D58))&gt;0,_xlfn.MAXIFS(Auftrag!$AP$13:$AP$512,Auftrag!$D$13:$D$512,$B58,Auftrag!$E$13:$E$512,$C58,Auftrag!$Q$13:$Q$512,$D58)*$D58/1000,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9" t="n"/>
      <c r="E59" s="24" t="n"/>
      <c r="F59" s="24" t="n"/>
      <c r="G59" s="12">
        <f>IF($A59="","",COUNTIFS(Stangenbelegung!$A$5:$A$10004,$A59))</f>
        <v/>
      </c>
      <c r="H59" s="35">
        <f>IF($A59="","",SUMIFS(Stangenbelegung!$F$5:$F$10004,Stangenbelegung!$A$5:$A$10004,$A59))</f>
        <v/>
      </c>
      <c r="I59" s="23" t="n"/>
      <c r="J59" s="35">
        <f>IF($A59="","",$E59+H59+$I59)</f>
        <v/>
      </c>
      <c r="K59" s="35">
        <f>IF($A59="","",$D59-J59)</f>
        <v/>
      </c>
      <c r="L59" s="32">
        <f>IF($A59="","",H59/$D59)</f>
        <v/>
      </c>
      <c r="M59" s="28">
        <f>IF($A59="","",IF(OR(J59+$F59&gt;$D59+0.001,_xlfn.MAXIFS(Stangenbelegung!$H$5:$H$10004,Stangenbelegung!$A$5:$A$10004,$A59)&gt;$D59-$F59+0.001),"ÜBERBELEGT","OK"))</f>
        <v/>
      </c>
      <c r="N59" s="24" t="n"/>
      <c r="O59" s="24" t="n"/>
      <c r="P59" s="9" t="n"/>
      <c r="Q59" s="18">
        <f>IF($A59="","",IFERROR($D59/1000*INDEX(Profile!$K$5:$K$304,MATCH($B59,lst_Profil,0))*INDEX(Werkstoffe!$E$5:$E$304,MATCH($C59,lst_Werkstoff,0))/1000,""))</f>
        <v/>
      </c>
      <c r="R59" s="18">
        <f>IF($A59="","",IF(N(_xlfn.MAXIFS(Auftrag!$AP$13:$AP$512,Auftrag!$D$13:$D$512,$B59,Auftrag!$E$13:$E$512,$C59,Auftrag!$Q$13:$Q$512,$D59))&gt;0,_xlfn.MAXIFS(Auftrag!$AP$13:$AP$512,Auftrag!$D$13:$D$512,$B59,Auftrag!$E$13:$E$512,$C59,Auftrag!$Q$13:$Q$512,$D59)*$D59/1000,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9" t="n"/>
      <c r="E60" s="24" t="n"/>
      <c r="F60" s="24" t="n"/>
      <c r="G60" s="12">
        <f>IF($A60="","",COUNTIFS(Stangenbelegung!$A$5:$A$10004,$A60))</f>
        <v/>
      </c>
      <c r="H60" s="35">
        <f>IF($A60="","",SUMIFS(Stangenbelegung!$F$5:$F$10004,Stangenbelegung!$A$5:$A$10004,$A60))</f>
        <v/>
      </c>
      <c r="I60" s="23" t="n"/>
      <c r="J60" s="35">
        <f>IF($A60="","",$E60+H60+$I60)</f>
        <v/>
      </c>
      <c r="K60" s="35">
        <f>IF($A60="","",$D60-J60)</f>
        <v/>
      </c>
      <c r="L60" s="32">
        <f>IF($A60="","",H60/$D60)</f>
        <v/>
      </c>
      <c r="M60" s="28">
        <f>IF($A60="","",IF(OR(J60+$F60&gt;$D60+0.001,_xlfn.MAXIFS(Stangenbelegung!$H$5:$H$10004,Stangenbelegung!$A$5:$A$10004,$A60)&gt;$D60-$F60+0.001),"ÜBERBELEGT","OK"))</f>
        <v/>
      </c>
      <c r="N60" s="24" t="n"/>
      <c r="O60" s="24" t="n"/>
      <c r="P60" s="9" t="n"/>
      <c r="Q60" s="18">
        <f>IF($A60="","",IFERROR($D60/1000*INDEX(Profile!$K$5:$K$304,MATCH($B60,lst_Profil,0))*INDEX(Werkstoffe!$E$5:$E$304,MATCH($C60,lst_Werkstoff,0))/1000,""))</f>
        <v/>
      </c>
      <c r="R60" s="18">
        <f>IF($A60="","",IF(N(_xlfn.MAXIFS(Auftrag!$AP$13:$AP$512,Auftrag!$D$13:$D$512,$B60,Auftrag!$E$13:$E$512,$C60,Auftrag!$Q$13:$Q$512,$D60))&gt;0,_xlfn.MAXIFS(Auftrag!$AP$13:$AP$512,Auftrag!$D$13:$D$512,$B60,Auftrag!$E$13:$E$512,$C60,Auftrag!$Q$13:$Q$512,$D60)*$D60/1000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9" t="n"/>
      <c r="E61" s="24" t="n"/>
      <c r="F61" s="24" t="n"/>
      <c r="G61" s="12">
        <f>IF($A61="","",COUNTIFS(Stangenbelegung!$A$5:$A$10004,$A61))</f>
        <v/>
      </c>
      <c r="H61" s="35">
        <f>IF($A61="","",SUMIFS(Stangenbelegung!$F$5:$F$10004,Stangenbelegung!$A$5:$A$10004,$A61))</f>
        <v/>
      </c>
      <c r="I61" s="23" t="n"/>
      <c r="J61" s="35">
        <f>IF($A61="","",$E61+H61+$I61)</f>
        <v/>
      </c>
      <c r="K61" s="35">
        <f>IF($A61="","",$D61-J61)</f>
        <v/>
      </c>
      <c r="L61" s="32">
        <f>IF($A61="","",H61/$D61)</f>
        <v/>
      </c>
      <c r="M61" s="28">
        <f>IF($A61="","",IF(OR(J61+$F61&gt;$D61+0.001,_xlfn.MAXIFS(Stangenbelegung!$H$5:$H$10004,Stangenbelegung!$A$5:$A$10004,$A61)&gt;$D61-$F61+0.001),"ÜBERBELEGT","OK"))</f>
        <v/>
      </c>
      <c r="N61" s="24" t="n"/>
      <c r="O61" s="24" t="n"/>
      <c r="P61" s="9" t="n"/>
      <c r="Q61" s="18">
        <f>IF($A61="","",IFERROR($D61/1000*INDEX(Profile!$K$5:$K$304,MATCH($B61,lst_Profil,0))*INDEX(Werkstoffe!$E$5:$E$304,MATCH($C61,lst_Werkstoff,0))/1000,""))</f>
        <v/>
      </c>
      <c r="R61" s="18">
        <f>IF($A61="","",IF(N(_xlfn.MAXIFS(Auftrag!$AP$13:$AP$512,Auftrag!$D$13:$D$512,$B61,Auftrag!$E$13:$E$512,$C61,Auftrag!$Q$13:$Q$512,$D61))&gt;0,_xlfn.MAXIFS(Auftrag!$AP$13:$AP$512,Auftrag!$D$13:$D$512,$B61,Auftrag!$E$13:$E$512,$C61,Auftrag!$Q$13:$Q$512,$D61)*$D61/1000,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9" t="n"/>
      <c r="E62" s="24" t="n"/>
      <c r="F62" s="24" t="n"/>
      <c r="G62" s="12">
        <f>IF($A62="","",COUNTIFS(Stangenbelegung!$A$5:$A$10004,$A62))</f>
        <v/>
      </c>
      <c r="H62" s="35">
        <f>IF($A62="","",SUMIFS(Stangenbelegung!$F$5:$F$10004,Stangenbelegung!$A$5:$A$10004,$A62))</f>
        <v/>
      </c>
      <c r="I62" s="23" t="n"/>
      <c r="J62" s="35">
        <f>IF($A62="","",$E62+H62+$I62)</f>
        <v/>
      </c>
      <c r="K62" s="35">
        <f>IF($A62="","",$D62-J62)</f>
        <v/>
      </c>
      <c r="L62" s="32">
        <f>IF($A62="","",H62/$D62)</f>
        <v/>
      </c>
      <c r="M62" s="28">
        <f>IF($A62="","",IF(OR(J62+$F62&gt;$D62+0.001,_xlfn.MAXIFS(Stangenbelegung!$H$5:$H$10004,Stangenbelegung!$A$5:$A$10004,$A62)&gt;$D62-$F62+0.001),"ÜBERBELEGT","OK"))</f>
        <v/>
      </c>
      <c r="N62" s="24" t="n"/>
      <c r="O62" s="24" t="n"/>
      <c r="P62" s="9" t="n"/>
      <c r="Q62" s="18">
        <f>IF($A62="","",IFERROR($D62/1000*INDEX(Profile!$K$5:$K$304,MATCH($B62,lst_Profil,0))*INDEX(Werkstoffe!$E$5:$E$304,MATCH($C62,lst_Werkstoff,0))/1000,""))</f>
        <v/>
      </c>
      <c r="R62" s="18">
        <f>IF($A62="","",IF(N(_xlfn.MAXIFS(Auftrag!$AP$13:$AP$512,Auftrag!$D$13:$D$512,$B62,Auftrag!$E$13:$E$512,$C62,Auftrag!$Q$13:$Q$512,$D62))&gt;0,_xlfn.MAXIFS(Auftrag!$AP$13:$AP$512,Auftrag!$D$13:$D$512,$B62,Auftrag!$E$13:$E$512,$C62,Auftrag!$Q$13:$Q$512,$D62)*$D62/1000,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9" t="n"/>
      <c r="E63" s="24" t="n"/>
      <c r="F63" s="24" t="n"/>
      <c r="G63" s="12">
        <f>IF($A63="","",COUNTIFS(Stangenbelegung!$A$5:$A$10004,$A63))</f>
        <v/>
      </c>
      <c r="H63" s="35">
        <f>IF($A63="","",SUMIFS(Stangenbelegung!$F$5:$F$10004,Stangenbelegung!$A$5:$A$10004,$A63))</f>
        <v/>
      </c>
      <c r="I63" s="23" t="n"/>
      <c r="J63" s="35">
        <f>IF($A63="","",$E63+H63+$I63)</f>
        <v/>
      </c>
      <c r="K63" s="35">
        <f>IF($A63="","",$D63-J63)</f>
        <v/>
      </c>
      <c r="L63" s="32">
        <f>IF($A63="","",H63/$D63)</f>
        <v/>
      </c>
      <c r="M63" s="28">
        <f>IF($A63="","",IF(OR(J63+$F63&gt;$D63+0.001,_xlfn.MAXIFS(Stangenbelegung!$H$5:$H$10004,Stangenbelegung!$A$5:$A$10004,$A63)&gt;$D63-$F63+0.001),"ÜBERBELEGT","OK"))</f>
        <v/>
      </c>
      <c r="N63" s="24" t="n"/>
      <c r="O63" s="24" t="n"/>
      <c r="P63" s="9" t="n"/>
      <c r="Q63" s="18">
        <f>IF($A63="","",IFERROR($D63/1000*INDEX(Profile!$K$5:$K$304,MATCH($B63,lst_Profil,0))*INDEX(Werkstoffe!$E$5:$E$304,MATCH($C63,lst_Werkstoff,0))/1000,""))</f>
        <v/>
      </c>
      <c r="R63" s="18">
        <f>IF($A63="","",IF(N(_xlfn.MAXIFS(Auftrag!$AP$13:$AP$512,Auftrag!$D$13:$D$512,$B63,Auftrag!$E$13:$E$512,$C63,Auftrag!$Q$13:$Q$512,$D63))&gt;0,_xlfn.MAXIFS(Auftrag!$AP$13:$AP$512,Auftrag!$D$13:$D$512,$B63,Auftrag!$E$13:$E$512,$C63,Auftrag!$Q$13:$Q$512,$D63)*$D63/1000,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9" t="n"/>
      <c r="E64" s="24" t="n"/>
      <c r="F64" s="24" t="n"/>
      <c r="G64" s="12">
        <f>IF($A64="","",COUNTIFS(Stangenbelegung!$A$5:$A$10004,$A64))</f>
        <v/>
      </c>
      <c r="H64" s="35">
        <f>IF($A64="","",SUMIFS(Stangenbelegung!$F$5:$F$10004,Stangenbelegung!$A$5:$A$10004,$A64))</f>
        <v/>
      </c>
      <c r="I64" s="23" t="n"/>
      <c r="J64" s="35">
        <f>IF($A64="","",$E64+H64+$I64)</f>
        <v/>
      </c>
      <c r="K64" s="35">
        <f>IF($A64="","",$D64-J64)</f>
        <v/>
      </c>
      <c r="L64" s="32">
        <f>IF($A64="","",H64/$D64)</f>
        <v/>
      </c>
      <c r="M64" s="28">
        <f>IF($A64="","",IF(OR(J64+$F64&gt;$D64+0.001,_xlfn.MAXIFS(Stangenbelegung!$H$5:$H$10004,Stangenbelegung!$A$5:$A$10004,$A64)&gt;$D64-$F64+0.001),"ÜBERBELEGT","OK"))</f>
        <v/>
      </c>
      <c r="N64" s="24" t="n"/>
      <c r="O64" s="24" t="n"/>
      <c r="P64" s="9" t="n"/>
      <c r="Q64" s="18">
        <f>IF($A64="","",IFERROR($D64/1000*INDEX(Profile!$K$5:$K$304,MATCH($B64,lst_Profil,0))*INDEX(Werkstoffe!$E$5:$E$304,MATCH($C64,lst_Werkstoff,0))/1000,""))</f>
        <v/>
      </c>
      <c r="R64" s="18">
        <f>IF($A64="","",IF(N(_xlfn.MAXIFS(Auftrag!$AP$13:$AP$512,Auftrag!$D$13:$D$512,$B64,Auftrag!$E$13:$E$512,$C64,Auftrag!$Q$13:$Q$512,$D64))&gt;0,_xlfn.MAXIFS(Auftrag!$AP$13:$AP$512,Auftrag!$D$13:$D$512,$B64,Auftrag!$E$13:$E$512,$C64,Auftrag!$Q$13:$Q$512,$D64)*$D64/1000,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9" t="n"/>
      <c r="E65" s="24" t="n"/>
      <c r="F65" s="24" t="n"/>
      <c r="G65" s="12">
        <f>IF($A65="","",COUNTIFS(Stangenbelegung!$A$5:$A$10004,$A65))</f>
        <v/>
      </c>
      <c r="H65" s="35">
        <f>IF($A65="","",SUMIFS(Stangenbelegung!$F$5:$F$10004,Stangenbelegung!$A$5:$A$10004,$A65))</f>
        <v/>
      </c>
      <c r="I65" s="23" t="n"/>
      <c r="J65" s="35">
        <f>IF($A65="","",$E65+H65+$I65)</f>
        <v/>
      </c>
      <c r="K65" s="35">
        <f>IF($A65="","",$D65-J65)</f>
        <v/>
      </c>
      <c r="L65" s="32">
        <f>IF($A65="","",H65/$D65)</f>
        <v/>
      </c>
      <c r="M65" s="28">
        <f>IF($A65="","",IF(OR(J65+$F65&gt;$D65+0.001,_xlfn.MAXIFS(Stangenbelegung!$H$5:$H$10004,Stangenbelegung!$A$5:$A$10004,$A65)&gt;$D65-$F65+0.001),"ÜBERBELEGT","OK"))</f>
        <v/>
      </c>
      <c r="N65" s="24" t="n"/>
      <c r="O65" s="24" t="n"/>
      <c r="P65" s="9" t="n"/>
      <c r="Q65" s="18">
        <f>IF($A65="","",IFERROR($D65/1000*INDEX(Profile!$K$5:$K$304,MATCH($B65,lst_Profil,0))*INDEX(Werkstoffe!$E$5:$E$304,MATCH($C65,lst_Werkstoff,0))/1000,""))</f>
        <v/>
      </c>
      <c r="R65" s="18">
        <f>IF($A65="","",IF(N(_xlfn.MAXIFS(Auftrag!$AP$13:$AP$512,Auftrag!$D$13:$D$512,$B65,Auftrag!$E$13:$E$512,$C65,Auftrag!$Q$13:$Q$512,$D65))&gt;0,_xlfn.MAXIFS(Auftrag!$AP$13:$AP$512,Auftrag!$D$13:$D$512,$B65,Auftrag!$E$13:$E$512,$C65,Auftrag!$Q$13:$Q$512,$D65)*$D65/1000,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9" t="n"/>
      <c r="E66" s="24" t="n"/>
      <c r="F66" s="24" t="n"/>
      <c r="G66" s="12">
        <f>IF($A66="","",COUNTIFS(Stangenbelegung!$A$5:$A$10004,$A66))</f>
        <v/>
      </c>
      <c r="H66" s="35">
        <f>IF($A66="","",SUMIFS(Stangenbelegung!$F$5:$F$10004,Stangenbelegung!$A$5:$A$10004,$A66))</f>
        <v/>
      </c>
      <c r="I66" s="23" t="n"/>
      <c r="J66" s="35">
        <f>IF($A66="","",$E66+H66+$I66)</f>
        <v/>
      </c>
      <c r="K66" s="35">
        <f>IF($A66="","",$D66-J66)</f>
        <v/>
      </c>
      <c r="L66" s="32">
        <f>IF($A66="","",H66/$D66)</f>
        <v/>
      </c>
      <c r="M66" s="28">
        <f>IF($A66="","",IF(OR(J66+$F66&gt;$D66+0.001,_xlfn.MAXIFS(Stangenbelegung!$H$5:$H$10004,Stangenbelegung!$A$5:$A$10004,$A66)&gt;$D66-$F66+0.001),"ÜBERBELEGT","OK"))</f>
        <v/>
      </c>
      <c r="N66" s="24" t="n"/>
      <c r="O66" s="24" t="n"/>
      <c r="P66" s="9" t="n"/>
      <c r="Q66" s="18">
        <f>IF($A66="","",IFERROR($D66/1000*INDEX(Profile!$K$5:$K$304,MATCH($B66,lst_Profil,0))*INDEX(Werkstoffe!$E$5:$E$304,MATCH($C66,lst_Werkstoff,0))/1000,""))</f>
        <v/>
      </c>
      <c r="R66" s="18">
        <f>IF($A66="","",IF(N(_xlfn.MAXIFS(Auftrag!$AP$13:$AP$512,Auftrag!$D$13:$D$512,$B66,Auftrag!$E$13:$E$512,$C66,Auftrag!$Q$13:$Q$512,$D66))&gt;0,_xlfn.MAXIFS(Auftrag!$AP$13:$AP$512,Auftrag!$D$13:$D$512,$B66,Auftrag!$E$13:$E$512,$C66,Auftrag!$Q$13:$Q$512,$D66)*$D66/1000,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9" t="n"/>
      <c r="E67" s="24" t="n"/>
      <c r="F67" s="24" t="n"/>
      <c r="G67" s="12">
        <f>IF($A67="","",COUNTIFS(Stangenbelegung!$A$5:$A$10004,$A67))</f>
        <v/>
      </c>
      <c r="H67" s="35">
        <f>IF($A67="","",SUMIFS(Stangenbelegung!$F$5:$F$10004,Stangenbelegung!$A$5:$A$10004,$A67))</f>
        <v/>
      </c>
      <c r="I67" s="23" t="n"/>
      <c r="J67" s="35">
        <f>IF($A67="","",$E67+H67+$I67)</f>
        <v/>
      </c>
      <c r="K67" s="35">
        <f>IF($A67="","",$D67-J67)</f>
        <v/>
      </c>
      <c r="L67" s="32">
        <f>IF($A67="","",H67/$D67)</f>
        <v/>
      </c>
      <c r="M67" s="28">
        <f>IF($A67="","",IF(OR(J67+$F67&gt;$D67+0.001,_xlfn.MAXIFS(Stangenbelegung!$H$5:$H$10004,Stangenbelegung!$A$5:$A$10004,$A67)&gt;$D67-$F67+0.001),"ÜBERBELEGT","OK"))</f>
        <v/>
      </c>
      <c r="N67" s="24" t="n"/>
      <c r="O67" s="24" t="n"/>
      <c r="P67" s="9" t="n"/>
      <c r="Q67" s="18">
        <f>IF($A67="","",IFERROR($D67/1000*INDEX(Profile!$K$5:$K$304,MATCH($B67,lst_Profil,0))*INDEX(Werkstoffe!$E$5:$E$304,MATCH($C67,lst_Werkstoff,0))/1000,""))</f>
        <v/>
      </c>
      <c r="R67" s="18">
        <f>IF($A67="","",IF(N(_xlfn.MAXIFS(Auftrag!$AP$13:$AP$512,Auftrag!$D$13:$D$512,$B67,Auftrag!$E$13:$E$512,$C67,Auftrag!$Q$13:$Q$512,$D67))&gt;0,_xlfn.MAXIFS(Auftrag!$AP$13:$AP$512,Auftrag!$D$13:$D$512,$B67,Auftrag!$E$13:$E$512,$C67,Auftrag!$Q$13:$Q$512,$D67)*$D67/1000,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9" t="n"/>
      <c r="E68" s="24" t="n"/>
      <c r="F68" s="24" t="n"/>
      <c r="G68" s="12">
        <f>IF($A68="","",COUNTIFS(Stangenbelegung!$A$5:$A$10004,$A68))</f>
        <v/>
      </c>
      <c r="H68" s="35">
        <f>IF($A68="","",SUMIFS(Stangenbelegung!$F$5:$F$10004,Stangenbelegung!$A$5:$A$10004,$A68))</f>
        <v/>
      </c>
      <c r="I68" s="23" t="n"/>
      <c r="J68" s="35">
        <f>IF($A68="","",$E68+H68+$I68)</f>
        <v/>
      </c>
      <c r="K68" s="35">
        <f>IF($A68="","",$D68-J68)</f>
        <v/>
      </c>
      <c r="L68" s="32">
        <f>IF($A68="","",H68/$D68)</f>
        <v/>
      </c>
      <c r="M68" s="28">
        <f>IF($A68="","",IF(OR(J68+$F68&gt;$D68+0.001,_xlfn.MAXIFS(Stangenbelegung!$H$5:$H$10004,Stangenbelegung!$A$5:$A$10004,$A68)&gt;$D68-$F68+0.001),"ÜBERBELEGT","OK"))</f>
        <v/>
      </c>
      <c r="N68" s="24" t="n"/>
      <c r="O68" s="24" t="n"/>
      <c r="P68" s="9" t="n"/>
      <c r="Q68" s="18">
        <f>IF($A68="","",IFERROR($D68/1000*INDEX(Profile!$K$5:$K$304,MATCH($B68,lst_Profil,0))*INDEX(Werkstoffe!$E$5:$E$304,MATCH($C68,lst_Werkstoff,0))/1000,""))</f>
        <v/>
      </c>
      <c r="R68" s="18">
        <f>IF($A68="","",IF(N(_xlfn.MAXIFS(Auftrag!$AP$13:$AP$512,Auftrag!$D$13:$D$512,$B68,Auftrag!$E$13:$E$512,$C68,Auftrag!$Q$13:$Q$512,$D68))&gt;0,_xlfn.MAXIFS(Auftrag!$AP$13:$AP$512,Auftrag!$D$13:$D$512,$B68,Auftrag!$E$13:$E$512,$C68,Auftrag!$Q$13:$Q$512,$D68)*$D68/1000,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9" t="n"/>
      <c r="E69" s="24" t="n"/>
      <c r="F69" s="24" t="n"/>
      <c r="G69" s="12">
        <f>IF($A69="","",COUNTIFS(Stangenbelegung!$A$5:$A$10004,$A69))</f>
        <v/>
      </c>
      <c r="H69" s="35">
        <f>IF($A69="","",SUMIFS(Stangenbelegung!$F$5:$F$10004,Stangenbelegung!$A$5:$A$10004,$A69))</f>
        <v/>
      </c>
      <c r="I69" s="23" t="n"/>
      <c r="J69" s="35">
        <f>IF($A69="","",$E69+H69+$I69)</f>
        <v/>
      </c>
      <c r="K69" s="35">
        <f>IF($A69="","",$D69-J69)</f>
        <v/>
      </c>
      <c r="L69" s="32">
        <f>IF($A69="","",H69/$D69)</f>
        <v/>
      </c>
      <c r="M69" s="28">
        <f>IF($A69="","",IF(OR(J69+$F69&gt;$D69+0.001,_xlfn.MAXIFS(Stangenbelegung!$H$5:$H$10004,Stangenbelegung!$A$5:$A$10004,$A69)&gt;$D69-$F69+0.001),"ÜBERBELEGT","OK"))</f>
        <v/>
      </c>
      <c r="N69" s="24" t="n"/>
      <c r="O69" s="24" t="n"/>
      <c r="P69" s="9" t="n"/>
      <c r="Q69" s="18">
        <f>IF($A69="","",IFERROR($D69/1000*INDEX(Profile!$K$5:$K$304,MATCH($B69,lst_Profil,0))*INDEX(Werkstoffe!$E$5:$E$304,MATCH($C69,lst_Werkstoff,0))/1000,""))</f>
        <v/>
      </c>
      <c r="R69" s="18">
        <f>IF($A69="","",IF(N(_xlfn.MAXIFS(Auftrag!$AP$13:$AP$512,Auftrag!$D$13:$D$512,$B69,Auftrag!$E$13:$E$512,$C69,Auftrag!$Q$13:$Q$512,$D69))&gt;0,_xlfn.MAXIFS(Auftrag!$AP$13:$AP$512,Auftrag!$D$13:$D$512,$B69,Auftrag!$E$13:$E$512,$C69,Auftrag!$Q$13:$Q$512,$D69)*$D69/1000,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9" t="n"/>
      <c r="E70" s="24" t="n"/>
      <c r="F70" s="24" t="n"/>
      <c r="G70" s="12">
        <f>IF($A70="","",COUNTIFS(Stangenbelegung!$A$5:$A$10004,$A70))</f>
        <v/>
      </c>
      <c r="H70" s="35">
        <f>IF($A70="","",SUMIFS(Stangenbelegung!$F$5:$F$10004,Stangenbelegung!$A$5:$A$10004,$A70))</f>
        <v/>
      </c>
      <c r="I70" s="23" t="n"/>
      <c r="J70" s="35">
        <f>IF($A70="","",$E70+H70+$I70)</f>
        <v/>
      </c>
      <c r="K70" s="35">
        <f>IF($A70="","",$D70-J70)</f>
        <v/>
      </c>
      <c r="L70" s="32">
        <f>IF($A70="","",H70/$D70)</f>
        <v/>
      </c>
      <c r="M70" s="28">
        <f>IF($A70="","",IF(OR(J70+$F70&gt;$D70+0.001,_xlfn.MAXIFS(Stangenbelegung!$H$5:$H$10004,Stangenbelegung!$A$5:$A$10004,$A70)&gt;$D70-$F70+0.001),"ÜBERBELEGT","OK"))</f>
        <v/>
      </c>
      <c r="N70" s="24" t="n"/>
      <c r="O70" s="24" t="n"/>
      <c r="P70" s="9" t="n"/>
      <c r="Q70" s="18">
        <f>IF($A70="","",IFERROR($D70/1000*INDEX(Profile!$K$5:$K$304,MATCH($B70,lst_Profil,0))*INDEX(Werkstoffe!$E$5:$E$304,MATCH($C70,lst_Werkstoff,0))/1000,""))</f>
        <v/>
      </c>
      <c r="R70" s="18">
        <f>IF($A70="","",IF(N(_xlfn.MAXIFS(Auftrag!$AP$13:$AP$512,Auftrag!$D$13:$D$512,$B70,Auftrag!$E$13:$E$512,$C70,Auftrag!$Q$13:$Q$512,$D70))&gt;0,_xlfn.MAXIFS(Auftrag!$AP$13:$AP$512,Auftrag!$D$13:$D$512,$B70,Auftrag!$E$13:$E$512,$C70,Auftrag!$Q$13:$Q$512,$D70)*$D70/1000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9" t="n"/>
      <c r="E71" s="24" t="n"/>
      <c r="F71" s="24" t="n"/>
      <c r="G71" s="12">
        <f>IF($A71="","",COUNTIFS(Stangenbelegung!$A$5:$A$10004,$A71))</f>
        <v/>
      </c>
      <c r="H71" s="35">
        <f>IF($A71="","",SUMIFS(Stangenbelegung!$F$5:$F$10004,Stangenbelegung!$A$5:$A$10004,$A71))</f>
        <v/>
      </c>
      <c r="I71" s="23" t="n"/>
      <c r="J71" s="35">
        <f>IF($A71="","",$E71+H71+$I71)</f>
        <v/>
      </c>
      <c r="K71" s="35">
        <f>IF($A71="","",$D71-J71)</f>
        <v/>
      </c>
      <c r="L71" s="32">
        <f>IF($A71="","",H71/$D71)</f>
        <v/>
      </c>
      <c r="M71" s="28">
        <f>IF($A71="","",IF(OR(J71+$F71&gt;$D71+0.001,_xlfn.MAXIFS(Stangenbelegung!$H$5:$H$10004,Stangenbelegung!$A$5:$A$10004,$A71)&gt;$D71-$F71+0.001),"ÜBERBELEGT","OK"))</f>
        <v/>
      </c>
      <c r="N71" s="24" t="n"/>
      <c r="O71" s="24" t="n"/>
      <c r="P71" s="9" t="n"/>
      <c r="Q71" s="18">
        <f>IF($A71="","",IFERROR($D71/1000*INDEX(Profile!$K$5:$K$304,MATCH($B71,lst_Profil,0))*INDEX(Werkstoffe!$E$5:$E$304,MATCH($C71,lst_Werkstoff,0))/1000,""))</f>
        <v/>
      </c>
      <c r="R71" s="18">
        <f>IF($A71="","",IF(N(_xlfn.MAXIFS(Auftrag!$AP$13:$AP$512,Auftrag!$D$13:$D$512,$B71,Auftrag!$E$13:$E$512,$C71,Auftrag!$Q$13:$Q$512,$D71))&gt;0,_xlfn.MAXIFS(Auftrag!$AP$13:$AP$512,Auftrag!$D$13:$D$512,$B71,Auftrag!$E$13:$E$512,$C71,Auftrag!$Q$13:$Q$512,$D71)*$D71/1000,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9" t="n"/>
      <c r="E72" s="24" t="n"/>
      <c r="F72" s="24" t="n"/>
      <c r="G72" s="12">
        <f>IF($A72="","",COUNTIFS(Stangenbelegung!$A$5:$A$10004,$A72))</f>
        <v/>
      </c>
      <c r="H72" s="35">
        <f>IF($A72="","",SUMIFS(Stangenbelegung!$F$5:$F$10004,Stangenbelegung!$A$5:$A$10004,$A72))</f>
        <v/>
      </c>
      <c r="I72" s="23" t="n"/>
      <c r="J72" s="35">
        <f>IF($A72="","",$E72+H72+$I72)</f>
        <v/>
      </c>
      <c r="K72" s="35">
        <f>IF($A72="","",$D72-J72)</f>
        <v/>
      </c>
      <c r="L72" s="32">
        <f>IF($A72="","",H72/$D72)</f>
        <v/>
      </c>
      <c r="M72" s="28">
        <f>IF($A72="","",IF(OR(J72+$F72&gt;$D72+0.001,_xlfn.MAXIFS(Stangenbelegung!$H$5:$H$10004,Stangenbelegung!$A$5:$A$10004,$A72)&gt;$D72-$F72+0.001),"ÜBERBELEGT","OK"))</f>
        <v/>
      </c>
      <c r="N72" s="24" t="n"/>
      <c r="O72" s="24" t="n"/>
      <c r="P72" s="9" t="n"/>
      <c r="Q72" s="18">
        <f>IF($A72="","",IFERROR($D72/1000*INDEX(Profile!$K$5:$K$304,MATCH($B72,lst_Profil,0))*INDEX(Werkstoffe!$E$5:$E$304,MATCH($C72,lst_Werkstoff,0))/1000,""))</f>
        <v/>
      </c>
      <c r="R72" s="18">
        <f>IF($A72="","",IF(N(_xlfn.MAXIFS(Auftrag!$AP$13:$AP$512,Auftrag!$D$13:$D$512,$B72,Auftrag!$E$13:$E$512,$C72,Auftrag!$Q$13:$Q$512,$D72))&gt;0,_xlfn.MAXIFS(Auftrag!$AP$13:$AP$512,Auftrag!$D$13:$D$512,$B72,Auftrag!$E$13:$E$512,$C72,Auftrag!$Q$13:$Q$512,$D72)*$D72/1000,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9" t="n"/>
      <c r="E73" s="24" t="n"/>
      <c r="F73" s="24" t="n"/>
      <c r="G73" s="12">
        <f>IF($A73="","",COUNTIFS(Stangenbelegung!$A$5:$A$10004,$A73))</f>
        <v/>
      </c>
      <c r="H73" s="35">
        <f>IF($A73="","",SUMIFS(Stangenbelegung!$F$5:$F$10004,Stangenbelegung!$A$5:$A$10004,$A73))</f>
        <v/>
      </c>
      <c r="I73" s="23" t="n"/>
      <c r="J73" s="35">
        <f>IF($A73="","",$E73+H73+$I73)</f>
        <v/>
      </c>
      <c r="K73" s="35">
        <f>IF($A73="","",$D73-J73)</f>
        <v/>
      </c>
      <c r="L73" s="32">
        <f>IF($A73="","",H73/$D73)</f>
        <v/>
      </c>
      <c r="M73" s="28">
        <f>IF($A73="","",IF(OR(J73+$F73&gt;$D73+0.001,_xlfn.MAXIFS(Stangenbelegung!$H$5:$H$10004,Stangenbelegung!$A$5:$A$10004,$A73)&gt;$D73-$F73+0.001),"ÜBERBELEGT","OK"))</f>
        <v/>
      </c>
      <c r="N73" s="24" t="n"/>
      <c r="O73" s="24" t="n"/>
      <c r="P73" s="9" t="n"/>
      <c r="Q73" s="18">
        <f>IF($A73="","",IFERROR($D73/1000*INDEX(Profile!$K$5:$K$304,MATCH($B73,lst_Profil,0))*INDEX(Werkstoffe!$E$5:$E$304,MATCH($C73,lst_Werkstoff,0))/1000,""))</f>
        <v/>
      </c>
      <c r="R73" s="18">
        <f>IF($A73="","",IF(N(_xlfn.MAXIFS(Auftrag!$AP$13:$AP$512,Auftrag!$D$13:$D$512,$B73,Auftrag!$E$13:$E$512,$C73,Auftrag!$Q$13:$Q$512,$D73))&gt;0,_xlfn.MAXIFS(Auftrag!$AP$13:$AP$512,Auftrag!$D$13:$D$512,$B73,Auftrag!$E$13:$E$512,$C73,Auftrag!$Q$13:$Q$512,$D73)*$D73/1000,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9" t="n"/>
      <c r="E74" s="24" t="n"/>
      <c r="F74" s="24" t="n"/>
      <c r="G74" s="12">
        <f>IF($A74="","",COUNTIFS(Stangenbelegung!$A$5:$A$10004,$A74))</f>
        <v/>
      </c>
      <c r="H74" s="35">
        <f>IF($A74="","",SUMIFS(Stangenbelegung!$F$5:$F$10004,Stangenbelegung!$A$5:$A$10004,$A74))</f>
        <v/>
      </c>
      <c r="I74" s="23" t="n"/>
      <c r="J74" s="35">
        <f>IF($A74="","",$E74+H74+$I74)</f>
        <v/>
      </c>
      <c r="K74" s="35">
        <f>IF($A74="","",$D74-J74)</f>
        <v/>
      </c>
      <c r="L74" s="32">
        <f>IF($A74="","",H74/$D74)</f>
        <v/>
      </c>
      <c r="M74" s="28">
        <f>IF($A74="","",IF(OR(J74+$F74&gt;$D74+0.001,_xlfn.MAXIFS(Stangenbelegung!$H$5:$H$10004,Stangenbelegung!$A$5:$A$10004,$A74)&gt;$D74-$F74+0.001),"ÜBERBELEGT","OK"))</f>
        <v/>
      </c>
      <c r="N74" s="24" t="n"/>
      <c r="O74" s="24" t="n"/>
      <c r="P74" s="9" t="n"/>
      <c r="Q74" s="18">
        <f>IF($A74="","",IFERROR($D74/1000*INDEX(Profile!$K$5:$K$304,MATCH($B74,lst_Profil,0))*INDEX(Werkstoffe!$E$5:$E$304,MATCH($C74,lst_Werkstoff,0))/1000,""))</f>
        <v/>
      </c>
      <c r="R74" s="18">
        <f>IF($A74="","",IF(N(_xlfn.MAXIFS(Auftrag!$AP$13:$AP$512,Auftrag!$D$13:$D$512,$B74,Auftrag!$E$13:$E$512,$C74,Auftrag!$Q$13:$Q$512,$D74))&gt;0,_xlfn.MAXIFS(Auftrag!$AP$13:$AP$512,Auftrag!$D$13:$D$512,$B74,Auftrag!$E$13:$E$512,$C74,Auftrag!$Q$13:$Q$512,$D74)*$D74/1000,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9" t="n"/>
      <c r="E75" s="24" t="n"/>
      <c r="F75" s="24" t="n"/>
      <c r="G75" s="12">
        <f>IF($A75="","",COUNTIFS(Stangenbelegung!$A$5:$A$10004,$A75))</f>
        <v/>
      </c>
      <c r="H75" s="35">
        <f>IF($A75="","",SUMIFS(Stangenbelegung!$F$5:$F$10004,Stangenbelegung!$A$5:$A$10004,$A75))</f>
        <v/>
      </c>
      <c r="I75" s="23" t="n"/>
      <c r="J75" s="35">
        <f>IF($A75="","",$E75+H75+$I75)</f>
        <v/>
      </c>
      <c r="K75" s="35">
        <f>IF($A75="","",$D75-J75)</f>
        <v/>
      </c>
      <c r="L75" s="32">
        <f>IF($A75="","",H75/$D75)</f>
        <v/>
      </c>
      <c r="M75" s="28">
        <f>IF($A75="","",IF(OR(J75+$F75&gt;$D75+0.001,_xlfn.MAXIFS(Stangenbelegung!$H$5:$H$10004,Stangenbelegung!$A$5:$A$10004,$A75)&gt;$D75-$F75+0.001),"ÜBERBELEGT","OK"))</f>
        <v/>
      </c>
      <c r="N75" s="24" t="n"/>
      <c r="O75" s="24" t="n"/>
      <c r="P75" s="9" t="n"/>
      <c r="Q75" s="18">
        <f>IF($A75="","",IFERROR($D75/1000*INDEX(Profile!$K$5:$K$304,MATCH($B75,lst_Profil,0))*INDEX(Werkstoffe!$E$5:$E$304,MATCH($C75,lst_Werkstoff,0))/1000,""))</f>
        <v/>
      </c>
      <c r="R75" s="18">
        <f>IF($A75="","",IF(N(_xlfn.MAXIFS(Auftrag!$AP$13:$AP$512,Auftrag!$D$13:$D$512,$B75,Auftrag!$E$13:$E$512,$C75,Auftrag!$Q$13:$Q$512,$D75))&gt;0,_xlfn.MAXIFS(Auftrag!$AP$13:$AP$512,Auftrag!$D$13:$D$512,$B75,Auftrag!$E$13:$E$512,$C75,Auftrag!$Q$13:$Q$512,$D75)*$D75/1000,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9" t="n"/>
      <c r="E76" s="24" t="n"/>
      <c r="F76" s="24" t="n"/>
      <c r="G76" s="12">
        <f>IF($A76="","",COUNTIFS(Stangenbelegung!$A$5:$A$10004,$A76))</f>
        <v/>
      </c>
      <c r="H76" s="35">
        <f>IF($A76="","",SUMIFS(Stangenbelegung!$F$5:$F$10004,Stangenbelegung!$A$5:$A$10004,$A76))</f>
        <v/>
      </c>
      <c r="I76" s="23" t="n"/>
      <c r="J76" s="35">
        <f>IF($A76="","",$E76+H76+$I76)</f>
        <v/>
      </c>
      <c r="K76" s="35">
        <f>IF($A76="","",$D76-J76)</f>
        <v/>
      </c>
      <c r="L76" s="32">
        <f>IF($A76="","",H76/$D76)</f>
        <v/>
      </c>
      <c r="M76" s="28">
        <f>IF($A76="","",IF(OR(J76+$F76&gt;$D76+0.001,_xlfn.MAXIFS(Stangenbelegung!$H$5:$H$10004,Stangenbelegung!$A$5:$A$10004,$A76)&gt;$D76-$F76+0.001),"ÜBERBELEGT","OK"))</f>
        <v/>
      </c>
      <c r="N76" s="24" t="n"/>
      <c r="O76" s="24" t="n"/>
      <c r="P76" s="9" t="n"/>
      <c r="Q76" s="18">
        <f>IF($A76="","",IFERROR($D76/1000*INDEX(Profile!$K$5:$K$304,MATCH($B76,lst_Profil,0))*INDEX(Werkstoffe!$E$5:$E$304,MATCH($C76,lst_Werkstoff,0))/1000,""))</f>
        <v/>
      </c>
      <c r="R76" s="18">
        <f>IF($A76="","",IF(N(_xlfn.MAXIFS(Auftrag!$AP$13:$AP$512,Auftrag!$D$13:$D$512,$B76,Auftrag!$E$13:$E$512,$C76,Auftrag!$Q$13:$Q$512,$D76))&gt;0,_xlfn.MAXIFS(Auftrag!$AP$13:$AP$512,Auftrag!$D$13:$D$512,$B76,Auftrag!$E$13:$E$512,$C76,Auftrag!$Q$13:$Q$512,$D76)*$D76/1000,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9" t="n"/>
      <c r="E77" s="24" t="n"/>
      <c r="F77" s="24" t="n"/>
      <c r="G77" s="12">
        <f>IF($A77="","",COUNTIFS(Stangenbelegung!$A$5:$A$10004,$A77))</f>
        <v/>
      </c>
      <c r="H77" s="35">
        <f>IF($A77="","",SUMIFS(Stangenbelegung!$F$5:$F$10004,Stangenbelegung!$A$5:$A$10004,$A77))</f>
        <v/>
      </c>
      <c r="I77" s="23" t="n"/>
      <c r="J77" s="35">
        <f>IF($A77="","",$E77+H77+$I77)</f>
        <v/>
      </c>
      <c r="K77" s="35">
        <f>IF($A77="","",$D77-J77)</f>
        <v/>
      </c>
      <c r="L77" s="32">
        <f>IF($A77="","",H77/$D77)</f>
        <v/>
      </c>
      <c r="M77" s="28">
        <f>IF($A77="","",IF(OR(J77+$F77&gt;$D77+0.001,_xlfn.MAXIFS(Stangenbelegung!$H$5:$H$10004,Stangenbelegung!$A$5:$A$10004,$A77)&gt;$D77-$F77+0.001),"ÜBERBELEGT","OK"))</f>
        <v/>
      </c>
      <c r="N77" s="24" t="n"/>
      <c r="O77" s="24" t="n"/>
      <c r="P77" s="9" t="n"/>
      <c r="Q77" s="18">
        <f>IF($A77="","",IFERROR($D77/1000*INDEX(Profile!$K$5:$K$304,MATCH($B77,lst_Profil,0))*INDEX(Werkstoffe!$E$5:$E$304,MATCH($C77,lst_Werkstoff,0))/1000,""))</f>
        <v/>
      </c>
      <c r="R77" s="18">
        <f>IF($A77="","",IF(N(_xlfn.MAXIFS(Auftrag!$AP$13:$AP$512,Auftrag!$D$13:$D$512,$B77,Auftrag!$E$13:$E$512,$C77,Auftrag!$Q$13:$Q$512,$D77))&gt;0,_xlfn.MAXIFS(Auftrag!$AP$13:$AP$512,Auftrag!$D$13:$D$512,$B77,Auftrag!$E$13:$E$512,$C77,Auftrag!$Q$13:$Q$512,$D77)*$D77/1000,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9" t="n"/>
      <c r="E78" s="24" t="n"/>
      <c r="F78" s="24" t="n"/>
      <c r="G78" s="12">
        <f>IF($A78="","",COUNTIFS(Stangenbelegung!$A$5:$A$10004,$A78))</f>
        <v/>
      </c>
      <c r="H78" s="35">
        <f>IF($A78="","",SUMIFS(Stangenbelegung!$F$5:$F$10004,Stangenbelegung!$A$5:$A$10004,$A78))</f>
        <v/>
      </c>
      <c r="I78" s="23" t="n"/>
      <c r="J78" s="35">
        <f>IF($A78="","",$E78+H78+$I78)</f>
        <v/>
      </c>
      <c r="K78" s="35">
        <f>IF($A78="","",$D78-J78)</f>
        <v/>
      </c>
      <c r="L78" s="32">
        <f>IF($A78="","",H78/$D78)</f>
        <v/>
      </c>
      <c r="M78" s="28">
        <f>IF($A78="","",IF(OR(J78+$F78&gt;$D78+0.001,_xlfn.MAXIFS(Stangenbelegung!$H$5:$H$10004,Stangenbelegung!$A$5:$A$10004,$A78)&gt;$D78-$F78+0.001),"ÜBERBELEGT","OK"))</f>
        <v/>
      </c>
      <c r="N78" s="24" t="n"/>
      <c r="O78" s="24" t="n"/>
      <c r="P78" s="9" t="n"/>
      <c r="Q78" s="18">
        <f>IF($A78="","",IFERROR($D78/1000*INDEX(Profile!$K$5:$K$304,MATCH($B78,lst_Profil,0))*INDEX(Werkstoffe!$E$5:$E$304,MATCH($C78,lst_Werkstoff,0))/1000,""))</f>
        <v/>
      </c>
      <c r="R78" s="18">
        <f>IF($A78="","",IF(N(_xlfn.MAXIFS(Auftrag!$AP$13:$AP$512,Auftrag!$D$13:$D$512,$B78,Auftrag!$E$13:$E$512,$C78,Auftrag!$Q$13:$Q$512,$D78))&gt;0,_xlfn.MAXIFS(Auftrag!$AP$13:$AP$512,Auftrag!$D$13:$D$512,$B78,Auftrag!$E$13:$E$512,$C78,Auftrag!$Q$13:$Q$512,$D78)*$D78/1000,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9" t="n"/>
      <c r="E79" s="24" t="n"/>
      <c r="F79" s="24" t="n"/>
      <c r="G79" s="12">
        <f>IF($A79="","",COUNTIFS(Stangenbelegung!$A$5:$A$10004,$A79))</f>
        <v/>
      </c>
      <c r="H79" s="35">
        <f>IF($A79="","",SUMIFS(Stangenbelegung!$F$5:$F$10004,Stangenbelegung!$A$5:$A$10004,$A79))</f>
        <v/>
      </c>
      <c r="I79" s="23" t="n"/>
      <c r="J79" s="35">
        <f>IF($A79="","",$E79+H79+$I79)</f>
        <v/>
      </c>
      <c r="K79" s="35">
        <f>IF($A79="","",$D79-J79)</f>
        <v/>
      </c>
      <c r="L79" s="32">
        <f>IF($A79="","",H79/$D79)</f>
        <v/>
      </c>
      <c r="M79" s="28">
        <f>IF($A79="","",IF(OR(J79+$F79&gt;$D79+0.001,_xlfn.MAXIFS(Stangenbelegung!$H$5:$H$10004,Stangenbelegung!$A$5:$A$10004,$A79)&gt;$D79-$F79+0.001),"ÜBERBELEGT","OK"))</f>
        <v/>
      </c>
      <c r="N79" s="24" t="n"/>
      <c r="O79" s="24" t="n"/>
      <c r="P79" s="9" t="n"/>
      <c r="Q79" s="18">
        <f>IF($A79="","",IFERROR($D79/1000*INDEX(Profile!$K$5:$K$304,MATCH($B79,lst_Profil,0))*INDEX(Werkstoffe!$E$5:$E$304,MATCH($C79,lst_Werkstoff,0))/1000,""))</f>
        <v/>
      </c>
      <c r="R79" s="18">
        <f>IF($A79="","",IF(N(_xlfn.MAXIFS(Auftrag!$AP$13:$AP$512,Auftrag!$D$13:$D$512,$B79,Auftrag!$E$13:$E$512,$C79,Auftrag!$Q$13:$Q$512,$D79))&gt;0,_xlfn.MAXIFS(Auftrag!$AP$13:$AP$512,Auftrag!$D$13:$D$512,$B79,Auftrag!$E$13:$E$512,$C79,Auftrag!$Q$13:$Q$512,$D79)*$D79/1000,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9" t="n"/>
      <c r="E80" s="24" t="n"/>
      <c r="F80" s="24" t="n"/>
      <c r="G80" s="12">
        <f>IF($A80="","",COUNTIFS(Stangenbelegung!$A$5:$A$10004,$A80))</f>
        <v/>
      </c>
      <c r="H80" s="35">
        <f>IF($A80="","",SUMIFS(Stangenbelegung!$F$5:$F$10004,Stangenbelegung!$A$5:$A$10004,$A80))</f>
        <v/>
      </c>
      <c r="I80" s="23" t="n"/>
      <c r="J80" s="35">
        <f>IF($A80="","",$E80+H80+$I80)</f>
        <v/>
      </c>
      <c r="K80" s="35">
        <f>IF($A80="","",$D80-J80)</f>
        <v/>
      </c>
      <c r="L80" s="32">
        <f>IF($A80="","",H80/$D80)</f>
        <v/>
      </c>
      <c r="M80" s="28">
        <f>IF($A80="","",IF(OR(J80+$F80&gt;$D80+0.001,_xlfn.MAXIFS(Stangenbelegung!$H$5:$H$10004,Stangenbelegung!$A$5:$A$10004,$A80)&gt;$D80-$F80+0.001),"ÜBERBELEGT","OK"))</f>
        <v/>
      </c>
      <c r="N80" s="24" t="n"/>
      <c r="O80" s="24" t="n"/>
      <c r="P80" s="9" t="n"/>
      <c r="Q80" s="18">
        <f>IF($A80="","",IFERROR($D80/1000*INDEX(Profile!$K$5:$K$304,MATCH($B80,lst_Profil,0))*INDEX(Werkstoffe!$E$5:$E$304,MATCH($C80,lst_Werkstoff,0))/1000,""))</f>
        <v/>
      </c>
      <c r="R80" s="18">
        <f>IF($A80="","",IF(N(_xlfn.MAXIFS(Auftrag!$AP$13:$AP$512,Auftrag!$D$13:$D$512,$B80,Auftrag!$E$13:$E$512,$C80,Auftrag!$Q$13:$Q$512,$D80))&gt;0,_xlfn.MAXIFS(Auftrag!$AP$13:$AP$512,Auftrag!$D$13:$D$512,$B80,Auftrag!$E$13:$E$512,$C80,Auftrag!$Q$13:$Q$512,$D80)*$D80/1000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9" t="n"/>
      <c r="E81" s="24" t="n"/>
      <c r="F81" s="24" t="n"/>
      <c r="G81" s="12">
        <f>IF($A81="","",COUNTIFS(Stangenbelegung!$A$5:$A$10004,$A81))</f>
        <v/>
      </c>
      <c r="H81" s="35">
        <f>IF($A81="","",SUMIFS(Stangenbelegung!$F$5:$F$10004,Stangenbelegung!$A$5:$A$10004,$A81))</f>
        <v/>
      </c>
      <c r="I81" s="23" t="n"/>
      <c r="J81" s="35">
        <f>IF($A81="","",$E81+H81+$I81)</f>
        <v/>
      </c>
      <c r="K81" s="35">
        <f>IF($A81="","",$D81-J81)</f>
        <v/>
      </c>
      <c r="L81" s="32">
        <f>IF($A81="","",H81/$D81)</f>
        <v/>
      </c>
      <c r="M81" s="28">
        <f>IF($A81="","",IF(OR(J81+$F81&gt;$D81+0.001,_xlfn.MAXIFS(Stangenbelegung!$H$5:$H$10004,Stangenbelegung!$A$5:$A$10004,$A81)&gt;$D81-$F81+0.001),"ÜBERBELEGT","OK"))</f>
        <v/>
      </c>
      <c r="N81" s="24" t="n"/>
      <c r="O81" s="24" t="n"/>
      <c r="P81" s="9" t="n"/>
      <c r="Q81" s="18">
        <f>IF($A81="","",IFERROR($D81/1000*INDEX(Profile!$K$5:$K$304,MATCH($B81,lst_Profil,0))*INDEX(Werkstoffe!$E$5:$E$304,MATCH($C81,lst_Werkstoff,0))/1000,""))</f>
        <v/>
      </c>
      <c r="R81" s="18">
        <f>IF($A81="","",IF(N(_xlfn.MAXIFS(Auftrag!$AP$13:$AP$512,Auftrag!$D$13:$D$512,$B81,Auftrag!$E$13:$E$512,$C81,Auftrag!$Q$13:$Q$512,$D81))&gt;0,_xlfn.MAXIFS(Auftrag!$AP$13:$AP$512,Auftrag!$D$13:$D$512,$B81,Auftrag!$E$13:$E$512,$C81,Auftrag!$Q$13:$Q$512,$D81)*$D81/1000,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9" t="n"/>
      <c r="E82" s="24" t="n"/>
      <c r="F82" s="24" t="n"/>
      <c r="G82" s="12">
        <f>IF($A82="","",COUNTIFS(Stangenbelegung!$A$5:$A$10004,$A82))</f>
        <v/>
      </c>
      <c r="H82" s="35">
        <f>IF($A82="","",SUMIFS(Stangenbelegung!$F$5:$F$10004,Stangenbelegung!$A$5:$A$10004,$A82))</f>
        <v/>
      </c>
      <c r="I82" s="23" t="n"/>
      <c r="J82" s="35">
        <f>IF($A82="","",$E82+H82+$I82)</f>
        <v/>
      </c>
      <c r="K82" s="35">
        <f>IF($A82="","",$D82-J82)</f>
        <v/>
      </c>
      <c r="L82" s="32">
        <f>IF($A82="","",H82/$D82)</f>
        <v/>
      </c>
      <c r="M82" s="28">
        <f>IF($A82="","",IF(OR(J82+$F82&gt;$D82+0.001,_xlfn.MAXIFS(Stangenbelegung!$H$5:$H$10004,Stangenbelegung!$A$5:$A$10004,$A82)&gt;$D82-$F82+0.001),"ÜBERBELEGT","OK"))</f>
        <v/>
      </c>
      <c r="N82" s="24" t="n"/>
      <c r="O82" s="24" t="n"/>
      <c r="P82" s="9" t="n"/>
      <c r="Q82" s="18">
        <f>IF($A82="","",IFERROR($D82/1000*INDEX(Profile!$K$5:$K$304,MATCH($B82,lst_Profil,0))*INDEX(Werkstoffe!$E$5:$E$304,MATCH($C82,lst_Werkstoff,0))/1000,""))</f>
        <v/>
      </c>
      <c r="R82" s="18">
        <f>IF($A82="","",IF(N(_xlfn.MAXIFS(Auftrag!$AP$13:$AP$512,Auftrag!$D$13:$D$512,$B82,Auftrag!$E$13:$E$512,$C82,Auftrag!$Q$13:$Q$512,$D82))&gt;0,_xlfn.MAXIFS(Auftrag!$AP$13:$AP$512,Auftrag!$D$13:$D$512,$B82,Auftrag!$E$13:$E$512,$C82,Auftrag!$Q$13:$Q$512,$D82)*$D82/1000,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9" t="n"/>
      <c r="E83" s="24" t="n"/>
      <c r="F83" s="24" t="n"/>
      <c r="G83" s="12">
        <f>IF($A83="","",COUNTIFS(Stangenbelegung!$A$5:$A$10004,$A83))</f>
        <v/>
      </c>
      <c r="H83" s="35">
        <f>IF($A83="","",SUMIFS(Stangenbelegung!$F$5:$F$10004,Stangenbelegung!$A$5:$A$10004,$A83))</f>
        <v/>
      </c>
      <c r="I83" s="23" t="n"/>
      <c r="J83" s="35">
        <f>IF($A83="","",$E83+H83+$I83)</f>
        <v/>
      </c>
      <c r="K83" s="35">
        <f>IF($A83="","",$D83-J83)</f>
        <v/>
      </c>
      <c r="L83" s="32">
        <f>IF($A83="","",H83/$D83)</f>
        <v/>
      </c>
      <c r="M83" s="28">
        <f>IF($A83="","",IF(OR(J83+$F83&gt;$D83+0.001,_xlfn.MAXIFS(Stangenbelegung!$H$5:$H$10004,Stangenbelegung!$A$5:$A$10004,$A83)&gt;$D83-$F83+0.001),"ÜBERBELEGT","OK"))</f>
        <v/>
      </c>
      <c r="N83" s="24" t="n"/>
      <c r="O83" s="24" t="n"/>
      <c r="P83" s="9" t="n"/>
      <c r="Q83" s="18">
        <f>IF($A83="","",IFERROR($D83/1000*INDEX(Profile!$K$5:$K$304,MATCH($B83,lst_Profil,0))*INDEX(Werkstoffe!$E$5:$E$304,MATCH($C83,lst_Werkstoff,0))/1000,""))</f>
        <v/>
      </c>
      <c r="R83" s="18">
        <f>IF($A83="","",IF(N(_xlfn.MAXIFS(Auftrag!$AP$13:$AP$512,Auftrag!$D$13:$D$512,$B83,Auftrag!$E$13:$E$512,$C83,Auftrag!$Q$13:$Q$512,$D83))&gt;0,_xlfn.MAXIFS(Auftrag!$AP$13:$AP$512,Auftrag!$D$13:$D$512,$B83,Auftrag!$E$13:$E$512,$C83,Auftrag!$Q$13:$Q$512,$D83)*$D83/1000,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9" t="n"/>
      <c r="E84" s="24" t="n"/>
      <c r="F84" s="24" t="n"/>
      <c r="G84" s="12">
        <f>IF($A84="","",COUNTIFS(Stangenbelegung!$A$5:$A$10004,$A84))</f>
        <v/>
      </c>
      <c r="H84" s="35">
        <f>IF($A84="","",SUMIFS(Stangenbelegung!$F$5:$F$10004,Stangenbelegung!$A$5:$A$10004,$A84))</f>
        <v/>
      </c>
      <c r="I84" s="23" t="n"/>
      <c r="J84" s="35">
        <f>IF($A84="","",$E84+H84+$I84)</f>
        <v/>
      </c>
      <c r="K84" s="35">
        <f>IF($A84="","",$D84-J84)</f>
        <v/>
      </c>
      <c r="L84" s="32">
        <f>IF($A84="","",H84/$D84)</f>
        <v/>
      </c>
      <c r="M84" s="28">
        <f>IF($A84="","",IF(OR(J84+$F84&gt;$D84+0.001,_xlfn.MAXIFS(Stangenbelegung!$H$5:$H$10004,Stangenbelegung!$A$5:$A$10004,$A84)&gt;$D84-$F84+0.001),"ÜBERBELEGT","OK"))</f>
        <v/>
      </c>
      <c r="N84" s="24" t="n"/>
      <c r="O84" s="24" t="n"/>
      <c r="P84" s="9" t="n"/>
      <c r="Q84" s="18">
        <f>IF($A84="","",IFERROR($D84/1000*INDEX(Profile!$K$5:$K$304,MATCH($B84,lst_Profil,0))*INDEX(Werkstoffe!$E$5:$E$304,MATCH($C84,lst_Werkstoff,0))/1000,""))</f>
        <v/>
      </c>
      <c r="R84" s="18">
        <f>IF($A84="","",IF(N(_xlfn.MAXIFS(Auftrag!$AP$13:$AP$512,Auftrag!$D$13:$D$512,$B84,Auftrag!$E$13:$E$512,$C84,Auftrag!$Q$13:$Q$512,$D84))&gt;0,_xlfn.MAXIFS(Auftrag!$AP$13:$AP$512,Auftrag!$D$13:$D$512,$B84,Auftrag!$E$13:$E$512,$C84,Auftrag!$Q$13:$Q$512,$D84)*$D84/1000,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9" t="n"/>
      <c r="E85" s="24" t="n"/>
      <c r="F85" s="24" t="n"/>
      <c r="G85" s="12">
        <f>IF($A85="","",COUNTIFS(Stangenbelegung!$A$5:$A$10004,$A85))</f>
        <v/>
      </c>
      <c r="H85" s="35">
        <f>IF($A85="","",SUMIFS(Stangenbelegung!$F$5:$F$10004,Stangenbelegung!$A$5:$A$10004,$A85))</f>
        <v/>
      </c>
      <c r="I85" s="23" t="n"/>
      <c r="J85" s="35">
        <f>IF($A85="","",$E85+H85+$I85)</f>
        <v/>
      </c>
      <c r="K85" s="35">
        <f>IF($A85="","",$D85-J85)</f>
        <v/>
      </c>
      <c r="L85" s="32">
        <f>IF($A85="","",H85/$D85)</f>
        <v/>
      </c>
      <c r="M85" s="28">
        <f>IF($A85="","",IF(OR(J85+$F85&gt;$D85+0.001,_xlfn.MAXIFS(Stangenbelegung!$H$5:$H$10004,Stangenbelegung!$A$5:$A$10004,$A85)&gt;$D85-$F85+0.001),"ÜBERBELEGT","OK"))</f>
        <v/>
      </c>
      <c r="N85" s="24" t="n"/>
      <c r="O85" s="24" t="n"/>
      <c r="P85" s="9" t="n"/>
      <c r="Q85" s="18">
        <f>IF($A85="","",IFERROR($D85/1000*INDEX(Profile!$K$5:$K$304,MATCH($B85,lst_Profil,0))*INDEX(Werkstoffe!$E$5:$E$304,MATCH($C85,lst_Werkstoff,0))/1000,""))</f>
        <v/>
      </c>
      <c r="R85" s="18">
        <f>IF($A85="","",IF(N(_xlfn.MAXIFS(Auftrag!$AP$13:$AP$512,Auftrag!$D$13:$D$512,$B85,Auftrag!$E$13:$E$512,$C85,Auftrag!$Q$13:$Q$512,$D85))&gt;0,_xlfn.MAXIFS(Auftrag!$AP$13:$AP$512,Auftrag!$D$13:$D$512,$B85,Auftrag!$E$13:$E$512,$C85,Auftrag!$Q$13:$Q$512,$D85)*$D85/1000,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9" t="n"/>
      <c r="E86" s="24" t="n"/>
      <c r="F86" s="24" t="n"/>
      <c r="G86" s="12">
        <f>IF($A86="","",COUNTIFS(Stangenbelegung!$A$5:$A$10004,$A86))</f>
        <v/>
      </c>
      <c r="H86" s="35">
        <f>IF($A86="","",SUMIFS(Stangenbelegung!$F$5:$F$10004,Stangenbelegung!$A$5:$A$10004,$A86))</f>
        <v/>
      </c>
      <c r="I86" s="23" t="n"/>
      <c r="J86" s="35">
        <f>IF($A86="","",$E86+H86+$I86)</f>
        <v/>
      </c>
      <c r="K86" s="35">
        <f>IF($A86="","",$D86-J86)</f>
        <v/>
      </c>
      <c r="L86" s="32">
        <f>IF($A86="","",H86/$D86)</f>
        <v/>
      </c>
      <c r="M86" s="28">
        <f>IF($A86="","",IF(OR(J86+$F86&gt;$D86+0.001,_xlfn.MAXIFS(Stangenbelegung!$H$5:$H$10004,Stangenbelegung!$A$5:$A$10004,$A86)&gt;$D86-$F86+0.001),"ÜBERBELEGT","OK"))</f>
        <v/>
      </c>
      <c r="N86" s="24" t="n"/>
      <c r="O86" s="24" t="n"/>
      <c r="P86" s="9" t="n"/>
      <c r="Q86" s="18">
        <f>IF($A86="","",IFERROR($D86/1000*INDEX(Profile!$K$5:$K$304,MATCH($B86,lst_Profil,0))*INDEX(Werkstoffe!$E$5:$E$304,MATCH($C86,lst_Werkstoff,0))/1000,""))</f>
        <v/>
      </c>
      <c r="R86" s="18">
        <f>IF($A86="","",IF(N(_xlfn.MAXIFS(Auftrag!$AP$13:$AP$512,Auftrag!$D$13:$D$512,$B86,Auftrag!$E$13:$E$512,$C86,Auftrag!$Q$13:$Q$512,$D86))&gt;0,_xlfn.MAXIFS(Auftrag!$AP$13:$AP$512,Auftrag!$D$13:$D$512,$B86,Auftrag!$E$13:$E$512,$C86,Auftrag!$Q$13:$Q$512,$D86)*$D86/1000,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9" t="n"/>
      <c r="E87" s="24" t="n"/>
      <c r="F87" s="24" t="n"/>
      <c r="G87" s="12">
        <f>IF($A87="","",COUNTIFS(Stangenbelegung!$A$5:$A$10004,$A87))</f>
        <v/>
      </c>
      <c r="H87" s="35">
        <f>IF($A87="","",SUMIFS(Stangenbelegung!$F$5:$F$10004,Stangenbelegung!$A$5:$A$10004,$A87))</f>
        <v/>
      </c>
      <c r="I87" s="23" t="n"/>
      <c r="J87" s="35">
        <f>IF($A87="","",$E87+H87+$I87)</f>
        <v/>
      </c>
      <c r="K87" s="35">
        <f>IF($A87="","",$D87-J87)</f>
        <v/>
      </c>
      <c r="L87" s="32">
        <f>IF($A87="","",H87/$D87)</f>
        <v/>
      </c>
      <c r="M87" s="28">
        <f>IF($A87="","",IF(OR(J87+$F87&gt;$D87+0.001,_xlfn.MAXIFS(Stangenbelegung!$H$5:$H$10004,Stangenbelegung!$A$5:$A$10004,$A87)&gt;$D87-$F87+0.001),"ÜBERBELEGT","OK"))</f>
        <v/>
      </c>
      <c r="N87" s="24" t="n"/>
      <c r="O87" s="24" t="n"/>
      <c r="P87" s="9" t="n"/>
      <c r="Q87" s="18">
        <f>IF($A87="","",IFERROR($D87/1000*INDEX(Profile!$K$5:$K$304,MATCH($B87,lst_Profil,0))*INDEX(Werkstoffe!$E$5:$E$304,MATCH($C87,lst_Werkstoff,0))/1000,""))</f>
        <v/>
      </c>
      <c r="R87" s="18">
        <f>IF($A87="","",IF(N(_xlfn.MAXIFS(Auftrag!$AP$13:$AP$512,Auftrag!$D$13:$D$512,$B87,Auftrag!$E$13:$E$512,$C87,Auftrag!$Q$13:$Q$512,$D87))&gt;0,_xlfn.MAXIFS(Auftrag!$AP$13:$AP$512,Auftrag!$D$13:$D$512,$B87,Auftrag!$E$13:$E$512,$C87,Auftrag!$Q$13:$Q$512,$D87)*$D87/1000,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9" t="n"/>
      <c r="E88" s="24" t="n"/>
      <c r="F88" s="24" t="n"/>
      <c r="G88" s="12">
        <f>IF($A88="","",COUNTIFS(Stangenbelegung!$A$5:$A$10004,$A88))</f>
        <v/>
      </c>
      <c r="H88" s="35">
        <f>IF($A88="","",SUMIFS(Stangenbelegung!$F$5:$F$10004,Stangenbelegung!$A$5:$A$10004,$A88))</f>
        <v/>
      </c>
      <c r="I88" s="23" t="n"/>
      <c r="J88" s="35">
        <f>IF($A88="","",$E88+H88+$I88)</f>
        <v/>
      </c>
      <c r="K88" s="35">
        <f>IF($A88="","",$D88-J88)</f>
        <v/>
      </c>
      <c r="L88" s="32">
        <f>IF($A88="","",H88/$D88)</f>
        <v/>
      </c>
      <c r="M88" s="28">
        <f>IF($A88="","",IF(OR(J88+$F88&gt;$D88+0.001,_xlfn.MAXIFS(Stangenbelegung!$H$5:$H$10004,Stangenbelegung!$A$5:$A$10004,$A88)&gt;$D88-$F88+0.001),"ÜBERBELEGT","OK"))</f>
        <v/>
      </c>
      <c r="N88" s="24" t="n"/>
      <c r="O88" s="24" t="n"/>
      <c r="P88" s="9" t="n"/>
      <c r="Q88" s="18">
        <f>IF($A88="","",IFERROR($D88/1000*INDEX(Profile!$K$5:$K$304,MATCH($B88,lst_Profil,0))*INDEX(Werkstoffe!$E$5:$E$304,MATCH($C88,lst_Werkstoff,0))/1000,""))</f>
        <v/>
      </c>
      <c r="R88" s="18">
        <f>IF($A88="","",IF(N(_xlfn.MAXIFS(Auftrag!$AP$13:$AP$512,Auftrag!$D$13:$D$512,$B88,Auftrag!$E$13:$E$512,$C88,Auftrag!$Q$13:$Q$512,$D88))&gt;0,_xlfn.MAXIFS(Auftrag!$AP$13:$AP$512,Auftrag!$D$13:$D$512,$B88,Auftrag!$E$13:$E$512,$C88,Auftrag!$Q$13:$Q$512,$D88)*$D88/1000,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9" t="n"/>
      <c r="E89" s="24" t="n"/>
      <c r="F89" s="24" t="n"/>
      <c r="G89" s="12">
        <f>IF($A89="","",COUNTIFS(Stangenbelegung!$A$5:$A$10004,$A89))</f>
        <v/>
      </c>
      <c r="H89" s="35">
        <f>IF($A89="","",SUMIFS(Stangenbelegung!$F$5:$F$10004,Stangenbelegung!$A$5:$A$10004,$A89))</f>
        <v/>
      </c>
      <c r="I89" s="23" t="n"/>
      <c r="J89" s="35">
        <f>IF($A89="","",$E89+H89+$I89)</f>
        <v/>
      </c>
      <c r="K89" s="35">
        <f>IF($A89="","",$D89-J89)</f>
        <v/>
      </c>
      <c r="L89" s="32">
        <f>IF($A89="","",H89/$D89)</f>
        <v/>
      </c>
      <c r="M89" s="28">
        <f>IF($A89="","",IF(OR(J89+$F89&gt;$D89+0.001,_xlfn.MAXIFS(Stangenbelegung!$H$5:$H$10004,Stangenbelegung!$A$5:$A$10004,$A89)&gt;$D89-$F89+0.001),"ÜBERBELEGT","OK"))</f>
        <v/>
      </c>
      <c r="N89" s="24" t="n"/>
      <c r="O89" s="24" t="n"/>
      <c r="P89" s="9" t="n"/>
      <c r="Q89" s="18">
        <f>IF($A89="","",IFERROR($D89/1000*INDEX(Profile!$K$5:$K$304,MATCH($B89,lst_Profil,0))*INDEX(Werkstoffe!$E$5:$E$304,MATCH($C89,lst_Werkstoff,0))/1000,""))</f>
        <v/>
      </c>
      <c r="R89" s="18">
        <f>IF($A89="","",IF(N(_xlfn.MAXIFS(Auftrag!$AP$13:$AP$512,Auftrag!$D$13:$D$512,$B89,Auftrag!$E$13:$E$512,$C89,Auftrag!$Q$13:$Q$512,$D89))&gt;0,_xlfn.MAXIFS(Auftrag!$AP$13:$AP$512,Auftrag!$D$13:$D$512,$B89,Auftrag!$E$13:$E$512,$C89,Auftrag!$Q$13:$Q$512,$D89)*$D89/1000,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9" t="n"/>
      <c r="E90" s="24" t="n"/>
      <c r="F90" s="24" t="n"/>
      <c r="G90" s="12">
        <f>IF($A90="","",COUNTIFS(Stangenbelegung!$A$5:$A$10004,$A90))</f>
        <v/>
      </c>
      <c r="H90" s="35">
        <f>IF($A90="","",SUMIFS(Stangenbelegung!$F$5:$F$10004,Stangenbelegung!$A$5:$A$10004,$A90))</f>
        <v/>
      </c>
      <c r="I90" s="23" t="n"/>
      <c r="J90" s="35">
        <f>IF($A90="","",$E90+H90+$I90)</f>
        <v/>
      </c>
      <c r="K90" s="35">
        <f>IF($A90="","",$D90-J90)</f>
        <v/>
      </c>
      <c r="L90" s="32">
        <f>IF($A90="","",H90/$D90)</f>
        <v/>
      </c>
      <c r="M90" s="28">
        <f>IF($A90="","",IF(OR(J90+$F90&gt;$D90+0.001,_xlfn.MAXIFS(Stangenbelegung!$H$5:$H$10004,Stangenbelegung!$A$5:$A$10004,$A90)&gt;$D90-$F90+0.001),"ÜBERBELEGT","OK"))</f>
        <v/>
      </c>
      <c r="N90" s="24" t="n"/>
      <c r="O90" s="24" t="n"/>
      <c r="P90" s="9" t="n"/>
      <c r="Q90" s="18">
        <f>IF($A90="","",IFERROR($D90/1000*INDEX(Profile!$K$5:$K$304,MATCH($B90,lst_Profil,0))*INDEX(Werkstoffe!$E$5:$E$304,MATCH($C90,lst_Werkstoff,0))/1000,""))</f>
        <v/>
      </c>
      <c r="R90" s="18">
        <f>IF($A90="","",IF(N(_xlfn.MAXIFS(Auftrag!$AP$13:$AP$512,Auftrag!$D$13:$D$512,$B90,Auftrag!$E$13:$E$512,$C90,Auftrag!$Q$13:$Q$512,$D90))&gt;0,_xlfn.MAXIFS(Auftrag!$AP$13:$AP$512,Auftrag!$D$13:$D$512,$B90,Auftrag!$E$13:$E$512,$C90,Auftrag!$Q$13:$Q$512,$D90)*$D90/1000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9" t="n"/>
      <c r="E91" s="24" t="n"/>
      <c r="F91" s="24" t="n"/>
      <c r="G91" s="12">
        <f>IF($A91="","",COUNTIFS(Stangenbelegung!$A$5:$A$10004,$A91))</f>
        <v/>
      </c>
      <c r="H91" s="35">
        <f>IF($A91="","",SUMIFS(Stangenbelegung!$F$5:$F$10004,Stangenbelegung!$A$5:$A$10004,$A91))</f>
        <v/>
      </c>
      <c r="I91" s="23" t="n"/>
      <c r="J91" s="35">
        <f>IF($A91="","",$E91+H91+$I91)</f>
        <v/>
      </c>
      <c r="K91" s="35">
        <f>IF($A91="","",$D91-J91)</f>
        <v/>
      </c>
      <c r="L91" s="32">
        <f>IF($A91="","",H91/$D91)</f>
        <v/>
      </c>
      <c r="M91" s="28">
        <f>IF($A91="","",IF(OR(J91+$F91&gt;$D91+0.001,_xlfn.MAXIFS(Stangenbelegung!$H$5:$H$10004,Stangenbelegung!$A$5:$A$10004,$A91)&gt;$D91-$F91+0.001),"ÜBERBELEGT","OK"))</f>
        <v/>
      </c>
      <c r="N91" s="24" t="n"/>
      <c r="O91" s="24" t="n"/>
      <c r="P91" s="9" t="n"/>
      <c r="Q91" s="18">
        <f>IF($A91="","",IFERROR($D91/1000*INDEX(Profile!$K$5:$K$304,MATCH($B91,lst_Profil,0))*INDEX(Werkstoffe!$E$5:$E$304,MATCH($C91,lst_Werkstoff,0))/1000,""))</f>
        <v/>
      </c>
      <c r="R91" s="18">
        <f>IF($A91="","",IF(N(_xlfn.MAXIFS(Auftrag!$AP$13:$AP$512,Auftrag!$D$13:$D$512,$B91,Auftrag!$E$13:$E$512,$C91,Auftrag!$Q$13:$Q$512,$D91))&gt;0,_xlfn.MAXIFS(Auftrag!$AP$13:$AP$512,Auftrag!$D$13:$D$512,$B91,Auftrag!$E$13:$E$512,$C91,Auftrag!$Q$13:$Q$512,$D91)*$D91/1000,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9" t="n"/>
      <c r="E92" s="24" t="n"/>
      <c r="F92" s="24" t="n"/>
      <c r="G92" s="12">
        <f>IF($A92="","",COUNTIFS(Stangenbelegung!$A$5:$A$10004,$A92))</f>
        <v/>
      </c>
      <c r="H92" s="35">
        <f>IF($A92="","",SUMIFS(Stangenbelegung!$F$5:$F$10004,Stangenbelegung!$A$5:$A$10004,$A92))</f>
        <v/>
      </c>
      <c r="I92" s="23" t="n"/>
      <c r="J92" s="35">
        <f>IF($A92="","",$E92+H92+$I92)</f>
        <v/>
      </c>
      <c r="K92" s="35">
        <f>IF($A92="","",$D92-J92)</f>
        <v/>
      </c>
      <c r="L92" s="32">
        <f>IF($A92="","",H92/$D92)</f>
        <v/>
      </c>
      <c r="M92" s="28">
        <f>IF($A92="","",IF(OR(J92+$F92&gt;$D92+0.001,_xlfn.MAXIFS(Stangenbelegung!$H$5:$H$10004,Stangenbelegung!$A$5:$A$10004,$A92)&gt;$D92-$F92+0.001),"ÜBERBELEGT","OK"))</f>
        <v/>
      </c>
      <c r="N92" s="24" t="n"/>
      <c r="O92" s="24" t="n"/>
      <c r="P92" s="9" t="n"/>
      <c r="Q92" s="18">
        <f>IF($A92="","",IFERROR($D92/1000*INDEX(Profile!$K$5:$K$304,MATCH($B92,lst_Profil,0))*INDEX(Werkstoffe!$E$5:$E$304,MATCH($C92,lst_Werkstoff,0))/1000,""))</f>
        <v/>
      </c>
      <c r="R92" s="18">
        <f>IF($A92="","",IF(N(_xlfn.MAXIFS(Auftrag!$AP$13:$AP$512,Auftrag!$D$13:$D$512,$B92,Auftrag!$E$13:$E$512,$C92,Auftrag!$Q$13:$Q$512,$D92))&gt;0,_xlfn.MAXIFS(Auftrag!$AP$13:$AP$512,Auftrag!$D$13:$D$512,$B92,Auftrag!$E$13:$E$512,$C92,Auftrag!$Q$13:$Q$512,$D92)*$D92/1000,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9" t="n"/>
      <c r="E93" s="24" t="n"/>
      <c r="F93" s="24" t="n"/>
      <c r="G93" s="12">
        <f>IF($A93="","",COUNTIFS(Stangenbelegung!$A$5:$A$10004,$A93))</f>
        <v/>
      </c>
      <c r="H93" s="35">
        <f>IF($A93="","",SUMIFS(Stangenbelegung!$F$5:$F$10004,Stangenbelegung!$A$5:$A$10004,$A93))</f>
        <v/>
      </c>
      <c r="I93" s="23" t="n"/>
      <c r="J93" s="35">
        <f>IF($A93="","",$E93+H93+$I93)</f>
        <v/>
      </c>
      <c r="K93" s="35">
        <f>IF($A93="","",$D93-J93)</f>
        <v/>
      </c>
      <c r="L93" s="32">
        <f>IF($A93="","",H93/$D93)</f>
        <v/>
      </c>
      <c r="M93" s="28">
        <f>IF($A93="","",IF(OR(J93+$F93&gt;$D93+0.001,_xlfn.MAXIFS(Stangenbelegung!$H$5:$H$10004,Stangenbelegung!$A$5:$A$10004,$A93)&gt;$D93-$F93+0.001),"ÜBERBELEGT","OK"))</f>
        <v/>
      </c>
      <c r="N93" s="24" t="n"/>
      <c r="O93" s="24" t="n"/>
      <c r="P93" s="9" t="n"/>
      <c r="Q93" s="18">
        <f>IF($A93="","",IFERROR($D93/1000*INDEX(Profile!$K$5:$K$304,MATCH($B93,lst_Profil,0))*INDEX(Werkstoffe!$E$5:$E$304,MATCH($C93,lst_Werkstoff,0))/1000,""))</f>
        <v/>
      </c>
      <c r="R93" s="18">
        <f>IF($A93="","",IF(N(_xlfn.MAXIFS(Auftrag!$AP$13:$AP$512,Auftrag!$D$13:$D$512,$B93,Auftrag!$E$13:$E$512,$C93,Auftrag!$Q$13:$Q$512,$D93))&gt;0,_xlfn.MAXIFS(Auftrag!$AP$13:$AP$512,Auftrag!$D$13:$D$512,$B93,Auftrag!$E$13:$E$512,$C93,Auftrag!$Q$13:$Q$512,$D93)*$D93/1000,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9" t="n"/>
      <c r="E94" s="24" t="n"/>
      <c r="F94" s="24" t="n"/>
      <c r="G94" s="12">
        <f>IF($A94="","",COUNTIFS(Stangenbelegung!$A$5:$A$10004,$A94))</f>
        <v/>
      </c>
      <c r="H94" s="35">
        <f>IF($A94="","",SUMIFS(Stangenbelegung!$F$5:$F$10004,Stangenbelegung!$A$5:$A$10004,$A94))</f>
        <v/>
      </c>
      <c r="I94" s="23" t="n"/>
      <c r="J94" s="35">
        <f>IF($A94="","",$E94+H94+$I94)</f>
        <v/>
      </c>
      <c r="K94" s="35">
        <f>IF($A94="","",$D94-J94)</f>
        <v/>
      </c>
      <c r="L94" s="32">
        <f>IF($A94="","",H94/$D94)</f>
        <v/>
      </c>
      <c r="M94" s="28">
        <f>IF($A94="","",IF(OR(J94+$F94&gt;$D94+0.001,_xlfn.MAXIFS(Stangenbelegung!$H$5:$H$10004,Stangenbelegung!$A$5:$A$10004,$A94)&gt;$D94-$F94+0.001),"ÜBERBELEGT","OK"))</f>
        <v/>
      </c>
      <c r="N94" s="24" t="n"/>
      <c r="O94" s="24" t="n"/>
      <c r="P94" s="9" t="n"/>
      <c r="Q94" s="18">
        <f>IF($A94="","",IFERROR($D94/1000*INDEX(Profile!$K$5:$K$304,MATCH($B94,lst_Profil,0))*INDEX(Werkstoffe!$E$5:$E$304,MATCH($C94,lst_Werkstoff,0))/1000,""))</f>
        <v/>
      </c>
      <c r="R94" s="18">
        <f>IF($A94="","",IF(N(_xlfn.MAXIFS(Auftrag!$AP$13:$AP$512,Auftrag!$D$13:$D$512,$B94,Auftrag!$E$13:$E$512,$C94,Auftrag!$Q$13:$Q$512,$D94))&gt;0,_xlfn.MAXIFS(Auftrag!$AP$13:$AP$512,Auftrag!$D$13:$D$512,$B94,Auftrag!$E$13:$E$512,$C94,Auftrag!$Q$13:$Q$512,$D94)*$D94/1000,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9" t="n"/>
      <c r="E95" s="24" t="n"/>
      <c r="F95" s="24" t="n"/>
      <c r="G95" s="12">
        <f>IF($A95="","",COUNTIFS(Stangenbelegung!$A$5:$A$10004,$A95))</f>
        <v/>
      </c>
      <c r="H95" s="35">
        <f>IF($A95="","",SUMIFS(Stangenbelegung!$F$5:$F$10004,Stangenbelegung!$A$5:$A$10004,$A95))</f>
        <v/>
      </c>
      <c r="I95" s="23" t="n"/>
      <c r="J95" s="35">
        <f>IF($A95="","",$E95+H95+$I95)</f>
        <v/>
      </c>
      <c r="K95" s="35">
        <f>IF($A95="","",$D95-J95)</f>
        <v/>
      </c>
      <c r="L95" s="32">
        <f>IF($A95="","",H95/$D95)</f>
        <v/>
      </c>
      <c r="M95" s="28">
        <f>IF($A95="","",IF(OR(J95+$F95&gt;$D95+0.001,_xlfn.MAXIFS(Stangenbelegung!$H$5:$H$10004,Stangenbelegung!$A$5:$A$10004,$A95)&gt;$D95-$F95+0.001),"ÜBERBELEGT","OK"))</f>
        <v/>
      </c>
      <c r="N95" s="24" t="n"/>
      <c r="O95" s="24" t="n"/>
      <c r="P95" s="9" t="n"/>
      <c r="Q95" s="18">
        <f>IF($A95="","",IFERROR($D95/1000*INDEX(Profile!$K$5:$K$304,MATCH($B95,lst_Profil,0))*INDEX(Werkstoffe!$E$5:$E$304,MATCH($C95,lst_Werkstoff,0))/1000,""))</f>
        <v/>
      </c>
      <c r="R95" s="18">
        <f>IF($A95="","",IF(N(_xlfn.MAXIFS(Auftrag!$AP$13:$AP$512,Auftrag!$D$13:$D$512,$B95,Auftrag!$E$13:$E$512,$C95,Auftrag!$Q$13:$Q$512,$D95))&gt;0,_xlfn.MAXIFS(Auftrag!$AP$13:$AP$512,Auftrag!$D$13:$D$512,$B95,Auftrag!$E$13:$E$512,$C95,Auftrag!$Q$13:$Q$512,$D95)*$D95/1000,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9" t="n"/>
      <c r="E96" s="24" t="n"/>
      <c r="F96" s="24" t="n"/>
      <c r="G96" s="12">
        <f>IF($A96="","",COUNTIFS(Stangenbelegung!$A$5:$A$10004,$A96))</f>
        <v/>
      </c>
      <c r="H96" s="35">
        <f>IF($A96="","",SUMIFS(Stangenbelegung!$F$5:$F$10004,Stangenbelegung!$A$5:$A$10004,$A96))</f>
        <v/>
      </c>
      <c r="I96" s="23" t="n"/>
      <c r="J96" s="35">
        <f>IF($A96="","",$E96+H96+$I96)</f>
        <v/>
      </c>
      <c r="K96" s="35">
        <f>IF($A96="","",$D96-J96)</f>
        <v/>
      </c>
      <c r="L96" s="32">
        <f>IF($A96="","",H96/$D96)</f>
        <v/>
      </c>
      <c r="M96" s="28">
        <f>IF($A96="","",IF(OR(J96+$F96&gt;$D96+0.001,_xlfn.MAXIFS(Stangenbelegung!$H$5:$H$10004,Stangenbelegung!$A$5:$A$10004,$A96)&gt;$D96-$F96+0.001),"ÜBERBELEGT","OK"))</f>
        <v/>
      </c>
      <c r="N96" s="24" t="n"/>
      <c r="O96" s="24" t="n"/>
      <c r="P96" s="9" t="n"/>
      <c r="Q96" s="18">
        <f>IF($A96="","",IFERROR($D96/1000*INDEX(Profile!$K$5:$K$304,MATCH($B96,lst_Profil,0))*INDEX(Werkstoffe!$E$5:$E$304,MATCH($C96,lst_Werkstoff,0))/1000,""))</f>
        <v/>
      </c>
      <c r="R96" s="18">
        <f>IF($A96="","",IF(N(_xlfn.MAXIFS(Auftrag!$AP$13:$AP$512,Auftrag!$D$13:$D$512,$B96,Auftrag!$E$13:$E$512,$C96,Auftrag!$Q$13:$Q$512,$D96))&gt;0,_xlfn.MAXIFS(Auftrag!$AP$13:$AP$512,Auftrag!$D$13:$D$512,$B96,Auftrag!$E$13:$E$512,$C96,Auftrag!$Q$13:$Q$512,$D96)*$D96/1000,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9" t="n"/>
      <c r="E97" s="24" t="n"/>
      <c r="F97" s="24" t="n"/>
      <c r="G97" s="12">
        <f>IF($A97="","",COUNTIFS(Stangenbelegung!$A$5:$A$10004,$A97))</f>
        <v/>
      </c>
      <c r="H97" s="35">
        <f>IF($A97="","",SUMIFS(Stangenbelegung!$F$5:$F$10004,Stangenbelegung!$A$5:$A$10004,$A97))</f>
        <v/>
      </c>
      <c r="I97" s="23" t="n"/>
      <c r="J97" s="35">
        <f>IF($A97="","",$E97+H97+$I97)</f>
        <v/>
      </c>
      <c r="K97" s="35">
        <f>IF($A97="","",$D97-J97)</f>
        <v/>
      </c>
      <c r="L97" s="32">
        <f>IF($A97="","",H97/$D97)</f>
        <v/>
      </c>
      <c r="M97" s="28">
        <f>IF($A97="","",IF(OR(J97+$F97&gt;$D97+0.001,_xlfn.MAXIFS(Stangenbelegung!$H$5:$H$10004,Stangenbelegung!$A$5:$A$10004,$A97)&gt;$D97-$F97+0.001),"ÜBERBELEGT","OK"))</f>
        <v/>
      </c>
      <c r="N97" s="24" t="n"/>
      <c r="O97" s="24" t="n"/>
      <c r="P97" s="9" t="n"/>
      <c r="Q97" s="18">
        <f>IF($A97="","",IFERROR($D97/1000*INDEX(Profile!$K$5:$K$304,MATCH($B97,lst_Profil,0))*INDEX(Werkstoffe!$E$5:$E$304,MATCH($C97,lst_Werkstoff,0))/1000,""))</f>
        <v/>
      </c>
      <c r="R97" s="18">
        <f>IF($A97="","",IF(N(_xlfn.MAXIFS(Auftrag!$AP$13:$AP$512,Auftrag!$D$13:$D$512,$B97,Auftrag!$E$13:$E$512,$C97,Auftrag!$Q$13:$Q$512,$D97))&gt;0,_xlfn.MAXIFS(Auftrag!$AP$13:$AP$512,Auftrag!$D$13:$D$512,$B97,Auftrag!$E$13:$E$512,$C97,Auftrag!$Q$13:$Q$512,$D97)*$D97/1000,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9" t="n"/>
      <c r="E98" s="24" t="n"/>
      <c r="F98" s="24" t="n"/>
      <c r="G98" s="12">
        <f>IF($A98="","",COUNTIFS(Stangenbelegung!$A$5:$A$10004,$A98))</f>
        <v/>
      </c>
      <c r="H98" s="35">
        <f>IF($A98="","",SUMIFS(Stangenbelegung!$F$5:$F$10004,Stangenbelegung!$A$5:$A$10004,$A98))</f>
        <v/>
      </c>
      <c r="I98" s="23" t="n"/>
      <c r="J98" s="35">
        <f>IF($A98="","",$E98+H98+$I98)</f>
        <v/>
      </c>
      <c r="K98" s="35">
        <f>IF($A98="","",$D98-J98)</f>
        <v/>
      </c>
      <c r="L98" s="32">
        <f>IF($A98="","",H98/$D98)</f>
        <v/>
      </c>
      <c r="M98" s="28">
        <f>IF($A98="","",IF(OR(J98+$F98&gt;$D98+0.001,_xlfn.MAXIFS(Stangenbelegung!$H$5:$H$10004,Stangenbelegung!$A$5:$A$10004,$A98)&gt;$D98-$F98+0.001),"ÜBERBELEGT","OK"))</f>
        <v/>
      </c>
      <c r="N98" s="24" t="n"/>
      <c r="O98" s="24" t="n"/>
      <c r="P98" s="9" t="n"/>
      <c r="Q98" s="18">
        <f>IF($A98="","",IFERROR($D98/1000*INDEX(Profile!$K$5:$K$304,MATCH($B98,lst_Profil,0))*INDEX(Werkstoffe!$E$5:$E$304,MATCH($C98,lst_Werkstoff,0))/1000,""))</f>
        <v/>
      </c>
      <c r="R98" s="18">
        <f>IF($A98="","",IF(N(_xlfn.MAXIFS(Auftrag!$AP$13:$AP$512,Auftrag!$D$13:$D$512,$B98,Auftrag!$E$13:$E$512,$C98,Auftrag!$Q$13:$Q$512,$D98))&gt;0,_xlfn.MAXIFS(Auftrag!$AP$13:$AP$512,Auftrag!$D$13:$D$512,$B98,Auftrag!$E$13:$E$512,$C98,Auftrag!$Q$13:$Q$512,$D98)*$D98/1000,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9" t="n"/>
      <c r="E99" s="24" t="n"/>
      <c r="F99" s="24" t="n"/>
      <c r="G99" s="12">
        <f>IF($A99="","",COUNTIFS(Stangenbelegung!$A$5:$A$10004,$A99))</f>
        <v/>
      </c>
      <c r="H99" s="35">
        <f>IF($A99="","",SUMIFS(Stangenbelegung!$F$5:$F$10004,Stangenbelegung!$A$5:$A$10004,$A99))</f>
        <v/>
      </c>
      <c r="I99" s="23" t="n"/>
      <c r="J99" s="35">
        <f>IF($A99="","",$E99+H99+$I99)</f>
        <v/>
      </c>
      <c r="K99" s="35">
        <f>IF($A99="","",$D99-J99)</f>
        <v/>
      </c>
      <c r="L99" s="32">
        <f>IF($A99="","",H99/$D99)</f>
        <v/>
      </c>
      <c r="M99" s="28">
        <f>IF($A99="","",IF(OR(J99+$F99&gt;$D99+0.001,_xlfn.MAXIFS(Stangenbelegung!$H$5:$H$10004,Stangenbelegung!$A$5:$A$10004,$A99)&gt;$D99-$F99+0.001),"ÜBERBELEGT","OK"))</f>
        <v/>
      </c>
      <c r="N99" s="24" t="n"/>
      <c r="O99" s="24" t="n"/>
      <c r="P99" s="9" t="n"/>
      <c r="Q99" s="18">
        <f>IF($A99="","",IFERROR($D99/1000*INDEX(Profile!$K$5:$K$304,MATCH($B99,lst_Profil,0))*INDEX(Werkstoffe!$E$5:$E$304,MATCH($C99,lst_Werkstoff,0))/1000,""))</f>
        <v/>
      </c>
      <c r="R99" s="18">
        <f>IF($A99="","",IF(N(_xlfn.MAXIFS(Auftrag!$AP$13:$AP$512,Auftrag!$D$13:$D$512,$B99,Auftrag!$E$13:$E$512,$C99,Auftrag!$Q$13:$Q$512,$D99))&gt;0,_xlfn.MAXIFS(Auftrag!$AP$13:$AP$512,Auftrag!$D$13:$D$512,$B99,Auftrag!$E$13:$E$512,$C99,Auftrag!$Q$13:$Q$512,$D99)*$D99/1000,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9" t="n"/>
      <c r="E100" s="24" t="n"/>
      <c r="F100" s="24" t="n"/>
      <c r="G100" s="12">
        <f>IF($A100="","",COUNTIFS(Stangenbelegung!$A$5:$A$10004,$A100))</f>
        <v/>
      </c>
      <c r="H100" s="35">
        <f>IF($A100="","",SUMIFS(Stangenbelegung!$F$5:$F$10004,Stangenbelegung!$A$5:$A$10004,$A100))</f>
        <v/>
      </c>
      <c r="I100" s="23" t="n"/>
      <c r="J100" s="35">
        <f>IF($A100="","",$E100+H100+$I100)</f>
        <v/>
      </c>
      <c r="K100" s="35">
        <f>IF($A100="","",$D100-J100)</f>
        <v/>
      </c>
      <c r="L100" s="32">
        <f>IF($A100="","",H100/$D100)</f>
        <v/>
      </c>
      <c r="M100" s="28">
        <f>IF($A100="","",IF(OR(J100+$F100&gt;$D100+0.001,_xlfn.MAXIFS(Stangenbelegung!$H$5:$H$10004,Stangenbelegung!$A$5:$A$10004,$A100)&gt;$D100-$F100+0.001),"ÜBERBELEGT","OK"))</f>
        <v/>
      </c>
      <c r="N100" s="24" t="n"/>
      <c r="O100" s="24" t="n"/>
      <c r="P100" s="9" t="n"/>
      <c r="Q100" s="18">
        <f>IF($A100="","",IFERROR($D100/1000*INDEX(Profile!$K$5:$K$304,MATCH($B100,lst_Profil,0))*INDEX(Werkstoffe!$E$5:$E$304,MATCH($C100,lst_Werkstoff,0))/1000,""))</f>
        <v/>
      </c>
      <c r="R100" s="18">
        <f>IF($A100="","",IF(N(_xlfn.MAXIFS(Auftrag!$AP$13:$AP$512,Auftrag!$D$13:$D$512,$B100,Auftrag!$E$13:$E$512,$C100,Auftrag!$Q$13:$Q$512,$D100))&gt;0,_xlfn.MAXIFS(Auftrag!$AP$13:$AP$512,Auftrag!$D$13:$D$512,$B100,Auftrag!$E$13:$E$512,$C100,Auftrag!$Q$13:$Q$512,$D100)*$D100/1000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9" t="n"/>
      <c r="E101" s="24" t="n"/>
      <c r="F101" s="24" t="n"/>
      <c r="G101" s="12">
        <f>IF($A101="","",COUNTIFS(Stangenbelegung!$A$5:$A$10004,$A101))</f>
        <v/>
      </c>
      <c r="H101" s="35">
        <f>IF($A101="","",SUMIFS(Stangenbelegung!$F$5:$F$10004,Stangenbelegung!$A$5:$A$10004,$A101))</f>
        <v/>
      </c>
      <c r="I101" s="23" t="n"/>
      <c r="J101" s="35">
        <f>IF($A101="","",$E101+H101+$I101)</f>
        <v/>
      </c>
      <c r="K101" s="35">
        <f>IF($A101="","",$D101-J101)</f>
        <v/>
      </c>
      <c r="L101" s="32">
        <f>IF($A101="","",H101/$D101)</f>
        <v/>
      </c>
      <c r="M101" s="28">
        <f>IF($A101="","",IF(OR(J101+$F101&gt;$D101+0.001,_xlfn.MAXIFS(Stangenbelegung!$H$5:$H$10004,Stangenbelegung!$A$5:$A$10004,$A101)&gt;$D101-$F101+0.001),"ÜBERBELEGT","OK"))</f>
        <v/>
      </c>
      <c r="N101" s="24" t="n"/>
      <c r="O101" s="24" t="n"/>
      <c r="P101" s="9" t="n"/>
      <c r="Q101" s="18">
        <f>IF($A101="","",IFERROR($D101/1000*INDEX(Profile!$K$5:$K$304,MATCH($B101,lst_Profil,0))*INDEX(Werkstoffe!$E$5:$E$304,MATCH($C101,lst_Werkstoff,0))/1000,""))</f>
        <v/>
      </c>
      <c r="R101" s="18">
        <f>IF($A101="","",IF(N(_xlfn.MAXIFS(Auftrag!$AP$13:$AP$512,Auftrag!$D$13:$D$512,$B101,Auftrag!$E$13:$E$512,$C101,Auftrag!$Q$13:$Q$512,$D101))&gt;0,_xlfn.MAXIFS(Auftrag!$AP$13:$AP$512,Auftrag!$D$13:$D$512,$B101,Auftrag!$E$13:$E$512,$C101,Auftrag!$Q$13:$Q$512,$D101)*$D101/1000,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9" t="n"/>
      <c r="E102" s="24" t="n"/>
      <c r="F102" s="24" t="n"/>
      <c r="G102" s="12">
        <f>IF($A102="","",COUNTIFS(Stangenbelegung!$A$5:$A$10004,$A102))</f>
        <v/>
      </c>
      <c r="H102" s="35">
        <f>IF($A102="","",SUMIFS(Stangenbelegung!$F$5:$F$10004,Stangenbelegung!$A$5:$A$10004,$A102))</f>
        <v/>
      </c>
      <c r="I102" s="23" t="n"/>
      <c r="J102" s="35">
        <f>IF($A102="","",$E102+H102+$I102)</f>
        <v/>
      </c>
      <c r="K102" s="35">
        <f>IF($A102="","",$D102-J102)</f>
        <v/>
      </c>
      <c r="L102" s="32">
        <f>IF($A102="","",H102/$D102)</f>
        <v/>
      </c>
      <c r="M102" s="28">
        <f>IF($A102="","",IF(OR(J102+$F102&gt;$D102+0.001,_xlfn.MAXIFS(Stangenbelegung!$H$5:$H$10004,Stangenbelegung!$A$5:$A$10004,$A102)&gt;$D102-$F102+0.001),"ÜBERBELEGT","OK"))</f>
        <v/>
      </c>
      <c r="N102" s="24" t="n"/>
      <c r="O102" s="24" t="n"/>
      <c r="P102" s="9" t="n"/>
      <c r="Q102" s="18">
        <f>IF($A102="","",IFERROR($D102/1000*INDEX(Profile!$K$5:$K$304,MATCH($B102,lst_Profil,0))*INDEX(Werkstoffe!$E$5:$E$304,MATCH($C102,lst_Werkstoff,0))/1000,""))</f>
        <v/>
      </c>
      <c r="R102" s="18">
        <f>IF($A102="","",IF(N(_xlfn.MAXIFS(Auftrag!$AP$13:$AP$512,Auftrag!$D$13:$D$512,$B102,Auftrag!$E$13:$E$512,$C102,Auftrag!$Q$13:$Q$512,$D102))&gt;0,_xlfn.MAXIFS(Auftrag!$AP$13:$AP$512,Auftrag!$D$13:$D$512,$B102,Auftrag!$E$13:$E$512,$C102,Auftrag!$Q$13:$Q$512,$D102)*$D102/1000,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9" t="n"/>
      <c r="E103" s="24" t="n"/>
      <c r="F103" s="24" t="n"/>
      <c r="G103" s="12">
        <f>IF($A103="","",COUNTIFS(Stangenbelegung!$A$5:$A$10004,$A103))</f>
        <v/>
      </c>
      <c r="H103" s="35">
        <f>IF($A103="","",SUMIFS(Stangenbelegung!$F$5:$F$10004,Stangenbelegung!$A$5:$A$10004,$A103))</f>
        <v/>
      </c>
      <c r="I103" s="23" t="n"/>
      <c r="J103" s="35">
        <f>IF($A103="","",$E103+H103+$I103)</f>
        <v/>
      </c>
      <c r="K103" s="35">
        <f>IF($A103="","",$D103-J103)</f>
        <v/>
      </c>
      <c r="L103" s="32">
        <f>IF($A103="","",H103/$D103)</f>
        <v/>
      </c>
      <c r="M103" s="28">
        <f>IF($A103="","",IF(OR(J103+$F103&gt;$D103+0.001,_xlfn.MAXIFS(Stangenbelegung!$H$5:$H$10004,Stangenbelegung!$A$5:$A$10004,$A103)&gt;$D103-$F103+0.001),"ÜBERBELEGT","OK"))</f>
        <v/>
      </c>
      <c r="N103" s="24" t="n"/>
      <c r="O103" s="24" t="n"/>
      <c r="P103" s="9" t="n"/>
      <c r="Q103" s="18">
        <f>IF($A103="","",IFERROR($D103/1000*INDEX(Profile!$K$5:$K$304,MATCH($B103,lst_Profil,0))*INDEX(Werkstoffe!$E$5:$E$304,MATCH($C103,lst_Werkstoff,0))/1000,""))</f>
        <v/>
      </c>
      <c r="R103" s="18">
        <f>IF($A103="","",IF(N(_xlfn.MAXIFS(Auftrag!$AP$13:$AP$512,Auftrag!$D$13:$D$512,$B103,Auftrag!$E$13:$E$512,$C103,Auftrag!$Q$13:$Q$512,$D103))&gt;0,_xlfn.MAXIFS(Auftrag!$AP$13:$AP$512,Auftrag!$D$13:$D$512,$B103,Auftrag!$E$13:$E$512,$C103,Auftrag!$Q$13:$Q$512,$D103)*$D103/1000,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9" t="n"/>
      <c r="E104" s="24" t="n"/>
      <c r="F104" s="24" t="n"/>
      <c r="G104" s="12">
        <f>IF($A104="","",COUNTIFS(Stangenbelegung!$A$5:$A$10004,$A104))</f>
        <v/>
      </c>
      <c r="H104" s="35">
        <f>IF($A104="","",SUMIFS(Stangenbelegung!$F$5:$F$10004,Stangenbelegung!$A$5:$A$10004,$A104))</f>
        <v/>
      </c>
      <c r="I104" s="23" t="n"/>
      <c r="J104" s="35">
        <f>IF($A104="","",$E104+H104+$I104)</f>
        <v/>
      </c>
      <c r="K104" s="35">
        <f>IF($A104="","",$D104-J104)</f>
        <v/>
      </c>
      <c r="L104" s="32">
        <f>IF($A104="","",H104/$D104)</f>
        <v/>
      </c>
      <c r="M104" s="28">
        <f>IF($A104="","",IF(OR(J104+$F104&gt;$D104+0.001,_xlfn.MAXIFS(Stangenbelegung!$H$5:$H$10004,Stangenbelegung!$A$5:$A$10004,$A104)&gt;$D104-$F104+0.001),"ÜBERBELEGT","OK"))</f>
        <v/>
      </c>
      <c r="N104" s="24" t="n"/>
      <c r="O104" s="24" t="n"/>
      <c r="P104" s="9" t="n"/>
      <c r="Q104" s="18">
        <f>IF($A104="","",IFERROR($D104/1000*INDEX(Profile!$K$5:$K$304,MATCH($B104,lst_Profil,0))*INDEX(Werkstoffe!$E$5:$E$304,MATCH($C104,lst_Werkstoff,0))/1000,""))</f>
        <v/>
      </c>
      <c r="R104" s="18">
        <f>IF($A104="","",IF(N(_xlfn.MAXIFS(Auftrag!$AP$13:$AP$512,Auftrag!$D$13:$D$512,$B104,Auftrag!$E$13:$E$512,$C104,Auftrag!$Q$13:$Q$512,$D104))&gt;0,_xlfn.MAXIFS(Auftrag!$AP$13:$AP$512,Auftrag!$D$13:$D$512,$B104,Auftrag!$E$13:$E$512,$C104,Auftrag!$Q$13:$Q$512,$D104)*$D104/1000,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9" t="n"/>
      <c r="E105" s="24" t="n"/>
      <c r="F105" s="24" t="n"/>
      <c r="G105" s="12">
        <f>IF($A105="","",COUNTIFS(Stangenbelegung!$A$5:$A$10004,$A105))</f>
        <v/>
      </c>
      <c r="H105" s="35">
        <f>IF($A105="","",SUMIFS(Stangenbelegung!$F$5:$F$10004,Stangenbelegung!$A$5:$A$10004,$A105))</f>
        <v/>
      </c>
      <c r="I105" s="23" t="n"/>
      <c r="J105" s="35">
        <f>IF($A105="","",$E105+H105+$I105)</f>
        <v/>
      </c>
      <c r="K105" s="35">
        <f>IF($A105="","",$D105-J105)</f>
        <v/>
      </c>
      <c r="L105" s="32">
        <f>IF($A105="","",H105/$D105)</f>
        <v/>
      </c>
      <c r="M105" s="28">
        <f>IF($A105="","",IF(OR(J105+$F105&gt;$D105+0.001,_xlfn.MAXIFS(Stangenbelegung!$H$5:$H$10004,Stangenbelegung!$A$5:$A$10004,$A105)&gt;$D105-$F105+0.001),"ÜBERBELEGT","OK"))</f>
        <v/>
      </c>
      <c r="N105" s="24" t="n"/>
      <c r="O105" s="24" t="n"/>
      <c r="P105" s="9" t="n"/>
      <c r="Q105" s="18">
        <f>IF($A105="","",IFERROR($D105/1000*INDEX(Profile!$K$5:$K$304,MATCH($B105,lst_Profil,0))*INDEX(Werkstoffe!$E$5:$E$304,MATCH($C105,lst_Werkstoff,0))/1000,""))</f>
        <v/>
      </c>
      <c r="R105" s="18">
        <f>IF($A105="","",IF(N(_xlfn.MAXIFS(Auftrag!$AP$13:$AP$512,Auftrag!$D$13:$D$512,$B105,Auftrag!$E$13:$E$512,$C105,Auftrag!$Q$13:$Q$512,$D105))&gt;0,_xlfn.MAXIFS(Auftrag!$AP$13:$AP$512,Auftrag!$D$13:$D$512,$B105,Auftrag!$E$13:$E$512,$C105,Auftrag!$Q$13:$Q$512,$D105)*$D105/1000,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9" t="n"/>
      <c r="E106" s="24" t="n"/>
      <c r="F106" s="24" t="n"/>
      <c r="G106" s="12">
        <f>IF($A106="","",COUNTIFS(Stangenbelegung!$A$5:$A$10004,$A106))</f>
        <v/>
      </c>
      <c r="H106" s="35">
        <f>IF($A106="","",SUMIFS(Stangenbelegung!$F$5:$F$10004,Stangenbelegung!$A$5:$A$10004,$A106))</f>
        <v/>
      </c>
      <c r="I106" s="23" t="n"/>
      <c r="J106" s="35">
        <f>IF($A106="","",$E106+H106+$I106)</f>
        <v/>
      </c>
      <c r="K106" s="35">
        <f>IF($A106="","",$D106-J106)</f>
        <v/>
      </c>
      <c r="L106" s="32">
        <f>IF($A106="","",H106/$D106)</f>
        <v/>
      </c>
      <c r="M106" s="28">
        <f>IF($A106="","",IF(OR(J106+$F106&gt;$D106+0.001,_xlfn.MAXIFS(Stangenbelegung!$H$5:$H$10004,Stangenbelegung!$A$5:$A$10004,$A106)&gt;$D106-$F106+0.001),"ÜBERBELEGT","OK"))</f>
        <v/>
      </c>
      <c r="N106" s="24" t="n"/>
      <c r="O106" s="24" t="n"/>
      <c r="P106" s="9" t="n"/>
      <c r="Q106" s="18">
        <f>IF($A106="","",IFERROR($D106/1000*INDEX(Profile!$K$5:$K$304,MATCH($B106,lst_Profil,0))*INDEX(Werkstoffe!$E$5:$E$304,MATCH($C106,lst_Werkstoff,0))/1000,""))</f>
        <v/>
      </c>
      <c r="R106" s="18">
        <f>IF($A106="","",IF(N(_xlfn.MAXIFS(Auftrag!$AP$13:$AP$512,Auftrag!$D$13:$D$512,$B106,Auftrag!$E$13:$E$512,$C106,Auftrag!$Q$13:$Q$512,$D106))&gt;0,_xlfn.MAXIFS(Auftrag!$AP$13:$AP$512,Auftrag!$D$13:$D$512,$B106,Auftrag!$E$13:$E$512,$C106,Auftrag!$Q$13:$Q$512,$D106)*$D106/1000,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9" t="n"/>
      <c r="E107" s="24" t="n"/>
      <c r="F107" s="24" t="n"/>
      <c r="G107" s="12">
        <f>IF($A107="","",COUNTIFS(Stangenbelegung!$A$5:$A$10004,$A107))</f>
        <v/>
      </c>
      <c r="H107" s="35">
        <f>IF($A107="","",SUMIFS(Stangenbelegung!$F$5:$F$10004,Stangenbelegung!$A$5:$A$10004,$A107))</f>
        <v/>
      </c>
      <c r="I107" s="23" t="n"/>
      <c r="J107" s="35">
        <f>IF($A107="","",$E107+H107+$I107)</f>
        <v/>
      </c>
      <c r="K107" s="35">
        <f>IF($A107="","",$D107-J107)</f>
        <v/>
      </c>
      <c r="L107" s="32">
        <f>IF($A107="","",H107/$D107)</f>
        <v/>
      </c>
      <c r="M107" s="28">
        <f>IF($A107="","",IF(OR(J107+$F107&gt;$D107+0.001,_xlfn.MAXIFS(Stangenbelegung!$H$5:$H$10004,Stangenbelegung!$A$5:$A$10004,$A107)&gt;$D107-$F107+0.001),"ÜBERBELEGT","OK"))</f>
        <v/>
      </c>
      <c r="N107" s="24" t="n"/>
      <c r="O107" s="24" t="n"/>
      <c r="P107" s="9" t="n"/>
      <c r="Q107" s="18">
        <f>IF($A107="","",IFERROR($D107/1000*INDEX(Profile!$K$5:$K$304,MATCH($B107,lst_Profil,0))*INDEX(Werkstoffe!$E$5:$E$304,MATCH($C107,lst_Werkstoff,0))/1000,""))</f>
        <v/>
      </c>
      <c r="R107" s="18">
        <f>IF($A107="","",IF(N(_xlfn.MAXIFS(Auftrag!$AP$13:$AP$512,Auftrag!$D$13:$D$512,$B107,Auftrag!$E$13:$E$512,$C107,Auftrag!$Q$13:$Q$512,$D107))&gt;0,_xlfn.MAXIFS(Auftrag!$AP$13:$AP$512,Auftrag!$D$13:$D$512,$B107,Auftrag!$E$13:$E$512,$C107,Auftrag!$Q$13:$Q$512,$D107)*$D107/1000,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9" t="n"/>
      <c r="E108" s="24" t="n"/>
      <c r="F108" s="24" t="n"/>
      <c r="G108" s="12">
        <f>IF($A108="","",COUNTIFS(Stangenbelegung!$A$5:$A$10004,$A108))</f>
        <v/>
      </c>
      <c r="H108" s="35">
        <f>IF($A108="","",SUMIFS(Stangenbelegung!$F$5:$F$10004,Stangenbelegung!$A$5:$A$10004,$A108))</f>
        <v/>
      </c>
      <c r="I108" s="23" t="n"/>
      <c r="J108" s="35">
        <f>IF($A108="","",$E108+H108+$I108)</f>
        <v/>
      </c>
      <c r="K108" s="35">
        <f>IF($A108="","",$D108-J108)</f>
        <v/>
      </c>
      <c r="L108" s="32">
        <f>IF($A108="","",H108/$D108)</f>
        <v/>
      </c>
      <c r="M108" s="28">
        <f>IF($A108="","",IF(OR(J108+$F108&gt;$D108+0.001,_xlfn.MAXIFS(Stangenbelegung!$H$5:$H$10004,Stangenbelegung!$A$5:$A$10004,$A108)&gt;$D108-$F108+0.001),"ÜBERBELEGT","OK"))</f>
        <v/>
      </c>
      <c r="N108" s="24" t="n"/>
      <c r="O108" s="24" t="n"/>
      <c r="P108" s="9" t="n"/>
      <c r="Q108" s="18">
        <f>IF($A108="","",IFERROR($D108/1000*INDEX(Profile!$K$5:$K$304,MATCH($B108,lst_Profil,0))*INDEX(Werkstoffe!$E$5:$E$304,MATCH($C108,lst_Werkstoff,0))/1000,""))</f>
        <v/>
      </c>
      <c r="R108" s="18">
        <f>IF($A108="","",IF(N(_xlfn.MAXIFS(Auftrag!$AP$13:$AP$512,Auftrag!$D$13:$D$512,$B108,Auftrag!$E$13:$E$512,$C108,Auftrag!$Q$13:$Q$512,$D108))&gt;0,_xlfn.MAXIFS(Auftrag!$AP$13:$AP$512,Auftrag!$D$13:$D$512,$B108,Auftrag!$E$13:$E$512,$C108,Auftrag!$Q$13:$Q$512,$D108)*$D108/1000,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9" t="n"/>
      <c r="E109" s="24" t="n"/>
      <c r="F109" s="24" t="n"/>
      <c r="G109" s="12">
        <f>IF($A109="","",COUNTIFS(Stangenbelegung!$A$5:$A$10004,$A109))</f>
        <v/>
      </c>
      <c r="H109" s="35">
        <f>IF($A109="","",SUMIFS(Stangenbelegung!$F$5:$F$10004,Stangenbelegung!$A$5:$A$10004,$A109))</f>
        <v/>
      </c>
      <c r="I109" s="23" t="n"/>
      <c r="J109" s="35">
        <f>IF($A109="","",$E109+H109+$I109)</f>
        <v/>
      </c>
      <c r="K109" s="35">
        <f>IF($A109="","",$D109-J109)</f>
        <v/>
      </c>
      <c r="L109" s="32">
        <f>IF($A109="","",H109/$D109)</f>
        <v/>
      </c>
      <c r="M109" s="28">
        <f>IF($A109="","",IF(OR(J109+$F109&gt;$D109+0.001,_xlfn.MAXIFS(Stangenbelegung!$H$5:$H$10004,Stangenbelegung!$A$5:$A$10004,$A109)&gt;$D109-$F109+0.001),"ÜBERBELEGT","OK"))</f>
        <v/>
      </c>
      <c r="N109" s="24" t="n"/>
      <c r="O109" s="24" t="n"/>
      <c r="P109" s="9" t="n"/>
      <c r="Q109" s="18">
        <f>IF($A109="","",IFERROR($D109/1000*INDEX(Profile!$K$5:$K$304,MATCH($B109,lst_Profil,0))*INDEX(Werkstoffe!$E$5:$E$304,MATCH($C109,lst_Werkstoff,0))/1000,""))</f>
        <v/>
      </c>
      <c r="R109" s="18">
        <f>IF($A109="","",IF(N(_xlfn.MAXIFS(Auftrag!$AP$13:$AP$512,Auftrag!$D$13:$D$512,$B109,Auftrag!$E$13:$E$512,$C109,Auftrag!$Q$13:$Q$512,$D109))&gt;0,_xlfn.MAXIFS(Auftrag!$AP$13:$AP$512,Auftrag!$D$13:$D$512,$B109,Auftrag!$E$13:$E$512,$C109,Auftrag!$Q$13:$Q$512,$D109)*$D109/1000,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9" t="n"/>
      <c r="E110" s="24" t="n"/>
      <c r="F110" s="24" t="n"/>
      <c r="G110" s="12">
        <f>IF($A110="","",COUNTIFS(Stangenbelegung!$A$5:$A$10004,$A110))</f>
        <v/>
      </c>
      <c r="H110" s="35">
        <f>IF($A110="","",SUMIFS(Stangenbelegung!$F$5:$F$10004,Stangenbelegung!$A$5:$A$10004,$A110))</f>
        <v/>
      </c>
      <c r="I110" s="23" t="n"/>
      <c r="J110" s="35">
        <f>IF($A110="","",$E110+H110+$I110)</f>
        <v/>
      </c>
      <c r="K110" s="35">
        <f>IF($A110="","",$D110-J110)</f>
        <v/>
      </c>
      <c r="L110" s="32">
        <f>IF($A110="","",H110/$D110)</f>
        <v/>
      </c>
      <c r="M110" s="28">
        <f>IF($A110="","",IF(OR(J110+$F110&gt;$D110+0.001,_xlfn.MAXIFS(Stangenbelegung!$H$5:$H$10004,Stangenbelegung!$A$5:$A$10004,$A110)&gt;$D110-$F110+0.001),"ÜBERBELEGT","OK"))</f>
        <v/>
      </c>
      <c r="N110" s="24" t="n"/>
      <c r="O110" s="24" t="n"/>
      <c r="P110" s="9" t="n"/>
      <c r="Q110" s="18">
        <f>IF($A110="","",IFERROR($D110/1000*INDEX(Profile!$K$5:$K$304,MATCH($B110,lst_Profil,0))*INDEX(Werkstoffe!$E$5:$E$304,MATCH($C110,lst_Werkstoff,0))/1000,""))</f>
        <v/>
      </c>
      <c r="R110" s="18">
        <f>IF($A110="","",IF(N(_xlfn.MAXIFS(Auftrag!$AP$13:$AP$512,Auftrag!$D$13:$D$512,$B110,Auftrag!$E$13:$E$512,$C110,Auftrag!$Q$13:$Q$512,$D110))&gt;0,_xlfn.MAXIFS(Auftrag!$AP$13:$AP$512,Auftrag!$D$13:$D$512,$B110,Auftrag!$E$13:$E$512,$C110,Auftrag!$Q$13:$Q$512,$D110)*$D110/1000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9" t="n"/>
      <c r="E111" s="24" t="n"/>
      <c r="F111" s="24" t="n"/>
      <c r="G111" s="12">
        <f>IF($A111="","",COUNTIFS(Stangenbelegung!$A$5:$A$10004,$A111))</f>
        <v/>
      </c>
      <c r="H111" s="35">
        <f>IF($A111="","",SUMIFS(Stangenbelegung!$F$5:$F$10004,Stangenbelegung!$A$5:$A$10004,$A111))</f>
        <v/>
      </c>
      <c r="I111" s="23" t="n"/>
      <c r="J111" s="35">
        <f>IF($A111="","",$E111+H111+$I111)</f>
        <v/>
      </c>
      <c r="K111" s="35">
        <f>IF($A111="","",$D111-J111)</f>
        <v/>
      </c>
      <c r="L111" s="32">
        <f>IF($A111="","",H111/$D111)</f>
        <v/>
      </c>
      <c r="M111" s="28">
        <f>IF($A111="","",IF(OR(J111+$F111&gt;$D111+0.001,_xlfn.MAXIFS(Stangenbelegung!$H$5:$H$10004,Stangenbelegung!$A$5:$A$10004,$A111)&gt;$D111-$F111+0.001),"ÜBERBELEGT","OK"))</f>
        <v/>
      </c>
      <c r="N111" s="24" t="n"/>
      <c r="O111" s="24" t="n"/>
      <c r="P111" s="9" t="n"/>
      <c r="Q111" s="18">
        <f>IF($A111="","",IFERROR($D111/1000*INDEX(Profile!$K$5:$K$304,MATCH($B111,lst_Profil,0))*INDEX(Werkstoffe!$E$5:$E$304,MATCH($C111,lst_Werkstoff,0))/1000,""))</f>
        <v/>
      </c>
      <c r="R111" s="18">
        <f>IF($A111="","",IF(N(_xlfn.MAXIFS(Auftrag!$AP$13:$AP$512,Auftrag!$D$13:$D$512,$B111,Auftrag!$E$13:$E$512,$C111,Auftrag!$Q$13:$Q$512,$D111))&gt;0,_xlfn.MAXIFS(Auftrag!$AP$13:$AP$512,Auftrag!$D$13:$D$512,$B111,Auftrag!$E$13:$E$512,$C111,Auftrag!$Q$13:$Q$512,$D111)*$D111/1000,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9" t="n"/>
      <c r="E112" s="24" t="n"/>
      <c r="F112" s="24" t="n"/>
      <c r="G112" s="12">
        <f>IF($A112="","",COUNTIFS(Stangenbelegung!$A$5:$A$10004,$A112))</f>
        <v/>
      </c>
      <c r="H112" s="35">
        <f>IF($A112="","",SUMIFS(Stangenbelegung!$F$5:$F$10004,Stangenbelegung!$A$5:$A$10004,$A112))</f>
        <v/>
      </c>
      <c r="I112" s="23" t="n"/>
      <c r="J112" s="35">
        <f>IF($A112="","",$E112+H112+$I112)</f>
        <v/>
      </c>
      <c r="K112" s="35">
        <f>IF($A112="","",$D112-J112)</f>
        <v/>
      </c>
      <c r="L112" s="32">
        <f>IF($A112="","",H112/$D112)</f>
        <v/>
      </c>
      <c r="M112" s="28">
        <f>IF($A112="","",IF(OR(J112+$F112&gt;$D112+0.001,_xlfn.MAXIFS(Stangenbelegung!$H$5:$H$10004,Stangenbelegung!$A$5:$A$10004,$A112)&gt;$D112-$F112+0.001),"ÜBERBELEGT","OK"))</f>
        <v/>
      </c>
      <c r="N112" s="24" t="n"/>
      <c r="O112" s="24" t="n"/>
      <c r="P112" s="9" t="n"/>
      <c r="Q112" s="18">
        <f>IF($A112="","",IFERROR($D112/1000*INDEX(Profile!$K$5:$K$304,MATCH($B112,lst_Profil,0))*INDEX(Werkstoffe!$E$5:$E$304,MATCH($C112,lst_Werkstoff,0))/1000,""))</f>
        <v/>
      </c>
      <c r="R112" s="18">
        <f>IF($A112="","",IF(N(_xlfn.MAXIFS(Auftrag!$AP$13:$AP$512,Auftrag!$D$13:$D$512,$B112,Auftrag!$E$13:$E$512,$C112,Auftrag!$Q$13:$Q$512,$D112))&gt;0,_xlfn.MAXIFS(Auftrag!$AP$13:$AP$512,Auftrag!$D$13:$D$512,$B112,Auftrag!$E$13:$E$512,$C112,Auftrag!$Q$13:$Q$512,$D112)*$D112/1000,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9" t="n"/>
      <c r="E113" s="24" t="n"/>
      <c r="F113" s="24" t="n"/>
      <c r="G113" s="12">
        <f>IF($A113="","",COUNTIFS(Stangenbelegung!$A$5:$A$10004,$A113))</f>
        <v/>
      </c>
      <c r="H113" s="35">
        <f>IF($A113="","",SUMIFS(Stangenbelegung!$F$5:$F$10004,Stangenbelegung!$A$5:$A$10004,$A113))</f>
        <v/>
      </c>
      <c r="I113" s="23" t="n"/>
      <c r="J113" s="35">
        <f>IF($A113="","",$E113+H113+$I113)</f>
        <v/>
      </c>
      <c r="K113" s="35">
        <f>IF($A113="","",$D113-J113)</f>
        <v/>
      </c>
      <c r="L113" s="32">
        <f>IF($A113="","",H113/$D113)</f>
        <v/>
      </c>
      <c r="M113" s="28">
        <f>IF($A113="","",IF(OR(J113+$F113&gt;$D113+0.001,_xlfn.MAXIFS(Stangenbelegung!$H$5:$H$10004,Stangenbelegung!$A$5:$A$10004,$A113)&gt;$D113-$F113+0.001),"ÜBERBELEGT","OK"))</f>
        <v/>
      </c>
      <c r="N113" s="24" t="n"/>
      <c r="O113" s="24" t="n"/>
      <c r="P113" s="9" t="n"/>
      <c r="Q113" s="18">
        <f>IF($A113="","",IFERROR($D113/1000*INDEX(Profile!$K$5:$K$304,MATCH($B113,lst_Profil,0))*INDEX(Werkstoffe!$E$5:$E$304,MATCH($C113,lst_Werkstoff,0))/1000,""))</f>
        <v/>
      </c>
      <c r="R113" s="18">
        <f>IF($A113="","",IF(N(_xlfn.MAXIFS(Auftrag!$AP$13:$AP$512,Auftrag!$D$13:$D$512,$B113,Auftrag!$E$13:$E$512,$C113,Auftrag!$Q$13:$Q$512,$D113))&gt;0,_xlfn.MAXIFS(Auftrag!$AP$13:$AP$512,Auftrag!$D$13:$D$512,$B113,Auftrag!$E$13:$E$512,$C113,Auftrag!$Q$13:$Q$512,$D113)*$D113/1000,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9" t="n"/>
      <c r="E114" s="24" t="n"/>
      <c r="F114" s="24" t="n"/>
      <c r="G114" s="12">
        <f>IF($A114="","",COUNTIFS(Stangenbelegung!$A$5:$A$10004,$A114))</f>
        <v/>
      </c>
      <c r="H114" s="35">
        <f>IF($A114="","",SUMIFS(Stangenbelegung!$F$5:$F$10004,Stangenbelegung!$A$5:$A$10004,$A114))</f>
        <v/>
      </c>
      <c r="I114" s="23" t="n"/>
      <c r="J114" s="35">
        <f>IF($A114="","",$E114+H114+$I114)</f>
        <v/>
      </c>
      <c r="K114" s="35">
        <f>IF($A114="","",$D114-J114)</f>
        <v/>
      </c>
      <c r="L114" s="32">
        <f>IF($A114="","",H114/$D114)</f>
        <v/>
      </c>
      <c r="M114" s="28">
        <f>IF($A114="","",IF(OR(J114+$F114&gt;$D114+0.001,_xlfn.MAXIFS(Stangenbelegung!$H$5:$H$10004,Stangenbelegung!$A$5:$A$10004,$A114)&gt;$D114-$F114+0.001),"ÜBERBELEGT","OK"))</f>
        <v/>
      </c>
      <c r="N114" s="24" t="n"/>
      <c r="O114" s="24" t="n"/>
      <c r="P114" s="9" t="n"/>
      <c r="Q114" s="18">
        <f>IF($A114="","",IFERROR($D114/1000*INDEX(Profile!$K$5:$K$304,MATCH($B114,lst_Profil,0))*INDEX(Werkstoffe!$E$5:$E$304,MATCH($C114,lst_Werkstoff,0))/1000,""))</f>
        <v/>
      </c>
      <c r="R114" s="18">
        <f>IF($A114="","",IF(N(_xlfn.MAXIFS(Auftrag!$AP$13:$AP$512,Auftrag!$D$13:$D$512,$B114,Auftrag!$E$13:$E$512,$C114,Auftrag!$Q$13:$Q$512,$D114))&gt;0,_xlfn.MAXIFS(Auftrag!$AP$13:$AP$512,Auftrag!$D$13:$D$512,$B114,Auftrag!$E$13:$E$512,$C114,Auftrag!$Q$13:$Q$512,$D114)*$D114/1000,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9" t="n"/>
      <c r="E115" s="24" t="n"/>
      <c r="F115" s="24" t="n"/>
      <c r="G115" s="12">
        <f>IF($A115="","",COUNTIFS(Stangenbelegung!$A$5:$A$10004,$A115))</f>
        <v/>
      </c>
      <c r="H115" s="35">
        <f>IF($A115="","",SUMIFS(Stangenbelegung!$F$5:$F$10004,Stangenbelegung!$A$5:$A$10004,$A115))</f>
        <v/>
      </c>
      <c r="I115" s="23" t="n"/>
      <c r="J115" s="35">
        <f>IF($A115="","",$E115+H115+$I115)</f>
        <v/>
      </c>
      <c r="K115" s="35">
        <f>IF($A115="","",$D115-J115)</f>
        <v/>
      </c>
      <c r="L115" s="32">
        <f>IF($A115="","",H115/$D115)</f>
        <v/>
      </c>
      <c r="M115" s="28">
        <f>IF($A115="","",IF(OR(J115+$F115&gt;$D115+0.001,_xlfn.MAXIFS(Stangenbelegung!$H$5:$H$10004,Stangenbelegung!$A$5:$A$10004,$A115)&gt;$D115-$F115+0.001),"ÜBERBELEGT","OK"))</f>
        <v/>
      </c>
      <c r="N115" s="24" t="n"/>
      <c r="O115" s="24" t="n"/>
      <c r="P115" s="9" t="n"/>
      <c r="Q115" s="18">
        <f>IF($A115="","",IFERROR($D115/1000*INDEX(Profile!$K$5:$K$304,MATCH($B115,lst_Profil,0))*INDEX(Werkstoffe!$E$5:$E$304,MATCH($C115,lst_Werkstoff,0))/1000,""))</f>
        <v/>
      </c>
      <c r="R115" s="18">
        <f>IF($A115="","",IF(N(_xlfn.MAXIFS(Auftrag!$AP$13:$AP$512,Auftrag!$D$13:$D$512,$B115,Auftrag!$E$13:$E$512,$C115,Auftrag!$Q$13:$Q$512,$D115))&gt;0,_xlfn.MAXIFS(Auftrag!$AP$13:$AP$512,Auftrag!$D$13:$D$512,$B115,Auftrag!$E$13:$E$512,$C115,Auftrag!$Q$13:$Q$512,$D115)*$D115/1000,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9" t="n"/>
      <c r="E116" s="24" t="n"/>
      <c r="F116" s="24" t="n"/>
      <c r="G116" s="12">
        <f>IF($A116="","",COUNTIFS(Stangenbelegung!$A$5:$A$10004,$A116))</f>
        <v/>
      </c>
      <c r="H116" s="35">
        <f>IF($A116="","",SUMIFS(Stangenbelegung!$F$5:$F$10004,Stangenbelegung!$A$5:$A$10004,$A116))</f>
        <v/>
      </c>
      <c r="I116" s="23" t="n"/>
      <c r="J116" s="35">
        <f>IF($A116="","",$E116+H116+$I116)</f>
        <v/>
      </c>
      <c r="K116" s="35">
        <f>IF($A116="","",$D116-J116)</f>
        <v/>
      </c>
      <c r="L116" s="32">
        <f>IF($A116="","",H116/$D116)</f>
        <v/>
      </c>
      <c r="M116" s="28">
        <f>IF($A116="","",IF(OR(J116+$F116&gt;$D116+0.001,_xlfn.MAXIFS(Stangenbelegung!$H$5:$H$10004,Stangenbelegung!$A$5:$A$10004,$A116)&gt;$D116-$F116+0.001),"ÜBERBELEGT","OK"))</f>
        <v/>
      </c>
      <c r="N116" s="24" t="n"/>
      <c r="O116" s="24" t="n"/>
      <c r="P116" s="9" t="n"/>
      <c r="Q116" s="18">
        <f>IF($A116="","",IFERROR($D116/1000*INDEX(Profile!$K$5:$K$304,MATCH($B116,lst_Profil,0))*INDEX(Werkstoffe!$E$5:$E$304,MATCH($C116,lst_Werkstoff,0))/1000,""))</f>
        <v/>
      </c>
      <c r="R116" s="18">
        <f>IF($A116="","",IF(N(_xlfn.MAXIFS(Auftrag!$AP$13:$AP$512,Auftrag!$D$13:$D$512,$B116,Auftrag!$E$13:$E$512,$C116,Auftrag!$Q$13:$Q$512,$D116))&gt;0,_xlfn.MAXIFS(Auftrag!$AP$13:$AP$512,Auftrag!$D$13:$D$512,$B116,Auftrag!$E$13:$E$512,$C116,Auftrag!$Q$13:$Q$512,$D116)*$D116/1000,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9" t="n"/>
      <c r="E117" s="24" t="n"/>
      <c r="F117" s="24" t="n"/>
      <c r="G117" s="12">
        <f>IF($A117="","",COUNTIFS(Stangenbelegung!$A$5:$A$10004,$A117))</f>
        <v/>
      </c>
      <c r="H117" s="35">
        <f>IF($A117="","",SUMIFS(Stangenbelegung!$F$5:$F$10004,Stangenbelegung!$A$5:$A$10004,$A117))</f>
        <v/>
      </c>
      <c r="I117" s="23" t="n"/>
      <c r="J117" s="35">
        <f>IF($A117="","",$E117+H117+$I117)</f>
        <v/>
      </c>
      <c r="K117" s="35">
        <f>IF($A117="","",$D117-J117)</f>
        <v/>
      </c>
      <c r="L117" s="32">
        <f>IF($A117="","",H117/$D117)</f>
        <v/>
      </c>
      <c r="M117" s="28">
        <f>IF($A117="","",IF(OR(J117+$F117&gt;$D117+0.001,_xlfn.MAXIFS(Stangenbelegung!$H$5:$H$10004,Stangenbelegung!$A$5:$A$10004,$A117)&gt;$D117-$F117+0.001),"ÜBERBELEGT","OK"))</f>
        <v/>
      </c>
      <c r="N117" s="24" t="n"/>
      <c r="O117" s="24" t="n"/>
      <c r="P117" s="9" t="n"/>
      <c r="Q117" s="18">
        <f>IF($A117="","",IFERROR($D117/1000*INDEX(Profile!$K$5:$K$304,MATCH($B117,lst_Profil,0))*INDEX(Werkstoffe!$E$5:$E$304,MATCH($C117,lst_Werkstoff,0))/1000,""))</f>
        <v/>
      </c>
      <c r="R117" s="18">
        <f>IF($A117="","",IF(N(_xlfn.MAXIFS(Auftrag!$AP$13:$AP$512,Auftrag!$D$13:$D$512,$B117,Auftrag!$E$13:$E$512,$C117,Auftrag!$Q$13:$Q$512,$D117))&gt;0,_xlfn.MAXIFS(Auftrag!$AP$13:$AP$512,Auftrag!$D$13:$D$512,$B117,Auftrag!$E$13:$E$512,$C117,Auftrag!$Q$13:$Q$512,$D117)*$D117/1000,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9" t="n"/>
      <c r="E118" s="24" t="n"/>
      <c r="F118" s="24" t="n"/>
      <c r="G118" s="12">
        <f>IF($A118="","",COUNTIFS(Stangenbelegung!$A$5:$A$10004,$A118))</f>
        <v/>
      </c>
      <c r="H118" s="35">
        <f>IF($A118="","",SUMIFS(Stangenbelegung!$F$5:$F$10004,Stangenbelegung!$A$5:$A$10004,$A118))</f>
        <v/>
      </c>
      <c r="I118" s="23" t="n"/>
      <c r="J118" s="35">
        <f>IF($A118="","",$E118+H118+$I118)</f>
        <v/>
      </c>
      <c r="K118" s="35">
        <f>IF($A118="","",$D118-J118)</f>
        <v/>
      </c>
      <c r="L118" s="32">
        <f>IF($A118="","",H118/$D118)</f>
        <v/>
      </c>
      <c r="M118" s="28">
        <f>IF($A118="","",IF(OR(J118+$F118&gt;$D118+0.001,_xlfn.MAXIFS(Stangenbelegung!$H$5:$H$10004,Stangenbelegung!$A$5:$A$10004,$A118)&gt;$D118-$F118+0.001),"ÜBERBELEGT","OK"))</f>
        <v/>
      </c>
      <c r="N118" s="24" t="n"/>
      <c r="O118" s="24" t="n"/>
      <c r="P118" s="9" t="n"/>
      <c r="Q118" s="18">
        <f>IF($A118="","",IFERROR($D118/1000*INDEX(Profile!$K$5:$K$304,MATCH($B118,lst_Profil,0))*INDEX(Werkstoffe!$E$5:$E$304,MATCH($C118,lst_Werkstoff,0))/1000,""))</f>
        <v/>
      </c>
      <c r="R118" s="18">
        <f>IF($A118="","",IF(N(_xlfn.MAXIFS(Auftrag!$AP$13:$AP$512,Auftrag!$D$13:$D$512,$B118,Auftrag!$E$13:$E$512,$C118,Auftrag!$Q$13:$Q$512,$D118))&gt;0,_xlfn.MAXIFS(Auftrag!$AP$13:$AP$512,Auftrag!$D$13:$D$512,$B118,Auftrag!$E$13:$E$512,$C118,Auftrag!$Q$13:$Q$512,$D118)*$D118/1000,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9" t="n"/>
      <c r="E119" s="24" t="n"/>
      <c r="F119" s="24" t="n"/>
      <c r="G119" s="12">
        <f>IF($A119="","",COUNTIFS(Stangenbelegung!$A$5:$A$10004,$A119))</f>
        <v/>
      </c>
      <c r="H119" s="35">
        <f>IF($A119="","",SUMIFS(Stangenbelegung!$F$5:$F$10004,Stangenbelegung!$A$5:$A$10004,$A119))</f>
        <v/>
      </c>
      <c r="I119" s="23" t="n"/>
      <c r="J119" s="35">
        <f>IF($A119="","",$E119+H119+$I119)</f>
        <v/>
      </c>
      <c r="K119" s="35">
        <f>IF($A119="","",$D119-J119)</f>
        <v/>
      </c>
      <c r="L119" s="32">
        <f>IF($A119="","",H119/$D119)</f>
        <v/>
      </c>
      <c r="M119" s="28">
        <f>IF($A119="","",IF(OR(J119+$F119&gt;$D119+0.001,_xlfn.MAXIFS(Stangenbelegung!$H$5:$H$10004,Stangenbelegung!$A$5:$A$10004,$A119)&gt;$D119-$F119+0.001),"ÜBERBELEGT","OK"))</f>
        <v/>
      </c>
      <c r="N119" s="24" t="n"/>
      <c r="O119" s="24" t="n"/>
      <c r="P119" s="9" t="n"/>
      <c r="Q119" s="18">
        <f>IF($A119="","",IFERROR($D119/1000*INDEX(Profile!$K$5:$K$304,MATCH($B119,lst_Profil,0))*INDEX(Werkstoffe!$E$5:$E$304,MATCH($C119,lst_Werkstoff,0))/1000,""))</f>
        <v/>
      </c>
      <c r="R119" s="18">
        <f>IF($A119="","",IF(N(_xlfn.MAXIFS(Auftrag!$AP$13:$AP$512,Auftrag!$D$13:$D$512,$B119,Auftrag!$E$13:$E$512,$C119,Auftrag!$Q$13:$Q$512,$D119))&gt;0,_xlfn.MAXIFS(Auftrag!$AP$13:$AP$512,Auftrag!$D$13:$D$512,$B119,Auftrag!$E$13:$E$512,$C119,Auftrag!$Q$13:$Q$512,$D119)*$D119/1000,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9" t="n"/>
      <c r="E120" s="24" t="n"/>
      <c r="F120" s="24" t="n"/>
      <c r="G120" s="12">
        <f>IF($A120="","",COUNTIFS(Stangenbelegung!$A$5:$A$10004,$A120))</f>
        <v/>
      </c>
      <c r="H120" s="35">
        <f>IF($A120="","",SUMIFS(Stangenbelegung!$F$5:$F$10004,Stangenbelegung!$A$5:$A$10004,$A120))</f>
        <v/>
      </c>
      <c r="I120" s="23" t="n"/>
      <c r="J120" s="35">
        <f>IF($A120="","",$E120+H120+$I120)</f>
        <v/>
      </c>
      <c r="K120" s="35">
        <f>IF($A120="","",$D120-J120)</f>
        <v/>
      </c>
      <c r="L120" s="32">
        <f>IF($A120="","",H120/$D120)</f>
        <v/>
      </c>
      <c r="M120" s="28">
        <f>IF($A120="","",IF(OR(J120+$F120&gt;$D120+0.001,_xlfn.MAXIFS(Stangenbelegung!$H$5:$H$10004,Stangenbelegung!$A$5:$A$10004,$A120)&gt;$D120-$F120+0.001),"ÜBERBELEGT","OK"))</f>
        <v/>
      </c>
      <c r="N120" s="24" t="n"/>
      <c r="O120" s="24" t="n"/>
      <c r="P120" s="9" t="n"/>
      <c r="Q120" s="18">
        <f>IF($A120="","",IFERROR($D120/1000*INDEX(Profile!$K$5:$K$304,MATCH($B120,lst_Profil,0))*INDEX(Werkstoffe!$E$5:$E$304,MATCH($C120,lst_Werkstoff,0))/1000,""))</f>
        <v/>
      </c>
      <c r="R120" s="18">
        <f>IF($A120="","",IF(N(_xlfn.MAXIFS(Auftrag!$AP$13:$AP$512,Auftrag!$D$13:$D$512,$B120,Auftrag!$E$13:$E$512,$C120,Auftrag!$Q$13:$Q$512,$D120))&gt;0,_xlfn.MAXIFS(Auftrag!$AP$13:$AP$512,Auftrag!$D$13:$D$512,$B120,Auftrag!$E$13:$E$512,$C120,Auftrag!$Q$13:$Q$512,$D120)*$D120/1000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9" t="n"/>
      <c r="E121" s="24" t="n"/>
      <c r="F121" s="24" t="n"/>
      <c r="G121" s="12">
        <f>IF($A121="","",COUNTIFS(Stangenbelegung!$A$5:$A$10004,$A121))</f>
        <v/>
      </c>
      <c r="H121" s="35">
        <f>IF($A121="","",SUMIFS(Stangenbelegung!$F$5:$F$10004,Stangenbelegung!$A$5:$A$10004,$A121))</f>
        <v/>
      </c>
      <c r="I121" s="23" t="n"/>
      <c r="J121" s="35">
        <f>IF($A121="","",$E121+H121+$I121)</f>
        <v/>
      </c>
      <c r="K121" s="35">
        <f>IF($A121="","",$D121-J121)</f>
        <v/>
      </c>
      <c r="L121" s="32">
        <f>IF($A121="","",H121/$D121)</f>
        <v/>
      </c>
      <c r="M121" s="28">
        <f>IF($A121="","",IF(OR(J121+$F121&gt;$D121+0.001,_xlfn.MAXIFS(Stangenbelegung!$H$5:$H$10004,Stangenbelegung!$A$5:$A$10004,$A121)&gt;$D121-$F121+0.001),"ÜBERBELEGT","OK"))</f>
        <v/>
      </c>
      <c r="N121" s="24" t="n"/>
      <c r="O121" s="24" t="n"/>
      <c r="P121" s="9" t="n"/>
      <c r="Q121" s="18">
        <f>IF($A121="","",IFERROR($D121/1000*INDEX(Profile!$K$5:$K$304,MATCH($B121,lst_Profil,0))*INDEX(Werkstoffe!$E$5:$E$304,MATCH($C121,lst_Werkstoff,0))/1000,""))</f>
        <v/>
      </c>
      <c r="R121" s="18">
        <f>IF($A121="","",IF(N(_xlfn.MAXIFS(Auftrag!$AP$13:$AP$512,Auftrag!$D$13:$D$512,$B121,Auftrag!$E$13:$E$512,$C121,Auftrag!$Q$13:$Q$512,$D121))&gt;0,_xlfn.MAXIFS(Auftrag!$AP$13:$AP$512,Auftrag!$D$13:$D$512,$B121,Auftrag!$E$13:$E$512,$C121,Auftrag!$Q$13:$Q$512,$D121)*$D121/1000,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9" t="n"/>
      <c r="E122" s="24" t="n"/>
      <c r="F122" s="24" t="n"/>
      <c r="G122" s="12">
        <f>IF($A122="","",COUNTIFS(Stangenbelegung!$A$5:$A$10004,$A122))</f>
        <v/>
      </c>
      <c r="H122" s="35">
        <f>IF($A122="","",SUMIFS(Stangenbelegung!$F$5:$F$10004,Stangenbelegung!$A$5:$A$10004,$A122))</f>
        <v/>
      </c>
      <c r="I122" s="23" t="n"/>
      <c r="J122" s="35">
        <f>IF($A122="","",$E122+H122+$I122)</f>
        <v/>
      </c>
      <c r="K122" s="35">
        <f>IF($A122="","",$D122-J122)</f>
        <v/>
      </c>
      <c r="L122" s="32">
        <f>IF($A122="","",H122/$D122)</f>
        <v/>
      </c>
      <c r="M122" s="28">
        <f>IF($A122="","",IF(OR(J122+$F122&gt;$D122+0.001,_xlfn.MAXIFS(Stangenbelegung!$H$5:$H$10004,Stangenbelegung!$A$5:$A$10004,$A122)&gt;$D122-$F122+0.001),"ÜBERBELEGT","OK"))</f>
        <v/>
      </c>
      <c r="N122" s="24" t="n"/>
      <c r="O122" s="24" t="n"/>
      <c r="P122" s="9" t="n"/>
      <c r="Q122" s="18">
        <f>IF($A122="","",IFERROR($D122/1000*INDEX(Profile!$K$5:$K$304,MATCH($B122,lst_Profil,0))*INDEX(Werkstoffe!$E$5:$E$304,MATCH($C122,lst_Werkstoff,0))/1000,""))</f>
        <v/>
      </c>
      <c r="R122" s="18">
        <f>IF($A122="","",IF(N(_xlfn.MAXIFS(Auftrag!$AP$13:$AP$512,Auftrag!$D$13:$D$512,$B122,Auftrag!$E$13:$E$512,$C122,Auftrag!$Q$13:$Q$512,$D122))&gt;0,_xlfn.MAXIFS(Auftrag!$AP$13:$AP$512,Auftrag!$D$13:$D$512,$B122,Auftrag!$E$13:$E$512,$C122,Auftrag!$Q$13:$Q$512,$D122)*$D122/1000,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9" t="n"/>
      <c r="E123" s="24" t="n"/>
      <c r="F123" s="24" t="n"/>
      <c r="G123" s="12">
        <f>IF($A123="","",COUNTIFS(Stangenbelegung!$A$5:$A$10004,$A123))</f>
        <v/>
      </c>
      <c r="H123" s="35">
        <f>IF($A123="","",SUMIFS(Stangenbelegung!$F$5:$F$10004,Stangenbelegung!$A$5:$A$10004,$A123))</f>
        <v/>
      </c>
      <c r="I123" s="23" t="n"/>
      <c r="J123" s="35">
        <f>IF($A123="","",$E123+H123+$I123)</f>
        <v/>
      </c>
      <c r="K123" s="35">
        <f>IF($A123="","",$D123-J123)</f>
        <v/>
      </c>
      <c r="L123" s="32">
        <f>IF($A123="","",H123/$D123)</f>
        <v/>
      </c>
      <c r="M123" s="28">
        <f>IF($A123="","",IF(OR(J123+$F123&gt;$D123+0.001,_xlfn.MAXIFS(Stangenbelegung!$H$5:$H$10004,Stangenbelegung!$A$5:$A$10004,$A123)&gt;$D123-$F123+0.001),"ÜBERBELEGT","OK"))</f>
        <v/>
      </c>
      <c r="N123" s="24" t="n"/>
      <c r="O123" s="24" t="n"/>
      <c r="P123" s="9" t="n"/>
      <c r="Q123" s="18">
        <f>IF($A123="","",IFERROR($D123/1000*INDEX(Profile!$K$5:$K$304,MATCH($B123,lst_Profil,0))*INDEX(Werkstoffe!$E$5:$E$304,MATCH($C123,lst_Werkstoff,0))/1000,""))</f>
        <v/>
      </c>
      <c r="R123" s="18">
        <f>IF($A123="","",IF(N(_xlfn.MAXIFS(Auftrag!$AP$13:$AP$512,Auftrag!$D$13:$D$512,$B123,Auftrag!$E$13:$E$512,$C123,Auftrag!$Q$13:$Q$512,$D123))&gt;0,_xlfn.MAXIFS(Auftrag!$AP$13:$AP$512,Auftrag!$D$13:$D$512,$B123,Auftrag!$E$13:$E$512,$C123,Auftrag!$Q$13:$Q$512,$D123)*$D123/1000,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9" t="n"/>
      <c r="E124" s="24" t="n"/>
      <c r="F124" s="24" t="n"/>
      <c r="G124" s="12">
        <f>IF($A124="","",COUNTIFS(Stangenbelegung!$A$5:$A$10004,$A124))</f>
        <v/>
      </c>
      <c r="H124" s="35">
        <f>IF($A124="","",SUMIFS(Stangenbelegung!$F$5:$F$10004,Stangenbelegung!$A$5:$A$10004,$A124))</f>
        <v/>
      </c>
      <c r="I124" s="23" t="n"/>
      <c r="J124" s="35">
        <f>IF($A124="","",$E124+H124+$I124)</f>
        <v/>
      </c>
      <c r="K124" s="35">
        <f>IF($A124="","",$D124-J124)</f>
        <v/>
      </c>
      <c r="L124" s="32">
        <f>IF($A124="","",H124/$D124)</f>
        <v/>
      </c>
      <c r="M124" s="28">
        <f>IF($A124="","",IF(OR(J124+$F124&gt;$D124+0.001,_xlfn.MAXIFS(Stangenbelegung!$H$5:$H$10004,Stangenbelegung!$A$5:$A$10004,$A124)&gt;$D124-$F124+0.001),"ÜBERBELEGT","OK"))</f>
        <v/>
      </c>
      <c r="N124" s="24" t="n"/>
      <c r="O124" s="24" t="n"/>
      <c r="P124" s="9" t="n"/>
      <c r="Q124" s="18">
        <f>IF($A124="","",IFERROR($D124/1000*INDEX(Profile!$K$5:$K$304,MATCH($B124,lst_Profil,0))*INDEX(Werkstoffe!$E$5:$E$304,MATCH($C124,lst_Werkstoff,0))/1000,""))</f>
        <v/>
      </c>
      <c r="R124" s="18">
        <f>IF($A124="","",IF(N(_xlfn.MAXIFS(Auftrag!$AP$13:$AP$512,Auftrag!$D$13:$D$512,$B124,Auftrag!$E$13:$E$512,$C124,Auftrag!$Q$13:$Q$512,$D124))&gt;0,_xlfn.MAXIFS(Auftrag!$AP$13:$AP$512,Auftrag!$D$13:$D$512,$B124,Auftrag!$E$13:$E$512,$C124,Auftrag!$Q$13:$Q$512,$D124)*$D124/1000,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9" t="n"/>
      <c r="E125" s="24" t="n"/>
      <c r="F125" s="24" t="n"/>
      <c r="G125" s="12">
        <f>IF($A125="","",COUNTIFS(Stangenbelegung!$A$5:$A$10004,$A125))</f>
        <v/>
      </c>
      <c r="H125" s="35">
        <f>IF($A125="","",SUMIFS(Stangenbelegung!$F$5:$F$10004,Stangenbelegung!$A$5:$A$10004,$A125))</f>
        <v/>
      </c>
      <c r="I125" s="23" t="n"/>
      <c r="J125" s="35">
        <f>IF($A125="","",$E125+H125+$I125)</f>
        <v/>
      </c>
      <c r="K125" s="35">
        <f>IF($A125="","",$D125-J125)</f>
        <v/>
      </c>
      <c r="L125" s="32">
        <f>IF($A125="","",H125/$D125)</f>
        <v/>
      </c>
      <c r="M125" s="28">
        <f>IF($A125="","",IF(OR(J125+$F125&gt;$D125+0.001,_xlfn.MAXIFS(Stangenbelegung!$H$5:$H$10004,Stangenbelegung!$A$5:$A$10004,$A125)&gt;$D125-$F125+0.001),"ÜBERBELEGT","OK"))</f>
        <v/>
      </c>
      <c r="N125" s="24" t="n"/>
      <c r="O125" s="24" t="n"/>
      <c r="P125" s="9" t="n"/>
      <c r="Q125" s="18">
        <f>IF($A125="","",IFERROR($D125/1000*INDEX(Profile!$K$5:$K$304,MATCH($B125,lst_Profil,0))*INDEX(Werkstoffe!$E$5:$E$304,MATCH($C125,lst_Werkstoff,0))/1000,""))</f>
        <v/>
      </c>
      <c r="R125" s="18">
        <f>IF($A125="","",IF(N(_xlfn.MAXIFS(Auftrag!$AP$13:$AP$512,Auftrag!$D$13:$D$512,$B125,Auftrag!$E$13:$E$512,$C125,Auftrag!$Q$13:$Q$512,$D125))&gt;0,_xlfn.MAXIFS(Auftrag!$AP$13:$AP$512,Auftrag!$D$13:$D$512,$B125,Auftrag!$E$13:$E$512,$C125,Auftrag!$Q$13:$Q$512,$D125)*$D125/1000,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9" t="n"/>
      <c r="E126" s="24" t="n"/>
      <c r="F126" s="24" t="n"/>
      <c r="G126" s="12">
        <f>IF($A126="","",COUNTIFS(Stangenbelegung!$A$5:$A$10004,$A126))</f>
        <v/>
      </c>
      <c r="H126" s="35">
        <f>IF($A126="","",SUMIFS(Stangenbelegung!$F$5:$F$10004,Stangenbelegung!$A$5:$A$10004,$A126))</f>
        <v/>
      </c>
      <c r="I126" s="23" t="n"/>
      <c r="J126" s="35">
        <f>IF($A126="","",$E126+H126+$I126)</f>
        <v/>
      </c>
      <c r="K126" s="35">
        <f>IF($A126="","",$D126-J126)</f>
        <v/>
      </c>
      <c r="L126" s="32">
        <f>IF($A126="","",H126/$D126)</f>
        <v/>
      </c>
      <c r="M126" s="28">
        <f>IF($A126="","",IF(OR(J126+$F126&gt;$D126+0.001,_xlfn.MAXIFS(Stangenbelegung!$H$5:$H$10004,Stangenbelegung!$A$5:$A$10004,$A126)&gt;$D126-$F126+0.001),"ÜBERBELEGT","OK"))</f>
        <v/>
      </c>
      <c r="N126" s="24" t="n"/>
      <c r="O126" s="24" t="n"/>
      <c r="P126" s="9" t="n"/>
      <c r="Q126" s="18">
        <f>IF($A126="","",IFERROR($D126/1000*INDEX(Profile!$K$5:$K$304,MATCH($B126,lst_Profil,0))*INDEX(Werkstoffe!$E$5:$E$304,MATCH($C126,lst_Werkstoff,0))/1000,""))</f>
        <v/>
      </c>
      <c r="R126" s="18">
        <f>IF($A126="","",IF(N(_xlfn.MAXIFS(Auftrag!$AP$13:$AP$512,Auftrag!$D$13:$D$512,$B126,Auftrag!$E$13:$E$512,$C126,Auftrag!$Q$13:$Q$512,$D126))&gt;0,_xlfn.MAXIFS(Auftrag!$AP$13:$AP$512,Auftrag!$D$13:$D$512,$B126,Auftrag!$E$13:$E$512,$C126,Auftrag!$Q$13:$Q$512,$D126)*$D126/1000,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9" t="n"/>
      <c r="E127" s="24" t="n"/>
      <c r="F127" s="24" t="n"/>
      <c r="G127" s="12">
        <f>IF($A127="","",COUNTIFS(Stangenbelegung!$A$5:$A$10004,$A127))</f>
        <v/>
      </c>
      <c r="H127" s="35">
        <f>IF($A127="","",SUMIFS(Stangenbelegung!$F$5:$F$10004,Stangenbelegung!$A$5:$A$10004,$A127))</f>
        <v/>
      </c>
      <c r="I127" s="23" t="n"/>
      <c r="J127" s="35">
        <f>IF($A127="","",$E127+H127+$I127)</f>
        <v/>
      </c>
      <c r="K127" s="35">
        <f>IF($A127="","",$D127-J127)</f>
        <v/>
      </c>
      <c r="L127" s="32">
        <f>IF($A127="","",H127/$D127)</f>
        <v/>
      </c>
      <c r="M127" s="28">
        <f>IF($A127="","",IF(OR(J127+$F127&gt;$D127+0.001,_xlfn.MAXIFS(Stangenbelegung!$H$5:$H$10004,Stangenbelegung!$A$5:$A$10004,$A127)&gt;$D127-$F127+0.001),"ÜBERBELEGT","OK"))</f>
        <v/>
      </c>
      <c r="N127" s="24" t="n"/>
      <c r="O127" s="24" t="n"/>
      <c r="P127" s="9" t="n"/>
      <c r="Q127" s="18">
        <f>IF($A127="","",IFERROR($D127/1000*INDEX(Profile!$K$5:$K$304,MATCH($B127,lst_Profil,0))*INDEX(Werkstoffe!$E$5:$E$304,MATCH($C127,lst_Werkstoff,0))/1000,""))</f>
        <v/>
      </c>
      <c r="R127" s="18">
        <f>IF($A127="","",IF(N(_xlfn.MAXIFS(Auftrag!$AP$13:$AP$512,Auftrag!$D$13:$D$512,$B127,Auftrag!$E$13:$E$512,$C127,Auftrag!$Q$13:$Q$512,$D127))&gt;0,_xlfn.MAXIFS(Auftrag!$AP$13:$AP$512,Auftrag!$D$13:$D$512,$B127,Auftrag!$E$13:$E$512,$C127,Auftrag!$Q$13:$Q$512,$D127)*$D127/1000,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9" t="n"/>
      <c r="E128" s="24" t="n"/>
      <c r="F128" s="24" t="n"/>
      <c r="G128" s="12">
        <f>IF($A128="","",COUNTIFS(Stangenbelegung!$A$5:$A$10004,$A128))</f>
        <v/>
      </c>
      <c r="H128" s="35">
        <f>IF($A128="","",SUMIFS(Stangenbelegung!$F$5:$F$10004,Stangenbelegung!$A$5:$A$10004,$A128))</f>
        <v/>
      </c>
      <c r="I128" s="23" t="n"/>
      <c r="J128" s="35">
        <f>IF($A128="","",$E128+H128+$I128)</f>
        <v/>
      </c>
      <c r="K128" s="35">
        <f>IF($A128="","",$D128-J128)</f>
        <v/>
      </c>
      <c r="L128" s="32">
        <f>IF($A128="","",H128/$D128)</f>
        <v/>
      </c>
      <c r="M128" s="28">
        <f>IF($A128="","",IF(OR(J128+$F128&gt;$D128+0.001,_xlfn.MAXIFS(Stangenbelegung!$H$5:$H$10004,Stangenbelegung!$A$5:$A$10004,$A128)&gt;$D128-$F128+0.001),"ÜBERBELEGT","OK"))</f>
        <v/>
      </c>
      <c r="N128" s="24" t="n"/>
      <c r="O128" s="24" t="n"/>
      <c r="P128" s="9" t="n"/>
      <c r="Q128" s="18">
        <f>IF($A128="","",IFERROR($D128/1000*INDEX(Profile!$K$5:$K$304,MATCH($B128,lst_Profil,0))*INDEX(Werkstoffe!$E$5:$E$304,MATCH($C128,lst_Werkstoff,0))/1000,""))</f>
        <v/>
      </c>
      <c r="R128" s="18">
        <f>IF($A128="","",IF(N(_xlfn.MAXIFS(Auftrag!$AP$13:$AP$512,Auftrag!$D$13:$D$512,$B128,Auftrag!$E$13:$E$512,$C128,Auftrag!$Q$13:$Q$512,$D128))&gt;0,_xlfn.MAXIFS(Auftrag!$AP$13:$AP$512,Auftrag!$D$13:$D$512,$B128,Auftrag!$E$13:$E$512,$C128,Auftrag!$Q$13:$Q$512,$D128)*$D128/1000,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9" t="n"/>
      <c r="E129" s="24" t="n"/>
      <c r="F129" s="24" t="n"/>
      <c r="G129" s="12">
        <f>IF($A129="","",COUNTIFS(Stangenbelegung!$A$5:$A$10004,$A129))</f>
        <v/>
      </c>
      <c r="H129" s="35">
        <f>IF($A129="","",SUMIFS(Stangenbelegung!$F$5:$F$10004,Stangenbelegung!$A$5:$A$10004,$A129))</f>
        <v/>
      </c>
      <c r="I129" s="23" t="n"/>
      <c r="J129" s="35">
        <f>IF($A129="","",$E129+H129+$I129)</f>
        <v/>
      </c>
      <c r="K129" s="35">
        <f>IF($A129="","",$D129-J129)</f>
        <v/>
      </c>
      <c r="L129" s="32">
        <f>IF($A129="","",H129/$D129)</f>
        <v/>
      </c>
      <c r="M129" s="28">
        <f>IF($A129="","",IF(OR(J129+$F129&gt;$D129+0.001,_xlfn.MAXIFS(Stangenbelegung!$H$5:$H$10004,Stangenbelegung!$A$5:$A$10004,$A129)&gt;$D129-$F129+0.001),"ÜBERBELEGT","OK"))</f>
        <v/>
      </c>
      <c r="N129" s="24" t="n"/>
      <c r="O129" s="24" t="n"/>
      <c r="P129" s="9" t="n"/>
      <c r="Q129" s="18">
        <f>IF($A129="","",IFERROR($D129/1000*INDEX(Profile!$K$5:$K$304,MATCH($B129,lst_Profil,0))*INDEX(Werkstoffe!$E$5:$E$304,MATCH($C129,lst_Werkstoff,0))/1000,""))</f>
        <v/>
      </c>
      <c r="R129" s="18">
        <f>IF($A129="","",IF(N(_xlfn.MAXIFS(Auftrag!$AP$13:$AP$512,Auftrag!$D$13:$D$512,$B129,Auftrag!$E$13:$E$512,$C129,Auftrag!$Q$13:$Q$512,$D129))&gt;0,_xlfn.MAXIFS(Auftrag!$AP$13:$AP$512,Auftrag!$D$13:$D$512,$B129,Auftrag!$E$13:$E$512,$C129,Auftrag!$Q$13:$Q$512,$D129)*$D129/1000,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9" t="n"/>
      <c r="E130" s="24" t="n"/>
      <c r="F130" s="24" t="n"/>
      <c r="G130" s="12">
        <f>IF($A130="","",COUNTIFS(Stangenbelegung!$A$5:$A$10004,$A130))</f>
        <v/>
      </c>
      <c r="H130" s="35">
        <f>IF($A130="","",SUMIFS(Stangenbelegung!$F$5:$F$10004,Stangenbelegung!$A$5:$A$10004,$A130))</f>
        <v/>
      </c>
      <c r="I130" s="23" t="n"/>
      <c r="J130" s="35">
        <f>IF($A130="","",$E130+H130+$I130)</f>
        <v/>
      </c>
      <c r="K130" s="35">
        <f>IF($A130="","",$D130-J130)</f>
        <v/>
      </c>
      <c r="L130" s="32">
        <f>IF($A130="","",H130/$D130)</f>
        <v/>
      </c>
      <c r="M130" s="28">
        <f>IF($A130="","",IF(OR(J130+$F130&gt;$D130+0.001,_xlfn.MAXIFS(Stangenbelegung!$H$5:$H$10004,Stangenbelegung!$A$5:$A$10004,$A130)&gt;$D130-$F130+0.001),"ÜBERBELEGT","OK"))</f>
        <v/>
      </c>
      <c r="N130" s="24" t="n"/>
      <c r="O130" s="24" t="n"/>
      <c r="P130" s="9" t="n"/>
      <c r="Q130" s="18">
        <f>IF($A130="","",IFERROR($D130/1000*INDEX(Profile!$K$5:$K$304,MATCH($B130,lst_Profil,0))*INDEX(Werkstoffe!$E$5:$E$304,MATCH($C130,lst_Werkstoff,0))/1000,""))</f>
        <v/>
      </c>
      <c r="R130" s="18">
        <f>IF($A130="","",IF(N(_xlfn.MAXIFS(Auftrag!$AP$13:$AP$512,Auftrag!$D$13:$D$512,$B130,Auftrag!$E$13:$E$512,$C130,Auftrag!$Q$13:$Q$512,$D130))&gt;0,_xlfn.MAXIFS(Auftrag!$AP$13:$AP$512,Auftrag!$D$13:$D$512,$B130,Auftrag!$E$13:$E$512,$C130,Auftrag!$Q$13:$Q$512,$D130)*$D130/1000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9" t="n"/>
      <c r="E131" s="24" t="n"/>
      <c r="F131" s="24" t="n"/>
      <c r="G131" s="12">
        <f>IF($A131="","",COUNTIFS(Stangenbelegung!$A$5:$A$10004,$A131))</f>
        <v/>
      </c>
      <c r="H131" s="35">
        <f>IF($A131="","",SUMIFS(Stangenbelegung!$F$5:$F$10004,Stangenbelegung!$A$5:$A$10004,$A131))</f>
        <v/>
      </c>
      <c r="I131" s="23" t="n"/>
      <c r="J131" s="35">
        <f>IF($A131="","",$E131+H131+$I131)</f>
        <v/>
      </c>
      <c r="K131" s="35">
        <f>IF($A131="","",$D131-J131)</f>
        <v/>
      </c>
      <c r="L131" s="32">
        <f>IF($A131="","",H131/$D131)</f>
        <v/>
      </c>
      <c r="M131" s="28">
        <f>IF($A131="","",IF(OR(J131+$F131&gt;$D131+0.001,_xlfn.MAXIFS(Stangenbelegung!$H$5:$H$10004,Stangenbelegung!$A$5:$A$10004,$A131)&gt;$D131-$F131+0.001),"ÜBERBELEGT","OK"))</f>
        <v/>
      </c>
      <c r="N131" s="24" t="n"/>
      <c r="O131" s="24" t="n"/>
      <c r="P131" s="9" t="n"/>
      <c r="Q131" s="18">
        <f>IF($A131="","",IFERROR($D131/1000*INDEX(Profile!$K$5:$K$304,MATCH($B131,lst_Profil,0))*INDEX(Werkstoffe!$E$5:$E$304,MATCH($C131,lst_Werkstoff,0))/1000,""))</f>
        <v/>
      </c>
      <c r="R131" s="18">
        <f>IF($A131="","",IF(N(_xlfn.MAXIFS(Auftrag!$AP$13:$AP$512,Auftrag!$D$13:$D$512,$B131,Auftrag!$E$13:$E$512,$C131,Auftrag!$Q$13:$Q$512,$D131))&gt;0,_xlfn.MAXIFS(Auftrag!$AP$13:$AP$512,Auftrag!$D$13:$D$512,$B131,Auftrag!$E$13:$E$512,$C131,Auftrag!$Q$13:$Q$512,$D131)*$D131/1000,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9" t="n"/>
      <c r="E132" s="24" t="n"/>
      <c r="F132" s="24" t="n"/>
      <c r="G132" s="12">
        <f>IF($A132="","",COUNTIFS(Stangenbelegung!$A$5:$A$10004,$A132))</f>
        <v/>
      </c>
      <c r="H132" s="35">
        <f>IF($A132="","",SUMIFS(Stangenbelegung!$F$5:$F$10004,Stangenbelegung!$A$5:$A$10004,$A132))</f>
        <v/>
      </c>
      <c r="I132" s="23" t="n"/>
      <c r="J132" s="35">
        <f>IF($A132="","",$E132+H132+$I132)</f>
        <v/>
      </c>
      <c r="K132" s="35">
        <f>IF($A132="","",$D132-J132)</f>
        <v/>
      </c>
      <c r="L132" s="32">
        <f>IF($A132="","",H132/$D132)</f>
        <v/>
      </c>
      <c r="M132" s="28">
        <f>IF($A132="","",IF(OR(J132+$F132&gt;$D132+0.001,_xlfn.MAXIFS(Stangenbelegung!$H$5:$H$10004,Stangenbelegung!$A$5:$A$10004,$A132)&gt;$D132-$F132+0.001),"ÜBERBELEGT","OK"))</f>
        <v/>
      </c>
      <c r="N132" s="24" t="n"/>
      <c r="O132" s="24" t="n"/>
      <c r="P132" s="9" t="n"/>
      <c r="Q132" s="18">
        <f>IF($A132="","",IFERROR($D132/1000*INDEX(Profile!$K$5:$K$304,MATCH($B132,lst_Profil,0))*INDEX(Werkstoffe!$E$5:$E$304,MATCH($C132,lst_Werkstoff,0))/1000,""))</f>
        <v/>
      </c>
      <c r="R132" s="18">
        <f>IF($A132="","",IF(N(_xlfn.MAXIFS(Auftrag!$AP$13:$AP$512,Auftrag!$D$13:$D$512,$B132,Auftrag!$E$13:$E$512,$C132,Auftrag!$Q$13:$Q$512,$D132))&gt;0,_xlfn.MAXIFS(Auftrag!$AP$13:$AP$512,Auftrag!$D$13:$D$512,$B132,Auftrag!$E$13:$E$512,$C132,Auftrag!$Q$13:$Q$512,$D132)*$D132/1000,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9" t="n"/>
      <c r="E133" s="24" t="n"/>
      <c r="F133" s="24" t="n"/>
      <c r="G133" s="12">
        <f>IF($A133="","",COUNTIFS(Stangenbelegung!$A$5:$A$10004,$A133))</f>
        <v/>
      </c>
      <c r="H133" s="35">
        <f>IF($A133="","",SUMIFS(Stangenbelegung!$F$5:$F$10004,Stangenbelegung!$A$5:$A$10004,$A133))</f>
        <v/>
      </c>
      <c r="I133" s="23" t="n"/>
      <c r="J133" s="35">
        <f>IF($A133="","",$E133+H133+$I133)</f>
        <v/>
      </c>
      <c r="K133" s="35">
        <f>IF($A133="","",$D133-J133)</f>
        <v/>
      </c>
      <c r="L133" s="32">
        <f>IF($A133="","",H133/$D133)</f>
        <v/>
      </c>
      <c r="M133" s="28">
        <f>IF($A133="","",IF(OR(J133+$F133&gt;$D133+0.001,_xlfn.MAXIFS(Stangenbelegung!$H$5:$H$10004,Stangenbelegung!$A$5:$A$10004,$A133)&gt;$D133-$F133+0.001),"ÜBERBELEGT","OK"))</f>
        <v/>
      </c>
      <c r="N133" s="24" t="n"/>
      <c r="O133" s="24" t="n"/>
      <c r="P133" s="9" t="n"/>
      <c r="Q133" s="18">
        <f>IF($A133="","",IFERROR($D133/1000*INDEX(Profile!$K$5:$K$304,MATCH($B133,lst_Profil,0))*INDEX(Werkstoffe!$E$5:$E$304,MATCH($C133,lst_Werkstoff,0))/1000,""))</f>
        <v/>
      </c>
      <c r="R133" s="18">
        <f>IF($A133="","",IF(N(_xlfn.MAXIFS(Auftrag!$AP$13:$AP$512,Auftrag!$D$13:$D$512,$B133,Auftrag!$E$13:$E$512,$C133,Auftrag!$Q$13:$Q$512,$D133))&gt;0,_xlfn.MAXIFS(Auftrag!$AP$13:$AP$512,Auftrag!$D$13:$D$512,$B133,Auftrag!$E$13:$E$512,$C133,Auftrag!$Q$13:$Q$512,$D133)*$D133/1000,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9" t="n"/>
      <c r="E134" s="24" t="n"/>
      <c r="F134" s="24" t="n"/>
      <c r="G134" s="12">
        <f>IF($A134="","",COUNTIFS(Stangenbelegung!$A$5:$A$10004,$A134))</f>
        <v/>
      </c>
      <c r="H134" s="35">
        <f>IF($A134="","",SUMIFS(Stangenbelegung!$F$5:$F$10004,Stangenbelegung!$A$5:$A$10004,$A134))</f>
        <v/>
      </c>
      <c r="I134" s="23" t="n"/>
      <c r="J134" s="35">
        <f>IF($A134="","",$E134+H134+$I134)</f>
        <v/>
      </c>
      <c r="K134" s="35">
        <f>IF($A134="","",$D134-J134)</f>
        <v/>
      </c>
      <c r="L134" s="32">
        <f>IF($A134="","",H134/$D134)</f>
        <v/>
      </c>
      <c r="M134" s="28">
        <f>IF($A134="","",IF(OR(J134+$F134&gt;$D134+0.001,_xlfn.MAXIFS(Stangenbelegung!$H$5:$H$10004,Stangenbelegung!$A$5:$A$10004,$A134)&gt;$D134-$F134+0.001),"ÜBERBELEGT","OK"))</f>
        <v/>
      </c>
      <c r="N134" s="24" t="n"/>
      <c r="O134" s="24" t="n"/>
      <c r="P134" s="9" t="n"/>
      <c r="Q134" s="18">
        <f>IF($A134="","",IFERROR($D134/1000*INDEX(Profile!$K$5:$K$304,MATCH($B134,lst_Profil,0))*INDEX(Werkstoffe!$E$5:$E$304,MATCH($C134,lst_Werkstoff,0))/1000,""))</f>
        <v/>
      </c>
      <c r="R134" s="18">
        <f>IF($A134="","",IF(N(_xlfn.MAXIFS(Auftrag!$AP$13:$AP$512,Auftrag!$D$13:$D$512,$B134,Auftrag!$E$13:$E$512,$C134,Auftrag!$Q$13:$Q$512,$D134))&gt;0,_xlfn.MAXIFS(Auftrag!$AP$13:$AP$512,Auftrag!$D$13:$D$512,$B134,Auftrag!$E$13:$E$512,$C134,Auftrag!$Q$13:$Q$512,$D134)*$D134/1000,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9" t="n"/>
      <c r="E135" s="24" t="n"/>
      <c r="F135" s="24" t="n"/>
      <c r="G135" s="12">
        <f>IF($A135="","",COUNTIFS(Stangenbelegung!$A$5:$A$10004,$A135))</f>
        <v/>
      </c>
      <c r="H135" s="35">
        <f>IF($A135="","",SUMIFS(Stangenbelegung!$F$5:$F$10004,Stangenbelegung!$A$5:$A$10004,$A135))</f>
        <v/>
      </c>
      <c r="I135" s="23" t="n"/>
      <c r="J135" s="35">
        <f>IF($A135="","",$E135+H135+$I135)</f>
        <v/>
      </c>
      <c r="K135" s="35">
        <f>IF($A135="","",$D135-J135)</f>
        <v/>
      </c>
      <c r="L135" s="32">
        <f>IF($A135="","",H135/$D135)</f>
        <v/>
      </c>
      <c r="M135" s="28">
        <f>IF($A135="","",IF(OR(J135+$F135&gt;$D135+0.001,_xlfn.MAXIFS(Stangenbelegung!$H$5:$H$10004,Stangenbelegung!$A$5:$A$10004,$A135)&gt;$D135-$F135+0.001),"ÜBERBELEGT","OK"))</f>
        <v/>
      </c>
      <c r="N135" s="24" t="n"/>
      <c r="O135" s="24" t="n"/>
      <c r="P135" s="9" t="n"/>
      <c r="Q135" s="18">
        <f>IF($A135="","",IFERROR($D135/1000*INDEX(Profile!$K$5:$K$304,MATCH($B135,lst_Profil,0))*INDEX(Werkstoffe!$E$5:$E$304,MATCH($C135,lst_Werkstoff,0))/1000,""))</f>
        <v/>
      </c>
      <c r="R135" s="18">
        <f>IF($A135="","",IF(N(_xlfn.MAXIFS(Auftrag!$AP$13:$AP$512,Auftrag!$D$13:$D$512,$B135,Auftrag!$E$13:$E$512,$C135,Auftrag!$Q$13:$Q$512,$D135))&gt;0,_xlfn.MAXIFS(Auftrag!$AP$13:$AP$512,Auftrag!$D$13:$D$512,$B135,Auftrag!$E$13:$E$512,$C135,Auftrag!$Q$13:$Q$512,$D135)*$D135/1000,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9" t="n"/>
      <c r="E136" s="24" t="n"/>
      <c r="F136" s="24" t="n"/>
      <c r="G136" s="12">
        <f>IF($A136="","",COUNTIFS(Stangenbelegung!$A$5:$A$10004,$A136))</f>
        <v/>
      </c>
      <c r="H136" s="35">
        <f>IF($A136="","",SUMIFS(Stangenbelegung!$F$5:$F$10004,Stangenbelegung!$A$5:$A$10004,$A136))</f>
        <v/>
      </c>
      <c r="I136" s="23" t="n"/>
      <c r="J136" s="35">
        <f>IF($A136="","",$E136+H136+$I136)</f>
        <v/>
      </c>
      <c r="K136" s="35">
        <f>IF($A136="","",$D136-J136)</f>
        <v/>
      </c>
      <c r="L136" s="32">
        <f>IF($A136="","",H136/$D136)</f>
        <v/>
      </c>
      <c r="M136" s="28">
        <f>IF($A136="","",IF(OR(J136+$F136&gt;$D136+0.001,_xlfn.MAXIFS(Stangenbelegung!$H$5:$H$10004,Stangenbelegung!$A$5:$A$10004,$A136)&gt;$D136-$F136+0.001),"ÜBERBELEGT","OK"))</f>
        <v/>
      </c>
      <c r="N136" s="24" t="n"/>
      <c r="O136" s="24" t="n"/>
      <c r="P136" s="9" t="n"/>
      <c r="Q136" s="18">
        <f>IF($A136="","",IFERROR($D136/1000*INDEX(Profile!$K$5:$K$304,MATCH($B136,lst_Profil,0))*INDEX(Werkstoffe!$E$5:$E$304,MATCH($C136,lst_Werkstoff,0))/1000,""))</f>
        <v/>
      </c>
      <c r="R136" s="18">
        <f>IF($A136="","",IF(N(_xlfn.MAXIFS(Auftrag!$AP$13:$AP$512,Auftrag!$D$13:$D$512,$B136,Auftrag!$E$13:$E$512,$C136,Auftrag!$Q$13:$Q$512,$D136))&gt;0,_xlfn.MAXIFS(Auftrag!$AP$13:$AP$512,Auftrag!$D$13:$D$512,$B136,Auftrag!$E$13:$E$512,$C136,Auftrag!$Q$13:$Q$512,$D136)*$D136/1000,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9" t="n"/>
      <c r="E137" s="24" t="n"/>
      <c r="F137" s="24" t="n"/>
      <c r="G137" s="12">
        <f>IF($A137="","",COUNTIFS(Stangenbelegung!$A$5:$A$10004,$A137))</f>
        <v/>
      </c>
      <c r="H137" s="35">
        <f>IF($A137="","",SUMIFS(Stangenbelegung!$F$5:$F$10004,Stangenbelegung!$A$5:$A$10004,$A137))</f>
        <v/>
      </c>
      <c r="I137" s="23" t="n"/>
      <c r="J137" s="35">
        <f>IF($A137="","",$E137+H137+$I137)</f>
        <v/>
      </c>
      <c r="K137" s="35">
        <f>IF($A137="","",$D137-J137)</f>
        <v/>
      </c>
      <c r="L137" s="32">
        <f>IF($A137="","",H137/$D137)</f>
        <v/>
      </c>
      <c r="M137" s="28">
        <f>IF($A137="","",IF(OR(J137+$F137&gt;$D137+0.001,_xlfn.MAXIFS(Stangenbelegung!$H$5:$H$10004,Stangenbelegung!$A$5:$A$10004,$A137)&gt;$D137-$F137+0.001),"ÜBERBELEGT","OK"))</f>
        <v/>
      </c>
      <c r="N137" s="24" t="n"/>
      <c r="O137" s="24" t="n"/>
      <c r="P137" s="9" t="n"/>
      <c r="Q137" s="18">
        <f>IF($A137="","",IFERROR($D137/1000*INDEX(Profile!$K$5:$K$304,MATCH($B137,lst_Profil,0))*INDEX(Werkstoffe!$E$5:$E$304,MATCH($C137,lst_Werkstoff,0))/1000,""))</f>
        <v/>
      </c>
      <c r="R137" s="18">
        <f>IF($A137="","",IF(N(_xlfn.MAXIFS(Auftrag!$AP$13:$AP$512,Auftrag!$D$13:$D$512,$B137,Auftrag!$E$13:$E$512,$C137,Auftrag!$Q$13:$Q$512,$D137))&gt;0,_xlfn.MAXIFS(Auftrag!$AP$13:$AP$512,Auftrag!$D$13:$D$512,$B137,Auftrag!$E$13:$E$512,$C137,Auftrag!$Q$13:$Q$512,$D137)*$D137/1000,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9" t="n"/>
      <c r="E138" s="24" t="n"/>
      <c r="F138" s="24" t="n"/>
      <c r="G138" s="12">
        <f>IF($A138="","",COUNTIFS(Stangenbelegung!$A$5:$A$10004,$A138))</f>
        <v/>
      </c>
      <c r="H138" s="35">
        <f>IF($A138="","",SUMIFS(Stangenbelegung!$F$5:$F$10004,Stangenbelegung!$A$5:$A$10004,$A138))</f>
        <v/>
      </c>
      <c r="I138" s="23" t="n"/>
      <c r="J138" s="35">
        <f>IF($A138="","",$E138+H138+$I138)</f>
        <v/>
      </c>
      <c r="K138" s="35">
        <f>IF($A138="","",$D138-J138)</f>
        <v/>
      </c>
      <c r="L138" s="32">
        <f>IF($A138="","",H138/$D138)</f>
        <v/>
      </c>
      <c r="M138" s="28">
        <f>IF($A138="","",IF(OR(J138+$F138&gt;$D138+0.001,_xlfn.MAXIFS(Stangenbelegung!$H$5:$H$10004,Stangenbelegung!$A$5:$A$10004,$A138)&gt;$D138-$F138+0.001),"ÜBERBELEGT","OK"))</f>
        <v/>
      </c>
      <c r="N138" s="24" t="n"/>
      <c r="O138" s="24" t="n"/>
      <c r="P138" s="9" t="n"/>
      <c r="Q138" s="18">
        <f>IF($A138="","",IFERROR($D138/1000*INDEX(Profile!$K$5:$K$304,MATCH($B138,lst_Profil,0))*INDEX(Werkstoffe!$E$5:$E$304,MATCH($C138,lst_Werkstoff,0))/1000,""))</f>
        <v/>
      </c>
      <c r="R138" s="18">
        <f>IF($A138="","",IF(N(_xlfn.MAXIFS(Auftrag!$AP$13:$AP$512,Auftrag!$D$13:$D$512,$B138,Auftrag!$E$13:$E$512,$C138,Auftrag!$Q$13:$Q$512,$D138))&gt;0,_xlfn.MAXIFS(Auftrag!$AP$13:$AP$512,Auftrag!$D$13:$D$512,$B138,Auftrag!$E$13:$E$512,$C138,Auftrag!$Q$13:$Q$512,$D138)*$D138/1000,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9" t="n"/>
      <c r="E139" s="24" t="n"/>
      <c r="F139" s="24" t="n"/>
      <c r="G139" s="12">
        <f>IF($A139="","",COUNTIFS(Stangenbelegung!$A$5:$A$10004,$A139))</f>
        <v/>
      </c>
      <c r="H139" s="35">
        <f>IF($A139="","",SUMIFS(Stangenbelegung!$F$5:$F$10004,Stangenbelegung!$A$5:$A$10004,$A139))</f>
        <v/>
      </c>
      <c r="I139" s="23" t="n"/>
      <c r="J139" s="35">
        <f>IF($A139="","",$E139+H139+$I139)</f>
        <v/>
      </c>
      <c r="K139" s="35">
        <f>IF($A139="","",$D139-J139)</f>
        <v/>
      </c>
      <c r="L139" s="32">
        <f>IF($A139="","",H139/$D139)</f>
        <v/>
      </c>
      <c r="M139" s="28">
        <f>IF($A139="","",IF(OR(J139+$F139&gt;$D139+0.001,_xlfn.MAXIFS(Stangenbelegung!$H$5:$H$10004,Stangenbelegung!$A$5:$A$10004,$A139)&gt;$D139-$F139+0.001),"ÜBERBELEGT","OK"))</f>
        <v/>
      </c>
      <c r="N139" s="24" t="n"/>
      <c r="O139" s="24" t="n"/>
      <c r="P139" s="9" t="n"/>
      <c r="Q139" s="18">
        <f>IF($A139="","",IFERROR($D139/1000*INDEX(Profile!$K$5:$K$304,MATCH($B139,lst_Profil,0))*INDEX(Werkstoffe!$E$5:$E$304,MATCH($C139,lst_Werkstoff,0))/1000,""))</f>
        <v/>
      </c>
      <c r="R139" s="18">
        <f>IF($A139="","",IF(N(_xlfn.MAXIFS(Auftrag!$AP$13:$AP$512,Auftrag!$D$13:$D$512,$B139,Auftrag!$E$13:$E$512,$C139,Auftrag!$Q$13:$Q$512,$D139))&gt;0,_xlfn.MAXIFS(Auftrag!$AP$13:$AP$512,Auftrag!$D$13:$D$512,$B139,Auftrag!$E$13:$E$512,$C139,Auftrag!$Q$13:$Q$512,$D139)*$D139/1000,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9" t="n"/>
      <c r="E140" s="24" t="n"/>
      <c r="F140" s="24" t="n"/>
      <c r="G140" s="12">
        <f>IF($A140="","",COUNTIFS(Stangenbelegung!$A$5:$A$10004,$A140))</f>
        <v/>
      </c>
      <c r="H140" s="35">
        <f>IF($A140="","",SUMIFS(Stangenbelegung!$F$5:$F$10004,Stangenbelegung!$A$5:$A$10004,$A140))</f>
        <v/>
      </c>
      <c r="I140" s="23" t="n"/>
      <c r="J140" s="35">
        <f>IF($A140="","",$E140+H140+$I140)</f>
        <v/>
      </c>
      <c r="K140" s="35">
        <f>IF($A140="","",$D140-J140)</f>
        <v/>
      </c>
      <c r="L140" s="32">
        <f>IF($A140="","",H140/$D140)</f>
        <v/>
      </c>
      <c r="M140" s="28">
        <f>IF($A140="","",IF(OR(J140+$F140&gt;$D140+0.001,_xlfn.MAXIFS(Stangenbelegung!$H$5:$H$10004,Stangenbelegung!$A$5:$A$10004,$A140)&gt;$D140-$F140+0.001),"ÜBERBELEGT","OK"))</f>
        <v/>
      </c>
      <c r="N140" s="24" t="n"/>
      <c r="O140" s="24" t="n"/>
      <c r="P140" s="9" t="n"/>
      <c r="Q140" s="18">
        <f>IF($A140="","",IFERROR($D140/1000*INDEX(Profile!$K$5:$K$304,MATCH($B140,lst_Profil,0))*INDEX(Werkstoffe!$E$5:$E$304,MATCH($C140,lst_Werkstoff,0))/1000,""))</f>
        <v/>
      </c>
      <c r="R140" s="18">
        <f>IF($A140="","",IF(N(_xlfn.MAXIFS(Auftrag!$AP$13:$AP$512,Auftrag!$D$13:$D$512,$B140,Auftrag!$E$13:$E$512,$C140,Auftrag!$Q$13:$Q$512,$D140))&gt;0,_xlfn.MAXIFS(Auftrag!$AP$13:$AP$512,Auftrag!$D$13:$D$512,$B140,Auftrag!$E$13:$E$512,$C140,Auftrag!$Q$13:$Q$512,$D140)*$D140/1000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9" t="n"/>
      <c r="E141" s="24" t="n"/>
      <c r="F141" s="24" t="n"/>
      <c r="G141" s="12">
        <f>IF($A141="","",COUNTIFS(Stangenbelegung!$A$5:$A$10004,$A141))</f>
        <v/>
      </c>
      <c r="H141" s="35">
        <f>IF($A141="","",SUMIFS(Stangenbelegung!$F$5:$F$10004,Stangenbelegung!$A$5:$A$10004,$A141))</f>
        <v/>
      </c>
      <c r="I141" s="23" t="n"/>
      <c r="J141" s="35">
        <f>IF($A141="","",$E141+H141+$I141)</f>
        <v/>
      </c>
      <c r="K141" s="35">
        <f>IF($A141="","",$D141-J141)</f>
        <v/>
      </c>
      <c r="L141" s="32">
        <f>IF($A141="","",H141/$D141)</f>
        <v/>
      </c>
      <c r="M141" s="28">
        <f>IF($A141="","",IF(OR(J141+$F141&gt;$D141+0.001,_xlfn.MAXIFS(Stangenbelegung!$H$5:$H$10004,Stangenbelegung!$A$5:$A$10004,$A141)&gt;$D141-$F141+0.001),"ÜBERBELEGT","OK"))</f>
        <v/>
      </c>
      <c r="N141" s="24" t="n"/>
      <c r="O141" s="24" t="n"/>
      <c r="P141" s="9" t="n"/>
      <c r="Q141" s="18">
        <f>IF($A141="","",IFERROR($D141/1000*INDEX(Profile!$K$5:$K$304,MATCH($B141,lst_Profil,0))*INDEX(Werkstoffe!$E$5:$E$304,MATCH($C141,lst_Werkstoff,0))/1000,""))</f>
        <v/>
      </c>
      <c r="R141" s="18">
        <f>IF($A141="","",IF(N(_xlfn.MAXIFS(Auftrag!$AP$13:$AP$512,Auftrag!$D$13:$D$512,$B141,Auftrag!$E$13:$E$512,$C141,Auftrag!$Q$13:$Q$512,$D141))&gt;0,_xlfn.MAXIFS(Auftrag!$AP$13:$AP$512,Auftrag!$D$13:$D$512,$B141,Auftrag!$E$13:$E$512,$C141,Auftrag!$Q$13:$Q$512,$D141)*$D141/1000,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9" t="n"/>
      <c r="E142" s="24" t="n"/>
      <c r="F142" s="24" t="n"/>
      <c r="G142" s="12">
        <f>IF($A142="","",COUNTIFS(Stangenbelegung!$A$5:$A$10004,$A142))</f>
        <v/>
      </c>
      <c r="H142" s="35">
        <f>IF($A142="","",SUMIFS(Stangenbelegung!$F$5:$F$10004,Stangenbelegung!$A$5:$A$10004,$A142))</f>
        <v/>
      </c>
      <c r="I142" s="23" t="n"/>
      <c r="J142" s="35">
        <f>IF($A142="","",$E142+H142+$I142)</f>
        <v/>
      </c>
      <c r="K142" s="35">
        <f>IF($A142="","",$D142-J142)</f>
        <v/>
      </c>
      <c r="L142" s="32">
        <f>IF($A142="","",H142/$D142)</f>
        <v/>
      </c>
      <c r="M142" s="28">
        <f>IF($A142="","",IF(OR(J142+$F142&gt;$D142+0.001,_xlfn.MAXIFS(Stangenbelegung!$H$5:$H$10004,Stangenbelegung!$A$5:$A$10004,$A142)&gt;$D142-$F142+0.001),"ÜBERBELEGT","OK"))</f>
        <v/>
      </c>
      <c r="N142" s="24" t="n"/>
      <c r="O142" s="24" t="n"/>
      <c r="P142" s="9" t="n"/>
      <c r="Q142" s="18">
        <f>IF($A142="","",IFERROR($D142/1000*INDEX(Profile!$K$5:$K$304,MATCH($B142,lst_Profil,0))*INDEX(Werkstoffe!$E$5:$E$304,MATCH($C142,lst_Werkstoff,0))/1000,""))</f>
        <v/>
      </c>
      <c r="R142" s="18">
        <f>IF($A142="","",IF(N(_xlfn.MAXIFS(Auftrag!$AP$13:$AP$512,Auftrag!$D$13:$D$512,$B142,Auftrag!$E$13:$E$512,$C142,Auftrag!$Q$13:$Q$512,$D142))&gt;0,_xlfn.MAXIFS(Auftrag!$AP$13:$AP$512,Auftrag!$D$13:$D$512,$B142,Auftrag!$E$13:$E$512,$C142,Auftrag!$Q$13:$Q$512,$D142)*$D142/1000,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9" t="n"/>
      <c r="E143" s="24" t="n"/>
      <c r="F143" s="24" t="n"/>
      <c r="G143" s="12">
        <f>IF($A143="","",COUNTIFS(Stangenbelegung!$A$5:$A$10004,$A143))</f>
        <v/>
      </c>
      <c r="H143" s="35">
        <f>IF($A143="","",SUMIFS(Stangenbelegung!$F$5:$F$10004,Stangenbelegung!$A$5:$A$10004,$A143))</f>
        <v/>
      </c>
      <c r="I143" s="23" t="n"/>
      <c r="J143" s="35">
        <f>IF($A143="","",$E143+H143+$I143)</f>
        <v/>
      </c>
      <c r="K143" s="35">
        <f>IF($A143="","",$D143-J143)</f>
        <v/>
      </c>
      <c r="L143" s="32">
        <f>IF($A143="","",H143/$D143)</f>
        <v/>
      </c>
      <c r="M143" s="28">
        <f>IF($A143="","",IF(OR(J143+$F143&gt;$D143+0.001,_xlfn.MAXIFS(Stangenbelegung!$H$5:$H$10004,Stangenbelegung!$A$5:$A$10004,$A143)&gt;$D143-$F143+0.001),"ÜBERBELEGT","OK"))</f>
        <v/>
      </c>
      <c r="N143" s="24" t="n"/>
      <c r="O143" s="24" t="n"/>
      <c r="P143" s="9" t="n"/>
      <c r="Q143" s="18">
        <f>IF($A143="","",IFERROR($D143/1000*INDEX(Profile!$K$5:$K$304,MATCH($B143,lst_Profil,0))*INDEX(Werkstoffe!$E$5:$E$304,MATCH($C143,lst_Werkstoff,0))/1000,""))</f>
        <v/>
      </c>
      <c r="R143" s="18">
        <f>IF($A143="","",IF(N(_xlfn.MAXIFS(Auftrag!$AP$13:$AP$512,Auftrag!$D$13:$D$512,$B143,Auftrag!$E$13:$E$512,$C143,Auftrag!$Q$13:$Q$512,$D143))&gt;0,_xlfn.MAXIFS(Auftrag!$AP$13:$AP$512,Auftrag!$D$13:$D$512,$B143,Auftrag!$E$13:$E$512,$C143,Auftrag!$Q$13:$Q$512,$D143)*$D143/1000,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9" t="n"/>
      <c r="E144" s="24" t="n"/>
      <c r="F144" s="24" t="n"/>
      <c r="G144" s="12">
        <f>IF($A144="","",COUNTIFS(Stangenbelegung!$A$5:$A$10004,$A144))</f>
        <v/>
      </c>
      <c r="H144" s="35">
        <f>IF($A144="","",SUMIFS(Stangenbelegung!$F$5:$F$10004,Stangenbelegung!$A$5:$A$10004,$A144))</f>
        <v/>
      </c>
      <c r="I144" s="23" t="n"/>
      <c r="J144" s="35">
        <f>IF($A144="","",$E144+H144+$I144)</f>
        <v/>
      </c>
      <c r="K144" s="35">
        <f>IF($A144="","",$D144-J144)</f>
        <v/>
      </c>
      <c r="L144" s="32">
        <f>IF($A144="","",H144/$D144)</f>
        <v/>
      </c>
      <c r="M144" s="28">
        <f>IF($A144="","",IF(OR(J144+$F144&gt;$D144+0.001,_xlfn.MAXIFS(Stangenbelegung!$H$5:$H$10004,Stangenbelegung!$A$5:$A$10004,$A144)&gt;$D144-$F144+0.001),"ÜBERBELEGT","OK"))</f>
        <v/>
      </c>
      <c r="N144" s="24" t="n"/>
      <c r="O144" s="24" t="n"/>
      <c r="P144" s="9" t="n"/>
      <c r="Q144" s="18">
        <f>IF($A144="","",IFERROR($D144/1000*INDEX(Profile!$K$5:$K$304,MATCH($B144,lst_Profil,0))*INDEX(Werkstoffe!$E$5:$E$304,MATCH($C144,lst_Werkstoff,0))/1000,""))</f>
        <v/>
      </c>
      <c r="R144" s="18">
        <f>IF($A144="","",IF(N(_xlfn.MAXIFS(Auftrag!$AP$13:$AP$512,Auftrag!$D$13:$D$512,$B144,Auftrag!$E$13:$E$512,$C144,Auftrag!$Q$13:$Q$512,$D144))&gt;0,_xlfn.MAXIFS(Auftrag!$AP$13:$AP$512,Auftrag!$D$13:$D$512,$B144,Auftrag!$E$13:$E$512,$C144,Auftrag!$Q$13:$Q$512,$D144)*$D144/1000,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9" t="n"/>
      <c r="E145" s="24" t="n"/>
      <c r="F145" s="24" t="n"/>
      <c r="G145" s="12">
        <f>IF($A145="","",COUNTIFS(Stangenbelegung!$A$5:$A$10004,$A145))</f>
        <v/>
      </c>
      <c r="H145" s="35">
        <f>IF($A145="","",SUMIFS(Stangenbelegung!$F$5:$F$10004,Stangenbelegung!$A$5:$A$10004,$A145))</f>
        <v/>
      </c>
      <c r="I145" s="23" t="n"/>
      <c r="J145" s="35">
        <f>IF($A145="","",$E145+H145+$I145)</f>
        <v/>
      </c>
      <c r="K145" s="35">
        <f>IF($A145="","",$D145-J145)</f>
        <v/>
      </c>
      <c r="L145" s="32">
        <f>IF($A145="","",H145/$D145)</f>
        <v/>
      </c>
      <c r="M145" s="28">
        <f>IF($A145="","",IF(OR(J145+$F145&gt;$D145+0.001,_xlfn.MAXIFS(Stangenbelegung!$H$5:$H$10004,Stangenbelegung!$A$5:$A$10004,$A145)&gt;$D145-$F145+0.001),"ÜBERBELEGT","OK"))</f>
        <v/>
      </c>
      <c r="N145" s="24" t="n"/>
      <c r="O145" s="24" t="n"/>
      <c r="P145" s="9" t="n"/>
      <c r="Q145" s="18">
        <f>IF($A145="","",IFERROR($D145/1000*INDEX(Profile!$K$5:$K$304,MATCH($B145,lst_Profil,0))*INDEX(Werkstoffe!$E$5:$E$304,MATCH($C145,lst_Werkstoff,0))/1000,""))</f>
        <v/>
      </c>
      <c r="R145" s="18">
        <f>IF($A145="","",IF(N(_xlfn.MAXIFS(Auftrag!$AP$13:$AP$512,Auftrag!$D$13:$D$512,$B145,Auftrag!$E$13:$E$512,$C145,Auftrag!$Q$13:$Q$512,$D145))&gt;0,_xlfn.MAXIFS(Auftrag!$AP$13:$AP$512,Auftrag!$D$13:$D$512,$B145,Auftrag!$E$13:$E$512,$C145,Auftrag!$Q$13:$Q$512,$D145)*$D145/1000,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9" t="n"/>
      <c r="E146" s="24" t="n"/>
      <c r="F146" s="24" t="n"/>
      <c r="G146" s="12">
        <f>IF($A146="","",COUNTIFS(Stangenbelegung!$A$5:$A$10004,$A146))</f>
        <v/>
      </c>
      <c r="H146" s="35">
        <f>IF($A146="","",SUMIFS(Stangenbelegung!$F$5:$F$10004,Stangenbelegung!$A$5:$A$10004,$A146))</f>
        <v/>
      </c>
      <c r="I146" s="23" t="n"/>
      <c r="J146" s="35">
        <f>IF($A146="","",$E146+H146+$I146)</f>
        <v/>
      </c>
      <c r="K146" s="35">
        <f>IF($A146="","",$D146-J146)</f>
        <v/>
      </c>
      <c r="L146" s="32">
        <f>IF($A146="","",H146/$D146)</f>
        <v/>
      </c>
      <c r="M146" s="28">
        <f>IF($A146="","",IF(OR(J146+$F146&gt;$D146+0.001,_xlfn.MAXIFS(Stangenbelegung!$H$5:$H$10004,Stangenbelegung!$A$5:$A$10004,$A146)&gt;$D146-$F146+0.001),"ÜBERBELEGT","OK"))</f>
        <v/>
      </c>
      <c r="N146" s="24" t="n"/>
      <c r="O146" s="24" t="n"/>
      <c r="P146" s="9" t="n"/>
      <c r="Q146" s="18">
        <f>IF($A146="","",IFERROR($D146/1000*INDEX(Profile!$K$5:$K$304,MATCH($B146,lst_Profil,0))*INDEX(Werkstoffe!$E$5:$E$304,MATCH($C146,lst_Werkstoff,0))/1000,""))</f>
        <v/>
      </c>
      <c r="R146" s="18">
        <f>IF($A146="","",IF(N(_xlfn.MAXIFS(Auftrag!$AP$13:$AP$512,Auftrag!$D$13:$D$512,$B146,Auftrag!$E$13:$E$512,$C146,Auftrag!$Q$13:$Q$512,$D146))&gt;0,_xlfn.MAXIFS(Auftrag!$AP$13:$AP$512,Auftrag!$D$13:$D$512,$B146,Auftrag!$E$13:$E$512,$C146,Auftrag!$Q$13:$Q$512,$D146)*$D146/1000,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9" t="n"/>
      <c r="E147" s="24" t="n"/>
      <c r="F147" s="24" t="n"/>
      <c r="G147" s="12">
        <f>IF($A147="","",COUNTIFS(Stangenbelegung!$A$5:$A$10004,$A147))</f>
        <v/>
      </c>
      <c r="H147" s="35">
        <f>IF($A147="","",SUMIFS(Stangenbelegung!$F$5:$F$10004,Stangenbelegung!$A$5:$A$10004,$A147))</f>
        <v/>
      </c>
      <c r="I147" s="23" t="n"/>
      <c r="J147" s="35">
        <f>IF($A147="","",$E147+H147+$I147)</f>
        <v/>
      </c>
      <c r="K147" s="35">
        <f>IF($A147="","",$D147-J147)</f>
        <v/>
      </c>
      <c r="L147" s="32">
        <f>IF($A147="","",H147/$D147)</f>
        <v/>
      </c>
      <c r="M147" s="28">
        <f>IF($A147="","",IF(OR(J147+$F147&gt;$D147+0.001,_xlfn.MAXIFS(Stangenbelegung!$H$5:$H$10004,Stangenbelegung!$A$5:$A$10004,$A147)&gt;$D147-$F147+0.001),"ÜBERBELEGT","OK"))</f>
        <v/>
      </c>
      <c r="N147" s="24" t="n"/>
      <c r="O147" s="24" t="n"/>
      <c r="P147" s="9" t="n"/>
      <c r="Q147" s="18">
        <f>IF($A147="","",IFERROR($D147/1000*INDEX(Profile!$K$5:$K$304,MATCH($B147,lst_Profil,0))*INDEX(Werkstoffe!$E$5:$E$304,MATCH($C147,lst_Werkstoff,0))/1000,""))</f>
        <v/>
      </c>
      <c r="R147" s="18">
        <f>IF($A147="","",IF(N(_xlfn.MAXIFS(Auftrag!$AP$13:$AP$512,Auftrag!$D$13:$D$512,$B147,Auftrag!$E$13:$E$512,$C147,Auftrag!$Q$13:$Q$512,$D147))&gt;0,_xlfn.MAXIFS(Auftrag!$AP$13:$AP$512,Auftrag!$D$13:$D$512,$B147,Auftrag!$E$13:$E$512,$C147,Auftrag!$Q$13:$Q$512,$D147)*$D147/1000,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9" t="n"/>
      <c r="E148" s="24" t="n"/>
      <c r="F148" s="24" t="n"/>
      <c r="G148" s="12">
        <f>IF($A148="","",COUNTIFS(Stangenbelegung!$A$5:$A$10004,$A148))</f>
        <v/>
      </c>
      <c r="H148" s="35">
        <f>IF($A148="","",SUMIFS(Stangenbelegung!$F$5:$F$10004,Stangenbelegung!$A$5:$A$10004,$A148))</f>
        <v/>
      </c>
      <c r="I148" s="23" t="n"/>
      <c r="J148" s="35">
        <f>IF($A148="","",$E148+H148+$I148)</f>
        <v/>
      </c>
      <c r="K148" s="35">
        <f>IF($A148="","",$D148-J148)</f>
        <v/>
      </c>
      <c r="L148" s="32">
        <f>IF($A148="","",H148/$D148)</f>
        <v/>
      </c>
      <c r="M148" s="28">
        <f>IF($A148="","",IF(OR(J148+$F148&gt;$D148+0.001,_xlfn.MAXIFS(Stangenbelegung!$H$5:$H$10004,Stangenbelegung!$A$5:$A$10004,$A148)&gt;$D148-$F148+0.001),"ÜBERBELEGT","OK"))</f>
        <v/>
      </c>
      <c r="N148" s="24" t="n"/>
      <c r="O148" s="24" t="n"/>
      <c r="P148" s="9" t="n"/>
      <c r="Q148" s="18">
        <f>IF($A148="","",IFERROR($D148/1000*INDEX(Profile!$K$5:$K$304,MATCH($B148,lst_Profil,0))*INDEX(Werkstoffe!$E$5:$E$304,MATCH($C148,lst_Werkstoff,0))/1000,""))</f>
        <v/>
      </c>
      <c r="R148" s="18">
        <f>IF($A148="","",IF(N(_xlfn.MAXIFS(Auftrag!$AP$13:$AP$512,Auftrag!$D$13:$D$512,$B148,Auftrag!$E$13:$E$512,$C148,Auftrag!$Q$13:$Q$512,$D148))&gt;0,_xlfn.MAXIFS(Auftrag!$AP$13:$AP$512,Auftrag!$D$13:$D$512,$B148,Auftrag!$E$13:$E$512,$C148,Auftrag!$Q$13:$Q$512,$D148)*$D148/1000,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9" t="n"/>
      <c r="E149" s="24" t="n"/>
      <c r="F149" s="24" t="n"/>
      <c r="G149" s="12">
        <f>IF($A149="","",COUNTIFS(Stangenbelegung!$A$5:$A$10004,$A149))</f>
        <v/>
      </c>
      <c r="H149" s="35">
        <f>IF($A149="","",SUMIFS(Stangenbelegung!$F$5:$F$10004,Stangenbelegung!$A$5:$A$10004,$A149))</f>
        <v/>
      </c>
      <c r="I149" s="23" t="n"/>
      <c r="J149" s="35">
        <f>IF($A149="","",$E149+H149+$I149)</f>
        <v/>
      </c>
      <c r="K149" s="35">
        <f>IF($A149="","",$D149-J149)</f>
        <v/>
      </c>
      <c r="L149" s="32">
        <f>IF($A149="","",H149/$D149)</f>
        <v/>
      </c>
      <c r="M149" s="28">
        <f>IF($A149="","",IF(OR(J149+$F149&gt;$D149+0.001,_xlfn.MAXIFS(Stangenbelegung!$H$5:$H$10004,Stangenbelegung!$A$5:$A$10004,$A149)&gt;$D149-$F149+0.001),"ÜBERBELEGT","OK"))</f>
        <v/>
      </c>
      <c r="N149" s="24" t="n"/>
      <c r="O149" s="24" t="n"/>
      <c r="P149" s="9" t="n"/>
      <c r="Q149" s="18">
        <f>IF($A149="","",IFERROR($D149/1000*INDEX(Profile!$K$5:$K$304,MATCH($B149,lst_Profil,0))*INDEX(Werkstoffe!$E$5:$E$304,MATCH($C149,lst_Werkstoff,0))/1000,""))</f>
        <v/>
      </c>
      <c r="R149" s="18">
        <f>IF($A149="","",IF(N(_xlfn.MAXIFS(Auftrag!$AP$13:$AP$512,Auftrag!$D$13:$D$512,$B149,Auftrag!$E$13:$E$512,$C149,Auftrag!$Q$13:$Q$512,$D149))&gt;0,_xlfn.MAXIFS(Auftrag!$AP$13:$AP$512,Auftrag!$D$13:$D$512,$B149,Auftrag!$E$13:$E$512,$C149,Auftrag!$Q$13:$Q$512,$D149)*$D149/1000,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9" t="n"/>
      <c r="E150" s="24" t="n"/>
      <c r="F150" s="24" t="n"/>
      <c r="G150" s="12">
        <f>IF($A150="","",COUNTIFS(Stangenbelegung!$A$5:$A$10004,$A150))</f>
        <v/>
      </c>
      <c r="H150" s="35">
        <f>IF($A150="","",SUMIFS(Stangenbelegung!$F$5:$F$10004,Stangenbelegung!$A$5:$A$10004,$A150))</f>
        <v/>
      </c>
      <c r="I150" s="23" t="n"/>
      <c r="J150" s="35">
        <f>IF($A150="","",$E150+H150+$I150)</f>
        <v/>
      </c>
      <c r="K150" s="35">
        <f>IF($A150="","",$D150-J150)</f>
        <v/>
      </c>
      <c r="L150" s="32">
        <f>IF($A150="","",H150/$D150)</f>
        <v/>
      </c>
      <c r="M150" s="28">
        <f>IF($A150="","",IF(OR(J150+$F150&gt;$D150+0.001,_xlfn.MAXIFS(Stangenbelegung!$H$5:$H$10004,Stangenbelegung!$A$5:$A$10004,$A150)&gt;$D150-$F150+0.001),"ÜBERBELEGT","OK"))</f>
        <v/>
      </c>
      <c r="N150" s="24" t="n"/>
      <c r="O150" s="24" t="n"/>
      <c r="P150" s="9" t="n"/>
      <c r="Q150" s="18">
        <f>IF($A150="","",IFERROR($D150/1000*INDEX(Profile!$K$5:$K$304,MATCH($B150,lst_Profil,0))*INDEX(Werkstoffe!$E$5:$E$304,MATCH($C150,lst_Werkstoff,0))/1000,""))</f>
        <v/>
      </c>
      <c r="R150" s="18">
        <f>IF($A150="","",IF(N(_xlfn.MAXIFS(Auftrag!$AP$13:$AP$512,Auftrag!$D$13:$D$512,$B150,Auftrag!$E$13:$E$512,$C150,Auftrag!$Q$13:$Q$512,$D150))&gt;0,_xlfn.MAXIFS(Auftrag!$AP$13:$AP$512,Auftrag!$D$13:$D$512,$B150,Auftrag!$E$13:$E$512,$C150,Auftrag!$Q$13:$Q$512,$D150)*$D150/1000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9" t="n"/>
      <c r="E151" s="24" t="n"/>
      <c r="F151" s="24" t="n"/>
      <c r="G151" s="12">
        <f>IF($A151="","",COUNTIFS(Stangenbelegung!$A$5:$A$10004,$A151))</f>
        <v/>
      </c>
      <c r="H151" s="35">
        <f>IF($A151="","",SUMIFS(Stangenbelegung!$F$5:$F$10004,Stangenbelegung!$A$5:$A$10004,$A151))</f>
        <v/>
      </c>
      <c r="I151" s="23" t="n"/>
      <c r="J151" s="35">
        <f>IF($A151="","",$E151+H151+$I151)</f>
        <v/>
      </c>
      <c r="K151" s="35">
        <f>IF($A151="","",$D151-J151)</f>
        <v/>
      </c>
      <c r="L151" s="32">
        <f>IF($A151="","",H151/$D151)</f>
        <v/>
      </c>
      <c r="M151" s="28">
        <f>IF($A151="","",IF(OR(J151+$F151&gt;$D151+0.001,_xlfn.MAXIFS(Stangenbelegung!$H$5:$H$10004,Stangenbelegung!$A$5:$A$10004,$A151)&gt;$D151-$F151+0.001),"ÜBERBELEGT","OK"))</f>
        <v/>
      </c>
      <c r="N151" s="24" t="n"/>
      <c r="O151" s="24" t="n"/>
      <c r="P151" s="9" t="n"/>
      <c r="Q151" s="18">
        <f>IF($A151="","",IFERROR($D151/1000*INDEX(Profile!$K$5:$K$304,MATCH($B151,lst_Profil,0))*INDEX(Werkstoffe!$E$5:$E$304,MATCH($C151,lst_Werkstoff,0))/1000,""))</f>
        <v/>
      </c>
      <c r="R151" s="18">
        <f>IF($A151="","",IF(N(_xlfn.MAXIFS(Auftrag!$AP$13:$AP$512,Auftrag!$D$13:$D$512,$B151,Auftrag!$E$13:$E$512,$C151,Auftrag!$Q$13:$Q$512,$D151))&gt;0,_xlfn.MAXIFS(Auftrag!$AP$13:$AP$512,Auftrag!$D$13:$D$512,$B151,Auftrag!$E$13:$E$512,$C151,Auftrag!$Q$13:$Q$512,$D151)*$D151/1000,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9" t="n"/>
      <c r="E152" s="24" t="n"/>
      <c r="F152" s="24" t="n"/>
      <c r="G152" s="12">
        <f>IF($A152="","",COUNTIFS(Stangenbelegung!$A$5:$A$10004,$A152))</f>
        <v/>
      </c>
      <c r="H152" s="35">
        <f>IF($A152="","",SUMIFS(Stangenbelegung!$F$5:$F$10004,Stangenbelegung!$A$5:$A$10004,$A152))</f>
        <v/>
      </c>
      <c r="I152" s="23" t="n"/>
      <c r="J152" s="35">
        <f>IF($A152="","",$E152+H152+$I152)</f>
        <v/>
      </c>
      <c r="K152" s="35">
        <f>IF($A152="","",$D152-J152)</f>
        <v/>
      </c>
      <c r="L152" s="32">
        <f>IF($A152="","",H152/$D152)</f>
        <v/>
      </c>
      <c r="M152" s="28">
        <f>IF($A152="","",IF(OR(J152+$F152&gt;$D152+0.001,_xlfn.MAXIFS(Stangenbelegung!$H$5:$H$10004,Stangenbelegung!$A$5:$A$10004,$A152)&gt;$D152-$F152+0.001),"ÜBERBELEGT","OK"))</f>
        <v/>
      </c>
      <c r="N152" s="24" t="n"/>
      <c r="O152" s="24" t="n"/>
      <c r="P152" s="9" t="n"/>
      <c r="Q152" s="18">
        <f>IF($A152="","",IFERROR($D152/1000*INDEX(Profile!$K$5:$K$304,MATCH($B152,lst_Profil,0))*INDEX(Werkstoffe!$E$5:$E$304,MATCH($C152,lst_Werkstoff,0))/1000,""))</f>
        <v/>
      </c>
      <c r="R152" s="18">
        <f>IF($A152="","",IF(N(_xlfn.MAXIFS(Auftrag!$AP$13:$AP$512,Auftrag!$D$13:$D$512,$B152,Auftrag!$E$13:$E$512,$C152,Auftrag!$Q$13:$Q$512,$D152))&gt;0,_xlfn.MAXIFS(Auftrag!$AP$13:$AP$512,Auftrag!$D$13:$D$512,$B152,Auftrag!$E$13:$E$512,$C152,Auftrag!$Q$13:$Q$512,$D152)*$D152/1000,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9" t="n"/>
      <c r="E153" s="24" t="n"/>
      <c r="F153" s="24" t="n"/>
      <c r="G153" s="12">
        <f>IF($A153="","",COUNTIFS(Stangenbelegung!$A$5:$A$10004,$A153))</f>
        <v/>
      </c>
      <c r="H153" s="35">
        <f>IF($A153="","",SUMIFS(Stangenbelegung!$F$5:$F$10004,Stangenbelegung!$A$5:$A$10004,$A153))</f>
        <v/>
      </c>
      <c r="I153" s="23" t="n"/>
      <c r="J153" s="35">
        <f>IF($A153="","",$E153+H153+$I153)</f>
        <v/>
      </c>
      <c r="K153" s="35">
        <f>IF($A153="","",$D153-J153)</f>
        <v/>
      </c>
      <c r="L153" s="32">
        <f>IF($A153="","",H153/$D153)</f>
        <v/>
      </c>
      <c r="M153" s="28">
        <f>IF($A153="","",IF(OR(J153+$F153&gt;$D153+0.001,_xlfn.MAXIFS(Stangenbelegung!$H$5:$H$10004,Stangenbelegung!$A$5:$A$10004,$A153)&gt;$D153-$F153+0.001),"ÜBERBELEGT","OK"))</f>
        <v/>
      </c>
      <c r="N153" s="24" t="n"/>
      <c r="O153" s="24" t="n"/>
      <c r="P153" s="9" t="n"/>
      <c r="Q153" s="18">
        <f>IF($A153="","",IFERROR($D153/1000*INDEX(Profile!$K$5:$K$304,MATCH($B153,lst_Profil,0))*INDEX(Werkstoffe!$E$5:$E$304,MATCH($C153,lst_Werkstoff,0))/1000,""))</f>
        <v/>
      </c>
      <c r="R153" s="18">
        <f>IF($A153="","",IF(N(_xlfn.MAXIFS(Auftrag!$AP$13:$AP$512,Auftrag!$D$13:$D$512,$B153,Auftrag!$E$13:$E$512,$C153,Auftrag!$Q$13:$Q$512,$D153))&gt;0,_xlfn.MAXIFS(Auftrag!$AP$13:$AP$512,Auftrag!$D$13:$D$512,$B153,Auftrag!$E$13:$E$512,$C153,Auftrag!$Q$13:$Q$512,$D153)*$D153/1000,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9" t="n"/>
      <c r="E154" s="24" t="n"/>
      <c r="F154" s="24" t="n"/>
      <c r="G154" s="12">
        <f>IF($A154="","",COUNTIFS(Stangenbelegung!$A$5:$A$10004,$A154))</f>
        <v/>
      </c>
      <c r="H154" s="35">
        <f>IF($A154="","",SUMIFS(Stangenbelegung!$F$5:$F$10004,Stangenbelegung!$A$5:$A$10004,$A154))</f>
        <v/>
      </c>
      <c r="I154" s="23" t="n"/>
      <c r="J154" s="35">
        <f>IF($A154="","",$E154+H154+$I154)</f>
        <v/>
      </c>
      <c r="K154" s="35">
        <f>IF($A154="","",$D154-J154)</f>
        <v/>
      </c>
      <c r="L154" s="32">
        <f>IF($A154="","",H154/$D154)</f>
        <v/>
      </c>
      <c r="M154" s="28">
        <f>IF($A154="","",IF(OR(J154+$F154&gt;$D154+0.001,_xlfn.MAXIFS(Stangenbelegung!$H$5:$H$10004,Stangenbelegung!$A$5:$A$10004,$A154)&gt;$D154-$F154+0.001),"ÜBERBELEGT","OK"))</f>
        <v/>
      </c>
      <c r="N154" s="24" t="n"/>
      <c r="O154" s="24" t="n"/>
      <c r="P154" s="9" t="n"/>
      <c r="Q154" s="18">
        <f>IF($A154="","",IFERROR($D154/1000*INDEX(Profile!$K$5:$K$304,MATCH($B154,lst_Profil,0))*INDEX(Werkstoffe!$E$5:$E$304,MATCH($C154,lst_Werkstoff,0))/1000,""))</f>
        <v/>
      </c>
      <c r="R154" s="18">
        <f>IF($A154="","",IF(N(_xlfn.MAXIFS(Auftrag!$AP$13:$AP$512,Auftrag!$D$13:$D$512,$B154,Auftrag!$E$13:$E$512,$C154,Auftrag!$Q$13:$Q$512,$D154))&gt;0,_xlfn.MAXIFS(Auftrag!$AP$13:$AP$512,Auftrag!$D$13:$D$512,$B154,Auftrag!$E$13:$E$512,$C154,Auftrag!$Q$13:$Q$512,$D154)*$D154/1000,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9" t="n"/>
      <c r="E155" s="24" t="n"/>
      <c r="F155" s="24" t="n"/>
      <c r="G155" s="12">
        <f>IF($A155="","",COUNTIFS(Stangenbelegung!$A$5:$A$10004,$A155))</f>
        <v/>
      </c>
      <c r="H155" s="35">
        <f>IF($A155="","",SUMIFS(Stangenbelegung!$F$5:$F$10004,Stangenbelegung!$A$5:$A$10004,$A155))</f>
        <v/>
      </c>
      <c r="I155" s="23" t="n"/>
      <c r="J155" s="35">
        <f>IF($A155="","",$E155+H155+$I155)</f>
        <v/>
      </c>
      <c r="K155" s="35">
        <f>IF($A155="","",$D155-J155)</f>
        <v/>
      </c>
      <c r="L155" s="32">
        <f>IF($A155="","",H155/$D155)</f>
        <v/>
      </c>
      <c r="M155" s="28">
        <f>IF($A155="","",IF(OR(J155+$F155&gt;$D155+0.001,_xlfn.MAXIFS(Stangenbelegung!$H$5:$H$10004,Stangenbelegung!$A$5:$A$10004,$A155)&gt;$D155-$F155+0.001),"ÜBERBELEGT","OK"))</f>
        <v/>
      </c>
      <c r="N155" s="24" t="n"/>
      <c r="O155" s="24" t="n"/>
      <c r="P155" s="9" t="n"/>
      <c r="Q155" s="18">
        <f>IF($A155="","",IFERROR($D155/1000*INDEX(Profile!$K$5:$K$304,MATCH($B155,lst_Profil,0))*INDEX(Werkstoffe!$E$5:$E$304,MATCH($C155,lst_Werkstoff,0))/1000,""))</f>
        <v/>
      </c>
      <c r="R155" s="18">
        <f>IF($A155="","",IF(N(_xlfn.MAXIFS(Auftrag!$AP$13:$AP$512,Auftrag!$D$13:$D$512,$B155,Auftrag!$E$13:$E$512,$C155,Auftrag!$Q$13:$Q$512,$D155))&gt;0,_xlfn.MAXIFS(Auftrag!$AP$13:$AP$512,Auftrag!$D$13:$D$512,$B155,Auftrag!$E$13:$E$512,$C155,Auftrag!$Q$13:$Q$512,$D155)*$D155/1000,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9" t="n"/>
      <c r="E156" s="24" t="n"/>
      <c r="F156" s="24" t="n"/>
      <c r="G156" s="12">
        <f>IF($A156="","",COUNTIFS(Stangenbelegung!$A$5:$A$10004,$A156))</f>
        <v/>
      </c>
      <c r="H156" s="35">
        <f>IF($A156="","",SUMIFS(Stangenbelegung!$F$5:$F$10004,Stangenbelegung!$A$5:$A$10004,$A156))</f>
        <v/>
      </c>
      <c r="I156" s="23" t="n"/>
      <c r="J156" s="35">
        <f>IF($A156="","",$E156+H156+$I156)</f>
        <v/>
      </c>
      <c r="K156" s="35">
        <f>IF($A156="","",$D156-J156)</f>
        <v/>
      </c>
      <c r="L156" s="32">
        <f>IF($A156="","",H156/$D156)</f>
        <v/>
      </c>
      <c r="M156" s="28">
        <f>IF($A156="","",IF(OR(J156+$F156&gt;$D156+0.001,_xlfn.MAXIFS(Stangenbelegung!$H$5:$H$10004,Stangenbelegung!$A$5:$A$10004,$A156)&gt;$D156-$F156+0.001),"ÜBERBELEGT","OK"))</f>
        <v/>
      </c>
      <c r="N156" s="24" t="n"/>
      <c r="O156" s="24" t="n"/>
      <c r="P156" s="9" t="n"/>
      <c r="Q156" s="18">
        <f>IF($A156="","",IFERROR($D156/1000*INDEX(Profile!$K$5:$K$304,MATCH($B156,lst_Profil,0))*INDEX(Werkstoffe!$E$5:$E$304,MATCH($C156,lst_Werkstoff,0))/1000,""))</f>
        <v/>
      </c>
      <c r="R156" s="18">
        <f>IF($A156="","",IF(N(_xlfn.MAXIFS(Auftrag!$AP$13:$AP$512,Auftrag!$D$13:$D$512,$B156,Auftrag!$E$13:$E$512,$C156,Auftrag!$Q$13:$Q$512,$D156))&gt;0,_xlfn.MAXIFS(Auftrag!$AP$13:$AP$512,Auftrag!$D$13:$D$512,$B156,Auftrag!$E$13:$E$512,$C156,Auftrag!$Q$13:$Q$512,$D156)*$D156/1000,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9" t="n"/>
      <c r="E157" s="24" t="n"/>
      <c r="F157" s="24" t="n"/>
      <c r="G157" s="12">
        <f>IF($A157="","",COUNTIFS(Stangenbelegung!$A$5:$A$10004,$A157))</f>
        <v/>
      </c>
      <c r="H157" s="35">
        <f>IF($A157="","",SUMIFS(Stangenbelegung!$F$5:$F$10004,Stangenbelegung!$A$5:$A$10004,$A157))</f>
        <v/>
      </c>
      <c r="I157" s="23" t="n"/>
      <c r="J157" s="35">
        <f>IF($A157="","",$E157+H157+$I157)</f>
        <v/>
      </c>
      <c r="K157" s="35">
        <f>IF($A157="","",$D157-J157)</f>
        <v/>
      </c>
      <c r="L157" s="32">
        <f>IF($A157="","",H157/$D157)</f>
        <v/>
      </c>
      <c r="M157" s="28">
        <f>IF($A157="","",IF(OR(J157+$F157&gt;$D157+0.001,_xlfn.MAXIFS(Stangenbelegung!$H$5:$H$10004,Stangenbelegung!$A$5:$A$10004,$A157)&gt;$D157-$F157+0.001),"ÜBERBELEGT","OK"))</f>
        <v/>
      </c>
      <c r="N157" s="24" t="n"/>
      <c r="O157" s="24" t="n"/>
      <c r="P157" s="9" t="n"/>
      <c r="Q157" s="18">
        <f>IF($A157="","",IFERROR($D157/1000*INDEX(Profile!$K$5:$K$304,MATCH($B157,lst_Profil,0))*INDEX(Werkstoffe!$E$5:$E$304,MATCH($C157,lst_Werkstoff,0))/1000,""))</f>
        <v/>
      </c>
      <c r="R157" s="18">
        <f>IF($A157="","",IF(N(_xlfn.MAXIFS(Auftrag!$AP$13:$AP$512,Auftrag!$D$13:$D$512,$B157,Auftrag!$E$13:$E$512,$C157,Auftrag!$Q$13:$Q$512,$D157))&gt;0,_xlfn.MAXIFS(Auftrag!$AP$13:$AP$512,Auftrag!$D$13:$D$512,$B157,Auftrag!$E$13:$E$512,$C157,Auftrag!$Q$13:$Q$512,$D157)*$D157/1000,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9" t="n"/>
      <c r="E158" s="24" t="n"/>
      <c r="F158" s="24" t="n"/>
      <c r="G158" s="12">
        <f>IF($A158="","",COUNTIFS(Stangenbelegung!$A$5:$A$10004,$A158))</f>
        <v/>
      </c>
      <c r="H158" s="35">
        <f>IF($A158="","",SUMIFS(Stangenbelegung!$F$5:$F$10004,Stangenbelegung!$A$5:$A$10004,$A158))</f>
        <v/>
      </c>
      <c r="I158" s="23" t="n"/>
      <c r="J158" s="35">
        <f>IF($A158="","",$E158+H158+$I158)</f>
        <v/>
      </c>
      <c r="K158" s="35">
        <f>IF($A158="","",$D158-J158)</f>
        <v/>
      </c>
      <c r="L158" s="32">
        <f>IF($A158="","",H158/$D158)</f>
        <v/>
      </c>
      <c r="M158" s="28">
        <f>IF($A158="","",IF(OR(J158+$F158&gt;$D158+0.001,_xlfn.MAXIFS(Stangenbelegung!$H$5:$H$10004,Stangenbelegung!$A$5:$A$10004,$A158)&gt;$D158-$F158+0.001),"ÜBERBELEGT","OK"))</f>
        <v/>
      </c>
      <c r="N158" s="24" t="n"/>
      <c r="O158" s="24" t="n"/>
      <c r="P158" s="9" t="n"/>
      <c r="Q158" s="18">
        <f>IF($A158="","",IFERROR($D158/1000*INDEX(Profile!$K$5:$K$304,MATCH($B158,lst_Profil,0))*INDEX(Werkstoffe!$E$5:$E$304,MATCH($C158,lst_Werkstoff,0))/1000,""))</f>
        <v/>
      </c>
      <c r="R158" s="18">
        <f>IF($A158="","",IF(N(_xlfn.MAXIFS(Auftrag!$AP$13:$AP$512,Auftrag!$D$13:$D$512,$B158,Auftrag!$E$13:$E$512,$C158,Auftrag!$Q$13:$Q$512,$D158))&gt;0,_xlfn.MAXIFS(Auftrag!$AP$13:$AP$512,Auftrag!$D$13:$D$512,$B158,Auftrag!$E$13:$E$512,$C158,Auftrag!$Q$13:$Q$512,$D158)*$D158/1000,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9" t="n"/>
      <c r="E159" s="24" t="n"/>
      <c r="F159" s="24" t="n"/>
      <c r="G159" s="12">
        <f>IF($A159="","",COUNTIFS(Stangenbelegung!$A$5:$A$10004,$A159))</f>
        <v/>
      </c>
      <c r="H159" s="35">
        <f>IF($A159="","",SUMIFS(Stangenbelegung!$F$5:$F$10004,Stangenbelegung!$A$5:$A$10004,$A159))</f>
        <v/>
      </c>
      <c r="I159" s="23" t="n"/>
      <c r="J159" s="35">
        <f>IF($A159="","",$E159+H159+$I159)</f>
        <v/>
      </c>
      <c r="K159" s="35">
        <f>IF($A159="","",$D159-J159)</f>
        <v/>
      </c>
      <c r="L159" s="32">
        <f>IF($A159="","",H159/$D159)</f>
        <v/>
      </c>
      <c r="M159" s="28">
        <f>IF($A159="","",IF(OR(J159+$F159&gt;$D159+0.001,_xlfn.MAXIFS(Stangenbelegung!$H$5:$H$10004,Stangenbelegung!$A$5:$A$10004,$A159)&gt;$D159-$F159+0.001),"ÜBERBELEGT","OK"))</f>
        <v/>
      </c>
      <c r="N159" s="24" t="n"/>
      <c r="O159" s="24" t="n"/>
      <c r="P159" s="9" t="n"/>
      <c r="Q159" s="18">
        <f>IF($A159="","",IFERROR($D159/1000*INDEX(Profile!$K$5:$K$304,MATCH($B159,lst_Profil,0))*INDEX(Werkstoffe!$E$5:$E$304,MATCH($C159,lst_Werkstoff,0))/1000,""))</f>
        <v/>
      </c>
      <c r="R159" s="18">
        <f>IF($A159="","",IF(N(_xlfn.MAXIFS(Auftrag!$AP$13:$AP$512,Auftrag!$D$13:$D$512,$B159,Auftrag!$E$13:$E$512,$C159,Auftrag!$Q$13:$Q$512,$D159))&gt;0,_xlfn.MAXIFS(Auftrag!$AP$13:$AP$512,Auftrag!$D$13:$D$512,$B159,Auftrag!$E$13:$E$512,$C159,Auftrag!$Q$13:$Q$512,$D159)*$D159/1000,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9" t="n"/>
      <c r="E160" s="24" t="n"/>
      <c r="F160" s="24" t="n"/>
      <c r="G160" s="12">
        <f>IF($A160="","",COUNTIFS(Stangenbelegung!$A$5:$A$10004,$A160))</f>
        <v/>
      </c>
      <c r="H160" s="35">
        <f>IF($A160="","",SUMIFS(Stangenbelegung!$F$5:$F$10004,Stangenbelegung!$A$5:$A$10004,$A160))</f>
        <v/>
      </c>
      <c r="I160" s="23" t="n"/>
      <c r="J160" s="35">
        <f>IF($A160="","",$E160+H160+$I160)</f>
        <v/>
      </c>
      <c r="K160" s="35">
        <f>IF($A160="","",$D160-J160)</f>
        <v/>
      </c>
      <c r="L160" s="32">
        <f>IF($A160="","",H160/$D160)</f>
        <v/>
      </c>
      <c r="M160" s="28">
        <f>IF($A160="","",IF(OR(J160+$F160&gt;$D160+0.001,_xlfn.MAXIFS(Stangenbelegung!$H$5:$H$10004,Stangenbelegung!$A$5:$A$10004,$A160)&gt;$D160-$F160+0.001),"ÜBERBELEGT","OK"))</f>
        <v/>
      </c>
      <c r="N160" s="24" t="n"/>
      <c r="O160" s="24" t="n"/>
      <c r="P160" s="9" t="n"/>
      <c r="Q160" s="18">
        <f>IF($A160="","",IFERROR($D160/1000*INDEX(Profile!$K$5:$K$304,MATCH($B160,lst_Profil,0))*INDEX(Werkstoffe!$E$5:$E$304,MATCH($C160,lst_Werkstoff,0))/1000,""))</f>
        <v/>
      </c>
      <c r="R160" s="18">
        <f>IF($A160="","",IF(N(_xlfn.MAXIFS(Auftrag!$AP$13:$AP$512,Auftrag!$D$13:$D$512,$B160,Auftrag!$E$13:$E$512,$C160,Auftrag!$Q$13:$Q$512,$D160))&gt;0,_xlfn.MAXIFS(Auftrag!$AP$13:$AP$512,Auftrag!$D$13:$D$512,$B160,Auftrag!$E$13:$E$512,$C160,Auftrag!$Q$13:$Q$512,$D160)*$D160/1000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9" t="n"/>
      <c r="E161" s="24" t="n"/>
      <c r="F161" s="24" t="n"/>
      <c r="G161" s="12">
        <f>IF($A161="","",COUNTIFS(Stangenbelegung!$A$5:$A$10004,$A161))</f>
        <v/>
      </c>
      <c r="H161" s="35">
        <f>IF($A161="","",SUMIFS(Stangenbelegung!$F$5:$F$10004,Stangenbelegung!$A$5:$A$10004,$A161))</f>
        <v/>
      </c>
      <c r="I161" s="23" t="n"/>
      <c r="J161" s="35">
        <f>IF($A161="","",$E161+H161+$I161)</f>
        <v/>
      </c>
      <c r="K161" s="35">
        <f>IF($A161="","",$D161-J161)</f>
        <v/>
      </c>
      <c r="L161" s="32">
        <f>IF($A161="","",H161/$D161)</f>
        <v/>
      </c>
      <c r="M161" s="28">
        <f>IF($A161="","",IF(OR(J161+$F161&gt;$D161+0.001,_xlfn.MAXIFS(Stangenbelegung!$H$5:$H$10004,Stangenbelegung!$A$5:$A$10004,$A161)&gt;$D161-$F161+0.001),"ÜBERBELEGT","OK"))</f>
        <v/>
      </c>
      <c r="N161" s="24" t="n"/>
      <c r="O161" s="24" t="n"/>
      <c r="P161" s="9" t="n"/>
      <c r="Q161" s="18">
        <f>IF($A161="","",IFERROR($D161/1000*INDEX(Profile!$K$5:$K$304,MATCH($B161,lst_Profil,0))*INDEX(Werkstoffe!$E$5:$E$304,MATCH($C161,lst_Werkstoff,0))/1000,""))</f>
        <v/>
      </c>
      <c r="R161" s="18">
        <f>IF($A161="","",IF(N(_xlfn.MAXIFS(Auftrag!$AP$13:$AP$512,Auftrag!$D$13:$D$512,$B161,Auftrag!$E$13:$E$512,$C161,Auftrag!$Q$13:$Q$512,$D161))&gt;0,_xlfn.MAXIFS(Auftrag!$AP$13:$AP$512,Auftrag!$D$13:$D$512,$B161,Auftrag!$E$13:$E$512,$C161,Auftrag!$Q$13:$Q$512,$D161)*$D161/1000,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9" t="n"/>
      <c r="E162" s="24" t="n"/>
      <c r="F162" s="24" t="n"/>
      <c r="G162" s="12">
        <f>IF($A162="","",COUNTIFS(Stangenbelegung!$A$5:$A$10004,$A162))</f>
        <v/>
      </c>
      <c r="H162" s="35">
        <f>IF($A162="","",SUMIFS(Stangenbelegung!$F$5:$F$10004,Stangenbelegung!$A$5:$A$10004,$A162))</f>
        <v/>
      </c>
      <c r="I162" s="23" t="n"/>
      <c r="J162" s="35">
        <f>IF($A162="","",$E162+H162+$I162)</f>
        <v/>
      </c>
      <c r="K162" s="35">
        <f>IF($A162="","",$D162-J162)</f>
        <v/>
      </c>
      <c r="L162" s="32">
        <f>IF($A162="","",H162/$D162)</f>
        <v/>
      </c>
      <c r="M162" s="28">
        <f>IF($A162="","",IF(OR(J162+$F162&gt;$D162+0.001,_xlfn.MAXIFS(Stangenbelegung!$H$5:$H$10004,Stangenbelegung!$A$5:$A$10004,$A162)&gt;$D162-$F162+0.001),"ÜBERBELEGT","OK"))</f>
        <v/>
      </c>
      <c r="N162" s="24" t="n"/>
      <c r="O162" s="24" t="n"/>
      <c r="P162" s="9" t="n"/>
      <c r="Q162" s="18">
        <f>IF($A162="","",IFERROR($D162/1000*INDEX(Profile!$K$5:$K$304,MATCH($B162,lst_Profil,0))*INDEX(Werkstoffe!$E$5:$E$304,MATCH($C162,lst_Werkstoff,0))/1000,""))</f>
        <v/>
      </c>
      <c r="R162" s="18">
        <f>IF($A162="","",IF(N(_xlfn.MAXIFS(Auftrag!$AP$13:$AP$512,Auftrag!$D$13:$D$512,$B162,Auftrag!$E$13:$E$512,$C162,Auftrag!$Q$13:$Q$512,$D162))&gt;0,_xlfn.MAXIFS(Auftrag!$AP$13:$AP$512,Auftrag!$D$13:$D$512,$B162,Auftrag!$E$13:$E$512,$C162,Auftrag!$Q$13:$Q$512,$D162)*$D162/1000,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9" t="n"/>
      <c r="E163" s="24" t="n"/>
      <c r="F163" s="24" t="n"/>
      <c r="G163" s="12">
        <f>IF($A163="","",COUNTIFS(Stangenbelegung!$A$5:$A$10004,$A163))</f>
        <v/>
      </c>
      <c r="H163" s="35">
        <f>IF($A163="","",SUMIFS(Stangenbelegung!$F$5:$F$10004,Stangenbelegung!$A$5:$A$10004,$A163))</f>
        <v/>
      </c>
      <c r="I163" s="23" t="n"/>
      <c r="J163" s="35">
        <f>IF($A163="","",$E163+H163+$I163)</f>
        <v/>
      </c>
      <c r="K163" s="35">
        <f>IF($A163="","",$D163-J163)</f>
        <v/>
      </c>
      <c r="L163" s="32">
        <f>IF($A163="","",H163/$D163)</f>
        <v/>
      </c>
      <c r="M163" s="28">
        <f>IF($A163="","",IF(OR(J163+$F163&gt;$D163+0.001,_xlfn.MAXIFS(Stangenbelegung!$H$5:$H$10004,Stangenbelegung!$A$5:$A$10004,$A163)&gt;$D163-$F163+0.001),"ÜBERBELEGT","OK"))</f>
        <v/>
      </c>
      <c r="N163" s="24" t="n"/>
      <c r="O163" s="24" t="n"/>
      <c r="P163" s="9" t="n"/>
      <c r="Q163" s="18">
        <f>IF($A163="","",IFERROR($D163/1000*INDEX(Profile!$K$5:$K$304,MATCH($B163,lst_Profil,0))*INDEX(Werkstoffe!$E$5:$E$304,MATCH($C163,lst_Werkstoff,0))/1000,""))</f>
        <v/>
      </c>
      <c r="R163" s="18">
        <f>IF($A163="","",IF(N(_xlfn.MAXIFS(Auftrag!$AP$13:$AP$512,Auftrag!$D$13:$D$512,$B163,Auftrag!$E$13:$E$512,$C163,Auftrag!$Q$13:$Q$512,$D163))&gt;0,_xlfn.MAXIFS(Auftrag!$AP$13:$AP$512,Auftrag!$D$13:$D$512,$B163,Auftrag!$E$13:$E$512,$C163,Auftrag!$Q$13:$Q$512,$D163)*$D163/1000,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9" t="n"/>
      <c r="E164" s="24" t="n"/>
      <c r="F164" s="24" t="n"/>
      <c r="G164" s="12">
        <f>IF($A164="","",COUNTIFS(Stangenbelegung!$A$5:$A$10004,$A164))</f>
        <v/>
      </c>
      <c r="H164" s="35">
        <f>IF($A164="","",SUMIFS(Stangenbelegung!$F$5:$F$10004,Stangenbelegung!$A$5:$A$10004,$A164))</f>
        <v/>
      </c>
      <c r="I164" s="23" t="n"/>
      <c r="J164" s="35">
        <f>IF($A164="","",$E164+H164+$I164)</f>
        <v/>
      </c>
      <c r="K164" s="35">
        <f>IF($A164="","",$D164-J164)</f>
        <v/>
      </c>
      <c r="L164" s="32">
        <f>IF($A164="","",H164/$D164)</f>
        <v/>
      </c>
      <c r="M164" s="28">
        <f>IF($A164="","",IF(OR(J164+$F164&gt;$D164+0.001,_xlfn.MAXIFS(Stangenbelegung!$H$5:$H$10004,Stangenbelegung!$A$5:$A$10004,$A164)&gt;$D164-$F164+0.001),"ÜBERBELEGT","OK"))</f>
        <v/>
      </c>
      <c r="N164" s="24" t="n"/>
      <c r="O164" s="24" t="n"/>
      <c r="P164" s="9" t="n"/>
      <c r="Q164" s="18">
        <f>IF($A164="","",IFERROR($D164/1000*INDEX(Profile!$K$5:$K$304,MATCH($B164,lst_Profil,0))*INDEX(Werkstoffe!$E$5:$E$304,MATCH($C164,lst_Werkstoff,0))/1000,""))</f>
        <v/>
      </c>
      <c r="R164" s="18">
        <f>IF($A164="","",IF(N(_xlfn.MAXIFS(Auftrag!$AP$13:$AP$512,Auftrag!$D$13:$D$512,$B164,Auftrag!$E$13:$E$512,$C164,Auftrag!$Q$13:$Q$512,$D164))&gt;0,_xlfn.MAXIFS(Auftrag!$AP$13:$AP$512,Auftrag!$D$13:$D$512,$B164,Auftrag!$E$13:$E$512,$C164,Auftrag!$Q$13:$Q$512,$D164)*$D164/1000,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9" t="n"/>
      <c r="E165" s="24" t="n"/>
      <c r="F165" s="24" t="n"/>
      <c r="G165" s="12">
        <f>IF($A165="","",COUNTIFS(Stangenbelegung!$A$5:$A$10004,$A165))</f>
        <v/>
      </c>
      <c r="H165" s="35">
        <f>IF($A165="","",SUMIFS(Stangenbelegung!$F$5:$F$10004,Stangenbelegung!$A$5:$A$10004,$A165))</f>
        <v/>
      </c>
      <c r="I165" s="23" t="n"/>
      <c r="J165" s="35">
        <f>IF($A165="","",$E165+H165+$I165)</f>
        <v/>
      </c>
      <c r="K165" s="35">
        <f>IF($A165="","",$D165-J165)</f>
        <v/>
      </c>
      <c r="L165" s="32">
        <f>IF($A165="","",H165/$D165)</f>
        <v/>
      </c>
      <c r="M165" s="28">
        <f>IF($A165="","",IF(OR(J165+$F165&gt;$D165+0.001,_xlfn.MAXIFS(Stangenbelegung!$H$5:$H$10004,Stangenbelegung!$A$5:$A$10004,$A165)&gt;$D165-$F165+0.001),"ÜBERBELEGT","OK"))</f>
        <v/>
      </c>
      <c r="N165" s="24" t="n"/>
      <c r="O165" s="24" t="n"/>
      <c r="P165" s="9" t="n"/>
      <c r="Q165" s="18">
        <f>IF($A165="","",IFERROR($D165/1000*INDEX(Profile!$K$5:$K$304,MATCH($B165,lst_Profil,0))*INDEX(Werkstoffe!$E$5:$E$304,MATCH($C165,lst_Werkstoff,0))/1000,""))</f>
        <v/>
      </c>
      <c r="R165" s="18">
        <f>IF($A165="","",IF(N(_xlfn.MAXIFS(Auftrag!$AP$13:$AP$512,Auftrag!$D$13:$D$512,$B165,Auftrag!$E$13:$E$512,$C165,Auftrag!$Q$13:$Q$512,$D165))&gt;0,_xlfn.MAXIFS(Auftrag!$AP$13:$AP$512,Auftrag!$D$13:$D$512,$B165,Auftrag!$E$13:$E$512,$C165,Auftrag!$Q$13:$Q$512,$D165)*$D165/1000,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9" t="n"/>
      <c r="E166" s="24" t="n"/>
      <c r="F166" s="24" t="n"/>
      <c r="G166" s="12">
        <f>IF($A166="","",COUNTIFS(Stangenbelegung!$A$5:$A$10004,$A166))</f>
        <v/>
      </c>
      <c r="H166" s="35">
        <f>IF($A166="","",SUMIFS(Stangenbelegung!$F$5:$F$10004,Stangenbelegung!$A$5:$A$10004,$A166))</f>
        <v/>
      </c>
      <c r="I166" s="23" t="n"/>
      <c r="J166" s="35">
        <f>IF($A166="","",$E166+H166+$I166)</f>
        <v/>
      </c>
      <c r="K166" s="35">
        <f>IF($A166="","",$D166-J166)</f>
        <v/>
      </c>
      <c r="L166" s="32">
        <f>IF($A166="","",H166/$D166)</f>
        <v/>
      </c>
      <c r="M166" s="28">
        <f>IF($A166="","",IF(OR(J166+$F166&gt;$D166+0.001,_xlfn.MAXIFS(Stangenbelegung!$H$5:$H$10004,Stangenbelegung!$A$5:$A$10004,$A166)&gt;$D166-$F166+0.001),"ÜBERBELEGT","OK"))</f>
        <v/>
      </c>
      <c r="N166" s="24" t="n"/>
      <c r="O166" s="24" t="n"/>
      <c r="P166" s="9" t="n"/>
      <c r="Q166" s="18">
        <f>IF($A166="","",IFERROR($D166/1000*INDEX(Profile!$K$5:$K$304,MATCH($B166,lst_Profil,0))*INDEX(Werkstoffe!$E$5:$E$304,MATCH($C166,lst_Werkstoff,0))/1000,""))</f>
        <v/>
      </c>
      <c r="R166" s="18">
        <f>IF($A166="","",IF(N(_xlfn.MAXIFS(Auftrag!$AP$13:$AP$512,Auftrag!$D$13:$D$512,$B166,Auftrag!$E$13:$E$512,$C166,Auftrag!$Q$13:$Q$512,$D166))&gt;0,_xlfn.MAXIFS(Auftrag!$AP$13:$AP$512,Auftrag!$D$13:$D$512,$B166,Auftrag!$E$13:$E$512,$C166,Auftrag!$Q$13:$Q$512,$D166)*$D166/1000,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9" t="n"/>
      <c r="E167" s="24" t="n"/>
      <c r="F167" s="24" t="n"/>
      <c r="G167" s="12">
        <f>IF($A167="","",COUNTIFS(Stangenbelegung!$A$5:$A$10004,$A167))</f>
        <v/>
      </c>
      <c r="H167" s="35">
        <f>IF($A167="","",SUMIFS(Stangenbelegung!$F$5:$F$10004,Stangenbelegung!$A$5:$A$10004,$A167))</f>
        <v/>
      </c>
      <c r="I167" s="23" t="n"/>
      <c r="J167" s="35">
        <f>IF($A167="","",$E167+H167+$I167)</f>
        <v/>
      </c>
      <c r="K167" s="35">
        <f>IF($A167="","",$D167-J167)</f>
        <v/>
      </c>
      <c r="L167" s="32">
        <f>IF($A167="","",H167/$D167)</f>
        <v/>
      </c>
      <c r="M167" s="28">
        <f>IF($A167="","",IF(OR(J167+$F167&gt;$D167+0.001,_xlfn.MAXIFS(Stangenbelegung!$H$5:$H$10004,Stangenbelegung!$A$5:$A$10004,$A167)&gt;$D167-$F167+0.001),"ÜBERBELEGT","OK"))</f>
        <v/>
      </c>
      <c r="N167" s="24" t="n"/>
      <c r="O167" s="24" t="n"/>
      <c r="P167" s="9" t="n"/>
      <c r="Q167" s="18">
        <f>IF($A167="","",IFERROR($D167/1000*INDEX(Profile!$K$5:$K$304,MATCH($B167,lst_Profil,0))*INDEX(Werkstoffe!$E$5:$E$304,MATCH($C167,lst_Werkstoff,0))/1000,""))</f>
        <v/>
      </c>
      <c r="R167" s="18">
        <f>IF($A167="","",IF(N(_xlfn.MAXIFS(Auftrag!$AP$13:$AP$512,Auftrag!$D$13:$D$512,$B167,Auftrag!$E$13:$E$512,$C167,Auftrag!$Q$13:$Q$512,$D167))&gt;0,_xlfn.MAXIFS(Auftrag!$AP$13:$AP$512,Auftrag!$D$13:$D$512,$B167,Auftrag!$E$13:$E$512,$C167,Auftrag!$Q$13:$Q$512,$D167)*$D167/1000,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9" t="n"/>
      <c r="E168" s="24" t="n"/>
      <c r="F168" s="24" t="n"/>
      <c r="G168" s="12">
        <f>IF($A168="","",COUNTIFS(Stangenbelegung!$A$5:$A$10004,$A168))</f>
        <v/>
      </c>
      <c r="H168" s="35">
        <f>IF($A168="","",SUMIFS(Stangenbelegung!$F$5:$F$10004,Stangenbelegung!$A$5:$A$10004,$A168))</f>
        <v/>
      </c>
      <c r="I168" s="23" t="n"/>
      <c r="J168" s="35">
        <f>IF($A168="","",$E168+H168+$I168)</f>
        <v/>
      </c>
      <c r="K168" s="35">
        <f>IF($A168="","",$D168-J168)</f>
        <v/>
      </c>
      <c r="L168" s="32">
        <f>IF($A168="","",H168/$D168)</f>
        <v/>
      </c>
      <c r="M168" s="28">
        <f>IF($A168="","",IF(OR(J168+$F168&gt;$D168+0.001,_xlfn.MAXIFS(Stangenbelegung!$H$5:$H$10004,Stangenbelegung!$A$5:$A$10004,$A168)&gt;$D168-$F168+0.001),"ÜBERBELEGT","OK"))</f>
        <v/>
      </c>
      <c r="N168" s="24" t="n"/>
      <c r="O168" s="24" t="n"/>
      <c r="P168" s="9" t="n"/>
      <c r="Q168" s="18">
        <f>IF($A168="","",IFERROR($D168/1000*INDEX(Profile!$K$5:$K$304,MATCH($B168,lst_Profil,0))*INDEX(Werkstoffe!$E$5:$E$304,MATCH($C168,lst_Werkstoff,0))/1000,""))</f>
        <v/>
      </c>
      <c r="R168" s="18">
        <f>IF($A168="","",IF(N(_xlfn.MAXIFS(Auftrag!$AP$13:$AP$512,Auftrag!$D$13:$D$512,$B168,Auftrag!$E$13:$E$512,$C168,Auftrag!$Q$13:$Q$512,$D168))&gt;0,_xlfn.MAXIFS(Auftrag!$AP$13:$AP$512,Auftrag!$D$13:$D$512,$B168,Auftrag!$E$13:$E$512,$C168,Auftrag!$Q$13:$Q$512,$D168)*$D168/1000,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9" t="n"/>
      <c r="E169" s="24" t="n"/>
      <c r="F169" s="24" t="n"/>
      <c r="G169" s="12">
        <f>IF($A169="","",COUNTIFS(Stangenbelegung!$A$5:$A$10004,$A169))</f>
        <v/>
      </c>
      <c r="H169" s="35">
        <f>IF($A169="","",SUMIFS(Stangenbelegung!$F$5:$F$10004,Stangenbelegung!$A$5:$A$10004,$A169))</f>
        <v/>
      </c>
      <c r="I169" s="23" t="n"/>
      <c r="J169" s="35">
        <f>IF($A169="","",$E169+H169+$I169)</f>
        <v/>
      </c>
      <c r="K169" s="35">
        <f>IF($A169="","",$D169-J169)</f>
        <v/>
      </c>
      <c r="L169" s="32">
        <f>IF($A169="","",H169/$D169)</f>
        <v/>
      </c>
      <c r="M169" s="28">
        <f>IF($A169="","",IF(OR(J169+$F169&gt;$D169+0.001,_xlfn.MAXIFS(Stangenbelegung!$H$5:$H$10004,Stangenbelegung!$A$5:$A$10004,$A169)&gt;$D169-$F169+0.001),"ÜBERBELEGT","OK"))</f>
        <v/>
      </c>
      <c r="N169" s="24" t="n"/>
      <c r="O169" s="24" t="n"/>
      <c r="P169" s="9" t="n"/>
      <c r="Q169" s="18">
        <f>IF($A169="","",IFERROR($D169/1000*INDEX(Profile!$K$5:$K$304,MATCH($B169,lst_Profil,0))*INDEX(Werkstoffe!$E$5:$E$304,MATCH($C169,lst_Werkstoff,0))/1000,""))</f>
        <v/>
      </c>
      <c r="R169" s="18">
        <f>IF($A169="","",IF(N(_xlfn.MAXIFS(Auftrag!$AP$13:$AP$512,Auftrag!$D$13:$D$512,$B169,Auftrag!$E$13:$E$512,$C169,Auftrag!$Q$13:$Q$512,$D169))&gt;0,_xlfn.MAXIFS(Auftrag!$AP$13:$AP$512,Auftrag!$D$13:$D$512,$B169,Auftrag!$E$13:$E$512,$C169,Auftrag!$Q$13:$Q$512,$D169)*$D169/1000,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9" t="n"/>
      <c r="E170" s="24" t="n"/>
      <c r="F170" s="24" t="n"/>
      <c r="G170" s="12">
        <f>IF($A170="","",COUNTIFS(Stangenbelegung!$A$5:$A$10004,$A170))</f>
        <v/>
      </c>
      <c r="H170" s="35">
        <f>IF($A170="","",SUMIFS(Stangenbelegung!$F$5:$F$10004,Stangenbelegung!$A$5:$A$10004,$A170))</f>
        <v/>
      </c>
      <c r="I170" s="23" t="n"/>
      <c r="J170" s="35">
        <f>IF($A170="","",$E170+H170+$I170)</f>
        <v/>
      </c>
      <c r="K170" s="35">
        <f>IF($A170="","",$D170-J170)</f>
        <v/>
      </c>
      <c r="L170" s="32">
        <f>IF($A170="","",H170/$D170)</f>
        <v/>
      </c>
      <c r="M170" s="28">
        <f>IF($A170="","",IF(OR(J170+$F170&gt;$D170+0.001,_xlfn.MAXIFS(Stangenbelegung!$H$5:$H$10004,Stangenbelegung!$A$5:$A$10004,$A170)&gt;$D170-$F170+0.001),"ÜBERBELEGT","OK"))</f>
        <v/>
      </c>
      <c r="N170" s="24" t="n"/>
      <c r="O170" s="24" t="n"/>
      <c r="P170" s="9" t="n"/>
      <c r="Q170" s="18">
        <f>IF($A170="","",IFERROR($D170/1000*INDEX(Profile!$K$5:$K$304,MATCH($B170,lst_Profil,0))*INDEX(Werkstoffe!$E$5:$E$304,MATCH($C170,lst_Werkstoff,0))/1000,""))</f>
        <v/>
      </c>
      <c r="R170" s="18">
        <f>IF($A170="","",IF(N(_xlfn.MAXIFS(Auftrag!$AP$13:$AP$512,Auftrag!$D$13:$D$512,$B170,Auftrag!$E$13:$E$512,$C170,Auftrag!$Q$13:$Q$512,$D170))&gt;0,_xlfn.MAXIFS(Auftrag!$AP$13:$AP$512,Auftrag!$D$13:$D$512,$B170,Auftrag!$E$13:$E$512,$C170,Auftrag!$Q$13:$Q$512,$D170)*$D170/1000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9" t="n"/>
      <c r="E171" s="24" t="n"/>
      <c r="F171" s="24" t="n"/>
      <c r="G171" s="12">
        <f>IF($A171="","",COUNTIFS(Stangenbelegung!$A$5:$A$10004,$A171))</f>
        <v/>
      </c>
      <c r="H171" s="35">
        <f>IF($A171="","",SUMIFS(Stangenbelegung!$F$5:$F$10004,Stangenbelegung!$A$5:$A$10004,$A171))</f>
        <v/>
      </c>
      <c r="I171" s="23" t="n"/>
      <c r="J171" s="35">
        <f>IF($A171="","",$E171+H171+$I171)</f>
        <v/>
      </c>
      <c r="K171" s="35">
        <f>IF($A171="","",$D171-J171)</f>
        <v/>
      </c>
      <c r="L171" s="32">
        <f>IF($A171="","",H171/$D171)</f>
        <v/>
      </c>
      <c r="M171" s="28">
        <f>IF($A171="","",IF(OR(J171+$F171&gt;$D171+0.001,_xlfn.MAXIFS(Stangenbelegung!$H$5:$H$10004,Stangenbelegung!$A$5:$A$10004,$A171)&gt;$D171-$F171+0.001),"ÜBERBELEGT","OK"))</f>
        <v/>
      </c>
      <c r="N171" s="24" t="n"/>
      <c r="O171" s="24" t="n"/>
      <c r="P171" s="9" t="n"/>
      <c r="Q171" s="18">
        <f>IF($A171="","",IFERROR($D171/1000*INDEX(Profile!$K$5:$K$304,MATCH($B171,lst_Profil,0))*INDEX(Werkstoffe!$E$5:$E$304,MATCH($C171,lst_Werkstoff,0))/1000,""))</f>
        <v/>
      </c>
      <c r="R171" s="18">
        <f>IF($A171="","",IF(N(_xlfn.MAXIFS(Auftrag!$AP$13:$AP$512,Auftrag!$D$13:$D$512,$B171,Auftrag!$E$13:$E$512,$C171,Auftrag!$Q$13:$Q$512,$D171))&gt;0,_xlfn.MAXIFS(Auftrag!$AP$13:$AP$512,Auftrag!$D$13:$D$512,$B171,Auftrag!$E$13:$E$512,$C171,Auftrag!$Q$13:$Q$512,$D171)*$D171/1000,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9" t="n"/>
      <c r="E172" s="24" t="n"/>
      <c r="F172" s="24" t="n"/>
      <c r="G172" s="12">
        <f>IF($A172="","",COUNTIFS(Stangenbelegung!$A$5:$A$10004,$A172))</f>
        <v/>
      </c>
      <c r="H172" s="35">
        <f>IF($A172="","",SUMIFS(Stangenbelegung!$F$5:$F$10004,Stangenbelegung!$A$5:$A$10004,$A172))</f>
        <v/>
      </c>
      <c r="I172" s="23" t="n"/>
      <c r="J172" s="35">
        <f>IF($A172="","",$E172+H172+$I172)</f>
        <v/>
      </c>
      <c r="K172" s="35">
        <f>IF($A172="","",$D172-J172)</f>
        <v/>
      </c>
      <c r="L172" s="32">
        <f>IF($A172="","",H172/$D172)</f>
        <v/>
      </c>
      <c r="M172" s="28">
        <f>IF($A172="","",IF(OR(J172+$F172&gt;$D172+0.001,_xlfn.MAXIFS(Stangenbelegung!$H$5:$H$10004,Stangenbelegung!$A$5:$A$10004,$A172)&gt;$D172-$F172+0.001),"ÜBERBELEGT","OK"))</f>
        <v/>
      </c>
      <c r="N172" s="24" t="n"/>
      <c r="O172" s="24" t="n"/>
      <c r="P172" s="9" t="n"/>
      <c r="Q172" s="18">
        <f>IF($A172="","",IFERROR($D172/1000*INDEX(Profile!$K$5:$K$304,MATCH($B172,lst_Profil,0))*INDEX(Werkstoffe!$E$5:$E$304,MATCH($C172,lst_Werkstoff,0))/1000,""))</f>
        <v/>
      </c>
      <c r="R172" s="18">
        <f>IF($A172="","",IF(N(_xlfn.MAXIFS(Auftrag!$AP$13:$AP$512,Auftrag!$D$13:$D$512,$B172,Auftrag!$E$13:$E$512,$C172,Auftrag!$Q$13:$Q$512,$D172))&gt;0,_xlfn.MAXIFS(Auftrag!$AP$13:$AP$512,Auftrag!$D$13:$D$512,$B172,Auftrag!$E$13:$E$512,$C172,Auftrag!$Q$13:$Q$512,$D172)*$D172/1000,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9" t="n"/>
      <c r="E173" s="24" t="n"/>
      <c r="F173" s="24" t="n"/>
      <c r="G173" s="12">
        <f>IF($A173="","",COUNTIFS(Stangenbelegung!$A$5:$A$10004,$A173))</f>
        <v/>
      </c>
      <c r="H173" s="35">
        <f>IF($A173="","",SUMIFS(Stangenbelegung!$F$5:$F$10004,Stangenbelegung!$A$5:$A$10004,$A173))</f>
        <v/>
      </c>
      <c r="I173" s="23" t="n"/>
      <c r="J173" s="35">
        <f>IF($A173="","",$E173+H173+$I173)</f>
        <v/>
      </c>
      <c r="K173" s="35">
        <f>IF($A173="","",$D173-J173)</f>
        <v/>
      </c>
      <c r="L173" s="32">
        <f>IF($A173="","",H173/$D173)</f>
        <v/>
      </c>
      <c r="M173" s="28">
        <f>IF($A173="","",IF(OR(J173+$F173&gt;$D173+0.001,_xlfn.MAXIFS(Stangenbelegung!$H$5:$H$10004,Stangenbelegung!$A$5:$A$10004,$A173)&gt;$D173-$F173+0.001),"ÜBERBELEGT","OK"))</f>
        <v/>
      </c>
      <c r="N173" s="24" t="n"/>
      <c r="O173" s="24" t="n"/>
      <c r="P173" s="9" t="n"/>
      <c r="Q173" s="18">
        <f>IF($A173="","",IFERROR($D173/1000*INDEX(Profile!$K$5:$K$304,MATCH($B173,lst_Profil,0))*INDEX(Werkstoffe!$E$5:$E$304,MATCH($C173,lst_Werkstoff,0))/1000,""))</f>
        <v/>
      </c>
      <c r="R173" s="18">
        <f>IF($A173="","",IF(N(_xlfn.MAXIFS(Auftrag!$AP$13:$AP$512,Auftrag!$D$13:$D$512,$B173,Auftrag!$E$13:$E$512,$C173,Auftrag!$Q$13:$Q$512,$D173))&gt;0,_xlfn.MAXIFS(Auftrag!$AP$13:$AP$512,Auftrag!$D$13:$D$512,$B173,Auftrag!$E$13:$E$512,$C173,Auftrag!$Q$13:$Q$512,$D173)*$D173/1000,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9" t="n"/>
      <c r="E174" s="24" t="n"/>
      <c r="F174" s="24" t="n"/>
      <c r="G174" s="12">
        <f>IF($A174="","",COUNTIFS(Stangenbelegung!$A$5:$A$10004,$A174))</f>
        <v/>
      </c>
      <c r="H174" s="35">
        <f>IF($A174="","",SUMIFS(Stangenbelegung!$F$5:$F$10004,Stangenbelegung!$A$5:$A$10004,$A174))</f>
        <v/>
      </c>
      <c r="I174" s="23" t="n"/>
      <c r="J174" s="35">
        <f>IF($A174="","",$E174+H174+$I174)</f>
        <v/>
      </c>
      <c r="K174" s="35">
        <f>IF($A174="","",$D174-J174)</f>
        <v/>
      </c>
      <c r="L174" s="32">
        <f>IF($A174="","",H174/$D174)</f>
        <v/>
      </c>
      <c r="M174" s="28">
        <f>IF($A174="","",IF(OR(J174+$F174&gt;$D174+0.001,_xlfn.MAXIFS(Stangenbelegung!$H$5:$H$10004,Stangenbelegung!$A$5:$A$10004,$A174)&gt;$D174-$F174+0.001),"ÜBERBELEGT","OK"))</f>
        <v/>
      </c>
      <c r="N174" s="24" t="n"/>
      <c r="O174" s="24" t="n"/>
      <c r="P174" s="9" t="n"/>
      <c r="Q174" s="18">
        <f>IF($A174="","",IFERROR($D174/1000*INDEX(Profile!$K$5:$K$304,MATCH($B174,lst_Profil,0))*INDEX(Werkstoffe!$E$5:$E$304,MATCH($C174,lst_Werkstoff,0))/1000,""))</f>
        <v/>
      </c>
      <c r="R174" s="18">
        <f>IF($A174="","",IF(N(_xlfn.MAXIFS(Auftrag!$AP$13:$AP$512,Auftrag!$D$13:$D$512,$B174,Auftrag!$E$13:$E$512,$C174,Auftrag!$Q$13:$Q$512,$D174))&gt;0,_xlfn.MAXIFS(Auftrag!$AP$13:$AP$512,Auftrag!$D$13:$D$512,$B174,Auftrag!$E$13:$E$512,$C174,Auftrag!$Q$13:$Q$512,$D174)*$D174/1000,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9" t="n"/>
      <c r="E175" s="24" t="n"/>
      <c r="F175" s="24" t="n"/>
      <c r="G175" s="12">
        <f>IF($A175="","",COUNTIFS(Stangenbelegung!$A$5:$A$10004,$A175))</f>
        <v/>
      </c>
      <c r="H175" s="35">
        <f>IF($A175="","",SUMIFS(Stangenbelegung!$F$5:$F$10004,Stangenbelegung!$A$5:$A$10004,$A175))</f>
        <v/>
      </c>
      <c r="I175" s="23" t="n"/>
      <c r="J175" s="35">
        <f>IF($A175="","",$E175+H175+$I175)</f>
        <v/>
      </c>
      <c r="K175" s="35">
        <f>IF($A175="","",$D175-J175)</f>
        <v/>
      </c>
      <c r="L175" s="32">
        <f>IF($A175="","",H175/$D175)</f>
        <v/>
      </c>
      <c r="M175" s="28">
        <f>IF($A175="","",IF(OR(J175+$F175&gt;$D175+0.001,_xlfn.MAXIFS(Stangenbelegung!$H$5:$H$10004,Stangenbelegung!$A$5:$A$10004,$A175)&gt;$D175-$F175+0.001),"ÜBERBELEGT","OK"))</f>
        <v/>
      </c>
      <c r="N175" s="24" t="n"/>
      <c r="O175" s="24" t="n"/>
      <c r="P175" s="9" t="n"/>
      <c r="Q175" s="18">
        <f>IF($A175="","",IFERROR($D175/1000*INDEX(Profile!$K$5:$K$304,MATCH($B175,lst_Profil,0))*INDEX(Werkstoffe!$E$5:$E$304,MATCH($C175,lst_Werkstoff,0))/1000,""))</f>
        <v/>
      </c>
      <c r="R175" s="18">
        <f>IF($A175="","",IF(N(_xlfn.MAXIFS(Auftrag!$AP$13:$AP$512,Auftrag!$D$13:$D$512,$B175,Auftrag!$E$13:$E$512,$C175,Auftrag!$Q$13:$Q$512,$D175))&gt;0,_xlfn.MAXIFS(Auftrag!$AP$13:$AP$512,Auftrag!$D$13:$D$512,$B175,Auftrag!$E$13:$E$512,$C175,Auftrag!$Q$13:$Q$512,$D175)*$D175/1000,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9" t="n"/>
      <c r="E176" s="24" t="n"/>
      <c r="F176" s="24" t="n"/>
      <c r="G176" s="12">
        <f>IF($A176="","",COUNTIFS(Stangenbelegung!$A$5:$A$10004,$A176))</f>
        <v/>
      </c>
      <c r="H176" s="35">
        <f>IF($A176="","",SUMIFS(Stangenbelegung!$F$5:$F$10004,Stangenbelegung!$A$5:$A$10004,$A176))</f>
        <v/>
      </c>
      <c r="I176" s="23" t="n"/>
      <c r="J176" s="35">
        <f>IF($A176="","",$E176+H176+$I176)</f>
        <v/>
      </c>
      <c r="K176" s="35">
        <f>IF($A176="","",$D176-J176)</f>
        <v/>
      </c>
      <c r="L176" s="32">
        <f>IF($A176="","",H176/$D176)</f>
        <v/>
      </c>
      <c r="M176" s="28">
        <f>IF($A176="","",IF(OR(J176+$F176&gt;$D176+0.001,_xlfn.MAXIFS(Stangenbelegung!$H$5:$H$10004,Stangenbelegung!$A$5:$A$10004,$A176)&gt;$D176-$F176+0.001),"ÜBERBELEGT","OK"))</f>
        <v/>
      </c>
      <c r="N176" s="24" t="n"/>
      <c r="O176" s="24" t="n"/>
      <c r="P176" s="9" t="n"/>
      <c r="Q176" s="18">
        <f>IF($A176="","",IFERROR($D176/1000*INDEX(Profile!$K$5:$K$304,MATCH($B176,lst_Profil,0))*INDEX(Werkstoffe!$E$5:$E$304,MATCH($C176,lst_Werkstoff,0))/1000,""))</f>
        <v/>
      </c>
      <c r="R176" s="18">
        <f>IF($A176="","",IF(N(_xlfn.MAXIFS(Auftrag!$AP$13:$AP$512,Auftrag!$D$13:$D$512,$B176,Auftrag!$E$13:$E$512,$C176,Auftrag!$Q$13:$Q$512,$D176))&gt;0,_xlfn.MAXIFS(Auftrag!$AP$13:$AP$512,Auftrag!$D$13:$D$512,$B176,Auftrag!$E$13:$E$512,$C176,Auftrag!$Q$13:$Q$512,$D176)*$D176/1000,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9" t="n"/>
      <c r="E177" s="24" t="n"/>
      <c r="F177" s="24" t="n"/>
      <c r="G177" s="12">
        <f>IF($A177="","",COUNTIFS(Stangenbelegung!$A$5:$A$10004,$A177))</f>
        <v/>
      </c>
      <c r="H177" s="35">
        <f>IF($A177="","",SUMIFS(Stangenbelegung!$F$5:$F$10004,Stangenbelegung!$A$5:$A$10004,$A177))</f>
        <v/>
      </c>
      <c r="I177" s="23" t="n"/>
      <c r="J177" s="35">
        <f>IF($A177="","",$E177+H177+$I177)</f>
        <v/>
      </c>
      <c r="K177" s="35">
        <f>IF($A177="","",$D177-J177)</f>
        <v/>
      </c>
      <c r="L177" s="32">
        <f>IF($A177="","",H177/$D177)</f>
        <v/>
      </c>
      <c r="M177" s="28">
        <f>IF($A177="","",IF(OR(J177+$F177&gt;$D177+0.001,_xlfn.MAXIFS(Stangenbelegung!$H$5:$H$10004,Stangenbelegung!$A$5:$A$10004,$A177)&gt;$D177-$F177+0.001),"ÜBERBELEGT","OK"))</f>
        <v/>
      </c>
      <c r="N177" s="24" t="n"/>
      <c r="O177" s="24" t="n"/>
      <c r="P177" s="9" t="n"/>
      <c r="Q177" s="18">
        <f>IF($A177="","",IFERROR($D177/1000*INDEX(Profile!$K$5:$K$304,MATCH($B177,lst_Profil,0))*INDEX(Werkstoffe!$E$5:$E$304,MATCH($C177,lst_Werkstoff,0))/1000,""))</f>
        <v/>
      </c>
      <c r="R177" s="18">
        <f>IF($A177="","",IF(N(_xlfn.MAXIFS(Auftrag!$AP$13:$AP$512,Auftrag!$D$13:$D$512,$B177,Auftrag!$E$13:$E$512,$C177,Auftrag!$Q$13:$Q$512,$D177))&gt;0,_xlfn.MAXIFS(Auftrag!$AP$13:$AP$512,Auftrag!$D$13:$D$512,$B177,Auftrag!$E$13:$E$512,$C177,Auftrag!$Q$13:$Q$512,$D177)*$D177/1000,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9" t="n"/>
      <c r="E178" s="24" t="n"/>
      <c r="F178" s="24" t="n"/>
      <c r="G178" s="12">
        <f>IF($A178="","",COUNTIFS(Stangenbelegung!$A$5:$A$10004,$A178))</f>
        <v/>
      </c>
      <c r="H178" s="35">
        <f>IF($A178="","",SUMIFS(Stangenbelegung!$F$5:$F$10004,Stangenbelegung!$A$5:$A$10004,$A178))</f>
        <v/>
      </c>
      <c r="I178" s="23" t="n"/>
      <c r="J178" s="35">
        <f>IF($A178="","",$E178+H178+$I178)</f>
        <v/>
      </c>
      <c r="K178" s="35">
        <f>IF($A178="","",$D178-J178)</f>
        <v/>
      </c>
      <c r="L178" s="32">
        <f>IF($A178="","",H178/$D178)</f>
        <v/>
      </c>
      <c r="M178" s="28">
        <f>IF($A178="","",IF(OR(J178+$F178&gt;$D178+0.001,_xlfn.MAXIFS(Stangenbelegung!$H$5:$H$10004,Stangenbelegung!$A$5:$A$10004,$A178)&gt;$D178-$F178+0.001),"ÜBERBELEGT","OK"))</f>
        <v/>
      </c>
      <c r="N178" s="24" t="n"/>
      <c r="O178" s="24" t="n"/>
      <c r="P178" s="9" t="n"/>
      <c r="Q178" s="18">
        <f>IF($A178="","",IFERROR($D178/1000*INDEX(Profile!$K$5:$K$304,MATCH($B178,lst_Profil,0))*INDEX(Werkstoffe!$E$5:$E$304,MATCH($C178,lst_Werkstoff,0))/1000,""))</f>
        <v/>
      </c>
      <c r="R178" s="18">
        <f>IF($A178="","",IF(N(_xlfn.MAXIFS(Auftrag!$AP$13:$AP$512,Auftrag!$D$13:$D$512,$B178,Auftrag!$E$13:$E$512,$C178,Auftrag!$Q$13:$Q$512,$D178))&gt;0,_xlfn.MAXIFS(Auftrag!$AP$13:$AP$512,Auftrag!$D$13:$D$512,$B178,Auftrag!$E$13:$E$512,$C178,Auftrag!$Q$13:$Q$512,$D178)*$D178/1000,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9" t="n"/>
      <c r="E179" s="24" t="n"/>
      <c r="F179" s="24" t="n"/>
      <c r="G179" s="12">
        <f>IF($A179="","",COUNTIFS(Stangenbelegung!$A$5:$A$10004,$A179))</f>
        <v/>
      </c>
      <c r="H179" s="35">
        <f>IF($A179="","",SUMIFS(Stangenbelegung!$F$5:$F$10004,Stangenbelegung!$A$5:$A$10004,$A179))</f>
        <v/>
      </c>
      <c r="I179" s="23" t="n"/>
      <c r="J179" s="35">
        <f>IF($A179="","",$E179+H179+$I179)</f>
        <v/>
      </c>
      <c r="K179" s="35">
        <f>IF($A179="","",$D179-J179)</f>
        <v/>
      </c>
      <c r="L179" s="32">
        <f>IF($A179="","",H179/$D179)</f>
        <v/>
      </c>
      <c r="M179" s="28">
        <f>IF($A179="","",IF(OR(J179+$F179&gt;$D179+0.001,_xlfn.MAXIFS(Stangenbelegung!$H$5:$H$10004,Stangenbelegung!$A$5:$A$10004,$A179)&gt;$D179-$F179+0.001),"ÜBERBELEGT","OK"))</f>
        <v/>
      </c>
      <c r="N179" s="24" t="n"/>
      <c r="O179" s="24" t="n"/>
      <c r="P179" s="9" t="n"/>
      <c r="Q179" s="18">
        <f>IF($A179="","",IFERROR($D179/1000*INDEX(Profile!$K$5:$K$304,MATCH($B179,lst_Profil,0))*INDEX(Werkstoffe!$E$5:$E$304,MATCH($C179,lst_Werkstoff,0))/1000,""))</f>
        <v/>
      </c>
      <c r="R179" s="18">
        <f>IF($A179="","",IF(N(_xlfn.MAXIFS(Auftrag!$AP$13:$AP$512,Auftrag!$D$13:$D$512,$B179,Auftrag!$E$13:$E$512,$C179,Auftrag!$Q$13:$Q$512,$D179))&gt;0,_xlfn.MAXIFS(Auftrag!$AP$13:$AP$512,Auftrag!$D$13:$D$512,$B179,Auftrag!$E$13:$E$512,$C179,Auftrag!$Q$13:$Q$512,$D179)*$D179/1000,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9" t="n"/>
      <c r="E180" s="24" t="n"/>
      <c r="F180" s="24" t="n"/>
      <c r="G180" s="12">
        <f>IF($A180="","",COUNTIFS(Stangenbelegung!$A$5:$A$10004,$A180))</f>
        <v/>
      </c>
      <c r="H180" s="35">
        <f>IF($A180="","",SUMIFS(Stangenbelegung!$F$5:$F$10004,Stangenbelegung!$A$5:$A$10004,$A180))</f>
        <v/>
      </c>
      <c r="I180" s="23" t="n"/>
      <c r="J180" s="35">
        <f>IF($A180="","",$E180+H180+$I180)</f>
        <v/>
      </c>
      <c r="K180" s="35">
        <f>IF($A180="","",$D180-J180)</f>
        <v/>
      </c>
      <c r="L180" s="32">
        <f>IF($A180="","",H180/$D180)</f>
        <v/>
      </c>
      <c r="M180" s="28">
        <f>IF($A180="","",IF(OR(J180+$F180&gt;$D180+0.001,_xlfn.MAXIFS(Stangenbelegung!$H$5:$H$10004,Stangenbelegung!$A$5:$A$10004,$A180)&gt;$D180-$F180+0.001),"ÜBERBELEGT","OK"))</f>
        <v/>
      </c>
      <c r="N180" s="24" t="n"/>
      <c r="O180" s="24" t="n"/>
      <c r="P180" s="9" t="n"/>
      <c r="Q180" s="18">
        <f>IF($A180="","",IFERROR($D180/1000*INDEX(Profile!$K$5:$K$304,MATCH($B180,lst_Profil,0))*INDEX(Werkstoffe!$E$5:$E$304,MATCH($C180,lst_Werkstoff,0))/1000,""))</f>
        <v/>
      </c>
      <c r="R180" s="18">
        <f>IF($A180="","",IF(N(_xlfn.MAXIFS(Auftrag!$AP$13:$AP$512,Auftrag!$D$13:$D$512,$B180,Auftrag!$E$13:$E$512,$C180,Auftrag!$Q$13:$Q$512,$D180))&gt;0,_xlfn.MAXIFS(Auftrag!$AP$13:$AP$512,Auftrag!$D$13:$D$512,$B180,Auftrag!$E$13:$E$512,$C180,Auftrag!$Q$13:$Q$512,$D180)*$D180/1000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9" t="n"/>
      <c r="E181" s="24" t="n"/>
      <c r="F181" s="24" t="n"/>
      <c r="G181" s="12">
        <f>IF($A181="","",COUNTIFS(Stangenbelegung!$A$5:$A$10004,$A181))</f>
        <v/>
      </c>
      <c r="H181" s="35">
        <f>IF($A181="","",SUMIFS(Stangenbelegung!$F$5:$F$10004,Stangenbelegung!$A$5:$A$10004,$A181))</f>
        <v/>
      </c>
      <c r="I181" s="23" t="n"/>
      <c r="J181" s="35">
        <f>IF($A181="","",$E181+H181+$I181)</f>
        <v/>
      </c>
      <c r="K181" s="35">
        <f>IF($A181="","",$D181-J181)</f>
        <v/>
      </c>
      <c r="L181" s="32">
        <f>IF($A181="","",H181/$D181)</f>
        <v/>
      </c>
      <c r="M181" s="28">
        <f>IF($A181="","",IF(OR(J181+$F181&gt;$D181+0.001,_xlfn.MAXIFS(Stangenbelegung!$H$5:$H$10004,Stangenbelegung!$A$5:$A$10004,$A181)&gt;$D181-$F181+0.001),"ÜBERBELEGT","OK"))</f>
        <v/>
      </c>
      <c r="N181" s="24" t="n"/>
      <c r="O181" s="24" t="n"/>
      <c r="P181" s="9" t="n"/>
      <c r="Q181" s="18">
        <f>IF($A181="","",IFERROR($D181/1000*INDEX(Profile!$K$5:$K$304,MATCH($B181,lst_Profil,0))*INDEX(Werkstoffe!$E$5:$E$304,MATCH($C181,lst_Werkstoff,0))/1000,""))</f>
        <v/>
      </c>
      <c r="R181" s="18">
        <f>IF($A181="","",IF(N(_xlfn.MAXIFS(Auftrag!$AP$13:$AP$512,Auftrag!$D$13:$D$512,$B181,Auftrag!$E$13:$E$512,$C181,Auftrag!$Q$13:$Q$512,$D181))&gt;0,_xlfn.MAXIFS(Auftrag!$AP$13:$AP$512,Auftrag!$D$13:$D$512,$B181,Auftrag!$E$13:$E$512,$C181,Auftrag!$Q$13:$Q$512,$D181)*$D181/1000,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9" t="n"/>
      <c r="E182" s="24" t="n"/>
      <c r="F182" s="24" t="n"/>
      <c r="G182" s="12">
        <f>IF($A182="","",COUNTIFS(Stangenbelegung!$A$5:$A$10004,$A182))</f>
        <v/>
      </c>
      <c r="H182" s="35">
        <f>IF($A182="","",SUMIFS(Stangenbelegung!$F$5:$F$10004,Stangenbelegung!$A$5:$A$10004,$A182))</f>
        <v/>
      </c>
      <c r="I182" s="23" t="n"/>
      <c r="J182" s="35">
        <f>IF($A182="","",$E182+H182+$I182)</f>
        <v/>
      </c>
      <c r="K182" s="35">
        <f>IF($A182="","",$D182-J182)</f>
        <v/>
      </c>
      <c r="L182" s="32">
        <f>IF($A182="","",H182/$D182)</f>
        <v/>
      </c>
      <c r="M182" s="28">
        <f>IF($A182="","",IF(OR(J182+$F182&gt;$D182+0.001,_xlfn.MAXIFS(Stangenbelegung!$H$5:$H$10004,Stangenbelegung!$A$5:$A$10004,$A182)&gt;$D182-$F182+0.001),"ÜBERBELEGT","OK"))</f>
        <v/>
      </c>
      <c r="N182" s="24" t="n"/>
      <c r="O182" s="24" t="n"/>
      <c r="P182" s="9" t="n"/>
      <c r="Q182" s="18">
        <f>IF($A182="","",IFERROR($D182/1000*INDEX(Profile!$K$5:$K$304,MATCH($B182,lst_Profil,0))*INDEX(Werkstoffe!$E$5:$E$304,MATCH($C182,lst_Werkstoff,0))/1000,""))</f>
        <v/>
      </c>
      <c r="R182" s="18">
        <f>IF($A182="","",IF(N(_xlfn.MAXIFS(Auftrag!$AP$13:$AP$512,Auftrag!$D$13:$D$512,$B182,Auftrag!$E$13:$E$512,$C182,Auftrag!$Q$13:$Q$512,$D182))&gt;0,_xlfn.MAXIFS(Auftrag!$AP$13:$AP$512,Auftrag!$D$13:$D$512,$B182,Auftrag!$E$13:$E$512,$C182,Auftrag!$Q$13:$Q$512,$D182)*$D182/1000,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9" t="n"/>
      <c r="E183" s="24" t="n"/>
      <c r="F183" s="24" t="n"/>
      <c r="G183" s="12">
        <f>IF($A183="","",COUNTIFS(Stangenbelegung!$A$5:$A$10004,$A183))</f>
        <v/>
      </c>
      <c r="H183" s="35">
        <f>IF($A183="","",SUMIFS(Stangenbelegung!$F$5:$F$10004,Stangenbelegung!$A$5:$A$10004,$A183))</f>
        <v/>
      </c>
      <c r="I183" s="23" t="n"/>
      <c r="J183" s="35">
        <f>IF($A183="","",$E183+H183+$I183)</f>
        <v/>
      </c>
      <c r="K183" s="35">
        <f>IF($A183="","",$D183-J183)</f>
        <v/>
      </c>
      <c r="L183" s="32">
        <f>IF($A183="","",H183/$D183)</f>
        <v/>
      </c>
      <c r="M183" s="28">
        <f>IF($A183="","",IF(OR(J183+$F183&gt;$D183+0.001,_xlfn.MAXIFS(Stangenbelegung!$H$5:$H$10004,Stangenbelegung!$A$5:$A$10004,$A183)&gt;$D183-$F183+0.001),"ÜBERBELEGT","OK"))</f>
        <v/>
      </c>
      <c r="N183" s="24" t="n"/>
      <c r="O183" s="24" t="n"/>
      <c r="P183" s="9" t="n"/>
      <c r="Q183" s="18">
        <f>IF($A183="","",IFERROR($D183/1000*INDEX(Profile!$K$5:$K$304,MATCH($B183,lst_Profil,0))*INDEX(Werkstoffe!$E$5:$E$304,MATCH($C183,lst_Werkstoff,0))/1000,""))</f>
        <v/>
      </c>
      <c r="R183" s="18">
        <f>IF($A183="","",IF(N(_xlfn.MAXIFS(Auftrag!$AP$13:$AP$512,Auftrag!$D$13:$D$512,$B183,Auftrag!$E$13:$E$512,$C183,Auftrag!$Q$13:$Q$512,$D183))&gt;0,_xlfn.MAXIFS(Auftrag!$AP$13:$AP$512,Auftrag!$D$13:$D$512,$B183,Auftrag!$E$13:$E$512,$C183,Auftrag!$Q$13:$Q$512,$D183)*$D183/1000,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9" t="n"/>
      <c r="E184" s="24" t="n"/>
      <c r="F184" s="24" t="n"/>
      <c r="G184" s="12">
        <f>IF($A184="","",COUNTIFS(Stangenbelegung!$A$5:$A$10004,$A184))</f>
        <v/>
      </c>
      <c r="H184" s="35">
        <f>IF($A184="","",SUMIFS(Stangenbelegung!$F$5:$F$10004,Stangenbelegung!$A$5:$A$10004,$A184))</f>
        <v/>
      </c>
      <c r="I184" s="23" t="n"/>
      <c r="J184" s="35">
        <f>IF($A184="","",$E184+H184+$I184)</f>
        <v/>
      </c>
      <c r="K184" s="35">
        <f>IF($A184="","",$D184-J184)</f>
        <v/>
      </c>
      <c r="L184" s="32">
        <f>IF($A184="","",H184/$D184)</f>
        <v/>
      </c>
      <c r="M184" s="28">
        <f>IF($A184="","",IF(OR(J184+$F184&gt;$D184+0.001,_xlfn.MAXIFS(Stangenbelegung!$H$5:$H$10004,Stangenbelegung!$A$5:$A$10004,$A184)&gt;$D184-$F184+0.001),"ÜBERBELEGT","OK"))</f>
        <v/>
      </c>
      <c r="N184" s="24" t="n"/>
      <c r="O184" s="24" t="n"/>
      <c r="P184" s="9" t="n"/>
      <c r="Q184" s="18">
        <f>IF($A184="","",IFERROR($D184/1000*INDEX(Profile!$K$5:$K$304,MATCH($B184,lst_Profil,0))*INDEX(Werkstoffe!$E$5:$E$304,MATCH($C184,lst_Werkstoff,0))/1000,""))</f>
        <v/>
      </c>
      <c r="R184" s="18">
        <f>IF($A184="","",IF(N(_xlfn.MAXIFS(Auftrag!$AP$13:$AP$512,Auftrag!$D$13:$D$512,$B184,Auftrag!$E$13:$E$512,$C184,Auftrag!$Q$13:$Q$512,$D184))&gt;0,_xlfn.MAXIFS(Auftrag!$AP$13:$AP$512,Auftrag!$D$13:$D$512,$B184,Auftrag!$E$13:$E$512,$C184,Auftrag!$Q$13:$Q$512,$D184)*$D184/1000,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9" t="n"/>
      <c r="E185" s="24" t="n"/>
      <c r="F185" s="24" t="n"/>
      <c r="G185" s="12">
        <f>IF($A185="","",COUNTIFS(Stangenbelegung!$A$5:$A$10004,$A185))</f>
        <v/>
      </c>
      <c r="H185" s="35">
        <f>IF($A185="","",SUMIFS(Stangenbelegung!$F$5:$F$10004,Stangenbelegung!$A$5:$A$10004,$A185))</f>
        <v/>
      </c>
      <c r="I185" s="23" t="n"/>
      <c r="J185" s="35">
        <f>IF($A185="","",$E185+H185+$I185)</f>
        <v/>
      </c>
      <c r="K185" s="35">
        <f>IF($A185="","",$D185-J185)</f>
        <v/>
      </c>
      <c r="L185" s="32">
        <f>IF($A185="","",H185/$D185)</f>
        <v/>
      </c>
      <c r="M185" s="28">
        <f>IF($A185="","",IF(OR(J185+$F185&gt;$D185+0.001,_xlfn.MAXIFS(Stangenbelegung!$H$5:$H$10004,Stangenbelegung!$A$5:$A$10004,$A185)&gt;$D185-$F185+0.001),"ÜBERBELEGT","OK"))</f>
        <v/>
      </c>
      <c r="N185" s="24" t="n"/>
      <c r="O185" s="24" t="n"/>
      <c r="P185" s="9" t="n"/>
      <c r="Q185" s="18">
        <f>IF($A185="","",IFERROR($D185/1000*INDEX(Profile!$K$5:$K$304,MATCH($B185,lst_Profil,0))*INDEX(Werkstoffe!$E$5:$E$304,MATCH($C185,lst_Werkstoff,0))/1000,""))</f>
        <v/>
      </c>
      <c r="R185" s="18">
        <f>IF($A185="","",IF(N(_xlfn.MAXIFS(Auftrag!$AP$13:$AP$512,Auftrag!$D$13:$D$512,$B185,Auftrag!$E$13:$E$512,$C185,Auftrag!$Q$13:$Q$512,$D185))&gt;0,_xlfn.MAXIFS(Auftrag!$AP$13:$AP$512,Auftrag!$D$13:$D$512,$B185,Auftrag!$E$13:$E$512,$C185,Auftrag!$Q$13:$Q$512,$D185)*$D185/1000,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9" t="n"/>
      <c r="E186" s="24" t="n"/>
      <c r="F186" s="24" t="n"/>
      <c r="G186" s="12">
        <f>IF($A186="","",COUNTIFS(Stangenbelegung!$A$5:$A$10004,$A186))</f>
        <v/>
      </c>
      <c r="H186" s="35">
        <f>IF($A186="","",SUMIFS(Stangenbelegung!$F$5:$F$10004,Stangenbelegung!$A$5:$A$10004,$A186))</f>
        <v/>
      </c>
      <c r="I186" s="23" t="n"/>
      <c r="J186" s="35">
        <f>IF($A186="","",$E186+H186+$I186)</f>
        <v/>
      </c>
      <c r="K186" s="35">
        <f>IF($A186="","",$D186-J186)</f>
        <v/>
      </c>
      <c r="L186" s="32">
        <f>IF($A186="","",H186/$D186)</f>
        <v/>
      </c>
      <c r="M186" s="28">
        <f>IF($A186="","",IF(OR(J186+$F186&gt;$D186+0.001,_xlfn.MAXIFS(Stangenbelegung!$H$5:$H$10004,Stangenbelegung!$A$5:$A$10004,$A186)&gt;$D186-$F186+0.001),"ÜBERBELEGT","OK"))</f>
        <v/>
      </c>
      <c r="N186" s="24" t="n"/>
      <c r="O186" s="24" t="n"/>
      <c r="P186" s="9" t="n"/>
      <c r="Q186" s="18">
        <f>IF($A186="","",IFERROR($D186/1000*INDEX(Profile!$K$5:$K$304,MATCH($B186,lst_Profil,0))*INDEX(Werkstoffe!$E$5:$E$304,MATCH($C186,lst_Werkstoff,0))/1000,""))</f>
        <v/>
      </c>
      <c r="R186" s="18">
        <f>IF($A186="","",IF(N(_xlfn.MAXIFS(Auftrag!$AP$13:$AP$512,Auftrag!$D$13:$D$512,$B186,Auftrag!$E$13:$E$512,$C186,Auftrag!$Q$13:$Q$512,$D186))&gt;0,_xlfn.MAXIFS(Auftrag!$AP$13:$AP$512,Auftrag!$D$13:$D$512,$B186,Auftrag!$E$13:$E$512,$C186,Auftrag!$Q$13:$Q$512,$D186)*$D186/1000,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9" t="n"/>
      <c r="E187" s="24" t="n"/>
      <c r="F187" s="24" t="n"/>
      <c r="G187" s="12">
        <f>IF($A187="","",COUNTIFS(Stangenbelegung!$A$5:$A$10004,$A187))</f>
        <v/>
      </c>
      <c r="H187" s="35">
        <f>IF($A187="","",SUMIFS(Stangenbelegung!$F$5:$F$10004,Stangenbelegung!$A$5:$A$10004,$A187))</f>
        <v/>
      </c>
      <c r="I187" s="23" t="n"/>
      <c r="J187" s="35">
        <f>IF($A187="","",$E187+H187+$I187)</f>
        <v/>
      </c>
      <c r="K187" s="35">
        <f>IF($A187="","",$D187-J187)</f>
        <v/>
      </c>
      <c r="L187" s="32">
        <f>IF($A187="","",H187/$D187)</f>
        <v/>
      </c>
      <c r="M187" s="28">
        <f>IF($A187="","",IF(OR(J187+$F187&gt;$D187+0.001,_xlfn.MAXIFS(Stangenbelegung!$H$5:$H$10004,Stangenbelegung!$A$5:$A$10004,$A187)&gt;$D187-$F187+0.001),"ÜBERBELEGT","OK"))</f>
        <v/>
      </c>
      <c r="N187" s="24" t="n"/>
      <c r="O187" s="24" t="n"/>
      <c r="P187" s="9" t="n"/>
      <c r="Q187" s="18">
        <f>IF($A187="","",IFERROR($D187/1000*INDEX(Profile!$K$5:$K$304,MATCH($B187,lst_Profil,0))*INDEX(Werkstoffe!$E$5:$E$304,MATCH($C187,lst_Werkstoff,0))/1000,""))</f>
        <v/>
      </c>
      <c r="R187" s="18">
        <f>IF($A187="","",IF(N(_xlfn.MAXIFS(Auftrag!$AP$13:$AP$512,Auftrag!$D$13:$D$512,$B187,Auftrag!$E$13:$E$512,$C187,Auftrag!$Q$13:$Q$512,$D187))&gt;0,_xlfn.MAXIFS(Auftrag!$AP$13:$AP$512,Auftrag!$D$13:$D$512,$B187,Auftrag!$E$13:$E$512,$C187,Auftrag!$Q$13:$Q$512,$D187)*$D187/1000,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9" t="n"/>
      <c r="E188" s="24" t="n"/>
      <c r="F188" s="24" t="n"/>
      <c r="G188" s="12">
        <f>IF($A188="","",COUNTIFS(Stangenbelegung!$A$5:$A$10004,$A188))</f>
        <v/>
      </c>
      <c r="H188" s="35">
        <f>IF($A188="","",SUMIFS(Stangenbelegung!$F$5:$F$10004,Stangenbelegung!$A$5:$A$10004,$A188))</f>
        <v/>
      </c>
      <c r="I188" s="23" t="n"/>
      <c r="J188" s="35">
        <f>IF($A188="","",$E188+H188+$I188)</f>
        <v/>
      </c>
      <c r="K188" s="35">
        <f>IF($A188="","",$D188-J188)</f>
        <v/>
      </c>
      <c r="L188" s="32">
        <f>IF($A188="","",H188/$D188)</f>
        <v/>
      </c>
      <c r="M188" s="28">
        <f>IF($A188="","",IF(OR(J188+$F188&gt;$D188+0.001,_xlfn.MAXIFS(Stangenbelegung!$H$5:$H$10004,Stangenbelegung!$A$5:$A$10004,$A188)&gt;$D188-$F188+0.001),"ÜBERBELEGT","OK"))</f>
        <v/>
      </c>
      <c r="N188" s="24" t="n"/>
      <c r="O188" s="24" t="n"/>
      <c r="P188" s="9" t="n"/>
      <c r="Q188" s="18">
        <f>IF($A188="","",IFERROR($D188/1000*INDEX(Profile!$K$5:$K$304,MATCH($B188,lst_Profil,0))*INDEX(Werkstoffe!$E$5:$E$304,MATCH($C188,lst_Werkstoff,0))/1000,""))</f>
        <v/>
      </c>
      <c r="R188" s="18">
        <f>IF($A188="","",IF(N(_xlfn.MAXIFS(Auftrag!$AP$13:$AP$512,Auftrag!$D$13:$D$512,$B188,Auftrag!$E$13:$E$512,$C188,Auftrag!$Q$13:$Q$512,$D188))&gt;0,_xlfn.MAXIFS(Auftrag!$AP$13:$AP$512,Auftrag!$D$13:$D$512,$B188,Auftrag!$E$13:$E$512,$C188,Auftrag!$Q$13:$Q$512,$D188)*$D188/1000,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9" t="n"/>
      <c r="E189" s="24" t="n"/>
      <c r="F189" s="24" t="n"/>
      <c r="G189" s="12">
        <f>IF($A189="","",COUNTIFS(Stangenbelegung!$A$5:$A$10004,$A189))</f>
        <v/>
      </c>
      <c r="H189" s="35">
        <f>IF($A189="","",SUMIFS(Stangenbelegung!$F$5:$F$10004,Stangenbelegung!$A$5:$A$10004,$A189))</f>
        <v/>
      </c>
      <c r="I189" s="23" t="n"/>
      <c r="J189" s="35">
        <f>IF($A189="","",$E189+H189+$I189)</f>
        <v/>
      </c>
      <c r="K189" s="35">
        <f>IF($A189="","",$D189-J189)</f>
        <v/>
      </c>
      <c r="L189" s="32">
        <f>IF($A189="","",H189/$D189)</f>
        <v/>
      </c>
      <c r="M189" s="28">
        <f>IF($A189="","",IF(OR(J189+$F189&gt;$D189+0.001,_xlfn.MAXIFS(Stangenbelegung!$H$5:$H$10004,Stangenbelegung!$A$5:$A$10004,$A189)&gt;$D189-$F189+0.001),"ÜBERBELEGT","OK"))</f>
        <v/>
      </c>
      <c r="N189" s="24" t="n"/>
      <c r="O189" s="24" t="n"/>
      <c r="P189" s="9" t="n"/>
      <c r="Q189" s="18">
        <f>IF($A189="","",IFERROR($D189/1000*INDEX(Profile!$K$5:$K$304,MATCH($B189,lst_Profil,0))*INDEX(Werkstoffe!$E$5:$E$304,MATCH($C189,lst_Werkstoff,0))/1000,""))</f>
        <v/>
      </c>
      <c r="R189" s="18">
        <f>IF($A189="","",IF(N(_xlfn.MAXIFS(Auftrag!$AP$13:$AP$512,Auftrag!$D$13:$D$512,$B189,Auftrag!$E$13:$E$512,$C189,Auftrag!$Q$13:$Q$512,$D189))&gt;0,_xlfn.MAXIFS(Auftrag!$AP$13:$AP$512,Auftrag!$D$13:$D$512,$B189,Auftrag!$E$13:$E$512,$C189,Auftrag!$Q$13:$Q$512,$D189)*$D189/1000,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9" t="n"/>
      <c r="E190" s="24" t="n"/>
      <c r="F190" s="24" t="n"/>
      <c r="G190" s="12">
        <f>IF($A190="","",COUNTIFS(Stangenbelegung!$A$5:$A$10004,$A190))</f>
        <v/>
      </c>
      <c r="H190" s="35">
        <f>IF($A190="","",SUMIFS(Stangenbelegung!$F$5:$F$10004,Stangenbelegung!$A$5:$A$10004,$A190))</f>
        <v/>
      </c>
      <c r="I190" s="23" t="n"/>
      <c r="J190" s="35">
        <f>IF($A190="","",$E190+H190+$I190)</f>
        <v/>
      </c>
      <c r="K190" s="35">
        <f>IF($A190="","",$D190-J190)</f>
        <v/>
      </c>
      <c r="L190" s="32">
        <f>IF($A190="","",H190/$D190)</f>
        <v/>
      </c>
      <c r="M190" s="28">
        <f>IF($A190="","",IF(OR(J190+$F190&gt;$D190+0.001,_xlfn.MAXIFS(Stangenbelegung!$H$5:$H$10004,Stangenbelegung!$A$5:$A$10004,$A190)&gt;$D190-$F190+0.001),"ÜBERBELEGT","OK"))</f>
        <v/>
      </c>
      <c r="N190" s="24" t="n"/>
      <c r="O190" s="24" t="n"/>
      <c r="P190" s="9" t="n"/>
      <c r="Q190" s="18">
        <f>IF($A190="","",IFERROR($D190/1000*INDEX(Profile!$K$5:$K$304,MATCH($B190,lst_Profil,0))*INDEX(Werkstoffe!$E$5:$E$304,MATCH($C190,lst_Werkstoff,0))/1000,""))</f>
        <v/>
      </c>
      <c r="R190" s="18">
        <f>IF($A190="","",IF(N(_xlfn.MAXIFS(Auftrag!$AP$13:$AP$512,Auftrag!$D$13:$D$512,$B190,Auftrag!$E$13:$E$512,$C190,Auftrag!$Q$13:$Q$512,$D190))&gt;0,_xlfn.MAXIFS(Auftrag!$AP$13:$AP$512,Auftrag!$D$13:$D$512,$B190,Auftrag!$E$13:$E$512,$C190,Auftrag!$Q$13:$Q$512,$D190)*$D190/1000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9" t="n"/>
      <c r="E191" s="24" t="n"/>
      <c r="F191" s="24" t="n"/>
      <c r="G191" s="12">
        <f>IF($A191="","",COUNTIFS(Stangenbelegung!$A$5:$A$10004,$A191))</f>
        <v/>
      </c>
      <c r="H191" s="35">
        <f>IF($A191="","",SUMIFS(Stangenbelegung!$F$5:$F$10004,Stangenbelegung!$A$5:$A$10004,$A191))</f>
        <v/>
      </c>
      <c r="I191" s="23" t="n"/>
      <c r="J191" s="35">
        <f>IF($A191="","",$E191+H191+$I191)</f>
        <v/>
      </c>
      <c r="K191" s="35">
        <f>IF($A191="","",$D191-J191)</f>
        <v/>
      </c>
      <c r="L191" s="32">
        <f>IF($A191="","",H191/$D191)</f>
        <v/>
      </c>
      <c r="M191" s="28">
        <f>IF($A191="","",IF(OR(J191+$F191&gt;$D191+0.001,_xlfn.MAXIFS(Stangenbelegung!$H$5:$H$10004,Stangenbelegung!$A$5:$A$10004,$A191)&gt;$D191-$F191+0.001),"ÜBERBELEGT","OK"))</f>
        <v/>
      </c>
      <c r="N191" s="24" t="n"/>
      <c r="O191" s="24" t="n"/>
      <c r="P191" s="9" t="n"/>
      <c r="Q191" s="18">
        <f>IF($A191="","",IFERROR($D191/1000*INDEX(Profile!$K$5:$K$304,MATCH($B191,lst_Profil,0))*INDEX(Werkstoffe!$E$5:$E$304,MATCH($C191,lst_Werkstoff,0))/1000,""))</f>
        <v/>
      </c>
      <c r="R191" s="18">
        <f>IF($A191="","",IF(N(_xlfn.MAXIFS(Auftrag!$AP$13:$AP$512,Auftrag!$D$13:$D$512,$B191,Auftrag!$E$13:$E$512,$C191,Auftrag!$Q$13:$Q$512,$D191))&gt;0,_xlfn.MAXIFS(Auftrag!$AP$13:$AP$512,Auftrag!$D$13:$D$512,$B191,Auftrag!$E$13:$E$512,$C191,Auftrag!$Q$13:$Q$512,$D191)*$D191/1000,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9" t="n"/>
      <c r="E192" s="24" t="n"/>
      <c r="F192" s="24" t="n"/>
      <c r="G192" s="12">
        <f>IF($A192="","",COUNTIFS(Stangenbelegung!$A$5:$A$10004,$A192))</f>
        <v/>
      </c>
      <c r="H192" s="35">
        <f>IF($A192="","",SUMIFS(Stangenbelegung!$F$5:$F$10004,Stangenbelegung!$A$5:$A$10004,$A192))</f>
        <v/>
      </c>
      <c r="I192" s="23" t="n"/>
      <c r="J192" s="35">
        <f>IF($A192="","",$E192+H192+$I192)</f>
        <v/>
      </c>
      <c r="K192" s="35">
        <f>IF($A192="","",$D192-J192)</f>
        <v/>
      </c>
      <c r="L192" s="32">
        <f>IF($A192="","",H192/$D192)</f>
        <v/>
      </c>
      <c r="M192" s="28">
        <f>IF($A192="","",IF(OR(J192+$F192&gt;$D192+0.001,_xlfn.MAXIFS(Stangenbelegung!$H$5:$H$10004,Stangenbelegung!$A$5:$A$10004,$A192)&gt;$D192-$F192+0.001),"ÜBERBELEGT","OK"))</f>
        <v/>
      </c>
      <c r="N192" s="24" t="n"/>
      <c r="O192" s="24" t="n"/>
      <c r="P192" s="9" t="n"/>
      <c r="Q192" s="18">
        <f>IF($A192="","",IFERROR($D192/1000*INDEX(Profile!$K$5:$K$304,MATCH($B192,lst_Profil,0))*INDEX(Werkstoffe!$E$5:$E$304,MATCH($C192,lst_Werkstoff,0))/1000,""))</f>
        <v/>
      </c>
      <c r="R192" s="18">
        <f>IF($A192="","",IF(N(_xlfn.MAXIFS(Auftrag!$AP$13:$AP$512,Auftrag!$D$13:$D$512,$B192,Auftrag!$E$13:$E$512,$C192,Auftrag!$Q$13:$Q$512,$D192))&gt;0,_xlfn.MAXIFS(Auftrag!$AP$13:$AP$512,Auftrag!$D$13:$D$512,$B192,Auftrag!$E$13:$E$512,$C192,Auftrag!$Q$13:$Q$512,$D192)*$D192/1000,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9" t="n"/>
      <c r="E193" s="24" t="n"/>
      <c r="F193" s="24" t="n"/>
      <c r="G193" s="12">
        <f>IF($A193="","",COUNTIFS(Stangenbelegung!$A$5:$A$10004,$A193))</f>
        <v/>
      </c>
      <c r="H193" s="35">
        <f>IF($A193="","",SUMIFS(Stangenbelegung!$F$5:$F$10004,Stangenbelegung!$A$5:$A$10004,$A193))</f>
        <v/>
      </c>
      <c r="I193" s="23" t="n"/>
      <c r="J193" s="35">
        <f>IF($A193="","",$E193+H193+$I193)</f>
        <v/>
      </c>
      <c r="K193" s="35">
        <f>IF($A193="","",$D193-J193)</f>
        <v/>
      </c>
      <c r="L193" s="32">
        <f>IF($A193="","",H193/$D193)</f>
        <v/>
      </c>
      <c r="M193" s="28">
        <f>IF($A193="","",IF(OR(J193+$F193&gt;$D193+0.001,_xlfn.MAXIFS(Stangenbelegung!$H$5:$H$10004,Stangenbelegung!$A$5:$A$10004,$A193)&gt;$D193-$F193+0.001),"ÜBERBELEGT","OK"))</f>
        <v/>
      </c>
      <c r="N193" s="24" t="n"/>
      <c r="O193" s="24" t="n"/>
      <c r="P193" s="9" t="n"/>
      <c r="Q193" s="18">
        <f>IF($A193="","",IFERROR($D193/1000*INDEX(Profile!$K$5:$K$304,MATCH($B193,lst_Profil,0))*INDEX(Werkstoffe!$E$5:$E$304,MATCH($C193,lst_Werkstoff,0))/1000,""))</f>
        <v/>
      </c>
      <c r="R193" s="18">
        <f>IF($A193="","",IF(N(_xlfn.MAXIFS(Auftrag!$AP$13:$AP$512,Auftrag!$D$13:$D$512,$B193,Auftrag!$E$13:$E$512,$C193,Auftrag!$Q$13:$Q$512,$D193))&gt;0,_xlfn.MAXIFS(Auftrag!$AP$13:$AP$512,Auftrag!$D$13:$D$512,$B193,Auftrag!$E$13:$E$512,$C193,Auftrag!$Q$13:$Q$512,$D193)*$D193/1000,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9" t="n"/>
      <c r="E194" s="24" t="n"/>
      <c r="F194" s="24" t="n"/>
      <c r="G194" s="12">
        <f>IF($A194="","",COUNTIFS(Stangenbelegung!$A$5:$A$10004,$A194))</f>
        <v/>
      </c>
      <c r="H194" s="35">
        <f>IF($A194="","",SUMIFS(Stangenbelegung!$F$5:$F$10004,Stangenbelegung!$A$5:$A$10004,$A194))</f>
        <v/>
      </c>
      <c r="I194" s="23" t="n"/>
      <c r="J194" s="35">
        <f>IF($A194="","",$E194+H194+$I194)</f>
        <v/>
      </c>
      <c r="K194" s="35">
        <f>IF($A194="","",$D194-J194)</f>
        <v/>
      </c>
      <c r="L194" s="32">
        <f>IF($A194="","",H194/$D194)</f>
        <v/>
      </c>
      <c r="M194" s="28">
        <f>IF($A194="","",IF(OR(J194+$F194&gt;$D194+0.001,_xlfn.MAXIFS(Stangenbelegung!$H$5:$H$10004,Stangenbelegung!$A$5:$A$10004,$A194)&gt;$D194-$F194+0.001),"ÜBERBELEGT","OK"))</f>
        <v/>
      </c>
      <c r="N194" s="24" t="n"/>
      <c r="O194" s="24" t="n"/>
      <c r="P194" s="9" t="n"/>
      <c r="Q194" s="18">
        <f>IF($A194="","",IFERROR($D194/1000*INDEX(Profile!$K$5:$K$304,MATCH($B194,lst_Profil,0))*INDEX(Werkstoffe!$E$5:$E$304,MATCH($C194,lst_Werkstoff,0))/1000,""))</f>
        <v/>
      </c>
      <c r="R194" s="18">
        <f>IF($A194="","",IF(N(_xlfn.MAXIFS(Auftrag!$AP$13:$AP$512,Auftrag!$D$13:$D$512,$B194,Auftrag!$E$13:$E$512,$C194,Auftrag!$Q$13:$Q$512,$D194))&gt;0,_xlfn.MAXIFS(Auftrag!$AP$13:$AP$512,Auftrag!$D$13:$D$512,$B194,Auftrag!$E$13:$E$512,$C194,Auftrag!$Q$13:$Q$512,$D194)*$D194/1000,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9" t="n"/>
      <c r="E195" s="24" t="n"/>
      <c r="F195" s="24" t="n"/>
      <c r="G195" s="12">
        <f>IF($A195="","",COUNTIFS(Stangenbelegung!$A$5:$A$10004,$A195))</f>
        <v/>
      </c>
      <c r="H195" s="35">
        <f>IF($A195="","",SUMIFS(Stangenbelegung!$F$5:$F$10004,Stangenbelegung!$A$5:$A$10004,$A195))</f>
        <v/>
      </c>
      <c r="I195" s="23" t="n"/>
      <c r="J195" s="35">
        <f>IF($A195="","",$E195+H195+$I195)</f>
        <v/>
      </c>
      <c r="K195" s="35">
        <f>IF($A195="","",$D195-J195)</f>
        <v/>
      </c>
      <c r="L195" s="32">
        <f>IF($A195="","",H195/$D195)</f>
        <v/>
      </c>
      <c r="M195" s="28">
        <f>IF($A195="","",IF(OR(J195+$F195&gt;$D195+0.001,_xlfn.MAXIFS(Stangenbelegung!$H$5:$H$10004,Stangenbelegung!$A$5:$A$10004,$A195)&gt;$D195-$F195+0.001),"ÜBERBELEGT","OK"))</f>
        <v/>
      </c>
      <c r="N195" s="24" t="n"/>
      <c r="O195" s="24" t="n"/>
      <c r="P195" s="9" t="n"/>
      <c r="Q195" s="18">
        <f>IF($A195="","",IFERROR($D195/1000*INDEX(Profile!$K$5:$K$304,MATCH($B195,lst_Profil,0))*INDEX(Werkstoffe!$E$5:$E$304,MATCH($C195,lst_Werkstoff,0))/1000,""))</f>
        <v/>
      </c>
      <c r="R195" s="18">
        <f>IF($A195="","",IF(N(_xlfn.MAXIFS(Auftrag!$AP$13:$AP$512,Auftrag!$D$13:$D$512,$B195,Auftrag!$E$13:$E$512,$C195,Auftrag!$Q$13:$Q$512,$D195))&gt;0,_xlfn.MAXIFS(Auftrag!$AP$13:$AP$512,Auftrag!$D$13:$D$512,$B195,Auftrag!$E$13:$E$512,$C195,Auftrag!$Q$13:$Q$512,$D195)*$D195/1000,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9" t="n"/>
      <c r="E196" s="24" t="n"/>
      <c r="F196" s="24" t="n"/>
      <c r="G196" s="12">
        <f>IF($A196="","",COUNTIFS(Stangenbelegung!$A$5:$A$10004,$A196))</f>
        <v/>
      </c>
      <c r="H196" s="35">
        <f>IF($A196="","",SUMIFS(Stangenbelegung!$F$5:$F$10004,Stangenbelegung!$A$5:$A$10004,$A196))</f>
        <v/>
      </c>
      <c r="I196" s="23" t="n"/>
      <c r="J196" s="35">
        <f>IF($A196="","",$E196+H196+$I196)</f>
        <v/>
      </c>
      <c r="K196" s="35">
        <f>IF($A196="","",$D196-J196)</f>
        <v/>
      </c>
      <c r="L196" s="32">
        <f>IF($A196="","",H196/$D196)</f>
        <v/>
      </c>
      <c r="M196" s="28">
        <f>IF($A196="","",IF(OR(J196+$F196&gt;$D196+0.001,_xlfn.MAXIFS(Stangenbelegung!$H$5:$H$10004,Stangenbelegung!$A$5:$A$10004,$A196)&gt;$D196-$F196+0.001),"ÜBERBELEGT","OK"))</f>
        <v/>
      </c>
      <c r="N196" s="24" t="n"/>
      <c r="O196" s="24" t="n"/>
      <c r="P196" s="9" t="n"/>
      <c r="Q196" s="18">
        <f>IF($A196="","",IFERROR($D196/1000*INDEX(Profile!$K$5:$K$304,MATCH($B196,lst_Profil,0))*INDEX(Werkstoffe!$E$5:$E$304,MATCH($C196,lst_Werkstoff,0))/1000,""))</f>
        <v/>
      </c>
      <c r="R196" s="18">
        <f>IF($A196="","",IF(N(_xlfn.MAXIFS(Auftrag!$AP$13:$AP$512,Auftrag!$D$13:$D$512,$B196,Auftrag!$E$13:$E$512,$C196,Auftrag!$Q$13:$Q$512,$D196))&gt;0,_xlfn.MAXIFS(Auftrag!$AP$13:$AP$512,Auftrag!$D$13:$D$512,$B196,Auftrag!$E$13:$E$512,$C196,Auftrag!$Q$13:$Q$512,$D196)*$D196/1000,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9" t="n"/>
      <c r="E197" s="24" t="n"/>
      <c r="F197" s="24" t="n"/>
      <c r="G197" s="12">
        <f>IF($A197="","",COUNTIFS(Stangenbelegung!$A$5:$A$10004,$A197))</f>
        <v/>
      </c>
      <c r="H197" s="35">
        <f>IF($A197="","",SUMIFS(Stangenbelegung!$F$5:$F$10004,Stangenbelegung!$A$5:$A$10004,$A197))</f>
        <v/>
      </c>
      <c r="I197" s="23" t="n"/>
      <c r="J197" s="35">
        <f>IF($A197="","",$E197+H197+$I197)</f>
        <v/>
      </c>
      <c r="K197" s="35">
        <f>IF($A197="","",$D197-J197)</f>
        <v/>
      </c>
      <c r="L197" s="32">
        <f>IF($A197="","",H197/$D197)</f>
        <v/>
      </c>
      <c r="M197" s="28">
        <f>IF($A197="","",IF(OR(J197+$F197&gt;$D197+0.001,_xlfn.MAXIFS(Stangenbelegung!$H$5:$H$10004,Stangenbelegung!$A$5:$A$10004,$A197)&gt;$D197-$F197+0.001),"ÜBERBELEGT","OK"))</f>
        <v/>
      </c>
      <c r="N197" s="24" t="n"/>
      <c r="O197" s="24" t="n"/>
      <c r="P197" s="9" t="n"/>
      <c r="Q197" s="18">
        <f>IF($A197="","",IFERROR($D197/1000*INDEX(Profile!$K$5:$K$304,MATCH($B197,lst_Profil,0))*INDEX(Werkstoffe!$E$5:$E$304,MATCH($C197,lst_Werkstoff,0))/1000,""))</f>
        <v/>
      </c>
      <c r="R197" s="18">
        <f>IF($A197="","",IF(N(_xlfn.MAXIFS(Auftrag!$AP$13:$AP$512,Auftrag!$D$13:$D$512,$B197,Auftrag!$E$13:$E$512,$C197,Auftrag!$Q$13:$Q$512,$D197))&gt;0,_xlfn.MAXIFS(Auftrag!$AP$13:$AP$512,Auftrag!$D$13:$D$512,$B197,Auftrag!$E$13:$E$512,$C197,Auftrag!$Q$13:$Q$512,$D197)*$D197/1000,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9" t="n"/>
      <c r="E198" s="24" t="n"/>
      <c r="F198" s="24" t="n"/>
      <c r="G198" s="12">
        <f>IF($A198="","",COUNTIFS(Stangenbelegung!$A$5:$A$10004,$A198))</f>
        <v/>
      </c>
      <c r="H198" s="35">
        <f>IF($A198="","",SUMIFS(Stangenbelegung!$F$5:$F$10004,Stangenbelegung!$A$5:$A$10004,$A198))</f>
        <v/>
      </c>
      <c r="I198" s="23" t="n"/>
      <c r="J198" s="35">
        <f>IF($A198="","",$E198+H198+$I198)</f>
        <v/>
      </c>
      <c r="K198" s="35">
        <f>IF($A198="","",$D198-J198)</f>
        <v/>
      </c>
      <c r="L198" s="32">
        <f>IF($A198="","",H198/$D198)</f>
        <v/>
      </c>
      <c r="M198" s="28">
        <f>IF($A198="","",IF(OR(J198+$F198&gt;$D198+0.001,_xlfn.MAXIFS(Stangenbelegung!$H$5:$H$10004,Stangenbelegung!$A$5:$A$10004,$A198)&gt;$D198-$F198+0.001),"ÜBERBELEGT","OK"))</f>
        <v/>
      </c>
      <c r="N198" s="24" t="n"/>
      <c r="O198" s="24" t="n"/>
      <c r="P198" s="9" t="n"/>
      <c r="Q198" s="18">
        <f>IF($A198="","",IFERROR($D198/1000*INDEX(Profile!$K$5:$K$304,MATCH($B198,lst_Profil,0))*INDEX(Werkstoffe!$E$5:$E$304,MATCH($C198,lst_Werkstoff,0))/1000,""))</f>
        <v/>
      </c>
      <c r="R198" s="18">
        <f>IF($A198="","",IF(N(_xlfn.MAXIFS(Auftrag!$AP$13:$AP$512,Auftrag!$D$13:$D$512,$B198,Auftrag!$E$13:$E$512,$C198,Auftrag!$Q$13:$Q$512,$D198))&gt;0,_xlfn.MAXIFS(Auftrag!$AP$13:$AP$512,Auftrag!$D$13:$D$512,$B198,Auftrag!$E$13:$E$512,$C198,Auftrag!$Q$13:$Q$512,$D198)*$D198/1000,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9" t="n"/>
      <c r="E199" s="24" t="n"/>
      <c r="F199" s="24" t="n"/>
      <c r="G199" s="12">
        <f>IF($A199="","",COUNTIFS(Stangenbelegung!$A$5:$A$10004,$A199))</f>
        <v/>
      </c>
      <c r="H199" s="35">
        <f>IF($A199="","",SUMIFS(Stangenbelegung!$F$5:$F$10004,Stangenbelegung!$A$5:$A$10004,$A199))</f>
        <v/>
      </c>
      <c r="I199" s="23" t="n"/>
      <c r="J199" s="35">
        <f>IF($A199="","",$E199+H199+$I199)</f>
        <v/>
      </c>
      <c r="K199" s="35">
        <f>IF($A199="","",$D199-J199)</f>
        <v/>
      </c>
      <c r="L199" s="32">
        <f>IF($A199="","",H199/$D199)</f>
        <v/>
      </c>
      <c r="M199" s="28">
        <f>IF($A199="","",IF(OR(J199+$F199&gt;$D199+0.001,_xlfn.MAXIFS(Stangenbelegung!$H$5:$H$10004,Stangenbelegung!$A$5:$A$10004,$A199)&gt;$D199-$F199+0.001),"ÜBERBELEGT","OK"))</f>
        <v/>
      </c>
      <c r="N199" s="24" t="n"/>
      <c r="O199" s="24" t="n"/>
      <c r="P199" s="9" t="n"/>
      <c r="Q199" s="18">
        <f>IF($A199="","",IFERROR($D199/1000*INDEX(Profile!$K$5:$K$304,MATCH($B199,lst_Profil,0))*INDEX(Werkstoffe!$E$5:$E$304,MATCH($C199,lst_Werkstoff,0))/1000,""))</f>
        <v/>
      </c>
      <c r="R199" s="18">
        <f>IF($A199="","",IF(N(_xlfn.MAXIFS(Auftrag!$AP$13:$AP$512,Auftrag!$D$13:$D$512,$B199,Auftrag!$E$13:$E$512,$C199,Auftrag!$Q$13:$Q$512,$D199))&gt;0,_xlfn.MAXIFS(Auftrag!$AP$13:$AP$512,Auftrag!$D$13:$D$512,$B199,Auftrag!$E$13:$E$512,$C199,Auftrag!$Q$13:$Q$512,$D199)*$D199/1000,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9" t="n"/>
      <c r="E200" s="24" t="n"/>
      <c r="F200" s="24" t="n"/>
      <c r="G200" s="12">
        <f>IF($A200="","",COUNTIFS(Stangenbelegung!$A$5:$A$10004,$A200))</f>
        <v/>
      </c>
      <c r="H200" s="35">
        <f>IF($A200="","",SUMIFS(Stangenbelegung!$F$5:$F$10004,Stangenbelegung!$A$5:$A$10004,$A200))</f>
        <v/>
      </c>
      <c r="I200" s="23" t="n"/>
      <c r="J200" s="35">
        <f>IF($A200="","",$E200+H200+$I200)</f>
        <v/>
      </c>
      <c r="K200" s="35">
        <f>IF($A200="","",$D200-J200)</f>
        <v/>
      </c>
      <c r="L200" s="32">
        <f>IF($A200="","",H200/$D200)</f>
        <v/>
      </c>
      <c r="M200" s="28">
        <f>IF($A200="","",IF(OR(J200+$F200&gt;$D200+0.001,_xlfn.MAXIFS(Stangenbelegung!$H$5:$H$10004,Stangenbelegung!$A$5:$A$10004,$A200)&gt;$D200-$F200+0.001),"ÜBERBELEGT","OK"))</f>
        <v/>
      </c>
      <c r="N200" s="24" t="n"/>
      <c r="O200" s="24" t="n"/>
      <c r="P200" s="9" t="n"/>
      <c r="Q200" s="18">
        <f>IF($A200="","",IFERROR($D200/1000*INDEX(Profile!$K$5:$K$304,MATCH($B200,lst_Profil,0))*INDEX(Werkstoffe!$E$5:$E$304,MATCH($C200,lst_Werkstoff,0))/1000,""))</f>
        <v/>
      </c>
      <c r="R200" s="18">
        <f>IF($A200="","",IF(N(_xlfn.MAXIFS(Auftrag!$AP$13:$AP$512,Auftrag!$D$13:$D$512,$B200,Auftrag!$E$13:$E$512,$C200,Auftrag!$Q$13:$Q$512,$D200))&gt;0,_xlfn.MAXIFS(Auftrag!$AP$13:$AP$512,Auftrag!$D$13:$D$512,$B200,Auftrag!$E$13:$E$512,$C200,Auftrag!$Q$13:$Q$512,$D200)*$D200/1000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9" t="n"/>
      <c r="E201" s="24" t="n"/>
      <c r="F201" s="24" t="n"/>
      <c r="G201" s="12">
        <f>IF($A201="","",COUNTIFS(Stangenbelegung!$A$5:$A$10004,$A201))</f>
        <v/>
      </c>
      <c r="H201" s="35">
        <f>IF($A201="","",SUMIFS(Stangenbelegung!$F$5:$F$10004,Stangenbelegung!$A$5:$A$10004,$A201))</f>
        <v/>
      </c>
      <c r="I201" s="23" t="n"/>
      <c r="J201" s="35">
        <f>IF($A201="","",$E201+H201+$I201)</f>
        <v/>
      </c>
      <c r="K201" s="35">
        <f>IF($A201="","",$D201-J201)</f>
        <v/>
      </c>
      <c r="L201" s="32">
        <f>IF($A201="","",H201/$D201)</f>
        <v/>
      </c>
      <c r="M201" s="28">
        <f>IF($A201="","",IF(OR(J201+$F201&gt;$D201+0.001,_xlfn.MAXIFS(Stangenbelegung!$H$5:$H$10004,Stangenbelegung!$A$5:$A$10004,$A201)&gt;$D201-$F201+0.001),"ÜBERBELEGT","OK"))</f>
        <v/>
      </c>
      <c r="N201" s="24" t="n"/>
      <c r="O201" s="24" t="n"/>
      <c r="P201" s="9" t="n"/>
      <c r="Q201" s="18">
        <f>IF($A201="","",IFERROR($D201/1000*INDEX(Profile!$K$5:$K$304,MATCH($B201,lst_Profil,0))*INDEX(Werkstoffe!$E$5:$E$304,MATCH($C201,lst_Werkstoff,0))/1000,""))</f>
        <v/>
      </c>
      <c r="R201" s="18">
        <f>IF($A201="","",IF(N(_xlfn.MAXIFS(Auftrag!$AP$13:$AP$512,Auftrag!$D$13:$D$512,$B201,Auftrag!$E$13:$E$512,$C201,Auftrag!$Q$13:$Q$512,$D201))&gt;0,_xlfn.MAXIFS(Auftrag!$AP$13:$AP$512,Auftrag!$D$13:$D$512,$B201,Auftrag!$E$13:$E$512,$C201,Auftrag!$Q$13:$Q$512,$D201)*$D201/1000,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9" t="n"/>
      <c r="E202" s="24" t="n"/>
      <c r="F202" s="24" t="n"/>
      <c r="G202" s="12">
        <f>IF($A202="","",COUNTIFS(Stangenbelegung!$A$5:$A$10004,$A202))</f>
        <v/>
      </c>
      <c r="H202" s="35">
        <f>IF($A202="","",SUMIFS(Stangenbelegung!$F$5:$F$10004,Stangenbelegung!$A$5:$A$10004,$A202))</f>
        <v/>
      </c>
      <c r="I202" s="23" t="n"/>
      <c r="J202" s="35">
        <f>IF($A202="","",$E202+H202+$I202)</f>
        <v/>
      </c>
      <c r="K202" s="35">
        <f>IF($A202="","",$D202-J202)</f>
        <v/>
      </c>
      <c r="L202" s="32">
        <f>IF($A202="","",H202/$D202)</f>
        <v/>
      </c>
      <c r="M202" s="28">
        <f>IF($A202="","",IF(OR(J202+$F202&gt;$D202+0.001,_xlfn.MAXIFS(Stangenbelegung!$H$5:$H$10004,Stangenbelegung!$A$5:$A$10004,$A202)&gt;$D202-$F202+0.001),"ÜBERBELEGT","OK"))</f>
        <v/>
      </c>
      <c r="N202" s="24" t="n"/>
      <c r="O202" s="24" t="n"/>
      <c r="P202" s="9" t="n"/>
      <c r="Q202" s="18">
        <f>IF($A202="","",IFERROR($D202/1000*INDEX(Profile!$K$5:$K$304,MATCH($B202,lst_Profil,0))*INDEX(Werkstoffe!$E$5:$E$304,MATCH($C202,lst_Werkstoff,0))/1000,""))</f>
        <v/>
      </c>
      <c r="R202" s="18">
        <f>IF($A202="","",IF(N(_xlfn.MAXIFS(Auftrag!$AP$13:$AP$512,Auftrag!$D$13:$D$512,$B202,Auftrag!$E$13:$E$512,$C202,Auftrag!$Q$13:$Q$512,$D202))&gt;0,_xlfn.MAXIFS(Auftrag!$AP$13:$AP$512,Auftrag!$D$13:$D$512,$B202,Auftrag!$E$13:$E$512,$C202,Auftrag!$Q$13:$Q$512,$D202)*$D202/1000,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9" t="n"/>
      <c r="E203" s="24" t="n"/>
      <c r="F203" s="24" t="n"/>
      <c r="G203" s="12">
        <f>IF($A203="","",COUNTIFS(Stangenbelegung!$A$5:$A$10004,$A203))</f>
        <v/>
      </c>
      <c r="H203" s="35">
        <f>IF($A203="","",SUMIFS(Stangenbelegung!$F$5:$F$10004,Stangenbelegung!$A$5:$A$10004,$A203))</f>
        <v/>
      </c>
      <c r="I203" s="23" t="n"/>
      <c r="J203" s="35">
        <f>IF($A203="","",$E203+H203+$I203)</f>
        <v/>
      </c>
      <c r="K203" s="35">
        <f>IF($A203="","",$D203-J203)</f>
        <v/>
      </c>
      <c r="L203" s="32">
        <f>IF($A203="","",H203/$D203)</f>
        <v/>
      </c>
      <c r="M203" s="28">
        <f>IF($A203="","",IF(OR(J203+$F203&gt;$D203+0.001,_xlfn.MAXIFS(Stangenbelegung!$H$5:$H$10004,Stangenbelegung!$A$5:$A$10004,$A203)&gt;$D203-$F203+0.001),"ÜBERBELEGT","OK"))</f>
        <v/>
      </c>
      <c r="N203" s="24" t="n"/>
      <c r="O203" s="24" t="n"/>
      <c r="P203" s="9" t="n"/>
      <c r="Q203" s="18">
        <f>IF($A203="","",IFERROR($D203/1000*INDEX(Profile!$K$5:$K$304,MATCH($B203,lst_Profil,0))*INDEX(Werkstoffe!$E$5:$E$304,MATCH($C203,lst_Werkstoff,0))/1000,""))</f>
        <v/>
      </c>
      <c r="R203" s="18">
        <f>IF($A203="","",IF(N(_xlfn.MAXIFS(Auftrag!$AP$13:$AP$512,Auftrag!$D$13:$D$512,$B203,Auftrag!$E$13:$E$512,$C203,Auftrag!$Q$13:$Q$512,$D203))&gt;0,_xlfn.MAXIFS(Auftrag!$AP$13:$AP$512,Auftrag!$D$13:$D$512,$B203,Auftrag!$E$13:$E$512,$C203,Auftrag!$Q$13:$Q$512,$D203)*$D203/1000,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9" t="n"/>
      <c r="E204" s="24" t="n"/>
      <c r="F204" s="24" t="n"/>
      <c r="G204" s="12">
        <f>IF($A204="","",COUNTIFS(Stangenbelegung!$A$5:$A$10004,$A204))</f>
        <v/>
      </c>
      <c r="H204" s="35">
        <f>IF($A204="","",SUMIFS(Stangenbelegung!$F$5:$F$10004,Stangenbelegung!$A$5:$A$10004,$A204))</f>
        <v/>
      </c>
      <c r="I204" s="23" t="n"/>
      <c r="J204" s="35">
        <f>IF($A204="","",$E204+H204+$I204)</f>
        <v/>
      </c>
      <c r="K204" s="35">
        <f>IF($A204="","",$D204-J204)</f>
        <v/>
      </c>
      <c r="L204" s="32">
        <f>IF($A204="","",H204/$D204)</f>
        <v/>
      </c>
      <c r="M204" s="28">
        <f>IF($A204="","",IF(OR(J204+$F204&gt;$D204+0.001,_xlfn.MAXIFS(Stangenbelegung!$H$5:$H$10004,Stangenbelegung!$A$5:$A$10004,$A204)&gt;$D204-$F204+0.001),"ÜBERBELEGT","OK"))</f>
        <v/>
      </c>
      <c r="N204" s="24" t="n"/>
      <c r="O204" s="24" t="n"/>
      <c r="P204" s="9" t="n"/>
      <c r="Q204" s="18">
        <f>IF($A204="","",IFERROR($D204/1000*INDEX(Profile!$K$5:$K$304,MATCH($B204,lst_Profil,0))*INDEX(Werkstoffe!$E$5:$E$304,MATCH($C204,lst_Werkstoff,0))/1000,""))</f>
        <v/>
      </c>
      <c r="R204" s="18">
        <f>IF($A204="","",IF(N(_xlfn.MAXIFS(Auftrag!$AP$13:$AP$512,Auftrag!$D$13:$D$512,$B204,Auftrag!$E$13:$E$512,$C204,Auftrag!$Q$13:$Q$512,$D204))&gt;0,_xlfn.MAXIFS(Auftrag!$AP$13:$AP$512,Auftrag!$D$13:$D$512,$B204,Auftrag!$E$13:$E$512,$C204,Auftrag!$Q$13:$Q$512,$D204)*$D204/1000,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9" t="n"/>
      <c r="E205" s="24" t="n"/>
      <c r="F205" s="24" t="n"/>
      <c r="G205" s="12">
        <f>IF($A205="","",COUNTIFS(Stangenbelegung!$A$5:$A$10004,$A205))</f>
        <v/>
      </c>
      <c r="H205" s="35">
        <f>IF($A205="","",SUMIFS(Stangenbelegung!$F$5:$F$10004,Stangenbelegung!$A$5:$A$10004,$A205))</f>
        <v/>
      </c>
      <c r="I205" s="23" t="n"/>
      <c r="J205" s="35">
        <f>IF($A205="","",$E205+H205+$I205)</f>
        <v/>
      </c>
      <c r="K205" s="35">
        <f>IF($A205="","",$D205-J205)</f>
        <v/>
      </c>
      <c r="L205" s="32">
        <f>IF($A205="","",H205/$D205)</f>
        <v/>
      </c>
      <c r="M205" s="28">
        <f>IF($A205="","",IF(OR(J205+$F205&gt;$D205+0.001,_xlfn.MAXIFS(Stangenbelegung!$H$5:$H$10004,Stangenbelegung!$A$5:$A$10004,$A205)&gt;$D205-$F205+0.001),"ÜBERBELEGT","OK"))</f>
        <v/>
      </c>
      <c r="N205" s="24" t="n"/>
      <c r="O205" s="24" t="n"/>
      <c r="P205" s="9" t="n"/>
      <c r="Q205" s="18">
        <f>IF($A205="","",IFERROR($D205/1000*INDEX(Profile!$K$5:$K$304,MATCH($B205,lst_Profil,0))*INDEX(Werkstoffe!$E$5:$E$304,MATCH($C205,lst_Werkstoff,0))/1000,""))</f>
        <v/>
      </c>
      <c r="R205" s="18">
        <f>IF($A205="","",IF(N(_xlfn.MAXIFS(Auftrag!$AP$13:$AP$512,Auftrag!$D$13:$D$512,$B205,Auftrag!$E$13:$E$512,$C205,Auftrag!$Q$13:$Q$512,$D205))&gt;0,_xlfn.MAXIFS(Auftrag!$AP$13:$AP$512,Auftrag!$D$13:$D$512,$B205,Auftrag!$E$13:$E$512,$C205,Auftrag!$Q$13:$Q$512,$D205)*$D205/1000,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9" t="n"/>
      <c r="E206" s="24" t="n"/>
      <c r="F206" s="24" t="n"/>
      <c r="G206" s="12">
        <f>IF($A206="","",COUNTIFS(Stangenbelegung!$A$5:$A$10004,$A206))</f>
        <v/>
      </c>
      <c r="H206" s="35">
        <f>IF($A206="","",SUMIFS(Stangenbelegung!$F$5:$F$10004,Stangenbelegung!$A$5:$A$10004,$A206))</f>
        <v/>
      </c>
      <c r="I206" s="23" t="n"/>
      <c r="J206" s="35">
        <f>IF($A206="","",$E206+H206+$I206)</f>
        <v/>
      </c>
      <c r="K206" s="35">
        <f>IF($A206="","",$D206-J206)</f>
        <v/>
      </c>
      <c r="L206" s="32">
        <f>IF($A206="","",H206/$D206)</f>
        <v/>
      </c>
      <c r="M206" s="28">
        <f>IF($A206="","",IF(OR(J206+$F206&gt;$D206+0.001,_xlfn.MAXIFS(Stangenbelegung!$H$5:$H$10004,Stangenbelegung!$A$5:$A$10004,$A206)&gt;$D206-$F206+0.001),"ÜBERBELEGT","OK"))</f>
        <v/>
      </c>
      <c r="N206" s="24" t="n"/>
      <c r="O206" s="24" t="n"/>
      <c r="P206" s="9" t="n"/>
      <c r="Q206" s="18">
        <f>IF($A206="","",IFERROR($D206/1000*INDEX(Profile!$K$5:$K$304,MATCH($B206,lst_Profil,0))*INDEX(Werkstoffe!$E$5:$E$304,MATCH($C206,lst_Werkstoff,0))/1000,""))</f>
        <v/>
      </c>
      <c r="R206" s="18">
        <f>IF($A206="","",IF(N(_xlfn.MAXIFS(Auftrag!$AP$13:$AP$512,Auftrag!$D$13:$D$512,$B206,Auftrag!$E$13:$E$512,$C206,Auftrag!$Q$13:$Q$512,$D206))&gt;0,_xlfn.MAXIFS(Auftrag!$AP$13:$AP$512,Auftrag!$D$13:$D$512,$B206,Auftrag!$E$13:$E$512,$C206,Auftrag!$Q$13:$Q$512,$D206)*$D206/1000,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9" t="n"/>
      <c r="E207" s="24" t="n"/>
      <c r="F207" s="24" t="n"/>
      <c r="G207" s="12">
        <f>IF($A207="","",COUNTIFS(Stangenbelegung!$A$5:$A$10004,$A207))</f>
        <v/>
      </c>
      <c r="H207" s="35">
        <f>IF($A207="","",SUMIFS(Stangenbelegung!$F$5:$F$10004,Stangenbelegung!$A$5:$A$10004,$A207))</f>
        <v/>
      </c>
      <c r="I207" s="23" t="n"/>
      <c r="J207" s="35">
        <f>IF($A207="","",$E207+H207+$I207)</f>
        <v/>
      </c>
      <c r="K207" s="35">
        <f>IF($A207="","",$D207-J207)</f>
        <v/>
      </c>
      <c r="L207" s="32">
        <f>IF($A207="","",H207/$D207)</f>
        <v/>
      </c>
      <c r="M207" s="28">
        <f>IF($A207="","",IF(OR(J207+$F207&gt;$D207+0.001,_xlfn.MAXIFS(Stangenbelegung!$H$5:$H$10004,Stangenbelegung!$A$5:$A$10004,$A207)&gt;$D207-$F207+0.001),"ÜBERBELEGT","OK"))</f>
        <v/>
      </c>
      <c r="N207" s="24" t="n"/>
      <c r="O207" s="24" t="n"/>
      <c r="P207" s="9" t="n"/>
      <c r="Q207" s="18">
        <f>IF($A207="","",IFERROR($D207/1000*INDEX(Profile!$K$5:$K$304,MATCH($B207,lst_Profil,0))*INDEX(Werkstoffe!$E$5:$E$304,MATCH($C207,lst_Werkstoff,0))/1000,""))</f>
        <v/>
      </c>
      <c r="R207" s="18">
        <f>IF($A207="","",IF(N(_xlfn.MAXIFS(Auftrag!$AP$13:$AP$512,Auftrag!$D$13:$D$512,$B207,Auftrag!$E$13:$E$512,$C207,Auftrag!$Q$13:$Q$512,$D207))&gt;0,_xlfn.MAXIFS(Auftrag!$AP$13:$AP$512,Auftrag!$D$13:$D$512,$B207,Auftrag!$E$13:$E$512,$C207,Auftrag!$Q$13:$Q$512,$D207)*$D207/1000,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9" t="n"/>
      <c r="E208" s="24" t="n"/>
      <c r="F208" s="24" t="n"/>
      <c r="G208" s="12">
        <f>IF($A208="","",COUNTIFS(Stangenbelegung!$A$5:$A$10004,$A208))</f>
        <v/>
      </c>
      <c r="H208" s="35">
        <f>IF($A208="","",SUMIFS(Stangenbelegung!$F$5:$F$10004,Stangenbelegung!$A$5:$A$10004,$A208))</f>
        <v/>
      </c>
      <c r="I208" s="23" t="n"/>
      <c r="J208" s="35">
        <f>IF($A208="","",$E208+H208+$I208)</f>
        <v/>
      </c>
      <c r="K208" s="35">
        <f>IF($A208="","",$D208-J208)</f>
        <v/>
      </c>
      <c r="L208" s="32">
        <f>IF($A208="","",H208/$D208)</f>
        <v/>
      </c>
      <c r="M208" s="28">
        <f>IF($A208="","",IF(OR(J208+$F208&gt;$D208+0.001,_xlfn.MAXIFS(Stangenbelegung!$H$5:$H$10004,Stangenbelegung!$A$5:$A$10004,$A208)&gt;$D208-$F208+0.001),"ÜBERBELEGT","OK"))</f>
        <v/>
      </c>
      <c r="N208" s="24" t="n"/>
      <c r="O208" s="24" t="n"/>
      <c r="P208" s="9" t="n"/>
      <c r="Q208" s="18">
        <f>IF($A208="","",IFERROR($D208/1000*INDEX(Profile!$K$5:$K$304,MATCH($B208,lst_Profil,0))*INDEX(Werkstoffe!$E$5:$E$304,MATCH($C208,lst_Werkstoff,0))/1000,""))</f>
        <v/>
      </c>
      <c r="R208" s="18">
        <f>IF($A208="","",IF(N(_xlfn.MAXIFS(Auftrag!$AP$13:$AP$512,Auftrag!$D$13:$D$512,$B208,Auftrag!$E$13:$E$512,$C208,Auftrag!$Q$13:$Q$512,$D208))&gt;0,_xlfn.MAXIFS(Auftrag!$AP$13:$AP$512,Auftrag!$D$13:$D$512,$B208,Auftrag!$E$13:$E$512,$C208,Auftrag!$Q$13:$Q$512,$D208)*$D208/1000,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9" t="n"/>
      <c r="E209" s="24" t="n"/>
      <c r="F209" s="24" t="n"/>
      <c r="G209" s="12">
        <f>IF($A209="","",COUNTIFS(Stangenbelegung!$A$5:$A$10004,$A209))</f>
        <v/>
      </c>
      <c r="H209" s="35">
        <f>IF($A209="","",SUMIFS(Stangenbelegung!$F$5:$F$10004,Stangenbelegung!$A$5:$A$10004,$A209))</f>
        <v/>
      </c>
      <c r="I209" s="23" t="n"/>
      <c r="J209" s="35">
        <f>IF($A209="","",$E209+H209+$I209)</f>
        <v/>
      </c>
      <c r="K209" s="35">
        <f>IF($A209="","",$D209-J209)</f>
        <v/>
      </c>
      <c r="L209" s="32">
        <f>IF($A209="","",H209/$D209)</f>
        <v/>
      </c>
      <c r="M209" s="28">
        <f>IF($A209="","",IF(OR(J209+$F209&gt;$D209+0.001,_xlfn.MAXIFS(Stangenbelegung!$H$5:$H$10004,Stangenbelegung!$A$5:$A$10004,$A209)&gt;$D209-$F209+0.001),"ÜBERBELEGT","OK"))</f>
        <v/>
      </c>
      <c r="N209" s="24" t="n"/>
      <c r="O209" s="24" t="n"/>
      <c r="P209" s="9" t="n"/>
      <c r="Q209" s="18">
        <f>IF($A209="","",IFERROR($D209/1000*INDEX(Profile!$K$5:$K$304,MATCH($B209,lst_Profil,0))*INDEX(Werkstoffe!$E$5:$E$304,MATCH($C209,lst_Werkstoff,0))/1000,""))</f>
        <v/>
      </c>
      <c r="R209" s="18">
        <f>IF($A209="","",IF(N(_xlfn.MAXIFS(Auftrag!$AP$13:$AP$512,Auftrag!$D$13:$D$512,$B209,Auftrag!$E$13:$E$512,$C209,Auftrag!$Q$13:$Q$512,$D209))&gt;0,_xlfn.MAXIFS(Auftrag!$AP$13:$AP$512,Auftrag!$D$13:$D$512,$B209,Auftrag!$E$13:$E$512,$C209,Auftrag!$Q$13:$Q$512,$D209)*$D209/1000,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9" t="n"/>
      <c r="E210" s="24" t="n"/>
      <c r="F210" s="24" t="n"/>
      <c r="G210" s="12">
        <f>IF($A210="","",COUNTIFS(Stangenbelegung!$A$5:$A$10004,$A210))</f>
        <v/>
      </c>
      <c r="H210" s="35">
        <f>IF($A210="","",SUMIFS(Stangenbelegung!$F$5:$F$10004,Stangenbelegung!$A$5:$A$10004,$A210))</f>
        <v/>
      </c>
      <c r="I210" s="23" t="n"/>
      <c r="J210" s="35">
        <f>IF($A210="","",$E210+H210+$I210)</f>
        <v/>
      </c>
      <c r="K210" s="35">
        <f>IF($A210="","",$D210-J210)</f>
        <v/>
      </c>
      <c r="L210" s="32">
        <f>IF($A210="","",H210/$D210)</f>
        <v/>
      </c>
      <c r="M210" s="28">
        <f>IF($A210="","",IF(OR(J210+$F210&gt;$D210+0.001,_xlfn.MAXIFS(Stangenbelegung!$H$5:$H$10004,Stangenbelegung!$A$5:$A$10004,$A210)&gt;$D210-$F210+0.001),"ÜBERBELEGT","OK"))</f>
        <v/>
      </c>
      <c r="N210" s="24" t="n"/>
      <c r="O210" s="24" t="n"/>
      <c r="P210" s="9" t="n"/>
      <c r="Q210" s="18">
        <f>IF($A210="","",IFERROR($D210/1000*INDEX(Profile!$K$5:$K$304,MATCH($B210,lst_Profil,0))*INDEX(Werkstoffe!$E$5:$E$304,MATCH($C210,lst_Werkstoff,0))/1000,""))</f>
        <v/>
      </c>
      <c r="R210" s="18">
        <f>IF($A210="","",IF(N(_xlfn.MAXIFS(Auftrag!$AP$13:$AP$512,Auftrag!$D$13:$D$512,$B210,Auftrag!$E$13:$E$512,$C210,Auftrag!$Q$13:$Q$512,$D210))&gt;0,_xlfn.MAXIFS(Auftrag!$AP$13:$AP$512,Auftrag!$D$13:$D$512,$B210,Auftrag!$E$13:$E$512,$C210,Auftrag!$Q$13:$Q$512,$D210)*$D210/1000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9" t="n"/>
      <c r="E211" s="24" t="n"/>
      <c r="F211" s="24" t="n"/>
      <c r="G211" s="12">
        <f>IF($A211="","",COUNTIFS(Stangenbelegung!$A$5:$A$10004,$A211))</f>
        <v/>
      </c>
      <c r="H211" s="35">
        <f>IF($A211="","",SUMIFS(Stangenbelegung!$F$5:$F$10004,Stangenbelegung!$A$5:$A$10004,$A211))</f>
        <v/>
      </c>
      <c r="I211" s="23" t="n"/>
      <c r="J211" s="35">
        <f>IF($A211="","",$E211+H211+$I211)</f>
        <v/>
      </c>
      <c r="K211" s="35">
        <f>IF($A211="","",$D211-J211)</f>
        <v/>
      </c>
      <c r="L211" s="32">
        <f>IF($A211="","",H211/$D211)</f>
        <v/>
      </c>
      <c r="M211" s="28">
        <f>IF($A211="","",IF(OR(J211+$F211&gt;$D211+0.001,_xlfn.MAXIFS(Stangenbelegung!$H$5:$H$10004,Stangenbelegung!$A$5:$A$10004,$A211)&gt;$D211-$F211+0.001),"ÜBERBELEGT","OK"))</f>
        <v/>
      </c>
      <c r="N211" s="24" t="n"/>
      <c r="O211" s="24" t="n"/>
      <c r="P211" s="9" t="n"/>
      <c r="Q211" s="18">
        <f>IF($A211="","",IFERROR($D211/1000*INDEX(Profile!$K$5:$K$304,MATCH($B211,lst_Profil,0))*INDEX(Werkstoffe!$E$5:$E$304,MATCH($C211,lst_Werkstoff,0))/1000,""))</f>
        <v/>
      </c>
      <c r="R211" s="18">
        <f>IF($A211="","",IF(N(_xlfn.MAXIFS(Auftrag!$AP$13:$AP$512,Auftrag!$D$13:$D$512,$B211,Auftrag!$E$13:$E$512,$C211,Auftrag!$Q$13:$Q$512,$D211))&gt;0,_xlfn.MAXIFS(Auftrag!$AP$13:$AP$512,Auftrag!$D$13:$D$512,$B211,Auftrag!$E$13:$E$512,$C211,Auftrag!$Q$13:$Q$512,$D211)*$D211/1000,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9" t="n"/>
      <c r="E212" s="24" t="n"/>
      <c r="F212" s="24" t="n"/>
      <c r="G212" s="12">
        <f>IF($A212="","",COUNTIFS(Stangenbelegung!$A$5:$A$10004,$A212))</f>
        <v/>
      </c>
      <c r="H212" s="35">
        <f>IF($A212="","",SUMIFS(Stangenbelegung!$F$5:$F$10004,Stangenbelegung!$A$5:$A$10004,$A212))</f>
        <v/>
      </c>
      <c r="I212" s="23" t="n"/>
      <c r="J212" s="35">
        <f>IF($A212="","",$E212+H212+$I212)</f>
        <v/>
      </c>
      <c r="K212" s="35">
        <f>IF($A212="","",$D212-J212)</f>
        <v/>
      </c>
      <c r="L212" s="32">
        <f>IF($A212="","",H212/$D212)</f>
        <v/>
      </c>
      <c r="M212" s="28">
        <f>IF($A212="","",IF(OR(J212+$F212&gt;$D212+0.001,_xlfn.MAXIFS(Stangenbelegung!$H$5:$H$10004,Stangenbelegung!$A$5:$A$10004,$A212)&gt;$D212-$F212+0.001),"ÜBERBELEGT","OK"))</f>
        <v/>
      </c>
      <c r="N212" s="24" t="n"/>
      <c r="O212" s="24" t="n"/>
      <c r="P212" s="9" t="n"/>
      <c r="Q212" s="18">
        <f>IF($A212="","",IFERROR($D212/1000*INDEX(Profile!$K$5:$K$304,MATCH($B212,lst_Profil,0))*INDEX(Werkstoffe!$E$5:$E$304,MATCH($C212,lst_Werkstoff,0))/1000,""))</f>
        <v/>
      </c>
      <c r="R212" s="18">
        <f>IF($A212="","",IF(N(_xlfn.MAXIFS(Auftrag!$AP$13:$AP$512,Auftrag!$D$13:$D$512,$B212,Auftrag!$E$13:$E$512,$C212,Auftrag!$Q$13:$Q$512,$D212))&gt;0,_xlfn.MAXIFS(Auftrag!$AP$13:$AP$512,Auftrag!$D$13:$D$512,$B212,Auftrag!$E$13:$E$512,$C212,Auftrag!$Q$13:$Q$512,$D212)*$D212/1000,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9" t="n"/>
      <c r="E213" s="24" t="n"/>
      <c r="F213" s="24" t="n"/>
      <c r="G213" s="12">
        <f>IF($A213="","",COUNTIFS(Stangenbelegung!$A$5:$A$10004,$A213))</f>
        <v/>
      </c>
      <c r="H213" s="35">
        <f>IF($A213="","",SUMIFS(Stangenbelegung!$F$5:$F$10004,Stangenbelegung!$A$5:$A$10004,$A213))</f>
        <v/>
      </c>
      <c r="I213" s="23" t="n"/>
      <c r="J213" s="35">
        <f>IF($A213="","",$E213+H213+$I213)</f>
        <v/>
      </c>
      <c r="K213" s="35">
        <f>IF($A213="","",$D213-J213)</f>
        <v/>
      </c>
      <c r="L213" s="32">
        <f>IF($A213="","",H213/$D213)</f>
        <v/>
      </c>
      <c r="M213" s="28">
        <f>IF($A213="","",IF(OR(J213+$F213&gt;$D213+0.001,_xlfn.MAXIFS(Stangenbelegung!$H$5:$H$10004,Stangenbelegung!$A$5:$A$10004,$A213)&gt;$D213-$F213+0.001),"ÜBERBELEGT","OK"))</f>
        <v/>
      </c>
      <c r="N213" s="24" t="n"/>
      <c r="O213" s="24" t="n"/>
      <c r="P213" s="9" t="n"/>
      <c r="Q213" s="18">
        <f>IF($A213="","",IFERROR($D213/1000*INDEX(Profile!$K$5:$K$304,MATCH($B213,lst_Profil,0))*INDEX(Werkstoffe!$E$5:$E$304,MATCH($C213,lst_Werkstoff,0))/1000,""))</f>
        <v/>
      </c>
      <c r="R213" s="18">
        <f>IF($A213="","",IF(N(_xlfn.MAXIFS(Auftrag!$AP$13:$AP$512,Auftrag!$D$13:$D$512,$B213,Auftrag!$E$13:$E$512,$C213,Auftrag!$Q$13:$Q$512,$D213))&gt;0,_xlfn.MAXIFS(Auftrag!$AP$13:$AP$512,Auftrag!$D$13:$D$512,$B213,Auftrag!$E$13:$E$512,$C213,Auftrag!$Q$13:$Q$512,$D213)*$D213/1000,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9" t="n"/>
      <c r="E214" s="24" t="n"/>
      <c r="F214" s="24" t="n"/>
      <c r="G214" s="12">
        <f>IF($A214="","",COUNTIFS(Stangenbelegung!$A$5:$A$10004,$A214))</f>
        <v/>
      </c>
      <c r="H214" s="35">
        <f>IF($A214="","",SUMIFS(Stangenbelegung!$F$5:$F$10004,Stangenbelegung!$A$5:$A$10004,$A214))</f>
        <v/>
      </c>
      <c r="I214" s="23" t="n"/>
      <c r="J214" s="35">
        <f>IF($A214="","",$E214+H214+$I214)</f>
        <v/>
      </c>
      <c r="K214" s="35">
        <f>IF($A214="","",$D214-J214)</f>
        <v/>
      </c>
      <c r="L214" s="32">
        <f>IF($A214="","",H214/$D214)</f>
        <v/>
      </c>
      <c r="M214" s="28">
        <f>IF($A214="","",IF(OR(J214+$F214&gt;$D214+0.001,_xlfn.MAXIFS(Stangenbelegung!$H$5:$H$10004,Stangenbelegung!$A$5:$A$10004,$A214)&gt;$D214-$F214+0.001),"ÜBERBELEGT","OK"))</f>
        <v/>
      </c>
      <c r="N214" s="24" t="n"/>
      <c r="O214" s="24" t="n"/>
      <c r="P214" s="9" t="n"/>
      <c r="Q214" s="18">
        <f>IF($A214="","",IFERROR($D214/1000*INDEX(Profile!$K$5:$K$304,MATCH($B214,lst_Profil,0))*INDEX(Werkstoffe!$E$5:$E$304,MATCH($C214,lst_Werkstoff,0))/1000,""))</f>
        <v/>
      </c>
      <c r="R214" s="18">
        <f>IF($A214="","",IF(N(_xlfn.MAXIFS(Auftrag!$AP$13:$AP$512,Auftrag!$D$13:$D$512,$B214,Auftrag!$E$13:$E$512,$C214,Auftrag!$Q$13:$Q$512,$D214))&gt;0,_xlfn.MAXIFS(Auftrag!$AP$13:$AP$512,Auftrag!$D$13:$D$512,$B214,Auftrag!$E$13:$E$512,$C214,Auftrag!$Q$13:$Q$512,$D214)*$D214/1000,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9" t="n"/>
      <c r="E215" s="24" t="n"/>
      <c r="F215" s="24" t="n"/>
      <c r="G215" s="12">
        <f>IF($A215="","",COUNTIFS(Stangenbelegung!$A$5:$A$10004,$A215))</f>
        <v/>
      </c>
      <c r="H215" s="35">
        <f>IF($A215="","",SUMIFS(Stangenbelegung!$F$5:$F$10004,Stangenbelegung!$A$5:$A$10004,$A215))</f>
        <v/>
      </c>
      <c r="I215" s="23" t="n"/>
      <c r="J215" s="35">
        <f>IF($A215="","",$E215+H215+$I215)</f>
        <v/>
      </c>
      <c r="K215" s="35">
        <f>IF($A215="","",$D215-J215)</f>
        <v/>
      </c>
      <c r="L215" s="32">
        <f>IF($A215="","",H215/$D215)</f>
        <v/>
      </c>
      <c r="M215" s="28">
        <f>IF($A215="","",IF(OR(J215+$F215&gt;$D215+0.001,_xlfn.MAXIFS(Stangenbelegung!$H$5:$H$10004,Stangenbelegung!$A$5:$A$10004,$A215)&gt;$D215-$F215+0.001),"ÜBERBELEGT","OK"))</f>
        <v/>
      </c>
      <c r="N215" s="24" t="n"/>
      <c r="O215" s="24" t="n"/>
      <c r="P215" s="9" t="n"/>
      <c r="Q215" s="18">
        <f>IF($A215="","",IFERROR($D215/1000*INDEX(Profile!$K$5:$K$304,MATCH($B215,lst_Profil,0))*INDEX(Werkstoffe!$E$5:$E$304,MATCH($C215,lst_Werkstoff,0))/1000,""))</f>
        <v/>
      </c>
      <c r="R215" s="18">
        <f>IF($A215="","",IF(N(_xlfn.MAXIFS(Auftrag!$AP$13:$AP$512,Auftrag!$D$13:$D$512,$B215,Auftrag!$E$13:$E$512,$C215,Auftrag!$Q$13:$Q$512,$D215))&gt;0,_xlfn.MAXIFS(Auftrag!$AP$13:$AP$512,Auftrag!$D$13:$D$512,$B215,Auftrag!$E$13:$E$512,$C215,Auftrag!$Q$13:$Q$512,$D215)*$D215/1000,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9" t="n"/>
      <c r="E216" s="24" t="n"/>
      <c r="F216" s="24" t="n"/>
      <c r="G216" s="12">
        <f>IF($A216="","",COUNTIFS(Stangenbelegung!$A$5:$A$10004,$A216))</f>
        <v/>
      </c>
      <c r="H216" s="35">
        <f>IF($A216="","",SUMIFS(Stangenbelegung!$F$5:$F$10004,Stangenbelegung!$A$5:$A$10004,$A216))</f>
        <v/>
      </c>
      <c r="I216" s="23" t="n"/>
      <c r="J216" s="35">
        <f>IF($A216="","",$E216+H216+$I216)</f>
        <v/>
      </c>
      <c r="K216" s="35">
        <f>IF($A216="","",$D216-J216)</f>
        <v/>
      </c>
      <c r="L216" s="32">
        <f>IF($A216="","",H216/$D216)</f>
        <v/>
      </c>
      <c r="M216" s="28">
        <f>IF($A216="","",IF(OR(J216+$F216&gt;$D216+0.001,_xlfn.MAXIFS(Stangenbelegung!$H$5:$H$10004,Stangenbelegung!$A$5:$A$10004,$A216)&gt;$D216-$F216+0.001),"ÜBERBELEGT","OK"))</f>
        <v/>
      </c>
      <c r="N216" s="24" t="n"/>
      <c r="O216" s="24" t="n"/>
      <c r="P216" s="9" t="n"/>
      <c r="Q216" s="18">
        <f>IF($A216="","",IFERROR($D216/1000*INDEX(Profile!$K$5:$K$304,MATCH($B216,lst_Profil,0))*INDEX(Werkstoffe!$E$5:$E$304,MATCH($C216,lst_Werkstoff,0))/1000,""))</f>
        <v/>
      </c>
      <c r="R216" s="18">
        <f>IF($A216="","",IF(N(_xlfn.MAXIFS(Auftrag!$AP$13:$AP$512,Auftrag!$D$13:$D$512,$B216,Auftrag!$E$13:$E$512,$C216,Auftrag!$Q$13:$Q$512,$D216))&gt;0,_xlfn.MAXIFS(Auftrag!$AP$13:$AP$512,Auftrag!$D$13:$D$512,$B216,Auftrag!$E$13:$E$512,$C216,Auftrag!$Q$13:$Q$512,$D216)*$D216/1000,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9" t="n"/>
      <c r="E217" s="24" t="n"/>
      <c r="F217" s="24" t="n"/>
      <c r="G217" s="12">
        <f>IF($A217="","",COUNTIFS(Stangenbelegung!$A$5:$A$10004,$A217))</f>
        <v/>
      </c>
      <c r="H217" s="35">
        <f>IF($A217="","",SUMIFS(Stangenbelegung!$F$5:$F$10004,Stangenbelegung!$A$5:$A$10004,$A217))</f>
        <v/>
      </c>
      <c r="I217" s="23" t="n"/>
      <c r="J217" s="35">
        <f>IF($A217="","",$E217+H217+$I217)</f>
        <v/>
      </c>
      <c r="K217" s="35">
        <f>IF($A217="","",$D217-J217)</f>
        <v/>
      </c>
      <c r="L217" s="32">
        <f>IF($A217="","",H217/$D217)</f>
        <v/>
      </c>
      <c r="M217" s="28">
        <f>IF($A217="","",IF(OR(J217+$F217&gt;$D217+0.001,_xlfn.MAXIFS(Stangenbelegung!$H$5:$H$10004,Stangenbelegung!$A$5:$A$10004,$A217)&gt;$D217-$F217+0.001),"ÜBERBELEGT","OK"))</f>
        <v/>
      </c>
      <c r="N217" s="24" t="n"/>
      <c r="O217" s="24" t="n"/>
      <c r="P217" s="9" t="n"/>
      <c r="Q217" s="18">
        <f>IF($A217="","",IFERROR($D217/1000*INDEX(Profile!$K$5:$K$304,MATCH($B217,lst_Profil,0))*INDEX(Werkstoffe!$E$5:$E$304,MATCH($C217,lst_Werkstoff,0))/1000,""))</f>
        <v/>
      </c>
      <c r="R217" s="18">
        <f>IF($A217="","",IF(N(_xlfn.MAXIFS(Auftrag!$AP$13:$AP$512,Auftrag!$D$13:$D$512,$B217,Auftrag!$E$13:$E$512,$C217,Auftrag!$Q$13:$Q$512,$D217))&gt;0,_xlfn.MAXIFS(Auftrag!$AP$13:$AP$512,Auftrag!$D$13:$D$512,$B217,Auftrag!$E$13:$E$512,$C217,Auftrag!$Q$13:$Q$512,$D217)*$D217/1000,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9" t="n"/>
      <c r="E218" s="24" t="n"/>
      <c r="F218" s="24" t="n"/>
      <c r="G218" s="12">
        <f>IF($A218="","",COUNTIFS(Stangenbelegung!$A$5:$A$10004,$A218))</f>
        <v/>
      </c>
      <c r="H218" s="35">
        <f>IF($A218="","",SUMIFS(Stangenbelegung!$F$5:$F$10004,Stangenbelegung!$A$5:$A$10004,$A218))</f>
        <v/>
      </c>
      <c r="I218" s="23" t="n"/>
      <c r="J218" s="35">
        <f>IF($A218="","",$E218+H218+$I218)</f>
        <v/>
      </c>
      <c r="K218" s="35">
        <f>IF($A218="","",$D218-J218)</f>
        <v/>
      </c>
      <c r="L218" s="32">
        <f>IF($A218="","",H218/$D218)</f>
        <v/>
      </c>
      <c r="M218" s="28">
        <f>IF($A218="","",IF(OR(J218+$F218&gt;$D218+0.001,_xlfn.MAXIFS(Stangenbelegung!$H$5:$H$10004,Stangenbelegung!$A$5:$A$10004,$A218)&gt;$D218-$F218+0.001),"ÜBERBELEGT","OK"))</f>
        <v/>
      </c>
      <c r="N218" s="24" t="n"/>
      <c r="O218" s="24" t="n"/>
      <c r="P218" s="9" t="n"/>
      <c r="Q218" s="18">
        <f>IF($A218="","",IFERROR($D218/1000*INDEX(Profile!$K$5:$K$304,MATCH($B218,lst_Profil,0))*INDEX(Werkstoffe!$E$5:$E$304,MATCH($C218,lst_Werkstoff,0))/1000,""))</f>
        <v/>
      </c>
      <c r="R218" s="18">
        <f>IF($A218="","",IF(N(_xlfn.MAXIFS(Auftrag!$AP$13:$AP$512,Auftrag!$D$13:$D$512,$B218,Auftrag!$E$13:$E$512,$C218,Auftrag!$Q$13:$Q$512,$D218))&gt;0,_xlfn.MAXIFS(Auftrag!$AP$13:$AP$512,Auftrag!$D$13:$D$512,$B218,Auftrag!$E$13:$E$512,$C218,Auftrag!$Q$13:$Q$512,$D218)*$D218/1000,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9" t="n"/>
      <c r="E219" s="24" t="n"/>
      <c r="F219" s="24" t="n"/>
      <c r="G219" s="12">
        <f>IF($A219="","",COUNTIFS(Stangenbelegung!$A$5:$A$10004,$A219))</f>
        <v/>
      </c>
      <c r="H219" s="35">
        <f>IF($A219="","",SUMIFS(Stangenbelegung!$F$5:$F$10004,Stangenbelegung!$A$5:$A$10004,$A219))</f>
        <v/>
      </c>
      <c r="I219" s="23" t="n"/>
      <c r="J219" s="35">
        <f>IF($A219="","",$E219+H219+$I219)</f>
        <v/>
      </c>
      <c r="K219" s="35">
        <f>IF($A219="","",$D219-J219)</f>
        <v/>
      </c>
      <c r="L219" s="32">
        <f>IF($A219="","",H219/$D219)</f>
        <v/>
      </c>
      <c r="M219" s="28">
        <f>IF($A219="","",IF(OR(J219+$F219&gt;$D219+0.001,_xlfn.MAXIFS(Stangenbelegung!$H$5:$H$10004,Stangenbelegung!$A$5:$A$10004,$A219)&gt;$D219-$F219+0.001),"ÜBERBELEGT","OK"))</f>
        <v/>
      </c>
      <c r="N219" s="24" t="n"/>
      <c r="O219" s="24" t="n"/>
      <c r="P219" s="9" t="n"/>
      <c r="Q219" s="18">
        <f>IF($A219="","",IFERROR($D219/1000*INDEX(Profile!$K$5:$K$304,MATCH($B219,lst_Profil,0))*INDEX(Werkstoffe!$E$5:$E$304,MATCH($C219,lst_Werkstoff,0))/1000,""))</f>
        <v/>
      </c>
      <c r="R219" s="18">
        <f>IF($A219="","",IF(N(_xlfn.MAXIFS(Auftrag!$AP$13:$AP$512,Auftrag!$D$13:$D$512,$B219,Auftrag!$E$13:$E$512,$C219,Auftrag!$Q$13:$Q$512,$D219))&gt;0,_xlfn.MAXIFS(Auftrag!$AP$13:$AP$512,Auftrag!$D$13:$D$512,$B219,Auftrag!$E$13:$E$512,$C219,Auftrag!$Q$13:$Q$512,$D219)*$D219/1000,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9" t="n"/>
      <c r="E220" s="24" t="n"/>
      <c r="F220" s="24" t="n"/>
      <c r="G220" s="12">
        <f>IF($A220="","",COUNTIFS(Stangenbelegung!$A$5:$A$10004,$A220))</f>
        <v/>
      </c>
      <c r="H220" s="35">
        <f>IF($A220="","",SUMIFS(Stangenbelegung!$F$5:$F$10004,Stangenbelegung!$A$5:$A$10004,$A220))</f>
        <v/>
      </c>
      <c r="I220" s="23" t="n"/>
      <c r="J220" s="35">
        <f>IF($A220="","",$E220+H220+$I220)</f>
        <v/>
      </c>
      <c r="K220" s="35">
        <f>IF($A220="","",$D220-J220)</f>
        <v/>
      </c>
      <c r="L220" s="32">
        <f>IF($A220="","",H220/$D220)</f>
        <v/>
      </c>
      <c r="M220" s="28">
        <f>IF($A220="","",IF(OR(J220+$F220&gt;$D220+0.001,_xlfn.MAXIFS(Stangenbelegung!$H$5:$H$10004,Stangenbelegung!$A$5:$A$10004,$A220)&gt;$D220-$F220+0.001),"ÜBERBELEGT","OK"))</f>
        <v/>
      </c>
      <c r="N220" s="24" t="n"/>
      <c r="O220" s="24" t="n"/>
      <c r="P220" s="9" t="n"/>
      <c r="Q220" s="18">
        <f>IF($A220="","",IFERROR($D220/1000*INDEX(Profile!$K$5:$K$304,MATCH($B220,lst_Profil,0))*INDEX(Werkstoffe!$E$5:$E$304,MATCH($C220,lst_Werkstoff,0))/1000,""))</f>
        <v/>
      </c>
      <c r="R220" s="18">
        <f>IF($A220="","",IF(N(_xlfn.MAXIFS(Auftrag!$AP$13:$AP$512,Auftrag!$D$13:$D$512,$B220,Auftrag!$E$13:$E$512,$C220,Auftrag!$Q$13:$Q$512,$D220))&gt;0,_xlfn.MAXIFS(Auftrag!$AP$13:$AP$512,Auftrag!$D$13:$D$512,$B220,Auftrag!$E$13:$E$512,$C220,Auftrag!$Q$13:$Q$512,$D220)*$D220/1000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9" t="n"/>
      <c r="E221" s="24" t="n"/>
      <c r="F221" s="24" t="n"/>
      <c r="G221" s="12">
        <f>IF($A221="","",COUNTIFS(Stangenbelegung!$A$5:$A$10004,$A221))</f>
        <v/>
      </c>
      <c r="H221" s="35">
        <f>IF($A221="","",SUMIFS(Stangenbelegung!$F$5:$F$10004,Stangenbelegung!$A$5:$A$10004,$A221))</f>
        <v/>
      </c>
      <c r="I221" s="23" t="n"/>
      <c r="J221" s="35">
        <f>IF($A221="","",$E221+H221+$I221)</f>
        <v/>
      </c>
      <c r="K221" s="35">
        <f>IF($A221="","",$D221-J221)</f>
        <v/>
      </c>
      <c r="L221" s="32">
        <f>IF($A221="","",H221/$D221)</f>
        <v/>
      </c>
      <c r="M221" s="28">
        <f>IF($A221="","",IF(OR(J221+$F221&gt;$D221+0.001,_xlfn.MAXIFS(Stangenbelegung!$H$5:$H$10004,Stangenbelegung!$A$5:$A$10004,$A221)&gt;$D221-$F221+0.001),"ÜBERBELEGT","OK"))</f>
        <v/>
      </c>
      <c r="N221" s="24" t="n"/>
      <c r="O221" s="24" t="n"/>
      <c r="P221" s="9" t="n"/>
      <c r="Q221" s="18">
        <f>IF($A221="","",IFERROR($D221/1000*INDEX(Profile!$K$5:$K$304,MATCH($B221,lst_Profil,0))*INDEX(Werkstoffe!$E$5:$E$304,MATCH($C221,lst_Werkstoff,0))/1000,""))</f>
        <v/>
      </c>
      <c r="R221" s="18">
        <f>IF($A221="","",IF(N(_xlfn.MAXIFS(Auftrag!$AP$13:$AP$512,Auftrag!$D$13:$D$512,$B221,Auftrag!$E$13:$E$512,$C221,Auftrag!$Q$13:$Q$512,$D221))&gt;0,_xlfn.MAXIFS(Auftrag!$AP$13:$AP$512,Auftrag!$D$13:$D$512,$B221,Auftrag!$E$13:$E$512,$C221,Auftrag!$Q$13:$Q$512,$D221)*$D221/1000,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9" t="n"/>
      <c r="E222" s="24" t="n"/>
      <c r="F222" s="24" t="n"/>
      <c r="G222" s="12">
        <f>IF($A222="","",COUNTIFS(Stangenbelegung!$A$5:$A$10004,$A222))</f>
        <v/>
      </c>
      <c r="H222" s="35">
        <f>IF($A222="","",SUMIFS(Stangenbelegung!$F$5:$F$10004,Stangenbelegung!$A$5:$A$10004,$A222))</f>
        <v/>
      </c>
      <c r="I222" s="23" t="n"/>
      <c r="J222" s="35">
        <f>IF($A222="","",$E222+H222+$I222)</f>
        <v/>
      </c>
      <c r="K222" s="35">
        <f>IF($A222="","",$D222-J222)</f>
        <v/>
      </c>
      <c r="L222" s="32">
        <f>IF($A222="","",H222/$D222)</f>
        <v/>
      </c>
      <c r="M222" s="28">
        <f>IF($A222="","",IF(OR(J222+$F222&gt;$D222+0.001,_xlfn.MAXIFS(Stangenbelegung!$H$5:$H$10004,Stangenbelegung!$A$5:$A$10004,$A222)&gt;$D222-$F222+0.001),"ÜBERBELEGT","OK"))</f>
        <v/>
      </c>
      <c r="N222" s="24" t="n"/>
      <c r="O222" s="24" t="n"/>
      <c r="P222" s="9" t="n"/>
      <c r="Q222" s="18">
        <f>IF($A222="","",IFERROR($D222/1000*INDEX(Profile!$K$5:$K$304,MATCH($B222,lst_Profil,0))*INDEX(Werkstoffe!$E$5:$E$304,MATCH($C222,lst_Werkstoff,0))/1000,""))</f>
        <v/>
      </c>
      <c r="R222" s="18">
        <f>IF($A222="","",IF(N(_xlfn.MAXIFS(Auftrag!$AP$13:$AP$512,Auftrag!$D$13:$D$512,$B222,Auftrag!$E$13:$E$512,$C222,Auftrag!$Q$13:$Q$512,$D222))&gt;0,_xlfn.MAXIFS(Auftrag!$AP$13:$AP$512,Auftrag!$D$13:$D$512,$B222,Auftrag!$E$13:$E$512,$C222,Auftrag!$Q$13:$Q$512,$D222)*$D222/1000,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9" t="n"/>
      <c r="E223" s="24" t="n"/>
      <c r="F223" s="24" t="n"/>
      <c r="G223" s="12">
        <f>IF($A223="","",COUNTIFS(Stangenbelegung!$A$5:$A$10004,$A223))</f>
        <v/>
      </c>
      <c r="H223" s="35">
        <f>IF($A223="","",SUMIFS(Stangenbelegung!$F$5:$F$10004,Stangenbelegung!$A$5:$A$10004,$A223))</f>
        <v/>
      </c>
      <c r="I223" s="23" t="n"/>
      <c r="J223" s="35">
        <f>IF($A223="","",$E223+H223+$I223)</f>
        <v/>
      </c>
      <c r="K223" s="35">
        <f>IF($A223="","",$D223-J223)</f>
        <v/>
      </c>
      <c r="L223" s="32">
        <f>IF($A223="","",H223/$D223)</f>
        <v/>
      </c>
      <c r="M223" s="28">
        <f>IF($A223="","",IF(OR(J223+$F223&gt;$D223+0.001,_xlfn.MAXIFS(Stangenbelegung!$H$5:$H$10004,Stangenbelegung!$A$5:$A$10004,$A223)&gt;$D223-$F223+0.001),"ÜBERBELEGT","OK"))</f>
        <v/>
      </c>
      <c r="N223" s="24" t="n"/>
      <c r="O223" s="24" t="n"/>
      <c r="P223" s="9" t="n"/>
      <c r="Q223" s="18">
        <f>IF($A223="","",IFERROR($D223/1000*INDEX(Profile!$K$5:$K$304,MATCH($B223,lst_Profil,0))*INDEX(Werkstoffe!$E$5:$E$304,MATCH($C223,lst_Werkstoff,0))/1000,""))</f>
        <v/>
      </c>
      <c r="R223" s="18">
        <f>IF($A223="","",IF(N(_xlfn.MAXIFS(Auftrag!$AP$13:$AP$512,Auftrag!$D$13:$D$512,$B223,Auftrag!$E$13:$E$512,$C223,Auftrag!$Q$13:$Q$512,$D223))&gt;0,_xlfn.MAXIFS(Auftrag!$AP$13:$AP$512,Auftrag!$D$13:$D$512,$B223,Auftrag!$E$13:$E$512,$C223,Auftrag!$Q$13:$Q$512,$D223)*$D223/1000,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9" t="n"/>
      <c r="E224" s="24" t="n"/>
      <c r="F224" s="24" t="n"/>
      <c r="G224" s="12">
        <f>IF($A224="","",COUNTIFS(Stangenbelegung!$A$5:$A$10004,$A224))</f>
        <v/>
      </c>
      <c r="H224" s="35">
        <f>IF($A224="","",SUMIFS(Stangenbelegung!$F$5:$F$10004,Stangenbelegung!$A$5:$A$10004,$A224))</f>
        <v/>
      </c>
      <c r="I224" s="23" t="n"/>
      <c r="J224" s="35">
        <f>IF($A224="","",$E224+H224+$I224)</f>
        <v/>
      </c>
      <c r="K224" s="35">
        <f>IF($A224="","",$D224-J224)</f>
        <v/>
      </c>
      <c r="L224" s="32">
        <f>IF($A224="","",H224/$D224)</f>
        <v/>
      </c>
      <c r="M224" s="28">
        <f>IF($A224="","",IF(OR(J224+$F224&gt;$D224+0.001,_xlfn.MAXIFS(Stangenbelegung!$H$5:$H$10004,Stangenbelegung!$A$5:$A$10004,$A224)&gt;$D224-$F224+0.001),"ÜBERBELEGT","OK"))</f>
        <v/>
      </c>
      <c r="N224" s="24" t="n"/>
      <c r="O224" s="24" t="n"/>
      <c r="P224" s="9" t="n"/>
      <c r="Q224" s="18">
        <f>IF($A224="","",IFERROR($D224/1000*INDEX(Profile!$K$5:$K$304,MATCH($B224,lst_Profil,0))*INDEX(Werkstoffe!$E$5:$E$304,MATCH($C224,lst_Werkstoff,0))/1000,""))</f>
        <v/>
      </c>
      <c r="R224" s="18">
        <f>IF($A224="","",IF(N(_xlfn.MAXIFS(Auftrag!$AP$13:$AP$512,Auftrag!$D$13:$D$512,$B224,Auftrag!$E$13:$E$512,$C224,Auftrag!$Q$13:$Q$512,$D224))&gt;0,_xlfn.MAXIFS(Auftrag!$AP$13:$AP$512,Auftrag!$D$13:$D$512,$B224,Auftrag!$E$13:$E$512,$C224,Auftrag!$Q$13:$Q$512,$D224)*$D224/1000,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9" t="n"/>
      <c r="E225" s="24" t="n"/>
      <c r="F225" s="24" t="n"/>
      <c r="G225" s="12">
        <f>IF($A225="","",COUNTIFS(Stangenbelegung!$A$5:$A$10004,$A225))</f>
        <v/>
      </c>
      <c r="H225" s="35">
        <f>IF($A225="","",SUMIFS(Stangenbelegung!$F$5:$F$10004,Stangenbelegung!$A$5:$A$10004,$A225))</f>
        <v/>
      </c>
      <c r="I225" s="23" t="n"/>
      <c r="J225" s="35">
        <f>IF($A225="","",$E225+H225+$I225)</f>
        <v/>
      </c>
      <c r="K225" s="35">
        <f>IF($A225="","",$D225-J225)</f>
        <v/>
      </c>
      <c r="L225" s="32">
        <f>IF($A225="","",H225/$D225)</f>
        <v/>
      </c>
      <c r="M225" s="28">
        <f>IF($A225="","",IF(OR(J225+$F225&gt;$D225+0.001,_xlfn.MAXIFS(Stangenbelegung!$H$5:$H$10004,Stangenbelegung!$A$5:$A$10004,$A225)&gt;$D225-$F225+0.001),"ÜBERBELEGT","OK"))</f>
        <v/>
      </c>
      <c r="N225" s="24" t="n"/>
      <c r="O225" s="24" t="n"/>
      <c r="P225" s="9" t="n"/>
      <c r="Q225" s="18">
        <f>IF($A225="","",IFERROR($D225/1000*INDEX(Profile!$K$5:$K$304,MATCH($B225,lst_Profil,0))*INDEX(Werkstoffe!$E$5:$E$304,MATCH($C225,lst_Werkstoff,0))/1000,""))</f>
        <v/>
      </c>
      <c r="R225" s="18">
        <f>IF($A225="","",IF(N(_xlfn.MAXIFS(Auftrag!$AP$13:$AP$512,Auftrag!$D$13:$D$512,$B225,Auftrag!$E$13:$E$512,$C225,Auftrag!$Q$13:$Q$512,$D225))&gt;0,_xlfn.MAXIFS(Auftrag!$AP$13:$AP$512,Auftrag!$D$13:$D$512,$B225,Auftrag!$E$13:$E$512,$C225,Auftrag!$Q$13:$Q$512,$D225)*$D225/1000,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9" t="n"/>
      <c r="E226" s="24" t="n"/>
      <c r="F226" s="24" t="n"/>
      <c r="G226" s="12">
        <f>IF($A226="","",COUNTIFS(Stangenbelegung!$A$5:$A$10004,$A226))</f>
        <v/>
      </c>
      <c r="H226" s="35">
        <f>IF($A226="","",SUMIFS(Stangenbelegung!$F$5:$F$10004,Stangenbelegung!$A$5:$A$10004,$A226))</f>
        <v/>
      </c>
      <c r="I226" s="23" t="n"/>
      <c r="J226" s="35">
        <f>IF($A226="","",$E226+H226+$I226)</f>
        <v/>
      </c>
      <c r="K226" s="35">
        <f>IF($A226="","",$D226-J226)</f>
        <v/>
      </c>
      <c r="L226" s="32">
        <f>IF($A226="","",H226/$D226)</f>
        <v/>
      </c>
      <c r="M226" s="28">
        <f>IF($A226="","",IF(OR(J226+$F226&gt;$D226+0.001,_xlfn.MAXIFS(Stangenbelegung!$H$5:$H$10004,Stangenbelegung!$A$5:$A$10004,$A226)&gt;$D226-$F226+0.001),"ÜBERBELEGT","OK"))</f>
        <v/>
      </c>
      <c r="N226" s="24" t="n"/>
      <c r="O226" s="24" t="n"/>
      <c r="P226" s="9" t="n"/>
      <c r="Q226" s="18">
        <f>IF($A226="","",IFERROR($D226/1000*INDEX(Profile!$K$5:$K$304,MATCH($B226,lst_Profil,0))*INDEX(Werkstoffe!$E$5:$E$304,MATCH($C226,lst_Werkstoff,0))/1000,""))</f>
        <v/>
      </c>
      <c r="R226" s="18">
        <f>IF($A226="","",IF(N(_xlfn.MAXIFS(Auftrag!$AP$13:$AP$512,Auftrag!$D$13:$D$512,$B226,Auftrag!$E$13:$E$512,$C226,Auftrag!$Q$13:$Q$512,$D226))&gt;0,_xlfn.MAXIFS(Auftrag!$AP$13:$AP$512,Auftrag!$D$13:$D$512,$B226,Auftrag!$E$13:$E$512,$C226,Auftrag!$Q$13:$Q$512,$D226)*$D226/1000,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9" t="n"/>
      <c r="E227" s="24" t="n"/>
      <c r="F227" s="24" t="n"/>
      <c r="G227" s="12">
        <f>IF($A227="","",COUNTIFS(Stangenbelegung!$A$5:$A$10004,$A227))</f>
        <v/>
      </c>
      <c r="H227" s="35">
        <f>IF($A227="","",SUMIFS(Stangenbelegung!$F$5:$F$10004,Stangenbelegung!$A$5:$A$10004,$A227))</f>
        <v/>
      </c>
      <c r="I227" s="23" t="n"/>
      <c r="J227" s="35">
        <f>IF($A227="","",$E227+H227+$I227)</f>
        <v/>
      </c>
      <c r="K227" s="35">
        <f>IF($A227="","",$D227-J227)</f>
        <v/>
      </c>
      <c r="L227" s="32">
        <f>IF($A227="","",H227/$D227)</f>
        <v/>
      </c>
      <c r="M227" s="28">
        <f>IF($A227="","",IF(OR(J227+$F227&gt;$D227+0.001,_xlfn.MAXIFS(Stangenbelegung!$H$5:$H$10004,Stangenbelegung!$A$5:$A$10004,$A227)&gt;$D227-$F227+0.001),"ÜBERBELEGT","OK"))</f>
        <v/>
      </c>
      <c r="N227" s="24" t="n"/>
      <c r="O227" s="24" t="n"/>
      <c r="P227" s="9" t="n"/>
      <c r="Q227" s="18">
        <f>IF($A227="","",IFERROR($D227/1000*INDEX(Profile!$K$5:$K$304,MATCH($B227,lst_Profil,0))*INDEX(Werkstoffe!$E$5:$E$304,MATCH($C227,lst_Werkstoff,0))/1000,""))</f>
        <v/>
      </c>
      <c r="R227" s="18">
        <f>IF($A227="","",IF(N(_xlfn.MAXIFS(Auftrag!$AP$13:$AP$512,Auftrag!$D$13:$D$512,$B227,Auftrag!$E$13:$E$512,$C227,Auftrag!$Q$13:$Q$512,$D227))&gt;0,_xlfn.MAXIFS(Auftrag!$AP$13:$AP$512,Auftrag!$D$13:$D$512,$B227,Auftrag!$E$13:$E$512,$C227,Auftrag!$Q$13:$Q$512,$D227)*$D227/1000,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9" t="n"/>
      <c r="E228" s="24" t="n"/>
      <c r="F228" s="24" t="n"/>
      <c r="G228" s="12">
        <f>IF($A228="","",COUNTIFS(Stangenbelegung!$A$5:$A$10004,$A228))</f>
        <v/>
      </c>
      <c r="H228" s="35">
        <f>IF($A228="","",SUMIFS(Stangenbelegung!$F$5:$F$10004,Stangenbelegung!$A$5:$A$10004,$A228))</f>
        <v/>
      </c>
      <c r="I228" s="23" t="n"/>
      <c r="J228" s="35">
        <f>IF($A228="","",$E228+H228+$I228)</f>
        <v/>
      </c>
      <c r="K228" s="35">
        <f>IF($A228="","",$D228-J228)</f>
        <v/>
      </c>
      <c r="L228" s="32">
        <f>IF($A228="","",H228/$D228)</f>
        <v/>
      </c>
      <c r="M228" s="28">
        <f>IF($A228="","",IF(OR(J228+$F228&gt;$D228+0.001,_xlfn.MAXIFS(Stangenbelegung!$H$5:$H$10004,Stangenbelegung!$A$5:$A$10004,$A228)&gt;$D228-$F228+0.001),"ÜBERBELEGT","OK"))</f>
        <v/>
      </c>
      <c r="N228" s="24" t="n"/>
      <c r="O228" s="24" t="n"/>
      <c r="P228" s="9" t="n"/>
      <c r="Q228" s="18">
        <f>IF($A228="","",IFERROR($D228/1000*INDEX(Profile!$K$5:$K$304,MATCH($B228,lst_Profil,0))*INDEX(Werkstoffe!$E$5:$E$304,MATCH($C228,lst_Werkstoff,0))/1000,""))</f>
        <v/>
      </c>
      <c r="R228" s="18">
        <f>IF($A228="","",IF(N(_xlfn.MAXIFS(Auftrag!$AP$13:$AP$512,Auftrag!$D$13:$D$512,$B228,Auftrag!$E$13:$E$512,$C228,Auftrag!$Q$13:$Q$512,$D228))&gt;0,_xlfn.MAXIFS(Auftrag!$AP$13:$AP$512,Auftrag!$D$13:$D$512,$B228,Auftrag!$E$13:$E$512,$C228,Auftrag!$Q$13:$Q$512,$D228)*$D228/1000,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9" t="n"/>
      <c r="E229" s="24" t="n"/>
      <c r="F229" s="24" t="n"/>
      <c r="G229" s="12">
        <f>IF($A229="","",COUNTIFS(Stangenbelegung!$A$5:$A$10004,$A229))</f>
        <v/>
      </c>
      <c r="H229" s="35">
        <f>IF($A229="","",SUMIFS(Stangenbelegung!$F$5:$F$10004,Stangenbelegung!$A$5:$A$10004,$A229))</f>
        <v/>
      </c>
      <c r="I229" s="23" t="n"/>
      <c r="J229" s="35">
        <f>IF($A229="","",$E229+H229+$I229)</f>
        <v/>
      </c>
      <c r="K229" s="35">
        <f>IF($A229="","",$D229-J229)</f>
        <v/>
      </c>
      <c r="L229" s="32">
        <f>IF($A229="","",H229/$D229)</f>
        <v/>
      </c>
      <c r="M229" s="28">
        <f>IF($A229="","",IF(OR(J229+$F229&gt;$D229+0.001,_xlfn.MAXIFS(Stangenbelegung!$H$5:$H$10004,Stangenbelegung!$A$5:$A$10004,$A229)&gt;$D229-$F229+0.001),"ÜBERBELEGT","OK"))</f>
        <v/>
      </c>
      <c r="N229" s="24" t="n"/>
      <c r="O229" s="24" t="n"/>
      <c r="P229" s="9" t="n"/>
      <c r="Q229" s="18">
        <f>IF($A229="","",IFERROR($D229/1000*INDEX(Profile!$K$5:$K$304,MATCH($B229,lst_Profil,0))*INDEX(Werkstoffe!$E$5:$E$304,MATCH($C229,lst_Werkstoff,0))/1000,""))</f>
        <v/>
      </c>
      <c r="R229" s="18">
        <f>IF($A229="","",IF(N(_xlfn.MAXIFS(Auftrag!$AP$13:$AP$512,Auftrag!$D$13:$D$512,$B229,Auftrag!$E$13:$E$512,$C229,Auftrag!$Q$13:$Q$512,$D229))&gt;0,_xlfn.MAXIFS(Auftrag!$AP$13:$AP$512,Auftrag!$D$13:$D$512,$B229,Auftrag!$E$13:$E$512,$C229,Auftrag!$Q$13:$Q$512,$D229)*$D229/1000,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9" t="n"/>
      <c r="E230" s="24" t="n"/>
      <c r="F230" s="24" t="n"/>
      <c r="G230" s="12">
        <f>IF($A230="","",COUNTIFS(Stangenbelegung!$A$5:$A$10004,$A230))</f>
        <v/>
      </c>
      <c r="H230" s="35">
        <f>IF($A230="","",SUMIFS(Stangenbelegung!$F$5:$F$10004,Stangenbelegung!$A$5:$A$10004,$A230))</f>
        <v/>
      </c>
      <c r="I230" s="23" t="n"/>
      <c r="J230" s="35">
        <f>IF($A230="","",$E230+H230+$I230)</f>
        <v/>
      </c>
      <c r="K230" s="35">
        <f>IF($A230="","",$D230-J230)</f>
        <v/>
      </c>
      <c r="L230" s="32">
        <f>IF($A230="","",H230/$D230)</f>
        <v/>
      </c>
      <c r="M230" s="28">
        <f>IF($A230="","",IF(OR(J230+$F230&gt;$D230+0.001,_xlfn.MAXIFS(Stangenbelegung!$H$5:$H$10004,Stangenbelegung!$A$5:$A$10004,$A230)&gt;$D230-$F230+0.001),"ÜBERBELEGT","OK"))</f>
        <v/>
      </c>
      <c r="N230" s="24" t="n"/>
      <c r="O230" s="24" t="n"/>
      <c r="P230" s="9" t="n"/>
      <c r="Q230" s="18">
        <f>IF($A230="","",IFERROR($D230/1000*INDEX(Profile!$K$5:$K$304,MATCH($B230,lst_Profil,0))*INDEX(Werkstoffe!$E$5:$E$304,MATCH($C230,lst_Werkstoff,0))/1000,""))</f>
        <v/>
      </c>
      <c r="R230" s="18">
        <f>IF($A230="","",IF(N(_xlfn.MAXIFS(Auftrag!$AP$13:$AP$512,Auftrag!$D$13:$D$512,$B230,Auftrag!$E$13:$E$512,$C230,Auftrag!$Q$13:$Q$512,$D230))&gt;0,_xlfn.MAXIFS(Auftrag!$AP$13:$AP$512,Auftrag!$D$13:$D$512,$B230,Auftrag!$E$13:$E$512,$C230,Auftrag!$Q$13:$Q$512,$D230)*$D230/1000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9" t="n"/>
      <c r="E231" s="24" t="n"/>
      <c r="F231" s="24" t="n"/>
      <c r="G231" s="12">
        <f>IF($A231="","",COUNTIFS(Stangenbelegung!$A$5:$A$10004,$A231))</f>
        <v/>
      </c>
      <c r="H231" s="35">
        <f>IF($A231="","",SUMIFS(Stangenbelegung!$F$5:$F$10004,Stangenbelegung!$A$5:$A$10004,$A231))</f>
        <v/>
      </c>
      <c r="I231" s="23" t="n"/>
      <c r="J231" s="35">
        <f>IF($A231="","",$E231+H231+$I231)</f>
        <v/>
      </c>
      <c r="K231" s="35">
        <f>IF($A231="","",$D231-J231)</f>
        <v/>
      </c>
      <c r="L231" s="32">
        <f>IF($A231="","",H231/$D231)</f>
        <v/>
      </c>
      <c r="M231" s="28">
        <f>IF($A231="","",IF(OR(J231+$F231&gt;$D231+0.001,_xlfn.MAXIFS(Stangenbelegung!$H$5:$H$10004,Stangenbelegung!$A$5:$A$10004,$A231)&gt;$D231-$F231+0.001),"ÜBERBELEGT","OK"))</f>
        <v/>
      </c>
      <c r="N231" s="24" t="n"/>
      <c r="O231" s="24" t="n"/>
      <c r="P231" s="9" t="n"/>
      <c r="Q231" s="18">
        <f>IF($A231="","",IFERROR($D231/1000*INDEX(Profile!$K$5:$K$304,MATCH($B231,lst_Profil,0))*INDEX(Werkstoffe!$E$5:$E$304,MATCH($C231,lst_Werkstoff,0))/1000,""))</f>
        <v/>
      </c>
      <c r="R231" s="18">
        <f>IF($A231="","",IF(N(_xlfn.MAXIFS(Auftrag!$AP$13:$AP$512,Auftrag!$D$13:$D$512,$B231,Auftrag!$E$13:$E$512,$C231,Auftrag!$Q$13:$Q$512,$D231))&gt;0,_xlfn.MAXIFS(Auftrag!$AP$13:$AP$512,Auftrag!$D$13:$D$512,$B231,Auftrag!$E$13:$E$512,$C231,Auftrag!$Q$13:$Q$512,$D231)*$D231/1000,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9" t="n"/>
      <c r="E232" s="24" t="n"/>
      <c r="F232" s="24" t="n"/>
      <c r="G232" s="12">
        <f>IF($A232="","",COUNTIFS(Stangenbelegung!$A$5:$A$10004,$A232))</f>
        <v/>
      </c>
      <c r="H232" s="35">
        <f>IF($A232="","",SUMIFS(Stangenbelegung!$F$5:$F$10004,Stangenbelegung!$A$5:$A$10004,$A232))</f>
        <v/>
      </c>
      <c r="I232" s="23" t="n"/>
      <c r="J232" s="35">
        <f>IF($A232="","",$E232+H232+$I232)</f>
        <v/>
      </c>
      <c r="K232" s="35">
        <f>IF($A232="","",$D232-J232)</f>
        <v/>
      </c>
      <c r="L232" s="32">
        <f>IF($A232="","",H232/$D232)</f>
        <v/>
      </c>
      <c r="M232" s="28">
        <f>IF($A232="","",IF(OR(J232+$F232&gt;$D232+0.001,_xlfn.MAXIFS(Stangenbelegung!$H$5:$H$10004,Stangenbelegung!$A$5:$A$10004,$A232)&gt;$D232-$F232+0.001),"ÜBERBELEGT","OK"))</f>
        <v/>
      </c>
      <c r="N232" s="24" t="n"/>
      <c r="O232" s="24" t="n"/>
      <c r="P232" s="9" t="n"/>
      <c r="Q232" s="18">
        <f>IF($A232="","",IFERROR($D232/1000*INDEX(Profile!$K$5:$K$304,MATCH($B232,lst_Profil,0))*INDEX(Werkstoffe!$E$5:$E$304,MATCH($C232,lst_Werkstoff,0))/1000,""))</f>
        <v/>
      </c>
      <c r="R232" s="18">
        <f>IF($A232="","",IF(N(_xlfn.MAXIFS(Auftrag!$AP$13:$AP$512,Auftrag!$D$13:$D$512,$B232,Auftrag!$E$13:$E$512,$C232,Auftrag!$Q$13:$Q$512,$D232))&gt;0,_xlfn.MAXIFS(Auftrag!$AP$13:$AP$512,Auftrag!$D$13:$D$512,$B232,Auftrag!$E$13:$E$512,$C232,Auftrag!$Q$13:$Q$512,$D232)*$D232/1000,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9" t="n"/>
      <c r="E233" s="24" t="n"/>
      <c r="F233" s="24" t="n"/>
      <c r="G233" s="12">
        <f>IF($A233="","",COUNTIFS(Stangenbelegung!$A$5:$A$10004,$A233))</f>
        <v/>
      </c>
      <c r="H233" s="35">
        <f>IF($A233="","",SUMIFS(Stangenbelegung!$F$5:$F$10004,Stangenbelegung!$A$5:$A$10004,$A233))</f>
        <v/>
      </c>
      <c r="I233" s="23" t="n"/>
      <c r="J233" s="35">
        <f>IF($A233="","",$E233+H233+$I233)</f>
        <v/>
      </c>
      <c r="K233" s="35">
        <f>IF($A233="","",$D233-J233)</f>
        <v/>
      </c>
      <c r="L233" s="32">
        <f>IF($A233="","",H233/$D233)</f>
        <v/>
      </c>
      <c r="M233" s="28">
        <f>IF($A233="","",IF(OR(J233+$F233&gt;$D233+0.001,_xlfn.MAXIFS(Stangenbelegung!$H$5:$H$10004,Stangenbelegung!$A$5:$A$10004,$A233)&gt;$D233-$F233+0.001),"ÜBERBELEGT","OK"))</f>
        <v/>
      </c>
      <c r="N233" s="24" t="n"/>
      <c r="O233" s="24" t="n"/>
      <c r="P233" s="9" t="n"/>
      <c r="Q233" s="18">
        <f>IF($A233="","",IFERROR($D233/1000*INDEX(Profile!$K$5:$K$304,MATCH($B233,lst_Profil,0))*INDEX(Werkstoffe!$E$5:$E$304,MATCH($C233,lst_Werkstoff,0))/1000,""))</f>
        <v/>
      </c>
      <c r="R233" s="18">
        <f>IF($A233="","",IF(N(_xlfn.MAXIFS(Auftrag!$AP$13:$AP$512,Auftrag!$D$13:$D$512,$B233,Auftrag!$E$13:$E$512,$C233,Auftrag!$Q$13:$Q$512,$D233))&gt;0,_xlfn.MAXIFS(Auftrag!$AP$13:$AP$512,Auftrag!$D$13:$D$512,$B233,Auftrag!$E$13:$E$512,$C233,Auftrag!$Q$13:$Q$512,$D233)*$D233/1000,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9" t="n"/>
      <c r="E234" s="24" t="n"/>
      <c r="F234" s="24" t="n"/>
      <c r="G234" s="12">
        <f>IF($A234="","",COUNTIFS(Stangenbelegung!$A$5:$A$10004,$A234))</f>
        <v/>
      </c>
      <c r="H234" s="35">
        <f>IF($A234="","",SUMIFS(Stangenbelegung!$F$5:$F$10004,Stangenbelegung!$A$5:$A$10004,$A234))</f>
        <v/>
      </c>
      <c r="I234" s="23" t="n"/>
      <c r="J234" s="35">
        <f>IF($A234="","",$E234+H234+$I234)</f>
        <v/>
      </c>
      <c r="K234" s="35">
        <f>IF($A234="","",$D234-J234)</f>
        <v/>
      </c>
      <c r="L234" s="32">
        <f>IF($A234="","",H234/$D234)</f>
        <v/>
      </c>
      <c r="M234" s="28">
        <f>IF($A234="","",IF(OR(J234+$F234&gt;$D234+0.001,_xlfn.MAXIFS(Stangenbelegung!$H$5:$H$10004,Stangenbelegung!$A$5:$A$10004,$A234)&gt;$D234-$F234+0.001),"ÜBERBELEGT","OK"))</f>
        <v/>
      </c>
      <c r="N234" s="24" t="n"/>
      <c r="O234" s="24" t="n"/>
      <c r="P234" s="9" t="n"/>
      <c r="Q234" s="18">
        <f>IF($A234="","",IFERROR($D234/1000*INDEX(Profile!$K$5:$K$304,MATCH($B234,lst_Profil,0))*INDEX(Werkstoffe!$E$5:$E$304,MATCH($C234,lst_Werkstoff,0))/1000,""))</f>
        <v/>
      </c>
      <c r="R234" s="18">
        <f>IF($A234="","",IF(N(_xlfn.MAXIFS(Auftrag!$AP$13:$AP$512,Auftrag!$D$13:$D$512,$B234,Auftrag!$E$13:$E$512,$C234,Auftrag!$Q$13:$Q$512,$D234))&gt;0,_xlfn.MAXIFS(Auftrag!$AP$13:$AP$512,Auftrag!$D$13:$D$512,$B234,Auftrag!$E$13:$E$512,$C234,Auftrag!$Q$13:$Q$512,$D234)*$D234/1000,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9" t="n"/>
      <c r="E235" s="24" t="n"/>
      <c r="F235" s="24" t="n"/>
      <c r="G235" s="12">
        <f>IF($A235="","",COUNTIFS(Stangenbelegung!$A$5:$A$10004,$A235))</f>
        <v/>
      </c>
      <c r="H235" s="35">
        <f>IF($A235="","",SUMIFS(Stangenbelegung!$F$5:$F$10004,Stangenbelegung!$A$5:$A$10004,$A235))</f>
        <v/>
      </c>
      <c r="I235" s="23" t="n"/>
      <c r="J235" s="35">
        <f>IF($A235="","",$E235+H235+$I235)</f>
        <v/>
      </c>
      <c r="K235" s="35">
        <f>IF($A235="","",$D235-J235)</f>
        <v/>
      </c>
      <c r="L235" s="32">
        <f>IF($A235="","",H235/$D235)</f>
        <v/>
      </c>
      <c r="M235" s="28">
        <f>IF($A235="","",IF(OR(J235+$F235&gt;$D235+0.001,_xlfn.MAXIFS(Stangenbelegung!$H$5:$H$10004,Stangenbelegung!$A$5:$A$10004,$A235)&gt;$D235-$F235+0.001),"ÜBERBELEGT","OK"))</f>
        <v/>
      </c>
      <c r="N235" s="24" t="n"/>
      <c r="O235" s="24" t="n"/>
      <c r="P235" s="9" t="n"/>
      <c r="Q235" s="18">
        <f>IF($A235="","",IFERROR($D235/1000*INDEX(Profile!$K$5:$K$304,MATCH($B235,lst_Profil,0))*INDEX(Werkstoffe!$E$5:$E$304,MATCH($C235,lst_Werkstoff,0))/1000,""))</f>
        <v/>
      </c>
      <c r="R235" s="18">
        <f>IF($A235="","",IF(N(_xlfn.MAXIFS(Auftrag!$AP$13:$AP$512,Auftrag!$D$13:$D$512,$B235,Auftrag!$E$13:$E$512,$C235,Auftrag!$Q$13:$Q$512,$D235))&gt;0,_xlfn.MAXIFS(Auftrag!$AP$13:$AP$512,Auftrag!$D$13:$D$512,$B235,Auftrag!$E$13:$E$512,$C235,Auftrag!$Q$13:$Q$512,$D235)*$D235/1000,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9" t="n"/>
      <c r="E236" s="24" t="n"/>
      <c r="F236" s="24" t="n"/>
      <c r="G236" s="12">
        <f>IF($A236="","",COUNTIFS(Stangenbelegung!$A$5:$A$10004,$A236))</f>
        <v/>
      </c>
      <c r="H236" s="35">
        <f>IF($A236="","",SUMIFS(Stangenbelegung!$F$5:$F$10004,Stangenbelegung!$A$5:$A$10004,$A236))</f>
        <v/>
      </c>
      <c r="I236" s="23" t="n"/>
      <c r="J236" s="35">
        <f>IF($A236="","",$E236+H236+$I236)</f>
        <v/>
      </c>
      <c r="K236" s="35">
        <f>IF($A236="","",$D236-J236)</f>
        <v/>
      </c>
      <c r="L236" s="32">
        <f>IF($A236="","",H236/$D236)</f>
        <v/>
      </c>
      <c r="M236" s="28">
        <f>IF($A236="","",IF(OR(J236+$F236&gt;$D236+0.001,_xlfn.MAXIFS(Stangenbelegung!$H$5:$H$10004,Stangenbelegung!$A$5:$A$10004,$A236)&gt;$D236-$F236+0.001),"ÜBERBELEGT","OK"))</f>
        <v/>
      </c>
      <c r="N236" s="24" t="n"/>
      <c r="O236" s="24" t="n"/>
      <c r="P236" s="9" t="n"/>
      <c r="Q236" s="18">
        <f>IF($A236="","",IFERROR($D236/1000*INDEX(Profile!$K$5:$K$304,MATCH($B236,lst_Profil,0))*INDEX(Werkstoffe!$E$5:$E$304,MATCH($C236,lst_Werkstoff,0))/1000,""))</f>
        <v/>
      </c>
      <c r="R236" s="18">
        <f>IF($A236="","",IF(N(_xlfn.MAXIFS(Auftrag!$AP$13:$AP$512,Auftrag!$D$13:$D$512,$B236,Auftrag!$E$13:$E$512,$C236,Auftrag!$Q$13:$Q$512,$D236))&gt;0,_xlfn.MAXIFS(Auftrag!$AP$13:$AP$512,Auftrag!$D$13:$D$512,$B236,Auftrag!$E$13:$E$512,$C236,Auftrag!$Q$13:$Q$512,$D236)*$D236/1000,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9" t="n"/>
      <c r="E237" s="24" t="n"/>
      <c r="F237" s="24" t="n"/>
      <c r="G237" s="12">
        <f>IF($A237="","",COUNTIFS(Stangenbelegung!$A$5:$A$10004,$A237))</f>
        <v/>
      </c>
      <c r="H237" s="35">
        <f>IF($A237="","",SUMIFS(Stangenbelegung!$F$5:$F$10004,Stangenbelegung!$A$5:$A$10004,$A237))</f>
        <v/>
      </c>
      <c r="I237" s="23" t="n"/>
      <c r="J237" s="35">
        <f>IF($A237="","",$E237+H237+$I237)</f>
        <v/>
      </c>
      <c r="K237" s="35">
        <f>IF($A237="","",$D237-J237)</f>
        <v/>
      </c>
      <c r="L237" s="32">
        <f>IF($A237="","",H237/$D237)</f>
        <v/>
      </c>
      <c r="M237" s="28">
        <f>IF($A237="","",IF(OR(J237+$F237&gt;$D237+0.001,_xlfn.MAXIFS(Stangenbelegung!$H$5:$H$10004,Stangenbelegung!$A$5:$A$10004,$A237)&gt;$D237-$F237+0.001),"ÜBERBELEGT","OK"))</f>
        <v/>
      </c>
      <c r="N237" s="24" t="n"/>
      <c r="O237" s="24" t="n"/>
      <c r="P237" s="9" t="n"/>
      <c r="Q237" s="18">
        <f>IF($A237="","",IFERROR($D237/1000*INDEX(Profile!$K$5:$K$304,MATCH($B237,lst_Profil,0))*INDEX(Werkstoffe!$E$5:$E$304,MATCH($C237,lst_Werkstoff,0))/1000,""))</f>
        <v/>
      </c>
      <c r="R237" s="18">
        <f>IF($A237="","",IF(N(_xlfn.MAXIFS(Auftrag!$AP$13:$AP$512,Auftrag!$D$13:$D$512,$B237,Auftrag!$E$13:$E$512,$C237,Auftrag!$Q$13:$Q$512,$D237))&gt;0,_xlfn.MAXIFS(Auftrag!$AP$13:$AP$512,Auftrag!$D$13:$D$512,$B237,Auftrag!$E$13:$E$512,$C237,Auftrag!$Q$13:$Q$512,$D237)*$D237/1000,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9" t="n"/>
      <c r="E238" s="24" t="n"/>
      <c r="F238" s="24" t="n"/>
      <c r="G238" s="12">
        <f>IF($A238="","",COUNTIFS(Stangenbelegung!$A$5:$A$10004,$A238))</f>
        <v/>
      </c>
      <c r="H238" s="35">
        <f>IF($A238="","",SUMIFS(Stangenbelegung!$F$5:$F$10004,Stangenbelegung!$A$5:$A$10004,$A238))</f>
        <v/>
      </c>
      <c r="I238" s="23" t="n"/>
      <c r="J238" s="35">
        <f>IF($A238="","",$E238+H238+$I238)</f>
        <v/>
      </c>
      <c r="K238" s="35">
        <f>IF($A238="","",$D238-J238)</f>
        <v/>
      </c>
      <c r="L238" s="32">
        <f>IF($A238="","",H238/$D238)</f>
        <v/>
      </c>
      <c r="M238" s="28">
        <f>IF($A238="","",IF(OR(J238+$F238&gt;$D238+0.001,_xlfn.MAXIFS(Stangenbelegung!$H$5:$H$10004,Stangenbelegung!$A$5:$A$10004,$A238)&gt;$D238-$F238+0.001),"ÜBERBELEGT","OK"))</f>
        <v/>
      </c>
      <c r="N238" s="24" t="n"/>
      <c r="O238" s="24" t="n"/>
      <c r="P238" s="9" t="n"/>
      <c r="Q238" s="18">
        <f>IF($A238="","",IFERROR($D238/1000*INDEX(Profile!$K$5:$K$304,MATCH($B238,lst_Profil,0))*INDEX(Werkstoffe!$E$5:$E$304,MATCH($C238,lst_Werkstoff,0))/1000,""))</f>
        <v/>
      </c>
      <c r="R238" s="18">
        <f>IF($A238="","",IF(N(_xlfn.MAXIFS(Auftrag!$AP$13:$AP$512,Auftrag!$D$13:$D$512,$B238,Auftrag!$E$13:$E$512,$C238,Auftrag!$Q$13:$Q$512,$D238))&gt;0,_xlfn.MAXIFS(Auftrag!$AP$13:$AP$512,Auftrag!$D$13:$D$512,$B238,Auftrag!$E$13:$E$512,$C238,Auftrag!$Q$13:$Q$512,$D238)*$D238/1000,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9" t="n"/>
      <c r="E239" s="24" t="n"/>
      <c r="F239" s="24" t="n"/>
      <c r="G239" s="12">
        <f>IF($A239="","",COUNTIFS(Stangenbelegung!$A$5:$A$10004,$A239))</f>
        <v/>
      </c>
      <c r="H239" s="35">
        <f>IF($A239="","",SUMIFS(Stangenbelegung!$F$5:$F$10004,Stangenbelegung!$A$5:$A$10004,$A239))</f>
        <v/>
      </c>
      <c r="I239" s="23" t="n"/>
      <c r="J239" s="35">
        <f>IF($A239="","",$E239+H239+$I239)</f>
        <v/>
      </c>
      <c r="K239" s="35">
        <f>IF($A239="","",$D239-J239)</f>
        <v/>
      </c>
      <c r="L239" s="32">
        <f>IF($A239="","",H239/$D239)</f>
        <v/>
      </c>
      <c r="M239" s="28">
        <f>IF($A239="","",IF(OR(J239+$F239&gt;$D239+0.001,_xlfn.MAXIFS(Stangenbelegung!$H$5:$H$10004,Stangenbelegung!$A$5:$A$10004,$A239)&gt;$D239-$F239+0.001),"ÜBERBELEGT","OK"))</f>
        <v/>
      </c>
      <c r="N239" s="24" t="n"/>
      <c r="O239" s="24" t="n"/>
      <c r="P239" s="9" t="n"/>
      <c r="Q239" s="18">
        <f>IF($A239="","",IFERROR($D239/1000*INDEX(Profile!$K$5:$K$304,MATCH($B239,lst_Profil,0))*INDEX(Werkstoffe!$E$5:$E$304,MATCH($C239,lst_Werkstoff,0))/1000,""))</f>
        <v/>
      </c>
      <c r="R239" s="18">
        <f>IF($A239="","",IF(N(_xlfn.MAXIFS(Auftrag!$AP$13:$AP$512,Auftrag!$D$13:$D$512,$B239,Auftrag!$E$13:$E$512,$C239,Auftrag!$Q$13:$Q$512,$D239))&gt;0,_xlfn.MAXIFS(Auftrag!$AP$13:$AP$512,Auftrag!$D$13:$D$512,$B239,Auftrag!$E$13:$E$512,$C239,Auftrag!$Q$13:$Q$512,$D239)*$D239/1000,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9" t="n"/>
      <c r="E240" s="24" t="n"/>
      <c r="F240" s="24" t="n"/>
      <c r="G240" s="12">
        <f>IF($A240="","",COUNTIFS(Stangenbelegung!$A$5:$A$10004,$A240))</f>
        <v/>
      </c>
      <c r="H240" s="35">
        <f>IF($A240="","",SUMIFS(Stangenbelegung!$F$5:$F$10004,Stangenbelegung!$A$5:$A$10004,$A240))</f>
        <v/>
      </c>
      <c r="I240" s="23" t="n"/>
      <c r="J240" s="35">
        <f>IF($A240="","",$E240+H240+$I240)</f>
        <v/>
      </c>
      <c r="K240" s="35">
        <f>IF($A240="","",$D240-J240)</f>
        <v/>
      </c>
      <c r="L240" s="32">
        <f>IF($A240="","",H240/$D240)</f>
        <v/>
      </c>
      <c r="M240" s="28">
        <f>IF($A240="","",IF(OR(J240+$F240&gt;$D240+0.001,_xlfn.MAXIFS(Stangenbelegung!$H$5:$H$10004,Stangenbelegung!$A$5:$A$10004,$A240)&gt;$D240-$F240+0.001),"ÜBERBELEGT","OK"))</f>
        <v/>
      </c>
      <c r="N240" s="24" t="n"/>
      <c r="O240" s="24" t="n"/>
      <c r="P240" s="9" t="n"/>
      <c r="Q240" s="18">
        <f>IF($A240="","",IFERROR($D240/1000*INDEX(Profile!$K$5:$K$304,MATCH($B240,lst_Profil,0))*INDEX(Werkstoffe!$E$5:$E$304,MATCH($C240,lst_Werkstoff,0))/1000,""))</f>
        <v/>
      </c>
      <c r="R240" s="18">
        <f>IF($A240="","",IF(N(_xlfn.MAXIFS(Auftrag!$AP$13:$AP$512,Auftrag!$D$13:$D$512,$B240,Auftrag!$E$13:$E$512,$C240,Auftrag!$Q$13:$Q$512,$D240))&gt;0,_xlfn.MAXIFS(Auftrag!$AP$13:$AP$512,Auftrag!$D$13:$D$512,$B240,Auftrag!$E$13:$E$512,$C240,Auftrag!$Q$13:$Q$512,$D240)*$D240/1000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9" t="n"/>
      <c r="E241" s="24" t="n"/>
      <c r="F241" s="24" t="n"/>
      <c r="G241" s="12">
        <f>IF($A241="","",COUNTIFS(Stangenbelegung!$A$5:$A$10004,$A241))</f>
        <v/>
      </c>
      <c r="H241" s="35">
        <f>IF($A241="","",SUMIFS(Stangenbelegung!$F$5:$F$10004,Stangenbelegung!$A$5:$A$10004,$A241))</f>
        <v/>
      </c>
      <c r="I241" s="23" t="n"/>
      <c r="J241" s="35">
        <f>IF($A241="","",$E241+H241+$I241)</f>
        <v/>
      </c>
      <c r="K241" s="35">
        <f>IF($A241="","",$D241-J241)</f>
        <v/>
      </c>
      <c r="L241" s="32">
        <f>IF($A241="","",H241/$D241)</f>
        <v/>
      </c>
      <c r="M241" s="28">
        <f>IF($A241="","",IF(OR(J241+$F241&gt;$D241+0.001,_xlfn.MAXIFS(Stangenbelegung!$H$5:$H$10004,Stangenbelegung!$A$5:$A$10004,$A241)&gt;$D241-$F241+0.001),"ÜBERBELEGT","OK"))</f>
        <v/>
      </c>
      <c r="N241" s="24" t="n"/>
      <c r="O241" s="24" t="n"/>
      <c r="P241" s="9" t="n"/>
      <c r="Q241" s="18">
        <f>IF($A241="","",IFERROR($D241/1000*INDEX(Profile!$K$5:$K$304,MATCH($B241,lst_Profil,0))*INDEX(Werkstoffe!$E$5:$E$304,MATCH($C241,lst_Werkstoff,0))/1000,""))</f>
        <v/>
      </c>
      <c r="R241" s="18">
        <f>IF($A241="","",IF(N(_xlfn.MAXIFS(Auftrag!$AP$13:$AP$512,Auftrag!$D$13:$D$512,$B241,Auftrag!$E$13:$E$512,$C241,Auftrag!$Q$13:$Q$512,$D241))&gt;0,_xlfn.MAXIFS(Auftrag!$AP$13:$AP$512,Auftrag!$D$13:$D$512,$B241,Auftrag!$E$13:$E$512,$C241,Auftrag!$Q$13:$Q$512,$D241)*$D241/1000,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9" t="n"/>
      <c r="E242" s="24" t="n"/>
      <c r="F242" s="24" t="n"/>
      <c r="G242" s="12">
        <f>IF($A242="","",COUNTIFS(Stangenbelegung!$A$5:$A$10004,$A242))</f>
        <v/>
      </c>
      <c r="H242" s="35">
        <f>IF($A242="","",SUMIFS(Stangenbelegung!$F$5:$F$10004,Stangenbelegung!$A$5:$A$10004,$A242))</f>
        <v/>
      </c>
      <c r="I242" s="23" t="n"/>
      <c r="J242" s="35">
        <f>IF($A242="","",$E242+H242+$I242)</f>
        <v/>
      </c>
      <c r="K242" s="35">
        <f>IF($A242="","",$D242-J242)</f>
        <v/>
      </c>
      <c r="L242" s="32">
        <f>IF($A242="","",H242/$D242)</f>
        <v/>
      </c>
      <c r="M242" s="28">
        <f>IF($A242="","",IF(OR(J242+$F242&gt;$D242+0.001,_xlfn.MAXIFS(Stangenbelegung!$H$5:$H$10004,Stangenbelegung!$A$5:$A$10004,$A242)&gt;$D242-$F242+0.001),"ÜBERBELEGT","OK"))</f>
        <v/>
      </c>
      <c r="N242" s="24" t="n"/>
      <c r="O242" s="24" t="n"/>
      <c r="P242" s="9" t="n"/>
      <c r="Q242" s="18">
        <f>IF($A242="","",IFERROR($D242/1000*INDEX(Profile!$K$5:$K$304,MATCH($B242,lst_Profil,0))*INDEX(Werkstoffe!$E$5:$E$304,MATCH($C242,lst_Werkstoff,0))/1000,""))</f>
        <v/>
      </c>
      <c r="R242" s="18">
        <f>IF($A242="","",IF(N(_xlfn.MAXIFS(Auftrag!$AP$13:$AP$512,Auftrag!$D$13:$D$512,$B242,Auftrag!$E$13:$E$512,$C242,Auftrag!$Q$13:$Q$512,$D242))&gt;0,_xlfn.MAXIFS(Auftrag!$AP$13:$AP$512,Auftrag!$D$13:$D$512,$B242,Auftrag!$E$13:$E$512,$C242,Auftrag!$Q$13:$Q$512,$D242)*$D242/1000,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9" t="n"/>
      <c r="E243" s="24" t="n"/>
      <c r="F243" s="24" t="n"/>
      <c r="G243" s="12">
        <f>IF($A243="","",COUNTIFS(Stangenbelegung!$A$5:$A$10004,$A243))</f>
        <v/>
      </c>
      <c r="H243" s="35">
        <f>IF($A243="","",SUMIFS(Stangenbelegung!$F$5:$F$10004,Stangenbelegung!$A$5:$A$10004,$A243))</f>
        <v/>
      </c>
      <c r="I243" s="23" t="n"/>
      <c r="J243" s="35">
        <f>IF($A243="","",$E243+H243+$I243)</f>
        <v/>
      </c>
      <c r="K243" s="35">
        <f>IF($A243="","",$D243-J243)</f>
        <v/>
      </c>
      <c r="L243" s="32">
        <f>IF($A243="","",H243/$D243)</f>
        <v/>
      </c>
      <c r="M243" s="28">
        <f>IF($A243="","",IF(OR(J243+$F243&gt;$D243+0.001,_xlfn.MAXIFS(Stangenbelegung!$H$5:$H$10004,Stangenbelegung!$A$5:$A$10004,$A243)&gt;$D243-$F243+0.001),"ÜBERBELEGT","OK"))</f>
        <v/>
      </c>
      <c r="N243" s="24" t="n"/>
      <c r="O243" s="24" t="n"/>
      <c r="P243" s="9" t="n"/>
      <c r="Q243" s="18">
        <f>IF($A243="","",IFERROR($D243/1000*INDEX(Profile!$K$5:$K$304,MATCH($B243,lst_Profil,0))*INDEX(Werkstoffe!$E$5:$E$304,MATCH($C243,lst_Werkstoff,0))/1000,""))</f>
        <v/>
      </c>
      <c r="R243" s="18">
        <f>IF($A243="","",IF(N(_xlfn.MAXIFS(Auftrag!$AP$13:$AP$512,Auftrag!$D$13:$D$512,$B243,Auftrag!$E$13:$E$512,$C243,Auftrag!$Q$13:$Q$512,$D243))&gt;0,_xlfn.MAXIFS(Auftrag!$AP$13:$AP$512,Auftrag!$D$13:$D$512,$B243,Auftrag!$E$13:$E$512,$C243,Auftrag!$Q$13:$Q$512,$D243)*$D243/1000,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9" t="n"/>
      <c r="E244" s="24" t="n"/>
      <c r="F244" s="24" t="n"/>
      <c r="G244" s="12">
        <f>IF($A244="","",COUNTIFS(Stangenbelegung!$A$5:$A$10004,$A244))</f>
        <v/>
      </c>
      <c r="H244" s="35">
        <f>IF($A244="","",SUMIFS(Stangenbelegung!$F$5:$F$10004,Stangenbelegung!$A$5:$A$10004,$A244))</f>
        <v/>
      </c>
      <c r="I244" s="23" t="n"/>
      <c r="J244" s="35">
        <f>IF($A244="","",$E244+H244+$I244)</f>
        <v/>
      </c>
      <c r="K244" s="35">
        <f>IF($A244="","",$D244-J244)</f>
        <v/>
      </c>
      <c r="L244" s="32">
        <f>IF($A244="","",H244/$D244)</f>
        <v/>
      </c>
      <c r="M244" s="28">
        <f>IF($A244="","",IF(OR(J244+$F244&gt;$D244+0.001,_xlfn.MAXIFS(Stangenbelegung!$H$5:$H$10004,Stangenbelegung!$A$5:$A$10004,$A244)&gt;$D244-$F244+0.001),"ÜBERBELEGT","OK"))</f>
        <v/>
      </c>
      <c r="N244" s="24" t="n"/>
      <c r="O244" s="24" t="n"/>
      <c r="P244" s="9" t="n"/>
      <c r="Q244" s="18">
        <f>IF($A244="","",IFERROR($D244/1000*INDEX(Profile!$K$5:$K$304,MATCH($B244,lst_Profil,0))*INDEX(Werkstoffe!$E$5:$E$304,MATCH($C244,lst_Werkstoff,0))/1000,""))</f>
        <v/>
      </c>
      <c r="R244" s="18">
        <f>IF($A244="","",IF(N(_xlfn.MAXIFS(Auftrag!$AP$13:$AP$512,Auftrag!$D$13:$D$512,$B244,Auftrag!$E$13:$E$512,$C244,Auftrag!$Q$13:$Q$512,$D244))&gt;0,_xlfn.MAXIFS(Auftrag!$AP$13:$AP$512,Auftrag!$D$13:$D$512,$B244,Auftrag!$E$13:$E$512,$C244,Auftrag!$Q$13:$Q$512,$D244)*$D244/1000,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9" t="n"/>
      <c r="E245" s="24" t="n"/>
      <c r="F245" s="24" t="n"/>
      <c r="G245" s="12">
        <f>IF($A245="","",COUNTIFS(Stangenbelegung!$A$5:$A$10004,$A245))</f>
        <v/>
      </c>
      <c r="H245" s="35">
        <f>IF($A245="","",SUMIFS(Stangenbelegung!$F$5:$F$10004,Stangenbelegung!$A$5:$A$10004,$A245))</f>
        <v/>
      </c>
      <c r="I245" s="23" t="n"/>
      <c r="J245" s="35">
        <f>IF($A245="","",$E245+H245+$I245)</f>
        <v/>
      </c>
      <c r="K245" s="35">
        <f>IF($A245="","",$D245-J245)</f>
        <v/>
      </c>
      <c r="L245" s="32">
        <f>IF($A245="","",H245/$D245)</f>
        <v/>
      </c>
      <c r="M245" s="28">
        <f>IF($A245="","",IF(OR(J245+$F245&gt;$D245+0.001,_xlfn.MAXIFS(Stangenbelegung!$H$5:$H$10004,Stangenbelegung!$A$5:$A$10004,$A245)&gt;$D245-$F245+0.001),"ÜBERBELEGT","OK"))</f>
        <v/>
      </c>
      <c r="N245" s="24" t="n"/>
      <c r="O245" s="24" t="n"/>
      <c r="P245" s="9" t="n"/>
      <c r="Q245" s="18">
        <f>IF($A245="","",IFERROR($D245/1000*INDEX(Profile!$K$5:$K$304,MATCH($B245,lst_Profil,0))*INDEX(Werkstoffe!$E$5:$E$304,MATCH($C245,lst_Werkstoff,0))/1000,""))</f>
        <v/>
      </c>
      <c r="R245" s="18">
        <f>IF($A245="","",IF(N(_xlfn.MAXIFS(Auftrag!$AP$13:$AP$512,Auftrag!$D$13:$D$512,$B245,Auftrag!$E$13:$E$512,$C245,Auftrag!$Q$13:$Q$512,$D245))&gt;0,_xlfn.MAXIFS(Auftrag!$AP$13:$AP$512,Auftrag!$D$13:$D$512,$B245,Auftrag!$E$13:$E$512,$C245,Auftrag!$Q$13:$Q$512,$D245)*$D245/1000,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9" t="n"/>
      <c r="E246" s="24" t="n"/>
      <c r="F246" s="24" t="n"/>
      <c r="G246" s="12">
        <f>IF($A246="","",COUNTIFS(Stangenbelegung!$A$5:$A$10004,$A246))</f>
        <v/>
      </c>
      <c r="H246" s="35">
        <f>IF($A246="","",SUMIFS(Stangenbelegung!$F$5:$F$10004,Stangenbelegung!$A$5:$A$10004,$A246))</f>
        <v/>
      </c>
      <c r="I246" s="23" t="n"/>
      <c r="J246" s="35">
        <f>IF($A246="","",$E246+H246+$I246)</f>
        <v/>
      </c>
      <c r="K246" s="35">
        <f>IF($A246="","",$D246-J246)</f>
        <v/>
      </c>
      <c r="L246" s="32">
        <f>IF($A246="","",H246/$D246)</f>
        <v/>
      </c>
      <c r="M246" s="28">
        <f>IF($A246="","",IF(OR(J246+$F246&gt;$D246+0.001,_xlfn.MAXIFS(Stangenbelegung!$H$5:$H$10004,Stangenbelegung!$A$5:$A$10004,$A246)&gt;$D246-$F246+0.001),"ÜBERBELEGT","OK"))</f>
        <v/>
      </c>
      <c r="N246" s="24" t="n"/>
      <c r="O246" s="24" t="n"/>
      <c r="P246" s="9" t="n"/>
      <c r="Q246" s="18">
        <f>IF($A246="","",IFERROR($D246/1000*INDEX(Profile!$K$5:$K$304,MATCH($B246,lst_Profil,0))*INDEX(Werkstoffe!$E$5:$E$304,MATCH($C246,lst_Werkstoff,0))/1000,""))</f>
        <v/>
      </c>
      <c r="R246" s="18">
        <f>IF($A246="","",IF(N(_xlfn.MAXIFS(Auftrag!$AP$13:$AP$512,Auftrag!$D$13:$D$512,$B246,Auftrag!$E$13:$E$512,$C246,Auftrag!$Q$13:$Q$512,$D246))&gt;0,_xlfn.MAXIFS(Auftrag!$AP$13:$AP$512,Auftrag!$D$13:$D$512,$B246,Auftrag!$E$13:$E$512,$C246,Auftrag!$Q$13:$Q$512,$D246)*$D246/1000,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9" t="n"/>
      <c r="E247" s="24" t="n"/>
      <c r="F247" s="24" t="n"/>
      <c r="G247" s="12">
        <f>IF($A247="","",COUNTIFS(Stangenbelegung!$A$5:$A$10004,$A247))</f>
        <v/>
      </c>
      <c r="H247" s="35">
        <f>IF($A247="","",SUMIFS(Stangenbelegung!$F$5:$F$10004,Stangenbelegung!$A$5:$A$10004,$A247))</f>
        <v/>
      </c>
      <c r="I247" s="23" t="n"/>
      <c r="J247" s="35">
        <f>IF($A247="","",$E247+H247+$I247)</f>
        <v/>
      </c>
      <c r="K247" s="35">
        <f>IF($A247="","",$D247-J247)</f>
        <v/>
      </c>
      <c r="L247" s="32">
        <f>IF($A247="","",H247/$D247)</f>
        <v/>
      </c>
      <c r="M247" s="28">
        <f>IF($A247="","",IF(OR(J247+$F247&gt;$D247+0.001,_xlfn.MAXIFS(Stangenbelegung!$H$5:$H$10004,Stangenbelegung!$A$5:$A$10004,$A247)&gt;$D247-$F247+0.001),"ÜBERBELEGT","OK"))</f>
        <v/>
      </c>
      <c r="N247" s="24" t="n"/>
      <c r="O247" s="24" t="n"/>
      <c r="P247" s="9" t="n"/>
      <c r="Q247" s="18">
        <f>IF($A247="","",IFERROR($D247/1000*INDEX(Profile!$K$5:$K$304,MATCH($B247,lst_Profil,0))*INDEX(Werkstoffe!$E$5:$E$304,MATCH($C247,lst_Werkstoff,0))/1000,""))</f>
        <v/>
      </c>
      <c r="R247" s="18">
        <f>IF($A247="","",IF(N(_xlfn.MAXIFS(Auftrag!$AP$13:$AP$512,Auftrag!$D$13:$D$512,$B247,Auftrag!$E$13:$E$512,$C247,Auftrag!$Q$13:$Q$512,$D247))&gt;0,_xlfn.MAXIFS(Auftrag!$AP$13:$AP$512,Auftrag!$D$13:$D$512,$B247,Auftrag!$E$13:$E$512,$C247,Auftrag!$Q$13:$Q$512,$D247)*$D247/1000,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9" t="n"/>
      <c r="E248" s="24" t="n"/>
      <c r="F248" s="24" t="n"/>
      <c r="G248" s="12">
        <f>IF($A248="","",COUNTIFS(Stangenbelegung!$A$5:$A$10004,$A248))</f>
        <v/>
      </c>
      <c r="H248" s="35">
        <f>IF($A248="","",SUMIFS(Stangenbelegung!$F$5:$F$10004,Stangenbelegung!$A$5:$A$10004,$A248))</f>
        <v/>
      </c>
      <c r="I248" s="23" t="n"/>
      <c r="J248" s="35">
        <f>IF($A248="","",$E248+H248+$I248)</f>
        <v/>
      </c>
      <c r="K248" s="35">
        <f>IF($A248="","",$D248-J248)</f>
        <v/>
      </c>
      <c r="L248" s="32">
        <f>IF($A248="","",H248/$D248)</f>
        <v/>
      </c>
      <c r="M248" s="28">
        <f>IF($A248="","",IF(OR(J248+$F248&gt;$D248+0.001,_xlfn.MAXIFS(Stangenbelegung!$H$5:$H$10004,Stangenbelegung!$A$5:$A$10004,$A248)&gt;$D248-$F248+0.001),"ÜBERBELEGT","OK"))</f>
        <v/>
      </c>
      <c r="N248" s="24" t="n"/>
      <c r="O248" s="24" t="n"/>
      <c r="P248" s="9" t="n"/>
      <c r="Q248" s="18">
        <f>IF($A248="","",IFERROR($D248/1000*INDEX(Profile!$K$5:$K$304,MATCH($B248,lst_Profil,0))*INDEX(Werkstoffe!$E$5:$E$304,MATCH($C248,lst_Werkstoff,0))/1000,""))</f>
        <v/>
      </c>
      <c r="R248" s="18">
        <f>IF($A248="","",IF(N(_xlfn.MAXIFS(Auftrag!$AP$13:$AP$512,Auftrag!$D$13:$D$512,$B248,Auftrag!$E$13:$E$512,$C248,Auftrag!$Q$13:$Q$512,$D248))&gt;0,_xlfn.MAXIFS(Auftrag!$AP$13:$AP$512,Auftrag!$D$13:$D$512,$B248,Auftrag!$E$13:$E$512,$C248,Auftrag!$Q$13:$Q$512,$D248)*$D248/1000,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9" t="n"/>
      <c r="E249" s="24" t="n"/>
      <c r="F249" s="24" t="n"/>
      <c r="G249" s="12">
        <f>IF($A249="","",COUNTIFS(Stangenbelegung!$A$5:$A$10004,$A249))</f>
        <v/>
      </c>
      <c r="H249" s="35">
        <f>IF($A249="","",SUMIFS(Stangenbelegung!$F$5:$F$10004,Stangenbelegung!$A$5:$A$10004,$A249))</f>
        <v/>
      </c>
      <c r="I249" s="23" t="n"/>
      <c r="J249" s="35">
        <f>IF($A249="","",$E249+H249+$I249)</f>
        <v/>
      </c>
      <c r="K249" s="35">
        <f>IF($A249="","",$D249-J249)</f>
        <v/>
      </c>
      <c r="L249" s="32">
        <f>IF($A249="","",H249/$D249)</f>
        <v/>
      </c>
      <c r="M249" s="28">
        <f>IF($A249="","",IF(OR(J249+$F249&gt;$D249+0.001,_xlfn.MAXIFS(Stangenbelegung!$H$5:$H$10004,Stangenbelegung!$A$5:$A$10004,$A249)&gt;$D249-$F249+0.001),"ÜBERBELEGT","OK"))</f>
        <v/>
      </c>
      <c r="N249" s="24" t="n"/>
      <c r="O249" s="24" t="n"/>
      <c r="P249" s="9" t="n"/>
      <c r="Q249" s="18">
        <f>IF($A249="","",IFERROR($D249/1000*INDEX(Profile!$K$5:$K$304,MATCH($B249,lst_Profil,0))*INDEX(Werkstoffe!$E$5:$E$304,MATCH($C249,lst_Werkstoff,0))/1000,""))</f>
        <v/>
      </c>
      <c r="R249" s="18">
        <f>IF($A249="","",IF(N(_xlfn.MAXIFS(Auftrag!$AP$13:$AP$512,Auftrag!$D$13:$D$512,$B249,Auftrag!$E$13:$E$512,$C249,Auftrag!$Q$13:$Q$512,$D249))&gt;0,_xlfn.MAXIFS(Auftrag!$AP$13:$AP$512,Auftrag!$D$13:$D$512,$B249,Auftrag!$E$13:$E$512,$C249,Auftrag!$Q$13:$Q$512,$D249)*$D249/1000,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9" t="n"/>
      <c r="E250" s="24" t="n"/>
      <c r="F250" s="24" t="n"/>
      <c r="G250" s="12">
        <f>IF($A250="","",COUNTIFS(Stangenbelegung!$A$5:$A$10004,$A250))</f>
        <v/>
      </c>
      <c r="H250" s="35">
        <f>IF($A250="","",SUMIFS(Stangenbelegung!$F$5:$F$10004,Stangenbelegung!$A$5:$A$10004,$A250))</f>
        <v/>
      </c>
      <c r="I250" s="23" t="n"/>
      <c r="J250" s="35">
        <f>IF($A250="","",$E250+H250+$I250)</f>
        <v/>
      </c>
      <c r="K250" s="35">
        <f>IF($A250="","",$D250-J250)</f>
        <v/>
      </c>
      <c r="L250" s="32">
        <f>IF($A250="","",H250/$D250)</f>
        <v/>
      </c>
      <c r="M250" s="28">
        <f>IF($A250="","",IF(OR(J250+$F250&gt;$D250+0.001,_xlfn.MAXIFS(Stangenbelegung!$H$5:$H$10004,Stangenbelegung!$A$5:$A$10004,$A250)&gt;$D250-$F250+0.001),"ÜBERBELEGT","OK"))</f>
        <v/>
      </c>
      <c r="N250" s="24" t="n"/>
      <c r="O250" s="24" t="n"/>
      <c r="P250" s="9" t="n"/>
      <c r="Q250" s="18">
        <f>IF($A250="","",IFERROR($D250/1000*INDEX(Profile!$K$5:$K$304,MATCH($B250,lst_Profil,0))*INDEX(Werkstoffe!$E$5:$E$304,MATCH($C250,lst_Werkstoff,0))/1000,""))</f>
        <v/>
      </c>
      <c r="R250" s="18">
        <f>IF($A250="","",IF(N(_xlfn.MAXIFS(Auftrag!$AP$13:$AP$512,Auftrag!$D$13:$D$512,$B250,Auftrag!$E$13:$E$512,$C250,Auftrag!$Q$13:$Q$512,$D250))&gt;0,_xlfn.MAXIFS(Auftrag!$AP$13:$AP$512,Auftrag!$D$13:$D$512,$B250,Auftrag!$E$13:$E$512,$C250,Auftrag!$Q$13:$Q$512,$D250)*$D250/1000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9" t="n"/>
      <c r="E251" s="24" t="n"/>
      <c r="F251" s="24" t="n"/>
      <c r="G251" s="12">
        <f>IF($A251="","",COUNTIFS(Stangenbelegung!$A$5:$A$10004,$A251))</f>
        <v/>
      </c>
      <c r="H251" s="35">
        <f>IF($A251="","",SUMIFS(Stangenbelegung!$F$5:$F$10004,Stangenbelegung!$A$5:$A$10004,$A251))</f>
        <v/>
      </c>
      <c r="I251" s="23" t="n"/>
      <c r="J251" s="35">
        <f>IF($A251="","",$E251+H251+$I251)</f>
        <v/>
      </c>
      <c r="K251" s="35">
        <f>IF($A251="","",$D251-J251)</f>
        <v/>
      </c>
      <c r="L251" s="32">
        <f>IF($A251="","",H251/$D251)</f>
        <v/>
      </c>
      <c r="M251" s="28">
        <f>IF($A251="","",IF(OR(J251+$F251&gt;$D251+0.001,_xlfn.MAXIFS(Stangenbelegung!$H$5:$H$10004,Stangenbelegung!$A$5:$A$10004,$A251)&gt;$D251-$F251+0.001),"ÜBERBELEGT","OK"))</f>
        <v/>
      </c>
      <c r="N251" s="24" t="n"/>
      <c r="O251" s="24" t="n"/>
      <c r="P251" s="9" t="n"/>
      <c r="Q251" s="18">
        <f>IF($A251="","",IFERROR($D251/1000*INDEX(Profile!$K$5:$K$304,MATCH($B251,lst_Profil,0))*INDEX(Werkstoffe!$E$5:$E$304,MATCH($C251,lst_Werkstoff,0))/1000,""))</f>
        <v/>
      </c>
      <c r="R251" s="18">
        <f>IF($A251="","",IF(N(_xlfn.MAXIFS(Auftrag!$AP$13:$AP$512,Auftrag!$D$13:$D$512,$B251,Auftrag!$E$13:$E$512,$C251,Auftrag!$Q$13:$Q$512,$D251))&gt;0,_xlfn.MAXIFS(Auftrag!$AP$13:$AP$512,Auftrag!$D$13:$D$512,$B251,Auftrag!$E$13:$E$512,$C251,Auftrag!$Q$13:$Q$512,$D251)*$D251/1000,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9" t="n"/>
      <c r="E252" s="24" t="n"/>
      <c r="F252" s="24" t="n"/>
      <c r="G252" s="12">
        <f>IF($A252="","",COUNTIFS(Stangenbelegung!$A$5:$A$10004,$A252))</f>
        <v/>
      </c>
      <c r="H252" s="35">
        <f>IF($A252="","",SUMIFS(Stangenbelegung!$F$5:$F$10004,Stangenbelegung!$A$5:$A$10004,$A252))</f>
        <v/>
      </c>
      <c r="I252" s="23" t="n"/>
      <c r="J252" s="35">
        <f>IF($A252="","",$E252+H252+$I252)</f>
        <v/>
      </c>
      <c r="K252" s="35">
        <f>IF($A252="","",$D252-J252)</f>
        <v/>
      </c>
      <c r="L252" s="32">
        <f>IF($A252="","",H252/$D252)</f>
        <v/>
      </c>
      <c r="M252" s="28">
        <f>IF($A252="","",IF(OR(J252+$F252&gt;$D252+0.001,_xlfn.MAXIFS(Stangenbelegung!$H$5:$H$10004,Stangenbelegung!$A$5:$A$10004,$A252)&gt;$D252-$F252+0.001),"ÜBERBELEGT","OK"))</f>
        <v/>
      </c>
      <c r="N252" s="24" t="n"/>
      <c r="O252" s="24" t="n"/>
      <c r="P252" s="9" t="n"/>
      <c r="Q252" s="18">
        <f>IF($A252="","",IFERROR($D252/1000*INDEX(Profile!$K$5:$K$304,MATCH($B252,lst_Profil,0))*INDEX(Werkstoffe!$E$5:$E$304,MATCH($C252,lst_Werkstoff,0))/1000,""))</f>
        <v/>
      </c>
      <c r="R252" s="18">
        <f>IF($A252="","",IF(N(_xlfn.MAXIFS(Auftrag!$AP$13:$AP$512,Auftrag!$D$13:$D$512,$B252,Auftrag!$E$13:$E$512,$C252,Auftrag!$Q$13:$Q$512,$D252))&gt;0,_xlfn.MAXIFS(Auftrag!$AP$13:$AP$512,Auftrag!$D$13:$D$512,$B252,Auftrag!$E$13:$E$512,$C252,Auftrag!$Q$13:$Q$512,$D252)*$D252/1000,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9" t="n"/>
      <c r="E253" s="24" t="n"/>
      <c r="F253" s="24" t="n"/>
      <c r="G253" s="12">
        <f>IF($A253="","",COUNTIFS(Stangenbelegung!$A$5:$A$10004,$A253))</f>
        <v/>
      </c>
      <c r="H253" s="35">
        <f>IF($A253="","",SUMIFS(Stangenbelegung!$F$5:$F$10004,Stangenbelegung!$A$5:$A$10004,$A253))</f>
        <v/>
      </c>
      <c r="I253" s="23" t="n"/>
      <c r="J253" s="35">
        <f>IF($A253="","",$E253+H253+$I253)</f>
        <v/>
      </c>
      <c r="K253" s="35">
        <f>IF($A253="","",$D253-J253)</f>
        <v/>
      </c>
      <c r="L253" s="32">
        <f>IF($A253="","",H253/$D253)</f>
        <v/>
      </c>
      <c r="M253" s="28">
        <f>IF($A253="","",IF(OR(J253+$F253&gt;$D253+0.001,_xlfn.MAXIFS(Stangenbelegung!$H$5:$H$10004,Stangenbelegung!$A$5:$A$10004,$A253)&gt;$D253-$F253+0.001),"ÜBERBELEGT","OK"))</f>
        <v/>
      </c>
      <c r="N253" s="24" t="n"/>
      <c r="O253" s="24" t="n"/>
      <c r="P253" s="9" t="n"/>
      <c r="Q253" s="18">
        <f>IF($A253="","",IFERROR($D253/1000*INDEX(Profile!$K$5:$K$304,MATCH($B253,lst_Profil,0))*INDEX(Werkstoffe!$E$5:$E$304,MATCH($C253,lst_Werkstoff,0))/1000,""))</f>
        <v/>
      </c>
      <c r="R253" s="18">
        <f>IF($A253="","",IF(N(_xlfn.MAXIFS(Auftrag!$AP$13:$AP$512,Auftrag!$D$13:$D$512,$B253,Auftrag!$E$13:$E$512,$C253,Auftrag!$Q$13:$Q$512,$D253))&gt;0,_xlfn.MAXIFS(Auftrag!$AP$13:$AP$512,Auftrag!$D$13:$D$512,$B253,Auftrag!$E$13:$E$512,$C253,Auftrag!$Q$13:$Q$512,$D253)*$D253/1000,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9" t="n"/>
      <c r="E254" s="24" t="n"/>
      <c r="F254" s="24" t="n"/>
      <c r="G254" s="12">
        <f>IF($A254="","",COUNTIFS(Stangenbelegung!$A$5:$A$10004,$A254))</f>
        <v/>
      </c>
      <c r="H254" s="35">
        <f>IF($A254="","",SUMIFS(Stangenbelegung!$F$5:$F$10004,Stangenbelegung!$A$5:$A$10004,$A254))</f>
        <v/>
      </c>
      <c r="I254" s="23" t="n"/>
      <c r="J254" s="35">
        <f>IF($A254="","",$E254+H254+$I254)</f>
        <v/>
      </c>
      <c r="K254" s="35">
        <f>IF($A254="","",$D254-J254)</f>
        <v/>
      </c>
      <c r="L254" s="32">
        <f>IF($A254="","",H254/$D254)</f>
        <v/>
      </c>
      <c r="M254" s="28">
        <f>IF($A254="","",IF(OR(J254+$F254&gt;$D254+0.001,_xlfn.MAXIFS(Stangenbelegung!$H$5:$H$10004,Stangenbelegung!$A$5:$A$10004,$A254)&gt;$D254-$F254+0.001),"ÜBERBELEGT","OK"))</f>
        <v/>
      </c>
      <c r="N254" s="24" t="n"/>
      <c r="O254" s="24" t="n"/>
      <c r="P254" s="9" t="n"/>
      <c r="Q254" s="18">
        <f>IF($A254="","",IFERROR($D254/1000*INDEX(Profile!$K$5:$K$304,MATCH($B254,lst_Profil,0))*INDEX(Werkstoffe!$E$5:$E$304,MATCH($C254,lst_Werkstoff,0))/1000,""))</f>
        <v/>
      </c>
      <c r="R254" s="18">
        <f>IF($A254="","",IF(N(_xlfn.MAXIFS(Auftrag!$AP$13:$AP$512,Auftrag!$D$13:$D$512,$B254,Auftrag!$E$13:$E$512,$C254,Auftrag!$Q$13:$Q$512,$D254))&gt;0,_xlfn.MAXIFS(Auftrag!$AP$13:$AP$512,Auftrag!$D$13:$D$512,$B254,Auftrag!$E$13:$E$512,$C254,Auftrag!$Q$13:$Q$512,$D254)*$D254/1000,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9" t="n"/>
      <c r="E255" s="24" t="n"/>
      <c r="F255" s="24" t="n"/>
      <c r="G255" s="12">
        <f>IF($A255="","",COUNTIFS(Stangenbelegung!$A$5:$A$10004,$A255))</f>
        <v/>
      </c>
      <c r="H255" s="35">
        <f>IF($A255="","",SUMIFS(Stangenbelegung!$F$5:$F$10004,Stangenbelegung!$A$5:$A$10004,$A255))</f>
        <v/>
      </c>
      <c r="I255" s="23" t="n"/>
      <c r="J255" s="35">
        <f>IF($A255="","",$E255+H255+$I255)</f>
        <v/>
      </c>
      <c r="K255" s="35">
        <f>IF($A255="","",$D255-J255)</f>
        <v/>
      </c>
      <c r="L255" s="32">
        <f>IF($A255="","",H255/$D255)</f>
        <v/>
      </c>
      <c r="M255" s="28">
        <f>IF($A255="","",IF(OR(J255+$F255&gt;$D255+0.001,_xlfn.MAXIFS(Stangenbelegung!$H$5:$H$10004,Stangenbelegung!$A$5:$A$10004,$A255)&gt;$D255-$F255+0.001),"ÜBERBELEGT","OK"))</f>
        <v/>
      </c>
      <c r="N255" s="24" t="n"/>
      <c r="O255" s="24" t="n"/>
      <c r="P255" s="9" t="n"/>
      <c r="Q255" s="18">
        <f>IF($A255="","",IFERROR($D255/1000*INDEX(Profile!$K$5:$K$304,MATCH($B255,lst_Profil,0))*INDEX(Werkstoffe!$E$5:$E$304,MATCH($C255,lst_Werkstoff,0))/1000,""))</f>
        <v/>
      </c>
      <c r="R255" s="18">
        <f>IF($A255="","",IF(N(_xlfn.MAXIFS(Auftrag!$AP$13:$AP$512,Auftrag!$D$13:$D$512,$B255,Auftrag!$E$13:$E$512,$C255,Auftrag!$Q$13:$Q$512,$D255))&gt;0,_xlfn.MAXIFS(Auftrag!$AP$13:$AP$512,Auftrag!$D$13:$D$512,$B255,Auftrag!$E$13:$E$512,$C255,Auftrag!$Q$13:$Q$512,$D255)*$D255/1000,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9" t="n"/>
      <c r="E256" s="24" t="n"/>
      <c r="F256" s="24" t="n"/>
      <c r="G256" s="12">
        <f>IF($A256="","",COUNTIFS(Stangenbelegung!$A$5:$A$10004,$A256))</f>
        <v/>
      </c>
      <c r="H256" s="35">
        <f>IF($A256="","",SUMIFS(Stangenbelegung!$F$5:$F$10004,Stangenbelegung!$A$5:$A$10004,$A256))</f>
        <v/>
      </c>
      <c r="I256" s="23" t="n"/>
      <c r="J256" s="35">
        <f>IF($A256="","",$E256+H256+$I256)</f>
        <v/>
      </c>
      <c r="K256" s="35">
        <f>IF($A256="","",$D256-J256)</f>
        <v/>
      </c>
      <c r="L256" s="32">
        <f>IF($A256="","",H256/$D256)</f>
        <v/>
      </c>
      <c r="M256" s="28">
        <f>IF($A256="","",IF(OR(J256+$F256&gt;$D256+0.001,_xlfn.MAXIFS(Stangenbelegung!$H$5:$H$10004,Stangenbelegung!$A$5:$A$10004,$A256)&gt;$D256-$F256+0.001),"ÜBERBELEGT","OK"))</f>
        <v/>
      </c>
      <c r="N256" s="24" t="n"/>
      <c r="O256" s="24" t="n"/>
      <c r="P256" s="9" t="n"/>
      <c r="Q256" s="18">
        <f>IF($A256="","",IFERROR($D256/1000*INDEX(Profile!$K$5:$K$304,MATCH($B256,lst_Profil,0))*INDEX(Werkstoffe!$E$5:$E$304,MATCH($C256,lst_Werkstoff,0))/1000,""))</f>
        <v/>
      </c>
      <c r="R256" s="18">
        <f>IF($A256="","",IF(N(_xlfn.MAXIFS(Auftrag!$AP$13:$AP$512,Auftrag!$D$13:$D$512,$B256,Auftrag!$E$13:$E$512,$C256,Auftrag!$Q$13:$Q$512,$D256))&gt;0,_xlfn.MAXIFS(Auftrag!$AP$13:$AP$512,Auftrag!$D$13:$D$512,$B256,Auftrag!$E$13:$E$512,$C256,Auftrag!$Q$13:$Q$512,$D256)*$D256/1000,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9" t="n"/>
      <c r="E257" s="24" t="n"/>
      <c r="F257" s="24" t="n"/>
      <c r="G257" s="12">
        <f>IF($A257="","",COUNTIFS(Stangenbelegung!$A$5:$A$10004,$A257))</f>
        <v/>
      </c>
      <c r="H257" s="35">
        <f>IF($A257="","",SUMIFS(Stangenbelegung!$F$5:$F$10004,Stangenbelegung!$A$5:$A$10004,$A257))</f>
        <v/>
      </c>
      <c r="I257" s="23" t="n"/>
      <c r="J257" s="35">
        <f>IF($A257="","",$E257+H257+$I257)</f>
        <v/>
      </c>
      <c r="K257" s="35">
        <f>IF($A257="","",$D257-J257)</f>
        <v/>
      </c>
      <c r="L257" s="32">
        <f>IF($A257="","",H257/$D257)</f>
        <v/>
      </c>
      <c r="M257" s="28">
        <f>IF($A257="","",IF(OR(J257+$F257&gt;$D257+0.001,_xlfn.MAXIFS(Stangenbelegung!$H$5:$H$10004,Stangenbelegung!$A$5:$A$10004,$A257)&gt;$D257-$F257+0.001),"ÜBERBELEGT","OK"))</f>
        <v/>
      </c>
      <c r="N257" s="24" t="n"/>
      <c r="O257" s="24" t="n"/>
      <c r="P257" s="9" t="n"/>
      <c r="Q257" s="18">
        <f>IF($A257="","",IFERROR($D257/1000*INDEX(Profile!$K$5:$K$304,MATCH($B257,lst_Profil,0))*INDEX(Werkstoffe!$E$5:$E$304,MATCH($C257,lst_Werkstoff,0))/1000,""))</f>
        <v/>
      </c>
      <c r="R257" s="18">
        <f>IF($A257="","",IF(N(_xlfn.MAXIFS(Auftrag!$AP$13:$AP$512,Auftrag!$D$13:$D$512,$B257,Auftrag!$E$13:$E$512,$C257,Auftrag!$Q$13:$Q$512,$D257))&gt;0,_xlfn.MAXIFS(Auftrag!$AP$13:$AP$512,Auftrag!$D$13:$D$512,$B257,Auftrag!$E$13:$E$512,$C257,Auftrag!$Q$13:$Q$512,$D257)*$D257/1000,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9" t="n"/>
      <c r="E258" s="24" t="n"/>
      <c r="F258" s="24" t="n"/>
      <c r="G258" s="12">
        <f>IF($A258="","",COUNTIFS(Stangenbelegung!$A$5:$A$10004,$A258))</f>
        <v/>
      </c>
      <c r="H258" s="35">
        <f>IF($A258="","",SUMIFS(Stangenbelegung!$F$5:$F$10004,Stangenbelegung!$A$5:$A$10004,$A258))</f>
        <v/>
      </c>
      <c r="I258" s="23" t="n"/>
      <c r="J258" s="35">
        <f>IF($A258="","",$E258+H258+$I258)</f>
        <v/>
      </c>
      <c r="K258" s="35">
        <f>IF($A258="","",$D258-J258)</f>
        <v/>
      </c>
      <c r="L258" s="32">
        <f>IF($A258="","",H258/$D258)</f>
        <v/>
      </c>
      <c r="M258" s="28">
        <f>IF($A258="","",IF(OR(J258+$F258&gt;$D258+0.001,_xlfn.MAXIFS(Stangenbelegung!$H$5:$H$10004,Stangenbelegung!$A$5:$A$10004,$A258)&gt;$D258-$F258+0.001),"ÜBERBELEGT","OK"))</f>
        <v/>
      </c>
      <c r="N258" s="24" t="n"/>
      <c r="O258" s="24" t="n"/>
      <c r="P258" s="9" t="n"/>
      <c r="Q258" s="18">
        <f>IF($A258="","",IFERROR($D258/1000*INDEX(Profile!$K$5:$K$304,MATCH($B258,lst_Profil,0))*INDEX(Werkstoffe!$E$5:$E$304,MATCH($C258,lst_Werkstoff,0))/1000,""))</f>
        <v/>
      </c>
      <c r="R258" s="18">
        <f>IF($A258="","",IF(N(_xlfn.MAXIFS(Auftrag!$AP$13:$AP$512,Auftrag!$D$13:$D$512,$B258,Auftrag!$E$13:$E$512,$C258,Auftrag!$Q$13:$Q$512,$D258))&gt;0,_xlfn.MAXIFS(Auftrag!$AP$13:$AP$512,Auftrag!$D$13:$D$512,$B258,Auftrag!$E$13:$E$512,$C258,Auftrag!$Q$13:$Q$512,$D258)*$D258/1000,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9" t="n"/>
      <c r="E259" s="24" t="n"/>
      <c r="F259" s="24" t="n"/>
      <c r="G259" s="12">
        <f>IF($A259="","",COUNTIFS(Stangenbelegung!$A$5:$A$10004,$A259))</f>
        <v/>
      </c>
      <c r="H259" s="35">
        <f>IF($A259="","",SUMIFS(Stangenbelegung!$F$5:$F$10004,Stangenbelegung!$A$5:$A$10004,$A259))</f>
        <v/>
      </c>
      <c r="I259" s="23" t="n"/>
      <c r="J259" s="35">
        <f>IF($A259="","",$E259+H259+$I259)</f>
        <v/>
      </c>
      <c r="K259" s="35">
        <f>IF($A259="","",$D259-J259)</f>
        <v/>
      </c>
      <c r="L259" s="32">
        <f>IF($A259="","",H259/$D259)</f>
        <v/>
      </c>
      <c r="M259" s="28">
        <f>IF($A259="","",IF(OR(J259+$F259&gt;$D259+0.001,_xlfn.MAXIFS(Stangenbelegung!$H$5:$H$10004,Stangenbelegung!$A$5:$A$10004,$A259)&gt;$D259-$F259+0.001),"ÜBERBELEGT","OK"))</f>
        <v/>
      </c>
      <c r="N259" s="24" t="n"/>
      <c r="O259" s="24" t="n"/>
      <c r="P259" s="9" t="n"/>
      <c r="Q259" s="18">
        <f>IF($A259="","",IFERROR($D259/1000*INDEX(Profile!$K$5:$K$304,MATCH($B259,lst_Profil,0))*INDEX(Werkstoffe!$E$5:$E$304,MATCH($C259,lst_Werkstoff,0))/1000,""))</f>
        <v/>
      </c>
      <c r="R259" s="18">
        <f>IF($A259="","",IF(N(_xlfn.MAXIFS(Auftrag!$AP$13:$AP$512,Auftrag!$D$13:$D$512,$B259,Auftrag!$E$13:$E$512,$C259,Auftrag!$Q$13:$Q$512,$D259))&gt;0,_xlfn.MAXIFS(Auftrag!$AP$13:$AP$512,Auftrag!$D$13:$D$512,$B259,Auftrag!$E$13:$E$512,$C259,Auftrag!$Q$13:$Q$512,$D259)*$D259/1000,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9" t="n"/>
      <c r="E260" s="24" t="n"/>
      <c r="F260" s="24" t="n"/>
      <c r="G260" s="12">
        <f>IF($A260="","",COUNTIFS(Stangenbelegung!$A$5:$A$10004,$A260))</f>
        <v/>
      </c>
      <c r="H260" s="35">
        <f>IF($A260="","",SUMIFS(Stangenbelegung!$F$5:$F$10004,Stangenbelegung!$A$5:$A$10004,$A260))</f>
        <v/>
      </c>
      <c r="I260" s="23" t="n"/>
      <c r="J260" s="35">
        <f>IF($A260="","",$E260+H260+$I260)</f>
        <v/>
      </c>
      <c r="K260" s="35">
        <f>IF($A260="","",$D260-J260)</f>
        <v/>
      </c>
      <c r="L260" s="32">
        <f>IF($A260="","",H260/$D260)</f>
        <v/>
      </c>
      <c r="M260" s="28">
        <f>IF($A260="","",IF(OR(J260+$F260&gt;$D260+0.001,_xlfn.MAXIFS(Stangenbelegung!$H$5:$H$10004,Stangenbelegung!$A$5:$A$10004,$A260)&gt;$D260-$F260+0.001),"ÜBERBELEGT","OK"))</f>
        <v/>
      </c>
      <c r="N260" s="24" t="n"/>
      <c r="O260" s="24" t="n"/>
      <c r="P260" s="9" t="n"/>
      <c r="Q260" s="18">
        <f>IF($A260="","",IFERROR($D260/1000*INDEX(Profile!$K$5:$K$304,MATCH($B260,lst_Profil,0))*INDEX(Werkstoffe!$E$5:$E$304,MATCH($C260,lst_Werkstoff,0))/1000,""))</f>
        <v/>
      </c>
      <c r="R260" s="18">
        <f>IF($A260="","",IF(N(_xlfn.MAXIFS(Auftrag!$AP$13:$AP$512,Auftrag!$D$13:$D$512,$B260,Auftrag!$E$13:$E$512,$C260,Auftrag!$Q$13:$Q$512,$D260))&gt;0,_xlfn.MAXIFS(Auftrag!$AP$13:$AP$512,Auftrag!$D$13:$D$512,$B260,Auftrag!$E$13:$E$512,$C260,Auftrag!$Q$13:$Q$512,$D260)*$D260/1000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9" t="n"/>
      <c r="E261" s="24" t="n"/>
      <c r="F261" s="24" t="n"/>
      <c r="G261" s="12">
        <f>IF($A261="","",COUNTIFS(Stangenbelegung!$A$5:$A$10004,$A261))</f>
        <v/>
      </c>
      <c r="H261" s="35">
        <f>IF($A261="","",SUMIFS(Stangenbelegung!$F$5:$F$10004,Stangenbelegung!$A$5:$A$10004,$A261))</f>
        <v/>
      </c>
      <c r="I261" s="23" t="n"/>
      <c r="J261" s="35">
        <f>IF($A261="","",$E261+H261+$I261)</f>
        <v/>
      </c>
      <c r="K261" s="35">
        <f>IF($A261="","",$D261-J261)</f>
        <v/>
      </c>
      <c r="L261" s="32">
        <f>IF($A261="","",H261/$D261)</f>
        <v/>
      </c>
      <c r="M261" s="28">
        <f>IF($A261="","",IF(OR(J261+$F261&gt;$D261+0.001,_xlfn.MAXIFS(Stangenbelegung!$H$5:$H$10004,Stangenbelegung!$A$5:$A$10004,$A261)&gt;$D261-$F261+0.001),"ÜBERBELEGT","OK"))</f>
        <v/>
      </c>
      <c r="N261" s="24" t="n"/>
      <c r="O261" s="24" t="n"/>
      <c r="P261" s="9" t="n"/>
      <c r="Q261" s="18">
        <f>IF($A261="","",IFERROR($D261/1000*INDEX(Profile!$K$5:$K$304,MATCH($B261,lst_Profil,0))*INDEX(Werkstoffe!$E$5:$E$304,MATCH($C261,lst_Werkstoff,0))/1000,""))</f>
        <v/>
      </c>
      <c r="R261" s="18">
        <f>IF($A261="","",IF(N(_xlfn.MAXIFS(Auftrag!$AP$13:$AP$512,Auftrag!$D$13:$D$512,$B261,Auftrag!$E$13:$E$512,$C261,Auftrag!$Q$13:$Q$512,$D261))&gt;0,_xlfn.MAXIFS(Auftrag!$AP$13:$AP$512,Auftrag!$D$13:$D$512,$B261,Auftrag!$E$13:$E$512,$C261,Auftrag!$Q$13:$Q$512,$D261)*$D261/1000,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9" t="n"/>
      <c r="E262" s="24" t="n"/>
      <c r="F262" s="24" t="n"/>
      <c r="G262" s="12">
        <f>IF($A262="","",COUNTIFS(Stangenbelegung!$A$5:$A$10004,$A262))</f>
        <v/>
      </c>
      <c r="H262" s="35">
        <f>IF($A262="","",SUMIFS(Stangenbelegung!$F$5:$F$10004,Stangenbelegung!$A$5:$A$10004,$A262))</f>
        <v/>
      </c>
      <c r="I262" s="23" t="n"/>
      <c r="J262" s="35">
        <f>IF($A262="","",$E262+H262+$I262)</f>
        <v/>
      </c>
      <c r="K262" s="35">
        <f>IF($A262="","",$D262-J262)</f>
        <v/>
      </c>
      <c r="L262" s="32">
        <f>IF($A262="","",H262/$D262)</f>
        <v/>
      </c>
      <c r="M262" s="28">
        <f>IF($A262="","",IF(OR(J262+$F262&gt;$D262+0.001,_xlfn.MAXIFS(Stangenbelegung!$H$5:$H$10004,Stangenbelegung!$A$5:$A$10004,$A262)&gt;$D262-$F262+0.001),"ÜBERBELEGT","OK"))</f>
        <v/>
      </c>
      <c r="N262" s="24" t="n"/>
      <c r="O262" s="24" t="n"/>
      <c r="P262" s="9" t="n"/>
      <c r="Q262" s="18">
        <f>IF($A262="","",IFERROR($D262/1000*INDEX(Profile!$K$5:$K$304,MATCH($B262,lst_Profil,0))*INDEX(Werkstoffe!$E$5:$E$304,MATCH($C262,lst_Werkstoff,0))/1000,""))</f>
        <v/>
      </c>
      <c r="R262" s="18">
        <f>IF($A262="","",IF(N(_xlfn.MAXIFS(Auftrag!$AP$13:$AP$512,Auftrag!$D$13:$D$512,$B262,Auftrag!$E$13:$E$512,$C262,Auftrag!$Q$13:$Q$512,$D262))&gt;0,_xlfn.MAXIFS(Auftrag!$AP$13:$AP$512,Auftrag!$D$13:$D$512,$B262,Auftrag!$E$13:$E$512,$C262,Auftrag!$Q$13:$Q$512,$D262)*$D262/1000,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9" t="n"/>
      <c r="E263" s="24" t="n"/>
      <c r="F263" s="24" t="n"/>
      <c r="G263" s="12">
        <f>IF($A263="","",COUNTIFS(Stangenbelegung!$A$5:$A$10004,$A263))</f>
        <v/>
      </c>
      <c r="H263" s="35">
        <f>IF($A263="","",SUMIFS(Stangenbelegung!$F$5:$F$10004,Stangenbelegung!$A$5:$A$10004,$A263))</f>
        <v/>
      </c>
      <c r="I263" s="23" t="n"/>
      <c r="J263" s="35">
        <f>IF($A263="","",$E263+H263+$I263)</f>
        <v/>
      </c>
      <c r="K263" s="35">
        <f>IF($A263="","",$D263-J263)</f>
        <v/>
      </c>
      <c r="L263" s="32">
        <f>IF($A263="","",H263/$D263)</f>
        <v/>
      </c>
      <c r="M263" s="28">
        <f>IF($A263="","",IF(OR(J263+$F263&gt;$D263+0.001,_xlfn.MAXIFS(Stangenbelegung!$H$5:$H$10004,Stangenbelegung!$A$5:$A$10004,$A263)&gt;$D263-$F263+0.001),"ÜBERBELEGT","OK"))</f>
        <v/>
      </c>
      <c r="N263" s="24" t="n"/>
      <c r="O263" s="24" t="n"/>
      <c r="P263" s="9" t="n"/>
      <c r="Q263" s="18">
        <f>IF($A263="","",IFERROR($D263/1000*INDEX(Profile!$K$5:$K$304,MATCH($B263,lst_Profil,0))*INDEX(Werkstoffe!$E$5:$E$304,MATCH($C263,lst_Werkstoff,0))/1000,""))</f>
        <v/>
      </c>
      <c r="R263" s="18">
        <f>IF($A263="","",IF(N(_xlfn.MAXIFS(Auftrag!$AP$13:$AP$512,Auftrag!$D$13:$D$512,$B263,Auftrag!$E$13:$E$512,$C263,Auftrag!$Q$13:$Q$512,$D263))&gt;0,_xlfn.MAXIFS(Auftrag!$AP$13:$AP$512,Auftrag!$D$13:$D$512,$B263,Auftrag!$E$13:$E$512,$C263,Auftrag!$Q$13:$Q$512,$D263)*$D263/1000,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9" t="n"/>
      <c r="E264" s="24" t="n"/>
      <c r="F264" s="24" t="n"/>
      <c r="G264" s="12">
        <f>IF($A264="","",COUNTIFS(Stangenbelegung!$A$5:$A$10004,$A264))</f>
        <v/>
      </c>
      <c r="H264" s="35">
        <f>IF($A264="","",SUMIFS(Stangenbelegung!$F$5:$F$10004,Stangenbelegung!$A$5:$A$10004,$A264))</f>
        <v/>
      </c>
      <c r="I264" s="23" t="n"/>
      <c r="J264" s="35">
        <f>IF($A264="","",$E264+H264+$I264)</f>
        <v/>
      </c>
      <c r="K264" s="35">
        <f>IF($A264="","",$D264-J264)</f>
        <v/>
      </c>
      <c r="L264" s="32">
        <f>IF($A264="","",H264/$D264)</f>
        <v/>
      </c>
      <c r="M264" s="28">
        <f>IF($A264="","",IF(OR(J264+$F264&gt;$D264+0.001,_xlfn.MAXIFS(Stangenbelegung!$H$5:$H$10004,Stangenbelegung!$A$5:$A$10004,$A264)&gt;$D264-$F264+0.001),"ÜBERBELEGT","OK"))</f>
        <v/>
      </c>
      <c r="N264" s="24" t="n"/>
      <c r="O264" s="24" t="n"/>
      <c r="P264" s="9" t="n"/>
      <c r="Q264" s="18">
        <f>IF($A264="","",IFERROR($D264/1000*INDEX(Profile!$K$5:$K$304,MATCH($B264,lst_Profil,0))*INDEX(Werkstoffe!$E$5:$E$304,MATCH($C264,lst_Werkstoff,0))/1000,""))</f>
        <v/>
      </c>
      <c r="R264" s="18">
        <f>IF($A264="","",IF(N(_xlfn.MAXIFS(Auftrag!$AP$13:$AP$512,Auftrag!$D$13:$D$512,$B264,Auftrag!$E$13:$E$512,$C264,Auftrag!$Q$13:$Q$512,$D264))&gt;0,_xlfn.MAXIFS(Auftrag!$AP$13:$AP$512,Auftrag!$D$13:$D$512,$B264,Auftrag!$E$13:$E$512,$C264,Auftrag!$Q$13:$Q$512,$D264)*$D264/1000,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9" t="n"/>
      <c r="E265" s="24" t="n"/>
      <c r="F265" s="24" t="n"/>
      <c r="G265" s="12">
        <f>IF($A265="","",COUNTIFS(Stangenbelegung!$A$5:$A$10004,$A265))</f>
        <v/>
      </c>
      <c r="H265" s="35">
        <f>IF($A265="","",SUMIFS(Stangenbelegung!$F$5:$F$10004,Stangenbelegung!$A$5:$A$10004,$A265))</f>
        <v/>
      </c>
      <c r="I265" s="23" t="n"/>
      <c r="J265" s="35">
        <f>IF($A265="","",$E265+H265+$I265)</f>
        <v/>
      </c>
      <c r="K265" s="35">
        <f>IF($A265="","",$D265-J265)</f>
        <v/>
      </c>
      <c r="L265" s="32">
        <f>IF($A265="","",H265/$D265)</f>
        <v/>
      </c>
      <c r="M265" s="28">
        <f>IF($A265="","",IF(OR(J265+$F265&gt;$D265+0.001,_xlfn.MAXIFS(Stangenbelegung!$H$5:$H$10004,Stangenbelegung!$A$5:$A$10004,$A265)&gt;$D265-$F265+0.001),"ÜBERBELEGT","OK"))</f>
        <v/>
      </c>
      <c r="N265" s="24" t="n"/>
      <c r="O265" s="24" t="n"/>
      <c r="P265" s="9" t="n"/>
      <c r="Q265" s="18">
        <f>IF($A265="","",IFERROR($D265/1000*INDEX(Profile!$K$5:$K$304,MATCH($B265,lst_Profil,0))*INDEX(Werkstoffe!$E$5:$E$304,MATCH($C265,lst_Werkstoff,0))/1000,""))</f>
        <v/>
      </c>
      <c r="R265" s="18">
        <f>IF($A265="","",IF(N(_xlfn.MAXIFS(Auftrag!$AP$13:$AP$512,Auftrag!$D$13:$D$512,$B265,Auftrag!$E$13:$E$512,$C265,Auftrag!$Q$13:$Q$512,$D265))&gt;0,_xlfn.MAXIFS(Auftrag!$AP$13:$AP$512,Auftrag!$D$13:$D$512,$B265,Auftrag!$E$13:$E$512,$C265,Auftrag!$Q$13:$Q$512,$D265)*$D265/1000,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9" t="n"/>
      <c r="E266" s="24" t="n"/>
      <c r="F266" s="24" t="n"/>
      <c r="G266" s="12">
        <f>IF($A266="","",COUNTIFS(Stangenbelegung!$A$5:$A$10004,$A266))</f>
        <v/>
      </c>
      <c r="H266" s="35">
        <f>IF($A266="","",SUMIFS(Stangenbelegung!$F$5:$F$10004,Stangenbelegung!$A$5:$A$10004,$A266))</f>
        <v/>
      </c>
      <c r="I266" s="23" t="n"/>
      <c r="J266" s="35">
        <f>IF($A266="","",$E266+H266+$I266)</f>
        <v/>
      </c>
      <c r="K266" s="35">
        <f>IF($A266="","",$D266-J266)</f>
        <v/>
      </c>
      <c r="L266" s="32">
        <f>IF($A266="","",H266/$D266)</f>
        <v/>
      </c>
      <c r="M266" s="28">
        <f>IF($A266="","",IF(OR(J266+$F266&gt;$D266+0.001,_xlfn.MAXIFS(Stangenbelegung!$H$5:$H$10004,Stangenbelegung!$A$5:$A$10004,$A266)&gt;$D266-$F266+0.001),"ÜBERBELEGT","OK"))</f>
        <v/>
      </c>
      <c r="N266" s="24" t="n"/>
      <c r="O266" s="24" t="n"/>
      <c r="P266" s="9" t="n"/>
      <c r="Q266" s="18">
        <f>IF($A266="","",IFERROR($D266/1000*INDEX(Profile!$K$5:$K$304,MATCH($B266,lst_Profil,0))*INDEX(Werkstoffe!$E$5:$E$304,MATCH($C266,lst_Werkstoff,0))/1000,""))</f>
        <v/>
      </c>
      <c r="R266" s="18">
        <f>IF($A266="","",IF(N(_xlfn.MAXIFS(Auftrag!$AP$13:$AP$512,Auftrag!$D$13:$D$512,$B266,Auftrag!$E$13:$E$512,$C266,Auftrag!$Q$13:$Q$512,$D266))&gt;0,_xlfn.MAXIFS(Auftrag!$AP$13:$AP$512,Auftrag!$D$13:$D$512,$B266,Auftrag!$E$13:$E$512,$C266,Auftrag!$Q$13:$Q$512,$D266)*$D266/1000,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9" t="n"/>
      <c r="E267" s="24" t="n"/>
      <c r="F267" s="24" t="n"/>
      <c r="G267" s="12">
        <f>IF($A267="","",COUNTIFS(Stangenbelegung!$A$5:$A$10004,$A267))</f>
        <v/>
      </c>
      <c r="H267" s="35">
        <f>IF($A267="","",SUMIFS(Stangenbelegung!$F$5:$F$10004,Stangenbelegung!$A$5:$A$10004,$A267))</f>
        <v/>
      </c>
      <c r="I267" s="23" t="n"/>
      <c r="J267" s="35">
        <f>IF($A267="","",$E267+H267+$I267)</f>
        <v/>
      </c>
      <c r="K267" s="35">
        <f>IF($A267="","",$D267-J267)</f>
        <v/>
      </c>
      <c r="L267" s="32">
        <f>IF($A267="","",H267/$D267)</f>
        <v/>
      </c>
      <c r="M267" s="28">
        <f>IF($A267="","",IF(OR(J267+$F267&gt;$D267+0.001,_xlfn.MAXIFS(Stangenbelegung!$H$5:$H$10004,Stangenbelegung!$A$5:$A$10004,$A267)&gt;$D267-$F267+0.001),"ÜBERBELEGT","OK"))</f>
        <v/>
      </c>
      <c r="N267" s="24" t="n"/>
      <c r="O267" s="24" t="n"/>
      <c r="P267" s="9" t="n"/>
      <c r="Q267" s="18">
        <f>IF($A267="","",IFERROR($D267/1000*INDEX(Profile!$K$5:$K$304,MATCH($B267,lst_Profil,0))*INDEX(Werkstoffe!$E$5:$E$304,MATCH($C267,lst_Werkstoff,0))/1000,""))</f>
        <v/>
      </c>
      <c r="R267" s="18">
        <f>IF($A267="","",IF(N(_xlfn.MAXIFS(Auftrag!$AP$13:$AP$512,Auftrag!$D$13:$D$512,$B267,Auftrag!$E$13:$E$512,$C267,Auftrag!$Q$13:$Q$512,$D267))&gt;0,_xlfn.MAXIFS(Auftrag!$AP$13:$AP$512,Auftrag!$D$13:$D$512,$B267,Auftrag!$E$13:$E$512,$C267,Auftrag!$Q$13:$Q$512,$D267)*$D267/1000,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9" t="n"/>
      <c r="E268" s="24" t="n"/>
      <c r="F268" s="24" t="n"/>
      <c r="G268" s="12">
        <f>IF($A268="","",COUNTIFS(Stangenbelegung!$A$5:$A$10004,$A268))</f>
        <v/>
      </c>
      <c r="H268" s="35">
        <f>IF($A268="","",SUMIFS(Stangenbelegung!$F$5:$F$10004,Stangenbelegung!$A$5:$A$10004,$A268))</f>
        <v/>
      </c>
      <c r="I268" s="23" t="n"/>
      <c r="J268" s="35">
        <f>IF($A268="","",$E268+H268+$I268)</f>
        <v/>
      </c>
      <c r="K268" s="35">
        <f>IF($A268="","",$D268-J268)</f>
        <v/>
      </c>
      <c r="L268" s="32">
        <f>IF($A268="","",H268/$D268)</f>
        <v/>
      </c>
      <c r="M268" s="28">
        <f>IF($A268="","",IF(OR(J268+$F268&gt;$D268+0.001,_xlfn.MAXIFS(Stangenbelegung!$H$5:$H$10004,Stangenbelegung!$A$5:$A$10004,$A268)&gt;$D268-$F268+0.001),"ÜBERBELEGT","OK"))</f>
        <v/>
      </c>
      <c r="N268" s="24" t="n"/>
      <c r="O268" s="24" t="n"/>
      <c r="P268" s="9" t="n"/>
      <c r="Q268" s="18">
        <f>IF($A268="","",IFERROR($D268/1000*INDEX(Profile!$K$5:$K$304,MATCH($B268,lst_Profil,0))*INDEX(Werkstoffe!$E$5:$E$304,MATCH($C268,lst_Werkstoff,0))/1000,""))</f>
        <v/>
      </c>
      <c r="R268" s="18">
        <f>IF($A268="","",IF(N(_xlfn.MAXIFS(Auftrag!$AP$13:$AP$512,Auftrag!$D$13:$D$512,$B268,Auftrag!$E$13:$E$512,$C268,Auftrag!$Q$13:$Q$512,$D268))&gt;0,_xlfn.MAXIFS(Auftrag!$AP$13:$AP$512,Auftrag!$D$13:$D$512,$B268,Auftrag!$E$13:$E$512,$C268,Auftrag!$Q$13:$Q$512,$D268)*$D268/1000,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9" t="n"/>
      <c r="E269" s="24" t="n"/>
      <c r="F269" s="24" t="n"/>
      <c r="G269" s="12">
        <f>IF($A269="","",COUNTIFS(Stangenbelegung!$A$5:$A$10004,$A269))</f>
        <v/>
      </c>
      <c r="H269" s="35">
        <f>IF($A269="","",SUMIFS(Stangenbelegung!$F$5:$F$10004,Stangenbelegung!$A$5:$A$10004,$A269))</f>
        <v/>
      </c>
      <c r="I269" s="23" t="n"/>
      <c r="J269" s="35">
        <f>IF($A269="","",$E269+H269+$I269)</f>
        <v/>
      </c>
      <c r="K269" s="35">
        <f>IF($A269="","",$D269-J269)</f>
        <v/>
      </c>
      <c r="L269" s="32">
        <f>IF($A269="","",H269/$D269)</f>
        <v/>
      </c>
      <c r="M269" s="28">
        <f>IF($A269="","",IF(OR(J269+$F269&gt;$D269+0.001,_xlfn.MAXIFS(Stangenbelegung!$H$5:$H$10004,Stangenbelegung!$A$5:$A$10004,$A269)&gt;$D269-$F269+0.001),"ÜBERBELEGT","OK"))</f>
        <v/>
      </c>
      <c r="N269" s="24" t="n"/>
      <c r="O269" s="24" t="n"/>
      <c r="P269" s="9" t="n"/>
      <c r="Q269" s="18">
        <f>IF($A269="","",IFERROR($D269/1000*INDEX(Profile!$K$5:$K$304,MATCH($B269,lst_Profil,0))*INDEX(Werkstoffe!$E$5:$E$304,MATCH($C269,lst_Werkstoff,0))/1000,""))</f>
        <v/>
      </c>
      <c r="R269" s="18">
        <f>IF($A269="","",IF(N(_xlfn.MAXIFS(Auftrag!$AP$13:$AP$512,Auftrag!$D$13:$D$512,$B269,Auftrag!$E$13:$E$512,$C269,Auftrag!$Q$13:$Q$512,$D269))&gt;0,_xlfn.MAXIFS(Auftrag!$AP$13:$AP$512,Auftrag!$D$13:$D$512,$B269,Auftrag!$E$13:$E$512,$C269,Auftrag!$Q$13:$Q$512,$D269)*$D269/1000,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9" t="n"/>
      <c r="E270" s="24" t="n"/>
      <c r="F270" s="24" t="n"/>
      <c r="G270" s="12">
        <f>IF($A270="","",COUNTIFS(Stangenbelegung!$A$5:$A$10004,$A270))</f>
        <v/>
      </c>
      <c r="H270" s="35">
        <f>IF($A270="","",SUMIFS(Stangenbelegung!$F$5:$F$10004,Stangenbelegung!$A$5:$A$10004,$A270))</f>
        <v/>
      </c>
      <c r="I270" s="23" t="n"/>
      <c r="J270" s="35">
        <f>IF($A270="","",$E270+H270+$I270)</f>
        <v/>
      </c>
      <c r="K270" s="35">
        <f>IF($A270="","",$D270-J270)</f>
        <v/>
      </c>
      <c r="L270" s="32">
        <f>IF($A270="","",H270/$D270)</f>
        <v/>
      </c>
      <c r="M270" s="28">
        <f>IF($A270="","",IF(OR(J270+$F270&gt;$D270+0.001,_xlfn.MAXIFS(Stangenbelegung!$H$5:$H$10004,Stangenbelegung!$A$5:$A$10004,$A270)&gt;$D270-$F270+0.001),"ÜBERBELEGT","OK"))</f>
        <v/>
      </c>
      <c r="N270" s="24" t="n"/>
      <c r="O270" s="24" t="n"/>
      <c r="P270" s="9" t="n"/>
      <c r="Q270" s="18">
        <f>IF($A270="","",IFERROR($D270/1000*INDEX(Profile!$K$5:$K$304,MATCH($B270,lst_Profil,0))*INDEX(Werkstoffe!$E$5:$E$304,MATCH($C270,lst_Werkstoff,0))/1000,""))</f>
        <v/>
      </c>
      <c r="R270" s="18">
        <f>IF($A270="","",IF(N(_xlfn.MAXIFS(Auftrag!$AP$13:$AP$512,Auftrag!$D$13:$D$512,$B270,Auftrag!$E$13:$E$512,$C270,Auftrag!$Q$13:$Q$512,$D270))&gt;0,_xlfn.MAXIFS(Auftrag!$AP$13:$AP$512,Auftrag!$D$13:$D$512,$B270,Auftrag!$E$13:$E$512,$C270,Auftrag!$Q$13:$Q$512,$D270)*$D270/1000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9" t="n"/>
      <c r="E271" s="24" t="n"/>
      <c r="F271" s="24" t="n"/>
      <c r="G271" s="12">
        <f>IF($A271="","",COUNTIFS(Stangenbelegung!$A$5:$A$10004,$A271))</f>
        <v/>
      </c>
      <c r="H271" s="35">
        <f>IF($A271="","",SUMIFS(Stangenbelegung!$F$5:$F$10004,Stangenbelegung!$A$5:$A$10004,$A271))</f>
        <v/>
      </c>
      <c r="I271" s="23" t="n"/>
      <c r="J271" s="35">
        <f>IF($A271="","",$E271+H271+$I271)</f>
        <v/>
      </c>
      <c r="K271" s="35">
        <f>IF($A271="","",$D271-J271)</f>
        <v/>
      </c>
      <c r="L271" s="32">
        <f>IF($A271="","",H271/$D271)</f>
        <v/>
      </c>
      <c r="M271" s="28">
        <f>IF($A271="","",IF(OR(J271+$F271&gt;$D271+0.001,_xlfn.MAXIFS(Stangenbelegung!$H$5:$H$10004,Stangenbelegung!$A$5:$A$10004,$A271)&gt;$D271-$F271+0.001),"ÜBERBELEGT","OK"))</f>
        <v/>
      </c>
      <c r="N271" s="24" t="n"/>
      <c r="O271" s="24" t="n"/>
      <c r="P271" s="9" t="n"/>
      <c r="Q271" s="18">
        <f>IF($A271="","",IFERROR($D271/1000*INDEX(Profile!$K$5:$K$304,MATCH($B271,lst_Profil,0))*INDEX(Werkstoffe!$E$5:$E$304,MATCH($C271,lst_Werkstoff,0))/1000,""))</f>
        <v/>
      </c>
      <c r="R271" s="18">
        <f>IF($A271="","",IF(N(_xlfn.MAXIFS(Auftrag!$AP$13:$AP$512,Auftrag!$D$13:$D$512,$B271,Auftrag!$E$13:$E$512,$C271,Auftrag!$Q$13:$Q$512,$D271))&gt;0,_xlfn.MAXIFS(Auftrag!$AP$13:$AP$512,Auftrag!$D$13:$D$512,$B271,Auftrag!$E$13:$E$512,$C271,Auftrag!$Q$13:$Q$512,$D271)*$D271/1000,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9" t="n"/>
      <c r="E272" s="24" t="n"/>
      <c r="F272" s="24" t="n"/>
      <c r="G272" s="12">
        <f>IF($A272="","",COUNTIFS(Stangenbelegung!$A$5:$A$10004,$A272))</f>
        <v/>
      </c>
      <c r="H272" s="35">
        <f>IF($A272="","",SUMIFS(Stangenbelegung!$F$5:$F$10004,Stangenbelegung!$A$5:$A$10004,$A272))</f>
        <v/>
      </c>
      <c r="I272" s="23" t="n"/>
      <c r="J272" s="35">
        <f>IF($A272="","",$E272+H272+$I272)</f>
        <v/>
      </c>
      <c r="K272" s="35">
        <f>IF($A272="","",$D272-J272)</f>
        <v/>
      </c>
      <c r="L272" s="32">
        <f>IF($A272="","",H272/$D272)</f>
        <v/>
      </c>
      <c r="M272" s="28">
        <f>IF($A272="","",IF(OR(J272+$F272&gt;$D272+0.001,_xlfn.MAXIFS(Stangenbelegung!$H$5:$H$10004,Stangenbelegung!$A$5:$A$10004,$A272)&gt;$D272-$F272+0.001),"ÜBERBELEGT","OK"))</f>
        <v/>
      </c>
      <c r="N272" s="24" t="n"/>
      <c r="O272" s="24" t="n"/>
      <c r="P272" s="9" t="n"/>
      <c r="Q272" s="18">
        <f>IF($A272="","",IFERROR($D272/1000*INDEX(Profile!$K$5:$K$304,MATCH($B272,lst_Profil,0))*INDEX(Werkstoffe!$E$5:$E$304,MATCH($C272,lst_Werkstoff,0))/1000,""))</f>
        <v/>
      </c>
      <c r="R272" s="18">
        <f>IF($A272="","",IF(N(_xlfn.MAXIFS(Auftrag!$AP$13:$AP$512,Auftrag!$D$13:$D$512,$B272,Auftrag!$E$13:$E$512,$C272,Auftrag!$Q$13:$Q$512,$D272))&gt;0,_xlfn.MAXIFS(Auftrag!$AP$13:$AP$512,Auftrag!$D$13:$D$512,$B272,Auftrag!$E$13:$E$512,$C272,Auftrag!$Q$13:$Q$512,$D272)*$D272/1000,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9" t="n"/>
      <c r="E273" s="24" t="n"/>
      <c r="F273" s="24" t="n"/>
      <c r="G273" s="12">
        <f>IF($A273="","",COUNTIFS(Stangenbelegung!$A$5:$A$10004,$A273))</f>
        <v/>
      </c>
      <c r="H273" s="35">
        <f>IF($A273="","",SUMIFS(Stangenbelegung!$F$5:$F$10004,Stangenbelegung!$A$5:$A$10004,$A273))</f>
        <v/>
      </c>
      <c r="I273" s="23" t="n"/>
      <c r="J273" s="35">
        <f>IF($A273="","",$E273+H273+$I273)</f>
        <v/>
      </c>
      <c r="K273" s="35">
        <f>IF($A273="","",$D273-J273)</f>
        <v/>
      </c>
      <c r="L273" s="32">
        <f>IF($A273="","",H273/$D273)</f>
        <v/>
      </c>
      <c r="M273" s="28">
        <f>IF($A273="","",IF(OR(J273+$F273&gt;$D273+0.001,_xlfn.MAXIFS(Stangenbelegung!$H$5:$H$10004,Stangenbelegung!$A$5:$A$10004,$A273)&gt;$D273-$F273+0.001),"ÜBERBELEGT","OK"))</f>
        <v/>
      </c>
      <c r="N273" s="24" t="n"/>
      <c r="O273" s="24" t="n"/>
      <c r="P273" s="9" t="n"/>
      <c r="Q273" s="18">
        <f>IF($A273="","",IFERROR($D273/1000*INDEX(Profile!$K$5:$K$304,MATCH($B273,lst_Profil,0))*INDEX(Werkstoffe!$E$5:$E$304,MATCH($C273,lst_Werkstoff,0))/1000,""))</f>
        <v/>
      </c>
      <c r="R273" s="18">
        <f>IF($A273="","",IF(N(_xlfn.MAXIFS(Auftrag!$AP$13:$AP$512,Auftrag!$D$13:$D$512,$B273,Auftrag!$E$13:$E$512,$C273,Auftrag!$Q$13:$Q$512,$D273))&gt;0,_xlfn.MAXIFS(Auftrag!$AP$13:$AP$512,Auftrag!$D$13:$D$512,$B273,Auftrag!$E$13:$E$512,$C273,Auftrag!$Q$13:$Q$512,$D273)*$D273/1000,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9" t="n"/>
      <c r="E274" s="24" t="n"/>
      <c r="F274" s="24" t="n"/>
      <c r="G274" s="12">
        <f>IF($A274="","",COUNTIFS(Stangenbelegung!$A$5:$A$10004,$A274))</f>
        <v/>
      </c>
      <c r="H274" s="35">
        <f>IF($A274="","",SUMIFS(Stangenbelegung!$F$5:$F$10004,Stangenbelegung!$A$5:$A$10004,$A274))</f>
        <v/>
      </c>
      <c r="I274" s="23" t="n"/>
      <c r="J274" s="35">
        <f>IF($A274="","",$E274+H274+$I274)</f>
        <v/>
      </c>
      <c r="K274" s="35">
        <f>IF($A274="","",$D274-J274)</f>
        <v/>
      </c>
      <c r="L274" s="32">
        <f>IF($A274="","",H274/$D274)</f>
        <v/>
      </c>
      <c r="M274" s="28">
        <f>IF($A274="","",IF(OR(J274+$F274&gt;$D274+0.001,_xlfn.MAXIFS(Stangenbelegung!$H$5:$H$10004,Stangenbelegung!$A$5:$A$10004,$A274)&gt;$D274-$F274+0.001),"ÜBERBELEGT","OK"))</f>
        <v/>
      </c>
      <c r="N274" s="24" t="n"/>
      <c r="O274" s="24" t="n"/>
      <c r="P274" s="9" t="n"/>
      <c r="Q274" s="18">
        <f>IF($A274="","",IFERROR($D274/1000*INDEX(Profile!$K$5:$K$304,MATCH($B274,lst_Profil,0))*INDEX(Werkstoffe!$E$5:$E$304,MATCH($C274,lst_Werkstoff,0))/1000,""))</f>
        <v/>
      </c>
      <c r="R274" s="18">
        <f>IF($A274="","",IF(N(_xlfn.MAXIFS(Auftrag!$AP$13:$AP$512,Auftrag!$D$13:$D$512,$B274,Auftrag!$E$13:$E$512,$C274,Auftrag!$Q$13:$Q$512,$D274))&gt;0,_xlfn.MAXIFS(Auftrag!$AP$13:$AP$512,Auftrag!$D$13:$D$512,$B274,Auftrag!$E$13:$E$512,$C274,Auftrag!$Q$13:$Q$512,$D274)*$D274/1000,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9" t="n"/>
      <c r="E275" s="24" t="n"/>
      <c r="F275" s="24" t="n"/>
      <c r="G275" s="12">
        <f>IF($A275="","",COUNTIFS(Stangenbelegung!$A$5:$A$10004,$A275))</f>
        <v/>
      </c>
      <c r="H275" s="35">
        <f>IF($A275="","",SUMIFS(Stangenbelegung!$F$5:$F$10004,Stangenbelegung!$A$5:$A$10004,$A275))</f>
        <v/>
      </c>
      <c r="I275" s="23" t="n"/>
      <c r="J275" s="35">
        <f>IF($A275="","",$E275+H275+$I275)</f>
        <v/>
      </c>
      <c r="K275" s="35">
        <f>IF($A275="","",$D275-J275)</f>
        <v/>
      </c>
      <c r="L275" s="32">
        <f>IF($A275="","",H275/$D275)</f>
        <v/>
      </c>
      <c r="M275" s="28">
        <f>IF($A275="","",IF(OR(J275+$F275&gt;$D275+0.001,_xlfn.MAXIFS(Stangenbelegung!$H$5:$H$10004,Stangenbelegung!$A$5:$A$10004,$A275)&gt;$D275-$F275+0.001),"ÜBERBELEGT","OK"))</f>
        <v/>
      </c>
      <c r="N275" s="24" t="n"/>
      <c r="O275" s="24" t="n"/>
      <c r="P275" s="9" t="n"/>
      <c r="Q275" s="18">
        <f>IF($A275="","",IFERROR($D275/1000*INDEX(Profile!$K$5:$K$304,MATCH($B275,lst_Profil,0))*INDEX(Werkstoffe!$E$5:$E$304,MATCH($C275,lst_Werkstoff,0))/1000,""))</f>
        <v/>
      </c>
      <c r="R275" s="18">
        <f>IF($A275="","",IF(N(_xlfn.MAXIFS(Auftrag!$AP$13:$AP$512,Auftrag!$D$13:$D$512,$B275,Auftrag!$E$13:$E$512,$C275,Auftrag!$Q$13:$Q$512,$D275))&gt;0,_xlfn.MAXIFS(Auftrag!$AP$13:$AP$512,Auftrag!$D$13:$D$512,$B275,Auftrag!$E$13:$E$512,$C275,Auftrag!$Q$13:$Q$512,$D275)*$D275/1000,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9" t="n"/>
      <c r="E276" s="24" t="n"/>
      <c r="F276" s="24" t="n"/>
      <c r="G276" s="12">
        <f>IF($A276="","",COUNTIFS(Stangenbelegung!$A$5:$A$10004,$A276))</f>
        <v/>
      </c>
      <c r="H276" s="35">
        <f>IF($A276="","",SUMIFS(Stangenbelegung!$F$5:$F$10004,Stangenbelegung!$A$5:$A$10004,$A276))</f>
        <v/>
      </c>
      <c r="I276" s="23" t="n"/>
      <c r="J276" s="35">
        <f>IF($A276="","",$E276+H276+$I276)</f>
        <v/>
      </c>
      <c r="K276" s="35">
        <f>IF($A276="","",$D276-J276)</f>
        <v/>
      </c>
      <c r="L276" s="32">
        <f>IF($A276="","",H276/$D276)</f>
        <v/>
      </c>
      <c r="M276" s="28">
        <f>IF($A276="","",IF(OR(J276+$F276&gt;$D276+0.001,_xlfn.MAXIFS(Stangenbelegung!$H$5:$H$10004,Stangenbelegung!$A$5:$A$10004,$A276)&gt;$D276-$F276+0.001),"ÜBERBELEGT","OK"))</f>
        <v/>
      </c>
      <c r="N276" s="24" t="n"/>
      <c r="O276" s="24" t="n"/>
      <c r="P276" s="9" t="n"/>
      <c r="Q276" s="18">
        <f>IF($A276="","",IFERROR($D276/1000*INDEX(Profile!$K$5:$K$304,MATCH($B276,lst_Profil,0))*INDEX(Werkstoffe!$E$5:$E$304,MATCH($C276,lst_Werkstoff,0))/1000,""))</f>
        <v/>
      </c>
      <c r="R276" s="18">
        <f>IF($A276="","",IF(N(_xlfn.MAXIFS(Auftrag!$AP$13:$AP$512,Auftrag!$D$13:$D$512,$B276,Auftrag!$E$13:$E$512,$C276,Auftrag!$Q$13:$Q$512,$D276))&gt;0,_xlfn.MAXIFS(Auftrag!$AP$13:$AP$512,Auftrag!$D$13:$D$512,$B276,Auftrag!$E$13:$E$512,$C276,Auftrag!$Q$13:$Q$512,$D276)*$D276/1000,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9" t="n"/>
      <c r="E277" s="24" t="n"/>
      <c r="F277" s="24" t="n"/>
      <c r="G277" s="12">
        <f>IF($A277="","",COUNTIFS(Stangenbelegung!$A$5:$A$10004,$A277))</f>
        <v/>
      </c>
      <c r="H277" s="35">
        <f>IF($A277="","",SUMIFS(Stangenbelegung!$F$5:$F$10004,Stangenbelegung!$A$5:$A$10004,$A277))</f>
        <v/>
      </c>
      <c r="I277" s="23" t="n"/>
      <c r="J277" s="35">
        <f>IF($A277="","",$E277+H277+$I277)</f>
        <v/>
      </c>
      <c r="K277" s="35">
        <f>IF($A277="","",$D277-J277)</f>
        <v/>
      </c>
      <c r="L277" s="32">
        <f>IF($A277="","",H277/$D277)</f>
        <v/>
      </c>
      <c r="M277" s="28">
        <f>IF($A277="","",IF(OR(J277+$F277&gt;$D277+0.001,_xlfn.MAXIFS(Stangenbelegung!$H$5:$H$10004,Stangenbelegung!$A$5:$A$10004,$A277)&gt;$D277-$F277+0.001),"ÜBERBELEGT","OK"))</f>
        <v/>
      </c>
      <c r="N277" s="24" t="n"/>
      <c r="O277" s="24" t="n"/>
      <c r="P277" s="9" t="n"/>
      <c r="Q277" s="18">
        <f>IF($A277="","",IFERROR($D277/1000*INDEX(Profile!$K$5:$K$304,MATCH($B277,lst_Profil,0))*INDEX(Werkstoffe!$E$5:$E$304,MATCH($C277,lst_Werkstoff,0))/1000,""))</f>
        <v/>
      </c>
      <c r="R277" s="18">
        <f>IF($A277="","",IF(N(_xlfn.MAXIFS(Auftrag!$AP$13:$AP$512,Auftrag!$D$13:$D$512,$B277,Auftrag!$E$13:$E$512,$C277,Auftrag!$Q$13:$Q$512,$D277))&gt;0,_xlfn.MAXIFS(Auftrag!$AP$13:$AP$512,Auftrag!$D$13:$D$512,$B277,Auftrag!$E$13:$E$512,$C277,Auftrag!$Q$13:$Q$512,$D277)*$D277/1000,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9" t="n"/>
      <c r="E278" s="24" t="n"/>
      <c r="F278" s="24" t="n"/>
      <c r="G278" s="12">
        <f>IF($A278="","",COUNTIFS(Stangenbelegung!$A$5:$A$10004,$A278))</f>
        <v/>
      </c>
      <c r="H278" s="35">
        <f>IF($A278="","",SUMIFS(Stangenbelegung!$F$5:$F$10004,Stangenbelegung!$A$5:$A$10004,$A278))</f>
        <v/>
      </c>
      <c r="I278" s="23" t="n"/>
      <c r="J278" s="35">
        <f>IF($A278="","",$E278+H278+$I278)</f>
        <v/>
      </c>
      <c r="K278" s="35">
        <f>IF($A278="","",$D278-J278)</f>
        <v/>
      </c>
      <c r="L278" s="32">
        <f>IF($A278="","",H278/$D278)</f>
        <v/>
      </c>
      <c r="M278" s="28">
        <f>IF($A278="","",IF(OR(J278+$F278&gt;$D278+0.001,_xlfn.MAXIFS(Stangenbelegung!$H$5:$H$10004,Stangenbelegung!$A$5:$A$10004,$A278)&gt;$D278-$F278+0.001),"ÜBERBELEGT","OK"))</f>
        <v/>
      </c>
      <c r="N278" s="24" t="n"/>
      <c r="O278" s="24" t="n"/>
      <c r="P278" s="9" t="n"/>
      <c r="Q278" s="18">
        <f>IF($A278="","",IFERROR($D278/1000*INDEX(Profile!$K$5:$K$304,MATCH($B278,lst_Profil,0))*INDEX(Werkstoffe!$E$5:$E$304,MATCH($C278,lst_Werkstoff,0))/1000,""))</f>
        <v/>
      </c>
      <c r="R278" s="18">
        <f>IF($A278="","",IF(N(_xlfn.MAXIFS(Auftrag!$AP$13:$AP$512,Auftrag!$D$13:$D$512,$B278,Auftrag!$E$13:$E$512,$C278,Auftrag!$Q$13:$Q$512,$D278))&gt;0,_xlfn.MAXIFS(Auftrag!$AP$13:$AP$512,Auftrag!$D$13:$D$512,$B278,Auftrag!$E$13:$E$512,$C278,Auftrag!$Q$13:$Q$512,$D278)*$D278/1000,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9" t="n"/>
      <c r="E279" s="24" t="n"/>
      <c r="F279" s="24" t="n"/>
      <c r="G279" s="12">
        <f>IF($A279="","",COUNTIFS(Stangenbelegung!$A$5:$A$10004,$A279))</f>
        <v/>
      </c>
      <c r="H279" s="35">
        <f>IF($A279="","",SUMIFS(Stangenbelegung!$F$5:$F$10004,Stangenbelegung!$A$5:$A$10004,$A279))</f>
        <v/>
      </c>
      <c r="I279" s="23" t="n"/>
      <c r="J279" s="35">
        <f>IF($A279="","",$E279+H279+$I279)</f>
        <v/>
      </c>
      <c r="K279" s="35">
        <f>IF($A279="","",$D279-J279)</f>
        <v/>
      </c>
      <c r="L279" s="32">
        <f>IF($A279="","",H279/$D279)</f>
        <v/>
      </c>
      <c r="M279" s="28">
        <f>IF($A279="","",IF(OR(J279+$F279&gt;$D279+0.001,_xlfn.MAXIFS(Stangenbelegung!$H$5:$H$10004,Stangenbelegung!$A$5:$A$10004,$A279)&gt;$D279-$F279+0.001),"ÜBERBELEGT","OK"))</f>
        <v/>
      </c>
      <c r="N279" s="24" t="n"/>
      <c r="O279" s="24" t="n"/>
      <c r="P279" s="9" t="n"/>
      <c r="Q279" s="18">
        <f>IF($A279="","",IFERROR($D279/1000*INDEX(Profile!$K$5:$K$304,MATCH($B279,lst_Profil,0))*INDEX(Werkstoffe!$E$5:$E$304,MATCH($C279,lst_Werkstoff,0))/1000,""))</f>
        <v/>
      </c>
      <c r="R279" s="18">
        <f>IF($A279="","",IF(N(_xlfn.MAXIFS(Auftrag!$AP$13:$AP$512,Auftrag!$D$13:$D$512,$B279,Auftrag!$E$13:$E$512,$C279,Auftrag!$Q$13:$Q$512,$D279))&gt;0,_xlfn.MAXIFS(Auftrag!$AP$13:$AP$512,Auftrag!$D$13:$D$512,$B279,Auftrag!$E$13:$E$512,$C279,Auftrag!$Q$13:$Q$512,$D279)*$D279/1000,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9" t="n"/>
      <c r="E280" s="24" t="n"/>
      <c r="F280" s="24" t="n"/>
      <c r="G280" s="12">
        <f>IF($A280="","",COUNTIFS(Stangenbelegung!$A$5:$A$10004,$A280))</f>
        <v/>
      </c>
      <c r="H280" s="35">
        <f>IF($A280="","",SUMIFS(Stangenbelegung!$F$5:$F$10004,Stangenbelegung!$A$5:$A$10004,$A280))</f>
        <v/>
      </c>
      <c r="I280" s="23" t="n"/>
      <c r="J280" s="35">
        <f>IF($A280="","",$E280+H280+$I280)</f>
        <v/>
      </c>
      <c r="K280" s="35">
        <f>IF($A280="","",$D280-J280)</f>
        <v/>
      </c>
      <c r="L280" s="32">
        <f>IF($A280="","",H280/$D280)</f>
        <v/>
      </c>
      <c r="M280" s="28">
        <f>IF($A280="","",IF(OR(J280+$F280&gt;$D280+0.001,_xlfn.MAXIFS(Stangenbelegung!$H$5:$H$10004,Stangenbelegung!$A$5:$A$10004,$A280)&gt;$D280-$F280+0.001),"ÜBERBELEGT","OK"))</f>
        <v/>
      </c>
      <c r="N280" s="24" t="n"/>
      <c r="O280" s="24" t="n"/>
      <c r="P280" s="9" t="n"/>
      <c r="Q280" s="18">
        <f>IF($A280="","",IFERROR($D280/1000*INDEX(Profile!$K$5:$K$304,MATCH($B280,lst_Profil,0))*INDEX(Werkstoffe!$E$5:$E$304,MATCH($C280,lst_Werkstoff,0))/1000,""))</f>
        <v/>
      </c>
      <c r="R280" s="18">
        <f>IF($A280="","",IF(N(_xlfn.MAXIFS(Auftrag!$AP$13:$AP$512,Auftrag!$D$13:$D$512,$B280,Auftrag!$E$13:$E$512,$C280,Auftrag!$Q$13:$Q$512,$D280))&gt;0,_xlfn.MAXIFS(Auftrag!$AP$13:$AP$512,Auftrag!$D$13:$D$512,$B280,Auftrag!$E$13:$E$512,$C280,Auftrag!$Q$13:$Q$512,$D280)*$D280/1000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9" t="n"/>
      <c r="E281" s="24" t="n"/>
      <c r="F281" s="24" t="n"/>
      <c r="G281" s="12">
        <f>IF($A281="","",COUNTIFS(Stangenbelegung!$A$5:$A$10004,$A281))</f>
        <v/>
      </c>
      <c r="H281" s="35">
        <f>IF($A281="","",SUMIFS(Stangenbelegung!$F$5:$F$10004,Stangenbelegung!$A$5:$A$10004,$A281))</f>
        <v/>
      </c>
      <c r="I281" s="23" t="n"/>
      <c r="J281" s="35">
        <f>IF($A281="","",$E281+H281+$I281)</f>
        <v/>
      </c>
      <c r="K281" s="35">
        <f>IF($A281="","",$D281-J281)</f>
        <v/>
      </c>
      <c r="L281" s="32">
        <f>IF($A281="","",H281/$D281)</f>
        <v/>
      </c>
      <c r="M281" s="28">
        <f>IF($A281="","",IF(OR(J281+$F281&gt;$D281+0.001,_xlfn.MAXIFS(Stangenbelegung!$H$5:$H$10004,Stangenbelegung!$A$5:$A$10004,$A281)&gt;$D281-$F281+0.001),"ÜBERBELEGT","OK"))</f>
        <v/>
      </c>
      <c r="N281" s="24" t="n"/>
      <c r="O281" s="24" t="n"/>
      <c r="P281" s="9" t="n"/>
      <c r="Q281" s="18">
        <f>IF($A281="","",IFERROR($D281/1000*INDEX(Profile!$K$5:$K$304,MATCH($B281,lst_Profil,0))*INDEX(Werkstoffe!$E$5:$E$304,MATCH($C281,lst_Werkstoff,0))/1000,""))</f>
        <v/>
      </c>
      <c r="R281" s="18">
        <f>IF($A281="","",IF(N(_xlfn.MAXIFS(Auftrag!$AP$13:$AP$512,Auftrag!$D$13:$D$512,$B281,Auftrag!$E$13:$E$512,$C281,Auftrag!$Q$13:$Q$512,$D281))&gt;0,_xlfn.MAXIFS(Auftrag!$AP$13:$AP$512,Auftrag!$D$13:$D$512,$B281,Auftrag!$E$13:$E$512,$C281,Auftrag!$Q$13:$Q$512,$D281)*$D281/1000,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9" t="n"/>
      <c r="E282" s="24" t="n"/>
      <c r="F282" s="24" t="n"/>
      <c r="G282" s="12">
        <f>IF($A282="","",COUNTIFS(Stangenbelegung!$A$5:$A$10004,$A282))</f>
        <v/>
      </c>
      <c r="H282" s="35">
        <f>IF($A282="","",SUMIFS(Stangenbelegung!$F$5:$F$10004,Stangenbelegung!$A$5:$A$10004,$A282))</f>
        <v/>
      </c>
      <c r="I282" s="23" t="n"/>
      <c r="J282" s="35">
        <f>IF($A282="","",$E282+H282+$I282)</f>
        <v/>
      </c>
      <c r="K282" s="35">
        <f>IF($A282="","",$D282-J282)</f>
        <v/>
      </c>
      <c r="L282" s="32">
        <f>IF($A282="","",H282/$D282)</f>
        <v/>
      </c>
      <c r="M282" s="28">
        <f>IF($A282="","",IF(OR(J282+$F282&gt;$D282+0.001,_xlfn.MAXIFS(Stangenbelegung!$H$5:$H$10004,Stangenbelegung!$A$5:$A$10004,$A282)&gt;$D282-$F282+0.001),"ÜBERBELEGT","OK"))</f>
        <v/>
      </c>
      <c r="N282" s="24" t="n"/>
      <c r="O282" s="24" t="n"/>
      <c r="P282" s="9" t="n"/>
      <c r="Q282" s="18">
        <f>IF($A282="","",IFERROR($D282/1000*INDEX(Profile!$K$5:$K$304,MATCH($B282,lst_Profil,0))*INDEX(Werkstoffe!$E$5:$E$304,MATCH($C282,lst_Werkstoff,0))/1000,""))</f>
        <v/>
      </c>
      <c r="R282" s="18">
        <f>IF($A282="","",IF(N(_xlfn.MAXIFS(Auftrag!$AP$13:$AP$512,Auftrag!$D$13:$D$512,$B282,Auftrag!$E$13:$E$512,$C282,Auftrag!$Q$13:$Q$512,$D282))&gt;0,_xlfn.MAXIFS(Auftrag!$AP$13:$AP$512,Auftrag!$D$13:$D$512,$B282,Auftrag!$E$13:$E$512,$C282,Auftrag!$Q$13:$Q$512,$D282)*$D282/1000,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9" t="n"/>
      <c r="E283" s="24" t="n"/>
      <c r="F283" s="24" t="n"/>
      <c r="G283" s="12">
        <f>IF($A283="","",COUNTIFS(Stangenbelegung!$A$5:$A$10004,$A283))</f>
        <v/>
      </c>
      <c r="H283" s="35">
        <f>IF($A283="","",SUMIFS(Stangenbelegung!$F$5:$F$10004,Stangenbelegung!$A$5:$A$10004,$A283))</f>
        <v/>
      </c>
      <c r="I283" s="23" t="n"/>
      <c r="J283" s="35">
        <f>IF($A283="","",$E283+H283+$I283)</f>
        <v/>
      </c>
      <c r="K283" s="35">
        <f>IF($A283="","",$D283-J283)</f>
        <v/>
      </c>
      <c r="L283" s="32">
        <f>IF($A283="","",H283/$D283)</f>
        <v/>
      </c>
      <c r="M283" s="28">
        <f>IF($A283="","",IF(OR(J283+$F283&gt;$D283+0.001,_xlfn.MAXIFS(Stangenbelegung!$H$5:$H$10004,Stangenbelegung!$A$5:$A$10004,$A283)&gt;$D283-$F283+0.001),"ÜBERBELEGT","OK"))</f>
        <v/>
      </c>
      <c r="N283" s="24" t="n"/>
      <c r="O283" s="24" t="n"/>
      <c r="P283" s="9" t="n"/>
      <c r="Q283" s="18">
        <f>IF($A283="","",IFERROR($D283/1000*INDEX(Profile!$K$5:$K$304,MATCH($B283,lst_Profil,0))*INDEX(Werkstoffe!$E$5:$E$304,MATCH($C283,lst_Werkstoff,0))/1000,""))</f>
        <v/>
      </c>
      <c r="R283" s="18">
        <f>IF($A283="","",IF(N(_xlfn.MAXIFS(Auftrag!$AP$13:$AP$512,Auftrag!$D$13:$D$512,$B283,Auftrag!$E$13:$E$512,$C283,Auftrag!$Q$13:$Q$512,$D283))&gt;0,_xlfn.MAXIFS(Auftrag!$AP$13:$AP$512,Auftrag!$D$13:$D$512,$B283,Auftrag!$E$13:$E$512,$C283,Auftrag!$Q$13:$Q$512,$D283)*$D283/1000,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9" t="n"/>
      <c r="E284" s="24" t="n"/>
      <c r="F284" s="24" t="n"/>
      <c r="G284" s="12">
        <f>IF($A284="","",COUNTIFS(Stangenbelegung!$A$5:$A$10004,$A284))</f>
        <v/>
      </c>
      <c r="H284" s="35">
        <f>IF($A284="","",SUMIFS(Stangenbelegung!$F$5:$F$10004,Stangenbelegung!$A$5:$A$10004,$A284))</f>
        <v/>
      </c>
      <c r="I284" s="23" t="n"/>
      <c r="J284" s="35">
        <f>IF($A284="","",$E284+H284+$I284)</f>
        <v/>
      </c>
      <c r="K284" s="35">
        <f>IF($A284="","",$D284-J284)</f>
        <v/>
      </c>
      <c r="L284" s="32">
        <f>IF($A284="","",H284/$D284)</f>
        <v/>
      </c>
      <c r="M284" s="28">
        <f>IF($A284="","",IF(OR(J284+$F284&gt;$D284+0.001,_xlfn.MAXIFS(Stangenbelegung!$H$5:$H$10004,Stangenbelegung!$A$5:$A$10004,$A284)&gt;$D284-$F284+0.001),"ÜBERBELEGT","OK"))</f>
        <v/>
      </c>
      <c r="N284" s="24" t="n"/>
      <c r="O284" s="24" t="n"/>
      <c r="P284" s="9" t="n"/>
      <c r="Q284" s="18">
        <f>IF($A284="","",IFERROR($D284/1000*INDEX(Profile!$K$5:$K$304,MATCH($B284,lst_Profil,0))*INDEX(Werkstoffe!$E$5:$E$304,MATCH($C284,lst_Werkstoff,0))/1000,""))</f>
        <v/>
      </c>
      <c r="R284" s="18">
        <f>IF($A284="","",IF(N(_xlfn.MAXIFS(Auftrag!$AP$13:$AP$512,Auftrag!$D$13:$D$512,$B284,Auftrag!$E$13:$E$512,$C284,Auftrag!$Q$13:$Q$512,$D284))&gt;0,_xlfn.MAXIFS(Auftrag!$AP$13:$AP$512,Auftrag!$D$13:$D$512,$B284,Auftrag!$E$13:$E$512,$C284,Auftrag!$Q$13:$Q$512,$D284)*$D284/1000,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9" t="n"/>
      <c r="E285" s="24" t="n"/>
      <c r="F285" s="24" t="n"/>
      <c r="G285" s="12">
        <f>IF($A285="","",COUNTIFS(Stangenbelegung!$A$5:$A$10004,$A285))</f>
        <v/>
      </c>
      <c r="H285" s="35">
        <f>IF($A285="","",SUMIFS(Stangenbelegung!$F$5:$F$10004,Stangenbelegung!$A$5:$A$10004,$A285))</f>
        <v/>
      </c>
      <c r="I285" s="23" t="n"/>
      <c r="J285" s="35">
        <f>IF($A285="","",$E285+H285+$I285)</f>
        <v/>
      </c>
      <c r="K285" s="35">
        <f>IF($A285="","",$D285-J285)</f>
        <v/>
      </c>
      <c r="L285" s="32">
        <f>IF($A285="","",H285/$D285)</f>
        <v/>
      </c>
      <c r="M285" s="28">
        <f>IF($A285="","",IF(OR(J285+$F285&gt;$D285+0.001,_xlfn.MAXIFS(Stangenbelegung!$H$5:$H$10004,Stangenbelegung!$A$5:$A$10004,$A285)&gt;$D285-$F285+0.001),"ÜBERBELEGT","OK"))</f>
        <v/>
      </c>
      <c r="N285" s="24" t="n"/>
      <c r="O285" s="24" t="n"/>
      <c r="P285" s="9" t="n"/>
      <c r="Q285" s="18">
        <f>IF($A285="","",IFERROR($D285/1000*INDEX(Profile!$K$5:$K$304,MATCH($B285,lst_Profil,0))*INDEX(Werkstoffe!$E$5:$E$304,MATCH($C285,lst_Werkstoff,0))/1000,""))</f>
        <v/>
      </c>
      <c r="R285" s="18">
        <f>IF($A285="","",IF(N(_xlfn.MAXIFS(Auftrag!$AP$13:$AP$512,Auftrag!$D$13:$D$512,$B285,Auftrag!$E$13:$E$512,$C285,Auftrag!$Q$13:$Q$512,$D285))&gt;0,_xlfn.MAXIFS(Auftrag!$AP$13:$AP$512,Auftrag!$D$13:$D$512,$B285,Auftrag!$E$13:$E$512,$C285,Auftrag!$Q$13:$Q$512,$D285)*$D285/1000,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9" t="n"/>
      <c r="E286" s="24" t="n"/>
      <c r="F286" s="24" t="n"/>
      <c r="G286" s="12">
        <f>IF($A286="","",COUNTIFS(Stangenbelegung!$A$5:$A$10004,$A286))</f>
        <v/>
      </c>
      <c r="H286" s="35">
        <f>IF($A286="","",SUMIFS(Stangenbelegung!$F$5:$F$10004,Stangenbelegung!$A$5:$A$10004,$A286))</f>
        <v/>
      </c>
      <c r="I286" s="23" t="n"/>
      <c r="J286" s="35">
        <f>IF($A286="","",$E286+H286+$I286)</f>
        <v/>
      </c>
      <c r="K286" s="35">
        <f>IF($A286="","",$D286-J286)</f>
        <v/>
      </c>
      <c r="L286" s="32">
        <f>IF($A286="","",H286/$D286)</f>
        <v/>
      </c>
      <c r="M286" s="28">
        <f>IF($A286="","",IF(OR(J286+$F286&gt;$D286+0.001,_xlfn.MAXIFS(Stangenbelegung!$H$5:$H$10004,Stangenbelegung!$A$5:$A$10004,$A286)&gt;$D286-$F286+0.001),"ÜBERBELEGT","OK"))</f>
        <v/>
      </c>
      <c r="N286" s="24" t="n"/>
      <c r="O286" s="24" t="n"/>
      <c r="P286" s="9" t="n"/>
      <c r="Q286" s="18">
        <f>IF($A286="","",IFERROR($D286/1000*INDEX(Profile!$K$5:$K$304,MATCH($B286,lst_Profil,0))*INDEX(Werkstoffe!$E$5:$E$304,MATCH($C286,lst_Werkstoff,0))/1000,""))</f>
        <v/>
      </c>
      <c r="R286" s="18">
        <f>IF($A286="","",IF(N(_xlfn.MAXIFS(Auftrag!$AP$13:$AP$512,Auftrag!$D$13:$D$512,$B286,Auftrag!$E$13:$E$512,$C286,Auftrag!$Q$13:$Q$512,$D286))&gt;0,_xlfn.MAXIFS(Auftrag!$AP$13:$AP$512,Auftrag!$D$13:$D$512,$B286,Auftrag!$E$13:$E$512,$C286,Auftrag!$Q$13:$Q$512,$D286)*$D286/1000,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9" t="n"/>
      <c r="E287" s="24" t="n"/>
      <c r="F287" s="24" t="n"/>
      <c r="G287" s="12">
        <f>IF($A287="","",COUNTIFS(Stangenbelegung!$A$5:$A$10004,$A287))</f>
        <v/>
      </c>
      <c r="H287" s="35">
        <f>IF($A287="","",SUMIFS(Stangenbelegung!$F$5:$F$10004,Stangenbelegung!$A$5:$A$10004,$A287))</f>
        <v/>
      </c>
      <c r="I287" s="23" t="n"/>
      <c r="J287" s="35">
        <f>IF($A287="","",$E287+H287+$I287)</f>
        <v/>
      </c>
      <c r="K287" s="35">
        <f>IF($A287="","",$D287-J287)</f>
        <v/>
      </c>
      <c r="L287" s="32">
        <f>IF($A287="","",H287/$D287)</f>
        <v/>
      </c>
      <c r="M287" s="28">
        <f>IF($A287="","",IF(OR(J287+$F287&gt;$D287+0.001,_xlfn.MAXIFS(Stangenbelegung!$H$5:$H$10004,Stangenbelegung!$A$5:$A$10004,$A287)&gt;$D287-$F287+0.001),"ÜBERBELEGT","OK"))</f>
        <v/>
      </c>
      <c r="N287" s="24" t="n"/>
      <c r="O287" s="24" t="n"/>
      <c r="P287" s="9" t="n"/>
      <c r="Q287" s="18">
        <f>IF($A287="","",IFERROR($D287/1000*INDEX(Profile!$K$5:$K$304,MATCH($B287,lst_Profil,0))*INDEX(Werkstoffe!$E$5:$E$304,MATCH($C287,lst_Werkstoff,0))/1000,""))</f>
        <v/>
      </c>
      <c r="R287" s="18">
        <f>IF($A287="","",IF(N(_xlfn.MAXIFS(Auftrag!$AP$13:$AP$512,Auftrag!$D$13:$D$512,$B287,Auftrag!$E$13:$E$512,$C287,Auftrag!$Q$13:$Q$512,$D287))&gt;0,_xlfn.MAXIFS(Auftrag!$AP$13:$AP$512,Auftrag!$D$13:$D$512,$B287,Auftrag!$E$13:$E$512,$C287,Auftrag!$Q$13:$Q$512,$D287)*$D287/1000,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9" t="n"/>
      <c r="E288" s="24" t="n"/>
      <c r="F288" s="24" t="n"/>
      <c r="G288" s="12">
        <f>IF($A288="","",COUNTIFS(Stangenbelegung!$A$5:$A$10004,$A288))</f>
        <v/>
      </c>
      <c r="H288" s="35">
        <f>IF($A288="","",SUMIFS(Stangenbelegung!$F$5:$F$10004,Stangenbelegung!$A$5:$A$10004,$A288))</f>
        <v/>
      </c>
      <c r="I288" s="23" t="n"/>
      <c r="J288" s="35">
        <f>IF($A288="","",$E288+H288+$I288)</f>
        <v/>
      </c>
      <c r="K288" s="35">
        <f>IF($A288="","",$D288-J288)</f>
        <v/>
      </c>
      <c r="L288" s="32">
        <f>IF($A288="","",H288/$D288)</f>
        <v/>
      </c>
      <c r="M288" s="28">
        <f>IF($A288="","",IF(OR(J288+$F288&gt;$D288+0.001,_xlfn.MAXIFS(Stangenbelegung!$H$5:$H$10004,Stangenbelegung!$A$5:$A$10004,$A288)&gt;$D288-$F288+0.001),"ÜBERBELEGT","OK"))</f>
        <v/>
      </c>
      <c r="N288" s="24" t="n"/>
      <c r="O288" s="24" t="n"/>
      <c r="P288" s="9" t="n"/>
      <c r="Q288" s="18">
        <f>IF($A288="","",IFERROR($D288/1000*INDEX(Profile!$K$5:$K$304,MATCH($B288,lst_Profil,0))*INDEX(Werkstoffe!$E$5:$E$304,MATCH($C288,lst_Werkstoff,0))/1000,""))</f>
        <v/>
      </c>
      <c r="R288" s="18">
        <f>IF($A288="","",IF(N(_xlfn.MAXIFS(Auftrag!$AP$13:$AP$512,Auftrag!$D$13:$D$512,$B288,Auftrag!$E$13:$E$512,$C288,Auftrag!$Q$13:$Q$512,$D288))&gt;0,_xlfn.MAXIFS(Auftrag!$AP$13:$AP$512,Auftrag!$D$13:$D$512,$B288,Auftrag!$E$13:$E$512,$C288,Auftrag!$Q$13:$Q$512,$D288)*$D288/1000,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9" t="n"/>
      <c r="E289" s="24" t="n"/>
      <c r="F289" s="24" t="n"/>
      <c r="G289" s="12">
        <f>IF($A289="","",COUNTIFS(Stangenbelegung!$A$5:$A$10004,$A289))</f>
        <v/>
      </c>
      <c r="H289" s="35">
        <f>IF($A289="","",SUMIFS(Stangenbelegung!$F$5:$F$10004,Stangenbelegung!$A$5:$A$10004,$A289))</f>
        <v/>
      </c>
      <c r="I289" s="23" t="n"/>
      <c r="J289" s="35">
        <f>IF($A289="","",$E289+H289+$I289)</f>
        <v/>
      </c>
      <c r="K289" s="35">
        <f>IF($A289="","",$D289-J289)</f>
        <v/>
      </c>
      <c r="L289" s="32">
        <f>IF($A289="","",H289/$D289)</f>
        <v/>
      </c>
      <c r="M289" s="28">
        <f>IF($A289="","",IF(OR(J289+$F289&gt;$D289+0.001,_xlfn.MAXIFS(Stangenbelegung!$H$5:$H$10004,Stangenbelegung!$A$5:$A$10004,$A289)&gt;$D289-$F289+0.001),"ÜBERBELEGT","OK"))</f>
        <v/>
      </c>
      <c r="N289" s="24" t="n"/>
      <c r="O289" s="24" t="n"/>
      <c r="P289" s="9" t="n"/>
      <c r="Q289" s="18">
        <f>IF($A289="","",IFERROR($D289/1000*INDEX(Profile!$K$5:$K$304,MATCH($B289,lst_Profil,0))*INDEX(Werkstoffe!$E$5:$E$304,MATCH($C289,lst_Werkstoff,0))/1000,""))</f>
        <v/>
      </c>
      <c r="R289" s="18">
        <f>IF($A289="","",IF(N(_xlfn.MAXIFS(Auftrag!$AP$13:$AP$512,Auftrag!$D$13:$D$512,$B289,Auftrag!$E$13:$E$512,$C289,Auftrag!$Q$13:$Q$512,$D289))&gt;0,_xlfn.MAXIFS(Auftrag!$AP$13:$AP$512,Auftrag!$D$13:$D$512,$B289,Auftrag!$E$13:$E$512,$C289,Auftrag!$Q$13:$Q$512,$D289)*$D289/1000,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9" t="n"/>
      <c r="E290" s="24" t="n"/>
      <c r="F290" s="24" t="n"/>
      <c r="G290" s="12">
        <f>IF($A290="","",COUNTIFS(Stangenbelegung!$A$5:$A$10004,$A290))</f>
        <v/>
      </c>
      <c r="H290" s="35">
        <f>IF($A290="","",SUMIFS(Stangenbelegung!$F$5:$F$10004,Stangenbelegung!$A$5:$A$10004,$A290))</f>
        <v/>
      </c>
      <c r="I290" s="23" t="n"/>
      <c r="J290" s="35">
        <f>IF($A290="","",$E290+H290+$I290)</f>
        <v/>
      </c>
      <c r="K290" s="35">
        <f>IF($A290="","",$D290-J290)</f>
        <v/>
      </c>
      <c r="L290" s="32">
        <f>IF($A290="","",H290/$D290)</f>
        <v/>
      </c>
      <c r="M290" s="28">
        <f>IF($A290="","",IF(OR(J290+$F290&gt;$D290+0.001,_xlfn.MAXIFS(Stangenbelegung!$H$5:$H$10004,Stangenbelegung!$A$5:$A$10004,$A290)&gt;$D290-$F290+0.001),"ÜBERBELEGT","OK"))</f>
        <v/>
      </c>
      <c r="N290" s="24" t="n"/>
      <c r="O290" s="24" t="n"/>
      <c r="P290" s="9" t="n"/>
      <c r="Q290" s="18">
        <f>IF($A290="","",IFERROR($D290/1000*INDEX(Profile!$K$5:$K$304,MATCH($B290,lst_Profil,0))*INDEX(Werkstoffe!$E$5:$E$304,MATCH($C290,lst_Werkstoff,0))/1000,""))</f>
        <v/>
      </c>
      <c r="R290" s="18">
        <f>IF($A290="","",IF(N(_xlfn.MAXIFS(Auftrag!$AP$13:$AP$512,Auftrag!$D$13:$D$512,$B290,Auftrag!$E$13:$E$512,$C290,Auftrag!$Q$13:$Q$512,$D290))&gt;0,_xlfn.MAXIFS(Auftrag!$AP$13:$AP$512,Auftrag!$D$13:$D$512,$B290,Auftrag!$E$13:$E$512,$C290,Auftrag!$Q$13:$Q$512,$D290)*$D290/1000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9" t="n"/>
      <c r="E291" s="24" t="n"/>
      <c r="F291" s="24" t="n"/>
      <c r="G291" s="12">
        <f>IF($A291="","",COUNTIFS(Stangenbelegung!$A$5:$A$10004,$A291))</f>
        <v/>
      </c>
      <c r="H291" s="35">
        <f>IF($A291="","",SUMIFS(Stangenbelegung!$F$5:$F$10004,Stangenbelegung!$A$5:$A$10004,$A291))</f>
        <v/>
      </c>
      <c r="I291" s="23" t="n"/>
      <c r="J291" s="35">
        <f>IF($A291="","",$E291+H291+$I291)</f>
        <v/>
      </c>
      <c r="K291" s="35">
        <f>IF($A291="","",$D291-J291)</f>
        <v/>
      </c>
      <c r="L291" s="32">
        <f>IF($A291="","",H291/$D291)</f>
        <v/>
      </c>
      <c r="M291" s="28">
        <f>IF($A291="","",IF(OR(J291+$F291&gt;$D291+0.001,_xlfn.MAXIFS(Stangenbelegung!$H$5:$H$10004,Stangenbelegung!$A$5:$A$10004,$A291)&gt;$D291-$F291+0.001),"ÜBERBELEGT","OK"))</f>
        <v/>
      </c>
      <c r="N291" s="24" t="n"/>
      <c r="O291" s="24" t="n"/>
      <c r="P291" s="9" t="n"/>
      <c r="Q291" s="18">
        <f>IF($A291="","",IFERROR($D291/1000*INDEX(Profile!$K$5:$K$304,MATCH($B291,lst_Profil,0))*INDEX(Werkstoffe!$E$5:$E$304,MATCH($C291,lst_Werkstoff,0))/1000,""))</f>
        <v/>
      </c>
      <c r="R291" s="18">
        <f>IF($A291="","",IF(N(_xlfn.MAXIFS(Auftrag!$AP$13:$AP$512,Auftrag!$D$13:$D$512,$B291,Auftrag!$E$13:$E$512,$C291,Auftrag!$Q$13:$Q$512,$D291))&gt;0,_xlfn.MAXIFS(Auftrag!$AP$13:$AP$512,Auftrag!$D$13:$D$512,$B291,Auftrag!$E$13:$E$512,$C291,Auftrag!$Q$13:$Q$512,$D291)*$D291/1000,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9" t="n"/>
      <c r="E292" s="24" t="n"/>
      <c r="F292" s="24" t="n"/>
      <c r="G292" s="12">
        <f>IF($A292="","",COUNTIFS(Stangenbelegung!$A$5:$A$10004,$A292))</f>
        <v/>
      </c>
      <c r="H292" s="35">
        <f>IF($A292="","",SUMIFS(Stangenbelegung!$F$5:$F$10004,Stangenbelegung!$A$5:$A$10004,$A292))</f>
        <v/>
      </c>
      <c r="I292" s="23" t="n"/>
      <c r="J292" s="35">
        <f>IF($A292="","",$E292+H292+$I292)</f>
        <v/>
      </c>
      <c r="K292" s="35">
        <f>IF($A292="","",$D292-J292)</f>
        <v/>
      </c>
      <c r="L292" s="32">
        <f>IF($A292="","",H292/$D292)</f>
        <v/>
      </c>
      <c r="M292" s="28">
        <f>IF($A292="","",IF(OR(J292+$F292&gt;$D292+0.001,_xlfn.MAXIFS(Stangenbelegung!$H$5:$H$10004,Stangenbelegung!$A$5:$A$10004,$A292)&gt;$D292-$F292+0.001),"ÜBERBELEGT","OK"))</f>
        <v/>
      </c>
      <c r="N292" s="24" t="n"/>
      <c r="O292" s="24" t="n"/>
      <c r="P292" s="9" t="n"/>
      <c r="Q292" s="18">
        <f>IF($A292="","",IFERROR($D292/1000*INDEX(Profile!$K$5:$K$304,MATCH($B292,lst_Profil,0))*INDEX(Werkstoffe!$E$5:$E$304,MATCH($C292,lst_Werkstoff,0))/1000,""))</f>
        <v/>
      </c>
      <c r="R292" s="18">
        <f>IF($A292="","",IF(N(_xlfn.MAXIFS(Auftrag!$AP$13:$AP$512,Auftrag!$D$13:$D$512,$B292,Auftrag!$E$13:$E$512,$C292,Auftrag!$Q$13:$Q$512,$D292))&gt;0,_xlfn.MAXIFS(Auftrag!$AP$13:$AP$512,Auftrag!$D$13:$D$512,$B292,Auftrag!$E$13:$E$512,$C292,Auftrag!$Q$13:$Q$512,$D292)*$D292/1000,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9" t="n"/>
      <c r="E293" s="24" t="n"/>
      <c r="F293" s="24" t="n"/>
      <c r="G293" s="12">
        <f>IF($A293="","",COUNTIFS(Stangenbelegung!$A$5:$A$10004,$A293))</f>
        <v/>
      </c>
      <c r="H293" s="35">
        <f>IF($A293="","",SUMIFS(Stangenbelegung!$F$5:$F$10004,Stangenbelegung!$A$5:$A$10004,$A293))</f>
        <v/>
      </c>
      <c r="I293" s="23" t="n"/>
      <c r="J293" s="35">
        <f>IF($A293="","",$E293+H293+$I293)</f>
        <v/>
      </c>
      <c r="K293" s="35">
        <f>IF($A293="","",$D293-J293)</f>
        <v/>
      </c>
      <c r="L293" s="32">
        <f>IF($A293="","",H293/$D293)</f>
        <v/>
      </c>
      <c r="M293" s="28">
        <f>IF($A293="","",IF(OR(J293+$F293&gt;$D293+0.001,_xlfn.MAXIFS(Stangenbelegung!$H$5:$H$10004,Stangenbelegung!$A$5:$A$10004,$A293)&gt;$D293-$F293+0.001),"ÜBERBELEGT","OK"))</f>
        <v/>
      </c>
      <c r="N293" s="24" t="n"/>
      <c r="O293" s="24" t="n"/>
      <c r="P293" s="9" t="n"/>
      <c r="Q293" s="18">
        <f>IF($A293="","",IFERROR($D293/1000*INDEX(Profile!$K$5:$K$304,MATCH($B293,lst_Profil,0))*INDEX(Werkstoffe!$E$5:$E$304,MATCH($C293,lst_Werkstoff,0))/1000,""))</f>
        <v/>
      </c>
      <c r="R293" s="18">
        <f>IF($A293="","",IF(N(_xlfn.MAXIFS(Auftrag!$AP$13:$AP$512,Auftrag!$D$13:$D$512,$B293,Auftrag!$E$13:$E$512,$C293,Auftrag!$Q$13:$Q$512,$D293))&gt;0,_xlfn.MAXIFS(Auftrag!$AP$13:$AP$512,Auftrag!$D$13:$D$512,$B293,Auftrag!$E$13:$E$512,$C293,Auftrag!$Q$13:$Q$512,$D293)*$D293/1000,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9" t="n"/>
      <c r="E294" s="24" t="n"/>
      <c r="F294" s="24" t="n"/>
      <c r="G294" s="12">
        <f>IF($A294="","",COUNTIFS(Stangenbelegung!$A$5:$A$10004,$A294))</f>
        <v/>
      </c>
      <c r="H294" s="35">
        <f>IF($A294="","",SUMIFS(Stangenbelegung!$F$5:$F$10004,Stangenbelegung!$A$5:$A$10004,$A294))</f>
        <v/>
      </c>
      <c r="I294" s="23" t="n"/>
      <c r="J294" s="35">
        <f>IF($A294="","",$E294+H294+$I294)</f>
        <v/>
      </c>
      <c r="K294" s="35">
        <f>IF($A294="","",$D294-J294)</f>
        <v/>
      </c>
      <c r="L294" s="32">
        <f>IF($A294="","",H294/$D294)</f>
        <v/>
      </c>
      <c r="M294" s="28">
        <f>IF($A294="","",IF(OR(J294+$F294&gt;$D294+0.001,_xlfn.MAXIFS(Stangenbelegung!$H$5:$H$10004,Stangenbelegung!$A$5:$A$10004,$A294)&gt;$D294-$F294+0.001),"ÜBERBELEGT","OK"))</f>
        <v/>
      </c>
      <c r="N294" s="24" t="n"/>
      <c r="O294" s="24" t="n"/>
      <c r="P294" s="9" t="n"/>
      <c r="Q294" s="18">
        <f>IF($A294="","",IFERROR($D294/1000*INDEX(Profile!$K$5:$K$304,MATCH($B294,lst_Profil,0))*INDEX(Werkstoffe!$E$5:$E$304,MATCH($C294,lst_Werkstoff,0))/1000,""))</f>
        <v/>
      </c>
      <c r="R294" s="18">
        <f>IF($A294="","",IF(N(_xlfn.MAXIFS(Auftrag!$AP$13:$AP$512,Auftrag!$D$13:$D$512,$B294,Auftrag!$E$13:$E$512,$C294,Auftrag!$Q$13:$Q$512,$D294))&gt;0,_xlfn.MAXIFS(Auftrag!$AP$13:$AP$512,Auftrag!$D$13:$D$512,$B294,Auftrag!$E$13:$E$512,$C294,Auftrag!$Q$13:$Q$512,$D294)*$D294/1000,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9" t="n"/>
      <c r="E295" s="24" t="n"/>
      <c r="F295" s="24" t="n"/>
      <c r="G295" s="12">
        <f>IF($A295="","",COUNTIFS(Stangenbelegung!$A$5:$A$10004,$A295))</f>
        <v/>
      </c>
      <c r="H295" s="35">
        <f>IF($A295="","",SUMIFS(Stangenbelegung!$F$5:$F$10004,Stangenbelegung!$A$5:$A$10004,$A295))</f>
        <v/>
      </c>
      <c r="I295" s="23" t="n"/>
      <c r="J295" s="35">
        <f>IF($A295="","",$E295+H295+$I295)</f>
        <v/>
      </c>
      <c r="K295" s="35">
        <f>IF($A295="","",$D295-J295)</f>
        <v/>
      </c>
      <c r="L295" s="32">
        <f>IF($A295="","",H295/$D295)</f>
        <v/>
      </c>
      <c r="M295" s="28">
        <f>IF($A295="","",IF(OR(J295+$F295&gt;$D295+0.001,_xlfn.MAXIFS(Stangenbelegung!$H$5:$H$10004,Stangenbelegung!$A$5:$A$10004,$A295)&gt;$D295-$F295+0.001),"ÜBERBELEGT","OK"))</f>
        <v/>
      </c>
      <c r="N295" s="24" t="n"/>
      <c r="O295" s="24" t="n"/>
      <c r="P295" s="9" t="n"/>
      <c r="Q295" s="18">
        <f>IF($A295="","",IFERROR($D295/1000*INDEX(Profile!$K$5:$K$304,MATCH($B295,lst_Profil,0))*INDEX(Werkstoffe!$E$5:$E$304,MATCH($C295,lst_Werkstoff,0))/1000,""))</f>
        <v/>
      </c>
      <c r="R295" s="18">
        <f>IF($A295="","",IF(N(_xlfn.MAXIFS(Auftrag!$AP$13:$AP$512,Auftrag!$D$13:$D$512,$B295,Auftrag!$E$13:$E$512,$C295,Auftrag!$Q$13:$Q$512,$D295))&gt;0,_xlfn.MAXIFS(Auftrag!$AP$13:$AP$512,Auftrag!$D$13:$D$512,$B295,Auftrag!$E$13:$E$512,$C295,Auftrag!$Q$13:$Q$512,$D295)*$D295/1000,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9" t="n"/>
      <c r="E296" s="24" t="n"/>
      <c r="F296" s="24" t="n"/>
      <c r="G296" s="12">
        <f>IF($A296="","",COUNTIFS(Stangenbelegung!$A$5:$A$10004,$A296))</f>
        <v/>
      </c>
      <c r="H296" s="35">
        <f>IF($A296="","",SUMIFS(Stangenbelegung!$F$5:$F$10004,Stangenbelegung!$A$5:$A$10004,$A296))</f>
        <v/>
      </c>
      <c r="I296" s="23" t="n"/>
      <c r="J296" s="35">
        <f>IF($A296="","",$E296+H296+$I296)</f>
        <v/>
      </c>
      <c r="K296" s="35">
        <f>IF($A296="","",$D296-J296)</f>
        <v/>
      </c>
      <c r="L296" s="32">
        <f>IF($A296="","",H296/$D296)</f>
        <v/>
      </c>
      <c r="M296" s="28">
        <f>IF($A296="","",IF(OR(J296+$F296&gt;$D296+0.001,_xlfn.MAXIFS(Stangenbelegung!$H$5:$H$10004,Stangenbelegung!$A$5:$A$10004,$A296)&gt;$D296-$F296+0.001),"ÜBERBELEGT","OK"))</f>
        <v/>
      </c>
      <c r="N296" s="24" t="n"/>
      <c r="O296" s="24" t="n"/>
      <c r="P296" s="9" t="n"/>
      <c r="Q296" s="18">
        <f>IF($A296="","",IFERROR($D296/1000*INDEX(Profile!$K$5:$K$304,MATCH($B296,lst_Profil,0))*INDEX(Werkstoffe!$E$5:$E$304,MATCH($C296,lst_Werkstoff,0))/1000,""))</f>
        <v/>
      </c>
      <c r="R296" s="18">
        <f>IF($A296="","",IF(N(_xlfn.MAXIFS(Auftrag!$AP$13:$AP$512,Auftrag!$D$13:$D$512,$B296,Auftrag!$E$13:$E$512,$C296,Auftrag!$Q$13:$Q$512,$D296))&gt;0,_xlfn.MAXIFS(Auftrag!$AP$13:$AP$512,Auftrag!$D$13:$D$512,$B296,Auftrag!$E$13:$E$512,$C296,Auftrag!$Q$13:$Q$512,$D296)*$D296/1000,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9" t="n"/>
      <c r="E297" s="24" t="n"/>
      <c r="F297" s="24" t="n"/>
      <c r="G297" s="12">
        <f>IF($A297="","",COUNTIFS(Stangenbelegung!$A$5:$A$10004,$A297))</f>
        <v/>
      </c>
      <c r="H297" s="35">
        <f>IF($A297="","",SUMIFS(Stangenbelegung!$F$5:$F$10004,Stangenbelegung!$A$5:$A$10004,$A297))</f>
        <v/>
      </c>
      <c r="I297" s="23" t="n"/>
      <c r="J297" s="35">
        <f>IF($A297="","",$E297+H297+$I297)</f>
        <v/>
      </c>
      <c r="K297" s="35">
        <f>IF($A297="","",$D297-J297)</f>
        <v/>
      </c>
      <c r="L297" s="32">
        <f>IF($A297="","",H297/$D297)</f>
        <v/>
      </c>
      <c r="M297" s="28">
        <f>IF($A297="","",IF(OR(J297+$F297&gt;$D297+0.001,_xlfn.MAXIFS(Stangenbelegung!$H$5:$H$10004,Stangenbelegung!$A$5:$A$10004,$A297)&gt;$D297-$F297+0.001),"ÜBERBELEGT","OK"))</f>
        <v/>
      </c>
      <c r="N297" s="24" t="n"/>
      <c r="O297" s="24" t="n"/>
      <c r="P297" s="9" t="n"/>
      <c r="Q297" s="18">
        <f>IF($A297="","",IFERROR($D297/1000*INDEX(Profile!$K$5:$K$304,MATCH($B297,lst_Profil,0))*INDEX(Werkstoffe!$E$5:$E$304,MATCH($C297,lst_Werkstoff,0))/1000,""))</f>
        <v/>
      </c>
      <c r="R297" s="18">
        <f>IF($A297="","",IF(N(_xlfn.MAXIFS(Auftrag!$AP$13:$AP$512,Auftrag!$D$13:$D$512,$B297,Auftrag!$E$13:$E$512,$C297,Auftrag!$Q$13:$Q$512,$D297))&gt;0,_xlfn.MAXIFS(Auftrag!$AP$13:$AP$512,Auftrag!$D$13:$D$512,$B297,Auftrag!$E$13:$E$512,$C297,Auftrag!$Q$13:$Q$512,$D297)*$D297/1000,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9" t="n"/>
      <c r="E298" s="24" t="n"/>
      <c r="F298" s="24" t="n"/>
      <c r="G298" s="12">
        <f>IF($A298="","",COUNTIFS(Stangenbelegung!$A$5:$A$10004,$A298))</f>
        <v/>
      </c>
      <c r="H298" s="35">
        <f>IF($A298="","",SUMIFS(Stangenbelegung!$F$5:$F$10004,Stangenbelegung!$A$5:$A$10004,$A298))</f>
        <v/>
      </c>
      <c r="I298" s="23" t="n"/>
      <c r="J298" s="35">
        <f>IF($A298="","",$E298+H298+$I298)</f>
        <v/>
      </c>
      <c r="K298" s="35">
        <f>IF($A298="","",$D298-J298)</f>
        <v/>
      </c>
      <c r="L298" s="32">
        <f>IF($A298="","",H298/$D298)</f>
        <v/>
      </c>
      <c r="M298" s="28">
        <f>IF($A298="","",IF(OR(J298+$F298&gt;$D298+0.001,_xlfn.MAXIFS(Stangenbelegung!$H$5:$H$10004,Stangenbelegung!$A$5:$A$10004,$A298)&gt;$D298-$F298+0.001),"ÜBERBELEGT","OK"))</f>
        <v/>
      </c>
      <c r="N298" s="24" t="n"/>
      <c r="O298" s="24" t="n"/>
      <c r="P298" s="9" t="n"/>
      <c r="Q298" s="18">
        <f>IF($A298="","",IFERROR($D298/1000*INDEX(Profile!$K$5:$K$304,MATCH($B298,lst_Profil,0))*INDEX(Werkstoffe!$E$5:$E$304,MATCH($C298,lst_Werkstoff,0))/1000,""))</f>
        <v/>
      </c>
      <c r="R298" s="18">
        <f>IF($A298="","",IF(N(_xlfn.MAXIFS(Auftrag!$AP$13:$AP$512,Auftrag!$D$13:$D$512,$B298,Auftrag!$E$13:$E$512,$C298,Auftrag!$Q$13:$Q$512,$D298))&gt;0,_xlfn.MAXIFS(Auftrag!$AP$13:$AP$512,Auftrag!$D$13:$D$512,$B298,Auftrag!$E$13:$E$512,$C298,Auftrag!$Q$13:$Q$512,$D298)*$D298/1000,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9" t="n"/>
      <c r="E299" s="24" t="n"/>
      <c r="F299" s="24" t="n"/>
      <c r="G299" s="12">
        <f>IF($A299="","",COUNTIFS(Stangenbelegung!$A$5:$A$10004,$A299))</f>
        <v/>
      </c>
      <c r="H299" s="35">
        <f>IF($A299="","",SUMIFS(Stangenbelegung!$F$5:$F$10004,Stangenbelegung!$A$5:$A$10004,$A299))</f>
        <v/>
      </c>
      <c r="I299" s="23" t="n"/>
      <c r="J299" s="35">
        <f>IF($A299="","",$E299+H299+$I299)</f>
        <v/>
      </c>
      <c r="K299" s="35">
        <f>IF($A299="","",$D299-J299)</f>
        <v/>
      </c>
      <c r="L299" s="32">
        <f>IF($A299="","",H299/$D299)</f>
        <v/>
      </c>
      <c r="M299" s="28">
        <f>IF($A299="","",IF(OR(J299+$F299&gt;$D299+0.001,_xlfn.MAXIFS(Stangenbelegung!$H$5:$H$10004,Stangenbelegung!$A$5:$A$10004,$A299)&gt;$D299-$F299+0.001),"ÜBERBELEGT","OK"))</f>
        <v/>
      </c>
      <c r="N299" s="24" t="n"/>
      <c r="O299" s="24" t="n"/>
      <c r="P299" s="9" t="n"/>
      <c r="Q299" s="18">
        <f>IF($A299="","",IFERROR($D299/1000*INDEX(Profile!$K$5:$K$304,MATCH($B299,lst_Profil,0))*INDEX(Werkstoffe!$E$5:$E$304,MATCH($C299,lst_Werkstoff,0))/1000,""))</f>
        <v/>
      </c>
      <c r="R299" s="18">
        <f>IF($A299="","",IF(N(_xlfn.MAXIFS(Auftrag!$AP$13:$AP$512,Auftrag!$D$13:$D$512,$B299,Auftrag!$E$13:$E$512,$C299,Auftrag!$Q$13:$Q$512,$D299))&gt;0,_xlfn.MAXIFS(Auftrag!$AP$13:$AP$512,Auftrag!$D$13:$D$512,$B299,Auftrag!$E$13:$E$512,$C299,Auftrag!$Q$13:$Q$512,$D299)*$D299/1000,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9" t="n"/>
      <c r="E300" s="24" t="n"/>
      <c r="F300" s="24" t="n"/>
      <c r="G300" s="12">
        <f>IF($A300="","",COUNTIFS(Stangenbelegung!$A$5:$A$10004,$A300))</f>
        <v/>
      </c>
      <c r="H300" s="35">
        <f>IF($A300="","",SUMIFS(Stangenbelegung!$F$5:$F$10004,Stangenbelegung!$A$5:$A$10004,$A300))</f>
        <v/>
      </c>
      <c r="I300" s="23" t="n"/>
      <c r="J300" s="35">
        <f>IF($A300="","",$E300+H300+$I300)</f>
        <v/>
      </c>
      <c r="K300" s="35">
        <f>IF($A300="","",$D300-J300)</f>
        <v/>
      </c>
      <c r="L300" s="32">
        <f>IF($A300="","",H300/$D300)</f>
        <v/>
      </c>
      <c r="M300" s="28">
        <f>IF($A300="","",IF(OR(J300+$F300&gt;$D300+0.001,_xlfn.MAXIFS(Stangenbelegung!$H$5:$H$10004,Stangenbelegung!$A$5:$A$10004,$A300)&gt;$D300-$F300+0.001),"ÜBERBELEGT","OK"))</f>
        <v/>
      </c>
      <c r="N300" s="24" t="n"/>
      <c r="O300" s="24" t="n"/>
      <c r="P300" s="9" t="n"/>
      <c r="Q300" s="18">
        <f>IF($A300="","",IFERROR($D300/1000*INDEX(Profile!$K$5:$K$304,MATCH($B300,lst_Profil,0))*INDEX(Werkstoffe!$E$5:$E$304,MATCH($C300,lst_Werkstoff,0))/1000,""))</f>
        <v/>
      </c>
      <c r="R300" s="18">
        <f>IF($A300="","",IF(N(_xlfn.MAXIFS(Auftrag!$AP$13:$AP$512,Auftrag!$D$13:$D$512,$B300,Auftrag!$E$13:$E$512,$C300,Auftrag!$Q$13:$Q$512,$D300))&gt;0,_xlfn.MAXIFS(Auftrag!$AP$13:$AP$512,Auftrag!$D$13:$D$512,$B300,Auftrag!$E$13:$E$512,$C300,Auftrag!$Q$13:$Q$512,$D300)*$D300/1000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9" t="n"/>
      <c r="E301" s="24" t="n"/>
      <c r="F301" s="24" t="n"/>
      <c r="G301" s="12">
        <f>IF($A301="","",COUNTIFS(Stangenbelegung!$A$5:$A$10004,$A301))</f>
        <v/>
      </c>
      <c r="H301" s="35">
        <f>IF($A301="","",SUMIFS(Stangenbelegung!$F$5:$F$10004,Stangenbelegung!$A$5:$A$10004,$A301))</f>
        <v/>
      </c>
      <c r="I301" s="23" t="n"/>
      <c r="J301" s="35">
        <f>IF($A301="","",$E301+H301+$I301)</f>
        <v/>
      </c>
      <c r="K301" s="35">
        <f>IF($A301="","",$D301-J301)</f>
        <v/>
      </c>
      <c r="L301" s="32">
        <f>IF($A301="","",H301/$D301)</f>
        <v/>
      </c>
      <c r="M301" s="28">
        <f>IF($A301="","",IF(OR(J301+$F301&gt;$D301+0.001,_xlfn.MAXIFS(Stangenbelegung!$H$5:$H$10004,Stangenbelegung!$A$5:$A$10004,$A301)&gt;$D301-$F301+0.001),"ÜBERBELEGT","OK"))</f>
        <v/>
      </c>
      <c r="N301" s="24" t="n"/>
      <c r="O301" s="24" t="n"/>
      <c r="P301" s="9" t="n"/>
      <c r="Q301" s="18">
        <f>IF($A301="","",IFERROR($D301/1000*INDEX(Profile!$K$5:$K$304,MATCH($B301,lst_Profil,0))*INDEX(Werkstoffe!$E$5:$E$304,MATCH($C301,lst_Werkstoff,0))/1000,""))</f>
        <v/>
      </c>
      <c r="R301" s="18">
        <f>IF($A301="","",IF(N(_xlfn.MAXIFS(Auftrag!$AP$13:$AP$512,Auftrag!$D$13:$D$512,$B301,Auftrag!$E$13:$E$512,$C301,Auftrag!$Q$13:$Q$512,$D301))&gt;0,_xlfn.MAXIFS(Auftrag!$AP$13:$AP$512,Auftrag!$D$13:$D$512,$B301,Auftrag!$E$13:$E$512,$C301,Auftrag!$Q$13:$Q$512,$D301)*$D301/1000,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9" t="n"/>
      <c r="E302" s="24" t="n"/>
      <c r="F302" s="24" t="n"/>
      <c r="G302" s="12">
        <f>IF($A302="","",COUNTIFS(Stangenbelegung!$A$5:$A$10004,$A302))</f>
        <v/>
      </c>
      <c r="H302" s="35">
        <f>IF($A302="","",SUMIFS(Stangenbelegung!$F$5:$F$10004,Stangenbelegung!$A$5:$A$10004,$A302))</f>
        <v/>
      </c>
      <c r="I302" s="23" t="n"/>
      <c r="J302" s="35">
        <f>IF($A302="","",$E302+H302+$I302)</f>
        <v/>
      </c>
      <c r="K302" s="35">
        <f>IF($A302="","",$D302-J302)</f>
        <v/>
      </c>
      <c r="L302" s="32">
        <f>IF($A302="","",H302/$D302)</f>
        <v/>
      </c>
      <c r="M302" s="28">
        <f>IF($A302="","",IF(OR(J302+$F302&gt;$D302+0.001,_xlfn.MAXIFS(Stangenbelegung!$H$5:$H$10004,Stangenbelegung!$A$5:$A$10004,$A302)&gt;$D302-$F302+0.001),"ÜBERBELEGT","OK"))</f>
        <v/>
      </c>
      <c r="N302" s="24" t="n"/>
      <c r="O302" s="24" t="n"/>
      <c r="P302" s="9" t="n"/>
      <c r="Q302" s="18">
        <f>IF($A302="","",IFERROR($D302/1000*INDEX(Profile!$K$5:$K$304,MATCH($B302,lst_Profil,0))*INDEX(Werkstoffe!$E$5:$E$304,MATCH($C302,lst_Werkstoff,0))/1000,""))</f>
        <v/>
      </c>
      <c r="R302" s="18">
        <f>IF($A302="","",IF(N(_xlfn.MAXIFS(Auftrag!$AP$13:$AP$512,Auftrag!$D$13:$D$512,$B302,Auftrag!$E$13:$E$512,$C302,Auftrag!$Q$13:$Q$512,$D302))&gt;0,_xlfn.MAXIFS(Auftrag!$AP$13:$AP$512,Auftrag!$D$13:$D$512,$B302,Auftrag!$E$13:$E$512,$C302,Auftrag!$Q$13:$Q$512,$D302)*$D302/1000,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9" t="n"/>
      <c r="E303" s="24" t="n"/>
      <c r="F303" s="24" t="n"/>
      <c r="G303" s="12">
        <f>IF($A303="","",COUNTIFS(Stangenbelegung!$A$5:$A$10004,$A303))</f>
        <v/>
      </c>
      <c r="H303" s="35">
        <f>IF($A303="","",SUMIFS(Stangenbelegung!$F$5:$F$10004,Stangenbelegung!$A$5:$A$10004,$A303))</f>
        <v/>
      </c>
      <c r="I303" s="23" t="n"/>
      <c r="J303" s="35">
        <f>IF($A303="","",$E303+H303+$I303)</f>
        <v/>
      </c>
      <c r="K303" s="35">
        <f>IF($A303="","",$D303-J303)</f>
        <v/>
      </c>
      <c r="L303" s="32">
        <f>IF($A303="","",H303/$D303)</f>
        <v/>
      </c>
      <c r="M303" s="28">
        <f>IF($A303="","",IF(OR(J303+$F303&gt;$D303+0.001,_xlfn.MAXIFS(Stangenbelegung!$H$5:$H$10004,Stangenbelegung!$A$5:$A$10004,$A303)&gt;$D303-$F303+0.001),"ÜBERBELEGT","OK"))</f>
        <v/>
      </c>
      <c r="N303" s="24" t="n"/>
      <c r="O303" s="24" t="n"/>
      <c r="P303" s="9" t="n"/>
      <c r="Q303" s="18">
        <f>IF($A303="","",IFERROR($D303/1000*INDEX(Profile!$K$5:$K$304,MATCH($B303,lst_Profil,0))*INDEX(Werkstoffe!$E$5:$E$304,MATCH($C303,lst_Werkstoff,0))/1000,""))</f>
        <v/>
      </c>
      <c r="R303" s="18">
        <f>IF($A303="","",IF(N(_xlfn.MAXIFS(Auftrag!$AP$13:$AP$512,Auftrag!$D$13:$D$512,$B303,Auftrag!$E$13:$E$512,$C303,Auftrag!$Q$13:$Q$512,$D303))&gt;0,_xlfn.MAXIFS(Auftrag!$AP$13:$AP$512,Auftrag!$D$13:$D$512,$B303,Auftrag!$E$13:$E$512,$C303,Auftrag!$Q$13:$Q$512,$D303)*$D303/1000,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9" t="n"/>
      <c r="E304" s="24" t="n"/>
      <c r="F304" s="24" t="n"/>
      <c r="G304" s="12">
        <f>IF($A304="","",COUNTIFS(Stangenbelegung!$A$5:$A$10004,$A304))</f>
        <v/>
      </c>
      <c r="H304" s="35">
        <f>IF($A304="","",SUMIFS(Stangenbelegung!$F$5:$F$10004,Stangenbelegung!$A$5:$A$10004,$A304))</f>
        <v/>
      </c>
      <c r="I304" s="23" t="n"/>
      <c r="J304" s="35">
        <f>IF($A304="","",$E304+H304+$I304)</f>
        <v/>
      </c>
      <c r="K304" s="35">
        <f>IF($A304="","",$D304-J304)</f>
        <v/>
      </c>
      <c r="L304" s="32">
        <f>IF($A304="","",H304/$D304)</f>
        <v/>
      </c>
      <c r="M304" s="28">
        <f>IF($A304="","",IF(OR(J304+$F304&gt;$D304+0.001,_xlfn.MAXIFS(Stangenbelegung!$H$5:$H$10004,Stangenbelegung!$A$5:$A$10004,$A304)&gt;$D304-$F304+0.001),"ÜBERBELEGT","OK"))</f>
        <v/>
      </c>
      <c r="N304" s="24" t="n"/>
      <c r="O304" s="24" t="n"/>
      <c r="P304" s="9" t="n"/>
      <c r="Q304" s="18">
        <f>IF($A304="","",IFERROR($D304/1000*INDEX(Profile!$K$5:$K$304,MATCH($B304,lst_Profil,0))*INDEX(Werkstoffe!$E$5:$E$304,MATCH($C304,lst_Werkstoff,0))/1000,""))</f>
        <v/>
      </c>
      <c r="R304" s="18">
        <f>IF($A304="","",IF(N(_xlfn.MAXIFS(Auftrag!$AP$13:$AP$512,Auftrag!$D$13:$D$512,$B304,Auftrag!$E$13:$E$512,$C304,Auftrag!$Q$13:$Q$512,$D304))&gt;0,_xlfn.MAXIFS(Auftrag!$AP$13:$AP$512,Auftrag!$D$13:$D$512,$B304,Auftrag!$E$13:$E$512,$C304,Auftrag!$Q$13:$Q$512,$D304)*$D304/1000,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9" t="n"/>
      <c r="E305" s="24" t="n"/>
      <c r="F305" s="24" t="n"/>
      <c r="G305" s="12">
        <f>IF($A305="","",COUNTIFS(Stangenbelegung!$A$5:$A$10004,$A305))</f>
        <v/>
      </c>
      <c r="H305" s="35">
        <f>IF($A305="","",SUMIFS(Stangenbelegung!$F$5:$F$10004,Stangenbelegung!$A$5:$A$10004,$A305))</f>
        <v/>
      </c>
      <c r="I305" s="23" t="n"/>
      <c r="J305" s="35">
        <f>IF($A305="","",$E305+H305+$I305)</f>
        <v/>
      </c>
      <c r="K305" s="35">
        <f>IF($A305="","",$D305-J305)</f>
        <v/>
      </c>
      <c r="L305" s="32">
        <f>IF($A305="","",H305/$D305)</f>
        <v/>
      </c>
      <c r="M305" s="28">
        <f>IF($A305="","",IF(OR(J305+$F305&gt;$D305+0.001,_xlfn.MAXIFS(Stangenbelegung!$H$5:$H$10004,Stangenbelegung!$A$5:$A$10004,$A305)&gt;$D305-$F305+0.001),"ÜBERBELEGT","OK"))</f>
        <v/>
      </c>
      <c r="N305" s="24" t="n"/>
      <c r="O305" s="24" t="n"/>
      <c r="P305" s="9" t="n"/>
      <c r="Q305" s="18">
        <f>IF($A305="","",IFERROR($D305/1000*INDEX(Profile!$K$5:$K$304,MATCH($B305,lst_Profil,0))*INDEX(Werkstoffe!$E$5:$E$304,MATCH($C305,lst_Werkstoff,0))/1000,""))</f>
        <v/>
      </c>
      <c r="R305" s="18">
        <f>IF($A305="","",IF(N(_xlfn.MAXIFS(Auftrag!$AP$13:$AP$512,Auftrag!$D$13:$D$512,$B305,Auftrag!$E$13:$E$512,$C305,Auftrag!$Q$13:$Q$512,$D305))&gt;0,_xlfn.MAXIFS(Auftrag!$AP$13:$AP$512,Auftrag!$D$13:$D$512,$B305,Auftrag!$E$13:$E$512,$C305,Auftrag!$Q$13:$Q$512,$D305)*$D305/1000,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9" t="n"/>
      <c r="E306" s="24" t="n"/>
      <c r="F306" s="24" t="n"/>
      <c r="G306" s="12">
        <f>IF($A306="","",COUNTIFS(Stangenbelegung!$A$5:$A$10004,$A306))</f>
        <v/>
      </c>
      <c r="H306" s="35">
        <f>IF($A306="","",SUMIFS(Stangenbelegung!$F$5:$F$10004,Stangenbelegung!$A$5:$A$10004,$A306))</f>
        <v/>
      </c>
      <c r="I306" s="23" t="n"/>
      <c r="J306" s="35">
        <f>IF($A306="","",$E306+H306+$I306)</f>
        <v/>
      </c>
      <c r="K306" s="35">
        <f>IF($A306="","",$D306-J306)</f>
        <v/>
      </c>
      <c r="L306" s="32">
        <f>IF($A306="","",H306/$D306)</f>
        <v/>
      </c>
      <c r="M306" s="28">
        <f>IF($A306="","",IF(OR(J306+$F306&gt;$D306+0.001,_xlfn.MAXIFS(Stangenbelegung!$H$5:$H$10004,Stangenbelegung!$A$5:$A$10004,$A306)&gt;$D306-$F306+0.001),"ÜBERBELEGT","OK"))</f>
        <v/>
      </c>
      <c r="N306" s="24" t="n"/>
      <c r="O306" s="24" t="n"/>
      <c r="P306" s="9" t="n"/>
      <c r="Q306" s="18">
        <f>IF($A306="","",IFERROR($D306/1000*INDEX(Profile!$K$5:$K$304,MATCH($B306,lst_Profil,0))*INDEX(Werkstoffe!$E$5:$E$304,MATCH($C306,lst_Werkstoff,0))/1000,""))</f>
        <v/>
      </c>
      <c r="R306" s="18">
        <f>IF($A306="","",IF(N(_xlfn.MAXIFS(Auftrag!$AP$13:$AP$512,Auftrag!$D$13:$D$512,$B306,Auftrag!$E$13:$E$512,$C306,Auftrag!$Q$13:$Q$512,$D306))&gt;0,_xlfn.MAXIFS(Auftrag!$AP$13:$AP$512,Auftrag!$D$13:$D$512,$B306,Auftrag!$E$13:$E$512,$C306,Auftrag!$Q$13:$Q$512,$D306)*$D306/1000,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9" t="n"/>
      <c r="E307" s="24" t="n"/>
      <c r="F307" s="24" t="n"/>
      <c r="G307" s="12">
        <f>IF($A307="","",COUNTIFS(Stangenbelegung!$A$5:$A$10004,$A307))</f>
        <v/>
      </c>
      <c r="H307" s="35">
        <f>IF($A307="","",SUMIFS(Stangenbelegung!$F$5:$F$10004,Stangenbelegung!$A$5:$A$10004,$A307))</f>
        <v/>
      </c>
      <c r="I307" s="23" t="n"/>
      <c r="J307" s="35">
        <f>IF($A307="","",$E307+H307+$I307)</f>
        <v/>
      </c>
      <c r="K307" s="35">
        <f>IF($A307="","",$D307-J307)</f>
        <v/>
      </c>
      <c r="L307" s="32">
        <f>IF($A307="","",H307/$D307)</f>
        <v/>
      </c>
      <c r="M307" s="28">
        <f>IF($A307="","",IF(OR(J307+$F307&gt;$D307+0.001,_xlfn.MAXIFS(Stangenbelegung!$H$5:$H$10004,Stangenbelegung!$A$5:$A$10004,$A307)&gt;$D307-$F307+0.001),"ÜBERBELEGT","OK"))</f>
        <v/>
      </c>
      <c r="N307" s="24" t="n"/>
      <c r="O307" s="24" t="n"/>
      <c r="P307" s="9" t="n"/>
      <c r="Q307" s="18">
        <f>IF($A307="","",IFERROR($D307/1000*INDEX(Profile!$K$5:$K$304,MATCH($B307,lst_Profil,0))*INDEX(Werkstoffe!$E$5:$E$304,MATCH($C307,lst_Werkstoff,0))/1000,""))</f>
        <v/>
      </c>
      <c r="R307" s="18">
        <f>IF($A307="","",IF(N(_xlfn.MAXIFS(Auftrag!$AP$13:$AP$512,Auftrag!$D$13:$D$512,$B307,Auftrag!$E$13:$E$512,$C307,Auftrag!$Q$13:$Q$512,$D307))&gt;0,_xlfn.MAXIFS(Auftrag!$AP$13:$AP$512,Auftrag!$D$13:$D$512,$B307,Auftrag!$E$13:$E$512,$C307,Auftrag!$Q$13:$Q$512,$D307)*$D307/1000,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9" t="n"/>
      <c r="E308" s="24" t="n"/>
      <c r="F308" s="24" t="n"/>
      <c r="G308" s="12">
        <f>IF($A308="","",COUNTIFS(Stangenbelegung!$A$5:$A$10004,$A308))</f>
        <v/>
      </c>
      <c r="H308" s="35">
        <f>IF($A308="","",SUMIFS(Stangenbelegung!$F$5:$F$10004,Stangenbelegung!$A$5:$A$10004,$A308))</f>
        <v/>
      </c>
      <c r="I308" s="23" t="n"/>
      <c r="J308" s="35">
        <f>IF($A308="","",$E308+H308+$I308)</f>
        <v/>
      </c>
      <c r="K308" s="35">
        <f>IF($A308="","",$D308-J308)</f>
        <v/>
      </c>
      <c r="L308" s="32">
        <f>IF($A308="","",H308/$D308)</f>
        <v/>
      </c>
      <c r="M308" s="28">
        <f>IF($A308="","",IF(OR(J308+$F308&gt;$D308+0.001,_xlfn.MAXIFS(Stangenbelegung!$H$5:$H$10004,Stangenbelegung!$A$5:$A$10004,$A308)&gt;$D308-$F308+0.001),"ÜBERBELEGT","OK"))</f>
        <v/>
      </c>
      <c r="N308" s="24" t="n"/>
      <c r="O308" s="24" t="n"/>
      <c r="P308" s="9" t="n"/>
      <c r="Q308" s="18">
        <f>IF($A308="","",IFERROR($D308/1000*INDEX(Profile!$K$5:$K$304,MATCH($B308,lst_Profil,0))*INDEX(Werkstoffe!$E$5:$E$304,MATCH($C308,lst_Werkstoff,0))/1000,""))</f>
        <v/>
      </c>
      <c r="R308" s="18">
        <f>IF($A308="","",IF(N(_xlfn.MAXIFS(Auftrag!$AP$13:$AP$512,Auftrag!$D$13:$D$512,$B308,Auftrag!$E$13:$E$512,$C308,Auftrag!$Q$13:$Q$512,$D308))&gt;0,_xlfn.MAXIFS(Auftrag!$AP$13:$AP$512,Auftrag!$D$13:$D$512,$B308,Auftrag!$E$13:$E$512,$C308,Auftrag!$Q$13:$Q$512,$D308)*$D308/1000,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9" t="n"/>
      <c r="E309" s="24" t="n"/>
      <c r="F309" s="24" t="n"/>
      <c r="G309" s="12">
        <f>IF($A309="","",COUNTIFS(Stangenbelegung!$A$5:$A$10004,$A309))</f>
        <v/>
      </c>
      <c r="H309" s="35">
        <f>IF($A309="","",SUMIFS(Stangenbelegung!$F$5:$F$10004,Stangenbelegung!$A$5:$A$10004,$A309))</f>
        <v/>
      </c>
      <c r="I309" s="23" t="n"/>
      <c r="J309" s="35">
        <f>IF($A309="","",$E309+H309+$I309)</f>
        <v/>
      </c>
      <c r="K309" s="35">
        <f>IF($A309="","",$D309-J309)</f>
        <v/>
      </c>
      <c r="L309" s="32">
        <f>IF($A309="","",H309/$D309)</f>
        <v/>
      </c>
      <c r="M309" s="28">
        <f>IF($A309="","",IF(OR(J309+$F309&gt;$D309+0.001,_xlfn.MAXIFS(Stangenbelegung!$H$5:$H$10004,Stangenbelegung!$A$5:$A$10004,$A309)&gt;$D309-$F309+0.001),"ÜBERBELEGT","OK"))</f>
        <v/>
      </c>
      <c r="N309" s="24" t="n"/>
      <c r="O309" s="24" t="n"/>
      <c r="P309" s="9" t="n"/>
      <c r="Q309" s="18">
        <f>IF($A309="","",IFERROR($D309/1000*INDEX(Profile!$K$5:$K$304,MATCH($B309,lst_Profil,0))*INDEX(Werkstoffe!$E$5:$E$304,MATCH($C309,lst_Werkstoff,0))/1000,""))</f>
        <v/>
      </c>
      <c r="R309" s="18">
        <f>IF($A309="","",IF(N(_xlfn.MAXIFS(Auftrag!$AP$13:$AP$512,Auftrag!$D$13:$D$512,$B309,Auftrag!$E$13:$E$512,$C309,Auftrag!$Q$13:$Q$512,$D309))&gt;0,_xlfn.MAXIFS(Auftrag!$AP$13:$AP$512,Auftrag!$D$13:$D$512,$B309,Auftrag!$E$13:$E$512,$C309,Auftrag!$Q$13:$Q$512,$D309)*$D309/1000,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9" t="n"/>
      <c r="E310" s="24" t="n"/>
      <c r="F310" s="24" t="n"/>
      <c r="G310" s="12">
        <f>IF($A310="","",COUNTIFS(Stangenbelegung!$A$5:$A$10004,$A310))</f>
        <v/>
      </c>
      <c r="H310" s="35">
        <f>IF($A310="","",SUMIFS(Stangenbelegung!$F$5:$F$10004,Stangenbelegung!$A$5:$A$10004,$A310))</f>
        <v/>
      </c>
      <c r="I310" s="23" t="n"/>
      <c r="J310" s="35">
        <f>IF($A310="","",$E310+H310+$I310)</f>
        <v/>
      </c>
      <c r="K310" s="35">
        <f>IF($A310="","",$D310-J310)</f>
        <v/>
      </c>
      <c r="L310" s="32">
        <f>IF($A310="","",H310/$D310)</f>
        <v/>
      </c>
      <c r="M310" s="28">
        <f>IF($A310="","",IF(OR(J310+$F310&gt;$D310+0.001,_xlfn.MAXIFS(Stangenbelegung!$H$5:$H$10004,Stangenbelegung!$A$5:$A$10004,$A310)&gt;$D310-$F310+0.001),"ÜBERBELEGT","OK"))</f>
        <v/>
      </c>
      <c r="N310" s="24" t="n"/>
      <c r="O310" s="24" t="n"/>
      <c r="P310" s="9" t="n"/>
      <c r="Q310" s="18">
        <f>IF($A310="","",IFERROR($D310/1000*INDEX(Profile!$K$5:$K$304,MATCH($B310,lst_Profil,0))*INDEX(Werkstoffe!$E$5:$E$304,MATCH($C310,lst_Werkstoff,0))/1000,""))</f>
        <v/>
      </c>
      <c r="R310" s="18">
        <f>IF($A310="","",IF(N(_xlfn.MAXIFS(Auftrag!$AP$13:$AP$512,Auftrag!$D$13:$D$512,$B310,Auftrag!$E$13:$E$512,$C310,Auftrag!$Q$13:$Q$512,$D310))&gt;0,_xlfn.MAXIFS(Auftrag!$AP$13:$AP$512,Auftrag!$D$13:$D$512,$B310,Auftrag!$E$13:$E$512,$C310,Auftrag!$Q$13:$Q$512,$D310)*$D310/1000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9" t="n"/>
      <c r="E311" s="24" t="n"/>
      <c r="F311" s="24" t="n"/>
      <c r="G311" s="12">
        <f>IF($A311="","",COUNTIFS(Stangenbelegung!$A$5:$A$10004,$A311))</f>
        <v/>
      </c>
      <c r="H311" s="35">
        <f>IF($A311="","",SUMIFS(Stangenbelegung!$F$5:$F$10004,Stangenbelegung!$A$5:$A$10004,$A311))</f>
        <v/>
      </c>
      <c r="I311" s="23" t="n"/>
      <c r="J311" s="35">
        <f>IF($A311="","",$E311+H311+$I311)</f>
        <v/>
      </c>
      <c r="K311" s="35">
        <f>IF($A311="","",$D311-J311)</f>
        <v/>
      </c>
      <c r="L311" s="32">
        <f>IF($A311="","",H311/$D311)</f>
        <v/>
      </c>
      <c r="M311" s="28">
        <f>IF($A311="","",IF(OR(J311+$F311&gt;$D311+0.001,_xlfn.MAXIFS(Stangenbelegung!$H$5:$H$10004,Stangenbelegung!$A$5:$A$10004,$A311)&gt;$D311-$F311+0.001),"ÜBERBELEGT","OK"))</f>
        <v/>
      </c>
      <c r="N311" s="24" t="n"/>
      <c r="O311" s="24" t="n"/>
      <c r="P311" s="9" t="n"/>
      <c r="Q311" s="18">
        <f>IF($A311="","",IFERROR($D311/1000*INDEX(Profile!$K$5:$K$304,MATCH($B311,lst_Profil,0))*INDEX(Werkstoffe!$E$5:$E$304,MATCH($C311,lst_Werkstoff,0))/1000,""))</f>
        <v/>
      </c>
      <c r="R311" s="18">
        <f>IF($A311="","",IF(N(_xlfn.MAXIFS(Auftrag!$AP$13:$AP$512,Auftrag!$D$13:$D$512,$B311,Auftrag!$E$13:$E$512,$C311,Auftrag!$Q$13:$Q$512,$D311))&gt;0,_xlfn.MAXIFS(Auftrag!$AP$13:$AP$512,Auftrag!$D$13:$D$512,$B311,Auftrag!$E$13:$E$512,$C311,Auftrag!$Q$13:$Q$512,$D311)*$D311/1000,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9" t="n"/>
      <c r="E312" s="24" t="n"/>
      <c r="F312" s="24" t="n"/>
      <c r="G312" s="12">
        <f>IF($A312="","",COUNTIFS(Stangenbelegung!$A$5:$A$10004,$A312))</f>
        <v/>
      </c>
      <c r="H312" s="35">
        <f>IF($A312="","",SUMIFS(Stangenbelegung!$F$5:$F$10004,Stangenbelegung!$A$5:$A$10004,$A312))</f>
        <v/>
      </c>
      <c r="I312" s="23" t="n"/>
      <c r="J312" s="35">
        <f>IF($A312="","",$E312+H312+$I312)</f>
        <v/>
      </c>
      <c r="K312" s="35">
        <f>IF($A312="","",$D312-J312)</f>
        <v/>
      </c>
      <c r="L312" s="32">
        <f>IF($A312="","",H312/$D312)</f>
        <v/>
      </c>
      <c r="M312" s="28">
        <f>IF($A312="","",IF(OR(J312+$F312&gt;$D312+0.001,_xlfn.MAXIFS(Stangenbelegung!$H$5:$H$10004,Stangenbelegung!$A$5:$A$10004,$A312)&gt;$D312-$F312+0.001),"ÜBERBELEGT","OK"))</f>
        <v/>
      </c>
      <c r="N312" s="24" t="n"/>
      <c r="O312" s="24" t="n"/>
      <c r="P312" s="9" t="n"/>
      <c r="Q312" s="18">
        <f>IF($A312="","",IFERROR($D312/1000*INDEX(Profile!$K$5:$K$304,MATCH($B312,lst_Profil,0))*INDEX(Werkstoffe!$E$5:$E$304,MATCH($C312,lst_Werkstoff,0))/1000,""))</f>
        <v/>
      </c>
      <c r="R312" s="18">
        <f>IF($A312="","",IF(N(_xlfn.MAXIFS(Auftrag!$AP$13:$AP$512,Auftrag!$D$13:$D$512,$B312,Auftrag!$E$13:$E$512,$C312,Auftrag!$Q$13:$Q$512,$D312))&gt;0,_xlfn.MAXIFS(Auftrag!$AP$13:$AP$512,Auftrag!$D$13:$D$512,$B312,Auftrag!$E$13:$E$512,$C312,Auftrag!$Q$13:$Q$512,$D312)*$D312/1000,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9" t="n"/>
      <c r="E313" s="24" t="n"/>
      <c r="F313" s="24" t="n"/>
      <c r="G313" s="12">
        <f>IF($A313="","",COUNTIFS(Stangenbelegung!$A$5:$A$10004,$A313))</f>
        <v/>
      </c>
      <c r="H313" s="35">
        <f>IF($A313="","",SUMIFS(Stangenbelegung!$F$5:$F$10004,Stangenbelegung!$A$5:$A$10004,$A313))</f>
        <v/>
      </c>
      <c r="I313" s="23" t="n"/>
      <c r="J313" s="35">
        <f>IF($A313="","",$E313+H313+$I313)</f>
        <v/>
      </c>
      <c r="K313" s="35">
        <f>IF($A313="","",$D313-J313)</f>
        <v/>
      </c>
      <c r="L313" s="32">
        <f>IF($A313="","",H313/$D313)</f>
        <v/>
      </c>
      <c r="M313" s="28">
        <f>IF($A313="","",IF(OR(J313+$F313&gt;$D313+0.001,_xlfn.MAXIFS(Stangenbelegung!$H$5:$H$10004,Stangenbelegung!$A$5:$A$10004,$A313)&gt;$D313-$F313+0.001),"ÜBERBELEGT","OK"))</f>
        <v/>
      </c>
      <c r="N313" s="24" t="n"/>
      <c r="O313" s="24" t="n"/>
      <c r="P313" s="9" t="n"/>
      <c r="Q313" s="18">
        <f>IF($A313="","",IFERROR($D313/1000*INDEX(Profile!$K$5:$K$304,MATCH($B313,lst_Profil,0))*INDEX(Werkstoffe!$E$5:$E$304,MATCH($C313,lst_Werkstoff,0))/1000,""))</f>
        <v/>
      </c>
      <c r="R313" s="18">
        <f>IF($A313="","",IF(N(_xlfn.MAXIFS(Auftrag!$AP$13:$AP$512,Auftrag!$D$13:$D$512,$B313,Auftrag!$E$13:$E$512,$C313,Auftrag!$Q$13:$Q$512,$D313))&gt;0,_xlfn.MAXIFS(Auftrag!$AP$13:$AP$512,Auftrag!$D$13:$D$512,$B313,Auftrag!$E$13:$E$512,$C313,Auftrag!$Q$13:$Q$512,$D313)*$D313/1000,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9" t="n"/>
      <c r="E314" s="24" t="n"/>
      <c r="F314" s="24" t="n"/>
      <c r="G314" s="12">
        <f>IF($A314="","",COUNTIFS(Stangenbelegung!$A$5:$A$10004,$A314))</f>
        <v/>
      </c>
      <c r="H314" s="35">
        <f>IF($A314="","",SUMIFS(Stangenbelegung!$F$5:$F$10004,Stangenbelegung!$A$5:$A$10004,$A314))</f>
        <v/>
      </c>
      <c r="I314" s="23" t="n"/>
      <c r="J314" s="35">
        <f>IF($A314="","",$E314+H314+$I314)</f>
        <v/>
      </c>
      <c r="K314" s="35">
        <f>IF($A314="","",$D314-J314)</f>
        <v/>
      </c>
      <c r="L314" s="32">
        <f>IF($A314="","",H314/$D314)</f>
        <v/>
      </c>
      <c r="M314" s="28">
        <f>IF($A314="","",IF(OR(J314+$F314&gt;$D314+0.001,_xlfn.MAXIFS(Stangenbelegung!$H$5:$H$10004,Stangenbelegung!$A$5:$A$10004,$A314)&gt;$D314-$F314+0.001),"ÜBERBELEGT","OK"))</f>
        <v/>
      </c>
      <c r="N314" s="24" t="n"/>
      <c r="O314" s="24" t="n"/>
      <c r="P314" s="9" t="n"/>
      <c r="Q314" s="18">
        <f>IF($A314="","",IFERROR($D314/1000*INDEX(Profile!$K$5:$K$304,MATCH($B314,lst_Profil,0))*INDEX(Werkstoffe!$E$5:$E$304,MATCH($C314,lst_Werkstoff,0))/1000,""))</f>
        <v/>
      </c>
      <c r="R314" s="18">
        <f>IF($A314="","",IF(N(_xlfn.MAXIFS(Auftrag!$AP$13:$AP$512,Auftrag!$D$13:$D$512,$B314,Auftrag!$E$13:$E$512,$C314,Auftrag!$Q$13:$Q$512,$D314))&gt;0,_xlfn.MAXIFS(Auftrag!$AP$13:$AP$512,Auftrag!$D$13:$D$512,$B314,Auftrag!$E$13:$E$512,$C314,Auftrag!$Q$13:$Q$512,$D314)*$D314/1000,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9" t="n"/>
      <c r="E315" s="24" t="n"/>
      <c r="F315" s="24" t="n"/>
      <c r="G315" s="12">
        <f>IF($A315="","",COUNTIFS(Stangenbelegung!$A$5:$A$10004,$A315))</f>
        <v/>
      </c>
      <c r="H315" s="35">
        <f>IF($A315="","",SUMIFS(Stangenbelegung!$F$5:$F$10004,Stangenbelegung!$A$5:$A$10004,$A315))</f>
        <v/>
      </c>
      <c r="I315" s="23" t="n"/>
      <c r="J315" s="35">
        <f>IF($A315="","",$E315+H315+$I315)</f>
        <v/>
      </c>
      <c r="K315" s="35">
        <f>IF($A315="","",$D315-J315)</f>
        <v/>
      </c>
      <c r="L315" s="32">
        <f>IF($A315="","",H315/$D315)</f>
        <v/>
      </c>
      <c r="M315" s="28">
        <f>IF($A315="","",IF(OR(J315+$F315&gt;$D315+0.001,_xlfn.MAXIFS(Stangenbelegung!$H$5:$H$10004,Stangenbelegung!$A$5:$A$10004,$A315)&gt;$D315-$F315+0.001),"ÜBERBELEGT","OK"))</f>
        <v/>
      </c>
      <c r="N315" s="24" t="n"/>
      <c r="O315" s="24" t="n"/>
      <c r="P315" s="9" t="n"/>
      <c r="Q315" s="18">
        <f>IF($A315="","",IFERROR($D315/1000*INDEX(Profile!$K$5:$K$304,MATCH($B315,lst_Profil,0))*INDEX(Werkstoffe!$E$5:$E$304,MATCH($C315,lst_Werkstoff,0))/1000,""))</f>
        <v/>
      </c>
      <c r="R315" s="18">
        <f>IF($A315="","",IF(N(_xlfn.MAXIFS(Auftrag!$AP$13:$AP$512,Auftrag!$D$13:$D$512,$B315,Auftrag!$E$13:$E$512,$C315,Auftrag!$Q$13:$Q$512,$D315))&gt;0,_xlfn.MAXIFS(Auftrag!$AP$13:$AP$512,Auftrag!$D$13:$D$512,$B315,Auftrag!$E$13:$E$512,$C315,Auftrag!$Q$13:$Q$512,$D315)*$D315/1000,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9" t="n"/>
      <c r="E316" s="24" t="n"/>
      <c r="F316" s="24" t="n"/>
      <c r="G316" s="12">
        <f>IF($A316="","",COUNTIFS(Stangenbelegung!$A$5:$A$10004,$A316))</f>
        <v/>
      </c>
      <c r="H316" s="35">
        <f>IF($A316="","",SUMIFS(Stangenbelegung!$F$5:$F$10004,Stangenbelegung!$A$5:$A$10004,$A316))</f>
        <v/>
      </c>
      <c r="I316" s="23" t="n"/>
      <c r="J316" s="35">
        <f>IF($A316="","",$E316+H316+$I316)</f>
        <v/>
      </c>
      <c r="K316" s="35">
        <f>IF($A316="","",$D316-J316)</f>
        <v/>
      </c>
      <c r="L316" s="32">
        <f>IF($A316="","",H316/$D316)</f>
        <v/>
      </c>
      <c r="M316" s="28">
        <f>IF($A316="","",IF(OR(J316+$F316&gt;$D316+0.001,_xlfn.MAXIFS(Stangenbelegung!$H$5:$H$10004,Stangenbelegung!$A$5:$A$10004,$A316)&gt;$D316-$F316+0.001),"ÜBERBELEGT","OK"))</f>
        <v/>
      </c>
      <c r="N316" s="24" t="n"/>
      <c r="O316" s="24" t="n"/>
      <c r="P316" s="9" t="n"/>
      <c r="Q316" s="18">
        <f>IF($A316="","",IFERROR($D316/1000*INDEX(Profile!$K$5:$K$304,MATCH($B316,lst_Profil,0))*INDEX(Werkstoffe!$E$5:$E$304,MATCH($C316,lst_Werkstoff,0))/1000,""))</f>
        <v/>
      </c>
      <c r="R316" s="18">
        <f>IF($A316="","",IF(N(_xlfn.MAXIFS(Auftrag!$AP$13:$AP$512,Auftrag!$D$13:$D$512,$B316,Auftrag!$E$13:$E$512,$C316,Auftrag!$Q$13:$Q$512,$D316))&gt;0,_xlfn.MAXIFS(Auftrag!$AP$13:$AP$512,Auftrag!$D$13:$D$512,$B316,Auftrag!$E$13:$E$512,$C316,Auftrag!$Q$13:$Q$512,$D316)*$D316/1000,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9" t="n"/>
      <c r="E317" s="24" t="n"/>
      <c r="F317" s="24" t="n"/>
      <c r="G317" s="12">
        <f>IF($A317="","",COUNTIFS(Stangenbelegung!$A$5:$A$10004,$A317))</f>
        <v/>
      </c>
      <c r="H317" s="35">
        <f>IF($A317="","",SUMIFS(Stangenbelegung!$F$5:$F$10004,Stangenbelegung!$A$5:$A$10004,$A317))</f>
        <v/>
      </c>
      <c r="I317" s="23" t="n"/>
      <c r="J317" s="35">
        <f>IF($A317="","",$E317+H317+$I317)</f>
        <v/>
      </c>
      <c r="K317" s="35">
        <f>IF($A317="","",$D317-J317)</f>
        <v/>
      </c>
      <c r="L317" s="32">
        <f>IF($A317="","",H317/$D317)</f>
        <v/>
      </c>
      <c r="M317" s="28">
        <f>IF($A317="","",IF(OR(J317+$F317&gt;$D317+0.001,_xlfn.MAXIFS(Stangenbelegung!$H$5:$H$10004,Stangenbelegung!$A$5:$A$10004,$A317)&gt;$D317-$F317+0.001),"ÜBERBELEGT","OK"))</f>
        <v/>
      </c>
      <c r="N317" s="24" t="n"/>
      <c r="O317" s="24" t="n"/>
      <c r="P317" s="9" t="n"/>
      <c r="Q317" s="18">
        <f>IF($A317="","",IFERROR($D317/1000*INDEX(Profile!$K$5:$K$304,MATCH($B317,lst_Profil,0))*INDEX(Werkstoffe!$E$5:$E$304,MATCH($C317,lst_Werkstoff,0))/1000,""))</f>
        <v/>
      </c>
      <c r="R317" s="18">
        <f>IF($A317="","",IF(N(_xlfn.MAXIFS(Auftrag!$AP$13:$AP$512,Auftrag!$D$13:$D$512,$B317,Auftrag!$E$13:$E$512,$C317,Auftrag!$Q$13:$Q$512,$D317))&gt;0,_xlfn.MAXIFS(Auftrag!$AP$13:$AP$512,Auftrag!$D$13:$D$512,$B317,Auftrag!$E$13:$E$512,$C317,Auftrag!$Q$13:$Q$512,$D317)*$D317/1000,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9" t="n"/>
      <c r="E318" s="24" t="n"/>
      <c r="F318" s="24" t="n"/>
      <c r="G318" s="12">
        <f>IF($A318="","",COUNTIFS(Stangenbelegung!$A$5:$A$10004,$A318))</f>
        <v/>
      </c>
      <c r="H318" s="35">
        <f>IF($A318="","",SUMIFS(Stangenbelegung!$F$5:$F$10004,Stangenbelegung!$A$5:$A$10004,$A318))</f>
        <v/>
      </c>
      <c r="I318" s="23" t="n"/>
      <c r="J318" s="35">
        <f>IF($A318="","",$E318+H318+$I318)</f>
        <v/>
      </c>
      <c r="K318" s="35">
        <f>IF($A318="","",$D318-J318)</f>
        <v/>
      </c>
      <c r="L318" s="32">
        <f>IF($A318="","",H318/$D318)</f>
        <v/>
      </c>
      <c r="M318" s="28">
        <f>IF($A318="","",IF(OR(J318+$F318&gt;$D318+0.001,_xlfn.MAXIFS(Stangenbelegung!$H$5:$H$10004,Stangenbelegung!$A$5:$A$10004,$A318)&gt;$D318-$F318+0.001),"ÜBERBELEGT","OK"))</f>
        <v/>
      </c>
      <c r="N318" s="24" t="n"/>
      <c r="O318" s="24" t="n"/>
      <c r="P318" s="9" t="n"/>
      <c r="Q318" s="18">
        <f>IF($A318="","",IFERROR($D318/1000*INDEX(Profile!$K$5:$K$304,MATCH($B318,lst_Profil,0))*INDEX(Werkstoffe!$E$5:$E$304,MATCH($C318,lst_Werkstoff,0))/1000,""))</f>
        <v/>
      </c>
      <c r="R318" s="18">
        <f>IF($A318="","",IF(N(_xlfn.MAXIFS(Auftrag!$AP$13:$AP$512,Auftrag!$D$13:$D$512,$B318,Auftrag!$E$13:$E$512,$C318,Auftrag!$Q$13:$Q$512,$D318))&gt;0,_xlfn.MAXIFS(Auftrag!$AP$13:$AP$512,Auftrag!$D$13:$D$512,$B318,Auftrag!$E$13:$E$512,$C318,Auftrag!$Q$13:$Q$512,$D318)*$D318/1000,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9" t="n"/>
      <c r="E319" s="24" t="n"/>
      <c r="F319" s="24" t="n"/>
      <c r="G319" s="12">
        <f>IF($A319="","",COUNTIFS(Stangenbelegung!$A$5:$A$10004,$A319))</f>
        <v/>
      </c>
      <c r="H319" s="35">
        <f>IF($A319="","",SUMIFS(Stangenbelegung!$F$5:$F$10004,Stangenbelegung!$A$5:$A$10004,$A319))</f>
        <v/>
      </c>
      <c r="I319" s="23" t="n"/>
      <c r="J319" s="35">
        <f>IF($A319="","",$E319+H319+$I319)</f>
        <v/>
      </c>
      <c r="K319" s="35">
        <f>IF($A319="","",$D319-J319)</f>
        <v/>
      </c>
      <c r="L319" s="32">
        <f>IF($A319="","",H319/$D319)</f>
        <v/>
      </c>
      <c r="M319" s="28">
        <f>IF($A319="","",IF(OR(J319+$F319&gt;$D319+0.001,_xlfn.MAXIFS(Stangenbelegung!$H$5:$H$10004,Stangenbelegung!$A$5:$A$10004,$A319)&gt;$D319-$F319+0.001),"ÜBERBELEGT","OK"))</f>
        <v/>
      </c>
      <c r="N319" s="24" t="n"/>
      <c r="O319" s="24" t="n"/>
      <c r="P319" s="9" t="n"/>
      <c r="Q319" s="18">
        <f>IF($A319="","",IFERROR($D319/1000*INDEX(Profile!$K$5:$K$304,MATCH($B319,lst_Profil,0))*INDEX(Werkstoffe!$E$5:$E$304,MATCH($C319,lst_Werkstoff,0))/1000,""))</f>
        <v/>
      </c>
      <c r="R319" s="18">
        <f>IF($A319="","",IF(N(_xlfn.MAXIFS(Auftrag!$AP$13:$AP$512,Auftrag!$D$13:$D$512,$B319,Auftrag!$E$13:$E$512,$C319,Auftrag!$Q$13:$Q$512,$D319))&gt;0,_xlfn.MAXIFS(Auftrag!$AP$13:$AP$512,Auftrag!$D$13:$D$512,$B319,Auftrag!$E$13:$E$512,$C319,Auftrag!$Q$13:$Q$512,$D319)*$D319/1000,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9" t="n"/>
      <c r="E320" s="24" t="n"/>
      <c r="F320" s="24" t="n"/>
      <c r="G320" s="12">
        <f>IF($A320="","",COUNTIFS(Stangenbelegung!$A$5:$A$10004,$A320))</f>
        <v/>
      </c>
      <c r="H320" s="35">
        <f>IF($A320="","",SUMIFS(Stangenbelegung!$F$5:$F$10004,Stangenbelegung!$A$5:$A$10004,$A320))</f>
        <v/>
      </c>
      <c r="I320" s="23" t="n"/>
      <c r="J320" s="35">
        <f>IF($A320="","",$E320+H320+$I320)</f>
        <v/>
      </c>
      <c r="K320" s="35">
        <f>IF($A320="","",$D320-J320)</f>
        <v/>
      </c>
      <c r="L320" s="32">
        <f>IF($A320="","",H320/$D320)</f>
        <v/>
      </c>
      <c r="M320" s="28">
        <f>IF($A320="","",IF(OR(J320+$F320&gt;$D320+0.001,_xlfn.MAXIFS(Stangenbelegung!$H$5:$H$10004,Stangenbelegung!$A$5:$A$10004,$A320)&gt;$D320-$F320+0.001),"ÜBERBELEGT","OK"))</f>
        <v/>
      </c>
      <c r="N320" s="24" t="n"/>
      <c r="O320" s="24" t="n"/>
      <c r="P320" s="9" t="n"/>
      <c r="Q320" s="18">
        <f>IF($A320="","",IFERROR($D320/1000*INDEX(Profile!$K$5:$K$304,MATCH($B320,lst_Profil,0))*INDEX(Werkstoffe!$E$5:$E$304,MATCH($C320,lst_Werkstoff,0))/1000,""))</f>
        <v/>
      </c>
      <c r="R320" s="18">
        <f>IF($A320="","",IF(N(_xlfn.MAXIFS(Auftrag!$AP$13:$AP$512,Auftrag!$D$13:$D$512,$B320,Auftrag!$E$13:$E$512,$C320,Auftrag!$Q$13:$Q$512,$D320))&gt;0,_xlfn.MAXIFS(Auftrag!$AP$13:$AP$512,Auftrag!$D$13:$D$512,$B320,Auftrag!$E$13:$E$512,$C320,Auftrag!$Q$13:$Q$512,$D320)*$D320/1000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9" t="n"/>
      <c r="E321" s="24" t="n"/>
      <c r="F321" s="24" t="n"/>
      <c r="G321" s="12">
        <f>IF($A321="","",COUNTIFS(Stangenbelegung!$A$5:$A$10004,$A321))</f>
        <v/>
      </c>
      <c r="H321" s="35">
        <f>IF($A321="","",SUMIFS(Stangenbelegung!$F$5:$F$10004,Stangenbelegung!$A$5:$A$10004,$A321))</f>
        <v/>
      </c>
      <c r="I321" s="23" t="n"/>
      <c r="J321" s="35">
        <f>IF($A321="","",$E321+H321+$I321)</f>
        <v/>
      </c>
      <c r="K321" s="35">
        <f>IF($A321="","",$D321-J321)</f>
        <v/>
      </c>
      <c r="L321" s="32">
        <f>IF($A321="","",H321/$D321)</f>
        <v/>
      </c>
      <c r="M321" s="28">
        <f>IF($A321="","",IF(OR(J321+$F321&gt;$D321+0.001,_xlfn.MAXIFS(Stangenbelegung!$H$5:$H$10004,Stangenbelegung!$A$5:$A$10004,$A321)&gt;$D321-$F321+0.001),"ÜBERBELEGT","OK"))</f>
        <v/>
      </c>
      <c r="N321" s="24" t="n"/>
      <c r="O321" s="24" t="n"/>
      <c r="P321" s="9" t="n"/>
      <c r="Q321" s="18">
        <f>IF($A321="","",IFERROR($D321/1000*INDEX(Profile!$K$5:$K$304,MATCH($B321,lst_Profil,0))*INDEX(Werkstoffe!$E$5:$E$304,MATCH($C321,lst_Werkstoff,0))/1000,""))</f>
        <v/>
      </c>
      <c r="R321" s="18">
        <f>IF($A321="","",IF(N(_xlfn.MAXIFS(Auftrag!$AP$13:$AP$512,Auftrag!$D$13:$D$512,$B321,Auftrag!$E$13:$E$512,$C321,Auftrag!$Q$13:$Q$512,$D321))&gt;0,_xlfn.MAXIFS(Auftrag!$AP$13:$AP$512,Auftrag!$D$13:$D$512,$B321,Auftrag!$E$13:$E$512,$C321,Auftrag!$Q$13:$Q$512,$D321)*$D321/1000,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9" t="n"/>
      <c r="E322" s="24" t="n"/>
      <c r="F322" s="24" t="n"/>
      <c r="G322" s="12">
        <f>IF($A322="","",COUNTIFS(Stangenbelegung!$A$5:$A$10004,$A322))</f>
        <v/>
      </c>
      <c r="H322" s="35">
        <f>IF($A322="","",SUMIFS(Stangenbelegung!$F$5:$F$10004,Stangenbelegung!$A$5:$A$10004,$A322))</f>
        <v/>
      </c>
      <c r="I322" s="23" t="n"/>
      <c r="J322" s="35">
        <f>IF($A322="","",$E322+H322+$I322)</f>
        <v/>
      </c>
      <c r="K322" s="35">
        <f>IF($A322="","",$D322-J322)</f>
        <v/>
      </c>
      <c r="L322" s="32">
        <f>IF($A322="","",H322/$D322)</f>
        <v/>
      </c>
      <c r="M322" s="28">
        <f>IF($A322="","",IF(OR(J322+$F322&gt;$D322+0.001,_xlfn.MAXIFS(Stangenbelegung!$H$5:$H$10004,Stangenbelegung!$A$5:$A$10004,$A322)&gt;$D322-$F322+0.001),"ÜBERBELEGT","OK"))</f>
        <v/>
      </c>
      <c r="N322" s="24" t="n"/>
      <c r="O322" s="24" t="n"/>
      <c r="P322" s="9" t="n"/>
      <c r="Q322" s="18">
        <f>IF($A322="","",IFERROR($D322/1000*INDEX(Profile!$K$5:$K$304,MATCH($B322,lst_Profil,0))*INDEX(Werkstoffe!$E$5:$E$304,MATCH($C322,lst_Werkstoff,0))/1000,""))</f>
        <v/>
      </c>
      <c r="R322" s="18">
        <f>IF($A322="","",IF(N(_xlfn.MAXIFS(Auftrag!$AP$13:$AP$512,Auftrag!$D$13:$D$512,$B322,Auftrag!$E$13:$E$512,$C322,Auftrag!$Q$13:$Q$512,$D322))&gt;0,_xlfn.MAXIFS(Auftrag!$AP$13:$AP$512,Auftrag!$D$13:$D$512,$B322,Auftrag!$E$13:$E$512,$C322,Auftrag!$Q$13:$Q$512,$D322)*$D322/1000,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9" t="n"/>
      <c r="E323" s="24" t="n"/>
      <c r="F323" s="24" t="n"/>
      <c r="G323" s="12">
        <f>IF($A323="","",COUNTIFS(Stangenbelegung!$A$5:$A$10004,$A323))</f>
        <v/>
      </c>
      <c r="H323" s="35">
        <f>IF($A323="","",SUMIFS(Stangenbelegung!$F$5:$F$10004,Stangenbelegung!$A$5:$A$10004,$A323))</f>
        <v/>
      </c>
      <c r="I323" s="23" t="n"/>
      <c r="J323" s="35">
        <f>IF($A323="","",$E323+H323+$I323)</f>
        <v/>
      </c>
      <c r="K323" s="35">
        <f>IF($A323="","",$D323-J323)</f>
        <v/>
      </c>
      <c r="L323" s="32">
        <f>IF($A323="","",H323/$D323)</f>
        <v/>
      </c>
      <c r="M323" s="28">
        <f>IF($A323="","",IF(OR(J323+$F323&gt;$D323+0.001,_xlfn.MAXIFS(Stangenbelegung!$H$5:$H$10004,Stangenbelegung!$A$5:$A$10004,$A323)&gt;$D323-$F323+0.001),"ÜBERBELEGT","OK"))</f>
        <v/>
      </c>
      <c r="N323" s="24" t="n"/>
      <c r="O323" s="24" t="n"/>
      <c r="P323" s="9" t="n"/>
      <c r="Q323" s="18">
        <f>IF($A323="","",IFERROR($D323/1000*INDEX(Profile!$K$5:$K$304,MATCH($B323,lst_Profil,0))*INDEX(Werkstoffe!$E$5:$E$304,MATCH($C323,lst_Werkstoff,0))/1000,""))</f>
        <v/>
      </c>
      <c r="R323" s="18">
        <f>IF($A323="","",IF(N(_xlfn.MAXIFS(Auftrag!$AP$13:$AP$512,Auftrag!$D$13:$D$512,$B323,Auftrag!$E$13:$E$512,$C323,Auftrag!$Q$13:$Q$512,$D323))&gt;0,_xlfn.MAXIFS(Auftrag!$AP$13:$AP$512,Auftrag!$D$13:$D$512,$B323,Auftrag!$E$13:$E$512,$C323,Auftrag!$Q$13:$Q$512,$D323)*$D323/1000,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9" t="n"/>
      <c r="E324" s="24" t="n"/>
      <c r="F324" s="24" t="n"/>
      <c r="G324" s="12">
        <f>IF($A324="","",COUNTIFS(Stangenbelegung!$A$5:$A$10004,$A324))</f>
        <v/>
      </c>
      <c r="H324" s="35">
        <f>IF($A324="","",SUMIFS(Stangenbelegung!$F$5:$F$10004,Stangenbelegung!$A$5:$A$10004,$A324))</f>
        <v/>
      </c>
      <c r="I324" s="23" t="n"/>
      <c r="J324" s="35">
        <f>IF($A324="","",$E324+H324+$I324)</f>
        <v/>
      </c>
      <c r="K324" s="35">
        <f>IF($A324="","",$D324-J324)</f>
        <v/>
      </c>
      <c r="L324" s="32">
        <f>IF($A324="","",H324/$D324)</f>
        <v/>
      </c>
      <c r="M324" s="28">
        <f>IF($A324="","",IF(OR(J324+$F324&gt;$D324+0.001,_xlfn.MAXIFS(Stangenbelegung!$H$5:$H$10004,Stangenbelegung!$A$5:$A$10004,$A324)&gt;$D324-$F324+0.001),"ÜBERBELEGT","OK"))</f>
        <v/>
      </c>
      <c r="N324" s="24" t="n"/>
      <c r="O324" s="24" t="n"/>
      <c r="P324" s="9" t="n"/>
      <c r="Q324" s="18">
        <f>IF($A324="","",IFERROR($D324/1000*INDEX(Profile!$K$5:$K$304,MATCH($B324,lst_Profil,0))*INDEX(Werkstoffe!$E$5:$E$304,MATCH($C324,lst_Werkstoff,0))/1000,""))</f>
        <v/>
      </c>
      <c r="R324" s="18">
        <f>IF($A324="","",IF(N(_xlfn.MAXIFS(Auftrag!$AP$13:$AP$512,Auftrag!$D$13:$D$512,$B324,Auftrag!$E$13:$E$512,$C324,Auftrag!$Q$13:$Q$512,$D324))&gt;0,_xlfn.MAXIFS(Auftrag!$AP$13:$AP$512,Auftrag!$D$13:$D$512,$B324,Auftrag!$E$13:$E$512,$C324,Auftrag!$Q$13:$Q$512,$D324)*$D324/1000,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9" t="n"/>
      <c r="E325" s="24" t="n"/>
      <c r="F325" s="24" t="n"/>
      <c r="G325" s="12">
        <f>IF($A325="","",COUNTIFS(Stangenbelegung!$A$5:$A$10004,$A325))</f>
        <v/>
      </c>
      <c r="H325" s="35">
        <f>IF($A325="","",SUMIFS(Stangenbelegung!$F$5:$F$10004,Stangenbelegung!$A$5:$A$10004,$A325))</f>
        <v/>
      </c>
      <c r="I325" s="23" t="n"/>
      <c r="J325" s="35">
        <f>IF($A325="","",$E325+H325+$I325)</f>
        <v/>
      </c>
      <c r="K325" s="35">
        <f>IF($A325="","",$D325-J325)</f>
        <v/>
      </c>
      <c r="L325" s="32">
        <f>IF($A325="","",H325/$D325)</f>
        <v/>
      </c>
      <c r="M325" s="28">
        <f>IF($A325="","",IF(OR(J325+$F325&gt;$D325+0.001,_xlfn.MAXIFS(Stangenbelegung!$H$5:$H$10004,Stangenbelegung!$A$5:$A$10004,$A325)&gt;$D325-$F325+0.001),"ÜBERBELEGT","OK"))</f>
        <v/>
      </c>
      <c r="N325" s="24" t="n"/>
      <c r="O325" s="24" t="n"/>
      <c r="P325" s="9" t="n"/>
      <c r="Q325" s="18">
        <f>IF($A325="","",IFERROR($D325/1000*INDEX(Profile!$K$5:$K$304,MATCH($B325,lst_Profil,0))*INDEX(Werkstoffe!$E$5:$E$304,MATCH($C325,lst_Werkstoff,0))/1000,""))</f>
        <v/>
      </c>
      <c r="R325" s="18">
        <f>IF($A325="","",IF(N(_xlfn.MAXIFS(Auftrag!$AP$13:$AP$512,Auftrag!$D$13:$D$512,$B325,Auftrag!$E$13:$E$512,$C325,Auftrag!$Q$13:$Q$512,$D325))&gt;0,_xlfn.MAXIFS(Auftrag!$AP$13:$AP$512,Auftrag!$D$13:$D$512,$B325,Auftrag!$E$13:$E$512,$C325,Auftrag!$Q$13:$Q$512,$D325)*$D325/1000,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9" t="n"/>
      <c r="E326" s="24" t="n"/>
      <c r="F326" s="24" t="n"/>
      <c r="G326" s="12">
        <f>IF($A326="","",COUNTIFS(Stangenbelegung!$A$5:$A$10004,$A326))</f>
        <v/>
      </c>
      <c r="H326" s="35">
        <f>IF($A326="","",SUMIFS(Stangenbelegung!$F$5:$F$10004,Stangenbelegung!$A$5:$A$10004,$A326))</f>
        <v/>
      </c>
      <c r="I326" s="23" t="n"/>
      <c r="J326" s="35">
        <f>IF($A326="","",$E326+H326+$I326)</f>
        <v/>
      </c>
      <c r="K326" s="35">
        <f>IF($A326="","",$D326-J326)</f>
        <v/>
      </c>
      <c r="L326" s="32">
        <f>IF($A326="","",H326/$D326)</f>
        <v/>
      </c>
      <c r="M326" s="28">
        <f>IF($A326="","",IF(OR(J326+$F326&gt;$D326+0.001,_xlfn.MAXIFS(Stangenbelegung!$H$5:$H$10004,Stangenbelegung!$A$5:$A$10004,$A326)&gt;$D326-$F326+0.001),"ÜBERBELEGT","OK"))</f>
        <v/>
      </c>
      <c r="N326" s="24" t="n"/>
      <c r="O326" s="24" t="n"/>
      <c r="P326" s="9" t="n"/>
      <c r="Q326" s="18">
        <f>IF($A326="","",IFERROR($D326/1000*INDEX(Profile!$K$5:$K$304,MATCH($B326,lst_Profil,0))*INDEX(Werkstoffe!$E$5:$E$304,MATCH($C326,lst_Werkstoff,0))/1000,""))</f>
        <v/>
      </c>
      <c r="R326" s="18">
        <f>IF($A326="","",IF(N(_xlfn.MAXIFS(Auftrag!$AP$13:$AP$512,Auftrag!$D$13:$D$512,$B326,Auftrag!$E$13:$E$512,$C326,Auftrag!$Q$13:$Q$512,$D326))&gt;0,_xlfn.MAXIFS(Auftrag!$AP$13:$AP$512,Auftrag!$D$13:$D$512,$B326,Auftrag!$E$13:$E$512,$C326,Auftrag!$Q$13:$Q$512,$D326)*$D326/1000,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9" t="n"/>
      <c r="E327" s="24" t="n"/>
      <c r="F327" s="24" t="n"/>
      <c r="G327" s="12">
        <f>IF($A327="","",COUNTIFS(Stangenbelegung!$A$5:$A$10004,$A327))</f>
        <v/>
      </c>
      <c r="H327" s="35">
        <f>IF($A327="","",SUMIFS(Stangenbelegung!$F$5:$F$10004,Stangenbelegung!$A$5:$A$10004,$A327))</f>
        <v/>
      </c>
      <c r="I327" s="23" t="n"/>
      <c r="J327" s="35">
        <f>IF($A327="","",$E327+H327+$I327)</f>
        <v/>
      </c>
      <c r="K327" s="35">
        <f>IF($A327="","",$D327-J327)</f>
        <v/>
      </c>
      <c r="L327" s="32">
        <f>IF($A327="","",H327/$D327)</f>
        <v/>
      </c>
      <c r="M327" s="28">
        <f>IF($A327="","",IF(OR(J327+$F327&gt;$D327+0.001,_xlfn.MAXIFS(Stangenbelegung!$H$5:$H$10004,Stangenbelegung!$A$5:$A$10004,$A327)&gt;$D327-$F327+0.001),"ÜBERBELEGT","OK"))</f>
        <v/>
      </c>
      <c r="N327" s="24" t="n"/>
      <c r="O327" s="24" t="n"/>
      <c r="P327" s="9" t="n"/>
      <c r="Q327" s="18">
        <f>IF($A327="","",IFERROR($D327/1000*INDEX(Profile!$K$5:$K$304,MATCH($B327,lst_Profil,0))*INDEX(Werkstoffe!$E$5:$E$304,MATCH($C327,lst_Werkstoff,0))/1000,""))</f>
        <v/>
      </c>
      <c r="R327" s="18">
        <f>IF($A327="","",IF(N(_xlfn.MAXIFS(Auftrag!$AP$13:$AP$512,Auftrag!$D$13:$D$512,$B327,Auftrag!$E$13:$E$512,$C327,Auftrag!$Q$13:$Q$512,$D327))&gt;0,_xlfn.MAXIFS(Auftrag!$AP$13:$AP$512,Auftrag!$D$13:$D$512,$B327,Auftrag!$E$13:$E$512,$C327,Auftrag!$Q$13:$Q$512,$D327)*$D327/1000,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9" t="n"/>
      <c r="E328" s="24" t="n"/>
      <c r="F328" s="24" t="n"/>
      <c r="G328" s="12">
        <f>IF($A328="","",COUNTIFS(Stangenbelegung!$A$5:$A$10004,$A328))</f>
        <v/>
      </c>
      <c r="H328" s="35">
        <f>IF($A328="","",SUMIFS(Stangenbelegung!$F$5:$F$10004,Stangenbelegung!$A$5:$A$10004,$A328))</f>
        <v/>
      </c>
      <c r="I328" s="23" t="n"/>
      <c r="J328" s="35">
        <f>IF($A328="","",$E328+H328+$I328)</f>
        <v/>
      </c>
      <c r="K328" s="35">
        <f>IF($A328="","",$D328-J328)</f>
        <v/>
      </c>
      <c r="L328" s="32">
        <f>IF($A328="","",H328/$D328)</f>
        <v/>
      </c>
      <c r="M328" s="28">
        <f>IF($A328="","",IF(OR(J328+$F328&gt;$D328+0.001,_xlfn.MAXIFS(Stangenbelegung!$H$5:$H$10004,Stangenbelegung!$A$5:$A$10004,$A328)&gt;$D328-$F328+0.001),"ÜBERBELEGT","OK"))</f>
        <v/>
      </c>
      <c r="N328" s="24" t="n"/>
      <c r="O328" s="24" t="n"/>
      <c r="P328" s="9" t="n"/>
      <c r="Q328" s="18">
        <f>IF($A328="","",IFERROR($D328/1000*INDEX(Profile!$K$5:$K$304,MATCH($B328,lst_Profil,0))*INDEX(Werkstoffe!$E$5:$E$304,MATCH($C328,lst_Werkstoff,0))/1000,""))</f>
        <v/>
      </c>
      <c r="R328" s="18">
        <f>IF($A328="","",IF(N(_xlfn.MAXIFS(Auftrag!$AP$13:$AP$512,Auftrag!$D$13:$D$512,$B328,Auftrag!$E$13:$E$512,$C328,Auftrag!$Q$13:$Q$512,$D328))&gt;0,_xlfn.MAXIFS(Auftrag!$AP$13:$AP$512,Auftrag!$D$13:$D$512,$B328,Auftrag!$E$13:$E$512,$C328,Auftrag!$Q$13:$Q$512,$D328)*$D328/1000,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9" t="n"/>
      <c r="E329" s="24" t="n"/>
      <c r="F329" s="24" t="n"/>
      <c r="G329" s="12">
        <f>IF($A329="","",COUNTIFS(Stangenbelegung!$A$5:$A$10004,$A329))</f>
        <v/>
      </c>
      <c r="H329" s="35">
        <f>IF($A329="","",SUMIFS(Stangenbelegung!$F$5:$F$10004,Stangenbelegung!$A$5:$A$10004,$A329))</f>
        <v/>
      </c>
      <c r="I329" s="23" t="n"/>
      <c r="J329" s="35">
        <f>IF($A329="","",$E329+H329+$I329)</f>
        <v/>
      </c>
      <c r="K329" s="35">
        <f>IF($A329="","",$D329-J329)</f>
        <v/>
      </c>
      <c r="L329" s="32">
        <f>IF($A329="","",H329/$D329)</f>
        <v/>
      </c>
      <c r="M329" s="28">
        <f>IF($A329="","",IF(OR(J329+$F329&gt;$D329+0.001,_xlfn.MAXIFS(Stangenbelegung!$H$5:$H$10004,Stangenbelegung!$A$5:$A$10004,$A329)&gt;$D329-$F329+0.001),"ÜBERBELEGT","OK"))</f>
        <v/>
      </c>
      <c r="N329" s="24" t="n"/>
      <c r="O329" s="24" t="n"/>
      <c r="P329" s="9" t="n"/>
      <c r="Q329" s="18">
        <f>IF($A329="","",IFERROR($D329/1000*INDEX(Profile!$K$5:$K$304,MATCH($B329,lst_Profil,0))*INDEX(Werkstoffe!$E$5:$E$304,MATCH($C329,lst_Werkstoff,0))/1000,""))</f>
        <v/>
      </c>
      <c r="R329" s="18">
        <f>IF($A329="","",IF(N(_xlfn.MAXIFS(Auftrag!$AP$13:$AP$512,Auftrag!$D$13:$D$512,$B329,Auftrag!$E$13:$E$512,$C329,Auftrag!$Q$13:$Q$512,$D329))&gt;0,_xlfn.MAXIFS(Auftrag!$AP$13:$AP$512,Auftrag!$D$13:$D$512,$B329,Auftrag!$E$13:$E$512,$C329,Auftrag!$Q$13:$Q$512,$D329)*$D329/1000,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9" t="n"/>
      <c r="E330" s="24" t="n"/>
      <c r="F330" s="24" t="n"/>
      <c r="G330" s="12">
        <f>IF($A330="","",COUNTIFS(Stangenbelegung!$A$5:$A$10004,$A330))</f>
        <v/>
      </c>
      <c r="H330" s="35">
        <f>IF($A330="","",SUMIFS(Stangenbelegung!$F$5:$F$10004,Stangenbelegung!$A$5:$A$10004,$A330))</f>
        <v/>
      </c>
      <c r="I330" s="23" t="n"/>
      <c r="J330" s="35">
        <f>IF($A330="","",$E330+H330+$I330)</f>
        <v/>
      </c>
      <c r="K330" s="35">
        <f>IF($A330="","",$D330-J330)</f>
        <v/>
      </c>
      <c r="L330" s="32">
        <f>IF($A330="","",H330/$D330)</f>
        <v/>
      </c>
      <c r="M330" s="28">
        <f>IF($A330="","",IF(OR(J330+$F330&gt;$D330+0.001,_xlfn.MAXIFS(Stangenbelegung!$H$5:$H$10004,Stangenbelegung!$A$5:$A$10004,$A330)&gt;$D330-$F330+0.001),"ÜBERBELEGT","OK"))</f>
        <v/>
      </c>
      <c r="N330" s="24" t="n"/>
      <c r="O330" s="24" t="n"/>
      <c r="P330" s="9" t="n"/>
      <c r="Q330" s="18">
        <f>IF($A330="","",IFERROR($D330/1000*INDEX(Profile!$K$5:$K$304,MATCH($B330,lst_Profil,0))*INDEX(Werkstoffe!$E$5:$E$304,MATCH($C330,lst_Werkstoff,0))/1000,""))</f>
        <v/>
      </c>
      <c r="R330" s="18">
        <f>IF($A330="","",IF(N(_xlfn.MAXIFS(Auftrag!$AP$13:$AP$512,Auftrag!$D$13:$D$512,$B330,Auftrag!$E$13:$E$512,$C330,Auftrag!$Q$13:$Q$512,$D330))&gt;0,_xlfn.MAXIFS(Auftrag!$AP$13:$AP$512,Auftrag!$D$13:$D$512,$B330,Auftrag!$E$13:$E$512,$C330,Auftrag!$Q$13:$Q$512,$D330)*$D330/1000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9" t="n"/>
      <c r="E331" s="24" t="n"/>
      <c r="F331" s="24" t="n"/>
      <c r="G331" s="12">
        <f>IF($A331="","",COUNTIFS(Stangenbelegung!$A$5:$A$10004,$A331))</f>
        <v/>
      </c>
      <c r="H331" s="35">
        <f>IF($A331="","",SUMIFS(Stangenbelegung!$F$5:$F$10004,Stangenbelegung!$A$5:$A$10004,$A331))</f>
        <v/>
      </c>
      <c r="I331" s="23" t="n"/>
      <c r="J331" s="35">
        <f>IF($A331="","",$E331+H331+$I331)</f>
        <v/>
      </c>
      <c r="K331" s="35">
        <f>IF($A331="","",$D331-J331)</f>
        <v/>
      </c>
      <c r="L331" s="32">
        <f>IF($A331="","",H331/$D331)</f>
        <v/>
      </c>
      <c r="M331" s="28">
        <f>IF($A331="","",IF(OR(J331+$F331&gt;$D331+0.001,_xlfn.MAXIFS(Stangenbelegung!$H$5:$H$10004,Stangenbelegung!$A$5:$A$10004,$A331)&gt;$D331-$F331+0.001),"ÜBERBELEGT","OK"))</f>
        <v/>
      </c>
      <c r="N331" s="24" t="n"/>
      <c r="O331" s="24" t="n"/>
      <c r="P331" s="9" t="n"/>
      <c r="Q331" s="18">
        <f>IF($A331="","",IFERROR($D331/1000*INDEX(Profile!$K$5:$K$304,MATCH($B331,lst_Profil,0))*INDEX(Werkstoffe!$E$5:$E$304,MATCH($C331,lst_Werkstoff,0))/1000,""))</f>
        <v/>
      </c>
      <c r="R331" s="18">
        <f>IF($A331="","",IF(N(_xlfn.MAXIFS(Auftrag!$AP$13:$AP$512,Auftrag!$D$13:$D$512,$B331,Auftrag!$E$13:$E$512,$C331,Auftrag!$Q$13:$Q$512,$D331))&gt;0,_xlfn.MAXIFS(Auftrag!$AP$13:$AP$512,Auftrag!$D$13:$D$512,$B331,Auftrag!$E$13:$E$512,$C331,Auftrag!$Q$13:$Q$512,$D331)*$D331/1000,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9" t="n"/>
      <c r="E332" s="24" t="n"/>
      <c r="F332" s="24" t="n"/>
      <c r="G332" s="12">
        <f>IF($A332="","",COUNTIFS(Stangenbelegung!$A$5:$A$10004,$A332))</f>
        <v/>
      </c>
      <c r="H332" s="35">
        <f>IF($A332="","",SUMIFS(Stangenbelegung!$F$5:$F$10004,Stangenbelegung!$A$5:$A$10004,$A332))</f>
        <v/>
      </c>
      <c r="I332" s="23" t="n"/>
      <c r="J332" s="35">
        <f>IF($A332="","",$E332+H332+$I332)</f>
        <v/>
      </c>
      <c r="K332" s="35">
        <f>IF($A332="","",$D332-J332)</f>
        <v/>
      </c>
      <c r="L332" s="32">
        <f>IF($A332="","",H332/$D332)</f>
        <v/>
      </c>
      <c r="M332" s="28">
        <f>IF($A332="","",IF(OR(J332+$F332&gt;$D332+0.001,_xlfn.MAXIFS(Stangenbelegung!$H$5:$H$10004,Stangenbelegung!$A$5:$A$10004,$A332)&gt;$D332-$F332+0.001),"ÜBERBELEGT","OK"))</f>
        <v/>
      </c>
      <c r="N332" s="24" t="n"/>
      <c r="O332" s="24" t="n"/>
      <c r="P332" s="9" t="n"/>
      <c r="Q332" s="18">
        <f>IF($A332="","",IFERROR($D332/1000*INDEX(Profile!$K$5:$K$304,MATCH($B332,lst_Profil,0))*INDEX(Werkstoffe!$E$5:$E$304,MATCH($C332,lst_Werkstoff,0))/1000,""))</f>
        <v/>
      </c>
      <c r="R332" s="18">
        <f>IF($A332="","",IF(N(_xlfn.MAXIFS(Auftrag!$AP$13:$AP$512,Auftrag!$D$13:$D$512,$B332,Auftrag!$E$13:$E$512,$C332,Auftrag!$Q$13:$Q$512,$D332))&gt;0,_xlfn.MAXIFS(Auftrag!$AP$13:$AP$512,Auftrag!$D$13:$D$512,$B332,Auftrag!$E$13:$E$512,$C332,Auftrag!$Q$13:$Q$512,$D332)*$D332/1000,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9" t="n"/>
      <c r="E333" s="24" t="n"/>
      <c r="F333" s="24" t="n"/>
      <c r="G333" s="12">
        <f>IF($A333="","",COUNTIFS(Stangenbelegung!$A$5:$A$10004,$A333))</f>
        <v/>
      </c>
      <c r="H333" s="35">
        <f>IF($A333="","",SUMIFS(Stangenbelegung!$F$5:$F$10004,Stangenbelegung!$A$5:$A$10004,$A333))</f>
        <v/>
      </c>
      <c r="I333" s="23" t="n"/>
      <c r="J333" s="35">
        <f>IF($A333="","",$E333+H333+$I333)</f>
        <v/>
      </c>
      <c r="K333" s="35">
        <f>IF($A333="","",$D333-J333)</f>
        <v/>
      </c>
      <c r="L333" s="32">
        <f>IF($A333="","",H333/$D333)</f>
        <v/>
      </c>
      <c r="M333" s="28">
        <f>IF($A333="","",IF(OR(J333+$F333&gt;$D333+0.001,_xlfn.MAXIFS(Stangenbelegung!$H$5:$H$10004,Stangenbelegung!$A$5:$A$10004,$A333)&gt;$D333-$F333+0.001),"ÜBERBELEGT","OK"))</f>
        <v/>
      </c>
      <c r="N333" s="24" t="n"/>
      <c r="O333" s="24" t="n"/>
      <c r="P333" s="9" t="n"/>
      <c r="Q333" s="18">
        <f>IF($A333="","",IFERROR($D333/1000*INDEX(Profile!$K$5:$K$304,MATCH($B333,lst_Profil,0))*INDEX(Werkstoffe!$E$5:$E$304,MATCH($C333,lst_Werkstoff,0))/1000,""))</f>
        <v/>
      </c>
      <c r="R333" s="18">
        <f>IF($A333="","",IF(N(_xlfn.MAXIFS(Auftrag!$AP$13:$AP$512,Auftrag!$D$13:$D$512,$B333,Auftrag!$E$13:$E$512,$C333,Auftrag!$Q$13:$Q$512,$D333))&gt;0,_xlfn.MAXIFS(Auftrag!$AP$13:$AP$512,Auftrag!$D$13:$D$512,$B333,Auftrag!$E$13:$E$512,$C333,Auftrag!$Q$13:$Q$512,$D333)*$D333/1000,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9" t="n"/>
      <c r="E334" s="24" t="n"/>
      <c r="F334" s="24" t="n"/>
      <c r="G334" s="12">
        <f>IF($A334="","",COUNTIFS(Stangenbelegung!$A$5:$A$10004,$A334))</f>
        <v/>
      </c>
      <c r="H334" s="35">
        <f>IF($A334="","",SUMIFS(Stangenbelegung!$F$5:$F$10004,Stangenbelegung!$A$5:$A$10004,$A334))</f>
        <v/>
      </c>
      <c r="I334" s="23" t="n"/>
      <c r="J334" s="35">
        <f>IF($A334="","",$E334+H334+$I334)</f>
        <v/>
      </c>
      <c r="K334" s="35">
        <f>IF($A334="","",$D334-J334)</f>
        <v/>
      </c>
      <c r="L334" s="32">
        <f>IF($A334="","",H334/$D334)</f>
        <v/>
      </c>
      <c r="M334" s="28">
        <f>IF($A334="","",IF(OR(J334+$F334&gt;$D334+0.001,_xlfn.MAXIFS(Stangenbelegung!$H$5:$H$10004,Stangenbelegung!$A$5:$A$10004,$A334)&gt;$D334-$F334+0.001),"ÜBERBELEGT","OK"))</f>
        <v/>
      </c>
      <c r="N334" s="24" t="n"/>
      <c r="O334" s="24" t="n"/>
      <c r="P334" s="9" t="n"/>
      <c r="Q334" s="18">
        <f>IF($A334="","",IFERROR($D334/1000*INDEX(Profile!$K$5:$K$304,MATCH($B334,lst_Profil,0))*INDEX(Werkstoffe!$E$5:$E$304,MATCH($C334,lst_Werkstoff,0))/1000,""))</f>
        <v/>
      </c>
      <c r="R334" s="18">
        <f>IF($A334="","",IF(N(_xlfn.MAXIFS(Auftrag!$AP$13:$AP$512,Auftrag!$D$13:$D$512,$B334,Auftrag!$E$13:$E$512,$C334,Auftrag!$Q$13:$Q$512,$D334))&gt;0,_xlfn.MAXIFS(Auftrag!$AP$13:$AP$512,Auftrag!$D$13:$D$512,$B334,Auftrag!$E$13:$E$512,$C334,Auftrag!$Q$13:$Q$512,$D334)*$D334/1000,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9" t="n"/>
      <c r="E335" s="24" t="n"/>
      <c r="F335" s="24" t="n"/>
      <c r="G335" s="12">
        <f>IF($A335="","",COUNTIFS(Stangenbelegung!$A$5:$A$10004,$A335))</f>
        <v/>
      </c>
      <c r="H335" s="35">
        <f>IF($A335="","",SUMIFS(Stangenbelegung!$F$5:$F$10004,Stangenbelegung!$A$5:$A$10004,$A335))</f>
        <v/>
      </c>
      <c r="I335" s="23" t="n"/>
      <c r="J335" s="35">
        <f>IF($A335="","",$E335+H335+$I335)</f>
        <v/>
      </c>
      <c r="K335" s="35">
        <f>IF($A335="","",$D335-J335)</f>
        <v/>
      </c>
      <c r="L335" s="32">
        <f>IF($A335="","",H335/$D335)</f>
        <v/>
      </c>
      <c r="M335" s="28">
        <f>IF($A335="","",IF(OR(J335+$F335&gt;$D335+0.001,_xlfn.MAXIFS(Stangenbelegung!$H$5:$H$10004,Stangenbelegung!$A$5:$A$10004,$A335)&gt;$D335-$F335+0.001),"ÜBERBELEGT","OK"))</f>
        <v/>
      </c>
      <c r="N335" s="24" t="n"/>
      <c r="O335" s="24" t="n"/>
      <c r="P335" s="9" t="n"/>
      <c r="Q335" s="18">
        <f>IF($A335="","",IFERROR($D335/1000*INDEX(Profile!$K$5:$K$304,MATCH($B335,lst_Profil,0))*INDEX(Werkstoffe!$E$5:$E$304,MATCH($C335,lst_Werkstoff,0))/1000,""))</f>
        <v/>
      </c>
      <c r="R335" s="18">
        <f>IF($A335="","",IF(N(_xlfn.MAXIFS(Auftrag!$AP$13:$AP$512,Auftrag!$D$13:$D$512,$B335,Auftrag!$E$13:$E$512,$C335,Auftrag!$Q$13:$Q$512,$D335))&gt;0,_xlfn.MAXIFS(Auftrag!$AP$13:$AP$512,Auftrag!$D$13:$D$512,$B335,Auftrag!$E$13:$E$512,$C335,Auftrag!$Q$13:$Q$512,$D335)*$D335/1000,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9" t="n"/>
      <c r="E336" s="24" t="n"/>
      <c r="F336" s="24" t="n"/>
      <c r="G336" s="12">
        <f>IF($A336="","",COUNTIFS(Stangenbelegung!$A$5:$A$10004,$A336))</f>
        <v/>
      </c>
      <c r="H336" s="35">
        <f>IF($A336="","",SUMIFS(Stangenbelegung!$F$5:$F$10004,Stangenbelegung!$A$5:$A$10004,$A336))</f>
        <v/>
      </c>
      <c r="I336" s="23" t="n"/>
      <c r="J336" s="35">
        <f>IF($A336="","",$E336+H336+$I336)</f>
        <v/>
      </c>
      <c r="K336" s="35">
        <f>IF($A336="","",$D336-J336)</f>
        <v/>
      </c>
      <c r="L336" s="32">
        <f>IF($A336="","",H336/$D336)</f>
        <v/>
      </c>
      <c r="M336" s="28">
        <f>IF($A336="","",IF(OR(J336+$F336&gt;$D336+0.001,_xlfn.MAXIFS(Stangenbelegung!$H$5:$H$10004,Stangenbelegung!$A$5:$A$10004,$A336)&gt;$D336-$F336+0.001),"ÜBERBELEGT","OK"))</f>
        <v/>
      </c>
      <c r="N336" s="24" t="n"/>
      <c r="O336" s="24" t="n"/>
      <c r="P336" s="9" t="n"/>
      <c r="Q336" s="18">
        <f>IF($A336="","",IFERROR($D336/1000*INDEX(Profile!$K$5:$K$304,MATCH($B336,lst_Profil,0))*INDEX(Werkstoffe!$E$5:$E$304,MATCH($C336,lst_Werkstoff,0))/1000,""))</f>
        <v/>
      </c>
      <c r="R336" s="18">
        <f>IF($A336="","",IF(N(_xlfn.MAXIFS(Auftrag!$AP$13:$AP$512,Auftrag!$D$13:$D$512,$B336,Auftrag!$E$13:$E$512,$C336,Auftrag!$Q$13:$Q$512,$D336))&gt;0,_xlfn.MAXIFS(Auftrag!$AP$13:$AP$512,Auftrag!$D$13:$D$512,$B336,Auftrag!$E$13:$E$512,$C336,Auftrag!$Q$13:$Q$512,$D336)*$D336/1000,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9" t="n"/>
      <c r="E337" s="24" t="n"/>
      <c r="F337" s="24" t="n"/>
      <c r="G337" s="12">
        <f>IF($A337="","",COUNTIFS(Stangenbelegung!$A$5:$A$10004,$A337))</f>
        <v/>
      </c>
      <c r="H337" s="35">
        <f>IF($A337="","",SUMIFS(Stangenbelegung!$F$5:$F$10004,Stangenbelegung!$A$5:$A$10004,$A337))</f>
        <v/>
      </c>
      <c r="I337" s="23" t="n"/>
      <c r="J337" s="35">
        <f>IF($A337="","",$E337+H337+$I337)</f>
        <v/>
      </c>
      <c r="K337" s="35">
        <f>IF($A337="","",$D337-J337)</f>
        <v/>
      </c>
      <c r="L337" s="32">
        <f>IF($A337="","",H337/$D337)</f>
        <v/>
      </c>
      <c r="M337" s="28">
        <f>IF($A337="","",IF(OR(J337+$F337&gt;$D337+0.001,_xlfn.MAXIFS(Stangenbelegung!$H$5:$H$10004,Stangenbelegung!$A$5:$A$10004,$A337)&gt;$D337-$F337+0.001),"ÜBERBELEGT","OK"))</f>
        <v/>
      </c>
      <c r="N337" s="24" t="n"/>
      <c r="O337" s="24" t="n"/>
      <c r="P337" s="9" t="n"/>
      <c r="Q337" s="18">
        <f>IF($A337="","",IFERROR($D337/1000*INDEX(Profile!$K$5:$K$304,MATCH($B337,lst_Profil,0))*INDEX(Werkstoffe!$E$5:$E$304,MATCH($C337,lst_Werkstoff,0))/1000,""))</f>
        <v/>
      </c>
      <c r="R337" s="18">
        <f>IF($A337="","",IF(N(_xlfn.MAXIFS(Auftrag!$AP$13:$AP$512,Auftrag!$D$13:$D$512,$B337,Auftrag!$E$13:$E$512,$C337,Auftrag!$Q$13:$Q$512,$D337))&gt;0,_xlfn.MAXIFS(Auftrag!$AP$13:$AP$512,Auftrag!$D$13:$D$512,$B337,Auftrag!$E$13:$E$512,$C337,Auftrag!$Q$13:$Q$512,$D337)*$D337/1000,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9" t="n"/>
      <c r="E338" s="24" t="n"/>
      <c r="F338" s="24" t="n"/>
      <c r="G338" s="12">
        <f>IF($A338="","",COUNTIFS(Stangenbelegung!$A$5:$A$10004,$A338))</f>
        <v/>
      </c>
      <c r="H338" s="35">
        <f>IF($A338="","",SUMIFS(Stangenbelegung!$F$5:$F$10004,Stangenbelegung!$A$5:$A$10004,$A338))</f>
        <v/>
      </c>
      <c r="I338" s="23" t="n"/>
      <c r="J338" s="35">
        <f>IF($A338="","",$E338+H338+$I338)</f>
        <v/>
      </c>
      <c r="K338" s="35">
        <f>IF($A338="","",$D338-J338)</f>
        <v/>
      </c>
      <c r="L338" s="32">
        <f>IF($A338="","",H338/$D338)</f>
        <v/>
      </c>
      <c r="M338" s="28">
        <f>IF($A338="","",IF(OR(J338+$F338&gt;$D338+0.001,_xlfn.MAXIFS(Stangenbelegung!$H$5:$H$10004,Stangenbelegung!$A$5:$A$10004,$A338)&gt;$D338-$F338+0.001),"ÜBERBELEGT","OK"))</f>
        <v/>
      </c>
      <c r="N338" s="24" t="n"/>
      <c r="O338" s="24" t="n"/>
      <c r="P338" s="9" t="n"/>
      <c r="Q338" s="18">
        <f>IF($A338="","",IFERROR($D338/1000*INDEX(Profile!$K$5:$K$304,MATCH($B338,lst_Profil,0))*INDEX(Werkstoffe!$E$5:$E$304,MATCH($C338,lst_Werkstoff,0))/1000,""))</f>
        <v/>
      </c>
      <c r="R338" s="18">
        <f>IF($A338="","",IF(N(_xlfn.MAXIFS(Auftrag!$AP$13:$AP$512,Auftrag!$D$13:$D$512,$B338,Auftrag!$E$13:$E$512,$C338,Auftrag!$Q$13:$Q$512,$D338))&gt;0,_xlfn.MAXIFS(Auftrag!$AP$13:$AP$512,Auftrag!$D$13:$D$512,$B338,Auftrag!$E$13:$E$512,$C338,Auftrag!$Q$13:$Q$512,$D338)*$D338/1000,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9" t="n"/>
      <c r="E339" s="24" t="n"/>
      <c r="F339" s="24" t="n"/>
      <c r="G339" s="12">
        <f>IF($A339="","",COUNTIFS(Stangenbelegung!$A$5:$A$10004,$A339))</f>
        <v/>
      </c>
      <c r="H339" s="35">
        <f>IF($A339="","",SUMIFS(Stangenbelegung!$F$5:$F$10004,Stangenbelegung!$A$5:$A$10004,$A339))</f>
        <v/>
      </c>
      <c r="I339" s="23" t="n"/>
      <c r="J339" s="35">
        <f>IF($A339="","",$E339+H339+$I339)</f>
        <v/>
      </c>
      <c r="K339" s="35">
        <f>IF($A339="","",$D339-J339)</f>
        <v/>
      </c>
      <c r="L339" s="32">
        <f>IF($A339="","",H339/$D339)</f>
        <v/>
      </c>
      <c r="M339" s="28">
        <f>IF($A339="","",IF(OR(J339+$F339&gt;$D339+0.001,_xlfn.MAXIFS(Stangenbelegung!$H$5:$H$10004,Stangenbelegung!$A$5:$A$10004,$A339)&gt;$D339-$F339+0.001),"ÜBERBELEGT","OK"))</f>
        <v/>
      </c>
      <c r="N339" s="24" t="n"/>
      <c r="O339" s="24" t="n"/>
      <c r="P339" s="9" t="n"/>
      <c r="Q339" s="18">
        <f>IF($A339="","",IFERROR($D339/1000*INDEX(Profile!$K$5:$K$304,MATCH($B339,lst_Profil,0))*INDEX(Werkstoffe!$E$5:$E$304,MATCH($C339,lst_Werkstoff,0))/1000,""))</f>
        <v/>
      </c>
      <c r="R339" s="18">
        <f>IF($A339="","",IF(N(_xlfn.MAXIFS(Auftrag!$AP$13:$AP$512,Auftrag!$D$13:$D$512,$B339,Auftrag!$E$13:$E$512,$C339,Auftrag!$Q$13:$Q$512,$D339))&gt;0,_xlfn.MAXIFS(Auftrag!$AP$13:$AP$512,Auftrag!$D$13:$D$512,$B339,Auftrag!$E$13:$E$512,$C339,Auftrag!$Q$13:$Q$512,$D339)*$D339/1000,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9" t="n"/>
      <c r="E340" s="24" t="n"/>
      <c r="F340" s="24" t="n"/>
      <c r="G340" s="12">
        <f>IF($A340="","",COUNTIFS(Stangenbelegung!$A$5:$A$10004,$A340))</f>
        <v/>
      </c>
      <c r="H340" s="35">
        <f>IF($A340="","",SUMIFS(Stangenbelegung!$F$5:$F$10004,Stangenbelegung!$A$5:$A$10004,$A340))</f>
        <v/>
      </c>
      <c r="I340" s="23" t="n"/>
      <c r="J340" s="35">
        <f>IF($A340="","",$E340+H340+$I340)</f>
        <v/>
      </c>
      <c r="K340" s="35">
        <f>IF($A340="","",$D340-J340)</f>
        <v/>
      </c>
      <c r="L340" s="32">
        <f>IF($A340="","",H340/$D340)</f>
        <v/>
      </c>
      <c r="M340" s="28">
        <f>IF($A340="","",IF(OR(J340+$F340&gt;$D340+0.001,_xlfn.MAXIFS(Stangenbelegung!$H$5:$H$10004,Stangenbelegung!$A$5:$A$10004,$A340)&gt;$D340-$F340+0.001),"ÜBERBELEGT","OK"))</f>
        <v/>
      </c>
      <c r="N340" s="24" t="n"/>
      <c r="O340" s="24" t="n"/>
      <c r="P340" s="9" t="n"/>
      <c r="Q340" s="18">
        <f>IF($A340="","",IFERROR($D340/1000*INDEX(Profile!$K$5:$K$304,MATCH($B340,lst_Profil,0))*INDEX(Werkstoffe!$E$5:$E$304,MATCH($C340,lst_Werkstoff,0))/1000,""))</f>
        <v/>
      </c>
      <c r="R340" s="18">
        <f>IF($A340="","",IF(N(_xlfn.MAXIFS(Auftrag!$AP$13:$AP$512,Auftrag!$D$13:$D$512,$B340,Auftrag!$E$13:$E$512,$C340,Auftrag!$Q$13:$Q$512,$D340))&gt;0,_xlfn.MAXIFS(Auftrag!$AP$13:$AP$512,Auftrag!$D$13:$D$512,$B340,Auftrag!$E$13:$E$512,$C340,Auftrag!$Q$13:$Q$512,$D340)*$D340/1000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9" t="n"/>
      <c r="E341" s="24" t="n"/>
      <c r="F341" s="24" t="n"/>
      <c r="G341" s="12">
        <f>IF($A341="","",COUNTIFS(Stangenbelegung!$A$5:$A$10004,$A341))</f>
        <v/>
      </c>
      <c r="H341" s="35">
        <f>IF($A341="","",SUMIFS(Stangenbelegung!$F$5:$F$10004,Stangenbelegung!$A$5:$A$10004,$A341))</f>
        <v/>
      </c>
      <c r="I341" s="23" t="n"/>
      <c r="J341" s="35">
        <f>IF($A341="","",$E341+H341+$I341)</f>
        <v/>
      </c>
      <c r="K341" s="35">
        <f>IF($A341="","",$D341-J341)</f>
        <v/>
      </c>
      <c r="L341" s="32">
        <f>IF($A341="","",H341/$D341)</f>
        <v/>
      </c>
      <c r="M341" s="28">
        <f>IF($A341="","",IF(OR(J341+$F341&gt;$D341+0.001,_xlfn.MAXIFS(Stangenbelegung!$H$5:$H$10004,Stangenbelegung!$A$5:$A$10004,$A341)&gt;$D341-$F341+0.001),"ÜBERBELEGT","OK"))</f>
        <v/>
      </c>
      <c r="N341" s="24" t="n"/>
      <c r="O341" s="24" t="n"/>
      <c r="P341" s="9" t="n"/>
      <c r="Q341" s="18">
        <f>IF($A341="","",IFERROR($D341/1000*INDEX(Profile!$K$5:$K$304,MATCH($B341,lst_Profil,0))*INDEX(Werkstoffe!$E$5:$E$304,MATCH($C341,lst_Werkstoff,0))/1000,""))</f>
        <v/>
      </c>
      <c r="R341" s="18">
        <f>IF($A341="","",IF(N(_xlfn.MAXIFS(Auftrag!$AP$13:$AP$512,Auftrag!$D$13:$D$512,$B341,Auftrag!$E$13:$E$512,$C341,Auftrag!$Q$13:$Q$512,$D341))&gt;0,_xlfn.MAXIFS(Auftrag!$AP$13:$AP$512,Auftrag!$D$13:$D$512,$B341,Auftrag!$E$13:$E$512,$C341,Auftrag!$Q$13:$Q$512,$D341)*$D341/1000,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9" t="n"/>
      <c r="E342" s="24" t="n"/>
      <c r="F342" s="24" t="n"/>
      <c r="G342" s="12">
        <f>IF($A342="","",COUNTIFS(Stangenbelegung!$A$5:$A$10004,$A342))</f>
        <v/>
      </c>
      <c r="H342" s="35">
        <f>IF($A342="","",SUMIFS(Stangenbelegung!$F$5:$F$10004,Stangenbelegung!$A$5:$A$10004,$A342))</f>
        <v/>
      </c>
      <c r="I342" s="23" t="n"/>
      <c r="J342" s="35">
        <f>IF($A342="","",$E342+H342+$I342)</f>
        <v/>
      </c>
      <c r="K342" s="35">
        <f>IF($A342="","",$D342-J342)</f>
        <v/>
      </c>
      <c r="L342" s="32">
        <f>IF($A342="","",H342/$D342)</f>
        <v/>
      </c>
      <c r="M342" s="28">
        <f>IF($A342="","",IF(OR(J342+$F342&gt;$D342+0.001,_xlfn.MAXIFS(Stangenbelegung!$H$5:$H$10004,Stangenbelegung!$A$5:$A$10004,$A342)&gt;$D342-$F342+0.001),"ÜBERBELEGT","OK"))</f>
        <v/>
      </c>
      <c r="N342" s="24" t="n"/>
      <c r="O342" s="24" t="n"/>
      <c r="P342" s="9" t="n"/>
      <c r="Q342" s="18">
        <f>IF($A342="","",IFERROR($D342/1000*INDEX(Profile!$K$5:$K$304,MATCH($B342,lst_Profil,0))*INDEX(Werkstoffe!$E$5:$E$304,MATCH($C342,lst_Werkstoff,0))/1000,""))</f>
        <v/>
      </c>
      <c r="R342" s="18">
        <f>IF($A342="","",IF(N(_xlfn.MAXIFS(Auftrag!$AP$13:$AP$512,Auftrag!$D$13:$D$512,$B342,Auftrag!$E$13:$E$512,$C342,Auftrag!$Q$13:$Q$512,$D342))&gt;0,_xlfn.MAXIFS(Auftrag!$AP$13:$AP$512,Auftrag!$D$13:$D$512,$B342,Auftrag!$E$13:$E$512,$C342,Auftrag!$Q$13:$Q$512,$D342)*$D342/1000,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9" t="n"/>
      <c r="E343" s="24" t="n"/>
      <c r="F343" s="24" t="n"/>
      <c r="G343" s="12">
        <f>IF($A343="","",COUNTIFS(Stangenbelegung!$A$5:$A$10004,$A343))</f>
        <v/>
      </c>
      <c r="H343" s="35">
        <f>IF($A343="","",SUMIFS(Stangenbelegung!$F$5:$F$10004,Stangenbelegung!$A$5:$A$10004,$A343))</f>
        <v/>
      </c>
      <c r="I343" s="23" t="n"/>
      <c r="J343" s="35">
        <f>IF($A343="","",$E343+H343+$I343)</f>
        <v/>
      </c>
      <c r="K343" s="35">
        <f>IF($A343="","",$D343-J343)</f>
        <v/>
      </c>
      <c r="L343" s="32">
        <f>IF($A343="","",H343/$D343)</f>
        <v/>
      </c>
      <c r="M343" s="28">
        <f>IF($A343="","",IF(OR(J343+$F343&gt;$D343+0.001,_xlfn.MAXIFS(Stangenbelegung!$H$5:$H$10004,Stangenbelegung!$A$5:$A$10004,$A343)&gt;$D343-$F343+0.001),"ÜBERBELEGT","OK"))</f>
        <v/>
      </c>
      <c r="N343" s="24" t="n"/>
      <c r="O343" s="24" t="n"/>
      <c r="P343" s="9" t="n"/>
      <c r="Q343" s="18">
        <f>IF($A343="","",IFERROR($D343/1000*INDEX(Profile!$K$5:$K$304,MATCH($B343,lst_Profil,0))*INDEX(Werkstoffe!$E$5:$E$304,MATCH($C343,lst_Werkstoff,0))/1000,""))</f>
        <v/>
      </c>
      <c r="R343" s="18">
        <f>IF($A343="","",IF(N(_xlfn.MAXIFS(Auftrag!$AP$13:$AP$512,Auftrag!$D$13:$D$512,$B343,Auftrag!$E$13:$E$512,$C343,Auftrag!$Q$13:$Q$512,$D343))&gt;0,_xlfn.MAXIFS(Auftrag!$AP$13:$AP$512,Auftrag!$D$13:$D$512,$B343,Auftrag!$E$13:$E$512,$C343,Auftrag!$Q$13:$Q$512,$D343)*$D343/1000,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9" t="n"/>
      <c r="E344" s="24" t="n"/>
      <c r="F344" s="24" t="n"/>
      <c r="G344" s="12">
        <f>IF($A344="","",COUNTIFS(Stangenbelegung!$A$5:$A$10004,$A344))</f>
        <v/>
      </c>
      <c r="H344" s="35">
        <f>IF($A344="","",SUMIFS(Stangenbelegung!$F$5:$F$10004,Stangenbelegung!$A$5:$A$10004,$A344))</f>
        <v/>
      </c>
      <c r="I344" s="23" t="n"/>
      <c r="J344" s="35">
        <f>IF($A344="","",$E344+H344+$I344)</f>
        <v/>
      </c>
      <c r="K344" s="35">
        <f>IF($A344="","",$D344-J344)</f>
        <v/>
      </c>
      <c r="L344" s="32">
        <f>IF($A344="","",H344/$D344)</f>
        <v/>
      </c>
      <c r="M344" s="28">
        <f>IF($A344="","",IF(OR(J344+$F344&gt;$D344+0.001,_xlfn.MAXIFS(Stangenbelegung!$H$5:$H$10004,Stangenbelegung!$A$5:$A$10004,$A344)&gt;$D344-$F344+0.001),"ÜBERBELEGT","OK"))</f>
        <v/>
      </c>
      <c r="N344" s="24" t="n"/>
      <c r="O344" s="24" t="n"/>
      <c r="P344" s="9" t="n"/>
      <c r="Q344" s="18">
        <f>IF($A344="","",IFERROR($D344/1000*INDEX(Profile!$K$5:$K$304,MATCH($B344,lst_Profil,0))*INDEX(Werkstoffe!$E$5:$E$304,MATCH($C344,lst_Werkstoff,0))/1000,""))</f>
        <v/>
      </c>
      <c r="R344" s="18">
        <f>IF($A344="","",IF(N(_xlfn.MAXIFS(Auftrag!$AP$13:$AP$512,Auftrag!$D$13:$D$512,$B344,Auftrag!$E$13:$E$512,$C344,Auftrag!$Q$13:$Q$512,$D344))&gt;0,_xlfn.MAXIFS(Auftrag!$AP$13:$AP$512,Auftrag!$D$13:$D$512,$B344,Auftrag!$E$13:$E$512,$C344,Auftrag!$Q$13:$Q$512,$D344)*$D344/1000,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9" t="n"/>
      <c r="E345" s="24" t="n"/>
      <c r="F345" s="24" t="n"/>
      <c r="G345" s="12">
        <f>IF($A345="","",COUNTIFS(Stangenbelegung!$A$5:$A$10004,$A345))</f>
        <v/>
      </c>
      <c r="H345" s="35">
        <f>IF($A345="","",SUMIFS(Stangenbelegung!$F$5:$F$10004,Stangenbelegung!$A$5:$A$10004,$A345))</f>
        <v/>
      </c>
      <c r="I345" s="23" t="n"/>
      <c r="J345" s="35">
        <f>IF($A345="","",$E345+H345+$I345)</f>
        <v/>
      </c>
      <c r="K345" s="35">
        <f>IF($A345="","",$D345-J345)</f>
        <v/>
      </c>
      <c r="L345" s="32">
        <f>IF($A345="","",H345/$D345)</f>
        <v/>
      </c>
      <c r="M345" s="28">
        <f>IF($A345="","",IF(OR(J345+$F345&gt;$D345+0.001,_xlfn.MAXIFS(Stangenbelegung!$H$5:$H$10004,Stangenbelegung!$A$5:$A$10004,$A345)&gt;$D345-$F345+0.001),"ÜBERBELEGT","OK"))</f>
        <v/>
      </c>
      <c r="N345" s="24" t="n"/>
      <c r="O345" s="24" t="n"/>
      <c r="P345" s="9" t="n"/>
      <c r="Q345" s="18">
        <f>IF($A345="","",IFERROR($D345/1000*INDEX(Profile!$K$5:$K$304,MATCH($B345,lst_Profil,0))*INDEX(Werkstoffe!$E$5:$E$304,MATCH($C345,lst_Werkstoff,0))/1000,""))</f>
        <v/>
      </c>
      <c r="R345" s="18">
        <f>IF($A345="","",IF(N(_xlfn.MAXIFS(Auftrag!$AP$13:$AP$512,Auftrag!$D$13:$D$512,$B345,Auftrag!$E$13:$E$512,$C345,Auftrag!$Q$13:$Q$512,$D345))&gt;0,_xlfn.MAXIFS(Auftrag!$AP$13:$AP$512,Auftrag!$D$13:$D$512,$B345,Auftrag!$E$13:$E$512,$C345,Auftrag!$Q$13:$Q$512,$D345)*$D345/1000,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9" t="n"/>
      <c r="E346" s="24" t="n"/>
      <c r="F346" s="24" t="n"/>
      <c r="G346" s="12">
        <f>IF($A346="","",COUNTIFS(Stangenbelegung!$A$5:$A$10004,$A346))</f>
        <v/>
      </c>
      <c r="H346" s="35">
        <f>IF($A346="","",SUMIFS(Stangenbelegung!$F$5:$F$10004,Stangenbelegung!$A$5:$A$10004,$A346))</f>
        <v/>
      </c>
      <c r="I346" s="23" t="n"/>
      <c r="J346" s="35">
        <f>IF($A346="","",$E346+H346+$I346)</f>
        <v/>
      </c>
      <c r="K346" s="35">
        <f>IF($A346="","",$D346-J346)</f>
        <v/>
      </c>
      <c r="L346" s="32">
        <f>IF($A346="","",H346/$D346)</f>
        <v/>
      </c>
      <c r="M346" s="28">
        <f>IF($A346="","",IF(OR(J346+$F346&gt;$D346+0.001,_xlfn.MAXIFS(Stangenbelegung!$H$5:$H$10004,Stangenbelegung!$A$5:$A$10004,$A346)&gt;$D346-$F346+0.001),"ÜBERBELEGT","OK"))</f>
        <v/>
      </c>
      <c r="N346" s="24" t="n"/>
      <c r="O346" s="24" t="n"/>
      <c r="P346" s="9" t="n"/>
      <c r="Q346" s="18">
        <f>IF($A346="","",IFERROR($D346/1000*INDEX(Profile!$K$5:$K$304,MATCH($B346,lst_Profil,0))*INDEX(Werkstoffe!$E$5:$E$304,MATCH($C346,lst_Werkstoff,0))/1000,""))</f>
        <v/>
      </c>
      <c r="R346" s="18">
        <f>IF($A346="","",IF(N(_xlfn.MAXIFS(Auftrag!$AP$13:$AP$512,Auftrag!$D$13:$D$512,$B346,Auftrag!$E$13:$E$512,$C346,Auftrag!$Q$13:$Q$512,$D346))&gt;0,_xlfn.MAXIFS(Auftrag!$AP$13:$AP$512,Auftrag!$D$13:$D$512,$B346,Auftrag!$E$13:$E$512,$C346,Auftrag!$Q$13:$Q$512,$D346)*$D346/1000,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9" t="n"/>
      <c r="E347" s="24" t="n"/>
      <c r="F347" s="24" t="n"/>
      <c r="G347" s="12">
        <f>IF($A347="","",COUNTIFS(Stangenbelegung!$A$5:$A$10004,$A347))</f>
        <v/>
      </c>
      <c r="H347" s="35">
        <f>IF($A347="","",SUMIFS(Stangenbelegung!$F$5:$F$10004,Stangenbelegung!$A$5:$A$10004,$A347))</f>
        <v/>
      </c>
      <c r="I347" s="23" t="n"/>
      <c r="J347" s="35">
        <f>IF($A347="","",$E347+H347+$I347)</f>
        <v/>
      </c>
      <c r="K347" s="35">
        <f>IF($A347="","",$D347-J347)</f>
        <v/>
      </c>
      <c r="L347" s="32">
        <f>IF($A347="","",H347/$D347)</f>
        <v/>
      </c>
      <c r="M347" s="28">
        <f>IF($A347="","",IF(OR(J347+$F347&gt;$D347+0.001,_xlfn.MAXIFS(Stangenbelegung!$H$5:$H$10004,Stangenbelegung!$A$5:$A$10004,$A347)&gt;$D347-$F347+0.001),"ÜBERBELEGT","OK"))</f>
        <v/>
      </c>
      <c r="N347" s="24" t="n"/>
      <c r="O347" s="24" t="n"/>
      <c r="P347" s="9" t="n"/>
      <c r="Q347" s="18">
        <f>IF($A347="","",IFERROR($D347/1000*INDEX(Profile!$K$5:$K$304,MATCH($B347,lst_Profil,0))*INDEX(Werkstoffe!$E$5:$E$304,MATCH($C347,lst_Werkstoff,0))/1000,""))</f>
        <v/>
      </c>
      <c r="R347" s="18">
        <f>IF($A347="","",IF(N(_xlfn.MAXIFS(Auftrag!$AP$13:$AP$512,Auftrag!$D$13:$D$512,$B347,Auftrag!$E$13:$E$512,$C347,Auftrag!$Q$13:$Q$512,$D347))&gt;0,_xlfn.MAXIFS(Auftrag!$AP$13:$AP$512,Auftrag!$D$13:$D$512,$B347,Auftrag!$E$13:$E$512,$C347,Auftrag!$Q$13:$Q$512,$D347)*$D347/1000,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9" t="n"/>
      <c r="E348" s="24" t="n"/>
      <c r="F348" s="24" t="n"/>
      <c r="G348" s="12">
        <f>IF($A348="","",COUNTIFS(Stangenbelegung!$A$5:$A$10004,$A348))</f>
        <v/>
      </c>
      <c r="H348" s="35">
        <f>IF($A348="","",SUMIFS(Stangenbelegung!$F$5:$F$10004,Stangenbelegung!$A$5:$A$10004,$A348))</f>
        <v/>
      </c>
      <c r="I348" s="23" t="n"/>
      <c r="J348" s="35">
        <f>IF($A348="","",$E348+H348+$I348)</f>
        <v/>
      </c>
      <c r="K348" s="35">
        <f>IF($A348="","",$D348-J348)</f>
        <v/>
      </c>
      <c r="L348" s="32">
        <f>IF($A348="","",H348/$D348)</f>
        <v/>
      </c>
      <c r="M348" s="28">
        <f>IF($A348="","",IF(OR(J348+$F348&gt;$D348+0.001,_xlfn.MAXIFS(Stangenbelegung!$H$5:$H$10004,Stangenbelegung!$A$5:$A$10004,$A348)&gt;$D348-$F348+0.001),"ÜBERBELEGT","OK"))</f>
        <v/>
      </c>
      <c r="N348" s="24" t="n"/>
      <c r="O348" s="24" t="n"/>
      <c r="P348" s="9" t="n"/>
      <c r="Q348" s="18">
        <f>IF($A348="","",IFERROR($D348/1000*INDEX(Profile!$K$5:$K$304,MATCH($B348,lst_Profil,0))*INDEX(Werkstoffe!$E$5:$E$304,MATCH($C348,lst_Werkstoff,0))/1000,""))</f>
        <v/>
      </c>
      <c r="R348" s="18">
        <f>IF($A348="","",IF(N(_xlfn.MAXIFS(Auftrag!$AP$13:$AP$512,Auftrag!$D$13:$D$512,$B348,Auftrag!$E$13:$E$512,$C348,Auftrag!$Q$13:$Q$512,$D348))&gt;0,_xlfn.MAXIFS(Auftrag!$AP$13:$AP$512,Auftrag!$D$13:$D$512,$B348,Auftrag!$E$13:$E$512,$C348,Auftrag!$Q$13:$Q$512,$D348)*$D348/1000,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9" t="n"/>
      <c r="E349" s="24" t="n"/>
      <c r="F349" s="24" t="n"/>
      <c r="G349" s="12">
        <f>IF($A349="","",COUNTIFS(Stangenbelegung!$A$5:$A$10004,$A349))</f>
        <v/>
      </c>
      <c r="H349" s="35">
        <f>IF($A349="","",SUMIFS(Stangenbelegung!$F$5:$F$10004,Stangenbelegung!$A$5:$A$10004,$A349))</f>
        <v/>
      </c>
      <c r="I349" s="23" t="n"/>
      <c r="J349" s="35">
        <f>IF($A349="","",$E349+H349+$I349)</f>
        <v/>
      </c>
      <c r="K349" s="35">
        <f>IF($A349="","",$D349-J349)</f>
        <v/>
      </c>
      <c r="L349" s="32">
        <f>IF($A349="","",H349/$D349)</f>
        <v/>
      </c>
      <c r="M349" s="28">
        <f>IF($A349="","",IF(OR(J349+$F349&gt;$D349+0.001,_xlfn.MAXIFS(Stangenbelegung!$H$5:$H$10004,Stangenbelegung!$A$5:$A$10004,$A349)&gt;$D349-$F349+0.001),"ÜBERBELEGT","OK"))</f>
        <v/>
      </c>
      <c r="N349" s="24" t="n"/>
      <c r="O349" s="24" t="n"/>
      <c r="P349" s="9" t="n"/>
      <c r="Q349" s="18">
        <f>IF($A349="","",IFERROR($D349/1000*INDEX(Profile!$K$5:$K$304,MATCH($B349,lst_Profil,0))*INDEX(Werkstoffe!$E$5:$E$304,MATCH($C349,lst_Werkstoff,0))/1000,""))</f>
        <v/>
      </c>
      <c r="R349" s="18">
        <f>IF($A349="","",IF(N(_xlfn.MAXIFS(Auftrag!$AP$13:$AP$512,Auftrag!$D$13:$D$512,$B349,Auftrag!$E$13:$E$512,$C349,Auftrag!$Q$13:$Q$512,$D349))&gt;0,_xlfn.MAXIFS(Auftrag!$AP$13:$AP$512,Auftrag!$D$13:$D$512,$B349,Auftrag!$E$13:$E$512,$C349,Auftrag!$Q$13:$Q$512,$D349)*$D349/1000,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9" t="n"/>
      <c r="E350" s="24" t="n"/>
      <c r="F350" s="24" t="n"/>
      <c r="G350" s="12">
        <f>IF($A350="","",COUNTIFS(Stangenbelegung!$A$5:$A$10004,$A350))</f>
        <v/>
      </c>
      <c r="H350" s="35">
        <f>IF($A350="","",SUMIFS(Stangenbelegung!$F$5:$F$10004,Stangenbelegung!$A$5:$A$10004,$A350))</f>
        <v/>
      </c>
      <c r="I350" s="23" t="n"/>
      <c r="J350" s="35">
        <f>IF($A350="","",$E350+H350+$I350)</f>
        <v/>
      </c>
      <c r="K350" s="35">
        <f>IF($A350="","",$D350-J350)</f>
        <v/>
      </c>
      <c r="L350" s="32">
        <f>IF($A350="","",H350/$D350)</f>
        <v/>
      </c>
      <c r="M350" s="28">
        <f>IF($A350="","",IF(OR(J350+$F350&gt;$D350+0.001,_xlfn.MAXIFS(Stangenbelegung!$H$5:$H$10004,Stangenbelegung!$A$5:$A$10004,$A350)&gt;$D350-$F350+0.001),"ÜBERBELEGT","OK"))</f>
        <v/>
      </c>
      <c r="N350" s="24" t="n"/>
      <c r="O350" s="24" t="n"/>
      <c r="P350" s="9" t="n"/>
      <c r="Q350" s="18">
        <f>IF($A350="","",IFERROR($D350/1000*INDEX(Profile!$K$5:$K$304,MATCH($B350,lst_Profil,0))*INDEX(Werkstoffe!$E$5:$E$304,MATCH($C350,lst_Werkstoff,0))/1000,""))</f>
        <v/>
      </c>
      <c r="R350" s="18">
        <f>IF($A350="","",IF(N(_xlfn.MAXIFS(Auftrag!$AP$13:$AP$512,Auftrag!$D$13:$D$512,$B350,Auftrag!$E$13:$E$512,$C350,Auftrag!$Q$13:$Q$512,$D350))&gt;0,_xlfn.MAXIFS(Auftrag!$AP$13:$AP$512,Auftrag!$D$13:$D$512,$B350,Auftrag!$E$13:$E$512,$C350,Auftrag!$Q$13:$Q$512,$D350)*$D350/1000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9" t="n"/>
      <c r="E351" s="24" t="n"/>
      <c r="F351" s="24" t="n"/>
      <c r="G351" s="12">
        <f>IF($A351="","",COUNTIFS(Stangenbelegung!$A$5:$A$10004,$A351))</f>
        <v/>
      </c>
      <c r="H351" s="35">
        <f>IF($A351="","",SUMIFS(Stangenbelegung!$F$5:$F$10004,Stangenbelegung!$A$5:$A$10004,$A351))</f>
        <v/>
      </c>
      <c r="I351" s="23" t="n"/>
      <c r="J351" s="35">
        <f>IF($A351="","",$E351+H351+$I351)</f>
        <v/>
      </c>
      <c r="K351" s="35">
        <f>IF($A351="","",$D351-J351)</f>
        <v/>
      </c>
      <c r="L351" s="32">
        <f>IF($A351="","",H351/$D351)</f>
        <v/>
      </c>
      <c r="M351" s="28">
        <f>IF($A351="","",IF(OR(J351+$F351&gt;$D351+0.001,_xlfn.MAXIFS(Stangenbelegung!$H$5:$H$10004,Stangenbelegung!$A$5:$A$10004,$A351)&gt;$D351-$F351+0.001),"ÜBERBELEGT","OK"))</f>
        <v/>
      </c>
      <c r="N351" s="24" t="n"/>
      <c r="O351" s="24" t="n"/>
      <c r="P351" s="9" t="n"/>
      <c r="Q351" s="18">
        <f>IF($A351="","",IFERROR($D351/1000*INDEX(Profile!$K$5:$K$304,MATCH($B351,lst_Profil,0))*INDEX(Werkstoffe!$E$5:$E$304,MATCH($C351,lst_Werkstoff,0))/1000,""))</f>
        <v/>
      </c>
      <c r="R351" s="18">
        <f>IF($A351="","",IF(N(_xlfn.MAXIFS(Auftrag!$AP$13:$AP$512,Auftrag!$D$13:$D$512,$B351,Auftrag!$E$13:$E$512,$C351,Auftrag!$Q$13:$Q$512,$D351))&gt;0,_xlfn.MAXIFS(Auftrag!$AP$13:$AP$512,Auftrag!$D$13:$D$512,$B351,Auftrag!$E$13:$E$512,$C351,Auftrag!$Q$13:$Q$512,$D351)*$D351/1000,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9" t="n"/>
      <c r="E352" s="24" t="n"/>
      <c r="F352" s="24" t="n"/>
      <c r="G352" s="12">
        <f>IF($A352="","",COUNTIFS(Stangenbelegung!$A$5:$A$10004,$A352))</f>
        <v/>
      </c>
      <c r="H352" s="35">
        <f>IF($A352="","",SUMIFS(Stangenbelegung!$F$5:$F$10004,Stangenbelegung!$A$5:$A$10004,$A352))</f>
        <v/>
      </c>
      <c r="I352" s="23" t="n"/>
      <c r="J352" s="35">
        <f>IF($A352="","",$E352+H352+$I352)</f>
        <v/>
      </c>
      <c r="K352" s="35">
        <f>IF($A352="","",$D352-J352)</f>
        <v/>
      </c>
      <c r="L352" s="32">
        <f>IF($A352="","",H352/$D352)</f>
        <v/>
      </c>
      <c r="M352" s="28">
        <f>IF($A352="","",IF(OR(J352+$F352&gt;$D352+0.001,_xlfn.MAXIFS(Stangenbelegung!$H$5:$H$10004,Stangenbelegung!$A$5:$A$10004,$A352)&gt;$D352-$F352+0.001),"ÜBERBELEGT","OK"))</f>
        <v/>
      </c>
      <c r="N352" s="24" t="n"/>
      <c r="O352" s="24" t="n"/>
      <c r="P352" s="9" t="n"/>
      <c r="Q352" s="18">
        <f>IF($A352="","",IFERROR($D352/1000*INDEX(Profile!$K$5:$K$304,MATCH($B352,lst_Profil,0))*INDEX(Werkstoffe!$E$5:$E$304,MATCH($C352,lst_Werkstoff,0))/1000,""))</f>
        <v/>
      </c>
      <c r="R352" s="18">
        <f>IF($A352="","",IF(N(_xlfn.MAXIFS(Auftrag!$AP$13:$AP$512,Auftrag!$D$13:$D$512,$B352,Auftrag!$E$13:$E$512,$C352,Auftrag!$Q$13:$Q$512,$D352))&gt;0,_xlfn.MAXIFS(Auftrag!$AP$13:$AP$512,Auftrag!$D$13:$D$512,$B352,Auftrag!$E$13:$E$512,$C352,Auftrag!$Q$13:$Q$512,$D352)*$D352/1000,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9" t="n"/>
      <c r="E353" s="24" t="n"/>
      <c r="F353" s="24" t="n"/>
      <c r="G353" s="12">
        <f>IF($A353="","",COUNTIFS(Stangenbelegung!$A$5:$A$10004,$A353))</f>
        <v/>
      </c>
      <c r="H353" s="35">
        <f>IF($A353="","",SUMIFS(Stangenbelegung!$F$5:$F$10004,Stangenbelegung!$A$5:$A$10004,$A353))</f>
        <v/>
      </c>
      <c r="I353" s="23" t="n"/>
      <c r="J353" s="35">
        <f>IF($A353="","",$E353+H353+$I353)</f>
        <v/>
      </c>
      <c r="K353" s="35">
        <f>IF($A353="","",$D353-J353)</f>
        <v/>
      </c>
      <c r="L353" s="32">
        <f>IF($A353="","",H353/$D353)</f>
        <v/>
      </c>
      <c r="M353" s="28">
        <f>IF($A353="","",IF(OR(J353+$F353&gt;$D353+0.001,_xlfn.MAXIFS(Stangenbelegung!$H$5:$H$10004,Stangenbelegung!$A$5:$A$10004,$A353)&gt;$D353-$F353+0.001),"ÜBERBELEGT","OK"))</f>
        <v/>
      </c>
      <c r="N353" s="24" t="n"/>
      <c r="O353" s="24" t="n"/>
      <c r="P353" s="9" t="n"/>
      <c r="Q353" s="18">
        <f>IF($A353="","",IFERROR($D353/1000*INDEX(Profile!$K$5:$K$304,MATCH($B353,lst_Profil,0))*INDEX(Werkstoffe!$E$5:$E$304,MATCH($C353,lst_Werkstoff,0))/1000,""))</f>
        <v/>
      </c>
      <c r="R353" s="18">
        <f>IF($A353="","",IF(N(_xlfn.MAXIFS(Auftrag!$AP$13:$AP$512,Auftrag!$D$13:$D$512,$B353,Auftrag!$E$13:$E$512,$C353,Auftrag!$Q$13:$Q$512,$D353))&gt;0,_xlfn.MAXIFS(Auftrag!$AP$13:$AP$512,Auftrag!$D$13:$D$512,$B353,Auftrag!$E$13:$E$512,$C353,Auftrag!$Q$13:$Q$512,$D353)*$D353/1000,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9" t="n"/>
      <c r="E354" s="24" t="n"/>
      <c r="F354" s="24" t="n"/>
      <c r="G354" s="12">
        <f>IF($A354="","",COUNTIFS(Stangenbelegung!$A$5:$A$10004,$A354))</f>
        <v/>
      </c>
      <c r="H354" s="35">
        <f>IF($A354="","",SUMIFS(Stangenbelegung!$F$5:$F$10004,Stangenbelegung!$A$5:$A$10004,$A354))</f>
        <v/>
      </c>
      <c r="I354" s="23" t="n"/>
      <c r="J354" s="35">
        <f>IF($A354="","",$E354+H354+$I354)</f>
        <v/>
      </c>
      <c r="K354" s="35">
        <f>IF($A354="","",$D354-J354)</f>
        <v/>
      </c>
      <c r="L354" s="32">
        <f>IF($A354="","",H354/$D354)</f>
        <v/>
      </c>
      <c r="M354" s="28">
        <f>IF($A354="","",IF(OR(J354+$F354&gt;$D354+0.001,_xlfn.MAXIFS(Stangenbelegung!$H$5:$H$10004,Stangenbelegung!$A$5:$A$10004,$A354)&gt;$D354-$F354+0.001),"ÜBERBELEGT","OK"))</f>
        <v/>
      </c>
      <c r="N354" s="24" t="n"/>
      <c r="O354" s="24" t="n"/>
      <c r="P354" s="9" t="n"/>
      <c r="Q354" s="18">
        <f>IF($A354="","",IFERROR($D354/1000*INDEX(Profile!$K$5:$K$304,MATCH($B354,lst_Profil,0))*INDEX(Werkstoffe!$E$5:$E$304,MATCH($C354,lst_Werkstoff,0))/1000,""))</f>
        <v/>
      </c>
      <c r="R354" s="18">
        <f>IF($A354="","",IF(N(_xlfn.MAXIFS(Auftrag!$AP$13:$AP$512,Auftrag!$D$13:$D$512,$B354,Auftrag!$E$13:$E$512,$C354,Auftrag!$Q$13:$Q$512,$D354))&gt;0,_xlfn.MAXIFS(Auftrag!$AP$13:$AP$512,Auftrag!$D$13:$D$512,$B354,Auftrag!$E$13:$E$512,$C354,Auftrag!$Q$13:$Q$512,$D354)*$D354/1000,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9" t="n"/>
      <c r="E355" s="24" t="n"/>
      <c r="F355" s="24" t="n"/>
      <c r="G355" s="12">
        <f>IF($A355="","",COUNTIFS(Stangenbelegung!$A$5:$A$10004,$A355))</f>
        <v/>
      </c>
      <c r="H355" s="35">
        <f>IF($A355="","",SUMIFS(Stangenbelegung!$F$5:$F$10004,Stangenbelegung!$A$5:$A$10004,$A355))</f>
        <v/>
      </c>
      <c r="I355" s="23" t="n"/>
      <c r="J355" s="35">
        <f>IF($A355="","",$E355+H355+$I355)</f>
        <v/>
      </c>
      <c r="K355" s="35">
        <f>IF($A355="","",$D355-J355)</f>
        <v/>
      </c>
      <c r="L355" s="32">
        <f>IF($A355="","",H355/$D355)</f>
        <v/>
      </c>
      <c r="M355" s="28">
        <f>IF($A355="","",IF(OR(J355+$F355&gt;$D355+0.001,_xlfn.MAXIFS(Stangenbelegung!$H$5:$H$10004,Stangenbelegung!$A$5:$A$10004,$A355)&gt;$D355-$F355+0.001),"ÜBERBELEGT","OK"))</f>
        <v/>
      </c>
      <c r="N355" s="24" t="n"/>
      <c r="O355" s="24" t="n"/>
      <c r="P355" s="9" t="n"/>
      <c r="Q355" s="18">
        <f>IF($A355="","",IFERROR($D355/1000*INDEX(Profile!$K$5:$K$304,MATCH($B355,lst_Profil,0))*INDEX(Werkstoffe!$E$5:$E$304,MATCH($C355,lst_Werkstoff,0))/1000,""))</f>
        <v/>
      </c>
      <c r="R355" s="18">
        <f>IF($A355="","",IF(N(_xlfn.MAXIFS(Auftrag!$AP$13:$AP$512,Auftrag!$D$13:$D$512,$B355,Auftrag!$E$13:$E$512,$C355,Auftrag!$Q$13:$Q$512,$D355))&gt;0,_xlfn.MAXIFS(Auftrag!$AP$13:$AP$512,Auftrag!$D$13:$D$512,$B355,Auftrag!$E$13:$E$512,$C355,Auftrag!$Q$13:$Q$512,$D355)*$D355/1000,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9" t="n"/>
      <c r="E356" s="24" t="n"/>
      <c r="F356" s="24" t="n"/>
      <c r="G356" s="12">
        <f>IF($A356="","",COUNTIFS(Stangenbelegung!$A$5:$A$10004,$A356))</f>
        <v/>
      </c>
      <c r="H356" s="35">
        <f>IF($A356="","",SUMIFS(Stangenbelegung!$F$5:$F$10004,Stangenbelegung!$A$5:$A$10004,$A356))</f>
        <v/>
      </c>
      <c r="I356" s="23" t="n"/>
      <c r="J356" s="35">
        <f>IF($A356="","",$E356+H356+$I356)</f>
        <v/>
      </c>
      <c r="K356" s="35">
        <f>IF($A356="","",$D356-J356)</f>
        <v/>
      </c>
      <c r="L356" s="32">
        <f>IF($A356="","",H356/$D356)</f>
        <v/>
      </c>
      <c r="M356" s="28">
        <f>IF($A356="","",IF(OR(J356+$F356&gt;$D356+0.001,_xlfn.MAXIFS(Stangenbelegung!$H$5:$H$10004,Stangenbelegung!$A$5:$A$10004,$A356)&gt;$D356-$F356+0.001),"ÜBERBELEGT","OK"))</f>
        <v/>
      </c>
      <c r="N356" s="24" t="n"/>
      <c r="O356" s="24" t="n"/>
      <c r="P356" s="9" t="n"/>
      <c r="Q356" s="18">
        <f>IF($A356="","",IFERROR($D356/1000*INDEX(Profile!$K$5:$K$304,MATCH($B356,lst_Profil,0))*INDEX(Werkstoffe!$E$5:$E$304,MATCH($C356,lst_Werkstoff,0))/1000,""))</f>
        <v/>
      </c>
      <c r="R356" s="18">
        <f>IF($A356="","",IF(N(_xlfn.MAXIFS(Auftrag!$AP$13:$AP$512,Auftrag!$D$13:$D$512,$B356,Auftrag!$E$13:$E$512,$C356,Auftrag!$Q$13:$Q$512,$D356))&gt;0,_xlfn.MAXIFS(Auftrag!$AP$13:$AP$512,Auftrag!$D$13:$D$512,$B356,Auftrag!$E$13:$E$512,$C356,Auftrag!$Q$13:$Q$512,$D356)*$D356/1000,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9" t="n"/>
      <c r="E357" s="24" t="n"/>
      <c r="F357" s="24" t="n"/>
      <c r="G357" s="12">
        <f>IF($A357="","",COUNTIFS(Stangenbelegung!$A$5:$A$10004,$A357))</f>
        <v/>
      </c>
      <c r="H357" s="35">
        <f>IF($A357="","",SUMIFS(Stangenbelegung!$F$5:$F$10004,Stangenbelegung!$A$5:$A$10004,$A357))</f>
        <v/>
      </c>
      <c r="I357" s="23" t="n"/>
      <c r="J357" s="35">
        <f>IF($A357="","",$E357+H357+$I357)</f>
        <v/>
      </c>
      <c r="K357" s="35">
        <f>IF($A357="","",$D357-J357)</f>
        <v/>
      </c>
      <c r="L357" s="32">
        <f>IF($A357="","",H357/$D357)</f>
        <v/>
      </c>
      <c r="M357" s="28">
        <f>IF($A357="","",IF(OR(J357+$F357&gt;$D357+0.001,_xlfn.MAXIFS(Stangenbelegung!$H$5:$H$10004,Stangenbelegung!$A$5:$A$10004,$A357)&gt;$D357-$F357+0.001),"ÜBERBELEGT","OK"))</f>
        <v/>
      </c>
      <c r="N357" s="24" t="n"/>
      <c r="O357" s="24" t="n"/>
      <c r="P357" s="9" t="n"/>
      <c r="Q357" s="18">
        <f>IF($A357="","",IFERROR($D357/1000*INDEX(Profile!$K$5:$K$304,MATCH($B357,lst_Profil,0))*INDEX(Werkstoffe!$E$5:$E$304,MATCH($C357,lst_Werkstoff,0))/1000,""))</f>
        <v/>
      </c>
      <c r="R357" s="18">
        <f>IF($A357="","",IF(N(_xlfn.MAXIFS(Auftrag!$AP$13:$AP$512,Auftrag!$D$13:$D$512,$B357,Auftrag!$E$13:$E$512,$C357,Auftrag!$Q$13:$Q$512,$D357))&gt;0,_xlfn.MAXIFS(Auftrag!$AP$13:$AP$512,Auftrag!$D$13:$D$512,$B357,Auftrag!$E$13:$E$512,$C357,Auftrag!$Q$13:$Q$512,$D357)*$D357/1000,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9" t="n"/>
      <c r="E358" s="24" t="n"/>
      <c r="F358" s="24" t="n"/>
      <c r="G358" s="12">
        <f>IF($A358="","",COUNTIFS(Stangenbelegung!$A$5:$A$10004,$A358))</f>
        <v/>
      </c>
      <c r="H358" s="35">
        <f>IF($A358="","",SUMIFS(Stangenbelegung!$F$5:$F$10004,Stangenbelegung!$A$5:$A$10004,$A358))</f>
        <v/>
      </c>
      <c r="I358" s="23" t="n"/>
      <c r="J358" s="35">
        <f>IF($A358="","",$E358+H358+$I358)</f>
        <v/>
      </c>
      <c r="K358" s="35">
        <f>IF($A358="","",$D358-J358)</f>
        <v/>
      </c>
      <c r="L358" s="32">
        <f>IF($A358="","",H358/$D358)</f>
        <v/>
      </c>
      <c r="M358" s="28">
        <f>IF($A358="","",IF(OR(J358+$F358&gt;$D358+0.001,_xlfn.MAXIFS(Stangenbelegung!$H$5:$H$10004,Stangenbelegung!$A$5:$A$10004,$A358)&gt;$D358-$F358+0.001),"ÜBERBELEGT","OK"))</f>
        <v/>
      </c>
      <c r="N358" s="24" t="n"/>
      <c r="O358" s="24" t="n"/>
      <c r="P358" s="9" t="n"/>
      <c r="Q358" s="18">
        <f>IF($A358="","",IFERROR($D358/1000*INDEX(Profile!$K$5:$K$304,MATCH($B358,lst_Profil,0))*INDEX(Werkstoffe!$E$5:$E$304,MATCH($C358,lst_Werkstoff,0))/1000,""))</f>
        <v/>
      </c>
      <c r="R358" s="18">
        <f>IF($A358="","",IF(N(_xlfn.MAXIFS(Auftrag!$AP$13:$AP$512,Auftrag!$D$13:$D$512,$B358,Auftrag!$E$13:$E$512,$C358,Auftrag!$Q$13:$Q$512,$D358))&gt;0,_xlfn.MAXIFS(Auftrag!$AP$13:$AP$512,Auftrag!$D$13:$D$512,$B358,Auftrag!$E$13:$E$512,$C358,Auftrag!$Q$13:$Q$512,$D358)*$D358/1000,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9" t="n"/>
      <c r="E359" s="24" t="n"/>
      <c r="F359" s="24" t="n"/>
      <c r="G359" s="12">
        <f>IF($A359="","",COUNTIFS(Stangenbelegung!$A$5:$A$10004,$A359))</f>
        <v/>
      </c>
      <c r="H359" s="35">
        <f>IF($A359="","",SUMIFS(Stangenbelegung!$F$5:$F$10004,Stangenbelegung!$A$5:$A$10004,$A359))</f>
        <v/>
      </c>
      <c r="I359" s="23" t="n"/>
      <c r="J359" s="35">
        <f>IF($A359="","",$E359+H359+$I359)</f>
        <v/>
      </c>
      <c r="K359" s="35">
        <f>IF($A359="","",$D359-J359)</f>
        <v/>
      </c>
      <c r="L359" s="32">
        <f>IF($A359="","",H359/$D359)</f>
        <v/>
      </c>
      <c r="M359" s="28">
        <f>IF($A359="","",IF(OR(J359+$F359&gt;$D359+0.001,_xlfn.MAXIFS(Stangenbelegung!$H$5:$H$10004,Stangenbelegung!$A$5:$A$10004,$A359)&gt;$D359-$F359+0.001),"ÜBERBELEGT","OK"))</f>
        <v/>
      </c>
      <c r="N359" s="24" t="n"/>
      <c r="O359" s="24" t="n"/>
      <c r="P359" s="9" t="n"/>
      <c r="Q359" s="18">
        <f>IF($A359="","",IFERROR($D359/1000*INDEX(Profile!$K$5:$K$304,MATCH($B359,lst_Profil,0))*INDEX(Werkstoffe!$E$5:$E$304,MATCH($C359,lst_Werkstoff,0))/1000,""))</f>
        <v/>
      </c>
      <c r="R359" s="18">
        <f>IF($A359="","",IF(N(_xlfn.MAXIFS(Auftrag!$AP$13:$AP$512,Auftrag!$D$13:$D$512,$B359,Auftrag!$E$13:$E$512,$C359,Auftrag!$Q$13:$Q$512,$D359))&gt;0,_xlfn.MAXIFS(Auftrag!$AP$13:$AP$512,Auftrag!$D$13:$D$512,$B359,Auftrag!$E$13:$E$512,$C359,Auftrag!$Q$13:$Q$512,$D359)*$D359/1000,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9" t="n"/>
      <c r="E360" s="24" t="n"/>
      <c r="F360" s="24" t="n"/>
      <c r="G360" s="12">
        <f>IF($A360="","",COUNTIFS(Stangenbelegung!$A$5:$A$10004,$A360))</f>
        <v/>
      </c>
      <c r="H360" s="35">
        <f>IF($A360="","",SUMIFS(Stangenbelegung!$F$5:$F$10004,Stangenbelegung!$A$5:$A$10004,$A360))</f>
        <v/>
      </c>
      <c r="I360" s="23" t="n"/>
      <c r="J360" s="35">
        <f>IF($A360="","",$E360+H360+$I360)</f>
        <v/>
      </c>
      <c r="K360" s="35">
        <f>IF($A360="","",$D360-J360)</f>
        <v/>
      </c>
      <c r="L360" s="32">
        <f>IF($A360="","",H360/$D360)</f>
        <v/>
      </c>
      <c r="M360" s="28">
        <f>IF($A360="","",IF(OR(J360+$F360&gt;$D360+0.001,_xlfn.MAXIFS(Stangenbelegung!$H$5:$H$10004,Stangenbelegung!$A$5:$A$10004,$A360)&gt;$D360-$F360+0.001),"ÜBERBELEGT","OK"))</f>
        <v/>
      </c>
      <c r="N360" s="24" t="n"/>
      <c r="O360" s="24" t="n"/>
      <c r="P360" s="9" t="n"/>
      <c r="Q360" s="18">
        <f>IF($A360="","",IFERROR($D360/1000*INDEX(Profile!$K$5:$K$304,MATCH($B360,lst_Profil,0))*INDEX(Werkstoffe!$E$5:$E$304,MATCH($C360,lst_Werkstoff,0))/1000,""))</f>
        <v/>
      </c>
      <c r="R360" s="18">
        <f>IF($A360="","",IF(N(_xlfn.MAXIFS(Auftrag!$AP$13:$AP$512,Auftrag!$D$13:$D$512,$B360,Auftrag!$E$13:$E$512,$C360,Auftrag!$Q$13:$Q$512,$D360))&gt;0,_xlfn.MAXIFS(Auftrag!$AP$13:$AP$512,Auftrag!$D$13:$D$512,$B360,Auftrag!$E$13:$E$512,$C360,Auftrag!$Q$13:$Q$512,$D360)*$D360/1000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9" t="n"/>
      <c r="E361" s="24" t="n"/>
      <c r="F361" s="24" t="n"/>
      <c r="G361" s="12">
        <f>IF($A361="","",COUNTIFS(Stangenbelegung!$A$5:$A$10004,$A361))</f>
        <v/>
      </c>
      <c r="H361" s="35">
        <f>IF($A361="","",SUMIFS(Stangenbelegung!$F$5:$F$10004,Stangenbelegung!$A$5:$A$10004,$A361))</f>
        <v/>
      </c>
      <c r="I361" s="23" t="n"/>
      <c r="J361" s="35">
        <f>IF($A361="","",$E361+H361+$I361)</f>
        <v/>
      </c>
      <c r="K361" s="35">
        <f>IF($A361="","",$D361-J361)</f>
        <v/>
      </c>
      <c r="L361" s="32">
        <f>IF($A361="","",H361/$D361)</f>
        <v/>
      </c>
      <c r="M361" s="28">
        <f>IF($A361="","",IF(OR(J361+$F361&gt;$D361+0.001,_xlfn.MAXIFS(Stangenbelegung!$H$5:$H$10004,Stangenbelegung!$A$5:$A$10004,$A361)&gt;$D361-$F361+0.001),"ÜBERBELEGT","OK"))</f>
        <v/>
      </c>
      <c r="N361" s="24" t="n"/>
      <c r="O361" s="24" t="n"/>
      <c r="P361" s="9" t="n"/>
      <c r="Q361" s="18">
        <f>IF($A361="","",IFERROR($D361/1000*INDEX(Profile!$K$5:$K$304,MATCH($B361,lst_Profil,0))*INDEX(Werkstoffe!$E$5:$E$304,MATCH($C361,lst_Werkstoff,0))/1000,""))</f>
        <v/>
      </c>
      <c r="R361" s="18">
        <f>IF($A361="","",IF(N(_xlfn.MAXIFS(Auftrag!$AP$13:$AP$512,Auftrag!$D$13:$D$512,$B361,Auftrag!$E$13:$E$512,$C361,Auftrag!$Q$13:$Q$512,$D361))&gt;0,_xlfn.MAXIFS(Auftrag!$AP$13:$AP$512,Auftrag!$D$13:$D$512,$B361,Auftrag!$E$13:$E$512,$C361,Auftrag!$Q$13:$Q$512,$D361)*$D361/1000,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9" t="n"/>
      <c r="E362" s="24" t="n"/>
      <c r="F362" s="24" t="n"/>
      <c r="G362" s="12">
        <f>IF($A362="","",COUNTIFS(Stangenbelegung!$A$5:$A$10004,$A362))</f>
        <v/>
      </c>
      <c r="H362" s="35">
        <f>IF($A362="","",SUMIFS(Stangenbelegung!$F$5:$F$10004,Stangenbelegung!$A$5:$A$10004,$A362))</f>
        <v/>
      </c>
      <c r="I362" s="23" t="n"/>
      <c r="J362" s="35">
        <f>IF($A362="","",$E362+H362+$I362)</f>
        <v/>
      </c>
      <c r="K362" s="35">
        <f>IF($A362="","",$D362-J362)</f>
        <v/>
      </c>
      <c r="L362" s="32">
        <f>IF($A362="","",H362/$D362)</f>
        <v/>
      </c>
      <c r="M362" s="28">
        <f>IF($A362="","",IF(OR(J362+$F362&gt;$D362+0.001,_xlfn.MAXIFS(Stangenbelegung!$H$5:$H$10004,Stangenbelegung!$A$5:$A$10004,$A362)&gt;$D362-$F362+0.001),"ÜBERBELEGT","OK"))</f>
        <v/>
      </c>
      <c r="N362" s="24" t="n"/>
      <c r="O362" s="24" t="n"/>
      <c r="P362" s="9" t="n"/>
      <c r="Q362" s="18">
        <f>IF($A362="","",IFERROR($D362/1000*INDEX(Profile!$K$5:$K$304,MATCH($B362,lst_Profil,0))*INDEX(Werkstoffe!$E$5:$E$304,MATCH($C362,lst_Werkstoff,0))/1000,""))</f>
        <v/>
      </c>
      <c r="R362" s="18">
        <f>IF($A362="","",IF(N(_xlfn.MAXIFS(Auftrag!$AP$13:$AP$512,Auftrag!$D$13:$D$512,$B362,Auftrag!$E$13:$E$512,$C362,Auftrag!$Q$13:$Q$512,$D362))&gt;0,_xlfn.MAXIFS(Auftrag!$AP$13:$AP$512,Auftrag!$D$13:$D$512,$B362,Auftrag!$E$13:$E$512,$C362,Auftrag!$Q$13:$Q$512,$D362)*$D362/1000,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9" t="n"/>
      <c r="E363" s="24" t="n"/>
      <c r="F363" s="24" t="n"/>
      <c r="G363" s="12">
        <f>IF($A363="","",COUNTIFS(Stangenbelegung!$A$5:$A$10004,$A363))</f>
        <v/>
      </c>
      <c r="H363" s="35">
        <f>IF($A363="","",SUMIFS(Stangenbelegung!$F$5:$F$10004,Stangenbelegung!$A$5:$A$10004,$A363))</f>
        <v/>
      </c>
      <c r="I363" s="23" t="n"/>
      <c r="J363" s="35">
        <f>IF($A363="","",$E363+H363+$I363)</f>
        <v/>
      </c>
      <c r="K363" s="35">
        <f>IF($A363="","",$D363-J363)</f>
        <v/>
      </c>
      <c r="L363" s="32">
        <f>IF($A363="","",H363/$D363)</f>
        <v/>
      </c>
      <c r="M363" s="28">
        <f>IF($A363="","",IF(OR(J363+$F363&gt;$D363+0.001,_xlfn.MAXIFS(Stangenbelegung!$H$5:$H$10004,Stangenbelegung!$A$5:$A$10004,$A363)&gt;$D363-$F363+0.001),"ÜBERBELEGT","OK"))</f>
        <v/>
      </c>
      <c r="N363" s="24" t="n"/>
      <c r="O363" s="24" t="n"/>
      <c r="P363" s="9" t="n"/>
      <c r="Q363" s="18">
        <f>IF($A363="","",IFERROR($D363/1000*INDEX(Profile!$K$5:$K$304,MATCH($B363,lst_Profil,0))*INDEX(Werkstoffe!$E$5:$E$304,MATCH($C363,lst_Werkstoff,0))/1000,""))</f>
        <v/>
      </c>
      <c r="R363" s="18">
        <f>IF($A363="","",IF(N(_xlfn.MAXIFS(Auftrag!$AP$13:$AP$512,Auftrag!$D$13:$D$512,$B363,Auftrag!$E$13:$E$512,$C363,Auftrag!$Q$13:$Q$512,$D363))&gt;0,_xlfn.MAXIFS(Auftrag!$AP$13:$AP$512,Auftrag!$D$13:$D$512,$B363,Auftrag!$E$13:$E$512,$C363,Auftrag!$Q$13:$Q$512,$D363)*$D363/1000,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9" t="n"/>
      <c r="E364" s="24" t="n"/>
      <c r="F364" s="24" t="n"/>
      <c r="G364" s="12">
        <f>IF($A364="","",COUNTIFS(Stangenbelegung!$A$5:$A$10004,$A364))</f>
        <v/>
      </c>
      <c r="H364" s="35">
        <f>IF($A364="","",SUMIFS(Stangenbelegung!$F$5:$F$10004,Stangenbelegung!$A$5:$A$10004,$A364))</f>
        <v/>
      </c>
      <c r="I364" s="23" t="n"/>
      <c r="J364" s="35">
        <f>IF($A364="","",$E364+H364+$I364)</f>
        <v/>
      </c>
      <c r="K364" s="35">
        <f>IF($A364="","",$D364-J364)</f>
        <v/>
      </c>
      <c r="L364" s="32">
        <f>IF($A364="","",H364/$D364)</f>
        <v/>
      </c>
      <c r="M364" s="28">
        <f>IF($A364="","",IF(OR(J364+$F364&gt;$D364+0.001,_xlfn.MAXIFS(Stangenbelegung!$H$5:$H$10004,Stangenbelegung!$A$5:$A$10004,$A364)&gt;$D364-$F364+0.001),"ÜBERBELEGT","OK"))</f>
        <v/>
      </c>
      <c r="N364" s="24" t="n"/>
      <c r="O364" s="24" t="n"/>
      <c r="P364" s="9" t="n"/>
      <c r="Q364" s="18">
        <f>IF($A364="","",IFERROR($D364/1000*INDEX(Profile!$K$5:$K$304,MATCH($B364,lst_Profil,0))*INDEX(Werkstoffe!$E$5:$E$304,MATCH($C364,lst_Werkstoff,0))/1000,""))</f>
        <v/>
      </c>
      <c r="R364" s="18">
        <f>IF($A364="","",IF(N(_xlfn.MAXIFS(Auftrag!$AP$13:$AP$512,Auftrag!$D$13:$D$512,$B364,Auftrag!$E$13:$E$512,$C364,Auftrag!$Q$13:$Q$512,$D364))&gt;0,_xlfn.MAXIFS(Auftrag!$AP$13:$AP$512,Auftrag!$D$13:$D$512,$B364,Auftrag!$E$13:$E$512,$C364,Auftrag!$Q$13:$Q$512,$D364)*$D364/1000,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9" t="n"/>
      <c r="E365" s="24" t="n"/>
      <c r="F365" s="24" t="n"/>
      <c r="G365" s="12">
        <f>IF($A365="","",COUNTIFS(Stangenbelegung!$A$5:$A$10004,$A365))</f>
        <v/>
      </c>
      <c r="H365" s="35">
        <f>IF($A365="","",SUMIFS(Stangenbelegung!$F$5:$F$10004,Stangenbelegung!$A$5:$A$10004,$A365))</f>
        <v/>
      </c>
      <c r="I365" s="23" t="n"/>
      <c r="J365" s="35">
        <f>IF($A365="","",$E365+H365+$I365)</f>
        <v/>
      </c>
      <c r="K365" s="35">
        <f>IF($A365="","",$D365-J365)</f>
        <v/>
      </c>
      <c r="L365" s="32">
        <f>IF($A365="","",H365/$D365)</f>
        <v/>
      </c>
      <c r="M365" s="28">
        <f>IF($A365="","",IF(OR(J365+$F365&gt;$D365+0.001,_xlfn.MAXIFS(Stangenbelegung!$H$5:$H$10004,Stangenbelegung!$A$5:$A$10004,$A365)&gt;$D365-$F365+0.001),"ÜBERBELEGT","OK"))</f>
        <v/>
      </c>
      <c r="N365" s="24" t="n"/>
      <c r="O365" s="24" t="n"/>
      <c r="P365" s="9" t="n"/>
      <c r="Q365" s="18">
        <f>IF($A365="","",IFERROR($D365/1000*INDEX(Profile!$K$5:$K$304,MATCH($B365,lst_Profil,0))*INDEX(Werkstoffe!$E$5:$E$304,MATCH($C365,lst_Werkstoff,0))/1000,""))</f>
        <v/>
      </c>
      <c r="R365" s="18">
        <f>IF($A365="","",IF(N(_xlfn.MAXIFS(Auftrag!$AP$13:$AP$512,Auftrag!$D$13:$D$512,$B365,Auftrag!$E$13:$E$512,$C365,Auftrag!$Q$13:$Q$512,$D365))&gt;0,_xlfn.MAXIFS(Auftrag!$AP$13:$AP$512,Auftrag!$D$13:$D$512,$B365,Auftrag!$E$13:$E$512,$C365,Auftrag!$Q$13:$Q$512,$D365)*$D365/1000,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9" t="n"/>
      <c r="E366" s="24" t="n"/>
      <c r="F366" s="24" t="n"/>
      <c r="G366" s="12">
        <f>IF($A366="","",COUNTIFS(Stangenbelegung!$A$5:$A$10004,$A366))</f>
        <v/>
      </c>
      <c r="H366" s="35">
        <f>IF($A366="","",SUMIFS(Stangenbelegung!$F$5:$F$10004,Stangenbelegung!$A$5:$A$10004,$A366))</f>
        <v/>
      </c>
      <c r="I366" s="23" t="n"/>
      <c r="J366" s="35">
        <f>IF($A366="","",$E366+H366+$I366)</f>
        <v/>
      </c>
      <c r="K366" s="35">
        <f>IF($A366="","",$D366-J366)</f>
        <v/>
      </c>
      <c r="L366" s="32">
        <f>IF($A366="","",H366/$D366)</f>
        <v/>
      </c>
      <c r="M366" s="28">
        <f>IF($A366="","",IF(OR(J366+$F366&gt;$D366+0.001,_xlfn.MAXIFS(Stangenbelegung!$H$5:$H$10004,Stangenbelegung!$A$5:$A$10004,$A366)&gt;$D366-$F366+0.001),"ÜBERBELEGT","OK"))</f>
        <v/>
      </c>
      <c r="N366" s="24" t="n"/>
      <c r="O366" s="24" t="n"/>
      <c r="P366" s="9" t="n"/>
      <c r="Q366" s="18">
        <f>IF($A366="","",IFERROR($D366/1000*INDEX(Profile!$K$5:$K$304,MATCH($B366,lst_Profil,0))*INDEX(Werkstoffe!$E$5:$E$304,MATCH($C366,lst_Werkstoff,0))/1000,""))</f>
        <v/>
      </c>
      <c r="R366" s="18">
        <f>IF($A366="","",IF(N(_xlfn.MAXIFS(Auftrag!$AP$13:$AP$512,Auftrag!$D$13:$D$512,$B366,Auftrag!$E$13:$E$512,$C366,Auftrag!$Q$13:$Q$512,$D366))&gt;0,_xlfn.MAXIFS(Auftrag!$AP$13:$AP$512,Auftrag!$D$13:$D$512,$B366,Auftrag!$E$13:$E$512,$C366,Auftrag!$Q$13:$Q$512,$D366)*$D366/1000,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9" t="n"/>
      <c r="E367" s="24" t="n"/>
      <c r="F367" s="24" t="n"/>
      <c r="G367" s="12">
        <f>IF($A367="","",COUNTIFS(Stangenbelegung!$A$5:$A$10004,$A367))</f>
        <v/>
      </c>
      <c r="H367" s="35">
        <f>IF($A367="","",SUMIFS(Stangenbelegung!$F$5:$F$10004,Stangenbelegung!$A$5:$A$10004,$A367))</f>
        <v/>
      </c>
      <c r="I367" s="23" t="n"/>
      <c r="J367" s="35">
        <f>IF($A367="","",$E367+H367+$I367)</f>
        <v/>
      </c>
      <c r="K367" s="35">
        <f>IF($A367="","",$D367-J367)</f>
        <v/>
      </c>
      <c r="L367" s="32">
        <f>IF($A367="","",H367/$D367)</f>
        <v/>
      </c>
      <c r="M367" s="28">
        <f>IF($A367="","",IF(OR(J367+$F367&gt;$D367+0.001,_xlfn.MAXIFS(Stangenbelegung!$H$5:$H$10004,Stangenbelegung!$A$5:$A$10004,$A367)&gt;$D367-$F367+0.001),"ÜBERBELEGT","OK"))</f>
        <v/>
      </c>
      <c r="N367" s="24" t="n"/>
      <c r="O367" s="24" t="n"/>
      <c r="P367" s="9" t="n"/>
      <c r="Q367" s="18">
        <f>IF($A367="","",IFERROR($D367/1000*INDEX(Profile!$K$5:$K$304,MATCH($B367,lst_Profil,0))*INDEX(Werkstoffe!$E$5:$E$304,MATCH($C367,lst_Werkstoff,0))/1000,""))</f>
        <v/>
      </c>
      <c r="R367" s="18">
        <f>IF($A367="","",IF(N(_xlfn.MAXIFS(Auftrag!$AP$13:$AP$512,Auftrag!$D$13:$D$512,$B367,Auftrag!$E$13:$E$512,$C367,Auftrag!$Q$13:$Q$512,$D367))&gt;0,_xlfn.MAXIFS(Auftrag!$AP$13:$AP$512,Auftrag!$D$13:$D$512,$B367,Auftrag!$E$13:$E$512,$C367,Auftrag!$Q$13:$Q$512,$D367)*$D367/1000,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9" t="n"/>
      <c r="E368" s="24" t="n"/>
      <c r="F368" s="24" t="n"/>
      <c r="G368" s="12">
        <f>IF($A368="","",COUNTIFS(Stangenbelegung!$A$5:$A$10004,$A368))</f>
        <v/>
      </c>
      <c r="H368" s="35">
        <f>IF($A368="","",SUMIFS(Stangenbelegung!$F$5:$F$10004,Stangenbelegung!$A$5:$A$10004,$A368))</f>
        <v/>
      </c>
      <c r="I368" s="23" t="n"/>
      <c r="J368" s="35">
        <f>IF($A368="","",$E368+H368+$I368)</f>
        <v/>
      </c>
      <c r="K368" s="35">
        <f>IF($A368="","",$D368-J368)</f>
        <v/>
      </c>
      <c r="L368" s="32">
        <f>IF($A368="","",H368/$D368)</f>
        <v/>
      </c>
      <c r="M368" s="28">
        <f>IF($A368="","",IF(OR(J368+$F368&gt;$D368+0.001,_xlfn.MAXIFS(Stangenbelegung!$H$5:$H$10004,Stangenbelegung!$A$5:$A$10004,$A368)&gt;$D368-$F368+0.001),"ÜBERBELEGT","OK"))</f>
        <v/>
      </c>
      <c r="N368" s="24" t="n"/>
      <c r="O368" s="24" t="n"/>
      <c r="P368" s="9" t="n"/>
      <c r="Q368" s="18">
        <f>IF($A368="","",IFERROR($D368/1000*INDEX(Profile!$K$5:$K$304,MATCH($B368,lst_Profil,0))*INDEX(Werkstoffe!$E$5:$E$304,MATCH($C368,lst_Werkstoff,0))/1000,""))</f>
        <v/>
      </c>
      <c r="R368" s="18">
        <f>IF($A368="","",IF(N(_xlfn.MAXIFS(Auftrag!$AP$13:$AP$512,Auftrag!$D$13:$D$512,$B368,Auftrag!$E$13:$E$512,$C368,Auftrag!$Q$13:$Q$512,$D368))&gt;0,_xlfn.MAXIFS(Auftrag!$AP$13:$AP$512,Auftrag!$D$13:$D$512,$B368,Auftrag!$E$13:$E$512,$C368,Auftrag!$Q$13:$Q$512,$D368)*$D368/1000,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9" t="n"/>
      <c r="E369" s="24" t="n"/>
      <c r="F369" s="24" t="n"/>
      <c r="G369" s="12">
        <f>IF($A369="","",COUNTIFS(Stangenbelegung!$A$5:$A$10004,$A369))</f>
        <v/>
      </c>
      <c r="H369" s="35">
        <f>IF($A369="","",SUMIFS(Stangenbelegung!$F$5:$F$10004,Stangenbelegung!$A$5:$A$10004,$A369))</f>
        <v/>
      </c>
      <c r="I369" s="23" t="n"/>
      <c r="J369" s="35">
        <f>IF($A369="","",$E369+H369+$I369)</f>
        <v/>
      </c>
      <c r="K369" s="35">
        <f>IF($A369="","",$D369-J369)</f>
        <v/>
      </c>
      <c r="L369" s="32">
        <f>IF($A369="","",H369/$D369)</f>
        <v/>
      </c>
      <c r="M369" s="28">
        <f>IF($A369="","",IF(OR(J369+$F369&gt;$D369+0.001,_xlfn.MAXIFS(Stangenbelegung!$H$5:$H$10004,Stangenbelegung!$A$5:$A$10004,$A369)&gt;$D369-$F369+0.001),"ÜBERBELEGT","OK"))</f>
        <v/>
      </c>
      <c r="N369" s="24" t="n"/>
      <c r="O369" s="24" t="n"/>
      <c r="P369" s="9" t="n"/>
      <c r="Q369" s="18">
        <f>IF($A369="","",IFERROR($D369/1000*INDEX(Profile!$K$5:$K$304,MATCH($B369,lst_Profil,0))*INDEX(Werkstoffe!$E$5:$E$304,MATCH($C369,lst_Werkstoff,0))/1000,""))</f>
        <v/>
      </c>
      <c r="R369" s="18">
        <f>IF($A369="","",IF(N(_xlfn.MAXIFS(Auftrag!$AP$13:$AP$512,Auftrag!$D$13:$D$512,$B369,Auftrag!$E$13:$E$512,$C369,Auftrag!$Q$13:$Q$512,$D369))&gt;0,_xlfn.MAXIFS(Auftrag!$AP$13:$AP$512,Auftrag!$D$13:$D$512,$B369,Auftrag!$E$13:$E$512,$C369,Auftrag!$Q$13:$Q$512,$D369)*$D369/1000,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9" t="n"/>
      <c r="E370" s="24" t="n"/>
      <c r="F370" s="24" t="n"/>
      <c r="G370" s="12">
        <f>IF($A370="","",COUNTIFS(Stangenbelegung!$A$5:$A$10004,$A370))</f>
        <v/>
      </c>
      <c r="H370" s="35">
        <f>IF($A370="","",SUMIFS(Stangenbelegung!$F$5:$F$10004,Stangenbelegung!$A$5:$A$10004,$A370))</f>
        <v/>
      </c>
      <c r="I370" s="23" t="n"/>
      <c r="J370" s="35">
        <f>IF($A370="","",$E370+H370+$I370)</f>
        <v/>
      </c>
      <c r="K370" s="35">
        <f>IF($A370="","",$D370-J370)</f>
        <v/>
      </c>
      <c r="L370" s="32">
        <f>IF($A370="","",H370/$D370)</f>
        <v/>
      </c>
      <c r="M370" s="28">
        <f>IF($A370="","",IF(OR(J370+$F370&gt;$D370+0.001,_xlfn.MAXIFS(Stangenbelegung!$H$5:$H$10004,Stangenbelegung!$A$5:$A$10004,$A370)&gt;$D370-$F370+0.001),"ÜBERBELEGT","OK"))</f>
        <v/>
      </c>
      <c r="N370" s="24" t="n"/>
      <c r="O370" s="24" t="n"/>
      <c r="P370" s="9" t="n"/>
      <c r="Q370" s="18">
        <f>IF($A370="","",IFERROR($D370/1000*INDEX(Profile!$K$5:$K$304,MATCH($B370,lst_Profil,0))*INDEX(Werkstoffe!$E$5:$E$304,MATCH($C370,lst_Werkstoff,0))/1000,""))</f>
        <v/>
      </c>
      <c r="R370" s="18">
        <f>IF($A370="","",IF(N(_xlfn.MAXIFS(Auftrag!$AP$13:$AP$512,Auftrag!$D$13:$D$512,$B370,Auftrag!$E$13:$E$512,$C370,Auftrag!$Q$13:$Q$512,$D370))&gt;0,_xlfn.MAXIFS(Auftrag!$AP$13:$AP$512,Auftrag!$D$13:$D$512,$B370,Auftrag!$E$13:$E$512,$C370,Auftrag!$Q$13:$Q$512,$D370)*$D370/1000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9" t="n"/>
      <c r="E371" s="24" t="n"/>
      <c r="F371" s="24" t="n"/>
      <c r="G371" s="12">
        <f>IF($A371="","",COUNTIFS(Stangenbelegung!$A$5:$A$10004,$A371))</f>
        <v/>
      </c>
      <c r="H371" s="35">
        <f>IF($A371="","",SUMIFS(Stangenbelegung!$F$5:$F$10004,Stangenbelegung!$A$5:$A$10004,$A371))</f>
        <v/>
      </c>
      <c r="I371" s="23" t="n"/>
      <c r="J371" s="35">
        <f>IF($A371="","",$E371+H371+$I371)</f>
        <v/>
      </c>
      <c r="K371" s="35">
        <f>IF($A371="","",$D371-J371)</f>
        <v/>
      </c>
      <c r="L371" s="32">
        <f>IF($A371="","",H371/$D371)</f>
        <v/>
      </c>
      <c r="M371" s="28">
        <f>IF($A371="","",IF(OR(J371+$F371&gt;$D371+0.001,_xlfn.MAXIFS(Stangenbelegung!$H$5:$H$10004,Stangenbelegung!$A$5:$A$10004,$A371)&gt;$D371-$F371+0.001),"ÜBERBELEGT","OK"))</f>
        <v/>
      </c>
      <c r="N371" s="24" t="n"/>
      <c r="O371" s="24" t="n"/>
      <c r="P371" s="9" t="n"/>
      <c r="Q371" s="18">
        <f>IF($A371="","",IFERROR($D371/1000*INDEX(Profile!$K$5:$K$304,MATCH($B371,lst_Profil,0))*INDEX(Werkstoffe!$E$5:$E$304,MATCH($C371,lst_Werkstoff,0))/1000,""))</f>
        <v/>
      </c>
      <c r="R371" s="18">
        <f>IF($A371="","",IF(N(_xlfn.MAXIFS(Auftrag!$AP$13:$AP$512,Auftrag!$D$13:$D$512,$B371,Auftrag!$E$13:$E$512,$C371,Auftrag!$Q$13:$Q$512,$D371))&gt;0,_xlfn.MAXIFS(Auftrag!$AP$13:$AP$512,Auftrag!$D$13:$D$512,$B371,Auftrag!$E$13:$E$512,$C371,Auftrag!$Q$13:$Q$512,$D371)*$D371/1000,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9" t="n"/>
      <c r="E372" s="24" t="n"/>
      <c r="F372" s="24" t="n"/>
      <c r="G372" s="12">
        <f>IF($A372="","",COUNTIFS(Stangenbelegung!$A$5:$A$10004,$A372))</f>
        <v/>
      </c>
      <c r="H372" s="35">
        <f>IF($A372="","",SUMIFS(Stangenbelegung!$F$5:$F$10004,Stangenbelegung!$A$5:$A$10004,$A372))</f>
        <v/>
      </c>
      <c r="I372" s="23" t="n"/>
      <c r="J372" s="35">
        <f>IF($A372="","",$E372+H372+$I372)</f>
        <v/>
      </c>
      <c r="K372" s="35">
        <f>IF($A372="","",$D372-J372)</f>
        <v/>
      </c>
      <c r="L372" s="32">
        <f>IF($A372="","",H372/$D372)</f>
        <v/>
      </c>
      <c r="M372" s="28">
        <f>IF($A372="","",IF(OR(J372+$F372&gt;$D372+0.001,_xlfn.MAXIFS(Stangenbelegung!$H$5:$H$10004,Stangenbelegung!$A$5:$A$10004,$A372)&gt;$D372-$F372+0.001),"ÜBERBELEGT","OK"))</f>
        <v/>
      </c>
      <c r="N372" s="24" t="n"/>
      <c r="O372" s="24" t="n"/>
      <c r="P372" s="9" t="n"/>
      <c r="Q372" s="18">
        <f>IF($A372="","",IFERROR($D372/1000*INDEX(Profile!$K$5:$K$304,MATCH($B372,lst_Profil,0))*INDEX(Werkstoffe!$E$5:$E$304,MATCH($C372,lst_Werkstoff,0))/1000,""))</f>
        <v/>
      </c>
      <c r="R372" s="18">
        <f>IF($A372="","",IF(N(_xlfn.MAXIFS(Auftrag!$AP$13:$AP$512,Auftrag!$D$13:$D$512,$B372,Auftrag!$E$13:$E$512,$C372,Auftrag!$Q$13:$Q$512,$D372))&gt;0,_xlfn.MAXIFS(Auftrag!$AP$13:$AP$512,Auftrag!$D$13:$D$512,$B372,Auftrag!$E$13:$E$512,$C372,Auftrag!$Q$13:$Q$512,$D372)*$D372/1000,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9" t="n"/>
      <c r="E373" s="24" t="n"/>
      <c r="F373" s="24" t="n"/>
      <c r="G373" s="12">
        <f>IF($A373="","",COUNTIFS(Stangenbelegung!$A$5:$A$10004,$A373))</f>
        <v/>
      </c>
      <c r="H373" s="35">
        <f>IF($A373="","",SUMIFS(Stangenbelegung!$F$5:$F$10004,Stangenbelegung!$A$5:$A$10004,$A373))</f>
        <v/>
      </c>
      <c r="I373" s="23" t="n"/>
      <c r="J373" s="35">
        <f>IF($A373="","",$E373+H373+$I373)</f>
        <v/>
      </c>
      <c r="K373" s="35">
        <f>IF($A373="","",$D373-J373)</f>
        <v/>
      </c>
      <c r="L373" s="32">
        <f>IF($A373="","",H373/$D373)</f>
        <v/>
      </c>
      <c r="M373" s="28">
        <f>IF($A373="","",IF(OR(J373+$F373&gt;$D373+0.001,_xlfn.MAXIFS(Stangenbelegung!$H$5:$H$10004,Stangenbelegung!$A$5:$A$10004,$A373)&gt;$D373-$F373+0.001),"ÜBERBELEGT","OK"))</f>
        <v/>
      </c>
      <c r="N373" s="24" t="n"/>
      <c r="O373" s="24" t="n"/>
      <c r="P373" s="9" t="n"/>
      <c r="Q373" s="18">
        <f>IF($A373="","",IFERROR($D373/1000*INDEX(Profile!$K$5:$K$304,MATCH($B373,lst_Profil,0))*INDEX(Werkstoffe!$E$5:$E$304,MATCH($C373,lst_Werkstoff,0))/1000,""))</f>
        <v/>
      </c>
      <c r="R373" s="18">
        <f>IF($A373="","",IF(N(_xlfn.MAXIFS(Auftrag!$AP$13:$AP$512,Auftrag!$D$13:$D$512,$B373,Auftrag!$E$13:$E$512,$C373,Auftrag!$Q$13:$Q$512,$D373))&gt;0,_xlfn.MAXIFS(Auftrag!$AP$13:$AP$512,Auftrag!$D$13:$D$512,$B373,Auftrag!$E$13:$E$512,$C373,Auftrag!$Q$13:$Q$512,$D373)*$D373/1000,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9" t="n"/>
      <c r="E374" s="24" t="n"/>
      <c r="F374" s="24" t="n"/>
      <c r="G374" s="12">
        <f>IF($A374="","",COUNTIFS(Stangenbelegung!$A$5:$A$10004,$A374))</f>
        <v/>
      </c>
      <c r="H374" s="35">
        <f>IF($A374="","",SUMIFS(Stangenbelegung!$F$5:$F$10004,Stangenbelegung!$A$5:$A$10004,$A374))</f>
        <v/>
      </c>
      <c r="I374" s="23" t="n"/>
      <c r="J374" s="35">
        <f>IF($A374="","",$E374+H374+$I374)</f>
        <v/>
      </c>
      <c r="K374" s="35">
        <f>IF($A374="","",$D374-J374)</f>
        <v/>
      </c>
      <c r="L374" s="32">
        <f>IF($A374="","",H374/$D374)</f>
        <v/>
      </c>
      <c r="M374" s="28">
        <f>IF($A374="","",IF(OR(J374+$F374&gt;$D374+0.001,_xlfn.MAXIFS(Stangenbelegung!$H$5:$H$10004,Stangenbelegung!$A$5:$A$10004,$A374)&gt;$D374-$F374+0.001),"ÜBERBELEGT","OK"))</f>
        <v/>
      </c>
      <c r="N374" s="24" t="n"/>
      <c r="O374" s="24" t="n"/>
      <c r="P374" s="9" t="n"/>
      <c r="Q374" s="18">
        <f>IF($A374="","",IFERROR($D374/1000*INDEX(Profile!$K$5:$K$304,MATCH($B374,lst_Profil,0))*INDEX(Werkstoffe!$E$5:$E$304,MATCH($C374,lst_Werkstoff,0))/1000,""))</f>
        <v/>
      </c>
      <c r="R374" s="18">
        <f>IF($A374="","",IF(N(_xlfn.MAXIFS(Auftrag!$AP$13:$AP$512,Auftrag!$D$13:$D$512,$B374,Auftrag!$E$13:$E$512,$C374,Auftrag!$Q$13:$Q$512,$D374))&gt;0,_xlfn.MAXIFS(Auftrag!$AP$13:$AP$512,Auftrag!$D$13:$D$512,$B374,Auftrag!$E$13:$E$512,$C374,Auftrag!$Q$13:$Q$512,$D374)*$D374/1000,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9" t="n"/>
      <c r="E375" s="24" t="n"/>
      <c r="F375" s="24" t="n"/>
      <c r="G375" s="12">
        <f>IF($A375="","",COUNTIFS(Stangenbelegung!$A$5:$A$10004,$A375))</f>
        <v/>
      </c>
      <c r="H375" s="35">
        <f>IF($A375="","",SUMIFS(Stangenbelegung!$F$5:$F$10004,Stangenbelegung!$A$5:$A$10004,$A375))</f>
        <v/>
      </c>
      <c r="I375" s="23" t="n"/>
      <c r="J375" s="35">
        <f>IF($A375="","",$E375+H375+$I375)</f>
        <v/>
      </c>
      <c r="K375" s="35">
        <f>IF($A375="","",$D375-J375)</f>
        <v/>
      </c>
      <c r="L375" s="32">
        <f>IF($A375="","",H375/$D375)</f>
        <v/>
      </c>
      <c r="M375" s="28">
        <f>IF($A375="","",IF(OR(J375+$F375&gt;$D375+0.001,_xlfn.MAXIFS(Stangenbelegung!$H$5:$H$10004,Stangenbelegung!$A$5:$A$10004,$A375)&gt;$D375-$F375+0.001),"ÜBERBELEGT","OK"))</f>
        <v/>
      </c>
      <c r="N375" s="24" t="n"/>
      <c r="O375" s="24" t="n"/>
      <c r="P375" s="9" t="n"/>
      <c r="Q375" s="18">
        <f>IF($A375="","",IFERROR($D375/1000*INDEX(Profile!$K$5:$K$304,MATCH($B375,lst_Profil,0))*INDEX(Werkstoffe!$E$5:$E$304,MATCH($C375,lst_Werkstoff,0))/1000,""))</f>
        <v/>
      </c>
      <c r="R375" s="18">
        <f>IF($A375="","",IF(N(_xlfn.MAXIFS(Auftrag!$AP$13:$AP$512,Auftrag!$D$13:$D$512,$B375,Auftrag!$E$13:$E$512,$C375,Auftrag!$Q$13:$Q$512,$D375))&gt;0,_xlfn.MAXIFS(Auftrag!$AP$13:$AP$512,Auftrag!$D$13:$D$512,$B375,Auftrag!$E$13:$E$512,$C375,Auftrag!$Q$13:$Q$512,$D375)*$D375/1000,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9" t="n"/>
      <c r="E376" s="24" t="n"/>
      <c r="F376" s="24" t="n"/>
      <c r="G376" s="12">
        <f>IF($A376="","",COUNTIFS(Stangenbelegung!$A$5:$A$10004,$A376))</f>
        <v/>
      </c>
      <c r="H376" s="35">
        <f>IF($A376="","",SUMIFS(Stangenbelegung!$F$5:$F$10004,Stangenbelegung!$A$5:$A$10004,$A376))</f>
        <v/>
      </c>
      <c r="I376" s="23" t="n"/>
      <c r="J376" s="35">
        <f>IF($A376="","",$E376+H376+$I376)</f>
        <v/>
      </c>
      <c r="K376" s="35">
        <f>IF($A376="","",$D376-J376)</f>
        <v/>
      </c>
      <c r="L376" s="32">
        <f>IF($A376="","",H376/$D376)</f>
        <v/>
      </c>
      <c r="M376" s="28">
        <f>IF($A376="","",IF(OR(J376+$F376&gt;$D376+0.001,_xlfn.MAXIFS(Stangenbelegung!$H$5:$H$10004,Stangenbelegung!$A$5:$A$10004,$A376)&gt;$D376-$F376+0.001),"ÜBERBELEGT","OK"))</f>
        <v/>
      </c>
      <c r="N376" s="24" t="n"/>
      <c r="O376" s="24" t="n"/>
      <c r="P376" s="9" t="n"/>
      <c r="Q376" s="18">
        <f>IF($A376="","",IFERROR($D376/1000*INDEX(Profile!$K$5:$K$304,MATCH($B376,lst_Profil,0))*INDEX(Werkstoffe!$E$5:$E$304,MATCH($C376,lst_Werkstoff,0))/1000,""))</f>
        <v/>
      </c>
      <c r="R376" s="18">
        <f>IF($A376="","",IF(N(_xlfn.MAXIFS(Auftrag!$AP$13:$AP$512,Auftrag!$D$13:$D$512,$B376,Auftrag!$E$13:$E$512,$C376,Auftrag!$Q$13:$Q$512,$D376))&gt;0,_xlfn.MAXIFS(Auftrag!$AP$13:$AP$512,Auftrag!$D$13:$D$512,$B376,Auftrag!$E$13:$E$512,$C376,Auftrag!$Q$13:$Q$512,$D376)*$D376/1000,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9" t="n"/>
      <c r="E377" s="24" t="n"/>
      <c r="F377" s="24" t="n"/>
      <c r="G377" s="12">
        <f>IF($A377="","",COUNTIFS(Stangenbelegung!$A$5:$A$10004,$A377))</f>
        <v/>
      </c>
      <c r="H377" s="35">
        <f>IF($A377="","",SUMIFS(Stangenbelegung!$F$5:$F$10004,Stangenbelegung!$A$5:$A$10004,$A377))</f>
        <v/>
      </c>
      <c r="I377" s="23" t="n"/>
      <c r="J377" s="35">
        <f>IF($A377="","",$E377+H377+$I377)</f>
        <v/>
      </c>
      <c r="K377" s="35">
        <f>IF($A377="","",$D377-J377)</f>
        <v/>
      </c>
      <c r="L377" s="32">
        <f>IF($A377="","",H377/$D377)</f>
        <v/>
      </c>
      <c r="M377" s="28">
        <f>IF($A377="","",IF(OR(J377+$F377&gt;$D377+0.001,_xlfn.MAXIFS(Stangenbelegung!$H$5:$H$10004,Stangenbelegung!$A$5:$A$10004,$A377)&gt;$D377-$F377+0.001),"ÜBERBELEGT","OK"))</f>
        <v/>
      </c>
      <c r="N377" s="24" t="n"/>
      <c r="O377" s="24" t="n"/>
      <c r="P377" s="9" t="n"/>
      <c r="Q377" s="18">
        <f>IF($A377="","",IFERROR($D377/1000*INDEX(Profile!$K$5:$K$304,MATCH($B377,lst_Profil,0))*INDEX(Werkstoffe!$E$5:$E$304,MATCH($C377,lst_Werkstoff,0))/1000,""))</f>
        <v/>
      </c>
      <c r="R377" s="18">
        <f>IF($A377="","",IF(N(_xlfn.MAXIFS(Auftrag!$AP$13:$AP$512,Auftrag!$D$13:$D$512,$B377,Auftrag!$E$13:$E$512,$C377,Auftrag!$Q$13:$Q$512,$D377))&gt;0,_xlfn.MAXIFS(Auftrag!$AP$13:$AP$512,Auftrag!$D$13:$D$512,$B377,Auftrag!$E$13:$E$512,$C377,Auftrag!$Q$13:$Q$512,$D377)*$D377/1000,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9" t="n"/>
      <c r="E378" s="24" t="n"/>
      <c r="F378" s="24" t="n"/>
      <c r="G378" s="12">
        <f>IF($A378="","",COUNTIFS(Stangenbelegung!$A$5:$A$10004,$A378))</f>
        <v/>
      </c>
      <c r="H378" s="35">
        <f>IF($A378="","",SUMIFS(Stangenbelegung!$F$5:$F$10004,Stangenbelegung!$A$5:$A$10004,$A378))</f>
        <v/>
      </c>
      <c r="I378" s="23" t="n"/>
      <c r="J378" s="35">
        <f>IF($A378="","",$E378+H378+$I378)</f>
        <v/>
      </c>
      <c r="K378" s="35">
        <f>IF($A378="","",$D378-J378)</f>
        <v/>
      </c>
      <c r="L378" s="32">
        <f>IF($A378="","",H378/$D378)</f>
        <v/>
      </c>
      <c r="M378" s="28">
        <f>IF($A378="","",IF(OR(J378+$F378&gt;$D378+0.001,_xlfn.MAXIFS(Stangenbelegung!$H$5:$H$10004,Stangenbelegung!$A$5:$A$10004,$A378)&gt;$D378-$F378+0.001),"ÜBERBELEGT","OK"))</f>
        <v/>
      </c>
      <c r="N378" s="24" t="n"/>
      <c r="O378" s="24" t="n"/>
      <c r="P378" s="9" t="n"/>
      <c r="Q378" s="18">
        <f>IF($A378="","",IFERROR($D378/1000*INDEX(Profile!$K$5:$K$304,MATCH($B378,lst_Profil,0))*INDEX(Werkstoffe!$E$5:$E$304,MATCH($C378,lst_Werkstoff,0))/1000,""))</f>
        <v/>
      </c>
      <c r="R378" s="18">
        <f>IF($A378="","",IF(N(_xlfn.MAXIFS(Auftrag!$AP$13:$AP$512,Auftrag!$D$13:$D$512,$B378,Auftrag!$E$13:$E$512,$C378,Auftrag!$Q$13:$Q$512,$D378))&gt;0,_xlfn.MAXIFS(Auftrag!$AP$13:$AP$512,Auftrag!$D$13:$D$512,$B378,Auftrag!$E$13:$E$512,$C378,Auftrag!$Q$13:$Q$512,$D378)*$D378/1000,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9" t="n"/>
      <c r="E379" s="24" t="n"/>
      <c r="F379" s="24" t="n"/>
      <c r="G379" s="12">
        <f>IF($A379="","",COUNTIFS(Stangenbelegung!$A$5:$A$10004,$A379))</f>
        <v/>
      </c>
      <c r="H379" s="35">
        <f>IF($A379="","",SUMIFS(Stangenbelegung!$F$5:$F$10004,Stangenbelegung!$A$5:$A$10004,$A379))</f>
        <v/>
      </c>
      <c r="I379" s="23" t="n"/>
      <c r="J379" s="35">
        <f>IF($A379="","",$E379+H379+$I379)</f>
        <v/>
      </c>
      <c r="K379" s="35">
        <f>IF($A379="","",$D379-J379)</f>
        <v/>
      </c>
      <c r="L379" s="32">
        <f>IF($A379="","",H379/$D379)</f>
        <v/>
      </c>
      <c r="M379" s="28">
        <f>IF($A379="","",IF(OR(J379+$F379&gt;$D379+0.001,_xlfn.MAXIFS(Stangenbelegung!$H$5:$H$10004,Stangenbelegung!$A$5:$A$10004,$A379)&gt;$D379-$F379+0.001),"ÜBERBELEGT","OK"))</f>
        <v/>
      </c>
      <c r="N379" s="24" t="n"/>
      <c r="O379" s="24" t="n"/>
      <c r="P379" s="9" t="n"/>
      <c r="Q379" s="18">
        <f>IF($A379="","",IFERROR($D379/1000*INDEX(Profile!$K$5:$K$304,MATCH($B379,lst_Profil,0))*INDEX(Werkstoffe!$E$5:$E$304,MATCH($C379,lst_Werkstoff,0))/1000,""))</f>
        <v/>
      </c>
      <c r="R379" s="18">
        <f>IF($A379="","",IF(N(_xlfn.MAXIFS(Auftrag!$AP$13:$AP$512,Auftrag!$D$13:$D$512,$B379,Auftrag!$E$13:$E$512,$C379,Auftrag!$Q$13:$Q$512,$D379))&gt;0,_xlfn.MAXIFS(Auftrag!$AP$13:$AP$512,Auftrag!$D$13:$D$512,$B379,Auftrag!$E$13:$E$512,$C379,Auftrag!$Q$13:$Q$512,$D379)*$D379/1000,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9" t="n"/>
      <c r="E380" s="24" t="n"/>
      <c r="F380" s="24" t="n"/>
      <c r="G380" s="12">
        <f>IF($A380="","",COUNTIFS(Stangenbelegung!$A$5:$A$10004,$A380))</f>
        <v/>
      </c>
      <c r="H380" s="35">
        <f>IF($A380="","",SUMIFS(Stangenbelegung!$F$5:$F$10004,Stangenbelegung!$A$5:$A$10004,$A380))</f>
        <v/>
      </c>
      <c r="I380" s="23" t="n"/>
      <c r="J380" s="35">
        <f>IF($A380="","",$E380+H380+$I380)</f>
        <v/>
      </c>
      <c r="K380" s="35">
        <f>IF($A380="","",$D380-J380)</f>
        <v/>
      </c>
      <c r="L380" s="32">
        <f>IF($A380="","",H380/$D380)</f>
        <v/>
      </c>
      <c r="M380" s="28">
        <f>IF($A380="","",IF(OR(J380+$F380&gt;$D380+0.001,_xlfn.MAXIFS(Stangenbelegung!$H$5:$H$10004,Stangenbelegung!$A$5:$A$10004,$A380)&gt;$D380-$F380+0.001),"ÜBERBELEGT","OK"))</f>
        <v/>
      </c>
      <c r="N380" s="24" t="n"/>
      <c r="O380" s="24" t="n"/>
      <c r="P380" s="9" t="n"/>
      <c r="Q380" s="18">
        <f>IF($A380="","",IFERROR($D380/1000*INDEX(Profile!$K$5:$K$304,MATCH($B380,lst_Profil,0))*INDEX(Werkstoffe!$E$5:$E$304,MATCH($C380,lst_Werkstoff,0))/1000,""))</f>
        <v/>
      </c>
      <c r="R380" s="18">
        <f>IF($A380="","",IF(N(_xlfn.MAXIFS(Auftrag!$AP$13:$AP$512,Auftrag!$D$13:$D$512,$B380,Auftrag!$E$13:$E$512,$C380,Auftrag!$Q$13:$Q$512,$D380))&gt;0,_xlfn.MAXIFS(Auftrag!$AP$13:$AP$512,Auftrag!$D$13:$D$512,$B380,Auftrag!$E$13:$E$512,$C380,Auftrag!$Q$13:$Q$512,$D380)*$D380/1000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9" t="n"/>
      <c r="E381" s="24" t="n"/>
      <c r="F381" s="24" t="n"/>
      <c r="G381" s="12">
        <f>IF($A381="","",COUNTIFS(Stangenbelegung!$A$5:$A$10004,$A381))</f>
        <v/>
      </c>
      <c r="H381" s="35">
        <f>IF($A381="","",SUMIFS(Stangenbelegung!$F$5:$F$10004,Stangenbelegung!$A$5:$A$10004,$A381))</f>
        <v/>
      </c>
      <c r="I381" s="23" t="n"/>
      <c r="J381" s="35">
        <f>IF($A381="","",$E381+H381+$I381)</f>
        <v/>
      </c>
      <c r="K381" s="35">
        <f>IF($A381="","",$D381-J381)</f>
        <v/>
      </c>
      <c r="L381" s="32">
        <f>IF($A381="","",H381/$D381)</f>
        <v/>
      </c>
      <c r="M381" s="28">
        <f>IF($A381="","",IF(OR(J381+$F381&gt;$D381+0.001,_xlfn.MAXIFS(Stangenbelegung!$H$5:$H$10004,Stangenbelegung!$A$5:$A$10004,$A381)&gt;$D381-$F381+0.001),"ÜBERBELEGT","OK"))</f>
        <v/>
      </c>
      <c r="N381" s="24" t="n"/>
      <c r="O381" s="24" t="n"/>
      <c r="P381" s="9" t="n"/>
      <c r="Q381" s="18">
        <f>IF($A381="","",IFERROR($D381/1000*INDEX(Profile!$K$5:$K$304,MATCH($B381,lst_Profil,0))*INDEX(Werkstoffe!$E$5:$E$304,MATCH($C381,lst_Werkstoff,0))/1000,""))</f>
        <v/>
      </c>
      <c r="R381" s="18">
        <f>IF($A381="","",IF(N(_xlfn.MAXIFS(Auftrag!$AP$13:$AP$512,Auftrag!$D$13:$D$512,$B381,Auftrag!$E$13:$E$512,$C381,Auftrag!$Q$13:$Q$512,$D381))&gt;0,_xlfn.MAXIFS(Auftrag!$AP$13:$AP$512,Auftrag!$D$13:$D$512,$B381,Auftrag!$E$13:$E$512,$C381,Auftrag!$Q$13:$Q$512,$D381)*$D381/1000,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9" t="n"/>
      <c r="E382" s="24" t="n"/>
      <c r="F382" s="24" t="n"/>
      <c r="G382" s="12">
        <f>IF($A382="","",COUNTIFS(Stangenbelegung!$A$5:$A$10004,$A382))</f>
        <v/>
      </c>
      <c r="H382" s="35">
        <f>IF($A382="","",SUMIFS(Stangenbelegung!$F$5:$F$10004,Stangenbelegung!$A$5:$A$10004,$A382))</f>
        <v/>
      </c>
      <c r="I382" s="23" t="n"/>
      <c r="J382" s="35">
        <f>IF($A382="","",$E382+H382+$I382)</f>
        <v/>
      </c>
      <c r="K382" s="35">
        <f>IF($A382="","",$D382-J382)</f>
        <v/>
      </c>
      <c r="L382" s="32">
        <f>IF($A382="","",H382/$D382)</f>
        <v/>
      </c>
      <c r="M382" s="28">
        <f>IF($A382="","",IF(OR(J382+$F382&gt;$D382+0.001,_xlfn.MAXIFS(Stangenbelegung!$H$5:$H$10004,Stangenbelegung!$A$5:$A$10004,$A382)&gt;$D382-$F382+0.001),"ÜBERBELEGT","OK"))</f>
        <v/>
      </c>
      <c r="N382" s="24" t="n"/>
      <c r="O382" s="24" t="n"/>
      <c r="P382" s="9" t="n"/>
      <c r="Q382" s="18">
        <f>IF($A382="","",IFERROR($D382/1000*INDEX(Profile!$K$5:$K$304,MATCH($B382,lst_Profil,0))*INDEX(Werkstoffe!$E$5:$E$304,MATCH($C382,lst_Werkstoff,0))/1000,""))</f>
        <v/>
      </c>
      <c r="R382" s="18">
        <f>IF($A382="","",IF(N(_xlfn.MAXIFS(Auftrag!$AP$13:$AP$512,Auftrag!$D$13:$D$512,$B382,Auftrag!$E$13:$E$512,$C382,Auftrag!$Q$13:$Q$512,$D382))&gt;0,_xlfn.MAXIFS(Auftrag!$AP$13:$AP$512,Auftrag!$D$13:$D$512,$B382,Auftrag!$E$13:$E$512,$C382,Auftrag!$Q$13:$Q$512,$D382)*$D382/1000,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9" t="n"/>
      <c r="E383" s="24" t="n"/>
      <c r="F383" s="24" t="n"/>
      <c r="G383" s="12">
        <f>IF($A383="","",COUNTIFS(Stangenbelegung!$A$5:$A$10004,$A383))</f>
        <v/>
      </c>
      <c r="H383" s="35">
        <f>IF($A383="","",SUMIFS(Stangenbelegung!$F$5:$F$10004,Stangenbelegung!$A$5:$A$10004,$A383))</f>
        <v/>
      </c>
      <c r="I383" s="23" t="n"/>
      <c r="J383" s="35">
        <f>IF($A383="","",$E383+H383+$I383)</f>
        <v/>
      </c>
      <c r="K383" s="35">
        <f>IF($A383="","",$D383-J383)</f>
        <v/>
      </c>
      <c r="L383" s="32">
        <f>IF($A383="","",H383/$D383)</f>
        <v/>
      </c>
      <c r="M383" s="28">
        <f>IF($A383="","",IF(OR(J383+$F383&gt;$D383+0.001,_xlfn.MAXIFS(Stangenbelegung!$H$5:$H$10004,Stangenbelegung!$A$5:$A$10004,$A383)&gt;$D383-$F383+0.001),"ÜBERBELEGT","OK"))</f>
        <v/>
      </c>
      <c r="N383" s="24" t="n"/>
      <c r="O383" s="24" t="n"/>
      <c r="P383" s="9" t="n"/>
      <c r="Q383" s="18">
        <f>IF($A383="","",IFERROR($D383/1000*INDEX(Profile!$K$5:$K$304,MATCH($B383,lst_Profil,0))*INDEX(Werkstoffe!$E$5:$E$304,MATCH($C383,lst_Werkstoff,0))/1000,""))</f>
        <v/>
      </c>
      <c r="R383" s="18">
        <f>IF($A383="","",IF(N(_xlfn.MAXIFS(Auftrag!$AP$13:$AP$512,Auftrag!$D$13:$D$512,$B383,Auftrag!$E$13:$E$512,$C383,Auftrag!$Q$13:$Q$512,$D383))&gt;0,_xlfn.MAXIFS(Auftrag!$AP$13:$AP$512,Auftrag!$D$13:$D$512,$B383,Auftrag!$E$13:$E$512,$C383,Auftrag!$Q$13:$Q$512,$D383)*$D383/1000,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9" t="n"/>
      <c r="E384" s="24" t="n"/>
      <c r="F384" s="24" t="n"/>
      <c r="G384" s="12">
        <f>IF($A384="","",COUNTIFS(Stangenbelegung!$A$5:$A$10004,$A384))</f>
        <v/>
      </c>
      <c r="H384" s="35">
        <f>IF($A384="","",SUMIFS(Stangenbelegung!$F$5:$F$10004,Stangenbelegung!$A$5:$A$10004,$A384))</f>
        <v/>
      </c>
      <c r="I384" s="23" t="n"/>
      <c r="J384" s="35">
        <f>IF($A384="","",$E384+H384+$I384)</f>
        <v/>
      </c>
      <c r="K384" s="35">
        <f>IF($A384="","",$D384-J384)</f>
        <v/>
      </c>
      <c r="L384" s="32">
        <f>IF($A384="","",H384/$D384)</f>
        <v/>
      </c>
      <c r="M384" s="28">
        <f>IF($A384="","",IF(OR(J384+$F384&gt;$D384+0.001,_xlfn.MAXIFS(Stangenbelegung!$H$5:$H$10004,Stangenbelegung!$A$5:$A$10004,$A384)&gt;$D384-$F384+0.001),"ÜBERBELEGT","OK"))</f>
        <v/>
      </c>
      <c r="N384" s="24" t="n"/>
      <c r="O384" s="24" t="n"/>
      <c r="P384" s="9" t="n"/>
      <c r="Q384" s="18">
        <f>IF($A384="","",IFERROR($D384/1000*INDEX(Profile!$K$5:$K$304,MATCH($B384,lst_Profil,0))*INDEX(Werkstoffe!$E$5:$E$304,MATCH($C384,lst_Werkstoff,0))/1000,""))</f>
        <v/>
      </c>
      <c r="R384" s="18">
        <f>IF($A384="","",IF(N(_xlfn.MAXIFS(Auftrag!$AP$13:$AP$512,Auftrag!$D$13:$D$512,$B384,Auftrag!$E$13:$E$512,$C384,Auftrag!$Q$13:$Q$512,$D384))&gt;0,_xlfn.MAXIFS(Auftrag!$AP$13:$AP$512,Auftrag!$D$13:$D$512,$B384,Auftrag!$E$13:$E$512,$C384,Auftrag!$Q$13:$Q$512,$D384)*$D384/1000,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9" t="n"/>
      <c r="E385" s="24" t="n"/>
      <c r="F385" s="24" t="n"/>
      <c r="G385" s="12">
        <f>IF($A385="","",COUNTIFS(Stangenbelegung!$A$5:$A$10004,$A385))</f>
        <v/>
      </c>
      <c r="H385" s="35">
        <f>IF($A385="","",SUMIFS(Stangenbelegung!$F$5:$F$10004,Stangenbelegung!$A$5:$A$10004,$A385))</f>
        <v/>
      </c>
      <c r="I385" s="23" t="n"/>
      <c r="J385" s="35">
        <f>IF($A385="","",$E385+H385+$I385)</f>
        <v/>
      </c>
      <c r="K385" s="35">
        <f>IF($A385="","",$D385-J385)</f>
        <v/>
      </c>
      <c r="L385" s="32">
        <f>IF($A385="","",H385/$D385)</f>
        <v/>
      </c>
      <c r="M385" s="28">
        <f>IF($A385="","",IF(OR(J385+$F385&gt;$D385+0.001,_xlfn.MAXIFS(Stangenbelegung!$H$5:$H$10004,Stangenbelegung!$A$5:$A$10004,$A385)&gt;$D385-$F385+0.001),"ÜBERBELEGT","OK"))</f>
        <v/>
      </c>
      <c r="N385" s="24" t="n"/>
      <c r="O385" s="24" t="n"/>
      <c r="P385" s="9" t="n"/>
      <c r="Q385" s="18">
        <f>IF($A385="","",IFERROR($D385/1000*INDEX(Profile!$K$5:$K$304,MATCH($B385,lst_Profil,0))*INDEX(Werkstoffe!$E$5:$E$304,MATCH($C385,lst_Werkstoff,0))/1000,""))</f>
        <v/>
      </c>
      <c r="R385" s="18">
        <f>IF($A385="","",IF(N(_xlfn.MAXIFS(Auftrag!$AP$13:$AP$512,Auftrag!$D$13:$D$512,$B385,Auftrag!$E$13:$E$512,$C385,Auftrag!$Q$13:$Q$512,$D385))&gt;0,_xlfn.MAXIFS(Auftrag!$AP$13:$AP$512,Auftrag!$D$13:$D$512,$B385,Auftrag!$E$13:$E$512,$C385,Auftrag!$Q$13:$Q$512,$D385)*$D385/1000,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9" t="n"/>
      <c r="E386" s="24" t="n"/>
      <c r="F386" s="24" t="n"/>
      <c r="G386" s="12">
        <f>IF($A386="","",COUNTIFS(Stangenbelegung!$A$5:$A$10004,$A386))</f>
        <v/>
      </c>
      <c r="H386" s="35">
        <f>IF($A386="","",SUMIFS(Stangenbelegung!$F$5:$F$10004,Stangenbelegung!$A$5:$A$10004,$A386))</f>
        <v/>
      </c>
      <c r="I386" s="23" t="n"/>
      <c r="J386" s="35">
        <f>IF($A386="","",$E386+H386+$I386)</f>
        <v/>
      </c>
      <c r="K386" s="35">
        <f>IF($A386="","",$D386-J386)</f>
        <v/>
      </c>
      <c r="L386" s="32">
        <f>IF($A386="","",H386/$D386)</f>
        <v/>
      </c>
      <c r="M386" s="28">
        <f>IF($A386="","",IF(OR(J386+$F386&gt;$D386+0.001,_xlfn.MAXIFS(Stangenbelegung!$H$5:$H$10004,Stangenbelegung!$A$5:$A$10004,$A386)&gt;$D386-$F386+0.001),"ÜBERBELEGT","OK"))</f>
        <v/>
      </c>
      <c r="N386" s="24" t="n"/>
      <c r="O386" s="24" t="n"/>
      <c r="P386" s="9" t="n"/>
      <c r="Q386" s="18">
        <f>IF($A386="","",IFERROR($D386/1000*INDEX(Profile!$K$5:$K$304,MATCH($B386,lst_Profil,0))*INDEX(Werkstoffe!$E$5:$E$304,MATCH($C386,lst_Werkstoff,0))/1000,""))</f>
        <v/>
      </c>
      <c r="R386" s="18">
        <f>IF($A386="","",IF(N(_xlfn.MAXIFS(Auftrag!$AP$13:$AP$512,Auftrag!$D$13:$D$512,$B386,Auftrag!$E$13:$E$512,$C386,Auftrag!$Q$13:$Q$512,$D386))&gt;0,_xlfn.MAXIFS(Auftrag!$AP$13:$AP$512,Auftrag!$D$13:$D$512,$B386,Auftrag!$E$13:$E$512,$C386,Auftrag!$Q$13:$Q$512,$D386)*$D386/1000,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9" t="n"/>
      <c r="E387" s="24" t="n"/>
      <c r="F387" s="24" t="n"/>
      <c r="G387" s="12">
        <f>IF($A387="","",COUNTIFS(Stangenbelegung!$A$5:$A$10004,$A387))</f>
        <v/>
      </c>
      <c r="H387" s="35">
        <f>IF($A387="","",SUMIFS(Stangenbelegung!$F$5:$F$10004,Stangenbelegung!$A$5:$A$10004,$A387))</f>
        <v/>
      </c>
      <c r="I387" s="23" t="n"/>
      <c r="J387" s="35">
        <f>IF($A387="","",$E387+H387+$I387)</f>
        <v/>
      </c>
      <c r="K387" s="35">
        <f>IF($A387="","",$D387-J387)</f>
        <v/>
      </c>
      <c r="L387" s="32">
        <f>IF($A387="","",H387/$D387)</f>
        <v/>
      </c>
      <c r="M387" s="28">
        <f>IF($A387="","",IF(OR(J387+$F387&gt;$D387+0.001,_xlfn.MAXIFS(Stangenbelegung!$H$5:$H$10004,Stangenbelegung!$A$5:$A$10004,$A387)&gt;$D387-$F387+0.001),"ÜBERBELEGT","OK"))</f>
        <v/>
      </c>
      <c r="N387" s="24" t="n"/>
      <c r="O387" s="24" t="n"/>
      <c r="P387" s="9" t="n"/>
      <c r="Q387" s="18">
        <f>IF($A387="","",IFERROR($D387/1000*INDEX(Profile!$K$5:$K$304,MATCH($B387,lst_Profil,0))*INDEX(Werkstoffe!$E$5:$E$304,MATCH($C387,lst_Werkstoff,0))/1000,""))</f>
        <v/>
      </c>
      <c r="R387" s="18">
        <f>IF($A387="","",IF(N(_xlfn.MAXIFS(Auftrag!$AP$13:$AP$512,Auftrag!$D$13:$D$512,$B387,Auftrag!$E$13:$E$512,$C387,Auftrag!$Q$13:$Q$512,$D387))&gt;0,_xlfn.MAXIFS(Auftrag!$AP$13:$AP$512,Auftrag!$D$13:$D$512,$B387,Auftrag!$E$13:$E$512,$C387,Auftrag!$Q$13:$Q$512,$D387)*$D387/1000,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9" t="n"/>
      <c r="E388" s="24" t="n"/>
      <c r="F388" s="24" t="n"/>
      <c r="G388" s="12">
        <f>IF($A388="","",COUNTIFS(Stangenbelegung!$A$5:$A$10004,$A388))</f>
        <v/>
      </c>
      <c r="H388" s="35">
        <f>IF($A388="","",SUMIFS(Stangenbelegung!$F$5:$F$10004,Stangenbelegung!$A$5:$A$10004,$A388))</f>
        <v/>
      </c>
      <c r="I388" s="23" t="n"/>
      <c r="J388" s="35">
        <f>IF($A388="","",$E388+H388+$I388)</f>
        <v/>
      </c>
      <c r="K388" s="35">
        <f>IF($A388="","",$D388-J388)</f>
        <v/>
      </c>
      <c r="L388" s="32">
        <f>IF($A388="","",H388/$D388)</f>
        <v/>
      </c>
      <c r="M388" s="28">
        <f>IF($A388="","",IF(OR(J388+$F388&gt;$D388+0.001,_xlfn.MAXIFS(Stangenbelegung!$H$5:$H$10004,Stangenbelegung!$A$5:$A$10004,$A388)&gt;$D388-$F388+0.001),"ÜBERBELEGT","OK"))</f>
        <v/>
      </c>
      <c r="N388" s="24" t="n"/>
      <c r="O388" s="24" t="n"/>
      <c r="P388" s="9" t="n"/>
      <c r="Q388" s="18">
        <f>IF($A388="","",IFERROR($D388/1000*INDEX(Profile!$K$5:$K$304,MATCH($B388,lst_Profil,0))*INDEX(Werkstoffe!$E$5:$E$304,MATCH($C388,lst_Werkstoff,0))/1000,""))</f>
        <v/>
      </c>
      <c r="R388" s="18">
        <f>IF($A388="","",IF(N(_xlfn.MAXIFS(Auftrag!$AP$13:$AP$512,Auftrag!$D$13:$D$512,$B388,Auftrag!$E$13:$E$512,$C388,Auftrag!$Q$13:$Q$512,$D388))&gt;0,_xlfn.MAXIFS(Auftrag!$AP$13:$AP$512,Auftrag!$D$13:$D$512,$B388,Auftrag!$E$13:$E$512,$C388,Auftrag!$Q$13:$Q$512,$D388)*$D388/1000,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9" t="n"/>
      <c r="E389" s="24" t="n"/>
      <c r="F389" s="24" t="n"/>
      <c r="G389" s="12">
        <f>IF($A389="","",COUNTIFS(Stangenbelegung!$A$5:$A$10004,$A389))</f>
        <v/>
      </c>
      <c r="H389" s="35">
        <f>IF($A389="","",SUMIFS(Stangenbelegung!$F$5:$F$10004,Stangenbelegung!$A$5:$A$10004,$A389))</f>
        <v/>
      </c>
      <c r="I389" s="23" t="n"/>
      <c r="J389" s="35">
        <f>IF($A389="","",$E389+H389+$I389)</f>
        <v/>
      </c>
      <c r="K389" s="35">
        <f>IF($A389="","",$D389-J389)</f>
        <v/>
      </c>
      <c r="L389" s="32">
        <f>IF($A389="","",H389/$D389)</f>
        <v/>
      </c>
      <c r="M389" s="28">
        <f>IF($A389="","",IF(OR(J389+$F389&gt;$D389+0.001,_xlfn.MAXIFS(Stangenbelegung!$H$5:$H$10004,Stangenbelegung!$A$5:$A$10004,$A389)&gt;$D389-$F389+0.001),"ÜBERBELEGT","OK"))</f>
        <v/>
      </c>
      <c r="N389" s="24" t="n"/>
      <c r="O389" s="24" t="n"/>
      <c r="P389" s="9" t="n"/>
      <c r="Q389" s="18">
        <f>IF($A389="","",IFERROR($D389/1000*INDEX(Profile!$K$5:$K$304,MATCH($B389,lst_Profil,0))*INDEX(Werkstoffe!$E$5:$E$304,MATCH($C389,lst_Werkstoff,0))/1000,""))</f>
        <v/>
      </c>
      <c r="R389" s="18">
        <f>IF($A389="","",IF(N(_xlfn.MAXIFS(Auftrag!$AP$13:$AP$512,Auftrag!$D$13:$D$512,$B389,Auftrag!$E$13:$E$512,$C389,Auftrag!$Q$13:$Q$512,$D389))&gt;0,_xlfn.MAXIFS(Auftrag!$AP$13:$AP$512,Auftrag!$D$13:$D$512,$B389,Auftrag!$E$13:$E$512,$C389,Auftrag!$Q$13:$Q$512,$D389)*$D389/1000,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9" t="n"/>
      <c r="E390" s="24" t="n"/>
      <c r="F390" s="24" t="n"/>
      <c r="G390" s="12">
        <f>IF($A390="","",COUNTIFS(Stangenbelegung!$A$5:$A$10004,$A390))</f>
        <v/>
      </c>
      <c r="H390" s="35">
        <f>IF($A390="","",SUMIFS(Stangenbelegung!$F$5:$F$10004,Stangenbelegung!$A$5:$A$10004,$A390))</f>
        <v/>
      </c>
      <c r="I390" s="23" t="n"/>
      <c r="J390" s="35">
        <f>IF($A390="","",$E390+H390+$I390)</f>
        <v/>
      </c>
      <c r="K390" s="35">
        <f>IF($A390="","",$D390-J390)</f>
        <v/>
      </c>
      <c r="L390" s="32">
        <f>IF($A390="","",H390/$D390)</f>
        <v/>
      </c>
      <c r="M390" s="28">
        <f>IF($A390="","",IF(OR(J390+$F390&gt;$D390+0.001,_xlfn.MAXIFS(Stangenbelegung!$H$5:$H$10004,Stangenbelegung!$A$5:$A$10004,$A390)&gt;$D390-$F390+0.001),"ÜBERBELEGT","OK"))</f>
        <v/>
      </c>
      <c r="N390" s="24" t="n"/>
      <c r="O390" s="24" t="n"/>
      <c r="P390" s="9" t="n"/>
      <c r="Q390" s="18">
        <f>IF($A390="","",IFERROR($D390/1000*INDEX(Profile!$K$5:$K$304,MATCH($B390,lst_Profil,0))*INDEX(Werkstoffe!$E$5:$E$304,MATCH($C390,lst_Werkstoff,0))/1000,""))</f>
        <v/>
      </c>
      <c r="R390" s="18">
        <f>IF($A390="","",IF(N(_xlfn.MAXIFS(Auftrag!$AP$13:$AP$512,Auftrag!$D$13:$D$512,$B390,Auftrag!$E$13:$E$512,$C390,Auftrag!$Q$13:$Q$512,$D390))&gt;0,_xlfn.MAXIFS(Auftrag!$AP$13:$AP$512,Auftrag!$D$13:$D$512,$B390,Auftrag!$E$13:$E$512,$C390,Auftrag!$Q$13:$Q$512,$D390)*$D390/1000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9" t="n"/>
      <c r="E391" s="24" t="n"/>
      <c r="F391" s="24" t="n"/>
      <c r="G391" s="12">
        <f>IF($A391="","",COUNTIFS(Stangenbelegung!$A$5:$A$10004,$A391))</f>
        <v/>
      </c>
      <c r="H391" s="35">
        <f>IF($A391="","",SUMIFS(Stangenbelegung!$F$5:$F$10004,Stangenbelegung!$A$5:$A$10004,$A391))</f>
        <v/>
      </c>
      <c r="I391" s="23" t="n"/>
      <c r="J391" s="35">
        <f>IF($A391="","",$E391+H391+$I391)</f>
        <v/>
      </c>
      <c r="K391" s="35">
        <f>IF($A391="","",$D391-J391)</f>
        <v/>
      </c>
      <c r="L391" s="32">
        <f>IF($A391="","",H391/$D391)</f>
        <v/>
      </c>
      <c r="M391" s="28">
        <f>IF($A391="","",IF(OR(J391+$F391&gt;$D391+0.001,_xlfn.MAXIFS(Stangenbelegung!$H$5:$H$10004,Stangenbelegung!$A$5:$A$10004,$A391)&gt;$D391-$F391+0.001),"ÜBERBELEGT","OK"))</f>
        <v/>
      </c>
      <c r="N391" s="24" t="n"/>
      <c r="O391" s="24" t="n"/>
      <c r="P391" s="9" t="n"/>
      <c r="Q391" s="18">
        <f>IF($A391="","",IFERROR($D391/1000*INDEX(Profile!$K$5:$K$304,MATCH($B391,lst_Profil,0))*INDEX(Werkstoffe!$E$5:$E$304,MATCH($C391,lst_Werkstoff,0))/1000,""))</f>
        <v/>
      </c>
      <c r="R391" s="18">
        <f>IF($A391="","",IF(N(_xlfn.MAXIFS(Auftrag!$AP$13:$AP$512,Auftrag!$D$13:$D$512,$B391,Auftrag!$E$13:$E$512,$C391,Auftrag!$Q$13:$Q$512,$D391))&gt;0,_xlfn.MAXIFS(Auftrag!$AP$13:$AP$512,Auftrag!$D$13:$D$512,$B391,Auftrag!$E$13:$E$512,$C391,Auftrag!$Q$13:$Q$512,$D391)*$D391/1000,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9" t="n"/>
      <c r="E392" s="24" t="n"/>
      <c r="F392" s="24" t="n"/>
      <c r="G392" s="12">
        <f>IF($A392="","",COUNTIFS(Stangenbelegung!$A$5:$A$10004,$A392))</f>
        <v/>
      </c>
      <c r="H392" s="35">
        <f>IF($A392="","",SUMIFS(Stangenbelegung!$F$5:$F$10004,Stangenbelegung!$A$5:$A$10004,$A392))</f>
        <v/>
      </c>
      <c r="I392" s="23" t="n"/>
      <c r="J392" s="35">
        <f>IF($A392="","",$E392+H392+$I392)</f>
        <v/>
      </c>
      <c r="K392" s="35">
        <f>IF($A392="","",$D392-J392)</f>
        <v/>
      </c>
      <c r="L392" s="32">
        <f>IF($A392="","",H392/$D392)</f>
        <v/>
      </c>
      <c r="M392" s="28">
        <f>IF($A392="","",IF(OR(J392+$F392&gt;$D392+0.001,_xlfn.MAXIFS(Stangenbelegung!$H$5:$H$10004,Stangenbelegung!$A$5:$A$10004,$A392)&gt;$D392-$F392+0.001),"ÜBERBELEGT","OK"))</f>
        <v/>
      </c>
      <c r="N392" s="24" t="n"/>
      <c r="O392" s="24" t="n"/>
      <c r="P392" s="9" t="n"/>
      <c r="Q392" s="18">
        <f>IF($A392="","",IFERROR($D392/1000*INDEX(Profile!$K$5:$K$304,MATCH($B392,lst_Profil,0))*INDEX(Werkstoffe!$E$5:$E$304,MATCH($C392,lst_Werkstoff,0))/1000,""))</f>
        <v/>
      </c>
      <c r="R392" s="18">
        <f>IF($A392="","",IF(N(_xlfn.MAXIFS(Auftrag!$AP$13:$AP$512,Auftrag!$D$13:$D$512,$B392,Auftrag!$E$13:$E$512,$C392,Auftrag!$Q$13:$Q$512,$D392))&gt;0,_xlfn.MAXIFS(Auftrag!$AP$13:$AP$512,Auftrag!$D$13:$D$512,$B392,Auftrag!$E$13:$E$512,$C392,Auftrag!$Q$13:$Q$512,$D392)*$D392/1000,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9" t="n"/>
      <c r="E393" s="24" t="n"/>
      <c r="F393" s="24" t="n"/>
      <c r="G393" s="12">
        <f>IF($A393="","",COUNTIFS(Stangenbelegung!$A$5:$A$10004,$A393))</f>
        <v/>
      </c>
      <c r="H393" s="35">
        <f>IF($A393="","",SUMIFS(Stangenbelegung!$F$5:$F$10004,Stangenbelegung!$A$5:$A$10004,$A393))</f>
        <v/>
      </c>
      <c r="I393" s="23" t="n"/>
      <c r="J393" s="35">
        <f>IF($A393="","",$E393+H393+$I393)</f>
        <v/>
      </c>
      <c r="K393" s="35">
        <f>IF($A393="","",$D393-J393)</f>
        <v/>
      </c>
      <c r="L393" s="32">
        <f>IF($A393="","",H393/$D393)</f>
        <v/>
      </c>
      <c r="M393" s="28">
        <f>IF($A393="","",IF(OR(J393+$F393&gt;$D393+0.001,_xlfn.MAXIFS(Stangenbelegung!$H$5:$H$10004,Stangenbelegung!$A$5:$A$10004,$A393)&gt;$D393-$F393+0.001),"ÜBERBELEGT","OK"))</f>
        <v/>
      </c>
      <c r="N393" s="24" t="n"/>
      <c r="O393" s="24" t="n"/>
      <c r="P393" s="9" t="n"/>
      <c r="Q393" s="18">
        <f>IF($A393="","",IFERROR($D393/1000*INDEX(Profile!$K$5:$K$304,MATCH($B393,lst_Profil,0))*INDEX(Werkstoffe!$E$5:$E$304,MATCH($C393,lst_Werkstoff,0))/1000,""))</f>
        <v/>
      </c>
      <c r="R393" s="18">
        <f>IF($A393="","",IF(N(_xlfn.MAXIFS(Auftrag!$AP$13:$AP$512,Auftrag!$D$13:$D$512,$B393,Auftrag!$E$13:$E$512,$C393,Auftrag!$Q$13:$Q$512,$D393))&gt;0,_xlfn.MAXIFS(Auftrag!$AP$13:$AP$512,Auftrag!$D$13:$D$512,$B393,Auftrag!$E$13:$E$512,$C393,Auftrag!$Q$13:$Q$512,$D393)*$D393/1000,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9" t="n"/>
      <c r="E394" s="24" t="n"/>
      <c r="F394" s="24" t="n"/>
      <c r="G394" s="12">
        <f>IF($A394="","",COUNTIFS(Stangenbelegung!$A$5:$A$10004,$A394))</f>
        <v/>
      </c>
      <c r="H394" s="35">
        <f>IF($A394="","",SUMIFS(Stangenbelegung!$F$5:$F$10004,Stangenbelegung!$A$5:$A$10004,$A394))</f>
        <v/>
      </c>
      <c r="I394" s="23" t="n"/>
      <c r="J394" s="35">
        <f>IF($A394="","",$E394+H394+$I394)</f>
        <v/>
      </c>
      <c r="K394" s="35">
        <f>IF($A394="","",$D394-J394)</f>
        <v/>
      </c>
      <c r="L394" s="32">
        <f>IF($A394="","",H394/$D394)</f>
        <v/>
      </c>
      <c r="M394" s="28">
        <f>IF($A394="","",IF(OR(J394+$F394&gt;$D394+0.001,_xlfn.MAXIFS(Stangenbelegung!$H$5:$H$10004,Stangenbelegung!$A$5:$A$10004,$A394)&gt;$D394-$F394+0.001),"ÜBERBELEGT","OK"))</f>
        <v/>
      </c>
      <c r="N394" s="24" t="n"/>
      <c r="O394" s="24" t="n"/>
      <c r="P394" s="9" t="n"/>
      <c r="Q394" s="18">
        <f>IF($A394="","",IFERROR($D394/1000*INDEX(Profile!$K$5:$K$304,MATCH($B394,lst_Profil,0))*INDEX(Werkstoffe!$E$5:$E$304,MATCH($C394,lst_Werkstoff,0))/1000,""))</f>
        <v/>
      </c>
      <c r="R394" s="18">
        <f>IF($A394="","",IF(N(_xlfn.MAXIFS(Auftrag!$AP$13:$AP$512,Auftrag!$D$13:$D$512,$B394,Auftrag!$E$13:$E$512,$C394,Auftrag!$Q$13:$Q$512,$D394))&gt;0,_xlfn.MAXIFS(Auftrag!$AP$13:$AP$512,Auftrag!$D$13:$D$512,$B394,Auftrag!$E$13:$E$512,$C394,Auftrag!$Q$13:$Q$512,$D394)*$D394/1000,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9" t="n"/>
      <c r="E395" s="24" t="n"/>
      <c r="F395" s="24" t="n"/>
      <c r="G395" s="12">
        <f>IF($A395="","",COUNTIFS(Stangenbelegung!$A$5:$A$10004,$A395))</f>
        <v/>
      </c>
      <c r="H395" s="35">
        <f>IF($A395="","",SUMIFS(Stangenbelegung!$F$5:$F$10004,Stangenbelegung!$A$5:$A$10004,$A395))</f>
        <v/>
      </c>
      <c r="I395" s="23" t="n"/>
      <c r="J395" s="35">
        <f>IF($A395="","",$E395+H395+$I395)</f>
        <v/>
      </c>
      <c r="K395" s="35">
        <f>IF($A395="","",$D395-J395)</f>
        <v/>
      </c>
      <c r="L395" s="32">
        <f>IF($A395="","",H395/$D395)</f>
        <v/>
      </c>
      <c r="M395" s="28">
        <f>IF($A395="","",IF(OR(J395+$F395&gt;$D395+0.001,_xlfn.MAXIFS(Stangenbelegung!$H$5:$H$10004,Stangenbelegung!$A$5:$A$10004,$A395)&gt;$D395-$F395+0.001),"ÜBERBELEGT","OK"))</f>
        <v/>
      </c>
      <c r="N395" s="24" t="n"/>
      <c r="O395" s="24" t="n"/>
      <c r="P395" s="9" t="n"/>
      <c r="Q395" s="18">
        <f>IF($A395="","",IFERROR($D395/1000*INDEX(Profile!$K$5:$K$304,MATCH($B395,lst_Profil,0))*INDEX(Werkstoffe!$E$5:$E$304,MATCH($C395,lst_Werkstoff,0))/1000,""))</f>
        <v/>
      </c>
      <c r="R395" s="18">
        <f>IF($A395="","",IF(N(_xlfn.MAXIFS(Auftrag!$AP$13:$AP$512,Auftrag!$D$13:$D$512,$B395,Auftrag!$E$13:$E$512,$C395,Auftrag!$Q$13:$Q$512,$D395))&gt;0,_xlfn.MAXIFS(Auftrag!$AP$13:$AP$512,Auftrag!$D$13:$D$512,$B395,Auftrag!$E$13:$E$512,$C395,Auftrag!$Q$13:$Q$512,$D395)*$D395/1000,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9" t="n"/>
      <c r="E396" s="24" t="n"/>
      <c r="F396" s="24" t="n"/>
      <c r="G396" s="12">
        <f>IF($A396="","",COUNTIFS(Stangenbelegung!$A$5:$A$10004,$A396))</f>
        <v/>
      </c>
      <c r="H396" s="35">
        <f>IF($A396="","",SUMIFS(Stangenbelegung!$F$5:$F$10004,Stangenbelegung!$A$5:$A$10004,$A396))</f>
        <v/>
      </c>
      <c r="I396" s="23" t="n"/>
      <c r="J396" s="35">
        <f>IF($A396="","",$E396+H396+$I396)</f>
        <v/>
      </c>
      <c r="K396" s="35">
        <f>IF($A396="","",$D396-J396)</f>
        <v/>
      </c>
      <c r="L396" s="32">
        <f>IF($A396="","",H396/$D396)</f>
        <v/>
      </c>
      <c r="M396" s="28">
        <f>IF($A396="","",IF(OR(J396+$F396&gt;$D396+0.001,_xlfn.MAXIFS(Stangenbelegung!$H$5:$H$10004,Stangenbelegung!$A$5:$A$10004,$A396)&gt;$D396-$F396+0.001),"ÜBERBELEGT","OK"))</f>
        <v/>
      </c>
      <c r="N396" s="24" t="n"/>
      <c r="O396" s="24" t="n"/>
      <c r="P396" s="9" t="n"/>
      <c r="Q396" s="18">
        <f>IF($A396="","",IFERROR($D396/1000*INDEX(Profile!$K$5:$K$304,MATCH($B396,lst_Profil,0))*INDEX(Werkstoffe!$E$5:$E$304,MATCH($C396,lst_Werkstoff,0))/1000,""))</f>
        <v/>
      </c>
      <c r="R396" s="18">
        <f>IF($A396="","",IF(N(_xlfn.MAXIFS(Auftrag!$AP$13:$AP$512,Auftrag!$D$13:$D$512,$B396,Auftrag!$E$13:$E$512,$C396,Auftrag!$Q$13:$Q$512,$D396))&gt;0,_xlfn.MAXIFS(Auftrag!$AP$13:$AP$512,Auftrag!$D$13:$D$512,$B396,Auftrag!$E$13:$E$512,$C396,Auftrag!$Q$13:$Q$512,$D396)*$D396/1000,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9" t="n"/>
      <c r="E397" s="24" t="n"/>
      <c r="F397" s="24" t="n"/>
      <c r="G397" s="12">
        <f>IF($A397="","",COUNTIFS(Stangenbelegung!$A$5:$A$10004,$A397))</f>
        <v/>
      </c>
      <c r="H397" s="35">
        <f>IF($A397="","",SUMIFS(Stangenbelegung!$F$5:$F$10004,Stangenbelegung!$A$5:$A$10004,$A397))</f>
        <v/>
      </c>
      <c r="I397" s="23" t="n"/>
      <c r="J397" s="35">
        <f>IF($A397="","",$E397+H397+$I397)</f>
        <v/>
      </c>
      <c r="K397" s="35">
        <f>IF($A397="","",$D397-J397)</f>
        <v/>
      </c>
      <c r="L397" s="32">
        <f>IF($A397="","",H397/$D397)</f>
        <v/>
      </c>
      <c r="M397" s="28">
        <f>IF($A397="","",IF(OR(J397+$F397&gt;$D397+0.001,_xlfn.MAXIFS(Stangenbelegung!$H$5:$H$10004,Stangenbelegung!$A$5:$A$10004,$A397)&gt;$D397-$F397+0.001),"ÜBERBELEGT","OK"))</f>
        <v/>
      </c>
      <c r="N397" s="24" t="n"/>
      <c r="O397" s="24" t="n"/>
      <c r="P397" s="9" t="n"/>
      <c r="Q397" s="18">
        <f>IF($A397="","",IFERROR($D397/1000*INDEX(Profile!$K$5:$K$304,MATCH($B397,lst_Profil,0))*INDEX(Werkstoffe!$E$5:$E$304,MATCH($C397,lst_Werkstoff,0))/1000,""))</f>
        <v/>
      </c>
      <c r="R397" s="18">
        <f>IF($A397="","",IF(N(_xlfn.MAXIFS(Auftrag!$AP$13:$AP$512,Auftrag!$D$13:$D$512,$B397,Auftrag!$E$13:$E$512,$C397,Auftrag!$Q$13:$Q$512,$D397))&gt;0,_xlfn.MAXIFS(Auftrag!$AP$13:$AP$512,Auftrag!$D$13:$D$512,$B397,Auftrag!$E$13:$E$512,$C397,Auftrag!$Q$13:$Q$512,$D397)*$D397/1000,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9" t="n"/>
      <c r="E398" s="24" t="n"/>
      <c r="F398" s="24" t="n"/>
      <c r="G398" s="12">
        <f>IF($A398="","",COUNTIFS(Stangenbelegung!$A$5:$A$10004,$A398))</f>
        <v/>
      </c>
      <c r="H398" s="35">
        <f>IF($A398="","",SUMIFS(Stangenbelegung!$F$5:$F$10004,Stangenbelegung!$A$5:$A$10004,$A398))</f>
        <v/>
      </c>
      <c r="I398" s="23" t="n"/>
      <c r="J398" s="35">
        <f>IF($A398="","",$E398+H398+$I398)</f>
        <v/>
      </c>
      <c r="K398" s="35">
        <f>IF($A398="","",$D398-J398)</f>
        <v/>
      </c>
      <c r="L398" s="32">
        <f>IF($A398="","",H398/$D398)</f>
        <v/>
      </c>
      <c r="M398" s="28">
        <f>IF($A398="","",IF(OR(J398+$F398&gt;$D398+0.001,_xlfn.MAXIFS(Stangenbelegung!$H$5:$H$10004,Stangenbelegung!$A$5:$A$10004,$A398)&gt;$D398-$F398+0.001),"ÜBERBELEGT","OK"))</f>
        <v/>
      </c>
      <c r="N398" s="24" t="n"/>
      <c r="O398" s="24" t="n"/>
      <c r="P398" s="9" t="n"/>
      <c r="Q398" s="18">
        <f>IF($A398="","",IFERROR($D398/1000*INDEX(Profile!$K$5:$K$304,MATCH($B398,lst_Profil,0))*INDEX(Werkstoffe!$E$5:$E$304,MATCH($C398,lst_Werkstoff,0))/1000,""))</f>
        <v/>
      </c>
      <c r="R398" s="18">
        <f>IF($A398="","",IF(N(_xlfn.MAXIFS(Auftrag!$AP$13:$AP$512,Auftrag!$D$13:$D$512,$B398,Auftrag!$E$13:$E$512,$C398,Auftrag!$Q$13:$Q$512,$D398))&gt;0,_xlfn.MAXIFS(Auftrag!$AP$13:$AP$512,Auftrag!$D$13:$D$512,$B398,Auftrag!$E$13:$E$512,$C398,Auftrag!$Q$13:$Q$512,$D398)*$D398/1000,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9" t="n"/>
      <c r="E399" s="24" t="n"/>
      <c r="F399" s="24" t="n"/>
      <c r="G399" s="12">
        <f>IF($A399="","",COUNTIFS(Stangenbelegung!$A$5:$A$10004,$A399))</f>
        <v/>
      </c>
      <c r="H399" s="35">
        <f>IF($A399="","",SUMIFS(Stangenbelegung!$F$5:$F$10004,Stangenbelegung!$A$5:$A$10004,$A399))</f>
        <v/>
      </c>
      <c r="I399" s="23" t="n"/>
      <c r="J399" s="35">
        <f>IF($A399="","",$E399+H399+$I399)</f>
        <v/>
      </c>
      <c r="K399" s="35">
        <f>IF($A399="","",$D399-J399)</f>
        <v/>
      </c>
      <c r="L399" s="32">
        <f>IF($A399="","",H399/$D399)</f>
        <v/>
      </c>
      <c r="M399" s="28">
        <f>IF($A399="","",IF(OR(J399+$F399&gt;$D399+0.001,_xlfn.MAXIFS(Stangenbelegung!$H$5:$H$10004,Stangenbelegung!$A$5:$A$10004,$A399)&gt;$D399-$F399+0.001),"ÜBERBELEGT","OK"))</f>
        <v/>
      </c>
      <c r="N399" s="24" t="n"/>
      <c r="O399" s="24" t="n"/>
      <c r="P399" s="9" t="n"/>
      <c r="Q399" s="18">
        <f>IF($A399="","",IFERROR($D399/1000*INDEX(Profile!$K$5:$K$304,MATCH($B399,lst_Profil,0))*INDEX(Werkstoffe!$E$5:$E$304,MATCH($C399,lst_Werkstoff,0))/1000,""))</f>
        <v/>
      </c>
      <c r="R399" s="18">
        <f>IF($A399="","",IF(N(_xlfn.MAXIFS(Auftrag!$AP$13:$AP$512,Auftrag!$D$13:$D$512,$B399,Auftrag!$E$13:$E$512,$C399,Auftrag!$Q$13:$Q$512,$D399))&gt;0,_xlfn.MAXIFS(Auftrag!$AP$13:$AP$512,Auftrag!$D$13:$D$512,$B399,Auftrag!$E$13:$E$512,$C399,Auftrag!$Q$13:$Q$512,$D399)*$D399/1000,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9" t="n"/>
      <c r="E400" s="24" t="n"/>
      <c r="F400" s="24" t="n"/>
      <c r="G400" s="12">
        <f>IF($A400="","",COUNTIFS(Stangenbelegung!$A$5:$A$10004,$A400))</f>
        <v/>
      </c>
      <c r="H400" s="35">
        <f>IF($A400="","",SUMIFS(Stangenbelegung!$F$5:$F$10004,Stangenbelegung!$A$5:$A$10004,$A400))</f>
        <v/>
      </c>
      <c r="I400" s="23" t="n"/>
      <c r="J400" s="35">
        <f>IF($A400="","",$E400+H400+$I400)</f>
        <v/>
      </c>
      <c r="K400" s="35">
        <f>IF($A400="","",$D400-J400)</f>
        <v/>
      </c>
      <c r="L400" s="32">
        <f>IF($A400="","",H400/$D400)</f>
        <v/>
      </c>
      <c r="M400" s="28">
        <f>IF($A400="","",IF(OR(J400+$F400&gt;$D400+0.001,_xlfn.MAXIFS(Stangenbelegung!$H$5:$H$10004,Stangenbelegung!$A$5:$A$10004,$A400)&gt;$D400-$F400+0.001),"ÜBERBELEGT","OK"))</f>
        <v/>
      </c>
      <c r="N400" s="24" t="n"/>
      <c r="O400" s="24" t="n"/>
      <c r="P400" s="9" t="n"/>
      <c r="Q400" s="18">
        <f>IF($A400="","",IFERROR($D400/1000*INDEX(Profile!$K$5:$K$304,MATCH($B400,lst_Profil,0))*INDEX(Werkstoffe!$E$5:$E$304,MATCH($C400,lst_Werkstoff,0))/1000,""))</f>
        <v/>
      </c>
      <c r="R400" s="18">
        <f>IF($A400="","",IF(N(_xlfn.MAXIFS(Auftrag!$AP$13:$AP$512,Auftrag!$D$13:$D$512,$B400,Auftrag!$E$13:$E$512,$C400,Auftrag!$Q$13:$Q$512,$D400))&gt;0,_xlfn.MAXIFS(Auftrag!$AP$13:$AP$512,Auftrag!$D$13:$D$512,$B400,Auftrag!$E$13:$E$512,$C400,Auftrag!$Q$13:$Q$512,$D400)*$D400/1000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9" t="n"/>
      <c r="E401" s="24" t="n"/>
      <c r="F401" s="24" t="n"/>
      <c r="G401" s="12">
        <f>IF($A401="","",COUNTIFS(Stangenbelegung!$A$5:$A$10004,$A401))</f>
        <v/>
      </c>
      <c r="H401" s="35">
        <f>IF($A401="","",SUMIFS(Stangenbelegung!$F$5:$F$10004,Stangenbelegung!$A$5:$A$10004,$A401))</f>
        <v/>
      </c>
      <c r="I401" s="23" t="n"/>
      <c r="J401" s="35">
        <f>IF($A401="","",$E401+H401+$I401)</f>
        <v/>
      </c>
      <c r="K401" s="35">
        <f>IF($A401="","",$D401-J401)</f>
        <v/>
      </c>
      <c r="L401" s="32">
        <f>IF($A401="","",H401/$D401)</f>
        <v/>
      </c>
      <c r="M401" s="28">
        <f>IF($A401="","",IF(OR(J401+$F401&gt;$D401+0.001,_xlfn.MAXIFS(Stangenbelegung!$H$5:$H$10004,Stangenbelegung!$A$5:$A$10004,$A401)&gt;$D401-$F401+0.001),"ÜBERBELEGT","OK"))</f>
        <v/>
      </c>
      <c r="N401" s="24" t="n"/>
      <c r="O401" s="24" t="n"/>
      <c r="P401" s="9" t="n"/>
      <c r="Q401" s="18">
        <f>IF($A401="","",IFERROR($D401/1000*INDEX(Profile!$K$5:$K$304,MATCH($B401,lst_Profil,0))*INDEX(Werkstoffe!$E$5:$E$304,MATCH($C401,lst_Werkstoff,0))/1000,""))</f>
        <v/>
      </c>
      <c r="R401" s="18">
        <f>IF($A401="","",IF(N(_xlfn.MAXIFS(Auftrag!$AP$13:$AP$512,Auftrag!$D$13:$D$512,$B401,Auftrag!$E$13:$E$512,$C401,Auftrag!$Q$13:$Q$512,$D401))&gt;0,_xlfn.MAXIFS(Auftrag!$AP$13:$AP$512,Auftrag!$D$13:$D$512,$B401,Auftrag!$E$13:$E$512,$C401,Auftrag!$Q$13:$Q$512,$D401)*$D401/1000,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9" t="n"/>
      <c r="E402" s="24" t="n"/>
      <c r="F402" s="24" t="n"/>
      <c r="G402" s="12">
        <f>IF($A402="","",COUNTIFS(Stangenbelegung!$A$5:$A$10004,$A402))</f>
        <v/>
      </c>
      <c r="H402" s="35">
        <f>IF($A402="","",SUMIFS(Stangenbelegung!$F$5:$F$10004,Stangenbelegung!$A$5:$A$10004,$A402))</f>
        <v/>
      </c>
      <c r="I402" s="23" t="n"/>
      <c r="J402" s="35">
        <f>IF($A402="","",$E402+H402+$I402)</f>
        <v/>
      </c>
      <c r="K402" s="35">
        <f>IF($A402="","",$D402-J402)</f>
        <v/>
      </c>
      <c r="L402" s="32">
        <f>IF($A402="","",H402/$D402)</f>
        <v/>
      </c>
      <c r="M402" s="28">
        <f>IF($A402="","",IF(OR(J402+$F402&gt;$D402+0.001,_xlfn.MAXIFS(Stangenbelegung!$H$5:$H$10004,Stangenbelegung!$A$5:$A$10004,$A402)&gt;$D402-$F402+0.001),"ÜBERBELEGT","OK"))</f>
        <v/>
      </c>
      <c r="N402" s="24" t="n"/>
      <c r="O402" s="24" t="n"/>
      <c r="P402" s="9" t="n"/>
      <c r="Q402" s="18">
        <f>IF($A402="","",IFERROR($D402/1000*INDEX(Profile!$K$5:$K$304,MATCH($B402,lst_Profil,0))*INDEX(Werkstoffe!$E$5:$E$304,MATCH($C402,lst_Werkstoff,0))/1000,""))</f>
        <v/>
      </c>
      <c r="R402" s="18">
        <f>IF($A402="","",IF(N(_xlfn.MAXIFS(Auftrag!$AP$13:$AP$512,Auftrag!$D$13:$D$512,$B402,Auftrag!$E$13:$E$512,$C402,Auftrag!$Q$13:$Q$512,$D402))&gt;0,_xlfn.MAXIFS(Auftrag!$AP$13:$AP$512,Auftrag!$D$13:$D$512,$B402,Auftrag!$E$13:$E$512,$C402,Auftrag!$Q$13:$Q$512,$D402)*$D402/1000,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9" t="n"/>
      <c r="E403" s="24" t="n"/>
      <c r="F403" s="24" t="n"/>
      <c r="G403" s="12">
        <f>IF($A403="","",COUNTIFS(Stangenbelegung!$A$5:$A$10004,$A403))</f>
        <v/>
      </c>
      <c r="H403" s="35">
        <f>IF($A403="","",SUMIFS(Stangenbelegung!$F$5:$F$10004,Stangenbelegung!$A$5:$A$10004,$A403))</f>
        <v/>
      </c>
      <c r="I403" s="23" t="n"/>
      <c r="J403" s="35">
        <f>IF($A403="","",$E403+H403+$I403)</f>
        <v/>
      </c>
      <c r="K403" s="35">
        <f>IF($A403="","",$D403-J403)</f>
        <v/>
      </c>
      <c r="L403" s="32">
        <f>IF($A403="","",H403/$D403)</f>
        <v/>
      </c>
      <c r="M403" s="28">
        <f>IF($A403="","",IF(OR(J403+$F403&gt;$D403+0.001,_xlfn.MAXIFS(Stangenbelegung!$H$5:$H$10004,Stangenbelegung!$A$5:$A$10004,$A403)&gt;$D403-$F403+0.001),"ÜBERBELEGT","OK"))</f>
        <v/>
      </c>
      <c r="N403" s="24" t="n"/>
      <c r="O403" s="24" t="n"/>
      <c r="P403" s="9" t="n"/>
      <c r="Q403" s="18">
        <f>IF($A403="","",IFERROR($D403/1000*INDEX(Profile!$K$5:$K$304,MATCH($B403,lst_Profil,0))*INDEX(Werkstoffe!$E$5:$E$304,MATCH($C403,lst_Werkstoff,0))/1000,""))</f>
        <v/>
      </c>
      <c r="R403" s="18">
        <f>IF($A403="","",IF(N(_xlfn.MAXIFS(Auftrag!$AP$13:$AP$512,Auftrag!$D$13:$D$512,$B403,Auftrag!$E$13:$E$512,$C403,Auftrag!$Q$13:$Q$512,$D403))&gt;0,_xlfn.MAXIFS(Auftrag!$AP$13:$AP$512,Auftrag!$D$13:$D$512,$B403,Auftrag!$E$13:$E$512,$C403,Auftrag!$Q$13:$Q$512,$D403)*$D403/1000,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9" t="n"/>
      <c r="E404" s="24" t="n"/>
      <c r="F404" s="24" t="n"/>
      <c r="G404" s="12">
        <f>IF($A404="","",COUNTIFS(Stangenbelegung!$A$5:$A$10004,$A404))</f>
        <v/>
      </c>
      <c r="H404" s="35">
        <f>IF($A404="","",SUMIFS(Stangenbelegung!$F$5:$F$10004,Stangenbelegung!$A$5:$A$10004,$A404))</f>
        <v/>
      </c>
      <c r="I404" s="23" t="n"/>
      <c r="J404" s="35">
        <f>IF($A404="","",$E404+H404+$I404)</f>
        <v/>
      </c>
      <c r="K404" s="35">
        <f>IF($A404="","",$D404-J404)</f>
        <v/>
      </c>
      <c r="L404" s="32">
        <f>IF($A404="","",H404/$D404)</f>
        <v/>
      </c>
      <c r="M404" s="28">
        <f>IF($A404="","",IF(OR(J404+$F404&gt;$D404+0.001,_xlfn.MAXIFS(Stangenbelegung!$H$5:$H$10004,Stangenbelegung!$A$5:$A$10004,$A404)&gt;$D404-$F404+0.001),"ÜBERBELEGT","OK"))</f>
        <v/>
      </c>
      <c r="N404" s="24" t="n"/>
      <c r="O404" s="24" t="n"/>
      <c r="P404" s="9" t="n"/>
      <c r="Q404" s="18">
        <f>IF($A404="","",IFERROR($D404/1000*INDEX(Profile!$K$5:$K$304,MATCH($B404,lst_Profil,0))*INDEX(Werkstoffe!$E$5:$E$304,MATCH($C404,lst_Werkstoff,0))/1000,""))</f>
        <v/>
      </c>
      <c r="R404" s="18">
        <f>IF($A404="","",IF(N(_xlfn.MAXIFS(Auftrag!$AP$13:$AP$512,Auftrag!$D$13:$D$512,$B404,Auftrag!$E$13:$E$512,$C404,Auftrag!$Q$13:$Q$512,$D404))&gt;0,_xlfn.MAXIFS(Auftrag!$AP$13:$AP$512,Auftrag!$D$13:$D$512,$B404,Auftrag!$E$13:$E$512,$C404,Auftrag!$Q$13:$Q$512,$D404)*$D404/1000,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9" t="n"/>
      <c r="E405" s="24" t="n"/>
      <c r="F405" s="24" t="n"/>
      <c r="G405" s="12">
        <f>IF($A405="","",COUNTIFS(Stangenbelegung!$A$5:$A$10004,$A405))</f>
        <v/>
      </c>
      <c r="H405" s="35">
        <f>IF($A405="","",SUMIFS(Stangenbelegung!$F$5:$F$10004,Stangenbelegung!$A$5:$A$10004,$A405))</f>
        <v/>
      </c>
      <c r="I405" s="23" t="n"/>
      <c r="J405" s="35">
        <f>IF($A405="","",$E405+H405+$I405)</f>
        <v/>
      </c>
      <c r="K405" s="35">
        <f>IF($A405="","",$D405-J405)</f>
        <v/>
      </c>
      <c r="L405" s="32">
        <f>IF($A405="","",H405/$D405)</f>
        <v/>
      </c>
      <c r="M405" s="28">
        <f>IF($A405="","",IF(OR(J405+$F405&gt;$D405+0.001,_xlfn.MAXIFS(Stangenbelegung!$H$5:$H$10004,Stangenbelegung!$A$5:$A$10004,$A405)&gt;$D405-$F405+0.001),"ÜBERBELEGT","OK"))</f>
        <v/>
      </c>
      <c r="N405" s="24" t="n"/>
      <c r="O405" s="24" t="n"/>
      <c r="P405" s="9" t="n"/>
      <c r="Q405" s="18">
        <f>IF($A405="","",IFERROR($D405/1000*INDEX(Profile!$K$5:$K$304,MATCH($B405,lst_Profil,0))*INDEX(Werkstoffe!$E$5:$E$304,MATCH($C405,lst_Werkstoff,0))/1000,""))</f>
        <v/>
      </c>
      <c r="R405" s="18">
        <f>IF($A405="","",IF(N(_xlfn.MAXIFS(Auftrag!$AP$13:$AP$512,Auftrag!$D$13:$D$512,$B405,Auftrag!$E$13:$E$512,$C405,Auftrag!$Q$13:$Q$512,$D405))&gt;0,_xlfn.MAXIFS(Auftrag!$AP$13:$AP$512,Auftrag!$D$13:$D$512,$B405,Auftrag!$E$13:$E$512,$C405,Auftrag!$Q$13:$Q$512,$D405)*$D405/1000,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9" t="n"/>
      <c r="E406" s="24" t="n"/>
      <c r="F406" s="24" t="n"/>
      <c r="G406" s="12">
        <f>IF($A406="","",COUNTIFS(Stangenbelegung!$A$5:$A$10004,$A406))</f>
        <v/>
      </c>
      <c r="H406" s="35">
        <f>IF($A406="","",SUMIFS(Stangenbelegung!$F$5:$F$10004,Stangenbelegung!$A$5:$A$10004,$A406))</f>
        <v/>
      </c>
      <c r="I406" s="23" t="n"/>
      <c r="J406" s="35">
        <f>IF($A406="","",$E406+H406+$I406)</f>
        <v/>
      </c>
      <c r="K406" s="35">
        <f>IF($A406="","",$D406-J406)</f>
        <v/>
      </c>
      <c r="L406" s="32">
        <f>IF($A406="","",H406/$D406)</f>
        <v/>
      </c>
      <c r="M406" s="28">
        <f>IF($A406="","",IF(OR(J406+$F406&gt;$D406+0.001,_xlfn.MAXIFS(Stangenbelegung!$H$5:$H$10004,Stangenbelegung!$A$5:$A$10004,$A406)&gt;$D406-$F406+0.001),"ÜBERBELEGT","OK"))</f>
        <v/>
      </c>
      <c r="N406" s="24" t="n"/>
      <c r="O406" s="24" t="n"/>
      <c r="P406" s="9" t="n"/>
      <c r="Q406" s="18">
        <f>IF($A406="","",IFERROR($D406/1000*INDEX(Profile!$K$5:$K$304,MATCH($B406,lst_Profil,0))*INDEX(Werkstoffe!$E$5:$E$304,MATCH($C406,lst_Werkstoff,0))/1000,""))</f>
        <v/>
      </c>
      <c r="R406" s="18">
        <f>IF($A406="","",IF(N(_xlfn.MAXIFS(Auftrag!$AP$13:$AP$512,Auftrag!$D$13:$D$512,$B406,Auftrag!$E$13:$E$512,$C406,Auftrag!$Q$13:$Q$512,$D406))&gt;0,_xlfn.MAXIFS(Auftrag!$AP$13:$AP$512,Auftrag!$D$13:$D$512,$B406,Auftrag!$E$13:$E$512,$C406,Auftrag!$Q$13:$Q$512,$D406)*$D406/1000,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9" t="n"/>
      <c r="E407" s="24" t="n"/>
      <c r="F407" s="24" t="n"/>
      <c r="G407" s="12">
        <f>IF($A407="","",COUNTIFS(Stangenbelegung!$A$5:$A$10004,$A407))</f>
        <v/>
      </c>
      <c r="H407" s="35">
        <f>IF($A407="","",SUMIFS(Stangenbelegung!$F$5:$F$10004,Stangenbelegung!$A$5:$A$10004,$A407))</f>
        <v/>
      </c>
      <c r="I407" s="23" t="n"/>
      <c r="J407" s="35">
        <f>IF($A407="","",$E407+H407+$I407)</f>
        <v/>
      </c>
      <c r="K407" s="35">
        <f>IF($A407="","",$D407-J407)</f>
        <v/>
      </c>
      <c r="L407" s="32">
        <f>IF($A407="","",H407/$D407)</f>
        <v/>
      </c>
      <c r="M407" s="28">
        <f>IF($A407="","",IF(OR(J407+$F407&gt;$D407+0.001,_xlfn.MAXIFS(Stangenbelegung!$H$5:$H$10004,Stangenbelegung!$A$5:$A$10004,$A407)&gt;$D407-$F407+0.001),"ÜBERBELEGT","OK"))</f>
        <v/>
      </c>
      <c r="N407" s="24" t="n"/>
      <c r="O407" s="24" t="n"/>
      <c r="P407" s="9" t="n"/>
      <c r="Q407" s="18">
        <f>IF($A407="","",IFERROR($D407/1000*INDEX(Profile!$K$5:$K$304,MATCH($B407,lst_Profil,0))*INDEX(Werkstoffe!$E$5:$E$304,MATCH($C407,lst_Werkstoff,0))/1000,""))</f>
        <v/>
      </c>
      <c r="R407" s="18">
        <f>IF($A407="","",IF(N(_xlfn.MAXIFS(Auftrag!$AP$13:$AP$512,Auftrag!$D$13:$D$512,$B407,Auftrag!$E$13:$E$512,$C407,Auftrag!$Q$13:$Q$512,$D407))&gt;0,_xlfn.MAXIFS(Auftrag!$AP$13:$AP$512,Auftrag!$D$13:$D$512,$B407,Auftrag!$E$13:$E$512,$C407,Auftrag!$Q$13:$Q$512,$D407)*$D407/1000,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9" t="n"/>
      <c r="E408" s="24" t="n"/>
      <c r="F408" s="24" t="n"/>
      <c r="G408" s="12">
        <f>IF($A408="","",COUNTIFS(Stangenbelegung!$A$5:$A$10004,$A408))</f>
        <v/>
      </c>
      <c r="H408" s="35">
        <f>IF($A408="","",SUMIFS(Stangenbelegung!$F$5:$F$10004,Stangenbelegung!$A$5:$A$10004,$A408))</f>
        <v/>
      </c>
      <c r="I408" s="23" t="n"/>
      <c r="J408" s="35">
        <f>IF($A408="","",$E408+H408+$I408)</f>
        <v/>
      </c>
      <c r="K408" s="35">
        <f>IF($A408="","",$D408-J408)</f>
        <v/>
      </c>
      <c r="L408" s="32">
        <f>IF($A408="","",H408/$D408)</f>
        <v/>
      </c>
      <c r="M408" s="28">
        <f>IF($A408="","",IF(OR(J408+$F408&gt;$D408+0.001,_xlfn.MAXIFS(Stangenbelegung!$H$5:$H$10004,Stangenbelegung!$A$5:$A$10004,$A408)&gt;$D408-$F408+0.001),"ÜBERBELEGT","OK"))</f>
        <v/>
      </c>
      <c r="N408" s="24" t="n"/>
      <c r="O408" s="24" t="n"/>
      <c r="P408" s="9" t="n"/>
      <c r="Q408" s="18">
        <f>IF($A408="","",IFERROR($D408/1000*INDEX(Profile!$K$5:$K$304,MATCH($B408,lst_Profil,0))*INDEX(Werkstoffe!$E$5:$E$304,MATCH($C408,lst_Werkstoff,0))/1000,""))</f>
        <v/>
      </c>
      <c r="R408" s="18">
        <f>IF($A408="","",IF(N(_xlfn.MAXIFS(Auftrag!$AP$13:$AP$512,Auftrag!$D$13:$D$512,$B408,Auftrag!$E$13:$E$512,$C408,Auftrag!$Q$13:$Q$512,$D408))&gt;0,_xlfn.MAXIFS(Auftrag!$AP$13:$AP$512,Auftrag!$D$13:$D$512,$B408,Auftrag!$E$13:$E$512,$C408,Auftrag!$Q$13:$Q$512,$D408)*$D408/1000,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9" t="n"/>
      <c r="E409" s="24" t="n"/>
      <c r="F409" s="24" t="n"/>
      <c r="G409" s="12">
        <f>IF($A409="","",COUNTIFS(Stangenbelegung!$A$5:$A$10004,$A409))</f>
        <v/>
      </c>
      <c r="H409" s="35">
        <f>IF($A409="","",SUMIFS(Stangenbelegung!$F$5:$F$10004,Stangenbelegung!$A$5:$A$10004,$A409))</f>
        <v/>
      </c>
      <c r="I409" s="23" t="n"/>
      <c r="J409" s="35">
        <f>IF($A409="","",$E409+H409+$I409)</f>
        <v/>
      </c>
      <c r="K409" s="35">
        <f>IF($A409="","",$D409-J409)</f>
        <v/>
      </c>
      <c r="L409" s="32">
        <f>IF($A409="","",H409/$D409)</f>
        <v/>
      </c>
      <c r="M409" s="28">
        <f>IF($A409="","",IF(OR(J409+$F409&gt;$D409+0.001,_xlfn.MAXIFS(Stangenbelegung!$H$5:$H$10004,Stangenbelegung!$A$5:$A$10004,$A409)&gt;$D409-$F409+0.001),"ÜBERBELEGT","OK"))</f>
        <v/>
      </c>
      <c r="N409" s="24" t="n"/>
      <c r="O409" s="24" t="n"/>
      <c r="P409" s="9" t="n"/>
      <c r="Q409" s="18">
        <f>IF($A409="","",IFERROR($D409/1000*INDEX(Profile!$K$5:$K$304,MATCH($B409,lst_Profil,0))*INDEX(Werkstoffe!$E$5:$E$304,MATCH($C409,lst_Werkstoff,0))/1000,""))</f>
        <v/>
      </c>
      <c r="R409" s="18">
        <f>IF($A409="","",IF(N(_xlfn.MAXIFS(Auftrag!$AP$13:$AP$512,Auftrag!$D$13:$D$512,$B409,Auftrag!$E$13:$E$512,$C409,Auftrag!$Q$13:$Q$512,$D409))&gt;0,_xlfn.MAXIFS(Auftrag!$AP$13:$AP$512,Auftrag!$D$13:$D$512,$B409,Auftrag!$E$13:$E$512,$C409,Auftrag!$Q$13:$Q$512,$D409)*$D409/1000,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9" t="n"/>
      <c r="E410" s="24" t="n"/>
      <c r="F410" s="24" t="n"/>
      <c r="G410" s="12">
        <f>IF($A410="","",COUNTIFS(Stangenbelegung!$A$5:$A$10004,$A410))</f>
        <v/>
      </c>
      <c r="H410" s="35">
        <f>IF($A410="","",SUMIFS(Stangenbelegung!$F$5:$F$10004,Stangenbelegung!$A$5:$A$10004,$A410))</f>
        <v/>
      </c>
      <c r="I410" s="23" t="n"/>
      <c r="J410" s="35">
        <f>IF($A410="","",$E410+H410+$I410)</f>
        <v/>
      </c>
      <c r="K410" s="35">
        <f>IF($A410="","",$D410-J410)</f>
        <v/>
      </c>
      <c r="L410" s="32">
        <f>IF($A410="","",H410/$D410)</f>
        <v/>
      </c>
      <c r="M410" s="28">
        <f>IF($A410="","",IF(OR(J410+$F410&gt;$D410+0.001,_xlfn.MAXIFS(Stangenbelegung!$H$5:$H$10004,Stangenbelegung!$A$5:$A$10004,$A410)&gt;$D410-$F410+0.001),"ÜBERBELEGT","OK"))</f>
        <v/>
      </c>
      <c r="N410" s="24" t="n"/>
      <c r="O410" s="24" t="n"/>
      <c r="P410" s="9" t="n"/>
      <c r="Q410" s="18">
        <f>IF($A410="","",IFERROR($D410/1000*INDEX(Profile!$K$5:$K$304,MATCH($B410,lst_Profil,0))*INDEX(Werkstoffe!$E$5:$E$304,MATCH($C410,lst_Werkstoff,0))/1000,""))</f>
        <v/>
      </c>
      <c r="R410" s="18">
        <f>IF($A410="","",IF(N(_xlfn.MAXIFS(Auftrag!$AP$13:$AP$512,Auftrag!$D$13:$D$512,$B410,Auftrag!$E$13:$E$512,$C410,Auftrag!$Q$13:$Q$512,$D410))&gt;0,_xlfn.MAXIFS(Auftrag!$AP$13:$AP$512,Auftrag!$D$13:$D$512,$B410,Auftrag!$E$13:$E$512,$C410,Auftrag!$Q$13:$Q$512,$D410)*$D410/1000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9" t="n"/>
      <c r="E411" s="24" t="n"/>
      <c r="F411" s="24" t="n"/>
      <c r="G411" s="12">
        <f>IF($A411="","",COUNTIFS(Stangenbelegung!$A$5:$A$10004,$A411))</f>
        <v/>
      </c>
      <c r="H411" s="35">
        <f>IF($A411="","",SUMIFS(Stangenbelegung!$F$5:$F$10004,Stangenbelegung!$A$5:$A$10004,$A411))</f>
        <v/>
      </c>
      <c r="I411" s="23" t="n"/>
      <c r="J411" s="35">
        <f>IF($A411="","",$E411+H411+$I411)</f>
        <v/>
      </c>
      <c r="K411" s="35">
        <f>IF($A411="","",$D411-J411)</f>
        <v/>
      </c>
      <c r="L411" s="32">
        <f>IF($A411="","",H411/$D411)</f>
        <v/>
      </c>
      <c r="M411" s="28">
        <f>IF($A411="","",IF(OR(J411+$F411&gt;$D411+0.001,_xlfn.MAXIFS(Stangenbelegung!$H$5:$H$10004,Stangenbelegung!$A$5:$A$10004,$A411)&gt;$D411-$F411+0.001),"ÜBERBELEGT","OK"))</f>
        <v/>
      </c>
      <c r="N411" s="24" t="n"/>
      <c r="O411" s="24" t="n"/>
      <c r="P411" s="9" t="n"/>
      <c r="Q411" s="18">
        <f>IF($A411="","",IFERROR($D411/1000*INDEX(Profile!$K$5:$K$304,MATCH($B411,lst_Profil,0))*INDEX(Werkstoffe!$E$5:$E$304,MATCH($C411,lst_Werkstoff,0))/1000,""))</f>
        <v/>
      </c>
      <c r="R411" s="18">
        <f>IF($A411="","",IF(N(_xlfn.MAXIFS(Auftrag!$AP$13:$AP$512,Auftrag!$D$13:$D$512,$B411,Auftrag!$E$13:$E$512,$C411,Auftrag!$Q$13:$Q$512,$D411))&gt;0,_xlfn.MAXIFS(Auftrag!$AP$13:$AP$512,Auftrag!$D$13:$D$512,$B411,Auftrag!$E$13:$E$512,$C411,Auftrag!$Q$13:$Q$512,$D411)*$D411/1000,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9" t="n"/>
      <c r="E412" s="24" t="n"/>
      <c r="F412" s="24" t="n"/>
      <c r="G412" s="12">
        <f>IF($A412="","",COUNTIFS(Stangenbelegung!$A$5:$A$10004,$A412))</f>
        <v/>
      </c>
      <c r="H412" s="35">
        <f>IF($A412="","",SUMIFS(Stangenbelegung!$F$5:$F$10004,Stangenbelegung!$A$5:$A$10004,$A412))</f>
        <v/>
      </c>
      <c r="I412" s="23" t="n"/>
      <c r="J412" s="35">
        <f>IF($A412="","",$E412+H412+$I412)</f>
        <v/>
      </c>
      <c r="K412" s="35">
        <f>IF($A412="","",$D412-J412)</f>
        <v/>
      </c>
      <c r="L412" s="32">
        <f>IF($A412="","",H412/$D412)</f>
        <v/>
      </c>
      <c r="M412" s="28">
        <f>IF($A412="","",IF(OR(J412+$F412&gt;$D412+0.001,_xlfn.MAXIFS(Stangenbelegung!$H$5:$H$10004,Stangenbelegung!$A$5:$A$10004,$A412)&gt;$D412-$F412+0.001),"ÜBERBELEGT","OK"))</f>
        <v/>
      </c>
      <c r="N412" s="24" t="n"/>
      <c r="O412" s="24" t="n"/>
      <c r="P412" s="9" t="n"/>
      <c r="Q412" s="18">
        <f>IF($A412="","",IFERROR($D412/1000*INDEX(Profile!$K$5:$K$304,MATCH($B412,lst_Profil,0))*INDEX(Werkstoffe!$E$5:$E$304,MATCH($C412,lst_Werkstoff,0))/1000,""))</f>
        <v/>
      </c>
      <c r="R412" s="18">
        <f>IF($A412="","",IF(N(_xlfn.MAXIFS(Auftrag!$AP$13:$AP$512,Auftrag!$D$13:$D$512,$B412,Auftrag!$E$13:$E$512,$C412,Auftrag!$Q$13:$Q$512,$D412))&gt;0,_xlfn.MAXIFS(Auftrag!$AP$13:$AP$512,Auftrag!$D$13:$D$512,$B412,Auftrag!$E$13:$E$512,$C412,Auftrag!$Q$13:$Q$512,$D412)*$D412/1000,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9" t="n"/>
      <c r="E413" s="24" t="n"/>
      <c r="F413" s="24" t="n"/>
      <c r="G413" s="12">
        <f>IF($A413="","",COUNTIFS(Stangenbelegung!$A$5:$A$10004,$A413))</f>
        <v/>
      </c>
      <c r="H413" s="35">
        <f>IF($A413="","",SUMIFS(Stangenbelegung!$F$5:$F$10004,Stangenbelegung!$A$5:$A$10004,$A413))</f>
        <v/>
      </c>
      <c r="I413" s="23" t="n"/>
      <c r="J413" s="35">
        <f>IF($A413="","",$E413+H413+$I413)</f>
        <v/>
      </c>
      <c r="K413" s="35">
        <f>IF($A413="","",$D413-J413)</f>
        <v/>
      </c>
      <c r="L413" s="32">
        <f>IF($A413="","",H413/$D413)</f>
        <v/>
      </c>
      <c r="M413" s="28">
        <f>IF($A413="","",IF(OR(J413+$F413&gt;$D413+0.001,_xlfn.MAXIFS(Stangenbelegung!$H$5:$H$10004,Stangenbelegung!$A$5:$A$10004,$A413)&gt;$D413-$F413+0.001),"ÜBERBELEGT","OK"))</f>
        <v/>
      </c>
      <c r="N413" s="24" t="n"/>
      <c r="O413" s="24" t="n"/>
      <c r="P413" s="9" t="n"/>
      <c r="Q413" s="18">
        <f>IF($A413="","",IFERROR($D413/1000*INDEX(Profile!$K$5:$K$304,MATCH($B413,lst_Profil,0))*INDEX(Werkstoffe!$E$5:$E$304,MATCH($C413,lst_Werkstoff,0))/1000,""))</f>
        <v/>
      </c>
      <c r="R413" s="18">
        <f>IF($A413="","",IF(N(_xlfn.MAXIFS(Auftrag!$AP$13:$AP$512,Auftrag!$D$13:$D$512,$B413,Auftrag!$E$13:$E$512,$C413,Auftrag!$Q$13:$Q$512,$D413))&gt;0,_xlfn.MAXIFS(Auftrag!$AP$13:$AP$512,Auftrag!$D$13:$D$512,$B413,Auftrag!$E$13:$E$512,$C413,Auftrag!$Q$13:$Q$512,$D413)*$D413/1000,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9" t="n"/>
      <c r="E414" s="24" t="n"/>
      <c r="F414" s="24" t="n"/>
      <c r="G414" s="12">
        <f>IF($A414="","",COUNTIFS(Stangenbelegung!$A$5:$A$10004,$A414))</f>
        <v/>
      </c>
      <c r="H414" s="35">
        <f>IF($A414="","",SUMIFS(Stangenbelegung!$F$5:$F$10004,Stangenbelegung!$A$5:$A$10004,$A414))</f>
        <v/>
      </c>
      <c r="I414" s="23" t="n"/>
      <c r="J414" s="35">
        <f>IF($A414="","",$E414+H414+$I414)</f>
        <v/>
      </c>
      <c r="K414" s="35">
        <f>IF($A414="","",$D414-J414)</f>
        <v/>
      </c>
      <c r="L414" s="32">
        <f>IF($A414="","",H414/$D414)</f>
        <v/>
      </c>
      <c r="M414" s="28">
        <f>IF($A414="","",IF(OR(J414+$F414&gt;$D414+0.001,_xlfn.MAXIFS(Stangenbelegung!$H$5:$H$10004,Stangenbelegung!$A$5:$A$10004,$A414)&gt;$D414-$F414+0.001),"ÜBERBELEGT","OK"))</f>
        <v/>
      </c>
      <c r="N414" s="24" t="n"/>
      <c r="O414" s="24" t="n"/>
      <c r="P414" s="9" t="n"/>
      <c r="Q414" s="18">
        <f>IF($A414="","",IFERROR($D414/1000*INDEX(Profile!$K$5:$K$304,MATCH($B414,lst_Profil,0))*INDEX(Werkstoffe!$E$5:$E$304,MATCH($C414,lst_Werkstoff,0))/1000,""))</f>
        <v/>
      </c>
      <c r="R414" s="18">
        <f>IF($A414="","",IF(N(_xlfn.MAXIFS(Auftrag!$AP$13:$AP$512,Auftrag!$D$13:$D$512,$B414,Auftrag!$E$13:$E$512,$C414,Auftrag!$Q$13:$Q$512,$D414))&gt;0,_xlfn.MAXIFS(Auftrag!$AP$13:$AP$512,Auftrag!$D$13:$D$512,$B414,Auftrag!$E$13:$E$512,$C414,Auftrag!$Q$13:$Q$512,$D414)*$D414/1000,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9" t="n"/>
      <c r="E415" s="24" t="n"/>
      <c r="F415" s="24" t="n"/>
      <c r="G415" s="12">
        <f>IF($A415="","",COUNTIFS(Stangenbelegung!$A$5:$A$10004,$A415))</f>
        <v/>
      </c>
      <c r="H415" s="35">
        <f>IF($A415="","",SUMIFS(Stangenbelegung!$F$5:$F$10004,Stangenbelegung!$A$5:$A$10004,$A415))</f>
        <v/>
      </c>
      <c r="I415" s="23" t="n"/>
      <c r="J415" s="35">
        <f>IF($A415="","",$E415+H415+$I415)</f>
        <v/>
      </c>
      <c r="K415" s="35">
        <f>IF($A415="","",$D415-J415)</f>
        <v/>
      </c>
      <c r="L415" s="32">
        <f>IF($A415="","",H415/$D415)</f>
        <v/>
      </c>
      <c r="M415" s="28">
        <f>IF($A415="","",IF(OR(J415+$F415&gt;$D415+0.001,_xlfn.MAXIFS(Stangenbelegung!$H$5:$H$10004,Stangenbelegung!$A$5:$A$10004,$A415)&gt;$D415-$F415+0.001),"ÜBERBELEGT","OK"))</f>
        <v/>
      </c>
      <c r="N415" s="24" t="n"/>
      <c r="O415" s="24" t="n"/>
      <c r="P415" s="9" t="n"/>
      <c r="Q415" s="18">
        <f>IF($A415="","",IFERROR($D415/1000*INDEX(Profile!$K$5:$K$304,MATCH($B415,lst_Profil,0))*INDEX(Werkstoffe!$E$5:$E$304,MATCH($C415,lst_Werkstoff,0))/1000,""))</f>
        <v/>
      </c>
      <c r="R415" s="18">
        <f>IF($A415="","",IF(N(_xlfn.MAXIFS(Auftrag!$AP$13:$AP$512,Auftrag!$D$13:$D$512,$B415,Auftrag!$E$13:$E$512,$C415,Auftrag!$Q$13:$Q$512,$D415))&gt;0,_xlfn.MAXIFS(Auftrag!$AP$13:$AP$512,Auftrag!$D$13:$D$512,$B415,Auftrag!$E$13:$E$512,$C415,Auftrag!$Q$13:$Q$512,$D415)*$D415/1000,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9" t="n"/>
      <c r="E416" s="24" t="n"/>
      <c r="F416" s="24" t="n"/>
      <c r="G416" s="12">
        <f>IF($A416="","",COUNTIFS(Stangenbelegung!$A$5:$A$10004,$A416))</f>
        <v/>
      </c>
      <c r="H416" s="35">
        <f>IF($A416="","",SUMIFS(Stangenbelegung!$F$5:$F$10004,Stangenbelegung!$A$5:$A$10004,$A416))</f>
        <v/>
      </c>
      <c r="I416" s="23" t="n"/>
      <c r="J416" s="35">
        <f>IF($A416="","",$E416+H416+$I416)</f>
        <v/>
      </c>
      <c r="K416" s="35">
        <f>IF($A416="","",$D416-J416)</f>
        <v/>
      </c>
      <c r="L416" s="32">
        <f>IF($A416="","",H416/$D416)</f>
        <v/>
      </c>
      <c r="M416" s="28">
        <f>IF($A416="","",IF(OR(J416+$F416&gt;$D416+0.001,_xlfn.MAXIFS(Stangenbelegung!$H$5:$H$10004,Stangenbelegung!$A$5:$A$10004,$A416)&gt;$D416-$F416+0.001),"ÜBERBELEGT","OK"))</f>
        <v/>
      </c>
      <c r="N416" s="24" t="n"/>
      <c r="O416" s="24" t="n"/>
      <c r="P416" s="9" t="n"/>
      <c r="Q416" s="18">
        <f>IF($A416="","",IFERROR($D416/1000*INDEX(Profile!$K$5:$K$304,MATCH($B416,lst_Profil,0))*INDEX(Werkstoffe!$E$5:$E$304,MATCH($C416,lst_Werkstoff,0))/1000,""))</f>
        <v/>
      </c>
      <c r="R416" s="18">
        <f>IF($A416="","",IF(N(_xlfn.MAXIFS(Auftrag!$AP$13:$AP$512,Auftrag!$D$13:$D$512,$B416,Auftrag!$E$13:$E$512,$C416,Auftrag!$Q$13:$Q$512,$D416))&gt;0,_xlfn.MAXIFS(Auftrag!$AP$13:$AP$512,Auftrag!$D$13:$D$512,$B416,Auftrag!$E$13:$E$512,$C416,Auftrag!$Q$13:$Q$512,$D416)*$D416/1000,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9" t="n"/>
      <c r="E417" s="24" t="n"/>
      <c r="F417" s="24" t="n"/>
      <c r="G417" s="12">
        <f>IF($A417="","",COUNTIFS(Stangenbelegung!$A$5:$A$10004,$A417))</f>
        <v/>
      </c>
      <c r="H417" s="35">
        <f>IF($A417="","",SUMIFS(Stangenbelegung!$F$5:$F$10004,Stangenbelegung!$A$5:$A$10004,$A417))</f>
        <v/>
      </c>
      <c r="I417" s="23" t="n"/>
      <c r="J417" s="35">
        <f>IF($A417="","",$E417+H417+$I417)</f>
        <v/>
      </c>
      <c r="K417" s="35">
        <f>IF($A417="","",$D417-J417)</f>
        <v/>
      </c>
      <c r="L417" s="32">
        <f>IF($A417="","",H417/$D417)</f>
        <v/>
      </c>
      <c r="M417" s="28">
        <f>IF($A417="","",IF(OR(J417+$F417&gt;$D417+0.001,_xlfn.MAXIFS(Stangenbelegung!$H$5:$H$10004,Stangenbelegung!$A$5:$A$10004,$A417)&gt;$D417-$F417+0.001),"ÜBERBELEGT","OK"))</f>
        <v/>
      </c>
      <c r="N417" s="24" t="n"/>
      <c r="O417" s="24" t="n"/>
      <c r="P417" s="9" t="n"/>
      <c r="Q417" s="18">
        <f>IF($A417="","",IFERROR($D417/1000*INDEX(Profile!$K$5:$K$304,MATCH($B417,lst_Profil,0))*INDEX(Werkstoffe!$E$5:$E$304,MATCH($C417,lst_Werkstoff,0))/1000,""))</f>
        <v/>
      </c>
      <c r="R417" s="18">
        <f>IF($A417="","",IF(N(_xlfn.MAXIFS(Auftrag!$AP$13:$AP$512,Auftrag!$D$13:$D$512,$B417,Auftrag!$E$13:$E$512,$C417,Auftrag!$Q$13:$Q$512,$D417))&gt;0,_xlfn.MAXIFS(Auftrag!$AP$13:$AP$512,Auftrag!$D$13:$D$512,$B417,Auftrag!$E$13:$E$512,$C417,Auftrag!$Q$13:$Q$512,$D417)*$D417/1000,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9" t="n"/>
      <c r="E418" s="24" t="n"/>
      <c r="F418" s="24" t="n"/>
      <c r="G418" s="12">
        <f>IF($A418="","",COUNTIFS(Stangenbelegung!$A$5:$A$10004,$A418))</f>
        <v/>
      </c>
      <c r="H418" s="35">
        <f>IF($A418="","",SUMIFS(Stangenbelegung!$F$5:$F$10004,Stangenbelegung!$A$5:$A$10004,$A418))</f>
        <v/>
      </c>
      <c r="I418" s="23" t="n"/>
      <c r="J418" s="35">
        <f>IF($A418="","",$E418+H418+$I418)</f>
        <v/>
      </c>
      <c r="K418" s="35">
        <f>IF($A418="","",$D418-J418)</f>
        <v/>
      </c>
      <c r="L418" s="32">
        <f>IF($A418="","",H418/$D418)</f>
        <v/>
      </c>
      <c r="M418" s="28">
        <f>IF($A418="","",IF(OR(J418+$F418&gt;$D418+0.001,_xlfn.MAXIFS(Stangenbelegung!$H$5:$H$10004,Stangenbelegung!$A$5:$A$10004,$A418)&gt;$D418-$F418+0.001),"ÜBERBELEGT","OK"))</f>
        <v/>
      </c>
      <c r="N418" s="24" t="n"/>
      <c r="O418" s="24" t="n"/>
      <c r="P418" s="9" t="n"/>
      <c r="Q418" s="18">
        <f>IF($A418="","",IFERROR($D418/1000*INDEX(Profile!$K$5:$K$304,MATCH($B418,lst_Profil,0))*INDEX(Werkstoffe!$E$5:$E$304,MATCH($C418,lst_Werkstoff,0))/1000,""))</f>
        <v/>
      </c>
      <c r="R418" s="18">
        <f>IF($A418="","",IF(N(_xlfn.MAXIFS(Auftrag!$AP$13:$AP$512,Auftrag!$D$13:$D$512,$B418,Auftrag!$E$13:$E$512,$C418,Auftrag!$Q$13:$Q$512,$D418))&gt;0,_xlfn.MAXIFS(Auftrag!$AP$13:$AP$512,Auftrag!$D$13:$D$512,$B418,Auftrag!$E$13:$E$512,$C418,Auftrag!$Q$13:$Q$512,$D418)*$D418/1000,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9" t="n"/>
      <c r="E419" s="24" t="n"/>
      <c r="F419" s="24" t="n"/>
      <c r="G419" s="12">
        <f>IF($A419="","",COUNTIFS(Stangenbelegung!$A$5:$A$10004,$A419))</f>
        <v/>
      </c>
      <c r="H419" s="35">
        <f>IF($A419="","",SUMIFS(Stangenbelegung!$F$5:$F$10004,Stangenbelegung!$A$5:$A$10004,$A419))</f>
        <v/>
      </c>
      <c r="I419" s="23" t="n"/>
      <c r="J419" s="35">
        <f>IF($A419="","",$E419+H419+$I419)</f>
        <v/>
      </c>
      <c r="K419" s="35">
        <f>IF($A419="","",$D419-J419)</f>
        <v/>
      </c>
      <c r="L419" s="32">
        <f>IF($A419="","",H419/$D419)</f>
        <v/>
      </c>
      <c r="M419" s="28">
        <f>IF($A419="","",IF(OR(J419+$F419&gt;$D419+0.001,_xlfn.MAXIFS(Stangenbelegung!$H$5:$H$10004,Stangenbelegung!$A$5:$A$10004,$A419)&gt;$D419-$F419+0.001),"ÜBERBELEGT","OK"))</f>
        <v/>
      </c>
      <c r="N419" s="24" t="n"/>
      <c r="O419" s="24" t="n"/>
      <c r="P419" s="9" t="n"/>
      <c r="Q419" s="18">
        <f>IF($A419="","",IFERROR($D419/1000*INDEX(Profile!$K$5:$K$304,MATCH($B419,lst_Profil,0))*INDEX(Werkstoffe!$E$5:$E$304,MATCH($C419,lst_Werkstoff,0))/1000,""))</f>
        <v/>
      </c>
      <c r="R419" s="18">
        <f>IF($A419="","",IF(N(_xlfn.MAXIFS(Auftrag!$AP$13:$AP$512,Auftrag!$D$13:$D$512,$B419,Auftrag!$E$13:$E$512,$C419,Auftrag!$Q$13:$Q$512,$D419))&gt;0,_xlfn.MAXIFS(Auftrag!$AP$13:$AP$512,Auftrag!$D$13:$D$512,$B419,Auftrag!$E$13:$E$512,$C419,Auftrag!$Q$13:$Q$512,$D419)*$D419/1000,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9" t="n"/>
      <c r="E420" s="24" t="n"/>
      <c r="F420" s="24" t="n"/>
      <c r="G420" s="12">
        <f>IF($A420="","",COUNTIFS(Stangenbelegung!$A$5:$A$10004,$A420))</f>
        <v/>
      </c>
      <c r="H420" s="35">
        <f>IF($A420="","",SUMIFS(Stangenbelegung!$F$5:$F$10004,Stangenbelegung!$A$5:$A$10004,$A420))</f>
        <v/>
      </c>
      <c r="I420" s="23" t="n"/>
      <c r="J420" s="35">
        <f>IF($A420="","",$E420+H420+$I420)</f>
        <v/>
      </c>
      <c r="K420" s="35">
        <f>IF($A420="","",$D420-J420)</f>
        <v/>
      </c>
      <c r="L420" s="32">
        <f>IF($A420="","",H420/$D420)</f>
        <v/>
      </c>
      <c r="M420" s="28">
        <f>IF($A420="","",IF(OR(J420+$F420&gt;$D420+0.001,_xlfn.MAXIFS(Stangenbelegung!$H$5:$H$10004,Stangenbelegung!$A$5:$A$10004,$A420)&gt;$D420-$F420+0.001),"ÜBERBELEGT","OK"))</f>
        <v/>
      </c>
      <c r="N420" s="24" t="n"/>
      <c r="O420" s="24" t="n"/>
      <c r="P420" s="9" t="n"/>
      <c r="Q420" s="18">
        <f>IF($A420="","",IFERROR($D420/1000*INDEX(Profile!$K$5:$K$304,MATCH($B420,lst_Profil,0))*INDEX(Werkstoffe!$E$5:$E$304,MATCH($C420,lst_Werkstoff,0))/1000,""))</f>
        <v/>
      </c>
      <c r="R420" s="18">
        <f>IF($A420="","",IF(N(_xlfn.MAXIFS(Auftrag!$AP$13:$AP$512,Auftrag!$D$13:$D$512,$B420,Auftrag!$E$13:$E$512,$C420,Auftrag!$Q$13:$Q$512,$D420))&gt;0,_xlfn.MAXIFS(Auftrag!$AP$13:$AP$512,Auftrag!$D$13:$D$512,$B420,Auftrag!$E$13:$E$512,$C420,Auftrag!$Q$13:$Q$512,$D420)*$D420/1000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9" t="n"/>
      <c r="E421" s="24" t="n"/>
      <c r="F421" s="24" t="n"/>
      <c r="G421" s="12">
        <f>IF($A421="","",COUNTIFS(Stangenbelegung!$A$5:$A$10004,$A421))</f>
        <v/>
      </c>
      <c r="H421" s="35">
        <f>IF($A421="","",SUMIFS(Stangenbelegung!$F$5:$F$10004,Stangenbelegung!$A$5:$A$10004,$A421))</f>
        <v/>
      </c>
      <c r="I421" s="23" t="n"/>
      <c r="J421" s="35">
        <f>IF($A421="","",$E421+H421+$I421)</f>
        <v/>
      </c>
      <c r="K421" s="35">
        <f>IF($A421="","",$D421-J421)</f>
        <v/>
      </c>
      <c r="L421" s="32">
        <f>IF($A421="","",H421/$D421)</f>
        <v/>
      </c>
      <c r="M421" s="28">
        <f>IF($A421="","",IF(OR(J421+$F421&gt;$D421+0.001,_xlfn.MAXIFS(Stangenbelegung!$H$5:$H$10004,Stangenbelegung!$A$5:$A$10004,$A421)&gt;$D421-$F421+0.001),"ÜBERBELEGT","OK"))</f>
        <v/>
      </c>
      <c r="N421" s="24" t="n"/>
      <c r="O421" s="24" t="n"/>
      <c r="P421" s="9" t="n"/>
      <c r="Q421" s="18">
        <f>IF($A421="","",IFERROR($D421/1000*INDEX(Profile!$K$5:$K$304,MATCH($B421,lst_Profil,0))*INDEX(Werkstoffe!$E$5:$E$304,MATCH($C421,lst_Werkstoff,0))/1000,""))</f>
        <v/>
      </c>
      <c r="R421" s="18">
        <f>IF($A421="","",IF(N(_xlfn.MAXIFS(Auftrag!$AP$13:$AP$512,Auftrag!$D$13:$D$512,$B421,Auftrag!$E$13:$E$512,$C421,Auftrag!$Q$13:$Q$512,$D421))&gt;0,_xlfn.MAXIFS(Auftrag!$AP$13:$AP$512,Auftrag!$D$13:$D$512,$B421,Auftrag!$E$13:$E$512,$C421,Auftrag!$Q$13:$Q$512,$D421)*$D421/1000,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9" t="n"/>
      <c r="E422" s="24" t="n"/>
      <c r="F422" s="24" t="n"/>
      <c r="G422" s="12">
        <f>IF($A422="","",COUNTIFS(Stangenbelegung!$A$5:$A$10004,$A422))</f>
        <v/>
      </c>
      <c r="H422" s="35">
        <f>IF($A422="","",SUMIFS(Stangenbelegung!$F$5:$F$10004,Stangenbelegung!$A$5:$A$10004,$A422))</f>
        <v/>
      </c>
      <c r="I422" s="23" t="n"/>
      <c r="J422" s="35">
        <f>IF($A422="","",$E422+H422+$I422)</f>
        <v/>
      </c>
      <c r="K422" s="35">
        <f>IF($A422="","",$D422-J422)</f>
        <v/>
      </c>
      <c r="L422" s="32">
        <f>IF($A422="","",H422/$D422)</f>
        <v/>
      </c>
      <c r="M422" s="28">
        <f>IF($A422="","",IF(OR(J422+$F422&gt;$D422+0.001,_xlfn.MAXIFS(Stangenbelegung!$H$5:$H$10004,Stangenbelegung!$A$5:$A$10004,$A422)&gt;$D422-$F422+0.001),"ÜBERBELEGT","OK"))</f>
        <v/>
      </c>
      <c r="N422" s="24" t="n"/>
      <c r="O422" s="24" t="n"/>
      <c r="P422" s="9" t="n"/>
      <c r="Q422" s="18">
        <f>IF($A422="","",IFERROR($D422/1000*INDEX(Profile!$K$5:$K$304,MATCH($B422,lst_Profil,0))*INDEX(Werkstoffe!$E$5:$E$304,MATCH($C422,lst_Werkstoff,0))/1000,""))</f>
        <v/>
      </c>
      <c r="R422" s="18">
        <f>IF($A422="","",IF(N(_xlfn.MAXIFS(Auftrag!$AP$13:$AP$512,Auftrag!$D$13:$D$512,$B422,Auftrag!$E$13:$E$512,$C422,Auftrag!$Q$13:$Q$512,$D422))&gt;0,_xlfn.MAXIFS(Auftrag!$AP$13:$AP$512,Auftrag!$D$13:$D$512,$B422,Auftrag!$E$13:$E$512,$C422,Auftrag!$Q$13:$Q$512,$D422)*$D422/1000,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9" t="n"/>
      <c r="E423" s="24" t="n"/>
      <c r="F423" s="24" t="n"/>
      <c r="G423" s="12">
        <f>IF($A423="","",COUNTIFS(Stangenbelegung!$A$5:$A$10004,$A423))</f>
        <v/>
      </c>
      <c r="H423" s="35">
        <f>IF($A423="","",SUMIFS(Stangenbelegung!$F$5:$F$10004,Stangenbelegung!$A$5:$A$10004,$A423))</f>
        <v/>
      </c>
      <c r="I423" s="23" t="n"/>
      <c r="J423" s="35">
        <f>IF($A423="","",$E423+H423+$I423)</f>
        <v/>
      </c>
      <c r="K423" s="35">
        <f>IF($A423="","",$D423-J423)</f>
        <v/>
      </c>
      <c r="L423" s="32">
        <f>IF($A423="","",H423/$D423)</f>
        <v/>
      </c>
      <c r="M423" s="28">
        <f>IF($A423="","",IF(OR(J423+$F423&gt;$D423+0.001,_xlfn.MAXIFS(Stangenbelegung!$H$5:$H$10004,Stangenbelegung!$A$5:$A$10004,$A423)&gt;$D423-$F423+0.001),"ÜBERBELEGT","OK"))</f>
        <v/>
      </c>
      <c r="N423" s="24" t="n"/>
      <c r="O423" s="24" t="n"/>
      <c r="P423" s="9" t="n"/>
      <c r="Q423" s="18">
        <f>IF($A423="","",IFERROR($D423/1000*INDEX(Profile!$K$5:$K$304,MATCH($B423,lst_Profil,0))*INDEX(Werkstoffe!$E$5:$E$304,MATCH($C423,lst_Werkstoff,0))/1000,""))</f>
        <v/>
      </c>
      <c r="R423" s="18">
        <f>IF($A423="","",IF(N(_xlfn.MAXIFS(Auftrag!$AP$13:$AP$512,Auftrag!$D$13:$D$512,$B423,Auftrag!$E$13:$E$512,$C423,Auftrag!$Q$13:$Q$512,$D423))&gt;0,_xlfn.MAXIFS(Auftrag!$AP$13:$AP$512,Auftrag!$D$13:$D$512,$B423,Auftrag!$E$13:$E$512,$C423,Auftrag!$Q$13:$Q$512,$D423)*$D423/1000,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9" t="n"/>
      <c r="E424" s="24" t="n"/>
      <c r="F424" s="24" t="n"/>
      <c r="G424" s="12">
        <f>IF($A424="","",COUNTIFS(Stangenbelegung!$A$5:$A$10004,$A424))</f>
        <v/>
      </c>
      <c r="H424" s="35">
        <f>IF($A424="","",SUMIFS(Stangenbelegung!$F$5:$F$10004,Stangenbelegung!$A$5:$A$10004,$A424))</f>
        <v/>
      </c>
      <c r="I424" s="23" t="n"/>
      <c r="J424" s="35">
        <f>IF($A424="","",$E424+H424+$I424)</f>
        <v/>
      </c>
      <c r="K424" s="35">
        <f>IF($A424="","",$D424-J424)</f>
        <v/>
      </c>
      <c r="L424" s="32">
        <f>IF($A424="","",H424/$D424)</f>
        <v/>
      </c>
      <c r="M424" s="28">
        <f>IF($A424="","",IF(OR(J424+$F424&gt;$D424+0.001,_xlfn.MAXIFS(Stangenbelegung!$H$5:$H$10004,Stangenbelegung!$A$5:$A$10004,$A424)&gt;$D424-$F424+0.001),"ÜBERBELEGT","OK"))</f>
        <v/>
      </c>
      <c r="N424" s="24" t="n"/>
      <c r="O424" s="24" t="n"/>
      <c r="P424" s="9" t="n"/>
      <c r="Q424" s="18">
        <f>IF($A424="","",IFERROR($D424/1000*INDEX(Profile!$K$5:$K$304,MATCH($B424,lst_Profil,0))*INDEX(Werkstoffe!$E$5:$E$304,MATCH($C424,lst_Werkstoff,0))/1000,""))</f>
        <v/>
      </c>
      <c r="R424" s="18">
        <f>IF($A424="","",IF(N(_xlfn.MAXIFS(Auftrag!$AP$13:$AP$512,Auftrag!$D$13:$D$512,$B424,Auftrag!$E$13:$E$512,$C424,Auftrag!$Q$13:$Q$512,$D424))&gt;0,_xlfn.MAXIFS(Auftrag!$AP$13:$AP$512,Auftrag!$D$13:$D$512,$B424,Auftrag!$E$13:$E$512,$C424,Auftrag!$Q$13:$Q$512,$D424)*$D424/1000,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9" t="n"/>
      <c r="E425" s="24" t="n"/>
      <c r="F425" s="24" t="n"/>
      <c r="G425" s="12">
        <f>IF($A425="","",COUNTIFS(Stangenbelegung!$A$5:$A$10004,$A425))</f>
        <v/>
      </c>
      <c r="H425" s="35">
        <f>IF($A425="","",SUMIFS(Stangenbelegung!$F$5:$F$10004,Stangenbelegung!$A$5:$A$10004,$A425))</f>
        <v/>
      </c>
      <c r="I425" s="23" t="n"/>
      <c r="J425" s="35">
        <f>IF($A425="","",$E425+H425+$I425)</f>
        <v/>
      </c>
      <c r="K425" s="35">
        <f>IF($A425="","",$D425-J425)</f>
        <v/>
      </c>
      <c r="L425" s="32">
        <f>IF($A425="","",H425/$D425)</f>
        <v/>
      </c>
      <c r="M425" s="28">
        <f>IF($A425="","",IF(OR(J425+$F425&gt;$D425+0.001,_xlfn.MAXIFS(Stangenbelegung!$H$5:$H$10004,Stangenbelegung!$A$5:$A$10004,$A425)&gt;$D425-$F425+0.001),"ÜBERBELEGT","OK"))</f>
        <v/>
      </c>
      <c r="N425" s="24" t="n"/>
      <c r="O425" s="24" t="n"/>
      <c r="P425" s="9" t="n"/>
      <c r="Q425" s="18">
        <f>IF($A425="","",IFERROR($D425/1000*INDEX(Profile!$K$5:$K$304,MATCH($B425,lst_Profil,0))*INDEX(Werkstoffe!$E$5:$E$304,MATCH($C425,lst_Werkstoff,0))/1000,""))</f>
        <v/>
      </c>
      <c r="R425" s="18">
        <f>IF($A425="","",IF(N(_xlfn.MAXIFS(Auftrag!$AP$13:$AP$512,Auftrag!$D$13:$D$512,$B425,Auftrag!$E$13:$E$512,$C425,Auftrag!$Q$13:$Q$512,$D425))&gt;0,_xlfn.MAXIFS(Auftrag!$AP$13:$AP$512,Auftrag!$D$13:$D$512,$B425,Auftrag!$E$13:$E$512,$C425,Auftrag!$Q$13:$Q$512,$D425)*$D425/1000,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9" t="n"/>
      <c r="E426" s="24" t="n"/>
      <c r="F426" s="24" t="n"/>
      <c r="G426" s="12">
        <f>IF($A426="","",COUNTIFS(Stangenbelegung!$A$5:$A$10004,$A426))</f>
        <v/>
      </c>
      <c r="H426" s="35">
        <f>IF($A426="","",SUMIFS(Stangenbelegung!$F$5:$F$10004,Stangenbelegung!$A$5:$A$10004,$A426))</f>
        <v/>
      </c>
      <c r="I426" s="23" t="n"/>
      <c r="J426" s="35">
        <f>IF($A426="","",$E426+H426+$I426)</f>
        <v/>
      </c>
      <c r="K426" s="35">
        <f>IF($A426="","",$D426-J426)</f>
        <v/>
      </c>
      <c r="L426" s="32">
        <f>IF($A426="","",H426/$D426)</f>
        <v/>
      </c>
      <c r="M426" s="28">
        <f>IF($A426="","",IF(OR(J426+$F426&gt;$D426+0.001,_xlfn.MAXIFS(Stangenbelegung!$H$5:$H$10004,Stangenbelegung!$A$5:$A$10004,$A426)&gt;$D426-$F426+0.001),"ÜBERBELEGT","OK"))</f>
        <v/>
      </c>
      <c r="N426" s="24" t="n"/>
      <c r="O426" s="24" t="n"/>
      <c r="P426" s="9" t="n"/>
      <c r="Q426" s="18">
        <f>IF($A426="","",IFERROR($D426/1000*INDEX(Profile!$K$5:$K$304,MATCH($B426,lst_Profil,0))*INDEX(Werkstoffe!$E$5:$E$304,MATCH($C426,lst_Werkstoff,0))/1000,""))</f>
        <v/>
      </c>
      <c r="R426" s="18">
        <f>IF($A426="","",IF(N(_xlfn.MAXIFS(Auftrag!$AP$13:$AP$512,Auftrag!$D$13:$D$512,$B426,Auftrag!$E$13:$E$512,$C426,Auftrag!$Q$13:$Q$512,$D426))&gt;0,_xlfn.MAXIFS(Auftrag!$AP$13:$AP$512,Auftrag!$D$13:$D$512,$B426,Auftrag!$E$13:$E$512,$C426,Auftrag!$Q$13:$Q$512,$D426)*$D426/1000,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9" t="n"/>
      <c r="E427" s="24" t="n"/>
      <c r="F427" s="24" t="n"/>
      <c r="G427" s="12">
        <f>IF($A427="","",COUNTIFS(Stangenbelegung!$A$5:$A$10004,$A427))</f>
        <v/>
      </c>
      <c r="H427" s="35">
        <f>IF($A427="","",SUMIFS(Stangenbelegung!$F$5:$F$10004,Stangenbelegung!$A$5:$A$10004,$A427))</f>
        <v/>
      </c>
      <c r="I427" s="23" t="n"/>
      <c r="J427" s="35">
        <f>IF($A427="","",$E427+H427+$I427)</f>
        <v/>
      </c>
      <c r="K427" s="35">
        <f>IF($A427="","",$D427-J427)</f>
        <v/>
      </c>
      <c r="L427" s="32">
        <f>IF($A427="","",H427/$D427)</f>
        <v/>
      </c>
      <c r="M427" s="28">
        <f>IF($A427="","",IF(OR(J427+$F427&gt;$D427+0.001,_xlfn.MAXIFS(Stangenbelegung!$H$5:$H$10004,Stangenbelegung!$A$5:$A$10004,$A427)&gt;$D427-$F427+0.001),"ÜBERBELEGT","OK"))</f>
        <v/>
      </c>
      <c r="N427" s="24" t="n"/>
      <c r="O427" s="24" t="n"/>
      <c r="P427" s="9" t="n"/>
      <c r="Q427" s="18">
        <f>IF($A427="","",IFERROR($D427/1000*INDEX(Profile!$K$5:$K$304,MATCH($B427,lst_Profil,0))*INDEX(Werkstoffe!$E$5:$E$304,MATCH($C427,lst_Werkstoff,0))/1000,""))</f>
        <v/>
      </c>
      <c r="R427" s="18">
        <f>IF($A427="","",IF(N(_xlfn.MAXIFS(Auftrag!$AP$13:$AP$512,Auftrag!$D$13:$D$512,$B427,Auftrag!$E$13:$E$512,$C427,Auftrag!$Q$13:$Q$512,$D427))&gt;0,_xlfn.MAXIFS(Auftrag!$AP$13:$AP$512,Auftrag!$D$13:$D$512,$B427,Auftrag!$E$13:$E$512,$C427,Auftrag!$Q$13:$Q$512,$D427)*$D427/1000,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9" t="n"/>
      <c r="E428" s="24" t="n"/>
      <c r="F428" s="24" t="n"/>
      <c r="G428" s="12">
        <f>IF($A428="","",COUNTIFS(Stangenbelegung!$A$5:$A$10004,$A428))</f>
        <v/>
      </c>
      <c r="H428" s="35">
        <f>IF($A428="","",SUMIFS(Stangenbelegung!$F$5:$F$10004,Stangenbelegung!$A$5:$A$10004,$A428))</f>
        <v/>
      </c>
      <c r="I428" s="23" t="n"/>
      <c r="J428" s="35">
        <f>IF($A428="","",$E428+H428+$I428)</f>
        <v/>
      </c>
      <c r="K428" s="35">
        <f>IF($A428="","",$D428-J428)</f>
        <v/>
      </c>
      <c r="L428" s="32">
        <f>IF($A428="","",H428/$D428)</f>
        <v/>
      </c>
      <c r="M428" s="28">
        <f>IF($A428="","",IF(OR(J428+$F428&gt;$D428+0.001,_xlfn.MAXIFS(Stangenbelegung!$H$5:$H$10004,Stangenbelegung!$A$5:$A$10004,$A428)&gt;$D428-$F428+0.001),"ÜBERBELEGT","OK"))</f>
        <v/>
      </c>
      <c r="N428" s="24" t="n"/>
      <c r="O428" s="24" t="n"/>
      <c r="P428" s="9" t="n"/>
      <c r="Q428" s="18">
        <f>IF($A428="","",IFERROR($D428/1000*INDEX(Profile!$K$5:$K$304,MATCH($B428,lst_Profil,0))*INDEX(Werkstoffe!$E$5:$E$304,MATCH($C428,lst_Werkstoff,0))/1000,""))</f>
        <v/>
      </c>
      <c r="R428" s="18">
        <f>IF($A428="","",IF(N(_xlfn.MAXIFS(Auftrag!$AP$13:$AP$512,Auftrag!$D$13:$D$512,$B428,Auftrag!$E$13:$E$512,$C428,Auftrag!$Q$13:$Q$512,$D428))&gt;0,_xlfn.MAXIFS(Auftrag!$AP$13:$AP$512,Auftrag!$D$13:$D$512,$B428,Auftrag!$E$13:$E$512,$C428,Auftrag!$Q$13:$Q$512,$D428)*$D428/1000,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9" t="n"/>
      <c r="E429" s="24" t="n"/>
      <c r="F429" s="24" t="n"/>
      <c r="G429" s="12">
        <f>IF($A429="","",COUNTIFS(Stangenbelegung!$A$5:$A$10004,$A429))</f>
        <v/>
      </c>
      <c r="H429" s="35">
        <f>IF($A429="","",SUMIFS(Stangenbelegung!$F$5:$F$10004,Stangenbelegung!$A$5:$A$10004,$A429))</f>
        <v/>
      </c>
      <c r="I429" s="23" t="n"/>
      <c r="J429" s="35">
        <f>IF($A429="","",$E429+H429+$I429)</f>
        <v/>
      </c>
      <c r="K429" s="35">
        <f>IF($A429="","",$D429-J429)</f>
        <v/>
      </c>
      <c r="L429" s="32">
        <f>IF($A429="","",H429/$D429)</f>
        <v/>
      </c>
      <c r="M429" s="28">
        <f>IF($A429="","",IF(OR(J429+$F429&gt;$D429+0.001,_xlfn.MAXIFS(Stangenbelegung!$H$5:$H$10004,Stangenbelegung!$A$5:$A$10004,$A429)&gt;$D429-$F429+0.001),"ÜBERBELEGT","OK"))</f>
        <v/>
      </c>
      <c r="N429" s="24" t="n"/>
      <c r="O429" s="24" t="n"/>
      <c r="P429" s="9" t="n"/>
      <c r="Q429" s="18">
        <f>IF($A429="","",IFERROR($D429/1000*INDEX(Profile!$K$5:$K$304,MATCH($B429,lst_Profil,0))*INDEX(Werkstoffe!$E$5:$E$304,MATCH($C429,lst_Werkstoff,0))/1000,""))</f>
        <v/>
      </c>
      <c r="R429" s="18">
        <f>IF($A429="","",IF(N(_xlfn.MAXIFS(Auftrag!$AP$13:$AP$512,Auftrag!$D$13:$D$512,$B429,Auftrag!$E$13:$E$512,$C429,Auftrag!$Q$13:$Q$512,$D429))&gt;0,_xlfn.MAXIFS(Auftrag!$AP$13:$AP$512,Auftrag!$D$13:$D$512,$B429,Auftrag!$E$13:$E$512,$C429,Auftrag!$Q$13:$Q$512,$D429)*$D429/1000,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9" t="n"/>
      <c r="E430" s="24" t="n"/>
      <c r="F430" s="24" t="n"/>
      <c r="G430" s="12">
        <f>IF($A430="","",COUNTIFS(Stangenbelegung!$A$5:$A$10004,$A430))</f>
        <v/>
      </c>
      <c r="H430" s="35">
        <f>IF($A430="","",SUMIFS(Stangenbelegung!$F$5:$F$10004,Stangenbelegung!$A$5:$A$10004,$A430))</f>
        <v/>
      </c>
      <c r="I430" s="23" t="n"/>
      <c r="J430" s="35">
        <f>IF($A430="","",$E430+H430+$I430)</f>
        <v/>
      </c>
      <c r="K430" s="35">
        <f>IF($A430="","",$D430-J430)</f>
        <v/>
      </c>
      <c r="L430" s="32">
        <f>IF($A430="","",H430/$D430)</f>
        <v/>
      </c>
      <c r="M430" s="28">
        <f>IF($A430="","",IF(OR(J430+$F430&gt;$D430+0.001,_xlfn.MAXIFS(Stangenbelegung!$H$5:$H$10004,Stangenbelegung!$A$5:$A$10004,$A430)&gt;$D430-$F430+0.001),"ÜBERBELEGT","OK"))</f>
        <v/>
      </c>
      <c r="N430" s="24" t="n"/>
      <c r="O430" s="24" t="n"/>
      <c r="P430" s="9" t="n"/>
      <c r="Q430" s="18">
        <f>IF($A430="","",IFERROR($D430/1000*INDEX(Profile!$K$5:$K$304,MATCH($B430,lst_Profil,0))*INDEX(Werkstoffe!$E$5:$E$304,MATCH($C430,lst_Werkstoff,0))/1000,""))</f>
        <v/>
      </c>
      <c r="R430" s="18">
        <f>IF($A430="","",IF(N(_xlfn.MAXIFS(Auftrag!$AP$13:$AP$512,Auftrag!$D$13:$D$512,$B430,Auftrag!$E$13:$E$512,$C430,Auftrag!$Q$13:$Q$512,$D430))&gt;0,_xlfn.MAXIFS(Auftrag!$AP$13:$AP$512,Auftrag!$D$13:$D$512,$B430,Auftrag!$E$13:$E$512,$C430,Auftrag!$Q$13:$Q$512,$D430)*$D430/1000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9" t="n"/>
      <c r="E431" s="24" t="n"/>
      <c r="F431" s="24" t="n"/>
      <c r="G431" s="12">
        <f>IF($A431="","",COUNTIFS(Stangenbelegung!$A$5:$A$10004,$A431))</f>
        <v/>
      </c>
      <c r="H431" s="35">
        <f>IF($A431="","",SUMIFS(Stangenbelegung!$F$5:$F$10004,Stangenbelegung!$A$5:$A$10004,$A431))</f>
        <v/>
      </c>
      <c r="I431" s="23" t="n"/>
      <c r="J431" s="35">
        <f>IF($A431="","",$E431+H431+$I431)</f>
        <v/>
      </c>
      <c r="K431" s="35">
        <f>IF($A431="","",$D431-J431)</f>
        <v/>
      </c>
      <c r="L431" s="32">
        <f>IF($A431="","",H431/$D431)</f>
        <v/>
      </c>
      <c r="M431" s="28">
        <f>IF($A431="","",IF(OR(J431+$F431&gt;$D431+0.001,_xlfn.MAXIFS(Stangenbelegung!$H$5:$H$10004,Stangenbelegung!$A$5:$A$10004,$A431)&gt;$D431-$F431+0.001),"ÜBERBELEGT","OK"))</f>
        <v/>
      </c>
      <c r="N431" s="24" t="n"/>
      <c r="O431" s="24" t="n"/>
      <c r="P431" s="9" t="n"/>
      <c r="Q431" s="18">
        <f>IF($A431="","",IFERROR($D431/1000*INDEX(Profile!$K$5:$K$304,MATCH($B431,lst_Profil,0))*INDEX(Werkstoffe!$E$5:$E$304,MATCH($C431,lst_Werkstoff,0))/1000,""))</f>
        <v/>
      </c>
      <c r="R431" s="18">
        <f>IF($A431="","",IF(N(_xlfn.MAXIFS(Auftrag!$AP$13:$AP$512,Auftrag!$D$13:$D$512,$B431,Auftrag!$E$13:$E$512,$C431,Auftrag!$Q$13:$Q$512,$D431))&gt;0,_xlfn.MAXIFS(Auftrag!$AP$13:$AP$512,Auftrag!$D$13:$D$512,$B431,Auftrag!$E$13:$E$512,$C431,Auftrag!$Q$13:$Q$512,$D431)*$D431/1000,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9" t="n"/>
      <c r="E432" s="24" t="n"/>
      <c r="F432" s="24" t="n"/>
      <c r="G432" s="12">
        <f>IF($A432="","",COUNTIFS(Stangenbelegung!$A$5:$A$10004,$A432))</f>
        <v/>
      </c>
      <c r="H432" s="35">
        <f>IF($A432="","",SUMIFS(Stangenbelegung!$F$5:$F$10004,Stangenbelegung!$A$5:$A$10004,$A432))</f>
        <v/>
      </c>
      <c r="I432" s="23" t="n"/>
      <c r="J432" s="35">
        <f>IF($A432="","",$E432+H432+$I432)</f>
        <v/>
      </c>
      <c r="K432" s="35">
        <f>IF($A432="","",$D432-J432)</f>
        <v/>
      </c>
      <c r="L432" s="32">
        <f>IF($A432="","",H432/$D432)</f>
        <v/>
      </c>
      <c r="M432" s="28">
        <f>IF($A432="","",IF(OR(J432+$F432&gt;$D432+0.001,_xlfn.MAXIFS(Stangenbelegung!$H$5:$H$10004,Stangenbelegung!$A$5:$A$10004,$A432)&gt;$D432-$F432+0.001),"ÜBERBELEGT","OK"))</f>
        <v/>
      </c>
      <c r="N432" s="24" t="n"/>
      <c r="O432" s="24" t="n"/>
      <c r="P432" s="9" t="n"/>
      <c r="Q432" s="18">
        <f>IF($A432="","",IFERROR($D432/1000*INDEX(Profile!$K$5:$K$304,MATCH($B432,lst_Profil,0))*INDEX(Werkstoffe!$E$5:$E$304,MATCH($C432,lst_Werkstoff,0))/1000,""))</f>
        <v/>
      </c>
      <c r="R432" s="18">
        <f>IF($A432="","",IF(N(_xlfn.MAXIFS(Auftrag!$AP$13:$AP$512,Auftrag!$D$13:$D$512,$B432,Auftrag!$E$13:$E$512,$C432,Auftrag!$Q$13:$Q$512,$D432))&gt;0,_xlfn.MAXIFS(Auftrag!$AP$13:$AP$512,Auftrag!$D$13:$D$512,$B432,Auftrag!$E$13:$E$512,$C432,Auftrag!$Q$13:$Q$512,$D432)*$D432/1000,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9" t="n"/>
      <c r="E433" s="24" t="n"/>
      <c r="F433" s="24" t="n"/>
      <c r="G433" s="12">
        <f>IF($A433="","",COUNTIFS(Stangenbelegung!$A$5:$A$10004,$A433))</f>
        <v/>
      </c>
      <c r="H433" s="35">
        <f>IF($A433="","",SUMIFS(Stangenbelegung!$F$5:$F$10004,Stangenbelegung!$A$5:$A$10004,$A433))</f>
        <v/>
      </c>
      <c r="I433" s="23" t="n"/>
      <c r="J433" s="35">
        <f>IF($A433="","",$E433+H433+$I433)</f>
        <v/>
      </c>
      <c r="K433" s="35">
        <f>IF($A433="","",$D433-J433)</f>
        <v/>
      </c>
      <c r="L433" s="32">
        <f>IF($A433="","",H433/$D433)</f>
        <v/>
      </c>
      <c r="M433" s="28">
        <f>IF($A433="","",IF(OR(J433+$F433&gt;$D433+0.001,_xlfn.MAXIFS(Stangenbelegung!$H$5:$H$10004,Stangenbelegung!$A$5:$A$10004,$A433)&gt;$D433-$F433+0.001),"ÜBERBELEGT","OK"))</f>
        <v/>
      </c>
      <c r="N433" s="24" t="n"/>
      <c r="O433" s="24" t="n"/>
      <c r="P433" s="9" t="n"/>
      <c r="Q433" s="18">
        <f>IF($A433="","",IFERROR($D433/1000*INDEX(Profile!$K$5:$K$304,MATCH($B433,lst_Profil,0))*INDEX(Werkstoffe!$E$5:$E$304,MATCH($C433,lst_Werkstoff,0))/1000,""))</f>
        <v/>
      </c>
      <c r="R433" s="18">
        <f>IF($A433="","",IF(N(_xlfn.MAXIFS(Auftrag!$AP$13:$AP$512,Auftrag!$D$13:$D$512,$B433,Auftrag!$E$13:$E$512,$C433,Auftrag!$Q$13:$Q$512,$D433))&gt;0,_xlfn.MAXIFS(Auftrag!$AP$13:$AP$512,Auftrag!$D$13:$D$512,$B433,Auftrag!$E$13:$E$512,$C433,Auftrag!$Q$13:$Q$512,$D433)*$D433/1000,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9" t="n"/>
      <c r="E434" s="24" t="n"/>
      <c r="F434" s="24" t="n"/>
      <c r="G434" s="12">
        <f>IF($A434="","",COUNTIFS(Stangenbelegung!$A$5:$A$10004,$A434))</f>
        <v/>
      </c>
      <c r="H434" s="35">
        <f>IF($A434="","",SUMIFS(Stangenbelegung!$F$5:$F$10004,Stangenbelegung!$A$5:$A$10004,$A434))</f>
        <v/>
      </c>
      <c r="I434" s="23" t="n"/>
      <c r="J434" s="35">
        <f>IF($A434="","",$E434+H434+$I434)</f>
        <v/>
      </c>
      <c r="K434" s="35">
        <f>IF($A434="","",$D434-J434)</f>
        <v/>
      </c>
      <c r="L434" s="32">
        <f>IF($A434="","",H434/$D434)</f>
        <v/>
      </c>
      <c r="M434" s="28">
        <f>IF($A434="","",IF(OR(J434+$F434&gt;$D434+0.001,_xlfn.MAXIFS(Stangenbelegung!$H$5:$H$10004,Stangenbelegung!$A$5:$A$10004,$A434)&gt;$D434-$F434+0.001),"ÜBERBELEGT","OK"))</f>
        <v/>
      </c>
      <c r="N434" s="24" t="n"/>
      <c r="O434" s="24" t="n"/>
      <c r="P434" s="9" t="n"/>
      <c r="Q434" s="18">
        <f>IF($A434="","",IFERROR($D434/1000*INDEX(Profile!$K$5:$K$304,MATCH($B434,lst_Profil,0))*INDEX(Werkstoffe!$E$5:$E$304,MATCH($C434,lst_Werkstoff,0))/1000,""))</f>
        <v/>
      </c>
      <c r="R434" s="18">
        <f>IF($A434="","",IF(N(_xlfn.MAXIFS(Auftrag!$AP$13:$AP$512,Auftrag!$D$13:$D$512,$B434,Auftrag!$E$13:$E$512,$C434,Auftrag!$Q$13:$Q$512,$D434))&gt;0,_xlfn.MAXIFS(Auftrag!$AP$13:$AP$512,Auftrag!$D$13:$D$512,$B434,Auftrag!$E$13:$E$512,$C434,Auftrag!$Q$13:$Q$512,$D434)*$D434/1000,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9" t="n"/>
      <c r="E435" s="24" t="n"/>
      <c r="F435" s="24" t="n"/>
      <c r="G435" s="12">
        <f>IF($A435="","",COUNTIFS(Stangenbelegung!$A$5:$A$10004,$A435))</f>
        <v/>
      </c>
      <c r="H435" s="35">
        <f>IF($A435="","",SUMIFS(Stangenbelegung!$F$5:$F$10004,Stangenbelegung!$A$5:$A$10004,$A435))</f>
        <v/>
      </c>
      <c r="I435" s="23" t="n"/>
      <c r="J435" s="35">
        <f>IF($A435="","",$E435+H435+$I435)</f>
        <v/>
      </c>
      <c r="K435" s="35">
        <f>IF($A435="","",$D435-J435)</f>
        <v/>
      </c>
      <c r="L435" s="32">
        <f>IF($A435="","",H435/$D435)</f>
        <v/>
      </c>
      <c r="M435" s="28">
        <f>IF($A435="","",IF(OR(J435+$F435&gt;$D435+0.001,_xlfn.MAXIFS(Stangenbelegung!$H$5:$H$10004,Stangenbelegung!$A$5:$A$10004,$A435)&gt;$D435-$F435+0.001),"ÜBERBELEGT","OK"))</f>
        <v/>
      </c>
      <c r="N435" s="24" t="n"/>
      <c r="O435" s="24" t="n"/>
      <c r="P435" s="9" t="n"/>
      <c r="Q435" s="18">
        <f>IF($A435="","",IFERROR($D435/1000*INDEX(Profile!$K$5:$K$304,MATCH($B435,lst_Profil,0))*INDEX(Werkstoffe!$E$5:$E$304,MATCH($C435,lst_Werkstoff,0))/1000,""))</f>
        <v/>
      </c>
      <c r="R435" s="18">
        <f>IF($A435="","",IF(N(_xlfn.MAXIFS(Auftrag!$AP$13:$AP$512,Auftrag!$D$13:$D$512,$B435,Auftrag!$E$13:$E$512,$C435,Auftrag!$Q$13:$Q$512,$D435))&gt;0,_xlfn.MAXIFS(Auftrag!$AP$13:$AP$512,Auftrag!$D$13:$D$512,$B435,Auftrag!$E$13:$E$512,$C435,Auftrag!$Q$13:$Q$512,$D435)*$D435/1000,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9" t="n"/>
      <c r="E436" s="24" t="n"/>
      <c r="F436" s="24" t="n"/>
      <c r="G436" s="12">
        <f>IF($A436="","",COUNTIFS(Stangenbelegung!$A$5:$A$10004,$A436))</f>
        <v/>
      </c>
      <c r="H436" s="35">
        <f>IF($A436="","",SUMIFS(Stangenbelegung!$F$5:$F$10004,Stangenbelegung!$A$5:$A$10004,$A436))</f>
        <v/>
      </c>
      <c r="I436" s="23" t="n"/>
      <c r="J436" s="35">
        <f>IF($A436="","",$E436+H436+$I436)</f>
        <v/>
      </c>
      <c r="K436" s="35">
        <f>IF($A436="","",$D436-J436)</f>
        <v/>
      </c>
      <c r="L436" s="32">
        <f>IF($A436="","",H436/$D436)</f>
        <v/>
      </c>
      <c r="M436" s="28">
        <f>IF($A436="","",IF(OR(J436+$F436&gt;$D436+0.001,_xlfn.MAXIFS(Stangenbelegung!$H$5:$H$10004,Stangenbelegung!$A$5:$A$10004,$A436)&gt;$D436-$F436+0.001),"ÜBERBELEGT","OK"))</f>
        <v/>
      </c>
      <c r="N436" s="24" t="n"/>
      <c r="O436" s="24" t="n"/>
      <c r="P436" s="9" t="n"/>
      <c r="Q436" s="18">
        <f>IF($A436="","",IFERROR($D436/1000*INDEX(Profile!$K$5:$K$304,MATCH($B436,lst_Profil,0))*INDEX(Werkstoffe!$E$5:$E$304,MATCH($C436,lst_Werkstoff,0))/1000,""))</f>
        <v/>
      </c>
      <c r="R436" s="18">
        <f>IF($A436="","",IF(N(_xlfn.MAXIFS(Auftrag!$AP$13:$AP$512,Auftrag!$D$13:$D$512,$B436,Auftrag!$E$13:$E$512,$C436,Auftrag!$Q$13:$Q$512,$D436))&gt;0,_xlfn.MAXIFS(Auftrag!$AP$13:$AP$512,Auftrag!$D$13:$D$512,$B436,Auftrag!$E$13:$E$512,$C436,Auftrag!$Q$13:$Q$512,$D436)*$D436/1000,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9" t="n"/>
      <c r="E437" s="24" t="n"/>
      <c r="F437" s="24" t="n"/>
      <c r="G437" s="12">
        <f>IF($A437="","",COUNTIFS(Stangenbelegung!$A$5:$A$10004,$A437))</f>
        <v/>
      </c>
      <c r="H437" s="35">
        <f>IF($A437="","",SUMIFS(Stangenbelegung!$F$5:$F$10004,Stangenbelegung!$A$5:$A$10004,$A437))</f>
        <v/>
      </c>
      <c r="I437" s="23" t="n"/>
      <c r="J437" s="35">
        <f>IF($A437="","",$E437+H437+$I437)</f>
        <v/>
      </c>
      <c r="K437" s="35">
        <f>IF($A437="","",$D437-J437)</f>
        <v/>
      </c>
      <c r="L437" s="32">
        <f>IF($A437="","",H437/$D437)</f>
        <v/>
      </c>
      <c r="M437" s="28">
        <f>IF($A437="","",IF(OR(J437+$F437&gt;$D437+0.001,_xlfn.MAXIFS(Stangenbelegung!$H$5:$H$10004,Stangenbelegung!$A$5:$A$10004,$A437)&gt;$D437-$F437+0.001),"ÜBERBELEGT","OK"))</f>
        <v/>
      </c>
      <c r="N437" s="24" t="n"/>
      <c r="O437" s="24" t="n"/>
      <c r="P437" s="9" t="n"/>
      <c r="Q437" s="18">
        <f>IF($A437="","",IFERROR($D437/1000*INDEX(Profile!$K$5:$K$304,MATCH($B437,lst_Profil,0))*INDEX(Werkstoffe!$E$5:$E$304,MATCH($C437,lst_Werkstoff,0))/1000,""))</f>
        <v/>
      </c>
      <c r="R437" s="18">
        <f>IF($A437="","",IF(N(_xlfn.MAXIFS(Auftrag!$AP$13:$AP$512,Auftrag!$D$13:$D$512,$B437,Auftrag!$E$13:$E$512,$C437,Auftrag!$Q$13:$Q$512,$D437))&gt;0,_xlfn.MAXIFS(Auftrag!$AP$13:$AP$512,Auftrag!$D$13:$D$512,$B437,Auftrag!$E$13:$E$512,$C437,Auftrag!$Q$13:$Q$512,$D437)*$D437/1000,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9" t="n"/>
      <c r="E438" s="24" t="n"/>
      <c r="F438" s="24" t="n"/>
      <c r="G438" s="12">
        <f>IF($A438="","",COUNTIFS(Stangenbelegung!$A$5:$A$10004,$A438))</f>
        <v/>
      </c>
      <c r="H438" s="35">
        <f>IF($A438="","",SUMIFS(Stangenbelegung!$F$5:$F$10004,Stangenbelegung!$A$5:$A$10004,$A438))</f>
        <v/>
      </c>
      <c r="I438" s="23" t="n"/>
      <c r="J438" s="35">
        <f>IF($A438="","",$E438+H438+$I438)</f>
        <v/>
      </c>
      <c r="K438" s="35">
        <f>IF($A438="","",$D438-J438)</f>
        <v/>
      </c>
      <c r="L438" s="32">
        <f>IF($A438="","",H438/$D438)</f>
        <v/>
      </c>
      <c r="M438" s="28">
        <f>IF($A438="","",IF(OR(J438+$F438&gt;$D438+0.001,_xlfn.MAXIFS(Stangenbelegung!$H$5:$H$10004,Stangenbelegung!$A$5:$A$10004,$A438)&gt;$D438-$F438+0.001),"ÜBERBELEGT","OK"))</f>
        <v/>
      </c>
      <c r="N438" s="24" t="n"/>
      <c r="O438" s="24" t="n"/>
      <c r="P438" s="9" t="n"/>
      <c r="Q438" s="18">
        <f>IF($A438="","",IFERROR($D438/1000*INDEX(Profile!$K$5:$K$304,MATCH($B438,lst_Profil,0))*INDEX(Werkstoffe!$E$5:$E$304,MATCH($C438,lst_Werkstoff,0))/1000,""))</f>
        <v/>
      </c>
      <c r="R438" s="18">
        <f>IF($A438="","",IF(N(_xlfn.MAXIFS(Auftrag!$AP$13:$AP$512,Auftrag!$D$13:$D$512,$B438,Auftrag!$E$13:$E$512,$C438,Auftrag!$Q$13:$Q$512,$D438))&gt;0,_xlfn.MAXIFS(Auftrag!$AP$13:$AP$512,Auftrag!$D$13:$D$512,$B438,Auftrag!$E$13:$E$512,$C438,Auftrag!$Q$13:$Q$512,$D438)*$D438/1000,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9" t="n"/>
      <c r="E439" s="24" t="n"/>
      <c r="F439" s="24" t="n"/>
      <c r="G439" s="12">
        <f>IF($A439="","",COUNTIFS(Stangenbelegung!$A$5:$A$10004,$A439))</f>
        <v/>
      </c>
      <c r="H439" s="35">
        <f>IF($A439="","",SUMIFS(Stangenbelegung!$F$5:$F$10004,Stangenbelegung!$A$5:$A$10004,$A439))</f>
        <v/>
      </c>
      <c r="I439" s="23" t="n"/>
      <c r="J439" s="35">
        <f>IF($A439="","",$E439+H439+$I439)</f>
        <v/>
      </c>
      <c r="K439" s="35">
        <f>IF($A439="","",$D439-J439)</f>
        <v/>
      </c>
      <c r="L439" s="32">
        <f>IF($A439="","",H439/$D439)</f>
        <v/>
      </c>
      <c r="M439" s="28">
        <f>IF($A439="","",IF(OR(J439+$F439&gt;$D439+0.001,_xlfn.MAXIFS(Stangenbelegung!$H$5:$H$10004,Stangenbelegung!$A$5:$A$10004,$A439)&gt;$D439-$F439+0.001),"ÜBERBELEGT","OK"))</f>
        <v/>
      </c>
      <c r="N439" s="24" t="n"/>
      <c r="O439" s="24" t="n"/>
      <c r="P439" s="9" t="n"/>
      <c r="Q439" s="18">
        <f>IF($A439="","",IFERROR($D439/1000*INDEX(Profile!$K$5:$K$304,MATCH($B439,lst_Profil,0))*INDEX(Werkstoffe!$E$5:$E$304,MATCH($C439,lst_Werkstoff,0))/1000,""))</f>
        <v/>
      </c>
      <c r="R439" s="18">
        <f>IF($A439="","",IF(N(_xlfn.MAXIFS(Auftrag!$AP$13:$AP$512,Auftrag!$D$13:$D$512,$B439,Auftrag!$E$13:$E$512,$C439,Auftrag!$Q$13:$Q$512,$D439))&gt;0,_xlfn.MAXIFS(Auftrag!$AP$13:$AP$512,Auftrag!$D$13:$D$512,$B439,Auftrag!$E$13:$E$512,$C439,Auftrag!$Q$13:$Q$512,$D439)*$D439/1000,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9" t="n"/>
      <c r="E440" s="24" t="n"/>
      <c r="F440" s="24" t="n"/>
      <c r="G440" s="12">
        <f>IF($A440="","",COUNTIFS(Stangenbelegung!$A$5:$A$10004,$A440))</f>
        <v/>
      </c>
      <c r="H440" s="35">
        <f>IF($A440="","",SUMIFS(Stangenbelegung!$F$5:$F$10004,Stangenbelegung!$A$5:$A$10004,$A440))</f>
        <v/>
      </c>
      <c r="I440" s="23" t="n"/>
      <c r="J440" s="35">
        <f>IF($A440="","",$E440+H440+$I440)</f>
        <v/>
      </c>
      <c r="K440" s="35">
        <f>IF($A440="","",$D440-J440)</f>
        <v/>
      </c>
      <c r="L440" s="32">
        <f>IF($A440="","",H440/$D440)</f>
        <v/>
      </c>
      <c r="M440" s="28">
        <f>IF($A440="","",IF(OR(J440+$F440&gt;$D440+0.001,_xlfn.MAXIFS(Stangenbelegung!$H$5:$H$10004,Stangenbelegung!$A$5:$A$10004,$A440)&gt;$D440-$F440+0.001),"ÜBERBELEGT","OK"))</f>
        <v/>
      </c>
      <c r="N440" s="24" t="n"/>
      <c r="O440" s="24" t="n"/>
      <c r="P440" s="9" t="n"/>
      <c r="Q440" s="18">
        <f>IF($A440="","",IFERROR($D440/1000*INDEX(Profile!$K$5:$K$304,MATCH($B440,lst_Profil,0))*INDEX(Werkstoffe!$E$5:$E$304,MATCH($C440,lst_Werkstoff,0))/1000,""))</f>
        <v/>
      </c>
      <c r="R440" s="18">
        <f>IF($A440="","",IF(N(_xlfn.MAXIFS(Auftrag!$AP$13:$AP$512,Auftrag!$D$13:$D$512,$B440,Auftrag!$E$13:$E$512,$C440,Auftrag!$Q$13:$Q$512,$D440))&gt;0,_xlfn.MAXIFS(Auftrag!$AP$13:$AP$512,Auftrag!$D$13:$D$512,$B440,Auftrag!$E$13:$E$512,$C440,Auftrag!$Q$13:$Q$512,$D440)*$D440/1000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9" t="n"/>
      <c r="E441" s="24" t="n"/>
      <c r="F441" s="24" t="n"/>
      <c r="G441" s="12">
        <f>IF($A441="","",COUNTIFS(Stangenbelegung!$A$5:$A$10004,$A441))</f>
        <v/>
      </c>
      <c r="H441" s="35">
        <f>IF($A441="","",SUMIFS(Stangenbelegung!$F$5:$F$10004,Stangenbelegung!$A$5:$A$10004,$A441))</f>
        <v/>
      </c>
      <c r="I441" s="23" t="n"/>
      <c r="J441" s="35">
        <f>IF($A441="","",$E441+H441+$I441)</f>
        <v/>
      </c>
      <c r="K441" s="35">
        <f>IF($A441="","",$D441-J441)</f>
        <v/>
      </c>
      <c r="L441" s="32">
        <f>IF($A441="","",H441/$D441)</f>
        <v/>
      </c>
      <c r="M441" s="28">
        <f>IF($A441="","",IF(OR(J441+$F441&gt;$D441+0.001,_xlfn.MAXIFS(Stangenbelegung!$H$5:$H$10004,Stangenbelegung!$A$5:$A$10004,$A441)&gt;$D441-$F441+0.001),"ÜBERBELEGT","OK"))</f>
        <v/>
      </c>
      <c r="N441" s="24" t="n"/>
      <c r="O441" s="24" t="n"/>
      <c r="P441" s="9" t="n"/>
      <c r="Q441" s="18">
        <f>IF($A441="","",IFERROR($D441/1000*INDEX(Profile!$K$5:$K$304,MATCH($B441,lst_Profil,0))*INDEX(Werkstoffe!$E$5:$E$304,MATCH($C441,lst_Werkstoff,0))/1000,""))</f>
        <v/>
      </c>
      <c r="R441" s="18">
        <f>IF($A441="","",IF(N(_xlfn.MAXIFS(Auftrag!$AP$13:$AP$512,Auftrag!$D$13:$D$512,$B441,Auftrag!$E$13:$E$512,$C441,Auftrag!$Q$13:$Q$512,$D441))&gt;0,_xlfn.MAXIFS(Auftrag!$AP$13:$AP$512,Auftrag!$D$13:$D$512,$B441,Auftrag!$E$13:$E$512,$C441,Auftrag!$Q$13:$Q$512,$D441)*$D441/1000,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9" t="n"/>
      <c r="E442" s="24" t="n"/>
      <c r="F442" s="24" t="n"/>
      <c r="G442" s="12">
        <f>IF($A442="","",COUNTIFS(Stangenbelegung!$A$5:$A$10004,$A442))</f>
        <v/>
      </c>
      <c r="H442" s="35">
        <f>IF($A442="","",SUMIFS(Stangenbelegung!$F$5:$F$10004,Stangenbelegung!$A$5:$A$10004,$A442))</f>
        <v/>
      </c>
      <c r="I442" s="23" t="n"/>
      <c r="J442" s="35">
        <f>IF($A442="","",$E442+H442+$I442)</f>
        <v/>
      </c>
      <c r="K442" s="35">
        <f>IF($A442="","",$D442-J442)</f>
        <v/>
      </c>
      <c r="L442" s="32">
        <f>IF($A442="","",H442/$D442)</f>
        <v/>
      </c>
      <c r="M442" s="28">
        <f>IF($A442="","",IF(OR(J442+$F442&gt;$D442+0.001,_xlfn.MAXIFS(Stangenbelegung!$H$5:$H$10004,Stangenbelegung!$A$5:$A$10004,$A442)&gt;$D442-$F442+0.001),"ÜBERBELEGT","OK"))</f>
        <v/>
      </c>
      <c r="N442" s="24" t="n"/>
      <c r="O442" s="24" t="n"/>
      <c r="P442" s="9" t="n"/>
      <c r="Q442" s="18">
        <f>IF($A442="","",IFERROR($D442/1000*INDEX(Profile!$K$5:$K$304,MATCH($B442,lst_Profil,0))*INDEX(Werkstoffe!$E$5:$E$304,MATCH($C442,lst_Werkstoff,0))/1000,""))</f>
        <v/>
      </c>
      <c r="R442" s="18">
        <f>IF($A442="","",IF(N(_xlfn.MAXIFS(Auftrag!$AP$13:$AP$512,Auftrag!$D$13:$D$512,$B442,Auftrag!$E$13:$E$512,$C442,Auftrag!$Q$13:$Q$512,$D442))&gt;0,_xlfn.MAXIFS(Auftrag!$AP$13:$AP$512,Auftrag!$D$13:$D$512,$B442,Auftrag!$E$13:$E$512,$C442,Auftrag!$Q$13:$Q$512,$D442)*$D442/1000,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9" t="n"/>
      <c r="E443" s="24" t="n"/>
      <c r="F443" s="24" t="n"/>
      <c r="G443" s="12">
        <f>IF($A443="","",COUNTIFS(Stangenbelegung!$A$5:$A$10004,$A443))</f>
        <v/>
      </c>
      <c r="H443" s="35">
        <f>IF($A443="","",SUMIFS(Stangenbelegung!$F$5:$F$10004,Stangenbelegung!$A$5:$A$10004,$A443))</f>
        <v/>
      </c>
      <c r="I443" s="23" t="n"/>
      <c r="J443" s="35">
        <f>IF($A443="","",$E443+H443+$I443)</f>
        <v/>
      </c>
      <c r="K443" s="35">
        <f>IF($A443="","",$D443-J443)</f>
        <v/>
      </c>
      <c r="L443" s="32">
        <f>IF($A443="","",H443/$D443)</f>
        <v/>
      </c>
      <c r="M443" s="28">
        <f>IF($A443="","",IF(OR(J443+$F443&gt;$D443+0.001,_xlfn.MAXIFS(Stangenbelegung!$H$5:$H$10004,Stangenbelegung!$A$5:$A$10004,$A443)&gt;$D443-$F443+0.001),"ÜBERBELEGT","OK"))</f>
        <v/>
      </c>
      <c r="N443" s="24" t="n"/>
      <c r="O443" s="24" t="n"/>
      <c r="P443" s="9" t="n"/>
      <c r="Q443" s="18">
        <f>IF($A443="","",IFERROR($D443/1000*INDEX(Profile!$K$5:$K$304,MATCH($B443,lst_Profil,0))*INDEX(Werkstoffe!$E$5:$E$304,MATCH($C443,lst_Werkstoff,0))/1000,""))</f>
        <v/>
      </c>
      <c r="R443" s="18">
        <f>IF($A443="","",IF(N(_xlfn.MAXIFS(Auftrag!$AP$13:$AP$512,Auftrag!$D$13:$D$512,$B443,Auftrag!$E$13:$E$512,$C443,Auftrag!$Q$13:$Q$512,$D443))&gt;0,_xlfn.MAXIFS(Auftrag!$AP$13:$AP$512,Auftrag!$D$13:$D$512,$B443,Auftrag!$E$13:$E$512,$C443,Auftrag!$Q$13:$Q$512,$D443)*$D443/1000,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9" t="n"/>
      <c r="E444" s="24" t="n"/>
      <c r="F444" s="24" t="n"/>
      <c r="G444" s="12">
        <f>IF($A444="","",COUNTIFS(Stangenbelegung!$A$5:$A$10004,$A444))</f>
        <v/>
      </c>
      <c r="H444" s="35">
        <f>IF($A444="","",SUMIFS(Stangenbelegung!$F$5:$F$10004,Stangenbelegung!$A$5:$A$10004,$A444))</f>
        <v/>
      </c>
      <c r="I444" s="23" t="n"/>
      <c r="J444" s="35">
        <f>IF($A444="","",$E444+H444+$I444)</f>
        <v/>
      </c>
      <c r="K444" s="35">
        <f>IF($A444="","",$D444-J444)</f>
        <v/>
      </c>
      <c r="L444" s="32">
        <f>IF($A444="","",H444/$D444)</f>
        <v/>
      </c>
      <c r="M444" s="28">
        <f>IF($A444="","",IF(OR(J444+$F444&gt;$D444+0.001,_xlfn.MAXIFS(Stangenbelegung!$H$5:$H$10004,Stangenbelegung!$A$5:$A$10004,$A444)&gt;$D444-$F444+0.001),"ÜBERBELEGT","OK"))</f>
        <v/>
      </c>
      <c r="N444" s="24" t="n"/>
      <c r="O444" s="24" t="n"/>
      <c r="P444" s="9" t="n"/>
      <c r="Q444" s="18">
        <f>IF($A444="","",IFERROR($D444/1000*INDEX(Profile!$K$5:$K$304,MATCH($B444,lst_Profil,0))*INDEX(Werkstoffe!$E$5:$E$304,MATCH($C444,lst_Werkstoff,0))/1000,""))</f>
        <v/>
      </c>
      <c r="R444" s="18">
        <f>IF($A444="","",IF(N(_xlfn.MAXIFS(Auftrag!$AP$13:$AP$512,Auftrag!$D$13:$D$512,$B444,Auftrag!$E$13:$E$512,$C444,Auftrag!$Q$13:$Q$512,$D444))&gt;0,_xlfn.MAXIFS(Auftrag!$AP$13:$AP$512,Auftrag!$D$13:$D$512,$B444,Auftrag!$E$13:$E$512,$C444,Auftrag!$Q$13:$Q$512,$D444)*$D444/1000,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9" t="n"/>
      <c r="E445" s="24" t="n"/>
      <c r="F445" s="24" t="n"/>
      <c r="G445" s="12">
        <f>IF($A445="","",COUNTIFS(Stangenbelegung!$A$5:$A$10004,$A445))</f>
        <v/>
      </c>
      <c r="H445" s="35">
        <f>IF($A445="","",SUMIFS(Stangenbelegung!$F$5:$F$10004,Stangenbelegung!$A$5:$A$10004,$A445))</f>
        <v/>
      </c>
      <c r="I445" s="23" t="n"/>
      <c r="J445" s="35">
        <f>IF($A445="","",$E445+H445+$I445)</f>
        <v/>
      </c>
      <c r="K445" s="35">
        <f>IF($A445="","",$D445-J445)</f>
        <v/>
      </c>
      <c r="L445" s="32">
        <f>IF($A445="","",H445/$D445)</f>
        <v/>
      </c>
      <c r="M445" s="28">
        <f>IF($A445="","",IF(OR(J445+$F445&gt;$D445+0.001,_xlfn.MAXIFS(Stangenbelegung!$H$5:$H$10004,Stangenbelegung!$A$5:$A$10004,$A445)&gt;$D445-$F445+0.001),"ÜBERBELEGT","OK"))</f>
        <v/>
      </c>
      <c r="N445" s="24" t="n"/>
      <c r="O445" s="24" t="n"/>
      <c r="P445" s="9" t="n"/>
      <c r="Q445" s="18">
        <f>IF($A445="","",IFERROR($D445/1000*INDEX(Profile!$K$5:$K$304,MATCH($B445,lst_Profil,0))*INDEX(Werkstoffe!$E$5:$E$304,MATCH($C445,lst_Werkstoff,0))/1000,""))</f>
        <v/>
      </c>
      <c r="R445" s="18">
        <f>IF($A445="","",IF(N(_xlfn.MAXIFS(Auftrag!$AP$13:$AP$512,Auftrag!$D$13:$D$512,$B445,Auftrag!$E$13:$E$512,$C445,Auftrag!$Q$13:$Q$512,$D445))&gt;0,_xlfn.MAXIFS(Auftrag!$AP$13:$AP$512,Auftrag!$D$13:$D$512,$B445,Auftrag!$E$13:$E$512,$C445,Auftrag!$Q$13:$Q$512,$D445)*$D445/1000,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9" t="n"/>
      <c r="E446" s="24" t="n"/>
      <c r="F446" s="24" t="n"/>
      <c r="G446" s="12">
        <f>IF($A446="","",COUNTIFS(Stangenbelegung!$A$5:$A$10004,$A446))</f>
        <v/>
      </c>
      <c r="H446" s="35">
        <f>IF($A446="","",SUMIFS(Stangenbelegung!$F$5:$F$10004,Stangenbelegung!$A$5:$A$10004,$A446))</f>
        <v/>
      </c>
      <c r="I446" s="23" t="n"/>
      <c r="J446" s="35">
        <f>IF($A446="","",$E446+H446+$I446)</f>
        <v/>
      </c>
      <c r="K446" s="35">
        <f>IF($A446="","",$D446-J446)</f>
        <v/>
      </c>
      <c r="L446" s="32">
        <f>IF($A446="","",H446/$D446)</f>
        <v/>
      </c>
      <c r="M446" s="28">
        <f>IF($A446="","",IF(OR(J446+$F446&gt;$D446+0.001,_xlfn.MAXIFS(Stangenbelegung!$H$5:$H$10004,Stangenbelegung!$A$5:$A$10004,$A446)&gt;$D446-$F446+0.001),"ÜBERBELEGT","OK"))</f>
        <v/>
      </c>
      <c r="N446" s="24" t="n"/>
      <c r="O446" s="24" t="n"/>
      <c r="P446" s="9" t="n"/>
      <c r="Q446" s="18">
        <f>IF($A446="","",IFERROR($D446/1000*INDEX(Profile!$K$5:$K$304,MATCH($B446,lst_Profil,0))*INDEX(Werkstoffe!$E$5:$E$304,MATCH($C446,lst_Werkstoff,0))/1000,""))</f>
        <v/>
      </c>
      <c r="R446" s="18">
        <f>IF($A446="","",IF(N(_xlfn.MAXIFS(Auftrag!$AP$13:$AP$512,Auftrag!$D$13:$D$512,$B446,Auftrag!$E$13:$E$512,$C446,Auftrag!$Q$13:$Q$512,$D446))&gt;0,_xlfn.MAXIFS(Auftrag!$AP$13:$AP$512,Auftrag!$D$13:$D$512,$B446,Auftrag!$E$13:$E$512,$C446,Auftrag!$Q$13:$Q$512,$D446)*$D446/1000,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9" t="n"/>
      <c r="E447" s="24" t="n"/>
      <c r="F447" s="24" t="n"/>
      <c r="G447" s="12">
        <f>IF($A447="","",COUNTIFS(Stangenbelegung!$A$5:$A$10004,$A447))</f>
        <v/>
      </c>
      <c r="H447" s="35">
        <f>IF($A447="","",SUMIFS(Stangenbelegung!$F$5:$F$10004,Stangenbelegung!$A$5:$A$10004,$A447))</f>
        <v/>
      </c>
      <c r="I447" s="23" t="n"/>
      <c r="J447" s="35">
        <f>IF($A447="","",$E447+H447+$I447)</f>
        <v/>
      </c>
      <c r="K447" s="35">
        <f>IF($A447="","",$D447-J447)</f>
        <v/>
      </c>
      <c r="L447" s="32">
        <f>IF($A447="","",H447/$D447)</f>
        <v/>
      </c>
      <c r="M447" s="28">
        <f>IF($A447="","",IF(OR(J447+$F447&gt;$D447+0.001,_xlfn.MAXIFS(Stangenbelegung!$H$5:$H$10004,Stangenbelegung!$A$5:$A$10004,$A447)&gt;$D447-$F447+0.001),"ÜBERBELEGT","OK"))</f>
        <v/>
      </c>
      <c r="N447" s="24" t="n"/>
      <c r="O447" s="24" t="n"/>
      <c r="P447" s="9" t="n"/>
      <c r="Q447" s="18">
        <f>IF($A447="","",IFERROR($D447/1000*INDEX(Profile!$K$5:$K$304,MATCH($B447,lst_Profil,0))*INDEX(Werkstoffe!$E$5:$E$304,MATCH($C447,lst_Werkstoff,0))/1000,""))</f>
        <v/>
      </c>
      <c r="R447" s="18">
        <f>IF($A447="","",IF(N(_xlfn.MAXIFS(Auftrag!$AP$13:$AP$512,Auftrag!$D$13:$D$512,$B447,Auftrag!$E$13:$E$512,$C447,Auftrag!$Q$13:$Q$512,$D447))&gt;0,_xlfn.MAXIFS(Auftrag!$AP$13:$AP$512,Auftrag!$D$13:$D$512,$B447,Auftrag!$E$13:$E$512,$C447,Auftrag!$Q$13:$Q$512,$D447)*$D447/1000,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9" t="n"/>
      <c r="E448" s="24" t="n"/>
      <c r="F448" s="24" t="n"/>
      <c r="G448" s="12">
        <f>IF($A448="","",COUNTIFS(Stangenbelegung!$A$5:$A$10004,$A448))</f>
        <v/>
      </c>
      <c r="H448" s="35">
        <f>IF($A448="","",SUMIFS(Stangenbelegung!$F$5:$F$10004,Stangenbelegung!$A$5:$A$10004,$A448))</f>
        <v/>
      </c>
      <c r="I448" s="23" t="n"/>
      <c r="J448" s="35">
        <f>IF($A448="","",$E448+H448+$I448)</f>
        <v/>
      </c>
      <c r="K448" s="35">
        <f>IF($A448="","",$D448-J448)</f>
        <v/>
      </c>
      <c r="L448" s="32">
        <f>IF($A448="","",H448/$D448)</f>
        <v/>
      </c>
      <c r="M448" s="28">
        <f>IF($A448="","",IF(OR(J448+$F448&gt;$D448+0.001,_xlfn.MAXIFS(Stangenbelegung!$H$5:$H$10004,Stangenbelegung!$A$5:$A$10004,$A448)&gt;$D448-$F448+0.001),"ÜBERBELEGT","OK"))</f>
        <v/>
      </c>
      <c r="N448" s="24" t="n"/>
      <c r="O448" s="24" t="n"/>
      <c r="P448" s="9" t="n"/>
      <c r="Q448" s="18">
        <f>IF($A448="","",IFERROR($D448/1000*INDEX(Profile!$K$5:$K$304,MATCH($B448,lst_Profil,0))*INDEX(Werkstoffe!$E$5:$E$304,MATCH($C448,lst_Werkstoff,0))/1000,""))</f>
        <v/>
      </c>
      <c r="R448" s="18">
        <f>IF($A448="","",IF(N(_xlfn.MAXIFS(Auftrag!$AP$13:$AP$512,Auftrag!$D$13:$D$512,$B448,Auftrag!$E$13:$E$512,$C448,Auftrag!$Q$13:$Q$512,$D448))&gt;0,_xlfn.MAXIFS(Auftrag!$AP$13:$AP$512,Auftrag!$D$13:$D$512,$B448,Auftrag!$E$13:$E$512,$C448,Auftrag!$Q$13:$Q$512,$D448)*$D448/1000,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9" t="n"/>
      <c r="E449" s="24" t="n"/>
      <c r="F449" s="24" t="n"/>
      <c r="G449" s="12">
        <f>IF($A449="","",COUNTIFS(Stangenbelegung!$A$5:$A$10004,$A449))</f>
        <v/>
      </c>
      <c r="H449" s="35">
        <f>IF($A449="","",SUMIFS(Stangenbelegung!$F$5:$F$10004,Stangenbelegung!$A$5:$A$10004,$A449))</f>
        <v/>
      </c>
      <c r="I449" s="23" t="n"/>
      <c r="J449" s="35">
        <f>IF($A449="","",$E449+H449+$I449)</f>
        <v/>
      </c>
      <c r="K449" s="35">
        <f>IF($A449="","",$D449-J449)</f>
        <v/>
      </c>
      <c r="L449" s="32">
        <f>IF($A449="","",H449/$D449)</f>
        <v/>
      </c>
      <c r="M449" s="28">
        <f>IF($A449="","",IF(OR(J449+$F449&gt;$D449+0.001,_xlfn.MAXIFS(Stangenbelegung!$H$5:$H$10004,Stangenbelegung!$A$5:$A$10004,$A449)&gt;$D449-$F449+0.001),"ÜBERBELEGT","OK"))</f>
        <v/>
      </c>
      <c r="N449" s="24" t="n"/>
      <c r="O449" s="24" t="n"/>
      <c r="P449" s="9" t="n"/>
      <c r="Q449" s="18">
        <f>IF($A449="","",IFERROR($D449/1000*INDEX(Profile!$K$5:$K$304,MATCH($B449,lst_Profil,0))*INDEX(Werkstoffe!$E$5:$E$304,MATCH($C449,lst_Werkstoff,0))/1000,""))</f>
        <v/>
      </c>
      <c r="R449" s="18">
        <f>IF($A449="","",IF(N(_xlfn.MAXIFS(Auftrag!$AP$13:$AP$512,Auftrag!$D$13:$D$512,$B449,Auftrag!$E$13:$E$512,$C449,Auftrag!$Q$13:$Q$512,$D449))&gt;0,_xlfn.MAXIFS(Auftrag!$AP$13:$AP$512,Auftrag!$D$13:$D$512,$B449,Auftrag!$E$13:$E$512,$C449,Auftrag!$Q$13:$Q$512,$D449)*$D449/1000,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9" t="n"/>
      <c r="E450" s="24" t="n"/>
      <c r="F450" s="24" t="n"/>
      <c r="G450" s="12">
        <f>IF($A450="","",COUNTIFS(Stangenbelegung!$A$5:$A$10004,$A450))</f>
        <v/>
      </c>
      <c r="H450" s="35">
        <f>IF($A450="","",SUMIFS(Stangenbelegung!$F$5:$F$10004,Stangenbelegung!$A$5:$A$10004,$A450))</f>
        <v/>
      </c>
      <c r="I450" s="23" t="n"/>
      <c r="J450" s="35">
        <f>IF($A450="","",$E450+H450+$I450)</f>
        <v/>
      </c>
      <c r="K450" s="35">
        <f>IF($A450="","",$D450-J450)</f>
        <v/>
      </c>
      <c r="L450" s="32">
        <f>IF($A450="","",H450/$D450)</f>
        <v/>
      </c>
      <c r="M450" s="28">
        <f>IF($A450="","",IF(OR(J450+$F450&gt;$D450+0.001,_xlfn.MAXIFS(Stangenbelegung!$H$5:$H$10004,Stangenbelegung!$A$5:$A$10004,$A450)&gt;$D450-$F450+0.001),"ÜBERBELEGT","OK"))</f>
        <v/>
      </c>
      <c r="N450" s="24" t="n"/>
      <c r="O450" s="24" t="n"/>
      <c r="P450" s="9" t="n"/>
      <c r="Q450" s="18">
        <f>IF($A450="","",IFERROR($D450/1000*INDEX(Profile!$K$5:$K$304,MATCH($B450,lst_Profil,0))*INDEX(Werkstoffe!$E$5:$E$304,MATCH($C450,lst_Werkstoff,0))/1000,""))</f>
        <v/>
      </c>
      <c r="R450" s="18">
        <f>IF($A450="","",IF(N(_xlfn.MAXIFS(Auftrag!$AP$13:$AP$512,Auftrag!$D$13:$D$512,$B450,Auftrag!$E$13:$E$512,$C450,Auftrag!$Q$13:$Q$512,$D450))&gt;0,_xlfn.MAXIFS(Auftrag!$AP$13:$AP$512,Auftrag!$D$13:$D$512,$B450,Auftrag!$E$13:$E$512,$C450,Auftrag!$Q$13:$Q$512,$D450)*$D450/1000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9" t="n"/>
      <c r="E451" s="24" t="n"/>
      <c r="F451" s="24" t="n"/>
      <c r="G451" s="12">
        <f>IF($A451="","",COUNTIFS(Stangenbelegung!$A$5:$A$10004,$A451))</f>
        <v/>
      </c>
      <c r="H451" s="35">
        <f>IF($A451="","",SUMIFS(Stangenbelegung!$F$5:$F$10004,Stangenbelegung!$A$5:$A$10004,$A451))</f>
        <v/>
      </c>
      <c r="I451" s="23" t="n"/>
      <c r="J451" s="35">
        <f>IF($A451="","",$E451+H451+$I451)</f>
        <v/>
      </c>
      <c r="K451" s="35">
        <f>IF($A451="","",$D451-J451)</f>
        <v/>
      </c>
      <c r="L451" s="32">
        <f>IF($A451="","",H451/$D451)</f>
        <v/>
      </c>
      <c r="M451" s="28">
        <f>IF($A451="","",IF(OR(J451+$F451&gt;$D451+0.001,_xlfn.MAXIFS(Stangenbelegung!$H$5:$H$10004,Stangenbelegung!$A$5:$A$10004,$A451)&gt;$D451-$F451+0.001),"ÜBERBELEGT","OK"))</f>
        <v/>
      </c>
      <c r="N451" s="24" t="n"/>
      <c r="O451" s="24" t="n"/>
      <c r="P451" s="9" t="n"/>
      <c r="Q451" s="18">
        <f>IF($A451="","",IFERROR($D451/1000*INDEX(Profile!$K$5:$K$304,MATCH($B451,lst_Profil,0))*INDEX(Werkstoffe!$E$5:$E$304,MATCH($C451,lst_Werkstoff,0))/1000,""))</f>
        <v/>
      </c>
      <c r="R451" s="18">
        <f>IF($A451="","",IF(N(_xlfn.MAXIFS(Auftrag!$AP$13:$AP$512,Auftrag!$D$13:$D$512,$B451,Auftrag!$E$13:$E$512,$C451,Auftrag!$Q$13:$Q$512,$D451))&gt;0,_xlfn.MAXIFS(Auftrag!$AP$13:$AP$512,Auftrag!$D$13:$D$512,$B451,Auftrag!$E$13:$E$512,$C451,Auftrag!$Q$13:$Q$512,$D451)*$D451/1000,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9" t="n"/>
      <c r="E452" s="24" t="n"/>
      <c r="F452" s="24" t="n"/>
      <c r="G452" s="12">
        <f>IF($A452="","",COUNTIFS(Stangenbelegung!$A$5:$A$10004,$A452))</f>
        <v/>
      </c>
      <c r="H452" s="35">
        <f>IF($A452="","",SUMIFS(Stangenbelegung!$F$5:$F$10004,Stangenbelegung!$A$5:$A$10004,$A452))</f>
        <v/>
      </c>
      <c r="I452" s="23" t="n"/>
      <c r="J452" s="35">
        <f>IF($A452="","",$E452+H452+$I452)</f>
        <v/>
      </c>
      <c r="K452" s="35">
        <f>IF($A452="","",$D452-J452)</f>
        <v/>
      </c>
      <c r="L452" s="32">
        <f>IF($A452="","",H452/$D452)</f>
        <v/>
      </c>
      <c r="M452" s="28">
        <f>IF($A452="","",IF(OR(J452+$F452&gt;$D452+0.001,_xlfn.MAXIFS(Stangenbelegung!$H$5:$H$10004,Stangenbelegung!$A$5:$A$10004,$A452)&gt;$D452-$F452+0.001),"ÜBERBELEGT","OK"))</f>
        <v/>
      </c>
      <c r="N452" s="24" t="n"/>
      <c r="O452" s="24" t="n"/>
      <c r="P452" s="9" t="n"/>
      <c r="Q452" s="18">
        <f>IF($A452="","",IFERROR($D452/1000*INDEX(Profile!$K$5:$K$304,MATCH($B452,lst_Profil,0))*INDEX(Werkstoffe!$E$5:$E$304,MATCH($C452,lst_Werkstoff,0))/1000,""))</f>
        <v/>
      </c>
      <c r="R452" s="18">
        <f>IF($A452="","",IF(N(_xlfn.MAXIFS(Auftrag!$AP$13:$AP$512,Auftrag!$D$13:$D$512,$B452,Auftrag!$E$13:$E$512,$C452,Auftrag!$Q$13:$Q$512,$D452))&gt;0,_xlfn.MAXIFS(Auftrag!$AP$13:$AP$512,Auftrag!$D$13:$D$512,$B452,Auftrag!$E$13:$E$512,$C452,Auftrag!$Q$13:$Q$512,$D452)*$D452/1000,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9" t="n"/>
      <c r="E453" s="24" t="n"/>
      <c r="F453" s="24" t="n"/>
      <c r="G453" s="12">
        <f>IF($A453="","",COUNTIFS(Stangenbelegung!$A$5:$A$10004,$A453))</f>
        <v/>
      </c>
      <c r="H453" s="35">
        <f>IF($A453="","",SUMIFS(Stangenbelegung!$F$5:$F$10004,Stangenbelegung!$A$5:$A$10004,$A453))</f>
        <v/>
      </c>
      <c r="I453" s="23" t="n"/>
      <c r="J453" s="35">
        <f>IF($A453="","",$E453+H453+$I453)</f>
        <v/>
      </c>
      <c r="K453" s="35">
        <f>IF($A453="","",$D453-J453)</f>
        <v/>
      </c>
      <c r="L453" s="32">
        <f>IF($A453="","",H453/$D453)</f>
        <v/>
      </c>
      <c r="M453" s="28">
        <f>IF($A453="","",IF(OR(J453+$F453&gt;$D453+0.001,_xlfn.MAXIFS(Stangenbelegung!$H$5:$H$10004,Stangenbelegung!$A$5:$A$10004,$A453)&gt;$D453-$F453+0.001),"ÜBERBELEGT","OK"))</f>
        <v/>
      </c>
      <c r="N453" s="24" t="n"/>
      <c r="O453" s="24" t="n"/>
      <c r="P453" s="9" t="n"/>
      <c r="Q453" s="18">
        <f>IF($A453="","",IFERROR($D453/1000*INDEX(Profile!$K$5:$K$304,MATCH($B453,lst_Profil,0))*INDEX(Werkstoffe!$E$5:$E$304,MATCH($C453,lst_Werkstoff,0))/1000,""))</f>
        <v/>
      </c>
      <c r="R453" s="18">
        <f>IF($A453="","",IF(N(_xlfn.MAXIFS(Auftrag!$AP$13:$AP$512,Auftrag!$D$13:$D$512,$B453,Auftrag!$E$13:$E$512,$C453,Auftrag!$Q$13:$Q$512,$D453))&gt;0,_xlfn.MAXIFS(Auftrag!$AP$13:$AP$512,Auftrag!$D$13:$D$512,$B453,Auftrag!$E$13:$E$512,$C453,Auftrag!$Q$13:$Q$512,$D453)*$D453/1000,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9" t="n"/>
      <c r="E454" s="24" t="n"/>
      <c r="F454" s="24" t="n"/>
      <c r="G454" s="12">
        <f>IF($A454="","",COUNTIFS(Stangenbelegung!$A$5:$A$10004,$A454))</f>
        <v/>
      </c>
      <c r="H454" s="35">
        <f>IF($A454="","",SUMIFS(Stangenbelegung!$F$5:$F$10004,Stangenbelegung!$A$5:$A$10004,$A454))</f>
        <v/>
      </c>
      <c r="I454" s="23" t="n"/>
      <c r="J454" s="35">
        <f>IF($A454="","",$E454+H454+$I454)</f>
        <v/>
      </c>
      <c r="K454" s="35">
        <f>IF($A454="","",$D454-J454)</f>
        <v/>
      </c>
      <c r="L454" s="32">
        <f>IF($A454="","",H454/$D454)</f>
        <v/>
      </c>
      <c r="M454" s="28">
        <f>IF($A454="","",IF(OR(J454+$F454&gt;$D454+0.001,_xlfn.MAXIFS(Stangenbelegung!$H$5:$H$10004,Stangenbelegung!$A$5:$A$10004,$A454)&gt;$D454-$F454+0.001),"ÜBERBELEGT","OK"))</f>
        <v/>
      </c>
      <c r="N454" s="24" t="n"/>
      <c r="O454" s="24" t="n"/>
      <c r="P454" s="9" t="n"/>
      <c r="Q454" s="18">
        <f>IF($A454="","",IFERROR($D454/1000*INDEX(Profile!$K$5:$K$304,MATCH($B454,lst_Profil,0))*INDEX(Werkstoffe!$E$5:$E$304,MATCH($C454,lst_Werkstoff,0))/1000,""))</f>
        <v/>
      </c>
      <c r="R454" s="18">
        <f>IF($A454="","",IF(N(_xlfn.MAXIFS(Auftrag!$AP$13:$AP$512,Auftrag!$D$13:$D$512,$B454,Auftrag!$E$13:$E$512,$C454,Auftrag!$Q$13:$Q$512,$D454))&gt;0,_xlfn.MAXIFS(Auftrag!$AP$13:$AP$512,Auftrag!$D$13:$D$512,$B454,Auftrag!$E$13:$E$512,$C454,Auftrag!$Q$13:$Q$512,$D454)*$D454/1000,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9" t="n"/>
      <c r="E455" s="24" t="n"/>
      <c r="F455" s="24" t="n"/>
      <c r="G455" s="12">
        <f>IF($A455="","",COUNTIFS(Stangenbelegung!$A$5:$A$10004,$A455))</f>
        <v/>
      </c>
      <c r="H455" s="35">
        <f>IF($A455="","",SUMIFS(Stangenbelegung!$F$5:$F$10004,Stangenbelegung!$A$5:$A$10004,$A455))</f>
        <v/>
      </c>
      <c r="I455" s="23" t="n"/>
      <c r="J455" s="35">
        <f>IF($A455="","",$E455+H455+$I455)</f>
        <v/>
      </c>
      <c r="K455" s="35">
        <f>IF($A455="","",$D455-J455)</f>
        <v/>
      </c>
      <c r="L455" s="32">
        <f>IF($A455="","",H455/$D455)</f>
        <v/>
      </c>
      <c r="M455" s="28">
        <f>IF($A455="","",IF(OR(J455+$F455&gt;$D455+0.001,_xlfn.MAXIFS(Stangenbelegung!$H$5:$H$10004,Stangenbelegung!$A$5:$A$10004,$A455)&gt;$D455-$F455+0.001),"ÜBERBELEGT","OK"))</f>
        <v/>
      </c>
      <c r="N455" s="24" t="n"/>
      <c r="O455" s="24" t="n"/>
      <c r="P455" s="9" t="n"/>
      <c r="Q455" s="18">
        <f>IF($A455="","",IFERROR($D455/1000*INDEX(Profile!$K$5:$K$304,MATCH($B455,lst_Profil,0))*INDEX(Werkstoffe!$E$5:$E$304,MATCH($C455,lst_Werkstoff,0))/1000,""))</f>
        <v/>
      </c>
      <c r="R455" s="18">
        <f>IF($A455="","",IF(N(_xlfn.MAXIFS(Auftrag!$AP$13:$AP$512,Auftrag!$D$13:$D$512,$B455,Auftrag!$E$13:$E$512,$C455,Auftrag!$Q$13:$Q$512,$D455))&gt;0,_xlfn.MAXIFS(Auftrag!$AP$13:$AP$512,Auftrag!$D$13:$D$512,$B455,Auftrag!$E$13:$E$512,$C455,Auftrag!$Q$13:$Q$512,$D455)*$D455/1000,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9" t="n"/>
      <c r="E456" s="24" t="n"/>
      <c r="F456" s="24" t="n"/>
      <c r="G456" s="12">
        <f>IF($A456="","",COUNTIFS(Stangenbelegung!$A$5:$A$10004,$A456))</f>
        <v/>
      </c>
      <c r="H456" s="35">
        <f>IF($A456="","",SUMIFS(Stangenbelegung!$F$5:$F$10004,Stangenbelegung!$A$5:$A$10004,$A456))</f>
        <v/>
      </c>
      <c r="I456" s="23" t="n"/>
      <c r="J456" s="35">
        <f>IF($A456="","",$E456+H456+$I456)</f>
        <v/>
      </c>
      <c r="K456" s="35">
        <f>IF($A456="","",$D456-J456)</f>
        <v/>
      </c>
      <c r="L456" s="32">
        <f>IF($A456="","",H456/$D456)</f>
        <v/>
      </c>
      <c r="M456" s="28">
        <f>IF($A456="","",IF(OR(J456+$F456&gt;$D456+0.001,_xlfn.MAXIFS(Stangenbelegung!$H$5:$H$10004,Stangenbelegung!$A$5:$A$10004,$A456)&gt;$D456-$F456+0.001),"ÜBERBELEGT","OK"))</f>
        <v/>
      </c>
      <c r="N456" s="24" t="n"/>
      <c r="O456" s="24" t="n"/>
      <c r="P456" s="9" t="n"/>
      <c r="Q456" s="18">
        <f>IF($A456="","",IFERROR($D456/1000*INDEX(Profile!$K$5:$K$304,MATCH($B456,lst_Profil,0))*INDEX(Werkstoffe!$E$5:$E$304,MATCH($C456,lst_Werkstoff,0))/1000,""))</f>
        <v/>
      </c>
      <c r="R456" s="18">
        <f>IF($A456="","",IF(N(_xlfn.MAXIFS(Auftrag!$AP$13:$AP$512,Auftrag!$D$13:$D$512,$B456,Auftrag!$E$13:$E$512,$C456,Auftrag!$Q$13:$Q$512,$D456))&gt;0,_xlfn.MAXIFS(Auftrag!$AP$13:$AP$512,Auftrag!$D$13:$D$512,$B456,Auftrag!$E$13:$E$512,$C456,Auftrag!$Q$13:$Q$512,$D456)*$D456/1000,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9" t="n"/>
      <c r="E457" s="24" t="n"/>
      <c r="F457" s="24" t="n"/>
      <c r="G457" s="12">
        <f>IF($A457="","",COUNTIFS(Stangenbelegung!$A$5:$A$10004,$A457))</f>
        <v/>
      </c>
      <c r="H457" s="35">
        <f>IF($A457="","",SUMIFS(Stangenbelegung!$F$5:$F$10004,Stangenbelegung!$A$5:$A$10004,$A457))</f>
        <v/>
      </c>
      <c r="I457" s="23" t="n"/>
      <c r="J457" s="35">
        <f>IF($A457="","",$E457+H457+$I457)</f>
        <v/>
      </c>
      <c r="K457" s="35">
        <f>IF($A457="","",$D457-J457)</f>
        <v/>
      </c>
      <c r="L457" s="32">
        <f>IF($A457="","",H457/$D457)</f>
        <v/>
      </c>
      <c r="M457" s="28">
        <f>IF($A457="","",IF(OR(J457+$F457&gt;$D457+0.001,_xlfn.MAXIFS(Stangenbelegung!$H$5:$H$10004,Stangenbelegung!$A$5:$A$10004,$A457)&gt;$D457-$F457+0.001),"ÜBERBELEGT","OK"))</f>
        <v/>
      </c>
      <c r="N457" s="24" t="n"/>
      <c r="O457" s="24" t="n"/>
      <c r="P457" s="9" t="n"/>
      <c r="Q457" s="18">
        <f>IF($A457="","",IFERROR($D457/1000*INDEX(Profile!$K$5:$K$304,MATCH($B457,lst_Profil,0))*INDEX(Werkstoffe!$E$5:$E$304,MATCH($C457,lst_Werkstoff,0))/1000,""))</f>
        <v/>
      </c>
      <c r="R457" s="18">
        <f>IF($A457="","",IF(N(_xlfn.MAXIFS(Auftrag!$AP$13:$AP$512,Auftrag!$D$13:$D$512,$B457,Auftrag!$E$13:$E$512,$C457,Auftrag!$Q$13:$Q$512,$D457))&gt;0,_xlfn.MAXIFS(Auftrag!$AP$13:$AP$512,Auftrag!$D$13:$D$512,$B457,Auftrag!$E$13:$E$512,$C457,Auftrag!$Q$13:$Q$512,$D457)*$D457/1000,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9" t="n"/>
      <c r="E458" s="24" t="n"/>
      <c r="F458" s="24" t="n"/>
      <c r="G458" s="12">
        <f>IF($A458="","",COUNTIFS(Stangenbelegung!$A$5:$A$10004,$A458))</f>
        <v/>
      </c>
      <c r="H458" s="35">
        <f>IF($A458="","",SUMIFS(Stangenbelegung!$F$5:$F$10004,Stangenbelegung!$A$5:$A$10004,$A458))</f>
        <v/>
      </c>
      <c r="I458" s="23" t="n"/>
      <c r="J458" s="35">
        <f>IF($A458="","",$E458+H458+$I458)</f>
        <v/>
      </c>
      <c r="K458" s="35">
        <f>IF($A458="","",$D458-J458)</f>
        <v/>
      </c>
      <c r="L458" s="32">
        <f>IF($A458="","",H458/$D458)</f>
        <v/>
      </c>
      <c r="M458" s="28">
        <f>IF($A458="","",IF(OR(J458+$F458&gt;$D458+0.001,_xlfn.MAXIFS(Stangenbelegung!$H$5:$H$10004,Stangenbelegung!$A$5:$A$10004,$A458)&gt;$D458-$F458+0.001),"ÜBERBELEGT","OK"))</f>
        <v/>
      </c>
      <c r="N458" s="24" t="n"/>
      <c r="O458" s="24" t="n"/>
      <c r="P458" s="9" t="n"/>
      <c r="Q458" s="18">
        <f>IF($A458="","",IFERROR($D458/1000*INDEX(Profile!$K$5:$K$304,MATCH($B458,lst_Profil,0))*INDEX(Werkstoffe!$E$5:$E$304,MATCH($C458,lst_Werkstoff,0))/1000,""))</f>
        <v/>
      </c>
      <c r="R458" s="18">
        <f>IF($A458="","",IF(N(_xlfn.MAXIFS(Auftrag!$AP$13:$AP$512,Auftrag!$D$13:$D$512,$B458,Auftrag!$E$13:$E$512,$C458,Auftrag!$Q$13:$Q$512,$D458))&gt;0,_xlfn.MAXIFS(Auftrag!$AP$13:$AP$512,Auftrag!$D$13:$D$512,$B458,Auftrag!$E$13:$E$512,$C458,Auftrag!$Q$13:$Q$512,$D458)*$D458/1000,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9" t="n"/>
      <c r="E459" s="24" t="n"/>
      <c r="F459" s="24" t="n"/>
      <c r="G459" s="12">
        <f>IF($A459="","",COUNTIFS(Stangenbelegung!$A$5:$A$10004,$A459))</f>
        <v/>
      </c>
      <c r="H459" s="35">
        <f>IF($A459="","",SUMIFS(Stangenbelegung!$F$5:$F$10004,Stangenbelegung!$A$5:$A$10004,$A459))</f>
        <v/>
      </c>
      <c r="I459" s="23" t="n"/>
      <c r="J459" s="35">
        <f>IF($A459="","",$E459+H459+$I459)</f>
        <v/>
      </c>
      <c r="K459" s="35">
        <f>IF($A459="","",$D459-J459)</f>
        <v/>
      </c>
      <c r="L459" s="32">
        <f>IF($A459="","",H459/$D459)</f>
        <v/>
      </c>
      <c r="M459" s="28">
        <f>IF($A459="","",IF(OR(J459+$F459&gt;$D459+0.001,_xlfn.MAXIFS(Stangenbelegung!$H$5:$H$10004,Stangenbelegung!$A$5:$A$10004,$A459)&gt;$D459-$F459+0.001),"ÜBERBELEGT","OK"))</f>
        <v/>
      </c>
      <c r="N459" s="24" t="n"/>
      <c r="O459" s="24" t="n"/>
      <c r="P459" s="9" t="n"/>
      <c r="Q459" s="18">
        <f>IF($A459="","",IFERROR($D459/1000*INDEX(Profile!$K$5:$K$304,MATCH($B459,lst_Profil,0))*INDEX(Werkstoffe!$E$5:$E$304,MATCH($C459,lst_Werkstoff,0))/1000,""))</f>
        <v/>
      </c>
      <c r="R459" s="18">
        <f>IF($A459="","",IF(N(_xlfn.MAXIFS(Auftrag!$AP$13:$AP$512,Auftrag!$D$13:$D$512,$B459,Auftrag!$E$13:$E$512,$C459,Auftrag!$Q$13:$Q$512,$D459))&gt;0,_xlfn.MAXIFS(Auftrag!$AP$13:$AP$512,Auftrag!$D$13:$D$512,$B459,Auftrag!$E$13:$E$512,$C459,Auftrag!$Q$13:$Q$512,$D459)*$D459/1000,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9" t="n"/>
      <c r="E460" s="24" t="n"/>
      <c r="F460" s="24" t="n"/>
      <c r="G460" s="12">
        <f>IF($A460="","",COUNTIFS(Stangenbelegung!$A$5:$A$10004,$A460))</f>
        <v/>
      </c>
      <c r="H460" s="35">
        <f>IF($A460="","",SUMIFS(Stangenbelegung!$F$5:$F$10004,Stangenbelegung!$A$5:$A$10004,$A460))</f>
        <v/>
      </c>
      <c r="I460" s="23" t="n"/>
      <c r="J460" s="35">
        <f>IF($A460="","",$E460+H460+$I460)</f>
        <v/>
      </c>
      <c r="K460" s="35">
        <f>IF($A460="","",$D460-J460)</f>
        <v/>
      </c>
      <c r="L460" s="32">
        <f>IF($A460="","",H460/$D460)</f>
        <v/>
      </c>
      <c r="M460" s="28">
        <f>IF($A460="","",IF(OR(J460+$F460&gt;$D460+0.001,_xlfn.MAXIFS(Stangenbelegung!$H$5:$H$10004,Stangenbelegung!$A$5:$A$10004,$A460)&gt;$D460-$F460+0.001),"ÜBERBELEGT","OK"))</f>
        <v/>
      </c>
      <c r="N460" s="24" t="n"/>
      <c r="O460" s="24" t="n"/>
      <c r="P460" s="9" t="n"/>
      <c r="Q460" s="18">
        <f>IF($A460="","",IFERROR($D460/1000*INDEX(Profile!$K$5:$K$304,MATCH($B460,lst_Profil,0))*INDEX(Werkstoffe!$E$5:$E$304,MATCH($C460,lst_Werkstoff,0))/1000,""))</f>
        <v/>
      </c>
      <c r="R460" s="18">
        <f>IF($A460="","",IF(N(_xlfn.MAXIFS(Auftrag!$AP$13:$AP$512,Auftrag!$D$13:$D$512,$B460,Auftrag!$E$13:$E$512,$C460,Auftrag!$Q$13:$Q$512,$D460))&gt;0,_xlfn.MAXIFS(Auftrag!$AP$13:$AP$512,Auftrag!$D$13:$D$512,$B460,Auftrag!$E$13:$E$512,$C460,Auftrag!$Q$13:$Q$512,$D460)*$D460/1000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9" t="n"/>
      <c r="E461" s="24" t="n"/>
      <c r="F461" s="24" t="n"/>
      <c r="G461" s="12">
        <f>IF($A461="","",COUNTIFS(Stangenbelegung!$A$5:$A$10004,$A461))</f>
        <v/>
      </c>
      <c r="H461" s="35">
        <f>IF($A461="","",SUMIFS(Stangenbelegung!$F$5:$F$10004,Stangenbelegung!$A$5:$A$10004,$A461))</f>
        <v/>
      </c>
      <c r="I461" s="23" t="n"/>
      <c r="J461" s="35">
        <f>IF($A461="","",$E461+H461+$I461)</f>
        <v/>
      </c>
      <c r="K461" s="35">
        <f>IF($A461="","",$D461-J461)</f>
        <v/>
      </c>
      <c r="L461" s="32">
        <f>IF($A461="","",H461/$D461)</f>
        <v/>
      </c>
      <c r="M461" s="28">
        <f>IF($A461="","",IF(OR(J461+$F461&gt;$D461+0.001,_xlfn.MAXIFS(Stangenbelegung!$H$5:$H$10004,Stangenbelegung!$A$5:$A$10004,$A461)&gt;$D461-$F461+0.001),"ÜBERBELEGT","OK"))</f>
        <v/>
      </c>
      <c r="N461" s="24" t="n"/>
      <c r="O461" s="24" t="n"/>
      <c r="P461" s="9" t="n"/>
      <c r="Q461" s="18">
        <f>IF($A461="","",IFERROR($D461/1000*INDEX(Profile!$K$5:$K$304,MATCH($B461,lst_Profil,0))*INDEX(Werkstoffe!$E$5:$E$304,MATCH($C461,lst_Werkstoff,0))/1000,""))</f>
        <v/>
      </c>
      <c r="R461" s="18">
        <f>IF($A461="","",IF(N(_xlfn.MAXIFS(Auftrag!$AP$13:$AP$512,Auftrag!$D$13:$D$512,$B461,Auftrag!$E$13:$E$512,$C461,Auftrag!$Q$13:$Q$512,$D461))&gt;0,_xlfn.MAXIFS(Auftrag!$AP$13:$AP$512,Auftrag!$D$13:$D$512,$B461,Auftrag!$E$13:$E$512,$C461,Auftrag!$Q$13:$Q$512,$D461)*$D461/1000,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9" t="n"/>
      <c r="E462" s="24" t="n"/>
      <c r="F462" s="24" t="n"/>
      <c r="G462" s="12">
        <f>IF($A462="","",COUNTIFS(Stangenbelegung!$A$5:$A$10004,$A462))</f>
        <v/>
      </c>
      <c r="H462" s="35">
        <f>IF($A462="","",SUMIFS(Stangenbelegung!$F$5:$F$10004,Stangenbelegung!$A$5:$A$10004,$A462))</f>
        <v/>
      </c>
      <c r="I462" s="23" t="n"/>
      <c r="J462" s="35">
        <f>IF($A462="","",$E462+H462+$I462)</f>
        <v/>
      </c>
      <c r="K462" s="35">
        <f>IF($A462="","",$D462-J462)</f>
        <v/>
      </c>
      <c r="L462" s="32">
        <f>IF($A462="","",H462/$D462)</f>
        <v/>
      </c>
      <c r="M462" s="28">
        <f>IF($A462="","",IF(OR(J462+$F462&gt;$D462+0.001,_xlfn.MAXIFS(Stangenbelegung!$H$5:$H$10004,Stangenbelegung!$A$5:$A$10004,$A462)&gt;$D462-$F462+0.001),"ÜBERBELEGT","OK"))</f>
        <v/>
      </c>
      <c r="N462" s="24" t="n"/>
      <c r="O462" s="24" t="n"/>
      <c r="P462" s="9" t="n"/>
      <c r="Q462" s="18">
        <f>IF($A462="","",IFERROR($D462/1000*INDEX(Profile!$K$5:$K$304,MATCH($B462,lst_Profil,0))*INDEX(Werkstoffe!$E$5:$E$304,MATCH($C462,lst_Werkstoff,0))/1000,""))</f>
        <v/>
      </c>
      <c r="R462" s="18">
        <f>IF($A462="","",IF(N(_xlfn.MAXIFS(Auftrag!$AP$13:$AP$512,Auftrag!$D$13:$D$512,$B462,Auftrag!$E$13:$E$512,$C462,Auftrag!$Q$13:$Q$512,$D462))&gt;0,_xlfn.MAXIFS(Auftrag!$AP$13:$AP$512,Auftrag!$D$13:$D$512,$B462,Auftrag!$E$13:$E$512,$C462,Auftrag!$Q$13:$Q$512,$D462)*$D462/1000,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9" t="n"/>
      <c r="E463" s="24" t="n"/>
      <c r="F463" s="24" t="n"/>
      <c r="G463" s="12">
        <f>IF($A463="","",COUNTIFS(Stangenbelegung!$A$5:$A$10004,$A463))</f>
        <v/>
      </c>
      <c r="H463" s="35">
        <f>IF($A463="","",SUMIFS(Stangenbelegung!$F$5:$F$10004,Stangenbelegung!$A$5:$A$10004,$A463))</f>
        <v/>
      </c>
      <c r="I463" s="23" t="n"/>
      <c r="J463" s="35">
        <f>IF($A463="","",$E463+H463+$I463)</f>
        <v/>
      </c>
      <c r="K463" s="35">
        <f>IF($A463="","",$D463-J463)</f>
        <v/>
      </c>
      <c r="L463" s="32">
        <f>IF($A463="","",H463/$D463)</f>
        <v/>
      </c>
      <c r="M463" s="28">
        <f>IF($A463="","",IF(OR(J463+$F463&gt;$D463+0.001,_xlfn.MAXIFS(Stangenbelegung!$H$5:$H$10004,Stangenbelegung!$A$5:$A$10004,$A463)&gt;$D463-$F463+0.001),"ÜBERBELEGT","OK"))</f>
        <v/>
      </c>
      <c r="N463" s="24" t="n"/>
      <c r="O463" s="24" t="n"/>
      <c r="P463" s="9" t="n"/>
      <c r="Q463" s="18">
        <f>IF($A463="","",IFERROR($D463/1000*INDEX(Profile!$K$5:$K$304,MATCH($B463,lst_Profil,0))*INDEX(Werkstoffe!$E$5:$E$304,MATCH($C463,lst_Werkstoff,0))/1000,""))</f>
        <v/>
      </c>
      <c r="R463" s="18">
        <f>IF($A463="","",IF(N(_xlfn.MAXIFS(Auftrag!$AP$13:$AP$512,Auftrag!$D$13:$D$512,$B463,Auftrag!$E$13:$E$512,$C463,Auftrag!$Q$13:$Q$512,$D463))&gt;0,_xlfn.MAXIFS(Auftrag!$AP$13:$AP$512,Auftrag!$D$13:$D$512,$B463,Auftrag!$E$13:$E$512,$C463,Auftrag!$Q$13:$Q$512,$D463)*$D463/1000,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9" t="n"/>
      <c r="E464" s="24" t="n"/>
      <c r="F464" s="24" t="n"/>
      <c r="G464" s="12">
        <f>IF($A464="","",COUNTIFS(Stangenbelegung!$A$5:$A$10004,$A464))</f>
        <v/>
      </c>
      <c r="H464" s="35">
        <f>IF($A464="","",SUMIFS(Stangenbelegung!$F$5:$F$10004,Stangenbelegung!$A$5:$A$10004,$A464))</f>
        <v/>
      </c>
      <c r="I464" s="23" t="n"/>
      <c r="J464" s="35">
        <f>IF($A464="","",$E464+H464+$I464)</f>
        <v/>
      </c>
      <c r="K464" s="35">
        <f>IF($A464="","",$D464-J464)</f>
        <v/>
      </c>
      <c r="L464" s="32">
        <f>IF($A464="","",H464/$D464)</f>
        <v/>
      </c>
      <c r="M464" s="28">
        <f>IF($A464="","",IF(OR(J464+$F464&gt;$D464+0.001,_xlfn.MAXIFS(Stangenbelegung!$H$5:$H$10004,Stangenbelegung!$A$5:$A$10004,$A464)&gt;$D464-$F464+0.001),"ÜBERBELEGT","OK"))</f>
        <v/>
      </c>
      <c r="N464" s="24" t="n"/>
      <c r="O464" s="24" t="n"/>
      <c r="P464" s="9" t="n"/>
      <c r="Q464" s="18">
        <f>IF($A464="","",IFERROR($D464/1000*INDEX(Profile!$K$5:$K$304,MATCH($B464,lst_Profil,0))*INDEX(Werkstoffe!$E$5:$E$304,MATCH($C464,lst_Werkstoff,0))/1000,""))</f>
        <v/>
      </c>
      <c r="R464" s="18">
        <f>IF($A464="","",IF(N(_xlfn.MAXIFS(Auftrag!$AP$13:$AP$512,Auftrag!$D$13:$D$512,$B464,Auftrag!$E$13:$E$512,$C464,Auftrag!$Q$13:$Q$512,$D464))&gt;0,_xlfn.MAXIFS(Auftrag!$AP$13:$AP$512,Auftrag!$D$13:$D$512,$B464,Auftrag!$E$13:$E$512,$C464,Auftrag!$Q$13:$Q$512,$D464)*$D464/1000,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9" t="n"/>
      <c r="E465" s="24" t="n"/>
      <c r="F465" s="24" t="n"/>
      <c r="G465" s="12">
        <f>IF($A465="","",COUNTIFS(Stangenbelegung!$A$5:$A$10004,$A465))</f>
        <v/>
      </c>
      <c r="H465" s="35">
        <f>IF($A465="","",SUMIFS(Stangenbelegung!$F$5:$F$10004,Stangenbelegung!$A$5:$A$10004,$A465))</f>
        <v/>
      </c>
      <c r="I465" s="23" t="n"/>
      <c r="J465" s="35">
        <f>IF($A465="","",$E465+H465+$I465)</f>
        <v/>
      </c>
      <c r="K465" s="35">
        <f>IF($A465="","",$D465-J465)</f>
        <v/>
      </c>
      <c r="L465" s="32">
        <f>IF($A465="","",H465/$D465)</f>
        <v/>
      </c>
      <c r="M465" s="28">
        <f>IF($A465="","",IF(OR(J465+$F465&gt;$D465+0.001,_xlfn.MAXIFS(Stangenbelegung!$H$5:$H$10004,Stangenbelegung!$A$5:$A$10004,$A465)&gt;$D465-$F465+0.001),"ÜBERBELEGT","OK"))</f>
        <v/>
      </c>
      <c r="N465" s="24" t="n"/>
      <c r="O465" s="24" t="n"/>
      <c r="P465" s="9" t="n"/>
      <c r="Q465" s="18">
        <f>IF($A465="","",IFERROR($D465/1000*INDEX(Profile!$K$5:$K$304,MATCH($B465,lst_Profil,0))*INDEX(Werkstoffe!$E$5:$E$304,MATCH($C465,lst_Werkstoff,0))/1000,""))</f>
        <v/>
      </c>
      <c r="R465" s="18">
        <f>IF($A465="","",IF(N(_xlfn.MAXIFS(Auftrag!$AP$13:$AP$512,Auftrag!$D$13:$D$512,$B465,Auftrag!$E$13:$E$512,$C465,Auftrag!$Q$13:$Q$512,$D465))&gt;0,_xlfn.MAXIFS(Auftrag!$AP$13:$AP$512,Auftrag!$D$13:$D$512,$B465,Auftrag!$E$13:$E$512,$C465,Auftrag!$Q$13:$Q$512,$D465)*$D465/1000,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9" t="n"/>
      <c r="E466" s="24" t="n"/>
      <c r="F466" s="24" t="n"/>
      <c r="G466" s="12">
        <f>IF($A466="","",COUNTIFS(Stangenbelegung!$A$5:$A$10004,$A466))</f>
        <v/>
      </c>
      <c r="H466" s="35">
        <f>IF($A466="","",SUMIFS(Stangenbelegung!$F$5:$F$10004,Stangenbelegung!$A$5:$A$10004,$A466))</f>
        <v/>
      </c>
      <c r="I466" s="23" t="n"/>
      <c r="J466" s="35">
        <f>IF($A466="","",$E466+H466+$I466)</f>
        <v/>
      </c>
      <c r="K466" s="35">
        <f>IF($A466="","",$D466-J466)</f>
        <v/>
      </c>
      <c r="L466" s="32">
        <f>IF($A466="","",H466/$D466)</f>
        <v/>
      </c>
      <c r="M466" s="28">
        <f>IF($A466="","",IF(OR(J466+$F466&gt;$D466+0.001,_xlfn.MAXIFS(Stangenbelegung!$H$5:$H$10004,Stangenbelegung!$A$5:$A$10004,$A466)&gt;$D466-$F466+0.001),"ÜBERBELEGT","OK"))</f>
        <v/>
      </c>
      <c r="N466" s="24" t="n"/>
      <c r="O466" s="24" t="n"/>
      <c r="P466" s="9" t="n"/>
      <c r="Q466" s="18">
        <f>IF($A466="","",IFERROR($D466/1000*INDEX(Profile!$K$5:$K$304,MATCH($B466,lst_Profil,0))*INDEX(Werkstoffe!$E$5:$E$304,MATCH($C466,lst_Werkstoff,0))/1000,""))</f>
        <v/>
      </c>
      <c r="R466" s="18">
        <f>IF($A466="","",IF(N(_xlfn.MAXIFS(Auftrag!$AP$13:$AP$512,Auftrag!$D$13:$D$512,$B466,Auftrag!$E$13:$E$512,$C466,Auftrag!$Q$13:$Q$512,$D466))&gt;0,_xlfn.MAXIFS(Auftrag!$AP$13:$AP$512,Auftrag!$D$13:$D$512,$B466,Auftrag!$E$13:$E$512,$C466,Auftrag!$Q$13:$Q$512,$D466)*$D466/1000,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9" t="n"/>
      <c r="E467" s="24" t="n"/>
      <c r="F467" s="24" t="n"/>
      <c r="G467" s="12">
        <f>IF($A467="","",COUNTIFS(Stangenbelegung!$A$5:$A$10004,$A467))</f>
        <v/>
      </c>
      <c r="H467" s="35">
        <f>IF($A467="","",SUMIFS(Stangenbelegung!$F$5:$F$10004,Stangenbelegung!$A$5:$A$10004,$A467))</f>
        <v/>
      </c>
      <c r="I467" s="23" t="n"/>
      <c r="J467" s="35">
        <f>IF($A467="","",$E467+H467+$I467)</f>
        <v/>
      </c>
      <c r="K467" s="35">
        <f>IF($A467="","",$D467-J467)</f>
        <v/>
      </c>
      <c r="L467" s="32">
        <f>IF($A467="","",H467/$D467)</f>
        <v/>
      </c>
      <c r="M467" s="28">
        <f>IF($A467="","",IF(OR(J467+$F467&gt;$D467+0.001,_xlfn.MAXIFS(Stangenbelegung!$H$5:$H$10004,Stangenbelegung!$A$5:$A$10004,$A467)&gt;$D467-$F467+0.001),"ÜBERBELEGT","OK"))</f>
        <v/>
      </c>
      <c r="N467" s="24" t="n"/>
      <c r="O467" s="24" t="n"/>
      <c r="P467" s="9" t="n"/>
      <c r="Q467" s="18">
        <f>IF($A467="","",IFERROR($D467/1000*INDEX(Profile!$K$5:$K$304,MATCH($B467,lst_Profil,0))*INDEX(Werkstoffe!$E$5:$E$304,MATCH($C467,lst_Werkstoff,0))/1000,""))</f>
        <v/>
      </c>
      <c r="R467" s="18">
        <f>IF($A467="","",IF(N(_xlfn.MAXIFS(Auftrag!$AP$13:$AP$512,Auftrag!$D$13:$D$512,$B467,Auftrag!$E$13:$E$512,$C467,Auftrag!$Q$13:$Q$512,$D467))&gt;0,_xlfn.MAXIFS(Auftrag!$AP$13:$AP$512,Auftrag!$D$13:$D$512,$B467,Auftrag!$E$13:$E$512,$C467,Auftrag!$Q$13:$Q$512,$D467)*$D467/1000,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9" t="n"/>
      <c r="E468" s="24" t="n"/>
      <c r="F468" s="24" t="n"/>
      <c r="G468" s="12">
        <f>IF($A468="","",COUNTIFS(Stangenbelegung!$A$5:$A$10004,$A468))</f>
        <v/>
      </c>
      <c r="H468" s="35">
        <f>IF($A468="","",SUMIFS(Stangenbelegung!$F$5:$F$10004,Stangenbelegung!$A$5:$A$10004,$A468))</f>
        <v/>
      </c>
      <c r="I468" s="23" t="n"/>
      <c r="J468" s="35">
        <f>IF($A468="","",$E468+H468+$I468)</f>
        <v/>
      </c>
      <c r="K468" s="35">
        <f>IF($A468="","",$D468-J468)</f>
        <v/>
      </c>
      <c r="L468" s="32">
        <f>IF($A468="","",H468/$D468)</f>
        <v/>
      </c>
      <c r="M468" s="28">
        <f>IF($A468="","",IF(OR(J468+$F468&gt;$D468+0.001,_xlfn.MAXIFS(Stangenbelegung!$H$5:$H$10004,Stangenbelegung!$A$5:$A$10004,$A468)&gt;$D468-$F468+0.001),"ÜBERBELEGT","OK"))</f>
        <v/>
      </c>
      <c r="N468" s="24" t="n"/>
      <c r="O468" s="24" t="n"/>
      <c r="P468" s="9" t="n"/>
      <c r="Q468" s="18">
        <f>IF($A468="","",IFERROR($D468/1000*INDEX(Profile!$K$5:$K$304,MATCH($B468,lst_Profil,0))*INDEX(Werkstoffe!$E$5:$E$304,MATCH($C468,lst_Werkstoff,0))/1000,""))</f>
        <v/>
      </c>
      <c r="R468" s="18">
        <f>IF($A468="","",IF(N(_xlfn.MAXIFS(Auftrag!$AP$13:$AP$512,Auftrag!$D$13:$D$512,$B468,Auftrag!$E$13:$E$512,$C468,Auftrag!$Q$13:$Q$512,$D468))&gt;0,_xlfn.MAXIFS(Auftrag!$AP$13:$AP$512,Auftrag!$D$13:$D$512,$B468,Auftrag!$E$13:$E$512,$C468,Auftrag!$Q$13:$Q$512,$D468)*$D468/1000,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9" t="n"/>
      <c r="E469" s="24" t="n"/>
      <c r="F469" s="24" t="n"/>
      <c r="G469" s="12">
        <f>IF($A469="","",COUNTIFS(Stangenbelegung!$A$5:$A$10004,$A469))</f>
        <v/>
      </c>
      <c r="H469" s="35">
        <f>IF($A469="","",SUMIFS(Stangenbelegung!$F$5:$F$10004,Stangenbelegung!$A$5:$A$10004,$A469))</f>
        <v/>
      </c>
      <c r="I469" s="23" t="n"/>
      <c r="J469" s="35">
        <f>IF($A469="","",$E469+H469+$I469)</f>
        <v/>
      </c>
      <c r="K469" s="35">
        <f>IF($A469="","",$D469-J469)</f>
        <v/>
      </c>
      <c r="L469" s="32">
        <f>IF($A469="","",H469/$D469)</f>
        <v/>
      </c>
      <c r="M469" s="28">
        <f>IF($A469="","",IF(OR(J469+$F469&gt;$D469+0.001,_xlfn.MAXIFS(Stangenbelegung!$H$5:$H$10004,Stangenbelegung!$A$5:$A$10004,$A469)&gt;$D469-$F469+0.001),"ÜBERBELEGT","OK"))</f>
        <v/>
      </c>
      <c r="N469" s="24" t="n"/>
      <c r="O469" s="24" t="n"/>
      <c r="P469" s="9" t="n"/>
      <c r="Q469" s="18">
        <f>IF($A469="","",IFERROR($D469/1000*INDEX(Profile!$K$5:$K$304,MATCH($B469,lst_Profil,0))*INDEX(Werkstoffe!$E$5:$E$304,MATCH($C469,lst_Werkstoff,0))/1000,""))</f>
        <v/>
      </c>
      <c r="R469" s="18">
        <f>IF($A469="","",IF(N(_xlfn.MAXIFS(Auftrag!$AP$13:$AP$512,Auftrag!$D$13:$D$512,$B469,Auftrag!$E$13:$E$512,$C469,Auftrag!$Q$13:$Q$512,$D469))&gt;0,_xlfn.MAXIFS(Auftrag!$AP$13:$AP$512,Auftrag!$D$13:$D$512,$B469,Auftrag!$E$13:$E$512,$C469,Auftrag!$Q$13:$Q$512,$D469)*$D469/1000,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9" t="n"/>
      <c r="E470" s="24" t="n"/>
      <c r="F470" s="24" t="n"/>
      <c r="G470" s="12">
        <f>IF($A470="","",COUNTIFS(Stangenbelegung!$A$5:$A$10004,$A470))</f>
        <v/>
      </c>
      <c r="H470" s="35">
        <f>IF($A470="","",SUMIFS(Stangenbelegung!$F$5:$F$10004,Stangenbelegung!$A$5:$A$10004,$A470))</f>
        <v/>
      </c>
      <c r="I470" s="23" t="n"/>
      <c r="J470" s="35">
        <f>IF($A470="","",$E470+H470+$I470)</f>
        <v/>
      </c>
      <c r="K470" s="35">
        <f>IF($A470="","",$D470-J470)</f>
        <v/>
      </c>
      <c r="L470" s="32">
        <f>IF($A470="","",H470/$D470)</f>
        <v/>
      </c>
      <c r="M470" s="28">
        <f>IF($A470="","",IF(OR(J470+$F470&gt;$D470+0.001,_xlfn.MAXIFS(Stangenbelegung!$H$5:$H$10004,Stangenbelegung!$A$5:$A$10004,$A470)&gt;$D470-$F470+0.001),"ÜBERBELEGT","OK"))</f>
        <v/>
      </c>
      <c r="N470" s="24" t="n"/>
      <c r="O470" s="24" t="n"/>
      <c r="P470" s="9" t="n"/>
      <c r="Q470" s="18">
        <f>IF($A470="","",IFERROR($D470/1000*INDEX(Profile!$K$5:$K$304,MATCH($B470,lst_Profil,0))*INDEX(Werkstoffe!$E$5:$E$304,MATCH($C470,lst_Werkstoff,0))/1000,""))</f>
        <v/>
      </c>
      <c r="R470" s="18">
        <f>IF($A470="","",IF(N(_xlfn.MAXIFS(Auftrag!$AP$13:$AP$512,Auftrag!$D$13:$D$512,$B470,Auftrag!$E$13:$E$512,$C470,Auftrag!$Q$13:$Q$512,$D470))&gt;0,_xlfn.MAXIFS(Auftrag!$AP$13:$AP$512,Auftrag!$D$13:$D$512,$B470,Auftrag!$E$13:$E$512,$C470,Auftrag!$Q$13:$Q$512,$D470)*$D470/1000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9" t="n"/>
      <c r="E471" s="24" t="n"/>
      <c r="F471" s="24" t="n"/>
      <c r="G471" s="12">
        <f>IF($A471="","",COUNTIFS(Stangenbelegung!$A$5:$A$10004,$A471))</f>
        <v/>
      </c>
      <c r="H471" s="35">
        <f>IF($A471="","",SUMIFS(Stangenbelegung!$F$5:$F$10004,Stangenbelegung!$A$5:$A$10004,$A471))</f>
        <v/>
      </c>
      <c r="I471" s="23" t="n"/>
      <c r="J471" s="35">
        <f>IF($A471="","",$E471+H471+$I471)</f>
        <v/>
      </c>
      <c r="K471" s="35">
        <f>IF($A471="","",$D471-J471)</f>
        <v/>
      </c>
      <c r="L471" s="32">
        <f>IF($A471="","",H471/$D471)</f>
        <v/>
      </c>
      <c r="M471" s="28">
        <f>IF($A471="","",IF(OR(J471+$F471&gt;$D471+0.001,_xlfn.MAXIFS(Stangenbelegung!$H$5:$H$10004,Stangenbelegung!$A$5:$A$10004,$A471)&gt;$D471-$F471+0.001),"ÜBERBELEGT","OK"))</f>
        <v/>
      </c>
      <c r="N471" s="24" t="n"/>
      <c r="O471" s="24" t="n"/>
      <c r="P471" s="9" t="n"/>
      <c r="Q471" s="18">
        <f>IF($A471="","",IFERROR($D471/1000*INDEX(Profile!$K$5:$K$304,MATCH($B471,lst_Profil,0))*INDEX(Werkstoffe!$E$5:$E$304,MATCH($C471,lst_Werkstoff,0))/1000,""))</f>
        <v/>
      </c>
      <c r="R471" s="18">
        <f>IF($A471="","",IF(N(_xlfn.MAXIFS(Auftrag!$AP$13:$AP$512,Auftrag!$D$13:$D$512,$B471,Auftrag!$E$13:$E$512,$C471,Auftrag!$Q$13:$Q$512,$D471))&gt;0,_xlfn.MAXIFS(Auftrag!$AP$13:$AP$512,Auftrag!$D$13:$D$512,$B471,Auftrag!$E$13:$E$512,$C471,Auftrag!$Q$13:$Q$512,$D471)*$D471/1000,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9" t="n"/>
      <c r="E472" s="24" t="n"/>
      <c r="F472" s="24" t="n"/>
      <c r="G472" s="12">
        <f>IF($A472="","",COUNTIFS(Stangenbelegung!$A$5:$A$10004,$A472))</f>
        <v/>
      </c>
      <c r="H472" s="35">
        <f>IF($A472="","",SUMIFS(Stangenbelegung!$F$5:$F$10004,Stangenbelegung!$A$5:$A$10004,$A472))</f>
        <v/>
      </c>
      <c r="I472" s="23" t="n"/>
      <c r="J472" s="35">
        <f>IF($A472="","",$E472+H472+$I472)</f>
        <v/>
      </c>
      <c r="K472" s="35">
        <f>IF($A472="","",$D472-J472)</f>
        <v/>
      </c>
      <c r="L472" s="32">
        <f>IF($A472="","",H472/$D472)</f>
        <v/>
      </c>
      <c r="M472" s="28">
        <f>IF($A472="","",IF(OR(J472+$F472&gt;$D472+0.001,_xlfn.MAXIFS(Stangenbelegung!$H$5:$H$10004,Stangenbelegung!$A$5:$A$10004,$A472)&gt;$D472-$F472+0.001),"ÜBERBELEGT","OK"))</f>
        <v/>
      </c>
      <c r="N472" s="24" t="n"/>
      <c r="O472" s="24" t="n"/>
      <c r="P472" s="9" t="n"/>
      <c r="Q472" s="18">
        <f>IF($A472="","",IFERROR($D472/1000*INDEX(Profile!$K$5:$K$304,MATCH($B472,lst_Profil,0))*INDEX(Werkstoffe!$E$5:$E$304,MATCH($C472,lst_Werkstoff,0))/1000,""))</f>
        <v/>
      </c>
      <c r="R472" s="18">
        <f>IF($A472="","",IF(N(_xlfn.MAXIFS(Auftrag!$AP$13:$AP$512,Auftrag!$D$13:$D$512,$B472,Auftrag!$E$13:$E$512,$C472,Auftrag!$Q$13:$Q$512,$D472))&gt;0,_xlfn.MAXIFS(Auftrag!$AP$13:$AP$512,Auftrag!$D$13:$D$512,$B472,Auftrag!$E$13:$E$512,$C472,Auftrag!$Q$13:$Q$512,$D472)*$D472/1000,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9" t="n"/>
      <c r="E473" s="24" t="n"/>
      <c r="F473" s="24" t="n"/>
      <c r="G473" s="12">
        <f>IF($A473="","",COUNTIFS(Stangenbelegung!$A$5:$A$10004,$A473))</f>
        <v/>
      </c>
      <c r="H473" s="35">
        <f>IF($A473="","",SUMIFS(Stangenbelegung!$F$5:$F$10004,Stangenbelegung!$A$5:$A$10004,$A473))</f>
        <v/>
      </c>
      <c r="I473" s="23" t="n"/>
      <c r="J473" s="35">
        <f>IF($A473="","",$E473+H473+$I473)</f>
        <v/>
      </c>
      <c r="K473" s="35">
        <f>IF($A473="","",$D473-J473)</f>
        <v/>
      </c>
      <c r="L473" s="32">
        <f>IF($A473="","",H473/$D473)</f>
        <v/>
      </c>
      <c r="M473" s="28">
        <f>IF($A473="","",IF(OR(J473+$F473&gt;$D473+0.001,_xlfn.MAXIFS(Stangenbelegung!$H$5:$H$10004,Stangenbelegung!$A$5:$A$10004,$A473)&gt;$D473-$F473+0.001),"ÜBERBELEGT","OK"))</f>
        <v/>
      </c>
      <c r="N473" s="24" t="n"/>
      <c r="O473" s="24" t="n"/>
      <c r="P473" s="9" t="n"/>
      <c r="Q473" s="18">
        <f>IF($A473="","",IFERROR($D473/1000*INDEX(Profile!$K$5:$K$304,MATCH($B473,lst_Profil,0))*INDEX(Werkstoffe!$E$5:$E$304,MATCH($C473,lst_Werkstoff,0))/1000,""))</f>
        <v/>
      </c>
      <c r="R473" s="18">
        <f>IF($A473="","",IF(N(_xlfn.MAXIFS(Auftrag!$AP$13:$AP$512,Auftrag!$D$13:$D$512,$B473,Auftrag!$E$13:$E$512,$C473,Auftrag!$Q$13:$Q$512,$D473))&gt;0,_xlfn.MAXIFS(Auftrag!$AP$13:$AP$512,Auftrag!$D$13:$D$512,$B473,Auftrag!$E$13:$E$512,$C473,Auftrag!$Q$13:$Q$512,$D473)*$D473/1000,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9" t="n"/>
      <c r="E474" s="24" t="n"/>
      <c r="F474" s="24" t="n"/>
      <c r="G474" s="12">
        <f>IF($A474="","",COUNTIFS(Stangenbelegung!$A$5:$A$10004,$A474))</f>
        <v/>
      </c>
      <c r="H474" s="35">
        <f>IF($A474="","",SUMIFS(Stangenbelegung!$F$5:$F$10004,Stangenbelegung!$A$5:$A$10004,$A474))</f>
        <v/>
      </c>
      <c r="I474" s="23" t="n"/>
      <c r="J474" s="35">
        <f>IF($A474="","",$E474+H474+$I474)</f>
        <v/>
      </c>
      <c r="K474" s="35">
        <f>IF($A474="","",$D474-J474)</f>
        <v/>
      </c>
      <c r="L474" s="32">
        <f>IF($A474="","",H474/$D474)</f>
        <v/>
      </c>
      <c r="M474" s="28">
        <f>IF($A474="","",IF(OR(J474+$F474&gt;$D474+0.001,_xlfn.MAXIFS(Stangenbelegung!$H$5:$H$10004,Stangenbelegung!$A$5:$A$10004,$A474)&gt;$D474-$F474+0.001),"ÜBERBELEGT","OK"))</f>
        <v/>
      </c>
      <c r="N474" s="24" t="n"/>
      <c r="O474" s="24" t="n"/>
      <c r="P474" s="9" t="n"/>
      <c r="Q474" s="18">
        <f>IF($A474="","",IFERROR($D474/1000*INDEX(Profile!$K$5:$K$304,MATCH($B474,lst_Profil,0))*INDEX(Werkstoffe!$E$5:$E$304,MATCH($C474,lst_Werkstoff,0))/1000,""))</f>
        <v/>
      </c>
      <c r="R474" s="18">
        <f>IF($A474="","",IF(N(_xlfn.MAXIFS(Auftrag!$AP$13:$AP$512,Auftrag!$D$13:$D$512,$B474,Auftrag!$E$13:$E$512,$C474,Auftrag!$Q$13:$Q$512,$D474))&gt;0,_xlfn.MAXIFS(Auftrag!$AP$13:$AP$512,Auftrag!$D$13:$D$512,$B474,Auftrag!$E$13:$E$512,$C474,Auftrag!$Q$13:$Q$512,$D474)*$D474/1000,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9" t="n"/>
      <c r="E475" s="24" t="n"/>
      <c r="F475" s="24" t="n"/>
      <c r="G475" s="12">
        <f>IF($A475="","",COUNTIFS(Stangenbelegung!$A$5:$A$10004,$A475))</f>
        <v/>
      </c>
      <c r="H475" s="35">
        <f>IF($A475="","",SUMIFS(Stangenbelegung!$F$5:$F$10004,Stangenbelegung!$A$5:$A$10004,$A475))</f>
        <v/>
      </c>
      <c r="I475" s="23" t="n"/>
      <c r="J475" s="35">
        <f>IF($A475="","",$E475+H475+$I475)</f>
        <v/>
      </c>
      <c r="K475" s="35">
        <f>IF($A475="","",$D475-J475)</f>
        <v/>
      </c>
      <c r="L475" s="32">
        <f>IF($A475="","",H475/$D475)</f>
        <v/>
      </c>
      <c r="M475" s="28">
        <f>IF($A475="","",IF(OR(J475+$F475&gt;$D475+0.001,_xlfn.MAXIFS(Stangenbelegung!$H$5:$H$10004,Stangenbelegung!$A$5:$A$10004,$A475)&gt;$D475-$F475+0.001),"ÜBERBELEGT","OK"))</f>
        <v/>
      </c>
      <c r="N475" s="24" t="n"/>
      <c r="O475" s="24" t="n"/>
      <c r="P475" s="9" t="n"/>
      <c r="Q475" s="18">
        <f>IF($A475="","",IFERROR($D475/1000*INDEX(Profile!$K$5:$K$304,MATCH($B475,lst_Profil,0))*INDEX(Werkstoffe!$E$5:$E$304,MATCH($C475,lst_Werkstoff,0))/1000,""))</f>
        <v/>
      </c>
      <c r="R475" s="18">
        <f>IF($A475="","",IF(N(_xlfn.MAXIFS(Auftrag!$AP$13:$AP$512,Auftrag!$D$13:$D$512,$B475,Auftrag!$E$13:$E$512,$C475,Auftrag!$Q$13:$Q$512,$D475))&gt;0,_xlfn.MAXIFS(Auftrag!$AP$13:$AP$512,Auftrag!$D$13:$D$512,$B475,Auftrag!$E$13:$E$512,$C475,Auftrag!$Q$13:$Q$512,$D475)*$D475/1000,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9" t="n"/>
      <c r="E476" s="24" t="n"/>
      <c r="F476" s="24" t="n"/>
      <c r="G476" s="12">
        <f>IF($A476="","",COUNTIFS(Stangenbelegung!$A$5:$A$10004,$A476))</f>
        <v/>
      </c>
      <c r="H476" s="35">
        <f>IF($A476="","",SUMIFS(Stangenbelegung!$F$5:$F$10004,Stangenbelegung!$A$5:$A$10004,$A476))</f>
        <v/>
      </c>
      <c r="I476" s="23" t="n"/>
      <c r="J476" s="35">
        <f>IF($A476="","",$E476+H476+$I476)</f>
        <v/>
      </c>
      <c r="K476" s="35">
        <f>IF($A476="","",$D476-J476)</f>
        <v/>
      </c>
      <c r="L476" s="32">
        <f>IF($A476="","",H476/$D476)</f>
        <v/>
      </c>
      <c r="M476" s="28">
        <f>IF($A476="","",IF(OR(J476+$F476&gt;$D476+0.001,_xlfn.MAXIFS(Stangenbelegung!$H$5:$H$10004,Stangenbelegung!$A$5:$A$10004,$A476)&gt;$D476-$F476+0.001),"ÜBERBELEGT","OK"))</f>
        <v/>
      </c>
      <c r="N476" s="24" t="n"/>
      <c r="O476" s="24" t="n"/>
      <c r="P476" s="9" t="n"/>
      <c r="Q476" s="18">
        <f>IF($A476="","",IFERROR($D476/1000*INDEX(Profile!$K$5:$K$304,MATCH($B476,lst_Profil,0))*INDEX(Werkstoffe!$E$5:$E$304,MATCH($C476,lst_Werkstoff,0))/1000,""))</f>
        <v/>
      </c>
      <c r="R476" s="18">
        <f>IF($A476="","",IF(N(_xlfn.MAXIFS(Auftrag!$AP$13:$AP$512,Auftrag!$D$13:$D$512,$B476,Auftrag!$E$13:$E$512,$C476,Auftrag!$Q$13:$Q$512,$D476))&gt;0,_xlfn.MAXIFS(Auftrag!$AP$13:$AP$512,Auftrag!$D$13:$D$512,$B476,Auftrag!$E$13:$E$512,$C476,Auftrag!$Q$13:$Q$512,$D476)*$D476/1000,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9" t="n"/>
      <c r="E477" s="24" t="n"/>
      <c r="F477" s="24" t="n"/>
      <c r="G477" s="12">
        <f>IF($A477="","",COUNTIFS(Stangenbelegung!$A$5:$A$10004,$A477))</f>
        <v/>
      </c>
      <c r="H477" s="35">
        <f>IF($A477="","",SUMIFS(Stangenbelegung!$F$5:$F$10004,Stangenbelegung!$A$5:$A$10004,$A477))</f>
        <v/>
      </c>
      <c r="I477" s="23" t="n"/>
      <c r="J477" s="35">
        <f>IF($A477="","",$E477+H477+$I477)</f>
        <v/>
      </c>
      <c r="K477" s="35">
        <f>IF($A477="","",$D477-J477)</f>
        <v/>
      </c>
      <c r="L477" s="32">
        <f>IF($A477="","",H477/$D477)</f>
        <v/>
      </c>
      <c r="M477" s="28">
        <f>IF($A477="","",IF(OR(J477+$F477&gt;$D477+0.001,_xlfn.MAXIFS(Stangenbelegung!$H$5:$H$10004,Stangenbelegung!$A$5:$A$10004,$A477)&gt;$D477-$F477+0.001),"ÜBERBELEGT","OK"))</f>
        <v/>
      </c>
      <c r="N477" s="24" t="n"/>
      <c r="O477" s="24" t="n"/>
      <c r="P477" s="9" t="n"/>
      <c r="Q477" s="18">
        <f>IF($A477="","",IFERROR($D477/1000*INDEX(Profile!$K$5:$K$304,MATCH($B477,lst_Profil,0))*INDEX(Werkstoffe!$E$5:$E$304,MATCH($C477,lst_Werkstoff,0))/1000,""))</f>
        <v/>
      </c>
      <c r="R477" s="18">
        <f>IF($A477="","",IF(N(_xlfn.MAXIFS(Auftrag!$AP$13:$AP$512,Auftrag!$D$13:$D$512,$B477,Auftrag!$E$13:$E$512,$C477,Auftrag!$Q$13:$Q$512,$D477))&gt;0,_xlfn.MAXIFS(Auftrag!$AP$13:$AP$512,Auftrag!$D$13:$D$512,$B477,Auftrag!$E$13:$E$512,$C477,Auftrag!$Q$13:$Q$512,$D477)*$D477/1000,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9" t="n"/>
      <c r="E478" s="24" t="n"/>
      <c r="F478" s="24" t="n"/>
      <c r="G478" s="12">
        <f>IF($A478="","",COUNTIFS(Stangenbelegung!$A$5:$A$10004,$A478))</f>
        <v/>
      </c>
      <c r="H478" s="35">
        <f>IF($A478="","",SUMIFS(Stangenbelegung!$F$5:$F$10004,Stangenbelegung!$A$5:$A$10004,$A478))</f>
        <v/>
      </c>
      <c r="I478" s="23" t="n"/>
      <c r="J478" s="35">
        <f>IF($A478="","",$E478+H478+$I478)</f>
        <v/>
      </c>
      <c r="K478" s="35">
        <f>IF($A478="","",$D478-J478)</f>
        <v/>
      </c>
      <c r="L478" s="32">
        <f>IF($A478="","",H478/$D478)</f>
        <v/>
      </c>
      <c r="M478" s="28">
        <f>IF($A478="","",IF(OR(J478+$F478&gt;$D478+0.001,_xlfn.MAXIFS(Stangenbelegung!$H$5:$H$10004,Stangenbelegung!$A$5:$A$10004,$A478)&gt;$D478-$F478+0.001),"ÜBERBELEGT","OK"))</f>
        <v/>
      </c>
      <c r="N478" s="24" t="n"/>
      <c r="O478" s="24" t="n"/>
      <c r="P478" s="9" t="n"/>
      <c r="Q478" s="18">
        <f>IF($A478="","",IFERROR($D478/1000*INDEX(Profile!$K$5:$K$304,MATCH($B478,lst_Profil,0))*INDEX(Werkstoffe!$E$5:$E$304,MATCH($C478,lst_Werkstoff,0))/1000,""))</f>
        <v/>
      </c>
      <c r="R478" s="18">
        <f>IF($A478="","",IF(N(_xlfn.MAXIFS(Auftrag!$AP$13:$AP$512,Auftrag!$D$13:$D$512,$B478,Auftrag!$E$13:$E$512,$C478,Auftrag!$Q$13:$Q$512,$D478))&gt;0,_xlfn.MAXIFS(Auftrag!$AP$13:$AP$512,Auftrag!$D$13:$D$512,$B478,Auftrag!$E$13:$E$512,$C478,Auftrag!$Q$13:$Q$512,$D478)*$D478/1000,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9" t="n"/>
      <c r="E479" s="24" t="n"/>
      <c r="F479" s="24" t="n"/>
      <c r="G479" s="12">
        <f>IF($A479="","",COUNTIFS(Stangenbelegung!$A$5:$A$10004,$A479))</f>
        <v/>
      </c>
      <c r="H479" s="35">
        <f>IF($A479="","",SUMIFS(Stangenbelegung!$F$5:$F$10004,Stangenbelegung!$A$5:$A$10004,$A479))</f>
        <v/>
      </c>
      <c r="I479" s="23" t="n"/>
      <c r="J479" s="35">
        <f>IF($A479="","",$E479+H479+$I479)</f>
        <v/>
      </c>
      <c r="K479" s="35">
        <f>IF($A479="","",$D479-J479)</f>
        <v/>
      </c>
      <c r="L479" s="32">
        <f>IF($A479="","",H479/$D479)</f>
        <v/>
      </c>
      <c r="M479" s="28">
        <f>IF($A479="","",IF(OR(J479+$F479&gt;$D479+0.001,_xlfn.MAXIFS(Stangenbelegung!$H$5:$H$10004,Stangenbelegung!$A$5:$A$10004,$A479)&gt;$D479-$F479+0.001),"ÜBERBELEGT","OK"))</f>
        <v/>
      </c>
      <c r="N479" s="24" t="n"/>
      <c r="O479" s="24" t="n"/>
      <c r="P479" s="9" t="n"/>
      <c r="Q479" s="18">
        <f>IF($A479="","",IFERROR($D479/1000*INDEX(Profile!$K$5:$K$304,MATCH($B479,lst_Profil,0))*INDEX(Werkstoffe!$E$5:$E$304,MATCH($C479,lst_Werkstoff,0))/1000,""))</f>
        <v/>
      </c>
      <c r="R479" s="18">
        <f>IF($A479="","",IF(N(_xlfn.MAXIFS(Auftrag!$AP$13:$AP$512,Auftrag!$D$13:$D$512,$B479,Auftrag!$E$13:$E$512,$C479,Auftrag!$Q$13:$Q$512,$D479))&gt;0,_xlfn.MAXIFS(Auftrag!$AP$13:$AP$512,Auftrag!$D$13:$D$512,$B479,Auftrag!$E$13:$E$512,$C479,Auftrag!$Q$13:$Q$512,$D479)*$D479/1000,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9" t="n"/>
      <c r="E480" s="24" t="n"/>
      <c r="F480" s="24" t="n"/>
      <c r="G480" s="12">
        <f>IF($A480="","",COUNTIFS(Stangenbelegung!$A$5:$A$10004,$A480))</f>
        <v/>
      </c>
      <c r="H480" s="35">
        <f>IF($A480="","",SUMIFS(Stangenbelegung!$F$5:$F$10004,Stangenbelegung!$A$5:$A$10004,$A480))</f>
        <v/>
      </c>
      <c r="I480" s="23" t="n"/>
      <c r="J480" s="35">
        <f>IF($A480="","",$E480+H480+$I480)</f>
        <v/>
      </c>
      <c r="K480" s="35">
        <f>IF($A480="","",$D480-J480)</f>
        <v/>
      </c>
      <c r="L480" s="32">
        <f>IF($A480="","",H480/$D480)</f>
        <v/>
      </c>
      <c r="M480" s="28">
        <f>IF($A480="","",IF(OR(J480+$F480&gt;$D480+0.001,_xlfn.MAXIFS(Stangenbelegung!$H$5:$H$10004,Stangenbelegung!$A$5:$A$10004,$A480)&gt;$D480-$F480+0.001),"ÜBERBELEGT","OK"))</f>
        <v/>
      </c>
      <c r="N480" s="24" t="n"/>
      <c r="O480" s="24" t="n"/>
      <c r="P480" s="9" t="n"/>
      <c r="Q480" s="18">
        <f>IF($A480="","",IFERROR($D480/1000*INDEX(Profile!$K$5:$K$304,MATCH($B480,lst_Profil,0))*INDEX(Werkstoffe!$E$5:$E$304,MATCH($C480,lst_Werkstoff,0))/1000,""))</f>
        <v/>
      </c>
      <c r="R480" s="18">
        <f>IF($A480="","",IF(N(_xlfn.MAXIFS(Auftrag!$AP$13:$AP$512,Auftrag!$D$13:$D$512,$B480,Auftrag!$E$13:$E$512,$C480,Auftrag!$Q$13:$Q$512,$D480))&gt;0,_xlfn.MAXIFS(Auftrag!$AP$13:$AP$512,Auftrag!$D$13:$D$512,$B480,Auftrag!$E$13:$E$512,$C480,Auftrag!$Q$13:$Q$512,$D480)*$D480/1000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9" t="n"/>
      <c r="E481" s="24" t="n"/>
      <c r="F481" s="24" t="n"/>
      <c r="G481" s="12">
        <f>IF($A481="","",COUNTIFS(Stangenbelegung!$A$5:$A$10004,$A481))</f>
        <v/>
      </c>
      <c r="H481" s="35">
        <f>IF($A481="","",SUMIFS(Stangenbelegung!$F$5:$F$10004,Stangenbelegung!$A$5:$A$10004,$A481))</f>
        <v/>
      </c>
      <c r="I481" s="23" t="n"/>
      <c r="J481" s="35">
        <f>IF($A481="","",$E481+H481+$I481)</f>
        <v/>
      </c>
      <c r="K481" s="35">
        <f>IF($A481="","",$D481-J481)</f>
        <v/>
      </c>
      <c r="L481" s="32">
        <f>IF($A481="","",H481/$D481)</f>
        <v/>
      </c>
      <c r="M481" s="28">
        <f>IF($A481="","",IF(OR(J481+$F481&gt;$D481+0.001,_xlfn.MAXIFS(Stangenbelegung!$H$5:$H$10004,Stangenbelegung!$A$5:$A$10004,$A481)&gt;$D481-$F481+0.001),"ÜBERBELEGT","OK"))</f>
        <v/>
      </c>
      <c r="N481" s="24" t="n"/>
      <c r="O481" s="24" t="n"/>
      <c r="P481" s="9" t="n"/>
      <c r="Q481" s="18">
        <f>IF($A481="","",IFERROR($D481/1000*INDEX(Profile!$K$5:$K$304,MATCH($B481,lst_Profil,0))*INDEX(Werkstoffe!$E$5:$E$304,MATCH($C481,lst_Werkstoff,0))/1000,""))</f>
        <v/>
      </c>
      <c r="R481" s="18">
        <f>IF($A481="","",IF(N(_xlfn.MAXIFS(Auftrag!$AP$13:$AP$512,Auftrag!$D$13:$D$512,$B481,Auftrag!$E$13:$E$512,$C481,Auftrag!$Q$13:$Q$512,$D481))&gt;0,_xlfn.MAXIFS(Auftrag!$AP$13:$AP$512,Auftrag!$D$13:$D$512,$B481,Auftrag!$E$13:$E$512,$C481,Auftrag!$Q$13:$Q$512,$D481)*$D481/1000,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9" t="n"/>
      <c r="E482" s="24" t="n"/>
      <c r="F482" s="24" t="n"/>
      <c r="G482" s="12">
        <f>IF($A482="","",COUNTIFS(Stangenbelegung!$A$5:$A$10004,$A482))</f>
        <v/>
      </c>
      <c r="H482" s="35">
        <f>IF($A482="","",SUMIFS(Stangenbelegung!$F$5:$F$10004,Stangenbelegung!$A$5:$A$10004,$A482))</f>
        <v/>
      </c>
      <c r="I482" s="23" t="n"/>
      <c r="J482" s="35">
        <f>IF($A482="","",$E482+H482+$I482)</f>
        <v/>
      </c>
      <c r="K482" s="35">
        <f>IF($A482="","",$D482-J482)</f>
        <v/>
      </c>
      <c r="L482" s="32">
        <f>IF($A482="","",H482/$D482)</f>
        <v/>
      </c>
      <c r="M482" s="28">
        <f>IF($A482="","",IF(OR(J482+$F482&gt;$D482+0.001,_xlfn.MAXIFS(Stangenbelegung!$H$5:$H$10004,Stangenbelegung!$A$5:$A$10004,$A482)&gt;$D482-$F482+0.001),"ÜBERBELEGT","OK"))</f>
        <v/>
      </c>
      <c r="N482" s="24" t="n"/>
      <c r="O482" s="24" t="n"/>
      <c r="P482" s="9" t="n"/>
      <c r="Q482" s="18">
        <f>IF($A482="","",IFERROR($D482/1000*INDEX(Profile!$K$5:$K$304,MATCH($B482,lst_Profil,0))*INDEX(Werkstoffe!$E$5:$E$304,MATCH($C482,lst_Werkstoff,0))/1000,""))</f>
        <v/>
      </c>
      <c r="R482" s="18">
        <f>IF($A482="","",IF(N(_xlfn.MAXIFS(Auftrag!$AP$13:$AP$512,Auftrag!$D$13:$D$512,$B482,Auftrag!$E$13:$E$512,$C482,Auftrag!$Q$13:$Q$512,$D482))&gt;0,_xlfn.MAXIFS(Auftrag!$AP$13:$AP$512,Auftrag!$D$13:$D$512,$B482,Auftrag!$E$13:$E$512,$C482,Auftrag!$Q$13:$Q$512,$D482)*$D482/1000,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9" t="n"/>
      <c r="E483" s="24" t="n"/>
      <c r="F483" s="24" t="n"/>
      <c r="G483" s="12">
        <f>IF($A483="","",COUNTIFS(Stangenbelegung!$A$5:$A$10004,$A483))</f>
        <v/>
      </c>
      <c r="H483" s="35">
        <f>IF($A483="","",SUMIFS(Stangenbelegung!$F$5:$F$10004,Stangenbelegung!$A$5:$A$10004,$A483))</f>
        <v/>
      </c>
      <c r="I483" s="23" t="n"/>
      <c r="J483" s="35">
        <f>IF($A483="","",$E483+H483+$I483)</f>
        <v/>
      </c>
      <c r="K483" s="35">
        <f>IF($A483="","",$D483-J483)</f>
        <v/>
      </c>
      <c r="L483" s="32">
        <f>IF($A483="","",H483/$D483)</f>
        <v/>
      </c>
      <c r="M483" s="28">
        <f>IF($A483="","",IF(OR(J483+$F483&gt;$D483+0.001,_xlfn.MAXIFS(Stangenbelegung!$H$5:$H$10004,Stangenbelegung!$A$5:$A$10004,$A483)&gt;$D483-$F483+0.001),"ÜBERBELEGT","OK"))</f>
        <v/>
      </c>
      <c r="N483" s="24" t="n"/>
      <c r="O483" s="24" t="n"/>
      <c r="P483" s="9" t="n"/>
      <c r="Q483" s="18">
        <f>IF($A483="","",IFERROR($D483/1000*INDEX(Profile!$K$5:$K$304,MATCH($B483,lst_Profil,0))*INDEX(Werkstoffe!$E$5:$E$304,MATCH($C483,lst_Werkstoff,0))/1000,""))</f>
        <v/>
      </c>
      <c r="R483" s="18">
        <f>IF($A483="","",IF(N(_xlfn.MAXIFS(Auftrag!$AP$13:$AP$512,Auftrag!$D$13:$D$512,$B483,Auftrag!$E$13:$E$512,$C483,Auftrag!$Q$13:$Q$512,$D483))&gt;0,_xlfn.MAXIFS(Auftrag!$AP$13:$AP$512,Auftrag!$D$13:$D$512,$B483,Auftrag!$E$13:$E$512,$C483,Auftrag!$Q$13:$Q$512,$D483)*$D483/1000,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9" t="n"/>
      <c r="E484" s="24" t="n"/>
      <c r="F484" s="24" t="n"/>
      <c r="G484" s="12">
        <f>IF($A484="","",COUNTIFS(Stangenbelegung!$A$5:$A$10004,$A484))</f>
        <v/>
      </c>
      <c r="H484" s="35">
        <f>IF($A484="","",SUMIFS(Stangenbelegung!$F$5:$F$10004,Stangenbelegung!$A$5:$A$10004,$A484))</f>
        <v/>
      </c>
      <c r="I484" s="23" t="n"/>
      <c r="J484" s="35">
        <f>IF($A484="","",$E484+H484+$I484)</f>
        <v/>
      </c>
      <c r="K484" s="35">
        <f>IF($A484="","",$D484-J484)</f>
        <v/>
      </c>
      <c r="L484" s="32">
        <f>IF($A484="","",H484/$D484)</f>
        <v/>
      </c>
      <c r="M484" s="28">
        <f>IF($A484="","",IF(OR(J484+$F484&gt;$D484+0.001,_xlfn.MAXIFS(Stangenbelegung!$H$5:$H$10004,Stangenbelegung!$A$5:$A$10004,$A484)&gt;$D484-$F484+0.001),"ÜBERBELEGT","OK"))</f>
        <v/>
      </c>
      <c r="N484" s="24" t="n"/>
      <c r="O484" s="24" t="n"/>
      <c r="P484" s="9" t="n"/>
      <c r="Q484" s="18">
        <f>IF($A484="","",IFERROR($D484/1000*INDEX(Profile!$K$5:$K$304,MATCH($B484,lst_Profil,0))*INDEX(Werkstoffe!$E$5:$E$304,MATCH($C484,lst_Werkstoff,0))/1000,""))</f>
        <v/>
      </c>
      <c r="R484" s="18">
        <f>IF($A484="","",IF(N(_xlfn.MAXIFS(Auftrag!$AP$13:$AP$512,Auftrag!$D$13:$D$512,$B484,Auftrag!$E$13:$E$512,$C484,Auftrag!$Q$13:$Q$512,$D484))&gt;0,_xlfn.MAXIFS(Auftrag!$AP$13:$AP$512,Auftrag!$D$13:$D$512,$B484,Auftrag!$E$13:$E$512,$C484,Auftrag!$Q$13:$Q$512,$D484)*$D484/1000,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9" t="n"/>
      <c r="E485" s="24" t="n"/>
      <c r="F485" s="24" t="n"/>
      <c r="G485" s="12">
        <f>IF($A485="","",COUNTIFS(Stangenbelegung!$A$5:$A$10004,$A485))</f>
        <v/>
      </c>
      <c r="H485" s="35">
        <f>IF($A485="","",SUMIFS(Stangenbelegung!$F$5:$F$10004,Stangenbelegung!$A$5:$A$10004,$A485))</f>
        <v/>
      </c>
      <c r="I485" s="23" t="n"/>
      <c r="J485" s="35">
        <f>IF($A485="","",$E485+H485+$I485)</f>
        <v/>
      </c>
      <c r="K485" s="35">
        <f>IF($A485="","",$D485-J485)</f>
        <v/>
      </c>
      <c r="L485" s="32">
        <f>IF($A485="","",H485/$D485)</f>
        <v/>
      </c>
      <c r="M485" s="28">
        <f>IF($A485="","",IF(OR(J485+$F485&gt;$D485+0.001,_xlfn.MAXIFS(Stangenbelegung!$H$5:$H$10004,Stangenbelegung!$A$5:$A$10004,$A485)&gt;$D485-$F485+0.001),"ÜBERBELEGT","OK"))</f>
        <v/>
      </c>
      <c r="N485" s="24" t="n"/>
      <c r="O485" s="24" t="n"/>
      <c r="P485" s="9" t="n"/>
      <c r="Q485" s="18">
        <f>IF($A485="","",IFERROR($D485/1000*INDEX(Profile!$K$5:$K$304,MATCH($B485,lst_Profil,0))*INDEX(Werkstoffe!$E$5:$E$304,MATCH($C485,lst_Werkstoff,0))/1000,""))</f>
        <v/>
      </c>
      <c r="R485" s="18">
        <f>IF($A485="","",IF(N(_xlfn.MAXIFS(Auftrag!$AP$13:$AP$512,Auftrag!$D$13:$D$512,$B485,Auftrag!$E$13:$E$512,$C485,Auftrag!$Q$13:$Q$512,$D485))&gt;0,_xlfn.MAXIFS(Auftrag!$AP$13:$AP$512,Auftrag!$D$13:$D$512,$B485,Auftrag!$E$13:$E$512,$C485,Auftrag!$Q$13:$Q$512,$D485)*$D485/1000,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9" t="n"/>
      <c r="E486" s="24" t="n"/>
      <c r="F486" s="24" t="n"/>
      <c r="G486" s="12">
        <f>IF($A486="","",COUNTIFS(Stangenbelegung!$A$5:$A$10004,$A486))</f>
        <v/>
      </c>
      <c r="H486" s="35">
        <f>IF($A486="","",SUMIFS(Stangenbelegung!$F$5:$F$10004,Stangenbelegung!$A$5:$A$10004,$A486))</f>
        <v/>
      </c>
      <c r="I486" s="23" t="n"/>
      <c r="J486" s="35">
        <f>IF($A486="","",$E486+H486+$I486)</f>
        <v/>
      </c>
      <c r="K486" s="35">
        <f>IF($A486="","",$D486-J486)</f>
        <v/>
      </c>
      <c r="L486" s="32">
        <f>IF($A486="","",H486/$D486)</f>
        <v/>
      </c>
      <c r="M486" s="28">
        <f>IF($A486="","",IF(OR(J486+$F486&gt;$D486+0.001,_xlfn.MAXIFS(Stangenbelegung!$H$5:$H$10004,Stangenbelegung!$A$5:$A$10004,$A486)&gt;$D486-$F486+0.001),"ÜBERBELEGT","OK"))</f>
        <v/>
      </c>
      <c r="N486" s="24" t="n"/>
      <c r="O486" s="24" t="n"/>
      <c r="P486" s="9" t="n"/>
      <c r="Q486" s="18">
        <f>IF($A486="","",IFERROR($D486/1000*INDEX(Profile!$K$5:$K$304,MATCH($B486,lst_Profil,0))*INDEX(Werkstoffe!$E$5:$E$304,MATCH($C486,lst_Werkstoff,0))/1000,""))</f>
        <v/>
      </c>
      <c r="R486" s="18">
        <f>IF($A486="","",IF(N(_xlfn.MAXIFS(Auftrag!$AP$13:$AP$512,Auftrag!$D$13:$D$512,$B486,Auftrag!$E$13:$E$512,$C486,Auftrag!$Q$13:$Q$512,$D486))&gt;0,_xlfn.MAXIFS(Auftrag!$AP$13:$AP$512,Auftrag!$D$13:$D$512,$B486,Auftrag!$E$13:$E$512,$C486,Auftrag!$Q$13:$Q$512,$D486)*$D486/1000,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9" t="n"/>
      <c r="E487" s="24" t="n"/>
      <c r="F487" s="24" t="n"/>
      <c r="G487" s="12">
        <f>IF($A487="","",COUNTIFS(Stangenbelegung!$A$5:$A$10004,$A487))</f>
        <v/>
      </c>
      <c r="H487" s="35">
        <f>IF($A487="","",SUMIFS(Stangenbelegung!$F$5:$F$10004,Stangenbelegung!$A$5:$A$10004,$A487))</f>
        <v/>
      </c>
      <c r="I487" s="23" t="n"/>
      <c r="J487" s="35">
        <f>IF($A487="","",$E487+H487+$I487)</f>
        <v/>
      </c>
      <c r="K487" s="35">
        <f>IF($A487="","",$D487-J487)</f>
        <v/>
      </c>
      <c r="L487" s="32">
        <f>IF($A487="","",H487/$D487)</f>
        <v/>
      </c>
      <c r="M487" s="28">
        <f>IF($A487="","",IF(OR(J487+$F487&gt;$D487+0.001,_xlfn.MAXIFS(Stangenbelegung!$H$5:$H$10004,Stangenbelegung!$A$5:$A$10004,$A487)&gt;$D487-$F487+0.001),"ÜBERBELEGT","OK"))</f>
        <v/>
      </c>
      <c r="N487" s="24" t="n"/>
      <c r="O487" s="24" t="n"/>
      <c r="P487" s="9" t="n"/>
      <c r="Q487" s="18">
        <f>IF($A487="","",IFERROR($D487/1000*INDEX(Profile!$K$5:$K$304,MATCH($B487,lst_Profil,0))*INDEX(Werkstoffe!$E$5:$E$304,MATCH($C487,lst_Werkstoff,0))/1000,""))</f>
        <v/>
      </c>
      <c r="R487" s="18">
        <f>IF($A487="","",IF(N(_xlfn.MAXIFS(Auftrag!$AP$13:$AP$512,Auftrag!$D$13:$D$512,$B487,Auftrag!$E$13:$E$512,$C487,Auftrag!$Q$13:$Q$512,$D487))&gt;0,_xlfn.MAXIFS(Auftrag!$AP$13:$AP$512,Auftrag!$D$13:$D$512,$B487,Auftrag!$E$13:$E$512,$C487,Auftrag!$Q$13:$Q$512,$D487)*$D487/1000,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9" t="n"/>
      <c r="E488" s="24" t="n"/>
      <c r="F488" s="24" t="n"/>
      <c r="G488" s="12">
        <f>IF($A488="","",COUNTIFS(Stangenbelegung!$A$5:$A$10004,$A488))</f>
        <v/>
      </c>
      <c r="H488" s="35">
        <f>IF($A488="","",SUMIFS(Stangenbelegung!$F$5:$F$10004,Stangenbelegung!$A$5:$A$10004,$A488))</f>
        <v/>
      </c>
      <c r="I488" s="23" t="n"/>
      <c r="J488" s="35">
        <f>IF($A488="","",$E488+H488+$I488)</f>
        <v/>
      </c>
      <c r="K488" s="35">
        <f>IF($A488="","",$D488-J488)</f>
        <v/>
      </c>
      <c r="L488" s="32">
        <f>IF($A488="","",H488/$D488)</f>
        <v/>
      </c>
      <c r="M488" s="28">
        <f>IF($A488="","",IF(OR(J488+$F488&gt;$D488+0.001,_xlfn.MAXIFS(Stangenbelegung!$H$5:$H$10004,Stangenbelegung!$A$5:$A$10004,$A488)&gt;$D488-$F488+0.001),"ÜBERBELEGT","OK"))</f>
        <v/>
      </c>
      <c r="N488" s="24" t="n"/>
      <c r="O488" s="24" t="n"/>
      <c r="P488" s="9" t="n"/>
      <c r="Q488" s="18">
        <f>IF($A488="","",IFERROR($D488/1000*INDEX(Profile!$K$5:$K$304,MATCH($B488,lst_Profil,0))*INDEX(Werkstoffe!$E$5:$E$304,MATCH($C488,lst_Werkstoff,0))/1000,""))</f>
        <v/>
      </c>
      <c r="R488" s="18">
        <f>IF($A488="","",IF(N(_xlfn.MAXIFS(Auftrag!$AP$13:$AP$512,Auftrag!$D$13:$D$512,$B488,Auftrag!$E$13:$E$512,$C488,Auftrag!$Q$13:$Q$512,$D488))&gt;0,_xlfn.MAXIFS(Auftrag!$AP$13:$AP$512,Auftrag!$D$13:$D$512,$B488,Auftrag!$E$13:$E$512,$C488,Auftrag!$Q$13:$Q$512,$D488)*$D488/1000,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9" t="n"/>
      <c r="E489" s="24" t="n"/>
      <c r="F489" s="24" t="n"/>
      <c r="G489" s="12">
        <f>IF($A489="","",COUNTIFS(Stangenbelegung!$A$5:$A$10004,$A489))</f>
        <v/>
      </c>
      <c r="H489" s="35">
        <f>IF($A489="","",SUMIFS(Stangenbelegung!$F$5:$F$10004,Stangenbelegung!$A$5:$A$10004,$A489))</f>
        <v/>
      </c>
      <c r="I489" s="23" t="n"/>
      <c r="J489" s="35">
        <f>IF($A489="","",$E489+H489+$I489)</f>
        <v/>
      </c>
      <c r="K489" s="35">
        <f>IF($A489="","",$D489-J489)</f>
        <v/>
      </c>
      <c r="L489" s="32">
        <f>IF($A489="","",H489/$D489)</f>
        <v/>
      </c>
      <c r="M489" s="28">
        <f>IF($A489="","",IF(OR(J489+$F489&gt;$D489+0.001,_xlfn.MAXIFS(Stangenbelegung!$H$5:$H$10004,Stangenbelegung!$A$5:$A$10004,$A489)&gt;$D489-$F489+0.001),"ÜBERBELEGT","OK"))</f>
        <v/>
      </c>
      <c r="N489" s="24" t="n"/>
      <c r="O489" s="24" t="n"/>
      <c r="P489" s="9" t="n"/>
      <c r="Q489" s="18">
        <f>IF($A489="","",IFERROR($D489/1000*INDEX(Profile!$K$5:$K$304,MATCH($B489,lst_Profil,0))*INDEX(Werkstoffe!$E$5:$E$304,MATCH($C489,lst_Werkstoff,0))/1000,""))</f>
        <v/>
      </c>
      <c r="R489" s="18">
        <f>IF($A489="","",IF(N(_xlfn.MAXIFS(Auftrag!$AP$13:$AP$512,Auftrag!$D$13:$D$512,$B489,Auftrag!$E$13:$E$512,$C489,Auftrag!$Q$13:$Q$512,$D489))&gt;0,_xlfn.MAXIFS(Auftrag!$AP$13:$AP$512,Auftrag!$D$13:$D$512,$B489,Auftrag!$E$13:$E$512,$C489,Auftrag!$Q$13:$Q$512,$D489)*$D489/1000,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9" t="n"/>
      <c r="E490" s="24" t="n"/>
      <c r="F490" s="24" t="n"/>
      <c r="G490" s="12">
        <f>IF($A490="","",COUNTIFS(Stangenbelegung!$A$5:$A$10004,$A490))</f>
        <v/>
      </c>
      <c r="H490" s="35">
        <f>IF($A490="","",SUMIFS(Stangenbelegung!$F$5:$F$10004,Stangenbelegung!$A$5:$A$10004,$A490))</f>
        <v/>
      </c>
      <c r="I490" s="23" t="n"/>
      <c r="J490" s="35">
        <f>IF($A490="","",$E490+H490+$I490)</f>
        <v/>
      </c>
      <c r="K490" s="35">
        <f>IF($A490="","",$D490-J490)</f>
        <v/>
      </c>
      <c r="L490" s="32">
        <f>IF($A490="","",H490/$D490)</f>
        <v/>
      </c>
      <c r="M490" s="28">
        <f>IF($A490="","",IF(OR(J490+$F490&gt;$D490+0.001,_xlfn.MAXIFS(Stangenbelegung!$H$5:$H$10004,Stangenbelegung!$A$5:$A$10004,$A490)&gt;$D490-$F490+0.001),"ÜBERBELEGT","OK"))</f>
        <v/>
      </c>
      <c r="N490" s="24" t="n"/>
      <c r="O490" s="24" t="n"/>
      <c r="P490" s="9" t="n"/>
      <c r="Q490" s="18">
        <f>IF($A490="","",IFERROR($D490/1000*INDEX(Profile!$K$5:$K$304,MATCH($B490,lst_Profil,0))*INDEX(Werkstoffe!$E$5:$E$304,MATCH($C490,lst_Werkstoff,0))/1000,""))</f>
        <v/>
      </c>
      <c r="R490" s="18">
        <f>IF($A490="","",IF(N(_xlfn.MAXIFS(Auftrag!$AP$13:$AP$512,Auftrag!$D$13:$D$512,$B490,Auftrag!$E$13:$E$512,$C490,Auftrag!$Q$13:$Q$512,$D490))&gt;0,_xlfn.MAXIFS(Auftrag!$AP$13:$AP$512,Auftrag!$D$13:$D$512,$B490,Auftrag!$E$13:$E$512,$C490,Auftrag!$Q$13:$Q$512,$D490)*$D490/1000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9" t="n"/>
      <c r="E491" s="24" t="n"/>
      <c r="F491" s="24" t="n"/>
      <c r="G491" s="12">
        <f>IF($A491="","",COUNTIFS(Stangenbelegung!$A$5:$A$10004,$A491))</f>
        <v/>
      </c>
      <c r="H491" s="35">
        <f>IF($A491="","",SUMIFS(Stangenbelegung!$F$5:$F$10004,Stangenbelegung!$A$5:$A$10004,$A491))</f>
        <v/>
      </c>
      <c r="I491" s="23" t="n"/>
      <c r="J491" s="35">
        <f>IF($A491="","",$E491+H491+$I491)</f>
        <v/>
      </c>
      <c r="K491" s="35">
        <f>IF($A491="","",$D491-J491)</f>
        <v/>
      </c>
      <c r="L491" s="32">
        <f>IF($A491="","",H491/$D491)</f>
        <v/>
      </c>
      <c r="M491" s="28">
        <f>IF($A491="","",IF(OR(J491+$F491&gt;$D491+0.001,_xlfn.MAXIFS(Stangenbelegung!$H$5:$H$10004,Stangenbelegung!$A$5:$A$10004,$A491)&gt;$D491-$F491+0.001),"ÜBERBELEGT","OK"))</f>
        <v/>
      </c>
      <c r="N491" s="24" t="n"/>
      <c r="O491" s="24" t="n"/>
      <c r="P491" s="9" t="n"/>
      <c r="Q491" s="18">
        <f>IF($A491="","",IFERROR($D491/1000*INDEX(Profile!$K$5:$K$304,MATCH($B491,lst_Profil,0))*INDEX(Werkstoffe!$E$5:$E$304,MATCH($C491,lst_Werkstoff,0))/1000,""))</f>
        <v/>
      </c>
      <c r="R491" s="18">
        <f>IF($A491="","",IF(N(_xlfn.MAXIFS(Auftrag!$AP$13:$AP$512,Auftrag!$D$13:$D$512,$B491,Auftrag!$E$13:$E$512,$C491,Auftrag!$Q$13:$Q$512,$D491))&gt;0,_xlfn.MAXIFS(Auftrag!$AP$13:$AP$512,Auftrag!$D$13:$D$512,$B491,Auftrag!$E$13:$E$512,$C491,Auftrag!$Q$13:$Q$512,$D491)*$D491/1000,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9" t="n"/>
      <c r="E492" s="24" t="n"/>
      <c r="F492" s="24" t="n"/>
      <c r="G492" s="12">
        <f>IF($A492="","",COUNTIFS(Stangenbelegung!$A$5:$A$10004,$A492))</f>
        <v/>
      </c>
      <c r="H492" s="35">
        <f>IF($A492="","",SUMIFS(Stangenbelegung!$F$5:$F$10004,Stangenbelegung!$A$5:$A$10004,$A492))</f>
        <v/>
      </c>
      <c r="I492" s="23" t="n"/>
      <c r="J492" s="35">
        <f>IF($A492="","",$E492+H492+$I492)</f>
        <v/>
      </c>
      <c r="K492" s="35">
        <f>IF($A492="","",$D492-J492)</f>
        <v/>
      </c>
      <c r="L492" s="32">
        <f>IF($A492="","",H492/$D492)</f>
        <v/>
      </c>
      <c r="M492" s="28">
        <f>IF($A492="","",IF(OR(J492+$F492&gt;$D492+0.001,_xlfn.MAXIFS(Stangenbelegung!$H$5:$H$10004,Stangenbelegung!$A$5:$A$10004,$A492)&gt;$D492-$F492+0.001),"ÜBERBELEGT","OK"))</f>
        <v/>
      </c>
      <c r="N492" s="24" t="n"/>
      <c r="O492" s="24" t="n"/>
      <c r="P492" s="9" t="n"/>
      <c r="Q492" s="18">
        <f>IF($A492="","",IFERROR($D492/1000*INDEX(Profile!$K$5:$K$304,MATCH($B492,lst_Profil,0))*INDEX(Werkstoffe!$E$5:$E$304,MATCH($C492,lst_Werkstoff,0))/1000,""))</f>
        <v/>
      </c>
      <c r="R492" s="18">
        <f>IF($A492="","",IF(N(_xlfn.MAXIFS(Auftrag!$AP$13:$AP$512,Auftrag!$D$13:$D$512,$B492,Auftrag!$E$13:$E$512,$C492,Auftrag!$Q$13:$Q$512,$D492))&gt;0,_xlfn.MAXIFS(Auftrag!$AP$13:$AP$512,Auftrag!$D$13:$D$512,$B492,Auftrag!$E$13:$E$512,$C492,Auftrag!$Q$13:$Q$512,$D492)*$D492/1000,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9" t="n"/>
      <c r="E493" s="24" t="n"/>
      <c r="F493" s="24" t="n"/>
      <c r="G493" s="12">
        <f>IF($A493="","",COUNTIFS(Stangenbelegung!$A$5:$A$10004,$A493))</f>
        <v/>
      </c>
      <c r="H493" s="35">
        <f>IF($A493="","",SUMIFS(Stangenbelegung!$F$5:$F$10004,Stangenbelegung!$A$5:$A$10004,$A493))</f>
        <v/>
      </c>
      <c r="I493" s="23" t="n"/>
      <c r="J493" s="35">
        <f>IF($A493="","",$E493+H493+$I493)</f>
        <v/>
      </c>
      <c r="K493" s="35">
        <f>IF($A493="","",$D493-J493)</f>
        <v/>
      </c>
      <c r="L493" s="32">
        <f>IF($A493="","",H493/$D493)</f>
        <v/>
      </c>
      <c r="M493" s="28">
        <f>IF($A493="","",IF(OR(J493+$F493&gt;$D493+0.001,_xlfn.MAXIFS(Stangenbelegung!$H$5:$H$10004,Stangenbelegung!$A$5:$A$10004,$A493)&gt;$D493-$F493+0.001),"ÜBERBELEGT","OK"))</f>
        <v/>
      </c>
      <c r="N493" s="24" t="n"/>
      <c r="O493" s="24" t="n"/>
      <c r="P493" s="9" t="n"/>
      <c r="Q493" s="18">
        <f>IF($A493="","",IFERROR($D493/1000*INDEX(Profile!$K$5:$K$304,MATCH($B493,lst_Profil,0))*INDEX(Werkstoffe!$E$5:$E$304,MATCH($C493,lst_Werkstoff,0))/1000,""))</f>
        <v/>
      </c>
      <c r="R493" s="18">
        <f>IF($A493="","",IF(N(_xlfn.MAXIFS(Auftrag!$AP$13:$AP$512,Auftrag!$D$13:$D$512,$B493,Auftrag!$E$13:$E$512,$C493,Auftrag!$Q$13:$Q$512,$D493))&gt;0,_xlfn.MAXIFS(Auftrag!$AP$13:$AP$512,Auftrag!$D$13:$D$512,$B493,Auftrag!$E$13:$E$512,$C493,Auftrag!$Q$13:$Q$512,$D493)*$D493/1000,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9" t="n"/>
      <c r="E494" s="24" t="n"/>
      <c r="F494" s="24" t="n"/>
      <c r="G494" s="12">
        <f>IF($A494="","",COUNTIFS(Stangenbelegung!$A$5:$A$10004,$A494))</f>
        <v/>
      </c>
      <c r="H494" s="35">
        <f>IF($A494="","",SUMIFS(Stangenbelegung!$F$5:$F$10004,Stangenbelegung!$A$5:$A$10004,$A494))</f>
        <v/>
      </c>
      <c r="I494" s="23" t="n"/>
      <c r="J494" s="35">
        <f>IF($A494="","",$E494+H494+$I494)</f>
        <v/>
      </c>
      <c r="K494" s="35">
        <f>IF($A494="","",$D494-J494)</f>
        <v/>
      </c>
      <c r="L494" s="32">
        <f>IF($A494="","",H494/$D494)</f>
        <v/>
      </c>
      <c r="M494" s="28">
        <f>IF($A494="","",IF(OR(J494+$F494&gt;$D494+0.001,_xlfn.MAXIFS(Stangenbelegung!$H$5:$H$10004,Stangenbelegung!$A$5:$A$10004,$A494)&gt;$D494-$F494+0.001),"ÜBERBELEGT","OK"))</f>
        <v/>
      </c>
      <c r="N494" s="24" t="n"/>
      <c r="O494" s="24" t="n"/>
      <c r="P494" s="9" t="n"/>
      <c r="Q494" s="18">
        <f>IF($A494="","",IFERROR($D494/1000*INDEX(Profile!$K$5:$K$304,MATCH($B494,lst_Profil,0))*INDEX(Werkstoffe!$E$5:$E$304,MATCH($C494,lst_Werkstoff,0))/1000,""))</f>
        <v/>
      </c>
      <c r="R494" s="18">
        <f>IF($A494="","",IF(N(_xlfn.MAXIFS(Auftrag!$AP$13:$AP$512,Auftrag!$D$13:$D$512,$B494,Auftrag!$E$13:$E$512,$C494,Auftrag!$Q$13:$Q$512,$D494))&gt;0,_xlfn.MAXIFS(Auftrag!$AP$13:$AP$512,Auftrag!$D$13:$D$512,$B494,Auftrag!$E$13:$E$512,$C494,Auftrag!$Q$13:$Q$512,$D494)*$D494/1000,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9" t="n"/>
      <c r="E495" s="24" t="n"/>
      <c r="F495" s="24" t="n"/>
      <c r="G495" s="12">
        <f>IF($A495="","",COUNTIFS(Stangenbelegung!$A$5:$A$10004,$A495))</f>
        <v/>
      </c>
      <c r="H495" s="35">
        <f>IF($A495="","",SUMIFS(Stangenbelegung!$F$5:$F$10004,Stangenbelegung!$A$5:$A$10004,$A495))</f>
        <v/>
      </c>
      <c r="I495" s="23" t="n"/>
      <c r="J495" s="35">
        <f>IF($A495="","",$E495+H495+$I495)</f>
        <v/>
      </c>
      <c r="K495" s="35">
        <f>IF($A495="","",$D495-J495)</f>
        <v/>
      </c>
      <c r="L495" s="32">
        <f>IF($A495="","",H495/$D495)</f>
        <v/>
      </c>
      <c r="M495" s="28">
        <f>IF($A495="","",IF(OR(J495+$F495&gt;$D495+0.001,_xlfn.MAXIFS(Stangenbelegung!$H$5:$H$10004,Stangenbelegung!$A$5:$A$10004,$A495)&gt;$D495-$F495+0.001),"ÜBERBELEGT","OK"))</f>
        <v/>
      </c>
      <c r="N495" s="24" t="n"/>
      <c r="O495" s="24" t="n"/>
      <c r="P495" s="9" t="n"/>
      <c r="Q495" s="18">
        <f>IF($A495="","",IFERROR($D495/1000*INDEX(Profile!$K$5:$K$304,MATCH($B495,lst_Profil,0))*INDEX(Werkstoffe!$E$5:$E$304,MATCH($C495,lst_Werkstoff,0))/1000,""))</f>
        <v/>
      </c>
      <c r="R495" s="18">
        <f>IF($A495="","",IF(N(_xlfn.MAXIFS(Auftrag!$AP$13:$AP$512,Auftrag!$D$13:$D$512,$B495,Auftrag!$E$13:$E$512,$C495,Auftrag!$Q$13:$Q$512,$D495))&gt;0,_xlfn.MAXIFS(Auftrag!$AP$13:$AP$512,Auftrag!$D$13:$D$512,$B495,Auftrag!$E$13:$E$512,$C495,Auftrag!$Q$13:$Q$512,$D495)*$D495/1000,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9" t="n"/>
      <c r="E496" s="24" t="n"/>
      <c r="F496" s="24" t="n"/>
      <c r="G496" s="12">
        <f>IF($A496="","",COUNTIFS(Stangenbelegung!$A$5:$A$10004,$A496))</f>
        <v/>
      </c>
      <c r="H496" s="35">
        <f>IF($A496="","",SUMIFS(Stangenbelegung!$F$5:$F$10004,Stangenbelegung!$A$5:$A$10004,$A496))</f>
        <v/>
      </c>
      <c r="I496" s="23" t="n"/>
      <c r="J496" s="35">
        <f>IF($A496="","",$E496+H496+$I496)</f>
        <v/>
      </c>
      <c r="K496" s="35">
        <f>IF($A496="","",$D496-J496)</f>
        <v/>
      </c>
      <c r="L496" s="32">
        <f>IF($A496="","",H496/$D496)</f>
        <v/>
      </c>
      <c r="M496" s="28">
        <f>IF($A496="","",IF(OR(J496+$F496&gt;$D496+0.001,_xlfn.MAXIFS(Stangenbelegung!$H$5:$H$10004,Stangenbelegung!$A$5:$A$10004,$A496)&gt;$D496-$F496+0.001),"ÜBERBELEGT","OK"))</f>
        <v/>
      </c>
      <c r="N496" s="24" t="n"/>
      <c r="O496" s="24" t="n"/>
      <c r="P496" s="9" t="n"/>
      <c r="Q496" s="18">
        <f>IF($A496="","",IFERROR($D496/1000*INDEX(Profile!$K$5:$K$304,MATCH($B496,lst_Profil,0))*INDEX(Werkstoffe!$E$5:$E$304,MATCH($C496,lst_Werkstoff,0))/1000,""))</f>
        <v/>
      </c>
      <c r="R496" s="18">
        <f>IF($A496="","",IF(N(_xlfn.MAXIFS(Auftrag!$AP$13:$AP$512,Auftrag!$D$13:$D$512,$B496,Auftrag!$E$13:$E$512,$C496,Auftrag!$Q$13:$Q$512,$D496))&gt;0,_xlfn.MAXIFS(Auftrag!$AP$13:$AP$512,Auftrag!$D$13:$D$512,$B496,Auftrag!$E$13:$E$512,$C496,Auftrag!$Q$13:$Q$512,$D496)*$D496/1000,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9" t="n"/>
      <c r="E497" s="24" t="n"/>
      <c r="F497" s="24" t="n"/>
      <c r="G497" s="12">
        <f>IF($A497="","",COUNTIFS(Stangenbelegung!$A$5:$A$10004,$A497))</f>
        <v/>
      </c>
      <c r="H497" s="35">
        <f>IF($A497="","",SUMIFS(Stangenbelegung!$F$5:$F$10004,Stangenbelegung!$A$5:$A$10004,$A497))</f>
        <v/>
      </c>
      <c r="I497" s="23" t="n"/>
      <c r="J497" s="35">
        <f>IF($A497="","",$E497+H497+$I497)</f>
        <v/>
      </c>
      <c r="K497" s="35">
        <f>IF($A497="","",$D497-J497)</f>
        <v/>
      </c>
      <c r="L497" s="32">
        <f>IF($A497="","",H497/$D497)</f>
        <v/>
      </c>
      <c r="M497" s="28">
        <f>IF($A497="","",IF(OR(J497+$F497&gt;$D497+0.001,_xlfn.MAXIFS(Stangenbelegung!$H$5:$H$10004,Stangenbelegung!$A$5:$A$10004,$A497)&gt;$D497-$F497+0.001),"ÜBERBELEGT","OK"))</f>
        <v/>
      </c>
      <c r="N497" s="24" t="n"/>
      <c r="O497" s="24" t="n"/>
      <c r="P497" s="9" t="n"/>
      <c r="Q497" s="18">
        <f>IF($A497="","",IFERROR($D497/1000*INDEX(Profile!$K$5:$K$304,MATCH($B497,lst_Profil,0))*INDEX(Werkstoffe!$E$5:$E$304,MATCH($C497,lst_Werkstoff,0))/1000,""))</f>
        <v/>
      </c>
      <c r="R497" s="18">
        <f>IF($A497="","",IF(N(_xlfn.MAXIFS(Auftrag!$AP$13:$AP$512,Auftrag!$D$13:$D$512,$B497,Auftrag!$E$13:$E$512,$C497,Auftrag!$Q$13:$Q$512,$D497))&gt;0,_xlfn.MAXIFS(Auftrag!$AP$13:$AP$512,Auftrag!$D$13:$D$512,$B497,Auftrag!$E$13:$E$512,$C497,Auftrag!$Q$13:$Q$512,$D497)*$D497/1000,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9" t="n"/>
      <c r="E498" s="24" t="n"/>
      <c r="F498" s="24" t="n"/>
      <c r="G498" s="12">
        <f>IF($A498="","",COUNTIFS(Stangenbelegung!$A$5:$A$10004,$A498))</f>
        <v/>
      </c>
      <c r="H498" s="35">
        <f>IF($A498="","",SUMIFS(Stangenbelegung!$F$5:$F$10004,Stangenbelegung!$A$5:$A$10004,$A498))</f>
        <v/>
      </c>
      <c r="I498" s="23" t="n"/>
      <c r="J498" s="35">
        <f>IF($A498="","",$E498+H498+$I498)</f>
        <v/>
      </c>
      <c r="K498" s="35">
        <f>IF($A498="","",$D498-J498)</f>
        <v/>
      </c>
      <c r="L498" s="32">
        <f>IF($A498="","",H498/$D498)</f>
        <v/>
      </c>
      <c r="M498" s="28">
        <f>IF($A498="","",IF(OR(J498+$F498&gt;$D498+0.001,_xlfn.MAXIFS(Stangenbelegung!$H$5:$H$10004,Stangenbelegung!$A$5:$A$10004,$A498)&gt;$D498-$F498+0.001),"ÜBERBELEGT","OK"))</f>
        <v/>
      </c>
      <c r="N498" s="24" t="n"/>
      <c r="O498" s="24" t="n"/>
      <c r="P498" s="9" t="n"/>
      <c r="Q498" s="18">
        <f>IF($A498="","",IFERROR($D498/1000*INDEX(Profile!$K$5:$K$304,MATCH($B498,lst_Profil,0))*INDEX(Werkstoffe!$E$5:$E$304,MATCH($C498,lst_Werkstoff,0))/1000,""))</f>
        <v/>
      </c>
      <c r="R498" s="18">
        <f>IF($A498="","",IF(N(_xlfn.MAXIFS(Auftrag!$AP$13:$AP$512,Auftrag!$D$13:$D$512,$B498,Auftrag!$E$13:$E$512,$C498,Auftrag!$Q$13:$Q$512,$D498))&gt;0,_xlfn.MAXIFS(Auftrag!$AP$13:$AP$512,Auftrag!$D$13:$D$512,$B498,Auftrag!$E$13:$E$512,$C498,Auftrag!$Q$13:$Q$512,$D498)*$D498/1000,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9" t="n"/>
      <c r="E499" s="24" t="n"/>
      <c r="F499" s="24" t="n"/>
      <c r="G499" s="12">
        <f>IF($A499="","",COUNTIFS(Stangenbelegung!$A$5:$A$10004,$A499))</f>
        <v/>
      </c>
      <c r="H499" s="35">
        <f>IF($A499="","",SUMIFS(Stangenbelegung!$F$5:$F$10004,Stangenbelegung!$A$5:$A$10004,$A499))</f>
        <v/>
      </c>
      <c r="I499" s="23" t="n"/>
      <c r="J499" s="35">
        <f>IF($A499="","",$E499+H499+$I499)</f>
        <v/>
      </c>
      <c r="K499" s="35">
        <f>IF($A499="","",$D499-J499)</f>
        <v/>
      </c>
      <c r="L499" s="32">
        <f>IF($A499="","",H499/$D499)</f>
        <v/>
      </c>
      <c r="M499" s="28">
        <f>IF($A499="","",IF(OR(J499+$F499&gt;$D499+0.001,_xlfn.MAXIFS(Stangenbelegung!$H$5:$H$10004,Stangenbelegung!$A$5:$A$10004,$A499)&gt;$D499-$F499+0.001),"ÜBERBELEGT","OK"))</f>
        <v/>
      </c>
      <c r="N499" s="24" t="n"/>
      <c r="O499" s="24" t="n"/>
      <c r="P499" s="9" t="n"/>
      <c r="Q499" s="18">
        <f>IF($A499="","",IFERROR($D499/1000*INDEX(Profile!$K$5:$K$304,MATCH($B499,lst_Profil,0))*INDEX(Werkstoffe!$E$5:$E$304,MATCH($C499,lst_Werkstoff,0))/1000,""))</f>
        <v/>
      </c>
      <c r="R499" s="18">
        <f>IF($A499="","",IF(N(_xlfn.MAXIFS(Auftrag!$AP$13:$AP$512,Auftrag!$D$13:$D$512,$B499,Auftrag!$E$13:$E$512,$C499,Auftrag!$Q$13:$Q$512,$D499))&gt;0,_xlfn.MAXIFS(Auftrag!$AP$13:$AP$512,Auftrag!$D$13:$D$512,$B499,Auftrag!$E$13:$E$512,$C499,Auftrag!$Q$13:$Q$512,$D499)*$D499/1000,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9" t="n"/>
      <c r="E500" s="24" t="n"/>
      <c r="F500" s="24" t="n"/>
      <c r="G500" s="12">
        <f>IF($A500="","",COUNTIFS(Stangenbelegung!$A$5:$A$10004,$A500))</f>
        <v/>
      </c>
      <c r="H500" s="35">
        <f>IF($A500="","",SUMIFS(Stangenbelegung!$F$5:$F$10004,Stangenbelegung!$A$5:$A$10004,$A500))</f>
        <v/>
      </c>
      <c r="I500" s="23" t="n"/>
      <c r="J500" s="35">
        <f>IF($A500="","",$E500+H500+$I500)</f>
        <v/>
      </c>
      <c r="K500" s="35">
        <f>IF($A500="","",$D500-J500)</f>
        <v/>
      </c>
      <c r="L500" s="32">
        <f>IF($A500="","",H500/$D500)</f>
        <v/>
      </c>
      <c r="M500" s="28">
        <f>IF($A500="","",IF(OR(J500+$F500&gt;$D500+0.001,_xlfn.MAXIFS(Stangenbelegung!$H$5:$H$10004,Stangenbelegung!$A$5:$A$10004,$A500)&gt;$D500-$F500+0.001),"ÜBERBELEGT","OK"))</f>
        <v/>
      </c>
      <c r="N500" s="24" t="n"/>
      <c r="O500" s="24" t="n"/>
      <c r="P500" s="9" t="n"/>
      <c r="Q500" s="18">
        <f>IF($A500="","",IFERROR($D500/1000*INDEX(Profile!$K$5:$K$304,MATCH($B500,lst_Profil,0))*INDEX(Werkstoffe!$E$5:$E$304,MATCH($C500,lst_Werkstoff,0))/1000,""))</f>
        <v/>
      </c>
      <c r="R500" s="18">
        <f>IF($A500="","",IF(N(_xlfn.MAXIFS(Auftrag!$AP$13:$AP$512,Auftrag!$D$13:$D$512,$B500,Auftrag!$E$13:$E$512,$C500,Auftrag!$Q$13:$Q$512,$D500))&gt;0,_xlfn.MAXIFS(Auftrag!$AP$13:$AP$512,Auftrag!$D$13:$D$512,$B500,Auftrag!$E$13:$E$512,$C500,Auftrag!$Q$13:$Q$512,$D500)*$D500/1000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9" t="n"/>
      <c r="E501" s="24" t="n"/>
      <c r="F501" s="24" t="n"/>
      <c r="G501" s="12">
        <f>IF($A501="","",COUNTIFS(Stangenbelegung!$A$5:$A$10004,$A501))</f>
        <v/>
      </c>
      <c r="H501" s="35">
        <f>IF($A501="","",SUMIFS(Stangenbelegung!$F$5:$F$10004,Stangenbelegung!$A$5:$A$10004,$A501))</f>
        <v/>
      </c>
      <c r="I501" s="23" t="n"/>
      <c r="J501" s="35">
        <f>IF($A501="","",$E501+H501+$I501)</f>
        <v/>
      </c>
      <c r="K501" s="35">
        <f>IF($A501="","",$D501-J501)</f>
        <v/>
      </c>
      <c r="L501" s="32">
        <f>IF($A501="","",H501/$D501)</f>
        <v/>
      </c>
      <c r="M501" s="28">
        <f>IF($A501="","",IF(OR(J501+$F501&gt;$D501+0.001,_xlfn.MAXIFS(Stangenbelegung!$H$5:$H$10004,Stangenbelegung!$A$5:$A$10004,$A501)&gt;$D501-$F501+0.001),"ÜBERBELEGT","OK"))</f>
        <v/>
      </c>
      <c r="N501" s="24" t="n"/>
      <c r="O501" s="24" t="n"/>
      <c r="P501" s="9" t="n"/>
      <c r="Q501" s="18">
        <f>IF($A501="","",IFERROR($D501/1000*INDEX(Profile!$K$5:$K$304,MATCH($B501,lst_Profil,0))*INDEX(Werkstoffe!$E$5:$E$304,MATCH($C501,lst_Werkstoff,0))/1000,""))</f>
        <v/>
      </c>
      <c r="R501" s="18">
        <f>IF($A501="","",IF(N(_xlfn.MAXIFS(Auftrag!$AP$13:$AP$512,Auftrag!$D$13:$D$512,$B501,Auftrag!$E$13:$E$512,$C501,Auftrag!$Q$13:$Q$512,$D501))&gt;0,_xlfn.MAXIFS(Auftrag!$AP$13:$AP$512,Auftrag!$D$13:$D$512,$B501,Auftrag!$E$13:$E$512,$C501,Auftrag!$Q$13:$Q$512,$D501)*$D501/1000,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9" t="n"/>
      <c r="E502" s="24" t="n"/>
      <c r="F502" s="24" t="n"/>
      <c r="G502" s="12">
        <f>IF($A502="","",COUNTIFS(Stangenbelegung!$A$5:$A$10004,$A502))</f>
        <v/>
      </c>
      <c r="H502" s="35">
        <f>IF($A502="","",SUMIFS(Stangenbelegung!$F$5:$F$10004,Stangenbelegung!$A$5:$A$10004,$A502))</f>
        <v/>
      </c>
      <c r="I502" s="23" t="n"/>
      <c r="J502" s="35">
        <f>IF($A502="","",$E502+H502+$I502)</f>
        <v/>
      </c>
      <c r="K502" s="35">
        <f>IF($A502="","",$D502-J502)</f>
        <v/>
      </c>
      <c r="L502" s="32">
        <f>IF($A502="","",H502/$D502)</f>
        <v/>
      </c>
      <c r="M502" s="28">
        <f>IF($A502="","",IF(OR(J502+$F502&gt;$D502+0.001,_xlfn.MAXIFS(Stangenbelegung!$H$5:$H$10004,Stangenbelegung!$A$5:$A$10004,$A502)&gt;$D502-$F502+0.001),"ÜBERBELEGT","OK"))</f>
        <v/>
      </c>
      <c r="N502" s="24" t="n"/>
      <c r="O502" s="24" t="n"/>
      <c r="P502" s="9" t="n"/>
      <c r="Q502" s="18">
        <f>IF($A502="","",IFERROR($D502/1000*INDEX(Profile!$K$5:$K$304,MATCH($B502,lst_Profil,0))*INDEX(Werkstoffe!$E$5:$E$304,MATCH($C502,lst_Werkstoff,0))/1000,""))</f>
        <v/>
      </c>
      <c r="R502" s="18">
        <f>IF($A502="","",IF(N(_xlfn.MAXIFS(Auftrag!$AP$13:$AP$512,Auftrag!$D$13:$D$512,$B502,Auftrag!$E$13:$E$512,$C502,Auftrag!$Q$13:$Q$512,$D502))&gt;0,_xlfn.MAXIFS(Auftrag!$AP$13:$AP$512,Auftrag!$D$13:$D$512,$B502,Auftrag!$E$13:$E$512,$C502,Auftrag!$Q$13:$Q$512,$D502)*$D502/1000,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9" t="n"/>
      <c r="E503" s="24" t="n"/>
      <c r="F503" s="24" t="n"/>
      <c r="G503" s="12">
        <f>IF($A503="","",COUNTIFS(Stangenbelegung!$A$5:$A$10004,$A503))</f>
        <v/>
      </c>
      <c r="H503" s="35">
        <f>IF($A503="","",SUMIFS(Stangenbelegung!$F$5:$F$10004,Stangenbelegung!$A$5:$A$10004,$A503))</f>
        <v/>
      </c>
      <c r="I503" s="23" t="n"/>
      <c r="J503" s="35">
        <f>IF($A503="","",$E503+H503+$I503)</f>
        <v/>
      </c>
      <c r="K503" s="35">
        <f>IF($A503="","",$D503-J503)</f>
        <v/>
      </c>
      <c r="L503" s="32">
        <f>IF($A503="","",H503/$D503)</f>
        <v/>
      </c>
      <c r="M503" s="28">
        <f>IF($A503="","",IF(OR(J503+$F503&gt;$D503+0.001,_xlfn.MAXIFS(Stangenbelegung!$H$5:$H$10004,Stangenbelegung!$A$5:$A$10004,$A503)&gt;$D503-$F503+0.001),"ÜBERBELEGT","OK"))</f>
        <v/>
      </c>
      <c r="N503" s="24" t="n"/>
      <c r="O503" s="24" t="n"/>
      <c r="P503" s="9" t="n"/>
      <c r="Q503" s="18">
        <f>IF($A503="","",IFERROR($D503/1000*INDEX(Profile!$K$5:$K$304,MATCH($B503,lst_Profil,0))*INDEX(Werkstoffe!$E$5:$E$304,MATCH($C503,lst_Werkstoff,0))/1000,""))</f>
        <v/>
      </c>
      <c r="R503" s="18">
        <f>IF($A503="","",IF(N(_xlfn.MAXIFS(Auftrag!$AP$13:$AP$512,Auftrag!$D$13:$D$512,$B503,Auftrag!$E$13:$E$512,$C503,Auftrag!$Q$13:$Q$512,$D503))&gt;0,_xlfn.MAXIFS(Auftrag!$AP$13:$AP$512,Auftrag!$D$13:$D$512,$B503,Auftrag!$E$13:$E$512,$C503,Auftrag!$Q$13:$Q$512,$D503)*$D503/1000,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9" t="n"/>
      <c r="E504" s="24" t="n"/>
      <c r="F504" s="24" t="n"/>
      <c r="G504" s="12">
        <f>IF($A504="","",COUNTIFS(Stangenbelegung!$A$5:$A$10004,$A504))</f>
        <v/>
      </c>
      <c r="H504" s="35">
        <f>IF($A504="","",SUMIFS(Stangenbelegung!$F$5:$F$10004,Stangenbelegung!$A$5:$A$10004,$A504))</f>
        <v/>
      </c>
      <c r="I504" s="23" t="n"/>
      <c r="J504" s="35">
        <f>IF($A504="","",$E504+H504+$I504)</f>
        <v/>
      </c>
      <c r="K504" s="35">
        <f>IF($A504="","",$D504-J504)</f>
        <v/>
      </c>
      <c r="L504" s="32">
        <f>IF($A504="","",H504/$D504)</f>
        <v/>
      </c>
      <c r="M504" s="28">
        <f>IF($A504="","",IF(OR(J504+$F504&gt;$D504+0.001,_xlfn.MAXIFS(Stangenbelegung!$H$5:$H$10004,Stangenbelegung!$A$5:$A$10004,$A504)&gt;$D504-$F504+0.001),"ÜBERBELEGT","OK"))</f>
        <v/>
      </c>
      <c r="N504" s="24" t="n"/>
      <c r="O504" s="24" t="n"/>
      <c r="P504" s="9" t="n"/>
      <c r="Q504" s="18">
        <f>IF($A504="","",IFERROR($D504/1000*INDEX(Profile!$K$5:$K$304,MATCH($B504,lst_Profil,0))*INDEX(Werkstoffe!$E$5:$E$304,MATCH($C504,lst_Werkstoff,0))/1000,""))</f>
        <v/>
      </c>
      <c r="R504" s="18">
        <f>IF($A504="","",IF(N(_xlfn.MAXIFS(Auftrag!$AP$13:$AP$512,Auftrag!$D$13:$D$512,$B504,Auftrag!$E$13:$E$512,$C504,Auftrag!$Q$13:$Q$512,$D504))&gt;0,_xlfn.MAXIFS(Auftrag!$AP$13:$AP$512,Auftrag!$D$13:$D$512,$B504,Auftrag!$E$13:$E$512,$C504,Auftrag!$Q$13:$Q$512,$D504)*$D504/1000,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9" t="n"/>
      <c r="E505" s="24" t="n"/>
      <c r="F505" s="24" t="n"/>
      <c r="G505" s="12">
        <f>IF($A505="","",COUNTIFS(Stangenbelegung!$A$5:$A$10004,$A505))</f>
        <v/>
      </c>
      <c r="H505" s="35">
        <f>IF($A505="","",SUMIFS(Stangenbelegung!$F$5:$F$10004,Stangenbelegung!$A$5:$A$10004,$A505))</f>
        <v/>
      </c>
      <c r="I505" s="23" t="n"/>
      <c r="J505" s="35">
        <f>IF($A505="","",$E505+H505+$I505)</f>
        <v/>
      </c>
      <c r="K505" s="35">
        <f>IF($A505="","",$D505-J505)</f>
        <v/>
      </c>
      <c r="L505" s="32">
        <f>IF($A505="","",H505/$D505)</f>
        <v/>
      </c>
      <c r="M505" s="28">
        <f>IF($A505="","",IF(OR(J505+$F505&gt;$D505+0.001,_xlfn.MAXIFS(Stangenbelegung!$H$5:$H$10004,Stangenbelegung!$A$5:$A$10004,$A505)&gt;$D505-$F505+0.001),"ÜBERBELEGT","OK"))</f>
        <v/>
      </c>
      <c r="N505" s="24" t="n"/>
      <c r="O505" s="24" t="n"/>
      <c r="P505" s="9" t="n"/>
      <c r="Q505" s="18">
        <f>IF($A505="","",IFERROR($D505/1000*INDEX(Profile!$K$5:$K$304,MATCH($B505,lst_Profil,0))*INDEX(Werkstoffe!$E$5:$E$304,MATCH($C505,lst_Werkstoff,0))/1000,""))</f>
        <v/>
      </c>
      <c r="R505" s="18">
        <f>IF($A505="","",IF(N(_xlfn.MAXIFS(Auftrag!$AP$13:$AP$512,Auftrag!$D$13:$D$512,$B505,Auftrag!$E$13:$E$512,$C505,Auftrag!$Q$13:$Q$512,$D505))&gt;0,_xlfn.MAXIFS(Auftrag!$AP$13:$AP$512,Auftrag!$D$13:$D$512,$B505,Auftrag!$E$13:$E$512,$C505,Auftrag!$Q$13:$Q$512,$D505)*$D505/1000,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9" t="n"/>
      <c r="E506" s="24" t="n"/>
      <c r="F506" s="24" t="n"/>
      <c r="G506" s="12">
        <f>IF($A506="","",COUNTIFS(Stangenbelegung!$A$5:$A$10004,$A506))</f>
        <v/>
      </c>
      <c r="H506" s="35">
        <f>IF($A506="","",SUMIFS(Stangenbelegung!$F$5:$F$10004,Stangenbelegung!$A$5:$A$10004,$A506))</f>
        <v/>
      </c>
      <c r="I506" s="23" t="n"/>
      <c r="J506" s="35">
        <f>IF($A506="","",$E506+H506+$I506)</f>
        <v/>
      </c>
      <c r="K506" s="35">
        <f>IF($A506="","",$D506-J506)</f>
        <v/>
      </c>
      <c r="L506" s="32">
        <f>IF($A506="","",H506/$D506)</f>
        <v/>
      </c>
      <c r="M506" s="28">
        <f>IF($A506="","",IF(OR(J506+$F506&gt;$D506+0.001,_xlfn.MAXIFS(Stangenbelegung!$H$5:$H$10004,Stangenbelegung!$A$5:$A$10004,$A506)&gt;$D506-$F506+0.001),"ÜBERBELEGT","OK"))</f>
        <v/>
      </c>
      <c r="N506" s="24" t="n"/>
      <c r="O506" s="24" t="n"/>
      <c r="P506" s="9" t="n"/>
      <c r="Q506" s="18">
        <f>IF($A506="","",IFERROR($D506/1000*INDEX(Profile!$K$5:$K$304,MATCH($B506,lst_Profil,0))*INDEX(Werkstoffe!$E$5:$E$304,MATCH($C506,lst_Werkstoff,0))/1000,""))</f>
        <v/>
      </c>
      <c r="R506" s="18">
        <f>IF($A506="","",IF(N(_xlfn.MAXIFS(Auftrag!$AP$13:$AP$512,Auftrag!$D$13:$D$512,$B506,Auftrag!$E$13:$E$512,$C506,Auftrag!$Q$13:$Q$512,$D506))&gt;0,_xlfn.MAXIFS(Auftrag!$AP$13:$AP$512,Auftrag!$D$13:$D$512,$B506,Auftrag!$E$13:$E$512,$C506,Auftrag!$Q$13:$Q$512,$D506)*$D506/1000,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9" t="n"/>
      <c r="E507" s="24" t="n"/>
      <c r="F507" s="24" t="n"/>
      <c r="G507" s="12">
        <f>IF($A507="","",COUNTIFS(Stangenbelegung!$A$5:$A$10004,$A507))</f>
        <v/>
      </c>
      <c r="H507" s="35">
        <f>IF($A507="","",SUMIFS(Stangenbelegung!$F$5:$F$10004,Stangenbelegung!$A$5:$A$10004,$A507))</f>
        <v/>
      </c>
      <c r="I507" s="23" t="n"/>
      <c r="J507" s="35">
        <f>IF($A507="","",$E507+H507+$I507)</f>
        <v/>
      </c>
      <c r="K507" s="35">
        <f>IF($A507="","",$D507-J507)</f>
        <v/>
      </c>
      <c r="L507" s="32">
        <f>IF($A507="","",H507/$D507)</f>
        <v/>
      </c>
      <c r="M507" s="28">
        <f>IF($A507="","",IF(OR(J507+$F507&gt;$D507+0.001,_xlfn.MAXIFS(Stangenbelegung!$H$5:$H$10004,Stangenbelegung!$A$5:$A$10004,$A507)&gt;$D507-$F507+0.001),"ÜBERBELEGT","OK"))</f>
        <v/>
      </c>
      <c r="N507" s="24" t="n"/>
      <c r="O507" s="24" t="n"/>
      <c r="P507" s="9" t="n"/>
      <c r="Q507" s="18">
        <f>IF($A507="","",IFERROR($D507/1000*INDEX(Profile!$K$5:$K$304,MATCH($B507,lst_Profil,0))*INDEX(Werkstoffe!$E$5:$E$304,MATCH($C507,lst_Werkstoff,0))/1000,""))</f>
        <v/>
      </c>
      <c r="R507" s="18">
        <f>IF($A507="","",IF(N(_xlfn.MAXIFS(Auftrag!$AP$13:$AP$512,Auftrag!$D$13:$D$512,$B507,Auftrag!$E$13:$E$512,$C507,Auftrag!$Q$13:$Q$512,$D507))&gt;0,_xlfn.MAXIFS(Auftrag!$AP$13:$AP$512,Auftrag!$D$13:$D$512,$B507,Auftrag!$E$13:$E$512,$C507,Auftrag!$Q$13:$Q$512,$D507)*$D507/1000,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9" t="n"/>
      <c r="E508" s="24" t="n"/>
      <c r="F508" s="24" t="n"/>
      <c r="G508" s="12">
        <f>IF($A508="","",COUNTIFS(Stangenbelegung!$A$5:$A$10004,$A508))</f>
        <v/>
      </c>
      <c r="H508" s="35">
        <f>IF($A508="","",SUMIFS(Stangenbelegung!$F$5:$F$10004,Stangenbelegung!$A$5:$A$10004,$A508))</f>
        <v/>
      </c>
      <c r="I508" s="23" t="n"/>
      <c r="J508" s="35">
        <f>IF($A508="","",$E508+H508+$I508)</f>
        <v/>
      </c>
      <c r="K508" s="35">
        <f>IF($A508="","",$D508-J508)</f>
        <v/>
      </c>
      <c r="L508" s="32">
        <f>IF($A508="","",H508/$D508)</f>
        <v/>
      </c>
      <c r="M508" s="28">
        <f>IF($A508="","",IF(OR(J508+$F508&gt;$D508+0.001,_xlfn.MAXIFS(Stangenbelegung!$H$5:$H$10004,Stangenbelegung!$A$5:$A$10004,$A508)&gt;$D508-$F508+0.001),"ÜBERBELEGT","OK"))</f>
        <v/>
      </c>
      <c r="N508" s="24" t="n"/>
      <c r="O508" s="24" t="n"/>
      <c r="P508" s="9" t="n"/>
      <c r="Q508" s="18">
        <f>IF($A508="","",IFERROR($D508/1000*INDEX(Profile!$K$5:$K$304,MATCH($B508,lst_Profil,0))*INDEX(Werkstoffe!$E$5:$E$304,MATCH($C508,lst_Werkstoff,0))/1000,""))</f>
        <v/>
      </c>
      <c r="R508" s="18">
        <f>IF($A508="","",IF(N(_xlfn.MAXIFS(Auftrag!$AP$13:$AP$512,Auftrag!$D$13:$D$512,$B508,Auftrag!$E$13:$E$512,$C508,Auftrag!$Q$13:$Q$512,$D508))&gt;0,_xlfn.MAXIFS(Auftrag!$AP$13:$AP$512,Auftrag!$D$13:$D$512,$B508,Auftrag!$E$13:$E$512,$C508,Auftrag!$Q$13:$Q$512,$D508)*$D508/1000,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9" t="n"/>
      <c r="E509" s="24" t="n"/>
      <c r="F509" s="24" t="n"/>
      <c r="G509" s="12">
        <f>IF($A509="","",COUNTIFS(Stangenbelegung!$A$5:$A$10004,$A509))</f>
        <v/>
      </c>
      <c r="H509" s="35">
        <f>IF($A509="","",SUMIFS(Stangenbelegung!$F$5:$F$10004,Stangenbelegung!$A$5:$A$10004,$A509))</f>
        <v/>
      </c>
      <c r="I509" s="23" t="n"/>
      <c r="J509" s="35">
        <f>IF($A509="","",$E509+H509+$I509)</f>
        <v/>
      </c>
      <c r="K509" s="35">
        <f>IF($A509="","",$D509-J509)</f>
        <v/>
      </c>
      <c r="L509" s="32">
        <f>IF($A509="","",H509/$D509)</f>
        <v/>
      </c>
      <c r="M509" s="28">
        <f>IF($A509="","",IF(OR(J509+$F509&gt;$D509+0.001,_xlfn.MAXIFS(Stangenbelegung!$H$5:$H$10004,Stangenbelegung!$A$5:$A$10004,$A509)&gt;$D509-$F509+0.001),"ÜBERBELEGT","OK"))</f>
        <v/>
      </c>
      <c r="N509" s="24" t="n"/>
      <c r="O509" s="24" t="n"/>
      <c r="P509" s="9" t="n"/>
      <c r="Q509" s="18">
        <f>IF($A509="","",IFERROR($D509/1000*INDEX(Profile!$K$5:$K$304,MATCH($B509,lst_Profil,0))*INDEX(Werkstoffe!$E$5:$E$304,MATCH($C509,lst_Werkstoff,0))/1000,""))</f>
        <v/>
      </c>
      <c r="R509" s="18">
        <f>IF($A509="","",IF(N(_xlfn.MAXIFS(Auftrag!$AP$13:$AP$512,Auftrag!$D$13:$D$512,$B509,Auftrag!$E$13:$E$512,$C509,Auftrag!$Q$13:$Q$512,$D509))&gt;0,_xlfn.MAXIFS(Auftrag!$AP$13:$AP$512,Auftrag!$D$13:$D$512,$B509,Auftrag!$E$13:$E$512,$C509,Auftrag!$Q$13:$Q$512,$D509)*$D509/1000,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9" t="n"/>
      <c r="E510" s="24" t="n"/>
      <c r="F510" s="24" t="n"/>
      <c r="G510" s="12">
        <f>IF($A510="","",COUNTIFS(Stangenbelegung!$A$5:$A$10004,$A510))</f>
        <v/>
      </c>
      <c r="H510" s="35">
        <f>IF($A510="","",SUMIFS(Stangenbelegung!$F$5:$F$10004,Stangenbelegung!$A$5:$A$10004,$A510))</f>
        <v/>
      </c>
      <c r="I510" s="23" t="n"/>
      <c r="J510" s="35">
        <f>IF($A510="","",$E510+H510+$I510)</f>
        <v/>
      </c>
      <c r="K510" s="35">
        <f>IF($A510="","",$D510-J510)</f>
        <v/>
      </c>
      <c r="L510" s="32">
        <f>IF($A510="","",H510/$D510)</f>
        <v/>
      </c>
      <c r="M510" s="28">
        <f>IF($A510="","",IF(OR(J510+$F510&gt;$D510+0.001,_xlfn.MAXIFS(Stangenbelegung!$H$5:$H$10004,Stangenbelegung!$A$5:$A$10004,$A510)&gt;$D510-$F510+0.001),"ÜBERBELEGT","OK"))</f>
        <v/>
      </c>
      <c r="N510" s="24" t="n"/>
      <c r="O510" s="24" t="n"/>
      <c r="P510" s="9" t="n"/>
      <c r="Q510" s="18">
        <f>IF($A510="","",IFERROR($D510/1000*INDEX(Profile!$K$5:$K$304,MATCH($B510,lst_Profil,0))*INDEX(Werkstoffe!$E$5:$E$304,MATCH($C510,lst_Werkstoff,0))/1000,""))</f>
        <v/>
      </c>
      <c r="R510" s="18">
        <f>IF($A510="","",IF(N(_xlfn.MAXIFS(Auftrag!$AP$13:$AP$512,Auftrag!$D$13:$D$512,$B510,Auftrag!$E$13:$E$512,$C510,Auftrag!$Q$13:$Q$512,$D510))&gt;0,_xlfn.MAXIFS(Auftrag!$AP$13:$AP$512,Auftrag!$D$13:$D$512,$B510,Auftrag!$E$13:$E$512,$C510,Auftrag!$Q$13:$Q$512,$D510)*$D510/1000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9" t="n"/>
      <c r="E511" s="24" t="n"/>
      <c r="F511" s="24" t="n"/>
      <c r="G511" s="12">
        <f>IF($A511="","",COUNTIFS(Stangenbelegung!$A$5:$A$10004,$A511))</f>
        <v/>
      </c>
      <c r="H511" s="35">
        <f>IF($A511="","",SUMIFS(Stangenbelegung!$F$5:$F$10004,Stangenbelegung!$A$5:$A$10004,$A511))</f>
        <v/>
      </c>
      <c r="I511" s="23" t="n"/>
      <c r="J511" s="35">
        <f>IF($A511="","",$E511+H511+$I511)</f>
        <v/>
      </c>
      <c r="K511" s="35">
        <f>IF($A511="","",$D511-J511)</f>
        <v/>
      </c>
      <c r="L511" s="32">
        <f>IF($A511="","",H511/$D511)</f>
        <v/>
      </c>
      <c r="M511" s="28">
        <f>IF($A511="","",IF(OR(J511+$F511&gt;$D511+0.001,_xlfn.MAXIFS(Stangenbelegung!$H$5:$H$10004,Stangenbelegung!$A$5:$A$10004,$A511)&gt;$D511-$F511+0.001),"ÜBERBELEGT","OK"))</f>
        <v/>
      </c>
      <c r="N511" s="24" t="n"/>
      <c r="O511" s="24" t="n"/>
      <c r="P511" s="9" t="n"/>
      <c r="Q511" s="18">
        <f>IF($A511="","",IFERROR($D511/1000*INDEX(Profile!$K$5:$K$304,MATCH($B511,lst_Profil,0))*INDEX(Werkstoffe!$E$5:$E$304,MATCH($C511,lst_Werkstoff,0))/1000,""))</f>
        <v/>
      </c>
      <c r="R511" s="18">
        <f>IF($A511="","",IF(N(_xlfn.MAXIFS(Auftrag!$AP$13:$AP$512,Auftrag!$D$13:$D$512,$B511,Auftrag!$E$13:$E$512,$C511,Auftrag!$Q$13:$Q$512,$D511))&gt;0,_xlfn.MAXIFS(Auftrag!$AP$13:$AP$512,Auftrag!$D$13:$D$512,$B511,Auftrag!$E$13:$E$512,$C511,Auftrag!$Q$13:$Q$512,$D511)*$D511/1000,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9" t="n"/>
      <c r="E512" s="24" t="n"/>
      <c r="F512" s="24" t="n"/>
      <c r="G512" s="12">
        <f>IF($A512="","",COUNTIFS(Stangenbelegung!$A$5:$A$10004,$A512))</f>
        <v/>
      </c>
      <c r="H512" s="35">
        <f>IF($A512="","",SUMIFS(Stangenbelegung!$F$5:$F$10004,Stangenbelegung!$A$5:$A$10004,$A512))</f>
        <v/>
      </c>
      <c r="I512" s="23" t="n"/>
      <c r="J512" s="35">
        <f>IF($A512="","",$E512+H512+$I512)</f>
        <v/>
      </c>
      <c r="K512" s="35">
        <f>IF($A512="","",$D512-J512)</f>
        <v/>
      </c>
      <c r="L512" s="32">
        <f>IF($A512="","",H512/$D512)</f>
        <v/>
      </c>
      <c r="M512" s="28">
        <f>IF($A512="","",IF(OR(J512+$F512&gt;$D512+0.001,_xlfn.MAXIFS(Stangenbelegung!$H$5:$H$10004,Stangenbelegung!$A$5:$A$10004,$A512)&gt;$D512-$F512+0.001),"ÜBERBELEGT","OK"))</f>
        <v/>
      </c>
      <c r="N512" s="24" t="n"/>
      <c r="O512" s="24" t="n"/>
      <c r="P512" s="9" t="n"/>
      <c r="Q512" s="18">
        <f>IF($A512="","",IFERROR($D512/1000*INDEX(Profile!$K$5:$K$304,MATCH($B512,lst_Profil,0))*INDEX(Werkstoffe!$E$5:$E$304,MATCH($C512,lst_Werkstoff,0))/1000,""))</f>
        <v/>
      </c>
      <c r="R512" s="18">
        <f>IF($A512="","",IF(N(_xlfn.MAXIFS(Auftrag!$AP$13:$AP$512,Auftrag!$D$13:$D$512,$B512,Auftrag!$E$13:$E$512,$C512,Auftrag!$Q$13:$Q$512,$D512))&gt;0,_xlfn.MAXIFS(Auftrag!$AP$13:$AP$512,Auftrag!$D$13:$D$512,$B512,Auftrag!$E$13:$E$512,$C512,Auftrag!$Q$13:$Q$512,$D512)*$D512/1000,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9" t="n"/>
      <c r="E513" s="24" t="n"/>
      <c r="F513" s="24" t="n"/>
      <c r="G513" s="12">
        <f>IF($A513="","",COUNTIFS(Stangenbelegung!$A$5:$A$10004,$A513))</f>
        <v/>
      </c>
      <c r="H513" s="35">
        <f>IF($A513="","",SUMIFS(Stangenbelegung!$F$5:$F$10004,Stangenbelegung!$A$5:$A$10004,$A513))</f>
        <v/>
      </c>
      <c r="I513" s="23" t="n"/>
      <c r="J513" s="35">
        <f>IF($A513="","",$E513+H513+$I513)</f>
        <v/>
      </c>
      <c r="K513" s="35">
        <f>IF($A513="","",$D513-J513)</f>
        <v/>
      </c>
      <c r="L513" s="32">
        <f>IF($A513="","",H513/$D513)</f>
        <v/>
      </c>
      <c r="M513" s="28">
        <f>IF($A513="","",IF(OR(J513+$F513&gt;$D513+0.001,_xlfn.MAXIFS(Stangenbelegung!$H$5:$H$10004,Stangenbelegung!$A$5:$A$10004,$A513)&gt;$D513-$F513+0.001),"ÜBERBELEGT","OK"))</f>
        <v/>
      </c>
      <c r="N513" s="24" t="n"/>
      <c r="O513" s="24" t="n"/>
      <c r="P513" s="9" t="n"/>
      <c r="Q513" s="18">
        <f>IF($A513="","",IFERROR($D513/1000*INDEX(Profile!$K$5:$K$304,MATCH($B513,lst_Profil,0))*INDEX(Werkstoffe!$E$5:$E$304,MATCH($C513,lst_Werkstoff,0))/1000,""))</f>
        <v/>
      </c>
      <c r="R513" s="18">
        <f>IF($A513="","",IF(N(_xlfn.MAXIFS(Auftrag!$AP$13:$AP$512,Auftrag!$D$13:$D$512,$B513,Auftrag!$E$13:$E$512,$C513,Auftrag!$Q$13:$Q$512,$D513))&gt;0,_xlfn.MAXIFS(Auftrag!$AP$13:$AP$512,Auftrag!$D$13:$D$512,$B513,Auftrag!$E$13:$E$512,$C513,Auftrag!$Q$13:$Q$512,$D513)*$D513/1000,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9" t="n"/>
      <c r="E514" s="24" t="n"/>
      <c r="F514" s="24" t="n"/>
      <c r="G514" s="12">
        <f>IF($A514="","",COUNTIFS(Stangenbelegung!$A$5:$A$10004,$A514))</f>
        <v/>
      </c>
      <c r="H514" s="35">
        <f>IF($A514="","",SUMIFS(Stangenbelegung!$F$5:$F$10004,Stangenbelegung!$A$5:$A$10004,$A514))</f>
        <v/>
      </c>
      <c r="I514" s="23" t="n"/>
      <c r="J514" s="35">
        <f>IF($A514="","",$E514+H514+$I514)</f>
        <v/>
      </c>
      <c r="K514" s="35">
        <f>IF($A514="","",$D514-J514)</f>
        <v/>
      </c>
      <c r="L514" s="32">
        <f>IF($A514="","",H514/$D514)</f>
        <v/>
      </c>
      <c r="M514" s="28">
        <f>IF($A514="","",IF(OR(J514+$F514&gt;$D514+0.001,_xlfn.MAXIFS(Stangenbelegung!$H$5:$H$10004,Stangenbelegung!$A$5:$A$10004,$A514)&gt;$D514-$F514+0.001),"ÜBERBELEGT","OK"))</f>
        <v/>
      </c>
      <c r="N514" s="24" t="n"/>
      <c r="O514" s="24" t="n"/>
      <c r="P514" s="9" t="n"/>
      <c r="Q514" s="18">
        <f>IF($A514="","",IFERROR($D514/1000*INDEX(Profile!$K$5:$K$304,MATCH($B514,lst_Profil,0))*INDEX(Werkstoffe!$E$5:$E$304,MATCH($C514,lst_Werkstoff,0))/1000,""))</f>
        <v/>
      </c>
      <c r="R514" s="18">
        <f>IF($A514="","",IF(N(_xlfn.MAXIFS(Auftrag!$AP$13:$AP$512,Auftrag!$D$13:$D$512,$B514,Auftrag!$E$13:$E$512,$C514,Auftrag!$Q$13:$Q$512,$D514))&gt;0,_xlfn.MAXIFS(Auftrag!$AP$13:$AP$512,Auftrag!$D$13:$D$512,$B514,Auftrag!$E$13:$E$512,$C514,Auftrag!$Q$13:$Q$512,$D514)*$D514/1000,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9" t="n"/>
      <c r="E515" s="24" t="n"/>
      <c r="F515" s="24" t="n"/>
      <c r="G515" s="12">
        <f>IF($A515="","",COUNTIFS(Stangenbelegung!$A$5:$A$10004,$A515))</f>
        <v/>
      </c>
      <c r="H515" s="35">
        <f>IF($A515="","",SUMIFS(Stangenbelegung!$F$5:$F$10004,Stangenbelegung!$A$5:$A$10004,$A515))</f>
        <v/>
      </c>
      <c r="I515" s="23" t="n"/>
      <c r="J515" s="35">
        <f>IF($A515="","",$E515+H515+$I515)</f>
        <v/>
      </c>
      <c r="K515" s="35">
        <f>IF($A515="","",$D515-J515)</f>
        <v/>
      </c>
      <c r="L515" s="32">
        <f>IF($A515="","",H515/$D515)</f>
        <v/>
      </c>
      <c r="M515" s="28">
        <f>IF($A515="","",IF(OR(J515+$F515&gt;$D515+0.001,_xlfn.MAXIFS(Stangenbelegung!$H$5:$H$10004,Stangenbelegung!$A$5:$A$10004,$A515)&gt;$D515-$F515+0.001),"ÜBERBELEGT","OK"))</f>
        <v/>
      </c>
      <c r="N515" s="24" t="n"/>
      <c r="O515" s="24" t="n"/>
      <c r="P515" s="9" t="n"/>
      <c r="Q515" s="18">
        <f>IF($A515="","",IFERROR($D515/1000*INDEX(Profile!$K$5:$K$304,MATCH($B515,lst_Profil,0))*INDEX(Werkstoffe!$E$5:$E$304,MATCH($C515,lst_Werkstoff,0))/1000,""))</f>
        <v/>
      </c>
      <c r="R515" s="18">
        <f>IF($A515="","",IF(N(_xlfn.MAXIFS(Auftrag!$AP$13:$AP$512,Auftrag!$D$13:$D$512,$B515,Auftrag!$E$13:$E$512,$C515,Auftrag!$Q$13:$Q$512,$D515))&gt;0,_xlfn.MAXIFS(Auftrag!$AP$13:$AP$512,Auftrag!$D$13:$D$512,$B515,Auftrag!$E$13:$E$512,$C515,Auftrag!$Q$13:$Q$512,$D515)*$D515/1000,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9" t="n"/>
      <c r="E516" s="24" t="n"/>
      <c r="F516" s="24" t="n"/>
      <c r="G516" s="12">
        <f>IF($A516="","",COUNTIFS(Stangenbelegung!$A$5:$A$10004,$A516))</f>
        <v/>
      </c>
      <c r="H516" s="35">
        <f>IF($A516="","",SUMIFS(Stangenbelegung!$F$5:$F$10004,Stangenbelegung!$A$5:$A$10004,$A516))</f>
        <v/>
      </c>
      <c r="I516" s="23" t="n"/>
      <c r="J516" s="35">
        <f>IF($A516="","",$E516+H516+$I516)</f>
        <v/>
      </c>
      <c r="K516" s="35">
        <f>IF($A516="","",$D516-J516)</f>
        <v/>
      </c>
      <c r="L516" s="32">
        <f>IF($A516="","",H516/$D516)</f>
        <v/>
      </c>
      <c r="M516" s="28">
        <f>IF($A516="","",IF(OR(J516+$F516&gt;$D516+0.001,_xlfn.MAXIFS(Stangenbelegung!$H$5:$H$10004,Stangenbelegung!$A$5:$A$10004,$A516)&gt;$D516-$F516+0.001),"ÜBERBELEGT","OK"))</f>
        <v/>
      </c>
      <c r="N516" s="24" t="n"/>
      <c r="O516" s="24" t="n"/>
      <c r="P516" s="9" t="n"/>
      <c r="Q516" s="18">
        <f>IF($A516="","",IFERROR($D516/1000*INDEX(Profile!$K$5:$K$304,MATCH($B516,lst_Profil,0))*INDEX(Werkstoffe!$E$5:$E$304,MATCH($C516,lst_Werkstoff,0))/1000,""))</f>
        <v/>
      </c>
      <c r="R516" s="18">
        <f>IF($A516="","",IF(N(_xlfn.MAXIFS(Auftrag!$AP$13:$AP$512,Auftrag!$D$13:$D$512,$B516,Auftrag!$E$13:$E$512,$C516,Auftrag!$Q$13:$Q$512,$D516))&gt;0,_xlfn.MAXIFS(Auftrag!$AP$13:$AP$512,Auftrag!$D$13:$D$512,$B516,Auftrag!$E$13:$E$512,$C516,Auftrag!$Q$13:$Q$512,$D516)*$D516/1000,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9" t="n"/>
      <c r="E517" s="24" t="n"/>
      <c r="F517" s="24" t="n"/>
      <c r="G517" s="12">
        <f>IF($A517="","",COUNTIFS(Stangenbelegung!$A$5:$A$10004,$A517))</f>
        <v/>
      </c>
      <c r="H517" s="35">
        <f>IF($A517="","",SUMIFS(Stangenbelegung!$F$5:$F$10004,Stangenbelegung!$A$5:$A$10004,$A517))</f>
        <v/>
      </c>
      <c r="I517" s="23" t="n"/>
      <c r="J517" s="35">
        <f>IF($A517="","",$E517+H517+$I517)</f>
        <v/>
      </c>
      <c r="K517" s="35">
        <f>IF($A517="","",$D517-J517)</f>
        <v/>
      </c>
      <c r="L517" s="32">
        <f>IF($A517="","",H517/$D517)</f>
        <v/>
      </c>
      <c r="M517" s="28">
        <f>IF($A517="","",IF(OR(J517+$F517&gt;$D517+0.001,_xlfn.MAXIFS(Stangenbelegung!$H$5:$H$10004,Stangenbelegung!$A$5:$A$10004,$A517)&gt;$D517-$F517+0.001),"ÜBERBELEGT","OK"))</f>
        <v/>
      </c>
      <c r="N517" s="24" t="n"/>
      <c r="O517" s="24" t="n"/>
      <c r="P517" s="9" t="n"/>
      <c r="Q517" s="18">
        <f>IF($A517="","",IFERROR($D517/1000*INDEX(Profile!$K$5:$K$304,MATCH($B517,lst_Profil,0))*INDEX(Werkstoffe!$E$5:$E$304,MATCH($C517,lst_Werkstoff,0))/1000,""))</f>
        <v/>
      </c>
      <c r="R517" s="18">
        <f>IF($A517="","",IF(N(_xlfn.MAXIFS(Auftrag!$AP$13:$AP$512,Auftrag!$D$13:$D$512,$B517,Auftrag!$E$13:$E$512,$C517,Auftrag!$Q$13:$Q$512,$D517))&gt;0,_xlfn.MAXIFS(Auftrag!$AP$13:$AP$512,Auftrag!$D$13:$D$512,$B517,Auftrag!$E$13:$E$512,$C517,Auftrag!$Q$13:$Q$512,$D517)*$D517/1000,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9" t="n"/>
      <c r="E518" s="24" t="n"/>
      <c r="F518" s="24" t="n"/>
      <c r="G518" s="12">
        <f>IF($A518="","",COUNTIFS(Stangenbelegung!$A$5:$A$10004,$A518))</f>
        <v/>
      </c>
      <c r="H518" s="35">
        <f>IF($A518="","",SUMIFS(Stangenbelegung!$F$5:$F$10004,Stangenbelegung!$A$5:$A$10004,$A518))</f>
        <v/>
      </c>
      <c r="I518" s="23" t="n"/>
      <c r="J518" s="35">
        <f>IF($A518="","",$E518+H518+$I518)</f>
        <v/>
      </c>
      <c r="K518" s="35">
        <f>IF($A518="","",$D518-J518)</f>
        <v/>
      </c>
      <c r="L518" s="32">
        <f>IF($A518="","",H518/$D518)</f>
        <v/>
      </c>
      <c r="M518" s="28">
        <f>IF($A518="","",IF(OR(J518+$F518&gt;$D518+0.001,_xlfn.MAXIFS(Stangenbelegung!$H$5:$H$10004,Stangenbelegung!$A$5:$A$10004,$A518)&gt;$D518-$F518+0.001),"ÜBERBELEGT","OK"))</f>
        <v/>
      </c>
      <c r="N518" s="24" t="n"/>
      <c r="O518" s="24" t="n"/>
      <c r="P518" s="9" t="n"/>
      <c r="Q518" s="18">
        <f>IF($A518="","",IFERROR($D518/1000*INDEX(Profile!$K$5:$K$304,MATCH($B518,lst_Profil,0))*INDEX(Werkstoffe!$E$5:$E$304,MATCH($C518,lst_Werkstoff,0))/1000,""))</f>
        <v/>
      </c>
      <c r="R518" s="18">
        <f>IF($A518="","",IF(N(_xlfn.MAXIFS(Auftrag!$AP$13:$AP$512,Auftrag!$D$13:$D$512,$B518,Auftrag!$E$13:$E$512,$C518,Auftrag!$Q$13:$Q$512,$D518))&gt;0,_xlfn.MAXIFS(Auftrag!$AP$13:$AP$512,Auftrag!$D$13:$D$512,$B518,Auftrag!$E$13:$E$512,$C518,Auftrag!$Q$13:$Q$512,$D518)*$D518/1000,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9" t="n"/>
      <c r="E519" s="24" t="n"/>
      <c r="F519" s="24" t="n"/>
      <c r="G519" s="12">
        <f>IF($A519="","",COUNTIFS(Stangenbelegung!$A$5:$A$10004,$A519))</f>
        <v/>
      </c>
      <c r="H519" s="35">
        <f>IF($A519="","",SUMIFS(Stangenbelegung!$F$5:$F$10004,Stangenbelegung!$A$5:$A$10004,$A519))</f>
        <v/>
      </c>
      <c r="I519" s="23" t="n"/>
      <c r="J519" s="35">
        <f>IF($A519="","",$E519+H519+$I519)</f>
        <v/>
      </c>
      <c r="K519" s="35">
        <f>IF($A519="","",$D519-J519)</f>
        <v/>
      </c>
      <c r="L519" s="32">
        <f>IF($A519="","",H519/$D519)</f>
        <v/>
      </c>
      <c r="M519" s="28">
        <f>IF($A519="","",IF(OR(J519+$F519&gt;$D519+0.001,_xlfn.MAXIFS(Stangenbelegung!$H$5:$H$10004,Stangenbelegung!$A$5:$A$10004,$A519)&gt;$D519-$F519+0.001),"ÜBERBELEGT","OK"))</f>
        <v/>
      </c>
      <c r="N519" s="24" t="n"/>
      <c r="O519" s="24" t="n"/>
      <c r="P519" s="9" t="n"/>
      <c r="Q519" s="18">
        <f>IF($A519="","",IFERROR($D519/1000*INDEX(Profile!$K$5:$K$304,MATCH($B519,lst_Profil,0))*INDEX(Werkstoffe!$E$5:$E$304,MATCH($C519,lst_Werkstoff,0))/1000,""))</f>
        <v/>
      </c>
      <c r="R519" s="18">
        <f>IF($A519="","",IF(N(_xlfn.MAXIFS(Auftrag!$AP$13:$AP$512,Auftrag!$D$13:$D$512,$B519,Auftrag!$E$13:$E$512,$C519,Auftrag!$Q$13:$Q$512,$D519))&gt;0,_xlfn.MAXIFS(Auftrag!$AP$13:$AP$512,Auftrag!$D$13:$D$512,$B519,Auftrag!$E$13:$E$512,$C519,Auftrag!$Q$13:$Q$512,$D519)*$D519/1000,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9" t="n"/>
      <c r="E520" s="24" t="n"/>
      <c r="F520" s="24" t="n"/>
      <c r="G520" s="12">
        <f>IF($A520="","",COUNTIFS(Stangenbelegung!$A$5:$A$10004,$A520))</f>
        <v/>
      </c>
      <c r="H520" s="35">
        <f>IF($A520="","",SUMIFS(Stangenbelegung!$F$5:$F$10004,Stangenbelegung!$A$5:$A$10004,$A520))</f>
        <v/>
      </c>
      <c r="I520" s="23" t="n"/>
      <c r="J520" s="35">
        <f>IF($A520="","",$E520+H520+$I520)</f>
        <v/>
      </c>
      <c r="K520" s="35">
        <f>IF($A520="","",$D520-J520)</f>
        <v/>
      </c>
      <c r="L520" s="32">
        <f>IF($A520="","",H520/$D520)</f>
        <v/>
      </c>
      <c r="M520" s="28">
        <f>IF($A520="","",IF(OR(J520+$F520&gt;$D520+0.001,_xlfn.MAXIFS(Stangenbelegung!$H$5:$H$10004,Stangenbelegung!$A$5:$A$10004,$A520)&gt;$D520-$F520+0.001),"ÜBERBELEGT","OK"))</f>
        <v/>
      </c>
      <c r="N520" s="24" t="n"/>
      <c r="O520" s="24" t="n"/>
      <c r="P520" s="9" t="n"/>
      <c r="Q520" s="18">
        <f>IF($A520="","",IFERROR($D520/1000*INDEX(Profile!$K$5:$K$304,MATCH($B520,lst_Profil,0))*INDEX(Werkstoffe!$E$5:$E$304,MATCH($C520,lst_Werkstoff,0))/1000,""))</f>
        <v/>
      </c>
      <c r="R520" s="18">
        <f>IF($A520="","",IF(N(_xlfn.MAXIFS(Auftrag!$AP$13:$AP$512,Auftrag!$D$13:$D$512,$B520,Auftrag!$E$13:$E$512,$C520,Auftrag!$Q$13:$Q$512,$D520))&gt;0,_xlfn.MAXIFS(Auftrag!$AP$13:$AP$512,Auftrag!$D$13:$D$512,$B520,Auftrag!$E$13:$E$512,$C520,Auftrag!$Q$13:$Q$512,$D520)*$D520/1000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9" t="n"/>
      <c r="E521" s="24" t="n"/>
      <c r="F521" s="24" t="n"/>
      <c r="G521" s="12">
        <f>IF($A521="","",COUNTIFS(Stangenbelegung!$A$5:$A$10004,$A521))</f>
        <v/>
      </c>
      <c r="H521" s="35">
        <f>IF($A521="","",SUMIFS(Stangenbelegung!$F$5:$F$10004,Stangenbelegung!$A$5:$A$10004,$A521))</f>
        <v/>
      </c>
      <c r="I521" s="23" t="n"/>
      <c r="J521" s="35">
        <f>IF($A521="","",$E521+H521+$I521)</f>
        <v/>
      </c>
      <c r="K521" s="35">
        <f>IF($A521="","",$D521-J521)</f>
        <v/>
      </c>
      <c r="L521" s="32">
        <f>IF($A521="","",H521/$D521)</f>
        <v/>
      </c>
      <c r="M521" s="28">
        <f>IF($A521="","",IF(OR(J521+$F521&gt;$D521+0.001,_xlfn.MAXIFS(Stangenbelegung!$H$5:$H$10004,Stangenbelegung!$A$5:$A$10004,$A521)&gt;$D521-$F521+0.001),"ÜBERBELEGT","OK"))</f>
        <v/>
      </c>
      <c r="N521" s="24" t="n"/>
      <c r="O521" s="24" t="n"/>
      <c r="P521" s="9" t="n"/>
      <c r="Q521" s="18">
        <f>IF($A521="","",IFERROR($D521/1000*INDEX(Profile!$K$5:$K$304,MATCH($B521,lst_Profil,0))*INDEX(Werkstoffe!$E$5:$E$304,MATCH($C521,lst_Werkstoff,0))/1000,""))</f>
        <v/>
      </c>
      <c r="R521" s="18">
        <f>IF($A521="","",IF(N(_xlfn.MAXIFS(Auftrag!$AP$13:$AP$512,Auftrag!$D$13:$D$512,$B521,Auftrag!$E$13:$E$512,$C521,Auftrag!$Q$13:$Q$512,$D521))&gt;0,_xlfn.MAXIFS(Auftrag!$AP$13:$AP$512,Auftrag!$D$13:$D$512,$B521,Auftrag!$E$13:$E$512,$C521,Auftrag!$Q$13:$Q$512,$D521)*$D521/1000,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9" t="n"/>
      <c r="E522" s="24" t="n"/>
      <c r="F522" s="24" t="n"/>
      <c r="G522" s="12">
        <f>IF($A522="","",COUNTIFS(Stangenbelegung!$A$5:$A$10004,$A522))</f>
        <v/>
      </c>
      <c r="H522" s="35">
        <f>IF($A522="","",SUMIFS(Stangenbelegung!$F$5:$F$10004,Stangenbelegung!$A$5:$A$10004,$A522))</f>
        <v/>
      </c>
      <c r="I522" s="23" t="n"/>
      <c r="J522" s="35">
        <f>IF($A522="","",$E522+H522+$I522)</f>
        <v/>
      </c>
      <c r="K522" s="35">
        <f>IF($A522="","",$D522-J522)</f>
        <v/>
      </c>
      <c r="L522" s="32">
        <f>IF($A522="","",H522/$D522)</f>
        <v/>
      </c>
      <c r="M522" s="28">
        <f>IF($A522="","",IF(OR(J522+$F522&gt;$D522+0.001,_xlfn.MAXIFS(Stangenbelegung!$H$5:$H$10004,Stangenbelegung!$A$5:$A$10004,$A522)&gt;$D522-$F522+0.001),"ÜBERBELEGT","OK"))</f>
        <v/>
      </c>
      <c r="N522" s="24" t="n"/>
      <c r="O522" s="24" t="n"/>
      <c r="P522" s="9" t="n"/>
      <c r="Q522" s="18">
        <f>IF($A522="","",IFERROR($D522/1000*INDEX(Profile!$K$5:$K$304,MATCH($B522,lst_Profil,0))*INDEX(Werkstoffe!$E$5:$E$304,MATCH($C522,lst_Werkstoff,0))/1000,""))</f>
        <v/>
      </c>
      <c r="R522" s="18">
        <f>IF($A522="","",IF(N(_xlfn.MAXIFS(Auftrag!$AP$13:$AP$512,Auftrag!$D$13:$D$512,$B522,Auftrag!$E$13:$E$512,$C522,Auftrag!$Q$13:$Q$512,$D522))&gt;0,_xlfn.MAXIFS(Auftrag!$AP$13:$AP$512,Auftrag!$D$13:$D$512,$B522,Auftrag!$E$13:$E$512,$C522,Auftrag!$Q$13:$Q$512,$D522)*$D522/1000,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9" t="n"/>
      <c r="E523" s="24" t="n"/>
      <c r="F523" s="24" t="n"/>
      <c r="G523" s="12">
        <f>IF($A523="","",COUNTIFS(Stangenbelegung!$A$5:$A$10004,$A523))</f>
        <v/>
      </c>
      <c r="H523" s="35">
        <f>IF($A523="","",SUMIFS(Stangenbelegung!$F$5:$F$10004,Stangenbelegung!$A$5:$A$10004,$A523))</f>
        <v/>
      </c>
      <c r="I523" s="23" t="n"/>
      <c r="J523" s="35">
        <f>IF($A523="","",$E523+H523+$I523)</f>
        <v/>
      </c>
      <c r="K523" s="35">
        <f>IF($A523="","",$D523-J523)</f>
        <v/>
      </c>
      <c r="L523" s="32">
        <f>IF($A523="","",H523/$D523)</f>
        <v/>
      </c>
      <c r="M523" s="28">
        <f>IF($A523="","",IF(OR(J523+$F523&gt;$D523+0.001,_xlfn.MAXIFS(Stangenbelegung!$H$5:$H$10004,Stangenbelegung!$A$5:$A$10004,$A523)&gt;$D523-$F523+0.001),"ÜBERBELEGT","OK"))</f>
        <v/>
      </c>
      <c r="N523" s="24" t="n"/>
      <c r="O523" s="24" t="n"/>
      <c r="P523" s="9" t="n"/>
      <c r="Q523" s="18">
        <f>IF($A523="","",IFERROR($D523/1000*INDEX(Profile!$K$5:$K$304,MATCH($B523,lst_Profil,0))*INDEX(Werkstoffe!$E$5:$E$304,MATCH($C523,lst_Werkstoff,0))/1000,""))</f>
        <v/>
      </c>
      <c r="R523" s="18">
        <f>IF($A523="","",IF(N(_xlfn.MAXIFS(Auftrag!$AP$13:$AP$512,Auftrag!$D$13:$D$512,$B523,Auftrag!$E$13:$E$512,$C523,Auftrag!$Q$13:$Q$512,$D523))&gt;0,_xlfn.MAXIFS(Auftrag!$AP$13:$AP$512,Auftrag!$D$13:$D$512,$B523,Auftrag!$E$13:$E$512,$C523,Auftrag!$Q$13:$Q$512,$D523)*$D523/1000,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9" t="n"/>
      <c r="E524" s="24" t="n"/>
      <c r="F524" s="24" t="n"/>
      <c r="G524" s="12">
        <f>IF($A524="","",COUNTIFS(Stangenbelegung!$A$5:$A$10004,$A524))</f>
        <v/>
      </c>
      <c r="H524" s="35">
        <f>IF($A524="","",SUMIFS(Stangenbelegung!$F$5:$F$10004,Stangenbelegung!$A$5:$A$10004,$A524))</f>
        <v/>
      </c>
      <c r="I524" s="23" t="n"/>
      <c r="J524" s="35">
        <f>IF($A524="","",$E524+H524+$I524)</f>
        <v/>
      </c>
      <c r="K524" s="35">
        <f>IF($A524="","",$D524-J524)</f>
        <v/>
      </c>
      <c r="L524" s="32">
        <f>IF($A524="","",H524/$D524)</f>
        <v/>
      </c>
      <c r="M524" s="28">
        <f>IF($A524="","",IF(OR(J524+$F524&gt;$D524+0.001,_xlfn.MAXIFS(Stangenbelegung!$H$5:$H$10004,Stangenbelegung!$A$5:$A$10004,$A524)&gt;$D524-$F524+0.001),"ÜBERBELEGT","OK"))</f>
        <v/>
      </c>
      <c r="N524" s="24" t="n"/>
      <c r="O524" s="24" t="n"/>
      <c r="P524" s="9" t="n"/>
      <c r="Q524" s="18">
        <f>IF($A524="","",IFERROR($D524/1000*INDEX(Profile!$K$5:$K$304,MATCH($B524,lst_Profil,0))*INDEX(Werkstoffe!$E$5:$E$304,MATCH($C524,lst_Werkstoff,0))/1000,""))</f>
        <v/>
      </c>
      <c r="R524" s="18">
        <f>IF($A524="","",IF(N(_xlfn.MAXIFS(Auftrag!$AP$13:$AP$512,Auftrag!$D$13:$D$512,$B524,Auftrag!$E$13:$E$512,$C524,Auftrag!$Q$13:$Q$512,$D524))&gt;0,_xlfn.MAXIFS(Auftrag!$AP$13:$AP$512,Auftrag!$D$13:$D$512,$B524,Auftrag!$E$13:$E$512,$C524,Auftrag!$Q$13:$Q$512,$D524)*$D524/1000,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9" t="n"/>
      <c r="E525" s="24" t="n"/>
      <c r="F525" s="24" t="n"/>
      <c r="G525" s="12">
        <f>IF($A525="","",COUNTIFS(Stangenbelegung!$A$5:$A$10004,$A525))</f>
        <v/>
      </c>
      <c r="H525" s="35">
        <f>IF($A525="","",SUMIFS(Stangenbelegung!$F$5:$F$10004,Stangenbelegung!$A$5:$A$10004,$A525))</f>
        <v/>
      </c>
      <c r="I525" s="23" t="n"/>
      <c r="J525" s="35">
        <f>IF($A525="","",$E525+H525+$I525)</f>
        <v/>
      </c>
      <c r="K525" s="35">
        <f>IF($A525="","",$D525-J525)</f>
        <v/>
      </c>
      <c r="L525" s="32">
        <f>IF($A525="","",H525/$D525)</f>
        <v/>
      </c>
      <c r="M525" s="28">
        <f>IF($A525="","",IF(OR(J525+$F525&gt;$D525+0.001,_xlfn.MAXIFS(Stangenbelegung!$H$5:$H$10004,Stangenbelegung!$A$5:$A$10004,$A525)&gt;$D525-$F525+0.001),"ÜBERBELEGT","OK"))</f>
        <v/>
      </c>
      <c r="N525" s="24" t="n"/>
      <c r="O525" s="24" t="n"/>
      <c r="P525" s="9" t="n"/>
      <c r="Q525" s="18">
        <f>IF($A525="","",IFERROR($D525/1000*INDEX(Profile!$K$5:$K$304,MATCH($B525,lst_Profil,0))*INDEX(Werkstoffe!$E$5:$E$304,MATCH($C525,lst_Werkstoff,0))/1000,""))</f>
        <v/>
      </c>
      <c r="R525" s="18">
        <f>IF($A525="","",IF(N(_xlfn.MAXIFS(Auftrag!$AP$13:$AP$512,Auftrag!$D$13:$D$512,$B525,Auftrag!$E$13:$E$512,$C525,Auftrag!$Q$13:$Q$512,$D525))&gt;0,_xlfn.MAXIFS(Auftrag!$AP$13:$AP$512,Auftrag!$D$13:$D$512,$B525,Auftrag!$E$13:$E$512,$C525,Auftrag!$Q$13:$Q$512,$D525)*$D525/1000,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9" t="n"/>
      <c r="E526" s="24" t="n"/>
      <c r="F526" s="24" t="n"/>
      <c r="G526" s="12">
        <f>IF($A526="","",COUNTIFS(Stangenbelegung!$A$5:$A$10004,$A526))</f>
        <v/>
      </c>
      <c r="H526" s="35">
        <f>IF($A526="","",SUMIFS(Stangenbelegung!$F$5:$F$10004,Stangenbelegung!$A$5:$A$10004,$A526))</f>
        <v/>
      </c>
      <c r="I526" s="23" t="n"/>
      <c r="J526" s="35">
        <f>IF($A526="","",$E526+H526+$I526)</f>
        <v/>
      </c>
      <c r="K526" s="35">
        <f>IF($A526="","",$D526-J526)</f>
        <v/>
      </c>
      <c r="L526" s="32">
        <f>IF($A526="","",H526/$D526)</f>
        <v/>
      </c>
      <c r="M526" s="28">
        <f>IF($A526="","",IF(OR(J526+$F526&gt;$D526+0.001,_xlfn.MAXIFS(Stangenbelegung!$H$5:$H$10004,Stangenbelegung!$A$5:$A$10004,$A526)&gt;$D526-$F526+0.001),"ÜBERBELEGT","OK"))</f>
        <v/>
      </c>
      <c r="N526" s="24" t="n"/>
      <c r="O526" s="24" t="n"/>
      <c r="P526" s="9" t="n"/>
      <c r="Q526" s="18">
        <f>IF($A526="","",IFERROR($D526/1000*INDEX(Profile!$K$5:$K$304,MATCH($B526,lst_Profil,0))*INDEX(Werkstoffe!$E$5:$E$304,MATCH($C526,lst_Werkstoff,0))/1000,""))</f>
        <v/>
      </c>
      <c r="R526" s="18">
        <f>IF($A526="","",IF(N(_xlfn.MAXIFS(Auftrag!$AP$13:$AP$512,Auftrag!$D$13:$D$512,$B526,Auftrag!$E$13:$E$512,$C526,Auftrag!$Q$13:$Q$512,$D526))&gt;0,_xlfn.MAXIFS(Auftrag!$AP$13:$AP$512,Auftrag!$D$13:$D$512,$B526,Auftrag!$E$13:$E$512,$C526,Auftrag!$Q$13:$Q$512,$D526)*$D526/1000,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9" t="n"/>
      <c r="E527" s="24" t="n"/>
      <c r="F527" s="24" t="n"/>
      <c r="G527" s="12">
        <f>IF($A527="","",COUNTIFS(Stangenbelegung!$A$5:$A$10004,$A527))</f>
        <v/>
      </c>
      <c r="H527" s="35">
        <f>IF($A527="","",SUMIFS(Stangenbelegung!$F$5:$F$10004,Stangenbelegung!$A$5:$A$10004,$A527))</f>
        <v/>
      </c>
      <c r="I527" s="23" t="n"/>
      <c r="J527" s="35">
        <f>IF($A527="","",$E527+H527+$I527)</f>
        <v/>
      </c>
      <c r="K527" s="35">
        <f>IF($A527="","",$D527-J527)</f>
        <v/>
      </c>
      <c r="L527" s="32">
        <f>IF($A527="","",H527/$D527)</f>
        <v/>
      </c>
      <c r="M527" s="28">
        <f>IF($A527="","",IF(OR(J527+$F527&gt;$D527+0.001,_xlfn.MAXIFS(Stangenbelegung!$H$5:$H$10004,Stangenbelegung!$A$5:$A$10004,$A527)&gt;$D527-$F527+0.001),"ÜBERBELEGT","OK"))</f>
        <v/>
      </c>
      <c r="N527" s="24" t="n"/>
      <c r="O527" s="24" t="n"/>
      <c r="P527" s="9" t="n"/>
      <c r="Q527" s="18">
        <f>IF($A527="","",IFERROR($D527/1000*INDEX(Profile!$K$5:$K$304,MATCH($B527,lst_Profil,0))*INDEX(Werkstoffe!$E$5:$E$304,MATCH($C527,lst_Werkstoff,0))/1000,""))</f>
        <v/>
      </c>
      <c r="R527" s="18">
        <f>IF($A527="","",IF(N(_xlfn.MAXIFS(Auftrag!$AP$13:$AP$512,Auftrag!$D$13:$D$512,$B527,Auftrag!$E$13:$E$512,$C527,Auftrag!$Q$13:$Q$512,$D527))&gt;0,_xlfn.MAXIFS(Auftrag!$AP$13:$AP$512,Auftrag!$D$13:$D$512,$B527,Auftrag!$E$13:$E$512,$C527,Auftrag!$Q$13:$Q$512,$D527)*$D527/1000,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9" t="n"/>
      <c r="E528" s="24" t="n"/>
      <c r="F528" s="24" t="n"/>
      <c r="G528" s="12">
        <f>IF($A528="","",COUNTIFS(Stangenbelegung!$A$5:$A$10004,$A528))</f>
        <v/>
      </c>
      <c r="H528" s="35">
        <f>IF($A528="","",SUMIFS(Stangenbelegung!$F$5:$F$10004,Stangenbelegung!$A$5:$A$10004,$A528))</f>
        <v/>
      </c>
      <c r="I528" s="23" t="n"/>
      <c r="J528" s="35">
        <f>IF($A528="","",$E528+H528+$I528)</f>
        <v/>
      </c>
      <c r="K528" s="35">
        <f>IF($A528="","",$D528-J528)</f>
        <v/>
      </c>
      <c r="L528" s="32">
        <f>IF($A528="","",H528/$D528)</f>
        <v/>
      </c>
      <c r="M528" s="28">
        <f>IF($A528="","",IF(OR(J528+$F528&gt;$D528+0.001,_xlfn.MAXIFS(Stangenbelegung!$H$5:$H$10004,Stangenbelegung!$A$5:$A$10004,$A528)&gt;$D528-$F528+0.001),"ÜBERBELEGT","OK"))</f>
        <v/>
      </c>
      <c r="N528" s="24" t="n"/>
      <c r="O528" s="24" t="n"/>
      <c r="P528" s="9" t="n"/>
      <c r="Q528" s="18">
        <f>IF($A528="","",IFERROR($D528/1000*INDEX(Profile!$K$5:$K$304,MATCH($B528,lst_Profil,0))*INDEX(Werkstoffe!$E$5:$E$304,MATCH($C528,lst_Werkstoff,0))/1000,""))</f>
        <v/>
      </c>
      <c r="R528" s="18">
        <f>IF($A528="","",IF(N(_xlfn.MAXIFS(Auftrag!$AP$13:$AP$512,Auftrag!$D$13:$D$512,$B528,Auftrag!$E$13:$E$512,$C528,Auftrag!$Q$13:$Q$512,$D528))&gt;0,_xlfn.MAXIFS(Auftrag!$AP$13:$AP$512,Auftrag!$D$13:$D$512,$B528,Auftrag!$E$13:$E$512,$C528,Auftrag!$Q$13:$Q$512,$D528)*$D528/1000,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9" t="n"/>
      <c r="E529" s="24" t="n"/>
      <c r="F529" s="24" t="n"/>
      <c r="G529" s="12">
        <f>IF($A529="","",COUNTIFS(Stangenbelegung!$A$5:$A$10004,$A529))</f>
        <v/>
      </c>
      <c r="H529" s="35">
        <f>IF($A529="","",SUMIFS(Stangenbelegung!$F$5:$F$10004,Stangenbelegung!$A$5:$A$10004,$A529))</f>
        <v/>
      </c>
      <c r="I529" s="23" t="n"/>
      <c r="J529" s="35">
        <f>IF($A529="","",$E529+H529+$I529)</f>
        <v/>
      </c>
      <c r="K529" s="35">
        <f>IF($A529="","",$D529-J529)</f>
        <v/>
      </c>
      <c r="L529" s="32">
        <f>IF($A529="","",H529/$D529)</f>
        <v/>
      </c>
      <c r="M529" s="28">
        <f>IF($A529="","",IF(OR(J529+$F529&gt;$D529+0.001,_xlfn.MAXIFS(Stangenbelegung!$H$5:$H$10004,Stangenbelegung!$A$5:$A$10004,$A529)&gt;$D529-$F529+0.001),"ÜBERBELEGT","OK"))</f>
        <v/>
      </c>
      <c r="N529" s="24" t="n"/>
      <c r="O529" s="24" t="n"/>
      <c r="P529" s="9" t="n"/>
      <c r="Q529" s="18">
        <f>IF($A529="","",IFERROR($D529/1000*INDEX(Profile!$K$5:$K$304,MATCH($B529,lst_Profil,0))*INDEX(Werkstoffe!$E$5:$E$304,MATCH($C529,lst_Werkstoff,0))/1000,""))</f>
        <v/>
      </c>
      <c r="R529" s="18">
        <f>IF($A529="","",IF(N(_xlfn.MAXIFS(Auftrag!$AP$13:$AP$512,Auftrag!$D$13:$D$512,$B529,Auftrag!$E$13:$E$512,$C529,Auftrag!$Q$13:$Q$512,$D529))&gt;0,_xlfn.MAXIFS(Auftrag!$AP$13:$AP$512,Auftrag!$D$13:$D$512,$B529,Auftrag!$E$13:$E$512,$C529,Auftrag!$Q$13:$Q$512,$D529)*$D529/1000,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9" t="n"/>
      <c r="E530" s="24" t="n"/>
      <c r="F530" s="24" t="n"/>
      <c r="G530" s="12">
        <f>IF($A530="","",COUNTIFS(Stangenbelegung!$A$5:$A$10004,$A530))</f>
        <v/>
      </c>
      <c r="H530" s="35">
        <f>IF($A530="","",SUMIFS(Stangenbelegung!$F$5:$F$10004,Stangenbelegung!$A$5:$A$10004,$A530))</f>
        <v/>
      </c>
      <c r="I530" s="23" t="n"/>
      <c r="J530" s="35">
        <f>IF($A530="","",$E530+H530+$I530)</f>
        <v/>
      </c>
      <c r="K530" s="35">
        <f>IF($A530="","",$D530-J530)</f>
        <v/>
      </c>
      <c r="L530" s="32">
        <f>IF($A530="","",H530/$D530)</f>
        <v/>
      </c>
      <c r="M530" s="28">
        <f>IF($A530="","",IF(OR(J530+$F530&gt;$D530+0.001,_xlfn.MAXIFS(Stangenbelegung!$H$5:$H$10004,Stangenbelegung!$A$5:$A$10004,$A530)&gt;$D530-$F530+0.001),"ÜBERBELEGT","OK"))</f>
        <v/>
      </c>
      <c r="N530" s="24" t="n"/>
      <c r="O530" s="24" t="n"/>
      <c r="P530" s="9" t="n"/>
      <c r="Q530" s="18">
        <f>IF($A530="","",IFERROR($D530/1000*INDEX(Profile!$K$5:$K$304,MATCH($B530,lst_Profil,0))*INDEX(Werkstoffe!$E$5:$E$304,MATCH($C530,lst_Werkstoff,0))/1000,""))</f>
        <v/>
      </c>
      <c r="R530" s="18">
        <f>IF($A530="","",IF(N(_xlfn.MAXIFS(Auftrag!$AP$13:$AP$512,Auftrag!$D$13:$D$512,$B530,Auftrag!$E$13:$E$512,$C530,Auftrag!$Q$13:$Q$512,$D530))&gt;0,_xlfn.MAXIFS(Auftrag!$AP$13:$AP$512,Auftrag!$D$13:$D$512,$B530,Auftrag!$E$13:$E$512,$C530,Auftrag!$Q$13:$Q$512,$D530)*$D530/1000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9" t="n"/>
      <c r="E531" s="24" t="n"/>
      <c r="F531" s="24" t="n"/>
      <c r="G531" s="12">
        <f>IF($A531="","",COUNTIFS(Stangenbelegung!$A$5:$A$10004,$A531))</f>
        <v/>
      </c>
      <c r="H531" s="35">
        <f>IF($A531="","",SUMIFS(Stangenbelegung!$F$5:$F$10004,Stangenbelegung!$A$5:$A$10004,$A531))</f>
        <v/>
      </c>
      <c r="I531" s="23" t="n"/>
      <c r="J531" s="35">
        <f>IF($A531="","",$E531+H531+$I531)</f>
        <v/>
      </c>
      <c r="K531" s="35">
        <f>IF($A531="","",$D531-J531)</f>
        <v/>
      </c>
      <c r="L531" s="32">
        <f>IF($A531="","",H531/$D531)</f>
        <v/>
      </c>
      <c r="M531" s="28">
        <f>IF($A531="","",IF(OR(J531+$F531&gt;$D531+0.001,_xlfn.MAXIFS(Stangenbelegung!$H$5:$H$10004,Stangenbelegung!$A$5:$A$10004,$A531)&gt;$D531-$F531+0.001),"ÜBERBELEGT","OK"))</f>
        <v/>
      </c>
      <c r="N531" s="24" t="n"/>
      <c r="O531" s="24" t="n"/>
      <c r="P531" s="9" t="n"/>
      <c r="Q531" s="18">
        <f>IF($A531="","",IFERROR($D531/1000*INDEX(Profile!$K$5:$K$304,MATCH($B531,lst_Profil,0))*INDEX(Werkstoffe!$E$5:$E$304,MATCH($C531,lst_Werkstoff,0))/1000,""))</f>
        <v/>
      </c>
      <c r="R531" s="18">
        <f>IF($A531="","",IF(N(_xlfn.MAXIFS(Auftrag!$AP$13:$AP$512,Auftrag!$D$13:$D$512,$B531,Auftrag!$E$13:$E$512,$C531,Auftrag!$Q$13:$Q$512,$D531))&gt;0,_xlfn.MAXIFS(Auftrag!$AP$13:$AP$512,Auftrag!$D$13:$D$512,$B531,Auftrag!$E$13:$E$512,$C531,Auftrag!$Q$13:$Q$512,$D531)*$D531/1000,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9" t="n"/>
      <c r="E532" s="24" t="n"/>
      <c r="F532" s="24" t="n"/>
      <c r="G532" s="12">
        <f>IF($A532="","",COUNTIFS(Stangenbelegung!$A$5:$A$10004,$A532))</f>
        <v/>
      </c>
      <c r="H532" s="35">
        <f>IF($A532="","",SUMIFS(Stangenbelegung!$F$5:$F$10004,Stangenbelegung!$A$5:$A$10004,$A532))</f>
        <v/>
      </c>
      <c r="I532" s="23" t="n"/>
      <c r="J532" s="35">
        <f>IF($A532="","",$E532+H532+$I532)</f>
        <v/>
      </c>
      <c r="K532" s="35">
        <f>IF($A532="","",$D532-J532)</f>
        <v/>
      </c>
      <c r="L532" s="32">
        <f>IF($A532="","",H532/$D532)</f>
        <v/>
      </c>
      <c r="M532" s="28">
        <f>IF($A532="","",IF(OR(J532+$F532&gt;$D532+0.001,_xlfn.MAXIFS(Stangenbelegung!$H$5:$H$10004,Stangenbelegung!$A$5:$A$10004,$A532)&gt;$D532-$F532+0.001),"ÜBERBELEGT","OK"))</f>
        <v/>
      </c>
      <c r="N532" s="24" t="n"/>
      <c r="O532" s="24" t="n"/>
      <c r="P532" s="9" t="n"/>
      <c r="Q532" s="18">
        <f>IF($A532="","",IFERROR($D532/1000*INDEX(Profile!$K$5:$K$304,MATCH($B532,lst_Profil,0))*INDEX(Werkstoffe!$E$5:$E$304,MATCH($C532,lst_Werkstoff,0))/1000,""))</f>
        <v/>
      </c>
      <c r="R532" s="18">
        <f>IF($A532="","",IF(N(_xlfn.MAXIFS(Auftrag!$AP$13:$AP$512,Auftrag!$D$13:$D$512,$B532,Auftrag!$E$13:$E$512,$C532,Auftrag!$Q$13:$Q$512,$D532))&gt;0,_xlfn.MAXIFS(Auftrag!$AP$13:$AP$512,Auftrag!$D$13:$D$512,$B532,Auftrag!$E$13:$E$512,$C532,Auftrag!$Q$13:$Q$512,$D532)*$D532/1000,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9" t="n"/>
      <c r="E533" s="24" t="n"/>
      <c r="F533" s="24" t="n"/>
      <c r="G533" s="12">
        <f>IF($A533="","",COUNTIFS(Stangenbelegung!$A$5:$A$10004,$A533))</f>
        <v/>
      </c>
      <c r="H533" s="35">
        <f>IF($A533="","",SUMIFS(Stangenbelegung!$F$5:$F$10004,Stangenbelegung!$A$5:$A$10004,$A533))</f>
        <v/>
      </c>
      <c r="I533" s="23" t="n"/>
      <c r="J533" s="35">
        <f>IF($A533="","",$E533+H533+$I533)</f>
        <v/>
      </c>
      <c r="K533" s="35">
        <f>IF($A533="","",$D533-J533)</f>
        <v/>
      </c>
      <c r="L533" s="32">
        <f>IF($A533="","",H533/$D533)</f>
        <v/>
      </c>
      <c r="M533" s="28">
        <f>IF($A533="","",IF(OR(J533+$F533&gt;$D533+0.001,_xlfn.MAXIFS(Stangenbelegung!$H$5:$H$10004,Stangenbelegung!$A$5:$A$10004,$A533)&gt;$D533-$F533+0.001),"ÜBERBELEGT","OK"))</f>
        <v/>
      </c>
      <c r="N533" s="24" t="n"/>
      <c r="O533" s="24" t="n"/>
      <c r="P533" s="9" t="n"/>
      <c r="Q533" s="18">
        <f>IF($A533="","",IFERROR($D533/1000*INDEX(Profile!$K$5:$K$304,MATCH($B533,lst_Profil,0))*INDEX(Werkstoffe!$E$5:$E$304,MATCH($C533,lst_Werkstoff,0))/1000,""))</f>
        <v/>
      </c>
      <c r="R533" s="18">
        <f>IF($A533="","",IF(N(_xlfn.MAXIFS(Auftrag!$AP$13:$AP$512,Auftrag!$D$13:$D$512,$B533,Auftrag!$E$13:$E$512,$C533,Auftrag!$Q$13:$Q$512,$D533))&gt;0,_xlfn.MAXIFS(Auftrag!$AP$13:$AP$512,Auftrag!$D$13:$D$512,$B533,Auftrag!$E$13:$E$512,$C533,Auftrag!$Q$13:$Q$512,$D533)*$D533/1000,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9" t="n"/>
      <c r="E534" s="24" t="n"/>
      <c r="F534" s="24" t="n"/>
      <c r="G534" s="12">
        <f>IF($A534="","",COUNTIFS(Stangenbelegung!$A$5:$A$10004,$A534))</f>
        <v/>
      </c>
      <c r="H534" s="35">
        <f>IF($A534="","",SUMIFS(Stangenbelegung!$F$5:$F$10004,Stangenbelegung!$A$5:$A$10004,$A534))</f>
        <v/>
      </c>
      <c r="I534" s="23" t="n"/>
      <c r="J534" s="35">
        <f>IF($A534="","",$E534+H534+$I534)</f>
        <v/>
      </c>
      <c r="K534" s="35">
        <f>IF($A534="","",$D534-J534)</f>
        <v/>
      </c>
      <c r="L534" s="32">
        <f>IF($A534="","",H534/$D534)</f>
        <v/>
      </c>
      <c r="M534" s="28">
        <f>IF($A534="","",IF(OR(J534+$F534&gt;$D534+0.001,_xlfn.MAXIFS(Stangenbelegung!$H$5:$H$10004,Stangenbelegung!$A$5:$A$10004,$A534)&gt;$D534-$F534+0.001),"ÜBERBELEGT","OK"))</f>
        <v/>
      </c>
      <c r="N534" s="24" t="n"/>
      <c r="O534" s="24" t="n"/>
      <c r="P534" s="9" t="n"/>
      <c r="Q534" s="18">
        <f>IF($A534="","",IFERROR($D534/1000*INDEX(Profile!$K$5:$K$304,MATCH($B534,lst_Profil,0))*INDEX(Werkstoffe!$E$5:$E$304,MATCH($C534,lst_Werkstoff,0))/1000,""))</f>
        <v/>
      </c>
      <c r="R534" s="18">
        <f>IF($A534="","",IF(N(_xlfn.MAXIFS(Auftrag!$AP$13:$AP$512,Auftrag!$D$13:$D$512,$B534,Auftrag!$E$13:$E$512,$C534,Auftrag!$Q$13:$Q$512,$D534))&gt;0,_xlfn.MAXIFS(Auftrag!$AP$13:$AP$512,Auftrag!$D$13:$D$512,$B534,Auftrag!$E$13:$E$512,$C534,Auftrag!$Q$13:$Q$512,$D534)*$D534/1000,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9" t="n"/>
      <c r="E535" s="24" t="n"/>
      <c r="F535" s="24" t="n"/>
      <c r="G535" s="12">
        <f>IF($A535="","",COUNTIFS(Stangenbelegung!$A$5:$A$10004,$A535))</f>
        <v/>
      </c>
      <c r="H535" s="35">
        <f>IF($A535="","",SUMIFS(Stangenbelegung!$F$5:$F$10004,Stangenbelegung!$A$5:$A$10004,$A535))</f>
        <v/>
      </c>
      <c r="I535" s="23" t="n"/>
      <c r="J535" s="35">
        <f>IF($A535="","",$E535+H535+$I535)</f>
        <v/>
      </c>
      <c r="K535" s="35">
        <f>IF($A535="","",$D535-J535)</f>
        <v/>
      </c>
      <c r="L535" s="32">
        <f>IF($A535="","",H535/$D535)</f>
        <v/>
      </c>
      <c r="M535" s="28">
        <f>IF($A535="","",IF(OR(J535+$F535&gt;$D535+0.001,_xlfn.MAXIFS(Stangenbelegung!$H$5:$H$10004,Stangenbelegung!$A$5:$A$10004,$A535)&gt;$D535-$F535+0.001),"ÜBERBELEGT","OK"))</f>
        <v/>
      </c>
      <c r="N535" s="24" t="n"/>
      <c r="O535" s="24" t="n"/>
      <c r="P535" s="9" t="n"/>
      <c r="Q535" s="18">
        <f>IF($A535="","",IFERROR($D535/1000*INDEX(Profile!$K$5:$K$304,MATCH($B535,lst_Profil,0))*INDEX(Werkstoffe!$E$5:$E$304,MATCH($C535,lst_Werkstoff,0))/1000,""))</f>
        <v/>
      </c>
      <c r="R535" s="18">
        <f>IF($A535="","",IF(N(_xlfn.MAXIFS(Auftrag!$AP$13:$AP$512,Auftrag!$D$13:$D$512,$B535,Auftrag!$E$13:$E$512,$C535,Auftrag!$Q$13:$Q$512,$D535))&gt;0,_xlfn.MAXIFS(Auftrag!$AP$13:$AP$512,Auftrag!$D$13:$D$512,$B535,Auftrag!$E$13:$E$512,$C535,Auftrag!$Q$13:$Q$512,$D535)*$D535/1000,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9" t="n"/>
      <c r="E536" s="24" t="n"/>
      <c r="F536" s="24" t="n"/>
      <c r="G536" s="12">
        <f>IF($A536="","",COUNTIFS(Stangenbelegung!$A$5:$A$10004,$A536))</f>
        <v/>
      </c>
      <c r="H536" s="35">
        <f>IF($A536="","",SUMIFS(Stangenbelegung!$F$5:$F$10004,Stangenbelegung!$A$5:$A$10004,$A536))</f>
        <v/>
      </c>
      <c r="I536" s="23" t="n"/>
      <c r="J536" s="35">
        <f>IF($A536="","",$E536+H536+$I536)</f>
        <v/>
      </c>
      <c r="K536" s="35">
        <f>IF($A536="","",$D536-J536)</f>
        <v/>
      </c>
      <c r="L536" s="32">
        <f>IF($A536="","",H536/$D536)</f>
        <v/>
      </c>
      <c r="M536" s="28">
        <f>IF($A536="","",IF(OR(J536+$F536&gt;$D536+0.001,_xlfn.MAXIFS(Stangenbelegung!$H$5:$H$10004,Stangenbelegung!$A$5:$A$10004,$A536)&gt;$D536-$F536+0.001),"ÜBERBELEGT","OK"))</f>
        <v/>
      </c>
      <c r="N536" s="24" t="n"/>
      <c r="O536" s="24" t="n"/>
      <c r="P536" s="9" t="n"/>
      <c r="Q536" s="18">
        <f>IF($A536="","",IFERROR($D536/1000*INDEX(Profile!$K$5:$K$304,MATCH($B536,lst_Profil,0))*INDEX(Werkstoffe!$E$5:$E$304,MATCH($C536,lst_Werkstoff,0))/1000,""))</f>
        <v/>
      </c>
      <c r="R536" s="18">
        <f>IF($A536="","",IF(N(_xlfn.MAXIFS(Auftrag!$AP$13:$AP$512,Auftrag!$D$13:$D$512,$B536,Auftrag!$E$13:$E$512,$C536,Auftrag!$Q$13:$Q$512,$D536))&gt;0,_xlfn.MAXIFS(Auftrag!$AP$13:$AP$512,Auftrag!$D$13:$D$512,$B536,Auftrag!$E$13:$E$512,$C536,Auftrag!$Q$13:$Q$512,$D536)*$D536/1000,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9" t="n"/>
      <c r="E537" s="24" t="n"/>
      <c r="F537" s="24" t="n"/>
      <c r="G537" s="12">
        <f>IF($A537="","",COUNTIFS(Stangenbelegung!$A$5:$A$10004,$A537))</f>
        <v/>
      </c>
      <c r="H537" s="35">
        <f>IF($A537="","",SUMIFS(Stangenbelegung!$F$5:$F$10004,Stangenbelegung!$A$5:$A$10004,$A537))</f>
        <v/>
      </c>
      <c r="I537" s="23" t="n"/>
      <c r="J537" s="35">
        <f>IF($A537="","",$E537+H537+$I537)</f>
        <v/>
      </c>
      <c r="K537" s="35">
        <f>IF($A537="","",$D537-J537)</f>
        <v/>
      </c>
      <c r="L537" s="32">
        <f>IF($A537="","",H537/$D537)</f>
        <v/>
      </c>
      <c r="M537" s="28">
        <f>IF($A537="","",IF(OR(J537+$F537&gt;$D537+0.001,_xlfn.MAXIFS(Stangenbelegung!$H$5:$H$10004,Stangenbelegung!$A$5:$A$10004,$A537)&gt;$D537-$F537+0.001),"ÜBERBELEGT","OK"))</f>
        <v/>
      </c>
      <c r="N537" s="24" t="n"/>
      <c r="O537" s="24" t="n"/>
      <c r="P537" s="9" t="n"/>
      <c r="Q537" s="18">
        <f>IF($A537="","",IFERROR($D537/1000*INDEX(Profile!$K$5:$K$304,MATCH($B537,lst_Profil,0))*INDEX(Werkstoffe!$E$5:$E$304,MATCH($C537,lst_Werkstoff,0))/1000,""))</f>
        <v/>
      </c>
      <c r="R537" s="18">
        <f>IF($A537="","",IF(N(_xlfn.MAXIFS(Auftrag!$AP$13:$AP$512,Auftrag!$D$13:$D$512,$B537,Auftrag!$E$13:$E$512,$C537,Auftrag!$Q$13:$Q$512,$D537))&gt;0,_xlfn.MAXIFS(Auftrag!$AP$13:$AP$512,Auftrag!$D$13:$D$512,$B537,Auftrag!$E$13:$E$512,$C537,Auftrag!$Q$13:$Q$512,$D537)*$D537/1000,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9" t="n"/>
      <c r="E538" s="24" t="n"/>
      <c r="F538" s="24" t="n"/>
      <c r="G538" s="12">
        <f>IF($A538="","",COUNTIFS(Stangenbelegung!$A$5:$A$10004,$A538))</f>
        <v/>
      </c>
      <c r="H538" s="35">
        <f>IF($A538="","",SUMIFS(Stangenbelegung!$F$5:$F$10004,Stangenbelegung!$A$5:$A$10004,$A538))</f>
        <v/>
      </c>
      <c r="I538" s="23" t="n"/>
      <c r="J538" s="35">
        <f>IF($A538="","",$E538+H538+$I538)</f>
        <v/>
      </c>
      <c r="K538" s="35">
        <f>IF($A538="","",$D538-J538)</f>
        <v/>
      </c>
      <c r="L538" s="32">
        <f>IF($A538="","",H538/$D538)</f>
        <v/>
      </c>
      <c r="M538" s="28">
        <f>IF($A538="","",IF(OR(J538+$F538&gt;$D538+0.001,_xlfn.MAXIFS(Stangenbelegung!$H$5:$H$10004,Stangenbelegung!$A$5:$A$10004,$A538)&gt;$D538-$F538+0.001),"ÜBERBELEGT","OK"))</f>
        <v/>
      </c>
      <c r="N538" s="24" t="n"/>
      <c r="O538" s="24" t="n"/>
      <c r="P538" s="9" t="n"/>
      <c r="Q538" s="18">
        <f>IF($A538="","",IFERROR($D538/1000*INDEX(Profile!$K$5:$K$304,MATCH($B538,lst_Profil,0))*INDEX(Werkstoffe!$E$5:$E$304,MATCH($C538,lst_Werkstoff,0))/1000,""))</f>
        <v/>
      </c>
      <c r="R538" s="18">
        <f>IF($A538="","",IF(N(_xlfn.MAXIFS(Auftrag!$AP$13:$AP$512,Auftrag!$D$13:$D$512,$B538,Auftrag!$E$13:$E$512,$C538,Auftrag!$Q$13:$Q$512,$D538))&gt;0,_xlfn.MAXIFS(Auftrag!$AP$13:$AP$512,Auftrag!$D$13:$D$512,$B538,Auftrag!$E$13:$E$512,$C538,Auftrag!$Q$13:$Q$512,$D538)*$D538/1000,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9" t="n"/>
      <c r="E539" s="24" t="n"/>
      <c r="F539" s="24" t="n"/>
      <c r="G539" s="12">
        <f>IF($A539="","",COUNTIFS(Stangenbelegung!$A$5:$A$10004,$A539))</f>
        <v/>
      </c>
      <c r="H539" s="35">
        <f>IF($A539="","",SUMIFS(Stangenbelegung!$F$5:$F$10004,Stangenbelegung!$A$5:$A$10004,$A539))</f>
        <v/>
      </c>
      <c r="I539" s="23" t="n"/>
      <c r="J539" s="35">
        <f>IF($A539="","",$E539+H539+$I539)</f>
        <v/>
      </c>
      <c r="K539" s="35">
        <f>IF($A539="","",$D539-J539)</f>
        <v/>
      </c>
      <c r="L539" s="32">
        <f>IF($A539="","",H539/$D539)</f>
        <v/>
      </c>
      <c r="M539" s="28">
        <f>IF($A539="","",IF(OR(J539+$F539&gt;$D539+0.001,_xlfn.MAXIFS(Stangenbelegung!$H$5:$H$10004,Stangenbelegung!$A$5:$A$10004,$A539)&gt;$D539-$F539+0.001),"ÜBERBELEGT","OK"))</f>
        <v/>
      </c>
      <c r="N539" s="24" t="n"/>
      <c r="O539" s="24" t="n"/>
      <c r="P539" s="9" t="n"/>
      <c r="Q539" s="18">
        <f>IF($A539="","",IFERROR($D539/1000*INDEX(Profile!$K$5:$K$304,MATCH($B539,lst_Profil,0))*INDEX(Werkstoffe!$E$5:$E$304,MATCH($C539,lst_Werkstoff,0))/1000,""))</f>
        <v/>
      </c>
      <c r="R539" s="18">
        <f>IF($A539="","",IF(N(_xlfn.MAXIFS(Auftrag!$AP$13:$AP$512,Auftrag!$D$13:$D$512,$B539,Auftrag!$E$13:$E$512,$C539,Auftrag!$Q$13:$Q$512,$D539))&gt;0,_xlfn.MAXIFS(Auftrag!$AP$13:$AP$512,Auftrag!$D$13:$D$512,$B539,Auftrag!$E$13:$E$512,$C539,Auftrag!$Q$13:$Q$512,$D539)*$D539/1000,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9" t="n"/>
      <c r="E540" s="24" t="n"/>
      <c r="F540" s="24" t="n"/>
      <c r="G540" s="12">
        <f>IF($A540="","",COUNTIFS(Stangenbelegung!$A$5:$A$10004,$A540))</f>
        <v/>
      </c>
      <c r="H540" s="35">
        <f>IF($A540="","",SUMIFS(Stangenbelegung!$F$5:$F$10004,Stangenbelegung!$A$5:$A$10004,$A540))</f>
        <v/>
      </c>
      <c r="I540" s="23" t="n"/>
      <c r="J540" s="35">
        <f>IF($A540="","",$E540+H540+$I540)</f>
        <v/>
      </c>
      <c r="K540" s="35">
        <f>IF($A540="","",$D540-J540)</f>
        <v/>
      </c>
      <c r="L540" s="32">
        <f>IF($A540="","",H540/$D540)</f>
        <v/>
      </c>
      <c r="M540" s="28">
        <f>IF($A540="","",IF(OR(J540+$F540&gt;$D540+0.001,_xlfn.MAXIFS(Stangenbelegung!$H$5:$H$10004,Stangenbelegung!$A$5:$A$10004,$A540)&gt;$D540-$F540+0.001),"ÜBERBELEGT","OK"))</f>
        <v/>
      </c>
      <c r="N540" s="24" t="n"/>
      <c r="O540" s="24" t="n"/>
      <c r="P540" s="9" t="n"/>
      <c r="Q540" s="18">
        <f>IF($A540="","",IFERROR($D540/1000*INDEX(Profile!$K$5:$K$304,MATCH($B540,lst_Profil,0))*INDEX(Werkstoffe!$E$5:$E$304,MATCH($C540,lst_Werkstoff,0))/1000,""))</f>
        <v/>
      </c>
      <c r="R540" s="18">
        <f>IF($A540="","",IF(N(_xlfn.MAXIFS(Auftrag!$AP$13:$AP$512,Auftrag!$D$13:$D$512,$B540,Auftrag!$E$13:$E$512,$C540,Auftrag!$Q$13:$Q$512,$D540))&gt;0,_xlfn.MAXIFS(Auftrag!$AP$13:$AP$512,Auftrag!$D$13:$D$512,$B540,Auftrag!$E$13:$E$512,$C540,Auftrag!$Q$13:$Q$512,$D540)*$D540/1000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9" t="n"/>
      <c r="E541" s="24" t="n"/>
      <c r="F541" s="24" t="n"/>
      <c r="G541" s="12">
        <f>IF($A541="","",COUNTIFS(Stangenbelegung!$A$5:$A$10004,$A541))</f>
        <v/>
      </c>
      <c r="H541" s="35">
        <f>IF($A541="","",SUMIFS(Stangenbelegung!$F$5:$F$10004,Stangenbelegung!$A$5:$A$10004,$A541))</f>
        <v/>
      </c>
      <c r="I541" s="23" t="n"/>
      <c r="J541" s="35">
        <f>IF($A541="","",$E541+H541+$I541)</f>
        <v/>
      </c>
      <c r="K541" s="35">
        <f>IF($A541="","",$D541-J541)</f>
        <v/>
      </c>
      <c r="L541" s="32">
        <f>IF($A541="","",H541/$D541)</f>
        <v/>
      </c>
      <c r="M541" s="28">
        <f>IF($A541="","",IF(OR(J541+$F541&gt;$D541+0.001,_xlfn.MAXIFS(Stangenbelegung!$H$5:$H$10004,Stangenbelegung!$A$5:$A$10004,$A541)&gt;$D541-$F541+0.001),"ÜBERBELEGT","OK"))</f>
        <v/>
      </c>
      <c r="N541" s="24" t="n"/>
      <c r="O541" s="24" t="n"/>
      <c r="P541" s="9" t="n"/>
      <c r="Q541" s="18">
        <f>IF($A541="","",IFERROR($D541/1000*INDEX(Profile!$K$5:$K$304,MATCH($B541,lst_Profil,0))*INDEX(Werkstoffe!$E$5:$E$304,MATCH($C541,lst_Werkstoff,0))/1000,""))</f>
        <v/>
      </c>
      <c r="R541" s="18">
        <f>IF($A541="","",IF(N(_xlfn.MAXIFS(Auftrag!$AP$13:$AP$512,Auftrag!$D$13:$D$512,$B541,Auftrag!$E$13:$E$512,$C541,Auftrag!$Q$13:$Q$512,$D541))&gt;0,_xlfn.MAXIFS(Auftrag!$AP$13:$AP$512,Auftrag!$D$13:$D$512,$B541,Auftrag!$E$13:$E$512,$C541,Auftrag!$Q$13:$Q$512,$D541)*$D541/1000,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9" t="n"/>
      <c r="E542" s="24" t="n"/>
      <c r="F542" s="24" t="n"/>
      <c r="G542" s="12">
        <f>IF($A542="","",COUNTIFS(Stangenbelegung!$A$5:$A$10004,$A542))</f>
        <v/>
      </c>
      <c r="H542" s="35">
        <f>IF($A542="","",SUMIFS(Stangenbelegung!$F$5:$F$10004,Stangenbelegung!$A$5:$A$10004,$A542))</f>
        <v/>
      </c>
      <c r="I542" s="23" t="n"/>
      <c r="J542" s="35">
        <f>IF($A542="","",$E542+H542+$I542)</f>
        <v/>
      </c>
      <c r="K542" s="35">
        <f>IF($A542="","",$D542-J542)</f>
        <v/>
      </c>
      <c r="L542" s="32">
        <f>IF($A542="","",H542/$D542)</f>
        <v/>
      </c>
      <c r="M542" s="28">
        <f>IF($A542="","",IF(OR(J542+$F542&gt;$D542+0.001,_xlfn.MAXIFS(Stangenbelegung!$H$5:$H$10004,Stangenbelegung!$A$5:$A$10004,$A542)&gt;$D542-$F542+0.001),"ÜBERBELEGT","OK"))</f>
        <v/>
      </c>
      <c r="N542" s="24" t="n"/>
      <c r="O542" s="24" t="n"/>
      <c r="P542" s="9" t="n"/>
      <c r="Q542" s="18">
        <f>IF($A542="","",IFERROR($D542/1000*INDEX(Profile!$K$5:$K$304,MATCH($B542,lst_Profil,0))*INDEX(Werkstoffe!$E$5:$E$304,MATCH($C542,lst_Werkstoff,0))/1000,""))</f>
        <v/>
      </c>
      <c r="R542" s="18">
        <f>IF($A542="","",IF(N(_xlfn.MAXIFS(Auftrag!$AP$13:$AP$512,Auftrag!$D$13:$D$512,$B542,Auftrag!$E$13:$E$512,$C542,Auftrag!$Q$13:$Q$512,$D542))&gt;0,_xlfn.MAXIFS(Auftrag!$AP$13:$AP$512,Auftrag!$D$13:$D$512,$B542,Auftrag!$E$13:$E$512,$C542,Auftrag!$Q$13:$Q$512,$D542)*$D542/1000,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9" t="n"/>
      <c r="E543" s="24" t="n"/>
      <c r="F543" s="24" t="n"/>
      <c r="G543" s="12">
        <f>IF($A543="","",COUNTIFS(Stangenbelegung!$A$5:$A$10004,$A543))</f>
        <v/>
      </c>
      <c r="H543" s="35">
        <f>IF($A543="","",SUMIFS(Stangenbelegung!$F$5:$F$10004,Stangenbelegung!$A$5:$A$10004,$A543))</f>
        <v/>
      </c>
      <c r="I543" s="23" t="n"/>
      <c r="J543" s="35">
        <f>IF($A543="","",$E543+H543+$I543)</f>
        <v/>
      </c>
      <c r="K543" s="35">
        <f>IF($A543="","",$D543-J543)</f>
        <v/>
      </c>
      <c r="L543" s="32">
        <f>IF($A543="","",H543/$D543)</f>
        <v/>
      </c>
      <c r="M543" s="28">
        <f>IF($A543="","",IF(OR(J543+$F543&gt;$D543+0.001,_xlfn.MAXIFS(Stangenbelegung!$H$5:$H$10004,Stangenbelegung!$A$5:$A$10004,$A543)&gt;$D543-$F543+0.001),"ÜBERBELEGT","OK"))</f>
        <v/>
      </c>
      <c r="N543" s="24" t="n"/>
      <c r="O543" s="24" t="n"/>
      <c r="P543" s="9" t="n"/>
      <c r="Q543" s="18">
        <f>IF($A543="","",IFERROR($D543/1000*INDEX(Profile!$K$5:$K$304,MATCH($B543,lst_Profil,0))*INDEX(Werkstoffe!$E$5:$E$304,MATCH($C543,lst_Werkstoff,0))/1000,""))</f>
        <v/>
      </c>
      <c r="R543" s="18">
        <f>IF($A543="","",IF(N(_xlfn.MAXIFS(Auftrag!$AP$13:$AP$512,Auftrag!$D$13:$D$512,$B543,Auftrag!$E$13:$E$512,$C543,Auftrag!$Q$13:$Q$512,$D543))&gt;0,_xlfn.MAXIFS(Auftrag!$AP$13:$AP$512,Auftrag!$D$13:$D$512,$B543,Auftrag!$E$13:$E$512,$C543,Auftrag!$Q$13:$Q$512,$D543)*$D543/1000,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9" t="n"/>
      <c r="E544" s="24" t="n"/>
      <c r="F544" s="24" t="n"/>
      <c r="G544" s="12">
        <f>IF($A544="","",COUNTIFS(Stangenbelegung!$A$5:$A$10004,$A544))</f>
        <v/>
      </c>
      <c r="H544" s="35">
        <f>IF($A544="","",SUMIFS(Stangenbelegung!$F$5:$F$10004,Stangenbelegung!$A$5:$A$10004,$A544))</f>
        <v/>
      </c>
      <c r="I544" s="23" t="n"/>
      <c r="J544" s="35">
        <f>IF($A544="","",$E544+H544+$I544)</f>
        <v/>
      </c>
      <c r="K544" s="35">
        <f>IF($A544="","",$D544-J544)</f>
        <v/>
      </c>
      <c r="L544" s="32">
        <f>IF($A544="","",H544/$D544)</f>
        <v/>
      </c>
      <c r="M544" s="28">
        <f>IF($A544="","",IF(OR(J544+$F544&gt;$D544+0.001,_xlfn.MAXIFS(Stangenbelegung!$H$5:$H$10004,Stangenbelegung!$A$5:$A$10004,$A544)&gt;$D544-$F544+0.001),"ÜBERBELEGT","OK"))</f>
        <v/>
      </c>
      <c r="N544" s="24" t="n"/>
      <c r="O544" s="24" t="n"/>
      <c r="P544" s="9" t="n"/>
      <c r="Q544" s="18">
        <f>IF($A544="","",IFERROR($D544/1000*INDEX(Profile!$K$5:$K$304,MATCH($B544,lst_Profil,0))*INDEX(Werkstoffe!$E$5:$E$304,MATCH($C544,lst_Werkstoff,0))/1000,""))</f>
        <v/>
      </c>
      <c r="R544" s="18">
        <f>IF($A544="","",IF(N(_xlfn.MAXIFS(Auftrag!$AP$13:$AP$512,Auftrag!$D$13:$D$512,$B544,Auftrag!$E$13:$E$512,$C544,Auftrag!$Q$13:$Q$512,$D544))&gt;0,_xlfn.MAXIFS(Auftrag!$AP$13:$AP$512,Auftrag!$D$13:$D$512,$B544,Auftrag!$E$13:$E$512,$C544,Auftrag!$Q$13:$Q$512,$D544)*$D544/1000,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9" t="n"/>
      <c r="E545" s="24" t="n"/>
      <c r="F545" s="24" t="n"/>
      <c r="G545" s="12">
        <f>IF($A545="","",COUNTIFS(Stangenbelegung!$A$5:$A$10004,$A545))</f>
        <v/>
      </c>
      <c r="H545" s="35">
        <f>IF($A545="","",SUMIFS(Stangenbelegung!$F$5:$F$10004,Stangenbelegung!$A$5:$A$10004,$A545))</f>
        <v/>
      </c>
      <c r="I545" s="23" t="n"/>
      <c r="J545" s="35">
        <f>IF($A545="","",$E545+H545+$I545)</f>
        <v/>
      </c>
      <c r="K545" s="35">
        <f>IF($A545="","",$D545-J545)</f>
        <v/>
      </c>
      <c r="L545" s="32">
        <f>IF($A545="","",H545/$D545)</f>
        <v/>
      </c>
      <c r="M545" s="28">
        <f>IF($A545="","",IF(OR(J545+$F545&gt;$D545+0.001,_xlfn.MAXIFS(Stangenbelegung!$H$5:$H$10004,Stangenbelegung!$A$5:$A$10004,$A545)&gt;$D545-$F545+0.001),"ÜBERBELEGT","OK"))</f>
        <v/>
      </c>
      <c r="N545" s="24" t="n"/>
      <c r="O545" s="24" t="n"/>
      <c r="P545" s="9" t="n"/>
      <c r="Q545" s="18">
        <f>IF($A545="","",IFERROR($D545/1000*INDEX(Profile!$K$5:$K$304,MATCH($B545,lst_Profil,0))*INDEX(Werkstoffe!$E$5:$E$304,MATCH($C545,lst_Werkstoff,0))/1000,""))</f>
        <v/>
      </c>
      <c r="R545" s="18">
        <f>IF($A545="","",IF(N(_xlfn.MAXIFS(Auftrag!$AP$13:$AP$512,Auftrag!$D$13:$D$512,$B545,Auftrag!$E$13:$E$512,$C545,Auftrag!$Q$13:$Q$512,$D545))&gt;0,_xlfn.MAXIFS(Auftrag!$AP$13:$AP$512,Auftrag!$D$13:$D$512,$B545,Auftrag!$E$13:$E$512,$C545,Auftrag!$Q$13:$Q$512,$D545)*$D545/1000,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9" t="n"/>
      <c r="E546" s="24" t="n"/>
      <c r="F546" s="24" t="n"/>
      <c r="G546" s="12">
        <f>IF($A546="","",COUNTIFS(Stangenbelegung!$A$5:$A$10004,$A546))</f>
        <v/>
      </c>
      <c r="H546" s="35">
        <f>IF($A546="","",SUMIFS(Stangenbelegung!$F$5:$F$10004,Stangenbelegung!$A$5:$A$10004,$A546))</f>
        <v/>
      </c>
      <c r="I546" s="23" t="n"/>
      <c r="J546" s="35">
        <f>IF($A546="","",$E546+H546+$I546)</f>
        <v/>
      </c>
      <c r="K546" s="35">
        <f>IF($A546="","",$D546-J546)</f>
        <v/>
      </c>
      <c r="L546" s="32">
        <f>IF($A546="","",H546/$D546)</f>
        <v/>
      </c>
      <c r="M546" s="28">
        <f>IF($A546="","",IF(OR(J546+$F546&gt;$D546+0.001,_xlfn.MAXIFS(Stangenbelegung!$H$5:$H$10004,Stangenbelegung!$A$5:$A$10004,$A546)&gt;$D546-$F546+0.001),"ÜBERBELEGT","OK"))</f>
        <v/>
      </c>
      <c r="N546" s="24" t="n"/>
      <c r="O546" s="24" t="n"/>
      <c r="P546" s="9" t="n"/>
      <c r="Q546" s="18">
        <f>IF($A546="","",IFERROR($D546/1000*INDEX(Profile!$K$5:$K$304,MATCH($B546,lst_Profil,0))*INDEX(Werkstoffe!$E$5:$E$304,MATCH($C546,lst_Werkstoff,0))/1000,""))</f>
        <v/>
      </c>
      <c r="R546" s="18">
        <f>IF($A546="","",IF(N(_xlfn.MAXIFS(Auftrag!$AP$13:$AP$512,Auftrag!$D$13:$D$512,$B546,Auftrag!$E$13:$E$512,$C546,Auftrag!$Q$13:$Q$512,$D546))&gt;0,_xlfn.MAXIFS(Auftrag!$AP$13:$AP$512,Auftrag!$D$13:$D$512,$B546,Auftrag!$E$13:$E$512,$C546,Auftrag!$Q$13:$Q$512,$D546)*$D546/1000,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9" t="n"/>
      <c r="E547" s="24" t="n"/>
      <c r="F547" s="24" t="n"/>
      <c r="G547" s="12">
        <f>IF($A547="","",COUNTIFS(Stangenbelegung!$A$5:$A$10004,$A547))</f>
        <v/>
      </c>
      <c r="H547" s="35">
        <f>IF($A547="","",SUMIFS(Stangenbelegung!$F$5:$F$10004,Stangenbelegung!$A$5:$A$10004,$A547))</f>
        <v/>
      </c>
      <c r="I547" s="23" t="n"/>
      <c r="J547" s="35">
        <f>IF($A547="","",$E547+H547+$I547)</f>
        <v/>
      </c>
      <c r="K547" s="35">
        <f>IF($A547="","",$D547-J547)</f>
        <v/>
      </c>
      <c r="L547" s="32">
        <f>IF($A547="","",H547/$D547)</f>
        <v/>
      </c>
      <c r="M547" s="28">
        <f>IF($A547="","",IF(OR(J547+$F547&gt;$D547+0.001,_xlfn.MAXIFS(Stangenbelegung!$H$5:$H$10004,Stangenbelegung!$A$5:$A$10004,$A547)&gt;$D547-$F547+0.001),"ÜBERBELEGT","OK"))</f>
        <v/>
      </c>
      <c r="N547" s="24" t="n"/>
      <c r="O547" s="24" t="n"/>
      <c r="P547" s="9" t="n"/>
      <c r="Q547" s="18">
        <f>IF($A547="","",IFERROR($D547/1000*INDEX(Profile!$K$5:$K$304,MATCH($B547,lst_Profil,0))*INDEX(Werkstoffe!$E$5:$E$304,MATCH($C547,lst_Werkstoff,0))/1000,""))</f>
        <v/>
      </c>
      <c r="R547" s="18">
        <f>IF($A547="","",IF(N(_xlfn.MAXIFS(Auftrag!$AP$13:$AP$512,Auftrag!$D$13:$D$512,$B547,Auftrag!$E$13:$E$512,$C547,Auftrag!$Q$13:$Q$512,$D547))&gt;0,_xlfn.MAXIFS(Auftrag!$AP$13:$AP$512,Auftrag!$D$13:$D$512,$B547,Auftrag!$E$13:$E$512,$C547,Auftrag!$Q$13:$Q$512,$D547)*$D547/1000,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9" t="n"/>
      <c r="E548" s="24" t="n"/>
      <c r="F548" s="24" t="n"/>
      <c r="G548" s="12">
        <f>IF($A548="","",COUNTIFS(Stangenbelegung!$A$5:$A$10004,$A548))</f>
        <v/>
      </c>
      <c r="H548" s="35">
        <f>IF($A548="","",SUMIFS(Stangenbelegung!$F$5:$F$10004,Stangenbelegung!$A$5:$A$10004,$A548))</f>
        <v/>
      </c>
      <c r="I548" s="23" t="n"/>
      <c r="J548" s="35">
        <f>IF($A548="","",$E548+H548+$I548)</f>
        <v/>
      </c>
      <c r="K548" s="35">
        <f>IF($A548="","",$D548-J548)</f>
        <v/>
      </c>
      <c r="L548" s="32">
        <f>IF($A548="","",H548/$D548)</f>
        <v/>
      </c>
      <c r="M548" s="28">
        <f>IF($A548="","",IF(OR(J548+$F548&gt;$D548+0.001,_xlfn.MAXIFS(Stangenbelegung!$H$5:$H$10004,Stangenbelegung!$A$5:$A$10004,$A548)&gt;$D548-$F548+0.001),"ÜBERBELEGT","OK"))</f>
        <v/>
      </c>
      <c r="N548" s="24" t="n"/>
      <c r="O548" s="24" t="n"/>
      <c r="P548" s="9" t="n"/>
      <c r="Q548" s="18">
        <f>IF($A548="","",IFERROR($D548/1000*INDEX(Profile!$K$5:$K$304,MATCH($B548,lst_Profil,0))*INDEX(Werkstoffe!$E$5:$E$304,MATCH($C548,lst_Werkstoff,0))/1000,""))</f>
        <v/>
      </c>
      <c r="R548" s="18">
        <f>IF($A548="","",IF(N(_xlfn.MAXIFS(Auftrag!$AP$13:$AP$512,Auftrag!$D$13:$D$512,$B548,Auftrag!$E$13:$E$512,$C548,Auftrag!$Q$13:$Q$512,$D548))&gt;0,_xlfn.MAXIFS(Auftrag!$AP$13:$AP$512,Auftrag!$D$13:$D$512,$B548,Auftrag!$E$13:$E$512,$C548,Auftrag!$Q$13:$Q$512,$D548)*$D548/1000,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9" t="n"/>
      <c r="E549" s="24" t="n"/>
      <c r="F549" s="24" t="n"/>
      <c r="G549" s="12">
        <f>IF($A549="","",COUNTIFS(Stangenbelegung!$A$5:$A$10004,$A549))</f>
        <v/>
      </c>
      <c r="H549" s="35">
        <f>IF($A549="","",SUMIFS(Stangenbelegung!$F$5:$F$10004,Stangenbelegung!$A$5:$A$10004,$A549))</f>
        <v/>
      </c>
      <c r="I549" s="23" t="n"/>
      <c r="J549" s="35">
        <f>IF($A549="","",$E549+H549+$I549)</f>
        <v/>
      </c>
      <c r="K549" s="35">
        <f>IF($A549="","",$D549-J549)</f>
        <v/>
      </c>
      <c r="L549" s="32">
        <f>IF($A549="","",H549/$D549)</f>
        <v/>
      </c>
      <c r="M549" s="28">
        <f>IF($A549="","",IF(OR(J549+$F549&gt;$D549+0.001,_xlfn.MAXIFS(Stangenbelegung!$H$5:$H$10004,Stangenbelegung!$A$5:$A$10004,$A549)&gt;$D549-$F549+0.001),"ÜBERBELEGT","OK"))</f>
        <v/>
      </c>
      <c r="N549" s="24" t="n"/>
      <c r="O549" s="24" t="n"/>
      <c r="P549" s="9" t="n"/>
      <c r="Q549" s="18">
        <f>IF($A549="","",IFERROR($D549/1000*INDEX(Profile!$K$5:$K$304,MATCH($B549,lst_Profil,0))*INDEX(Werkstoffe!$E$5:$E$304,MATCH($C549,lst_Werkstoff,0))/1000,""))</f>
        <v/>
      </c>
      <c r="R549" s="18">
        <f>IF($A549="","",IF(N(_xlfn.MAXIFS(Auftrag!$AP$13:$AP$512,Auftrag!$D$13:$D$512,$B549,Auftrag!$E$13:$E$512,$C549,Auftrag!$Q$13:$Q$512,$D549))&gt;0,_xlfn.MAXIFS(Auftrag!$AP$13:$AP$512,Auftrag!$D$13:$D$512,$B549,Auftrag!$E$13:$E$512,$C549,Auftrag!$Q$13:$Q$512,$D549)*$D549/1000,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9" t="n"/>
      <c r="E550" s="24" t="n"/>
      <c r="F550" s="24" t="n"/>
      <c r="G550" s="12">
        <f>IF($A550="","",COUNTIFS(Stangenbelegung!$A$5:$A$10004,$A550))</f>
        <v/>
      </c>
      <c r="H550" s="35">
        <f>IF($A550="","",SUMIFS(Stangenbelegung!$F$5:$F$10004,Stangenbelegung!$A$5:$A$10004,$A550))</f>
        <v/>
      </c>
      <c r="I550" s="23" t="n"/>
      <c r="J550" s="35">
        <f>IF($A550="","",$E550+H550+$I550)</f>
        <v/>
      </c>
      <c r="K550" s="35">
        <f>IF($A550="","",$D550-J550)</f>
        <v/>
      </c>
      <c r="L550" s="32">
        <f>IF($A550="","",H550/$D550)</f>
        <v/>
      </c>
      <c r="M550" s="28">
        <f>IF($A550="","",IF(OR(J550+$F550&gt;$D550+0.001,_xlfn.MAXIFS(Stangenbelegung!$H$5:$H$10004,Stangenbelegung!$A$5:$A$10004,$A550)&gt;$D550-$F550+0.001),"ÜBERBELEGT","OK"))</f>
        <v/>
      </c>
      <c r="N550" s="24" t="n"/>
      <c r="O550" s="24" t="n"/>
      <c r="P550" s="9" t="n"/>
      <c r="Q550" s="18">
        <f>IF($A550="","",IFERROR($D550/1000*INDEX(Profile!$K$5:$K$304,MATCH($B550,lst_Profil,0))*INDEX(Werkstoffe!$E$5:$E$304,MATCH($C550,lst_Werkstoff,0))/1000,""))</f>
        <v/>
      </c>
      <c r="R550" s="18">
        <f>IF($A550="","",IF(N(_xlfn.MAXIFS(Auftrag!$AP$13:$AP$512,Auftrag!$D$13:$D$512,$B550,Auftrag!$E$13:$E$512,$C550,Auftrag!$Q$13:$Q$512,$D550))&gt;0,_xlfn.MAXIFS(Auftrag!$AP$13:$AP$512,Auftrag!$D$13:$D$512,$B550,Auftrag!$E$13:$E$512,$C550,Auftrag!$Q$13:$Q$512,$D550)*$D550/1000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9" t="n"/>
      <c r="E551" s="24" t="n"/>
      <c r="F551" s="24" t="n"/>
      <c r="G551" s="12">
        <f>IF($A551="","",COUNTIFS(Stangenbelegung!$A$5:$A$10004,$A551))</f>
        <v/>
      </c>
      <c r="H551" s="35">
        <f>IF($A551="","",SUMIFS(Stangenbelegung!$F$5:$F$10004,Stangenbelegung!$A$5:$A$10004,$A551))</f>
        <v/>
      </c>
      <c r="I551" s="23" t="n"/>
      <c r="J551" s="35">
        <f>IF($A551="","",$E551+H551+$I551)</f>
        <v/>
      </c>
      <c r="K551" s="35">
        <f>IF($A551="","",$D551-J551)</f>
        <v/>
      </c>
      <c r="L551" s="32">
        <f>IF($A551="","",H551/$D551)</f>
        <v/>
      </c>
      <c r="M551" s="28">
        <f>IF($A551="","",IF(OR(J551+$F551&gt;$D551+0.001,_xlfn.MAXIFS(Stangenbelegung!$H$5:$H$10004,Stangenbelegung!$A$5:$A$10004,$A551)&gt;$D551-$F551+0.001),"ÜBERBELEGT","OK"))</f>
        <v/>
      </c>
      <c r="N551" s="24" t="n"/>
      <c r="O551" s="24" t="n"/>
      <c r="P551" s="9" t="n"/>
      <c r="Q551" s="18">
        <f>IF($A551="","",IFERROR($D551/1000*INDEX(Profile!$K$5:$K$304,MATCH($B551,lst_Profil,0))*INDEX(Werkstoffe!$E$5:$E$304,MATCH($C551,lst_Werkstoff,0))/1000,""))</f>
        <v/>
      </c>
      <c r="R551" s="18">
        <f>IF($A551="","",IF(N(_xlfn.MAXIFS(Auftrag!$AP$13:$AP$512,Auftrag!$D$13:$D$512,$B551,Auftrag!$E$13:$E$512,$C551,Auftrag!$Q$13:$Q$512,$D551))&gt;0,_xlfn.MAXIFS(Auftrag!$AP$13:$AP$512,Auftrag!$D$13:$D$512,$B551,Auftrag!$E$13:$E$512,$C551,Auftrag!$Q$13:$Q$512,$D551)*$D551/1000,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9" t="n"/>
      <c r="E552" s="24" t="n"/>
      <c r="F552" s="24" t="n"/>
      <c r="G552" s="12">
        <f>IF($A552="","",COUNTIFS(Stangenbelegung!$A$5:$A$10004,$A552))</f>
        <v/>
      </c>
      <c r="H552" s="35">
        <f>IF($A552="","",SUMIFS(Stangenbelegung!$F$5:$F$10004,Stangenbelegung!$A$5:$A$10004,$A552))</f>
        <v/>
      </c>
      <c r="I552" s="23" t="n"/>
      <c r="J552" s="35">
        <f>IF($A552="","",$E552+H552+$I552)</f>
        <v/>
      </c>
      <c r="K552" s="35">
        <f>IF($A552="","",$D552-J552)</f>
        <v/>
      </c>
      <c r="L552" s="32">
        <f>IF($A552="","",H552/$D552)</f>
        <v/>
      </c>
      <c r="M552" s="28">
        <f>IF($A552="","",IF(OR(J552+$F552&gt;$D552+0.001,_xlfn.MAXIFS(Stangenbelegung!$H$5:$H$10004,Stangenbelegung!$A$5:$A$10004,$A552)&gt;$D552-$F552+0.001),"ÜBERBELEGT","OK"))</f>
        <v/>
      </c>
      <c r="N552" s="24" t="n"/>
      <c r="O552" s="24" t="n"/>
      <c r="P552" s="9" t="n"/>
      <c r="Q552" s="18">
        <f>IF($A552="","",IFERROR($D552/1000*INDEX(Profile!$K$5:$K$304,MATCH($B552,lst_Profil,0))*INDEX(Werkstoffe!$E$5:$E$304,MATCH($C552,lst_Werkstoff,0))/1000,""))</f>
        <v/>
      </c>
      <c r="R552" s="18">
        <f>IF($A552="","",IF(N(_xlfn.MAXIFS(Auftrag!$AP$13:$AP$512,Auftrag!$D$13:$D$512,$B552,Auftrag!$E$13:$E$512,$C552,Auftrag!$Q$13:$Q$512,$D552))&gt;0,_xlfn.MAXIFS(Auftrag!$AP$13:$AP$512,Auftrag!$D$13:$D$512,$B552,Auftrag!$E$13:$E$512,$C552,Auftrag!$Q$13:$Q$512,$D552)*$D552/1000,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9" t="n"/>
      <c r="E553" s="24" t="n"/>
      <c r="F553" s="24" t="n"/>
      <c r="G553" s="12">
        <f>IF($A553="","",COUNTIFS(Stangenbelegung!$A$5:$A$10004,$A553))</f>
        <v/>
      </c>
      <c r="H553" s="35">
        <f>IF($A553="","",SUMIFS(Stangenbelegung!$F$5:$F$10004,Stangenbelegung!$A$5:$A$10004,$A553))</f>
        <v/>
      </c>
      <c r="I553" s="23" t="n"/>
      <c r="J553" s="35">
        <f>IF($A553="","",$E553+H553+$I553)</f>
        <v/>
      </c>
      <c r="K553" s="35">
        <f>IF($A553="","",$D553-J553)</f>
        <v/>
      </c>
      <c r="L553" s="32">
        <f>IF($A553="","",H553/$D553)</f>
        <v/>
      </c>
      <c r="M553" s="28">
        <f>IF($A553="","",IF(OR(J553+$F553&gt;$D553+0.001,_xlfn.MAXIFS(Stangenbelegung!$H$5:$H$10004,Stangenbelegung!$A$5:$A$10004,$A553)&gt;$D553-$F553+0.001),"ÜBERBELEGT","OK"))</f>
        <v/>
      </c>
      <c r="N553" s="24" t="n"/>
      <c r="O553" s="24" t="n"/>
      <c r="P553" s="9" t="n"/>
      <c r="Q553" s="18">
        <f>IF($A553="","",IFERROR($D553/1000*INDEX(Profile!$K$5:$K$304,MATCH($B553,lst_Profil,0))*INDEX(Werkstoffe!$E$5:$E$304,MATCH($C553,lst_Werkstoff,0))/1000,""))</f>
        <v/>
      </c>
      <c r="R553" s="18">
        <f>IF($A553="","",IF(N(_xlfn.MAXIFS(Auftrag!$AP$13:$AP$512,Auftrag!$D$13:$D$512,$B553,Auftrag!$E$13:$E$512,$C553,Auftrag!$Q$13:$Q$512,$D553))&gt;0,_xlfn.MAXIFS(Auftrag!$AP$13:$AP$512,Auftrag!$D$13:$D$512,$B553,Auftrag!$E$13:$E$512,$C553,Auftrag!$Q$13:$Q$512,$D553)*$D553/1000,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9" t="n"/>
      <c r="E554" s="24" t="n"/>
      <c r="F554" s="24" t="n"/>
      <c r="G554" s="12">
        <f>IF($A554="","",COUNTIFS(Stangenbelegung!$A$5:$A$10004,$A554))</f>
        <v/>
      </c>
      <c r="H554" s="35">
        <f>IF($A554="","",SUMIFS(Stangenbelegung!$F$5:$F$10004,Stangenbelegung!$A$5:$A$10004,$A554))</f>
        <v/>
      </c>
      <c r="I554" s="23" t="n"/>
      <c r="J554" s="35">
        <f>IF($A554="","",$E554+H554+$I554)</f>
        <v/>
      </c>
      <c r="K554" s="35">
        <f>IF($A554="","",$D554-J554)</f>
        <v/>
      </c>
      <c r="L554" s="32">
        <f>IF($A554="","",H554/$D554)</f>
        <v/>
      </c>
      <c r="M554" s="28">
        <f>IF($A554="","",IF(OR(J554+$F554&gt;$D554+0.001,_xlfn.MAXIFS(Stangenbelegung!$H$5:$H$10004,Stangenbelegung!$A$5:$A$10004,$A554)&gt;$D554-$F554+0.001),"ÜBERBELEGT","OK"))</f>
        <v/>
      </c>
      <c r="N554" s="24" t="n"/>
      <c r="O554" s="24" t="n"/>
      <c r="P554" s="9" t="n"/>
      <c r="Q554" s="18">
        <f>IF($A554="","",IFERROR($D554/1000*INDEX(Profile!$K$5:$K$304,MATCH($B554,lst_Profil,0))*INDEX(Werkstoffe!$E$5:$E$304,MATCH($C554,lst_Werkstoff,0))/1000,""))</f>
        <v/>
      </c>
      <c r="R554" s="18">
        <f>IF($A554="","",IF(N(_xlfn.MAXIFS(Auftrag!$AP$13:$AP$512,Auftrag!$D$13:$D$512,$B554,Auftrag!$E$13:$E$512,$C554,Auftrag!$Q$13:$Q$512,$D554))&gt;0,_xlfn.MAXIFS(Auftrag!$AP$13:$AP$512,Auftrag!$D$13:$D$512,$B554,Auftrag!$E$13:$E$512,$C554,Auftrag!$Q$13:$Q$512,$D554)*$D554/1000,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9" t="n"/>
      <c r="E555" s="24" t="n"/>
      <c r="F555" s="24" t="n"/>
      <c r="G555" s="12">
        <f>IF($A555="","",COUNTIFS(Stangenbelegung!$A$5:$A$10004,$A555))</f>
        <v/>
      </c>
      <c r="H555" s="35">
        <f>IF($A555="","",SUMIFS(Stangenbelegung!$F$5:$F$10004,Stangenbelegung!$A$5:$A$10004,$A555))</f>
        <v/>
      </c>
      <c r="I555" s="23" t="n"/>
      <c r="J555" s="35">
        <f>IF($A555="","",$E555+H555+$I555)</f>
        <v/>
      </c>
      <c r="K555" s="35">
        <f>IF($A555="","",$D555-J555)</f>
        <v/>
      </c>
      <c r="L555" s="32">
        <f>IF($A555="","",H555/$D555)</f>
        <v/>
      </c>
      <c r="M555" s="28">
        <f>IF($A555="","",IF(OR(J555+$F555&gt;$D555+0.001,_xlfn.MAXIFS(Stangenbelegung!$H$5:$H$10004,Stangenbelegung!$A$5:$A$10004,$A555)&gt;$D555-$F555+0.001),"ÜBERBELEGT","OK"))</f>
        <v/>
      </c>
      <c r="N555" s="24" t="n"/>
      <c r="O555" s="24" t="n"/>
      <c r="P555" s="9" t="n"/>
      <c r="Q555" s="18">
        <f>IF($A555="","",IFERROR($D555/1000*INDEX(Profile!$K$5:$K$304,MATCH($B555,lst_Profil,0))*INDEX(Werkstoffe!$E$5:$E$304,MATCH($C555,lst_Werkstoff,0))/1000,""))</f>
        <v/>
      </c>
      <c r="R555" s="18">
        <f>IF($A555="","",IF(N(_xlfn.MAXIFS(Auftrag!$AP$13:$AP$512,Auftrag!$D$13:$D$512,$B555,Auftrag!$E$13:$E$512,$C555,Auftrag!$Q$13:$Q$512,$D555))&gt;0,_xlfn.MAXIFS(Auftrag!$AP$13:$AP$512,Auftrag!$D$13:$D$512,$B555,Auftrag!$E$13:$E$512,$C555,Auftrag!$Q$13:$Q$512,$D555)*$D555/1000,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9" t="n"/>
      <c r="E556" s="24" t="n"/>
      <c r="F556" s="24" t="n"/>
      <c r="G556" s="12">
        <f>IF($A556="","",COUNTIFS(Stangenbelegung!$A$5:$A$10004,$A556))</f>
        <v/>
      </c>
      <c r="H556" s="35">
        <f>IF($A556="","",SUMIFS(Stangenbelegung!$F$5:$F$10004,Stangenbelegung!$A$5:$A$10004,$A556))</f>
        <v/>
      </c>
      <c r="I556" s="23" t="n"/>
      <c r="J556" s="35">
        <f>IF($A556="","",$E556+H556+$I556)</f>
        <v/>
      </c>
      <c r="K556" s="35">
        <f>IF($A556="","",$D556-J556)</f>
        <v/>
      </c>
      <c r="L556" s="32">
        <f>IF($A556="","",H556/$D556)</f>
        <v/>
      </c>
      <c r="M556" s="28">
        <f>IF($A556="","",IF(OR(J556+$F556&gt;$D556+0.001,_xlfn.MAXIFS(Stangenbelegung!$H$5:$H$10004,Stangenbelegung!$A$5:$A$10004,$A556)&gt;$D556-$F556+0.001),"ÜBERBELEGT","OK"))</f>
        <v/>
      </c>
      <c r="N556" s="24" t="n"/>
      <c r="O556" s="24" t="n"/>
      <c r="P556" s="9" t="n"/>
      <c r="Q556" s="18">
        <f>IF($A556="","",IFERROR($D556/1000*INDEX(Profile!$K$5:$K$304,MATCH($B556,lst_Profil,0))*INDEX(Werkstoffe!$E$5:$E$304,MATCH($C556,lst_Werkstoff,0))/1000,""))</f>
        <v/>
      </c>
      <c r="R556" s="18">
        <f>IF($A556="","",IF(N(_xlfn.MAXIFS(Auftrag!$AP$13:$AP$512,Auftrag!$D$13:$D$512,$B556,Auftrag!$E$13:$E$512,$C556,Auftrag!$Q$13:$Q$512,$D556))&gt;0,_xlfn.MAXIFS(Auftrag!$AP$13:$AP$512,Auftrag!$D$13:$D$512,$B556,Auftrag!$E$13:$E$512,$C556,Auftrag!$Q$13:$Q$512,$D556)*$D556/1000,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9" t="n"/>
      <c r="E557" s="24" t="n"/>
      <c r="F557" s="24" t="n"/>
      <c r="G557" s="12">
        <f>IF($A557="","",COUNTIFS(Stangenbelegung!$A$5:$A$10004,$A557))</f>
        <v/>
      </c>
      <c r="H557" s="35">
        <f>IF($A557="","",SUMIFS(Stangenbelegung!$F$5:$F$10004,Stangenbelegung!$A$5:$A$10004,$A557))</f>
        <v/>
      </c>
      <c r="I557" s="23" t="n"/>
      <c r="J557" s="35">
        <f>IF($A557="","",$E557+H557+$I557)</f>
        <v/>
      </c>
      <c r="K557" s="35">
        <f>IF($A557="","",$D557-J557)</f>
        <v/>
      </c>
      <c r="L557" s="32">
        <f>IF($A557="","",H557/$D557)</f>
        <v/>
      </c>
      <c r="M557" s="28">
        <f>IF($A557="","",IF(OR(J557+$F557&gt;$D557+0.001,_xlfn.MAXIFS(Stangenbelegung!$H$5:$H$10004,Stangenbelegung!$A$5:$A$10004,$A557)&gt;$D557-$F557+0.001),"ÜBERBELEGT","OK"))</f>
        <v/>
      </c>
      <c r="N557" s="24" t="n"/>
      <c r="O557" s="24" t="n"/>
      <c r="P557" s="9" t="n"/>
      <c r="Q557" s="18">
        <f>IF($A557="","",IFERROR($D557/1000*INDEX(Profile!$K$5:$K$304,MATCH($B557,lst_Profil,0))*INDEX(Werkstoffe!$E$5:$E$304,MATCH($C557,lst_Werkstoff,0))/1000,""))</f>
        <v/>
      </c>
      <c r="R557" s="18">
        <f>IF($A557="","",IF(N(_xlfn.MAXIFS(Auftrag!$AP$13:$AP$512,Auftrag!$D$13:$D$512,$B557,Auftrag!$E$13:$E$512,$C557,Auftrag!$Q$13:$Q$512,$D557))&gt;0,_xlfn.MAXIFS(Auftrag!$AP$13:$AP$512,Auftrag!$D$13:$D$512,$B557,Auftrag!$E$13:$E$512,$C557,Auftrag!$Q$13:$Q$512,$D557)*$D557/1000,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9" t="n"/>
      <c r="E558" s="24" t="n"/>
      <c r="F558" s="24" t="n"/>
      <c r="G558" s="12">
        <f>IF($A558="","",COUNTIFS(Stangenbelegung!$A$5:$A$10004,$A558))</f>
        <v/>
      </c>
      <c r="H558" s="35">
        <f>IF($A558="","",SUMIFS(Stangenbelegung!$F$5:$F$10004,Stangenbelegung!$A$5:$A$10004,$A558))</f>
        <v/>
      </c>
      <c r="I558" s="23" t="n"/>
      <c r="J558" s="35">
        <f>IF($A558="","",$E558+H558+$I558)</f>
        <v/>
      </c>
      <c r="K558" s="35">
        <f>IF($A558="","",$D558-J558)</f>
        <v/>
      </c>
      <c r="L558" s="32">
        <f>IF($A558="","",H558/$D558)</f>
        <v/>
      </c>
      <c r="M558" s="28">
        <f>IF($A558="","",IF(OR(J558+$F558&gt;$D558+0.001,_xlfn.MAXIFS(Stangenbelegung!$H$5:$H$10004,Stangenbelegung!$A$5:$A$10004,$A558)&gt;$D558-$F558+0.001),"ÜBERBELEGT","OK"))</f>
        <v/>
      </c>
      <c r="N558" s="24" t="n"/>
      <c r="O558" s="24" t="n"/>
      <c r="P558" s="9" t="n"/>
      <c r="Q558" s="18">
        <f>IF($A558="","",IFERROR($D558/1000*INDEX(Profile!$K$5:$K$304,MATCH($B558,lst_Profil,0))*INDEX(Werkstoffe!$E$5:$E$304,MATCH($C558,lst_Werkstoff,0))/1000,""))</f>
        <v/>
      </c>
      <c r="R558" s="18">
        <f>IF($A558="","",IF(N(_xlfn.MAXIFS(Auftrag!$AP$13:$AP$512,Auftrag!$D$13:$D$512,$B558,Auftrag!$E$13:$E$512,$C558,Auftrag!$Q$13:$Q$512,$D558))&gt;0,_xlfn.MAXIFS(Auftrag!$AP$13:$AP$512,Auftrag!$D$13:$D$512,$B558,Auftrag!$E$13:$E$512,$C558,Auftrag!$Q$13:$Q$512,$D558)*$D558/1000,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9" t="n"/>
      <c r="E559" s="24" t="n"/>
      <c r="F559" s="24" t="n"/>
      <c r="G559" s="12">
        <f>IF($A559="","",COUNTIFS(Stangenbelegung!$A$5:$A$10004,$A559))</f>
        <v/>
      </c>
      <c r="H559" s="35">
        <f>IF($A559="","",SUMIFS(Stangenbelegung!$F$5:$F$10004,Stangenbelegung!$A$5:$A$10004,$A559))</f>
        <v/>
      </c>
      <c r="I559" s="23" t="n"/>
      <c r="J559" s="35">
        <f>IF($A559="","",$E559+H559+$I559)</f>
        <v/>
      </c>
      <c r="K559" s="35">
        <f>IF($A559="","",$D559-J559)</f>
        <v/>
      </c>
      <c r="L559" s="32">
        <f>IF($A559="","",H559/$D559)</f>
        <v/>
      </c>
      <c r="M559" s="28">
        <f>IF($A559="","",IF(OR(J559+$F559&gt;$D559+0.001,_xlfn.MAXIFS(Stangenbelegung!$H$5:$H$10004,Stangenbelegung!$A$5:$A$10004,$A559)&gt;$D559-$F559+0.001),"ÜBERBELEGT","OK"))</f>
        <v/>
      </c>
      <c r="N559" s="24" t="n"/>
      <c r="O559" s="24" t="n"/>
      <c r="P559" s="9" t="n"/>
      <c r="Q559" s="18">
        <f>IF($A559="","",IFERROR($D559/1000*INDEX(Profile!$K$5:$K$304,MATCH($B559,lst_Profil,0))*INDEX(Werkstoffe!$E$5:$E$304,MATCH($C559,lst_Werkstoff,0))/1000,""))</f>
        <v/>
      </c>
      <c r="R559" s="18">
        <f>IF($A559="","",IF(N(_xlfn.MAXIFS(Auftrag!$AP$13:$AP$512,Auftrag!$D$13:$D$512,$B559,Auftrag!$E$13:$E$512,$C559,Auftrag!$Q$13:$Q$512,$D559))&gt;0,_xlfn.MAXIFS(Auftrag!$AP$13:$AP$512,Auftrag!$D$13:$D$512,$B559,Auftrag!$E$13:$E$512,$C559,Auftrag!$Q$13:$Q$512,$D559)*$D559/1000,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9" t="n"/>
      <c r="E560" s="24" t="n"/>
      <c r="F560" s="24" t="n"/>
      <c r="G560" s="12">
        <f>IF($A560="","",COUNTIFS(Stangenbelegung!$A$5:$A$10004,$A560))</f>
        <v/>
      </c>
      <c r="H560" s="35">
        <f>IF($A560="","",SUMIFS(Stangenbelegung!$F$5:$F$10004,Stangenbelegung!$A$5:$A$10004,$A560))</f>
        <v/>
      </c>
      <c r="I560" s="23" t="n"/>
      <c r="J560" s="35">
        <f>IF($A560="","",$E560+H560+$I560)</f>
        <v/>
      </c>
      <c r="K560" s="35">
        <f>IF($A560="","",$D560-J560)</f>
        <v/>
      </c>
      <c r="L560" s="32">
        <f>IF($A560="","",H560/$D560)</f>
        <v/>
      </c>
      <c r="M560" s="28">
        <f>IF($A560="","",IF(OR(J560+$F560&gt;$D560+0.001,_xlfn.MAXIFS(Stangenbelegung!$H$5:$H$10004,Stangenbelegung!$A$5:$A$10004,$A560)&gt;$D560-$F560+0.001),"ÜBERBELEGT","OK"))</f>
        <v/>
      </c>
      <c r="N560" s="24" t="n"/>
      <c r="O560" s="24" t="n"/>
      <c r="P560" s="9" t="n"/>
      <c r="Q560" s="18">
        <f>IF($A560="","",IFERROR($D560/1000*INDEX(Profile!$K$5:$K$304,MATCH($B560,lst_Profil,0))*INDEX(Werkstoffe!$E$5:$E$304,MATCH($C560,lst_Werkstoff,0))/1000,""))</f>
        <v/>
      </c>
      <c r="R560" s="18">
        <f>IF($A560="","",IF(N(_xlfn.MAXIFS(Auftrag!$AP$13:$AP$512,Auftrag!$D$13:$D$512,$B560,Auftrag!$E$13:$E$512,$C560,Auftrag!$Q$13:$Q$512,$D560))&gt;0,_xlfn.MAXIFS(Auftrag!$AP$13:$AP$512,Auftrag!$D$13:$D$512,$B560,Auftrag!$E$13:$E$512,$C560,Auftrag!$Q$13:$Q$512,$D560)*$D560/1000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9" t="n"/>
      <c r="E561" s="24" t="n"/>
      <c r="F561" s="24" t="n"/>
      <c r="G561" s="12">
        <f>IF($A561="","",COUNTIFS(Stangenbelegung!$A$5:$A$10004,$A561))</f>
        <v/>
      </c>
      <c r="H561" s="35">
        <f>IF($A561="","",SUMIFS(Stangenbelegung!$F$5:$F$10004,Stangenbelegung!$A$5:$A$10004,$A561))</f>
        <v/>
      </c>
      <c r="I561" s="23" t="n"/>
      <c r="J561" s="35">
        <f>IF($A561="","",$E561+H561+$I561)</f>
        <v/>
      </c>
      <c r="K561" s="35">
        <f>IF($A561="","",$D561-J561)</f>
        <v/>
      </c>
      <c r="L561" s="32">
        <f>IF($A561="","",H561/$D561)</f>
        <v/>
      </c>
      <c r="M561" s="28">
        <f>IF($A561="","",IF(OR(J561+$F561&gt;$D561+0.001,_xlfn.MAXIFS(Stangenbelegung!$H$5:$H$10004,Stangenbelegung!$A$5:$A$10004,$A561)&gt;$D561-$F561+0.001),"ÜBERBELEGT","OK"))</f>
        <v/>
      </c>
      <c r="N561" s="24" t="n"/>
      <c r="O561" s="24" t="n"/>
      <c r="P561" s="9" t="n"/>
      <c r="Q561" s="18">
        <f>IF($A561="","",IFERROR($D561/1000*INDEX(Profile!$K$5:$K$304,MATCH($B561,lst_Profil,0))*INDEX(Werkstoffe!$E$5:$E$304,MATCH($C561,lst_Werkstoff,0))/1000,""))</f>
        <v/>
      </c>
      <c r="R561" s="18">
        <f>IF($A561="","",IF(N(_xlfn.MAXIFS(Auftrag!$AP$13:$AP$512,Auftrag!$D$13:$D$512,$B561,Auftrag!$E$13:$E$512,$C561,Auftrag!$Q$13:$Q$512,$D561))&gt;0,_xlfn.MAXIFS(Auftrag!$AP$13:$AP$512,Auftrag!$D$13:$D$512,$B561,Auftrag!$E$13:$E$512,$C561,Auftrag!$Q$13:$Q$512,$D561)*$D561/1000,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9" t="n"/>
      <c r="E562" s="24" t="n"/>
      <c r="F562" s="24" t="n"/>
      <c r="G562" s="12">
        <f>IF($A562="","",COUNTIFS(Stangenbelegung!$A$5:$A$10004,$A562))</f>
        <v/>
      </c>
      <c r="H562" s="35">
        <f>IF($A562="","",SUMIFS(Stangenbelegung!$F$5:$F$10004,Stangenbelegung!$A$5:$A$10004,$A562))</f>
        <v/>
      </c>
      <c r="I562" s="23" t="n"/>
      <c r="J562" s="35">
        <f>IF($A562="","",$E562+H562+$I562)</f>
        <v/>
      </c>
      <c r="K562" s="35">
        <f>IF($A562="","",$D562-J562)</f>
        <v/>
      </c>
      <c r="L562" s="32">
        <f>IF($A562="","",H562/$D562)</f>
        <v/>
      </c>
      <c r="M562" s="28">
        <f>IF($A562="","",IF(OR(J562+$F562&gt;$D562+0.001,_xlfn.MAXIFS(Stangenbelegung!$H$5:$H$10004,Stangenbelegung!$A$5:$A$10004,$A562)&gt;$D562-$F562+0.001),"ÜBERBELEGT","OK"))</f>
        <v/>
      </c>
      <c r="N562" s="24" t="n"/>
      <c r="O562" s="24" t="n"/>
      <c r="P562" s="9" t="n"/>
      <c r="Q562" s="18">
        <f>IF($A562="","",IFERROR($D562/1000*INDEX(Profile!$K$5:$K$304,MATCH($B562,lst_Profil,0))*INDEX(Werkstoffe!$E$5:$E$304,MATCH($C562,lst_Werkstoff,0))/1000,""))</f>
        <v/>
      </c>
      <c r="R562" s="18">
        <f>IF($A562="","",IF(N(_xlfn.MAXIFS(Auftrag!$AP$13:$AP$512,Auftrag!$D$13:$D$512,$B562,Auftrag!$E$13:$E$512,$C562,Auftrag!$Q$13:$Q$512,$D562))&gt;0,_xlfn.MAXIFS(Auftrag!$AP$13:$AP$512,Auftrag!$D$13:$D$512,$B562,Auftrag!$E$13:$E$512,$C562,Auftrag!$Q$13:$Q$512,$D562)*$D562/1000,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9" t="n"/>
      <c r="E563" s="24" t="n"/>
      <c r="F563" s="24" t="n"/>
      <c r="G563" s="12">
        <f>IF($A563="","",COUNTIFS(Stangenbelegung!$A$5:$A$10004,$A563))</f>
        <v/>
      </c>
      <c r="H563" s="35">
        <f>IF($A563="","",SUMIFS(Stangenbelegung!$F$5:$F$10004,Stangenbelegung!$A$5:$A$10004,$A563))</f>
        <v/>
      </c>
      <c r="I563" s="23" t="n"/>
      <c r="J563" s="35">
        <f>IF($A563="","",$E563+H563+$I563)</f>
        <v/>
      </c>
      <c r="K563" s="35">
        <f>IF($A563="","",$D563-J563)</f>
        <v/>
      </c>
      <c r="L563" s="32">
        <f>IF($A563="","",H563/$D563)</f>
        <v/>
      </c>
      <c r="M563" s="28">
        <f>IF($A563="","",IF(OR(J563+$F563&gt;$D563+0.001,_xlfn.MAXIFS(Stangenbelegung!$H$5:$H$10004,Stangenbelegung!$A$5:$A$10004,$A563)&gt;$D563-$F563+0.001),"ÜBERBELEGT","OK"))</f>
        <v/>
      </c>
      <c r="N563" s="24" t="n"/>
      <c r="O563" s="24" t="n"/>
      <c r="P563" s="9" t="n"/>
      <c r="Q563" s="18">
        <f>IF($A563="","",IFERROR($D563/1000*INDEX(Profile!$K$5:$K$304,MATCH($B563,lst_Profil,0))*INDEX(Werkstoffe!$E$5:$E$304,MATCH($C563,lst_Werkstoff,0))/1000,""))</f>
        <v/>
      </c>
      <c r="R563" s="18">
        <f>IF($A563="","",IF(N(_xlfn.MAXIFS(Auftrag!$AP$13:$AP$512,Auftrag!$D$13:$D$512,$B563,Auftrag!$E$13:$E$512,$C563,Auftrag!$Q$13:$Q$512,$D563))&gt;0,_xlfn.MAXIFS(Auftrag!$AP$13:$AP$512,Auftrag!$D$13:$D$512,$B563,Auftrag!$E$13:$E$512,$C563,Auftrag!$Q$13:$Q$512,$D563)*$D563/1000,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9" t="n"/>
      <c r="E564" s="24" t="n"/>
      <c r="F564" s="24" t="n"/>
      <c r="G564" s="12">
        <f>IF($A564="","",COUNTIFS(Stangenbelegung!$A$5:$A$10004,$A564))</f>
        <v/>
      </c>
      <c r="H564" s="35">
        <f>IF($A564="","",SUMIFS(Stangenbelegung!$F$5:$F$10004,Stangenbelegung!$A$5:$A$10004,$A564))</f>
        <v/>
      </c>
      <c r="I564" s="23" t="n"/>
      <c r="J564" s="35">
        <f>IF($A564="","",$E564+H564+$I564)</f>
        <v/>
      </c>
      <c r="K564" s="35">
        <f>IF($A564="","",$D564-J564)</f>
        <v/>
      </c>
      <c r="L564" s="32">
        <f>IF($A564="","",H564/$D564)</f>
        <v/>
      </c>
      <c r="M564" s="28">
        <f>IF($A564="","",IF(OR(J564+$F564&gt;$D564+0.001,_xlfn.MAXIFS(Stangenbelegung!$H$5:$H$10004,Stangenbelegung!$A$5:$A$10004,$A564)&gt;$D564-$F564+0.001),"ÜBERBELEGT","OK"))</f>
        <v/>
      </c>
      <c r="N564" s="24" t="n"/>
      <c r="O564" s="24" t="n"/>
      <c r="P564" s="9" t="n"/>
      <c r="Q564" s="18">
        <f>IF($A564="","",IFERROR($D564/1000*INDEX(Profile!$K$5:$K$304,MATCH($B564,lst_Profil,0))*INDEX(Werkstoffe!$E$5:$E$304,MATCH($C564,lst_Werkstoff,0))/1000,""))</f>
        <v/>
      </c>
      <c r="R564" s="18">
        <f>IF($A564="","",IF(N(_xlfn.MAXIFS(Auftrag!$AP$13:$AP$512,Auftrag!$D$13:$D$512,$B564,Auftrag!$E$13:$E$512,$C564,Auftrag!$Q$13:$Q$512,$D564))&gt;0,_xlfn.MAXIFS(Auftrag!$AP$13:$AP$512,Auftrag!$D$13:$D$512,$B564,Auftrag!$E$13:$E$512,$C564,Auftrag!$Q$13:$Q$512,$D564)*$D564/1000,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9" t="n"/>
      <c r="E565" s="24" t="n"/>
      <c r="F565" s="24" t="n"/>
      <c r="G565" s="12">
        <f>IF($A565="","",COUNTIFS(Stangenbelegung!$A$5:$A$10004,$A565))</f>
        <v/>
      </c>
      <c r="H565" s="35">
        <f>IF($A565="","",SUMIFS(Stangenbelegung!$F$5:$F$10004,Stangenbelegung!$A$5:$A$10004,$A565))</f>
        <v/>
      </c>
      <c r="I565" s="23" t="n"/>
      <c r="J565" s="35">
        <f>IF($A565="","",$E565+H565+$I565)</f>
        <v/>
      </c>
      <c r="K565" s="35">
        <f>IF($A565="","",$D565-J565)</f>
        <v/>
      </c>
      <c r="L565" s="32">
        <f>IF($A565="","",H565/$D565)</f>
        <v/>
      </c>
      <c r="M565" s="28">
        <f>IF($A565="","",IF(OR(J565+$F565&gt;$D565+0.001,_xlfn.MAXIFS(Stangenbelegung!$H$5:$H$10004,Stangenbelegung!$A$5:$A$10004,$A565)&gt;$D565-$F565+0.001),"ÜBERBELEGT","OK"))</f>
        <v/>
      </c>
      <c r="N565" s="24" t="n"/>
      <c r="O565" s="24" t="n"/>
      <c r="P565" s="9" t="n"/>
      <c r="Q565" s="18">
        <f>IF($A565="","",IFERROR($D565/1000*INDEX(Profile!$K$5:$K$304,MATCH($B565,lst_Profil,0))*INDEX(Werkstoffe!$E$5:$E$304,MATCH($C565,lst_Werkstoff,0))/1000,""))</f>
        <v/>
      </c>
      <c r="R565" s="18">
        <f>IF($A565="","",IF(N(_xlfn.MAXIFS(Auftrag!$AP$13:$AP$512,Auftrag!$D$13:$D$512,$B565,Auftrag!$E$13:$E$512,$C565,Auftrag!$Q$13:$Q$512,$D565))&gt;0,_xlfn.MAXIFS(Auftrag!$AP$13:$AP$512,Auftrag!$D$13:$D$512,$B565,Auftrag!$E$13:$E$512,$C565,Auftrag!$Q$13:$Q$512,$D565)*$D565/1000,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9" t="n"/>
      <c r="E566" s="24" t="n"/>
      <c r="F566" s="24" t="n"/>
      <c r="G566" s="12">
        <f>IF($A566="","",COUNTIFS(Stangenbelegung!$A$5:$A$10004,$A566))</f>
        <v/>
      </c>
      <c r="H566" s="35">
        <f>IF($A566="","",SUMIFS(Stangenbelegung!$F$5:$F$10004,Stangenbelegung!$A$5:$A$10004,$A566))</f>
        <v/>
      </c>
      <c r="I566" s="23" t="n"/>
      <c r="J566" s="35">
        <f>IF($A566="","",$E566+H566+$I566)</f>
        <v/>
      </c>
      <c r="K566" s="35">
        <f>IF($A566="","",$D566-J566)</f>
        <v/>
      </c>
      <c r="L566" s="32">
        <f>IF($A566="","",H566/$D566)</f>
        <v/>
      </c>
      <c r="M566" s="28">
        <f>IF($A566="","",IF(OR(J566+$F566&gt;$D566+0.001,_xlfn.MAXIFS(Stangenbelegung!$H$5:$H$10004,Stangenbelegung!$A$5:$A$10004,$A566)&gt;$D566-$F566+0.001),"ÜBERBELEGT","OK"))</f>
        <v/>
      </c>
      <c r="N566" s="24" t="n"/>
      <c r="O566" s="24" t="n"/>
      <c r="P566" s="9" t="n"/>
      <c r="Q566" s="18">
        <f>IF($A566="","",IFERROR($D566/1000*INDEX(Profile!$K$5:$K$304,MATCH($B566,lst_Profil,0))*INDEX(Werkstoffe!$E$5:$E$304,MATCH($C566,lst_Werkstoff,0))/1000,""))</f>
        <v/>
      </c>
      <c r="R566" s="18">
        <f>IF($A566="","",IF(N(_xlfn.MAXIFS(Auftrag!$AP$13:$AP$512,Auftrag!$D$13:$D$512,$B566,Auftrag!$E$13:$E$512,$C566,Auftrag!$Q$13:$Q$512,$D566))&gt;0,_xlfn.MAXIFS(Auftrag!$AP$13:$AP$512,Auftrag!$D$13:$D$512,$B566,Auftrag!$E$13:$E$512,$C566,Auftrag!$Q$13:$Q$512,$D566)*$D566/1000,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9" t="n"/>
      <c r="E567" s="24" t="n"/>
      <c r="F567" s="24" t="n"/>
      <c r="G567" s="12">
        <f>IF($A567="","",COUNTIFS(Stangenbelegung!$A$5:$A$10004,$A567))</f>
        <v/>
      </c>
      <c r="H567" s="35">
        <f>IF($A567="","",SUMIFS(Stangenbelegung!$F$5:$F$10004,Stangenbelegung!$A$5:$A$10004,$A567))</f>
        <v/>
      </c>
      <c r="I567" s="23" t="n"/>
      <c r="J567" s="35">
        <f>IF($A567="","",$E567+H567+$I567)</f>
        <v/>
      </c>
      <c r="K567" s="35">
        <f>IF($A567="","",$D567-J567)</f>
        <v/>
      </c>
      <c r="L567" s="32">
        <f>IF($A567="","",H567/$D567)</f>
        <v/>
      </c>
      <c r="M567" s="28">
        <f>IF($A567="","",IF(OR(J567+$F567&gt;$D567+0.001,_xlfn.MAXIFS(Stangenbelegung!$H$5:$H$10004,Stangenbelegung!$A$5:$A$10004,$A567)&gt;$D567-$F567+0.001),"ÜBERBELEGT","OK"))</f>
        <v/>
      </c>
      <c r="N567" s="24" t="n"/>
      <c r="O567" s="24" t="n"/>
      <c r="P567" s="9" t="n"/>
      <c r="Q567" s="18">
        <f>IF($A567="","",IFERROR($D567/1000*INDEX(Profile!$K$5:$K$304,MATCH($B567,lst_Profil,0))*INDEX(Werkstoffe!$E$5:$E$304,MATCH($C567,lst_Werkstoff,0))/1000,""))</f>
        <v/>
      </c>
      <c r="R567" s="18">
        <f>IF($A567="","",IF(N(_xlfn.MAXIFS(Auftrag!$AP$13:$AP$512,Auftrag!$D$13:$D$512,$B567,Auftrag!$E$13:$E$512,$C567,Auftrag!$Q$13:$Q$512,$D567))&gt;0,_xlfn.MAXIFS(Auftrag!$AP$13:$AP$512,Auftrag!$D$13:$D$512,$B567,Auftrag!$E$13:$E$512,$C567,Auftrag!$Q$13:$Q$512,$D567)*$D567/1000,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9" t="n"/>
      <c r="E568" s="24" t="n"/>
      <c r="F568" s="24" t="n"/>
      <c r="G568" s="12">
        <f>IF($A568="","",COUNTIFS(Stangenbelegung!$A$5:$A$10004,$A568))</f>
        <v/>
      </c>
      <c r="H568" s="35">
        <f>IF($A568="","",SUMIFS(Stangenbelegung!$F$5:$F$10004,Stangenbelegung!$A$5:$A$10004,$A568))</f>
        <v/>
      </c>
      <c r="I568" s="23" t="n"/>
      <c r="J568" s="35">
        <f>IF($A568="","",$E568+H568+$I568)</f>
        <v/>
      </c>
      <c r="K568" s="35">
        <f>IF($A568="","",$D568-J568)</f>
        <v/>
      </c>
      <c r="L568" s="32">
        <f>IF($A568="","",H568/$D568)</f>
        <v/>
      </c>
      <c r="M568" s="28">
        <f>IF($A568="","",IF(OR(J568+$F568&gt;$D568+0.001,_xlfn.MAXIFS(Stangenbelegung!$H$5:$H$10004,Stangenbelegung!$A$5:$A$10004,$A568)&gt;$D568-$F568+0.001),"ÜBERBELEGT","OK"))</f>
        <v/>
      </c>
      <c r="N568" s="24" t="n"/>
      <c r="O568" s="24" t="n"/>
      <c r="P568" s="9" t="n"/>
      <c r="Q568" s="18">
        <f>IF($A568="","",IFERROR($D568/1000*INDEX(Profile!$K$5:$K$304,MATCH($B568,lst_Profil,0))*INDEX(Werkstoffe!$E$5:$E$304,MATCH($C568,lst_Werkstoff,0))/1000,""))</f>
        <v/>
      </c>
      <c r="R568" s="18">
        <f>IF($A568="","",IF(N(_xlfn.MAXIFS(Auftrag!$AP$13:$AP$512,Auftrag!$D$13:$D$512,$B568,Auftrag!$E$13:$E$512,$C568,Auftrag!$Q$13:$Q$512,$D568))&gt;0,_xlfn.MAXIFS(Auftrag!$AP$13:$AP$512,Auftrag!$D$13:$D$512,$B568,Auftrag!$E$13:$E$512,$C568,Auftrag!$Q$13:$Q$512,$D568)*$D568/1000,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9" t="n"/>
      <c r="E569" s="24" t="n"/>
      <c r="F569" s="24" t="n"/>
      <c r="G569" s="12">
        <f>IF($A569="","",COUNTIFS(Stangenbelegung!$A$5:$A$10004,$A569))</f>
        <v/>
      </c>
      <c r="H569" s="35">
        <f>IF($A569="","",SUMIFS(Stangenbelegung!$F$5:$F$10004,Stangenbelegung!$A$5:$A$10004,$A569))</f>
        <v/>
      </c>
      <c r="I569" s="23" t="n"/>
      <c r="J569" s="35">
        <f>IF($A569="","",$E569+H569+$I569)</f>
        <v/>
      </c>
      <c r="K569" s="35">
        <f>IF($A569="","",$D569-J569)</f>
        <v/>
      </c>
      <c r="L569" s="32">
        <f>IF($A569="","",H569/$D569)</f>
        <v/>
      </c>
      <c r="M569" s="28">
        <f>IF($A569="","",IF(OR(J569+$F569&gt;$D569+0.001,_xlfn.MAXIFS(Stangenbelegung!$H$5:$H$10004,Stangenbelegung!$A$5:$A$10004,$A569)&gt;$D569-$F569+0.001),"ÜBERBELEGT","OK"))</f>
        <v/>
      </c>
      <c r="N569" s="24" t="n"/>
      <c r="O569" s="24" t="n"/>
      <c r="P569" s="9" t="n"/>
      <c r="Q569" s="18">
        <f>IF($A569="","",IFERROR($D569/1000*INDEX(Profile!$K$5:$K$304,MATCH($B569,lst_Profil,0))*INDEX(Werkstoffe!$E$5:$E$304,MATCH($C569,lst_Werkstoff,0))/1000,""))</f>
        <v/>
      </c>
      <c r="R569" s="18">
        <f>IF($A569="","",IF(N(_xlfn.MAXIFS(Auftrag!$AP$13:$AP$512,Auftrag!$D$13:$D$512,$B569,Auftrag!$E$13:$E$512,$C569,Auftrag!$Q$13:$Q$512,$D569))&gt;0,_xlfn.MAXIFS(Auftrag!$AP$13:$AP$512,Auftrag!$D$13:$D$512,$B569,Auftrag!$E$13:$E$512,$C569,Auftrag!$Q$13:$Q$512,$D569)*$D569/1000,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9" t="n"/>
      <c r="E570" s="24" t="n"/>
      <c r="F570" s="24" t="n"/>
      <c r="G570" s="12">
        <f>IF($A570="","",COUNTIFS(Stangenbelegung!$A$5:$A$10004,$A570))</f>
        <v/>
      </c>
      <c r="H570" s="35">
        <f>IF($A570="","",SUMIFS(Stangenbelegung!$F$5:$F$10004,Stangenbelegung!$A$5:$A$10004,$A570))</f>
        <v/>
      </c>
      <c r="I570" s="23" t="n"/>
      <c r="J570" s="35">
        <f>IF($A570="","",$E570+H570+$I570)</f>
        <v/>
      </c>
      <c r="K570" s="35">
        <f>IF($A570="","",$D570-J570)</f>
        <v/>
      </c>
      <c r="L570" s="32">
        <f>IF($A570="","",H570/$D570)</f>
        <v/>
      </c>
      <c r="M570" s="28">
        <f>IF($A570="","",IF(OR(J570+$F570&gt;$D570+0.001,_xlfn.MAXIFS(Stangenbelegung!$H$5:$H$10004,Stangenbelegung!$A$5:$A$10004,$A570)&gt;$D570-$F570+0.001),"ÜBERBELEGT","OK"))</f>
        <v/>
      </c>
      <c r="N570" s="24" t="n"/>
      <c r="O570" s="24" t="n"/>
      <c r="P570" s="9" t="n"/>
      <c r="Q570" s="18">
        <f>IF($A570="","",IFERROR($D570/1000*INDEX(Profile!$K$5:$K$304,MATCH($B570,lst_Profil,0))*INDEX(Werkstoffe!$E$5:$E$304,MATCH($C570,lst_Werkstoff,0))/1000,""))</f>
        <v/>
      </c>
      <c r="R570" s="18">
        <f>IF($A570="","",IF(N(_xlfn.MAXIFS(Auftrag!$AP$13:$AP$512,Auftrag!$D$13:$D$512,$B570,Auftrag!$E$13:$E$512,$C570,Auftrag!$Q$13:$Q$512,$D570))&gt;0,_xlfn.MAXIFS(Auftrag!$AP$13:$AP$512,Auftrag!$D$13:$D$512,$B570,Auftrag!$E$13:$E$512,$C570,Auftrag!$Q$13:$Q$512,$D570)*$D570/1000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9" t="n"/>
      <c r="E571" s="24" t="n"/>
      <c r="F571" s="24" t="n"/>
      <c r="G571" s="12">
        <f>IF($A571="","",COUNTIFS(Stangenbelegung!$A$5:$A$10004,$A571))</f>
        <v/>
      </c>
      <c r="H571" s="35">
        <f>IF($A571="","",SUMIFS(Stangenbelegung!$F$5:$F$10004,Stangenbelegung!$A$5:$A$10004,$A571))</f>
        <v/>
      </c>
      <c r="I571" s="23" t="n"/>
      <c r="J571" s="35">
        <f>IF($A571="","",$E571+H571+$I571)</f>
        <v/>
      </c>
      <c r="K571" s="35">
        <f>IF($A571="","",$D571-J571)</f>
        <v/>
      </c>
      <c r="L571" s="32">
        <f>IF($A571="","",H571/$D571)</f>
        <v/>
      </c>
      <c r="M571" s="28">
        <f>IF($A571="","",IF(OR(J571+$F571&gt;$D571+0.001,_xlfn.MAXIFS(Stangenbelegung!$H$5:$H$10004,Stangenbelegung!$A$5:$A$10004,$A571)&gt;$D571-$F571+0.001),"ÜBERBELEGT","OK"))</f>
        <v/>
      </c>
      <c r="N571" s="24" t="n"/>
      <c r="O571" s="24" t="n"/>
      <c r="P571" s="9" t="n"/>
      <c r="Q571" s="18">
        <f>IF($A571="","",IFERROR($D571/1000*INDEX(Profile!$K$5:$K$304,MATCH($B571,lst_Profil,0))*INDEX(Werkstoffe!$E$5:$E$304,MATCH($C571,lst_Werkstoff,0))/1000,""))</f>
        <v/>
      </c>
      <c r="R571" s="18">
        <f>IF($A571="","",IF(N(_xlfn.MAXIFS(Auftrag!$AP$13:$AP$512,Auftrag!$D$13:$D$512,$B571,Auftrag!$E$13:$E$512,$C571,Auftrag!$Q$13:$Q$512,$D571))&gt;0,_xlfn.MAXIFS(Auftrag!$AP$13:$AP$512,Auftrag!$D$13:$D$512,$B571,Auftrag!$E$13:$E$512,$C571,Auftrag!$Q$13:$Q$512,$D571)*$D571/1000,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9" t="n"/>
      <c r="E572" s="24" t="n"/>
      <c r="F572" s="24" t="n"/>
      <c r="G572" s="12">
        <f>IF($A572="","",COUNTIFS(Stangenbelegung!$A$5:$A$10004,$A572))</f>
        <v/>
      </c>
      <c r="H572" s="35">
        <f>IF($A572="","",SUMIFS(Stangenbelegung!$F$5:$F$10004,Stangenbelegung!$A$5:$A$10004,$A572))</f>
        <v/>
      </c>
      <c r="I572" s="23" t="n"/>
      <c r="J572" s="35">
        <f>IF($A572="","",$E572+H572+$I572)</f>
        <v/>
      </c>
      <c r="K572" s="35">
        <f>IF($A572="","",$D572-J572)</f>
        <v/>
      </c>
      <c r="L572" s="32">
        <f>IF($A572="","",H572/$D572)</f>
        <v/>
      </c>
      <c r="M572" s="28">
        <f>IF($A572="","",IF(OR(J572+$F572&gt;$D572+0.001,_xlfn.MAXIFS(Stangenbelegung!$H$5:$H$10004,Stangenbelegung!$A$5:$A$10004,$A572)&gt;$D572-$F572+0.001),"ÜBERBELEGT","OK"))</f>
        <v/>
      </c>
      <c r="N572" s="24" t="n"/>
      <c r="O572" s="24" t="n"/>
      <c r="P572" s="9" t="n"/>
      <c r="Q572" s="18">
        <f>IF($A572="","",IFERROR($D572/1000*INDEX(Profile!$K$5:$K$304,MATCH($B572,lst_Profil,0))*INDEX(Werkstoffe!$E$5:$E$304,MATCH($C572,lst_Werkstoff,0))/1000,""))</f>
        <v/>
      </c>
      <c r="R572" s="18">
        <f>IF($A572="","",IF(N(_xlfn.MAXIFS(Auftrag!$AP$13:$AP$512,Auftrag!$D$13:$D$512,$B572,Auftrag!$E$13:$E$512,$C572,Auftrag!$Q$13:$Q$512,$D572))&gt;0,_xlfn.MAXIFS(Auftrag!$AP$13:$AP$512,Auftrag!$D$13:$D$512,$B572,Auftrag!$E$13:$E$512,$C572,Auftrag!$Q$13:$Q$512,$D572)*$D572/1000,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9" t="n"/>
      <c r="E573" s="24" t="n"/>
      <c r="F573" s="24" t="n"/>
      <c r="G573" s="12">
        <f>IF($A573="","",COUNTIFS(Stangenbelegung!$A$5:$A$10004,$A573))</f>
        <v/>
      </c>
      <c r="H573" s="35">
        <f>IF($A573="","",SUMIFS(Stangenbelegung!$F$5:$F$10004,Stangenbelegung!$A$5:$A$10004,$A573))</f>
        <v/>
      </c>
      <c r="I573" s="23" t="n"/>
      <c r="J573" s="35">
        <f>IF($A573="","",$E573+H573+$I573)</f>
        <v/>
      </c>
      <c r="K573" s="35">
        <f>IF($A573="","",$D573-J573)</f>
        <v/>
      </c>
      <c r="L573" s="32">
        <f>IF($A573="","",H573/$D573)</f>
        <v/>
      </c>
      <c r="M573" s="28">
        <f>IF($A573="","",IF(OR(J573+$F573&gt;$D573+0.001,_xlfn.MAXIFS(Stangenbelegung!$H$5:$H$10004,Stangenbelegung!$A$5:$A$10004,$A573)&gt;$D573-$F573+0.001),"ÜBERBELEGT","OK"))</f>
        <v/>
      </c>
      <c r="N573" s="24" t="n"/>
      <c r="O573" s="24" t="n"/>
      <c r="P573" s="9" t="n"/>
      <c r="Q573" s="18">
        <f>IF($A573="","",IFERROR($D573/1000*INDEX(Profile!$K$5:$K$304,MATCH($B573,lst_Profil,0))*INDEX(Werkstoffe!$E$5:$E$304,MATCH($C573,lst_Werkstoff,0))/1000,""))</f>
        <v/>
      </c>
      <c r="R573" s="18">
        <f>IF($A573="","",IF(N(_xlfn.MAXIFS(Auftrag!$AP$13:$AP$512,Auftrag!$D$13:$D$512,$B573,Auftrag!$E$13:$E$512,$C573,Auftrag!$Q$13:$Q$512,$D573))&gt;0,_xlfn.MAXIFS(Auftrag!$AP$13:$AP$512,Auftrag!$D$13:$D$512,$B573,Auftrag!$E$13:$E$512,$C573,Auftrag!$Q$13:$Q$512,$D573)*$D573/1000,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9" t="n"/>
      <c r="E574" s="24" t="n"/>
      <c r="F574" s="24" t="n"/>
      <c r="G574" s="12">
        <f>IF($A574="","",COUNTIFS(Stangenbelegung!$A$5:$A$10004,$A574))</f>
        <v/>
      </c>
      <c r="H574" s="35">
        <f>IF($A574="","",SUMIFS(Stangenbelegung!$F$5:$F$10004,Stangenbelegung!$A$5:$A$10004,$A574))</f>
        <v/>
      </c>
      <c r="I574" s="23" t="n"/>
      <c r="J574" s="35">
        <f>IF($A574="","",$E574+H574+$I574)</f>
        <v/>
      </c>
      <c r="K574" s="35">
        <f>IF($A574="","",$D574-J574)</f>
        <v/>
      </c>
      <c r="L574" s="32">
        <f>IF($A574="","",H574/$D574)</f>
        <v/>
      </c>
      <c r="M574" s="28">
        <f>IF($A574="","",IF(OR(J574+$F574&gt;$D574+0.001,_xlfn.MAXIFS(Stangenbelegung!$H$5:$H$10004,Stangenbelegung!$A$5:$A$10004,$A574)&gt;$D574-$F574+0.001),"ÜBERBELEGT","OK"))</f>
        <v/>
      </c>
      <c r="N574" s="24" t="n"/>
      <c r="O574" s="24" t="n"/>
      <c r="P574" s="9" t="n"/>
      <c r="Q574" s="18">
        <f>IF($A574="","",IFERROR($D574/1000*INDEX(Profile!$K$5:$K$304,MATCH($B574,lst_Profil,0))*INDEX(Werkstoffe!$E$5:$E$304,MATCH($C574,lst_Werkstoff,0))/1000,""))</f>
        <v/>
      </c>
      <c r="R574" s="18">
        <f>IF($A574="","",IF(N(_xlfn.MAXIFS(Auftrag!$AP$13:$AP$512,Auftrag!$D$13:$D$512,$B574,Auftrag!$E$13:$E$512,$C574,Auftrag!$Q$13:$Q$512,$D574))&gt;0,_xlfn.MAXIFS(Auftrag!$AP$13:$AP$512,Auftrag!$D$13:$D$512,$B574,Auftrag!$E$13:$E$512,$C574,Auftrag!$Q$13:$Q$512,$D574)*$D574/1000,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9" t="n"/>
      <c r="E575" s="24" t="n"/>
      <c r="F575" s="24" t="n"/>
      <c r="G575" s="12">
        <f>IF($A575="","",COUNTIFS(Stangenbelegung!$A$5:$A$10004,$A575))</f>
        <v/>
      </c>
      <c r="H575" s="35">
        <f>IF($A575="","",SUMIFS(Stangenbelegung!$F$5:$F$10004,Stangenbelegung!$A$5:$A$10004,$A575))</f>
        <v/>
      </c>
      <c r="I575" s="23" t="n"/>
      <c r="J575" s="35">
        <f>IF($A575="","",$E575+H575+$I575)</f>
        <v/>
      </c>
      <c r="K575" s="35">
        <f>IF($A575="","",$D575-J575)</f>
        <v/>
      </c>
      <c r="L575" s="32">
        <f>IF($A575="","",H575/$D575)</f>
        <v/>
      </c>
      <c r="M575" s="28">
        <f>IF($A575="","",IF(OR(J575+$F575&gt;$D575+0.001,_xlfn.MAXIFS(Stangenbelegung!$H$5:$H$10004,Stangenbelegung!$A$5:$A$10004,$A575)&gt;$D575-$F575+0.001),"ÜBERBELEGT","OK"))</f>
        <v/>
      </c>
      <c r="N575" s="24" t="n"/>
      <c r="O575" s="24" t="n"/>
      <c r="P575" s="9" t="n"/>
      <c r="Q575" s="18">
        <f>IF($A575="","",IFERROR($D575/1000*INDEX(Profile!$K$5:$K$304,MATCH($B575,lst_Profil,0))*INDEX(Werkstoffe!$E$5:$E$304,MATCH($C575,lst_Werkstoff,0))/1000,""))</f>
        <v/>
      </c>
      <c r="R575" s="18">
        <f>IF($A575="","",IF(N(_xlfn.MAXIFS(Auftrag!$AP$13:$AP$512,Auftrag!$D$13:$D$512,$B575,Auftrag!$E$13:$E$512,$C575,Auftrag!$Q$13:$Q$512,$D575))&gt;0,_xlfn.MAXIFS(Auftrag!$AP$13:$AP$512,Auftrag!$D$13:$D$512,$B575,Auftrag!$E$13:$E$512,$C575,Auftrag!$Q$13:$Q$512,$D575)*$D575/1000,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9" t="n"/>
      <c r="E576" s="24" t="n"/>
      <c r="F576" s="24" t="n"/>
      <c r="G576" s="12">
        <f>IF($A576="","",COUNTIFS(Stangenbelegung!$A$5:$A$10004,$A576))</f>
        <v/>
      </c>
      <c r="H576" s="35">
        <f>IF($A576="","",SUMIFS(Stangenbelegung!$F$5:$F$10004,Stangenbelegung!$A$5:$A$10004,$A576))</f>
        <v/>
      </c>
      <c r="I576" s="23" t="n"/>
      <c r="J576" s="35">
        <f>IF($A576="","",$E576+H576+$I576)</f>
        <v/>
      </c>
      <c r="K576" s="35">
        <f>IF($A576="","",$D576-J576)</f>
        <v/>
      </c>
      <c r="L576" s="32">
        <f>IF($A576="","",H576/$D576)</f>
        <v/>
      </c>
      <c r="M576" s="28">
        <f>IF($A576="","",IF(OR(J576+$F576&gt;$D576+0.001,_xlfn.MAXIFS(Stangenbelegung!$H$5:$H$10004,Stangenbelegung!$A$5:$A$10004,$A576)&gt;$D576-$F576+0.001),"ÜBERBELEGT","OK"))</f>
        <v/>
      </c>
      <c r="N576" s="24" t="n"/>
      <c r="O576" s="24" t="n"/>
      <c r="P576" s="9" t="n"/>
      <c r="Q576" s="18">
        <f>IF($A576="","",IFERROR($D576/1000*INDEX(Profile!$K$5:$K$304,MATCH($B576,lst_Profil,0))*INDEX(Werkstoffe!$E$5:$E$304,MATCH($C576,lst_Werkstoff,0))/1000,""))</f>
        <v/>
      </c>
      <c r="R576" s="18">
        <f>IF($A576="","",IF(N(_xlfn.MAXIFS(Auftrag!$AP$13:$AP$512,Auftrag!$D$13:$D$512,$B576,Auftrag!$E$13:$E$512,$C576,Auftrag!$Q$13:$Q$512,$D576))&gt;0,_xlfn.MAXIFS(Auftrag!$AP$13:$AP$512,Auftrag!$D$13:$D$512,$B576,Auftrag!$E$13:$E$512,$C576,Auftrag!$Q$13:$Q$512,$D576)*$D576/1000,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9" t="n"/>
      <c r="E577" s="24" t="n"/>
      <c r="F577" s="24" t="n"/>
      <c r="G577" s="12">
        <f>IF($A577="","",COUNTIFS(Stangenbelegung!$A$5:$A$10004,$A577))</f>
        <v/>
      </c>
      <c r="H577" s="35">
        <f>IF($A577="","",SUMIFS(Stangenbelegung!$F$5:$F$10004,Stangenbelegung!$A$5:$A$10004,$A577))</f>
        <v/>
      </c>
      <c r="I577" s="23" t="n"/>
      <c r="J577" s="35">
        <f>IF($A577="","",$E577+H577+$I577)</f>
        <v/>
      </c>
      <c r="K577" s="35">
        <f>IF($A577="","",$D577-J577)</f>
        <v/>
      </c>
      <c r="L577" s="32">
        <f>IF($A577="","",H577/$D577)</f>
        <v/>
      </c>
      <c r="M577" s="28">
        <f>IF($A577="","",IF(OR(J577+$F577&gt;$D577+0.001,_xlfn.MAXIFS(Stangenbelegung!$H$5:$H$10004,Stangenbelegung!$A$5:$A$10004,$A577)&gt;$D577-$F577+0.001),"ÜBERBELEGT","OK"))</f>
        <v/>
      </c>
      <c r="N577" s="24" t="n"/>
      <c r="O577" s="24" t="n"/>
      <c r="P577" s="9" t="n"/>
      <c r="Q577" s="18">
        <f>IF($A577="","",IFERROR($D577/1000*INDEX(Profile!$K$5:$K$304,MATCH($B577,lst_Profil,0))*INDEX(Werkstoffe!$E$5:$E$304,MATCH($C577,lst_Werkstoff,0))/1000,""))</f>
        <v/>
      </c>
      <c r="R577" s="18">
        <f>IF($A577="","",IF(N(_xlfn.MAXIFS(Auftrag!$AP$13:$AP$512,Auftrag!$D$13:$D$512,$B577,Auftrag!$E$13:$E$512,$C577,Auftrag!$Q$13:$Q$512,$D577))&gt;0,_xlfn.MAXIFS(Auftrag!$AP$13:$AP$512,Auftrag!$D$13:$D$512,$B577,Auftrag!$E$13:$E$512,$C577,Auftrag!$Q$13:$Q$512,$D577)*$D577/1000,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9" t="n"/>
      <c r="E578" s="24" t="n"/>
      <c r="F578" s="24" t="n"/>
      <c r="G578" s="12">
        <f>IF($A578="","",COUNTIFS(Stangenbelegung!$A$5:$A$10004,$A578))</f>
        <v/>
      </c>
      <c r="H578" s="35">
        <f>IF($A578="","",SUMIFS(Stangenbelegung!$F$5:$F$10004,Stangenbelegung!$A$5:$A$10004,$A578))</f>
        <v/>
      </c>
      <c r="I578" s="23" t="n"/>
      <c r="J578" s="35">
        <f>IF($A578="","",$E578+H578+$I578)</f>
        <v/>
      </c>
      <c r="K578" s="35">
        <f>IF($A578="","",$D578-J578)</f>
        <v/>
      </c>
      <c r="L578" s="32">
        <f>IF($A578="","",H578/$D578)</f>
        <v/>
      </c>
      <c r="M578" s="28">
        <f>IF($A578="","",IF(OR(J578+$F578&gt;$D578+0.001,_xlfn.MAXIFS(Stangenbelegung!$H$5:$H$10004,Stangenbelegung!$A$5:$A$10004,$A578)&gt;$D578-$F578+0.001),"ÜBERBELEGT","OK"))</f>
        <v/>
      </c>
      <c r="N578" s="24" t="n"/>
      <c r="O578" s="24" t="n"/>
      <c r="P578" s="9" t="n"/>
      <c r="Q578" s="18">
        <f>IF($A578="","",IFERROR($D578/1000*INDEX(Profile!$K$5:$K$304,MATCH($B578,lst_Profil,0))*INDEX(Werkstoffe!$E$5:$E$304,MATCH($C578,lst_Werkstoff,0))/1000,""))</f>
        <v/>
      </c>
      <c r="R578" s="18">
        <f>IF($A578="","",IF(N(_xlfn.MAXIFS(Auftrag!$AP$13:$AP$512,Auftrag!$D$13:$D$512,$B578,Auftrag!$E$13:$E$512,$C578,Auftrag!$Q$13:$Q$512,$D578))&gt;0,_xlfn.MAXIFS(Auftrag!$AP$13:$AP$512,Auftrag!$D$13:$D$512,$B578,Auftrag!$E$13:$E$512,$C578,Auftrag!$Q$13:$Q$512,$D578)*$D578/1000,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9" t="n"/>
      <c r="E579" s="24" t="n"/>
      <c r="F579" s="24" t="n"/>
      <c r="G579" s="12">
        <f>IF($A579="","",COUNTIFS(Stangenbelegung!$A$5:$A$10004,$A579))</f>
        <v/>
      </c>
      <c r="H579" s="35">
        <f>IF($A579="","",SUMIFS(Stangenbelegung!$F$5:$F$10004,Stangenbelegung!$A$5:$A$10004,$A579))</f>
        <v/>
      </c>
      <c r="I579" s="23" t="n"/>
      <c r="J579" s="35">
        <f>IF($A579="","",$E579+H579+$I579)</f>
        <v/>
      </c>
      <c r="K579" s="35">
        <f>IF($A579="","",$D579-J579)</f>
        <v/>
      </c>
      <c r="L579" s="32">
        <f>IF($A579="","",H579/$D579)</f>
        <v/>
      </c>
      <c r="M579" s="28">
        <f>IF($A579="","",IF(OR(J579+$F579&gt;$D579+0.001,_xlfn.MAXIFS(Stangenbelegung!$H$5:$H$10004,Stangenbelegung!$A$5:$A$10004,$A579)&gt;$D579-$F579+0.001),"ÜBERBELEGT","OK"))</f>
        <v/>
      </c>
      <c r="N579" s="24" t="n"/>
      <c r="O579" s="24" t="n"/>
      <c r="P579" s="9" t="n"/>
      <c r="Q579" s="18">
        <f>IF($A579="","",IFERROR($D579/1000*INDEX(Profile!$K$5:$K$304,MATCH($B579,lst_Profil,0))*INDEX(Werkstoffe!$E$5:$E$304,MATCH($C579,lst_Werkstoff,0))/1000,""))</f>
        <v/>
      </c>
      <c r="R579" s="18">
        <f>IF($A579="","",IF(N(_xlfn.MAXIFS(Auftrag!$AP$13:$AP$512,Auftrag!$D$13:$D$512,$B579,Auftrag!$E$13:$E$512,$C579,Auftrag!$Q$13:$Q$512,$D579))&gt;0,_xlfn.MAXIFS(Auftrag!$AP$13:$AP$512,Auftrag!$D$13:$D$512,$B579,Auftrag!$E$13:$E$512,$C579,Auftrag!$Q$13:$Q$512,$D579)*$D579/1000,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9" t="n"/>
      <c r="E580" s="24" t="n"/>
      <c r="F580" s="24" t="n"/>
      <c r="G580" s="12">
        <f>IF($A580="","",COUNTIFS(Stangenbelegung!$A$5:$A$10004,$A580))</f>
        <v/>
      </c>
      <c r="H580" s="35">
        <f>IF($A580="","",SUMIFS(Stangenbelegung!$F$5:$F$10004,Stangenbelegung!$A$5:$A$10004,$A580))</f>
        <v/>
      </c>
      <c r="I580" s="23" t="n"/>
      <c r="J580" s="35">
        <f>IF($A580="","",$E580+H580+$I580)</f>
        <v/>
      </c>
      <c r="K580" s="35">
        <f>IF($A580="","",$D580-J580)</f>
        <v/>
      </c>
      <c r="L580" s="32">
        <f>IF($A580="","",H580/$D580)</f>
        <v/>
      </c>
      <c r="M580" s="28">
        <f>IF($A580="","",IF(OR(J580+$F580&gt;$D580+0.001,_xlfn.MAXIFS(Stangenbelegung!$H$5:$H$10004,Stangenbelegung!$A$5:$A$10004,$A580)&gt;$D580-$F580+0.001),"ÜBERBELEGT","OK"))</f>
        <v/>
      </c>
      <c r="N580" s="24" t="n"/>
      <c r="O580" s="24" t="n"/>
      <c r="P580" s="9" t="n"/>
      <c r="Q580" s="18">
        <f>IF($A580="","",IFERROR($D580/1000*INDEX(Profile!$K$5:$K$304,MATCH($B580,lst_Profil,0))*INDEX(Werkstoffe!$E$5:$E$304,MATCH($C580,lst_Werkstoff,0))/1000,""))</f>
        <v/>
      </c>
      <c r="R580" s="18">
        <f>IF($A580="","",IF(N(_xlfn.MAXIFS(Auftrag!$AP$13:$AP$512,Auftrag!$D$13:$D$512,$B580,Auftrag!$E$13:$E$512,$C580,Auftrag!$Q$13:$Q$512,$D580))&gt;0,_xlfn.MAXIFS(Auftrag!$AP$13:$AP$512,Auftrag!$D$13:$D$512,$B580,Auftrag!$E$13:$E$512,$C580,Auftrag!$Q$13:$Q$512,$D580)*$D580/1000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9" t="n"/>
      <c r="E581" s="24" t="n"/>
      <c r="F581" s="24" t="n"/>
      <c r="G581" s="12">
        <f>IF($A581="","",COUNTIFS(Stangenbelegung!$A$5:$A$10004,$A581))</f>
        <v/>
      </c>
      <c r="H581" s="35">
        <f>IF($A581="","",SUMIFS(Stangenbelegung!$F$5:$F$10004,Stangenbelegung!$A$5:$A$10004,$A581))</f>
        <v/>
      </c>
      <c r="I581" s="23" t="n"/>
      <c r="J581" s="35">
        <f>IF($A581="","",$E581+H581+$I581)</f>
        <v/>
      </c>
      <c r="K581" s="35">
        <f>IF($A581="","",$D581-J581)</f>
        <v/>
      </c>
      <c r="L581" s="32">
        <f>IF($A581="","",H581/$D581)</f>
        <v/>
      </c>
      <c r="M581" s="28">
        <f>IF($A581="","",IF(OR(J581+$F581&gt;$D581+0.001,_xlfn.MAXIFS(Stangenbelegung!$H$5:$H$10004,Stangenbelegung!$A$5:$A$10004,$A581)&gt;$D581-$F581+0.001),"ÜBERBELEGT","OK"))</f>
        <v/>
      </c>
      <c r="N581" s="24" t="n"/>
      <c r="O581" s="24" t="n"/>
      <c r="P581" s="9" t="n"/>
      <c r="Q581" s="18">
        <f>IF($A581="","",IFERROR($D581/1000*INDEX(Profile!$K$5:$K$304,MATCH($B581,lst_Profil,0))*INDEX(Werkstoffe!$E$5:$E$304,MATCH($C581,lst_Werkstoff,0))/1000,""))</f>
        <v/>
      </c>
      <c r="R581" s="18">
        <f>IF($A581="","",IF(N(_xlfn.MAXIFS(Auftrag!$AP$13:$AP$512,Auftrag!$D$13:$D$512,$B581,Auftrag!$E$13:$E$512,$C581,Auftrag!$Q$13:$Q$512,$D581))&gt;0,_xlfn.MAXIFS(Auftrag!$AP$13:$AP$512,Auftrag!$D$13:$D$512,$B581,Auftrag!$E$13:$E$512,$C581,Auftrag!$Q$13:$Q$512,$D581)*$D581/1000,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9" t="n"/>
      <c r="E582" s="24" t="n"/>
      <c r="F582" s="24" t="n"/>
      <c r="G582" s="12">
        <f>IF($A582="","",COUNTIFS(Stangenbelegung!$A$5:$A$10004,$A582))</f>
        <v/>
      </c>
      <c r="H582" s="35">
        <f>IF($A582="","",SUMIFS(Stangenbelegung!$F$5:$F$10004,Stangenbelegung!$A$5:$A$10004,$A582))</f>
        <v/>
      </c>
      <c r="I582" s="23" t="n"/>
      <c r="J582" s="35">
        <f>IF($A582="","",$E582+H582+$I582)</f>
        <v/>
      </c>
      <c r="K582" s="35">
        <f>IF($A582="","",$D582-J582)</f>
        <v/>
      </c>
      <c r="L582" s="32">
        <f>IF($A582="","",H582/$D582)</f>
        <v/>
      </c>
      <c r="M582" s="28">
        <f>IF($A582="","",IF(OR(J582+$F582&gt;$D582+0.001,_xlfn.MAXIFS(Stangenbelegung!$H$5:$H$10004,Stangenbelegung!$A$5:$A$10004,$A582)&gt;$D582-$F582+0.001),"ÜBERBELEGT","OK"))</f>
        <v/>
      </c>
      <c r="N582" s="24" t="n"/>
      <c r="O582" s="24" t="n"/>
      <c r="P582" s="9" t="n"/>
      <c r="Q582" s="18">
        <f>IF($A582="","",IFERROR($D582/1000*INDEX(Profile!$K$5:$K$304,MATCH($B582,lst_Profil,0))*INDEX(Werkstoffe!$E$5:$E$304,MATCH($C582,lst_Werkstoff,0))/1000,""))</f>
        <v/>
      </c>
      <c r="R582" s="18">
        <f>IF($A582="","",IF(N(_xlfn.MAXIFS(Auftrag!$AP$13:$AP$512,Auftrag!$D$13:$D$512,$B582,Auftrag!$E$13:$E$512,$C582,Auftrag!$Q$13:$Q$512,$D582))&gt;0,_xlfn.MAXIFS(Auftrag!$AP$13:$AP$512,Auftrag!$D$13:$D$512,$B582,Auftrag!$E$13:$E$512,$C582,Auftrag!$Q$13:$Q$512,$D582)*$D582/1000,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9" t="n"/>
      <c r="E583" s="24" t="n"/>
      <c r="F583" s="24" t="n"/>
      <c r="G583" s="12">
        <f>IF($A583="","",COUNTIFS(Stangenbelegung!$A$5:$A$10004,$A583))</f>
        <v/>
      </c>
      <c r="H583" s="35">
        <f>IF($A583="","",SUMIFS(Stangenbelegung!$F$5:$F$10004,Stangenbelegung!$A$5:$A$10004,$A583))</f>
        <v/>
      </c>
      <c r="I583" s="23" t="n"/>
      <c r="J583" s="35">
        <f>IF($A583="","",$E583+H583+$I583)</f>
        <v/>
      </c>
      <c r="K583" s="35">
        <f>IF($A583="","",$D583-J583)</f>
        <v/>
      </c>
      <c r="L583" s="32">
        <f>IF($A583="","",H583/$D583)</f>
        <v/>
      </c>
      <c r="M583" s="28">
        <f>IF($A583="","",IF(OR(J583+$F583&gt;$D583+0.001,_xlfn.MAXIFS(Stangenbelegung!$H$5:$H$10004,Stangenbelegung!$A$5:$A$10004,$A583)&gt;$D583-$F583+0.001),"ÜBERBELEGT","OK"))</f>
        <v/>
      </c>
      <c r="N583" s="24" t="n"/>
      <c r="O583" s="24" t="n"/>
      <c r="P583" s="9" t="n"/>
      <c r="Q583" s="18">
        <f>IF($A583="","",IFERROR($D583/1000*INDEX(Profile!$K$5:$K$304,MATCH($B583,lst_Profil,0))*INDEX(Werkstoffe!$E$5:$E$304,MATCH($C583,lst_Werkstoff,0))/1000,""))</f>
        <v/>
      </c>
      <c r="R583" s="18">
        <f>IF($A583="","",IF(N(_xlfn.MAXIFS(Auftrag!$AP$13:$AP$512,Auftrag!$D$13:$D$512,$B583,Auftrag!$E$13:$E$512,$C583,Auftrag!$Q$13:$Q$512,$D583))&gt;0,_xlfn.MAXIFS(Auftrag!$AP$13:$AP$512,Auftrag!$D$13:$D$512,$B583,Auftrag!$E$13:$E$512,$C583,Auftrag!$Q$13:$Q$512,$D583)*$D583/1000,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9" t="n"/>
      <c r="E584" s="24" t="n"/>
      <c r="F584" s="24" t="n"/>
      <c r="G584" s="12">
        <f>IF($A584="","",COUNTIFS(Stangenbelegung!$A$5:$A$10004,$A584))</f>
        <v/>
      </c>
      <c r="H584" s="35">
        <f>IF($A584="","",SUMIFS(Stangenbelegung!$F$5:$F$10004,Stangenbelegung!$A$5:$A$10004,$A584))</f>
        <v/>
      </c>
      <c r="I584" s="23" t="n"/>
      <c r="J584" s="35">
        <f>IF($A584="","",$E584+H584+$I584)</f>
        <v/>
      </c>
      <c r="K584" s="35">
        <f>IF($A584="","",$D584-J584)</f>
        <v/>
      </c>
      <c r="L584" s="32">
        <f>IF($A584="","",H584/$D584)</f>
        <v/>
      </c>
      <c r="M584" s="28">
        <f>IF($A584="","",IF(OR(J584+$F584&gt;$D584+0.001,_xlfn.MAXIFS(Stangenbelegung!$H$5:$H$10004,Stangenbelegung!$A$5:$A$10004,$A584)&gt;$D584-$F584+0.001),"ÜBERBELEGT","OK"))</f>
        <v/>
      </c>
      <c r="N584" s="24" t="n"/>
      <c r="O584" s="24" t="n"/>
      <c r="P584" s="9" t="n"/>
      <c r="Q584" s="18">
        <f>IF($A584="","",IFERROR($D584/1000*INDEX(Profile!$K$5:$K$304,MATCH($B584,lst_Profil,0))*INDEX(Werkstoffe!$E$5:$E$304,MATCH($C584,lst_Werkstoff,0))/1000,""))</f>
        <v/>
      </c>
      <c r="R584" s="18">
        <f>IF($A584="","",IF(N(_xlfn.MAXIFS(Auftrag!$AP$13:$AP$512,Auftrag!$D$13:$D$512,$B584,Auftrag!$E$13:$E$512,$C584,Auftrag!$Q$13:$Q$512,$D584))&gt;0,_xlfn.MAXIFS(Auftrag!$AP$13:$AP$512,Auftrag!$D$13:$D$512,$B584,Auftrag!$E$13:$E$512,$C584,Auftrag!$Q$13:$Q$512,$D584)*$D584/1000,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9" t="n"/>
      <c r="E585" s="24" t="n"/>
      <c r="F585" s="24" t="n"/>
      <c r="G585" s="12">
        <f>IF($A585="","",COUNTIFS(Stangenbelegung!$A$5:$A$10004,$A585))</f>
        <v/>
      </c>
      <c r="H585" s="35">
        <f>IF($A585="","",SUMIFS(Stangenbelegung!$F$5:$F$10004,Stangenbelegung!$A$5:$A$10004,$A585))</f>
        <v/>
      </c>
      <c r="I585" s="23" t="n"/>
      <c r="J585" s="35">
        <f>IF($A585="","",$E585+H585+$I585)</f>
        <v/>
      </c>
      <c r="K585" s="35">
        <f>IF($A585="","",$D585-J585)</f>
        <v/>
      </c>
      <c r="L585" s="32">
        <f>IF($A585="","",H585/$D585)</f>
        <v/>
      </c>
      <c r="M585" s="28">
        <f>IF($A585="","",IF(OR(J585+$F585&gt;$D585+0.001,_xlfn.MAXIFS(Stangenbelegung!$H$5:$H$10004,Stangenbelegung!$A$5:$A$10004,$A585)&gt;$D585-$F585+0.001),"ÜBERBELEGT","OK"))</f>
        <v/>
      </c>
      <c r="N585" s="24" t="n"/>
      <c r="O585" s="24" t="n"/>
      <c r="P585" s="9" t="n"/>
      <c r="Q585" s="18">
        <f>IF($A585="","",IFERROR($D585/1000*INDEX(Profile!$K$5:$K$304,MATCH($B585,lst_Profil,0))*INDEX(Werkstoffe!$E$5:$E$304,MATCH($C585,lst_Werkstoff,0))/1000,""))</f>
        <v/>
      </c>
      <c r="R585" s="18">
        <f>IF($A585="","",IF(N(_xlfn.MAXIFS(Auftrag!$AP$13:$AP$512,Auftrag!$D$13:$D$512,$B585,Auftrag!$E$13:$E$512,$C585,Auftrag!$Q$13:$Q$512,$D585))&gt;0,_xlfn.MAXIFS(Auftrag!$AP$13:$AP$512,Auftrag!$D$13:$D$512,$B585,Auftrag!$E$13:$E$512,$C585,Auftrag!$Q$13:$Q$512,$D585)*$D585/1000,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9" t="n"/>
      <c r="E586" s="24" t="n"/>
      <c r="F586" s="24" t="n"/>
      <c r="G586" s="12">
        <f>IF($A586="","",COUNTIFS(Stangenbelegung!$A$5:$A$10004,$A586))</f>
        <v/>
      </c>
      <c r="H586" s="35">
        <f>IF($A586="","",SUMIFS(Stangenbelegung!$F$5:$F$10004,Stangenbelegung!$A$5:$A$10004,$A586))</f>
        <v/>
      </c>
      <c r="I586" s="23" t="n"/>
      <c r="J586" s="35">
        <f>IF($A586="","",$E586+H586+$I586)</f>
        <v/>
      </c>
      <c r="K586" s="35">
        <f>IF($A586="","",$D586-J586)</f>
        <v/>
      </c>
      <c r="L586" s="32">
        <f>IF($A586="","",H586/$D586)</f>
        <v/>
      </c>
      <c r="M586" s="28">
        <f>IF($A586="","",IF(OR(J586+$F586&gt;$D586+0.001,_xlfn.MAXIFS(Stangenbelegung!$H$5:$H$10004,Stangenbelegung!$A$5:$A$10004,$A586)&gt;$D586-$F586+0.001),"ÜBERBELEGT","OK"))</f>
        <v/>
      </c>
      <c r="N586" s="24" t="n"/>
      <c r="O586" s="24" t="n"/>
      <c r="P586" s="9" t="n"/>
      <c r="Q586" s="18">
        <f>IF($A586="","",IFERROR($D586/1000*INDEX(Profile!$K$5:$K$304,MATCH($B586,lst_Profil,0))*INDEX(Werkstoffe!$E$5:$E$304,MATCH($C586,lst_Werkstoff,0))/1000,""))</f>
        <v/>
      </c>
      <c r="R586" s="18">
        <f>IF($A586="","",IF(N(_xlfn.MAXIFS(Auftrag!$AP$13:$AP$512,Auftrag!$D$13:$D$512,$B586,Auftrag!$E$13:$E$512,$C586,Auftrag!$Q$13:$Q$512,$D586))&gt;0,_xlfn.MAXIFS(Auftrag!$AP$13:$AP$512,Auftrag!$D$13:$D$512,$B586,Auftrag!$E$13:$E$512,$C586,Auftrag!$Q$13:$Q$512,$D586)*$D586/1000,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9" t="n"/>
      <c r="E587" s="24" t="n"/>
      <c r="F587" s="24" t="n"/>
      <c r="G587" s="12">
        <f>IF($A587="","",COUNTIFS(Stangenbelegung!$A$5:$A$10004,$A587))</f>
        <v/>
      </c>
      <c r="H587" s="35">
        <f>IF($A587="","",SUMIFS(Stangenbelegung!$F$5:$F$10004,Stangenbelegung!$A$5:$A$10004,$A587))</f>
        <v/>
      </c>
      <c r="I587" s="23" t="n"/>
      <c r="J587" s="35">
        <f>IF($A587="","",$E587+H587+$I587)</f>
        <v/>
      </c>
      <c r="K587" s="35">
        <f>IF($A587="","",$D587-J587)</f>
        <v/>
      </c>
      <c r="L587" s="32">
        <f>IF($A587="","",H587/$D587)</f>
        <v/>
      </c>
      <c r="M587" s="28">
        <f>IF($A587="","",IF(OR(J587+$F587&gt;$D587+0.001,_xlfn.MAXIFS(Stangenbelegung!$H$5:$H$10004,Stangenbelegung!$A$5:$A$10004,$A587)&gt;$D587-$F587+0.001),"ÜBERBELEGT","OK"))</f>
        <v/>
      </c>
      <c r="N587" s="24" t="n"/>
      <c r="O587" s="24" t="n"/>
      <c r="P587" s="9" t="n"/>
      <c r="Q587" s="18">
        <f>IF($A587="","",IFERROR($D587/1000*INDEX(Profile!$K$5:$K$304,MATCH($B587,lst_Profil,0))*INDEX(Werkstoffe!$E$5:$E$304,MATCH($C587,lst_Werkstoff,0))/1000,""))</f>
        <v/>
      </c>
      <c r="R587" s="18">
        <f>IF($A587="","",IF(N(_xlfn.MAXIFS(Auftrag!$AP$13:$AP$512,Auftrag!$D$13:$D$512,$B587,Auftrag!$E$13:$E$512,$C587,Auftrag!$Q$13:$Q$512,$D587))&gt;0,_xlfn.MAXIFS(Auftrag!$AP$13:$AP$512,Auftrag!$D$13:$D$512,$B587,Auftrag!$E$13:$E$512,$C587,Auftrag!$Q$13:$Q$512,$D587)*$D587/1000,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9" t="n"/>
      <c r="E588" s="24" t="n"/>
      <c r="F588" s="24" t="n"/>
      <c r="G588" s="12">
        <f>IF($A588="","",COUNTIFS(Stangenbelegung!$A$5:$A$10004,$A588))</f>
        <v/>
      </c>
      <c r="H588" s="35">
        <f>IF($A588="","",SUMIFS(Stangenbelegung!$F$5:$F$10004,Stangenbelegung!$A$5:$A$10004,$A588))</f>
        <v/>
      </c>
      <c r="I588" s="23" t="n"/>
      <c r="J588" s="35">
        <f>IF($A588="","",$E588+H588+$I588)</f>
        <v/>
      </c>
      <c r="K588" s="35">
        <f>IF($A588="","",$D588-J588)</f>
        <v/>
      </c>
      <c r="L588" s="32">
        <f>IF($A588="","",H588/$D588)</f>
        <v/>
      </c>
      <c r="M588" s="28">
        <f>IF($A588="","",IF(OR(J588+$F588&gt;$D588+0.001,_xlfn.MAXIFS(Stangenbelegung!$H$5:$H$10004,Stangenbelegung!$A$5:$A$10004,$A588)&gt;$D588-$F588+0.001),"ÜBERBELEGT","OK"))</f>
        <v/>
      </c>
      <c r="N588" s="24" t="n"/>
      <c r="O588" s="24" t="n"/>
      <c r="P588" s="9" t="n"/>
      <c r="Q588" s="18">
        <f>IF($A588="","",IFERROR($D588/1000*INDEX(Profile!$K$5:$K$304,MATCH($B588,lst_Profil,0))*INDEX(Werkstoffe!$E$5:$E$304,MATCH($C588,lst_Werkstoff,0))/1000,""))</f>
        <v/>
      </c>
      <c r="R588" s="18">
        <f>IF($A588="","",IF(N(_xlfn.MAXIFS(Auftrag!$AP$13:$AP$512,Auftrag!$D$13:$D$512,$B588,Auftrag!$E$13:$E$512,$C588,Auftrag!$Q$13:$Q$512,$D588))&gt;0,_xlfn.MAXIFS(Auftrag!$AP$13:$AP$512,Auftrag!$D$13:$D$512,$B588,Auftrag!$E$13:$E$512,$C588,Auftrag!$Q$13:$Q$512,$D588)*$D588/1000,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9" t="n"/>
      <c r="E589" s="24" t="n"/>
      <c r="F589" s="24" t="n"/>
      <c r="G589" s="12">
        <f>IF($A589="","",COUNTIFS(Stangenbelegung!$A$5:$A$10004,$A589))</f>
        <v/>
      </c>
      <c r="H589" s="35">
        <f>IF($A589="","",SUMIFS(Stangenbelegung!$F$5:$F$10004,Stangenbelegung!$A$5:$A$10004,$A589))</f>
        <v/>
      </c>
      <c r="I589" s="23" t="n"/>
      <c r="J589" s="35">
        <f>IF($A589="","",$E589+H589+$I589)</f>
        <v/>
      </c>
      <c r="K589" s="35">
        <f>IF($A589="","",$D589-J589)</f>
        <v/>
      </c>
      <c r="L589" s="32">
        <f>IF($A589="","",H589/$D589)</f>
        <v/>
      </c>
      <c r="M589" s="28">
        <f>IF($A589="","",IF(OR(J589+$F589&gt;$D589+0.001,_xlfn.MAXIFS(Stangenbelegung!$H$5:$H$10004,Stangenbelegung!$A$5:$A$10004,$A589)&gt;$D589-$F589+0.001),"ÜBERBELEGT","OK"))</f>
        <v/>
      </c>
      <c r="N589" s="24" t="n"/>
      <c r="O589" s="24" t="n"/>
      <c r="P589" s="9" t="n"/>
      <c r="Q589" s="18">
        <f>IF($A589="","",IFERROR($D589/1000*INDEX(Profile!$K$5:$K$304,MATCH($B589,lst_Profil,0))*INDEX(Werkstoffe!$E$5:$E$304,MATCH($C589,lst_Werkstoff,0))/1000,""))</f>
        <v/>
      </c>
      <c r="R589" s="18">
        <f>IF($A589="","",IF(N(_xlfn.MAXIFS(Auftrag!$AP$13:$AP$512,Auftrag!$D$13:$D$512,$B589,Auftrag!$E$13:$E$512,$C589,Auftrag!$Q$13:$Q$512,$D589))&gt;0,_xlfn.MAXIFS(Auftrag!$AP$13:$AP$512,Auftrag!$D$13:$D$512,$B589,Auftrag!$E$13:$E$512,$C589,Auftrag!$Q$13:$Q$512,$D589)*$D589/1000,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9" t="n"/>
      <c r="E590" s="24" t="n"/>
      <c r="F590" s="24" t="n"/>
      <c r="G590" s="12">
        <f>IF($A590="","",COUNTIFS(Stangenbelegung!$A$5:$A$10004,$A590))</f>
        <v/>
      </c>
      <c r="H590" s="35">
        <f>IF($A590="","",SUMIFS(Stangenbelegung!$F$5:$F$10004,Stangenbelegung!$A$5:$A$10004,$A590))</f>
        <v/>
      </c>
      <c r="I590" s="23" t="n"/>
      <c r="J590" s="35">
        <f>IF($A590="","",$E590+H590+$I590)</f>
        <v/>
      </c>
      <c r="K590" s="35">
        <f>IF($A590="","",$D590-J590)</f>
        <v/>
      </c>
      <c r="L590" s="32">
        <f>IF($A590="","",H590/$D590)</f>
        <v/>
      </c>
      <c r="M590" s="28">
        <f>IF($A590="","",IF(OR(J590+$F590&gt;$D590+0.001,_xlfn.MAXIFS(Stangenbelegung!$H$5:$H$10004,Stangenbelegung!$A$5:$A$10004,$A590)&gt;$D590-$F590+0.001),"ÜBERBELEGT","OK"))</f>
        <v/>
      </c>
      <c r="N590" s="24" t="n"/>
      <c r="O590" s="24" t="n"/>
      <c r="P590" s="9" t="n"/>
      <c r="Q590" s="18">
        <f>IF($A590="","",IFERROR($D590/1000*INDEX(Profile!$K$5:$K$304,MATCH($B590,lst_Profil,0))*INDEX(Werkstoffe!$E$5:$E$304,MATCH($C590,lst_Werkstoff,0))/1000,""))</f>
        <v/>
      </c>
      <c r="R590" s="18">
        <f>IF($A590="","",IF(N(_xlfn.MAXIFS(Auftrag!$AP$13:$AP$512,Auftrag!$D$13:$D$512,$B590,Auftrag!$E$13:$E$512,$C590,Auftrag!$Q$13:$Q$512,$D590))&gt;0,_xlfn.MAXIFS(Auftrag!$AP$13:$AP$512,Auftrag!$D$13:$D$512,$B590,Auftrag!$E$13:$E$512,$C590,Auftrag!$Q$13:$Q$512,$D590)*$D590/1000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9" t="n"/>
      <c r="E591" s="24" t="n"/>
      <c r="F591" s="24" t="n"/>
      <c r="G591" s="12">
        <f>IF($A591="","",COUNTIFS(Stangenbelegung!$A$5:$A$10004,$A591))</f>
        <v/>
      </c>
      <c r="H591" s="35">
        <f>IF($A591="","",SUMIFS(Stangenbelegung!$F$5:$F$10004,Stangenbelegung!$A$5:$A$10004,$A591))</f>
        <v/>
      </c>
      <c r="I591" s="23" t="n"/>
      <c r="J591" s="35">
        <f>IF($A591="","",$E591+H591+$I591)</f>
        <v/>
      </c>
      <c r="K591" s="35">
        <f>IF($A591="","",$D591-J591)</f>
        <v/>
      </c>
      <c r="L591" s="32">
        <f>IF($A591="","",H591/$D591)</f>
        <v/>
      </c>
      <c r="M591" s="28">
        <f>IF($A591="","",IF(OR(J591+$F591&gt;$D591+0.001,_xlfn.MAXIFS(Stangenbelegung!$H$5:$H$10004,Stangenbelegung!$A$5:$A$10004,$A591)&gt;$D591-$F591+0.001),"ÜBERBELEGT","OK"))</f>
        <v/>
      </c>
      <c r="N591" s="24" t="n"/>
      <c r="O591" s="24" t="n"/>
      <c r="P591" s="9" t="n"/>
      <c r="Q591" s="18">
        <f>IF($A591="","",IFERROR($D591/1000*INDEX(Profile!$K$5:$K$304,MATCH($B591,lst_Profil,0))*INDEX(Werkstoffe!$E$5:$E$304,MATCH($C591,lst_Werkstoff,0))/1000,""))</f>
        <v/>
      </c>
      <c r="R591" s="18">
        <f>IF($A591="","",IF(N(_xlfn.MAXIFS(Auftrag!$AP$13:$AP$512,Auftrag!$D$13:$D$512,$B591,Auftrag!$E$13:$E$512,$C591,Auftrag!$Q$13:$Q$512,$D591))&gt;0,_xlfn.MAXIFS(Auftrag!$AP$13:$AP$512,Auftrag!$D$13:$D$512,$B591,Auftrag!$E$13:$E$512,$C591,Auftrag!$Q$13:$Q$512,$D591)*$D591/1000,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9" t="n"/>
      <c r="E592" s="24" t="n"/>
      <c r="F592" s="24" t="n"/>
      <c r="G592" s="12">
        <f>IF($A592="","",COUNTIFS(Stangenbelegung!$A$5:$A$10004,$A592))</f>
        <v/>
      </c>
      <c r="H592" s="35">
        <f>IF($A592="","",SUMIFS(Stangenbelegung!$F$5:$F$10004,Stangenbelegung!$A$5:$A$10004,$A592))</f>
        <v/>
      </c>
      <c r="I592" s="23" t="n"/>
      <c r="J592" s="35">
        <f>IF($A592="","",$E592+H592+$I592)</f>
        <v/>
      </c>
      <c r="K592" s="35">
        <f>IF($A592="","",$D592-J592)</f>
        <v/>
      </c>
      <c r="L592" s="32">
        <f>IF($A592="","",H592/$D592)</f>
        <v/>
      </c>
      <c r="M592" s="28">
        <f>IF($A592="","",IF(OR(J592+$F592&gt;$D592+0.001,_xlfn.MAXIFS(Stangenbelegung!$H$5:$H$10004,Stangenbelegung!$A$5:$A$10004,$A592)&gt;$D592-$F592+0.001),"ÜBERBELEGT","OK"))</f>
        <v/>
      </c>
      <c r="N592" s="24" t="n"/>
      <c r="O592" s="24" t="n"/>
      <c r="P592" s="9" t="n"/>
      <c r="Q592" s="18">
        <f>IF($A592="","",IFERROR($D592/1000*INDEX(Profile!$K$5:$K$304,MATCH($B592,lst_Profil,0))*INDEX(Werkstoffe!$E$5:$E$304,MATCH($C592,lst_Werkstoff,0))/1000,""))</f>
        <v/>
      </c>
      <c r="R592" s="18">
        <f>IF($A592="","",IF(N(_xlfn.MAXIFS(Auftrag!$AP$13:$AP$512,Auftrag!$D$13:$D$512,$B592,Auftrag!$E$13:$E$512,$C592,Auftrag!$Q$13:$Q$512,$D592))&gt;0,_xlfn.MAXIFS(Auftrag!$AP$13:$AP$512,Auftrag!$D$13:$D$512,$B592,Auftrag!$E$13:$E$512,$C592,Auftrag!$Q$13:$Q$512,$D592)*$D592/1000,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9" t="n"/>
      <c r="E593" s="24" t="n"/>
      <c r="F593" s="24" t="n"/>
      <c r="G593" s="12">
        <f>IF($A593="","",COUNTIFS(Stangenbelegung!$A$5:$A$10004,$A593))</f>
        <v/>
      </c>
      <c r="H593" s="35">
        <f>IF($A593="","",SUMIFS(Stangenbelegung!$F$5:$F$10004,Stangenbelegung!$A$5:$A$10004,$A593))</f>
        <v/>
      </c>
      <c r="I593" s="23" t="n"/>
      <c r="J593" s="35">
        <f>IF($A593="","",$E593+H593+$I593)</f>
        <v/>
      </c>
      <c r="K593" s="35">
        <f>IF($A593="","",$D593-J593)</f>
        <v/>
      </c>
      <c r="L593" s="32">
        <f>IF($A593="","",H593/$D593)</f>
        <v/>
      </c>
      <c r="M593" s="28">
        <f>IF($A593="","",IF(OR(J593+$F593&gt;$D593+0.001,_xlfn.MAXIFS(Stangenbelegung!$H$5:$H$10004,Stangenbelegung!$A$5:$A$10004,$A593)&gt;$D593-$F593+0.001),"ÜBERBELEGT","OK"))</f>
        <v/>
      </c>
      <c r="N593" s="24" t="n"/>
      <c r="O593" s="24" t="n"/>
      <c r="P593" s="9" t="n"/>
      <c r="Q593" s="18">
        <f>IF($A593="","",IFERROR($D593/1000*INDEX(Profile!$K$5:$K$304,MATCH($B593,lst_Profil,0))*INDEX(Werkstoffe!$E$5:$E$304,MATCH($C593,lst_Werkstoff,0))/1000,""))</f>
        <v/>
      </c>
      <c r="R593" s="18">
        <f>IF($A593="","",IF(N(_xlfn.MAXIFS(Auftrag!$AP$13:$AP$512,Auftrag!$D$13:$D$512,$B593,Auftrag!$E$13:$E$512,$C593,Auftrag!$Q$13:$Q$512,$D593))&gt;0,_xlfn.MAXIFS(Auftrag!$AP$13:$AP$512,Auftrag!$D$13:$D$512,$B593,Auftrag!$E$13:$E$512,$C593,Auftrag!$Q$13:$Q$512,$D593)*$D593/1000,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9" t="n"/>
      <c r="E594" s="24" t="n"/>
      <c r="F594" s="24" t="n"/>
      <c r="G594" s="12">
        <f>IF($A594="","",COUNTIFS(Stangenbelegung!$A$5:$A$10004,$A594))</f>
        <v/>
      </c>
      <c r="H594" s="35">
        <f>IF($A594="","",SUMIFS(Stangenbelegung!$F$5:$F$10004,Stangenbelegung!$A$5:$A$10004,$A594))</f>
        <v/>
      </c>
      <c r="I594" s="23" t="n"/>
      <c r="J594" s="35">
        <f>IF($A594="","",$E594+H594+$I594)</f>
        <v/>
      </c>
      <c r="K594" s="35">
        <f>IF($A594="","",$D594-J594)</f>
        <v/>
      </c>
      <c r="L594" s="32">
        <f>IF($A594="","",H594/$D594)</f>
        <v/>
      </c>
      <c r="M594" s="28">
        <f>IF($A594="","",IF(OR(J594+$F594&gt;$D594+0.001,_xlfn.MAXIFS(Stangenbelegung!$H$5:$H$10004,Stangenbelegung!$A$5:$A$10004,$A594)&gt;$D594-$F594+0.001),"ÜBERBELEGT","OK"))</f>
        <v/>
      </c>
      <c r="N594" s="24" t="n"/>
      <c r="O594" s="24" t="n"/>
      <c r="P594" s="9" t="n"/>
      <c r="Q594" s="18">
        <f>IF($A594="","",IFERROR($D594/1000*INDEX(Profile!$K$5:$K$304,MATCH($B594,lst_Profil,0))*INDEX(Werkstoffe!$E$5:$E$304,MATCH($C594,lst_Werkstoff,0))/1000,""))</f>
        <v/>
      </c>
      <c r="R594" s="18">
        <f>IF($A594="","",IF(N(_xlfn.MAXIFS(Auftrag!$AP$13:$AP$512,Auftrag!$D$13:$D$512,$B594,Auftrag!$E$13:$E$512,$C594,Auftrag!$Q$13:$Q$512,$D594))&gt;0,_xlfn.MAXIFS(Auftrag!$AP$13:$AP$512,Auftrag!$D$13:$D$512,$B594,Auftrag!$E$13:$E$512,$C594,Auftrag!$Q$13:$Q$512,$D594)*$D594/1000,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9" t="n"/>
      <c r="E595" s="24" t="n"/>
      <c r="F595" s="24" t="n"/>
      <c r="G595" s="12">
        <f>IF($A595="","",COUNTIFS(Stangenbelegung!$A$5:$A$10004,$A595))</f>
        <v/>
      </c>
      <c r="H595" s="35">
        <f>IF($A595="","",SUMIFS(Stangenbelegung!$F$5:$F$10004,Stangenbelegung!$A$5:$A$10004,$A595))</f>
        <v/>
      </c>
      <c r="I595" s="23" t="n"/>
      <c r="J595" s="35">
        <f>IF($A595="","",$E595+H595+$I595)</f>
        <v/>
      </c>
      <c r="K595" s="35">
        <f>IF($A595="","",$D595-J595)</f>
        <v/>
      </c>
      <c r="L595" s="32">
        <f>IF($A595="","",H595/$D595)</f>
        <v/>
      </c>
      <c r="M595" s="28">
        <f>IF($A595="","",IF(OR(J595+$F595&gt;$D595+0.001,_xlfn.MAXIFS(Stangenbelegung!$H$5:$H$10004,Stangenbelegung!$A$5:$A$10004,$A595)&gt;$D595-$F595+0.001),"ÜBERBELEGT","OK"))</f>
        <v/>
      </c>
      <c r="N595" s="24" t="n"/>
      <c r="O595" s="24" t="n"/>
      <c r="P595" s="9" t="n"/>
      <c r="Q595" s="18">
        <f>IF($A595="","",IFERROR($D595/1000*INDEX(Profile!$K$5:$K$304,MATCH($B595,lst_Profil,0))*INDEX(Werkstoffe!$E$5:$E$304,MATCH($C595,lst_Werkstoff,0))/1000,""))</f>
        <v/>
      </c>
      <c r="R595" s="18">
        <f>IF($A595="","",IF(N(_xlfn.MAXIFS(Auftrag!$AP$13:$AP$512,Auftrag!$D$13:$D$512,$B595,Auftrag!$E$13:$E$512,$C595,Auftrag!$Q$13:$Q$512,$D595))&gt;0,_xlfn.MAXIFS(Auftrag!$AP$13:$AP$512,Auftrag!$D$13:$D$512,$B595,Auftrag!$E$13:$E$512,$C595,Auftrag!$Q$13:$Q$512,$D595)*$D595/1000,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9" t="n"/>
      <c r="E596" s="24" t="n"/>
      <c r="F596" s="24" t="n"/>
      <c r="G596" s="12">
        <f>IF($A596="","",COUNTIFS(Stangenbelegung!$A$5:$A$10004,$A596))</f>
        <v/>
      </c>
      <c r="H596" s="35">
        <f>IF($A596="","",SUMIFS(Stangenbelegung!$F$5:$F$10004,Stangenbelegung!$A$5:$A$10004,$A596))</f>
        <v/>
      </c>
      <c r="I596" s="23" t="n"/>
      <c r="J596" s="35">
        <f>IF($A596="","",$E596+H596+$I596)</f>
        <v/>
      </c>
      <c r="K596" s="35">
        <f>IF($A596="","",$D596-J596)</f>
        <v/>
      </c>
      <c r="L596" s="32">
        <f>IF($A596="","",H596/$D596)</f>
        <v/>
      </c>
      <c r="M596" s="28">
        <f>IF($A596="","",IF(OR(J596+$F596&gt;$D596+0.001,_xlfn.MAXIFS(Stangenbelegung!$H$5:$H$10004,Stangenbelegung!$A$5:$A$10004,$A596)&gt;$D596-$F596+0.001),"ÜBERBELEGT","OK"))</f>
        <v/>
      </c>
      <c r="N596" s="24" t="n"/>
      <c r="O596" s="24" t="n"/>
      <c r="P596" s="9" t="n"/>
      <c r="Q596" s="18">
        <f>IF($A596="","",IFERROR($D596/1000*INDEX(Profile!$K$5:$K$304,MATCH($B596,lst_Profil,0))*INDEX(Werkstoffe!$E$5:$E$304,MATCH($C596,lst_Werkstoff,0))/1000,""))</f>
        <v/>
      </c>
      <c r="R596" s="18">
        <f>IF($A596="","",IF(N(_xlfn.MAXIFS(Auftrag!$AP$13:$AP$512,Auftrag!$D$13:$D$512,$B596,Auftrag!$E$13:$E$512,$C596,Auftrag!$Q$13:$Q$512,$D596))&gt;0,_xlfn.MAXIFS(Auftrag!$AP$13:$AP$512,Auftrag!$D$13:$D$512,$B596,Auftrag!$E$13:$E$512,$C596,Auftrag!$Q$13:$Q$512,$D596)*$D596/1000,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9" t="n"/>
      <c r="E597" s="24" t="n"/>
      <c r="F597" s="24" t="n"/>
      <c r="G597" s="12">
        <f>IF($A597="","",COUNTIFS(Stangenbelegung!$A$5:$A$10004,$A597))</f>
        <v/>
      </c>
      <c r="H597" s="35">
        <f>IF($A597="","",SUMIFS(Stangenbelegung!$F$5:$F$10004,Stangenbelegung!$A$5:$A$10004,$A597))</f>
        <v/>
      </c>
      <c r="I597" s="23" t="n"/>
      <c r="J597" s="35">
        <f>IF($A597="","",$E597+H597+$I597)</f>
        <v/>
      </c>
      <c r="K597" s="35">
        <f>IF($A597="","",$D597-J597)</f>
        <v/>
      </c>
      <c r="L597" s="32">
        <f>IF($A597="","",H597/$D597)</f>
        <v/>
      </c>
      <c r="M597" s="28">
        <f>IF($A597="","",IF(OR(J597+$F597&gt;$D597+0.001,_xlfn.MAXIFS(Stangenbelegung!$H$5:$H$10004,Stangenbelegung!$A$5:$A$10004,$A597)&gt;$D597-$F597+0.001),"ÜBERBELEGT","OK"))</f>
        <v/>
      </c>
      <c r="N597" s="24" t="n"/>
      <c r="O597" s="24" t="n"/>
      <c r="P597" s="9" t="n"/>
      <c r="Q597" s="18">
        <f>IF($A597="","",IFERROR($D597/1000*INDEX(Profile!$K$5:$K$304,MATCH($B597,lst_Profil,0))*INDEX(Werkstoffe!$E$5:$E$304,MATCH($C597,lst_Werkstoff,0))/1000,""))</f>
        <v/>
      </c>
      <c r="R597" s="18">
        <f>IF($A597="","",IF(N(_xlfn.MAXIFS(Auftrag!$AP$13:$AP$512,Auftrag!$D$13:$D$512,$B597,Auftrag!$E$13:$E$512,$C597,Auftrag!$Q$13:$Q$512,$D597))&gt;0,_xlfn.MAXIFS(Auftrag!$AP$13:$AP$512,Auftrag!$D$13:$D$512,$B597,Auftrag!$E$13:$E$512,$C597,Auftrag!$Q$13:$Q$512,$D597)*$D597/1000,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9" t="n"/>
      <c r="E598" s="24" t="n"/>
      <c r="F598" s="24" t="n"/>
      <c r="G598" s="12">
        <f>IF($A598="","",COUNTIFS(Stangenbelegung!$A$5:$A$10004,$A598))</f>
        <v/>
      </c>
      <c r="H598" s="35">
        <f>IF($A598="","",SUMIFS(Stangenbelegung!$F$5:$F$10004,Stangenbelegung!$A$5:$A$10004,$A598))</f>
        <v/>
      </c>
      <c r="I598" s="23" t="n"/>
      <c r="J598" s="35">
        <f>IF($A598="","",$E598+H598+$I598)</f>
        <v/>
      </c>
      <c r="K598" s="35">
        <f>IF($A598="","",$D598-J598)</f>
        <v/>
      </c>
      <c r="L598" s="32">
        <f>IF($A598="","",H598/$D598)</f>
        <v/>
      </c>
      <c r="M598" s="28">
        <f>IF($A598="","",IF(OR(J598+$F598&gt;$D598+0.001,_xlfn.MAXIFS(Stangenbelegung!$H$5:$H$10004,Stangenbelegung!$A$5:$A$10004,$A598)&gt;$D598-$F598+0.001),"ÜBERBELEGT","OK"))</f>
        <v/>
      </c>
      <c r="N598" s="24" t="n"/>
      <c r="O598" s="24" t="n"/>
      <c r="P598" s="9" t="n"/>
      <c r="Q598" s="18">
        <f>IF($A598="","",IFERROR($D598/1000*INDEX(Profile!$K$5:$K$304,MATCH($B598,lst_Profil,0))*INDEX(Werkstoffe!$E$5:$E$304,MATCH($C598,lst_Werkstoff,0))/1000,""))</f>
        <v/>
      </c>
      <c r="R598" s="18">
        <f>IF($A598="","",IF(N(_xlfn.MAXIFS(Auftrag!$AP$13:$AP$512,Auftrag!$D$13:$D$512,$B598,Auftrag!$E$13:$E$512,$C598,Auftrag!$Q$13:$Q$512,$D598))&gt;0,_xlfn.MAXIFS(Auftrag!$AP$13:$AP$512,Auftrag!$D$13:$D$512,$B598,Auftrag!$E$13:$E$512,$C598,Auftrag!$Q$13:$Q$512,$D598)*$D598/1000,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9" t="n"/>
      <c r="E599" s="24" t="n"/>
      <c r="F599" s="24" t="n"/>
      <c r="G599" s="12">
        <f>IF($A599="","",COUNTIFS(Stangenbelegung!$A$5:$A$10004,$A599))</f>
        <v/>
      </c>
      <c r="H599" s="35">
        <f>IF($A599="","",SUMIFS(Stangenbelegung!$F$5:$F$10004,Stangenbelegung!$A$5:$A$10004,$A599))</f>
        <v/>
      </c>
      <c r="I599" s="23" t="n"/>
      <c r="J599" s="35">
        <f>IF($A599="","",$E599+H599+$I599)</f>
        <v/>
      </c>
      <c r="K599" s="35">
        <f>IF($A599="","",$D599-J599)</f>
        <v/>
      </c>
      <c r="L599" s="32">
        <f>IF($A599="","",H599/$D599)</f>
        <v/>
      </c>
      <c r="M599" s="28">
        <f>IF($A599="","",IF(OR(J599+$F599&gt;$D599+0.001,_xlfn.MAXIFS(Stangenbelegung!$H$5:$H$10004,Stangenbelegung!$A$5:$A$10004,$A599)&gt;$D599-$F599+0.001),"ÜBERBELEGT","OK"))</f>
        <v/>
      </c>
      <c r="N599" s="24" t="n"/>
      <c r="O599" s="24" t="n"/>
      <c r="P599" s="9" t="n"/>
      <c r="Q599" s="18">
        <f>IF($A599="","",IFERROR($D599/1000*INDEX(Profile!$K$5:$K$304,MATCH($B599,lst_Profil,0))*INDEX(Werkstoffe!$E$5:$E$304,MATCH($C599,lst_Werkstoff,0))/1000,""))</f>
        <v/>
      </c>
      <c r="R599" s="18">
        <f>IF($A599="","",IF(N(_xlfn.MAXIFS(Auftrag!$AP$13:$AP$512,Auftrag!$D$13:$D$512,$B599,Auftrag!$E$13:$E$512,$C599,Auftrag!$Q$13:$Q$512,$D599))&gt;0,_xlfn.MAXIFS(Auftrag!$AP$13:$AP$512,Auftrag!$D$13:$D$512,$B599,Auftrag!$E$13:$E$512,$C599,Auftrag!$Q$13:$Q$512,$D599)*$D599/1000,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9" t="n"/>
      <c r="E600" s="24" t="n"/>
      <c r="F600" s="24" t="n"/>
      <c r="G600" s="12">
        <f>IF($A600="","",COUNTIFS(Stangenbelegung!$A$5:$A$10004,$A600))</f>
        <v/>
      </c>
      <c r="H600" s="35">
        <f>IF($A600="","",SUMIFS(Stangenbelegung!$F$5:$F$10004,Stangenbelegung!$A$5:$A$10004,$A600))</f>
        <v/>
      </c>
      <c r="I600" s="23" t="n"/>
      <c r="J600" s="35">
        <f>IF($A600="","",$E600+H600+$I600)</f>
        <v/>
      </c>
      <c r="K600" s="35">
        <f>IF($A600="","",$D600-J600)</f>
        <v/>
      </c>
      <c r="L600" s="32">
        <f>IF($A600="","",H600/$D600)</f>
        <v/>
      </c>
      <c r="M600" s="28">
        <f>IF($A600="","",IF(OR(J600+$F600&gt;$D600+0.001,_xlfn.MAXIFS(Stangenbelegung!$H$5:$H$10004,Stangenbelegung!$A$5:$A$10004,$A600)&gt;$D600-$F600+0.001),"ÜBERBELEGT","OK"))</f>
        <v/>
      </c>
      <c r="N600" s="24" t="n"/>
      <c r="O600" s="24" t="n"/>
      <c r="P600" s="9" t="n"/>
      <c r="Q600" s="18">
        <f>IF($A600="","",IFERROR($D600/1000*INDEX(Profile!$K$5:$K$304,MATCH($B600,lst_Profil,0))*INDEX(Werkstoffe!$E$5:$E$304,MATCH($C600,lst_Werkstoff,0))/1000,""))</f>
        <v/>
      </c>
      <c r="R600" s="18">
        <f>IF($A600="","",IF(N(_xlfn.MAXIFS(Auftrag!$AP$13:$AP$512,Auftrag!$D$13:$D$512,$B600,Auftrag!$E$13:$E$512,$C600,Auftrag!$Q$13:$Q$512,$D600))&gt;0,_xlfn.MAXIFS(Auftrag!$AP$13:$AP$512,Auftrag!$D$13:$D$512,$B600,Auftrag!$E$13:$E$512,$C600,Auftrag!$Q$13:$Q$512,$D600)*$D600/1000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9" t="n"/>
      <c r="E601" s="24" t="n"/>
      <c r="F601" s="24" t="n"/>
      <c r="G601" s="12">
        <f>IF($A601="","",COUNTIFS(Stangenbelegung!$A$5:$A$10004,$A601))</f>
        <v/>
      </c>
      <c r="H601" s="35">
        <f>IF($A601="","",SUMIFS(Stangenbelegung!$F$5:$F$10004,Stangenbelegung!$A$5:$A$10004,$A601))</f>
        <v/>
      </c>
      <c r="I601" s="23" t="n"/>
      <c r="J601" s="35">
        <f>IF($A601="","",$E601+H601+$I601)</f>
        <v/>
      </c>
      <c r="K601" s="35">
        <f>IF($A601="","",$D601-J601)</f>
        <v/>
      </c>
      <c r="L601" s="32">
        <f>IF($A601="","",H601/$D601)</f>
        <v/>
      </c>
      <c r="M601" s="28">
        <f>IF($A601="","",IF(OR(J601+$F601&gt;$D601+0.001,_xlfn.MAXIFS(Stangenbelegung!$H$5:$H$10004,Stangenbelegung!$A$5:$A$10004,$A601)&gt;$D601-$F601+0.001),"ÜBERBELEGT","OK"))</f>
        <v/>
      </c>
      <c r="N601" s="24" t="n"/>
      <c r="O601" s="24" t="n"/>
      <c r="P601" s="9" t="n"/>
      <c r="Q601" s="18">
        <f>IF($A601="","",IFERROR($D601/1000*INDEX(Profile!$K$5:$K$304,MATCH($B601,lst_Profil,0))*INDEX(Werkstoffe!$E$5:$E$304,MATCH($C601,lst_Werkstoff,0))/1000,""))</f>
        <v/>
      </c>
      <c r="R601" s="18">
        <f>IF($A601="","",IF(N(_xlfn.MAXIFS(Auftrag!$AP$13:$AP$512,Auftrag!$D$13:$D$512,$B601,Auftrag!$E$13:$E$512,$C601,Auftrag!$Q$13:$Q$512,$D601))&gt;0,_xlfn.MAXIFS(Auftrag!$AP$13:$AP$512,Auftrag!$D$13:$D$512,$B601,Auftrag!$E$13:$E$512,$C601,Auftrag!$Q$13:$Q$512,$D601)*$D601/1000,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9" t="n"/>
      <c r="E602" s="24" t="n"/>
      <c r="F602" s="24" t="n"/>
      <c r="G602" s="12">
        <f>IF($A602="","",COUNTIFS(Stangenbelegung!$A$5:$A$10004,$A602))</f>
        <v/>
      </c>
      <c r="H602" s="35">
        <f>IF($A602="","",SUMIFS(Stangenbelegung!$F$5:$F$10004,Stangenbelegung!$A$5:$A$10004,$A602))</f>
        <v/>
      </c>
      <c r="I602" s="23" t="n"/>
      <c r="J602" s="35">
        <f>IF($A602="","",$E602+H602+$I602)</f>
        <v/>
      </c>
      <c r="K602" s="35">
        <f>IF($A602="","",$D602-J602)</f>
        <v/>
      </c>
      <c r="L602" s="32">
        <f>IF($A602="","",H602/$D602)</f>
        <v/>
      </c>
      <c r="M602" s="28">
        <f>IF($A602="","",IF(OR(J602+$F602&gt;$D602+0.001,_xlfn.MAXIFS(Stangenbelegung!$H$5:$H$10004,Stangenbelegung!$A$5:$A$10004,$A602)&gt;$D602-$F602+0.001),"ÜBERBELEGT","OK"))</f>
        <v/>
      </c>
      <c r="N602" s="24" t="n"/>
      <c r="O602" s="24" t="n"/>
      <c r="P602" s="9" t="n"/>
      <c r="Q602" s="18">
        <f>IF($A602="","",IFERROR($D602/1000*INDEX(Profile!$K$5:$K$304,MATCH($B602,lst_Profil,0))*INDEX(Werkstoffe!$E$5:$E$304,MATCH($C602,lst_Werkstoff,0))/1000,""))</f>
        <v/>
      </c>
      <c r="R602" s="18">
        <f>IF($A602="","",IF(N(_xlfn.MAXIFS(Auftrag!$AP$13:$AP$512,Auftrag!$D$13:$D$512,$B602,Auftrag!$E$13:$E$512,$C602,Auftrag!$Q$13:$Q$512,$D602))&gt;0,_xlfn.MAXIFS(Auftrag!$AP$13:$AP$512,Auftrag!$D$13:$D$512,$B602,Auftrag!$E$13:$E$512,$C602,Auftrag!$Q$13:$Q$512,$D602)*$D602/1000,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9" t="n"/>
      <c r="E603" s="24" t="n"/>
      <c r="F603" s="24" t="n"/>
      <c r="G603" s="12">
        <f>IF($A603="","",COUNTIFS(Stangenbelegung!$A$5:$A$10004,$A603))</f>
        <v/>
      </c>
      <c r="H603" s="35">
        <f>IF($A603="","",SUMIFS(Stangenbelegung!$F$5:$F$10004,Stangenbelegung!$A$5:$A$10004,$A603))</f>
        <v/>
      </c>
      <c r="I603" s="23" t="n"/>
      <c r="J603" s="35">
        <f>IF($A603="","",$E603+H603+$I603)</f>
        <v/>
      </c>
      <c r="K603" s="35">
        <f>IF($A603="","",$D603-J603)</f>
        <v/>
      </c>
      <c r="L603" s="32">
        <f>IF($A603="","",H603/$D603)</f>
        <v/>
      </c>
      <c r="M603" s="28">
        <f>IF($A603="","",IF(OR(J603+$F603&gt;$D603+0.001,_xlfn.MAXIFS(Stangenbelegung!$H$5:$H$10004,Stangenbelegung!$A$5:$A$10004,$A603)&gt;$D603-$F603+0.001),"ÜBERBELEGT","OK"))</f>
        <v/>
      </c>
      <c r="N603" s="24" t="n"/>
      <c r="O603" s="24" t="n"/>
      <c r="P603" s="9" t="n"/>
      <c r="Q603" s="18">
        <f>IF($A603="","",IFERROR($D603/1000*INDEX(Profile!$K$5:$K$304,MATCH($B603,lst_Profil,0))*INDEX(Werkstoffe!$E$5:$E$304,MATCH($C603,lst_Werkstoff,0))/1000,""))</f>
        <v/>
      </c>
      <c r="R603" s="18">
        <f>IF($A603="","",IF(N(_xlfn.MAXIFS(Auftrag!$AP$13:$AP$512,Auftrag!$D$13:$D$512,$B603,Auftrag!$E$13:$E$512,$C603,Auftrag!$Q$13:$Q$512,$D603))&gt;0,_xlfn.MAXIFS(Auftrag!$AP$13:$AP$512,Auftrag!$D$13:$D$512,$B603,Auftrag!$E$13:$E$512,$C603,Auftrag!$Q$13:$Q$512,$D603)*$D603/1000,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9" t="n"/>
      <c r="E604" s="24" t="n"/>
      <c r="F604" s="24" t="n"/>
      <c r="G604" s="12">
        <f>IF($A604="","",COUNTIFS(Stangenbelegung!$A$5:$A$10004,$A604))</f>
        <v/>
      </c>
      <c r="H604" s="35">
        <f>IF($A604="","",SUMIFS(Stangenbelegung!$F$5:$F$10004,Stangenbelegung!$A$5:$A$10004,$A604))</f>
        <v/>
      </c>
      <c r="I604" s="23" t="n"/>
      <c r="J604" s="35">
        <f>IF($A604="","",$E604+H604+$I604)</f>
        <v/>
      </c>
      <c r="K604" s="35">
        <f>IF($A604="","",$D604-J604)</f>
        <v/>
      </c>
      <c r="L604" s="32">
        <f>IF($A604="","",H604/$D604)</f>
        <v/>
      </c>
      <c r="M604" s="28">
        <f>IF($A604="","",IF(OR(J604+$F604&gt;$D604+0.001,_xlfn.MAXIFS(Stangenbelegung!$H$5:$H$10004,Stangenbelegung!$A$5:$A$10004,$A604)&gt;$D604-$F604+0.001),"ÜBERBELEGT","OK"))</f>
        <v/>
      </c>
      <c r="N604" s="24" t="n"/>
      <c r="O604" s="24" t="n"/>
      <c r="P604" s="9" t="n"/>
      <c r="Q604" s="18">
        <f>IF($A604="","",IFERROR($D604/1000*INDEX(Profile!$K$5:$K$304,MATCH($B604,lst_Profil,0))*INDEX(Werkstoffe!$E$5:$E$304,MATCH($C604,lst_Werkstoff,0))/1000,""))</f>
        <v/>
      </c>
      <c r="R604" s="18">
        <f>IF($A604="","",IF(N(_xlfn.MAXIFS(Auftrag!$AP$13:$AP$512,Auftrag!$D$13:$D$512,$B604,Auftrag!$E$13:$E$512,$C604,Auftrag!$Q$13:$Q$512,$D604))&gt;0,_xlfn.MAXIFS(Auftrag!$AP$13:$AP$512,Auftrag!$D$13:$D$512,$B604,Auftrag!$E$13:$E$512,$C604,Auftrag!$Q$13:$Q$512,$D604)*$D604/1000,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9" t="n"/>
      <c r="E605" s="24" t="n"/>
      <c r="F605" s="24" t="n"/>
      <c r="G605" s="12">
        <f>IF($A605="","",COUNTIFS(Stangenbelegung!$A$5:$A$10004,$A605))</f>
        <v/>
      </c>
      <c r="H605" s="35">
        <f>IF($A605="","",SUMIFS(Stangenbelegung!$F$5:$F$10004,Stangenbelegung!$A$5:$A$10004,$A605))</f>
        <v/>
      </c>
      <c r="I605" s="23" t="n"/>
      <c r="J605" s="35">
        <f>IF($A605="","",$E605+H605+$I605)</f>
        <v/>
      </c>
      <c r="K605" s="35">
        <f>IF($A605="","",$D605-J605)</f>
        <v/>
      </c>
      <c r="L605" s="32">
        <f>IF($A605="","",H605/$D605)</f>
        <v/>
      </c>
      <c r="M605" s="28">
        <f>IF($A605="","",IF(OR(J605+$F605&gt;$D605+0.001,_xlfn.MAXIFS(Stangenbelegung!$H$5:$H$10004,Stangenbelegung!$A$5:$A$10004,$A605)&gt;$D605-$F605+0.001),"ÜBERBELEGT","OK"))</f>
        <v/>
      </c>
      <c r="N605" s="24" t="n"/>
      <c r="O605" s="24" t="n"/>
      <c r="P605" s="9" t="n"/>
      <c r="Q605" s="18">
        <f>IF($A605="","",IFERROR($D605/1000*INDEX(Profile!$K$5:$K$304,MATCH($B605,lst_Profil,0))*INDEX(Werkstoffe!$E$5:$E$304,MATCH($C605,lst_Werkstoff,0))/1000,""))</f>
        <v/>
      </c>
      <c r="R605" s="18">
        <f>IF($A605="","",IF(N(_xlfn.MAXIFS(Auftrag!$AP$13:$AP$512,Auftrag!$D$13:$D$512,$B605,Auftrag!$E$13:$E$512,$C605,Auftrag!$Q$13:$Q$512,$D605))&gt;0,_xlfn.MAXIFS(Auftrag!$AP$13:$AP$512,Auftrag!$D$13:$D$512,$B605,Auftrag!$E$13:$E$512,$C605,Auftrag!$Q$13:$Q$512,$D605)*$D605/1000,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9" t="n"/>
      <c r="E606" s="24" t="n"/>
      <c r="F606" s="24" t="n"/>
      <c r="G606" s="12">
        <f>IF($A606="","",COUNTIFS(Stangenbelegung!$A$5:$A$10004,$A606))</f>
        <v/>
      </c>
      <c r="H606" s="35">
        <f>IF($A606="","",SUMIFS(Stangenbelegung!$F$5:$F$10004,Stangenbelegung!$A$5:$A$10004,$A606))</f>
        <v/>
      </c>
      <c r="I606" s="23" t="n"/>
      <c r="J606" s="35">
        <f>IF($A606="","",$E606+H606+$I606)</f>
        <v/>
      </c>
      <c r="K606" s="35">
        <f>IF($A606="","",$D606-J606)</f>
        <v/>
      </c>
      <c r="L606" s="32">
        <f>IF($A606="","",H606/$D606)</f>
        <v/>
      </c>
      <c r="M606" s="28">
        <f>IF($A606="","",IF(OR(J606+$F606&gt;$D606+0.001,_xlfn.MAXIFS(Stangenbelegung!$H$5:$H$10004,Stangenbelegung!$A$5:$A$10004,$A606)&gt;$D606-$F606+0.001),"ÜBERBELEGT","OK"))</f>
        <v/>
      </c>
      <c r="N606" s="24" t="n"/>
      <c r="O606" s="24" t="n"/>
      <c r="P606" s="9" t="n"/>
      <c r="Q606" s="18">
        <f>IF($A606="","",IFERROR($D606/1000*INDEX(Profile!$K$5:$K$304,MATCH($B606,lst_Profil,0))*INDEX(Werkstoffe!$E$5:$E$304,MATCH($C606,lst_Werkstoff,0))/1000,""))</f>
        <v/>
      </c>
      <c r="R606" s="18">
        <f>IF($A606="","",IF(N(_xlfn.MAXIFS(Auftrag!$AP$13:$AP$512,Auftrag!$D$13:$D$512,$B606,Auftrag!$E$13:$E$512,$C606,Auftrag!$Q$13:$Q$512,$D606))&gt;0,_xlfn.MAXIFS(Auftrag!$AP$13:$AP$512,Auftrag!$D$13:$D$512,$B606,Auftrag!$E$13:$E$512,$C606,Auftrag!$Q$13:$Q$512,$D606)*$D606/1000,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9" t="n"/>
      <c r="E607" s="24" t="n"/>
      <c r="F607" s="24" t="n"/>
      <c r="G607" s="12">
        <f>IF($A607="","",COUNTIFS(Stangenbelegung!$A$5:$A$10004,$A607))</f>
        <v/>
      </c>
      <c r="H607" s="35">
        <f>IF($A607="","",SUMIFS(Stangenbelegung!$F$5:$F$10004,Stangenbelegung!$A$5:$A$10004,$A607))</f>
        <v/>
      </c>
      <c r="I607" s="23" t="n"/>
      <c r="J607" s="35">
        <f>IF($A607="","",$E607+H607+$I607)</f>
        <v/>
      </c>
      <c r="K607" s="35">
        <f>IF($A607="","",$D607-J607)</f>
        <v/>
      </c>
      <c r="L607" s="32">
        <f>IF($A607="","",H607/$D607)</f>
        <v/>
      </c>
      <c r="M607" s="28">
        <f>IF($A607="","",IF(OR(J607+$F607&gt;$D607+0.001,_xlfn.MAXIFS(Stangenbelegung!$H$5:$H$10004,Stangenbelegung!$A$5:$A$10004,$A607)&gt;$D607-$F607+0.001),"ÜBERBELEGT","OK"))</f>
        <v/>
      </c>
      <c r="N607" s="24" t="n"/>
      <c r="O607" s="24" t="n"/>
      <c r="P607" s="9" t="n"/>
      <c r="Q607" s="18">
        <f>IF($A607="","",IFERROR($D607/1000*INDEX(Profile!$K$5:$K$304,MATCH($B607,lst_Profil,0))*INDEX(Werkstoffe!$E$5:$E$304,MATCH($C607,lst_Werkstoff,0))/1000,""))</f>
        <v/>
      </c>
      <c r="R607" s="18">
        <f>IF($A607="","",IF(N(_xlfn.MAXIFS(Auftrag!$AP$13:$AP$512,Auftrag!$D$13:$D$512,$B607,Auftrag!$E$13:$E$512,$C607,Auftrag!$Q$13:$Q$512,$D607))&gt;0,_xlfn.MAXIFS(Auftrag!$AP$13:$AP$512,Auftrag!$D$13:$D$512,$B607,Auftrag!$E$13:$E$512,$C607,Auftrag!$Q$13:$Q$512,$D607)*$D607/1000,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9" t="n"/>
      <c r="E608" s="24" t="n"/>
      <c r="F608" s="24" t="n"/>
      <c r="G608" s="12">
        <f>IF($A608="","",COUNTIFS(Stangenbelegung!$A$5:$A$10004,$A608))</f>
        <v/>
      </c>
      <c r="H608" s="35">
        <f>IF($A608="","",SUMIFS(Stangenbelegung!$F$5:$F$10004,Stangenbelegung!$A$5:$A$10004,$A608))</f>
        <v/>
      </c>
      <c r="I608" s="23" t="n"/>
      <c r="J608" s="35">
        <f>IF($A608="","",$E608+H608+$I608)</f>
        <v/>
      </c>
      <c r="K608" s="35">
        <f>IF($A608="","",$D608-J608)</f>
        <v/>
      </c>
      <c r="L608" s="32">
        <f>IF($A608="","",H608/$D608)</f>
        <v/>
      </c>
      <c r="M608" s="28">
        <f>IF($A608="","",IF(OR(J608+$F608&gt;$D608+0.001,_xlfn.MAXIFS(Stangenbelegung!$H$5:$H$10004,Stangenbelegung!$A$5:$A$10004,$A608)&gt;$D608-$F608+0.001),"ÜBERBELEGT","OK"))</f>
        <v/>
      </c>
      <c r="N608" s="24" t="n"/>
      <c r="O608" s="24" t="n"/>
      <c r="P608" s="9" t="n"/>
      <c r="Q608" s="18">
        <f>IF($A608="","",IFERROR($D608/1000*INDEX(Profile!$K$5:$K$304,MATCH($B608,lst_Profil,0))*INDEX(Werkstoffe!$E$5:$E$304,MATCH($C608,lst_Werkstoff,0))/1000,""))</f>
        <v/>
      </c>
      <c r="R608" s="18">
        <f>IF($A608="","",IF(N(_xlfn.MAXIFS(Auftrag!$AP$13:$AP$512,Auftrag!$D$13:$D$512,$B608,Auftrag!$E$13:$E$512,$C608,Auftrag!$Q$13:$Q$512,$D608))&gt;0,_xlfn.MAXIFS(Auftrag!$AP$13:$AP$512,Auftrag!$D$13:$D$512,$B608,Auftrag!$E$13:$E$512,$C608,Auftrag!$Q$13:$Q$512,$D608)*$D608/1000,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9" t="n"/>
      <c r="E609" s="24" t="n"/>
      <c r="F609" s="24" t="n"/>
      <c r="G609" s="12">
        <f>IF($A609="","",COUNTIFS(Stangenbelegung!$A$5:$A$10004,$A609))</f>
        <v/>
      </c>
      <c r="H609" s="35">
        <f>IF($A609="","",SUMIFS(Stangenbelegung!$F$5:$F$10004,Stangenbelegung!$A$5:$A$10004,$A609))</f>
        <v/>
      </c>
      <c r="I609" s="23" t="n"/>
      <c r="J609" s="35">
        <f>IF($A609="","",$E609+H609+$I609)</f>
        <v/>
      </c>
      <c r="K609" s="35">
        <f>IF($A609="","",$D609-J609)</f>
        <v/>
      </c>
      <c r="L609" s="32">
        <f>IF($A609="","",H609/$D609)</f>
        <v/>
      </c>
      <c r="M609" s="28">
        <f>IF($A609="","",IF(OR(J609+$F609&gt;$D609+0.001,_xlfn.MAXIFS(Stangenbelegung!$H$5:$H$10004,Stangenbelegung!$A$5:$A$10004,$A609)&gt;$D609-$F609+0.001),"ÜBERBELEGT","OK"))</f>
        <v/>
      </c>
      <c r="N609" s="24" t="n"/>
      <c r="O609" s="24" t="n"/>
      <c r="P609" s="9" t="n"/>
      <c r="Q609" s="18">
        <f>IF($A609="","",IFERROR($D609/1000*INDEX(Profile!$K$5:$K$304,MATCH($B609,lst_Profil,0))*INDEX(Werkstoffe!$E$5:$E$304,MATCH($C609,lst_Werkstoff,0))/1000,""))</f>
        <v/>
      </c>
      <c r="R609" s="18">
        <f>IF($A609="","",IF(N(_xlfn.MAXIFS(Auftrag!$AP$13:$AP$512,Auftrag!$D$13:$D$512,$B609,Auftrag!$E$13:$E$512,$C609,Auftrag!$Q$13:$Q$512,$D609))&gt;0,_xlfn.MAXIFS(Auftrag!$AP$13:$AP$512,Auftrag!$D$13:$D$512,$B609,Auftrag!$E$13:$E$512,$C609,Auftrag!$Q$13:$Q$512,$D609)*$D609/1000,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9" t="n"/>
      <c r="E610" s="24" t="n"/>
      <c r="F610" s="24" t="n"/>
      <c r="G610" s="12">
        <f>IF($A610="","",COUNTIFS(Stangenbelegung!$A$5:$A$10004,$A610))</f>
        <v/>
      </c>
      <c r="H610" s="35">
        <f>IF($A610="","",SUMIFS(Stangenbelegung!$F$5:$F$10004,Stangenbelegung!$A$5:$A$10004,$A610))</f>
        <v/>
      </c>
      <c r="I610" s="23" t="n"/>
      <c r="J610" s="35">
        <f>IF($A610="","",$E610+H610+$I610)</f>
        <v/>
      </c>
      <c r="K610" s="35">
        <f>IF($A610="","",$D610-J610)</f>
        <v/>
      </c>
      <c r="L610" s="32">
        <f>IF($A610="","",H610/$D610)</f>
        <v/>
      </c>
      <c r="M610" s="28">
        <f>IF($A610="","",IF(OR(J610+$F610&gt;$D610+0.001,_xlfn.MAXIFS(Stangenbelegung!$H$5:$H$10004,Stangenbelegung!$A$5:$A$10004,$A610)&gt;$D610-$F610+0.001),"ÜBERBELEGT","OK"))</f>
        <v/>
      </c>
      <c r="N610" s="24" t="n"/>
      <c r="O610" s="24" t="n"/>
      <c r="P610" s="9" t="n"/>
      <c r="Q610" s="18">
        <f>IF($A610="","",IFERROR($D610/1000*INDEX(Profile!$K$5:$K$304,MATCH($B610,lst_Profil,0))*INDEX(Werkstoffe!$E$5:$E$304,MATCH($C610,lst_Werkstoff,0))/1000,""))</f>
        <v/>
      </c>
      <c r="R610" s="18">
        <f>IF($A610="","",IF(N(_xlfn.MAXIFS(Auftrag!$AP$13:$AP$512,Auftrag!$D$13:$D$512,$B610,Auftrag!$E$13:$E$512,$C610,Auftrag!$Q$13:$Q$512,$D610))&gt;0,_xlfn.MAXIFS(Auftrag!$AP$13:$AP$512,Auftrag!$D$13:$D$512,$B610,Auftrag!$E$13:$E$512,$C610,Auftrag!$Q$13:$Q$512,$D610)*$D610/1000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9" t="n"/>
      <c r="E611" s="24" t="n"/>
      <c r="F611" s="24" t="n"/>
      <c r="G611" s="12">
        <f>IF($A611="","",COUNTIFS(Stangenbelegung!$A$5:$A$10004,$A611))</f>
        <v/>
      </c>
      <c r="H611" s="35">
        <f>IF($A611="","",SUMIFS(Stangenbelegung!$F$5:$F$10004,Stangenbelegung!$A$5:$A$10004,$A611))</f>
        <v/>
      </c>
      <c r="I611" s="23" t="n"/>
      <c r="J611" s="35">
        <f>IF($A611="","",$E611+H611+$I611)</f>
        <v/>
      </c>
      <c r="K611" s="35">
        <f>IF($A611="","",$D611-J611)</f>
        <v/>
      </c>
      <c r="L611" s="32">
        <f>IF($A611="","",H611/$D611)</f>
        <v/>
      </c>
      <c r="M611" s="28">
        <f>IF($A611="","",IF(OR(J611+$F611&gt;$D611+0.001,_xlfn.MAXIFS(Stangenbelegung!$H$5:$H$10004,Stangenbelegung!$A$5:$A$10004,$A611)&gt;$D611-$F611+0.001),"ÜBERBELEGT","OK"))</f>
        <v/>
      </c>
      <c r="N611" s="24" t="n"/>
      <c r="O611" s="24" t="n"/>
      <c r="P611" s="9" t="n"/>
      <c r="Q611" s="18">
        <f>IF($A611="","",IFERROR($D611/1000*INDEX(Profile!$K$5:$K$304,MATCH($B611,lst_Profil,0))*INDEX(Werkstoffe!$E$5:$E$304,MATCH($C611,lst_Werkstoff,0))/1000,""))</f>
        <v/>
      </c>
      <c r="R611" s="18">
        <f>IF($A611="","",IF(N(_xlfn.MAXIFS(Auftrag!$AP$13:$AP$512,Auftrag!$D$13:$D$512,$B611,Auftrag!$E$13:$E$512,$C611,Auftrag!$Q$13:$Q$512,$D611))&gt;0,_xlfn.MAXIFS(Auftrag!$AP$13:$AP$512,Auftrag!$D$13:$D$512,$B611,Auftrag!$E$13:$E$512,$C611,Auftrag!$Q$13:$Q$512,$D611)*$D611/1000,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9" t="n"/>
      <c r="E612" s="24" t="n"/>
      <c r="F612" s="24" t="n"/>
      <c r="G612" s="12">
        <f>IF($A612="","",COUNTIFS(Stangenbelegung!$A$5:$A$10004,$A612))</f>
        <v/>
      </c>
      <c r="H612" s="35">
        <f>IF($A612="","",SUMIFS(Stangenbelegung!$F$5:$F$10004,Stangenbelegung!$A$5:$A$10004,$A612))</f>
        <v/>
      </c>
      <c r="I612" s="23" t="n"/>
      <c r="J612" s="35">
        <f>IF($A612="","",$E612+H612+$I612)</f>
        <v/>
      </c>
      <c r="K612" s="35">
        <f>IF($A612="","",$D612-J612)</f>
        <v/>
      </c>
      <c r="L612" s="32">
        <f>IF($A612="","",H612/$D612)</f>
        <v/>
      </c>
      <c r="M612" s="28">
        <f>IF($A612="","",IF(OR(J612+$F612&gt;$D612+0.001,_xlfn.MAXIFS(Stangenbelegung!$H$5:$H$10004,Stangenbelegung!$A$5:$A$10004,$A612)&gt;$D612-$F612+0.001),"ÜBERBELEGT","OK"))</f>
        <v/>
      </c>
      <c r="N612" s="24" t="n"/>
      <c r="O612" s="24" t="n"/>
      <c r="P612" s="9" t="n"/>
      <c r="Q612" s="18">
        <f>IF($A612="","",IFERROR($D612/1000*INDEX(Profile!$K$5:$K$304,MATCH($B612,lst_Profil,0))*INDEX(Werkstoffe!$E$5:$E$304,MATCH($C612,lst_Werkstoff,0))/1000,""))</f>
        <v/>
      </c>
      <c r="R612" s="18">
        <f>IF($A612="","",IF(N(_xlfn.MAXIFS(Auftrag!$AP$13:$AP$512,Auftrag!$D$13:$D$512,$B612,Auftrag!$E$13:$E$512,$C612,Auftrag!$Q$13:$Q$512,$D612))&gt;0,_xlfn.MAXIFS(Auftrag!$AP$13:$AP$512,Auftrag!$D$13:$D$512,$B612,Auftrag!$E$13:$E$512,$C612,Auftrag!$Q$13:$Q$512,$D612)*$D612/1000,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9" t="n"/>
      <c r="E613" s="24" t="n"/>
      <c r="F613" s="24" t="n"/>
      <c r="G613" s="12">
        <f>IF($A613="","",COUNTIFS(Stangenbelegung!$A$5:$A$10004,$A613))</f>
        <v/>
      </c>
      <c r="H613" s="35">
        <f>IF($A613="","",SUMIFS(Stangenbelegung!$F$5:$F$10004,Stangenbelegung!$A$5:$A$10004,$A613))</f>
        <v/>
      </c>
      <c r="I613" s="23" t="n"/>
      <c r="J613" s="35">
        <f>IF($A613="","",$E613+H613+$I613)</f>
        <v/>
      </c>
      <c r="K613" s="35">
        <f>IF($A613="","",$D613-J613)</f>
        <v/>
      </c>
      <c r="L613" s="32">
        <f>IF($A613="","",H613/$D613)</f>
        <v/>
      </c>
      <c r="M613" s="28">
        <f>IF($A613="","",IF(OR(J613+$F613&gt;$D613+0.001,_xlfn.MAXIFS(Stangenbelegung!$H$5:$H$10004,Stangenbelegung!$A$5:$A$10004,$A613)&gt;$D613-$F613+0.001),"ÜBERBELEGT","OK"))</f>
        <v/>
      </c>
      <c r="N613" s="24" t="n"/>
      <c r="O613" s="24" t="n"/>
      <c r="P613" s="9" t="n"/>
      <c r="Q613" s="18">
        <f>IF($A613="","",IFERROR($D613/1000*INDEX(Profile!$K$5:$K$304,MATCH($B613,lst_Profil,0))*INDEX(Werkstoffe!$E$5:$E$304,MATCH($C613,lst_Werkstoff,0))/1000,""))</f>
        <v/>
      </c>
      <c r="R613" s="18">
        <f>IF($A613="","",IF(N(_xlfn.MAXIFS(Auftrag!$AP$13:$AP$512,Auftrag!$D$13:$D$512,$B613,Auftrag!$E$13:$E$512,$C613,Auftrag!$Q$13:$Q$512,$D613))&gt;0,_xlfn.MAXIFS(Auftrag!$AP$13:$AP$512,Auftrag!$D$13:$D$512,$B613,Auftrag!$E$13:$E$512,$C613,Auftrag!$Q$13:$Q$512,$D613)*$D613/1000,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9" t="n"/>
      <c r="E614" s="24" t="n"/>
      <c r="F614" s="24" t="n"/>
      <c r="G614" s="12">
        <f>IF($A614="","",COUNTIFS(Stangenbelegung!$A$5:$A$10004,$A614))</f>
        <v/>
      </c>
      <c r="H614" s="35">
        <f>IF($A614="","",SUMIFS(Stangenbelegung!$F$5:$F$10004,Stangenbelegung!$A$5:$A$10004,$A614))</f>
        <v/>
      </c>
      <c r="I614" s="23" t="n"/>
      <c r="J614" s="35">
        <f>IF($A614="","",$E614+H614+$I614)</f>
        <v/>
      </c>
      <c r="K614" s="35">
        <f>IF($A614="","",$D614-J614)</f>
        <v/>
      </c>
      <c r="L614" s="32">
        <f>IF($A614="","",H614/$D614)</f>
        <v/>
      </c>
      <c r="M614" s="28">
        <f>IF($A614="","",IF(OR(J614+$F614&gt;$D614+0.001,_xlfn.MAXIFS(Stangenbelegung!$H$5:$H$10004,Stangenbelegung!$A$5:$A$10004,$A614)&gt;$D614-$F614+0.001),"ÜBERBELEGT","OK"))</f>
        <v/>
      </c>
      <c r="N614" s="24" t="n"/>
      <c r="O614" s="24" t="n"/>
      <c r="P614" s="9" t="n"/>
      <c r="Q614" s="18">
        <f>IF($A614="","",IFERROR($D614/1000*INDEX(Profile!$K$5:$K$304,MATCH($B614,lst_Profil,0))*INDEX(Werkstoffe!$E$5:$E$304,MATCH($C614,lst_Werkstoff,0))/1000,""))</f>
        <v/>
      </c>
      <c r="R614" s="18">
        <f>IF($A614="","",IF(N(_xlfn.MAXIFS(Auftrag!$AP$13:$AP$512,Auftrag!$D$13:$D$512,$B614,Auftrag!$E$13:$E$512,$C614,Auftrag!$Q$13:$Q$512,$D614))&gt;0,_xlfn.MAXIFS(Auftrag!$AP$13:$AP$512,Auftrag!$D$13:$D$512,$B614,Auftrag!$E$13:$E$512,$C614,Auftrag!$Q$13:$Q$512,$D614)*$D614/1000,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9" t="n"/>
      <c r="E615" s="24" t="n"/>
      <c r="F615" s="24" t="n"/>
      <c r="G615" s="12">
        <f>IF($A615="","",COUNTIFS(Stangenbelegung!$A$5:$A$10004,$A615))</f>
        <v/>
      </c>
      <c r="H615" s="35">
        <f>IF($A615="","",SUMIFS(Stangenbelegung!$F$5:$F$10004,Stangenbelegung!$A$5:$A$10004,$A615))</f>
        <v/>
      </c>
      <c r="I615" s="23" t="n"/>
      <c r="J615" s="35">
        <f>IF($A615="","",$E615+H615+$I615)</f>
        <v/>
      </c>
      <c r="K615" s="35">
        <f>IF($A615="","",$D615-J615)</f>
        <v/>
      </c>
      <c r="L615" s="32">
        <f>IF($A615="","",H615/$D615)</f>
        <v/>
      </c>
      <c r="M615" s="28">
        <f>IF($A615="","",IF(OR(J615+$F615&gt;$D615+0.001,_xlfn.MAXIFS(Stangenbelegung!$H$5:$H$10004,Stangenbelegung!$A$5:$A$10004,$A615)&gt;$D615-$F615+0.001),"ÜBERBELEGT","OK"))</f>
        <v/>
      </c>
      <c r="N615" s="24" t="n"/>
      <c r="O615" s="24" t="n"/>
      <c r="P615" s="9" t="n"/>
      <c r="Q615" s="18">
        <f>IF($A615="","",IFERROR($D615/1000*INDEX(Profile!$K$5:$K$304,MATCH($B615,lst_Profil,0))*INDEX(Werkstoffe!$E$5:$E$304,MATCH($C615,lst_Werkstoff,0))/1000,""))</f>
        <v/>
      </c>
      <c r="R615" s="18">
        <f>IF($A615="","",IF(N(_xlfn.MAXIFS(Auftrag!$AP$13:$AP$512,Auftrag!$D$13:$D$512,$B615,Auftrag!$E$13:$E$512,$C615,Auftrag!$Q$13:$Q$512,$D615))&gt;0,_xlfn.MAXIFS(Auftrag!$AP$13:$AP$512,Auftrag!$D$13:$D$512,$B615,Auftrag!$E$13:$E$512,$C615,Auftrag!$Q$13:$Q$512,$D615)*$D615/1000,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9" t="n"/>
      <c r="E616" s="24" t="n"/>
      <c r="F616" s="24" t="n"/>
      <c r="G616" s="12">
        <f>IF($A616="","",COUNTIFS(Stangenbelegung!$A$5:$A$10004,$A616))</f>
        <v/>
      </c>
      <c r="H616" s="35">
        <f>IF($A616="","",SUMIFS(Stangenbelegung!$F$5:$F$10004,Stangenbelegung!$A$5:$A$10004,$A616))</f>
        <v/>
      </c>
      <c r="I616" s="23" t="n"/>
      <c r="J616" s="35">
        <f>IF($A616="","",$E616+H616+$I616)</f>
        <v/>
      </c>
      <c r="K616" s="35">
        <f>IF($A616="","",$D616-J616)</f>
        <v/>
      </c>
      <c r="L616" s="32">
        <f>IF($A616="","",H616/$D616)</f>
        <v/>
      </c>
      <c r="M616" s="28">
        <f>IF($A616="","",IF(OR(J616+$F616&gt;$D616+0.001,_xlfn.MAXIFS(Stangenbelegung!$H$5:$H$10004,Stangenbelegung!$A$5:$A$10004,$A616)&gt;$D616-$F616+0.001),"ÜBERBELEGT","OK"))</f>
        <v/>
      </c>
      <c r="N616" s="24" t="n"/>
      <c r="O616" s="24" t="n"/>
      <c r="P616" s="9" t="n"/>
      <c r="Q616" s="18">
        <f>IF($A616="","",IFERROR($D616/1000*INDEX(Profile!$K$5:$K$304,MATCH($B616,lst_Profil,0))*INDEX(Werkstoffe!$E$5:$E$304,MATCH($C616,lst_Werkstoff,0))/1000,""))</f>
        <v/>
      </c>
      <c r="R616" s="18">
        <f>IF($A616="","",IF(N(_xlfn.MAXIFS(Auftrag!$AP$13:$AP$512,Auftrag!$D$13:$D$512,$B616,Auftrag!$E$13:$E$512,$C616,Auftrag!$Q$13:$Q$512,$D616))&gt;0,_xlfn.MAXIFS(Auftrag!$AP$13:$AP$512,Auftrag!$D$13:$D$512,$B616,Auftrag!$E$13:$E$512,$C616,Auftrag!$Q$13:$Q$512,$D616)*$D616/1000,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9" t="n"/>
      <c r="E617" s="24" t="n"/>
      <c r="F617" s="24" t="n"/>
      <c r="G617" s="12">
        <f>IF($A617="","",COUNTIFS(Stangenbelegung!$A$5:$A$10004,$A617))</f>
        <v/>
      </c>
      <c r="H617" s="35">
        <f>IF($A617="","",SUMIFS(Stangenbelegung!$F$5:$F$10004,Stangenbelegung!$A$5:$A$10004,$A617))</f>
        <v/>
      </c>
      <c r="I617" s="23" t="n"/>
      <c r="J617" s="35">
        <f>IF($A617="","",$E617+H617+$I617)</f>
        <v/>
      </c>
      <c r="K617" s="35">
        <f>IF($A617="","",$D617-J617)</f>
        <v/>
      </c>
      <c r="L617" s="32">
        <f>IF($A617="","",H617/$D617)</f>
        <v/>
      </c>
      <c r="M617" s="28">
        <f>IF($A617="","",IF(OR(J617+$F617&gt;$D617+0.001,_xlfn.MAXIFS(Stangenbelegung!$H$5:$H$10004,Stangenbelegung!$A$5:$A$10004,$A617)&gt;$D617-$F617+0.001),"ÜBERBELEGT","OK"))</f>
        <v/>
      </c>
      <c r="N617" s="24" t="n"/>
      <c r="O617" s="24" t="n"/>
      <c r="P617" s="9" t="n"/>
      <c r="Q617" s="18">
        <f>IF($A617="","",IFERROR($D617/1000*INDEX(Profile!$K$5:$K$304,MATCH($B617,lst_Profil,0))*INDEX(Werkstoffe!$E$5:$E$304,MATCH($C617,lst_Werkstoff,0))/1000,""))</f>
        <v/>
      </c>
      <c r="R617" s="18">
        <f>IF($A617="","",IF(N(_xlfn.MAXIFS(Auftrag!$AP$13:$AP$512,Auftrag!$D$13:$D$512,$B617,Auftrag!$E$13:$E$512,$C617,Auftrag!$Q$13:$Q$512,$D617))&gt;0,_xlfn.MAXIFS(Auftrag!$AP$13:$AP$512,Auftrag!$D$13:$D$512,$B617,Auftrag!$E$13:$E$512,$C617,Auftrag!$Q$13:$Q$512,$D617)*$D617/1000,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9" t="n"/>
      <c r="E618" s="24" t="n"/>
      <c r="F618" s="24" t="n"/>
      <c r="G618" s="12">
        <f>IF($A618="","",COUNTIFS(Stangenbelegung!$A$5:$A$10004,$A618))</f>
        <v/>
      </c>
      <c r="H618" s="35">
        <f>IF($A618="","",SUMIFS(Stangenbelegung!$F$5:$F$10004,Stangenbelegung!$A$5:$A$10004,$A618))</f>
        <v/>
      </c>
      <c r="I618" s="23" t="n"/>
      <c r="J618" s="35">
        <f>IF($A618="","",$E618+H618+$I618)</f>
        <v/>
      </c>
      <c r="K618" s="35">
        <f>IF($A618="","",$D618-J618)</f>
        <v/>
      </c>
      <c r="L618" s="32">
        <f>IF($A618="","",H618/$D618)</f>
        <v/>
      </c>
      <c r="M618" s="28">
        <f>IF($A618="","",IF(OR(J618+$F618&gt;$D618+0.001,_xlfn.MAXIFS(Stangenbelegung!$H$5:$H$10004,Stangenbelegung!$A$5:$A$10004,$A618)&gt;$D618-$F618+0.001),"ÜBERBELEGT","OK"))</f>
        <v/>
      </c>
      <c r="N618" s="24" t="n"/>
      <c r="O618" s="24" t="n"/>
      <c r="P618" s="9" t="n"/>
      <c r="Q618" s="18">
        <f>IF($A618="","",IFERROR($D618/1000*INDEX(Profile!$K$5:$K$304,MATCH($B618,lst_Profil,0))*INDEX(Werkstoffe!$E$5:$E$304,MATCH($C618,lst_Werkstoff,0))/1000,""))</f>
        <v/>
      </c>
      <c r="R618" s="18">
        <f>IF($A618="","",IF(N(_xlfn.MAXIFS(Auftrag!$AP$13:$AP$512,Auftrag!$D$13:$D$512,$B618,Auftrag!$E$13:$E$512,$C618,Auftrag!$Q$13:$Q$512,$D618))&gt;0,_xlfn.MAXIFS(Auftrag!$AP$13:$AP$512,Auftrag!$D$13:$D$512,$B618,Auftrag!$E$13:$E$512,$C618,Auftrag!$Q$13:$Q$512,$D618)*$D618/1000,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9" t="n"/>
      <c r="E619" s="24" t="n"/>
      <c r="F619" s="24" t="n"/>
      <c r="G619" s="12">
        <f>IF($A619="","",COUNTIFS(Stangenbelegung!$A$5:$A$10004,$A619))</f>
        <v/>
      </c>
      <c r="H619" s="35">
        <f>IF($A619="","",SUMIFS(Stangenbelegung!$F$5:$F$10004,Stangenbelegung!$A$5:$A$10004,$A619))</f>
        <v/>
      </c>
      <c r="I619" s="23" t="n"/>
      <c r="J619" s="35">
        <f>IF($A619="","",$E619+H619+$I619)</f>
        <v/>
      </c>
      <c r="K619" s="35">
        <f>IF($A619="","",$D619-J619)</f>
        <v/>
      </c>
      <c r="L619" s="32">
        <f>IF($A619="","",H619/$D619)</f>
        <v/>
      </c>
      <c r="M619" s="28">
        <f>IF($A619="","",IF(OR(J619+$F619&gt;$D619+0.001,_xlfn.MAXIFS(Stangenbelegung!$H$5:$H$10004,Stangenbelegung!$A$5:$A$10004,$A619)&gt;$D619-$F619+0.001),"ÜBERBELEGT","OK"))</f>
        <v/>
      </c>
      <c r="N619" s="24" t="n"/>
      <c r="O619" s="24" t="n"/>
      <c r="P619" s="9" t="n"/>
      <c r="Q619" s="18">
        <f>IF($A619="","",IFERROR($D619/1000*INDEX(Profile!$K$5:$K$304,MATCH($B619,lst_Profil,0))*INDEX(Werkstoffe!$E$5:$E$304,MATCH($C619,lst_Werkstoff,0))/1000,""))</f>
        <v/>
      </c>
      <c r="R619" s="18">
        <f>IF($A619="","",IF(N(_xlfn.MAXIFS(Auftrag!$AP$13:$AP$512,Auftrag!$D$13:$D$512,$B619,Auftrag!$E$13:$E$512,$C619,Auftrag!$Q$13:$Q$512,$D619))&gt;0,_xlfn.MAXIFS(Auftrag!$AP$13:$AP$512,Auftrag!$D$13:$D$512,$B619,Auftrag!$E$13:$E$512,$C619,Auftrag!$Q$13:$Q$512,$D619)*$D619/1000,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9" t="n"/>
      <c r="E620" s="24" t="n"/>
      <c r="F620" s="24" t="n"/>
      <c r="G620" s="12">
        <f>IF($A620="","",COUNTIFS(Stangenbelegung!$A$5:$A$10004,$A620))</f>
        <v/>
      </c>
      <c r="H620" s="35">
        <f>IF($A620="","",SUMIFS(Stangenbelegung!$F$5:$F$10004,Stangenbelegung!$A$5:$A$10004,$A620))</f>
        <v/>
      </c>
      <c r="I620" s="23" t="n"/>
      <c r="J620" s="35">
        <f>IF($A620="","",$E620+H620+$I620)</f>
        <v/>
      </c>
      <c r="K620" s="35">
        <f>IF($A620="","",$D620-J620)</f>
        <v/>
      </c>
      <c r="L620" s="32">
        <f>IF($A620="","",H620/$D620)</f>
        <v/>
      </c>
      <c r="M620" s="28">
        <f>IF($A620="","",IF(OR(J620+$F620&gt;$D620+0.001,_xlfn.MAXIFS(Stangenbelegung!$H$5:$H$10004,Stangenbelegung!$A$5:$A$10004,$A620)&gt;$D620-$F620+0.001),"ÜBERBELEGT","OK"))</f>
        <v/>
      </c>
      <c r="N620" s="24" t="n"/>
      <c r="O620" s="24" t="n"/>
      <c r="P620" s="9" t="n"/>
      <c r="Q620" s="18">
        <f>IF($A620="","",IFERROR($D620/1000*INDEX(Profile!$K$5:$K$304,MATCH($B620,lst_Profil,0))*INDEX(Werkstoffe!$E$5:$E$304,MATCH($C620,lst_Werkstoff,0))/1000,""))</f>
        <v/>
      </c>
      <c r="R620" s="18">
        <f>IF($A620="","",IF(N(_xlfn.MAXIFS(Auftrag!$AP$13:$AP$512,Auftrag!$D$13:$D$512,$B620,Auftrag!$E$13:$E$512,$C620,Auftrag!$Q$13:$Q$512,$D620))&gt;0,_xlfn.MAXIFS(Auftrag!$AP$13:$AP$512,Auftrag!$D$13:$D$512,$B620,Auftrag!$E$13:$E$512,$C620,Auftrag!$Q$13:$Q$512,$D620)*$D620/1000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9" t="n"/>
      <c r="E621" s="24" t="n"/>
      <c r="F621" s="24" t="n"/>
      <c r="G621" s="12">
        <f>IF($A621="","",COUNTIFS(Stangenbelegung!$A$5:$A$10004,$A621))</f>
        <v/>
      </c>
      <c r="H621" s="35">
        <f>IF($A621="","",SUMIFS(Stangenbelegung!$F$5:$F$10004,Stangenbelegung!$A$5:$A$10004,$A621))</f>
        <v/>
      </c>
      <c r="I621" s="23" t="n"/>
      <c r="J621" s="35">
        <f>IF($A621="","",$E621+H621+$I621)</f>
        <v/>
      </c>
      <c r="K621" s="35">
        <f>IF($A621="","",$D621-J621)</f>
        <v/>
      </c>
      <c r="L621" s="32">
        <f>IF($A621="","",H621/$D621)</f>
        <v/>
      </c>
      <c r="M621" s="28">
        <f>IF($A621="","",IF(OR(J621+$F621&gt;$D621+0.001,_xlfn.MAXIFS(Stangenbelegung!$H$5:$H$10004,Stangenbelegung!$A$5:$A$10004,$A621)&gt;$D621-$F621+0.001),"ÜBERBELEGT","OK"))</f>
        <v/>
      </c>
      <c r="N621" s="24" t="n"/>
      <c r="O621" s="24" t="n"/>
      <c r="P621" s="9" t="n"/>
      <c r="Q621" s="18">
        <f>IF($A621="","",IFERROR($D621/1000*INDEX(Profile!$K$5:$K$304,MATCH($B621,lst_Profil,0))*INDEX(Werkstoffe!$E$5:$E$304,MATCH($C621,lst_Werkstoff,0))/1000,""))</f>
        <v/>
      </c>
      <c r="R621" s="18">
        <f>IF($A621="","",IF(N(_xlfn.MAXIFS(Auftrag!$AP$13:$AP$512,Auftrag!$D$13:$D$512,$B621,Auftrag!$E$13:$E$512,$C621,Auftrag!$Q$13:$Q$512,$D621))&gt;0,_xlfn.MAXIFS(Auftrag!$AP$13:$AP$512,Auftrag!$D$13:$D$512,$B621,Auftrag!$E$13:$E$512,$C621,Auftrag!$Q$13:$Q$512,$D621)*$D621/1000,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9" t="n"/>
      <c r="E622" s="24" t="n"/>
      <c r="F622" s="24" t="n"/>
      <c r="G622" s="12">
        <f>IF($A622="","",COUNTIFS(Stangenbelegung!$A$5:$A$10004,$A622))</f>
        <v/>
      </c>
      <c r="H622" s="35">
        <f>IF($A622="","",SUMIFS(Stangenbelegung!$F$5:$F$10004,Stangenbelegung!$A$5:$A$10004,$A622))</f>
        <v/>
      </c>
      <c r="I622" s="23" t="n"/>
      <c r="J622" s="35">
        <f>IF($A622="","",$E622+H622+$I622)</f>
        <v/>
      </c>
      <c r="K622" s="35">
        <f>IF($A622="","",$D622-J622)</f>
        <v/>
      </c>
      <c r="L622" s="32">
        <f>IF($A622="","",H622/$D622)</f>
        <v/>
      </c>
      <c r="M622" s="28">
        <f>IF($A622="","",IF(OR(J622+$F622&gt;$D622+0.001,_xlfn.MAXIFS(Stangenbelegung!$H$5:$H$10004,Stangenbelegung!$A$5:$A$10004,$A622)&gt;$D622-$F622+0.001),"ÜBERBELEGT","OK"))</f>
        <v/>
      </c>
      <c r="N622" s="24" t="n"/>
      <c r="O622" s="24" t="n"/>
      <c r="P622" s="9" t="n"/>
      <c r="Q622" s="18">
        <f>IF($A622="","",IFERROR($D622/1000*INDEX(Profile!$K$5:$K$304,MATCH($B622,lst_Profil,0))*INDEX(Werkstoffe!$E$5:$E$304,MATCH($C622,lst_Werkstoff,0))/1000,""))</f>
        <v/>
      </c>
      <c r="R622" s="18">
        <f>IF($A622="","",IF(N(_xlfn.MAXIFS(Auftrag!$AP$13:$AP$512,Auftrag!$D$13:$D$512,$B622,Auftrag!$E$13:$E$512,$C622,Auftrag!$Q$13:$Q$512,$D622))&gt;0,_xlfn.MAXIFS(Auftrag!$AP$13:$AP$512,Auftrag!$D$13:$D$512,$B622,Auftrag!$E$13:$E$512,$C622,Auftrag!$Q$13:$Q$512,$D622)*$D622/1000,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9" t="n"/>
      <c r="E623" s="24" t="n"/>
      <c r="F623" s="24" t="n"/>
      <c r="G623" s="12">
        <f>IF($A623="","",COUNTIFS(Stangenbelegung!$A$5:$A$10004,$A623))</f>
        <v/>
      </c>
      <c r="H623" s="35">
        <f>IF($A623="","",SUMIFS(Stangenbelegung!$F$5:$F$10004,Stangenbelegung!$A$5:$A$10004,$A623))</f>
        <v/>
      </c>
      <c r="I623" s="23" t="n"/>
      <c r="J623" s="35">
        <f>IF($A623="","",$E623+H623+$I623)</f>
        <v/>
      </c>
      <c r="K623" s="35">
        <f>IF($A623="","",$D623-J623)</f>
        <v/>
      </c>
      <c r="L623" s="32">
        <f>IF($A623="","",H623/$D623)</f>
        <v/>
      </c>
      <c r="M623" s="28">
        <f>IF($A623="","",IF(OR(J623+$F623&gt;$D623+0.001,_xlfn.MAXIFS(Stangenbelegung!$H$5:$H$10004,Stangenbelegung!$A$5:$A$10004,$A623)&gt;$D623-$F623+0.001),"ÜBERBELEGT","OK"))</f>
        <v/>
      </c>
      <c r="N623" s="24" t="n"/>
      <c r="O623" s="24" t="n"/>
      <c r="P623" s="9" t="n"/>
      <c r="Q623" s="18">
        <f>IF($A623="","",IFERROR($D623/1000*INDEX(Profile!$K$5:$K$304,MATCH($B623,lst_Profil,0))*INDEX(Werkstoffe!$E$5:$E$304,MATCH($C623,lst_Werkstoff,0))/1000,""))</f>
        <v/>
      </c>
      <c r="R623" s="18">
        <f>IF($A623="","",IF(N(_xlfn.MAXIFS(Auftrag!$AP$13:$AP$512,Auftrag!$D$13:$D$512,$B623,Auftrag!$E$13:$E$512,$C623,Auftrag!$Q$13:$Q$512,$D623))&gt;0,_xlfn.MAXIFS(Auftrag!$AP$13:$AP$512,Auftrag!$D$13:$D$512,$B623,Auftrag!$E$13:$E$512,$C623,Auftrag!$Q$13:$Q$512,$D623)*$D623/1000,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9" t="n"/>
      <c r="E624" s="24" t="n"/>
      <c r="F624" s="24" t="n"/>
      <c r="G624" s="12">
        <f>IF($A624="","",COUNTIFS(Stangenbelegung!$A$5:$A$10004,$A624))</f>
        <v/>
      </c>
      <c r="H624" s="35">
        <f>IF($A624="","",SUMIFS(Stangenbelegung!$F$5:$F$10004,Stangenbelegung!$A$5:$A$10004,$A624))</f>
        <v/>
      </c>
      <c r="I624" s="23" t="n"/>
      <c r="J624" s="35">
        <f>IF($A624="","",$E624+H624+$I624)</f>
        <v/>
      </c>
      <c r="K624" s="35">
        <f>IF($A624="","",$D624-J624)</f>
        <v/>
      </c>
      <c r="L624" s="32">
        <f>IF($A624="","",H624/$D624)</f>
        <v/>
      </c>
      <c r="M624" s="28">
        <f>IF($A624="","",IF(OR(J624+$F624&gt;$D624+0.001,_xlfn.MAXIFS(Stangenbelegung!$H$5:$H$10004,Stangenbelegung!$A$5:$A$10004,$A624)&gt;$D624-$F624+0.001),"ÜBERBELEGT","OK"))</f>
        <v/>
      </c>
      <c r="N624" s="24" t="n"/>
      <c r="O624" s="24" t="n"/>
      <c r="P624" s="9" t="n"/>
      <c r="Q624" s="18">
        <f>IF($A624="","",IFERROR($D624/1000*INDEX(Profile!$K$5:$K$304,MATCH($B624,lst_Profil,0))*INDEX(Werkstoffe!$E$5:$E$304,MATCH($C624,lst_Werkstoff,0))/1000,""))</f>
        <v/>
      </c>
      <c r="R624" s="18">
        <f>IF($A624="","",IF(N(_xlfn.MAXIFS(Auftrag!$AP$13:$AP$512,Auftrag!$D$13:$D$512,$B624,Auftrag!$E$13:$E$512,$C624,Auftrag!$Q$13:$Q$512,$D624))&gt;0,_xlfn.MAXIFS(Auftrag!$AP$13:$AP$512,Auftrag!$D$13:$D$512,$B624,Auftrag!$E$13:$E$512,$C624,Auftrag!$Q$13:$Q$512,$D624)*$D624/1000,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9" t="n"/>
      <c r="E625" s="24" t="n"/>
      <c r="F625" s="24" t="n"/>
      <c r="G625" s="12">
        <f>IF($A625="","",COUNTIFS(Stangenbelegung!$A$5:$A$10004,$A625))</f>
        <v/>
      </c>
      <c r="H625" s="35">
        <f>IF($A625="","",SUMIFS(Stangenbelegung!$F$5:$F$10004,Stangenbelegung!$A$5:$A$10004,$A625))</f>
        <v/>
      </c>
      <c r="I625" s="23" t="n"/>
      <c r="J625" s="35">
        <f>IF($A625="","",$E625+H625+$I625)</f>
        <v/>
      </c>
      <c r="K625" s="35">
        <f>IF($A625="","",$D625-J625)</f>
        <v/>
      </c>
      <c r="L625" s="32">
        <f>IF($A625="","",H625/$D625)</f>
        <v/>
      </c>
      <c r="M625" s="28">
        <f>IF($A625="","",IF(OR(J625+$F625&gt;$D625+0.001,_xlfn.MAXIFS(Stangenbelegung!$H$5:$H$10004,Stangenbelegung!$A$5:$A$10004,$A625)&gt;$D625-$F625+0.001),"ÜBERBELEGT","OK"))</f>
        <v/>
      </c>
      <c r="N625" s="24" t="n"/>
      <c r="O625" s="24" t="n"/>
      <c r="P625" s="9" t="n"/>
      <c r="Q625" s="18">
        <f>IF($A625="","",IFERROR($D625/1000*INDEX(Profile!$K$5:$K$304,MATCH($B625,lst_Profil,0))*INDEX(Werkstoffe!$E$5:$E$304,MATCH($C625,lst_Werkstoff,0))/1000,""))</f>
        <v/>
      </c>
      <c r="R625" s="18">
        <f>IF($A625="","",IF(N(_xlfn.MAXIFS(Auftrag!$AP$13:$AP$512,Auftrag!$D$13:$D$512,$B625,Auftrag!$E$13:$E$512,$C625,Auftrag!$Q$13:$Q$512,$D625))&gt;0,_xlfn.MAXIFS(Auftrag!$AP$13:$AP$512,Auftrag!$D$13:$D$512,$B625,Auftrag!$E$13:$E$512,$C625,Auftrag!$Q$13:$Q$512,$D625)*$D625/1000,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9" t="n"/>
      <c r="E626" s="24" t="n"/>
      <c r="F626" s="24" t="n"/>
      <c r="G626" s="12">
        <f>IF($A626="","",COUNTIFS(Stangenbelegung!$A$5:$A$10004,$A626))</f>
        <v/>
      </c>
      <c r="H626" s="35">
        <f>IF($A626="","",SUMIFS(Stangenbelegung!$F$5:$F$10004,Stangenbelegung!$A$5:$A$10004,$A626))</f>
        <v/>
      </c>
      <c r="I626" s="23" t="n"/>
      <c r="J626" s="35">
        <f>IF($A626="","",$E626+H626+$I626)</f>
        <v/>
      </c>
      <c r="K626" s="35">
        <f>IF($A626="","",$D626-J626)</f>
        <v/>
      </c>
      <c r="L626" s="32">
        <f>IF($A626="","",H626/$D626)</f>
        <v/>
      </c>
      <c r="M626" s="28">
        <f>IF($A626="","",IF(OR(J626+$F626&gt;$D626+0.001,_xlfn.MAXIFS(Stangenbelegung!$H$5:$H$10004,Stangenbelegung!$A$5:$A$10004,$A626)&gt;$D626-$F626+0.001),"ÜBERBELEGT","OK"))</f>
        <v/>
      </c>
      <c r="N626" s="24" t="n"/>
      <c r="O626" s="24" t="n"/>
      <c r="P626" s="9" t="n"/>
      <c r="Q626" s="18">
        <f>IF($A626="","",IFERROR($D626/1000*INDEX(Profile!$K$5:$K$304,MATCH($B626,lst_Profil,0))*INDEX(Werkstoffe!$E$5:$E$304,MATCH($C626,lst_Werkstoff,0))/1000,""))</f>
        <v/>
      </c>
      <c r="R626" s="18">
        <f>IF($A626="","",IF(N(_xlfn.MAXIFS(Auftrag!$AP$13:$AP$512,Auftrag!$D$13:$D$512,$B626,Auftrag!$E$13:$E$512,$C626,Auftrag!$Q$13:$Q$512,$D626))&gt;0,_xlfn.MAXIFS(Auftrag!$AP$13:$AP$512,Auftrag!$D$13:$D$512,$B626,Auftrag!$E$13:$E$512,$C626,Auftrag!$Q$13:$Q$512,$D626)*$D626/1000,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9" t="n"/>
      <c r="E627" s="24" t="n"/>
      <c r="F627" s="24" t="n"/>
      <c r="G627" s="12">
        <f>IF($A627="","",COUNTIFS(Stangenbelegung!$A$5:$A$10004,$A627))</f>
        <v/>
      </c>
      <c r="H627" s="35">
        <f>IF($A627="","",SUMIFS(Stangenbelegung!$F$5:$F$10004,Stangenbelegung!$A$5:$A$10004,$A627))</f>
        <v/>
      </c>
      <c r="I627" s="23" t="n"/>
      <c r="J627" s="35">
        <f>IF($A627="","",$E627+H627+$I627)</f>
        <v/>
      </c>
      <c r="K627" s="35">
        <f>IF($A627="","",$D627-J627)</f>
        <v/>
      </c>
      <c r="L627" s="32">
        <f>IF($A627="","",H627/$D627)</f>
        <v/>
      </c>
      <c r="M627" s="28">
        <f>IF($A627="","",IF(OR(J627+$F627&gt;$D627+0.001,_xlfn.MAXIFS(Stangenbelegung!$H$5:$H$10004,Stangenbelegung!$A$5:$A$10004,$A627)&gt;$D627-$F627+0.001),"ÜBERBELEGT","OK"))</f>
        <v/>
      </c>
      <c r="N627" s="24" t="n"/>
      <c r="O627" s="24" t="n"/>
      <c r="P627" s="9" t="n"/>
      <c r="Q627" s="18">
        <f>IF($A627="","",IFERROR($D627/1000*INDEX(Profile!$K$5:$K$304,MATCH($B627,lst_Profil,0))*INDEX(Werkstoffe!$E$5:$E$304,MATCH($C627,lst_Werkstoff,0))/1000,""))</f>
        <v/>
      </c>
      <c r="R627" s="18">
        <f>IF($A627="","",IF(N(_xlfn.MAXIFS(Auftrag!$AP$13:$AP$512,Auftrag!$D$13:$D$512,$B627,Auftrag!$E$13:$E$512,$C627,Auftrag!$Q$13:$Q$512,$D627))&gt;0,_xlfn.MAXIFS(Auftrag!$AP$13:$AP$512,Auftrag!$D$13:$D$512,$B627,Auftrag!$E$13:$E$512,$C627,Auftrag!$Q$13:$Q$512,$D627)*$D627/1000,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9" t="n"/>
      <c r="E628" s="24" t="n"/>
      <c r="F628" s="24" t="n"/>
      <c r="G628" s="12">
        <f>IF($A628="","",COUNTIFS(Stangenbelegung!$A$5:$A$10004,$A628))</f>
        <v/>
      </c>
      <c r="H628" s="35">
        <f>IF($A628="","",SUMIFS(Stangenbelegung!$F$5:$F$10004,Stangenbelegung!$A$5:$A$10004,$A628))</f>
        <v/>
      </c>
      <c r="I628" s="23" t="n"/>
      <c r="J628" s="35">
        <f>IF($A628="","",$E628+H628+$I628)</f>
        <v/>
      </c>
      <c r="K628" s="35">
        <f>IF($A628="","",$D628-J628)</f>
        <v/>
      </c>
      <c r="L628" s="32">
        <f>IF($A628="","",H628/$D628)</f>
        <v/>
      </c>
      <c r="M628" s="28">
        <f>IF($A628="","",IF(OR(J628+$F628&gt;$D628+0.001,_xlfn.MAXIFS(Stangenbelegung!$H$5:$H$10004,Stangenbelegung!$A$5:$A$10004,$A628)&gt;$D628-$F628+0.001),"ÜBERBELEGT","OK"))</f>
        <v/>
      </c>
      <c r="N628" s="24" t="n"/>
      <c r="O628" s="24" t="n"/>
      <c r="P628" s="9" t="n"/>
      <c r="Q628" s="18">
        <f>IF($A628="","",IFERROR($D628/1000*INDEX(Profile!$K$5:$K$304,MATCH($B628,lst_Profil,0))*INDEX(Werkstoffe!$E$5:$E$304,MATCH($C628,lst_Werkstoff,0))/1000,""))</f>
        <v/>
      </c>
      <c r="R628" s="18">
        <f>IF($A628="","",IF(N(_xlfn.MAXIFS(Auftrag!$AP$13:$AP$512,Auftrag!$D$13:$D$512,$B628,Auftrag!$E$13:$E$512,$C628,Auftrag!$Q$13:$Q$512,$D628))&gt;0,_xlfn.MAXIFS(Auftrag!$AP$13:$AP$512,Auftrag!$D$13:$D$512,$B628,Auftrag!$E$13:$E$512,$C628,Auftrag!$Q$13:$Q$512,$D628)*$D628/1000,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9" t="n"/>
      <c r="E629" s="24" t="n"/>
      <c r="F629" s="24" t="n"/>
      <c r="G629" s="12">
        <f>IF($A629="","",COUNTIFS(Stangenbelegung!$A$5:$A$10004,$A629))</f>
        <v/>
      </c>
      <c r="H629" s="35">
        <f>IF($A629="","",SUMIFS(Stangenbelegung!$F$5:$F$10004,Stangenbelegung!$A$5:$A$10004,$A629))</f>
        <v/>
      </c>
      <c r="I629" s="23" t="n"/>
      <c r="J629" s="35">
        <f>IF($A629="","",$E629+H629+$I629)</f>
        <v/>
      </c>
      <c r="K629" s="35">
        <f>IF($A629="","",$D629-J629)</f>
        <v/>
      </c>
      <c r="L629" s="32">
        <f>IF($A629="","",H629/$D629)</f>
        <v/>
      </c>
      <c r="M629" s="28">
        <f>IF($A629="","",IF(OR(J629+$F629&gt;$D629+0.001,_xlfn.MAXIFS(Stangenbelegung!$H$5:$H$10004,Stangenbelegung!$A$5:$A$10004,$A629)&gt;$D629-$F629+0.001),"ÜBERBELEGT","OK"))</f>
        <v/>
      </c>
      <c r="N629" s="24" t="n"/>
      <c r="O629" s="24" t="n"/>
      <c r="P629" s="9" t="n"/>
      <c r="Q629" s="18">
        <f>IF($A629="","",IFERROR($D629/1000*INDEX(Profile!$K$5:$K$304,MATCH($B629,lst_Profil,0))*INDEX(Werkstoffe!$E$5:$E$304,MATCH($C629,lst_Werkstoff,0))/1000,""))</f>
        <v/>
      </c>
      <c r="R629" s="18">
        <f>IF($A629="","",IF(N(_xlfn.MAXIFS(Auftrag!$AP$13:$AP$512,Auftrag!$D$13:$D$512,$B629,Auftrag!$E$13:$E$512,$C629,Auftrag!$Q$13:$Q$512,$D629))&gt;0,_xlfn.MAXIFS(Auftrag!$AP$13:$AP$512,Auftrag!$D$13:$D$512,$B629,Auftrag!$E$13:$E$512,$C629,Auftrag!$Q$13:$Q$512,$D629)*$D629/1000,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9" t="n"/>
      <c r="E630" s="24" t="n"/>
      <c r="F630" s="24" t="n"/>
      <c r="G630" s="12">
        <f>IF($A630="","",COUNTIFS(Stangenbelegung!$A$5:$A$10004,$A630))</f>
        <v/>
      </c>
      <c r="H630" s="35">
        <f>IF($A630="","",SUMIFS(Stangenbelegung!$F$5:$F$10004,Stangenbelegung!$A$5:$A$10004,$A630))</f>
        <v/>
      </c>
      <c r="I630" s="23" t="n"/>
      <c r="J630" s="35">
        <f>IF($A630="","",$E630+H630+$I630)</f>
        <v/>
      </c>
      <c r="K630" s="35">
        <f>IF($A630="","",$D630-J630)</f>
        <v/>
      </c>
      <c r="L630" s="32">
        <f>IF($A630="","",H630/$D630)</f>
        <v/>
      </c>
      <c r="M630" s="28">
        <f>IF($A630="","",IF(OR(J630+$F630&gt;$D630+0.001,_xlfn.MAXIFS(Stangenbelegung!$H$5:$H$10004,Stangenbelegung!$A$5:$A$10004,$A630)&gt;$D630-$F630+0.001),"ÜBERBELEGT","OK"))</f>
        <v/>
      </c>
      <c r="N630" s="24" t="n"/>
      <c r="O630" s="24" t="n"/>
      <c r="P630" s="9" t="n"/>
      <c r="Q630" s="18">
        <f>IF($A630="","",IFERROR($D630/1000*INDEX(Profile!$K$5:$K$304,MATCH($B630,lst_Profil,0))*INDEX(Werkstoffe!$E$5:$E$304,MATCH($C630,lst_Werkstoff,0))/1000,""))</f>
        <v/>
      </c>
      <c r="R630" s="18">
        <f>IF($A630="","",IF(N(_xlfn.MAXIFS(Auftrag!$AP$13:$AP$512,Auftrag!$D$13:$D$512,$B630,Auftrag!$E$13:$E$512,$C630,Auftrag!$Q$13:$Q$512,$D630))&gt;0,_xlfn.MAXIFS(Auftrag!$AP$13:$AP$512,Auftrag!$D$13:$D$512,$B630,Auftrag!$E$13:$E$512,$C630,Auftrag!$Q$13:$Q$512,$D630)*$D630/1000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9" t="n"/>
      <c r="E631" s="24" t="n"/>
      <c r="F631" s="24" t="n"/>
      <c r="G631" s="12">
        <f>IF($A631="","",COUNTIFS(Stangenbelegung!$A$5:$A$10004,$A631))</f>
        <v/>
      </c>
      <c r="H631" s="35">
        <f>IF($A631="","",SUMIFS(Stangenbelegung!$F$5:$F$10004,Stangenbelegung!$A$5:$A$10004,$A631))</f>
        <v/>
      </c>
      <c r="I631" s="23" t="n"/>
      <c r="J631" s="35">
        <f>IF($A631="","",$E631+H631+$I631)</f>
        <v/>
      </c>
      <c r="K631" s="35">
        <f>IF($A631="","",$D631-J631)</f>
        <v/>
      </c>
      <c r="L631" s="32">
        <f>IF($A631="","",H631/$D631)</f>
        <v/>
      </c>
      <c r="M631" s="28">
        <f>IF($A631="","",IF(OR(J631+$F631&gt;$D631+0.001,_xlfn.MAXIFS(Stangenbelegung!$H$5:$H$10004,Stangenbelegung!$A$5:$A$10004,$A631)&gt;$D631-$F631+0.001),"ÜBERBELEGT","OK"))</f>
        <v/>
      </c>
      <c r="N631" s="24" t="n"/>
      <c r="O631" s="24" t="n"/>
      <c r="P631" s="9" t="n"/>
      <c r="Q631" s="18">
        <f>IF($A631="","",IFERROR($D631/1000*INDEX(Profile!$K$5:$K$304,MATCH($B631,lst_Profil,0))*INDEX(Werkstoffe!$E$5:$E$304,MATCH($C631,lst_Werkstoff,0))/1000,""))</f>
        <v/>
      </c>
      <c r="R631" s="18">
        <f>IF($A631="","",IF(N(_xlfn.MAXIFS(Auftrag!$AP$13:$AP$512,Auftrag!$D$13:$D$512,$B631,Auftrag!$E$13:$E$512,$C631,Auftrag!$Q$13:$Q$512,$D631))&gt;0,_xlfn.MAXIFS(Auftrag!$AP$13:$AP$512,Auftrag!$D$13:$D$512,$B631,Auftrag!$E$13:$E$512,$C631,Auftrag!$Q$13:$Q$512,$D631)*$D631/1000,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9" t="n"/>
      <c r="E632" s="24" t="n"/>
      <c r="F632" s="24" t="n"/>
      <c r="G632" s="12">
        <f>IF($A632="","",COUNTIFS(Stangenbelegung!$A$5:$A$10004,$A632))</f>
        <v/>
      </c>
      <c r="H632" s="35">
        <f>IF($A632="","",SUMIFS(Stangenbelegung!$F$5:$F$10004,Stangenbelegung!$A$5:$A$10004,$A632))</f>
        <v/>
      </c>
      <c r="I632" s="23" t="n"/>
      <c r="J632" s="35">
        <f>IF($A632="","",$E632+H632+$I632)</f>
        <v/>
      </c>
      <c r="K632" s="35">
        <f>IF($A632="","",$D632-J632)</f>
        <v/>
      </c>
      <c r="L632" s="32">
        <f>IF($A632="","",H632/$D632)</f>
        <v/>
      </c>
      <c r="M632" s="28">
        <f>IF($A632="","",IF(OR(J632+$F632&gt;$D632+0.001,_xlfn.MAXIFS(Stangenbelegung!$H$5:$H$10004,Stangenbelegung!$A$5:$A$10004,$A632)&gt;$D632-$F632+0.001),"ÜBERBELEGT","OK"))</f>
        <v/>
      </c>
      <c r="N632" s="24" t="n"/>
      <c r="O632" s="24" t="n"/>
      <c r="P632" s="9" t="n"/>
      <c r="Q632" s="18">
        <f>IF($A632="","",IFERROR($D632/1000*INDEX(Profile!$K$5:$K$304,MATCH($B632,lst_Profil,0))*INDEX(Werkstoffe!$E$5:$E$304,MATCH($C632,lst_Werkstoff,0))/1000,""))</f>
        <v/>
      </c>
      <c r="R632" s="18">
        <f>IF($A632="","",IF(N(_xlfn.MAXIFS(Auftrag!$AP$13:$AP$512,Auftrag!$D$13:$D$512,$B632,Auftrag!$E$13:$E$512,$C632,Auftrag!$Q$13:$Q$512,$D632))&gt;0,_xlfn.MAXIFS(Auftrag!$AP$13:$AP$512,Auftrag!$D$13:$D$512,$B632,Auftrag!$E$13:$E$512,$C632,Auftrag!$Q$13:$Q$512,$D632)*$D632/1000,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9" t="n"/>
      <c r="E633" s="24" t="n"/>
      <c r="F633" s="24" t="n"/>
      <c r="G633" s="12">
        <f>IF($A633="","",COUNTIFS(Stangenbelegung!$A$5:$A$10004,$A633))</f>
        <v/>
      </c>
      <c r="H633" s="35">
        <f>IF($A633="","",SUMIFS(Stangenbelegung!$F$5:$F$10004,Stangenbelegung!$A$5:$A$10004,$A633))</f>
        <v/>
      </c>
      <c r="I633" s="23" t="n"/>
      <c r="J633" s="35">
        <f>IF($A633="","",$E633+H633+$I633)</f>
        <v/>
      </c>
      <c r="K633" s="35">
        <f>IF($A633="","",$D633-J633)</f>
        <v/>
      </c>
      <c r="L633" s="32">
        <f>IF($A633="","",H633/$D633)</f>
        <v/>
      </c>
      <c r="M633" s="28">
        <f>IF($A633="","",IF(OR(J633+$F633&gt;$D633+0.001,_xlfn.MAXIFS(Stangenbelegung!$H$5:$H$10004,Stangenbelegung!$A$5:$A$10004,$A633)&gt;$D633-$F633+0.001),"ÜBERBELEGT","OK"))</f>
        <v/>
      </c>
      <c r="N633" s="24" t="n"/>
      <c r="O633" s="24" t="n"/>
      <c r="P633" s="9" t="n"/>
      <c r="Q633" s="18">
        <f>IF($A633="","",IFERROR($D633/1000*INDEX(Profile!$K$5:$K$304,MATCH($B633,lst_Profil,0))*INDEX(Werkstoffe!$E$5:$E$304,MATCH($C633,lst_Werkstoff,0))/1000,""))</f>
        <v/>
      </c>
      <c r="R633" s="18">
        <f>IF($A633="","",IF(N(_xlfn.MAXIFS(Auftrag!$AP$13:$AP$512,Auftrag!$D$13:$D$512,$B633,Auftrag!$E$13:$E$512,$C633,Auftrag!$Q$13:$Q$512,$D633))&gt;0,_xlfn.MAXIFS(Auftrag!$AP$13:$AP$512,Auftrag!$D$13:$D$512,$B633,Auftrag!$E$13:$E$512,$C633,Auftrag!$Q$13:$Q$512,$D633)*$D633/1000,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9" t="n"/>
      <c r="E634" s="24" t="n"/>
      <c r="F634" s="24" t="n"/>
      <c r="G634" s="12">
        <f>IF($A634="","",COUNTIFS(Stangenbelegung!$A$5:$A$10004,$A634))</f>
        <v/>
      </c>
      <c r="H634" s="35">
        <f>IF($A634="","",SUMIFS(Stangenbelegung!$F$5:$F$10004,Stangenbelegung!$A$5:$A$10004,$A634))</f>
        <v/>
      </c>
      <c r="I634" s="23" t="n"/>
      <c r="J634" s="35">
        <f>IF($A634="","",$E634+H634+$I634)</f>
        <v/>
      </c>
      <c r="K634" s="35">
        <f>IF($A634="","",$D634-J634)</f>
        <v/>
      </c>
      <c r="L634" s="32">
        <f>IF($A634="","",H634/$D634)</f>
        <v/>
      </c>
      <c r="M634" s="28">
        <f>IF($A634="","",IF(OR(J634+$F634&gt;$D634+0.001,_xlfn.MAXIFS(Stangenbelegung!$H$5:$H$10004,Stangenbelegung!$A$5:$A$10004,$A634)&gt;$D634-$F634+0.001),"ÜBERBELEGT","OK"))</f>
        <v/>
      </c>
      <c r="N634" s="24" t="n"/>
      <c r="O634" s="24" t="n"/>
      <c r="P634" s="9" t="n"/>
      <c r="Q634" s="18">
        <f>IF($A634="","",IFERROR($D634/1000*INDEX(Profile!$K$5:$K$304,MATCH($B634,lst_Profil,0))*INDEX(Werkstoffe!$E$5:$E$304,MATCH($C634,lst_Werkstoff,0))/1000,""))</f>
        <v/>
      </c>
      <c r="R634" s="18">
        <f>IF($A634="","",IF(N(_xlfn.MAXIFS(Auftrag!$AP$13:$AP$512,Auftrag!$D$13:$D$512,$B634,Auftrag!$E$13:$E$512,$C634,Auftrag!$Q$13:$Q$512,$D634))&gt;0,_xlfn.MAXIFS(Auftrag!$AP$13:$AP$512,Auftrag!$D$13:$D$512,$B634,Auftrag!$E$13:$E$512,$C634,Auftrag!$Q$13:$Q$512,$D634)*$D634/1000,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9" t="n"/>
      <c r="E635" s="24" t="n"/>
      <c r="F635" s="24" t="n"/>
      <c r="G635" s="12">
        <f>IF($A635="","",COUNTIFS(Stangenbelegung!$A$5:$A$10004,$A635))</f>
        <v/>
      </c>
      <c r="H635" s="35">
        <f>IF($A635="","",SUMIFS(Stangenbelegung!$F$5:$F$10004,Stangenbelegung!$A$5:$A$10004,$A635))</f>
        <v/>
      </c>
      <c r="I635" s="23" t="n"/>
      <c r="J635" s="35">
        <f>IF($A635="","",$E635+H635+$I635)</f>
        <v/>
      </c>
      <c r="K635" s="35">
        <f>IF($A635="","",$D635-J635)</f>
        <v/>
      </c>
      <c r="L635" s="32">
        <f>IF($A635="","",H635/$D635)</f>
        <v/>
      </c>
      <c r="M635" s="28">
        <f>IF($A635="","",IF(OR(J635+$F635&gt;$D635+0.001,_xlfn.MAXIFS(Stangenbelegung!$H$5:$H$10004,Stangenbelegung!$A$5:$A$10004,$A635)&gt;$D635-$F635+0.001),"ÜBERBELEGT","OK"))</f>
        <v/>
      </c>
      <c r="N635" s="24" t="n"/>
      <c r="O635" s="24" t="n"/>
      <c r="P635" s="9" t="n"/>
      <c r="Q635" s="18">
        <f>IF($A635="","",IFERROR($D635/1000*INDEX(Profile!$K$5:$K$304,MATCH($B635,lst_Profil,0))*INDEX(Werkstoffe!$E$5:$E$304,MATCH($C635,lst_Werkstoff,0))/1000,""))</f>
        <v/>
      </c>
      <c r="R635" s="18">
        <f>IF($A635="","",IF(N(_xlfn.MAXIFS(Auftrag!$AP$13:$AP$512,Auftrag!$D$13:$D$512,$B635,Auftrag!$E$13:$E$512,$C635,Auftrag!$Q$13:$Q$512,$D635))&gt;0,_xlfn.MAXIFS(Auftrag!$AP$13:$AP$512,Auftrag!$D$13:$D$512,$B635,Auftrag!$E$13:$E$512,$C635,Auftrag!$Q$13:$Q$512,$D635)*$D635/1000,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9" t="n"/>
      <c r="E636" s="24" t="n"/>
      <c r="F636" s="24" t="n"/>
      <c r="G636" s="12">
        <f>IF($A636="","",COUNTIFS(Stangenbelegung!$A$5:$A$10004,$A636))</f>
        <v/>
      </c>
      <c r="H636" s="35">
        <f>IF($A636="","",SUMIFS(Stangenbelegung!$F$5:$F$10004,Stangenbelegung!$A$5:$A$10004,$A636))</f>
        <v/>
      </c>
      <c r="I636" s="23" t="n"/>
      <c r="J636" s="35">
        <f>IF($A636="","",$E636+H636+$I636)</f>
        <v/>
      </c>
      <c r="K636" s="35">
        <f>IF($A636="","",$D636-J636)</f>
        <v/>
      </c>
      <c r="L636" s="32">
        <f>IF($A636="","",H636/$D636)</f>
        <v/>
      </c>
      <c r="M636" s="28">
        <f>IF($A636="","",IF(OR(J636+$F636&gt;$D636+0.001,_xlfn.MAXIFS(Stangenbelegung!$H$5:$H$10004,Stangenbelegung!$A$5:$A$10004,$A636)&gt;$D636-$F636+0.001),"ÜBERBELEGT","OK"))</f>
        <v/>
      </c>
      <c r="N636" s="24" t="n"/>
      <c r="O636" s="24" t="n"/>
      <c r="P636" s="9" t="n"/>
      <c r="Q636" s="18">
        <f>IF($A636="","",IFERROR($D636/1000*INDEX(Profile!$K$5:$K$304,MATCH($B636,lst_Profil,0))*INDEX(Werkstoffe!$E$5:$E$304,MATCH($C636,lst_Werkstoff,0))/1000,""))</f>
        <v/>
      </c>
      <c r="R636" s="18">
        <f>IF($A636="","",IF(N(_xlfn.MAXIFS(Auftrag!$AP$13:$AP$512,Auftrag!$D$13:$D$512,$B636,Auftrag!$E$13:$E$512,$C636,Auftrag!$Q$13:$Q$512,$D636))&gt;0,_xlfn.MAXIFS(Auftrag!$AP$13:$AP$512,Auftrag!$D$13:$D$512,$B636,Auftrag!$E$13:$E$512,$C636,Auftrag!$Q$13:$Q$512,$D636)*$D636/1000,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9" t="n"/>
      <c r="E637" s="24" t="n"/>
      <c r="F637" s="24" t="n"/>
      <c r="G637" s="12">
        <f>IF($A637="","",COUNTIFS(Stangenbelegung!$A$5:$A$10004,$A637))</f>
        <v/>
      </c>
      <c r="H637" s="35">
        <f>IF($A637="","",SUMIFS(Stangenbelegung!$F$5:$F$10004,Stangenbelegung!$A$5:$A$10004,$A637))</f>
        <v/>
      </c>
      <c r="I637" s="23" t="n"/>
      <c r="J637" s="35">
        <f>IF($A637="","",$E637+H637+$I637)</f>
        <v/>
      </c>
      <c r="K637" s="35">
        <f>IF($A637="","",$D637-J637)</f>
        <v/>
      </c>
      <c r="L637" s="32">
        <f>IF($A637="","",H637/$D637)</f>
        <v/>
      </c>
      <c r="M637" s="28">
        <f>IF($A637="","",IF(OR(J637+$F637&gt;$D637+0.001,_xlfn.MAXIFS(Stangenbelegung!$H$5:$H$10004,Stangenbelegung!$A$5:$A$10004,$A637)&gt;$D637-$F637+0.001),"ÜBERBELEGT","OK"))</f>
        <v/>
      </c>
      <c r="N637" s="24" t="n"/>
      <c r="O637" s="24" t="n"/>
      <c r="P637" s="9" t="n"/>
      <c r="Q637" s="18">
        <f>IF($A637="","",IFERROR($D637/1000*INDEX(Profile!$K$5:$K$304,MATCH($B637,lst_Profil,0))*INDEX(Werkstoffe!$E$5:$E$304,MATCH($C637,lst_Werkstoff,0))/1000,""))</f>
        <v/>
      </c>
      <c r="R637" s="18">
        <f>IF($A637="","",IF(N(_xlfn.MAXIFS(Auftrag!$AP$13:$AP$512,Auftrag!$D$13:$D$512,$B637,Auftrag!$E$13:$E$512,$C637,Auftrag!$Q$13:$Q$512,$D637))&gt;0,_xlfn.MAXIFS(Auftrag!$AP$13:$AP$512,Auftrag!$D$13:$D$512,$B637,Auftrag!$E$13:$E$512,$C637,Auftrag!$Q$13:$Q$512,$D637)*$D637/1000,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9" t="n"/>
      <c r="E638" s="24" t="n"/>
      <c r="F638" s="24" t="n"/>
      <c r="G638" s="12">
        <f>IF($A638="","",COUNTIFS(Stangenbelegung!$A$5:$A$10004,$A638))</f>
        <v/>
      </c>
      <c r="H638" s="35">
        <f>IF($A638="","",SUMIFS(Stangenbelegung!$F$5:$F$10004,Stangenbelegung!$A$5:$A$10004,$A638))</f>
        <v/>
      </c>
      <c r="I638" s="23" t="n"/>
      <c r="J638" s="35">
        <f>IF($A638="","",$E638+H638+$I638)</f>
        <v/>
      </c>
      <c r="K638" s="35">
        <f>IF($A638="","",$D638-J638)</f>
        <v/>
      </c>
      <c r="L638" s="32">
        <f>IF($A638="","",H638/$D638)</f>
        <v/>
      </c>
      <c r="M638" s="28">
        <f>IF($A638="","",IF(OR(J638+$F638&gt;$D638+0.001,_xlfn.MAXIFS(Stangenbelegung!$H$5:$H$10004,Stangenbelegung!$A$5:$A$10004,$A638)&gt;$D638-$F638+0.001),"ÜBERBELEGT","OK"))</f>
        <v/>
      </c>
      <c r="N638" s="24" t="n"/>
      <c r="O638" s="24" t="n"/>
      <c r="P638" s="9" t="n"/>
      <c r="Q638" s="18">
        <f>IF($A638="","",IFERROR($D638/1000*INDEX(Profile!$K$5:$K$304,MATCH($B638,lst_Profil,0))*INDEX(Werkstoffe!$E$5:$E$304,MATCH($C638,lst_Werkstoff,0))/1000,""))</f>
        <v/>
      </c>
      <c r="R638" s="18">
        <f>IF($A638="","",IF(N(_xlfn.MAXIFS(Auftrag!$AP$13:$AP$512,Auftrag!$D$13:$D$512,$B638,Auftrag!$E$13:$E$512,$C638,Auftrag!$Q$13:$Q$512,$D638))&gt;0,_xlfn.MAXIFS(Auftrag!$AP$13:$AP$512,Auftrag!$D$13:$D$512,$B638,Auftrag!$E$13:$E$512,$C638,Auftrag!$Q$13:$Q$512,$D638)*$D638/1000,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9" t="n"/>
      <c r="E639" s="24" t="n"/>
      <c r="F639" s="24" t="n"/>
      <c r="G639" s="12">
        <f>IF($A639="","",COUNTIFS(Stangenbelegung!$A$5:$A$10004,$A639))</f>
        <v/>
      </c>
      <c r="H639" s="35">
        <f>IF($A639="","",SUMIFS(Stangenbelegung!$F$5:$F$10004,Stangenbelegung!$A$5:$A$10004,$A639))</f>
        <v/>
      </c>
      <c r="I639" s="23" t="n"/>
      <c r="J639" s="35">
        <f>IF($A639="","",$E639+H639+$I639)</f>
        <v/>
      </c>
      <c r="K639" s="35">
        <f>IF($A639="","",$D639-J639)</f>
        <v/>
      </c>
      <c r="L639" s="32">
        <f>IF($A639="","",H639/$D639)</f>
        <v/>
      </c>
      <c r="M639" s="28">
        <f>IF($A639="","",IF(OR(J639+$F639&gt;$D639+0.001,_xlfn.MAXIFS(Stangenbelegung!$H$5:$H$10004,Stangenbelegung!$A$5:$A$10004,$A639)&gt;$D639-$F639+0.001),"ÜBERBELEGT","OK"))</f>
        <v/>
      </c>
      <c r="N639" s="24" t="n"/>
      <c r="O639" s="24" t="n"/>
      <c r="P639" s="9" t="n"/>
      <c r="Q639" s="18">
        <f>IF($A639="","",IFERROR($D639/1000*INDEX(Profile!$K$5:$K$304,MATCH($B639,lst_Profil,0))*INDEX(Werkstoffe!$E$5:$E$304,MATCH($C639,lst_Werkstoff,0))/1000,""))</f>
        <v/>
      </c>
      <c r="R639" s="18">
        <f>IF($A639="","",IF(N(_xlfn.MAXIFS(Auftrag!$AP$13:$AP$512,Auftrag!$D$13:$D$512,$B639,Auftrag!$E$13:$E$512,$C639,Auftrag!$Q$13:$Q$512,$D639))&gt;0,_xlfn.MAXIFS(Auftrag!$AP$13:$AP$512,Auftrag!$D$13:$D$512,$B639,Auftrag!$E$13:$E$512,$C639,Auftrag!$Q$13:$Q$512,$D639)*$D639/1000,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9" t="n"/>
      <c r="E640" s="24" t="n"/>
      <c r="F640" s="24" t="n"/>
      <c r="G640" s="12">
        <f>IF($A640="","",COUNTIFS(Stangenbelegung!$A$5:$A$10004,$A640))</f>
        <v/>
      </c>
      <c r="H640" s="35">
        <f>IF($A640="","",SUMIFS(Stangenbelegung!$F$5:$F$10004,Stangenbelegung!$A$5:$A$10004,$A640))</f>
        <v/>
      </c>
      <c r="I640" s="23" t="n"/>
      <c r="J640" s="35">
        <f>IF($A640="","",$E640+H640+$I640)</f>
        <v/>
      </c>
      <c r="K640" s="35">
        <f>IF($A640="","",$D640-J640)</f>
        <v/>
      </c>
      <c r="L640" s="32">
        <f>IF($A640="","",H640/$D640)</f>
        <v/>
      </c>
      <c r="M640" s="28">
        <f>IF($A640="","",IF(OR(J640+$F640&gt;$D640+0.001,_xlfn.MAXIFS(Stangenbelegung!$H$5:$H$10004,Stangenbelegung!$A$5:$A$10004,$A640)&gt;$D640-$F640+0.001),"ÜBERBELEGT","OK"))</f>
        <v/>
      </c>
      <c r="N640" s="24" t="n"/>
      <c r="O640" s="24" t="n"/>
      <c r="P640" s="9" t="n"/>
      <c r="Q640" s="18">
        <f>IF($A640="","",IFERROR($D640/1000*INDEX(Profile!$K$5:$K$304,MATCH($B640,lst_Profil,0))*INDEX(Werkstoffe!$E$5:$E$304,MATCH($C640,lst_Werkstoff,0))/1000,""))</f>
        <v/>
      </c>
      <c r="R640" s="18">
        <f>IF($A640="","",IF(N(_xlfn.MAXIFS(Auftrag!$AP$13:$AP$512,Auftrag!$D$13:$D$512,$B640,Auftrag!$E$13:$E$512,$C640,Auftrag!$Q$13:$Q$512,$D640))&gt;0,_xlfn.MAXIFS(Auftrag!$AP$13:$AP$512,Auftrag!$D$13:$D$512,$B640,Auftrag!$E$13:$E$512,$C640,Auftrag!$Q$13:$Q$512,$D640)*$D640/1000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9" t="n"/>
      <c r="E641" s="24" t="n"/>
      <c r="F641" s="24" t="n"/>
      <c r="G641" s="12">
        <f>IF($A641="","",COUNTIFS(Stangenbelegung!$A$5:$A$10004,$A641))</f>
        <v/>
      </c>
      <c r="H641" s="35">
        <f>IF($A641="","",SUMIFS(Stangenbelegung!$F$5:$F$10004,Stangenbelegung!$A$5:$A$10004,$A641))</f>
        <v/>
      </c>
      <c r="I641" s="23" t="n"/>
      <c r="J641" s="35">
        <f>IF($A641="","",$E641+H641+$I641)</f>
        <v/>
      </c>
      <c r="K641" s="35">
        <f>IF($A641="","",$D641-J641)</f>
        <v/>
      </c>
      <c r="L641" s="32">
        <f>IF($A641="","",H641/$D641)</f>
        <v/>
      </c>
      <c r="M641" s="28">
        <f>IF($A641="","",IF(OR(J641+$F641&gt;$D641+0.001,_xlfn.MAXIFS(Stangenbelegung!$H$5:$H$10004,Stangenbelegung!$A$5:$A$10004,$A641)&gt;$D641-$F641+0.001),"ÜBERBELEGT","OK"))</f>
        <v/>
      </c>
      <c r="N641" s="24" t="n"/>
      <c r="O641" s="24" t="n"/>
      <c r="P641" s="9" t="n"/>
      <c r="Q641" s="18">
        <f>IF($A641="","",IFERROR($D641/1000*INDEX(Profile!$K$5:$K$304,MATCH($B641,lst_Profil,0))*INDEX(Werkstoffe!$E$5:$E$304,MATCH($C641,lst_Werkstoff,0))/1000,""))</f>
        <v/>
      </c>
      <c r="R641" s="18">
        <f>IF($A641="","",IF(N(_xlfn.MAXIFS(Auftrag!$AP$13:$AP$512,Auftrag!$D$13:$D$512,$B641,Auftrag!$E$13:$E$512,$C641,Auftrag!$Q$13:$Q$512,$D641))&gt;0,_xlfn.MAXIFS(Auftrag!$AP$13:$AP$512,Auftrag!$D$13:$D$512,$B641,Auftrag!$E$13:$E$512,$C641,Auftrag!$Q$13:$Q$512,$D641)*$D641/1000,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9" t="n"/>
      <c r="E642" s="24" t="n"/>
      <c r="F642" s="24" t="n"/>
      <c r="G642" s="12">
        <f>IF($A642="","",COUNTIFS(Stangenbelegung!$A$5:$A$10004,$A642))</f>
        <v/>
      </c>
      <c r="H642" s="35">
        <f>IF($A642="","",SUMIFS(Stangenbelegung!$F$5:$F$10004,Stangenbelegung!$A$5:$A$10004,$A642))</f>
        <v/>
      </c>
      <c r="I642" s="23" t="n"/>
      <c r="J642" s="35">
        <f>IF($A642="","",$E642+H642+$I642)</f>
        <v/>
      </c>
      <c r="K642" s="35">
        <f>IF($A642="","",$D642-J642)</f>
        <v/>
      </c>
      <c r="L642" s="32">
        <f>IF($A642="","",H642/$D642)</f>
        <v/>
      </c>
      <c r="M642" s="28">
        <f>IF($A642="","",IF(OR(J642+$F642&gt;$D642+0.001,_xlfn.MAXIFS(Stangenbelegung!$H$5:$H$10004,Stangenbelegung!$A$5:$A$10004,$A642)&gt;$D642-$F642+0.001),"ÜBERBELEGT","OK"))</f>
        <v/>
      </c>
      <c r="N642" s="24" t="n"/>
      <c r="O642" s="24" t="n"/>
      <c r="P642" s="9" t="n"/>
      <c r="Q642" s="18">
        <f>IF($A642="","",IFERROR($D642/1000*INDEX(Profile!$K$5:$K$304,MATCH($B642,lst_Profil,0))*INDEX(Werkstoffe!$E$5:$E$304,MATCH($C642,lst_Werkstoff,0))/1000,""))</f>
        <v/>
      </c>
      <c r="R642" s="18">
        <f>IF($A642="","",IF(N(_xlfn.MAXIFS(Auftrag!$AP$13:$AP$512,Auftrag!$D$13:$D$512,$B642,Auftrag!$E$13:$E$512,$C642,Auftrag!$Q$13:$Q$512,$D642))&gt;0,_xlfn.MAXIFS(Auftrag!$AP$13:$AP$512,Auftrag!$D$13:$D$512,$B642,Auftrag!$E$13:$E$512,$C642,Auftrag!$Q$13:$Q$512,$D642)*$D642/1000,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9" t="n"/>
      <c r="E643" s="24" t="n"/>
      <c r="F643" s="24" t="n"/>
      <c r="G643" s="12">
        <f>IF($A643="","",COUNTIFS(Stangenbelegung!$A$5:$A$10004,$A643))</f>
        <v/>
      </c>
      <c r="H643" s="35">
        <f>IF($A643="","",SUMIFS(Stangenbelegung!$F$5:$F$10004,Stangenbelegung!$A$5:$A$10004,$A643))</f>
        <v/>
      </c>
      <c r="I643" s="23" t="n"/>
      <c r="J643" s="35">
        <f>IF($A643="","",$E643+H643+$I643)</f>
        <v/>
      </c>
      <c r="K643" s="35">
        <f>IF($A643="","",$D643-J643)</f>
        <v/>
      </c>
      <c r="L643" s="32">
        <f>IF($A643="","",H643/$D643)</f>
        <v/>
      </c>
      <c r="M643" s="28">
        <f>IF($A643="","",IF(OR(J643+$F643&gt;$D643+0.001,_xlfn.MAXIFS(Stangenbelegung!$H$5:$H$10004,Stangenbelegung!$A$5:$A$10004,$A643)&gt;$D643-$F643+0.001),"ÜBERBELEGT","OK"))</f>
        <v/>
      </c>
      <c r="N643" s="24" t="n"/>
      <c r="O643" s="24" t="n"/>
      <c r="P643" s="9" t="n"/>
      <c r="Q643" s="18">
        <f>IF($A643="","",IFERROR($D643/1000*INDEX(Profile!$K$5:$K$304,MATCH($B643,lst_Profil,0))*INDEX(Werkstoffe!$E$5:$E$304,MATCH($C643,lst_Werkstoff,0))/1000,""))</f>
        <v/>
      </c>
      <c r="R643" s="18">
        <f>IF($A643="","",IF(N(_xlfn.MAXIFS(Auftrag!$AP$13:$AP$512,Auftrag!$D$13:$D$512,$B643,Auftrag!$E$13:$E$512,$C643,Auftrag!$Q$13:$Q$512,$D643))&gt;0,_xlfn.MAXIFS(Auftrag!$AP$13:$AP$512,Auftrag!$D$13:$D$512,$B643,Auftrag!$E$13:$E$512,$C643,Auftrag!$Q$13:$Q$512,$D643)*$D643/1000,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9" t="n"/>
      <c r="E644" s="24" t="n"/>
      <c r="F644" s="24" t="n"/>
      <c r="G644" s="12">
        <f>IF($A644="","",COUNTIFS(Stangenbelegung!$A$5:$A$10004,$A644))</f>
        <v/>
      </c>
      <c r="H644" s="35">
        <f>IF($A644="","",SUMIFS(Stangenbelegung!$F$5:$F$10004,Stangenbelegung!$A$5:$A$10004,$A644))</f>
        <v/>
      </c>
      <c r="I644" s="23" t="n"/>
      <c r="J644" s="35">
        <f>IF($A644="","",$E644+H644+$I644)</f>
        <v/>
      </c>
      <c r="K644" s="35">
        <f>IF($A644="","",$D644-J644)</f>
        <v/>
      </c>
      <c r="L644" s="32">
        <f>IF($A644="","",H644/$D644)</f>
        <v/>
      </c>
      <c r="M644" s="28">
        <f>IF($A644="","",IF(OR(J644+$F644&gt;$D644+0.001,_xlfn.MAXIFS(Stangenbelegung!$H$5:$H$10004,Stangenbelegung!$A$5:$A$10004,$A644)&gt;$D644-$F644+0.001),"ÜBERBELEGT","OK"))</f>
        <v/>
      </c>
      <c r="N644" s="24" t="n"/>
      <c r="O644" s="24" t="n"/>
      <c r="P644" s="9" t="n"/>
      <c r="Q644" s="18">
        <f>IF($A644="","",IFERROR($D644/1000*INDEX(Profile!$K$5:$K$304,MATCH($B644,lst_Profil,0))*INDEX(Werkstoffe!$E$5:$E$304,MATCH($C644,lst_Werkstoff,0))/1000,""))</f>
        <v/>
      </c>
      <c r="R644" s="18">
        <f>IF($A644="","",IF(N(_xlfn.MAXIFS(Auftrag!$AP$13:$AP$512,Auftrag!$D$13:$D$512,$B644,Auftrag!$E$13:$E$512,$C644,Auftrag!$Q$13:$Q$512,$D644))&gt;0,_xlfn.MAXIFS(Auftrag!$AP$13:$AP$512,Auftrag!$D$13:$D$512,$B644,Auftrag!$E$13:$E$512,$C644,Auftrag!$Q$13:$Q$512,$D644)*$D644/1000,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9" t="n"/>
      <c r="E645" s="24" t="n"/>
      <c r="F645" s="24" t="n"/>
      <c r="G645" s="12">
        <f>IF($A645="","",COUNTIFS(Stangenbelegung!$A$5:$A$10004,$A645))</f>
        <v/>
      </c>
      <c r="H645" s="35">
        <f>IF($A645="","",SUMIFS(Stangenbelegung!$F$5:$F$10004,Stangenbelegung!$A$5:$A$10004,$A645))</f>
        <v/>
      </c>
      <c r="I645" s="23" t="n"/>
      <c r="J645" s="35">
        <f>IF($A645="","",$E645+H645+$I645)</f>
        <v/>
      </c>
      <c r="K645" s="35">
        <f>IF($A645="","",$D645-J645)</f>
        <v/>
      </c>
      <c r="L645" s="32">
        <f>IF($A645="","",H645/$D645)</f>
        <v/>
      </c>
      <c r="M645" s="28">
        <f>IF($A645="","",IF(OR(J645+$F645&gt;$D645+0.001,_xlfn.MAXIFS(Stangenbelegung!$H$5:$H$10004,Stangenbelegung!$A$5:$A$10004,$A645)&gt;$D645-$F645+0.001),"ÜBERBELEGT","OK"))</f>
        <v/>
      </c>
      <c r="N645" s="24" t="n"/>
      <c r="O645" s="24" t="n"/>
      <c r="P645" s="9" t="n"/>
      <c r="Q645" s="18">
        <f>IF($A645="","",IFERROR($D645/1000*INDEX(Profile!$K$5:$K$304,MATCH($B645,lst_Profil,0))*INDEX(Werkstoffe!$E$5:$E$304,MATCH($C645,lst_Werkstoff,0))/1000,""))</f>
        <v/>
      </c>
      <c r="R645" s="18">
        <f>IF($A645="","",IF(N(_xlfn.MAXIFS(Auftrag!$AP$13:$AP$512,Auftrag!$D$13:$D$512,$B645,Auftrag!$E$13:$E$512,$C645,Auftrag!$Q$13:$Q$512,$D645))&gt;0,_xlfn.MAXIFS(Auftrag!$AP$13:$AP$512,Auftrag!$D$13:$D$512,$B645,Auftrag!$E$13:$E$512,$C645,Auftrag!$Q$13:$Q$512,$D645)*$D645/1000,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9" t="n"/>
      <c r="E646" s="24" t="n"/>
      <c r="F646" s="24" t="n"/>
      <c r="G646" s="12">
        <f>IF($A646="","",COUNTIFS(Stangenbelegung!$A$5:$A$10004,$A646))</f>
        <v/>
      </c>
      <c r="H646" s="35">
        <f>IF($A646="","",SUMIFS(Stangenbelegung!$F$5:$F$10004,Stangenbelegung!$A$5:$A$10004,$A646))</f>
        <v/>
      </c>
      <c r="I646" s="23" t="n"/>
      <c r="J646" s="35">
        <f>IF($A646="","",$E646+H646+$I646)</f>
        <v/>
      </c>
      <c r="K646" s="35">
        <f>IF($A646="","",$D646-J646)</f>
        <v/>
      </c>
      <c r="L646" s="32">
        <f>IF($A646="","",H646/$D646)</f>
        <v/>
      </c>
      <c r="M646" s="28">
        <f>IF($A646="","",IF(OR(J646+$F646&gt;$D646+0.001,_xlfn.MAXIFS(Stangenbelegung!$H$5:$H$10004,Stangenbelegung!$A$5:$A$10004,$A646)&gt;$D646-$F646+0.001),"ÜBERBELEGT","OK"))</f>
        <v/>
      </c>
      <c r="N646" s="24" t="n"/>
      <c r="O646" s="24" t="n"/>
      <c r="P646" s="9" t="n"/>
      <c r="Q646" s="18">
        <f>IF($A646="","",IFERROR($D646/1000*INDEX(Profile!$K$5:$K$304,MATCH($B646,lst_Profil,0))*INDEX(Werkstoffe!$E$5:$E$304,MATCH($C646,lst_Werkstoff,0))/1000,""))</f>
        <v/>
      </c>
      <c r="R646" s="18">
        <f>IF($A646="","",IF(N(_xlfn.MAXIFS(Auftrag!$AP$13:$AP$512,Auftrag!$D$13:$D$512,$B646,Auftrag!$E$13:$E$512,$C646,Auftrag!$Q$13:$Q$512,$D646))&gt;0,_xlfn.MAXIFS(Auftrag!$AP$13:$AP$512,Auftrag!$D$13:$D$512,$B646,Auftrag!$E$13:$E$512,$C646,Auftrag!$Q$13:$Q$512,$D646)*$D646/1000,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9" t="n"/>
      <c r="E647" s="24" t="n"/>
      <c r="F647" s="24" t="n"/>
      <c r="G647" s="12">
        <f>IF($A647="","",COUNTIFS(Stangenbelegung!$A$5:$A$10004,$A647))</f>
        <v/>
      </c>
      <c r="H647" s="35">
        <f>IF($A647="","",SUMIFS(Stangenbelegung!$F$5:$F$10004,Stangenbelegung!$A$5:$A$10004,$A647))</f>
        <v/>
      </c>
      <c r="I647" s="23" t="n"/>
      <c r="J647" s="35">
        <f>IF($A647="","",$E647+H647+$I647)</f>
        <v/>
      </c>
      <c r="K647" s="35">
        <f>IF($A647="","",$D647-J647)</f>
        <v/>
      </c>
      <c r="L647" s="32">
        <f>IF($A647="","",H647/$D647)</f>
        <v/>
      </c>
      <c r="M647" s="28">
        <f>IF($A647="","",IF(OR(J647+$F647&gt;$D647+0.001,_xlfn.MAXIFS(Stangenbelegung!$H$5:$H$10004,Stangenbelegung!$A$5:$A$10004,$A647)&gt;$D647-$F647+0.001),"ÜBERBELEGT","OK"))</f>
        <v/>
      </c>
      <c r="N647" s="24" t="n"/>
      <c r="O647" s="24" t="n"/>
      <c r="P647" s="9" t="n"/>
      <c r="Q647" s="18">
        <f>IF($A647="","",IFERROR($D647/1000*INDEX(Profile!$K$5:$K$304,MATCH($B647,lst_Profil,0))*INDEX(Werkstoffe!$E$5:$E$304,MATCH($C647,lst_Werkstoff,0))/1000,""))</f>
        <v/>
      </c>
      <c r="R647" s="18">
        <f>IF($A647="","",IF(N(_xlfn.MAXIFS(Auftrag!$AP$13:$AP$512,Auftrag!$D$13:$D$512,$B647,Auftrag!$E$13:$E$512,$C647,Auftrag!$Q$13:$Q$512,$D647))&gt;0,_xlfn.MAXIFS(Auftrag!$AP$13:$AP$512,Auftrag!$D$13:$D$512,$B647,Auftrag!$E$13:$E$512,$C647,Auftrag!$Q$13:$Q$512,$D647)*$D647/1000,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9" t="n"/>
      <c r="E648" s="24" t="n"/>
      <c r="F648" s="24" t="n"/>
      <c r="G648" s="12">
        <f>IF($A648="","",COUNTIFS(Stangenbelegung!$A$5:$A$10004,$A648))</f>
        <v/>
      </c>
      <c r="H648" s="35">
        <f>IF($A648="","",SUMIFS(Stangenbelegung!$F$5:$F$10004,Stangenbelegung!$A$5:$A$10004,$A648))</f>
        <v/>
      </c>
      <c r="I648" s="23" t="n"/>
      <c r="J648" s="35">
        <f>IF($A648="","",$E648+H648+$I648)</f>
        <v/>
      </c>
      <c r="K648" s="35">
        <f>IF($A648="","",$D648-J648)</f>
        <v/>
      </c>
      <c r="L648" s="32">
        <f>IF($A648="","",H648/$D648)</f>
        <v/>
      </c>
      <c r="M648" s="28">
        <f>IF($A648="","",IF(OR(J648+$F648&gt;$D648+0.001,_xlfn.MAXIFS(Stangenbelegung!$H$5:$H$10004,Stangenbelegung!$A$5:$A$10004,$A648)&gt;$D648-$F648+0.001),"ÜBERBELEGT","OK"))</f>
        <v/>
      </c>
      <c r="N648" s="24" t="n"/>
      <c r="O648" s="24" t="n"/>
      <c r="P648" s="9" t="n"/>
      <c r="Q648" s="18">
        <f>IF($A648="","",IFERROR($D648/1000*INDEX(Profile!$K$5:$K$304,MATCH($B648,lst_Profil,0))*INDEX(Werkstoffe!$E$5:$E$304,MATCH($C648,lst_Werkstoff,0))/1000,""))</f>
        <v/>
      </c>
      <c r="R648" s="18">
        <f>IF($A648="","",IF(N(_xlfn.MAXIFS(Auftrag!$AP$13:$AP$512,Auftrag!$D$13:$D$512,$B648,Auftrag!$E$13:$E$512,$C648,Auftrag!$Q$13:$Q$512,$D648))&gt;0,_xlfn.MAXIFS(Auftrag!$AP$13:$AP$512,Auftrag!$D$13:$D$512,$B648,Auftrag!$E$13:$E$512,$C648,Auftrag!$Q$13:$Q$512,$D648)*$D648/1000,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9" t="n"/>
      <c r="E649" s="24" t="n"/>
      <c r="F649" s="24" t="n"/>
      <c r="G649" s="12">
        <f>IF($A649="","",COUNTIFS(Stangenbelegung!$A$5:$A$10004,$A649))</f>
        <v/>
      </c>
      <c r="H649" s="35">
        <f>IF($A649="","",SUMIFS(Stangenbelegung!$F$5:$F$10004,Stangenbelegung!$A$5:$A$10004,$A649))</f>
        <v/>
      </c>
      <c r="I649" s="23" t="n"/>
      <c r="J649" s="35">
        <f>IF($A649="","",$E649+H649+$I649)</f>
        <v/>
      </c>
      <c r="K649" s="35">
        <f>IF($A649="","",$D649-J649)</f>
        <v/>
      </c>
      <c r="L649" s="32">
        <f>IF($A649="","",H649/$D649)</f>
        <v/>
      </c>
      <c r="M649" s="28">
        <f>IF($A649="","",IF(OR(J649+$F649&gt;$D649+0.001,_xlfn.MAXIFS(Stangenbelegung!$H$5:$H$10004,Stangenbelegung!$A$5:$A$10004,$A649)&gt;$D649-$F649+0.001),"ÜBERBELEGT","OK"))</f>
        <v/>
      </c>
      <c r="N649" s="24" t="n"/>
      <c r="O649" s="24" t="n"/>
      <c r="P649" s="9" t="n"/>
      <c r="Q649" s="18">
        <f>IF($A649="","",IFERROR($D649/1000*INDEX(Profile!$K$5:$K$304,MATCH($B649,lst_Profil,0))*INDEX(Werkstoffe!$E$5:$E$304,MATCH($C649,lst_Werkstoff,0))/1000,""))</f>
        <v/>
      </c>
      <c r="R649" s="18">
        <f>IF($A649="","",IF(N(_xlfn.MAXIFS(Auftrag!$AP$13:$AP$512,Auftrag!$D$13:$D$512,$B649,Auftrag!$E$13:$E$512,$C649,Auftrag!$Q$13:$Q$512,$D649))&gt;0,_xlfn.MAXIFS(Auftrag!$AP$13:$AP$512,Auftrag!$D$13:$D$512,$B649,Auftrag!$E$13:$E$512,$C649,Auftrag!$Q$13:$Q$512,$D649)*$D649/1000,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9" t="n"/>
      <c r="E650" s="24" t="n"/>
      <c r="F650" s="24" t="n"/>
      <c r="G650" s="12">
        <f>IF($A650="","",COUNTIFS(Stangenbelegung!$A$5:$A$10004,$A650))</f>
        <v/>
      </c>
      <c r="H650" s="35">
        <f>IF($A650="","",SUMIFS(Stangenbelegung!$F$5:$F$10004,Stangenbelegung!$A$5:$A$10004,$A650))</f>
        <v/>
      </c>
      <c r="I650" s="23" t="n"/>
      <c r="J650" s="35">
        <f>IF($A650="","",$E650+H650+$I650)</f>
        <v/>
      </c>
      <c r="K650" s="35">
        <f>IF($A650="","",$D650-J650)</f>
        <v/>
      </c>
      <c r="L650" s="32">
        <f>IF($A650="","",H650/$D650)</f>
        <v/>
      </c>
      <c r="M650" s="28">
        <f>IF($A650="","",IF(OR(J650+$F650&gt;$D650+0.001,_xlfn.MAXIFS(Stangenbelegung!$H$5:$H$10004,Stangenbelegung!$A$5:$A$10004,$A650)&gt;$D650-$F650+0.001),"ÜBERBELEGT","OK"))</f>
        <v/>
      </c>
      <c r="N650" s="24" t="n"/>
      <c r="O650" s="24" t="n"/>
      <c r="P650" s="9" t="n"/>
      <c r="Q650" s="18">
        <f>IF($A650="","",IFERROR($D650/1000*INDEX(Profile!$K$5:$K$304,MATCH($B650,lst_Profil,0))*INDEX(Werkstoffe!$E$5:$E$304,MATCH($C650,lst_Werkstoff,0))/1000,""))</f>
        <v/>
      </c>
      <c r="R650" s="18">
        <f>IF($A650="","",IF(N(_xlfn.MAXIFS(Auftrag!$AP$13:$AP$512,Auftrag!$D$13:$D$512,$B650,Auftrag!$E$13:$E$512,$C650,Auftrag!$Q$13:$Q$512,$D650))&gt;0,_xlfn.MAXIFS(Auftrag!$AP$13:$AP$512,Auftrag!$D$13:$D$512,$B650,Auftrag!$E$13:$E$512,$C650,Auftrag!$Q$13:$Q$512,$D650)*$D650/1000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9" t="n"/>
      <c r="E651" s="24" t="n"/>
      <c r="F651" s="24" t="n"/>
      <c r="G651" s="12">
        <f>IF($A651="","",COUNTIFS(Stangenbelegung!$A$5:$A$10004,$A651))</f>
        <v/>
      </c>
      <c r="H651" s="35">
        <f>IF($A651="","",SUMIFS(Stangenbelegung!$F$5:$F$10004,Stangenbelegung!$A$5:$A$10004,$A651))</f>
        <v/>
      </c>
      <c r="I651" s="23" t="n"/>
      <c r="J651" s="35">
        <f>IF($A651="","",$E651+H651+$I651)</f>
        <v/>
      </c>
      <c r="K651" s="35">
        <f>IF($A651="","",$D651-J651)</f>
        <v/>
      </c>
      <c r="L651" s="32">
        <f>IF($A651="","",H651/$D651)</f>
        <v/>
      </c>
      <c r="M651" s="28">
        <f>IF($A651="","",IF(OR(J651+$F651&gt;$D651+0.001,_xlfn.MAXIFS(Stangenbelegung!$H$5:$H$10004,Stangenbelegung!$A$5:$A$10004,$A651)&gt;$D651-$F651+0.001),"ÜBERBELEGT","OK"))</f>
        <v/>
      </c>
      <c r="N651" s="24" t="n"/>
      <c r="O651" s="24" t="n"/>
      <c r="P651" s="9" t="n"/>
      <c r="Q651" s="18">
        <f>IF($A651="","",IFERROR($D651/1000*INDEX(Profile!$K$5:$K$304,MATCH($B651,lst_Profil,0))*INDEX(Werkstoffe!$E$5:$E$304,MATCH($C651,lst_Werkstoff,0))/1000,""))</f>
        <v/>
      </c>
      <c r="R651" s="18">
        <f>IF($A651="","",IF(N(_xlfn.MAXIFS(Auftrag!$AP$13:$AP$512,Auftrag!$D$13:$D$512,$B651,Auftrag!$E$13:$E$512,$C651,Auftrag!$Q$13:$Q$512,$D651))&gt;0,_xlfn.MAXIFS(Auftrag!$AP$13:$AP$512,Auftrag!$D$13:$D$512,$B651,Auftrag!$E$13:$E$512,$C651,Auftrag!$Q$13:$Q$512,$D651)*$D651/1000,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9" t="n"/>
      <c r="E652" s="24" t="n"/>
      <c r="F652" s="24" t="n"/>
      <c r="G652" s="12">
        <f>IF($A652="","",COUNTIFS(Stangenbelegung!$A$5:$A$10004,$A652))</f>
        <v/>
      </c>
      <c r="H652" s="35">
        <f>IF($A652="","",SUMIFS(Stangenbelegung!$F$5:$F$10004,Stangenbelegung!$A$5:$A$10004,$A652))</f>
        <v/>
      </c>
      <c r="I652" s="23" t="n"/>
      <c r="J652" s="35">
        <f>IF($A652="","",$E652+H652+$I652)</f>
        <v/>
      </c>
      <c r="K652" s="35">
        <f>IF($A652="","",$D652-J652)</f>
        <v/>
      </c>
      <c r="L652" s="32">
        <f>IF($A652="","",H652/$D652)</f>
        <v/>
      </c>
      <c r="M652" s="28">
        <f>IF($A652="","",IF(OR(J652+$F652&gt;$D652+0.001,_xlfn.MAXIFS(Stangenbelegung!$H$5:$H$10004,Stangenbelegung!$A$5:$A$10004,$A652)&gt;$D652-$F652+0.001),"ÜBERBELEGT","OK"))</f>
        <v/>
      </c>
      <c r="N652" s="24" t="n"/>
      <c r="O652" s="24" t="n"/>
      <c r="P652" s="9" t="n"/>
      <c r="Q652" s="18">
        <f>IF($A652="","",IFERROR($D652/1000*INDEX(Profile!$K$5:$K$304,MATCH($B652,lst_Profil,0))*INDEX(Werkstoffe!$E$5:$E$304,MATCH($C652,lst_Werkstoff,0))/1000,""))</f>
        <v/>
      </c>
      <c r="R652" s="18">
        <f>IF($A652="","",IF(N(_xlfn.MAXIFS(Auftrag!$AP$13:$AP$512,Auftrag!$D$13:$D$512,$B652,Auftrag!$E$13:$E$512,$C652,Auftrag!$Q$13:$Q$512,$D652))&gt;0,_xlfn.MAXIFS(Auftrag!$AP$13:$AP$512,Auftrag!$D$13:$D$512,$B652,Auftrag!$E$13:$E$512,$C652,Auftrag!$Q$13:$Q$512,$D652)*$D652/1000,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9" t="n"/>
      <c r="E653" s="24" t="n"/>
      <c r="F653" s="24" t="n"/>
      <c r="G653" s="12">
        <f>IF($A653="","",COUNTIFS(Stangenbelegung!$A$5:$A$10004,$A653))</f>
        <v/>
      </c>
      <c r="H653" s="35">
        <f>IF($A653="","",SUMIFS(Stangenbelegung!$F$5:$F$10004,Stangenbelegung!$A$5:$A$10004,$A653))</f>
        <v/>
      </c>
      <c r="I653" s="23" t="n"/>
      <c r="J653" s="35">
        <f>IF($A653="","",$E653+H653+$I653)</f>
        <v/>
      </c>
      <c r="K653" s="35">
        <f>IF($A653="","",$D653-J653)</f>
        <v/>
      </c>
      <c r="L653" s="32">
        <f>IF($A653="","",H653/$D653)</f>
        <v/>
      </c>
      <c r="M653" s="28">
        <f>IF($A653="","",IF(OR(J653+$F653&gt;$D653+0.001,_xlfn.MAXIFS(Stangenbelegung!$H$5:$H$10004,Stangenbelegung!$A$5:$A$10004,$A653)&gt;$D653-$F653+0.001),"ÜBERBELEGT","OK"))</f>
        <v/>
      </c>
      <c r="N653" s="24" t="n"/>
      <c r="O653" s="24" t="n"/>
      <c r="P653" s="9" t="n"/>
      <c r="Q653" s="18">
        <f>IF($A653="","",IFERROR($D653/1000*INDEX(Profile!$K$5:$K$304,MATCH($B653,lst_Profil,0))*INDEX(Werkstoffe!$E$5:$E$304,MATCH($C653,lst_Werkstoff,0))/1000,""))</f>
        <v/>
      </c>
      <c r="R653" s="18">
        <f>IF($A653="","",IF(N(_xlfn.MAXIFS(Auftrag!$AP$13:$AP$512,Auftrag!$D$13:$D$512,$B653,Auftrag!$E$13:$E$512,$C653,Auftrag!$Q$13:$Q$512,$D653))&gt;0,_xlfn.MAXIFS(Auftrag!$AP$13:$AP$512,Auftrag!$D$13:$D$512,$B653,Auftrag!$E$13:$E$512,$C653,Auftrag!$Q$13:$Q$512,$D653)*$D653/1000,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9" t="n"/>
      <c r="E654" s="24" t="n"/>
      <c r="F654" s="24" t="n"/>
      <c r="G654" s="12">
        <f>IF($A654="","",COUNTIFS(Stangenbelegung!$A$5:$A$10004,$A654))</f>
        <v/>
      </c>
      <c r="H654" s="35">
        <f>IF($A654="","",SUMIFS(Stangenbelegung!$F$5:$F$10004,Stangenbelegung!$A$5:$A$10004,$A654))</f>
        <v/>
      </c>
      <c r="I654" s="23" t="n"/>
      <c r="J654" s="35">
        <f>IF($A654="","",$E654+H654+$I654)</f>
        <v/>
      </c>
      <c r="K654" s="35">
        <f>IF($A654="","",$D654-J654)</f>
        <v/>
      </c>
      <c r="L654" s="32">
        <f>IF($A654="","",H654/$D654)</f>
        <v/>
      </c>
      <c r="M654" s="28">
        <f>IF($A654="","",IF(OR(J654+$F654&gt;$D654+0.001,_xlfn.MAXIFS(Stangenbelegung!$H$5:$H$10004,Stangenbelegung!$A$5:$A$10004,$A654)&gt;$D654-$F654+0.001),"ÜBERBELEGT","OK"))</f>
        <v/>
      </c>
      <c r="N654" s="24" t="n"/>
      <c r="O654" s="24" t="n"/>
      <c r="P654" s="9" t="n"/>
      <c r="Q654" s="18">
        <f>IF($A654="","",IFERROR($D654/1000*INDEX(Profile!$K$5:$K$304,MATCH($B654,lst_Profil,0))*INDEX(Werkstoffe!$E$5:$E$304,MATCH($C654,lst_Werkstoff,0))/1000,""))</f>
        <v/>
      </c>
      <c r="R654" s="18">
        <f>IF($A654="","",IF(N(_xlfn.MAXIFS(Auftrag!$AP$13:$AP$512,Auftrag!$D$13:$D$512,$B654,Auftrag!$E$13:$E$512,$C654,Auftrag!$Q$13:$Q$512,$D654))&gt;0,_xlfn.MAXIFS(Auftrag!$AP$13:$AP$512,Auftrag!$D$13:$D$512,$B654,Auftrag!$E$13:$E$512,$C654,Auftrag!$Q$13:$Q$512,$D654)*$D654/1000,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9" t="n"/>
      <c r="E655" s="24" t="n"/>
      <c r="F655" s="24" t="n"/>
      <c r="G655" s="12">
        <f>IF($A655="","",COUNTIFS(Stangenbelegung!$A$5:$A$10004,$A655))</f>
        <v/>
      </c>
      <c r="H655" s="35">
        <f>IF($A655="","",SUMIFS(Stangenbelegung!$F$5:$F$10004,Stangenbelegung!$A$5:$A$10004,$A655))</f>
        <v/>
      </c>
      <c r="I655" s="23" t="n"/>
      <c r="J655" s="35">
        <f>IF($A655="","",$E655+H655+$I655)</f>
        <v/>
      </c>
      <c r="K655" s="35">
        <f>IF($A655="","",$D655-J655)</f>
        <v/>
      </c>
      <c r="L655" s="32">
        <f>IF($A655="","",H655/$D655)</f>
        <v/>
      </c>
      <c r="M655" s="28">
        <f>IF($A655="","",IF(OR(J655+$F655&gt;$D655+0.001,_xlfn.MAXIFS(Stangenbelegung!$H$5:$H$10004,Stangenbelegung!$A$5:$A$10004,$A655)&gt;$D655-$F655+0.001),"ÜBERBELEGT","OK"))</f>
        <v/>
      </c>
      <c r="N655" s="24" t="n"/>
      <c r="O655" s="24" t="n"/>
      <c r="P655" s="9" t="n"/>
      <c r="Q655" s="18">
        <f>IF($A655="","",IFERROR($D655/1000*INDEX(Profile!$K$5:$K$304,MATCH($B655,lst_Profil,0))*INDEX(Werkstoffe!$E$5:$E$304,MATCH($C655,lst_Werkstoff,0))/1000,""))</f>
        <v/>
      </c>
      <c r="R655" s="18">
        <f>IF($A655="","",IF(N(_xlfn.MAXIFS(Auftrag!$AP$13:$AP$512,Auftrag!$D$13:$D$512,$B655,Auftrag!$E$13:$E$512,$C655,Auftrag!$Q$13:$Q$512,$D655))&gt;0,_xlfn.MAXIFS(Auftrag!$AP$13:$AP$512,Auftrag!$D$13:$D$512,$B655,Auftrag!$E$13:$E$512,$C655,Auftrag!$Q$13:$Q$512,$D655)*$D655/1000,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9" t="n"/>
      <c r="E656" s="24" t="n"/>
      <c r="F656" s="24" t="n"/>
      <c r="G656" s="12">
        <f>IF($A656="","",COUNTIFS(Stangenbelegung!$A$5:$A$10004,$A656))</f>
        <v/>
      </c>
      <c r="H656" s="35">
        <f>IF($A656="","",SUMIFS(Stangenbelegung!$F$5:$F$10004,Stangenbelegung!$A$5:$A$10004,$A656))</f>
        <v/>
      </c>
      <c r="I656" s="23" t="n"/>
      <c r="J656" s="35">
        <f>IF($A656="","",$E656+H656+$I656)</f>
        <v/>
      </c>
      <c r="K656" s="35">
        <f>IF($A656="","",$D656-J656)</f>
        <v/>
      </c>
      <c r="L656" s="32">
        <f>IF($A656="","",H656/$D656)</f>
        <v/>
      </c>
      <c r="M656" s="28">
        <f>IF($A656="","",IF(OR(J656+$F656&gt;$D656+0.001,_xlfn.MAXIFS(Stangenbelegung!$H$5:$H$10004,Stangenbelegung!$A$5:$A$10004,$A656)&gt;$D656-$F656+0.001),"ÜBERBELEGT","OK"))</f>
        <v/>
      </c>
      <c r="N656" s="24" t="n"/>
      <c r="O656" s="24" t="n"/>
      <c r="P656" s="9" t="n"/>
      <c r="Q656" s="18">
        <f>IF($A656="","",IFERROR($D656/1000*INDEX(Profile!$K$5:$K$304,MATCH($B656,lst_Profil,0))*INDEX(Werkstoffe!$E$5:$E$304,MATCH($C656,lst_Werkstoff,0))/1000,""))</f>
        <v/>
      </c>
      <c r="R656" s="18">
        <f>IF($A656="","",IF(N(_xlfn.MAXIFS(Auftrag!$AP$13:$AP$512,Auftrag!$D$13:$D$512,$B656,Auftrag!$E$13:$E$512,$C656,Auftrag!$Q$13:$Q$512,$D656))&gt;0,_xlfn.MAXIFS(Auftrag!$AP$13:$AP$512,Auftrag!$D$13:$D$512,$B656,Auftrag!$E$13:$E$512,$C656,Auftrag!$Q$13:$Q$512,$D656)*$D656/1000,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9" t="n"/>
      <c r="E657" s="24" t="n"/>
      <c r="F657" s="24" t="n"/>
      <c r="G657" s="12">
        <f>IF($A657="","",COUNTIFS(Stangenbelegung!$A$5:$A$10004,$A657))</f>
        <v/>
      </c>
      <c r="H657" s="35">
        <f>IF($A657="","",SUMIFS(Stangenbelegung!$F$5:$F$10004,Stangenbelegung!$A$5:$A$10004,$A657))</f>
        <v/>
      </c>
      <c r="I657" s="23" t="n"/>
      <c r="J657" s="35">
        <f>IF($A657="","",$E657+H657+$I657)</f>
        <v/>
      </c>
      <c r="K657" s="35">
        <f>IF($A657="","",$D657-J657)</f>
        <v/>
      </c>
      <c r="L657" s="32">
        <f>IF($A657="","",H657/$D657)</f>
        <v/>
      </c>
      <c r="M657" s="28">
        <f>IF($A657="","",IF(OR(J657+$F657&gt;$D657+0.001,_xlfn.MAXIFS(Stangenbelegung!$H$5:$H$10004,Stangenbelegung!$A$5:$A$10004,$A657)&gt;$D657-$F657+0.001),"ÜBERBELEGT","OK"))</f>
        <v/>
      </c>
      <c r="N657" s="24" t="n"/>
      <c r="O657" s="24" t="n"/>
      <c r="P657" s="9" t="n"/>
      <c r="Q657" s="18">
        <f>IF($A657="","",IFERROR($D657/1000*INDEX(Profile!$K$5:$K$304,MATCH($B657,lst_Profil,0))*INDEX(Werkstoffe!$E$5:$E$304,MATCH($C657,lst_Werkstoff,0))/1000,""))</f>
        <v/>
      </c>
      <c r="R657" s="18">
        <f>IF($A657="","",IF(N(_xlfn.MAXIFS(Auftrag!$AP$13:$AP$512,Auftrag!$D$13:$D$512,$B657,Auftrag!$E$13:$E$512,$C657,Auftrag!$Q$13:$Q$512,$D657))&gt;0,_xlfn.MAXIFS(Auftrag!$AP$13:$AP$512,Auftrag!$D$13:$D$512,$B657,Auftrag!$E$13:$E$512,$C657,Auftrag!$Q$13:$Q$512,$D657)*$D657/1000,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9" t="n"/>
      <c r="E658" s="24" t="n"/>
      <c r="F658" s="24" t="n"/>
      <c r="G658" s="12">
        <f>IF($A658="","",COUNTIFS(Stangenbelegung!$A$5:$A$10004,$A658))</f>
        <v/>
      </c>
      <c r="H658" s="35">
        <f>IF($A658="","",SUMIFS(Stangenbelegung!$F$5:$F$10004,Stangenbelegung!$A$5:$A$10004,$A658))</f>
        <v/>
      </c>
      <c r="I658" s="23" t="n"/>
      <c r="J658" s="35">
        <f>IF($A658="","",$E658+H658+$I658)</f>
        <v/>
      </c>
      <c r="K658" s="35">
        <f>IF($A658="","",$D658-J658)</f>
        <v/>
      </c>
      <c r="L658" s="32">
        <f>IF($A658="","",H658/$D658)</f>
        <v/>
      </c>
      <c r="M658" s="28">
        <f>IF($A658="","",IF(OR(J658+$F658&gt;$D658+0.001,_xlfn.MAXIFS(Stangenbelegung!$H$5:$H$10004,Stangenbelegung!$A$5:$A$10004,$A658)&gt;$D658-$F658+0.001),"ÜBERBELEGT","OK"))</f>
        <v/>
      </c>
      <c r="N658" s="24" t="n"/>
      <c r="O658" s="24" t="n"/>
      <c r="P658" s="9" t="n"/>
      <c r="Q658" s="18">
        <f>IF($A658="","",IFERROR($D658/1000*INDEX(Profile!$K$5:$K$304,MATCH($B658,lst_Profil,0))*INDEX(Werkstoffe!$E$5:$E$304,MATCH($C658,lst_Werkstoff,0))/1000,""))</f>
        <v/>
      </c>
      <c r="R658" s="18">
        <f>IF($A658="","",IF(N(_xlfn.MAXIFS(Auftrag!$AP$13:$AP$512,Auftrag!$D$13:$D$512,$B658,Auftrag!$E$13:$E$512,$C658,Auftrag!$Q$13:$Q$512,$D658))&gt;0,_xlfn.MAXIFS(Auftrag!$AP$13:$AP$512,Auftrag!$D$13:$D$512,$B658,Auftrag!$E$13:$E$512,$C658,Auftrag!$Q$13:$Q$512,$D658)*$D658/1000,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9" t="n"/>
      <c r="E659" s="24" t="n"/>
      <c r="F659" s="24" t="n"/>
      <c r="G659" s="12">
        <f>IF($A659="","",COUNTIFS(Stangenbelegung!$A$5:$A$10004,$A659))</f>
        <v/>
      </c>
      <c r="H659" s="35">
        <f>IF($A659="","",SUMIFS(Stangenbelegung!$F$5:$F$10004,Stangenbelegung!$A$5:$A$10004,$A659))</f>
        <v/>
      </c>
      <c r="I659" s="23" t="n"/>
      <c r="J659" s="35">
        <f>IF($A659="","",$E659+H659+$I659)</f>
        <v/>
      </c>
      <c r="K659" s="35">
        <f>IF($A659="","",$D659-J659)</f>
        <v/>
      </c>
      <c r="L659" s="32">
        <f>IF($A659="","",H659/$D659)</f>
        <v/>
      </c>
      <c r="M659" s="28">
        <f>IF($A659="","",IF(OR(J659+$F659&gt;$D659+0.001,_xlfn.MAXIFS(Stangenbelegung!$H$5:$H$10004,Stangenbelegung!$A$5:$A$10004,$A659)&gt;$D659-$F659+0.001),"ÜBERBELEGT","OK"))</f>
        <v/>
      </c>
      <c r="N659" s="24" t="n"/>
      <c r="O659" s="24" t="n"/>
      <c r="P659" s="9" t="n"/>
      <c r="Q659" s="18">
        <f>IF($A659="","",IFERROR($D659/1000*INDEX(Profile!$K$5:$K$304,MATCH($B659,lst_Profil,0))*INDEX(Werkstoffe!$E$5:$E$304,MATCH($C659,lst_Werkstoff,0))/1000,""))</f>
        <v/>
      </c>
      <c r="R659" s="18">
        <f>IF($A659="","",IF(N(_xlfn.MAXIFS(Auftrag!$AP$13:$AP$512,Auftrag!$D$13:$D$512,$B659,Auftrag!$E$13:$E$512,$C659,Auftrag!$Q$13:$Q$512,$D659))&gt;0,_xlfn.MAXIFS(Auftrag!$AP$13:$AP$512,Auftrag!$D$13:$D$512,$B659,Auftrag!$E$13:$E$512,$C659,Auftrag!$Q$13:$Q$512,$D659)*$D659/1000,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9" t="n"/>
      <c r="E660" s="24" t="n"/>
      <c r="F660" s="24" t="n"/>
      <c r="G660" s="12">
        <f>IF($A660="","",COUNTIFS(Stangenbelegung!$A$5:$A$10004,$A660))</f>
        <v/>
      </c>
      <c r="H660" s="35">
        <f>IF($A660="","",SUMIFS(Stangenbelegung!$F$5:$F$10004,Stangenbelegung!$A$5:$A$10004,$A660))</f>
        <v/>
      </c>
      <c r="I660" s="23" t="n"/>
      <c r="J660" s="35">
        <f>IF($A660="","",$E660+H660+$I660)</f>
        <v/>
      </c>
      <c r="K660" s="35">
        <f>IF($A660="","",$D660-J660)</f>
        <v/>
      </c>
      <c r="L660" s="32">
        <f>IF($A660="","",H660/$D660)</f>
        <v/>
      </c>
      <c r="M660" s="28">
        <f>IF($A660="","",IF(OR(J660+$F660&gt;$D660+0.001,_xlfn.MAXIFS(Stangenbelegung!$H$5:$H$10004,Stangenbelegung!$A$5:$A$10004,$A660)&gt;$D660-$F660+0.001),"ÜBERBELEGT","OK"))</f>
        <v/>
      </c>
      <c r="N660" s="24" t="n"/>
      <c r="O660" s="24" t="n"/>
      <c r="P660" s="9" t="n"/>
      <c r="Q660" s="18">
        <f>IF($A660="","",IFERROR($D660/1000*INDEX(Profile!$K$5:$K$304,MATCH($B660,lst_Profil,0))*INDEX(Werkstoffe!$E$5:$E$304,MATCH($C660,lst_Werkstoff,0))/1000,""))</f>
        <v/>
      </c>
      <c r="R660" s="18">
        <f>IF($A660="","",IF(N(_xlfn.MAXIFS(Auftrag!$AP$13:$AP$512,Auftrag!$D$13:$D$512,$B660,Auftrag!$E$13:$E$512,$C660,Auftrag!$Q$13:$Q$512,$D660))&gt;0,_xlfn.MAXIFS(Auftrag!$AP$13:$AP$512,Auftrag!$D$13:$D$512,$B660,Auftrag!$E$13:$E$512,$C660,Auftrag!$Q$13:$Q$512,$D660)*$D660/1000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9" t="n"/>
      <c r="E661" s="24" t="n"/>
      <c r="F661" s="24" t="n"/>
      <c r="G661" s="12">
        <f>IF($A661="","",COUNTIFS(Stangenbelegung!$A$5:$A$10004,$A661))</f>
        <v/>
      </c>
      <c r="H661" s="35">
        <f>IF($A661="","",SUMIFS(Stangenbelegung!$F$5:$F$10004,Stangenbelegung!$A$5:$A$10004,$A661))</f>
        <v/>
      </c>
      <c r="I661" s="23" t="n"/>
      <c r="J661" s="35">
        <f>IF($A661="","",$E661+H661+$I661)</f>
        <v/>
      </c>
      <c r="K661" s="35">
        <f>IF($A661="","",$D661-J661)</f>
        <v/>
      </c>
      <c r="L661" s="32">
        <f>IF($A661="","",H661/$D661)</f>
        <v/>
      </c>
      <c r="M661" s="28">
        <f>IF($A661="","",IF(OR(J661+$F661&gt;$D661+0.001,_xlfn.MAXIFS(Stangenbelegung!$H$5:$H$10004,Stangenbelegung!$A$5:$A$10004,$A661)&gt;$D661-$F661+0.001),"ÜBERBELEGT","OK"))</f>
        <v/>
      </c>
      <c r="N661" s="24" t="n"/>
      <c r="O661" s="24" t="n"/>
      <c r="P661" s="9" t="n"/>
      <c r="Q661" s="18">
        <f>IF($A661="","",IFERROR($D661/1000*INDEX(Profile!$K$5:$K$304,MATCH($B661,lst_Profil,0))*INDEX(Werkstoffe!$E$5:$E$304,MATCH($C661,lst_Werkstoff,0))/1000,""))</f>
        <v/>
      </c>
      <c r="R661" s="18">
        <f>IF($A661="","",IF(N(_xlfn.MAXIFS(Auftrag!$AP$13:$AP$512,Auftrag!$D$13:$D$512,$B661,Auftrag!$E$13:$E$512,$C661,Auftrag!$Q$13:$Q$512,$D661))&gt;0,_xlfn.MAXIFS(Auftrag!$AP$13:$AP$512,Auftrag!$D$13:$D$512,$B661,Auftrag!$E$13:$E$512,$C661,Auftrag!$Q$13:$Q$512,$D661)*$D661/1000,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9" t="n"/>
      <c r="E662" s="24" t="n"/>
      <c r="F662" s="24" t="n"/>
      <c r="G662" s="12">
        <f>IF($A662="","",COUNTIFS(Stangenbelegung!$A$5:$A$10004,$A662))</f>
        <v/>
      </c>
      <c r="H662" s="35">
        <f>IF($A662="","",SUMIFS(Stangenbelegung!$F$5:$F$10004,Stangenbelegung!$A$5:$A$10004,$A662))</f>
        <v/>
      </c>
      <c r="I662" s="23" t="n"/>
      <c r="J662" s="35">
        <f>IF($A662="","",$E662+H662+$I662)</f>
        <v/>
      </c>
      <c r="K662" s="35">
        <f>IF($A662="","",$D662-J662)</f>
        <v/>
      </c>
      <c r="L662" s="32">
        <f>IF($A662="","",H662/$D662)</f>
        <v/>
      </c>
      <c r="M662" s="28">
        <f>IF($A662="","",IF(OR(J662+$F662&gt;$D662+0.001,_xlfn.MAXIFS(Stangenbelegung!$H$5:$H$10004,Stangenbelegung!$A$5:$A$10004,$A662)&gt;$D662-$F662+0.001),"ÜBERBELEGT","OK"))</f>
        <v/>
      </c>
      <c r="N662" s="24" t="n"/>
      <c r="O662" s="24" t="n"/>
      <c r="P662" s="9" t="n"/>
      <c r="Q662" s="18">
        <f>IF($A662="","",IFERROR($D662/1000*INDEX(Profile!$K$5:$K$304,MATCH($B662,lst_Profil,0))*INDEX(Werkstoffe!$E$5:$E$304,MATCH($C662,lst_Werkstoff,0))/1000,""))</f>
        <v/>
      </c>
      <c r="R662" s="18">
        <f>IF($A662="","",IF(N(_xlfn.MAXIFS(Auftrag!$AP$13:$AP$512,Auftrag!$D$13:$D$512,$B662,Auftrag!$E$13:$E$512,$C662,Auftrag!$Q$13:$Q$512,$D662))&gt;0,_xlfn.MAXIFS(Auftrag!$AP$13:$AP$512,Auftrag!$D$13:$D$512,$B662,Auftrag!$E$13:$E$512,$C662,Auftrag!$Q$13:$Q$512,$D662)*$D662/1000,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9" t="n"/>
      <c r="E663" s="24" t="n"/>
      <c r="F663" s="24" t="n"/>
      <c r="G663" s="12">
        <f>IF($A663="","",COUNTIFS(Stangenbelegung!$A$5:$A$10004,$A663))</f>
        <v/>
      </c>
      <c r="H663" s="35">
        <f>IF($A663="","",SUMIFS(Stangenbelegung!$F$5:$F$10004,Stangenbelegung!$A$5:$A$10004,$A663))</f>
        <v/>
      </c>
      <c r="I663" s="23" t="n"/>
      <c r="J663" s="35">
        <f>IF($A663="","",$E663+H663+$I663)</f>
        <v/>
      </c>
      <c r="K663" s="35">
        <f>IF($A663="","",$D663-J663)</f>
        <v/>
      </c>
      <c r="L663" s="32">
        <f>IF($A663="","",H663/$D663)</f>
        <v/>
      </c>
      <c r="M663" s="28">
        <f>IF($A663="","",IF(OR(J663+$F663&gt;$D663+0.001,_xlfn.MAXIFS(Stangenbelegung!$H$5:$H$10004,Stangenbelegung!$A$5:$A$10004,$A663)&gt;$D663-$F663+0.001),"ÜBERBELEGT","OK"))</f>
        <v/>
      </c>
      <c r="N663" s="24" t="n"/>
      <c r="O663" s="24" t="n"/>
      <c r="P663" s="9" t="n"/>
      <c r="Q663" s="18">
        <f>IF($A663="","",IFERROR($D663/1000*INDEX(Profile!$K$5:$K$304,MATCH($B663,lst_Profil,0))*INDEX(Werkstoffe!$E$5:$E$304,MATCH($C663,lst_Werkstoff,0))/1000,""))</f>
        <v/>
      </c>
      <c r="R663" s="18">
        <f>IF($A663="","",IF(N(_xlfn.MAXIFS(Auftrag!$AP$13:$AP$512,Auftrag!$D$13:$D$512,$B663,Auftrag!$E$13:$E$512,$C663,Auftrag!$Q$13:$Q$512,$D663))&gt;0,_xlfn.MAXIFS(Auftrag!$AP$13:$AP$512,Auftrag!$D$13:$D$512,$B663,Auftrag!$E$13:$E$512,$C663,Auftrag!$Q$13:$Q$512,$D663)*$D663/1000,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9" t="n"/>
      <c r="E664" s="24" t="n"/>
      <c r="F664" s="24" t="n"/>
      <c r="G664" s="12">
        <f>IF($A664="","",COUNTIFS(Stangenbelegung!$A$5:$A$10004,$A664))</f>
        <v/>
      </c>
      <c r="H664" s="35">
        <f>IF($A664="","",SUMIFS(Stangenbelegung!$F$5:$F$10004,Stangenbelegung!$A$5:$A$10004,$A664))</f>
        <v/>
      </c>
      <c r="I664" s="23" t="n"/>
      <c r="J664" s="35">
        <f>IF($A664="","",$E664+H664+$I664)</f>
        <v/>
      </c>
      <c r="K664" s="35">
        <f>IF($A664="","",$D664-J664)</f>
        <v/>
      </c>
      <c r="L664" s="32">
        <f>IF($A664="","",H664/$D664)</f>
        <v/>
      </c>
      <c r="M664" s="28">
        <f>IF($A664="","",IF(OR(J664+$F664&gt;$D664+0.001,_xlfn.MAXIFS(Stangenbelegung!$H$5:$H$10004,Stangenbelegung!$A$5:$A$10004,$A664)&gt;$D664-$F664+0.001),"ÜBERBELEGT","OK"))</f>
        <v/>
      </c>
      <c r="N664" s="24" t="n"/>
      <c r="O664" s="24" t="n"/>
      <c r="P664" s="9" t="n"/>
      <c r="Q664" s="18">
        <f>IF($A664="","",IFERROR($D664/1000*INDEX(Profile!$K$5:$K$304,MATCH($B664,lst_Profil,0))*INDEX(Werkstoffe!$E$5:$E$304,MATCH($C664,lst_Werkstoff,0))/1000,""))</f>
        <v/>
      </c>
      <c r="R664" s="18">
        <f>IF($A664="","",IF(N(_xlfn.MAXIFS(Auftrag!$AP$13:$AP$512,Auftrag!$D$13:$D$512,$B664,Auftrag!$E$13:$E$512,$C664,Auftrag!$Q$13:$Q$512,$D664))&gt;0,_xlfn.MAXIFS(Auftrag!$AP$13:$AP$512,Auftrag!$D$13:$D$512,$B664,Auftrag!$E$13:$E$512,$C664,Auftrag!$Q$13:$Q$512,$D664)*$D664/1000,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9" t="n"/>
      <c r="E665" s="24" t="n"/>
      <c r="F665" s="24" t="n"/>
      <c r="G665" s="12">
        <f>IF($A665="","",COUNTIFS(Stangenbelegung!$A$5:$A$10004,$A665))</f>
        <v/>
      </c>
      <c r="H665" s="35">
        <f>IF($A665="","",SUMIFS(Stangenbelegung!$F$5:$F$10004,Stangenbelegung!$A$5:$A$10004,$A665))</f>
        <v/>
      </c>
      <c r="I665" s="23" t="n"/>
      <c r="J665" s="35">
        <f>IF($A665="","",$E665+H665+$I665)</f>
        <v/>
      </c>
      <c r="K665" s="35">
        <f>IF($A665="","",$D665-J665)</f>
        <v/>
      </c>
      <c r="L665" s="32">
        <f>IF($A665="","",H665/$D665)</f>
        <v/>
      </c>
      <c r="M665" s="28">
        <f>IF($A665="","",IF(OR(J665+$F665&gt;$D665+0.001,_xlfn.MAXIFS(Stangenbelegung!$H$5:$H$10004,Stangenbelegung!$A$5:$A$10004,$A665)&gt;$D665-$F665+0.001),"ÜBERBELEGT","OK"))</f>
        <v/>
      </c>
      <c r="N665" s="24" t="n"/>
      <c r="O665" s="24" t="n"/>
      <c r="P665" s="9" t="n"/>
      <c r="Q665" s="18">
        <f>IF($A665="","",IFERROR($D665/1000*INDEX(Profile!$K$5:$K$304,MATCH($B665,lst_Profil,0))*INDEX(Werkstoffe!$E$5:$E$304,MATCH($C665,lst_Werkstoff,0))/1000,""))</f>
        <v/>
      </c>
      <c r="R665" s="18">
        <f>IF($A665="","",IF(N(_xlfn.MAXIFS(Auftrag!$AP$13:$AP$512,Auftrag!$D$13:$D$512,$B665,Auftrag!$E$13:$E$512,$C665,Auftrag!$Q$13:$Q$512,$D665))&gt;0,_xlfn.MAXIFS(Auftrag!$AP$13:$AP$512,Auftrag!$D$13:$D$512,$B665,Auftrag!$E$13:$E$512,$C665,Auftrag!$Q$13:$Q$512,$D665)*$D665/1000,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9" t="n"/>
      <c r="E666" s="24" t="n"/>
      <c r="F666" s="24" t="n"/>
      <c r="G666" s="12">
        <f>IF($A666="","",COUNTIFS(Stangenbelegung!$A$5:$A$10004,$A666))</f>
        <v/>
      </c>
      <c r="H666" s="35">
        <f>IF($A666="","",SUMIFS(Stangenbelegung!$F$5:$F$10004,Stangenbelegung!$A$5:$A$10004,$A666))</f>
        <v/>
      </c>
      <c r="I666" s="23" t="n"/>
      <c r="J666" s="35">
        <f>IF($A666="","",$E666+H666+$I666)</f>
        <v/>
      </c>
      <c r="K666" s="35">
        <f>IF($A666="","",$D666-J666)</f>
        <v/>
      </c>
      <c r="L666" s="32">
        <f>IF($A666="","",H666/$D666)</f>
        <v/>
      </c>
      <c r="M666" s="28">
        <f>IF($A666="","",IF(OR(J666+$F666&gt;$D666+0.001,_xlfn.MAXIFS(Stangenbelegung!$H$5:$H$10004,Stangenbelegung!$A$5:$A$10004,$A666)&gt;$D666-$F666+0.001),"ÜBERBELEGT","OK"))</f>
        <v/>
      </c>
      <c r="N666" s="24" t="n"/>
      <c r="O666" s="24" t="n"/>
      <c r="P666" s="9" t="n"/>
      <c r="Q666" s="18">
        <f>IF($A666="","",IFERROR($D666/1000*INDEX(Profile!$K$5:$K$304,MATCH($B666,lst_Profil,0))*INDEX(Werkstoffe!$E$5:$E$304,MATCH($C666,lst_Werkstoff,0))/1000,""))</f>
        <v/>
      </c>
      <c r="R666" s="18">
        <f>IF($A666="","",IF(N(_xlfn.MAXIFS(Auftrag!$AP$13:$AP$512,Auftrag!$D$13:$D$512,$B666,Auftrag!$E$13:$E$512,$C666,Auftrag!$Q$13:$Q$512,$D666))&gt;0,_xlfn.MAXIFS(Auftrag!$AP$13:$AP$512,Auftrag!$D$13:$D$512,$B666,Auftrag!$E$13:$E$512,$C666,Auftrag!$Q$13:$Q$512,$D666)*$D666/1000,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9" t="n"/>
      <c r="E667" s="24" t="n"/>
      <c r="F667" s="24" t="n"/>
      <c r="G667" s="12">
        <f>IF($A667="","",COUNTIFS(Stangenbelegung!$A$5:$A$10004,$A667))</f>
        <v/>
      </c>
      <c r="H667" s="35">
        <f>IF($A667="","",SUMIFS(Stangenbelegung!$F$5:$F$10004,Stangenbelegung!$A$5:$A$10004,$A667))</f>
        <v/>
      </c>
      <c r="I667" s="23" t="n"/>
      <c r="J667" s="35">
        <f>IF($A667="","",$E667+H667+$I667)</f>
        <v/>
      </c>
      <c r="K667" s="35">
        <f>IF($A667="","",$D667-J667)</f>
        <v/>
      </c>
      <c r="L667" s="32">
        <f>IF($A667="","",H667/$D667)</f>
        <v/>
      </c>
      <c r="M667" s="28">
        <f>IF($A667="","",IF(OR(J667+$F667&gt;$D667+0.001,_xlfn.MAXIFS(Stangenbelegung!$H$5:$H$10004,Stangenbelegung!$A$5:$A$10004,$A667)&gt;$D667-$F667+0.001),"ÜBERBELEGT","OK"))</f>
        <v/>
      </c>
      <c r="N667" s="24" t="n"/>
      <c r="O667" s="24" t="n"/>
      <c r="P667" s="9" t="n"/>
      <c r="Q667" s="18">
        <f>IF($A667="","",IFERROR($D667/1000*INDEX(Profile!$K$5:$K$304,MATCH($B667,lst_Profil,0))*INDEX(Werkstoffe!$E$5:$E$304,MATCH($C667,lst_Werkstoff,0))/1000,""))</f>
        <v/>
      </c>
      <c r="R667" s="18">
        <f>IF($A667="","",IF(N(_xlfn.MAXIFS(Auftrag!$AP$13:$AP$512,Auftrag!$D$13:$D$512,$B667,Auftrag!$E$13:$E$512,$C667,Auftrag!$Q$13:$Q$512,$D667))&gt;0,_xlfn.MAXIFS(Auftrag!$AP$13:$AP$512,Auftrag!$D$13:$D$512,$B667,Auftrag!$E$13:$E$512,$C667,Auftrag!$Q$13:$Q$512,$D667)*$D667/1000,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9" t="n"/>
      <c r="E668" s="24" t="n"/>
      <c r="F668" s="24" t="n"/>
      <c r="G668" s="12">
        <f>IF($A668="","",COUNTIFS(Stangenbelegung!$A$5:$A$10004,$A668))</f>
        <v/>
      </c>
      <c r="H668" s="35">
        <f>IF($A668="","",SUMIFS(Stangenbelegung!$F$5:$F$10004,Stangenbelegung!$A$5:$A$10004,$A668))</f>
        <v/>
      </c>
      <c r="I668" s="23" t="n"/>
      <c r="J668" s="35">
        <f>IF($A668="","",$E668+H668+$I668)</f>
        <v/>
      </c>
      <c r="K668" s="35">
        <f>IF($A668="","",$D668-J668)</f>
        <v/>
      </c>
      <c r="L668" s="32">
        <f>IF($A668="","",H668/$D668)</f>
        <v/>
      </c>
      <c r="M668" s="28">
        <f>IF($A668="","",IF(OR(J668+$F668&gt;$D668+0.001,_xlfn.MAXIFS(Stangenbelegung!$H$5:$H$10004,Stangenbelegung!$A$5:$A$10004,$A668)&gt;$D668-$F668+0.001),"ÜBERBELEGT","OK"))</f>
        <v/>
      </c>
      <c r="N668" s="24" t="n"/>
      <c r="O668" s="24" t="n"/>
      <c r="P668" s="9" t="n"/>
      <c r="Q668" s="18">
        <f>IF($A668="","",IFERROR($D668/1000*INDEX(Profile!$K$5:$K$304,MATCH($B668,lst_Profil,0))*INDEX(Werkstoffe!$E$5:$E$304,MATCH($C668,lst_Werkstoff,0))/1000,""))</f>
        <v/>
      </c>
      <c r="R668" s="18">
        <f>IF($A668="","",IF(N(_xlfn.MAXIFS(Auftrag!$AP$13:$AP$512,Auftrag!$D$13:$D$512,$B668,Auftrag!$E$13:$E$512,$C668,Auftrag!$Q$13:$Q$512,$D668))&gt;0,_xlfn.MAXIFS(Auftrag!$AP$13:$AP$512,Auftrag!$D$13:$D$512,$B668,Auftrag!$E$13:$E$512,$C668,Auftrag!$Q$13:$Q$512,$D668)*$D668/1000,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9" t="n"/>
      <c r="E669" s="24" t="n"/>
      <c r="F669" s="24" t="n"/>
      <c r="G669" s="12">
        <f>IF($A669="","",COUNTIFS(Stangenbelegung!$A$5:$A$10004,$A669))</f>
        <v/>
      </c>
      <c r="H669" s="35">
        <f>IF($A669="","",SUMIFS(Stangenbelegung!$F$5:$F$10004,Stangenbelegung!$A$5:$A$10004,$A669))</f>
        <v/>
      </c>
      <c r="I669" s="23" t="n"/>
      <c r="J669" s="35">
        <f>IF($A669="","",$E669+H669+$I669)</f>
        <v/>
      </c>
      <c r="K669" s="35">
        <f>IF($A669="","",$D669-J669)</f>
        <v/>
      </c>
      <c r="L669" s="32">
        <f>IF($A669="","",H669/$D669)</f>
        <v/>
      </c>
      <c r="M669" s="28">
        <f>IF($A669="","",IF(OR(J669+$F669&gt;$D669+0.001,_xlfn.MAXIFS(Stangenbelegung!$H$5:$H$10004,Stangenbelegung!$A$5:$A$10004,$A669)&gt;$D669-$F669+0.001),"ÜBERBELEGT","OK"))</f>
        <v/>
      </c>
      <c r="N669" s="24" t="n"/>
      <c r="O669" s="24" t="n"/>
      <c r="P669" s="9" t="n"/>
      <c r="Q669" s="18">
        <f>IF($A669="","",IFERROR($D669/1000*INDEX(Profile!$K$5:$K$304,MATCH($B669,lst_Profil,0))*INDEX(Werkstoffe!$E$5:$E$304,MATCH($C669,lst_Werkstoff,0))/1000,""))</f>
        <v/>
      </c>
      <c r="R669" s="18">
        <f>IF($A669="","",IF(N(_xlfn.MAXIFS(Auftrag!$AP$13:$AP$512,Auftrag!$D$13:$D$512,$B669,Auftrag!$E$13:$E$512,$C669,Auftrag!$Q$13:$Q$512,$D669))&gt;0,_xlfn.MAXIFS(Auftrag!$AP$13:$AP$512,Auftrag!$D$13:$D$512,$B669,Auftrag!$E$13:$E$512,$C669,Auftrag!$Q$13:$Q$512,$D669)*$D669/1000,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9" t="n"/>
      <c r="E670" s="24" t="n"/>
      <c r="F670" s="24" t="n"/>
      <c r="G670" s="12">
        <f>IF($A670="","",COUNTIFS(Stangenbelegung!$A$5:$A$10004,$A670))</f>
        <v/>
      </c>
      <c r="H670" s="35">
        <f>IF($A670="","",SUMIFS(Stangenbelegung!$F$5:$F$10004,Stangenbelegung!$A$5:$A$10004,$A670))</f>
        <v/>
      </c>
      <c r="I670" s="23" t="n"/>
      <c r="J670" s="35">
        <f>IF($A670="","",$E670+H670+$I670)</f>
        <v/>
      </c>
      <c r="K670" s="35">
        <f>IF($A670="","",$D670-J670)</f>
        <v/>
      </c>
      <c r="L670" s="32">
        <f>IF($A670="","",H670/$D670)</f>
        <v/>
      </c>
      <c r="M670" s="28">
        <f>IF($A670="","",IF(OR(J670+$F670&gt;$D670+0.001,_xlfn.MAXIFS(Stangenbelegung!$H$5:$H$10004,Stangenbelegung!$A$5:$A$10004,$A670)&gt;$D670-$F670+0.001),"ÜBERBELEGT","OK"))</f>
        <v/>
      </c>
      <c r="N670" s="24" t="n"/>
      <c r="O670" s="24" t="n"/>
      <c r="P670" s="9" t="n"/>
      <c r="Q670" s="18">
        <f>IF($A670="","",IFERROR($D670/1000*INDEX(Profile!$K$5:$K$304,MATCH($B670,lst_Profil,0))*INDEX(Werkstoffe!$E$5:$E$304,MATCH($C670,lst_Werkstoff,0))/1000,""))</f>
        <v/>
      </c>
      <c r="R670" s="18">
        <f>IF($A670="","",IF(N(_xlfn.MAXIFS(Auftrag!$AP$13:$AP$512,Auftrag!$D$13:$D$512,$B670,Auftrag!$E$13:$E$512,$C670,Auftrag!$Q$13:$Q$512,$D670))&gt;0,_xlfn.MAXIFS(Auftrag!$AP$13:$AP$512,Auftrag!$D$13:$D$512,$B670,Auftrag!$E$13:$E$512,$C670,Auftrag!$Q$13:$Q$512,$D670)*$D670/1000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9" t="n"/>
      <c r="E671" s="24" t="n"/>
      <c r="F671" s="24" t="n"/>
      <c r="G671" s="12">
        <f>IF($A671="","",COUNTIFS(Stangenbelegung!$A$5:$A$10004,$A671))</f>
        <v/>
      </c>
      <c r="H671" s="35">
        <f>IF($A671="","",SUMIFS(Stangenbelegung!$F$5:$F$10004,Stangenbelegung!$A$5:$A$10004,$A671))</f>
        <v/>
      </c>
      <c r="I671" s="23" t="n"/>
      <c r="J671" s="35">
        <f>IF($A671="","",$E671+H671+$I671)</f>
        <v/>
      </c>
      <c r="K671" s="35">
        <f>IF($A671="","",$D671-J671)</f>
        <v/>
      </c>
      <c r="L671" s="32">
        <f>IF($A671="","",H671/$D671)</f>
        <v/>
      </c>
      <c r="M671" s="28">
        <f>IF($A671="","",IF(OR(J671+$F671&gt;$D671+0.001,_xlfn.MAXIFS(Stangenbelegung!$H$5:$H$10004,Stangenbelegung!$A$5:$A$10004,$A671)&gt;$D671-$F671+0.001),"ÜBERBELEGT","OK"))</f>
        <v/>
      </c>
      <c r="N671" s="24" t="n"/>
      <c r="O671" s="24" t="n"/>
      <c r="P671" s="9" t="n"/>
      <c r="Q671" s="18">
        <f>IF($A671="","",IFERROR($D671/1000*INDEX(Profile!$K$5:$K$304,MATCH($B671,lst_Profil,0))*INDEX(Werkstoffe!$E$5:$E$304,MATCH($C671,lst_Werkstoff,0))/1000,""))</f>
        <v/>
      </c>
      <c r="R671" s="18">
        <f>IF($A671="","",IF(N(_xlfn.MAXIFS(Auftrag!$AP$13:$AP$512,Auftrag!$D$13:$D$512,$B671,Auftrag!$E$13:$E$512,$C671,Auftrag!$Q$13:$Q$512,$D671))&gt;0,_xlfn.MAXIFS(Auftrag!$AP$13:$AP$512,Auftrag!$D$13:$D$512,$B671,Auftrag!$E$13:$E$512,$C671,Auftrag!$Q$13:$Q$512,$D671)*$D671/1000,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9" t="n"/>
      <c r="E672" s="24" t="n"/>
      <c r="F672" s="24" t="n"/>
      <c r="G672" s="12">
        <f>IF($A672="","",COUNTIFS(Stangenbelegung!$A$5:$A$10004,$A672))</f>
        <v/>
      </c>
      <c r="H672" s="35">
        <f>IF($A672="","",SUMIFS(Stangenbelegung!$F$5:$F$10004,Stangenbelegung!$A$5:$A$10004,$A672))</f>
        <v/>
      </c>
      <c r="I672" s="23" t="n"/>
      <c r="J672" s="35">
        <f>IF($A672="","",$E672+H672+$I672)</f>
        <v/>
      </c>
      <c r="K672" s="35">
        <f>IF($A672="","",$D672-J672)</f>
        <v/>
      </c>
      <c r="L672" s="32">
        <f>IF($A672="","",H672/$D672)</f>
        <v/>
      </c>
      <c r="M672" s="28">
        <f>IF($A672="","",IF(OR(J672+$F672&gt;$D672+0.001,_xlfn.MAXIFS(Stangenbelegung!$H$5:$H$10004,Stangenbelegung!$A$5:$A$10004,$A672)&gt;$D672-$F672+0.001),"ÜBERBELEGT","OK"))</f>
        <v/>
      </c>
      <c r="N672" s="24" t="n"/>
      <c r="O672" s="24" t="n"/>
      <c r="P672" s="9" t="n"/>
      <c r="Q672" s="18">
        <f>IF($A672="","",IFERROR($D672/1000*INDEX(Profile!$K$5:$K$304,MATCH($B672,lst_Profil,0))*INDEX(Werkstoffe!$E$5:$E$304,MATCH($C672,lst_Werkstoff,0))/1000,""))</f>
        <v/>
      </c>
      <c r="R672" s="18">
        <f>IF($A672="","",IF(N(_xlfn.MAXIFS(Auftrag!$AP$13:$AP$512,Auftrag!$D$13:$D$512,$B672,Auftrag!$E$13:$E$512,$C672,Auftrag!$Q$13:$Q$512,$D672))&gt;0,_xlfn.MAXIFS(Auftrag!$AP$13:$AP$512,Auftrag!$D$13:$D$512,$B672,Auftrag!$E$13:$E$512,$C672,Auftrag!$Q$13:$Q$512,$D672)*$D672/1000,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9" t="n"/>
      <c r="E673" s="24" t="n"/>
      <c r="F673" s="24" t="n"/>
      <c r="G673" s="12">
        <f>IF($A673="","",COUNTIFS(Stangenbelegung!$A$5:$A$10004,$A673))</f>
        <v/>
      </c>
      <c r="H673" s="35">
        <f>IF($A673="","",SUMIFS(Stangenbelegung!$F$5:$F$10004,Stangenbelegung!$A$5:$A$10004,$A673))</f>
        <v/>
      </c>
      <c r="I673" s="23" t="n"/>
      <c r="J673" s="35">
        <f>IF($A673="","",$E673+H673+$I673)</f>
        <v/>
      </c>
      <c r="K673" s="35">
        <f>IF($A673="","",$D673-J673)</f>
        <v/>
      </c>
      <c r="L673" s="32">
        <f>IF($A673="","",H673/$D673)</f>
        <v/>
      </c>
      <c r="M673" s="28">
        <f>IF($A673="","",IF(OR(J673+$F673&gt;$D673+0.001,_xlfn.MAXIFS(Stangenbelegung!$H$5:$H$10004,Stangenbelegung!$A$5:$A$10004,$A673)&gt;$D673-$F673+0.001),"ÜBERBELEGT","OK"))</f>
        <v/>
      </c>
      <c r="N673" s="24" t="n"/>
      <c r="O673" s="24" t="n"/>
      <c r="P673" s="9" t="n"/>
      <c r="Q673" s="18">
        <f>IF($A673="","",IFERROR($D673/1000*INDEX(Profile!$K$5:$K$304,MATCH($B673,lst_Profil,0))*INDEX(Werkstoffe!$E$5:$E$304,MATCH($C673,lst_Werkstoff,0))/1000,""))</f>
        <v/>
      </c>
      <c r="R673" s="18">
        <f>IF($A673="","",IF(N(_xlfn.MAXIFS(Auftrag!$AP$13:$AP$512,Auftrag!$D$13:$D$512,$B673,Auftrag!$E$13:$E$512,$C673,Auftrag!$Q$13:$Q$512,$D673))&gt;0,_xlfn.MAXIFS(Auftrag!$AP$13:$AP$512,Auftrag!$D$13:$D$512,$B673,Auftrag!$E$13:$E$512,$C673,Auftrag!$Q$13:$Q$512,$D673)*$D673/1000,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9" t="n"/>
      <c r="E674" s="24" t="n"/>
      <c r="F674" s="24" t="n"/>
      <c r="G674" s="12">
        <f>IF($A674="","",COUNTIFS(Stangenbelegung!$A$5:$A$10004,$A674))</f>
        <v/>
      </c>
      <c r="H674" s="35">
        <f>IF($A674="","",SUMIFS(Stangenbelegung!$F$5:$F$10004,Stangenbelegung!$A$5:$A$10004,$A674))</f>
        <v/>
      </c>
      <c r="I674" s="23" t="n"/>
      <c r="J674" s="35">
        <f>IF($A674="","",$E674+H674+$I674)</f>
        <v/>
      </c>
      <c r="K674" s="35">
        <f>IF($A674="","",$D674-J674)</f>
        <v/>
      </c>
      <c r="L674" s="32">
        <f>IF($A674="","",H674/$D674)</f>
        <v/>
      </c>
      <c r="M674" s="28">
        <f>IF($A674="","",IF(OR(J674+$F674&gt;$D674+0.001,_xlfn.MAXIFS(Stangenbelegung!$H$5:$H$10004,Stangenbelegung!$A$5:$A$10004,$A674)&gt;$D674-$F674+0.001),"ÜBERBELEGT","OK"))</f>
        <v/>
      </c>
      <c r="N674" s="24" t="n"/>
      <c r="O674" s="24" t="n"/>
      <c r="P674" s="9" t="n"/>
      <c r="Q674" s="18">
        <f>IF($A674="","",IFERROR($D674/1000*INDEX(Profile!$K$5:$K$304,MATCH($B674,lst_Profil,0))*INDEX(Werkstoffe!$E$5:$E$304,MATCH($C674,lst_Werkstoff,0))/1000,""))</f>
        <v/>
      </c>
      <c r="R674" s="18">
        <f>IF($A674="","",IF(N(_xlfn.MAXIFS(Auftrag!$AP$13:$AP$512,Auftrag!$D$13:$D$512,$B674,Auftrag!$E$13:$E$512,$C674,Auftrag!$Q$13:$Q$512,$D674))&gt;0,_xlfn.MAXIFS(Auftrag!$AP$13:$AP$512,Auftrag!$D$13:$D$512,$B674,Auftrag!$E$13:$E$512,$C674,Auftrag!$Q$13:$Q$512,$D674)*$D674/1000,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9" t="n"/>
      <c r="E675" s="24" t="n"/>
      <c r="F675" s="24" t="n"/>
      <c r="G675" s="12">
        <f>IF($A675="","",COUNTIFS(Stangenbelegung!$A$5:$A$10004,$A675))</f>
        <v/>
      </c>
      <c r="H675" s="35">
        <f>IF($A675="","",SUMIFS(Stangenbelegung!$F$5:$F$10004,Stangenbelegung!$A$5:$A$10004,$A675))</f>
        <v/>
      </c>
      <c r="I675" s="23" t="n"/>
      <c r="J675" s="35">
        <f>IF($A675="","",$E675+H675+$I675)</f>
        <v/>
      </c>
      <c r="K675" s="35">
        <f>IF($A675="","",$D675-J675)</f>
        <v/>
      </c>
      <c r="L675" s="32">
        <f>IF($A675="","",H675/$D675)</f>
        <v/>
      </c>
      <c r="M675" s="28">
        <f>IF($A675="","",IF(OR(J675+$F675&gt;$D675+0.001,_xlfn.MAXIFS(Stangenbelegung!$H$5:$H$10004,Stangenbelegung!$A$5:$A$10004,$A675)&gt;$D675-$F675+0.001),"ÜBERBELEGT","OK"))</f>
        <v/>
      </c>
      <c r="N675" s="24" t="n"/>
      <c r="O675" s="24" t="n"/>
      <c r="P675" s="9" t="n"/>
      <c r="Q675" s="18">
        <f>IF($A675="","",IFERROR($D675/1000*INDEX(Profile!$K$5:$K$304,MATCH($B675,lst_Profil,0))*INDEX(Werkstoffe!$E$5:$E$304,MATCH($C675,lst_Werkstoff,0))/1000,""))</f>
        <v/>
      </c>
      <c r="R675" s="18">
        <f>IF($A675="","",IF(N(_xlfn.MAXIFS(Auftrag!$AP$13:$AP$512,Auftrag!$D$13:$D$512,$B675,Auftrag!$E$13:$E$512,$C675,Auftrag!$Q$13:$Q$512,$D675))&gt;0,_xlfn.MAXIFS(Auftrag!$AP$13:$AP$512,Auftrag!$D$13:$D$512,$B675,Auftrag!$E$13:$E$512,$C675,Auftrag!$Q$13:$Q$512,$D675)*$D675/1000,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9" t="n"/>
      <c r="E676" s="24" t="n"/>
      <c r="F676" s="24" t="n"/>
      <c r="G676" s="12">
        <f>IF($A676="","",COUNTIFS(Stangenbelegung!$A$5:$A$10004,$A676))</f>
        <v/>
      </c>
      <c r="H676" s="35">
        <f>IF($A676="","",SUMIFS(Stangenbelegung!$F$5:$F$10004,Stangenbelegung!$A$5:$A$10004,$A676))</f>
        <v/>
      </c>
      <c r="I676" s="23" t="n"/>
      <c r="J676" s="35">
        <f>IF($A676="","",$E676+H676+$I676)</f>
        <v/>
      </c>
      <c r="K676" s="35">
        <f>IF($A676="","",$D676-J676)</f>
        <v/>
      </c>
      <c r="L676" s="32">
        <f>IF($A676="","",H676/$D676)</f>
        <v/>
      </c>
      <c r="M676" s="28">
        <f>IF($A676="","",IF(OR(J676+$F676&gt;$D676+0.001,_xlfn.MAXIFS(Stangenbelegung!$H$5:$H$10004,Stangenbelegung!$A$5:$A$10004,$A676)&gt;$D676-$F676+0.001),"ÜBERBELEGT","OK"))</f>
        <v/>
      </c>
      <c r="N676" s="24" t="n"/>
      <c r="O676" s="24" t="n"/>
      <c r="P676" s="9" t="n"/>
      <c r="Q676" s="18">
        <f>IF($A676="","",IFERROR($D676/1000*INDEX(Profile!$K$5:$K$304,MATCH($B676,lst_Profil,0))*INDEX(Werkstoffe!$E$5:$E$304,MATCH($C676,lst_Werkstoff,0))/1000,""))</f>
        <v/>
      </c>
      <c r="R676" s="18">
        <f>IF($A676="","",IF(N(_xlfn.MAXIFS(Auftrag!$AP$13:$AP$512,Auftrag!$D$13:$D$512,$B676,Auftrag!$E$13:$E$512,$C676,Auftrag!$Q$13:$Q$512,$D676))&gt;0,_xlfn.MAXIFS(Auftrag!$AP$13:$AP$512,Auftrag!$D$13:$D$512,$B676,Auftrag!$E$13:$E$512,$C676,Auftrag!$Q$13:$Q$512,$D676)*$D676/1000,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9" t="n"/>
      <c r="E677" s="24" t="n"/>
      <c r="F677" s="24" t="n"/>
      <c r="G677" s="12">
        <f>IF($A677="","",COUNTIFS(Stangenbelegung!$A$5:$A$10004,$A677))</f>
        <v/>
      </c>
      <c r="H677" s="35">
        <f>IF($A677="","",SUMIFS(Stangenbelegung!$F$5:$F$10004,Stangenbelegung!$A$5:$A$10004,$A677))</f>
        <v/>
      </c>
      <c r="I677" s="23" t="n"/>
      <c r="J677" s="35">
        <f>IF($A677="","",$E677+H677+$I677)</f>
        <v/>
      </c>
      <c r="K677" s="35">
        <f>IF($A677="","",$D677-J677)</f>
        <v/>
      </c>
      <c r="L677" s="32">
        <f>IF($A677="","",H677/$D677)</f>
        <v/>
      </c>
      <c r="M677" s="28">
        <f>IF($A677="","",IF(OR(J677+$F677&gt;$D677+0.001,_xlfn.MAXIFS(Stangenbelegung!$H$5:$H$10004,Stangenbelegung!$A$5:$A$10004,$A677)&gt;$D677-$F677+0.001),"ÜBERBELEGT","OK"))</f>
        <v/>
      </c>
      <c r="N677" s="24" t="n"/>
      <c r="O677" s="24" t="n"/>
      <c r="P677" s="9" t="n"/>
      <c r="Q677" s="18">
        <f>IF($A677="","",IFERROR($D677/1000*INDEX(Profile!$K$5:$K$304,MATCH($B677,lst_Profil,0))*INDEX(Werkstoffe!$E$5:$E$304,MATCH($C677,lst_Werkstoff,0))/1000,""))</f>
        <v/>
      </c>
      <c r="R677" s="18">
        <f>IF($A677="","",IF(N(_xlfn.MAXIFS(Auftrag!$AP$13:$AP$512,Auftrag!$D$13:$D$512,$B677,Auftrag!$E$13:$E$512,$C677,Auftrag!$Q$13:$Q$512,$D677))&gt;0,_xlfn.MAXIFS(Auftrag!$AP$13:$AP$512,Auftrag!$D$13:$D$512,$B677,Auftrag!$E$13:$E$512,$C677,Auftrag!$Q$13:$Q$512,$D677)*$D677/1000,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9" t="n"/>
      <c r="E678" s="24" t="n"/>
      <c r="F678" s="24" t="n"/>
      <c r="G678" s="12">
        <f>IF($A678="","",COUNTIFS(Stangenbelegung!$A$5:$A$10004,$A678))</f>
        <v/>
      </c>
      <c r="H678" s="35">
        <f>IF($A678="","",SUMIFS(Stangenbelegung!$F$5:$F$10004,Stangenbelegung!$A$5:$A$10004,$A678))</f>
        <v/>
      </c>
      <c r="I678" s="23" t="n"/>
      <c r="J678" s="35">
        <f>IF($A678="","",$E678+H678+$I678)</f>
        <v/>
      </c>
      <c r="K678" s="35">
        <f>IF($A678="","",$D678-J678)</f>
        <v/>
      </c>
      <c r="L678" s="32">
        <f>IF($A678="","",H678/$D678)</f>
        <v/>
      </c>
      <c r="M678" s="28">
        <f>IF($A678="","",IF(OR(J678+$F678&gt;$D678+0.001,_xlfn.MAXIFS(Stangenbelegung!$H$5:$H$10004,Stangenbelegung!$A$5:$A$10004,$A678)&gt;$D678-$F678+0.001),"ÜBERBELEGT","OK"))</f>
        <v/>
      </c>
      <c r="N678" s="24" t="n"/>
      <c r="O678" s="24" t="n"/>
      <c r="P678" s="9" t="n"/>
      <c r="Q678" s="18">
        <f>IF($A678="","",IFERROR($D678/1000*INDEX(Profile!$K$5:$K$304,MATCH($B678,lst_Profil,0))*INDEX(Werkstoffe!$E$5:$E$304,MATCH($C678,lst_Werkstoff,0))/1000,""))</f>
        <v/>
      </c>
      <c r="R678" s="18">
        <f>IF($A678="","",IF(N(_xlfn.MAXIFS(Auftrag!$AP$13:$AP$512,Auftrag!$D$13:$D$512,$B678,Auftrag!$E$13:$E$512,$C678,Auftrag!$Q$13:$Q$512,$D678))&gt;0,_xlfn.MAXIFS(Auftrag!$AP$13:$AP$512,Auftrag!$D$13:$D$512,$B678,Auftrag!$E$13:$E$512,$C678,Auftrag!$Q$13:$Q$512,$D678)*$D678/1000,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9" t="n"/>
      <c r="E679" s="24" t="n"/>
      <c r="F679" s="24" t="n"/>
      <c r="G679" s="12">
        <f>IF($A679="","",COUNTIFS(Stangenbelegung!$A$5:$A$10004,$A679))</f>
        <v/>
      </c>
      <c r="H679" s="35">
        <f>IF($A679="","",SUMIFS(Stangenbelegung!$F$5:$F$10004,Stangenbelegung!$A$5:$A$10004,$A679))</f>
        <v/>
      </c>
      <c r="I679" s="23" t="n"/>
      <c r="J679" s="35">
        <f>IF($A679="","",$E679+H679+$I679)</f>
        <v/>
      </c>
      <c r="K679" s="35">
        <f>IF($A679="","",$D679-J679)</f>
        <v/>
      </c>
      <c r="L679" s="32">
        <f>IF($A679="","",H679/$D679)</f>
        <v/>
      </c>
      <c r="M679" s="28">
        <f>IF($A679="","",IF(OR(J679+$F679&gt;$D679+0.001,_xlfn.MAXIFS(Stangenbelegung!$H$5:$H$10004,Stangenbelegung!$A$5:$A$10004,$A679)&gt;$D679-$F679+0.001),"ÜBERBELEGT","OK"))</f>
        <v/>
      </c>
      <c r="N679" s="24" t="n"/>
      <c r="O679" s="24" t="n"/>
      <c r="P679" s="9" t="n"/>
      <c r="Q679" s="18">
        <f>IF($A679="","",IFERROR($D679/1000*INDEX(Profile!$K$5:$K$304,MATCH($B679,lst_Profil,0))*INDEX(Werkstoffe!$E$5:$E$304,MATCH($C679,lst_Werkstoff,0))/1000,""))</f>
        <v/>
      </c>
      <c r="R679" s="18">
        <f>IF($A679="","",IF(N(_xlfn.MAXIFS(Auftrag!$AP$13:$AP$512,Auftrag!$D$13:$D$512,$B679,Auftrag!$E$13:$E$512,$C679,Auftrag!$Q$13:$Q$512,$D679))&gt;0,_xlfn.MAXIFS(Auftrag!$AP$13:$AP$512,Auftrag!$D$13:$D$512,$B679,Auftrag!$E$13:$E$512,$C679,Auftrag!$Q$13:$Q$512,$D679)*$D679/1000,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9" t="n"/>
      <c r="E680" s="24" t="n"/>
      <c r="F680" s="24" t="n"/>
      <c r="G680" s="12">
        <f>IF($A680="","",COUNTIFS(Stangenbelegung!$A$5:$A$10004,$A680))</f>
        <v/>
      </c>
      <c r="H680" s="35">
        <f>IF($A680="","",SUMIFS(Stangenbelegung!$F$5:$F$10004,Stangenbelegung!$A$5:$A$10004,$A680))</f>
        <v/>
      </c>
      <c r="I680" s="23" t="n"/>
      <c r="J680" s="35">
        <f>IF($A680="","",$E680+H680+$I680)</f>
        <v/>
      </c>
      <c r="K680" s="35">
        <f>IF($A680="","",$D680-J680)</f>
        <v/>
      </c>
      <c r="L680" s="32">
        <f>IF($A680="","",H680/$D680)</f>
        <v/>
      </c>
      <c r="M680" s="28">
        <f>IF($A680="","",IF(OR(J680+$F680&gt;$D680+0.001,_xlfn.MAXIFS(Stangenbelegung!$H$5:$H$10004,Stangenbelegung!$A$5:$A$10004,$A680)&gt;$D680-$F680+0.001),"ÜBERBELEGT","OK"))</f>
        <v/>
      </c>
      <c r="N680" s="24" t="n"/>
      <c r="O680" s="24" t="n"/>
      <c r="P680" s="9" t="n"/>
      <c r="Q680" s="18">
        <f>IF($A680="","",IFERROR($D680/1000*INDEX(Profile!$K$5:$K$304,MATCH($B680,lst_Profil,0))*INDEX(Werkstoffe!$E$5:$E$304,MATCH($C680,lst_Werkstoff,0))/1000,""))</f>
        <v/>
      </c>
      <c r="R680" s="18">
        <f>IF($A680="","",IF(N(_xlfn.MAXIFS(Auftrag!$AP$13:$AP$512,Auftrag!$D$13:$D$512,$B680,Auftrag!$E$13:$E$512,$C680,Auftrag!$Q$13:$Q$512,$D680))&gt;0,_xlfn.MAXIFS(Auftrag!$AP$13:$AP$512,Auftrag!$D$13:$D$512,$B680,Auftrag!$E$13:$E$512,$C680,Auftrag!$Q$13:$Q$512,$D680)*$D680/1000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9" t="n"/>
      <c r="E681" s="24" t="n"/>
      <c r="F681" s="24" t="n"/>
      <c r="G681" s="12">
        <f>IF($A681="","",COUNTIFS(Stangenbelegung!$A$5:$A$10004,$A681))</f>
        <v/>
      </c>
      <c r="H681" s="35">
        <f>IF($A681="","",SUMIFS(Stangenbelegung!$F$5:$F$10004,Stangenbelegung!$A$5:$A$10004,$A681))</f>
        <v/>
      </c>
      <c r="I681" s="23" t="n"/>
      <c r="J681" s="35">
        <f>IF($A681="","",$E681+H681+$I681)</f>
        <v/>
      </c>
      <c r="K681" s="35">
        <f>IF($A681="","",$D681-J681)</f>
        <v/>
      </c>
      <c r="L681" s="32">
        <f>IF($A681="","",H681/$D681)</f>
        <v/>
      </c>
      <c r="M681" s="28">
        <f>IF($A681="","",IF(OR(J681+$F681&gt;$D681+0.001,_xlfn.MAXIFS(Stangenbelegung!$H$5:$H$10004,Stangenbelegung!$A$5:$A$10004,$A681)&gt;$D681-$F681+0.001),"ÜBERBELEGT","OK"))</f>
        <v/>
      </c>
      <c r="N681" s="24" t="n"/>
      <c r="O681" s="24" t="n"/>
      <c r="P681" s="9" t="n"/>
      <c r="Q681" s="18">
        <f>IF($A681="","",IFERROR($D681/1000*INDEX(Profile!$K$5:$K$304,MATCH($B681,lst_Profil,0))*INDEX(Werkstoffe!$E$5:$E$304,MATCH($C681,lst_Werkstoff,0))/1000,""))</f>
        <v/>
      </c>
      <c r="R681" s="18">
        <f>IF($A681="","",IF(N(_xlfn.MAXIFS(Auftrag!$AP$13:$AP$512,Auftrag!$D$13:$D$512,$B681,Auftrag!$E$13:$E$512,$C681,Auftrag!$Q$13:$Q$512,$D681))&gt;0,_xlfn.MAXIFS(Auftrag!$AP$13:$AP$512,Auftrag!$D$13:$D$512,$B681,Auftrag!$E$13:$E$512,$C681,Auftrag!$Q$13:$Q$512,$D681)*$D681/1000,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9" t="n"/>
      <c r="E682" s="24" t="n"/>
      <c r="F682" s="24" t="n"/>
      <c r="G682" s="12">
        <f>IF($A682="","",COUNTIFS(Stangenbelegung!$A$5:$A$10004,$A682))</f>
        <v/>
      </c>
      <c r="H682" s="35">
        <f>IF($A682="","",SUMIFS(Stangenbelegung!$F$5:$F$10004,Stangenbelegung!$A$5:$A$10004,$A682))</f>
        <v/>
      </c>
      <c r="I682" s="23" t="n"/>
      <c r="J682" s="35">
        <f>IF($A682="","",$E682+H682+$I682)</f>
        <v/>
      </c>
      <c r="K682" s="35">
        <f>IF($A682="","",$D682-J682)</f>
        <v/>
      </c>
      <c r="L682" s="32">
        <f>IF($A682="","",H682/$D682)</f>
        <v/>
      </c>
      <c r="M682" s="28">
        <f>IF($A682="","",IF(OR(J682+$F682&gt;$D682+0.001,_xlfn.MAXIFS(Stangenbelegung!$H$5:$H$10004,Stangenbelegung!$A$5:$A$10004,$A682)&gt;$D682-$F682+0.001),"ÜBERBELEGT","OK"))</f>
        <v/>
      </c>
      <c r="N682" s="24" t="n"/>
      <c r="O682" s="24" t="n"/>
      <c r="P682" s="9" t="n"/>
      <c r="Q682" s="18">
        <f>IF($A682="","",IFERROR($D682/1000*INDEX(Profile!$K$5:$K$304,MATCH($B682,lst_Profil,0))*INDEX(Werkstoffe!$E$5:$E$304,MATCH($C682,lst_Werkstoff,0))/1000,""))</f>
        <v/>
      </c>
      <c r="R682" s="18">
        <f>IF($A682="","",IF(N(_xlfn.MAXIFS(Auftrag!$AP$13:$AP$512,Auftrag!$D$13:$D$512,$B682,Auftrag!$E$13:$E$512,$C682,Auftrag!$Q$13:$Q$512,$D682))&gt;0,_xlfn.MAXIFS(Auftrag!$AP$13:$AP$512,Auftrag!$D$13:$D$512,$B682,Auftrag!$E$13:$E$512,$C682,Auftrag!$Q$13:$Q$512,$D682)*$D682/1000,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9" t="n"/>
      <c r="E683" s="24" t="n"/>
      <c r="F683" s="24" t="n"/>
      <c r="G683" s="12">
        <f>IF($A683="","",COUNTIFS(Stangenbelegung!$A$5:$A$10004,$A683))</f>
        <v/>
      </c>
      <c r="H683" s="35">
        <f>IF($A683="","",SUMIFS(Stangenbelegung!$F$5:$F$10004,Stangenbelegung!$A$5:$A$10004,$A683))</f>
        <v/>
      </c>
      <c r="I683" s="23" t="n"/>
      <c r="J683" s="35">
        <f>IF($A683="","",$E683+H683+$I683)</f>
        <v/>
      </c>
      <c r="K683" s="35">
        <f>IF($A683="","",$D683-J683)</f>
        <v/>
      </c>
      <c r="L683" s="32">
        <f>IF($A683="","",H683/$D683)</f>
        <v/>
      </c>
      <c r="M683" s="28">
        <f>IF($A683="","",IF(OR(J683+$F683&gt;$D683+0.001,_xlfn.MAXIFS(Stangenbelegung!$H$5:$H$10004,Stangenbelegung!$A$5:$A$10004,$A683)&gt;$D683-$F683+0.001),"ÜBERBELEGT","OK"))</f>
        <v/>
      </c>
      <c r="N683" s="24" t="n"/>
      <c r="O683" s="24" t="n"/>
      <c r="P683" s="9" t="n"/>
      <c r="Q683" s="18">
        <f>IF($A683="","",IFERROR($D683/1000*INDEX(Profile!$K$5:$K$304,MATCH($B683,lst_Profil,0))*INDEX(Werkstoffe!$E$5:$E$304,MATCH($C683,lst_Werkstoff,0))/1000,""))</f>
        <v/>
      </c>
      <c r="R683" s="18">
        <f>IF($A683="","",IF(N(_xlfn.MAXIFS(Auftrag!$AP$13:$AP$512,Auftrag!$D$13:$D$512,$B683,Auftrag!$E$13:$E$512,$C683,Auftrag!$Q$13:$Q$512,$D683))&gt;0,_xlfn.MAXIFS(Auftrag!$AP$13:$AP$512,Auftrag!$D$13:$D$512,$B683,Auftrag!$E$13:$E$512,$C683,Auftrag!$Q$13:$Q$512,$D683)*$D683/1000,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9" t="n"/>
      <c r="E684" s="24" t="n"/>
      <c r="F684" s="24" t="n"/>
      <c r="G684" s="12">
        <f>IF($A684="","",COUNTIFS(Stangenbelegung!$A$5:$A$10004,$A684))</f>
        <v/>
      </c>
      <c r="H684" s="35">
        <f>IF($A684="","",SUMIFS(Stangenbelegung!$F$5:$F$10004,Stangenbelegung!$A$5:$A$10004,$A684))</f>
        <v/>
      </c>
      <c r="I684" s="23" t="n"/>
      <c r="J684" s="35">
        <f>IF($A684="","",$E684+H684+$I684)</f>
        <v/>
      </c>
      <c r="K684" s="35">
        <f>IF($A684="","",$D684-J684)</f>
        <v/>
      </c>
      <c r="L684" s="32">
        <f>IF($A684="","",H684/$D684)</f>
        <v/>
      </c>
      <c r="M684" s="28">
        <f>IF($A684="","",IF(OR(J684+$F684&gt;$D684+0.001,_xlfn.MAXIFS(Stangenbelegung!$H$5:$H$10004,Stangenbelegung!$A$5:$A$10004,$A684)&gt;$D684-$F684+0.001),"ÜBERBELEGT","OK"))</f>
        <v/>
      </c>
      <c r="N684" s="24" t="n"/>
      <c r="O684" s="24" t="n"/>
      <c r="P684" s="9" t="n"/>
      <c r="Q684" s="18">
        <f>IF($A684="","",IFERROR($D684/1000*INDEX(Profile!$K$5:$K$304,MATCH($B684,lst_Profil,0))*INDEX(Werkstoffe!$E$5:$E$304,MATCH($C684,lst_Werkstoff,0))/1000,""))</f>
        <v/>
      </c>
      <c r="R684" s="18">
        <f>IF($A684="","",IF(N(_xlfn.MAXIFS(Auftrag!$AP$13:$AP$512,Auftrag!$D$13:$D$512,$B684,Auftrag!$E$13:$E$512,$C684,Auftrag!$Q$13:$Q$512,$D684))&gt;0,_xlfn.MAXIFS(Auftrag!$AP$13:$AP$512,Auftrag!$D$13:$D$512,$B684,Auftrag!$E$13:$E$512,$C684,Auftrag!$Q$13:$Q$512,$D684)*$D684/1000,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9" t="n"/>
      <c r="E685" s="24" t="n"/>
      <c r="F685" s="24" t="n"/>
      <c r="G685" s="12">
        <f>IF($A685="","",COUNTIFS(Stangenbelegung!$A$5:$A$10004,$A685))</f>
        <v/>
      </c>
      <c r="H685" s="35">
        <f>IF($A685="","",SUMIFS(Stangenbelegung!$F$5:$F$10004,Stangenbelegung!$A$5:$A$10004,$A685))</f>
        <v/>
      </c>
      <c r="I685" s="23" t="n"/>
      <c r="J685" s="35">
        <f>IF($A685="","",$E685+H685+$I685)</f>
        <v/>
      </c>
      <c r="K685" s="35">
        <f>IF($A685="","",$D685-J685)</f>
        <v/>
      </c>
      <c r="L685" s="32">
        <f>IF($A685="","",H685/$D685)</f>
        <v/>
      </c>
      <c r="M685" s="28">
        <f>IF($A685="","",IF(OR(J685+$F685&gt;$D685+0.001,_xlfn.MAXIFS(Stangenbelegung!$H$5:$H$10004,Stangenbelegung!$A$5:$A$10004,$A685)&gt;$D685-$F685+0.001),"ÜBERBELEGT","OK"))</f>
        <v/>
      </c>
      <c r="N685" s="24" t="n"/>
      <c r="O685" s="24" t="n"/>
      <c r="P685" s="9" t="n"/>
      <c r="Q685" s="18">
        <f>IF($A685="","",IFERROR($D685/1000*INDEX(Profile!$K$5:$K$304,MATCH($B685,lst_Profil,0))*INDEX(Werkstoffe!$E$5:$E$304,MATCH($C685,lst_Werkstoff,0))/1000,""))</f>
        <v/>
      </c>
      <c r="R685" s="18">
        <f>IF($A685="","",IF(N(_xlfn.MAXIFS(Auftrag!$AP$13:$AP$512,Auftrag!$D$13:$D$512,$B685,Auftrag!$E$13:$E$512,$C685,Auftrag!$Q$13:$Q$512,$D685))&gt;0,_xlfn.MAXIFS(Auftrag!$AP$13:$AP$512,Auftrag!$D$13:$D$512,$B685,Auftrag!$E$13:$E$512,$C685,Auftrag!$Q$13:$Q$512,$D685)*$D685/1000,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9" t="n"/>
      <c r="E686" s="24" t="n"/>
      <c r="F686" s="24" t="n"/>
      <c r="G686" s="12">
        <f>IF($A686="","",COUNTIFS(Stangenbelegung!$A$5:$A$10004,$A686))</f>
        <v/>
      </c>
      <c r="H686" s="35">
        <f>IF($A686="","",SUMIFS(Stangenbelegung!$F$5:$F$10004,Stangenbelegung!$A$5:$A$10004,$A686))</f>
        <v/>
      </c>
      <c r="I686" s="23" t="n"/>
      <c r="J686" s="35">
        <f>IF($A686="","",$E686+H686+$I686)</f>
        <v/>
      </c>
      <c r="K686" s="35">
        <f>IF($A686="","",$D686-J686)</f>
        <v/>
      </c>
      <c r="L686" s="32">
        <f>IF($A686="","",H686/$D686)</f>
        <v/>
      </c>
      <c r="M686" s="28">
        <f>IF($A686="","",IF(OR(J686+$F686&gt;$D686+0.001,_xlfn.MAXIFS(Stangenbelegung!$H$5:$H$10004,Stangenbelegung!$A$5:$A$10004,$A686)&gt;$D686-$F686+0.001),"ÜBERBELEGT","OK"))</f>
        <v/>
      </c>
      <c r="N686" s="24" t="n"/>
      <c r="O686" s="24" t="n"/>
      <c r="P686" s="9" t="n"/>
      <c r="Q686" s="18">
        <f>IF($A686="","",IFERROR($D686/1000*INDEX(Profile!$K$5:$K$304,MATCH($B686,lst_Profil,0))*INDEX(Werkstoffe!$E$5:$E$304,MATCH($C686,lst_Werkstoff,0))/1000,""))</f>
        <v/>
      </c>
      <c r="R686" s="18">
        <f>IF($A686="","",IF(N(_xlfn.MAXIFS(Auftrag!$AP$13:$AP$512,Auftrag!$D$13:$D$512,$B686,Auftrag!$E$13:$E$512,$C686,Auftrag!$Q$13:$Q$512,$D686))&gt;0,_xlfn.MAXIFS(Auftrag!$AP$13:$AP$512,Auftrag!$D$13:$D$512,$B686,Auftrag!$E$13:$E$512,$C686,Auftrag!$Q$13:$Q$512,$D686)*$D686/1000,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9" t="n"/>
      <c r="E687" s="24" t="n"/>
      <c r="F687" s="24" t="n"/>
      <c r="G687" s="12">
        <f>IF($A687="","",COUNTIFS(Stangenbelegung!$A$5:$A$10004,$A687))</f>
        <v/>
      </c>
      <c r="H687" s="35">
        <f>IF($A687="","",SUMIFS(Stangenbelegung!$F$5:$F$10004,Stangenbelegung!$A$5:$A$10004,$A687))</f>
        <v/>
      </c>
      <c r="I687" s="23" t="n"/>
      <c r="J687" s="35">
        <f>IF($A687="","",$E687+H687+$I687)</f>
        <v/>
      </c>
      <c r="K687" s="35">
        <f>IF($A687="","",$D687-J687)</f>
        <v/>
      </c>
      <c r="L687" s="32">
        <f>IF($A687="","",H687/$D687)</f>
        <v/>
      </c>
      <c r="M687" s="28">
        <f>IF($A687="","",IF(OR(J687+$F687&gt;$D687+0.001,_xlfn.MAXIFS(Stangenbelegung!$H$5:$H$10004,Stangenbelegung!$A$5:$A$10004,$A687)&gt;$D687-$F687+0.001),"ÜBERBELEGT","OK"))</f>
        <v/>
      </c>
      <c r="N687" s="24" t="n"/>
      <c r="O687" s="24" t="n"/>
      <c r="P687" s="9" t="n"/>
      <c r="Q687" s="18">
        <f>IF($A687="","",IFERROR($D687/1000*INDEX(Profile!$K$5:$K$304,MATCH($B687,lst_Profil,0))*INDEX(Werkstoffe!$E$5:$E$304,MATCH($C687,lst_Werkstoff,0))/1000,""))</f>
        <v/>
      </c>
      <c r="R687" s="18">
        <f>IF($A687="","",IF(N(_xlfn.MAXIFS(Auftrag!$AP$13:$AP$512,Auftrag!$D$13:$D$512,$B687,Auftrag!$E$13:$E$512,$C687,Auftrag!$Q$13:$Q$512,$D687))&gt;0,_xlfn.MAXIFS(Auftrag!$AP$13:$AP$512,Auftrag!$D$13:$D$512,$B687,Auftrag!$E$13:$E$512,$C687,Auftrag!$Q$13:$Q$512,$D687)*$D687/1000,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9" t="n"/>
      <c r="E688" s="24" t="n"/>
      <c r="F688" s="24" t="n"/>
      <c r="G688" s="12">
        <f>IF($A688="","",COUNTIFS(Stangenbelegung!$A$5:$A$10004,$A688))</f>
        <v/>
      </c>
      <c r="H688" s="35">
        <f>IF($A688="","",SUMIFS(Stangenbelegung!$F$5:$F$10004,Stangenbelegung!$A$5:$A$10004,$A688))</f>
        <v/>
      </c>
      <c r="I688" s="23" t="n"/>
      <c r="J688" s="35">
        <f>IF($A688="","",$E688+H688+$I688)</f>
        <v/>
      </c>
      <c r="K688" s="35">
        <f>IF($A688="","",$D688-J688)</f>
        <v/>
      </c>
      <c r="L688" s="32">
        <f>IF($A688="","",H688/$D688)</f>
        <v/>
      </c>
      <c r="M688" s="28">
        <f>IF($A688="","",IF(OR(J688+$F688&gt;$D688+0.001,_xlfn.MAXIFS(Stangenbelegung!$H$5:$H$10004,Stangenbelegung!$A$5:$A$10004,$A688)&gt;$D688-$F688+0.001),"ÜBERBELEGT","OK"))</f>
        <v/>
      </c>
      <c r="N688" s="24" t="n"/>
      <c r="O688" s="24" t="n"/>
      <c r="P688" s="9" t="n"/>
      <c r="Q688" s="18">
        <f>IF($A688="","",IFERROR($D688/1000*INDEX(Profile!$K$5:$K$304,MATCH($B688,lst_Profil,0))*INDEX(Werkstoffe!$E$5:$E$304,MATCH($C688,lst_Werkstoff,0))/1000,""))</f>
        <v/>
      </c>
      <c r="R688" s="18">
        <f>IF($A688="","",IF(N(_xlfn.MAXIFS(Auftrag!$AP$13:$AP$512,Auftrag!$D$13:$D$512,$B688,Auftrag!$E$13:$E$512,$C688,Auftrag!$Q$13:$Q$512,$D688))&gt;0,_xlfn.MAXIFS(Auftrag!$AP$13:$AP$512,Auftrag!$D$13:$D$512,$B688,Auftrag!$E$13:$E$512,$C688,Auftrag!$Q$13:$Q$512,$D688)*$D688/1000,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9" t="n"/>
      <c r="E689" s="24" t="n"/>
      <c r="F689" s="24" t="n"/>
      <c r="G689" s="12">
        <f>IF($A689="","",COUNTIFS(Stangenbelegung!$A$5:$A$10004,$A689))</f>
        <v/>
      </c>
      <c r="H689" s="35">
        <f>IF($A689="","",SUMIFS(Stangenbelegung!$F$5:$F$10004,Stangenbelegung!$A$5:$A$10004,$A689))</f>
        <v/>
      </c>
      <c r="I689" s="23" t="n"/>
      <c r="J689" s="35">
        <f>IF($A689="","",$E689+H689+$I689)</f>
        <v/>
      </c>
      <c r="K689" s="35">
        <f>IF($A689="","",$D689-J689)</f>
        <v/>
      </c>
      <c r="L689" s="32">
        <f>IF($A689="","",H689/$D689)</f>
        <v/>
      </c>
      <c r="M689" s="28">
        <f>IF($A689="","",IF(OR(J689+$F689&gt;$D689+0.001,_xlfn.MAXIFS(Stangenbelegung!$H$5:$H$10004,Stangenbelegung!$A$5:$A$10004,$A689)&gt;$D689-$F689+0.001),"ÜBERBELEGT","OK"))</f>
        <v/>
      </c>
      <c r="N689" s="24" t="n"/>
      <c r="O689" s="24" t="n"/>
      <c r="P689" s="9" t="n"/>
      <c r="Q689" s="18">
        <f>IF($A689="","",IFERROR($D689/1000*INDEX(Profile!$K$5:$K$304,MATCH($B689,lst_Profil,0))*INDEX(Werkstoffe!$E$5:$E$304,MATCH($C689,lst_Werkstoff,0))/1000,""))</f>
        <v/>
      </c>
      <c r="R689" s="18">
        <f>IF($A689="","",IF(N(_xlfn.MAXIFS(Auftrag!$AP$13:$AP$512,Auftrag!$D$13:$D$512,$B689,Auftrag!$E$13:$E$512,$C689,Auftrag!$Q$13:$Q$512,$D689))&gt;0,_xlfn.MAXIFS(Auftrag!$AP$13:$AP$512,Auftrag!$D$13:$D$512,$B689,Auftrag!$E$13:$E$512,$C689,Auftrag!$Q$13:$Q$512,$D689)*$D689/1000,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9" t="n"/>
      <c r="E690" s="24" t="n"/>
      <c r="F690" s="24" t="n"/>
      <c r="G690" s="12">
        <f>IF($A690="","",COUNTIFS(Stangenbelegung!$A$5:$A$10004,$A690))</f>
        <v/>
      </c>
      <c r="H690" s="35">
        <f>IF($A690="","",SUMIFS(Stangenbelegung!$F$5:$F$10004,Stangenbelegung!$A$5:$A$10004,$A690))</f>
        <v/>
      </c>
      <c r="I690" s="23" t="n"/>
      <c r="J690" s="35">
        <f>IF($A690="","",$E690+H690+$I690)</f>
        <v/>
      </c>
      <c r="K690" s="35">
        <f>IF($A690="","",$D690-J690)</f>
        <v/>
      </c>
      <c r="L690" s="32">
        <f>IF($A690="","",H690/$D690)</f>
        <v/>
      </c>
      <c r="M690" s="28">
        <f>IF($A690="","",IF(OR(J690+$F690&gt;$D690+0.001,_xlfn.MAXIFS(Stangenbelegung!$H$5:$H$10004,Stangenbelegung!$A$5:$A$10004,$A690)&gt;$D690-$F690+0.001),"ÜBERBELEGT","OK"))</f>
        <v/>
      </c>
      <c r="N690" s="24" t="n"/>
      <c r="O690" s="24" t="n"/>
      <c r="P690" s="9" t="n"/>
      <c r="Q690" s="18">
        <f>IF($A690="","",IFERROR($D690/1000*INDEX(Profile!$K$5:$K$304,MATCH($B690,lst_Profil,0))*INDEX(Werkstoffe!$E$5:$E$304,MATCH($C690,lst_Werkstoff,0))/1000,""))</f>
        <v/>
      </c>
      <c r="R690" s="18">
        <f>IF($A690="","",IF(N(_xlfn.MAXIFS(Auftrag!$AP$13:$AP$512,Auftrag!$D$13:$D$512,$B690,Auftrag!$E$13:$E$512,$C690,Auftrag!$Q$13:$Q$512,$D690))&gt;0,_xlfn.MAXIFS(Auftrag!$AP$13:$AP$512,Auftrag!$D$13:$D$512,$B690,Auftrag!$E$13:$E$512,$C690,Auftrag!$Q$13:$Q$512,$D690)*$D690/1000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9" t="n"/>
      <c r="E691" s="24" t="n"/>
      <c r="F691" s="24" t="n"/>
      <c r="G691" s="12">
        <f>IF($A691="","",COUNTIFS(Stangenbelegung!$A$5:$A$10004,$A691))</f>
        <v/>
      </c>
      <c r="H691" s="35">
        <f>IF($A691="","",SUMIFS(Stangenbelegung!$F$5:$F$10004,Stangenbelegung!$A$5:$A$10004,$A691))</f>
        <v/>
      </c>
      <c r="I691" s="23" t="n"/>
      <c r="J691" s="35">
        <f>IF($A691="","",$E691+H691+$I691)</f>
        <v/>
      </c>
      <c r="K691" s="35">
        <f>IF($A691="","",$D691-J691)</f>
        <v/>
      </c>
      <c r="L691" s="32">
        <f>IF($A691="","",H691/$D691)</f>
        <v/>
      </c>
      <c r="M691" s="28">
        <f>IF($A691="","",IF(OR(J691+$F691&gt;$D691+0.001,_xlfn.MAXIFS(Stangenbelegung!$H$5:$H$10004,Stangenbelegung!$A$5:$A$10004,$A691)&gt;$D691-$F691+0.001),"ÜBERBELEGT","OK"))</f>
        <v/>
      </c>
      <c r="N691" s="24" t="n"/>
      <c r="O691" s="24" t="n"/>
      <c r="P691" s="9" t="n"/>
      <c r="Q691" s="18">
        <f>IF($A691="","",IFERROR($D691/1000*INDEX(Profile!$K$5:$K$304,MATCH($B691,lst_Profil,0))*INDEX(Werkstoffe!$E$5:$E$304,MATCH($C691,lst_Werkstoff,0))/1000,""))</f>
        <v/>
      </c>
      <c r="R691" s="18">
        <f>IF($A691="","",IF(N(_xlfn.MAXIFS(Auftrag!$AP$13:$AP$512,Auftrag!$D$13:$D$512,$B691,Auftrag!$E$13:$E$512,$C691,Auftrag!$Q$13:$Q$512,$D691))&gt;0,_xlfn.MAXIFS(Auftrag!$AP$13:$AP$512,Auftrag!$D$13:$D$512,$B691,Auftrag!$E$13:$E$512,$C691,Auftrag!$Q$13:$Q$512,$D691)*$D691/1000,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9" t="n"/>
      <c r="E692" s="24" t="n"/>
      <c r="F692" s="24" t="n"/>
      <c r="G692" s="12">
        <f>IF($A692="","",COUNTIFS(Stangenbelegung!$A$5:$A$10004,$A692))</f>
        <v/>
      </c>
      <c r="H692" s="35">
        <f>IF($A692="","",SUMIFS(Stangenbelegung!$F$5:$F$10004,Stangenbelegung!$A$5:$A$10004,$A692))</f>
        <v/>
      </c>
      <c r="I692" s="23" t="n"/>
      <c r="J692" s="35">
        <f>IF($A692="","",$E692+H692+$I692)</f>
        <v/>
      </c>
      <c r="K692" s="35">
        <f>IF($A692="","",$D692-J692)</f>
        <v/>
      </c>
      <c r="L692" s="32">
        <f>IF($A692="","",H692/$D692)</f>
        <v/>
      </c>
      <c r="M692" s="28">
        <f>IF($A692="","",IF(OR(J692+$F692&gt;$D692+0.001,_xlfn.MAXIFS(Stangenbelegung!$H$5:$H$10004,Stangenbelegung!$A$5:$A$10004,$A692)&gt;$D692-$F692+0.001),"ÜBERBELEGT","OK"))</f>
        <v/>
      </c>
      <c r="N692" s="24" t="n"/>
      <c r="O692" s="24" t="n"/>
      <c r="P692" s="9" t="n"/>
      <c r="Q692" s="18">
        <f>IF($A692="","",IFERROR($D692/1000*INDEX(Profile!$K$5:$K$304,MATCH($B692,lst_Profil,0))*INDEX(Werkstoffe!$E$5:$E$304,MATCH($C692,lst_Werkstoff,0))/1000,""))</f>
        <v/>
      </c>
      <c r="R692" s="18">
        <f>IF($A692="","",IF(N(_xlfn.MAXIFS(Auftrag!$AP$13:$AP$512,Auftrag!$D$13:$D$512,$B692,Auftrag!$E$13:$E$512,$C692,Auftrag!$Q$13:$Q$512,$D692))&gt;0,_xlfn.MAXIFS(Auftrag!$AP$13:$AP$512,Auftrag!$D$13:$D$512,$B692,Auftrag!$E$13:$E$512,$C692,Auftrag!$Q$13:$Q$512,$D692)*$D692/1000,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9" t="n"/>
      <c r="E693" s="24" t="n"/>
      <c r="F693" s="24" t="n"/>
      <c r="G693" s="12">
        <f>IF($A693="","",COUNTIFS(Stangenbelegung!$A$5:$A$10004,$A693))</f>
        <v/>
      </c>
      <c r="H693" s="35">
        <f>IF($A693="","",SUMIFS(Stangenbelegung!$F$5:$F$10004,Stangenbelegung!$A$5:$A$10004,$A693))</f>
        <v/>
      </c>
      <c r="I693" s="23" t="n"/>
      <c r="J693" s="35">
        <f>IF($A693="","",$E693+H693+$I693)</f>
        <v/>
      </c>
      <c r="K693" s="35">
        <f>IF($A693="","",$D693-J693)</f>
        <v/>
      </c>
      <c r="L693" s="32">
        <f>IF($A693="","",H693/$D693)</f>
        <v/>
      </c>
      <c r="M693" s="28">
        <f>IF($A693="","",IF(OR(J693+$F693&gt;$D693+0.001,_xlfn.MAXIFS(Stangenbelegung!$H$5:$H$10004,Stangenbelegung!$A$5:$A$10004,$A693)&gt;$D693-$F693+0.001),"ÜBERBELEGT","OK"))</f>
        <v/>
      </c>
      <c r="N693" s="24" t="n"/>
      <c r="O693" s="24" t="n"/>
      <c r="P693" s="9" t="n"/>
      <c r="Q693" s="18">
        <f>IF($A693="","",IFERROR($D693/1000*INDEX(Profile!$K$5:$K$304,MATCH($B693,lst_Profil,0))*INDEX(Werkstoffe!$E$5:$E$304,MATCH($C693,lst_Werkstoff,0))/1000,""))</f>
        <v/>
      </c>
      <c r="R693" s="18">
        <f>IF($A693="","",IF(N(_xlfn.MAXIFS(Auftrag!$AP$13:$AP$512,Auftrag!$D$13:$D$512,$B693,Auftrag!$E$13:$E$512,$C693,Auftrag!$Q$13:$Q$512,$D693))&gt;0,_xlfn.MAXIFS(Auftrag!$AP$13:$AP$512,Auftrag!$D$13:$D$512,$B693,Auftrag!$E$13:$E$512,$C693,Auftrag!$Q$13:$Q$512,$D693)*$D693/1000,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9" t="n"/>
      <c r="E694" s="24" t="n"/>
      <c r="F694" s="24" t="n"/>
      <c r="G694" s="12">
        <f>IF($A694="","",COUNTIFS(Stangenbelegung!$A$5:$A$10004,$A694))</f>
        <v/>
      </c>
      <c r="H694" s="35">
        <f>IF($A694="","",SUMIFS(Stangenbelegung!$F$5:$F$10004,Stangenbelegung!$A$5:$A$10004,$A694))</f>
        <v/>
      </c>
      <c r="I694" s="23" t="n"/>
      <c r="J694" s="35">
        <f>IF($A694="","",$E694+H694+$I694)</f>
        <v/>
      </c>
      <c r="K694" s="35">
        <f>IF($A694="","",$D694-J694)</f>
        <v/>
      </c>
      <c r="L694" s="32">
        <f>IF($A694="","",H694/$D694)</f>
        <v/>
      </c>
      <c r="M694" s="28">
        <f>IF($A694="","",IF(OR(J694+$F694&gt;$D694+0.001,_xlfn.MAXIFS(Stangenbelegung!$H$5:$H$10004,Stangenbelegung!$A$5:$A$10004,$A694)&gt;$D694-$F694+0.001),"ÜBERBELEGT","OK"))</f>
        <v/>
      </c>
      <c r="N694" s="24" t="n"/>
      <c r="O694" s="24" t="n"/>
      <c r="P694" s="9" t="n"/>
      <c r="Q694" s="18">
        <f>IF($A694="","",IFERROR($D694/1000*INDEX(Profile!$K$5:$K$304,MATCH($B694,lst_Profil,0))*INDEX(Werkstoffe!$E$5:$E$304,MATCH($C694,lst_Werkstoff,0))/1000,""))</f>
        <v/>
      </c>
      <c r="R694" s="18">
        <f>IF($A694="","",IF(N(_xlfn.MAXIFS(Auftrag!$AP$13:$AP$512,Auftrag!$D$13:$D$512,$B694,Auftrag!$E$13:$E$512,$C694,Auftrag!$Q$13:$Q$512,$D694))&gt;0,_xlfn.MAXIFS(Auftrag!$AP$13:$AP$512,Auftrag!$D$13:$D$512,$B694,Auftrag!$E$13:$E$512,$C694,Auftrag!$Q$13:$Q$512,$D694)*$D694/1000,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9" t="n"/>
      <c r="E695" s="24" t="n"/>
      <c r="F695" s="24" t="n"/>
      <c r="G695" s="12">
        <f>IF($A695="","",COUNTIFS(Stangenbelegung!$A$5:$A$10004,$A695))</f>
        <v/>
      </c>
      <c r="H695" s="35">
        <f>IF($A695="","",SUMIFS(Stangenbelegung!$F$5:$F$10004,Stangenbelegung!$A$5:$A$10004,$A695))</f>
        <v/>
      </c>
      <c r="I695" s="23" t="n"/>
      <c r="J695" s="35">
        <f>IF($A695="","",$E695+H695+$I695)</f>
        <v/>
      </c>
      <c r="K695" s="35">
        <f>IF($A695="","",$D695-J695)</f>
        <v/>
      </c>
      <c r="L695" s="32">
        <f>IF($A695="","",H695/$D695)</f>
        <v/>
      </c>
      <c r="M695" s="28">
        <f>IF($A695="","",IF(OR(J695+$F695&gt;$D695+0.001,_xlfn.MAXIFS(Stangenbelegung!$H$5:$H$10004,Stangenbelegung!$A$5:$A$10004,$A695)&gt;$D695-$F695+0.001),"ÜBERBELEGT","OK"))</f>
        <v/>
      </c>
      <c r="N695" s="24" t="n"/>
      <c r="O695" s="24" t="n"/>
      <c r="P695" s="9" t="n"/>
      <c r="Q695" s="18">
        <f>IF($A695="","",IFERROR($D695/1000*INDEX(Profile!$K$5:$K$304,MATCH($B695,lst_Profil,0))*INDEX(Werkstoffe!$E$5:$E$304,MATCH($C695,lst_Werkstoff,0))/1000,""))</f>
        <v/>
      </c>
      <c r="R695" s="18">
        <f>IF($A695="","",IF(N(_xlfn.MAXIFS(Auftrag!$AP$13:$AP$512,Auftrag!$D$13:$D$512,$B695,Auftrag!$E$13:$E$512,$C695,Auftrag!$Q$13:$Q$512,$D695))&gt;0,_xlfn.MAXIFS(Auftrag!$AP$13:$AP$512,Auftrag!$D$13:$D$512,$B695,Auftrag!$E$13:$E$512,$C695,Auftrag!$Q$13:$Q$512,$D695)*$D695/1000,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9" t="n"/>
      <c r="E696" s="24" t="n"/>
      <c r="F696" s="24" t="n"/>
      <c r="G696" s="12">
        <f>IF($A696="","",COUNTIFS(Stangenbelegung!$A$5:$A$10004,$A696))</f>
        <v/>
      </c>
      <c r="H696" s="35">
        <f>IF($A696="","",SUMIFS(Stangenbelegung!$F$5:$F$10004,Stangenbelegung!$A$5:$A$10004,$A696))</f>
        <v/>
      </c>
      <c r="I696" s="23" t="n"/>
      <c r="J696" s="35">
        <f>IF($A696="","",$E696+H696+$I696)</f>
        <v/>
      </c>
      <c r="K696" s="35">
        <f>IF($A696="","",$D696-J696)</f>
        <v/>
      </c>
      <c r="L696" s="32">
        <f>IF($A696="","",H696/$D696)</f>
        <v/>
      </c>
      <c r="M696" s="28">
        <f>IF($A696="","",IF(OR(J696+$F696&gt;$D696+0.001,_xlfn.MAXIFS(Stangenbelegung!$H$5:$H$10004,Stangenbelegung!$A$5:$A$10004,$A696)&gt;$D696-$F696+0.001),"ÜBERBELEGT","OK"))</f>
        <v/>
      </c>
      <c r="N696" s="24" t="n"/>
      <c r="O696" s="24" t="n"/>
      <c r="P696" s="9" t="n"/>
      <c r="Q696" s="18">
        <f>IF($A696="","",IFERROR($D696/1000*INDEX(Profile!$K$5:$K$304,MATCH($B696,lst_Profil,0))*INDEX(Werkstoffe!$E$5:$E$304,MATCH($C696,lst_Werkstoff,0))/1000,""))</f>
        <v/>
      </c>
      <c r="R696" s="18">
        <f>IF($A696="","",IF(N(_xlfn.MAXIFS(Auftrag!$AP$13:$AP$512,Auftrag!$D$13:$D$512,$B696,Auftrag!$E$13:$E$512,$C696,Auftrag!$Q$13:$Q$512,$D696))&gt;0,_xlfn.MAXIFS(Auftrag!$AP$13:$AP$512,Auftrag!$D$13:$D$512,$B696,Auftrag!$E$13:$E$512,$C696,Auftrag!$Q$13:$Q$512,$D696)*$D696/1000,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9" t="n"/>
      <c r="E697" s="24" t="n"/>
      <c r="F697" s="24" t="n"/>
      <c r="G697" s="12">
        <f>IF($A697="","",COUNTIFS(Stangenbelegung!$A$5:$A$10004,$A697))</f>
        <v/>
      </c>
      <c r="H697" s="35">
        <f>IF($A697="","",SUMIFS(Stangenbelegung!$F$5:$F$10004,Stangenbelegung!$A$5:$A$10004,$A697))</f>
        <v/>
      </c>
      <c r="I697" s="23" t="n"/>
      <c r="J697" s="35">
        <f>IF($A697="","",$E697+H697+$I697)</f>
        <v/>
      </c>
      <c r="K697" s="35">
        <f>IF($A697="","",$D697-J697)</f>
        <v/>
      </c>
      <c r="L697" s="32">
        <f>IF($A697="","",H697/$D697)</f>
        <v/>
      </c>
      <c r="M697" s="28">
        <f>IF($A697="","",IF(OR(J697+$F697&gt;$D697+0.001,_xlfn.MAXIFS(Stangenbelegung!$H$5:$H$10004,Stangenbelegung!$A$5:$A$10004,$A697)&gt;$D697-$F697+0.001),"ÜBERBELEGT","OK"))</f>
        <v/>
      </c>
      <c r="N697" s="24" t="n"/>
      <c r="O697" s="24" t="n"/>
      <c r="P697" s="9" t="n"/>
      <c r="Q697" s="18">
        <f>IF($A697="","",IFERROR($D697/1000*INDEX(Profile!$K$5:$K$304,MATCH($B697,lst_Profil,0))*INDEX(Werkstoffe!$E$5:$E$304,MATCH($C697,lst_Werkstoff,0))/1000,""))</f>
        <v/>
      </c>
      <c r="R697" s="18">
        <f>IF($A697="","",IF(N(_xlfn.MAXIFS(Auftrag!$AP$13:$AP$512,Auftrag!$D$13:$D$512,$B697,Auftrag!$E$13:$E$512,$C697,Auftrag!$Q$13:$Q$512,$D697))&gt;0,_xlfn.MAXIFS(Auftrag!$AP$13:$AP$512,Auftrag!$D$13:$D$512,$B697,Auftrag!$E$13:$E$512,$C697,Auftrag!$Q$13:$Q$512,$D697)*$D697/1000,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9" t="n"/>
      <c r="E698" s="24" t="n"/>
      <c r="F698" s="24" t="n"/>
      <c r="G698" s="12">
        <f>IF($A698="","",COUNTIFS(Stangenbelegung!$A$5:$A$10004,$A698))</f>
        <v/>
      </c>
      <c r="H698" s="35">
        <f>IF($A698="","",SUMIFS(Stangenbelegung!$F$5:$F$10004,Stangenbelegung!$A$5:$A$10004,$A698))</f>
        <v/>
      </c>
      <c r="I698" s="23" t="n"/>
      <c r="J698" s="35">
        <f>IF($A698="","",$E698+H698+$I698)</f>
        <v/>
      </c>
      <c r="K698" s="35">
        <f>IF($A698="","",$D698-J698)</f>
        <v/>
      </c>
      <c r="L698" s="32">
        <f>IF($A698="","",H698/$D698)</f>
        <v/>
      </c>
      <c r="M698" s="28">
        <f>IF($A698="","",IF(OR(J698+$F698&gt;$D698+0.001,_xlfn.MAXIFS(Stangenbelegung!$H$5:$H$10004,Stangenbelegung!$A$5:$A$10004,$A698)&gt;$D698-$F698+0.001),"ÜBERBELEGT","OK"))</f>
        <v/>
      </c>
      <c r="N698" s="24" t="n"/>
      <c r="O698" s="24" t="n"/>
      <c r="P698" s="9" t="n"/>
      <c r="Q698" s="18">
        <f>IF($A698="","",IFERROR($D698/1000*INDEX(Profile!$K$5:$K$304,MATCH($B698,lst_Profil,0))*INDEX(Werkstoffe!$E$5:$E$304,MATCH($C698,lst_Werkstoff,0))/1000,""))</f>
        <v/>
      </c>
      <c r="R698" s="18">
        <f>IF($A698="","",IF(N(_xlfn.MAXIFS(Auftrag!$AP$13:$AP$512,Auftrag!$D$13:$D$512,$B698,Auftrag!$E$13:$E$512,$C698,Auftrag!$Q$13:$Q$512,$D698))&gt;0,_xlfn.MAXIFS(Auftrag!$AP$13:$AP$512,Auftrag!$D$13:$D$512,$B698,Auftrag!$E$13:$E$512,$C698,Auftrag!$Q$13:$Q$512,$D698)*$D698/1000,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9" t="n"/>
      <c r="E699" s="24" t="n"/>
      <c r="F699" s="24" t="n"/>
      <c r="G699" s="12">
        <f>IF($A699="","",COUNTIFS(Stangenbelegung!$A$5:$A$10004,$A699))</f>
        <v/>
      </c>
      <c r="H699" s="35">
        <f>IF($A699="","",SUMIFS(Stangenbelegung!$F$5:$F$10004,Stangenbelegung!$A$5:$A$10004,$A699))</f>
        <v/>
      </c>
      <c r="I699" s="23" t="n"/>
      <c r="J699" s="35">
        <f>IF($A699="","",$E699+H699+$I699)</f>
        <v/>
      </c>
      <c r="K699" s="35">
        <f>IF($A699="","",$D699-J699)</f>
        <v/>
      </c>
      <c r="L699" s="32">
        <f>IF($A699="","",H699/$D699)</f>
        <v/>
      </c>
      <c r="M699" s="28">
        <f>IF($A699="","",IF(OR(J699+$F699&gt;$D699+0.001,_xlfn.MAXIFS(Stangenbelegung!$H$5:$H$10004,Stangenbelegung!$A$5:$A$10004,$A699)&gt;$D699-$F699+0.001),"ÜBERBELEGT","OK"))</f>
        <v/>
      </c>
      <c r="N699" s="24" t="n"/>
      <c r="O699" s="24" t="n"/>
      <c r="P699" s="9" t="n"/>
      <c r="Q699" s="18">
        <f>IF($A699="","",IFERROR($D699/1000*INDEX(Profile!$K$5:$K$304,MATCH($B699,lst_Profil,0))*INDEX(Werkstoffe!$E$5:$E$304,MATCH($C699,lst_Werkstoff,0))/1000,""))</f>
        <v/>
      </c>
      <c r="R699" s="18">
        <f>IF($A699="","",IF(N(_xlfn.MAXIFS(Auftrag!$AP$13:$AP$512,Auftrag!$D$13:$D$512,$B699,Auftrag!$E$13:$E$512,$C699,Auftrag!$Q$13:$Q$512,$D699))&gt;0,_xlfn.MAXIFS(Auftrag!$AP$13:$AP$512,Auftrag!$D$13:$D$512,$B699,Auftrag!$E$13:$E$512,$C699,Auftrag!$Q$13:$Q$512,$D699)*$D699/1000,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9" t="n"/>
      <c r="E700" s="24" t="n"/>
      <c r="F700" s="24" t="n"/>
      <c r="G700" s="12">
        <f>IF($A700="","",COUNTIFS(Stangenbelegung!$A$5:$A$10004,$A700))</f>
        <v/>
      </c>
      <c r="H700" s="35">
        <f>IF($A700="","",SUMIFS(Stangenbelegung!$F$5:$F$10004,Stangenbelegung!$A$5:$A$10004,$A700))</f>
        <v/>
      </c>
      <c r="I700" s="23" t="n"/>
      <c r="J700" s="35">
        <f>IF($A700="","",$E700+H700+$I700)</f>
        <v/>
      </c>
      <c r="K700" s="35">
        <f>IF($A700="","",$D700-J700)</f>
        <v/>
      </c>
      <c r="L700" s="32">
        <f>IF($A700="","",H700/$D700)</f>
        <v/>
      </c>
      <c r="M700" s="28">
        <f>IF($A700="","",IF(OR(J700+$F700&gt;$D700+0.001,_xlfn.MAXIFS(Stangenbelegung!$H$5:$H$10004,Stangenbelegung!$A$5:$A$10004,$A700)&gt;$D700-$F700+0.001),"ÜBERBELEGT","OK"))</f>
        <v/>
      </c>
      <c r="N700" s="24" t="n"/>
      <c r="O700" s="24" t="n"/>
      <c r="P700" s="9" t="n"/>
      <c r="Q700" s="18">
        <f>IF($A700="","",IFERROR($D700/1000*INDEX(Profile!$K$5:$K$304,MATCH($B700,lst_Profil,0))*INDEX(Werkstoffe!$E$5:$E$304,MATCH($C700,lst_Werkstoff,0))/1000,""))</f>
        <v/>
      </c>
      <c r="R700" s="18">
        <f>IF($A700="","",IF(N(_xlfn.MAXIFS(Auftrag!$AP$13:$AP$512,Auftrag!$D$13:$D$512,$B700,Auftrag!$E$13:$E$512,$C700,Auftrag!$Q$13:$Q$512,$D700))&gt;0,_xlfn.MAXIFS(Auftrag!$AP$13:$AP$512,Auftrag!$D$13:$D$512,$B700,Auftrag!$E$13:$E$512,$C700,Auftrag!$Q$13:$Q$512,$D700)*$D700/1000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9" t="n"/>
      <c r="E701" s="24" t="n"/>
      <c r="F701" s="24" t="n"/>
      <c r="G701" s="12">
        <f>IF($A701="","",COUNTIFS(Stangenbelegung!$A$5:$A$10004,$A701))</f>
        <v/>
      </c>
      <c r="H701" s="35">
        <f>IF($A701="","",SUMIFS(Stangenbelegung!$F$5:$F$10004,Stangenbelegung!$A$5:$A$10004,$A701))</f>
        <v/>
      </c>
      <c r="I701" s="23" t="n"/>
      <c r="J701" s="35">
        <f>IF($A701="","",$E701+H701+$I701)</f>
        <v/>
      </c>
      <c r="K701" s="35">
        <f>IF($A701="","",$D701-J701)</f>
        <v/>
      </c>
      <c r="L701" s="32">
        <f>IF($A701="","",H701/$D701)</f>
        <v/>
      </c>
      <c r="M701" s="28">
        <f>IF($A701="","",IF(OR(J701+$F701&gt;$D701+0.001,_xlfn.MAXIFS(Stangenbelegung!$H$5:$H$10004,Stangenbelegung!$A$5:$A$10004,$A701)&gt;$D701-$F701+0.001),"ÜBERBELEGT","OK"))</f>
        <v/>
      </c>
      <c r="N701" s="24" t="n"/>
      <c r="O701" s="24" t="n"/>
      <c r="P701" s="9" t="n"/>
      <c r="Q701" s="18">
        <f>IF($A701="","",IFERROR($D701/1000*INDEX(Profile!$K$5:$K$304,MATCH($B701,lst_Profil,0))*INDEX(Werkstoffe!$E$5:$E$304,MATCH($C701,lst_Werkstoff,0))/1000,""))</f>
        <v/>
      </c>
      <c r="R701" s="18">
        <f>IF($A701="","",IF(N(_xlfn.MAXIFS(Auftrag!$AP$13:$AP$512,Auftrag!$D$13:$D$512,$B701,Auftrag!$E$13:$E$512,$C701,Auftrag!$Q$13:$Q$512,$D701))&gt;0,_xlfn.MAXIFS(Auftrag!$AP$13:$AP$512,Auftrag!$D$13:$D$512,$B701,Auftrag!$E$13:$E$512,$C701,Auftrag!$Q$13:$Q$512,$D701)*$D701/1000,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9" t="n"/>
      <c r="E702" s="24" t="n"/>
      <c r="F702" s="24" t="n"/>
      <c r="G702" s="12">
        <f>IF($A702="","",COUNTIFS(Stangenbelegung!$A$5:$A$10004,$A702))</f>
        <v/>
      </c>
      <c r="H702" s="35">
        <f>IF($A702="","",SUMIFS(Stangenbelegung!$F$5:$F$10004,Stangenbelegung!$A$5:$A$10004,$A702))</f>
        <v/>
      </c>
      <c r="I702" s="23" t="n"/>
      <c r="J702" s="35">
        <f>IF($A702="","",$E702+H702+$I702)</f>
        <v/>
      </c>
      <c r="K702" s="35">
        <f>IF($A702="","",$D702-J702)</f>
        <v/>
      </c>
      <c r="L702" s="32">
        <f>IF($A702="","",H702/$D702)</f>
        <v/>
      </c>
      <c r="M702" s="28">
        <f>IF($A702="","",IF(OR(J702+$F702&gt;$D702+0.001,_xlfn.MAXIFS(Stangenbelegung!$H$5:$H$10004,Stangenbelegung!$A$5:$A$10004,$A702)&gt;$D702-$F702+0.001),"ÜBERBELEGT","OK"))</f>
        <v/>
      </c>
      <c r="N702" s="24" t="n"/>
      <c r="O702" s="24" t="n"/>
      <c r="P702" s="9" t="n"/>
      <c r="Q702" s="18">
        <f>IF($A702="","",IFERROR($D702/1000*INDEX(Profile!$K$5:$K$304,MATCH($B702,lst_Profil,0))*INDEX(Werkstoffe!$E$5:$E$304,MATCH($C702,lst_Werkstoff,0))/1000,""))</f>
        <v/>
      </c>
      <c r="R702" s="18">
        <f>IF($A702="","",IF(N(_xlfn.MAXIFS(Auftrag!$AP$13:$AP$512,Auftrag!$D$13:$D$512,$B702,Auftrag!$E$13:$E$512,$C702,Auftrag!$Q$13:$Q$512,$D702))&gt;0,_xlfn.MAXIFS(Auftrag!$AP$13:$AP$512,Auftrag!$D$13:$D$512,$B702,Auftrag!$E$13:$E$512,$C702,Auftrag!$Q$13:$Q$512,$D702)*$D702/1000,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9" t="n"/>
      <c r="E703" s="24" t="n"/>
      <c r="F703" s="24" t="n"/>
      <c r="G703" s="12">
        <f>IF($A703="","",COUNTIFS(Stangenbelegung!$A$5:$A$10004,$A703))</f>
        <v/>
      </c>
      <c r="H703" s="35">
        <f>IF($A703="","",SUMIFS(Stangenbelegung!$F$5:$F$10004,Stangenbelegung!$A$5:$A$10004,$A703))</f>
        <v/>
      </c>
      <c r="I703" s="23" t="n"/>
      <c r="J703" s="35">
        <f>IF($A703="","",$E703+H703+$I703)</f>
        <v/>
      </c>
      <c r="K703" s="35">
        <f>IF($A703="","",$D703-J703)</f>
        <v/>
      </c>
      <c r="L703" s="32">
        <f>IF($A703="","",H703/$D703)</f>
        <v/>
      </c>
      <c r="M703" s="28">
        <f>IF($A703="","",IF(OR(J703+$F703&gt;$D703+0.001,_xlfn.MAXIFS(Stangenbelegung!$H$5:$H$10004,Stangenbelegung!$A$5:$A$10004,$A703)&gt;$D703-$F703+0.001),"ÜBERBELEGT","OK"))</f>
        <v/>
      </c>
      <c r="N703" s="24" t="n"/>
      <c r="O703" s="24" t="n"/>
      <c r="P703" s="9" t="n"/>
      <c r="Q703" s="18">
        <f>IF($A703="","",IFERROR($D703/1000*INDEX(Profile!$K$5:$K$304,MATCH($B703,lst_Profil,0))*INDEX(Werkstoffe!$E$5:$E$304,MATCH($C703,lst_Werkstoff,0))/1000,""))</f>
        <v/>
      </c>
      <c r="R703" s="18">
        <f>IF($A703="","",IF(N(_xlfn.MAXIFS(Auftrag!$AP$13:$AP$512,Auftrag!$D$13:$D$512,$B703,Auftrag!$E$13:$E$512,$C703,Auftrag!$Q$13:$Q$512,$D703))&gt;0,_xlfn.MAXIFS(Auftrag!$AP$13:$AP$512,Auftrag!$D$13:$D$512,$B703,Auftrag!$E$13:$E$512,$C703,Auftrag!$Q$13:$Q$512,$D703)*$D703/1000,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9" t="n"/>
      <c r="E704" s="24" t="n"/>
      <c r="F704" s="24" t="n"/>
      <c r="G704" s="12">
        <f>IF($A704="","",COUNTIFS(Stangenbelegung!$A$5:$A$10004,$A704))</f>
        <v/>
      </c>
      <c r="H704" s="35">
        <f>IF($A704="","",SUMIFS(Stangenbelegung!$F$5:$F$10004,Stangenbelegung!$A$5:$A$10004,$A704))</f>
        <v/>
      </c>
      <c r="I704" s="23" t="n"/>
      <c r="J704" s="35">
        <f>IF($A704="","",$E704+H704+$I704)</f>
        <v/>
      </c>
      <c r="K704" s="35">
        <f>IF($A704="","",$D704-J704)</f>
        <v/>
      </c>
      <c r="L704" s="32">
        <f>IF($A704="","",H704/$D704)</f>
        <v/>
      </c>
      <c r="M704" s="28">
        <f>IF($A704="","",IF(OR(J704+$F704&gt;$D704+0.001,_xlfn.MAXIFS(Stangenbelegung!$H$5:$H$10004,Stangenbelegung!$A$5:$A$10004,$A704)&gt;$D704-$F704+0.001),"ÜBERBELEGT","OK"))</f>
        <v/>
      </c>
      <c r="N704" s="24" t="n"/>
      <c r="O704" s="24" t="n"/>
      <c r="P704" s="9" t="n"/>
      <c r="Q704" s="18">
        <f>IF($A704="","",IFERROR($D704/1000*INDEX(Profile!$K$5:$K$304,MATCH($B704,lst_Profil,0))*INDEX(Werkstoffe!$E$5:$E$304,MATCH($C704,lst_Werkstoff,0))/1000,""))</f>
        <v/>
      </c>
      <c r="R704" s="18">
        <f>IF($A704="","",IF(N(_xlfn.MAXIFS(Auftrag!$AP$13:$AP$512,Auftrag!$D$13:$D$512,$B704,Auftrag!$E$13:$E$512,$C704,Auftrag!$Q$13:$Q$512,$D704))&gt;0,_xlfn.MAXIFS(Auftrag!$AP$13:$AP$512,Auftrag!$D$13:$D$512,$B704,Auftrag!$E$13:$E$512,$C704,Auftrag!$Q$13:$Q$512,$D704)*$D704/1000,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9" t="n"/>
      <c r="E705" s="24" t="n"/>
      <c r="F705" s="24" t="n"/>
      <c r="G705" s="12">
        <f>IF($A705="","",COUNTIFS(Stangenbelegung!$A$5:$A$10004,$A705))</f>
        <v/>
      </c>
      <c r="H705" s="35">
        <f>IF($A705="","",SUMIFS(Stangenbelegung!$F$5:$F$10004,Stangenbelegung!$A$5:$A$10004,$A705))</f>
        <v/>
      </c>
      <c r="I705" s="23" t="n"/>
      <c r="J705" s="35">
        <f>IF($A705="","",$E705+H705+$I705)</f>
        <v/>
      </c>
      <c r="K705" s="35">
        <f>IF($A705="","",$D705-J705)</f>
        <v/>
      </c>
      <c r="L705" s="32">
        <f>IF($A705="","",H705/$D705)</f>
        <v/>
      </c>
      <c r="M705" s="28">
        <f>IF($A705="","",IF(OR(J705+$F705&gt;$D705+0.001,_xlfn.MAXIFS(Stangenbelegung!$H$5:$H$10004,Stangenbelegung!$A$5:$A$10004,$A705)&gt;$D705-$F705+0.001),"ÜBERBELEGT","OK"))</f>
        <v/>
      </c>
      <c r="N705" s="24" t="n"/>
      <c r="O705" s="24" t="n"/>
      <c r="P705" s="9" t="n"/>
      <c r="Q705" s="18">
        <f>IF($A705="","",IFERROR($D705/1000*INDEX(Profile!$K$5:$K$304,MATCH($B705,lst_Profil,0))*INDEX(Werkstoffe!$E$5:$E$304,MATCH($C705,lst_Werkstoff,0))/1000,""))</f>
        <v/>
      </c>
      <c r="R705" s="18">
        <f>IF($A705="","",IF(N(_xlfn.MAXIFS(Auftrag!$AP$13:$AP$512,Auftrag!$D$13:$D$512,$B705,Auftrag!$E$13:$E$512,$C705,Auftrag!$Q$13:$Q$512,$D705))&gt;0,_xlfn.MAXIFS(Auftrag!$AP$13:$AP$512,Auftrag!$D$13:$D$512,$B705,Auftrag!$E$13:$E$512,$C705,Auftrag!$Q$13:$Q$512,$D705)*$D705/1000,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9" t="n"/>
      <c r="E706" s="24" t="n"/>
      <c r="F706" s="24" t="n"/>
      <c r="G706" s="12">
        <f>IF($A706="","",COUNTIFS(Stangenbelegung!$A$5:$A$10004,$A706))</f>
        <v/>
      </c>
      <c r="H706" s="35">
        <f>IF($A706="","",SUMIFS(Stangenbelegung!$F$5:$F$10004,Stangenbelegung!$A$5:$A$10004,$A706))</f>
        <v/>
      </c>
      <c r="I706" s="23" t="n"/>
      <c r="J706" s="35">
        <f>IF($A706="","",$E706+H706+$I706)</f>
        <v/>
      </c>
      <c r="K706" s="35">
        <f>IF($A706="","",$D706-J706)</f>
        <v/>
      </c>
      <c r="L706" s="32">
        <f>IF($A706="","",H706/$D706)</f>
        <v/>
      </c>
      <c r="M706" s="28">
        <f>IF($A706="","",IF(OR(J706+$F706&gt;$D706+0.001,_xlfn.MAXIFS(Stangenbelegung!$H$5:$H$10004,Stangenbelegung!$A$5:$A$10004,$A706)&gt;$D706-$F706+0.001),"ÜBERBELEGT","OK"))</f>
        <v/>
      </c>
      <c r="N706" s="24" t="n"/>
      <c r="O706" s="24" t="n"/>
      <c r="P706" s="9" t="n"/>
      <c r="Q706" s="18">
        <f>IF($A706="","",IFERROR($D706/1000*INDEX(Profile!$K$5:$K$304,MATCH($B706,lst_Profil,0))*INDEX(Werkstoffe!$E$5:$E$304,MATCH($C706,lst_Werkstoff,0))/1000,""))</f>
        <v/>
      </c>
      <c r="R706" s="18">
        <f>IF($A706="","",IF(N(_xlfn.MAXIFS(Auftrag!$AP$13:$AP$512,Auftrag!$D$13:$D$512,$B706,Auftrag!$E$13:$E$512,$C706,Auftrag!$Q$13:$Q$512,$D706))&gt;0,_xlfn.MAXIFS(Auftrag!$AP$13:$AP$512,Auftrag!$D$13:$D$512,$B706,Auftrag!$E$13:$E$512,$C706,Auftrag!$Q$13:$Q$512,$D706)*$D706/1000,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9" t="n"/>
      <c r="E707" s="24" t="n"/>
      <c r="F707" s="24" t="n"/>
      <c r="G707" s="12">
        <f>IF($A707="","",COUNTIFS(Stangenbelegung!$A$5:$A$10004,$A707))</f>
        <v/>
      </c>
      <c r="H707" s="35">
        <f>IF($A707="","",SUMIFS(Stangenbelegung!$F$5:$F$10004,Stangenbelegung!$A$5:$A$10004,$A707))</f>
        <v/>
      </c>
      <c r="I707" s="23" t="n"/>
      <c r="J707" s="35">
        <f>IF($A707="","",$E707+H707+$I707)</f>
        <v/>
      </c>
      <c r="K707" s="35">
        <f>IF($A707="","",$D707-J707)</f>
        <v/>
      </c>
      <c r="L707" s="32">
        <f>IF($A707="","",H707/$D707)</f>
        <v/>
      </c>
      <c r="M707" s="28">
        <f>IF($A707="","",IF(OR(J707+$F707&gt;$D707+0.001,_xlfn.MAXIFS(Stangenbelegung!$H$5:$H$10004,Stangenbelegung!$A$5:$A$10004,$A707)&gt;$D707-$F707+0.001),"ÜBERBELEGT","OK"))</f>
        <v/>
      </c>
      <c r="N707" s="24" t="n"/>
      <c r="O707" s="24" t="n"/>
      <c r="P707" s="9" t="n"/>
      <c r="Q707" s="18">
        <f>IF($A707="","",IFERROR($D707/1000*INDEX(Profile!$K$5:$K$304,MATCH($B707,lst_Profil,0))*INDEX(Werkstoffe!$E$5:$E$304,MATCH($C707,lst_Werkstoff,0))/1000,""))</f>
        <v/>
      </c>
      <c r="R707" s="18">
        <f>IF($A707="","",IF(N(_xlfn.MAXIFS(Auftrag!$AP$13:$AP$512,Auftrag!$D$13:$D$512,$B707,Auftrag!$E$13:$E$512,$C707,Auftrag!$Q$13:$Q$512,$D707))&gt;0,_xlfn.MAXIFS(Auftrag!$AP$13:$AP$512,Auftrag!$D$13:$D$512,$B707,Auftrag!$E$13:$E$512,$C707,Auftrag!$Q$13:$Q$512,$D707)*$D707/1000,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9" t="n"/>
      <c r="E708" s="24" t="n"/>
      <c r="F708" s="24" t="n"/>
      <c r="G708" s="12">
        <f>IF($A708="","",COUNTIFS(Stangenbelegung!$A$5:$A$10004,$A708))</f>
        <v/>
      </c>
      <c r="H708" s="35">
        <f>IF($A708="","",SUMIFS(Stangenbelegung!$F$5:$F$10004,Stangenbelegung!$A$5:$A$10004,$A708))</f>
        <v/>
      </c>
      <c r="I708" s="23" t="n"/>
      <c r="J708" s="35">
        <f>IF($A708="","",$E708+H708+$I708)</f>
        <v/>
      </c>
      <c r="K708" s="35">
        <f>IF($A708="","",$D708-J708)</f>
        <v/>
      </c>
      <c r="L708" s="32">
        <f>IF($A708="","",H708/$D708)</f>
        <v/>
      </c>
      <c r="M708" s="28">
        <f>IF($A708="","",IF(OR(J708+$F708&gt;$D708+0.001,_xlfn.MAXIFS(Stangenbelegung!$H$5:$H$10004,Stangenbelegung!$A$5:$A$10004,$A708)&gt;$D708-$F708+0.001),"ÜBERBELEGT","OK"))</f>
        <v/>
      </c>
      <c r="N708" s="24" t="n"/>
      <c r="O708" s="24" t="n"/>
      <c r="P708" s="9" t="n"/>
      <c r="Q708" s="18">
        <f>IF($A708="","",IFERROR($D708/1000*INDEX(Profile!$K$5:$K$304,MATCH($B708,lst_Profil,0))*INDEX(Werkstoffe!$E$5:$E$304,MATCH($C708,lst_Werkstoff,0))/1000,""))</f>
        <v/>
      </c>
      <c r="R708" s="18">
        <f>IF($A708="","",IF(N(_xlfn.MAXIFS(Auftrag!$AP$13:$AP$512,Auftrag!$D$13:$D$512,$B708,Auftrag!$E$13:$E$512,$C708,Auftrag!$Q$13:$Q$512,$D708))&gt;0,_xlfn.MAXIFS(Auftrag!$AP$13:$AP$512,Auftrag!$D$13:$D$512,$B708,Auftrag!$E$13:$E$512,$C708,Auftrag!$Q$13:$Q$512,$D708)*$D708/1000,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9" t="n"/>
      <c r="E709" s="24" t="n"/>
      <c r="F709" s="24" t="n"/>
      <c r="G709" s="12">
        <f>IF($A709="","",COUNTIFS(Stangenbelegung!$A$5:$A$10004,$A709))</f>
        <v/>
      </c>
      <c r="H709" s="35">
        <f>IF($A709="","",SUMIFS(Stangenbelegung!$F$5:$F$10004,Stangenbelegung!$A$5:$A$10004,$A709))</f>
        <v/>
      </c>
      <c r="I709" s="23" t="n"/>
      <c r="J709" s="35">
        <f>IF($A709="","",$E709+H709+$I709)</f>
        <v/>
      </c>
      <c r="K709" s="35">
        <f>IF($A709="","",$D709-J709)</f>
        <v/>
      </c>
      <c r="L709" s="32">
        <f>IF($A709="","",H709/$D709)</f>
        <v/>
      </c>
      <c r="M709" s="28">
        <f>IF($A709="","",IF(OR(J709+$F709&gt;$D709+0.001,_xlfn.MAXIFS(Stangenbelegung!$H$5:$H$10004,Stangenbelegung!$A$5:$A$10004,$A709)&gt;$D709-$F709+0.001),"ÜBERBELEGT","OK"))</f>
        <v/>
      </c>
      <c r="N709" s="24" t="n"/>
      <c r="O709" s="24" t="n"/>
      <c r="P709" s="9" t="n"/>
      <c r="Q709" s="18">
        <f>IF($A709="","",IFERROR($D709/1000*INDEX(Profile!$K$5:$K$304,MATCH($B709,lst_Profil,0))*INDEX(Werkstoffe!$E$5:$E$304,MATCH($C709,lst_Werkstoff,0))/1000,""))</f>
        <v/>
      </c>
      <c r="R709" s="18">
        <f>IF($A709="","",IF(N(_xlfn.MAXIFS(Auftrag!$AP$13:$AP$512,Auftrag!$D$13:$D$512,$B709,Auftrag!$E$13:$E$512,$C709,Auftrag!$Q$13:$Q$512,$D709))&gt;0,_xlfn.MAXIFS(Auftrag!$AP$13:$AP$512,Auftrag!$D$13:$D$512,$B709,Auftrag!$E$13:$E$512,$C709,Auftrag!$Q$13:$Q$512,$D709)*$D709/1000,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9" t="n"/>
      <c r="E710" s="24" t="n"/>
      <c r="F710" s="24" t="n"/>
      <c r="G710" s="12">
        <f>IF($A710="","",COUNTIFS(Stangenbelegung!$A$5:$A$10004,$A710))</f>
        <v/>
      </c>
      <c r="H710" s="35">
        <f>IF($A710="","",SUMIFS(Stangenbelegung!$F$5:$F$10004,Stangenbelegung!$A$5:$A$10004,$A710))</f>
        <v/>
      </c>
      <c r="I710" s="23" t="n"/>
      <c r="J710" s="35">
        <f>IF($A710="","",$E710+H710+$I710)</f>
        <v/>
      </c>
      <c r="K710" s="35">
        <f>IF($A710="","",$D710-J710)</f>
        <v/>
      </c>
      <c r="L710" s="32">
        <f>IF($A710="","",H710/$D710)</f>
        <v/>
      </c>
      <c r="M710" s="28">
        <f>IF($A710="","",IF(OR(J710+$F710&gt;$D710+0.001,_xlfn.MAXIFS(Stangenbelegung!$H$5:$H$10004,Stangenbelegung!$A$5:$A$10004,$A710)&gt;$D710-$F710+0.001),"ÜBERBELEGT","OK"))</f>
        <v/>
      </c>
      <c r="N710" s="24" t="n"/>
      <c r="O710" s="24" t="n"/>
      <c r="P710" s="9" t="n"/>
      <c r="Q710" s="18">
        <f>IF($A710="","",IFERROR($D710/1000*INDEX(Profile!$K$5:$K$304,MATCH($B710,lst_Profil,0))*INDEX(Werkstoffe!$E$5:$E$304,MATCH($C710,lst_Werkstoff,0))/1000,""))</f>
        <v/>
      </c>
      <c r="R710" s="18">
        <f>IF($A710="","",IF(N(_xlfn.MAXIFS(Auftrag!$AP$13:$AP$512,Auftrag!$D$13:$D$512,$B710,Auftrag!$E$13:$E$512,$C710,Auftrag!$Q$13:$Q$512,$D710))&gt;0,_xlfn.MAXIFS(Auftrag!$AP$13:$AP$512,Auftrag!$D$13:$D$512,$B710,Auftrag!$E$13:$E$512,$C710,Auftrag!$Q$13:$Q$512,$D710)*$D710/1000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9" t="n"/>
      <c r="E711" s="24" t="n"/>
      <c r="F711" s="24" t="n"/>
      <c r="G711" s="12">
        <f>IF($A711="","",COUNTIFS(Stangenbelegung!$A$5:$A$10004,$A711))</f>
        <v/>
      </c>
      <c r="H711" s="35">
        <f>IF($A711="","",SUMIFS(Stangenbelegung!$F$5:$F$10004,Stangenbelegung!$A$5:$A$10004,$A711))</f>
        <v/>
      </c>
      <c r="I711" s="23" t="n"/>
      <c r="J711" s="35">
        <f>IF($A711="","",$E711+H711+$I711)</f>
        <v/>
      </c>
      <c r="K711" s="35">
        <f>IF($A711="","",$D711-J711)</f>
        <v/>
      </c>
      <c r="L711" s="32">
        <f>IF($A711="","",H711/$D711)</f>
        <v/>
      </c>
      <c r="M711" s="28">
        <f>IF($A711="","",IF(OR(J711+$F711&gt;$D711+0.001,_xlfn.MAXIFS(Stangenbelegung!$H$5:$H$10004,Stangenbelegung!$A$5:$A$10004,$A711)&gt;$D711-$F711+0.001),"ÜBERBELEGT","OK"))</f>
        <v/>
      </c>
      <c r="N711" s="24" t="n"/>
      <c r="O711" s="24" t="n"/>
      <c r="P711" s="9" t="n"/>
      <c r="Q711" s="18">
        <f>IF($A711="","",IFERROR($D711/1000*INDEX(Profile!$K$5:$K$304,MATCH($B711,lst_Profil,0))*INDEX(Werkstoffe!$E$5:$E$304,MATCH($C711,lst_Werkstoff,0))/1000,""))</f>
        <v/>
      </c>
      <c r="R711" s="18">
        <f>IF($A711="","",IF(N(_xlfn.MAXIFS(Auftrag!$AP$13:$AP$512,Auftrag!$D$13:$D$512,$B711,Auftrag!$E$13:$E$512,$C711,Auftrag!$Q$13:$Q$512,$D711))&gt;0,_xlfn.MAXIFS(Auftrag!$AP$13:$AP$512,Auftrag!$D$13:$D$512,$B711,Auftrag!$E$13:$E$512,$C711,Auftrag!$Q$13:$Q$512,$D711)*$D711/1000,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9" t="n"/>
      <c r="E712" s="24" t="n"/>
      <c r="F712" s="24" t="n"/>
      <c r="G712" s="12">
        <f>IF($A712="","",COUNTIFS(Stangenbelegung!$A$5:$A$10004,$A712))</f>
        <v/>
      </c>
      <c r="H712" s="35">
        <f>IF($A712="","",SUMIFS(Stangenbelegung!$F$5:$F$10004,Stangenbelegung!$A$5:$A$10004,$A712))</f>
        <v/>
      </c>
      <c r="I712" s="23" t="n"/>
      <c r="J712" s="35">
        <f>IF($A712="","",$E712+H712+$I712)</f>
        <v/>
      </c>
      <c r="K712" s="35">
        <f>IF($A712="","",$D712-J712)</f>
        <v/>
      </c>
      <c r="L712" s="32">
        <f>IF($A712="","",H712/$D712)</f>
        <v/>
      </c>
      <c r="M712" s="28">
        <f>IF($A712="","",IF(OR(J712+$F712&gt;$D712+0.001,_xlfn.MAXIFS(Stangenbelegung!$H$5:$H$10004,Stangenbelegung!$A$5:$A$10004,$A712)&gt;$D712-$F712+0.001),"ÜBERBELEGT","OK"))</f>
        <v/>
      </c>
      <c r="N712" s="24" t="n"/>
      <c r="O712" s="24" t="n"/>
      <c r="P712" s="9" t="n"/>
      <c r="Q712" s="18">
        <f>IF($A712="","",IFERROR($D712/1000*INDEX(Profile!$K$5:$K$304,MATCH($B712,lst_Profil,0))*INDEX(Werkstoffe!$E$5:$E$304,MATCH($C712,lst_Werkstoff,0))/1000,""))</f>
        <v/>
      </c>
      <c r="R712" s="18">
        <f>IF($A712="","",IF(N(_xlfn.MAXIFS(Auftrag!$AP$13:$AP$512,Auftrag!$D$13:$D$512,$B712,Auftrag!$E$13:$E$512,$C712,Auftrag!$Q$13:$Q$512,$D712))&gt;0,_xlfn.MAXIFS(Auftrag!$AP$13:$AP$512,Auftrag!$D$13:$D$512,$B712,Auftrag!$E$13:$E$512,$C712,Auftrag!$Q$13:$Q$512,$D712)*$D712/1000,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9" t="n"/>
      <c r="E713" s="24" t="n"/>
      <c r="F713" s="24" t="n"/>
      <c r="G713" s="12">
        <f>IF($A713="","",COUNTIFS(Stangenbelegung!$A$5:$A$10004,$A713))</f>
        <v/>
      </c>
      <c r="H713" s="35">
        <f>IF($A713="","",SUMIFS(Stangenbelegung!$F$5:$F$10004,Stangenbelegung!$A$5:$A$10004,$A713))</f>
        <v/>
      </c>
      <c r="I713" s="23" t="n"/>
      <c r="J713" s="35">
        <f>IF($A713="","",$E713+H713+$I713)</f>
        <v/>
      </c>
      <c r="K713" s="35">
        <f>IF($A713="","",$D713-J713)</f>
        <v/>
      </c>
      <c r="L713" s="32">
        <f>IF($A713="","",H713/$D713)</f>
        <v/>
      </c>
      <c r="M713" s="28">
        <f>IF($A713="","",IF(OR(J713+$F713&gt;$D713+0.001,_xlfn.MAXIFS(Stangenbelegung!$H$5:$H$10004,Stangenbelegung!$A$5:$A$10004,$A713)&gt;$D713-$F713+0.001),"ÜBERBELEGT","OK"))</f>
        <v/>
      </c>
      <c r="N713" s="24" t="n"/>
      <c r="O713" s="24" t="n"/>
      <c r="P713" s="9" t="n"/>
      <c r="Q713" s="18">
        <f>IF($A713="","",IFERROR($D713/1000*INDEX(Profile!$K$5:$K$304,MATCH($B713,lst_Profil,0))*INDEX(Werkstoffe!$E$5:$E$304,MATCH($C713,lst_Werkstoff,0))/1000,""))</f>
        <v/>
      </c>
      <c r="R713" s="18">
        <f>IF($A713="","",IF(N(_xlfn.MAXIFS(Auftrag!$AP$13:$AP$512,Auftrag!$D$13:$D$512,$B713,Auftrag!$E$13:$E$512,$C713,Auftrag!$Q$13:$Q$512,$D713))&gt;0,_xlfn.MAXIFS(Auftrag!$AP$13:$AP$512,Auftrag!$D$13:$D$512,$B713,Auftrag!$E$13:$E$512,$C713,Auftrag!$Q$13:$Q$512,$D713)*$D713/1000,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9" t="n"/>
      <c r="E714" s="24" t="n"/>
      <c r="F714" s="24" t="n"/>
      <c r="G714" s="12">
        <f>IF($A714="","",COUNTIFS(Stangenbelegung!$A$5:$A$10004,$A714))</f>
        <v/>
      </c>
      <c r="H714" s="35">
        <f>IF($A714="","",SUMIFS(Stangenbelegung!$F$5:$F$10004,Stangenbelegung!$A$5:$A$10004,$A714))</f>
        <v/>
      </c>
      <c r="I714" s="23" t="n"/>
      <c r="J714" s="35">
        <f>IF($A714="","",$E714+H714+$I714)</f>
        <v/>
      </c>
      <c r="K714" s="35">
        <f>IF($A714="","",$D714-J714)</f>
        <v/>
      </c>
      <c r="L714" s="32">
        <f>IF($A714="","",H714/$D714)</f>
        <v/>
      </c>
      <c r="M714" s="28">
        <f>IF($A714="","",IF(OR(J714+$F714&gt;$D714+0.001,_xlfn.MAXIFS(Stangenbelegung!$H$5:$H$10004,Stangenbelegung!$A$5:$A$10004,$A714)&gt;$D714-$F714+0.001),"ÜBERBELEGT","OK"))</f>
        <v/>
      </c>
      <c r="N714" s="24" t="n"/>
      <c r="O714" s="24" t="n"/>
      <c r="P714" s="9" t="n"/>
      <c r="Q714" s="18">
        <f>IF($A714="","",IFERROR($D714/1000*INDEX(Profile!$K$5:$K$304,MATCH($B714,lst_Profil,0))*INDEX(Werkstoffe!$E$5:$E$304,MATCH($C714,lst_Werkstoff,0))/1000,""))</f>
        <v/>
      </c>
      <c r="R714" s="18">
        <f>IF($A714="","",IF(N(_xlfn.MAXIFS(Auftrag!$AP$13:$AP$512,Auftrag!$D$13:$D$512,$B714,Auftrag!$E$13:$E$512,$C714,Auftrag!$Q$13:$Q$512,$D714))&gt;0,_xlfn.MAXIFS(Auftrag!$AP$13:$AP$512,Auftrag!$D$13:$D$512,$B714,Auftrag!$E$13:$E$512,$C714,Auftrag!$Q$13:$Q$512,$D714)*$D714/1000,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9" t="n"/>
      <c r="E715" s="24" t="n"/>
      <c r="F715" s="24" t="n"/>
      <c r="G715" s="12">
        <f>IF($A715="","",COUNTIFS(Stangenbelegung!$A$5:$A$10004,$A715))</f>
        <v/>
      </c>
      <c r="H715" s="35">
        <f>IF($A715="","",SUMIFS(Stangenbelegung!$F$5:$F$10004,Stangenbelegung!$A$5:$A$10004,$A715))</f>
        <v/>
      </c>
      <c r="I715" s="23" t="n"/>
      <c r="J715" s="35">
        <f>IF($A715="","",$E715+H715+$I715)</f>
        <v/>
      </c>
      <c r="K715" s="35">
        <f>IF($A715="","",$D715-J715)</f>
        <v/>
      </c>
      <c r="L715" s="32">
        <f>IF($A715="","",H715/$D715)</f>
        <v/>
      </c>
      <c r="M715" s="28">
        <f>IF($A715="","",IF(OR(J715+$F715&gt;$D715+0.001,_xlfn.MAXIFS(Stangenbelegung!$H$5:$H$10004,Stangenbelegung!$A$5:$A$10004,$A715)&gt;$D715-$F715+0.001),"ÜBERBELEGT","OK"))</f>
        <v/>
      </c>
      <c r="N715" s="24" t="n"/>
      <c r="O715" s="24" t="n"/>
      <c r="P715" s="9" t="n"/>
      <c r="Q715" s="18">
        <f>IF($A715="","",IFERROR($D715/1000*INDEX(Profile!$K$5:$K$304,MATCH($B715,lst_Profil,0))*INDEX(Werkstoffe!$E$5:$E$304,MATCH($C715,lst_Werkstoff,0))/1000,""))</f>
        <v/>
      </c>
      <c r="R715" s="18">
        <f>IF($A715="","",IF(N(_xlfn.MAXIFS(Auftrag!$AP$13:$AP$512,Auftrag!$D$13:$D$512,$B715,Auftrag!$E$13:$E$512,$C715,Auftrag!$Q$13:$Q$512,$D715))&gt;0,_xlfn.MAXIFS(Auftrag!$AP$13:$AP$512,Auftrag!$D$13:$D$512,$B715,Auftrag!$E$13:$E$512,$C715,Auftrag!$Q$13:$Q$512,$D715)*$D715/1000,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9" t="n"/>
      <c r="E716" s="24" t="n"/>
      <c r="F716" s="24" t="n"/>
      <c r="G716" s="12">
        <f>IF($A716="","",COUNTIFS(Stangenbelegung!$A$5:$A$10004,$A716))</f>
        <v/>
      </c>
      <c r="H716" s="35">
        <f>IF($A716="","",SUMIFS(Stangenbelegung!$F$5:$F$10004,Stangenbelegung!$A$5:$A$10004,$A716))</f>
        <v/>
      </c>
      <c r="I716" s="23" t="n"/>
      <c r="J716" s="35">
        <f>IF($A716="","",$E716+H716+$I716)</f>
        <v/>
      </c>
      <c r="K716" s="35">
        <f>IF($A716="","",$D716-J716)</f>
        <v/>
      </c>
      <c r="L716" s="32">
        <f>IF($A716="","",H716/$D716)</f>
        <v/>
      </c>
      <c r="M716" s="28">
        <f>IF($A716="","",IF(OR(J716+$F716&gt;$D716+0.001,_xlfn.MAXIFS(Stangenbelegung!$H$5:$H$10004,Stangenbelegung!$A$5:$A$10004,$A716)&gt;$D716-$F716+0.001),"ÜBERBELEGT","OK"))</f>
        <v/>
      </c>
      <c r="N716" s="24" t="n"/>
      <c r="O716" s="24" t="n"/>
      <c r="P716" s="9" t="n"/>
      <c r="Q716" s="18">
        <f>IF($A716="","",IFERROR($D716/1000*INDEX(Profile!$K$5:$K$304,MATCH($B716,lst_Profil,0))*INDEX(Werkstoffe!$E$5:$E$304,MATCH($C716,lst_Werkstoff,0))/1000,""))</f>
        <v/>
      </c>
      <c r="R716" s="18">
        <f>IF($A716="","",IF(N(_xlfn.MAXIFS(Auftrag!$AP$13:$AP$512,Auftrag!$D$13:$D$512,$B716,Auftrag!$E$13:$E$512,$C716,Auftrag!$Q$13:$Q$512,$D716))&gt;0,_xlfn.MAXIFS(Auftrag!$AP$13:$AP$512,Auftrag!$D$13:$D$512,$B716,Auftrag!$E$13:$E$512,$C716,Auftrag!$Q$13:$Q$512,$D716)*$D716/1000,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9" t="n"/>
      <c r="E717" s="24" t="n"/>
      <c r="F717" s="24" t="n"/>
      <c r="G717" s="12">
        <f>IF($A717="","",COUNTIFS(Stangenbelegung!$A$5:$A$10004,$A717))</f>
        <v/>
      </c>
      <c r="H717" s="35">
        <f>IF($A717="","",SUMIFS(Stangenbelegung!$F$5:$F$10004,Stangenbelegung!$A$5:$A$10004,$A717))</f>
        <v/>
      </c>
      <c r="I717" s="23" t="n"/>
      <c r="J717" s="35">
        <f>IF($A717="","",$E717+H717+$I717)</f>
        <v/>
      </c>
      <c r="K717" s="35">
        <f>IF($A717="","",$D717-J717)</f>
        <v/>
      </c>
      <c r="L717" s="32">
        <f>IF($A717="","",H717/$D717)</f>
        <v/>
      </c>
      <c r="M717" s="28">
        <f>IF($A717="","",IF(OR(J717+$F717&gt;$D717+0.001,_xlfn.MAXIFS(Stangenbelegung!$H$5:$H$10004,Stangenbelegung!$A$5:$A$10004,$A717)&gt;$D717-$F717+0.001),"ÜBERBELEGT","OK"))</f>
        <v/>
      </c>
      <c r="N717" s="24" t="n"/>
      <c r="O717" s="24" t="n"/>
      <c r="P717" s="9" t="n"/>
      <c r="Q717" s="18">
        <f>IF($A717="","",IFERROR($D717/1000*INDEX(Profile!$K$5:$K$304,MATCH($B717,lst_Profil,0))*INDEX(Werkstoffe!$E$5:$E$304,MATCH($C717,lst_Werkstoff,0))/1000,""))</f>
        <v/>
      </c>
      <c r="R717" s="18">
        <f>IF($A717="","",IF(N(_xlfn.MAXIFS(Auftrag!$AP$13:$AP$512,Auftrag!$D$13:$D$512,$B717,Auftrag!$E$13:$E$512,$C717,Auftrag!$Q$13:$Q$512,$D717))&gt;0,_xlfn.MAXIFS(Auftrag!$AP$13:$AP$512,Auftrag!$D$13:$D$512,$B717,Auftrag!$E$13:$E$512,$C717,Auftrag!$Q$13:$Q$512,$D717)*$D717/1000,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9" t="n"/>
      <c r="E718" s="24" t="n"/>
      <c r="F718" s="24" t="n"/>
      <c r="G718" s="12">
        <f>IF($A718="","",COUNTIFS(Stangenbelegung!$A$5:$A$10004,$A718))</f>
        <v/>
      </c>
      <c r="H718" s="35">
        <f>IF($A718="","",SUMIFS(Stangenbelegung!$F$5:$F$10004,Stangenbelegung!$A$5:$A$10004,$A718))</f>
        <v/>
      </c>
      <c r="I718" s="23" t="n"/>
      <c r="J718" s="35">
        <f>IF($A718="","",$E718+H718+$I718)</f>
        <v/>
      </c>
      <c r="K718" s="35">
        <f>IF($A718="","",$D718-J718)</f>
        <v/>
      </c>
      <c r="L718" s="32">
        <f>IF($A718="","",H718/$D718)</f>
        <v/>
      </c>
      <c r="M718" s="28">
        <f>IF($A718="","",IF(OR(J718+$F718&gt;$D718+0.001,_xlfn.MAXIFS(Stangenbelegung!$H$5:$H$10004,Stangenbelegung!$A$5:$A$10004,$A718)&gt;$D718-$F718+0.001),"ÜBERBELEGT","OK"))</f>
        <v/>
      </c>
      <c r="N718" s="24" t="n"/>
      <c r="O718" s="24" t="n"/>
      <c r="P718" s="9" t="n"/>
      <c r="Q718" s="18">
        <f>IF($A718="","",IFERROR($D718/1000*INDEX(Profile!$K$5:$K$304,MATCH($B718,lst_Profil,0))*INDEX(Werkstoffe!$E$5:$E$304,MATCH($C718,lst_Werkstoff,0))/1000,""))</f>
        <v/>
      </c>
      <c r="R718" s="18">
        <f>IF($A718="","",IF(N(_xlfn.MAXIFS(Auftrag!$AP$13:$AP$512,Auftrag!$D$13:$D$512,$B718,Auftrag!$E$13:$E$512,$C718,Auftrag!$Q$13:$Q$512,$D718))&gt;0,_xlfn.MAXIFS(Auftrag!$AP$13:$AP$512,Auftrag!$D$13:$D$512,$B718,Auftrag!$E$13:$E$512,$C718,Auftrag!$Q$13:$Q$512,$D718)*$D718/1000,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9" t="n"/>
      <c r="E719" s="24" t="n"/>
      <c r="F719" s="24" t="n"/>
      <c r="G719" s="12">
        <f>IF($A719="","",COUNTIFS(Stangenbelegung!$A$5:$A$10004,$A719))</f>
        <v/>
      </c>
      <c r="H719" s="35">
        <f>IF($A719="","",SUMIFS(Stangenbelegung!$F$5:$F$10004,Stangenbelegung!$A$5:$A$10004,$A719))</f>
        <v/>
      </c>
      <c r="I719" s="23" t="n"/>
      <c r="J719" s="35">
        <f>IF($A719="","",$E719+H719+$I719)</f>
        <v/>
      </c>
      <c r="K719" s="35">
        <f>IF($A719="","",$D719-J719)</f>
        <v/>
      </c>
      <c r="L719" s="32">
        <f>IF($A719="","",H719/$D719)</f>
        <v/>
      </c>
      <c r="M719" s="28">
        <f>IF($A719="","",IF(OR(J719+$F719&gt;$D719+0.001,_xlfn.MAXIFS(Stangenbelegung!$H$5:$H$10004,Stangenbelegung!$A$5:$A$10004,$A719)&gt;$D719-$F719+0.001),"ÜBERBELEGT","OK"))</f>
        <v/>
      </c>
      <c r="N719" s="24" t="n"/>
      <c r="O719" s="24" t="n"/>
      <c r="P719" s="9" t="n"/>
      <c r="Q719" s="18">
        <f>IF($A719="","",IFERROR($D719/1000*INDEX(Profile!$K$5:$K$304,MATCH($B719,lst_Profil,0))*INDEX(Werkstoffe!$E$5:$E$304,MATCH($C719,lst_Werkstoff,0))/1000,""))</f>
        <v/>
      </c>
      <c r="R719" s="18">
        <f>IF($A719="","",IF(N(_xlfn.MAXIFS(Auftrag!$AP$13:$AP$512,Auftrag!$D$13:$D$512,$B719,Auftrag!$E$13:$E$512,$C719,Auftrag!$Q$13:$Q$512,$D719))&gt;0,_xlfn.MAXIFS(Auftrag!$AP$13:$AP$512,Auftrag!$D$13:$D$512,$B719,Auftrag!$E$13:$E$512,$C719,Auftrag!$Q$13:$Q$512,$D719)*$D719/1000,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9" t="n"/>
      <c r="E720" s="24" t="n"/>
      <c r="F720" s="24" t="n"/>
      <c r="G720" s="12">
        <f>IF($A720="","",COUNTIFS(Stangenbelegung!$A$5:$A$10004,$A720))</f>
        <v/>
      </c>
      <c r="H720" s="35">
        <f>IF($A720="","",SUMIFS(Stangenbelegung!$F$5:$F$10004,Stangenbelegung!$A$5:$A$10004,$A720))</f>
        <v/>
      </c>
      <c r="I720" s="23" t="n"/>
      <c r="J720" s="35">
        <f>IF($A720="","",$E720+H720+$I720)</f>
        <v/>
      </c>
      <c r="K720" s="35">
        <f>IF($A720="","",$D720-J720)</f>
        <v/>
      </c>
      <c r="L720" s="32">
        <f>IF($A720="","",H720/$D720)</f>
        <v/>
      </c>
      <c r="M720" s="28">
        <f>IF($A720="","",IF(OR(J720+$F720&gt;$D720+0.001,_xlfn.MAXIFS(Stangenbelegung!$H$5:$H$10004,Stangenbelegung!$A$5:$A$10004,$A720)&gt;$D720-$F720+0.001),"ÜBERBELEGT","OK"))</f>
        <v/>
      </c>
      <c r="N720" s="24" t="n"/>
      <c r="O720" s="24" t="n"/>
      <c r="P720" s="9" t="n"/>
      <c r="Q720" s="18">
        <f>IF($A720="","",IFERROR($D720/1000*INDEX(Profile!$K$5:$K$304,MATCH($B720,lst_Profil,0))*INDEX(Werkstoffe!$E$5:$E$304,MATCH($C720,lst_Werkstoff,0))/1000,""))</f>
        <v/>
      </c>
      <c r="R720" s="18">
        <f>IF($A720="","",IF(N(_xlfn.MAXIFS(Auftrag!$AP$13:$AP$512,Auftrag!$D$13:$D$512,$B720,Auftrag!$E$13:$E$512,$C720,Auftrag!$Q$13:$Q$512,$D720))&gt;0,_xlfn.MAXIFS(Auftrag!$AP$13:$AP$512,Auftrag!$D$13:$D$512,$B720,Auftrag!$E$13:$E$512,$C720,Auftrag!$Q$13:$Q$512,$D720)*$D720/1000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9" t="n"/>
      <c r="E721" s="24" t="n"/>
      <c r="F721" s="24" t="n"/>
      <c r="G721" s="12">
        <f>IF($A721="","",COUNTIFS(Stangenbelegung!$A$5:$A$10004,$A721))</f>
        <v/>
      </c>
      <c r="H721" s="35">
        <f>IF($A721="","",SUMIFS(Stangenbelegung!$F$5:$F$10004,Stangenbelegung!$A$5:$A$10004,$A721))</f>
        <v/>
      </c>
      <c r="I721" s="23" t="n"/>
      <c r="J721" s="35">
        <f>IF($A721="","",$E721+H721+$I721)</f>
        <v/>
      </c>
      <c r="K721" s="35">
        <f>IF($A721="","",$D721-J721)</f>
        <v/>
      </c>
      <c r="L721" s="32">
        <f>IF($A721="","",H721/$D721)</f>
        <v/>
      </c>
      <c r="M721" s="28">
        <f>IF($A721="","",IF(OR(J721+$F721&gt;$D721+0.001,_xlfn.MAXIFS(Stangenbelegung!$H$5:$H$10004,Stangenbelegung!$A$5:$A$10004,$A721)&gt;$D721-$F721+0.001),"ÜBERBELEGT","OK"))</f>
        <v/>
      </c>
      <c r="N721" s="24" t="n"/>
      <c r="O721" s="24" t="n"/>
      <c r="P721" s="9" t="n"/>
      <c r="Q721" s="18">
        <f>IF($A721="","",IFERROR($D721/1000*INDEX(Profile!$K$5:$K$304,MATCH($B721,lst_Profil,0))*INDEX(Werkstoffe!$E$5:$E$304,MATCH($C721,lst_Werkstoff,0))/1000,""))</f>
        <v/>
      </c>
      <c r="R721" s="18">
        <f>IF($A721="","",IF(N(_xlfn.MAXIFS(Auftrag!$AP$13:$AP$512,Auftrag!$D$13:$D$512,$B721,Auftrag!$E$13:$E$512,$C721,Auftrag!$Q$13:$Q$512,$D721))&gt;0,_xlfn.MAXIFS(Auftrag!$AP$13:$AP$512,Auftrag!$D$13:$D$512,$B721,Auftrag!$E$13:$E$512,$C721,Auftrag!$Q$13:$Q$512,$D721)*$D721/1000,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9" t="n"/>
      <c r="E722" s="24" t="n"/>
      <c r="F722" s="24" t="n"/>
      <c r="G722" s="12">
        <f>IF($A722="","",COUNTIFS(Stangenbelegung!$A$5:$A$10004,$A722))</f>
        <v/>
      </c>
      <c r="H722" s="35">
        <f>IF($A722="","",SUMIFS(Stangenbelegung!$F$5:$F$10004,Stangenbelegung!$A$5:$A$10004,$A722))</f>
        <v/>
      </c>
      <c r="I722" s="23" t="n"/>
      <c r="J722" s="35">
        <f>IF($A722="","",$E722+H722+$I722)</f>
        <v/>
      </c>
      <c r="K722" s="35">
        <f>IF($A722="","",$D722-J722)</f>
        <v/>
      </c>
      <c r="L722" s="32">
        <f>IF($A722="","",H722/$D722)</f>
        <v/>
      </c>
      <c r="M722" s="28">
        <f>IF($A722="","",IF(OR(J722+$F722&gt;$D722+0.001,_xlfn.MAXIFS(Stangenbelegung!$H$5:$H$10004,Stangenbelegung!$A$5:$A$10004,$A722)&gt;$D722-$F722+0.001),"ÜBERBELEGT","OK"))</f>
        <v/>
      </c>
      <c r="N722" s="24" t="n"/>
      <c r="O722" s="24" t="n"/>
      <c r="P722" s="9" t="n"/>
      <c r="Q722" s="18">
        <f>IF($A722="","",IFERROR($D722/1000*INDEX(Profile!$K$5:$K$304,MATCH($B722,lst_Profil,0))*INDEX(Werkstoffe!$E$5:$E$304,MATCH($C722,lst_Werkstoff,0))/1000,""))</f>
        <v/>
      </c>
      <c r="R722" s="18">
        <f>IF($A722="","",IF(N(_xlfn.MAXIFS(Auftrag!$AP$13:$AP$512,Auftrag!$D$13:$D$512,$B722,Auftrag!$E$13:$E$512,$C722,Auftrag!$Q$13:$Q$512,$D722))&gt;0,_xlfn.MAXIFS(Auftrag!$AP$13:$AP$512,Auftrag!$D$13:$D$512,$B722,Auftrag!$E$13:$E$512,$C722,Auftrag!$Q$13:$Q$512,$D722)*$D722/1000,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9" t="n"/>
      <c r="E723" s="24" t="n"/>
      <c r="F723" s="24" t="n"/>
      <c r="G723" s="12">
        <f>IF($A723="","",COUNTIFS(Stangenbelegung!$A$5:$A$10004,$A723))</f>
        <v/>
      </c>
      <c r="H723" s="35">
        <f>IF($A723="","",SUMIFS(Stangenbelegung!$F$5:$F$10004,Stangenbelegung!$A$5:$A$10004,$A723))</f>
        <v/>
      </c>
      <c r="I723" s="23" t="n"/>
      <c r="J723" s="35">
        <f>IF($A723="","",$E723+H723+$I723)</f>
        <v/>
      </c>
      <c r="K723" s="35">
        <f>IF($A723="","",$D723-J723)</f>
        <v/>
      </c>
      <c r="L723" s="32">
        <f>IF($A723="","",H723/$D723)</f>
        <v/>
      </c>
      <c r="M723" s="28">
        <f>IF($A723="","",IF(OR(J723+$F723&gt;$D723+0.001,_xlfn.MAXIFS(Stangenbelegung!$H$5:$H$10004,Stangenbelegung!$A$5:$A$10004,$A723)&gt;$D723-$F723+0.001),"ÜBERBELEGT","OK"))</f>
        <v/>
      </c>
      <c r="N723" s="24" t="n"/>
      <c r="O723" s="24" t="n"/>
      <c r="P723" s="9" t="n"/>
      <c r="Q723" s="18">
        <f>IF($A723="","",IFERROR($D723/1000*INDEX(Profile!$K$5:$K$304,MATCH($B723,lst_Profil,0))*INDEX(Werkstoffe!$E$5:$E$304,MATCH($C723,lst_Werkstoff,0))/1000,""))</f>
        <v/>
      </c>
      <c r="R723" s="18">
        <f>IF($A723="","",IF(N(_xlfn.MAXIFS(Auftrag!$AP$13:$AP$512,Auftrag!$D$13:$D$512,$B723,Auftrag!$E$13:$E$512,$C723,Auftrag!$Q$13:$Q$512,$D723))&gt;0,_xlfn.MAXIFS(Auftrag!$AP$13:$AP$512,Auftrag!$D$13:$D$512,$B723,Auftrag!$E$13:$E$512,$C723,Auftrag!$Q$13:$Q$512,$D723)*$D723/1000,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9" t="n"/>
      <c r="E724" s="24" t="n"/>
      <c r="F724" s="24" t="n"/>
      <c r="G724" s="12">
        <f>IF($A724="","",COUNTIFS(Stangenbelegung!$A$5:$A$10004,$A724))</f>
        <v/>
      </c>
      <c r="H724" s="35">
        <f>IF($A724="","",SUMIFS(Stangenbelegung!$F$5:$F$10004,Stangenbelegung!$A$5:$A$10004,$A724))</f>
        <v/>
      </c>
      <c r="I724" s="23" t="n"/>
      <c r="J724" s="35">
        <f>IF($A724="","",$E724+H724+$I724)</f>
        <v/>
      </c>
      <c r="K724" s="35">
        <f>IF($A724="","",$D724-J724)</f>
        <v/>
      </c>
      <c r="L724" s="32">
        <f>IF($A724="","",H724/$D724)</f>
        <v/>
      </c>
      <c r="M724" s="28">
        <f>IF($A724="","",IF(OR(J724+$F724&gt;$D724+0.001,_xlfn.MAXIFS(Stangenbelegung!$H$5:$H$10004,Stangenbelegung!$A$5:$A$10004,$A724)&gt;$D724-$F724+0.001),"ÜBERBELEGT","OK"))</f>
        <v/>
      </c>
      <c r="N724" s="24" t="n"/>
      <c r="O724" s="24" t="n"/>
      <c r="P724" s="9" t="n"/>
      <c r="Q724" s="18">
        <f>IF($A724="","",IFERROR($D724/1000*INDEX(Profile!$K$5:$K$304,MATCH($B724,lst_Profil,0))*INDEX(Werkstoffe!$E$5:$E$304,MATCH($C724,lst_Werkstoff,0))/1000,""))</f>
        <v/>
      </c>
      <c r="R724" s="18">
        <f>IF($A724="","",IF(N(_xlfn.MAXIFS(Auftrag!$AP$13:$AP$512,Auftrag!$D$13:$D$512,$B724,Auftrag!$E$13:$E$512,$C724,Auftrag!$Q$13:$Q$512,$D724))&gt;0,_xlfn.MAXIFS(Auftrag!$AP$13:$AP$512,Auftrag!$D$13:$D$512,$B724,Auftrag!$E$13:$E$512,$C724,Auftrag!$Q$13:$Q$512,$D724)*$D724/1000,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9" t="n"/>
      <c r="E725" s="24" t="n"/>
      <c r="F725" s="24" t="n"/>
      <c r="G725" s="12">
        <f>IF($A725="","",COUNTIFS(Stangenbelegung!$A$5:$A$10004,$A725))</f>
        <v/>
      </c>
      <c r="H725" s="35">
        <f>IF($A725="","",SUMIFS(Stangenbelegung!$F$5:$F$10004,Stangenbelegung!$A$5:$A$10004,$A725))</f>
        <v/>
      </c>
      <c r="I725" s="23" t="n"/>
      <c r="J725" s="35">
        <f>IF($A725="","",$E725+H725+$I725)</f>
        <v/>
      </c>
      <c r="K725" s="35">
        <f>IF($A725="","",$D725-J725)</f>
        <v/>
      </c>
      <c r="L725" s="32">
        <f>IF($A725="","",H725/$D725)</f>
        <v/>
      </c>
      <c r="M725" s="28">
        <f>IF($A725="","",IF(OR(J725+$F725&gt;$D725+0.001,_xlfn.MAXIFS(Stangenbelegung!$H$5:$H$10004,Stangenbelegung!$A$5:$A$10004,$A725)&gt;$D725-$F725+0.001),"ÜBERBELEGT","OK"))</f>
        <v/>
      </c>
      <c r="N725" s="24" t="n"/>
      <c r="O725" s="24" t="n"/>
      <c r="P725" s="9" t="n"/>
      <c r="Q725" s="18">
        <f>IF($A725="","",IFERROR($D725/1000*INDEX(Profile!$K$5:$K$304,MATCH($B725,lst_Profil,0))*INDEX(Werkstoffe!$E$5:$E$304,MATCH($C725,lst_Werkstoff,0))/1000,""))</f>
        <v/>
      </c>
      <c r="R725" s="18">
        <f>IF($A725="","",IF(N(_xlfn.MAXIFS(Auftrag!$AP$13:$AP$512,Auftrag!$D$13:$D$512,$B725,Auftrag!$E$13:$E$512,$C725,Auftrag!$Q$13:$Q$512,$D725))&gt;0,_xlfn.MAXIFS(Auftrag!$AP$13:$AP$512,Auftrag!$D$13:$D$512,$B725,Auftrag!$E$13:$E$512,$C725,Auftrag!$Q$13:$Q$512,$D725)*$D725/1000,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9" t="n"/>
      <c r="E726" s="24" t="n"/>
      <c r="F726" s="24" t="n"/>
      <c r="G726" s="12">
        <f>IF($A726="","",COUNTIFS(Stangenbelegung!$A$5:$A$10004,$A726))</f>
        <v/>
      </c>
      <c r="H726" s="35">
        <f>IF($A726="","",SUMIFS(Stangenbelegung!$F$5:$F$10004,Stangenbelegung!$A$5:$A$10004,$A726))</f>
        <v/>
      </c>
      <c r="I726" s="23" t="n"/>
      <c r="J726" s="35">
        <f>IF($A726="","",$E726+H726+$I726)</f>
        <v/>
      </c>
      <c r="K726" s="35">
        <f>IF($A726="","",$D726-J726)</f>
        <v/>
      </c>
      <c r="L726" s="32">
        <f>IF($A726="","",H726/$D726)</f>
        <v/>
      </c>
      <c r="M726" s="28">
        <f>IF($A726="","",IF(OR(J726+$F726&gt;$D726+0.001,_xlfn.MAXIFS(Stangenbelegung!$H$5:$H$10004,Stangenbelegung!$A$5:$A$10004,$A726)&gt;$D726-$F726+0.001),"ÜBERBELEGT","OK"))</f>
        <v/>
      </c>
      <c r="N726" s="24" t="n"/>
      <c r="O726" s="24" t="n"/>
      <c r="P726" s="9" t="n"/>
      <c r="Q726" s="18">
        <f>IF($A726="","",IFERROR($D726/1000*INDEX(Profile!$K$5:$K$304,MATCH($B726,lst_Profil,0))*INDEX(Werkstoffe!$E$5:$E$304,MATCH($C726,lst_Werkstoff,0))/1000,""))</f>
        <v/>
      </c>
      <c r="R726" s="18">
        <f>IF($A726="","",IF(N(_xlfn.MAXIFS(Auftrag!$AP$13:$AP$512,Auftrag!$D$13:$D$512,$B726,Auftrag!$E$13:$E$512,$C726,Auftrag!$Q$13:$Q$512,$D726))&gt;0,_xlfn.MAXIFS(Auftrag!$AP$13:$AP$512,Auftrag!$D$13:$D$512,$B726,Auftrag!$E$13:$E$512,$C726,Auftrag!$Q$13:$Q$512,$D726)*$D726/1000,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9" t="n"/>
      <c r="E727" s="24" t="n"/>
      <c r="F727" s="24" t="n"/>
      <c r="G727" s="12">
        <f>IF($A727="","",COUNTIFS(Stangenbelegung!$A$5:$A$10004,$A727))</f>
        <v/>
      </c>
      <c r="H727" s="35">
        <f>IF($A727="","",SUMIFS(Stangenbelegung!$F$5:$F$10004,Stangenbelegung!$A$5:$A$10004,$A727))</f>
        <v/>
      </c>
      <c r="I727" s="23" t="n"/>
      <c r="J727" s="35">
        <f>IF($A727="","",$E727+H727+$I727)</f>
        <v/>
      </c>
      <c r="K727" s="35">
        <f>IF($A727="","",$D727-J727)</f>
        <v/>
      </c>
      <c r="L727" s="32">
        <f>IF($A727="","",H727/$D727)</f>
        <v/>
      </c>
      <c r="M727" s="28">
        <f>IF($A727="","",IF(OR(J727+$F727&gt;$D727+0.001,_xlfn.MAXIFS(Stangenbelegung!$H$5:$H$10004,Stangenbelegung!$A$5:$A$10004,$A727)&gt;$D727-$F727+0.001),"ÜBERBELEGT","OK"))</f>
        <v/>
      </c>
      <c r="N727" s="24" t="n"/>
      <c r="O727" s="24" t="n"/>
      <c r="P727" s="9" t="n"/>
      <c r="Q727" s="18">
        <f>IF($A727="","",IFERROR($D727/1000*INDEX(Profile!$K$5:$K$304,MATCH($B727,lst_Profil,0))*INDEX(Werkstoffe!$E$5:$E$304,MATCH($C727,lst_Werkstoff,0))/1000,""))</f>
        <v/>
      </c>
      <c r="R727" s="18">
        <f>IF($A727="","",IF(N(_xlfn.MAXIFS(Auftrag!$AP$13:$AP$512,Auftrag!$D$13:$D$512,$B727,Auftrag!$E$13:$E$512,$C727,Auftrag!$Q$13:$Q$512,$D727))&gt;0,_xlfn.MAXIFS(Auftrag!$AP$13:$AP$512,Auftrag!$D$13:$D$512,$B727,Auftrag!$E$13:$E$512,$C727,Auftrag!$Q$13:$Q$512,$D727)*$D727/1000,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9" t="n"/>
      <c r="E728" s="24" t="n"/>
      <c r="F728" s="24" t="n"/>
      <c r="G728" s="12">
        <f>IF($A728="","",COUNTIFS(Stangenbelegung!$A$5:$A$10004,$A728))</f>
        <v/>
      </c>
      <c r="H728" s="35">
        <f>IF($A728="","",SUMIFS(Stangenbelegung!$F$5:$F$10004,Stangenbelegung!$A$5:$A$10004,$A728))</f>
        <v/>
      </c>
      <c r="I728" s="23" t="n"/>
      <c r="J728" s="35">
        <f>IF($A728="","",$E728+H728+$I728)</f>
        <v/>
      </c>
      <c r="K728" s="35">
        <f>IF($A728="","",$D728-J728)</f>
        <v/>
      </c>
      <c r="L728" s="32">
        <f>IF($A728="","",H728/$D728)</f>
        <v/>
      </c>
      <c r="M728" s="28">
        <f>IF($A728="","",IF(OR(J728+$F728&gt;$D728+0.001,_xlfn.MAXIFS(Stangenbelegung!$H$5:$H$10004,Stangenbelegung!$A$5:$A$10004,$A728)&gt;$D728-$F728+0.001),"ÜBERBELEGT","OK"))</f>
        <v/>
      </c>
      <c r="N728" s="24" t="n"/>
      <c r="O728" s="24" t="n"/>
      <c r="P728" s="9" t="n"/>
      <c r="Q728" s="18">
        <f>IF($A728="","",IFERROR($D728/1000*INDEX(Profile!$K$5:$K$304,MATCH($B728,lst_Profil,0))*INDEX(Werkstoffe!$E$5:$E$304,MATCH($C728,lst_Werkstoff,0))/1000,""))</f>
        <v/>
      </c>
      <c r="R728" s="18">
        <f>IF($A728="","",IF(N(_xlfn.MAXIFS(Auftrag!$AP$13:$AP$512,Auftrag!$D$13:$D$512,$B728,Auftrag!$E$13:$E$512,$C728,Auftrag!$Q$13:$Q$512,$D728))&gt;0,_xlfn.MAXIFS(Auftrag!$AP$13:$AP$512,Auftrag!$D$13:$D$512,$B728,Auftrag!$E$13:$E$512,$C728,Auftrag!$Q$13:$Q$512,$D728)*$D728/1000,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9" t="n"/>
      <c r="E729" s="24" t="n"/>
      <c r="F729" s="24" t="n"/>
      <c r="G729" s="12">
        <f>IF($A729="","",COUNTIFS(Stangenbelegung!$A$5:$A$10004,$A729))</f>
        <v/>
      </c>
      <c r="H729" s="35">
        <f>IF($A729="","",SUMIFS(Stangenbelegung!$F$5:$F$10004,Stangenbelegung!$A$5:$A$10004,$A729))</f>
        <v/>
      </c>
      <c r="I729" s="23" t="n"/>
      <c r="J729" s="35">
        <f>IF($A729="","",$E729+H729+$I729)</f>
        <v/>
      </c>
      <c r="K729" s="35">
        <f>IF($A729="","",$D729-J729)</f>
        <v/>
      </c>
      <c r="L729" s="32">
        <f>IF($A729="","",H729/$D729)</f>
        <v/>
      </c>
      <c r="M729" s="28">
        <f>IF($A729="","",IF(OR(J729+$F729&gt;$D729+0.001,_xlfn.MAXIFS(Stangenbelegung!$H$5:$H$10004,Stangenbelegung!$A$5:$A$10004,$A729)&gt;$D729-$F729+0.001),"ÜBERBELEGT","OK"))</f>
        <v/>
      </c>
      <c r="N729" s="24" t="n"/>
      <c r="O729" s="24" t="n"/>
      <c r="P729" s="9" t="n"/>
      <c r="Q729" s="18">
        <f>IF($A729="","",IFERROR($D729/1000*INDEX(Profile!$K$5:$K$304,MATCH($B729,lst_Profil,0))*INDEX(Werkstoffe!$E$5:$E$304,MATCH($C729,lst_Werkstoff,0))/1000,""))</f>
        <v/>
      </c>
      <c r="R729" s="18">
        <f>IF($A729="","",IF(N(_xlfn.MAXIFS(Auftrag!$AP$13:$AP$512,Auftrag!$D$13:$D$512,$B729,Auftrag!$E$13:$E$512,$C729,Auftrag!$Q$13:$Q$512,$D729))&gt;0,_xlfn.MAXIFS(Auftrag!$AP$13:$AP$512,Auftrag!$D$13:$D$512,$B729,Auftrag!$E$13:$E$512,$C729,Auftrag!$Q$13:$Q$512,$D729)*$D729/1000,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9" t="n"/>
      <c r="E730" s="24" t="n"/>
      <c r="F730" s="24" t="n"/>
      <c r="G730" s="12">
        <f>IF($A730="","",COUNTIFS(Stangenbelegung!$A$5:$A$10004,$A730))</f>
        <v/>
      </c>
      <c r="H730" s="35">
        <f>IF($A730="","",SUMIFS(Stangenbelegung!$F$5:$F$10004,Stangenbelegung!$A$5:$A$10004,$A730))</f>
        <v/>
      </c>
      <c r="I730" s="23" t="n"/>
      <c r="J730" s="35">
        <f>IF($A730="","",$E730+H730+$I730)</f>
        <v/>
      </c>
      <c r="K730" s="35">
        <f>IF($A730="","",$D730-J730)</f>
        <v/>
      </c>
      <c r="L730" s="32">
        <f>IF($A730="","",H730/$D730)</f>
        <v/>
      </c>
      <c r="M730" s="28">
        <f>IF($A730="","",IF(OR(J730+$F730&gt;$D730+0.001,_xlfn.MAXIFS(Stangenbelegung!$H$5:$H$10004,Stangenbelegung!$A$5:$A$10004,$A730)&gt;$D730-$F730+0.001),"ÜBERBELEGT","OK"))</f>
        <v/>
      </c>
      <c r="N730" s="24" t="n"/>
      <c r="O730" s="24" t="n"/>
      <c r="P730" s="9" t="n"/>
      <c r="Q730" s="18">
        <f>IF($A730="","",IFERROR($D730/1000*INDEX(Profile!$K$5:$K$304,MATCH($B730,lst_Profil,0))*INDEX(Werkstoffe!$E$5:$E$304,MATCH($C730,lst_Werkstoff,0))/1000,""))</f>
        <v/>
      </c>
      <c r="R730" s="18">
        <f>IF($A730="","",IF(N(_xlfn.MAXIFS(Auftrag!$AP$13:$AP$512,Auftrag!$D$13:$D$512,$B730,Auftrag!$E$13:$E$512,$C730,Auftrag!$Q$13:$Q$512,$D730))&gt;0,_xlfn.MAXIFS(Auftrag!$AP$13:$AP$512,Auftrag!$D$13:$D$512,$B730,Auftrag!$E$13:$E$512,$C730,Auftrag!$Q$13:$Q$512,$D730)*$D730/1000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9" t="n"/>
      <c r="E731" s="24" t="n"/>
      <c r="F731" s="24" t="n"/>
      <c r="G731" s="12">
        <f>IF($A731="","",COUNTIFS(Stangenbelegung!$A$5:$A$10004,$A731))</f>
        <v/>
      </c>
      <c r="H731" s="35">
        <f>IF($A731="","",SUMIFS(Stangenbelegung!$F$5:$F$10004,Stangenbelegung!$A$5:$A$10004,$A731))</f>
        <v/>
      </c>
      <c r="I731" s="23" t="n"/>
      <c r="J731" s="35">
        <f>IF($A731="","",$E731+H731+$I731)</f>
        <v/>
      </c>
      <c r="K731" s="35">
        <f>IF($A731="","",$D731-J731)</f>
        <v/>
      </c>
      <c r="L731" s="32">
        <f>IF($A731="","",H731/$D731)</f>
        <v/>
      </c>
      <c r="M731" s="28">
        <f>IF($A731="","",IF(OR(J731+$F731&gt;$D731+0.001,_xlfn.MAXIFS(Stangenbelegung!$H$5:$H$10004,Stangenbelegung!$A$5:$A$10004,$A731)&gt;$D731-$F731+0.001),"ÜBERBELEGT","OK"))</f>
        <v/>
      </c>
      <c r="N731" s="24" t="n"/>
      <c r="O731" s="24" t="n"/>
      <c r="P731" s="9" t="n"/>
      <c r="Q731" s="18">
        <f>IF($A731="","",IFERROR($D731/1000*INDEX(Profile!$K$5:$K$304,MATCH($B731,lst_Profil,0))*INDEX(Werkstoffe!$E$5:$E$304,MATCH($C731,lst_Werkstoff,0))/1000,""))</f>
        <v/>
      </c>
      <c r="R731" s="18">
        <f>IF($A731="","",IF(N(_xlfn.MAXIFS(Auftrag!$AP$13:$AP$512,Auftrag!$D$13:$D$512,$B731,Auftrag!$E$13:$E$512,$C731,Auftrag!$Q$13:$Q$512,$D731))&gt;0,_xlfn.MAXIFS(Auftrag!$AP$13:$AP$512,Auftrag!$D$13:$D$512,$B731,Auftrag!$E$13:$E$512,$C731,Auftrag!$Q$13:$Q$512,$D731)*$D731/1000,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9" t="n"/>
      <c r="E732" s="24" t="n"/>
      <c r="F732" s="24" t="n"/>
      <c r="G732" s="12">
        <f>IF($A732="","",COUNTIFS(Stangenbelegung!$A$5:$A$10004,$A732))</f>
        <v/>
      </c>
      <c r="H732" s="35">
        <f>IF($A732="","",SUMIFS(Stangenbelegung!$F$5:$F$10004,Stangenbelegung!$A$5:$A$10004,$A732))</f>
        <v/>
      </c>
      <c r="I732" s="23" t="n"/>
      <c r="J732" s="35">
        <f>IF($A732="","",$E732+H732+$I732)</f>
        <v/>
      </c>
      <c r="K732" s="35">
        <f>IF($A732="","",$D732-J732)</f>
        <v/>
      </c>
      <c r="L732" s="32">
        <f>IF($A732="","",H732/$D732)</f>
        <v/>
      </c>
      <c r="M732" s="28">
        <f>IF($A732="","",IF(OR(J732+$F732&gt;$D732+0.001,_xlfn.MAXIFS(Stangenbelegung!$H$5:$H$10004,Stangenbelegung!$A$5:$A$10004,$A732)&gt;$D732-$F732+0.001),"ÜBERBELEGT","OK"))</f>
        <v/>
      </c>
      <c r="N732" s="24" t="n"/>
      <c r="O732" s="24" t="n"/>
      <c r="P732" s="9" t="n"/>
      <c r="Q732" s="18">
        <f>IF($A732="","",IFERROR($D732/1000*INDEX(Profile!$K$5:$K$304,MATCH($B732,lst_Profil,0))*INDEX(Werkstoffe!$E$5:$E$304,MATCH($C732,lst_Werkstoff,0))/1000,""))</f>
        <v/>
      </c>
      <c r="R732" s="18">
        <f>IF($A732="","",IF(N(_xlfn.MAXIFS(Auftrag!$AP$13:$AP$512,Auftrag!$D$13:$D$512,$B732,Auftrag!$E$13:$E$512,$C732,Auftrag!$Q$13:$Q$512,$D732))&gt;0,_xlfn.MAXIFS(Auftrag!$AP$13:$AP$512,Auftrag!$D$13:$D$512,$B732,Auftrag!$E$13:$E$512,$C732,Auftrag!$Q$13:$Q$512,$D732)*$D732/1000,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9" t="n"/>
      <c r="E733" s="24" t="n"/>
      <c r="F733" s="24" t="n"/>
      <c r="G733" s="12">
        <f>IF($A733="","",COUNTIFS(Stangenbelegung!$A$5:$A$10004,$A733))</f>
        <v/>
      </c>
      <c r="H733" s="35">
        <f>IF($A733="","",SUMIFS(Stangenbelegung!$F$5:$F$10004,Stangenbelegung!$A$5:$A$10004,$A733))</f>
        <v/>
      </c>
      <c r="I733" s="23" t="n"/>
      <c r="J733" s="35">
        <f>IF($A733="","",$E733+H733+$I733)</f>
        <v/>
      </c>
      <c r="K733" s="35">
        <f>IF($A733="","",$D733-J733)</f>
        <v/>
      </c>
      <c r="L733" s="32">
        <f>IF($A733="","",H733/$D733)</f>
        <v/>
      </c>
      <c r="M733" s="28">
        <f>IF($A733="","",IF(OR(J733+$F733&gt;$D733+0.001,_xlfn.MAXIFS(Stangenbelegung!$H$5:$H$10004,Stangenbelegung!$A$5:$A$10004,$A733)&gt;$D733-$F733+0.001),"ÜBERBELEGT","OK"))</f>
        <v/>
      </c>
      <c r="N733" s="24" t="n"/>
      <c r="O733" s="24" t="n"/>
      <c r="P733" s="9" t="n"/>
      <c r="Q733" s="18">
        <f>IF($A733="","",IFERROR($D733/1000*INDEX(Profile!$K$5:$K$304,MATCH($B733,lst_Profil,0))*INDEX(Werkstoffe!$E$5:$E$304,MATCH($C733,lst_Werkstoff,0))/1000,""))</f>
        <v/>
      </c>
      <c r="R733" s="18">
        <f>IF($A733="","",IF(N(_xlfn.MAXIFS(Auftrag!$AP$13:$AP$512,Auftrag!$D$13:$D$512,$B733,Auftrag!$E$13:$E$512,$C733,Auftrag!$Q$13:$Q$512,$D733))&gt;0,_xlfn.MAXIFS(Auftrag!$AP$13:$AP$512,Auftrag!$D$13:$D$512,$B733,Auftrag!$E$13:$E$512,$C733,Auftrag!$Q$13:$Q$512,$D733)*$D733/1000,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9" t="n"/>
      <c r="E734" s="24" t="n"/>
      <c r="F734" s="24" t="n"/>
      <c r="G734" s="12">
        <f>IF($A734="","",COUNTIFS(Stangenbelegung!$A$5:$A$10004,$A734))</f>
        <v/>
      </c>
      <c r="H734" s="35">
        <f>IF($A734="","",SUMIFS(Stangenbelegung!$F$5:$F$10004,Stangenbelegung!$A$5:$A$10004,$A734))</f>
        <v/>
      </c>
      <c r="I734" s="23" t="n"/>
      <c r="J734" s="35">
        <f>IF($A734="","",$E734+H734+$I734)</f>
        <v/>
      </c>
      <c r="K734" s="35">
        <f>IF($A734="","",$D734-J734)</f>
        <v/>
      </c>
      <c r="L734" s="32">
        <f>IF($A734="","",H734/$D734)</f>
        <v/>
      </c>
      <c r="M734" s="28">
        <f>IF($A734="","",IF(OR(J734+$F734&gt;$D734+0.001,_xlfn.MAXIFS(Stangenbelegung!$H$5:$H$10004,Stangenbelegung!$A$5:$A$10004,$A734)&gt;$D734-$F734+0.001),"ÜBERBELEGT","OK"))</f>
        <v/>
      </c>
      <c r="N734" s="24" t="n"/>
      <c r="O734" s="24" t="n"/>
      <c r="P734" s="9" t="n"/>
      <c r="Q734" s="18">
        <f>IF($A734="","",IFERROR($D734/1000*INDEX(Profile!$K$5:$K$304,MATCH($B734,lst_Profil,0))*INDEX(Werkstoffe!$E$5:$E$304,MATCH($C734,lst_Werkstoff,0))/1000,""))</f>
        <v/>
      </c>
      <c r="R734" s="18">
        <f>IF($A734="","",IF(N(_xlfn.MAXIFS(Auftrag!$AP$13:$AP$512,Auftrag!$D$13:$D$512,$B734,Auftrag!$E$13:$E$512,$C734,Auftrag!$Q$13:$Q$512,$D734))&gt;0,_xlfn.MAXIFS(Auftrag!$AP$13:$AP$512,Auftrag!$D$13:$D$512,$B734,Auftrag!$E$13:$E$512,$C734,Auftrag!$Q$13:$Q$512,$D734)*$D734/1000,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9" t="n"/>
      <c r="E735" s="24" t="n"/>
      <c r="F735" s="24" t="n"/>
      <c r="G735" s="12">
        <f>IF($A735="","",COUNTIFS(Stangenbelegung!$A$5:$A$10004,$A735))</f>
        <v/>
      </c>
      <c r="H735" s="35">
        <f>IF($A735="","",SUMIFS(Stangenbelegung!$F$5:$F$10004,Stangenbelegung!$A$5:$A$10004,$A735))</f>
        <v/>
      </c>
      <c r="I735" s="23" t="n"/>
      <c r="J735" s="35">
        <f>IF($A735="","",$E735+H735+$I735)</f>
        <v/>
      </c>
      <c r="K735" s="35">
        <f>IF($A735="","",$D735-J735)</f>
        <v/>
      </c>
      <c r="L735" s="32">
        <f>IF($A735="","",H735/$D735)</f>
        <v/>
      </c>
      <c r="M735" s="28">
        <f>IF($A735="","",IF(OR(J735+$F735&gt;$D735+0.001,_xlfn.MAXIFS(Stangenbelegung!$H$5:$H$10004,Stangenbelegung!$A$5:$A$10004,$A735)&gt;$D735-$F735+0.001),"ÜBERBELEGT","OK"))</f>
        <v/>
      </c>
      <c r="N735" s="24" t="n"/>
      <c r="O735" s="24" t="n"/>
      <c r="P735" s="9" t="n"/>
      <c r="Q735" s="18">
        <f>IF($A735="","",IFERROR($D735/1000*INDEX(Profile!$K$5:$K$304,MATCH($B735,lst_Profil,0))*INDEX(Werkstoffe!$E$5:$E$304,MATCH($C735,lst_Werkstoff,0))/1000,""))</f>
        <v/>
      </c>
      <c r="R735" s="18">
        <f>IF($A735="","",IF(N(_xlfn.MAXIFS(Auftrag!$AP$13:$AP$512,Auftrag!$D$13:$D$512,$B735,Auftrag!$E$13:$E$512,$C735,Auftrag!$Q$13:$Q$512,$D735))&gt;0,_xlfn.MAXIFS(Auftrag!$AP$13:$AP$512,Auftrag!$D$13:$D$512,$B735,Auftrag!$E$13:$E$512,$C735,Auftrag!$Q$13:$Q$512,$D735)*$D735/1000,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9" t="n"/>
      <c r="E736" s="24" t="n"/>
      <c r="F736" s="24" t="n"/>
      <c r="G736" s="12">
        <f>IF($A736="","",COUNTIFS(Stangenbelegung!$A$5:$A$10004,$A736))</f>
        <v/>
      </c>
      <c r="H736" s="35">
        <f>IF($A736="","",SUMIFS(Stangenbelegung!$F$5:$F$10004,Stangenbelegung!$A$5:$A$10004,$A736))</f>
        <v/>
      </c>
      <c r="I736" s="23" t="n"/>
      <c r="J736" s="35">
        <f>IF($A736="","",$E736+H736+$I736)</f>
        <v/>
      </c>
      <c r="K736" s="35">
        <f>IF($A736="","",$D736-J736)</f>
        <v/>
      </c>
      <c r="L736" s="32">
        <f>IF($A736="","",H736/$D736)</f>
        <v/>
      </c>
      <c r="M736" s="28">
        <f>IF($A736="","",IF(OR(J736+$F736&gt;$D736+0.001,_xlfn.MAXIFS(Stangenbelegung!$H$5:$H$10004,Stangenbelegung!$A$5:$A$10004,$A736)&gt;$D736-$F736+0.001),"ÜBERBELEGT","OK"))</f>
        <v/>
      </c>
      <c r="N736" s="24" t="n"/>
      <c r="O736" s="24" t="n"/>
      <c r="P736" s="9" t="n"/>
      <c r="Q736" s="18">
        <f>IF($A736="","",IFERROR($D736/1000*INDEX(Profile!$K$5:$K$304,MATCH($B736,lst_Profil,0))*INDEX(Werkstoffe!$E$5:$E$304,MATCH($C736,lst_Werkstoff,0))/1000,""))</f>
        <v/>
      </c>
      <c r="R736" s="18">
        <f>IF($A736="","",IF(N(_xlfn.MAXIFS(Auftrag!$AP$13:$AP$512,Auftrag!$D$13:$D$512,$B736,Auftrag!$E$13:$E$512,$C736,Auftrag!$Q$13:$Q$512,$D736))&gt;0,_xlfn.MAXIFS(Auftrag!$AP$13:$AP$512,Auftrag!$D$13:$D$512,$B736,Auftrag!$E$13:$E$512,$C736,Auftrag!$Q$13:$Q$512,$D736)*$D736/1000,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9" t="n"/>
      <c r="E737" s="24" t="n"/>
      <c r="F737" s="24" t="n"/>
      <c r="G737" s="12">
        <f>IF($A737="","",COUNTIFS(Stangenbelegung!$A$5:$A$10004,$A737))</f>
        <v/>
      </c>
      <c r="H737" s="35">
        <f>IF($A737="","",SUMIFS(Stangenbelegung!$F$5:$F$10004,Stangenbelegung!$A$5:$A$10004,$A737))</f>
        <v/>
      </c>
      <c r="I737" s="23" t="n"/>
      <c r="J737" s="35">
        <f>IF($A737="","",$E737+H737+$I737)</f>
        <v/>
      </c>
      <c r="K737" s="35">
        <f>IF($A737="","",$D737-J737)</f>
        <v/>
      </c>
      <c r="L737" s="32">
        <f>IF($A737="","",H737/$D737)</f>
        <v/>
      </c>
      <c r="M737" s="28">
        <f>IF($A737="","",IF(OR(J737+$F737&gt;$D737+0.001,_xlfn.MAXIFS(Stangenbelegung!$H$5:$H$10004,Stangenbelegung!$A$5:$A$10004,$A737)&gt;$D737-$F737+0.001),"ÜBERBELEGT","OK"))</f>
        <v/>
      </c>
      <c r="N737" s="24" t="n"/>
      <c r="O737" s="24" t="n"/>
      <c r="P737" s="9" t="n"/>
      <c r="Q737" s="18">
        <f>IF($A737="","",IFERROR($D737/1000*INDEX(Profile!$K$5:$K$304,MATCH($B737,lst_Profil,0))*INDEX(Werkstoffe!$E$5:$E$304,MATCH($C737,lst_Werkstoff,0))/1000,""))</f>
        <v/>
      </c>
      <c r="R737" s="18">
        <f>IF($A737="","",IF(N(_xlfn.MAXIFS(Auftrag!$AP$13:$AP$512,Auftrag!$D$13:$D$512,$B737,Auftrag!$E$13:$E$512,$C737,Auftrag!$Q$13:$Q$512,$D737))&gt;0,_xlfn.MAXIFS(Auftrag!$AP$13:$AP$512,Auftrag!$D$13:$D$512,$B737,Auftrag!$E$13:$E$512,$C737,Auftrag!$Q$13:$Q$512,$D737)*$D737/1000,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9" t="n"/>
      <c r="E738" s="24" t="n"/>
      <c r="F738" s="24" t="n"/>
      <c r="G738" s="12">
        <f>IF($A738="","",COUNTIFS(Stangenbelegung!$A$5:$A$10004,$A738))</f>
        <v/>
      </c>
      <c r="H738" s="35">
        <f>IF($A738="","",SUMIFS(Stangenbelegung!$F$5:$F$10004,Stangenbelegung!$A$5:$A$10004,$A738))</f>
        <v/>
      </c>
      <c r="I738" s="23" t="n"/>
      <c r="J738" s="35">
        <f>IF($A738="","",$E738+H738+$I738)</f>
        <v/>
      </c>
      <c r="K738" s="35">
        <f>IF($A738="","",$D738-J738)</f>
        <v/>
      </c>
      <c r="L738" s="32">
        <f>IF($A738="","",H738/$D738)</f>
        <v/>
      </c>
      <c r="M738" s="28">
        <f>IF($A738="","",IF(OR(J738+$F738&gt;$D738+0.001,_xlfn.MAXIFS(Stangenbelegung!$H$5:$H$10004,Stangenbelegung!$A$5:$A$10004,$A738)&gt;$D738-$F738+0.001),"ÜBERBELEGT","OK"))</f>
        <v/>
      </c>
      <c r="N738" s="24" t="n"/>
      <c r="O738" s="24" t="n"/>
      <c r="P738" s="9" t="n"/>
      <c r="Q738" s="18">
        <f>IF($A738="","",IFERROR($D738/1000*INDEX(Profile!$K$5:$K$304,MATCH($B738,lst_Profil,0))*INDEX(Werkstoffe!$E$5:$E$304,MATCH($C738,lst_Werkstoff,0))/1000,""))</f>
        <v/>
      </c>
      <c r="R738" s="18">
        <f>IF($A738="","",IF(N(_xlfn.MAXIFS(Auftrag!$AP$13:$AP$512,Auftrag!$D$13:$D$512,$B738,Auftrag!$E$13:$E$512,$C738,Auftrag!$Q$13:$Q$512,$D738))&gt;0,_xlfn.MAXIFS(Auftrag!$AP$13:$AP$512,Auftrag!$D$13:$D$512,$B738,Auftrag!$E$13:$E$512,$C738,Auftrag!$Q$13:$Q$512,$D738)*$D738/1000,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9" t="n"/>
      <c r="E739" s="24" t="n"/>
      <c r="F739" s="24" t="n"/>
      <c r="G739" s="12">
        <f>IF($A739="","",COUNTIFS(Stangenbelegung!$A$5:$A$10004,$A739))</f>
        <v/>
      </c>
      <c r="H739" s="35">
        <f>IF($A739="","",SUMIFS(Stangenbelegung!$F$5:$F$10004,Stangenbelegung!$A$5:$A$10004,$A739))</f>
        <v/>
      </c>
      <c r="I739" s="23" t="n"/>
      <c r="J739" s="35">
        <f>IF($A739="","",$E739+H739+$I739)</f>
        <v/>
      </c>
      <c r="K739" s="35">
        <f>IF($A739="","",$D739-J739)</f>
        <v/>
      </c>
      <c r="L739" s="32">
        <f>IF($A739="","",H739/$D739)</f>
        <v/>
      </c>
      <c r="M739" s="28">
        <f>IF($A739="","",IF(OR(J739+$F739&gt;$D739+0.001,_xlfn.MAXIFS(Stangenbelegung!$H$5:$H$10004,Stangenbelegung!$A$5:$A$10004,$A739)&gt;$D739-$F739+0.001),"ÜBERBELEGT","OK"))</f>
        <v/>
      </c>
      <c r="N739" s="24" t="n"/>
      <c r="O739" s="24" t="n"/>
      <c r="P739" s="9" t="n"/>
      <c r="Q739" s="18">
        <f>IF($A739="","",IFERROR($D739/1000*INDEX(Profile!$K$5:$K$304,MATCH($B739,lst_Profil,0))*INDEX(Werkstoffe!$E$5:$E$304,MATCH($C739,lst_Werkstoff,0))/1000,""))</f>
        <v/>
      </c>
      <c r="R739" s="18">
        <f>IF($A739="","",IF(N(_xlfn.MAXIFS(Auftrag!$AP$13:$AP$512,Auftrag!$D$13:$D$512,$B739,Auftrag!$E$13:$E$512,$C739,Auftrag!$Q$13:$Q$512,$D739))&gt;0,_xlfn.MAXIFS(Auftrag!$AP$13:$AP$512,Auftrag!$D$13:$D$512,$B739,Auftrag!$E$13:$E$512,$C739,Auftrag!$Q$13:$Q$512,$D739)*$D739/1000,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9" t="n"/>
      <c r="E740" s="24" t="n"/>
      <c r="F740" s="24" t="n"/>
      <c r="G740" s="12">
        <f>IF($A740="","",COUNTIFS(Stangenbelegung!$A$5:$A$10004,$A740))</f>
        <v/>
      </c>
      <c r="H740" s="35">
        <f>IF($A740="","",SUMIFS(Stangenbelegung!$F$5:$F$10004,Stangenbelegung!$A$5:$A$10004,$A740))</f>
        <v/>
      </c>
      <c r="I740" s="23" t="n"/>
      <c r="J740" s="35">
        <f>IF($A740="","",$E740+H740+$I740)</f>
        <v/>
      </c>
      <c r="K740" s="35">
        <f>IF($A740="","",$D740-J740)</f>
        <v/>
      </c>
      <c r="L740" s="32">
        <f>IF($A740="","",H740/$D740)</f>
        <v/>
      </c>
      <c r="M740" s="28">
        <f>IF($A740="","",IF(OR(J740+$F740&gt;$D740+0.001,_xlfn.MAXIFS(Stangenbelegung!$H$5:$H$10004,Stangenbelegung!$A$5:$A$10004,$A740)&gt;$D740-$F740+0.001),"ÜBERBELEGT","OK"))</f>
        <v/>
      </c>
      <c r="N740" s="24" t="n"/>
      <c r="O740" s="24" t="n"/>
      <c r="P740" s="9" t="n"/>
      <c r="Q740" s="18">
        <f>IF($A740="","",IFERROR($D740/1000*INDEX(Profile!$K$5:$K$304,MATCH($B740,lst_Profil,0))*INDEX(Werkstoffe!$E$5:$E$304,MATCH($C740,lst_Werkstoff,0))/1000,""))</f>
        <v/>
      </c>
      <c r="R740" s="18">
        <f>IF($A740="","",IF(N(_xlfn.MAXIFS(Auftrag!$AP$13:$AP$512,Auftrag!$D$13:$D$512,$B740,Auftrag!$E$13:$E$512,$C740,Auftrag!$Q$13:$Q$512,$D740))&gt;0,_xlfn.MAXIFS(Auftrag!$AP$13:$AP$512,Auftrag!$D$13:$D$512,$B740,Auftrag!$E$13:$E$512,$C740,Auftrag!$Q$13:$Q$512,$D740)*$D740/1000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9" t="n"/>
      <c r="E741" s="24" t="n"/>
      <c r="F741" s="24" t="n"/>
      <c r="G741" s="12">
        <f>IF($A741="","",COUNTIFS(Stangenbelegung!$A$5:$A$10004,$A741))</f>
        <v/>
      </c>
      <c r="H741" s="35">
        <f>IF($A741="","",SUMIFS(Stangenbelegung!$F$5:$F$10004,Stangenbelegung!$A$5:$A$10004,$A741))</f>
        <v/>
      </c>
      <c r="I741" s="23" t="n"/>
      <c r="J741" s="35">
        <f>IF($A741="","",$E741+H741+$I741)</f>
        <v/>
      </c>
      <c r="K741" s="35">
        <f>IF($A741="","",$D741-J741)</f>
        <v/>
      </c>
      <c r="L741" s="32">
        <f>IF($A741="","",H741/$D741)</f>
        <v/>
      </c>
      <c r="M741" s="28">
        <f>IF($A741="","",IF(OR(J741+$F741&gt;$D741+0.001,_xlfn.MAXIFS(Stangenbelegung!$H$5:$H$10004,Stangenbelegung!$A$5:$A$10004,$A741)&gt;$D741-$F741+0.001),"ÜBERBELEGT","OK"))</f>
        <v/>
      </c>
      <c r="N741" s="24" t="n"/>
      <c r="O741" s="24" t="n"/>
      <c r="P741" s="9" t="n"/>
      <c r="Q741" s="18">
        <f>IF($A741="","",IFERROR($D741/1000*INDEX(Profile!$K$5:$K$304,MATCH($B741,lst_Profil,0))*INDEX(Werkstoffe!$E$5:$E$304,MATCH($C741,lst_Werkstoff,0))/1000,""))</f>
        <v/>
      </c>
      <c r="R741" s="18">
        <f>IF($A741="","",IF(N(_xlfn.MAXIFS(Auftrag!$AP$13:$AP$512,Auftrag!$D$13:$D$512,$B741,Auftrag!$E$13:$E$512,$C741,Auftrag!$Q$13:$Q$512,$D741))&gt;0,_xlfn.MAXIFS(Auftrag!$AP$13:$AP$512,Auftrag!$D$13:$D$512,$B741,Auftrag!$E$13:$E$512,$C741,Auftrag!$Q$13:$Q$512,$D741)*$D741/1000,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9" t="n"/>
      <c r="E742" s="24" t="n"/>
      <c r="F742" s="24" t="n"/>
      <c r="G742" s="12">
        <f>IF($A742="","",COUNTIFS(Stangenbelegung!$A$5:$A$10004,$A742))</f>
        <v/>
      </c>
      <c r="H742" s="35">
        <f>IF($A742="","",SUMIFS(Stangenbelegung!$F$5:$F$10004,Stangenbelegung!$A$5:$A$10004,$A742))</f>
        <v/>
      </c>
      <c r="I742" s="23" t="n"/>
      <c r="J742" s="35">
        <f>IF($A742="","",$E742+H742+$I742)</f>
        <v/>
      </c>
      <c r="K742" s="35">
        <f>IF($A742="","",$D742-J742)</f>
        <v/>
      </c>
      <c r="L742" s="32">
        <f>IF($A742="","",H742/$D742)</f>
        <v/>
      </c>
      <c r="M742" s="28">
        <f>IF($A742="","",IF(OR(J742+$F742&gt;$D742+0.001,_xlfn.MAXIFS(Stangenbelegung!$H$5:$H$10004,Stangenbelegung!$A$5:$A$10004,$A742)&gt;$D742-$F742+0.001),"ÜBERBELEGT","OK"))</f>
        <v/>
      </c>
      <c r="N742" s="24" t="n"/>
      <c r="O742" s="24" t="n"/>
      <c r="P742" s="9" t="n"/>
      <c r="Q742" s="18">
        <f>IF($A742="","",IFERROR($D742/1000*INDEX(Profile!$K$5:$K$304,MATCH($B742,lst_Profil,0))*INDEX(Werkstoffe!$E$5:$E$304,MATCH($C742,lst_Werkstoff,0))/1000,""))</f>
        <v/>
      </c>
      <c r="R742" s="18">
        <f>IF($A742="","",IF(N(_xlfn.MAXIFS(Auftrag!$AP$13:$AP$512,Auftrag!$D$13:$D$512,$B742,Auftrag!$E$13:$E$512,$C742,Auftrag!$Q$13:$Q$512,$D742))&gt;0,_xlfn.MAXIFS(Auftrag!$AP$13:$AP$512,Auftrag!$D$13:$D$512,$B742,Auftrag!$E$13:$E$512,$C742,Auftrag!$Q$13:$Q$512,$D742)*$D742/1000,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9" t="n"/>
      <c r="E743" s="24" t="n"/>
      <c r="F743" s="24" t="n"/>
      <c r="G743" s="12">
        <f>IF($A743="","",COUNTIFS(Stangenbelegung!$A$5:$A$10004,$A743))</f>
        <v/>
      </c>
      <c r="H743" s="35">
        <f>IF($A743="","",SUMIFS(Stangenbelegung!$F$5:$F$10004,Stangenbelegung!$A$5:$A$10004,$A743))</f>
        <v/>
      </c>
      <c r="I743" s="23" t="n"/>
      <c r="J743" s="35">
        <f>IF($A743="","",$E743+H743+$I743)</f>
        <v/>
      </c>
      <c r="K743" s="35">
        <f>IF($A743="","",$D743-J743)</f>
        <v/>
      </c>
      <c r="L743" s="32">
        <f>IF($A743="","",H743/$D743)</f>
        <v/>
      </c>
      <c r="M743" s="28">
        <f>IF($A743="","",IF(OR(J743+$F743&gt;$D743+0.001,_xlfn.MAXIFS(Stangenbelegung!$H$5:$H$10004,Stangenbelegung!$A$5:$A$10004,$A743)&gt;$D743-$F743+0.001),"ÜBERBELEGT","OK"))</f>
        <v/>
      </c>
      <c r="N743" s="24" t="n"/>
      <c r="O743" s="24" t="n"/>
      <c r="P743" s="9" t="n"/>
      <c r="Q743" s="18">
        <f>IF($A743="","",IFERROR($D743/1000*INDEX(Profile!$K$5:$K$304,MATCH($B743,lst_Profil,0))*INDEX(Werkstoffe!$E$5:$E$304,MATCH($C743,lst_Werkstoff,0))/1000,""))</f>
        <v/>
      </c>
      <c r="R743" s="18">
        <f>IF($A743="","",IF(N(_xlfn.MAXIFS(Auftrag!$AP$13:$AP$512,Auftrag!$D$13:$D$512,$B743,Auftrag!$E$13:$E$512,$C743,Auftrag!$Q$13:$Q$512,$D743))&gt;0,_xlfn.MAXIFS(Auftrag!$AP$13:$AP$512,Auftrag!$D$13:$D$512,$B743,Auftrag!$E$13:$E$512,$C743,Auftrag!$Q$13:$Q$512,$D743)*$D743/1000,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9" t="n"/>
      <c r="E744" s="24" t="n"/>
      <c r="F744" s="24" t="n"/>
      <c r="G744" s="12">
        <f>IF($A744="","",COUNTIFS(Stangenbelegung!$A$5:$A$10004,$A744))</f>
        <v/>
      </c>
      <c r="H744" s="35">
        <f>IF($A744="","",SUMIFS(Stangenbelegung!$F$5:$F$10004,Stangenbelegung!$A$5:$A$10004,$A744))</f>
        <v/>
      </c>
      <c r="I744" s="23" t="n"/>
      <c r="J744" s="35">
        <f>IF($A744="","",$E744+H744+$I744)</f>
        <v/>
      </c>
      <c r="K744" s="35">
        <f>IF($A744="","",$D744-J744)</f>
        <v/>
      </c>
      <c r="L744" s="32">
        <f>IF($A744="","",H744/$D744)</f>
        <v/>
      </c>
      <c r="M744" s="28">
        <f>IF($A744="","",IF(OR(J744+$F744&gt;$D744+0.001,_xlfn.MAXIFS(Stangenbelegung!$H$5:$H$10004,Stangenbelegung!$A$5:$A$10004,$A744)&gt;$D744-$F744+0.001),"ÜBERBELEGT","OK"))</f>
        <v/>
      </c>
      <c r="N744" s="24" t="n"/>
      <c r="O744" s="24" t="n"/>
      <c r="P744" s="9" t="n"/>
      <c r="Q744" s="18">
        <f>IF($A744="","",IFERROR($D744/1000*INDEX(Profile!$K$5:$K$304,MATCH($B744,lst_Profil,0))*INDEX(Werkstoffe!$E$5:$E$304,MATCH($C744,lst_Werkstoff,0))/1000,""))</f>
        <v/>
      </c>
      <c r="R744" s="18">
        <f>IF($A744="","",IF(N(_xlfn.MAXIFS(Auftrag!$AP$13:$AP$512,Auftrag!$D$13:$D$512,$B744,Auftrag!$E$13:$E$512,$C744,Auftrag!$Q$13:$Q$512,$D744))&gt;0,_xlfn.MAXIFS(Auftrag!$AP$13:$AP$512,Auftrag!$D$13:$D$512,$B744,Auftrag!$E$13:$E$512,$C744,Auftrag!$Q$13:$Q$512,$D744)*$D744/1000,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9" t="n"/>
      <c r="E745" s="24" t="n"/>
      <c r="F745" s="24" t="n"/>
      <c r="G745" s="12">
        <f>IF($A745="","",COUNTIFS(Stangenbelegung!$A$5:$A$10004,$A745))</f>
        <v/>
      </c>
      <c r="H745" s="35">
        <f>IF($A745="","",SUMIFS(Stangenbelegung!$F$5:$F$10004,Stangenbelegung!$A$5:$A$10004,$A745))</f>
        <v/>
      </c>
      <c r="I745" s="23" t="n"/>
      <c r="J745" s="35">
        <f>IF($A745="","",$E745+H745+$I745)</f>
        <v/>
      </c>
      <c r="K745" s="35">
        <f>IF($A745="","",$D745-J745)</f>
        <v/>
      </c>
      <c r="L745" s="32">
        <f>IF($A745="","",H745/$D745)</f>
        <v/>
      </c>
      <c r="M745" s="28">
        <f>IF($A745="","",IF(OR(J745+$F745&gt;$D745+0.001,_xlfn.MAXIFS(Stangenbelegung!$H$5:$H$10004,Stangenbelegung!$A$5:$A$10004,$A745)&gt;$D745-$F745+0.001),"ÜBERBELEGT","OK"))</f>
        <v/>
      </c>
      <c r="N745" s="24" t="n"/>
      <c r="O745" s="24" t="n"/>
      <c r="P745" s="9" t="n"/>
      <c r="Q745" s="18">
        <f>IF($A745="","",IFERROR($D745/1000*INDEX(Profile!$K$5:$K$304,MATCH($B745,lst_Profil,0))*INDEX(Werkstoffe!$E$5:$E$304,MATCH($C745,lst_Werkstoff,0))/1000,""))</f>
        <v/>
      </c>
      <c r="R745" s="18">
        <f>IF($A745="","",IF(N(_xlfn.MAXIFS(Auftrag!$AP$13:$AP$512,Auftrag!$D$13:$D$512,$B745,Auftrag!$E$13:$E$512,$C745,Auftrag!$Q$13:$Q$512,$D745))&gt;0,_xlfn.MAXIFS(Auftrag!$AP$13:$AP$512,Auftrag!$D$13:$D$512,$B745,Auftrag!$E$13:$E$512,$C745,Auftrag!$Q$13:$Q$512,$D745)*$D745/1000,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9" t="n"/>
      <c r="E746" s="24" t="n"/>
      <c r="F746" s="24" t="n"/>
      <c r="G746" s="12">
        <f>IF($A746="","",COUNTIFS(Stangenbelegung!$A$5:$A$10004,$A746))</f>
        <v/>
      </c>
      <c r="H746" s="35">
        <f>IF($A746="","",SUMIFS(Stangenbelegung!$F$5:$F$10004,Stangenbelegung!$A$5:$A$10004,$A746))</f>
        <v/>
      </c>
      <c r="I746" s="23" t="n"/>
      <c r="J746" s="35">
        <f>IF($A746="","",$E746+H746+$I746)</f>
        <v/>
      </c>
      <c r="K746" s="35">
        <f>IF($A746="","",$D746-J746)</f>
        <v/>
      </c>
      <c r="L746" s="32">
        <f>IF($A746="","",H746/$D746)</f>
        <v/>
      </c>
      <c r="M746" s="28">
        <f>IF($A746="","",IF(OR(J746+$F746&gt;$D746+0.001,_xlfn.MAXIFS(Stangenbelegung!$H$5:$H$10004,Stangenbelegung!$A$5:$A$10004,$A746)&gt;$D746-$F746+0.001),"ÜBERBELEGT","OK"))</f>
        <v/>
      </c>
      <c r="N746" s="24" t="n"/>
      <c r="O746" s="24" t="n"/>
      <c r="P746" s="9" t="n"/>
      <c r="Q746" s="18">
        <f>IF($A746="","",IFERROR($D746/1000*INDEX(Profile!$K$5:$K$304,MATCH($B746,lst_Profil,0))*INDEX(Werkstoffe!$E$5:$E$304,MATCH($C746,lst_Werkstoff,0))/1000,""))</f>
        <v/>
      </c>
      <c r="R746" s="18">
        <f>IF($A746="","",IF(N(_xlfn.MAXIFS(Auftrag!$AP$13:$AP$512,Auftrag!$D$13:$D$512,$B746,Auftrag!$E$13:$E$512,$C746,Auftrag!$Q$13:$Q$512,$D746))&gt;0,_xlfn.MAXIFS(Auftrag!$AP$13:$AP$512,Auftrag!$D$13:$D$512,$B746,Auftrag!$E$13:$E$512,$C746,Auftrag!$Q$13:$Q$512,$D746)*$D746/1000,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9" t="n"/>
      <c r="E747" s="24" t="n"/>
      <c r="F747" s="24" t="n"/>
      <c r="G747" s="12">
        <f>IF($A747="","",COUNTIFS(Stangenbelegung!$A$5:$A$10004,$A747))</f>
        <v/>
      </c>
      <c r="H747" s="35">
        <f>IF($A747="","",SUMIFS(Stangenbelegung!$F$5:$F$10004,Stangenbelegung!$A$5:$A$10004,$A747))</f>
        <v/>
      </c>
      <c r="I747" s="23" t="n"/>
      <c r="J747" s="35">
        <f>IF($A747="","",$E747+H747+$I747)</f>
        <v/>
      </c>
      <c r="K747" s="35">
        <f>IF($A747="","",$D747-J747)</f>
        <v/>
      </c>
      <c r="L747" s="32">
        <f>IF($A747="","",H747/$D747)</f>
        <v/>
      </c>
      <c r="M747" s="28">
        <f>IF($A747="","",IF(OR(J747+$F747&gt;$D747+0.001,_xlfn.MAXIFS(Stangenbelegung!$H$5:$H$10004,Stangenbelegung!$A$5:$A$10004,$A747)&gt;$D747-$F747+0.001),"ÜBERBELEGT","OK"))</f>
        <v/>
      </c>
      <c r="N747" s="24" t="n"/>
      <c r="O747" s="24" t="n"/>
      <c r="P747" s="9" t="n"/>
      <c r="Q747" s="18">
        <f>IF($A747="","",IFERROR($D747/1000*INDEX(Profile!$K$5:$K$304,MATCH($B747,lst_Profil,0))*INDEX(Werkstoffe!$E$5:$E$304,MATCH($C747,lst_Werkstoff,0))/1000,""))</f>
        <v/>
      </c>
      <c r="R747" s="18">
        <f>IF($A747="","",IF(N(_xlfn.MAXIFS(Auftrag!$AP$13:$AP$512,Auftrag!$D$13:$D$512,$B747,Auftrag!$E$13:$E$512,$C747,Auftrag!$Q$13:$Q$512,$D747))&gt;0,_xlfn.MAXIFS(Auftrag!$AP$13:$AP$512,Auftrag!$D$13:$D$512,$B747,Auftrag!$E$13:$E$512,$C747,Auftrag!$Q$13:$Q$512,$D747)*$D747/1000,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9" t="n"/>
      <c r="E748" s="24" t="n"/>
      <c r="F748" s="24" t="n"/>
      <c r="G748" s="12">
        <f>IF($A748="","",COUNTIFS(Stangenbelegung!$A$5:$A$10004,$A748))</f>
        <v/>
      </c>
      <c r="H748" s="35">
        <f>IF($A748="","",SUMIFS(Stangenbelegung!$F$5:$F$10004,Stangenbelegung!$A$5:$A$10004,$A748))</f>
        <v/>
      </c>
      <c r="I748" s="23" t="n"/>
      <c r="J748" s="35">
        <f>IF($A748="","",$E748+H748+$I748)</f>
        <v/>
      </c>
      <c r="K748" s="35">
        <f>IF($A748="","",$D748-J748)</f>
        <v/>
      </c>
      <c r="L748" s="32">
        <f>IF($A748="","",H748/$D748)</f>
        <v/>
      </c>
      <c r="M748" s="28">
        <f>IF($A748="","",IF(OR(J748+$F748&gt;$D748+0.001,_xlfn.MAXIFS(Stangenbelegung!$H$5:$H$10004,Stangenbelegung!$A$5:$A$10004,$A748)&gt;$D748-$F748+0.001),"ÜBERBELEGT","OK"))</f>
        <v/>
      </c>
      <c r="N748" s="24" t="n"/>
      <c r="O748" s="24" t="n"/>
      <c r="P748" s="9" t="n"/>
      <c r="Q748" s="18">
        <f>IF($A748="","",IFERROR($D748/1000*INDEX(Profile!$K$5:$K$304,MATCH($B748,lst_Profil,0))*INDEX(Werkstoffe!$E$5:$E$304,MATCH($C748,lst_Werkstoff,0))/1000,""))</f>
        <v/>
      </c>
      <c r="R748" s="18">
        <f>IF($A748="","",IF(N(_xlfn.MAXIFS(Auftrag!$AP$13:$AP$512,Auftrag!$D$13:$D$512,$B748,Auftrag!$E$13:$E$512,$C748,Auftrag!$Q$13:$Q$512,$D748))&gt;0,_xlfn.MAXIFS(Auftrag!$AP$13:$AP$512,Auftrag!$D$13:$D$512,$B748,Auftrag!$E$13:$E$512,$C748,Auftrag!$Q$13:$Q$512,$D748)*$D748/1000,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9" t="n"/>
      <c r="E749" s="24" t="n"/>
      <c r="F749" s="24" t="n"/>
      <c r="G749" s="12">
        <f>IF($A749="","",COUNTIFS(Stangenbelegung!$A$5:$A$10004,$A749))</f>
        <v/>
      </c>
      <c r="H749" s="35">
        <f>IF($A749="","",SUMIFS(Stangenbelegung!$F$5:$F$10004,Stangenbelegung!$A$5:$A$10004,$A749))</f>
        <v/>
      </c>
      <c r="I749" s="23" t="n"/>
      <c r="J749" s="35">
        <f>IF($A749="","",$E749+H749+$I749)</f>
        <v/>
      </c>
      <c r="K749" s="35">
        <f>IF($A749="","",$D749-J749)</f>
        <v/>
      </c>
      <c r="L749" s="32">
        <f>IF($A749="","",H749/$D749)</f>
        <v/>
      </c>
      <c r="M749" s="28">
        <f>IF($A749="","",IF(OR(J749+$F749&gt;$D749+0.001,_xlfn.MAXIFS(Stangenbelegung!$H$5:$H$10004,Stangenbelegung!$A$5:$A$10004,$A749)&gt;$D749-$F749+0.001),"ÜBERBELEGT","OK"))</f>
        <v/>
      </c>
      <c r="N749" s="24" t="n"/>
      <c r="O749" s="24" t="n"/>
      <c r="P749" s="9" t="n"/>
      <c r="Q749" s="18">
        <f>IF($A749="","",IFERROR($D749/1000*INDEX(Profile!$K$5:$K$304,MATCH($B749,lst_Profil,0))*INDEX(Werkstoffe!$E$5:$E$304,MATCH($C749,lst_Werkstoff,0))/1000,""))</f>
        <v/>
      </c>
      <c r="R749" s="18">
        <f>IF($A749="","",IF(N(_xlfn.MAXIFS(Auftrag!$AP$13:$AP$512,Auftrag!$D$13:$D$512,$B749,Auftrag!$E$13:$E$512,$C749,Auftrag!$Q$13:$Q$512,$D749))&gt;0,_xlfn.MAXIFS(Auftrag!$AP$13:$AP$512,Auftrag!$D$13:$D$512,$B749,Auftrag!$E$13:$E$512,$C749,Auftrag!$Q$13:$Q$512,$D749)*$D749/1000,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9" t="n"/>
      <c r="E750" s="24" t="n"/>
      <c r="F750" s="24" t="n"/>
      <c r="G750" s="12">
        <f>IF($A750="","",COUNTIFS(Stangenbelegung!$A$5:$A$10004,$A750))</f>
        <v/>
      </c>
      <c r="H750" s="35">
        <f>IF($A750="","",SUMIFS(Stangenbelegung!$F$5:$F$10004,Stangenbelegung!$A$5:$A$10004,$A750))</f>
        <v/>
      </c>
      <c r="I750" s="23" t="n"/>
      <c r="J750" s="35">
        <f>IF($A750="","",$E750+H750+$I750)</f>
        <v/>
      </c>
      <c r="K750" s="35">
        <f>IF($A750="","",$D750-J750)</f>
        <v/>
      </c>
      <c r="L750" s="32">
        <f>IF($A750="","",H750/$D750)</f>
        <v/>
      </c>
      <c r="M750" s="28">
        <f>IF($A750="","",IF(OR(J750+$F750&gt;$D750+0.001,_xlfn.MAXIFS(Stangenbelegung!$H$5:$H$10004,Stangenbelegung!$A$5:$A$10004,$A750)&gt;$D750-$F750+0.001),"ÜBERBELEGT","OK"))</f>
        <v/>
      </c>
      <c r="N750" s="24" t="n"/>
      <c r="O750" s="24" t="n"/>
      <c r="P750" s="9" t="n"/>
      <c r="Q750" s="18">
        <f>IF($A750="","",IFERROR($D750/1000*INDEX(Profile!$K$5:$K$304,MATCH($B750,lst_Profil,0))*INDEX(Werkstoffe!$E$5:$E$304,MATCH($C750,lst_Werkstoff,0))/1000,""))</f>
        <v/>
      </c>
      <c r="R750" s="18">
        <f>IF($A750="","",IF(N(_xlfn.MAXIFS(Auftrag!$AP$13:$AP$512,Auftrag!$D$13:$D$512,$B750,Auftrag!$E$13:$E$512,$C750,Auftrag!$Q$13:$Q$512,$D750))&gt;0,_xlfn.MAXIFS(Auftrag!$AP$13:$AP$512,Auftrag!$D$13:$D$512,$B750,Auftrag!$E$13:$E$512,$C750,Auftrag!$Q$13:$Q$512,$D750)*$D750/1000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9" t="n"/>
      <c r="E751" s="24" t="n"/>
      <c r="F751" s="24" t="n"/>
      <c r="G751" s="12">
        <f>IF($A751="","",COUNTIFS(Stangenbelegung!$A$5:$A$10004,$A751))</f>
        <v/>
      </c>
      <c r="H751" s="35">
        <f>IF($A751="","",SUMIFS(Stangenbelegung!$F$5:$F$10004,Stangenbelegung!$A$5:$A$10004,$A751))</f>
        <v/>
      </c>
      <c r="I751" s="23" t="n"/>
      <c r="J751" s="35">
        <f>IF($A751="","",$E751+H751+$I751)</f>
        <v/>
      </c>
      <c r="K751" s="35">
        <f>IF($A751="","",$D751-J751)</f>
        <v/>
      </c>
      <c r="L751" s="32">
        <f>IF($A751="","",H751/$D751)</f>
        <v/>
      </c>
      <c r="M751" s="28">
        <f>IF($A751="","",IF(OR(J751+$F751&gt;$D751+0.001,_xlfn.MAXIFS(Stangenbelegung!$H$5:$H$10004,Stangenbelegung!$A$5:$A$10004,$A751)&gt;$D751-$F751+0.001),"ÜBERBELEGT","OK"))</f>
        <v/>
      </c>
      <c r="N751" s="24" t="n"/>
      <c r="O751" s="24" t="n"/>
      <c r="P751" s="9" t="n"/>
      <c r="Q751" s="18">
        <f>IF($A751="","",IFERROR($D751/1000*INDEX(Profile!$K$5:$K$304,MATCH($B751,lst_Profil,0))*INDEX(Werkstoffe!$E$5:$E$304,MATCH($C751,lst_Werkstoff,0))/1000,""))</f>
        <v/>
      </c>
      <c r="R751" s="18">
        <f>IF($A751="","",IF(N(_xlfn.MAXIFS(Auftrag!$AP$13:$AP$512,Auftrag!$D$13:$D$512,$B751,Auftrag!$E$13:$E$512,$C751,Auftrag!$Q$13:$Q$512,$D751))&gt;0,_xlfn.MAXIFS(Auftrag!$AP$13:$AP$512,Auftrag!$D$13:$D$512,$B751,Auftrag!$E$13:$E$512,$C751,Auftrag!$Q$13:$Q$512,$D751)*$D751/1000,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9" t="n"/>
      <c r="E752" s="24" t="n"/>
      <c r="F752" s="24" t="n"/>
      <c r="G752" s="12">
        <f>IF($A752="","",COUNTIFS(Stangenbelegung!$A$5:$A$10004,$A752))</f>
        <v/>
      </c>
      <c r="H752" s="35">
        <f>IF($A752="","",SUMIFS(Stangenbelegung!$F$5:$F$10004,Stangenbelegung!$A$5:$A$10004,$A752))</f>
        <v/>
      </c>
      <c r="I752" s="23" t="n"/>
      <c r="J752" s="35">
        <f>IF($A752="","",$E752+H752+$I752)</f>
        <v/>
      </c>
      <c r="K752" s="35">
        <f>IF($A752="","",$D752-J752)</f>
        <v/>
      </c>
      <c r="L752" s="32">
        <f>IF($A752="","",H752/$D752)</f>
        <v/>
      </c>
      <c r="M752" s="28">
        <f>IF($A752="","",IF(OR(J752+$F752&gt;$D752+0.001,_xlfn.MAXIFS(Stangenbelegung!$H$5:$H$10004,Stangenbelegung!$A$5:$A$10004,$A752)&gt;$D752-$F752+0.001),"ÜBERBELEGT","OK"))</f>
        <v/>
      </c>
      <c r="N752" s="24" t="n"/>
      <c r="O752" s="24" t="n"/>
      <c r="P752" s="9" t="n"/>
      <c r="Q752" s="18">
        <f>IF($A752="","",IFERROR($D752/1000*INDEX(Profile!$K$5:$K$304,MATCH($B752,lst_Profil,0))*INDEX(Werkstoffe!$E$5:$E$304,MATCH($C752,lst_Werkstoff,0))/1000,""))</f>
        <v/>
      </c>
      <c r="R752" s="18">
        <f>IF($A752="","",IF(N(_xlfn.MAXIFS(Auftrag!$AP$13:$AP$512,Auftrag!$D$13:$D$512,$B752,Auftrag!$E$13:$E$512,$C752,Auftrag!$Q$13:$Q$512,$D752))&gt;0,_xlfn.MAXIFS(Auftrag!$AP$13:$AP$512,Auftrag!$D$13:$D$512,$B752,Auftrag!$E$13:$E$512,$C752,Auftrag!$Q$13:$Q$512,$D752)*$D752/1000,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9" t="n"/>
      <c r="E753" s="24" t="n"/>
      <c r="F753" s="24" t="n"/>
      <c r="G753" s="12">
        <f>IF($A753="","",COUNTIFS(Stangenbelegung!$A$5:$A$10004,$A753))</f>
        <v/>
      </c>
      <c r="H753" s="35">
        <f>IF($A753="","",SUMIFS(Stangenbelegung!$F$5:$F$10004,Stangenbelegung!$A$5:$A$10004,$A753))</f>
        <v/>
      </c>
      <c r="I753" s="23" t="n"/>
      <c r="J753" s="35">
        <f>IF($A753="","",$E753+H753+$I753)</f>
        <v/>
      </c>
      <c r="K753" s="35">
        <f>IF($A753="","",$D753-J753)</f>
        <v/>
      </c>
      <c r="L753" s="32">
        <f>IF($A753="","",H753/$D753)</f>
        <v/>
      </c>
      <c r="M753" s="28">
        <f>IF($A753="","",IF(OR(J753+$F753&gt;$D753+0.001,_xlfn.MAXIFS(Stangenbelegung!$H$5:$H$10004,Stangenbelegung!$A$5:$A$10004,$A753)&gt;$D753-$F753+0.001),"ÜBERBELEGT","OK"))</f>
        <v/>
      </c>
      <c r="N753" s="24" t="n"/>
      <c r="O753" s="24" t="n"/>
      <c r="P753" s="9" t="n"/>
      <c r="Q753" s="18">
        <f>IF($A753="","",IFERROR($D753/1000*INDEX(Profile!$K$5:$K$304,MATCH($B753,lst_Profil,0))*INDEX(Werkstoffe!$E$5:$E$304,MATCH($C753,lst_Werkstoff,0))/1000,""))</f>
        <v/>
      </c>
      <c r="R753" s="18">
        <f>IF($A753="","",IF(N(_xlfn.MAXIFS(Auftrag!$AP$13:$AP$512,Auftrag!$D$13:$D$512,$B753,Auftrag!$E$13:$E$512,$C753,Auftrag!$Q$13:$Q$512,$D753))&gt;0,_xlfn.MAXIFS(Auftrag!$AP$13:$AP$512,Auftrag!$D$13:$D$512,$B753,Auftrag!$E$13:$E$512,$C753,Auftrag!$Q$13:$Q$512,$D753)*$D753/1000,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9" t="n"/>
      <c r="E754" s="24" t="n"/>
      <c r="F754" s="24" t="n"/>
      <c r="G754" s="12">
        <f>IF($A754="","",COUNTIFS(Stangenbelegung!$A$5:$A$10004,$A754))</f>
        <v/>
      </c>
      <c r="H754" s="35">
        <f>IF($A754="","",SUMIFS(Stangenbelegung!$F$5:$F$10004,Stangenbelegung!$A$5:$A$10004,$A754))</f>
        <v/>
      </c>
      <c r="I754" s="23" t="n"/>
      <c r="J754" s="35">
        <f>IF($A754="","",$E754+H754+$I754)</f>
        <v/>
      </c>
      <c r="K754" s="35">
        <f>IF($A754="","",$D754-J754)</f>
        <v/>
      </c>
      <c r="L754" s="32">
        <f>IF($A754="","",H754/$D754)</f>
        <v/>
      </c>
      <c r="M754" s="28">
        <f>IF($A754="","",IF(OR(J754+$F754&gt;$D754+0.001,_xlfn.MAXIFS(Stangenbelegung!$H$5:$H$10004,Stangenbelegung!$A$5:$A$10004,$A754)&gt;$D754-$F754+0.001),"ÜBERBELEGT","OK"))</f>
        <v/>
      </c>
      <c r="N754" s="24" t="n"/>
      <c r="O754" s="24" t="n"/>
      <c r="P754" s="9" t="n"/>
      <c r="Q754" s="18">
        <f>IF($A754="","",IFERROR($D754/1000*INDEX(Profile!$K$5:$K$304,MATCH($B754,lst_Profil,0))*INDEX(Werkstoffe!$E$5:$E$304,MATCH($C754,lst_Werkstoff,0))/1000,""))</f>
        <v/>
      </c>
      <c r="R754" s="18">
        <f>IF($A754="","",IF(N(_xlfn.MAXIFS(Auftrag!$AP$13:$AP$512,Auftrag!$D$13:$D$512,$B754,Auftrag!$E$13:$E$512,$C754,Auftrag!$Q$13:$Q$512,$D754))&gt;0,_xlfn.MAXIFS(Auftrag!$AP$13:$AP$512,Auftrag!$D$13:$D$512,$B754,Auftrag!$E$13:$E$512,$C754,Auftrag!$Q$13:$Q$512,$D754)*$D754/1000,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9" t="n"/>
      <c r="E755" s="24" t="n"/>
      <c r="F755" s="24" t="n"/>
      <c r="G755" s="12">
        <f>IF($A755="","",COUNTIFS(Stangenbelegung!$A$5:$A$10004,$A755))</f>
        <v/>
      </c>
      <c r="H755" s="35">
        <f>IF($A755="","",SUMIFS(Stangenbelegung!$F$5:$F$10004,Stangenbelegung!$A$5:$A$10004,$A755))</f>
        <v/>
      </c>
      <c r="I755" s="23" t="n"/>
      <c r="J755" s="35">
        <f>IF($A755="","",$E755+H755+$I755)</f>
        <v/>
      </c>
      <c r="K755" s="35">
        <f>IF($A755="","",$D755-J755)</f>
        <v/>
      </c>
      <c r="L755" s="32">
        <f>IF($A755="","",H755/$D755)</f>
        <v/>
      </c>
      <c r="M755" s="28">
        <f>IF($A755="","",IF(OR(J755+$F755&gt;$D755+0.001,_xlfn.MAXIFS(Stangenbelegung!$H$5:$H$10004,Stangenbelegung!$A$5:$A$10004,$A755)&gt;$D755-$F755+0.001),"ÜBERBELEGT","OK"))</f>
        <v/>
      </c>
      <c r="N755" s="24" t="n"/>
      <c r="O755" s="24" t="n"/>
      <c r="P755" s="9" t="n"/>
      <c r="Q755" s="18">
        <f>IF($A755="","",IFERROR($D755/1000*INDEX(Profile!$K$5:$K$304,MATCH($B755,lst_Profil,0))*INDEX(Werkstoffe!$E$5:$E$304,MATCH($C755,lst_Werkstoff,0))/1000,""))</f>
        <v/>
      </c>
      <c r="R755" s="18">
        <f>IF($A755="","",IF(N(_xlfn.MAXIFS(Auftrag!$AP$13:$AP$512,Auftrag!$D$13:$D$512,$B755,Auftrag!$E$13:$E$512,$C755,Auftrag!$Q$13:$Q$512,$D755))&gt;0,_xlfn.MAXIFS(Auftrag!$AP$13:$AP$512,Auftrag!$D$13:$D$512,$B755,Auftrag!$E$13:$E$512,$C755,Auftrag!$Q$13:$Q$512,$D755)*$D755/1000,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9" t="n"/>
      <c r="E756" s="24" t="n"/>
      <c r="F756" s="24" t="n"/>
      <c r="G756" s="12">
        <f>IF($A756="","",COUNTIFS(Stangenbelegung!$A$5:$A$10004,$A756))</f>
        <v/>
      </c>
      <c r="H756" s="35">
        <f>IF($A756="","",SUMIFS(Stangenbelegung!$F$5:$F$10004,Stangenbelegung!$A$5:$A$10004,$A756))</f>
        <v/>
      </c>
      <c r="I756" s="23" t="n"/>
      <c r="J756" s="35">
        <f>IF($A756="","",$E756+H756+$I756)</f>
        <v/>
      </c>
      <c r="K756" s="35">
        <f>IF($A756="","",$D756-J756)</f>
        <v/>
      </c>
      <c r="L756" s="32">
        <f>IF($A756="","",H756/$D756)</f>
        <v/>
      </c>
      <c r="M756" s="28">
        <f>IF($A756="","",IF(OR(J756+$F756&gt;$D756+0.001,_xlfn.MAXIFS(Stangenbelegung!$H$5:$H$10004,Stangenbelegung!$A$5:$A$10004,$A756)&gt;$D756-$F756+0.001),"ÜBERBELEGT","OK"))</f>
        <v/>
      </c>
      <c r="N756" s="24" t="n"/>
      <c r="O756" s="24" t="n"/>
      <c r="P756" s="9" t="n"/>
      <c r="Q756" s="18">
        <f>IF($A756="","",IFERROR($D756/1000*INDEX(Profile!$K$5:$K$304,MATCH($B756,lst_Profil,0))*INDEX(Werkstoffe!$E$5:$E$304,MATCH($C756,lst_Werkstoff,0))/1000,""))</f>
        <v/>
      </c>
      <c r="R756" s="18">
        <f>IF($A756="","",IF(N(_xlfn.MAXIFS(Auftrag!$AP$13:$AP$512,Auftrag!$D$13:$D$512,$B756,Auftrag!$E$13:$E$512,$C756,Auftrag!$Q$13:$Q$512,$D756))&gt;0,_xlfn.MAXIFS(Auftrag!$AP$13:$AP$512,Auftrag!$D$13:$D$512,$B756,Auftrag!$E$13:$E$512,$C756,Auftrag!$Q$13:$Q$512,$D756)*$D756/1000,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9" t="n"/>
      <c r="E757" s="24" t="n"/>
      <c r="F757" s="24" t="n"/>
      <c r="G757" s="12">
        <f>IF($A757="","",COUNTIFS(Stangenbelegung!$A$5:$A$10004,$A757))</f>
        <v/>
      </c>
      <c r="H757" s="35">
        <f>IF($A757="","",SUMIFS(Stangenbelegung!$F$5:$F$10004,Stangenbelegung!$A$5:$A$10004,$A757))</f>
        <v/>
      </c>
      <c r="I757" s="23" t="n"/>
      <c r="J757" s="35">
        <f>IF($A757="","",$E757+H757+$I757)</f>
        <v/>
      </c>
      <c r="K757" s="35">
        <f>IF($A757="","",$D757-J757)</f>
        <v/>
      </c>
      <c r="L757" s="32">
        <f>IF($A757="","",H757/$D757)</f>
        <v/>
      </c>
      <c r="M757" s="28">
        <f>IF($A757="","",IF(OR(J757+$F757&gt;$D757+0.001,_xlfn.MAXIFS(Stangenbelegung!$H$5:$H$10004,Stangenbelegung!$A$5:$A$10004,$A757)&gt;$D757-$F757+0.001),"ÜBERBELEGT","OK"))</f>
        <v/>
      </c>
      <c r="N757" s="24" t="n"/>
      <c r="O757" s="24" t="n"/>
      <c r="P757" s="9" t="n"/>
      <c r="Q757" s="18">
        <f>IF($A757="","",IFERROR($D757/1000*INDEX(Profile!$K$5:$K$304,MATCH($B757,lst_Profil,0))*INDEX(Werkstoffe!$E$5:$E$304,MATCH($C757,lst_Werkstoff,0))/1000,""))</f>
        <v/>
      </c>
      <c r="R757" s="18">
        <f>IF($A757="","",IF(N(_xlfn.MAXIFS(Auftrag!$AP$13:$AP$512,Auftrag!$D$13:$D$512,$B757,Auftrag!$E$13:$E$512,$C757,Auftrag!$Q$13:$Q$512,$D757))&gt;0,_xlfn.MAXIFS(Auftrag!$AP$13:$AP$512,Auftrag!$D$13:$D$512,$B757,Auftrag!$E$13:$E$512,$C757,Auftrag!$Q$13:$Q$512,$D757)*$D757/1000,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9" t="n"/>
      <c r="E758" s="24" t="n"/>
      <c r="F758" s="24" t="n"/>
      <c r="G758" s="12">
        <f>IF($A758="","",COUNTIFS(Stangenbelegung!$A$5:$A$10004,$A758))</f>
        <v/>
      </c>
      <c r="H758" s="35">
        <f>IF($A758="","",SUMIFS(Stangenbelegung!$F$5:$F$10004,Stangenbelegung!$A$5:$A$10004,$A758))</f>
        <v/>
      </c>
      <c r="I758" s="23" t="n"/>
      <c r="J758" s="35">
        <f>IF($A758="","",$E758+H758+$I758)</f>
        <v/>
      </c>
      <c r="K758" s="35">
        <f>IF($A758="","",$D758-J758)</f>
        <v/>
      </c>
      <c r="L758" s="32">
        <f>IF($A758="","",H758/$D758)</f>
        <v/>
      </c>
      <c r="M758" s="28">
        <f>IF($A758="","",IF(OR(J758+$F758&gt;$D758+0.001,_xlfn.MAXIFS(Stangenbelegung!$H$5:$H$10004,Stangenbelegung!$A$5:$A$10004,$A758)&gt;$D758-$F758+0.001),"ÜBERBELEGT","OK"))</f>
        <v/>
      </c>
      <c r="N758" s="24" t="n"/>
      <c r="O758" s="24" t="n"/>
      <c r="P758" s="9" t="n"/>
      <c r="Q758" s="18">
        <f>IF($A758="","",IFERROR($D758/1000*INDEX(Profile!$K$5:$K$304,MATCH($B758,lst_Profil,0))*INDEX(Werkstoffe!$E$5:$E$304,MATCH($C758,lst_Werkstoff,0))/1000,""))</f>
        <v/>
      </c>
      <c r="R758" s="18">
        <f>IF($A758="","",IF(N(_xlfn.MAXIFS(Auftrag!$AP$13:$AP$512,Auftrag!$D$13:$D$512,$B758,Auftrag!$E$13:$E$512,$C758,Auftrag!$Q$13:$Q$512,$D758))&gt;0,_xlfn.MAXIFS(Auftrag!$AP$13:$AP$512,Auftrag!$D$13:$D$512,$B758,Auftrag!$E$13:$E$512,$C758,Auftrag!$Q$13:$Q$512,$D758)*$D758/1000,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9" t="n"/>
      <c r="E759" s="24" t="n"/>
      <c r="F759" s="24" t="n"/>
      <c r="G759" s="12">
        <f>IF($A759="","",COUNTIFS(Stangenbelegung!$A$5:$A$10004,$A759))</f>
        <v/>
      </c>
      <c r="H759" s="35">
        <f>IF($A759="","",SUMIFS(Stangenbelegung!$F$5:$F$10004,Stangenbelegung!$A$5:$A$10004,$A759))</f>
        <v/>
      </c>
      <c r="I759" s="23" t="n"/>
      <c r="J759" s="35">
        <f>IF($A759="","",$E759+H759+$I759)</f>
        <v/>
      </c>
      <c r="K759" s="35">
        <f>IF($A759="","",$D759-J759)</f>
        <v/>
      </c>
      <c r="L759" s="32">
        <f>IF($A759="","",H759/$D759)</f>
        <v/>
      </c>
      <c r="M759" s="28">
        <f>IF($A759="","",IF(OR(J759+$F759&gt;$D759+0.001,_xlfn.MAXIFS(Stangenbelegung!$H$5:$H$10004,Stangenbelegung!$A$5:$A$10004,$A759)&gt;$D759-$F759+0.001),"ÜBERBELEGT","OK"))</f>
        <v/>
      </c>
      <c r="N759" s="24" t="n"/>
      <c r="O759" s="24" t="n"/>
      <c r="P759" s="9" t="n"/>
      <c r="Q759" s="18">
        <f>IF($A759="","",IFERROR($D759/1000*INDEX(Profile!$K$5:$K$304,MATCH($B759,lst_Profil,0))*INDEX(Werkstoffe!$E$5:$E$304,MATCH($C759,lst_Werkstoff,0))/1000,""))</f>
        <v/>
      </c>
      <c r="R759" s="18">
        <f>IF($A759="","",IF(N(_xlfn.MAXIFS(Auftrag!$AP$13:$AP$512,Auftrag!$D$13:$D$512,$B759,Auftrag!$E$13:$E$512,$C759,Auftrag!$Q$13:$Q$512,$D759))&gt;0,_xlfn.MAXIFS(Auftrag!$AP$13:$AP$512,Auftrag!$D$13:$D$512,$B759,Auftrag!$E$13:$E$512,$C759,Auftrag!$Q$13:$Q$512,$D759)*$D759/1000,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9" t="n"/>
      <c r="E760" s="24" t="n"/>
      <c r="F760" s="24" t="n"/>
      <c r="G760" s="12">
        <f>IF($A760="","",COUNTIFS(Stangenbelegung!$A$5:$A$10004,$A760))</f>
        <v/>
      </c>
      <c r="H760" s="35">
        <f>IF($A760="","",SUMIFS(Stangenbelegung!$F$5:$F$10004,Stangenbelegung!$A$5:$A$10004,$A760))</f>
        <v/>
      </c>
      <c r="I760" s="23" t="n"/>
      <c r="J760" s="35">
        <f>IF($A760="","",$E760+H760+$I760)</f>
        <v/>
      </c>
      <c r="K760" s="35">
        <f>IF($A760="","",$D760-J760)</f>
        <v/>
      </c>
      <c r="L760" s="32">
        <f>IF($A760="","",H760/$D760)</f>
        <v/>
      </c>
      <c r="M760" s="28">
        <f>IF($A760="","",IF(OR(J760+$F760&gt;$D760+0.001,_xlfn.MAXIFS(Stangenbelegung!$H$5:$H$10004,Stangenbelegung!$A$5:$A$10004,$A760)&gt;$D760-$F760+0.001),"ÜBERBELEGT","OK"))</f>
        <v/>
      </c>
      <c r="N760" s="24" t="n"/>
      <c r="O760" s="24" t="n"/>
      <c r="P760" s="9" t="n"/>
      <c r="Q760" s="18">
        <f>IF($A760="","",IFERROR($D760/1000*INDEX(Profile!$K$5:$K$304,MATCH($B760,lst_Profil,0))*INDEX(Werkstoffe!$E$5:$E$304,MATCH($C760,lst_Werkstoff,0))/1000,""))</f>
        <v/>
      </c>
      <c r="R760" s="18">
        <f>IF($A760="","",IF(N(_xlfn.MAXIFS(Auftrag!$AP$13:$AP$512,Auftrag!$D$13:$D$512,$B760,Auftrag!$E$13:$E$512,$C760,Auftrag!$Q$13:$Q$512,$D760))&gt;0,_xlfn.MAXIFS(Auftrag!$AP$13:$AP$512,Auftrag!$D$13:$D$512,$B760,Auftrag!$E$13:$E$512,$C760,Auftrag!$Q$13:$Q$512,$D760)*$D760/1000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9" t="n"/>
      <c r="E761" s="24" t="n"/>
      <c r="F761" s="24" t="n"/>
      <c r="G761" s="12">
        <f>IF($A761="","",COUNTIFS(Stangenbelegung!$A$5:$A$10004,$A761))</f>
        <v/>
      </c>
      <c r="H761" s="35">
        <f>IF($A761="","",SUMIFS(Stangenbelegung!$F$5:$F$10004,Stangenbelegung!$A$5:$A$10004,$A761))</f>
        <v/>
      </c>
      <c r="I761" s="23" t="n"/>
      <c r="J761" s="35">
        <f>IF($A761="","",$E761+H761+$I761)</f>
        <v/>
      </c>
      <c r="K761" s="35">
        <f>IF($A761="","",$D761-J761)</f>
        <v/>
      </c>
      <c r="L761" s="32">
        <f>IF($A761="","",H761/$D761)</f>
        <v/>
      </c>
      <c r="M761" s="28">
        <f>IF($A761="","",IF(OR(J761+$F761&gt;$D761+0.001,_xlfn.MAXIFS(Stangenbelegung!$H$5:$H$10004,Stangenbelegung!$A$5:$A$10004,$A761)&gt;$D761-$F761+0.001),"ÜBERBELEGT","OK"))</f>
        <v/>
      </c>
      <c r="N761" s="24" t="n"/>
      <c r="O761" s="24" t="n"/>
      <c r="P761" s="9" t="n"/>
      <c r="Q761" s="18">
        <f>IF($A761="","",IFERROR($D761/1000*INDEX(Profile!$K$5:$K$304,MATCH($B761,lst_Profil,0))*INDEX(Werkstoffe!$E$5:$E$304,MATCH($C761,lst_Werkstoff,0))/1000,""))</f>
        <v/>
      </c>
      <c r="R761" s="18">
        <f>IF($A761="","",IF(N(_xlfn.MAXIFS(Auftrag!$AP$13:$AP$512,Auftrag!$D$13:$D$512,$B761,Auftrag!$E$13:$E$512,$C761,Auftrag!$Q$13:$Q$512,$D761))&gt;0,_xlfn.MAXIFS(Auftrag!$AP$13:$AP$512,Auftrag!$D$13:$D$512,$B761,Auftrag!$E$13:$E$512,$C761,Auftrag!$Q$13:$Q$512,$D761)*$D761/1000,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9" t="n"/>
      <c r="E762" s="24" t="n"/>
      <c r="F762" s="24" t="n"/>
      <c r="G762" s="12">
        <f>IF($A762="","",COUNTIFS(Stangenbelegung!$A$5:$A$10004,$A762))</f>
        <v/>
      </c>
      <c r="H762" s="35">
        <f>IF($A762="","",SUMIFS(Stangenbelegung!$F$5:$F$10004,Stangenbelegung!$A$5:$A$10004,$A762))</f>
        <v/>
      </c>
      <c r="I762" s="23" t="n"/>
      <c r="J762" s="35">
        <f>IF($A762="","",$E762+H762+$I762)</f>
        <v/>
      </c>
      <c r="K762" s="35">
        <f>IF($A762="","",$D762-J762)</f>
        <v/>
      </c>
      <c r="L762" s="32">
        <f>IF($A762="","",H762/$D762)</f>
        <v/>
      </c>
      <c r="M762" s="28">
        <f>IF($A762="","",IF(OR(J762+$F762&gt;$D762+0.001,_xlfn.MAXIFS(Stangenbelegung!$H$5:$H$10004,Stangenbelegung!$A$5:$A$10004,$A762)&gt;$D762-$F762+0.001),"ÜBERBELEGT","OK"))</f>
        <v/>
      </c>
      <c r="N762" s="24" t="n"/>
      <c r="O762" s="24" t="n"/>
      <c r="P762" s="9" t="n"/>
      <c r="Q762" s="18">
        <f>IF($A762="","",IFERROR($D762/1000*INDEX(Profile!$K$5:$K$304,MATCH($B762,lst_Profil,0))*INDEX(Werkstoffe!$E$5:$E$304,MATCH($C762,lst_Werkstoff,0))/1000,""))</f>
        <v/>
      </c>
      <c r="R762" s="18">
        <f>IF($A762="","",IF(N(_xlfn.MAXIFS(Auftrag!$AP$13:$AP$512,Auftrag!$D$13:$D$512,$B762,Auftrag!$E$13:$E$512,$C762,Auftrag!$Q$13:$Q$512,$D762))&gt;0,_xlfn.MAXIFS(Auftrag!$AP$13:$AP$512,Auftrag!$D$13:$D$512,$B762,Auftrag!$E$13:$E$512,$C762,Auftrag!$Q$13:$Q$512,$D762)*$D762/1000,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9" t="n"/>
      <c r="E763" s="24" t="n"/>
      <c r="F763" s="24" t="n"/>
      <c r="G763" s="12">
        <f>IF($A763="","",COUNTIFS(Stangenbelegung!$A$5:$A$10004,$A763))</f>
        <v/>
      </c>
      <c r="H763" s="35">
        <f>IF($A763="","",SUMIFS(Stangenbelegung!$F$5:$F$10004,Stangenbelegung!$A$5:$A$10004,$A763))</f>
        <v/>
      </c>
      <c r="I763" s="23" t="n"/>
      <c r="J763" s="35">
        <f>IF($A763="","",$E763+H763+$I763)</f>
        <v/>
      </c>
      <c r="K763" s="35">
        <f>IF($A763="","",$D763-J763)</f>
        <v/>
      </c>
      <c r="L763" s="32">
        <f>IF($A763="","",H763/$D763)</f>
        <v/>
      </c>
      <c r="M763" s="28">
        <f>IF($A763="","",IF(OR(J763+$F763&gt;$D763+0.001,_xlfn.MAXIFS(Stangenbelegung!$H$5:$H$10004,Stangenbelegung!$A$5:$A$10004,$A763)&gt;$D763-$F763+0.001),"ÜBERBELEGT","OK"))</f>
        <v/>
      </c>
      <c r="N763" s="24" t="n"/>
      <c r="O763" s="24" t="n"/>
      <c r="P763" s="9" t="n"/>
      <c r="Q763" s="18">
        <f>IF($A763="","",IFERROR($D763/1000*INDEX(Profile!$K$5:$K$304,MATCH($B763,lst_Profil,0))*INDEX(Werkstoffe!$E$5:$E$304,MATCH($C763,lst_Werkstoff,0))/1000,""))</f>
        <v/>
      </c>
      <c r="R763" s="18">
        <f>IF($A763="","",IF(N(_xlfn.MAXIFS(Auftrag!$AP$13:$AP$512,Auftrag!$D$13:$D$512,$B763,Auftrag!$E$13:$E$512,$C763,Auftrag!$Q$13:$Q$512,$D763))&gt;0,_xlfn.MAXIFS(Auftrag!$AP$13:$AP$512,Auftrag!$D$13:$D$512,$B763,Auftrag!$E$13:$E$512,$C763,Auftrag!$Q$13:$Q$512,$D763)*$D763/1000,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9" t="n"/>
      <c r="E764" s="24" t="n"/>
      <c r="F764" s="24" t="n"/>
      <c r="G764" s="12">
        <f>IF($A764="","",COUNTIFS(Stangenbelegung!$A$5:$A$10004,$A764))</f>
        <v/>
      </c>
      <c r="H764" s="35">
        <f>IF($A764="","",SUMIFS(Stangenbelegung!$F$5:$F$10004,Stangenbelegung!$A$5:$A$10004,$A764))</f>
        <v/>
      </c>
      <c r="I764" s="23" t="n"/>
      <c r="J764" s="35">
        <f>IF($A764="","",$E764+H764+$I764)</f>
        <v/>
      </c>
      <c r="K764" s="35">
        <f>IF($A764="","",$D764-J764)</f>
        <v/>
      </c>
      <c r="L764" s="32">
        <f>IF($A764="","",H764/$D764)</f>
        <v/>
      </c>
      <c r="M764" s="28">
        <f>IF($A764="","",IF(OR(J764+$F764&gt;$D764+0.001,_xlfn.MAXIFS(Stangenbelegung!$H$5:$H$10004,Stangenbelegung!$A$5:$A$10004,$A764)&gt;$D764-$F764+0.001),"ÜBERBELEGT","OK"))</f>
        <v/>
      </c>
      <c r="N764" s="24" t="n"/>
      <c r="O764" s="24" t="n"/>
      <c r="P764" s="9" t="n"/>
      <c r="Q764" s="18">
        <f>IF($A764="","",IFERROR($D764/1000*INDEX(Profile!$K$5:$K$304,MATCH($B764,lst_Profil,0))*INDEX(Werkstoffe!$E$5:$E$304,MATCH($C764,lst_Werkstoff,0))/1000,""))</f>
        <v/>
      </c>
      <c r="R764" s="18">
        <f>IF($A764="","",IF(N(_xlfn.MAXIFS(Auftrag!$AP$13:$AP$512,Auftrag!$D$13:$D$512,$B764,Auftrag!$E$13:$E$512,$C764,Auftrag!$Q$13:$Q$512,$D764))&gt;0,_xlfn.MAXIFS(Auftrag!$AP$13:$AP$512,Auftrag!$D$13:$D$512,$B764,Auftrag!$E$13:$E$512,$C764,Auftrag!$Q$13:$Q$512,$D764)*$D764/1000,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9" t="n"/>
      <c r="E765" s="24" t="n"/>
      <c r="F765" s="24" t="n"/>
      <c r="G765" s="12">
        <f>IF($A765="","",COUNTIFS(Stangenbelegung!$A$5:$A$10004,$A765))</f>
        <v/>
      </c>
      <c r="H765" s="35">
        <f>IF($A765="","",SUMIFS(Stangenbelegung!$F$5:$F$10004,Stangenbelegung!$A$5:$A$10004,$A765))</f>
        <v/>
      </c>
      <c r="I765" s="23" t="n"/>
      <c r="J765" s="35">
        <f>IF($A765="","",$E765+H765+$I765)</f>
        <v/>
      </c>
      <c r="K765" s="35">
        <f>IF($A765="","",$D765-J765)</f>
        <v/>
      </c>
      <c r="L765" s="32">
        <f>IF($A765="","",H765/$D765)</f>
        <v/>
      </c>
      <c r="M765" s="28">
        <f>IF($A765="","",IF(OR(J765+$F765&gt;$D765+0.001,_xlfn.MAXIFS(Stangenbelegung!$H$5:$H$10004,Stangenbelegung!$A$5:$A$10004,$A765)&gt;$D765-$F765+0.001),"ÜBERBELEGT","OK"))</f>
        <v/>
      </c>
      <c r="N765" s="24" t="n"/>
      <c r="O765" s="24" t="n"/>
      <c r="P765" s="9" t="n"/>
      <c r="Q765" s="18">
        <f>IF($A765="","",IFERROR($D765/1000*INDEX(Profile!$K$5:$K$304,MATCH($B765,lst_Profil,0))*INDEX(Werkstoffe!$E$5:$E$304,MATCH($C765,lst_Werkstoff,0))/1000,""))</f>
        <v/>
      </c>
      <c r="R765" s="18">
        <f>IF($A765="","",IF(N(_xlfn.MAXIFS(Auftrag!$AP$13:$AP$512,Auftrag!$D$13:$D$512,$B765,Auftrag!$E$13:$E$512,$C765,Auftrag!$Q$13:$Q$512,$D765))&gt;0,_xlfn.MAXIFS(Auftrag!$AP$13:$AP$512,Auftrag!$D$13:$D$512,$B765,Auftrag!$E$13:$E$512,$C765,Auftrag!$Q$13:$Q$512,$D765)*$D765/1000,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9" t="n"/>
      <c r="E766" s="24" t="n"/>
      <c r="F766" s="24" t="n"/>
      <c r="G766" s="12">
        <f>IF($A766="","",COUNTIFS(Stangenbelegung!$A$5:$A$10004,$A766))</f>
        <v/>
      </c>
      <c r="H766" s="35">
        <f>IF($A766="","",SUMIFS(Stangenbelegung!$F$5:$F$10004,Stangenbelegung!$A$5:$A$10004,$A766))</f>
        <v/>
      </c>
      <c r="I766" s="23" t="n"/>
      <c r="J766" s="35">
        <f>IF($A766="","",$E766+H766+$I766)</f>
        <v/>
      </c>
      <c r="K766" s="35">
        <f>IF($A766="","",$D766-J766)</f>
        <v/>
      </c>
      <c r="L766" s="32">
        <f>IF($A766="","",H766/$D766)</f>
        <v/>
      </c>
      <c r="M766" s="28">
        <f>IF($A766="","",IF(OR(J766+$F766&gt;$D766+0.001,_xlfn.MAXIFS(Stangenbelegung!$H$5:$H$10004,Stangenbelegung!$A$5:$A$10004,$A766)&gt;$D766-$F766+0.001),"ÜBERBELEGT","OK"))</f>
        <v/>
      </c>
      <c r="N766" s="24" t="n"/>
      <c r="O766" s="24" t="n"/>
      <c r="P766" s="9" t="n"/>
      <c r="Q766" s="18">
        <f>IF($A766="","",IFERROR($D766/1000*INDEX(Profile!$K$5:$K$304,MATCH($B766,lst_Profil,0))*INDEX(Werkstoffe!$E$5:$E$304,MATCH($C766,lst_Werkstoff,0))/1000,""))</f>
        <v/>
      </c>
      <c r="R766" s="18">
        <f>IF($A766="","",IF(N(_xlfn.MAXIFS(Auftrag!$AP$13:$AP$512,Auftrag!$D$13:$D$512,$B766,Auftrag!$E$13:$E$512,$C766,Auftrag!$Q$13:$Q$512,$D766))&gt;0,_xlfn.MAXIFS(Auftrag!$AP$13:$AP$512,Auftrag!$D$13:$D$512,$B766,Auftrag!$E$13:$E$512,$C766,Auftrag!$Q$13:$Q$512,$D766)*$D766/1000,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9" t="n"/>
      <c r="E767" s="24" t="n"/>
      <c r="F767" s="24" t="n"/>
      <c r="G767" s="12">
        <f>IF($A767="","",COUNTIFS(Stangenbelegung!$A$5:$A$10004,$A767))</f>
        <v/>
      </c>
      <c r="H767" s="35">
        <f>IF($A767="","",SUMIFS(Stangenbelegung!$F$5:$F$10004,Stangenbelegung!$A$5:$A$10004,$A767))</f>
        <v/>
      </c>
      <c r="I767" s="23" t="n"/>
      <c r="J767" s="35">
        <f>IF($A767="","",$E767+H767+$I767)</f>
        <v/>
      </c>
      <c r="K767" s="35">
        <f>IF($A767="","",$D767-J767)</f>
        <v/>
      </c>
      <c r="L767" s="32">
        <f>IF($A767="","",H767/$D767)</f>
        <v/>
      </c>
      <c r="M767" s="28">
        <f>IF($A767="","",IF(OR(J767+$F767&gt;$D767+0.001,_xlfn.MAXIFS(Stangenbelegung!$H$5:$H$10004,Stangenbelegung!$A$5:$A$10004,$A767)&gt;$D767-$F767+0.001),"ÜBERBELEGT","OK"))</f>
        <v/>
      </c>
      <c r="N767" s="24" t="n"/>
      <c r="O767" s="24" t="n"/>
      <c r="P767" s="9" t="n"/>
      <c r="Q767" s="18">
        <f>IF($A767="","",IFERROR($D767/1000*INDEX(Profile!$K$5:$K$304,MATCH($B767,lst_Profil,0))*INDEX(Werkstoffe!$E$5:$E$304,MATCH($C767,lst_Werkstoff,0))/1000,""))</f>
        <v/>
      </c>
      <c r="R767" s="18">
        <f>IF($A767="","",IF(N(_xlfn.MAXIFS(Auftrag!$AP$13:$AP$512,Auftrag!$D$13:$D$512,$B767,Auftrag!$E$13:$E$512,$C767,Auftrag!$Q$13:$Q$512,$D767))&gt;0,_xlfn.MAXIFS(Auftrag!$AP$13:$AP$512,Auftrag!$D$13:$D$512,$B767,Auftrag!$E$13:$E$512,$C767,Auftrag!$Q$13:$Q$512,$D767)*$D767/1000,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9" t="n"/>
      <c r="E768" s="24" t="n"/>
      <c r="F768" s="24" t="n"/>
      <c r="G768" s="12">
        <f>IF($A768="","",COUNTIFS(Stangenbelegung!$A$5:$A$10004,$A768))</f>
        <v/>
      </c>
      <c r="H768" s="35">
        <f>IF($A768="","",SUMIFS(Stangenbelegung!$F$5:$F$10004,Stangenbelegung!$A$5:$A$10004,$A768))</f>
        <v/>
      </c>
      <c r="I768" s="23" t="n"/>
      <c r="J768" s="35">
        <f>IF($A768="","",$E768+H768+$I768)</f>
        <v/>
      </c>
      <c r="K768" s="35">
        <f>IF($A768="","",$D768-J768)</f>
        <v/>
      </c>
      <c r="L768" s="32">
        <f>IF($A768="","",H768/$D768)</f>
        <v/>
      </c>
      <c r="M768" s="28">
        <f>IF($A768="","",IF(OR(J768+$F768&gt;$D768+0.001,_xlfn.MAXIFS(Stangenbelegung!$H$5:$H$10004,Stangenbelegung!$A$5:$A$10004,$A768)&gt;$D768-$F768+0.001),"ÜBERBELEGT","OK"))</f>
        <v/>
      </c>
      <c r="N768" s="24" t="n"/>
      <c r="O768" s="24" t="n"/>
      <c r="P768" s="9" t="n"/>
      <c r="Q768" s="18">
        <f>IF($A768="","",IFERROR($D768/1000*INDEX(Profile!$K$5:$K$304,MATCH($B768,lst_Profil,0))*INDEX(Werkstoffe!$E$5:$E$304,MATCH($C768,lst_Werkstoff,0))/1000,""))</f>
        <v/>
      </c>
      <c r="R768" s="18">
        <f>IF($A768="","",IF(N(_xlfn.MAXIFS(Auftrag!$AP$13:$AP$512,Auftrag!$D$13:$D$512,$B768,Auftrag!$E$13:$E$512,$C768,Auftrag!$Q$13:$Q$512,$D768))&gt;0,_xlfn.MAXIFS(Auftrag!$AP$13:$AP$512,Auftrag!$D$13:$D$512,$B768,Auftrag!$E$13:$E$512,$C768,Auftrag!$Q$13:$Q$512,$D768)*$D768/1000,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9" t="n"/>
      <c r="E769" s="24" t="n"/>
      <c r="F769" s="24" t="n"/>
      <c r="G769" s="12">
        <f>IF($A769="","",COUNTIFS(Stangenbelegung!$A$5:$A$10004,$A769))</f>
        <v/>
      </c>
      <c r="H769" s="35">
        <f>IF($A769="","",SUMIFS(Stangenbelegung!$F$5:$F$10004,Stangenbelegung!$A$5:$A$10004,$A769))</f>
        <v/>
      </c>
      <c r="I769" s="23" t="n"/>
      <c r="J769" s="35">
        <f>IF($A769="","",$E769+H769+$I769)</f>
        <v/>
      </c>
      <c r="K769" s="35">
        <f>IF($A769="","",$D769-J769)</f>
        <v/>
      </c>
      <c r="L769" s="32">
        <f>IF($A769="","",H769/$D769)</f>
        <v/>
      </c>
      <c r="M769" s="28">
        <f>IF($A769="","",IF(OR(J769+$F769&gt;$D769+0.001,_xlfn.MAXIFS(Stangenbelegung!$H$5:$H$10004,Stangenbelegung!$A$5:$A$10004,$A769)&gt;$D769-$F769+0.001),"ÜBERBELEGT","OK"))</f>
        <v/>
      </c>
      <c r="N769" s="24" t="n"/>
      <c r="O769" s="24" t="n"/>
      <c r="P769" s="9" t="n"/>
      <c r="Q769" s="18">
        <f>IF($A769="","",IFERROR($D769/1000*INDEX(Profile!$K$5:$K$304,MATCH($B769,lst_Profil,0))*INDEX(Werkstoffe!$E$5:$E$304,MATCH($C769,lst_Werkstoff,0))/1000,""))</f>
        <v/>
      </c>
      <c r="R769" s="18">
        <f>IF($A769="","",IF(N(_xlfn.MAXIFS(Auftrag!$AP$13:$AP$512,Auftrag!$D$13:$D$512,$B769,Auftrag!$E$13:$E$512,$C769,Auftrag!$Q$13:$Q$512,$D769))&gt;0,_xlfn.MAXIFS(Auftrag!$AP$13:$AP$512,Auftrag!$D$13:$D$512,$B769,Auftrag!$E$13:$E$512,$C769,Auftrag!$Q$13:$Q$512,$D769)*$D769/1000,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9" t="n"/>
      <c r="E770" s="24" t="n"/>
      <c r="F770" s="24" t="n"/>
      <c r="G770" s="12">
        <f>IF($A770="","",COUNTIFS(Stangenbelegung!$A$5:$A$10004,$A770))</f>
        <v/>
      </c>
      <c r="H770" s="35">
        <f>IF($A770="","",SUMIFS(Stangenbelegung!$F$5:$F$10004,Stangenbelegung!$A$5:$A$10004,$A770))</f>
        <v/>
      </c>
      <c r="I770" s="23" t="n"/>
      <c r="J770" s="35">
        <f>IF($A770="","",$E770+H770+$I770)</f>
        <v/>
      </c>
      <c r="K770" s="35">
        <f>IF($A770="","",$D770-J770)</f>
        <v/>
      </c>
      <c r="L770" s="32">
        <f>IF($A770="","",H770/$D770)</f>
        <v/>
      </c>
      <c r="M770" s="28">
        <f>IF($A770="","",IF(OR(J770+$F770&gt;$D770+0.001,_xlfn.MAXIFS(Stangenbelegung!$H$5:$H$10004,Stangenbelegung!$A$5:$A$10004,$A770)&gt;$D770-$F770+0.001),"ÜBERBELEGT","OK"))</f>
        <v/>
      </c>
      <c r="N770" s="24" t="n"/>
      <c r="O770" s="24" t="n"/>
      <c r="P770" s="9" t="n"/>
      <c r="Q770" s="18">
        <f>IF($A770="","",IFERROR($D770/1000*INDEX(Profile!$K$5:$K$304,MATCH($B770,lst_Profil,0))*INDEX(Werkstoffe!$E$5:$E$304,MATCH($C770,lst_Werkstoff,0))/1000,""))</f>
        <v/>
      </c>
      <c r="R770" s="18">
        <f>IF($A770="","",IF(N(_xlfn.MAXIFS(Auftrag!$AP$13:$AP$512,Auftrag!$D$13:$D$512,$B770,Auftrag!$E$13:$E$512,$C770,Auftrag!$Q$13:$Q$512,$D770))&gt;0,_xlfn.MAXIFS(Auftrag!$AP$13:$AP$512,Auftrag!$D$13:$D$512,$B770,Auftrag!$E$13:$E$512,$C770,Auftrag!$Q$13:$Q$512,$D770)*$D770/1000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9" t="n"/>
      <c r="E771" s="24" t="n"/>
      <c r="F771" s="24" t="n"/>
      <c r="G771" s="12">
        <f>IF($A771="","",COUNTIFS(Stangenbelegung!$A$5:$A$10004,$A771))</f>
        <v/>
      </c>
      <c r="H771" s="35">
        <f>IF($A771="","",SUMIFS(Stangenbelegung!$F$5:$F$10004,Stangenbelegung!$A$5:$A$10004,$A771))</f>
        <v/>
      </c>
      <c r="I771" s="23" t="n"/>
      <c r="J771" s="35">
        <f>IF($A771="","",$E771+H771+$I771)</f>
        <v/>
      </c>
      <c r="K771" s="35">
        <f>IF($A771="","",$D771-J771)</f>
        <v/>
      </c>
      <c r="L771" s="32">
        <f>IF($A771="","",H771/$D771)</f>
        <v/>
      </c>
      <c r="M771" s="28">
        <f>IF($A771="","",IF(OR(J771+$F771&gt;$D771+0.001,_xlfn.MAXIFS(Stangenbelegung!$H$5:$H$10004,Stangenbelegung!$A$5:$A$10004,$A771)&gt;$D771-$F771+0.001),"ÜBERBELEGT","OK"))</f>
        <v/>
      </c>
      <c r="N771" s="24" t="n"/>
      <c r="O771" s="24" t="n"/>
      <c r="P771" s="9" t="n"/>
      <c r="Q771" s="18">
        <f>IF($A771="","",IFERROR($D771/1000*INDEX(Profile!$K$5:$K$304,MATCH($B771,lst_Profil,0))*INDEX(Werkstoffe!$E$5:$E$304,MATCH($C771,lst_Werkstoff,0))/1000,""))</f>
        <v/>
      </c>
      <c r="R771" s="18">
        <f>IF($A771="","",IF(N(_xlfn.MAXIFS(Auftrag!$AP$13:$AP$512,Auftrag!$D$13:$D$512,$B771,Auftrag!$E$13:$E$512,$C771,Auftrag!$Q$13:$Q$512,$D771))&gt;0,_xlfn.MAXIFS(Auftrag!$AP$13:$AP$512,Auftrag!$D$13:$D$512,$B771,Auftrag!$E$13:$E$512,$C771,Auftrag!$Q$13:$Q$512,$D771)*$D771/1000,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9" t="n"/>
      <c r="E772" s="24" t="n"/>
      <c r="F772" s="24" t="n"/>
      <c r="G772" s="12">
        <f>IF($A772="","",COUNTIFS(Stangenbelegung!$A$5:$A$10004,$A772))</f>
        <v/>
      </c>
      <c r="H772" s="35">
        <f>IF($A772="","",SUMIFS(Stangenbelegung!$F$5:$F$10004,Stangenbelegung!$A$5:$A$10004,$A772))</f>
        <v/>
      </c>
      <c r="I772" s="23" t="n"/>
      <c r="J772" s="35">
        <f>IF($A772="","",$E772+H772+$I772)</f>
        <v/>
      </c>
      <c r="K772" s="35">
        <f>IF($A772="","",$D772-J772)</f>
        <v/>
      </c>
      <c r="L772" s="32">
        <f>IF($A772="","",H772/$D772)</f>
        <v/>
      </c>
      <c r="M772" s="28">
        <f>IF($A772="","",IF(OR(J772+$F772&gt;$D772+0.001,_xlfn.MAXIFS(Stangenbelegung!$H$5:$H$10004,Stangenbelegung!$A$5:$A$10004,$A772)&gt;$D772-$F772+0.001),"ÜBERBELEGT","OK"))</f>
        <v/>
      </c>
      <c r="N772" s="24" t="n"/>
      <c r="O772" s="24" t="n"/>
      <c r="P772" s="9" t="n"/>
      <c r="Q772" s="18">
        <f>IF($A772="","",IFERROR($D772/1000*INDEX(Profile!$K$5:$K$304,MATCH($B772,lst_Profil,0))*INDEX(Werkstoffe!$E$5:$E$304,MATCH($C772,lst_Werkstoff,0))/1000,""))</f>
        <v/>
      </c>
      <c r="R772" s="18">
        <f>IF($A772="","",IF(N(_xlfn.MAXIFS(Auftrag!$AP$13:$AP$512,Auftrag!$D$13:$D$512,$B772,Auftrag!$E$13:$E$512,$C772,Auftrag!$Q$13:$Q$512,$D772))&gt;0,_xlfn.MAXIFS(Auftrag!$AP$13:$AP$512,Auftrag!$D$13:$D$512,$B772,Auftrag!$E$13:$E$512,$C772,Auftrag!$Q$13:$Q$512,$D772)*$D772/1000,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9" t="n"/>
      <c r="E773" s="24" t="n"/>
      <c r="F773" s="24" t="n"/>
      <c r="G773" s="12">
        <f>IF($A773="","",COUNTIFS(Stangenbelegung!$A$5:$A$10004,$A773))</f>
        <v/>
      </c>
      <c r="H773" s="35">
        <f>IF($A773="","",SUMIFS(Stangenbelegung!$F$5:$F$10004,Stangenbelegung!$A$5:$A$10004,$A773))</f>
        <v/>
      </c>
      <c r="I773" s="23" t="n"/>
      <c r="J773" s="35">
        <f>IF($A773="","",$E773+H773+$I773)</f>
        <v/>
      </c>
      <c r="K773" s="35">
        <f>IF($A773="","",$D773-J773)</f>
        <v/>
      </c>
      <c r="L773" s="32">
        <f>IF($A773="","",H773/$D773)</f>
        <v/>
      </c>
      <c r="M773" s="28">
        <f>IF($A773="","",IF(OR(J773+$F773&gt;$D773+0.001,_xlfn.MAXIFS(Stangenbelegung!$H$5:$H$10004,Stangenbelegung!$A$5:$A$10004,$A773)&gt;$D773-$F773+0.001),"ÜBERBELEGT","OK"))</f>
        <v/>
      </c>
      <c r="N773" s="24" t="n"/>
      <c r="O773" s="24" t="n"/>
      <c r="P773" s="9" t="n"/>
      <c r="Q773" s="18">
        <f>IF($A773="","",IFERROR($D773/1000*INDEX(Profile!$K$5:$K$304,MATCH($B773,lst_Profil,0))*INDEX(Werkstoffe!$E$5:$E$304,MATCH($C773,lst_Werkstoff,0))/1000,""))</f>
        <v/>
      </c>
      <c r="R773" s="18">
        <f>IF($A773="","",IF(N(_xlfn.MAXIFS(Auftrag!$AP$13:$AP$512,Auftrag!$D$13:$D$512,$B773,Auftrag!$E$13:$E$512,$C773,Auftrag!$Q$13:$Q$512,$D773))&gt;0,_xlfn.MAXIFS(Auftrag!$AP$13:$AP$512,Auftrag!$D$13:$D$512,$B773,Auftrag!$E$13:$E$512,$C773,Auftrag!$Q$13:$Q$512,$D773)*$D773/1000,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9" t="n"/>
      <c r="E774" s="24" t="n"/>
      <c r="F774" s="24" t="n"/>
      <c r="G774" s="12">
        <f>IF($A774="","",COUNTIFS(Stangenbelegung!$A$5:$A$10004,$A774))</f>
        <v/>
      </c>
      <c r="H774" s="35">
        <f>IF($A774="","",SUMIFS(Stangenbelegung!$F$5:$F$10004,Stangenbelegung!$A$5:$A$10004,$A774))</f>
        <v/>
      </c>
      <c r="I774" s="23" t="n"/>
      <c r="J774" s="35">
        <f>IF($A774="","",$E774+H774+$I774)</f>
        <v/>
      </c>
      <c r="K774" s="35">
        <f>IF($A774="","",$D774-J774)</f>
        <v/>
      </c>
      <c r="L774" s="32">
        <f>IF($A774="","",H774/$D774)</f>
        <v/>
      </c>
      <c r="M774" s="28">
        <f>IF($A774="","",IF(OR(J774+$F774&gt;$D774+0.001,_xlfn.MAXIFS(Stangenbelegung!$H$5:$H$10004,Stangenbelegung!$A$5:$A$10004,$A774)&gt;$D774-$F774+0.001),"ÜBERBELEGT","OK"))</f>
        <v/>
      </c>
      <c r="N774" s="24" t="n"/>
      <c r="O774" s="24" t="n"/>
      <c r="P774" s="9" t="n"/>
      <c r="Q774" s="18">
        <f>IF($A774="","",IFERROR($D774/1000*INDEX(Profile!$K$5:$K$304,MATCH($B774,lst_Profil,0))*INDEX(Werkstoffe!$E$5:$E$304,MATCH($C774,lst_Werkstoff,0))/1000,""))</f>
        <v/>
      </c>
      <c r="R774" s="18">
        <f>IF($A774="","",IF(N(_xlfn.MAXIFS(Auftrag!$AP$13:$AP$512,Auftrag!$D$13:$D$512,$B774,Auftrag!$E$13:$E$512,$C774,Auftrag!$Q$13:$Q$512,$D774))&gt;0,_xlfn.MAXIFS(Auftrag!$AP$13:$AP$512,Auftrag!$D$13:$D$512,$B774,Auftrag!$E$13:$E$512,$C774,Auftrag!$Q$13:$Q$512,$D774)*$D774/1000,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9" t="n"/>
      <c r="E775" s="24" t="n"/>
      <c r="F775" s="24" t="n"/>
      <c r="G775" s="12">
        <f>IF($A775="","",COUNTIFS(Stangenbelegung!$A$5:$A$10004,$A775))</f>
        <v/>
      </c>
      <c r="H775" s="35">
        <f>IF($A775="","",SUMIFS(Stangenbelegung!$F$5:$F$10004,Stangenbelegung!$A$5:$A$10004,$A775))</f>
        <v/>
      </c>
      <c r="I775" s="23" t="n"/>
      <c r="J775" s="35">
        <f>IF($A775="","",$E775+H775+$I775)</f>
        <v/>
      </c>
      <c r="K775" s="35">
        <f>IF($A775="","",$D775-J775)</f>
        <v/>
      </c>
      <c r="L775" s="32">
        <f>IF($A775="","",H775/$D775)</f>
        <v/>
      </c>
      <c r="M775" s="28">
        <f>IF($A775="","",IF(OR(J775+$F775&gt;$D775+0.001,_xlfn.MAXIFS(Stangenbelegung!$H$5:$H$10004,Stangenbelegung!$A$5:$A$10004,$A775)&gt;$D775-$F775+0.001),"ÜBERBELEGT","OK"))</f>
        <v/>
      </c>
      <c r="N775" s="24" t="n"/>
      <c r="O775" s="24" t="n"/>
      <c r="P775" s="9" t="n"/>
      <c r="Q775" s="18">
        <f>IF($A775="","",IFERROR($D775/1000*INDEX(Profile!$K$5:$K$304,MATCH($B775,lst_Profil,0))*INDEX(Werkstoffe!$E$5:$E$304,MATCH($C775,lst_Werkstoff,0))/1000,""))</f>
        <v/>
      </c>
      <c r="R775" s="18">
        <f>IF($A775="","",IF(N(_xlfn.MAXIFS(Auftrag!$AP$13:$AP$512,Auftrag!$D$13:$D$512,$B775,Auftrag!$E$13:$E$512,$C775,Auftrag!$Q$13:$Q$512,$D775))&gt;0,_xlfn.MAXIFS(Auftrag!$AP$13:$AP$512,Auftrag!$D$13:$D$512,$B775,Auftrag!$E$13:$E$512,$C775,Auftrag!$Q$13:$Q$512,$D775)*$D775/1000,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9" t="n"/>
      <c r="E776" s="24" t="n"/>
      <c r="F776" s="24" t="n"/>
      <c r="G776" s="12">
        <f>IF($A776="","",COUNTIFS(Stangenbelegung!$A$5:$A$10004,$A776))</f>
        <v/>
      </c>
      <c r="H776" s="35">
        <f>IF($A776="","",SUMIFS(Stangenbelegung!$F$5:$F$10004,Stangenbelegung!$A$5:$A$10004,$A776))</f>
        <v/>
      </c>
      <c r="I776" s="23" t="n"/>
      <c r="J776" s="35">
        <f>IF($A776="","",$E776+H776+$I776)</f>
        <v/>
      </c>
      <c r="K776" s="35">
        <f>IF($A776="","",$D776-J776)</f>
        <v/>
      </c>
      <c r="L776" s="32">
        <f>IF($A776="","",H776/$D776)</f>
        <v/>
      </c>
      <c r="M776" s="28">
        <f>IF($A776="","",IF(OR(J776+$F776&gt;$D776+0.001,_xlfn.MAXIFS(Stangenbelegung!$H$5:$H$10004,Stangenbelegung!$A$5:$A$10004,$A776)&gt;$D776-$F776+0.001),"ÜBERBELEGT","OK"))</f>
        <v/>
      </c>
      <c r="N776" s="24" t="n"/>
      <c r="O776" s="24" t="n"/>
      <c r="P776" s="9" t="n"/>
      <c r="Q776" s="18">
        <f>IF($A776="","",IFERROR($D776/1000*INDEX(Profile!$K$5:$K$304,MATCH($B776,lst_Profil,0))*INDEX(Werkstoffe!$E$5:$E$304,MATCH($C776,lst_Werkstoff,0))/1000,""))</f>
        <v/>
      </c>
      <c r="R776" s="18">
        <f>IF($A776="","",IF(N(_xlfn.MAXIFS(Auftrag!$AP$13:$AP$512,Auftrag!$D$13:$D$512,$B776,Auftrag!$E$13:$E$512,$C776,Auftrag!$Q$13:$Q$512,$D776))&gt;0,_xlfn.MAXIFS(Auftrag!$AP$13:$AP$512,Auftrag!$D$13:$D$512,$B776,Auftrag!$E$13:$E$512,$C776,Auftrag!$Q$13:$Q$512,$D776)*$D776/1000,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9" t="n"/>
      <c r="E777" s="24" t="n"/>
      <c r="F777" s="24" t="n"/>
      <c r="G777" s="12">
        <f>IF($A777="","",COUNTIFS(Stangenbelegung!$A$5:$A$10004,$A777))</f>
        <v/>
      </c>
      <c r="H777" s="35">
        <f>IF($A777="","",SUMIFS(Stangenbelegung!$F$5:$F$10004,Stangenbelegung!$A$5:$A$10004,$A777))</f>
        <v/>
      </c>
      <c r="I777" s="23" t="n"/>
      <c r="J777" s="35">
        <f>IF($A777="","",$E777+H777+$I777)</f>
        <v/>
      </c>
      <c r="K777" s="35">
        <f>IF($A777="","",$D777-J777)</f>
        <v/>
      </c>
      <c r="L777" s="32">
        <f>IF($A777="","",H777/$D777)</f>
        <v/>
      </c>
      <c r="M777" s="28">
        <f>IF($A777="","",IF(OR(J777+$F777&gt;$D777+0.001,_xlfn.MAXIFS(Stangenbelegung!$H$5:$H$10004,Stangenbelegung!$A$5:$A$10004,$A777)&gt;$D777-$F777+0.001),"ÜBERBELEGT","OK"))</f>
        <v/>
      </c>
      <c r="N777" s="24" t="n"/>
      <c r="O777" s="24" t="n"/>
      <c r="P777" s="9" t="n"/>
      <c r="Q777" s="18">
        <f>IF($A777="","",IFERROR($D777/1000*INDEX(Profile!$K$5:$K$304,MATCH($B777,lst_Profil,0))*INDEX(Werkstoffe!$E$5:$E$304,MATCH($C777,lst_Werkstoff,0))/1000,""))</f>
        <v/>
      </c>
      <c r="R777" s="18">
        <f>IF($A777="","",IF(N(_xlfn.MAXIFS(Auftrag!$AP$13:$AP$512,Auftrag!$D$13:$D$512,$B777,Auftrag!$E$13:$E$512,$C777,Auftrag!$Q$13:$Q$512,$D777))&gt;0,_xlfn.MAXIFS(Auftrag!$AP$13:$AP$512,Auftrag!$D$13:$D$512,$B777,Auftrag!$E$13:$E$512,$C777,Auftrag!$Q$13:$Q$512,$D777)*$D777/1000,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9" t="n"/>
      <c r="E778" s="24" t="n"/>
      <c r="F778" s="24" t="n"/>
      <c r="G778" s="12">
        <f>IF($A778="","",COUNTIFS(Stangenbelegung!$A$5:$A$10004,$A778))</f>
        <v/>
      </c>
      <c r="H778" s="35">
        <f>IF($A778="","",SUMIFS(Stangenbelegung!$F$5:$F$10004,Stangenbelegung!$A$5:$A$10004,$A778))</f>
        <v/>
      </c>
      <c r="I778" s="23" t="n"/>
      <c r="J778" s="35">
        <f>IF($A778="","",$E778+H778+$I778)</f>
        <v/>
      </c>
      <c r="K778" s="35">
        <f>IF($A778="","",$D778-J778)</f>
        <v/>
      </c>
      <c r="L778" s="32">
        <f>IF($A778="","",H778/$D778)</f>
        <v/>
      </c>
      <c r="M778" s="28">
        <f>IF($A778="","",IF(OR(J778+$F778&gt;$D778+0.001,_xlfn.MAXIFS(Stangenbelegung!$H$5:$H$10004,Stangenbelegung!$A$5:$A$10004,$A778)&gt;$D778-$F778+0.001),"ÜBERBELEGT","OK"))</f>
        <v/>
      </c>
      <c r="N778" s="24" t="n"/>
      <c r="O778" s="24" t="n"/>
      <c r="P778" s="9" t="n"/>
      <c r="Q778" s="18">
        <f>IF($A778="","",IFERROR($D778/1000*INDEX(Profile!$K$5:$K$304,MATCH($B778,lst_Profil,0))*INDEX(Werkstoffe!$E$5:$E$304,MATCH($C778,lst_Werkstoff,0))/1000,""))</f>
        <v/>
      </c>
      <c r="R778" s="18">
        <f>IF($A778="","",IF(N(_xlfn.MAXIFS(Auftrag!$AP$13:$AP$512,Auftrag!$D$13:$D$512,$B778,Auftrag!$E$13:$E$512,$C778,Auftrag!$Q$13:$Q$512,$D778))&gt;0,_xlfn.MAXIFS(Auftrag!$AP$13:$AP$512,Auftrag!$D$13:$D$512,$B778,Auftrag!$E$13:$E$512,$C778,Auftrag!$Q$13:$Q$512,$D778)*$D778/1000,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9" t="n"/>
      <c r="E779" s="24" t="n"/>
      <c r="F779" s="24" t="n"/>
      <c r="G779" s="12">
        <f>IF($A779="","",COUNTIFS(Stangenbelegung!$A$5:$A$10004,$A779))</f>
        <v/>
      </c>
      <c r="H779" s="35">
        <f>IF($A779="","",SUMIFS(Stangenbelegung!$F$5:$F$10004,Stangenbelegung!$A$5:$A$10004,$A779))</f>
        <v/>
      </c>
      <c r="I779" s="23" t="n"/>
      <c r="J779" s="35">
        <f>IF($A779="","",$E779+H779+$I779)</f>
        <v/>
      </c>
      <c r="K779" s="35">
        <f>IF($A779="","",$D779-J779)</f>
        <v/>
      </c>
      <c r="L779" s="32">
        <f>IF($A779="","",H779/$D779)</f>
        <v/>
      </c>
      <c r="M779" s="28">
        <f>IF($A779="","",IF(OR(J779+$F779&gt;$D779+0.001,_xlfn.MAXIFS(Stangenbelegung!$H$5:$H$10004,Stangenbelegung!$A$5:$A$10004,$A779)&gt;$D779-$F779+0.001),"ÜBERBELEGT","OK"))</f>
        <v/>
      </c>
      <c r="N779" s="24" t="n"/>
      <c r="O779" s="24" t="n"/>
      <c r="P779" s="9" t="n"/>
      <c r="Q779" s="18">
        <f>IF($A779="","",IFERROR($D779/1000*INDEX(Profile!$K$5:$K$304,MATCH($B779,lst_Profil,0))*INDEX(Werkstoffe!$E$5:$E$304,MATCH($C779,lst_Werkstoff,0))/1000,""))</f>
        <v/>
      </c>
      <c r="R779" s="18">
        <f>IF($A779="","",IF(N(_xlfn.MAXIFS(Auftrag!$AP$13:$AP$512,Auftrag!$D$13:$D$512,$B779,Auftrag!$E$13:$E$512,$C779,Auftrag!$Q$13:$Q$512,$D779))&gt;0,_xlfn.MAXIFS(Auftrag!$AP$13:$AP$512,Auftrag!$D$13:$D$512,$B779,Auftrag!$E$13:$E$512,$C779,Auftrag!$Q$13:$Q$512,$D779)*$D779/1000,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9" t="n"/>
      <c r="E780" s="24" t="n"/>
      <c r="F780" s="24" t="n"/>
      <c r="G780" s="12">
        <f>IF($A780="","",COUNTIFS(Stangenbelegung!$A$5:$A$10004,$A780))</f>
        <v/>
      </c>
      <c r="H780" s="35">
        <f>IF($A780="","",SUMIFS(Stangenbelegung!$F$5:$F$10004,Stangenbelegung!$A$5:$A$10004,$A780))</f>
        <v/>
      </c>
      <c r="I780" s="23" t="n"/>
      <c r="J780" s="35">
        <f>IF($A780="","",$E780+H780+$I780)</f>
        <v/>
      </c>
      <c r="K780" s="35">
        <f>IF($A780="","",$D780-J780)</f>
        <v/>
      </c>
      <c r="L780" s="32">
        <f>IF($A780="","",H780/$D780)</f>
        <v/>
      </c>
      <c r="M780" s="28">
        <f>IF($A780="","",IF(OR(J780+$F780&gt;$D780+0.001,_xlfn.MAXIFS(Stangenbelegung!$H$5:$H$10004,Stangenbelegung!$A$5:$A$10004,$A780)&gt;$D780-$F780+0.001),"ÜBERBELEGT","OK"))</f>
        <v/>
      </c>
      <c r="N780" s="24" t="n"/>
      <c r="O780" s="24" t="n"/>
      <c r="P780" s="9" t="n"/>
      <c r="Q780" s="18">
        <f>IF($A780="","",IFERROR($D780/1000*INDEX(Profile!$K$5:$K$304,MATCH($B780,lst_Profil,0))*INDEX(Werkstoffe!$E$5:$E$304,MATCH($C780,lst_Werkstoff,0))/1000,""))</f>
        <v/>
      </c>
      <c r="R780" s="18">
        <f>IF($A780="","",IF(N(_xlfn.MAXIFS(Auftrag!$AP$13:$AP$512,Auftrag!$D$13:$D$512,$B780,Auftrag!$E$13:$E$512,$C780,Auftrag!$Q$13:$Q$512,$D780))&gt;0,_xlfn.MAXIFS(Auftrag!$AP$13:$AP$512,Auftrag!$D$13:$D$512,$B780,Auftrag!$E$13:$E$512,$C780,Auftrag!$Q$13:$Q$512,$D780)*$D780/1000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9" t="n"/>
      <c r="E781" s="24" t="n"/>
      <c r="F781" s="24" t="n"/>
      <c r="G781" s="12">
        <f>IF($A781="","",COUNTIFS(Stangenbelegung!$A$5:$A$10004,$A781))</f>
        <v/>
      </c>
      <c r="H781" s="35">
        <f>IF($A781="","",SUMIFS(Stangenbelegung!$F$5:$F$10004,Stangenbelegung!$A$5:$A$10004,$A781))</f>
        <v/>
      </c>
      <c r="I781" s="23" t="n"/>
      <c r="J781" s="35">
        <f>IF($A781="","",$E781+H781+$I781)</f>
        <v/>
      </c>
      <c r="K781" s="35">
        <f>IF($A781="","",$D781-J781)</f>
        <v/>
      </c>
      <c r="L781" s="32">
        <f>IF($A781="","",H781/$D781)</f>
        <v/>
      </c>
      <c r="M781" s="28">
        <f>IF($A781="","",IF(OR(J781+$F781&gt;$D781+0.001,_xlfn.MAXIFS(Stangenbelegung!$H$5:$H$10004,Stangenbelegung!$A$5:$A$10004,$A781)&gt;$D781-$F781+0.001),"ÜBERBELEGT","OK"))</f>
        <v/>
      </c>
      <c r="N781" s="24" t="n"/>
      <c r="O781" s="24" t="n"/>
      <c r="P781" s="9" t="n"/>
      <c r="Q781" s="18">
        <f>IF($A781="","",IFERROR($D781/1000*INDEX(Profile!$K$5:$K$304,MATCH($B781,lst_Profil,0))*INDEX(Werkstoffe!$E$5:$E$304,MATCH($C781,lst_Werkstoff,0))/1000,""))</f>
        <v/>
      </c>
      <c r="R781" s="18">
        <f>IF($A781="","",IF(N(_xlfn.MAXIFS(Auftrag!$AP$13:$AP$512,Auftrag!$D$13:$D$512,$B781,Auftrag!$E$13:$E$512,$C781,Auftrag!$Q$13:$Q$512,$D781))&gt;0,_xlfn.MAXIFS(Auftrag!$AP$13:$AP$512,Auftrag!$D$13:$D$512,$B781,Auftrag!$E$13:$E$512,$C781,Auftrag!$Q$13:$Q$512,$D781)*$D781/1000,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9" t="n"/>
      <c r="E782" s="24" t="n"/>
      <c r="F782" s="24" t="n"/>
      <c r="G782" s="12">
        <f>IF($A782="","",COUNTIFS(Stangenbelegung!$A$5:$A$10004,$A782))</f>
        <v/>
      </c>
      <c r="H782" s="35">
        <f>IF($A782="","",SUMIFS(Stangenbelegung!$F$5:$F$10004,Stangenbelegung!$A$5:$A$10004,$A782))</f>
        <v/>
      </c>
      <c r="I782" s="23" t="n"/>
      <c r="J782" s="35">
        <f>IF($A782="","",$E782+H782+$I782)</f>
        <v/>
      </c>
      <c r="K782" s="35">
        <f>IF($A782="","",$D782-J782)</f>
        <v/>
      </c>
      <c r="L782" s="32">
        <f>IF($A782="","",H782/$D782)</f>
        <v/>
      </c>
      <c r="M782" s="28">
        <f>IF($A782="","",IF(OR(J782+$F782&gt;$D782+0.001,_xlfn.MAXIFS(Stangenbelegung!$H$5:$H$10004,Stangenbelegung!$A$5:$A$10004,$A782)&gt;$D782-$F782+0.001),"ÜBERBELEGT","OK"))</f>
        <v/>
      </c>
      <c r="N782" s="24" t="n"/>
      <c r="O782" s="24" t="n"/>
      <c r="P782" s="9" t="n"/>
      <c r="Q782" s="18">
        <f>IF($A782="","",IFERROR($D782/1000*INDEX(Profile!$K$5:$K$304,MATCH($B782,lst_Profil,0))*INDEX(Werkstoffe!$E$5:$E$304,MATCH($C782,lst_Werkstoff,0))/1000,""))</f>
        <v/>
      </c>
      <c r="R782" s="18">
        <f>IF($A782="","",IF(N(_xlfn.MAXIFS(Auftrag!$AP$13:$AP$512,Auftrag!$D$13:$D$512,$B782,Auftrag!$E$13:$E$512,$C782,Auftrag!$Q$13:$Q$512,$D782))&gt;0,_xlfn.MAXIFS(Auftrag!$AP$13:$AP$512,Auftrag!$D$13:$D$512,$B782,Auftrag!$E$13:$E$512,$C782,Auftrag!$Q$13:$Q$512,$D782)*$D782/1000,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9" t="n"/>
      <c r="E783" s="24" t="n"/>
      <c r="F783" s="24" t="n"/>
      <c r="G783" s="12">
        <f>IF($A783="","",COUNTIFS(Stangenbelegung!$A$5:$A$10004,$A783))</f>
        <v/>
      </c>
      <c r="H783" s="35">
        <f>IF($A783="","",SUMIFS(Stangenbelegung!$F$5:$F$10004,Stangenbelegung!$A$5:$A$10004,$A783))</f>
        <v/>
      </c>
      <c r="I783" s="23" t="n"/>
      <c r="J783" s="35">
        <f>IF($A783="","",$E783+H783+$I783)</f>
        <v/>
      </c>
      <c r="K783" s="35">
        <f>IF($A783="","",$D783-J783)</f>
        <v/>
      </c>
      <c r="L783" s="32">
        <f>IF($A783="","",H783/$D783)</f>
        <v/>
      </c>
      <c r="M783" s="28">
        <f>IF($A783="","",IF(OR(J783+$F783&gt;$D783+0.001,_xlfn.MAXIFS(Stangenbelegung!$H$5:$H$10004,Stangenbelegung!$A$5:$A$10004,$A783)&gt;$D783-$F783+0.001),"ÜBERBELEGT","OK"))</f>
        <v/>
      </c>
      <c r="N783" s="24" t="n"/>
      <c r="O783" s="24" t="n"/>
      <c r="P783" s="9" t="n"/>
      <c r="Q783" s="18">
        <f>IF($A783="","",IFERROR($D783/1000*INDEX(Profile!$K$5:$K$304,MATCH($B783,lst_Profil,0))*INDEX(Werkstoffe!$E$5:$E$304,MATCH($C783,lst_Werkstoff,0))/1000,""))</f>
        <v/>
      </c>
      <c r="R783" s="18">
        <f>IF($A783="","",IF(N(_xlfn.MAXIFS(Auftrag!$AP$13:$AP$512,Auftrag!$D$13:$D$512,$B783,Auftrag!$E$13:$E$512,$C783,Auftrag!$Q$13:$Q$512,$D783))&gt;0,_xlfn.MAXIFS(Auftrag!$AP$13:$AP$512,Auftrag!$D$13:$D$512,$B783,Auftrag!$E$13:$E$512,$C783,Auftrag!$Q$13:$Q$512,$D783)*$D783/1000,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9" t="n"/>
      <c r="E784" s="24" t="n"/>
      <c r="F784" s="24" t="n"/>
      <c r="G784" s="12">
        <f>IF($A784="","",COUNTIFS(Stangenbelegung!$A$5:$A$10004,$A784))</f>
        <v/>
      </c>
      <c r="H784" s="35">
        <f>IF($A784="","",SUMIFS(Stangenbelegung!$F$5:$F$10004,Stangenbelegung!$A$5:$A$10004,$A784))</f>
        <v/>
      </c>
      <c r="I784" s="23" t="n"/>
      <c r="J784" s="35">
        <f>IF($A784="","",$E784+H784+$I784)</f>
        <v/>
      </c>
      <c r="K784" s="35">
        <f>IF($A784="","",$D784-J784)</f>
        <v/>
      </c>
      <c r="L784" s="32">
        <f>IF($A784="","",H784/$D784)</f>
        <v/>
      </c>
      <c r="M784" s="28">
        <f>IF($A784="","",IF(OR(J784+$F784&gt;$D784+0.001,_xlfn.MAXIFS(Stangenbelegung!$H$5:$H$10004,Stangenbelegung!$A$5:$A$10004,$A784)&gt;$D784-$F784+0.001),"ÜBERBELEGT","OK"))</f>
        <v/>
      </c>
      <c r="N784" s="24" t="n"/>
      <c r="O784" s="24" t="n"/>
      <c r="P784" s="9" t="n"/>
      <c r="Q784" s="18">
        <f>IF($A784="","",IFERROR($D784/1000*INDEX(Profile!$K$5:$K$304,MATCH($B784,lst_Profil,0))*INDEX(Werkstoffe!$E$5:$E$304,MATCH($C784,lst_Werkstoff,0))/1000,""))</f>
        <v/>
      </c>
      <c r="R784" s="18">
        <f>IF($A784="","",IF(N(_xlfn.MAXIFS(Auftrag!$AP$13:$AP$512,Auftrag!$D$13:$D$512,$B784,Auftrag!$E$13:$E$512,$C784,Auftrag!$Q$13:$Q$512,$D784))&gt;0,_xlfn.MAXIFS(Auftrag!$AP$13:$AP$512,Auftrag!$D$13:$D$512,$B784,Auftrag!$E$13:$E$512,$C784,Auftrag!$Q$13:$Q$512,$D784)*$D784/1000,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9" t="n"/>
      <c r="E785" s="24" t="n"/>
      <c r="F785" s="24" t="n"/>
      <c r="G785" s="12">
        <f>IF($A785="","",COUNTIFS(Stangenbelegung!$A$5:$A$10004,$A785))</f>
        <v/>
      </c>
      <c r="H785" s="35">
        <f>IF($A785="","",SUMIFS(Stangenbelegung!$F$5:$F$10004,Stangenbelegung!$A$5:$A$10004,$A785))</f>
        <v/>
      </c>
      <c r="I785" s="23" t="n"/>
      <c r="J785" s="35">
        <f>IF($A785="","",$E785+H785+$I785)</f>
        <v/>
      </c>
      <c r="K785" s="35">
        <f>IF($A785="","",$D785-J785)</f>
        <v/>
      </c>
      <c r="L785" s="32">
        <f>IF($A785="","",H785/$D785)</f>
        <v/>
      </c>
      <c r="M785" s="28">
        <f>IF($A785="","",IF(OR(J785+$F785&gt;$D785+0.001,_xlfn.MAXIFS(Stangenbelegung!$H$5:$H$10004,Stangenbelegung!$A$5:$A$10004,$A785)&gt;$D785-$F785+0.001),"ÜBERBELEGT","OK"))</f>
        <v/>
      </c>
      <c r="N785" s="24" t="n"/>
      <c r="O785" s="24" t="n"/>
      <c r="P785" s="9" t="n"/>
      <c r="Q785" s="18">
        <f>IF($A785="","",IFERROR($D785/1000*INDEX(Profile!$K$5:$K$304,MATCH($B785,lst_Profil,0))*INDEX(Werkstoffe!$E$5:$E$304,MATCH($C785,lst_Werkstoff,0))/1000,""))</f>
        <v/>
      </c>
      <c r="R785" s="18">
        <f>IF($A785="","",IF(N(_xlfn.MAXIFS(Auftrag!$AP$13:$AP$512,Auftrag!$D$13:$D$512,$B785,Auftrag!$E$13:$E$512,$C785,Auftrag!$Q$13:$Q$512,$D785))&gt;0,_xlfn.MAXIFS(Auftrag!$AP$13:$AP$512,Auftrag!$D$13:$D$512,$B785,Auftrag!$E$13:$E$512,$C785,Auftrag!$Q$13:$Q$512,$D785)*$D785/1000,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9" t="n"/>
      <c r="E786" s="24" t="n"/>
      <c r="F786" s="24" t="n"/>
      <c r="G786" s="12">
        <f>IF($A786="","",COUNTIFS(Stangenbelegung!$A$5:$A$10004,$A786))</f>
        <v/>
      </c>
      <c r="H786" s="35">
        <f>IF($A786="","",SUMIFS(Stangenbelegung!$F$5:$F$10004,Stangenbelegung!$A$5:$A$10004,$A786))</f>
        <v/>
      </c>
      <c r="I786" s="23" t="n"/>
      <c r="J786" s="35">
        <f>IF($A786="","",$E786+H786+$I786)</f>
        <v/>
      </c>
      <c r="K786" s="35">
        <f>IF($A786="","",$D786-J786)</f>
        <v/>
      </c>
      <c r="L786" s="32">
        <f>IF($A786="","",H786/$D786)</f>
        <v/>
      </c>
      <c r="M786" s="28">
        <f>IF($A786="","",IF(OR(J786+$F786&gt;$D786+0.001,_xlfn.MAXIFS(Stangenbelegung!$H$5:$H$10004,Stangenbelegung!$A$5:$A$10004,$A786)&gt;$D786-$F786+0.001),"ÜBERBELEGT","OK"))</f>
        <v/>
      </c>
      <c r="N786" s="24" t="n"/>
      <c r="O786" s="24" t="n"/>
      <c r="P786" s="9" t="n"/>
      <c r="Q786" s="18">
        <f>IF($A786="","",IFERROR($D786/1000*INDEX(Profile!$K$5:$K$304,MATCH($B786,lst_Profil,0))*INDEX(Werkstoffe!$E$5:$E$304,MATCH($C786,lst_Werkstoff,0))/1000,""))</f>
        <v/>
      </c>
      <c r="R786" s="18">
        <f>IF($A786="","",IF(N(_xlfn.MAXIFS(Auftrag!$AP$13:$AP$512,Auftrag!$D$13:$D$512,$B786,Auftrag!$E$13:$E$512,$C786,Auftrag!$Q$13:$Q$512,$D786))&gt;0,_xlfn.MAXIFS(Auftrag!$AP$13:$AP$512,Auftrag!$D$13:$D$512,$B786,Auftrag!$E$13:$E$512,$C786,Auftrag!$Q$13:$Q$512,$D786)*$D786/1000,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9" t="n"/>
      <c r="E787" s="24" t="n"/>
      <c r="F787" s="24" t="n"/>
      <c r="G787" s="12">
        <f>IF($A787="","",COUNTIFS(Stangenbelegung!$A$5:$A$10004,$A787))</f>
        <v/>
      </c>
      <c r="H787" s="35">
        <f>IF($A787="","",SUMIFS(Stangenbelegung!$F$5:$F$10004,Stangenbelegung!$A$5:$A$10004,$A787))</f>
        <v/>
      </c>
      <c r="I787" s="23" t="n"/>
      <c r="J787" s="35">
        <f>IF($A787="","",$E787+H787+$I787)</f>
        <v/>
      </c>
      <c r="K787" s="35">
        <f>IF($A787="","",$D787-J787)</f>
        <v/>
      </c>
      <c r="L787" s="32">
        <f>IF($A787="","",H787/$D787)</f>
        <v/>
      </c>
      <c r="M787" s="28">
        <f>IF($A787="","",IF(OR(J787+$F787&gt;$D787+0.001,_xlfn.MAXIFS(Stangenbelegung!$H$5:$H$10004,Stangenbelegung!$A$5:$A$10004,$A787)&gt;$D787-$F787+0.001),"ÜBERBELEGT","OK"))</f>
        <v/>
      </c>
      <c r="N787" s="24" t="n"/>
      <c r="O787" s="24" t="n"/>
      <c r="P787" s="9" t="n"/>
      <c r="Q787" s="18">
        <f>IF($A787="","",IFERROR($D787/1000*INDEX(Profile!$K$5:$K$304,MATCH($B787,lst_Profil,0))*INDEX(Werkstoffe!$E$5:$E$304,MATCH($C787,lst_Werkstoff,0))/1000,""))</f>
        <v/>
      </c>
      <c r="R787" s="18">
        <f>IF($A787="","",IF(N(_xlfn.MAXIFS(Auftrag!$AP$13:$AP$512,Auftrag!$D$13:$D$512,$B787,Auftrag!$E$13:$E$512,$C787,Auftrag!$Q$13:$Q$512,$D787))&gt;0,_xlfn.MAXIFS(Auftrag!$AP$13:$AP$512,Auftrag!$D$13:$D$512,$B787,Auftrag!$E$13:$E$512,$C787,Auftrag!$Q$13:$Q$512,$D787)*$D787/1000,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9" t="n"/>
      <c r="E788" s="24" t="n"/>
      <c r="F788" s="24" t="n"/>
      <c r="G788" s="12">
        <f>IF($A788="","",COUNTIFS(Stangenbelegung!$A$5:$A$10004,$A788))</f>
        <v/>
      </c>
      <c r="H788" s="35">
        <f>IF($A788="","",SUMIFS(Stangenbelegung!$F$5:$F$10004,Stangenbelegung!$A$5:$A$10004,$A788))</f>
        <v/>
      </c>
      <c r="I788" s="23" t="n"/>
      <c r="J788" s="35">
        <f>IF($A788="","",$E788+H788+$I788)</f>
        <v/>
      </c>
      <c r="K788" s="35">
        <f>IF($A788="","",$D788-J788)</f>
        <v/>
      </c>
      <c r="L788" s="32">
        <f>IF($A788="","",H788/$D788)</f>
        <v/>
      </c>
      <c r="M788" s="28">
        <f>IF($A788="","",IF(OR(J788+$F788&gt;$D788+0.001,_xlfn.MAXIFS(Stangenbelegung!$H$5:$H$10004,Stangenbelegung!$A$5:$A$10004,$A788)&gt;$D788-$F788+0.001),"ÜBERBELEGT","OK"))</f>
        <v/>
      </c>
      <c r="N788" s="24" t="n"/>
      <c r="O788" s="24" t="n"/>
      <c r="P788" s="9" t="n"/>
      <c r="Q788" s="18">
        <f>IF($A788="","",IFERROR($D788/1000*INDEX(Profile!$K$5:$K$304,MATCH($B788,lst_Profil,0))*INDEX(Werkstoffe!$E$5:$E$304,MATCH($C788,lst_Werkstoff,0))/1000,""))</f>
        <v/>
      </c>
      <c r="R788" s="18">
        <f>IF($A788="","",IF(N(_xlfn.MAXIFS(Auftrag!$AP$13:$AP$512,Auftrag!$D$13:$D$512,$B788,Auftrag!$E$13:$E$512,$C788,Auftrag!$Q$13:$Q$512,$D788))&gt;0,_xlfn.MAXIFS(Auftrag!$AP$13:$AP$512,Auftrag!$D$13:$D$512,$B788,Auftrag!$E$13:$E$512,$C788,Auftrag!$Q$13:$Q$512,$D788)*$D788/1000,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9" t="n"/>
      <c r="E789" s="24" t="n"/>
      <c r="F789" s="24" t="n"/>
      <c r="G789" s="12">
        <f>IF($A789="","",COUNTIFS(Stangenbelegung!$A$5:$A$10004,$A789))</f>
        <v/>
      </c>
      <c r="H789" s="35">
        <f>IF($A789="","",SUMIFS(Stangenbelegung!$F$5:$F$10004,Stangenbelegung!$A$5:$A$10004,$A789))</f>
        <v/>
      </c>
      <c r="I789" s="23" t="n"/>
      <c r="J789" s="35">
        <f>IF($A789="","",$E789+H789+$I789)</f>
        <v/>
      </c>
      <c r="K789" s="35">
        <f>IF($A789="","",$D789-J789)</f>
        <v/>
      </c>
      <c r="L789" s="32">
        <f>IF($A789="","",H789/$D789)</f>
        <v/>
      </c>
      <c r="M789" s="28">
        <f>IF($A789="","",IF(OR(J789+$F789&gt;$D789+0.001,_xlfn.MAXIFS(Stangenbelegung!$H$5:$H$10004,Stangenbelegung!$A$5:$A$10004,$A789)&gt;$D789-$F789+0.001),"ÜBERBELEGT","OK"))</f>
        <v/>
      </c>
      <c r="N789" s="24" t="n"/>
      <c r="O789" s="24" t="n"/>
      <c r="P789" s="9" t="n"/>
      <c r="Q789" s="18">
        <f>IF($A789="","",IFERROR($D789/1000*INDEX(Profile!$K$5:$K$304,MATCH($B789,lst_Profil,0))*INDEX(Werkstoffe!$E$5:$E$304,MATCH($C789,lst_Werkstoff,0))/1000,""))</f>
        <v/>
      </c>
      <c r="R789" s="18">
        <f>IF($A789="","",IF(N(_xlfn.MAXIFS(Auftrag!$AP$13:$AP$512,Auftrag!$D$13:$D$512,$B789,Auftrag!$E$13:$E$512,$C789,Auftrag!$Q$13:$Q$512,$D789))&gt;0,_xlfn.MAXIFS(Auftrag!$AP$13:$AP$512,Auftrag!$D$13:$D$512,$B789,Auftrag!$E$13:$E$512,$C789,Auftrag!$Q$13:$Q$512,$D789)*$D789/1000,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9" t="n"/>
      <c r="E790" s="24" t="n"/>
      <c r="F790" s="24" t="n"/>
      <c r="G790" s="12">
        <f>IF($A790="","",COUNTIFS(Stangenbelegung!$A$5:$A$10004,$A790))</f>
        <v/>
      </c>
      <c r="H790" s="35">
        <f>IF($A790="","",SUMIFS(Stangenbelegung!$F$5:$F$10004,Stangenbelegung!$A$5:$A$10004,$A790))</f>
        <v/>
      </c>
      <c r="I790" s="23" t="n"/>
      <c r="J790" s="35">
        <f>IF($A790="","",$E790+H790+$I790)</f>
        <v/>
      </c>
      <c r="K790" s="35">
        <f>IF($A790="","",$D790-J790)</f>
        <v/>
      </c>
      <c r="L790" s="32">
        <f>IF($A790="","",H790/$D790)</f>
        <v/>
      </c>
      <c r="M790" s="28">
        <f>IF($A790="","",IF(OR(J790+$F790&gt;$D790+0.001,_xlfn.MAXIFS(Stangenbelegung!$H$5:$H$10004,Stangenbelegung!$A$5:$A$10004,$A790)&gt;$D790-$F790+0.001),"ÜBERBELEGT","OK"))</f>
        <v/>
      </c>
      <c r="N790" s="24" t="n"/>
      <c r="O790" s="24" t="n"/>
      <c r="P790" s="9" t="n"/>
      <c r="Q790" s="18">
        <f>IF($A790="","",IFERROR($D790/1000*INDEX(Profile!$K$5:$K$304,MATCH($B790,lst_Profil,0))*INDEX(Werkstoffe!$E$5:$E$304,MATCH($C790,lst_Werkstoff,0))/1000,""))</f>
        <v/>
      </c>
      <c r="R790" s="18">
        <f>IF($A790="","",IF(N(_xlfn.MAXIFS(Auftrag!$AP$13:$AP$512,Auftrag!$D$13:$D$512,$B790,Auftrag!$E$13:$E$512,$C790,Auftrag!$Q$13:$Q$512,$D790))&gt;0,_xlfn.MAXIFS(Auftrag!$AP$13:$AP$512,Auftrag!$D$13:$D$512,$B790,Auftrag!$E$13:$E$512,$C790,Auftrag!$Q$13:$Q$512,$D790)*$D790/1000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9" t="n"/>
      <c r="E791" s="24" t="n"/>
      <c r="F791" s="24" t="n"/>
      <c r="G791" s="12">
        <f>IF($A791="","",COUNTIFS(Stangenbelegung!$A$5:$A$10004,$A791))</f>
        <v/>
      </c>
      <c r="H791" s="35">
        <f>IF($A791="","",SUMIFS(Stangenbelegung!$F$5:$F$10004,Stangenbelegung!$A$5:$A$10004,$A791))</f>
        <v/>
      </c>
      <c r="I791" s="23" t="n"/>
      <c r="J791" s="35">
        <f>IF($A791="","",$E791+H791+$I791)</f>
        <v/>
      </c>
      <c r="K791" s="35">
        <f>IF($A791="","",$D791-J791)</f>
        <v/>
      </c>
      <c r="L791" s="32">
        <f>IF($A791="","",H791/$D791)</f>
        <v/>
      </c>
      <c r="M791" s="28">
        <f>IF($A791="","",IF(OR(J791+$F791&gt;$D791+0.001,_xlfn.MAXIFS(Stangenbelegung!$H$5:$H$10004,Stangenbelegung!$A$5:$A$10004,$A791)&gt;$D791-$F791+0.001),"ÜBERBELEGT","OK"))</f>
        <v/>
      </c>
      <c r="N791" s="24" t="n"/>
      <c r="O791" s="24" t="n"/>
      <c r="P791" s="9" t="n"/>
      <c r="Q791" s="18">
        <f>IF($A791="","",IFERROR($D791/1000*INDEX(Profile!$K$5:$K$304,MATCH($B791,lst_Profil,0))*INDEX(Werkstoffe!$E$5:$E$304,MATCH($C791,lst_Werkstoff,0))/1000,""))</f>
        <v/>
      </c>
      <c r="R791" s="18">
        <f>IF($A791="","",IF(N(_xlfn.MAXIFS(Auftrag!$AP$13:$AP$512,Auftrag!$D$13:$D$512,$B791,Auftrag!$E$13:$E$512,$C791,Auftrag!$Q$13:$Q$512,$D791))&gt;0,_xlfn.MAXIFS(Auftrag!$AP$13:$AP$512,Auftrag!$D$13:$D$512,$B791,Auftrag!$E$13:$E$512,$C791,Auftrag!$Q$13:$Q$512,$D791)*$D791/1000,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9" t="n"/>
      <c r="E792" s="24" t="n"/>
      <c r="F792" s="24" t="n"/>
      <c r="G792" s="12">
        <f>IF($A792="","",COUNTIFS(Stangenbelegung!$A$5:$A$10004,$A792))</f>
        <v/>
      </c>
      <c r="H792" s="35">
        <f>IF($A792="","",SUMIFS(Stangenbelegung!$F$5:$F$10004,Stangenbelegung!$A$5:$A$10004,$A792))</f>
        <v/>
      </c>
      <c r="I792" s="23" t="n"/>
      <c r="J792" s="35">
        <f>IF($A792="","",$E792+H792+$I792)</f>
        <v/>
      </c>
      <c r="K792" s="35">
        <f>IF($A792="","",$D792-J792)</f>
        <v/>
      </c>
      <c r="L792" s="32">
        <f>IF($A792="","",H792/$D792)</f>
        <v/>
      </c>
      <c r="M792" s="28">
        <f>IF($A792="","",IF(OR(J792+$F792&gt;$D792+0.001,_xlfn.MAXIFS(Stangenbelegung!$H$5:$H$10004,Stangenbelegung!$A$5:$A$10004,$A792)&gt;$D792-$F792+0.001),"ÜBERBELEGT","OK"))</f>
        <v/>
      </c>
      <c r="N792" s="24" t="n"/>
      <c r="O792" s="24" t="n"/>
      <c r="P792" s="9" t="n"/>
      <c r="Q792" s="18">
        <f>IF($A792="","",IFERROR($D792/1000*INDEX(Profile!$K$5:$K$304,MATCH($B792,lst_Profil,0))*INDEX(Werkstoffe!$E$5:$E$304,MATCH($C792,lst_Werkstoff,0))/1000,""))</f>
        <v/>
      </c>
      <c r="R792" s="18">
        <f>IF($A792="","",IF(N(_xlfn.MAXIFS(Auftrag!$AP$13:$AP$512,Auftrag!$D$13:$D$512,$B792,Auftrag!$E$13:$E$512,$C792,Auftrag!$Q$13:$Q$512,$D792))&gt;0,_xlfn.MAXIFS(Auftrag!$AP$13:$AP$512,Auftrag!$D$13:$D$512,$B792,Auftrag!$E$13:$E$512,$C792,Auftrag!$Q$13:$Q$512,$D792)*$D792/1000,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9" t="n"/>
      <c r="E793" s="24" t="n"/>
      <c r="F793" s="24" t="n"/>
      <c r="G793" s="12">
        <f>IF($A793="","",COUNTIFS(Stangenbelegung!$A$5:$A$10004,$A793))</f>
        <v/>
      </c>
      <c r="H793" s="35">
        <f>IF($A793="","",SUMIFS(Stangenbelegung!$F$5:$F$10004,Stangenbelegung!$A$5:$A$10004,$A793))</f>
        <v/>
      </c>
      <c r="I793" s="23" t="n"/>
      <c r="J793" s="35">
        <f>IF($A793="","",$E793+H793+$I793)</f>
        <v/>
      </c>
      <c r="K793" s="35">
        <f>IF($A793="","",$D793-J793)</f>
        <v/>
      </c>
      <c r="L793" s="32">
        <f>IF($A793="","",H793/$D793)</f>
        <v/>
      </c>
      <c r="M793" s="28">
        <f>IF($A793="","",IF(OR(J793+$F793&gt;$D793+0.001,_xlfn.MAXIFS(Stangenbelegung!$H$5:$H$10004,Stangenbelegung!$A$5:$A$10004,$A793)&gt;$D793-$F793+0.001),"ÜBERBELEGT","OK"))</f>
        <v/>
      </c>
      <c r="N793" s="24" t="n"/>
      <c r="O793" s="24" t="n"/>
      <c r="P793" s="9" t="n"/>
      <c r="Q793" s="18">
        <f>IF($A793="","",IFERROR($D793/1000*INDEX(Profile!$K$5:$K$304,MATCH($B793,lst_Profil,0))*INDEX(Werkstoffe!$E$5:$E$304,MATCH($C793,lst_Werkstoff,0))/1000,""))</f>
        <v/>
      </c>
      <c r="R793" s="18">
        <f>IF($A793="","",IF(N(_xlfn.MAXIFS(Auftrag!$AP$13:$AP$512,Auftrag!$D$13:$D$512,$B793,Auftrag!$E$13:$E$512,$C793,Auftrag!$Q$13:$Q$512,$D793))&gt;0,_xlfn.MAXIFS(Auftrag!$AP$13:$AP$512,Auftrag!$D$13:$D$512,$B793,Auftrag!$E$13:$E$512,$C793,Auftrag!$Q$13:$Q$512,$D793)*$D793/1000,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9" t="n"/>
      <c r="E794" s="24" t="n"/>
      <c r="F794" s="24" t="n"/>
      <c r="G794" s="12">
        <f>IF($A794="","",COUNTIFS(Stangenbelegung!$A$5:$A$10004,$A794))</f>
        <v/>
      </c>
      <c r="H794" s="35">
        <f>IF($A794="","",SUMIFS(Stangenbelegung!$F$5:$F$10004,Stangenbelegung!$A$5:$A$10004,$A794))</f>
        <v/>
      </c>
      <c r="I794" s="23" t="n"/>
      <c r="J794" s="35">
        <f>IF($A794="","",$E794+H794+$I794)</f>
        <v/>
      </c>
      <c r="K794" s="35">
        <f>IF($A794="","",$D794-J794)</f>
        <v/>
      </c>
      <c r="L794" s="32">
        <f>IF($A794="","",H794/$D794)</f>
        <v/>
      </c>
      <c r="M794" s="28">
        <f>IF($A794="","",IF(OR(J794+$F794&gt;$D794+0.001,_xlfn.MAXIFS(Stangenbelegung!$H$5:$H$10004,Stangenbelegung!$A$5:$A$10004,$A794)&gt;$D794-$F794+0.001),"ÜBERBELEGT","OK"))</f>
        <v/>
      </c>
      <c r="N794" s="24" t="n"/>
      <c r="O794" s="24" t="n"/>
      <c r="P794" s="9" t="n"/>
      <c r="Q794" s="18">
        <f>IF($A794="","",IFERROR($D794/1000*INDEX(Profile!$K$5:$K$304,MATCH($B794,lst_Profil,0))*INDEX(Werkstoffe!$E$5:$E$304,MATCH($C794,lst_Werkstoff,0))/1000,""))</f>
        <v/>
      </c>
      <c r="R794" s="18">
        <f>IF($A794="","",IF(N(_xlfn.MAXIFS(Auftrag!$AP$13:$AP$512,Auftrag!$D$13:$D$512,$B794,Auftrag!$E$13:$E$512,$C794,Auftrag!$Q$13:$Q$512,$D794))&gt;0,_xlfn.MAXIFS(Auftrag!$AP$13:$AP$512,Auftrag!$D$13:$D$512,$B794,Auftrag!$E$13:$E$512,$C794,Auftrag!$Q$13:$Q$512,$D794)*$D794/1000,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9" t="n"/>
      <c r="E795" s="24" t="n"/>
      <c r="F795" s="24" t="n"/>
      <c r="G795" s="12">
        <f>IF($A795="","",COUNTIFS(Stangenbelegung!$A$5:$A$10004,$A795))</f>
        <v/>
      </c>
      <c r="H795" s="35">
        <f>IF($A795="","",SUMIFS(Stangenbelegung!$F$5:$F$10004,Stangenbelegung!$A$5:$A$10004,$A795))</f>
        <v/>
      </c>
      <c r="I795" s="23" t="n"/>
      <c r="J795" s="35">
        <f>IF($A795="","",$E795+H795+$I795)</f>
        <v/>
      </c>
      <c r="K795" s="35">
        <f>IF($A795="","",$D795-J795)</f>
        <v/>
      </c>
      <c r="L795" s="32">
        <f>IF($A795="","",H795/$D795)</f>
        <v/>
      </c>
      <c r="M795" s="28">
        <f>IF($A795="","",IF(OR(J795+$F795&gt;$D795+0.001,_xlfn.MAXIFS(Stangenbelegung!$H$5:$H$10004,Stangenbelegung!$A$5:$A$10004,$A795)&gt;$D795-$F795+0.001),"ÜBERBELEGT","OK"))</f>
        <v/>
      </c>
      <c r="N795" s="24" t="n"/>
      <c r="O795" s="24" t="n"/>
      <c r="P795" s="9" t="n"/>
      <c r="Q795" s="18">
        <f>IF($A795="","",IFERROR($D795/1000*INDEX(Profile!$K$5:$K$304,MATCH($B795,lst_Profil,0))*INDEX(Werkstoffe!$E$5:$E$304,MATCH($C795,lst_Werkstoff,0))/1000,""))</f>
        <v/>
      </c>
      <c r="R795" s="18">
        <f>IF($A795="","",IF(N(_xlfn.MAXIFS(Auftrag!$AP$13:$AP$512,Auftrag!$D$13:$D$512,$B795,Auftrag!$E$13:$E$512,$C795,Auftrag!$Q$13:$Q$512,$D795))&gt;0,_xlfn.MAXIFS(Auftrag!$AP$13:$AP$512,Auftrag!$D$13:$D$512,$B795,Auftrag!$E$13:$E$512,$C795,Auftrag!$Q$13:$Q$512,$D795)*$D795/1000,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9" t="n"/>
      <c r="E796" s="24" t="n"/>
      <c r="F796" s="24" t="n"/>
      <c r="G796" s="12">
        <f>IF($A796="","",COUNTIFS(Stangenbelegung!$A$5:$A$10004,$A796))</f>
        <v/>
      </c>
      <c r="H796" s="35">
        <f>IF($A796="","",SUMIFS(Stangenbelegung!$F$5:$F$10004,Stangenbelegung!$A$5:$A$10004,$A796))</f>
        <v/>
      </c>
      <c r="I796" s="23" t="n"/>
      <c r="J796" s="35">
        <f>IF($A796="","",$E796+H796+$I796)</f>
        <v/>
      </c>
      <c r="K796" s="35">
        <f>IF($A796="","",$D796-J796)</f>
        <v/>
      </c>
      <c r="L796" s="32">
        <f>IF($A796="","",H796/$D796)</f>
        <v/>
      </c>
      <c r="M796" s="28">
        <f>IF($A796="","",IF(OR(J796+$F796&gt;$D796+0.001,_xlfn.MAXIFS(Stangenbelegung!$H$5:$H$10004,Stangenbelegung!$A$5:$A$10004,$A796)&gt;$D796-$F796+0.001),"ÜBERBELEGT","OK"))</f>
        <v/>
      </c>
      <c r="N796" s="24" t="n"/>
      <c r="O796" s="24" t="n"/>
      <c r="P796" s="9" t="n"/>
      <c r="Q796" s="18">
        <f>IF($A796="","",IFERROR($D796/1000*INDEX(Profile!$K$5:$K$304,MATCH($B796,lst_Profil,0))*INDEX(Werkstoffe!$E$5:$E$304,MATCH($C796,lst_Werkstoff,0))/1000,""))</f>
        <v/>
      </c>
      <c r="R796" s="18">
        <f>IF($A796="","",IF(N(_xlfn.MAXIFS(Auftrag!$AP$13:$AP$512,Auftrag!$D$13:$D$512,$B796,Auftrag!$E$13:$E$512,$C796,Auftrag!$Q$13:$Q$512,$D796))&gt;0,_xlfn.MAXIFS(Auftrag!$AP$13:$AP$512,Auftrag!$D$13:$D$512,$B796,Auftrag!$E$13:$E$512,$C796,Auftrag!$Q$13:$Q$512,$D796)*$D796/1000,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9" t="n"/>
      <c r="E797" s="24" t="n"/>
      <c r="F797" s="24" t="n"/>
      <c r="G797" s="12">
        <f>IF($A797="","",COUNTIFS(Stangenbelegung!$A$5:$A$10004,$A797))</f>
        <v/>
      </c>
      <c r="H797" s="35">
        <f>IF($A797="","",SUMIFS(Stangenbelegung!$F$5:$F$10004,Stangenbelegung!$A$5:$A$10004,$A797))</f>
        <v/>
      </c>
      <c r="I797" s="23" t="n"/>
      <c r="J797" s="35">
        <f>IF($A797="","",$E797+H797+$I797)</f>
        <v/>
      </c>
      <c r="K797" s="35">
        <f>IF($A797="","",$D797-J797)</f>
        <v/>
      </c>
      <c r="L797" s="32">
        <f>IF($A797="","",H797/$D797)</f>
        <v/>
      </c>
      <c r="M797" s="28">
        <f>IF($A797="","",IF(OR(J797+$F797&gt;$D797+0.001,_xlfn.MAXIFS(Stangenbelegung!$H$5:$H$10004,Stangenbelegung!$A$5:$A$10004,$A797)&gt;$D797-$F797+0.001),"ÜBERBELEGT","OK"))</f>
        <v/>
      </c>
      <c r="N797" s="24" t="n"/>
      <c r="O797" s="24" t="n"/>
      <c r="P797" s="9" t="n"/>
      <c r="Q797" s="18">
        <f>IF($A797="","",IFERROR($D797/1000*INDEX(Profile!$K$5:$K$304,MATCH($B797,lst_Profil,0))*INDEX(Werkstoffe!$E$5:$E$304,MATCH($C797,lst_Werkstoff,0))/1000,""))</f>
        <v/>
      </c>
      <c r="R797" s="18">
        <f>IF($A797="","",IF(N(_xlfn.MAXIFS(Auftrag!$AP$13:$AP$512,Auftrag!$D$13:$D$512,$B797,Auftrag!$E$13:$E$512,$C797,Auftrag!$Q$13:$Q$512,$D797))&gt;0,_xlfn.MAXIFS(Auftrag!$AP$13:$AP$512,Auftrag!$D$13:$D$512,$B797,Auftrag!$E$13:$E$512,$C797,Auftrag!$Q$13:$Q$512,$D797)*$D797/1000,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9" t="n"/>
      <c r="E798" s="24" t="n"/>
      <c r="F798" s="24" t="n"/>
      <c r="G798" s="12">
        <f>IF($A798="","",COUNTIFS(Stangenbelegung!$A$5:$A$10004,$A798))</f>
        <v/>
      </c>
      <c r="H798" s="35">
        <f>IF($A798="","",SUMIFS(Stangenbelegung!$F$5:$F$10004,Stangenbelegung!$A$5:$A$10004,$A798))</f>
        <v/>
      </c>
      <c r="I798" s="23" t="n"/>
      <c r="J798" s="35">
        <f>IF($A798="","",$E798+H798+$I798)</f>
        <v/>
      </c>
      <c r="K798" s="35">
        <f>IF($A798="","",$D798-J798)</f>
        <v/>
      </c>
      <c r="L798" s="32">
        <f>IF($A798="","",H798/$D798)</f>
        <v/>
      </c>
      <c r="M798" s="28">
        <f>IF($A798="","",IF(OR(J798+$F798&gt;$D798+0.001,_xlfn.MAXIFS(Stangenbelegung!$H$5:$H$10004,Stangenbelegung!$A$5:$A$10004,$A798)&gt;$D798-$F798+0.001),"ÜBERBELEGT","OK"))</f>
        <v/>
      </c>
      <c r="N798" s="24" t="n"/>
      <c r="O798" s="24" t="n"/>
      <c r="P798" s="9" t="n"/>
      <c r="Q798" s="18">
        <f>IF($A798="","",IFERROR($D798/1000*INDEX(Profile!$K$5:$K$304,MATCH($B798,lst_Profil,0))*INDEX(Werkstoffe!$E$5:$E$304,MATCH($C798,lst_Werkstoff,0))/1000,""))</f>
        <v/>
      </c>
      <c r="R798" s="18">
        <f>IF($A798="","",IF(N(_xlfn.MAXIFS(Auftrag!$AP$13:$AP$512,Auftrag!$D$13:$D$512,$B798,Auftrag!$E$13:$E$512,$C798,Auftrag!$Q$13:$Q$512,$D798))&gt;0,_xlfn.MAXIFS(Auftrag!$AP$13:$AP$512,Auftrag!$D$13:$D$512,$B798,Auftrag!$E$13:$E$512,$C798,Auftrag!$Q$13:$Q$512,$D798)*$D798/1000,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9" t="n"/>
      <c r="E799" s="24" t="n"/>
      <c r="F799" s="24" t="n"/>
      <c r="G799" s="12">
        <f>IF($A799="","",COUNTIFS(Stangenbelegung!$A$5:$A$10004,$A799))</f>
        <v/>
      </c>
      <c r="H799" s="35">
        <f>IF($A799="","",SUMIFS(Stangenbelegung!$F$5:$F$10004,Stangenbelegung!$A$5:$A$10004,$A799))</f>
        <v/>
      </c>
      <c r="I799" s="23" t="n"/>
      <c r="J799" s="35">
        <f>IF($A799="","",$E799+H799+$I799)</f>
        <v/>
      </c>
      <c r="K799" s="35">
        <f>IF($A799="","",$D799-J799)</f>
        <v/>
      </c>
      <c r="L799" s="32">
        <f>IF($A799="","",H799/$D799)</f>
        <v/>
      </c>
      <c r="M799" s="28">
        <f>IF($A799="","",IF(OR(J799+$F799&gt;$D799+0.001,_xlfn.MAXIFS(Stangenbelegung!$H$5:$H$10004,Stangenbelegung!$A$5:$A$10004,$A799)&gt;$D799-$F799+0.001),"ÜBERBELEGT","OK"))</f>
        <v/>
      </c>
      <c r="N799" s="24" t="n"/>
      <c r="O799" s="24" t="n"/>
      <c r="P799" s="9" t="n"/>
      <c r="Q799" s="18">
        <f>IF($A799="","",IFERROR($D799/1000*INDEX(Profile!$K$5:$K$304,MATCH($B799,lst_Profil,0))*INDEX(Werkstoffe!$E$5:$E$304,MATCH($C799,lst_Werkstoff,0))/1000,""))</f>
        <v/>
      </c>
      <c r="R799" s="18">
        <f>IF($A799="","",IF(N(_xlfn.MAXIFS(Auftrag!$AP$13:$AP$512,Auftrag!$D$13:$D$512,$B799,Auftrag!$E$13:$E$512,$C799,Auftrag!$Q$13:$Q$512,$D799))&gt;0,_xlfn.MAXIFS(Auftrag!$AP$13:$AP$512,Auftrag!$D$13:$D$512,$B799,Auftrag!$E$13:$E$512,$C799,Auftrag!$Q$13:$Q$512,$D799)*$D799/1000,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9" t="n"/>
      <c r="E800" s="24" t="n"/>
      <c r="F800" s="24" t="n"/>
      <c r="G800" s="12">
        <f>IF($A800="","",COUNTIFS(Stangenbelegung!$A$5:$A$10004,$A800))</f>
        <v/>
      </c>
      <c r="H800" s="35">
        <f>IF($A800="","",SUMIFS(Stangenbelegung!$F$5:$F$10004,Stangenbelegung!$A$5:$A$10004,$A800))</f>
        <v/>
      </c>
      <c r="I800" s="23" t="n"/>
      <c r="J800" s="35">
        <f>IF($A800="","",$E800+H800+$I800)</f>
        <v/>
      </c>
      <c r="K800" s="35">
        <f>IF($A800="","",$D800-J800)</f>
        <v/>
      </c>
      <c r="L800" s="32">
        <f>IF($A800="","",H800/$D800)</f>
        <v/>
      </c>
      <c r="M800" s="28">
        <f>IF($A800="","",IF(OR(J800+$F800&gt;$D800+0.001,_xlfn.MAXIFS(Stangenbelegung!$H$5:$H$10004,Stangenbelegung!$A$5:$A$10004,$A800)&gt;$D800-$F800+0.001),"ÜBERBELEGT","OK"))</f>
        <v/>
      </c>
      <c r="N800" s="24" t="n"/>
      <c r="O800" s="24" t="n"/>
      <c r="P800" s="9" t="n"/>
      <c r="Q800" s="18">
        <f>IF($A800="","",IFERROR($D800/1000*INDEX(Profile!$K$5:$K$304,MATCH($B800,lst_Profil,0))*INDEX(Werkstoffe!$E$5:$E$304,MATCH($C800,lst_Werkstoff,0))/1000,""))</f>
        <v/>
      </c>
      <c r="R800" s="18">
        <f>IF($A800="","",IF(N(_xlfn.MAXIFS(Auftrag!$AP$13:$AP$512,Auftrag!$D$13:$D$512,$B800,Auftrag!$E$13:$E$512,$C800,Auftrag!$Q$13:$Q$512,$D800))&gt;0,_xlfn.MAXIFS(Auftrag!$AP$13:$AP$512,Auftrag!$D$13:$D$512,$B800,Auftrag!$E$13:$E$512,$C800,Auftrag!$Q$13:$Q$512,$D800)*$D800/1000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9" t="n"/>
      <c r="E801" s="24" t="n"/>
      <c r="F801" s="24" t="n"/>
      <c r="G801" s="12">
        <f>IF($A801="","",COUNTIFS(Stangenbelegung!$A$5:$A$10004,$A801))</f>
        <v/>
      </c>
      <c r="H801" s="35">
        <f>IF($A801="","",SUMIFS(Stangenbelegung!$F$5:$F$10004,Stangenbelegung!$A$5:$A$10004,$A801))</f>
        <v/>
      </c>
      <c r="I801" s="23" t="n"/>
      <c r="J801" s="35">
        <f>IF($A801="","",$E801+H801+$I801)</f>
        <v/>
      </c>
      <c r="K801" s="35">
        <f>IF($A801="","",$D801-J801)</f>
        <v/>
      </c>
      <c r="L801" s="32">
        <f>IF($A801="","",H801/$D801)</f>
        <v/>
      </c>
      <c r="M801" s="28">
        <f>IF($A801="","",IF(OR(J801+$F801&gt;$D801+0.001,_xlfn.MAXIFS(Stangenbelegung!$H$5:$H$10004,Stangenbelegung!$A$5:$A$10004,$A801)&gt;$D801-$F801+0.001),"ÜBERBELEGT","OK"))</f>
        <v/>
      </c>
      <c r="N801" s="24" t="n"/>
      <c r="O801" s="24" t="n"/>
      <c r="P801" s="9" t="n"/>
      <c r="Q801" s="18">
        <f>IF($A801="","",IFERROR($D801/1000*INDEX(Profile!$K$5:$K$304,MATCH($B801,lst_Profil,0))*INDEX(Werkstoffe!$E$5:$E$304,MATCH($C801,lst_Werkstoff,0))/1000,""))</f>
        <v/>
      </c>
      <c r="R801" s="18">
        <f>IF($A801="","",IF(N(_xlfn.MAXIFS(Auftrag!$AP$13:$AP$512,Auftrag!$D$13:$D$512,$B801,Auftrag!$E$13:$E$512,$C801,Auftrag!$Q$13:$Q$512,$D801))&gt;0,_xlfn.MAXIFS(Auftrag!$AP$13:$AP$512,Auftrag!$D$13:$D$512,$B801,Auftrag!$E$13:$E$512,$C801,Auftrag!$Q$13:$Q$512,$D801)*$D801/1000,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9" t="n"/>
      <c r="E802" s="24" t="n"/>
      <c r="F802" s="24" t="n"/>
      <c r="G802" s="12">
        <f>IF($A802="","",COUNTIFS(Stangenbelegung!$A$5:$A$10004,$A802))</f>
        <v/>
      </c>
      <c r="H802" s="35">
        <f>IF($A802="","",SUMIFS(Stangenbelegung!$F$5:$F$10004,Stangenbelegung!$A$5:$A$10004,$A802))</f>
        <v/>
      </c>
      <c r="I802" s="23" t="n"/>
      <c r="J802" s="35">
        <f>IF($A802="","",$E802+H802+$I802)</f>
        <v/>
      </c>
      <c r="K802" s="35">
        <f>IF($A802="","",$D802-J802)</f>
        <v/>
      </c>
      <c r="L802" s="32">
        <f>IF($A802="","",H802/$D802)</f>
        <v/>
      </c>
      <c r="M802" s="28">
        <f>IF($A802="","",IF(OR(J802+$F802&gt;$D802+0.001,_xlfn.MAXIFS(Stangenbelegung!$H$5:$H$10004,Stangenbelegung!$A$5:$A$10004,$A802)&gt;$D802-$F802+0.001),"ÜBERBELEGT","OK"))</f>
        <v/>
      </c>
      <c r="N802" s="24" t="n"/>
      <c r="O802" s="24" t="n"/>
      <c r="P802" s="9" t="n"/>
      <c r="Q802" s="18">
        <f>IF($A802="","",IFERROR($D802/1000*INDEX(Profile!$K$5:$K$304,MATCH($B802,lst_Profil,0))*INDEX(Werkstoffe!$E$5:$E$304,MATCH($C802,lst_Werkstoff,0))/1000,""))</f>
        <v/>
      </c>
      <c r="R802" s="18">
        <f>IF($A802="","",IF(N(_xlfn.MAXIFS(Auftrag!$AP$13:$AP$512,Auftrag!$D$13:$D$512,$B802,Auftrag!$E$13:$E$512,$C802,Auftrag!$Q$13:$Q$512,$D802))&gt;0,_xlfn.MAXIFS(Auftrag!$AP$13:$AP$512,Auftrag!$D$13:$D$512,$B802,Auftrag!$E$13:$E$512,$C802,Auftrag!$Q$13:$Q$512,$D802)*$D802/1000,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9" t="n"/>
      <c r="E803" s="24" t="n"/>
      <c r="F803" s="24" t="n"/>
      <c r="G803" s="12">
        <f>IF($A803="","",COUNTIFS(Stangenbelegung!$A$5:$A$10004,$A803))</f>
        <v/>
      </c>
      <c r="H803" s="35">
        <f>IF($A803="","",SUMIFS(Stangenbelegung!$F$5:$F$10004,Stangenbelegung!$A$5:$A$10004,$A803))</f>
        <v/>
      </c>
      <c r="I803" s="23" t="n"/>
      <c r="J803" s="35">
        <f>IF($A803="","",$E803+H803+$I803)</f>
        <v/>
      </c>
      <c r="K803" s="35">
        <f>IF($A803="","",$D803-J803)</f>
        <v/>
      </c>
      <c r="L803" s="32">
        <f>IF($A803="","",H803/$D803)</f>
        <v/>
      </c>
      <c r="M803" s="28">
        <f>IF($A803="","",IF(OR(J803+$F803&gt;$D803+0.001,_xlfn.MAXIFS(Stangenbelegung!$H$5:$H$10004,Stangenbelegung!$A$5:$A$10004,$A803)&gt;$D803-$F803+0.001),"ÜBERBELEGT","OK"))</f>
        <v/>
      </c>
      <c r="N803" s="24" t="n"/>
      <c r="O803" s="24" t="n"/>
      <c r="P803" s="9" t="n"/>
      <c r="Q803" s="18">
        <f>IF($A803="","",IFERROR($D803/1000*INDEX(Profile!$K$5:$K$304,MATCH($B803,lst_Profil,0))*INDEX(Werkstoffe!$E$5:$E$304,MATCH($C803,lst_Werkstoff,0))/1000,""))</f>
        <v/>
      </c>
      <c r="R803" s="18">
        <f>IF($A803="","",IF(N(_xlfn.MAXIFS(Auftrag!$AP$13:$AP$512,Auftrag!$D$13:$D$512,$B803,Auftrag!$E$13:$E$512,$C803,Auftrag!$Q$13:$Q$512,$D803))&gt;0,_xlfn.MAXIFS(Auftrag!$AP$13:$AP$512,Auftrag!$D$13:$D$512,$B803,Auftrag!$E$13:$E$512,$C803,Auftrag!$Q$13:$Q$512,$D803)*$D803/1000,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9" t="n"/>
      <c r="E804" s="24" t="n"/>
      <c r="F804" s="24" t="n"/>
      <c r="G804" s="12">
        <f>IF($A804="","",COUNTIFS(Stangenbelegung!$A$5:$A$10004,$A804))</f>
        <v/>
      </c>
      <c r="H804" s="35">
        <f>IF($A804="","",SUMIFS(Stangenbelegung!$F$5:$F$10004,Stangenbelegung!$A$5:$A$10004,$A804))</f>
        <v/>
      </c>
      <c r="I804" s="23" t="n"/>
      <c r="J804" s="35">
        <f>IF($A804="","",$E804+H804+$I804)</f>
        <v/>
      </c>
      <c r="K804" s="35">
        <f>IF($A804="","",$D804-J804)</f>
        <v/>
      </c>
      <c r="L804" s="32">
        <f>IF($A804="","",H804/$D804)</f>
        <v/>
      </c>
      <c r="M804" s="28">
        <f>IF($A804="","",IF(OR(J804+$F804&gt;$D804+0.001,_xlfn.MAXIFS(Stangenbelegung!$H$5:$H$10004,Stangenbelegung!$A$5:$A$10004,$A804)&gt;$D804-$F804+0.001),"ÜBERBELEGT","OK"))</f>
        <v/>
      </c>
      <c r="N804" s="24" t="n"/>
      <c r="O804" s="24" t="n"/>
      <c r="P804" s="9" t="n"/>
      <c r="Q804" s="18">
        <f>IF($A804="","",IFERROR($D804/1000*INDEX(Profile!$K$5:$K$304,MATCH($B804,lst_Profil,0))*INDEX(Werkstoffe!$E$5:$E$304,MATCH($C804,lst_Werkstoff,0))/1000,""))</f>
        <v/>
      </c>
      <c r="R804" s="18">
        <f>IF($A804="","",IF(N(_xlfn.MAXIFS(Auftrag!$AP$13:$AP$512,Auftrag!$D$13:$D$512,$B804,Auftrag!$E$13:$E$512,$C804,Auftrag!$Q$13:$Q$512,$D804))&gt;0,_xlfn.MAXIFS(Auftrag!$AP$13:$AP$512,Auftrag!$D$13:$D$512,$B804,Auftrag!$E$13:$E$512,$C804,Auftrag!$Q$13:$Q$512,$D804)*$D804/1000,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9" t="n"/>
      <c r="E805" s="24" t="n"/>
      <c r="F805" s="24" t="n"/>
      <c r="G805" s="12">
        <f>IF($A805="","",COUNTIFS(Stangenbelegung!$A$5:$A$10004,$A805))</f>
        <v/>
      </c>
      <c r="H805" s="35">
        <f>IF($A805="","",SUMIFS(Stangenbelegung!$F$5:$F$10004,Stangenbelegung!$A$5:$A$10004,$A805))</f>
        <v/>
      </c>
      <c r="I805" s="23" t="n"/>
      <c r="J805" s="35">
        <f>IF($A805="","",$E805+H805+$I805)</f>
        <v/>
      </c>
      <c r="K805" s="35">
        <f>IF($A805="","",$D805-J805)</f>
        <v/>
      </c>
      <c r="L805" s="32">
        <f>IF($A805="","",H805/$D805)</f>
        <v/>
      </c>
      <c r="M805" s="28">
        <f>IF($A805="","",IF(OR(J805+$F805&gt;$D805+0.001,_xlfn.MAXIFS(Stangenbelegung!$H$5:$H$10004,Stangenbelegung!$A$5:$A$10004,$A805)&gt;$D805-$F805+0.001),"ÜBERBELEGT","OK"))</f>
        <v/>
      </c>
      <c r="N805" s="24" t="n"/>
      <c r="O805" s="24" t="n"/>
      <c r="P805" s="9" t="n"/>
      <c r="Q805" s="18">
        <f>IF($A805="","",IFERROR($D805/1000*INDEX(Profile!$K$5:$K$304,MATCH($B805,lst_Profil,0))*INDEX(Werkstoffe!$E$5:$E$304,MATCH($C805,lst_Werkstoff,0))/1000,""))</f>
        <v/>
      </c>
      <c r="R805" s="18">
        <f>IF($A805="","",IF(N(_xlfn.MAXIFS(Auftrag!$AP$13:$AP$512,Auftrag!$D$13:$D$512,$B805,Auftrag!$E$13:$E$512,$C805,Auftrag!$Q$13:$Q$512,$D805))&gt;0,_xlfn.MAXIFS(Auftrag!$AP$13:$AP$512,Auftrag!$D$13:$D$512,$B805,Auftrag!$E$13:$E$512,$C805,Auftrag!$Q$13:$Q$512,$D805)*$D805/1000,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9" t="n"/>
      <c r="E806" s="24" t="n"/>
      <c r="F806" s="24" t="n"/>
      <c r="G806" s="12">
        <f>IF($A806="","",COUNTIFS(Stangenbelegung!$A$5:$A$10004,$A806))</f>
        <v/>
      </c>
      <c r="H806" s="35">
        <f>IF($A806="","",SUMIFS(Stangenbelegung!$F$5:$F$10004,Stangenbelegung!$A$5:$A$10004,$A806))</f>
        <v/>
      </c>
      <c r="I806" s="23" t="n"/>
      <c r="J806" s="35">
        <f>IF($A806="","",$E806+H806+$I806)</f>
        <v/>
      </c>
      <c r="K806" s="35">
        <f>IF($A806="","",$D806-J806)</f>
        <v/>
      </c>
      <c r="L806" s="32">
        <f>IF($A806="","",H806/$D806)</f>
        <v/>
      </c>
      <c r="M806" s="28">
        <f>IF($A806="","",IF(OR(J806+$F806&gt;$D806+0.001,_xlfn.MAXIFS(Stangenbelegung!$H$5:$H$10004,Stangenbelegung!$A$5:$A$10004,$A806)&gt;$D806-$F806+0.001),"ÜBERBELEGT","OK"))</f>
        <v/>
      </c>
      <c r="N806" s="24" t="n"/>
      <c r="O806" s="24" t="n"/>
      <c r="P806" s="9" t="n"/>
      <c r="Q806" s="18">
        <f>IF($A806="","",IFERROR($D806/1000*INDEX(Profile!$K$5:$K$304,MATCH($B806,lst_Profil,0))*INDEX(Werkstoffe!$E$5:$E$304,MATCH($C806,lst_Werkstoff,0))/1000,""))</f>
        <v/>
      </c>
      <c r="R806" s="18">
        <f>IF($A806="","",IF(N(_xlfn.MAXIFS(Auftrag!$AP$13:$AP$512,Auftrag!$D$13:$D$512,$B806,Auftrag!$E$13:$E$512,$C806,Auftrag!$Q$13:$Q$512,$D806))&gt;0,_xlfn.MAXIFS(Auftrag!$AP$13:$AP$512,Auftrag!$D$13:$D$512,$B806,Auftrag!$E$13:$E$512,$C806,Auftrag!$Q$13:$Q$512,$D806)*$D806/1000,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9" t="n"/>
      <c r="E807" s="24" t="n"/>
      <c r="F807" s="24" t="n"/>
      <c r="G807" s="12">
        <f>IF($A807="","",COUNTIFS(Stangenbelegung!$A$5:$A$10004,$A807))</f>
        <v/>
      </c>
      <c r="H807" s="35">
        <f>IF($A807="","",SUMIFS(Stangenbelegung!$F$5:$F$10004,Stangenbelegung!$A$5:$A$10004,$A807))</f>
        <v/>
      </c>
      <c r="I807" s="23" t="n"/>
      <c r="J807" s="35">
        <f>IF($A807="","",$E807+H807+$I807)</f>
        <v/>
      </c>
      <c r="K807" s="35">
        <f>IF($A807="","",$D807-J807)</f>
        <v/>
      </c>
      <c r="L807" s="32">
        <f>IF($A807="","",H807/$D807)</f>
        <v/>
      </c>
      <c r="M807" s="28">
        <f>IF($A807="","",IF(OR(J807+$F807&gt;$D807+0.001,_xlfn.MAXIFS(Stangenbelegung!$H$5:$H$10004,Stangenbelegung!$A$5:$A$10004,$A807)&gt;$D807-$F807+0.001),"ÜBERBELEGT","OK"))</f>
        <v/>
      </c>
      <c r="N807" s="24" t="n"/>
      <c r="O807" s="24" t="n"/>
      <c r="P807" s="9" t="n"/>
      <c r="Q807" s="18">
        <f>IF($A807="","",IFERROR($D807/1000*INDEX(Profile!$K$5:$K$304,MATCH($B807,lst_Profil,0))*INDEX(Werkstoffe!$E$5:$E$304,MATCH($C807,lst_Werkstoff,0))/1000,""))</f>
        <v/>
      </c>
      <c r="R807" s="18">
        <f>IF($A807="","",IF(N(_xlfn.MAXIFS(Auftrag!$AP$13:$AP$512,Auftrag!$D$13:$D$512,$B807,Auftrag!$E$13:$E$512,$C807,Auftrag!$Q$13:$Q$512,$D807))&gt;0,_xlfn.MAXIFS(Auftrag!$AP$13:$AP$512,Auftrag!$D$13:$D$512,$B807,Auftrag!$E$13:$E$512,$C807,Auftrag!$Q$13:$Q$512,$D807)*$D807/1000,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9" t="n"/>
      <c r="E808" s="24" t="n"/>
      <c r="F808" s="24" t="n"/>
      <c r="G808" s="12">
        <f>IF($A808="","",COUNTIFS(Stangenbelegung!$A$5:$A$10004,$A808))</f>
        <v/>
      </c>
      <c r="H808" s="35">
        <f>IF($A808="","",SUMIFS(Stangenbelegung!$F$5:$F$10004,Stangenbelegung!$A$5:$A$10004,$A808))</f>
        <v/>
      </c>
      <c r="I808" s="23" t="n"/>
      <c r="J808" s="35">
        <f>IF($A808="","",$E808+H808+$I808)</f>
        <v/>
      </c>
      <c r="K808" s="35">
        <f>IF($A808="","",$D808-J808)</f>
        <v/>
      </c>
      <c r="L808" s="32">
        <f>IF($A808="","",H808/$D808)</f>
        <v/>
      </c>
      <c r="M808" s="28">
        <f>IF($A808="","",IF(OR(J808+$F808&gt;$D808+0.001,_xlfn.MAXIFS(Stangenbelegung!$H$5:$H$10004,Stangenbelegung!$A$5:$A$10004,$A808)&gt;$D808-$F808+0.001),"ÜBERBELEGT","OK"))</f>
        <v/>
      </c>
      <c r="N808" s="24" t="n"/>
      <c r="O808" s="24" t="n"/>
      <c r="P808" s="9" t="n"/>
      <c r="Q808" s="18">
        <f>IF($A808="","",IFERROR($D808/1000*INDEX(Profile!$K$5:$K$304,MATCH($B808,lst_Profil,0))*INDEX(Werkstoffe!$E$5:$E$304,MATCH($C808,lst_Werkstoff,0))/1000,""))</f>
        <v/>
      </c>
      <c r="R808" s="18">
        <f>IF($A808="","",IF(N(_xlfn.MAXIFS(Auftrag!$AP$13:$AP$512,Auftrag!$D$13:$D$512,$B808,Auftrag!$E$13:$E$512,$C808,Auftrag!$Q$13:$Q$512,$D808))&gt;0,_xlfn.MAXIFS(Auftrag!$AP$13:$AP$512,Auftrag!$D$13:$D$512,$B808,Auftrag!$E$13:$E$512,$C808,Auftrag!$Q$13:$Q$512,$D808)*$D808/1000,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9" t="n"/>
      <c r="E809" s="24" t="n"/>
      <c r="F809" s="24" t="n"/>
      <c r="G809" s="12">
        <f>IF($A809="","",COUNTIFS(Stangenbelegung!$A$5:$A$10004,$A809))</f>
        <v/>
      </c>
      <c r="H809" s="35">
        <f>IF($A809="","",SUMIFS(Stangenbelegung!$F$5:$F$10004,Stangenbelegung!$A$5:$A$10004,$A809))</f>
        <v/>
      </c>
      <c r="I809" s="23" t="n"/>
      <c r="J809" s="35">
        <f>IF($A809="","",$E809+H809+$I809)</f>
        <v/>
      </c>
      <c r="K809" s="35">
        <f>IF($A809="","",$D809-J809)</f>
        <v/>
      </c>
      <c r="L809" s="32">
        <f>IF($A809="","",H809/$D809)</f>
        <v/>
      </c>
      <c r="M809" s="28">
        <f>IF($A809="","",IF(OR(J809+$F809&gt;$D809+0.001,_xlfn.MAXIFS(Stangenbelegung!$H$5:$H$10004,Stangenbelegung!$A$5:$A$10004,$A809)&gt;$D809-$F809+0.001),"ÜBERBELEGT","OK"))</f>
        <v/>
      </c>
      <c r="N809" s="24" t="n"/>
      <c r="O809" s="24" t="n"/>
      <c r="P809" s="9" t="n"/>
      <c r="Q809" s="18">
        <f>IF($A809="","",IFERROR($D809/1000*INDEX(Profile!$K$5:$K$304,MATCH($B809,lst_Profil,0))*INDEX(Werkstoffe!$E$5:$E$304,MATCH($C809,lst_Werkstoff,0))/1000,""))</f>
        <v/>
      </c>
      <c r="R809" s="18">
        <f>IF($A809="","",IF(N(_xlfn.MAXIFS(Auftrag!$AP$13:$AP$512,Auftrag!$D$13:$D$512,$B809,Auftrag!$E$13:$E$512,$C809,Auftrag!$Q$13:$Q$512,$D809))&gt;0,_xlfn.MAXIFS(Auftrag!$AP$13:$AP$512,Auftrag!$D$13:$D$512,$B809,Auftrag!$E$13:$E$512,$C809,Auftrag!$Q$13:$Q$512,$D809)*$D809/1000,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9" t="n"/>
      <c r="E810" s="24" t="n"/>
      <c r="F810" s="24" t="n"/>
      <c r="G810" s="12">
        <f>IF($A810="","",COUNTIFS(Stangenbelegung!$A$5:$A$10004,$A810))</f>
        <v/>
      </c>
      <c r="H810" s="35">
        <f>IF($A810="","",SUMIFS(Stangenbelegung!$F$5:$F$10004,Stangenbelegung!$A$5:$A$10004,$A810))</f>
        <v/>
      </c>
      <c r="I810" s="23" t="n"/>
      <c r="J810" s="35">
        <f>IF($A810="","",$E810+H810+$I810)</f>
        <v/>
      </c>
      <c r="K810" s="35">
        <f>IF($A810="","",$D810-J810)</f>
        <v/>
      </c>
      <c r="L810" s="32">
        <f>IF($A810="","",H810/$D810)</f>
        <v/>
      </c>
      <c r="M810" s="28">
        <f>IF($A810="","",IF(OR(J810+$F810&gt;$D810+0.001,_xlfn.MAXIFS(Stangenbelegung!$H$5:$H$10004,Stangenbelegung!$A$5:$A$10004,$A810)&gt;$D810-$F810+0.001),"ÜBERBELEGT","OK"))</f>
        <v/>
      </c>
      <c r="N810" s="24" t="n"/>
      <c r="O810" s="24" t="n"/>
      <c r="P810" s="9" t="n"/>
      <c r="Q810" s="18">
        <f>IF($A810="","",IFERROR($D810/1000*INDEX(Profile!$K$5:$K$304,MATCH($B810,lst_Profil,0))*INDEX(Werkstoffe!$E$5:$E$304,MATCH($C810,lst_Werkstoff,0))/1000,""))</f>
        <v/>
      </c>
      <c r="R810" s="18">
        <f>IF($A810="","",IF(N(_xlfn.MAXIFS(Auftrag!$AP$13:$AP$512,Auftrag!$D$13:$D$512,$B810,Auftrag!$E$13:$E$512,$C810,Auftrag!$Q$13:$Q$512,$D810))&gt;0,_xlfn.MAXIFS(Auftrag!$AP$13:$AP$512,Auftrag!$D$13:$D$512,$B810,Auftrag!$E$13:$E$512,$C810,Auftrag!$Q$13:$Q$512,$D810)*$D810/1000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9" t="n"/>
      <c r="E811" s="24" t="n"/>
      <c r="F811" s="24" t="n"/>
      <c r="G811" s="12">
        <f>IF($A811="","",COUNTIFS(Stangenbelegung!$A$5:$A$10004,$A811))</f>
        <v/>
      </c>
      <c r="H811" s="35">
        <f>IF($A811="","",SUMIFS(Stangenbelegung!$F$5:$F$10004,Stangenbelegung!$A$5:$A$10004,$A811))</f>
        <v/>
      </c>
      <c r="I811" s="23" t="n"/>
      <c r="J811" s="35">
        <f>IF($A811="","",$E811+H811+$I811)</f>
        <v/>
      </c>
      <c r="K811" s="35">
        <f>IF($A811="","",$D811-J811)</f>
        <v/>
      </c>
      <c r="L811" s="32">
        <f>IF($A811="","",H811/$D811)</f>
        <v/>
      </c>
      <c r="M811" s="28">
        <f>IF($A811="","",IF(OR(J811+$F811&gt;$D811+0.001,_xlfn.MAXIFS(Stangenbelegung!$H$5:$H$10004,Stangenbelegung!$A$5:$A$10004,$A811)&gt;$D811-$F811+0.001),"ÜBERBELEGT","OK"))</f>
        <v/>
      </c>
      <c r="N811" s="24" t="n"/>
      <c r="O811" s="24" t="n"/>
      <c r="P811" s="9" t="n"/>
      <c r="Q811" s="18">
        <f>IF($A811="","",IFERROR($D811/1000*INDEX(Profile!$K$5:$K$304,MATCH($B811,lst_Profil,0))*INDEX(Werkstoffe!$E$5:$E$304,MATCH($C811,lst_Werkstoff,0))/1000,""))</f>
        <v/>
      </c>
      <c r="R811" s="18">
        <f>IF($A811="","",IF(N(_xlfn.MAXIFS(Auftrag!$AP$13:$AP$512,Auftrag!$D$13:$D$512,$B811,Auftrag!$E$13:$E$512,$C811,Auftrag!$Q$13:$Q$512,$D811))&gt;0,_xlfn.MAXIFS(Auftrag!$AP$13:$AP$512,Auftrag!$D$13:$D$512,$B811,Auftrag!$E$13:$E$512,$C811,Auftrag!$Q$13:$Q$512,$D811)*$D811/1000,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9" t="n"/>
      <c r="E812" s="24" t="n"/>
      <c r="F812" s="24" t="n"/>
      <c r="G812" s="12">
        <f>IF($A812="","",COUNTIFS(Stangenbelegung!$A$5:$A$10004,$A812))</f>
        <v/>
      </c>
      <c r="H812" s="35">
        <f>IF($A812="","",SUMIFS(Stangenbelegung!$F$5:$F$10004,Stangenbelegung!$A$5:$A$10004,$A812))</f>
        <v/>
      </c>
      <c r="I812" s="23" t="n"/>
      <c r="J812" s="35">
        <f>IF($A812="","",$E812+H812+$I812)</f>
        <v/>
      </c>
      <c r="K812" s="35">
        <f>IF($A812="","",$D812-J812)</f>
        <v/>
      </c>
      <c r="L812" s="32">
        <f>IF($A812="","",H812/$D812)</f>
        <v/>
      </c>
      <c r="M812" s="28">
        <f>IF($A812="","",IF(OR(J812+$F812&gt;$D812+0.001,_xlfn.MAXIFS(Stangenbelegung!$H$5:$H$10004,Stangenbelegung!$A$5:$A$10004,$A812)&gt;$D812-$F812+0.001),"ÜBERBELEGT","OK"))</f>
        <v/>
      </c>
      <c r="N812" s="24" t="n"/>
      <c r="O812" s="24" t="n"/>
      <c r="P812" s="9" t="n"/>
      <c r="Q812" s="18">
        <f>IF($A812="","",IFERROR($D812/1000*INDEX(Profile!$K$5:$K$304,MATCH($B812,lst_Profil,0))*INDEX(Werkstoffe!$E$5:$E$304,MATCH($C812,lst_Werkstoff,0))/1000,""))</f>
        <v/>
      </c>
      <c r="R812" s="18">
        <f>IF($A812="","",IF(N(_xlfn.MAXIFS(Auftrag!$AP$13:$AP$512,Auftrag!$D$13:$D$512,$B812,Auftrag!$E$13:$E$512,$C812,Auftrag!$Q$13:$Q$512,$D812))&gt;0,_xlfn.MAXIFS(Auftrag!$AP$13:$AP$512,Auftrag!$D$13:$D$512,$B812,Auftrag!$E$13:$E$512,$C812,Auftrag!$Q$13:$Q$512,$D812)*$D812/1000,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9" t="n"/>
      <c r="E813" s="24" t="n"/>
      <c r="F813" s="24" t="n"/>
      <c r="G813" s="12">
        <f>IF($A813="","",COUNTIFS(Stangenbelegung!$A$5:$A$10004,$A813))</f>
        <v/>
      </c>
      <c r="H813" s="35">
        <f>IF($A813="","",SUMIFS(Stangenbelegung!$F$5:$F$10004,Stangenbelegung!$A$5:$A$10004,$A813))</f>
        <v/>
      </c>
      <c r="I813" s="23" t="n"/>
      <c r="J813" s="35">
        <f>IF($A813="","",$E813+H813+$I813)</f>
        <v/>
      </c>
      <c r="K813" s="35">
        <f>IF($A813="","",$D813-J813)</f>
        <v/>
      </c>
      <c r="L813" s="32">
        <f>IF($A813="","",H813/$D813)</f>
        <v/>
      </c>
      <c r="M813" s="28">
        <f>IF($A813="","",IF(OR(J813+$F813&gt;$D813+0.001,_xlfn.MAXIFS(Stangenbelegung!$H$5:$H$10004,Stangenbelegung!$A$5:$A$10004,$A813)&gt;$D813-$F813+0.001),"ÜBERBELEGT","OK"))</f>
        <v/>
      </c>
      <c r="N813" s="24" t="n"/>
      <c r="O813" s="24" t="n"/>
      <c r="P813" s="9" t="n"/>
      <c r="Q813" s="18">
        <f>IF($A813="","",IFERROR($D813/1000*INDEX(Profile!$K$5:$K$304,MATCH($B813,lst_Profil,0))*INDEX(Werkstoffe!$E$5:$E$304,MATCH($C813,lst_Werkstoff,0))/1000,""))</f>
        <v/>
      </c>
      <c r="R813" s="18">
        <f>IF($A813="","",IF(N(_xlfn.MAXIFS(Auftrag!$AP$13:$AP$512,Auftrag!$D$13:$D$512,$B813,Auftrag!$E$13:$E$512,$C813,Auftrag!$Q$13:$Q$512,$D813))&gt;0,_xlfn.MAXIFS(Auftrag!$AP$13:$AP$512,Auftrag!$D$13:$D$512,$B813,Auftrag!$E$13:$E$512,$C813,Auftrag!$Q$13:$Q$512,$D813)*$D813/1000,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9" t="n"/>
      <c r="E814" s="24" t="n"/>
      <c r="F814" s="24" t="n"/>
      <c r="G814" s="12">
        <f>IF($A814="","",COUNTIFS(Stangenbelegung!$A$5:$A$10004,$A814))</f>
        <v/>
      </c>
      <c r="H814" s="35">
        <f>IF($A814="","",SUMIFS(Stangenbelegung!$F$5:$F$10004,Stangenbelegung!$A$5:$A$10004,$A814))</f>
        <v/>
      </c>
      <c r="I814" s="23" t="n"/>
      <c r="J814" s="35">
        <f>IF($A814="","",$E814+H814+$I814)</f>
        <v/>
      </c>
      <c r="K814" s="35">
        <f>IF($A814="","",$D814-J814)</f>
        <v/>
      </c>
      <c r="L814" s="32">
        <f>IF($A814="","",H814/$D814)</f>
        <v/>
      </c>
      <c r="M814" s="28">
        <f>IF($A814="","",IF(OR(J814+$F814&gt;$D814+0.001,_xlfn.MAXIFS(Stangenbelegung!$H$5:$H$10004,Stangenbelegung!$A$5:$A$10004,$A814)&gt;$D814-$F814+0.001),"ÜBERBELEGT","OK"))</f>
        <v/>
      </c>
      <c r="N814" s="24" t="n"/>
      <c r="O814" s="24" t="n"/>
      <c r="P814" s="9" t="n"/>
      <c r="Q814" s="18">
        <f>IF($A814="","",IFERROR($D814/1000*INDEX(Profile!$K$5:$K$304,MATCH($B814,lst_Profil,0))*INDEX(Werkstoffe!$E$5:$E$304,MATCH($C814,lst_Werkstoff,0))/1000,""))</f>
        <v/>
      </c>
      <c r="R814" s="18">
        <f>IF($A814="","",IF(N(_xlfn.MAXIFS(Auftrag!$AP$13:$AP$512,Auftrag!$D$13:$D$512,$B814,Auftrag!$E$13:$E$512,$C814,Auftrag!$Q$13:$Q$512,$D814))&gt;0,_xlfn.MAXIFS(Auftrag!$AP$13:$AP$512,Auftrag!$D$13:$D$512,$B814,Auftrag!$E$13:$E$512,$C814,Auftrag!$Q$13:$Q$512,$D814)*$D814/1000,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9" t="n"/>
      <c r="E815" s="24" t="n"/>
      <c r="F815" s="24" t="n"/>
      <c r="G815" s="12">
        <f>IF($A815="","",COUNTIFS(Stangenbelegung!$A$5:$A$10004,$A815))</f>
        <v/>
      </c>
      <c r="H815" s="35">
        <f>IF($A815="","",SUMIFS(Stangenbelegung!$F$5:$F$10004,Stangenbelegung!$A$5:$A$10004,$A815))</f>
        <v/>
      </c>
      <c r="I815" s="23" t="n"/>
      <c r="J815" s="35">
        <f>IF($A815="","",$E815+H815+$I815)</f>
        <v/>
      </c>
      <c r="K815" s="35">
        <f>IF($A815="","",$D815-J815)</f>
        <v/>
      </c>
      <c r="L815" s="32">
        <f>IF($A815="","",H815/$D815)</f>
        <v/>
      </c>
      <c r="M815" s="28">
        <f>IF($A815="","",IF(OR(J815+$F815&gt;$D815+0.001,_xlfn.MAXIFS(Stangenbelegung!$H$5:$H$10004,Stangenbelegung!$A$5:$A$10004,$A815)&gt;$D815-$F815+0.001),"ÜBERBELEGT","OK"))</f>
        <v/>
      </c>
      <c r="N815" s="24" t="n"/>
      <c r="O815" s="24" t="n"/>
      <c r="P815" s="9" t="n"/>
      <c r="Q815" s="18">
        <f>IF($A815="","",IFERROR($D815/1000*INDEX(Profile!$K$5:$K$304,MATCH($B815,lst_Profil,0))*INDEX(Werkstoffe!$E$5:$E$304,MATCH($C815,lst_Werkstoff,0))/1000,""))</f>
        <v/>
      </c>
      <c r="R815" s="18">
        <f>IF($A815="","",IF(N(_xlfn.MAXIFS(Auftrag!$AP$13:$AP$512,Auftrag!$D$13:$D$512,$B815,Auftrag!$E$13:$E$512,$C815,Auftrag!$Q$13:$Q$512,$D815))&gt;0,_xlfn.MAXIFS(Auftrag!$AP$13:$AP$512,Auftrag!$D$13:$D$512,$B815,Auftrag!$E$13:$E$512,$C815,Auftrag!$Q$13:$Q$512,$D815)*$D815/1000,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9" t="n"/>
      <c r="E816" s="24" t="n"/>
      <c r="F816" s="24" t="n"/>
      <c r="G816" s="12">
        <f>IF($A816="","",COUNTIFS(Stangenbelegung!$A$5:$A$10004,$A816))</f>
        <v/>
      </c>
      <c r="H816" s="35">
        <f>IF($A816="","",SUMIFS(Stangenbelegung!$F$5:$F$10004,Stangenbelegung!$A$5:$A$10004,$A816))</f>
        <v/>
      </c>
      <c r="I816" s="23" t="n"/>
      <c r="J816" s="35">
        <f>IF($A816="","",$E816+H816+$I816)</f>
        <v/>
      </c>
      <c r="K816" s="35">
        <f>IF($A816="","",$D816-J816)</f>
        <v/>
      </c>
      <c r="L816" s="32">
        <f>IF($A816="","",H816/$D816)</f>
        <v/>
      </c>
      <c r="M816" s="28">
        <f>IF($A816="","",IF(OR(J816+$F816&gt;$D816+0.001,_xlfn.MAXIFS(Stangenbelegung!$H$5:$H$10004,Stangenbelegung!$A$5:$A$10004,$A816)&gt;$D816-$F816+0.001),"ÜBERBELEGT","OK"))</f>
        <v/>
      </c>
      <c r="N816" s="24" t="n"/>
      <c r="O816" s="24" t="n"/>
      <c r="P816" s="9" t="n"/>
      <c r="Q816" s="18">
        <f>IF($A816="","",IFERROR($D816/1000*INDEX(Profile!$K$5:$K$304,MATCH($B816,lst_Profil,0))*INDEX(Werkstoffe!$E$5:$E$304,MATCH($C816,lst_Werkstoff,0))/1000,""))</f>
        <v/>
      </c>
      <c r="R816" s="18">
        <f>IF($A816="","",IF(N(_xlfn.MAXIFS(Auftrag!$AP$13:$AP$512,Auftrag!$D$13:$D$512,$B816,Auftrag!$E$13:$E$512,$C816,Auftrag!$Q$13:$Q$512,$D816))&gt;0,_xlfn.MAXIFS(Auftrag!$AP$13:$AP$512,Auftrag!$D$13:$D$512,$B816,Auftrag!$E$13:$E$512,$C816,Auftrag!$Q$13:$Q$512,$D816)*$D816/1000,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9" t="n"/>
      <c r="E817" s="24" t="n"/>
      <c r="F817" s="24" t="n"/>
      <c r="G817" s="12">
        <f>IF($A817="","",COUNTIFS(Stangenbelegung!$A$5:$A$10004,$A817))</f>
        <v/>
      </c>
      <c r="H817" s="35">
        <f>IF($A817="","",SUMIFS(Stangenbelegung!$F$5:$F$10004,Stangenbelegung!$A$5:$A$10004,$A817))</f>
        <v/>
      </c>
      <c r="I817" s="23" t="n"/>
      <c r="J817" s="35">
        <f>IF($A817="","",$E817+H817+$I817)</f>
        <v/>
      </c>
      <c r="K817" s="35">
        <f>IF($A817="","",$D817-J817)</f>
        <v/>
      </c>
      <c r="L817" s="32">
        <f>IF($A817="","",H817/$D817)</f>
        <v/>
      </c>
      <c r="M817" s="28">
        <f>IF($A817="","",IF(OR(J817+$F817&gt;$D817+0.001,_xlfn.MAXIFS(Stangenbelegung!$H$5:$H$10004,Stangenbelegung!$A$5:$A$10004,$A817)&gt;$D817-$F817+0.001),"ÜBERBELEGT","OK"))</f>
        <v/>
      </c>
      <c r="N817" s="24" t="n"/>
      <c r="O817" s="24" t="n"/>
      <c r="P817" s="9" t="n"/>
      <c r="Q817" s="18">
        <f>IF($A817="","",IFERROR($D817/1000*INDEX(Profile!$K$5:$K$304,MATCH($B817,lst_Profil,0))*INDEX(Werkstoffe!$E$5:$E$304,MATCH($C817,lst_Werkstoff,0))/1000,""))</f>
        <v/>
      </c>
      <c r="R817" s="18">
        <f>IF($A817="","",IF(N(_xlfn.MAXIFS(Auftrag!$AP$13:$AP$512,Auftrag!$D$13:$D$512,$B817,Auftrag!$E$13:$E$512,$C817,Auftrag!$Q$13:$Q$512,$D817))&gt;0,_xlfn.MAXIFS(Auftrag!$AP$13:$AP$512,Auftrag!$D$13:$D$512,$B817,Auftrag!$E$13:$E$512,$C817,Auftrag!$Q$13:$Q$512,$D817)*$D817/1000,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9" t="n"/>
      <c r="E818" s="24" t="n"/>
      <c r="F818" s="24" t="n"/>
      <c r="G818" s="12">
        <f>IF($A818="","",COUNTIFS(Stangenbelegung!$A$5:$A$10004,$A818))</f>
        <v/>
      </c>
      <c r="H818" s="35">
        <f>IF($A818="","",SUMIFS(Stangenbelegung!$F$5:$F$10004,Stangenbelegung!$A$5:$A$10004,$A818))</f>
        <v/>
      </c>
      <c r="I818" s="23" t="n"/>
      <c r="J818" s="35">
        <f>IF($A818="","",$E818+H818+$I818)</f>
        <v/>
      </c>
      <c r="K818" s="35">
        <f>IF($A818="","",$D818-J818)</f>
        <v/>
      </c>
      <c r="L818" s="32">
        <f>IF($A818="","",H818/$D818)</f>
        <v/>
      </c>
      <c r="M818" s="28">
        <f>IF($A818="","",IF(OR(J818+$F818&gt;$D818+0.001,_xlfn.MAXIFS(Stangenbelegung!$H$5:$H$10004,Stangenbelegung!$A$5:$A$10004,$A818)&gt;$D818-$F818+0.001),"ÜBERBELEGT","OK"))</f>
        <v/>
      </c>
      <c r="N818" s="24" t="n"/>
      <c r="O818" s="24" t="n"/>
      <c r="P818" s="9" t="n"/>
      <c r="Q818" s="18">
        <f>IF($A818="","",IFERROR($D818/1000*INDEX(Profile!$K$5:$K$304,MATCH($B818,lst_Profil,0))*INDEX(Werkstoffe!$E$5:$E$304,MATCH($C818,lst_Werkstoff,0))/1000,""))</f>
        <v/>
      </c>
      <c r="R818" s="18">
        <f>IF($A818="","",IF(N(_xlfn.MAXIFS(Auftrag!$AP$13:$AP$512,Auftrag!$D$13:$D$512,$B818,Auftrag!$E$13:$E$512,$C818,Auftrag!$Q$13:$Q$512,$D818))&gt;0,_xlfn.MAXIFS(Auftrag!$AP$13:$AP$512,Auftrag!$D$13:$D$512,$B818,Auftrag!$E$13:$E$512,$C818,Auftrag!$Q$13:$Q$512,$D818)*$D818/1000,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9" t="n"/>
      <c r="E819" s="24" t="n"/>
      <c r="F819" s="24" t="n"/>
      <c r="G819" s="12">
        <f>IF($A819="","",COUNTIFS(Stangenbelegung!$A$5:$A$10004,$A819))</f>
        <v/>
      </c>
      <c r="H819" s="35">
        <f>IF($A819="","",SUMIFS(Stangenbelegung!$F$5:$F$10004,Stangenbelegung!$A$5:$A$10004,$A819))</f>
        <v/>
      </c>
      <c r="I819" s="23" t="n"/>
      <c r="J819" s="35">
        <f>IF($A819="","",$E819+H819+$I819)</f>
        <v/>
      </c>
      <c r="K819" s="35">
        <f>IF($A819="","",$D819-J819)</f>
        <v/>
      </c>
      <c r="L819" s="32">
        <f>IF($A819="","",H819/$D819)</f>
        <v/>
      </c>
      <c r="M819" s="28">
        <f>IF($A819="","",IF(OR(J819+$F819&gt;$D819+0.001,_xlfn.MAXIFS(Stangenbelegung!$H$5:$H$10004,Stangenbelegung!$A$5:$A$10004,$A819)&gt;$D819-$F819+0.001),"ÜBERBELEGT","OK"))</f>
        <v/>
      </c>
      <c r="N819" s="24" t="n"/>
      <c r="O819" s="24" t="n"/>
      <c r="P819" s="9" t="n"/>
      <c r="Q819" s="18">
        <f>IF($A819="","",IFERROR($D819/1000*INDEX(Profile!$K$5:$K$304,MATCH($B819,lst_Profil,0))*INDEX(Werkstoffe!$E$5:$E$304,MATCH($C819,lst_Werkstoff,0))/1000,""))</f>
        <v/>
      </c>
      <c r="R819" s="18">
        <f>IF($A819="","",IF(N(_xlfn.MAXIFS(Auftrag!$AP$13:$AP$512,Auftrag!$D$13:$D$512,$B819,Auftrag!$E$13:$E$512,$C819,Auftrag!$Q$13:$Q$512,$D819))&gt;0,_xlfn.MAXIFS(Auftrag!$AP$13:$AP$512,Auftrag!$D$13:$D$512,$B819,Auftrag!$E$13:$E$512,$C819,Auftrag!$Q$13:$Q$512,$D819)*$D819/1000,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9" t="n"/>
      <c r="E820" s="24" t="n"/>
      <c r="F820" s="24" t="n"/>
      <c r="G820" s="12">
        <f>IF($A820="","",COUNTIFS(Stangenbelegung!$A$5:$A$10004,$A820))</f>
        <v/>
      </c>
      <c r="H820" s="35">
        <f>IF($A820="","",SUMIFS(Stangenbelegung!$F$5:$F$10004,Stangenbelegung!$A$5:$A$10004,$A820))</f>
        <v/>
      </c>
      <c r="I820" s="23" t="n"/>
      <c r="J820" s="35">
        <f>IF($A820="","",$E820+H820+$I820)</f>
        <v/>
      </c>
      <c r="K820" s="35">
        <f>IF($A820="","",$D820-J820)</f>
        <v/>
      </c>
      <c r="L820" s="32">
        <f>IF($A820="","",H820/$D820)</f>
        <v/>
      </c>
      <c r="M820" s="28">
        <f>IF($A820="","",IF(OR(J820+$F820&gt;$D820+0.001,_xlfn.MAXIFS(Stangenbelegung!$H$5:$H$10004,Stangenbelegung!$A$5:$A$10004,$A820)&gt;$D820-$F820+0.001),"ÜBERBELEGT","OK"))</f>
        <v/>
      </c>
      <c r="N820" s="24" t="n"/>
      <c r="O820" s="24" t="n"/>
      <c r="P820" s="9" t="n"/>
      <c r="Q820" s="18">
        <f>IF($A820="","",IFERROR($D820/1000*INDEX(Profile!$K$5:$K$304,MATCH($B820,lst_Profil,0))*INDEX(Werkstoffe!$E$5:$E$304,MATCH($C820,lst_Werkstoff,0))/1000,""))</f>
        <v/>
      </c>
      <c r="R820" s="18">
        <f>IF($A820="","",IF(N(_xlfn.MAXIFS(Auftrag!$AP$13:$AP$512,Auftrag!$D$13:$D$512,$B820,Auftrag!$E$13:$E$512,$C820,Auftrag!$Q$13:$Q$512,$D820))&gt;0,_xlfn.MAXIFS(Auftrag!$AP$13:$AP$512,Auftrag!$D$13:$D$512,$B820,Auftrag!$E$13:$E$512,$C820,Auftrag!$Q$13:$Q$512,$D820)*$D820/1000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9" t="n"/>
      <c r="E821" s="24" t="n"/>
      <c r="F821" s="24" t="n"/>
      <c r="G821" s="12">
        <f>IF($A821="","",COUNTIFS(Stangenbelegung!$A$5:$A$10004,$A821))</f>
        <v/>
      </c>
      <c r="H821" s="35">
        <f>IF($A821="","",SUMIFS(Stangenbelegung!$F$5:$F$10004,Stangenbelegung!$A$5:$A$10004,$A821))</f>
        <v/>
      </c>
      <c r="I821" s="23" t="n"/>
      <c r="J821" s="35">
        <f>IF($A821="","",$E821+H821+$I821)</f>
        <v/>
      </c>
      <c r="K821" s="35">
        <f>IF($A821="","",$D821-J821)</f>
        <v/>
      </c>
      <c r="L821" s="32">
        <f>IF($A821="","",H821/$D821)</f>
        <v/>
      </c>
      <c r="M821" s="28">
        <f>IF($A821="","",IF(OR(J821+$F821&gt;$D821+0.001,_xlfn.MAXIFS(Stangenbelegung!$H$5:$H$10004,Stangenbelegung!$A$5:$A$10004,$A821)&gt;$D821-$F821+0.001),"ÜBERBELEGT","OK"))</f>
        <v/>
      </c>
      <c r="N821" s="24" t="n"/>
      <c r="O821" s="24" t="n"/>
      <c r="P821" s="9" t="n"/>
      <c r="Q821" s="18">
        <f>IF($A821="","",IFERROR($D821/1000*INDEX(Profile!$K$5:$K$304,MATCH($B821,lst_Profil,0))*INDEX(Werkstoffe!$E$5:$E$304,MATCH($C821,lst_Werkstoff,0))/1000,""))</f>
        <v/>
      </c>
      <c r="R821" s="18">
        <f>IF($A821="","",IF(N(_xlfn.MAXIFS(Auftrag!$AP$13:$AP$512,Auftrag!$D$13:$D$512,$B821,Auftrag!$E$13:$E$512,$C821,Auftrag!$Q$13:$Q$512,$D821))&gt;0,_xlfn.MAXIFS(Auftrag!$AP$13:$AP$512,Auftrag!$D$13:$D$512,$B821,Auftrag!$E$13:$E$512,$C821,Auftrag!$Q$13:$Q$512,$D821)*$D821/1000,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9" t="n"/>
      <c r="E822" s="24" t="n"/>
      <c r="F822" s="24" t="n"/>
      <c r="G822" s="12">
        <f>IF($A822="","",COUNTIFS(Stangenbelegung!$A$5:$A$10004,$A822))</f>
        <v/>
      </c>
      <c r="H822" s="35">
        <f>IF($A822="","",SUMIFS(Stangenbelegung!$F$5:$F$10004,Stangenbelegung!$A$5:$A$10004,$A822))</f>
        <v/>
      </c>
      <c r="I822" s="23" t="n"/>
      <c r="J822" s="35">
        <f>IF($A822="","",$E822+H822+$I822)</f>
        <v/>
      </c>
      <c r="K822" s="35">
        <f>IF($A822="","",$D822-J822)</f>
        <v/>
      </c>
      <c r="L822" s="32">
        <f>IF($A822="","",H822/$D822)</f>
        <v/>
      </c>
      <c r="M822" s="28">
        <f>IF($A822="","",IF(OR(J822+$F822&gt;$D822+0.001,_xlfn.MAXIFS(Stangenbelegung!$H$5:$H$10004,Stangenbelegung!$A$5:$A$10004,$A822)&gt;$D822-$F822+0.001),"ÜBERBELEGT","OK"))</f>
        <v/>
      </c>
      <c r="N822" s="24" t="n"/>
      <c r="O822" s="24" t="n"/>
      <c r="P822" s="9" t="n"/>
      <c r="Q822" s="18">
        <f>IF($A822="","",IFERROR($D822/1000*INDEX(Profile!$K$5:$K$304,MATCH($B822,lst_Profil,0))*INDEX(Werkstoffe!$E$5:$E$304,MATCH($C822,lst_Werkstoff,0))/1000,""))</f>
        <v/>
      </c>
      <c r="R822" s="18">
        <f>IF($A822="","",IF(N(_xlfn.MAXIFS(Auftrag!$AP$13:$AP$512,Auftrag!$D$13:$D$512,$B822,Auftrag!$E$13:$E$512,$C822,Auftrag!$Q$13:$Q$512,$D822))&gt;0,_xlfn.MAXIFS(Auftrag!$AP$13:$AP$512,Auftrag!$D$13:$D$512,$B822,Auftrag!$E$13:$E$512,$C822,Auftrag!$Q$13:$Q$512,$D822)*$D822/1000,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9" t="n"/>
      <c r="E823" s="24" t="n"/>
      <c r="F823" s="24" t="n"/>
      <c r="G823" s="12">
        <f>IF($A823="","",COUNTIFS(Stangenbelegung!$A$5:$A$10004,$A823))</f>
        <v/>
      </c>
      <c r="H823" s="35">
        <f>IF($A823="","",SUMIFS(Stangenbelegung!$F$5:$F$10004,Stangenbelegung!$A$5:$A$10004,$A823))</f>
        <v/>
      </c>
      <c r="I823" s="23" t="n"/>
      <c r="J823" s="35">
        <f>IF($A823="","",$E823+H823+$I823)</f>
        <v/>
      </c>
      <c r="K823" s="35">
        <f>IF($A823="","",$D823-J823)</f>
        <v/>
      </c>
      <c r="L823" s="32">
        <f>IF($A823="","",H823/$D823)</f>
        <v/>
      </c>
      <c r="M823" s="28">
        <f>IF($A823="","",IF(OR(J823+$F823&gt;$D823+0.001,_xlfn.MAXIFS(Stangenbelegung!$H$5:$H$10004,Stangenbelegung!$A$5:$A$10004,$A823)&gt;$D823-$F823+0.001),"ÜBERBELEGT","OK"))</f>
        <v/>
      </c>
      <c r="N823" s="24" t="n"/>
      <c r="O823" s="24" t="n"/>
      <c r="P823" s="9" t="n"/>
      <c r="Q823" s="18">
        <f>IF($A823="","",IFERROR($D823/1000*INDEX(Profile!$K$5:$K$304,MATCH($B823,lst_Profil,0))*INDEX(Werkstoffe!$E$5:$E$304,MATCH($C823,lst_Werkstoff,0))/1000,""))</f>
        <v/>
      </c>
      <c r="R823" s="18">
        <f>IF($A823="","",IF(N(_xlfn.MAXIFS(Auftrag!$AP$13:$AP$512,Auftrag!$D$13:$D$512,$B823,Auftrag!$E$13:$E$512,$C823,Auftrag!$Q$13:$Q$512,$D823))&gt;0,_xlfn.MAXIFS(Auftrag!$AP$13:$AP$512,Auftrag!$D$13:$D$512,$B823,Auftrag!$E$13:$E$512,$C823,Auftrag!$Q$13:$Q$512,$D823)*$D823/1000,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9" t="n"/>
      <c r="E824" s="24" t="n"/>
      <c r="F824" s="24" t="n"/>
      <c r="G824" s="12">
        <f>IF($A824="","",COUNTIFS(Stangenbelegung!$A$5:$A$10004,$A824))</f>
        <v/>
      </c>
      <c r="H824" s="35">
        <f>IF($A824="","",SUMIFS(Stangenbelegung!$F$5:$F$10004,Stangenbelegung!$A$5:$A$10004,$A824))</f>
        <v/>
      </c>
      <c r="I824" s="23" t="n"/>
      <c r="J824" s="35">
        <f>IF($A824="","",$E824+H824+$I824)</f>
        <v/>
      </c>
      <c r="K824" s="35">
        <f>IF($A824="","",$D824-J824)</f>
        <v/>
      </c>
      <c r="L824" s="32">
        <f>IF($A824="","",H824/$D824)</f>
        <v/>
      </c>
      <c r="M824" s="28">
        <f>IF($A824="","",IF(OR(J824+$F824&gt;$D824+0.001,_xlfn.MAXIFS(Stangenbelegung!$H$5:$H$10004,Stangenbelegung!$A$5:$A$10004,$A824)&gt;$D824-$F824+0.001),"ÜBERBELEGT","OK"))</f>
        <v/>
      </c>
      <c r="N824" s="24" t="n"/>
      <c r="O824" s="24" t="n"/>
      <c r="P824" s="9" t="n"/>
      <c r="Q824" s="18">
        <f>IF($A824="","",IFERROR($D824/1000*INDEX(Profile!$K$5:$K$304,MATCH($B824,lst_Profil,0))*INDEX(Werkstoffe!$E$5:$E$304,MATCH($C824,lst_Werkstoff,0))/1000,""))</f>
        <v/>
      </c>
      <c r="R824" s="18">
        <f>IF($A824="","",IF(N(_xlfn.MAXIFS(Auftrag!$AP$13:$AP$512,Auftrag!$D$13:$D$512,$B824,Auftrag!$E$13:$E$512,$C824,Auftrag!$Q$13:$Q$512,$D824))&gt;0,_xlfn.MAXIFS(Auftrag!$AP$13:$AP$512,Auftrag!$D$13:$D$512,$B824,Auftrag!$E$13:$E$512,$C824,Auftrag!$Q$13:$Q$512,$D824)*$D824/1000,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9" t="n"/>
      <c r="E825" s="24" t="n"/>
      <c r="F825" s="24" t="n"/>
      <c r="G825" s="12">
        <f>IF($A825="","",COUNTIFS(Stangenbelegung!$A$5:$A$10004,$A825))</f>
        <v/>
      </c>
      <c r="H825" s="35">
        <f>IF($A825="","",SUMIFS(Stangenbelegung!$F$5:$F$10004,Stangenbelegung!$A$5:$A$10004,$A825))</f>
        <v/>
      </c>
      <c r="I825" s="23" t="n"/>
      <c r="J825" s="35">
        <f>IF($A825="","",$E825+H825+$I825)</f>
        <v/>
      </c>
      <c r="K825" s="35">
        <f>IF($A825="","",$D825-J825)</f>
        <v/>
      </c>
      <c r="L825" s="32">
        <f>IF($A825="","",H825/$D825)</f>
        <v/>
      </c>
      <c r="M825" s="28">
        <f>IF($A825="","",IF(OR(J825+$F825&gt;$D825+0.001,_xlfn.MAXIFS(Stangenbelegung!$H$5:$H$10004,Stangenbelegung!$A$5:$A$10004,$A825)&gt;$D825-$F825+0.001),"ÜBERBELEGT","OK"))</f>
        <v/>
      </c>
      <c r="N825" s="24" t="n"/>
      <c r="O825" s="24" t="n"/>
      <c r="P825" s="9" t="n"/>
      <c r="Q825" s="18">
        <f>IF($A825="","",IFERROR($D825/1000*INDEX(Profile!$K$5:$K$304,MATCH($B825,lst_Profil,0))*INDEX(Werkstoffe!$E$5:$E$304,MATCH($C825,lst_Werkstoff,0))/1000,""))</f>
        <v/>
      </c>
      <c r="R825" s="18">
        <f>IF($A825="","",IF(N(_xlfn.MAXIFS(Auftrag!$AP$13:$AP$512,Auftrag!$D$13:$D$512,$B825,Auftrag!$E$13:$E$512,$C825,Auftrag!$Q$13:$Q$512,$D825))&gt;0,_xlfn.MAXIFS(Auftrag!$AP$13:$AP$512,Auftrag!$D$13:$D$512,$B825,Auftrag!$E$13:$E$512,$C825,Auftrag!$Q$13:$Q$512,$D825)*$D825/1000,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9" t="n"/>
      <c r="E826" s="24" t="n"/>
      <c r="F826" s="24" t="n"/>
      <c r="G826" s="12">
        <f>IF($A826="","",COUNTIFS(Stangenbelegung!$A$5:$A$10004,$A826))</f>
        <v/>
      </c>
      <c r="H826" s="35">
        <f>IF($A826="","",SUMIFS(Stangenbelegung!$F$5:$F$10004,Stangenbelegung!$A$5:$A$10004,$A826))</f>
        <v/>
      </c>
      <c r="I826" s="23" t="n"/>
      <c r="J826" s="35">
        <f>IF($A826="","",$E826+H826+$I826)</f>
        <v/>
      </c>
      <c r="K826" s="35">
        <f>IF($A826="","",$D826-J826)</f>
        <v/>
      </c>
      <c r="L826" s="32">
        <f>IF($A826="","",H826/$D826)</f>
        <v/>
      </c>
      <c r="M826" s="28">
        <f>IF($A826="","",IF(OR(J826+$F826&gt;$D826+0.001,_xlfn.MAXIFS(Stangenbelegung!$H$5:$H$10004,Stangenbelegung!$A$5:$A$10004,$A826)&gt;$D826-$F826+0.001),"ÜBERBELEGT","OK"))</f>
        <v/>
      </c>
      <c r="N826" s="24" t="n"/>
      <c r="O826" s="24" t="n"/>
      <c r="P826" s="9" t="n"/>
      <c r="Q826" s="18">
        <f>IF($A826="","",IFERROR($D826/1000*INDEX(Profile!$K$5:$K$304,MATCH($B826,lst_Profil,0))*INDEX(Werkstoffe!$E$5:$E$304,MATCH($C826,lst_Werkstoff,0))/1000,""))</f>
        <v/>
      </c>
      <c r="R826" s="18">
        <f>IF($A826="","",IF(N(_xlfn.MAXIFS(Auftrag!$AP$13:$AP$512,Auftrag!$D$13:$D$512,$B826,Auftrag!$E$13:$E$512,$C826,Auftrag!$Q$13:$Q$512,$D826))&gt;0,_xlfn.MAXIFS(Auftrag!$AP$13:$AP$512,Auftrag!$D$13:$D$512,$B826,Auftrag!$E$13:$E$512,$C826,Auftrag!$Q$13:$Q$512,$D826)*$D826/1000,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9" t="n"/>
      <c r="E827" s="24" t="n"/>
      <c r="F827" s="24" t="n"/>
      <c r="G827" s="12">
        <f>IF($A827="","",COUNTIFS(Stangenbelegung!$A$5:$A$10004,$A827))</f>
        <v/>
      </c>
      <c r="H827" s="35">
        <f>IF($A827="","",SUMIFS(Stangenbelegung!$F$5:$F$10004,Stangenbelegung!$A$5:$A$10004,$A827))</f>
        <v/>
      </c>
      <c r="I827" s="23" t="n"/>
      <c r="J827" s="35">
        <f>IF($A827="","",$E827+H827+$I827)</f>
        <v/>
      </c>
      <c r="K827" s="35">
        <f>IF($A827="","",$D827-J827)</f>
        <v/>
      </c>
      <c r="L827" s="32">
        <f>IF($A827="","",H827/$D827)</f>
        <v/>
      </c>
      <c r="M827" s="28">
        <f>IF($A827="","",IF(OR(J827+$F827&gt;$D827+0.001,_xlfn.MAXIFS(Stangenbelegung!$H$5:$H$10004,Stangenbelegung!$A$5:$A$10004,$A827)&gt;$D827-$F827+0.001),"ÜBERBELEGT","OK"))</f>
        <v/>
      </c>
      <c r="N827" s="24" t="n"/>
      <c r="O827" s="24" t="n"/>
      <c r="P827" s="9" t="n"/>
      <c r="Q827" s="18">
        <f>IF($A827="","",IFERROR($D827/1000*INDEX(Profile!$K$5:$K$304,MATCH($B827,lst_Profil,0))*INDEX(Werkstoffe!$E$5:$E$304,MATCH($C827,lst_Werkstoff,0))/1000,""))</f>
        <v/>
      </c>
      <c r="R827" s="18">
        <f>IF($A827="","",IF(N(_xlfn.MAXIFS(Auftrag!$AP$13:$AP$512,Auftrag!$D$13:$D$512,$B827,Auftrag!$E$13:$E$512,$C827,Auftrag!$Q$13:$Q$512,$D827))&gt;0,_xlfn.MAXIFS(Auftrag!$AP$13:$AP$512,Auftrag!$D$13:$D$512,$B827,Auftrag!$E$13:$E$512,$C827,Auftrag!$Q$13:$Q$512,$D827)*$D827/1000,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9" t="n"/>
      <c r="E828" s="24" t="n"/>
      <c r="F828" s="24" t="n"/>
      <c r="G828" s="12">
        <f>IF($A828="","",COUNTIFS(Stangenbelegung!$A$5:$A$10004,$A828))</f>
        <v/>
      </c>
      <c r="H828" s="35">
        <f>IF($A828="","",SUMIFS(Stangenbelegung!$F$5:$F$10004,Stangenbelegung!$A$5:$A$10004,$A828))</f>
        <v/>
      </c>
      <c r="I828" s="23" t="n"/>
      <c r="J828" s="35">
        <f>IF($A828="","",$E828+H828+$I828)</f>
        <v/>
      </c>
      <c r="K828" s="35">
        <f>IF($A828="","",$D828-J828)</f>
        <v/>
      </c>
      <c r="L828" s="32">
        <f>IF($A828="","",H828/$D828)</f>
        <v/>
      </c>
      <c r="M828" s="28">
        <f>IF($A828="","",IF(OR(J828+$F828&gt;$D828+0.001,_xlfn.MAXIFS(Stangenbelegung!$H$5:$H$10004,Stangenbelegung!$A$5:$A$10004,$A828)&gt;$D828-$F828+0.001),"ÜBERBELEGT","OK"))</f>
        <v/>
      </c>
      <c r="N828" s="24" t="n"/>
      <c r="O828" s="24" t="n"/>
      <c r="P828" s="9" t="n"/>
      <c r="Q828" s="18">
        <f>IF($A828="","",IFERROR($D828/1000*INDEX(Profile!$K$5:$K$304,MATCH($B828,lst_Profil,0))*INDEX(Werkstoffe!$E$5:$E$304,MATCH($C828,lst_Werkstoff,0))/1000,""))</f>
        <v/>
      </c>
      <c r="R828" s="18">
        <f>IF($A828="","",IF(N(_xlfn.MAXIFS(Auftrag!$AP$13:$AP$512,Auftrag!$D$13:$D$512,$B828,Auftrag!$E$13:$E$512,$C828,Auftrag!$Q$13:$Q$512,$D828))&gt;0,_xlfn.MAXIFS(Auftrag!$AP$13:$AP$512,Auftrag!$D$13:$D$512,$B828,Auftrag!$E$13:$E$512,$C828,Auftrag!$Q$13:$Q$512,$D828)*$D828/1000,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9" t="n"/>
      <c r="E829" s="24" t="n"/>
      <c r="F829" s="24" t="n"/>
      <c r="G829" s="12">
        <f>IF($A829="","",COUNTIFS(Stangenbelegung!$A$5:$A$10004,$A829))</f>
        <v/>
      </c>
      <c r="H829" s="35">
        <f>IF($A829="","",SUMIFS(Stangenbelegung!$F$5:$F$10004,Stangenbelegung!$A$5:$A$10004,$A829))</f>
        <v/>
      </c>
      <c r="I829" s="23" t="n"/>
      <c r="J829" s="35">
        <f>IF($A829="","",$E829+H829+$I829)</f>
        <v/>
      </c>
      <c r="K829" s="35">
        <f>IF($A829="","",$D829-J829)</f>
        <v/>
      </c>
      <c r="L829" s="32">
        <f>IF($A829="","",H829/$D829)</f>
        <v/>
      </c>
      <c r="M829" s="28">
        <f>IF($A829="","",IF(OR(J829+$F829&gt;$D829+0.001,_xlfn.MAXIFS(Stangenbelegung!$H$5:$H$10004,Stangenbelegung!$A$5:$A$10004,$A829)&gt;$D829-$F829+0.001),"ÜBERBELEGT","OK"))</f>
        <v/>
      </c>
      <c r="N829" s="24" t="n"/>
      <c r="O829" s="24" t="n"/>
      <c r="P829" s="9" t="n"/>
      <c r="Q829" s="18">
        <f>IF($A829="","",IFERROR($D829/1000*INDEX(Profile!$K$5:$K$304,MATCH($B829,lst_Profil,0))*INDEX(Werkstoffe!$E$5:$E$304,MATCH($C829,lst_Werkstoff,0))/1000,""))</f>
        <v/>
      </c>
      <c r="R829" s="18">
        <f>IF($A829="","",IF(N(_xlfn.MAXIFS(Auftrag!$AP$13:$AP$512,Auftrag!$D$13:$D$512,$B829,Auftrag!$E$13:$E$512,$C829,Auftrag!$Q$13:$Q$512,$D829))&gt;0,_xlfn.MAXIFS(Auftrag!$AP$13:$AP$512,Auftrag!$D$13:$D$512,$B829,Auftrag!$E$13:$E$512,$C829,Auftrag!$Q$13:$Q$512,$D829)*$D829/1000,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9" t="n"/>
      <c r="E830" s="24" t="n"/>
      <c r="F830" s="24" t="n"/>
      <c r="G830" s="12">
        <f>IF($A830="","",COUNTIFS(Stangenbelegung!$A$5:$A$10004,$A830))</f>
        <v/>
      </c>
      <c r="H830" s="35">
        <f>IF($A830="","",SUMIFS(Stangenbelegung!$F$5:$F$10004,Stangenbelegung!$A$5:$A$10004,$A830))</f>
        <v/>
      </c>
      <c r="I830" s="23" t="n"/>
      <c r="J830" s="35">
        <f>IF($A830="","",$E830+H830+$I830)</f>
        <v/>
      </c>
      <c r="K830" s="35">
        <f>IF($A830="","",$D830-J830)</f>
        <v/>
      </c>
      <c r="L830" s="32">
        <f>IF($A830="","",H830/$D830)</f>
        <v/>
      </c>
      <c r="M830" s="28">
        <f>IF($A830="","",IF(OR(J830+$F830&gt;$D830+0.001,_xlfn.MAXIFS(Stangenbelegung!$H$5:$H$10004,Stangenbelegung!$A$5:$A$10004,$A830)&gt;$D830-$F830+0.001),"ÜBERBELEGT","OK"))</f>
        <v/>
      </c>
      <c r="N830" s="24" t="n"/>
      <c r="O830" s="24" t="n"/>
      <c r="P830" s="9" t="n"/>
      <c r="Q830" s="18">
        <f>IF($A830="","",IFERROR($D830/1000*INDEX(Profile!$K$5:$K$304,MATCH($B830,lst_Profil,0))*INDEX(Werkstoffe!$E$5:$E$304,MATCH($C830,lst_Werkstoff,0))/1000,""))</f>
        <v/>
      </c>
      <c r="R830" s="18">
        <f>IF($A830="","",IF(N(_xlfn.MAXIFS(Auftrag!$AP$13:$AP$512,Auftrag!$D$13:$D$512,$B830,Auftrag!$E$13:$E$512,$C830,Auftrag!$Q$13:$Q$512,$D830))&gt;0,_xlfn.MAXIFS(Auftrag!$AP$13:$AP$512,Auftrag!$D$13:$D$512,$B830,Auftrag!$E$13:$E$512,$C830,Auftrag!$Q$13:$Q$512,$D830)*$D830/1000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9" t="n"/>
      <c r="E831" s="24" t="n"/>
      <c r="F831" s="24" t="n"/>
      <c r="G831" s="12">
        <f>IF($A831="","",COUNTIFS(Stangenbelegung!$A$5:$A$10004,$A831))</f>
        <v/>
      </c>
      <c r="H831" s="35">
        <f>IF($A831="","",SUMIFS(Stangenbelegung!$F$5:$F$10004,Stangenbelegung!$A$5:$A$10004,$A831))</f>
        <v/>
      </c>
      <c r="I831" s="23" t="n"/>
      <c r="J831" s="35">
        <f>IF($A831="","",$E831+H831+$I831)</f>
        <v/>
      </c>
      <c r="K831" s="35">
        <f>IF($A831="","",$D831-J831)</f>
        <v/>
      </c>
      <c r="L831" s="32">
        <f>IF($A831="","",H831/$D831)</f>
        <v/>
      </c>
      <c r="M831" s="28">
        <f>IF($A831="","",IF(OR(J831+$F831&gt;$D831+0.001,_xlfn.MAXIFS(Stangenbelegung!$H$5:$H$10004,Stangenbelegung!$A$5:$A$10004,$A831)&gt;$D831-$F831+0.001),"ÜBERBELEGT","OK"))</f>
        <v/>
      </c>
      <c r="N831" s="24" t="n"/>
      <c r="O831" s="24" t="n"/>
      <c r="P831" s="9" t="n"/>
      <c r="Q831" s="18">
        <f>IF($A831="","",IFERROR($D831/1000*INDEX(Profile!$K$5:$K$304,MATCH($B831,lst_Profil,0))*INDEX(Werkstoffe!$E$5:$E$304,MATCH($C831,lst_Werkstoff,0))/1000,""))</f>
        <v/>
      </c>
      <c r="R831" s="18">
        <f>IF($A831="","",IF(N(_xlfn.MAXIFS(Auftrag!$AP$13:$AP$512,Auftrag!$D$13:$D$512,$B831,Auftrag!$E$13:$E$512,$C831,Auftrag!$Q$13:$Q$512,$D831))&gt;0,_xlfn.MAXIFS(Auftrag!$AP$13:$AP$512,Auftrag!$D$13:$D$512,$B831,Auftrag!$E$13:$E$512,$C831,Auftrag!$Q$13:$Q$512,$D831)*$D831/1000,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9" t="n"/>
      <c r="E832" s="24" t="n"/>
      <c r="F832" s="24" t="n"/>
      <c r="G832" s="12">
        <f>IF($A832="","",COUNTIFS(Stangenbelegung!$A$5:$A$10004,$A832))</f>
        <v/>
      </c>
      <c r="H832" s="35">
        <f>IF($A832="","",SUMIFS(Stangenbelegung!$F$5:$F$10004,Stangenbelegung!$A$5:$A$10004,$A832))</f>
        <v/>
      </c>
      <c r="I832" s="23" t="n"/>
      <c r="J832" s="35">
        <f>IF($A832="","",$E832+H832+$I832)</f>
        <v/>
      </c>
      <c r="K832" s="35">
        <f>IF($A832="","",$D832-J832)</f>
        <v/>
      </c>
      <c r="L832" s="32">
        <f>IF($A832="","",H832/$D832)</f>
        <v/>
      </c>
      <c r="M832" s="28">
        <f>IF($A832="","",IF(OR(J832+$F832&gt;$D832+0.001,_xlfn.MAXIFS(Stangenbelegung!$H$5:$H$10004,Stangenbelegung!$A$5:$A$10004,$A832)&gt;$D832-$F832+0.001),"ÜBERBELEGT","OK"))</f>
        <v/>
      </c>
      <c r="N832" s="24" t="n"/>
      <c r="O832" s="24" t="n"/>
      <c r="P832" s="9" t="n"/>
      <c r="Q832" s="18">
        <f>IF($A832="","",IFERROR($D832/1000*INDEX(Profile!$K$5:$K$304,MATCH($B832,lst_Profil,0))*INDEX(Werkstoffe!$E$5:$E$304,MATCH($C832,lst_Werkstoff,0))/1000,""))</f>
        <v/>
      </c>
      <c r="R832" s="18">
        <f>IF($A832="","",IF(N(_xlfn.MAXIFS(Auftrag!$AP$13:$AP$512,Auftrag!$D$13:$D$512,$B832,Auftrag!$E$13:$E$512,$C832,Auftrag!$Q$13:$Q$512,$D832))&gt;0,_xlfn.MAXIFS(Auftrag!$AP$13:$AP$512,Auftrag!$D$13:$D$512,$B832,Auftrag!$E$13:$E$512,$C832,Auftrag!$Q$13:$Q$512,$D832)*$D832/1000,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9" t="n"/>
      <c r="E833" s="24" t="n"/>
      <c r="F833" s="24" t="n"/>
      <c r="G833" s="12">
        <f>IF($A833="","",COUNTIFS(Stangenbelegung!$A$5:$A$10004,$A833))</f>
        <v/>
      </c>
      <c r="H833" s="35">
        <f>IF($A833="","",SUMIFS(Stangenbelegung!$F$5:$F$10004,Stangenbelegung!$A$5:$A$10004,$A833))</f>
        <v/>
      </c>
      <c r="I833" s="23" t="n"/>
      <c r="J833" s="35">
        <f>IF($A833="","",$E833+H833+$I833)</f>
        <v/>
      </c>
      <c r="K833" s="35">
        <f>IF($A833="","",$D833-J833)</f>
        <v/>
      </c>
      <c r="L833" s="32">
        <f>IF($A833="","",H833/$D833)</f>
        <v/>
      </c>
      <c r="M833" s="28">
        <f>IF($A833="","",IF(OR(J833+$F833&gt;$D833+0.001,_xlfn.MAXIFS(Stangenbelegung!$H$5:$H$10004,Stangenbelegung!$A$5:$A$10004,$A833)&gt;$D833-$F833+0.001),"ÜBERBELEGT","OK"))</f>
        <v/>
      </c>
      <c r="N833" s="24" t="n"/>
      <c r="O833" s="24" t="n"/>
      <c r="P833" s="9" t="n"/>
      <c r="Q833" s="18">
        <f>IF($A833="","",IFERROR($D833/1000*INDEX(Profile!$K$5:$K$304,MATCH($B833,lst_Profil,0))*INDEX(Werkstoffe!$E$5:$E$304,MATCH($C833,lst_Werkstoff,0))/1000,""))</f>
        <v/>
      </c>
      <c r="R833" s="18">
        <f>IF($A833="","",IF(N(_xlfn.MAXIFS(Auftrag!$AP$13:$AP$512,Auftrag!$D$13:$D$512,$B833,Auftrag!$E$13:$E$512,$C833,Auftrag!$Q$13:$Q$512,$D833))&gt;0,_xlfn.MAXIFS(Auftrag!$AP$13:$AP$512,Auftrag!$D$13:$D$512,$B833,Auftrag!$E$13:$E$512,$C833,Auftrag!$Q$13:$Q$512,$D833)*$D833/1000,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9" t="n"/>
      <c r="E834" s="24" t="n"/>
      <c r="F834" s="24" t="n"/>
      <c r="G834" s="12">
        <f>IF($A834="","",COUNTIFS(Stangenbelegung!$A$5:$A$10004,$A834))</f>
        <v/>
      </c>
      <c r="H834" s="35">
        <f>IF($A834="","",SUMIFS(Stangenbelegung!$F$5:$F$10004,Stangenbelegung!$A$5:$A$10004,$A834))</f>
        <v/>
      </c>
      <c r="I834" s="23" t="n"/>
      <c r="J834" s="35">
        <f>IF($A834="","",$E834+H834+$I834)</f>
        <v/>
      </c>
      <c r="K834" s="35">
        <f>IF($A834="","",$D834-J834)</f>
        <v/>
      </c>
      <c r="L834" s="32">
        <f>IF($A834="","",H834/$D834)</f>
        <v/>
      </c>
      <c r="M834" s="28">
        <f>IF($A834="","",IF(OR(J834+$F834&gt;$D834+0.001,_xlfn.MAXIFS(Stangenbelegung!$H$5:$H$10004,Stangenbelegung!$A$5:$A$10004,$A834)&gt;$D834-$F834+0.001),"ÜBERBELEGT","OK"))</f>
        <v/>
      </c>
      <c r="N834" s="24" t="n"/>
      <c r="O834" s="24" t="n"/>
      <c r="P834" s="9" t="n"/>
      <c r="Q834" s="18">
        <f>IF($A834="","",IFERROR($D834/1000*INDEX(Profile!$K$5:$K$304,MATCH($B834,lst_Profil,0))*INDEX(Werkstoffe!$E$5:$E$304,MATCH($C834,lst_Werkstoff,0))/1000,""))</f>
        <v/>
      </c>
      <c r="R834" s="18">
        <f>IF($A834="","",IF(N(_xlfn.MAXIFS(Auftrag!$AP$13:$AP$512,Auftrag!$D$13:$D$512,$B834,Auftrag!$E$13:$E$512,$C834,Auftrag!$Q$13:$Q$512,$D834))&gt;0,_xlfn.MAXIFS(Auftrag!$AP$13:$AP$512,Auftrag!$D$13:$D$512,$B834,Auftrag!$E$13:$E$512,$C834,Auftrag!$Q$13:$Q$512,$D834)*$D834/1000,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9" t="n"/>
      <c r="E835" s="24" t="n"/>
      <c r="F835" s="24" t="n"/>
      <c r="G835" s="12">
        <f>IF($A835="","",COUNTIFS(Stangenbelegung!$A$5:$A$10004,$A835))</f>
        <v/>
      </c>
      <c r="H835" s="35">
        <f>IF($A835="","",SUMIFS(Stangenbelegung!$F$5:$F$10004,Stangenbelegung!$A$5:$A$10004,$A835))</f>
        <v/>
      </c>
      <c r="I835" s="23" t="n"/>
      <c r="J835" s="35">
        <f>IF($A835="","",$E835+H835+$I835)</f>
        <v/>
      </c>
      <c r="K835" s="35">
        <f>IF($A835="","",$D835-J835)</f>
        <v/>
      </c>
      <c r="L835" s="32">
        <f>IF($A835="","",H835/$D835)</f>
        <v/>
      </c>
      <c r="M835" s="28">
        <f>IF($A835="","",IF(OR(J835+$F835&gt;$D835+0.001,_xlfn.MAXIFS(Stangenbelegung!$H$5:$H$10004,Stangenbelegung!$A$5:$A$10004,$A835)&gt;$D835-$F835+0.001),"ÜBERBELEGT","OK"))</f>
        <v/>
      </c>
      <c r="N835" s="24" t="n"/>
      <c r="O835" s="24" t="n"/>
      <c r="P835" s="9" t="n"/>
      <c r="Q835" s="18">
        <f>IF($A835="","",IFERROR($D835/1000*INDEX(Profile!$K$5:$K$304,MATCH($B835,lst_Profil,0))*INDEX(Werkstoffe!$E$5:$E$304,MATCH($C835,lst_Werkstoff,0))/1000,""))</f>
        <v/>
      </c>
      <c r="R835" s="18">
        <f>IF($A835="","",IF(N(_xlfn.MAXIFS(Auftrag!$AP$13:$AP$512,Auftrag!$D$13:$D$512,$B835,Auftrag!$E$13:$E$512,$C835,Auftrag!$Q$13:$Q$512,$D835))&gt;0,_xlfn.MAXIFS(Auftrag!$AP$13:$AP$512,Auftrag!$D$13:$D$512,$B835,Auftrag!$E$13:$E$512,$C835,Auftrag!$Q$13:$Q$512,$D835)*$D835/1000,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9" t="n"/>
      <c r="E836" s="24" t="n"/>
      <c r="F836" s="24" t="n"/>
      <c r="G836" s="12">
        <f>IF($A836="","",COUNTIFS(Stangenbelegung!$A$5:$A$10004,$A836))</f>
        <v/>
      </c>
      <c r="H836" s="35">
        <f>IF($A836="","",SUMIFS(Stangenbelegung!$F$5:$F$10004,Stangenbelegung!$A$5:$A$10004,$A836))</f>
        <v/>
      </c>
      <c r="I836" s="23" t="n"/>
      <c r="J836" s="35">
        <f>IF($A836="","",$E836+H836+$I836)</f>
        <v/>
      </c>
      <c r="K836" s="35">
        <f>IF($A836="","",$D836-J836)</f>
        <v/>
      </c>
      <c r="L836" s="32">
        <f>IF($A836="","",H836/$D836)</f>
        <v/>
      </c>
      <c r="M836" s="28">
        <f>IF($A836="","",IF(OR(J836+$F836&gt;$D836+0.001,_xlfn.MAXIFS(Stangenbelegung!$H$5:$H$10004,Stangenbelegung!$A$5:$A$10004,$A836)&gt;$D836-$F836+0.001),"ÜBERBELEGT","OK"))</f>
        <v/>
      </c>
      <c r="N836" s="24" t="n"/>
      <c r="O836" s="24" t="n"/>
      <c r="P836" s="9" t="n"/>
      <c r="Q836" s="18">
        <f>IF($A836="","",IFERROR($D836/1000*INDEX(Profile!$K$5:$K$304,MATCH($B836,lst_Profil,0))*INDEX(Werkstoffe!$E$5:$E$304,MATCH($C836,lst_Werkstoff,0))/1000,""))</f>
        <v/>
      </c>
      <c r="R836" s="18">
        <f>IF($A836="","",IF(N(_xlfn.MAXIFS(Auftrag!$AP$13:$AP$512,Auftrag!$D$13:$D$512,$B836,Auftrag!$E$13:$E$512,$C836,Auftrag!$Q$13:$Q$512,$D836))&gt;0,_xlfn.MAXIFS(Auftrag!$AP$13:$AP$512,Auftrag!$D$13:$D$512,$B836,Auftrag!$E$13:$E$512,$C836,Auftrag!$Q$13:$Q$512,$D836)*$D836/1000,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9" t="n"/>
      <c r="E837" s="24" t="n"/>
      <c r="F837" s="24" t="n"/>
      <c r="G837" s="12">
        <f>IF($A837="","",COUNTIFS(Stangenbelegung!$A$5:$A$10004,$A837))</f>
        <v/>
      </c>
      <c r="H837" s="35">
        <f>IF($A837="","",SUMIFS(Stangenbelegung!$F$5:$F$10004,Stangenbelegung!$A$5:$A$10004,$A837))</f>
        <v/>
      </c>
      <c r="I837" s="23" t="n"/>
      <c r="J837" s="35">
        <f>IF($A837="","",$E837+H837+$I837)</f>
        <v/>
      </c>
      <c r="K837" s="35">
        <f>IF($A837="","",$D837-J837)</f>
        <v/>
      </c>
      <c r="L837" s="32">
        <f>IF($A837="","",H837/$D837)</f>
        <v/>
      </c>
      <c r="M837" s="28">
        <f>IF($A837="","",IF(OR(J837+$F837&gt;$D837+0.001,_xlfn.MAXIFS(Stangenbelegung!$H$5:$H$10004,Stangenbelegung!$A$5:$A$10004,$A837)&gt;$D837-$F837+0.001),"ÜBERBELEGT","OK"))</f>
        <v/>
      </c>
      <c r="N837" s="24" t="n"/>
      <c r="O837" s="24" t="n"/>
      <c r="P837" s="9" t="n"/>
      <c r="Q837" s="18">
        <f>IF($A837="","",IFERROR($D837/1000*INDEX(Profile!$K$5:$K$304,MATCH($B837,lst_Profil,0))*INDEX(Werkstoffe!$E$5:$E$304,MATCH($C837,lst_Werkstoff,0))/1000,""))</f>
        <v/>
      </c>
      <c r="R837" s="18">
        <f>IF($A837="","",IF(N(_xlfn.MAXIFS(Auftrag!$AP$13:$AP$512,Auftrag!$D$13:$D$512,$B837,Auftrag!$E$13:$E$512,$C837,Auftrag!$Q$13:$Q$512,$D837))&gt;0,_xlfn.MAXIFS(Auftrag!$AP$13:$AP$512,Auftrag!$D$13:$D$512,$B837,Auftrag!$E$13:$E$512,$C837,Auftrag!$Q$13:$Q$512,$D837)*$D837/1000,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9" t="n"/>
      <c r="E838" s="24" t="n"/>
      <c r="F838" s="24" t="n"/>
      <c r="G838" s="12">
        <f>IF($A838="","",COUNTIFS(Stangenbelegung!$A$5:$A$10004,$A838))</f>
        <v/>
      </c>
      <c r="H838" s="35">
        <f>IF($A838="","",SUMIFS(Stangenbelegung!$F$5:$F$10004,Stangenbelegung!$A$5:$A$10004,$A838))</f>
        <v/>
      </c>
      <c r="I838" s="23" t="n"/>
      <c r="J838" s="35">
        <f>IF($A838="","",$E838+H838+$I838)</f>
        <v/>
      </c>
      <c r="K838" s="35">
        <f>IF($A838="","",$D838-J838)</f>
        <v/>
      </c>
      <c r="L838" s="32">
        <f>IF($A838="","",H838/$D838)</f>
        <v/>
      </c>
      <c r="M838" s="28">
        <f>IF($A838="","",IF(OR(J838+$F838&gt;$D838+0.001,_xlfn.MAXIFS(Stangenbelegung!$H$5:$H$10004,Stangenbelegung!$A$5:$A$10004,$A838)&gt;$D838-$F838+0.001),"ÜBERBELEGT","OK"))</f>
        <v/>
      </c>
      <c r="N838" s="24" t="n"/>
      <c r="O838" s="24" t="n"/>
      <c r="P838" s="9" t="n"/>
      <c r="Q838" s="18">
        <f>IF($A838="","",IFERROR($D838/1000*INDEX(Profile!$K$5:$K$304,MATCH($B838,lst_Profil,0))*INDEX(Werkstoffe!$E$5:$E$304,MATCH($C838,lst_Werkstoff,0))/1000,""))</f>
        <v/>
      </c>
      <c r="R838" s="18">
        <f>IF($A838="","",IF(N(_xlfn.MAXIFS(Auftrag!$AP$13:$AP$512,Auftrag!$D$13:$D$512,$B838,Auftrag!$E$13:$E$512,$C838,Auftrag!$Q$13:$Q$512,$D838))&gt;0,_xlfn.MAXIFS(Auftrag!$AP$13:$AP$512,Auftrag!$D$13:$D$512,$B838,Auftrag!$E$13:$E$512,$C838,Auftrag!$Q$13:$Q$512,$D838)*$D838/1000,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9" t="n"/>
      <c r="E839" s="24" t="n"/>
      <c r="F839" s="24" t="n"/>
      <c r="G839" s="12">
        <f>IF($A839="","",COUNTIFS(Stangenbelegung!$A$5:$A$10004,$A839))</f>
        <v/>
      </c>
      <c r="H839" s="35">
        <f>IF($A839="","",SUMIFS(Stangenbelegung!$F$5:$F$10004,Stangenbelegung!$A$5:$A$10004,$A839))</f>
        <v/>
      </c>
      <c r="I839" s="23" t="n"/>
      <c r="J839" s="35">
        <f>IF($A839="","",$E839+H839+$I839)</f>
        <v/>
      </c>
      <c r="K839" s="35">
        <f>IF($A839="","",$D839-J839)</f>
        <v/>
      </c>
      <c r="L839" s="32">
        <f>IF($A839="","",H839/$D839)</f>
        <v/>
      </c>
      <c r="M839" s="28">
        <f>IF($A839="","",IF(OR(J839+$F839&gt;$D839+0.001,_xlfn.MAXIFS(Stangenbelegung!$H$5:$H$10004,Stangenbelegung!$A$5:$A$10004,$A839)&gt;$D839-$F839+0.001),"ÜBERBELEGT","OK"))</f>
        <v/>
      </c>
      <c r="N839" s="24" t="n"/>
      <c r="O839" s="24" t="n"/>
      <c r="P839" s="9" t="n"/>
      <c r="Q839" s="18">
        <f>IF($A839="","",IFERROR($D839/1000*INDEX(Profile!$K$5:$K$304,MATCH($B839,lst_Profil,0))*INDEX(Werkstoffe!$E$5:$E$304,MATCH($C839,lst_Werkstoff,0))/1000,""))</f>
        <v/>
      </c>
      <c r="R839" s="18">
        <f>IF($A839="","",IF(N(_xlfn.MAXIFS(Auftrag!$AP$13:$AP$512,Auftrag!$D$13:$D$512,$B839,Auftrag!$E$13:$E$512,$C839,Auftrag!$Q$13:$Q$512,$D839))&gt;0,_xlfn.MAXIFS(Auftrag!$AP$13:$AP$512,Auftrag!$D$13:$D$512,$B839,Auftrag!$E$13:$E$512,$C839,Auftrag!$Q$13:$Q$512,$D839)*$D839/1000,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9" t="n"/>
      <c r="E840" s="24" t="n"/>
      <c r="F840" s="24" t="n"/>
      <c r="G840" s="12">
        <f>IF($A840="","",COUNTIFS(Stangenbelegung!$A$5:$A$10004,$A840))</f>
        <v/>
      </c>
      <c r="H840" s="35">
        <f>IF($A840="","",SUMIFS(Stangenbelegung!$F$5:$F$10004,Stangenbelegung!$A$5:$A$10004,$A840))</f>
        <v/>
      </c>
      <c r="I840" s="23" t="n"/>
      <c r="J840" s="35">
        <f>IF($A840="","",$E840+H840+$I840)</f>
        <v/>
      </c>
      <c r="K840" s="35">
        <f>IF($A840="","",$D840-J840)</f>
        <v/>
      </c>
      <c r="L840" s="32">
        <f>IF($A840="","",H840/$D840)</f>
        <v/>
      </c>
      <c r="M840" s="28">
        <f>IF($A840="","",IF(OR(J840+$F840&gt;$D840+0.001,_xlfn.MAXIFS(Stangenbelegung!$H$5:$H$10004,Stangenbelegung!$A$5:$A$10004,$A840)&gt;$D840-$F840+0.001),"ÜBERBELEGT","OK"))</f>
        <v/>
      </c>
      <c r="N840" s="24" t="n"/>
      <c r="O840" s="24" t="n"/>
      <c r="P840" s="9" t="n"/>
      <c r="Q840" s="18">
        <f>IF($A840="","",IFERROR($D840/1000*INDEX(Profile!$K$5:$K$304,MATCH($B840,lst_Profil,0))*INDEX(Werkstoffe!$E$5:$E$304,MATCH($C840,lst_Werkstoff,0))/1000,""))</f>
        <v/>
      </c>
      <c r="R840" s="18">
        <f>IF($A840="","",IF(N(_xlfn.MAXIFS(Auftrag!$AP$13:$AP$512,Auftrag!$D$13:$D$512,$B840,Auftrag!$E$13:$E$512,$C840,Auftrag!$Q$13:$Q$512,$D840))&gt;0,_xlfn.MAXIFS(Auftrag!$AP$13:$AP$512,Auftrag!$D$13:$D$512,$B840,Auftrag!$E$13:$E$512,$C840,Auftrag!$Q$13:$Q$512,$D840)*$D840/1000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9" t="n"/>
      <c r="E841" s="24" t="n"/>
      <c r="F841" s="24" t="n"/>
      <c r="G841" s="12">
        <f>IF($A841="","",COUNTIFS(Stangenbelegung!$A$5:$A$10004,$A841))</f>
        <v/>
      </c>
      <c r="H841" s="35">
        <f>IF($A841="","",SUMIFS(Stangenbelegung!$F$5:$F$10004,Stangenbelegung!$A$5:$A$10004,$A841))</f>
        <v/>
      </c>
      <c r="I841" s="23" t="n"/>
      <c r="J841" s="35">
        <f>IF($A841="","",$E841+H841+$I841)</f>
        <v/>
      </c>
      <c r="K841" s="35">
        <f>IF($A841="","",$D841-J841)</f>
        <v/>
      </c>
      <c r="L841" s="32">
        <f>IF($A841="","",H841/$D841)</f>
        <v/>
      </c>
      <c r="M841" s="28">
        <f>IF($A841="","",IF(OR(J841+$F841&gt;$D841+0.001,_xlfn.MAXIFS(Stangenbelegung!$H$5:$H$10004,Stangenbelegung!$A$5:$A$10004,$A841)&gt;$D841-$F841+0.001),"ÜBERBELEGT","OK"))</f>
        <v/>
      </c>
      <c r="N841" s="24" t="n"/>
      <c r="O841" s="24" t="n"/>
      <c r="P841" s="9" t="n"/>
      <c r="Q841" s="18">
        <f>IF($A841="","",IFERROR($D841/1000*INDEX(Profile!$K$5:$K$304,MATCH($B841,lst_Profil,0))*INDEX(Werkstoffe!$E$5:$E$304,MATCH($C841,lst_Werkstoff,0))/1000,""))</f>
        <v/>
      </c>
      <c r="R841" s="18">
        <f>IF($A841="","",IF(N(_xlfn.MAXIFS(Auftrag!$AP$13:$AP$512,Auftrag!$D$13:$D$512,$B841,Auftrag!$E$13:$E$512,$C841,Auftrag!$Q$13:$Q$512,$D841))&gt;0,_xlfn.MAXIFS(Auftrag!$AP$13:$AP$512,Auftrag!$D$13:$D$512,$B841,Auftrag!$E$13:$E$512,$C841,Auftrag!$Q$13:$Q$512,$D841)*$D841/1000,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9" t="n"/>
      <c r="E842" s="24" t="n"/>
      <c r="F842" s="24" t="n"/>
      <c r="G842" s="12">
        <f>IF($A842="","",COUNTIFS(Stangenbelegung!$A$5:$A$10004,$A842))</f>
        <v/>
      </c>
      <c r="H842" s="35">
        <f>IF($A842="","",SUMIFS(Stangenbelegung!$F$5:$F$10004,Stangenbelegung!$A$5:$A$10004,$A842))</f>
        <v/>
      </c>
      <c r="I842" s="23" t="n"/>
      <c r="J842" s="35">
        <f>IF($A842="","",$E842+H842+$I842)</f>
        <v/>
      </c>
      <c r="K842" s="35">
        <f>IF($A842="","",$D842-J842)</f>
        <v/>
      </c>
      <c r="L842" s="32">
        <f>IF($A842="","",H842/$D842)</f>
        <v/>
      </c>
      <c r="M842" s="28">
        <f>IF($A842="","",IF(OR(J842+$F842&gt;$D842+0.001,_xlfn.MAXIFS(Stangenbelegung!$H$5:$H$10004,Stangenbelegung!$A$5:$A$10004,$A842)&gt;$D842-$F842+0.001),"ÜBERBELEGT","OK"))</f>
        <v/>
      </c>
      <c r="N842" s="24" t="n"/>
      <c r="O842" s="24" t="n"/>
      <c r="P842" s="9" t="n"/>
      <c r="Q842" s="18">
        <f>IF($A842="","",IFERROR($D842/1000*INDEX(Profile!$K$5:$K$304,MATCH($B842,lst_Profil,0))*INDEX(Werkstoffe!$E$5:$E$304,MATCH($C842,lst_Werkstoff,0))/1000,""))</f>
        <v/>
      </c>
      <c r="R842" s="18">
        <f>IF($A842="","",IF(N(_xlfn.MAXIFS(Auftrag!$AP$13:$AP$512,Auftrag!$D$13:$D$512,$B842,Auftrag!$E$13:$E$512,$C842,Auftrag!$Q$13:$Q$512,$D842))&gt;0,_xlfn.MAXIFS(Auftrag!$AP$13:$AP$512,Auftrag!$D$13:$D$512,$B842,Auftrag!$E$13:$E$512,$C842,Auftrag!$Q$13:$Q$512,$D842)*$D842/1000,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9" t="n"/>
      <c r="E843" s="24" t="n"/>
      <c r="F843" s="24" t="n"/>
      <c r="G843" s="12">
        <f>IF($A843="","",COUNTIFS(Stangenbelegung!$A$5:$A$10004,$A843))</f>
        <v/>
      </c>
      <c r="H843" s="35">
        <f>IF($A843="","",SUMIFS(Stangenbelegung!$F$5:$F$10004,Stangenbelegung!$A$5:$A$10004,$A843))</f>
        <v/>
      </c>
      <c r="I843" s="23" t="n"/>
      <c r="J843" s="35">
        <f>IF($A843="","",$E843+H843+$I843)</f>
        <v/>
      </c>
      <c r="K843" s="35">
        <f>IF($A843="","",$D843-J843)</f>
        <v/>
      </c>
      <c r="L843" s="32">
        <f>IF($A843="","",H843/$D843)</f>
        <v/>
      </c>
      <c r="M843" s="28">
        <f>IF($A843="","",IF(OR(J843+$F843&gt;$D843+0.001,_xlfn.MAXIFS(Stangenbelegung!$H$5:$H$10004,Stangenbelegung!$A$5:$A$10004,$A843)&gt;$D843-$F843+0.001),"ÜBERBELEGT","OK"))</f>
        <v/>
      </c>
      <c r="N843" s="24" t="n"/>
      <c r="O843" s="24" t="n"/>
      <c r="P843" s="9" t="n"/>
      <c r="Q843" s="18">
        <f>IF($A843="","",IFERROR($D843/1000*INDEX(Profile!$K$5:$K$304,MATCH($B843,lst_Profil,0))*INDEX(Werkstoffe!$E$5:$E$304,MATCH($C843,lst_Werkstoff,0))/1000,""))</f>
        <v/>
      </c>
      <c r="R843" s="18">
        <f>IF($A843="","",IF(N(_xlfn.MAXIFS(Auftrag!$AP$13:$AP$512,Auftrag!$D$13:$D$512,$B843,Auftrag!$E$13:$E$512,$C843,Auftrag!$Q$13:$Q$512,$D843))&gt;0,_xlfn.MAXIFS(Auftrag!$AP$13:$AP$512,Auftrag!$D$13:$D$512,$B843,Auftrag!$E$13:$E$512,$C843,Auftrag!$Q$13:$Q$512,$D843)*$D843/1000,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9" t="n"/>
      <c r="E844" s="24" t="n"/>
      <c r="F844" s="24" t="n"/>
      <c r="G844" s="12">
        <f>IF($A844="","",COUNTIFS(Stangenbelegung!$A$5:$A$10004,$A844))</f>
        <v/>
      </c>
      <c r="H844" s="35">
        <f>IF($A844="","",SUMIFS(Stangenbelegung!$F$5:$F$10004,Stangenbelegung!$A$5:$A$10004,$A844))</f>
        <v/>
      </c>
      <c r="I844" s="23" t="n"/>
      <c r="J844" s="35">
        <f>IF($A844="","",$E844+H844+$I844)</f>
        <v/>
      </c>
      <c r="K844" s="35">
        <f>IF($A844="","",$D844-J844)</f>
        <v/>
      </c>
      <c r="L844" s="32">
        <f>IF($A844="","",H844/$D844)</f>
        <v/>
      </c>
      <c r="M844" s="28">
        <f>IF($A844="","",IF(OR(J844+$F844&gt;$D844+0.001,_xlfn.MAXIFS(Stangenbelegung!$H$5:$H$10004,Stangenbelegung!$A$5:$A$10004,$A844)&gt;$D844-$F844+0.001),"ÜBERBELEGT","OK"))</f>
        <v/>
      </c>
      <c r="N844" s="24" t="n"/>
      <c r="O844" s="24" t="n"/>
      <c r="P844" s="9" t="n"/>
      <c r="Q844" s="18">
        <f>IF($A844="","",IFERROR($D844/1000*INDEX(Profile!$K$5:$K$304,MATCH($B844,lst_Profil,0))*INDEX(Werkstoffe!$E$5:$E$304,MATCH($C844,lst_Werkstoff,0))/1000,""))</f>
        <v/>
      </c>
      <c r="R844" s="18">
        <f>IF($A844="","",IF(N(_xlfn.MAXIFS(Auftrag!$AP$13:$AP$512,Auftrag!$D$13:$D$512,$B844,Auftrag!$E$13:$E$512,$C844,Auftrag!$Q$13:$Q$512,$D844))&gt;0,_xlfn.MAXIFS(Auftrag!$AP$13:$AP$512,Auftrag!$D$13:$D$512,$B844,Auftrag!$E$13:$E$512,$C844,Auftrag!$Q$13:$Q$512,$D844)*$D844/1000,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9" t="n"/>
      <c r="E845" s="24" t="n"/>
      <c r="F845" s="24" t="n"/>
      <c r="G845" s="12">
        <f>IF($A845="","",COUNTIFS(Stangenbelegung!$A$5:$A$10004,$A845))</f>
        <v/>
      </c>
      <c r="H845" s="35">
        <f>IF($A845="","",SUMIFS(Stangenbelegung!$F$5:$F$10004,Stangenbelegung!$A$5:$A$10004,$A845))</f>
        <v/>
      </c>
      <c r="I845" s="23" t="n"/>
      <c r="J845" s="35">
        <f>IF($A845="","",$E845+H845+$I845)</f>
        <v/>
      </c>
      <c r="K845" s="35">
        <f>IF($A845="","",$D845-J845)</f>
        <v/>
      </c>
      <c r="L845" s="32">
        <f>IF($A845="","",H845/$D845)</f>
        <v/>
      </c>
      <c r="M845" s="28">
        <f>IF($A845="","",IF(OR(J845+$F845&gt;$D845+0.001,_xlfn.MAXIFS(Stangenbelegung!$H$5:$H$10004,Stangenbelegung!$A$5:$A$10004,$A845)&gt;$D845-$F845+0.001),"ÜBERBELEGT","OK"))</f>
        <v/>
      </c>
      <c r="N845" s="24" t="n"/>
      <c r="O845" s="24" t="n"/>
      <c r="P845" s="9" t="n"/>
      <c r="Q845" s="18">
        <f>IF($A845="","",IFERROR($D845/1000*INDEX(Profile!$K$5:$K$304,MATCH($B845,lst_Profil,0))*INDEX(Werkstoffe!$E$5:$E$304,MATCH($C845,lst_Werkstoff,0))/1000,""))</f>
        <v/>
      </c>
      <c r="R845" s="18">
        <f>IF($A845="","",IF(N(_xlfn.MAXIFS(Auftrag!$AP$13:$AP$512,Auftrag!$D$13:$D$512,$B845,Auftrag!$E$13:$E$512,$C845,Auftrag!$Q$13:$Q$512,$D845))&gt;0,_xlfn.MAXIFS(Auftrag!$AP$13:$AP$512,Auftrag!$D$13:$D$512,$B845,Auftrag!$E$13:$E$512,$C845,Auftrag!$Q$13:$Q$512,$D845)*$D845/1000,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9" t="n"/>
      <c r="E846" s="24" t="n"/>
      <c r="F846" s="24" t="n"/>
      <c r="G846" s="12">
        <f>IF($A846="","",COUNTIFS(Stangenbelegung!$A$5:$A$10004,$A846))</f>
        <v/>
      </c>
      <c r="H846" s="35">
        <f>IF($A846="","",SUMIFS(Stangenbelegung!$F$5:$F$10004,Stangenbelegung!$A$5:$A$10004,$A846))</f>
        <v/>
      </c>
      <c r="I846" s="23" t="n"/>
      <c r="J846" s="35">
        <f>IF($A846="","",$E846+H846+$I846)</f>
        <v/>
      </c>
      <c r="K846" s="35">
        <f>IF($A846="","",$D846-J846)</f>
        <v/>
      </c>
      <c r="L846" s="32">
        <f>IF($A846="","",H846/$D846)</f>
        <v/>
      </c>
      <c r="M846" s="28">
        <f>IF($A846="","",IF(OR(J846+$F846&gt;$D846+0.001,_xlfn.MAXIFS(Stangenbelegung!$H$5:$H$10004,Stangenbelegung!$A$5:$A$10004,$A846)&gt;$D846-$F846+0.001),"ÜBERBELEGT","OK"))</f>
        <v/>
      </c>
      <c r="N846" s="24" t="n"/>
      <c r="O846" s="24" t="n"/>
      <c r="P846" s="9" t="n"/>
      <c r="Q846" s="18">
        <f>IF($A846="","",IFERROR($D846/1000*INDEX(Profile!$K$5:$K$304,MATCH($B846,lst_Profil,0))*INDEX(Werkstoffe!$E$5:$E$304,MATCH($C846,lst_Werkstoff,0))/1000,""))</f>
        <v/>
      </c>
      <c r="R846" s="18">
        <f>IF($A846="","",IF(N(_xlfn.MAXIFS(Auftrag!$AP$13:$AP$512,Auftrag!$D$13:$D$512,$B846,Auftrag!$E$13:$E$512,$C846,Auftrag!$Q$13:$Q$512,$D846))&gt;0,_xlfn.MAXIFS(Auftrag!$AP$13:$AP$512,Auftrag!$D$13:$D$512,$B846,Auftrag!$E$13:$E$512,$C846,Auftrag!$Q$13:$Q$512,$D846)*$D846/1000,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9" t="n"/>
      <c r="E847" s="24" t="n"/>
      <c r="F847" s="24" t="n"/>
      <c r="G847" s="12">
        <f>IF($A847="","",COUNTIFS(Stangenbelegung!$A$5:$A$10004,$A847))</f>
        <v/>
      </c>
      <c r="H847" s="35">
        <f>IF($A847="","",SUMIFS(Stangenbelegung!$F$5:$F$10004,Stangenbelegung!$A$5:$A$10004,$A847))</f>
        <v/>
      </c>
      <c r="I847" s="23" t="n"/>
      <c r="J847" s="35">
        <f>IF($A847="","",$E847+H847+$I847)</f>
        <v/>
      </c>
      <c r="K847" s="35">
        <f>IF($A847="","",$D847-J847)</f>
        <v/>
      </c>
      <c r="L847" s="32">
        <f>IF($A847="","",H847/$D847)</f>
        <v/>
      </c>
      <c r="M847" s="28">
        <f>IF($A847="","",IF(OR(J847+$F847&gt;$D847+0.001,_xlfn.MAXIFS(Stangenbelegung!$H$5:$H$10004,Stangenbelegung!$A$5:$A$10004,$A847)&gt;$D847-$F847+0.001),"ÜBERBELEGT","OK"))</f>
        <v/>
      </c>
      <c r="N847" s="24" t="n"/>
      <c r="O847" s="24" t="n"/>
      <c r="P847" s="9" t="n"/>
      <c r="Q847" s="18">
        <f>IF($A847="","",IFERROR($D847/1000*INDEX(Profile!$K$5:$K$304,MATCH($B847,lst_Profil,0))*INDEX(Werkstoffe!$E$5:$E$304,MATCH($C847,lst_Werkstoff,0))/1000,""))</f>
        <v/>
      </c>
      <c r="R847" s="18">
        <f>IF($A847="","",IF(N(_xlfn.MAXIFS(Auftrag!$AP$13:$AP$512,Auftrag!$D$13:$D$512,$B847,Auftrag!$E$13:$E$512,$C847,Auftrag!$Q$13:$Q$512,$D847))&gt;0,_xlfn.MAXIFS(Auftrag!$AP$13:$AP$512,Auftrag!$D$13:$D$512,$B847,Auftrag!$E$13:$E$512,$C847,Auftrag!$Q$13:$Q$512,$D847)*$D847/1000,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9" t="n"/>
      <c r="E848" s="24" t="n"/>
      <c r="F848" s="24" t="n"/>
      <c r="G848" s="12">
        <f>IF($A848="","",COUNTIFS(Stangenbelegung!$A$5:$A$10004,$A848))</f>
        <v/>
      </c>
      <c r="H848" s="35">
        <f>IF($A848="","",SUMIFS(Stangenbelegung!$F$5:$F$10004,Stangenbelegung!$A$5:$A$10004,$A848))</f>
        <v/>
      </c>
      <c r="I848" s="23" t="n"/>
      <c r="J848" s="35">
        <f>IF($A848="","",$E848+H848+$I848)</f>
        <v/>
      </c>
      <c r="K848" s="35">
        <f>IF($A848="","",$D848-J848)</f>
        <v/>
      </c>
      <c r="L848" s="32">
        <f>IF($A848="","",H848/$D848)</f>
        <v/>
      </c>
      <c r="M848" s="28">
        <f>IF($A848="","",IF(OR(J848+$F848&gt;$D848+0.001,_xlfn.MAXIFS(Stangenbelegung!$H$5:$H$10004,Stangenbelegung!$A$5:$A$10004,$A848)&gt;$D848-$F848+0.001),"ÜBERBELEGT","OK"))</f>
        <v/>
      </c>
      <c r="N848" s="24" t="n"/>
      <c r="O848" s="24" t="n"/>
      <c r="P848" s="9" t="n"/>
      <c r="Q848" s="18">
        <f>IF($A848="","",IFERROR($D848/1000*INDEX(Profile!$K$5:$K$304,MATCH($B848,lst_Profil,0))*INDEX(Werkstoffe!$E$5:$E$304,MATCH($C848,lst_Werkstoff,0))/1000,""))</f>
        <v/>
      </c>
      <c r="R848" s="18">
        <f>IF($A848="","",IF(N(_xlfn.MAXIFS(Auftrag!$AP$13:$AP$512,Auftrag!$D$13:$D$512,$B848,Auftrag!$E$13:$E$512,$C848,Auftrag!$Q$13:$Q$512,$D848))&gt;0,_xlfn.MAXIFS(Auftrag!$AP$13:$AP$512,Auftrag!$D$13:$D$512,$B848,Auftrag!$E$13:$E$512,$C848,Auftrag!$Q$13:$Q$512,$D848)*$D848/1000,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9" t="n"/>
      <c r="E849" s="24" t="n"/>
      <c r="F849" s="24" t="n"/>
      <c r="G849" s="12">
        <f>IF($A849="","",COUNTIFS(Stangenbelegung!$A$5:$A$10004,$A849))</f>
        <v/>
      </c>
      <c r="H849" s="35">
        <f>IF($A849="","",SUMIFS(Stangenbelegung!$F$5:$F$10004,Stangenbelegung!$A$5:$A$10004,$A849))</f>
        <v/>
      </c>
      <c r="I849" s="23" t="n"/>
      <c r="J849" s="35">
        <f>IF($A849="","",$E849+H849+$I849)</f>
        <v/>
      </c>
      <c r="K849" s="35">
        <f>IF($A849="","",$D849-J849)</f>
        <v/>
      </c>
      <c r="L849" s="32">
        <f>IF($A849="","",H849/$D849)</f>
        <v/>
      </c>
      <c r="M849" s="28">
        <f>IF($A849="","",IF(OR(J849+$F849&gt;$D849+0.001,_xlfn.MAXIFS(Stangenbelegung!$H$5:$H$10004,Stangenbelegung!$A$5:$A$10004,$A849)&gt;$D849-$F849+0.001),"ÜBERBELEGT","OK"))</f>
        <v/>
      </c>
      <c r="N849" s="24" t="n"/>
      <c r="O849" s="24" t="n"/>
      <c r="P849" s="9" t="n"/>
      <c r="Q849" s="18">
        <f>IF($A849="","",IFERROR($D849/1000*INDEX(Profile!$K$5:$K$304,MATCH($B849,lst_Profil,0))*INDEX(Werkstoffe!$E$5:$E$304,MATCH($C849,lst_Werkstoff,0))/1000,""))</f>
        <v/>
      </c>
      <c r="R849" s="18">
        <f>IF($A849="","",IF(N(_xlfn.MAXIFS(Auftrag!$AP$13:$AP$512,Auftrag!$D$13:$D$512,$B849,Auftrag!$E$13:$E$512,$C849,Auftrag!$Q$13:$Q$512,$D849))&gt;0,_xlfn.MAXIFS(Auftrag!$AP$13:$AP$512,Auftrag!$D$13:$D$512,$B849,Auftrag!$E$13:$E$512,$C849,Auftrag!$Q$13:$Q$512,$D849)*$D849/1000,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9" t="n"/>
      <c r="E850" s="24" t="n"/>
      <c r="F850" s="24" t="n"/>
      <c r="G850" s="12">
        <f>IF($A850="","",COUNTIFS(Stangenbelegung!$A$5:$A$10004,$A850))</f>
        <v/>
      </c>
      <c r="H850" s="35">
        <f>IF($A850="","",SUMIFS(Stangenbelegung!$F$5:$F$10004,Stangenbelegung!$A$5:$A$10004,$A850))</f>
        <v/>
      </c>
      <c r="I850" s="23" t="n"/>
      <c r="J850" s="35">
        <f>IF($A850="","",$E850+H850+$I850)</f>
        <v/>
      </c>
      <c r="K850" s="35">
        <f>IF($A850="","",$D850-J850)</f>
        <v/>
      </c>
      <c r="L850" s="32">
        <f>IF($A850="","",H850/$D850)</f>
        <v/>
      </c>
      <c r="M850" s="28">
        <f>IF($A850="","",IF(OR(J850+$F850&gt;$D850+0.001,_xlfn.MAXIFS(Stangenbelegung!$H$5:$H$10004,Stangenbelegung!$A$5:$A$10004,$A850)&gt;$D850-$F850+0.001),"ÜBERBELEGT","OK"))</f>
        <v/>
      </c>
      <c r="N850" s="24" t="n"/>
      <c r="O850" s="24" t="n"/>
      <c r="P850" s="9" t="n"/>
      <c r="Q850" s="18">
        <f>IF($A850="","",IFERROR($D850/1000*INDEX(Profile!$K$5:$K$304,MATCH($B850,lst_Profil,0))*INDEX(Werkstoffe!$E$5:$E$304,MATCH($C850,lst_Werkstoff,0))/1000,""))</f>
        <v/>
      </c>
      <c r="R850" s="18">
        <f>IF($A850="","",IF(N(_xlfn.MAXIFS(Auftrag!$AP$13:$AP$512,Auftrag!$D$13:$D$512,$B850,Auftrag!$E$13:$E$512,$C850,Auftrag!$Q$13:$Q$512,$D850))&gt;0,_xlfn.MAXIFS(Auftrag!$AP$13:$AP$512,Auftrag!$D$13:$D$512,$B850,Auftrag!$E$13:$E$512,$C850,Auftrag!$Q$13:$Q$512,$D850)*$D850/1000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9" t="n"/>
      <c r="E851" s="24" t="n"/>
      <c r="F851" s="24" t="n"/>
      <c r="G851" s="12">
        <f>IF($A851="","",COUNTIFS(Stangenbelegung!$A$5:$A$10004,$A851))</f>
        <v/>
      </c>
      <c r="H851" s="35">
        <f>IF($A851="","",SUMIFS(Stangenbelegung!$F$5:$F$10004,Stangenbelegung!$A$5:$A$10004,$A851))</f>
        <v/>
      </c>
      <c r="I851" s="23" t="n"/>
      <c r="J851" s="35">
        <f>IF($A851="","",$E851+H851+$I851)</f>
        <v/>
      </c>
      <c r="K851" s="35">
        <f>IF($A851="","",$D851-J851)</f>
        <v/>
      </c>
      <c r="L851" s="32">
        <f>IF($A851="","",H851/$D851)</f>
        <v/>
      </c>
      <c r="M851" s="28">
        <f>IF($A851="","",IF(OR(J851+$F851&gt;$D851+0.001,_xlfn.MAXIFS(Stangenbelegung!$H$5:$H$10004,Stangenbelegung!$A$5:$A$10004,$A851)&gt;$D851-$F851+0.001),"ÜBERBELEGT","OK"))</f>
        <v/>
      </c>
      <c r="N851" s="24" t="n"/>
      <c r="O851" s="24" t="n"/>
      <c r="P851" s="9" t="n"/>
      <c r="Q851" s="18">
        <f>IF($A851="","",IFERROR($D851/1000*INDEX(Profile!$K$5:$K$304,MATCH($B851,lst_Profil,0))*INDEX(Werkstoffe!$E$5:$E$304,MATCH($C851,lst_Werkstoff,0))/1000,""))</f>
        <v/>
      </c>
      <c r="R851" s="18">
        <f>IF($A851="","",IF(N(_xlfn.MAXIFS(Auftrag!$AP$13:$AP$512,Auftrag!$D$13:$D$512,$B851,Auftrag!$E$13:$E$512,$C851,Auftrag!$Q$13:$Q$512,$D851))&gt;0,_xlfn.MAXIFS(Auftrag!$AP$13:$AP$512,Auftrag!$D$13:$D$512,$B851,Auftrag!$E$13:$E$512,$C851,Auftrag!$Q$13:$Q$512,$D851)*$D851/1000,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9" t="n"/>
      <c r="E852" s="24" t="n"/>
      <c r="F852" s="24" t="n"/>
      <c r="G852" s="12">
        <f>IF($A852="","",COUNTIFS(Stangenbelegung!$A$5:$A$10004,$A852))</f>
        <v/>
      </c>
      <c r="H852" s="35">
        <f>IF($A852="","",SUMIFS(Stangenbelegung!$F$5:$F$10004,Stangenbelegung!$A$5:$A$10004,$A852))</f>
        <v/>
      </c>
      <c r="I852" s="23" t="n"/>
      <c r="J852" s="35">
        <f>IF($A852="","",$E852+H852+$I852)</f>
        <v/>
      </c>
      <c r="K852" s="35">
        <f>IF($A852="","",$D852-J852)</f>
        <v/>
      </c>
      <c r="L852" s="32">
        <f>IF($A852="","",H852/$D852)</f>
        <v/>
      </c>
      <c r="M852" s="28">
        <f>IF($A852="","",IF(OR(J852+$F852&gt;$D852+0.001,_xlfn.MAXIFS(Stangenbelegung!$H$5:$H$10004,Stangenbelegung!$A$5:$A$10004,$A852)&gt;$D852-$F852+0.001),"ÜBERBELEGT","OK"))</f>
        <v/>
      </c>
      <c r="N852" s="24" t="n"/>
      <c r="O852" s="24" t="n"/>
      <c r="P852" s="9" t="n"/>
      <c r="Q852" s="18">
        <f>IF($A852="","",IFERROR($D852/1000*INDEX(Profile!$K$5:$K$304,MATCH($B852,lst_Profil,0))*INDEX(Werkstoffe!$E$5:$E$304,MATCH($C852,lst_Werkstoff,0))/1000,""))</f>
        <v/>
      </c>
      <c r="R852" s="18">
        <f>IF($A852="","",IF(N(_xlfn.MAXIFS(Auftrag!$AP$13:$AP$512,Auftrag!$D$13:$D$512,$B852,Auftrag!$E$13:$E$512,$C852,Auftrag!$Q$13:$Q$512,$D852))&gt;0,_xlfn.MAXIFS(Auftrag!$AP$13:$AP$512,Auftrag!$D$13:$D$512,$B852,Auftrag!$E$13:$E$512,$C852,Auftrag!$Q$13:$Q$512,$D852)*$D852/1000,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9" t="n"/>
      <c r="E853" s="24" t="n"/>
      <c r="F853" s="24" t="n"/>
      <c r="G853" s="12">
        <f>IF($A853="","",COUNTIFS(Stangenbelegung!$A$5:$A$10004,$A853))</f>
        <v/>
      </c>
      <c r="H853" s="35">
        <f>IF($A853="","",SUMIFS(Stangenbelegung!$F$5:$F$10004,Stangenbelegung!$A$5:$A$10004,$A853))</f>
        <v/>
      </c>
      <c r="I853" s="23" t="n"/>
      <c r="J853" s="35">
        <f>IF($A853="","",$E853+H853+$I853)</f>
        <v/>
      </c>
      <c r="K853" s="35">
        <f>IF($A853="","",$D853-J853)</f>
        <v/>
      </c>
      <c r="L853" s="32">
        <f>IF($A853="","",H853/$D853)</f>
        <v/>
      </c>
      <c r="M853" s="28">
        <f>IF($A853="","",IF(OR(J853+$F853&gt;$D853+0.001,_xlfn.MAXIFS(Stangenbelegung!$H$5:$H$10004,Stangenbelegung!$A$5:$A$10004,$A853)&gt;$D853-$F853+0.001),"ÜBERBELEGT","OK"))</f>
        <v/>
      </c>
      <c r="N853" s="24" t="n"/>
      <c r="O853" s="24" t="n"/>
      <c r="P853" s="9" t="n"/>
      <c r="Q853" s="18">
        <f>IF($A853="","",IFERROR($D853/1000*INDEX(Profile!$K$5:$K$304,MATCH($B853,lst_Profil,0))*INDEX(Werkstoffe!$E$5:$E$304,MATCH($C853,lst_Werkstoff,0))/1000,""))</f>
        <v/>
      </c>
      <c r="R853" s="18">
        <f>IF($A853="","",IF(N(_xlfn.MAXIFS(Auftrag!$AP$13:$AP$512,Auftrag!$D$13:$D$512,$B853,Auftrag!$E$13:$E$512,$C853,Auftrag!$Q$13:$Q$512,$D853))&gt;0,_xlfn.MAXIFS(Auftrag!$AP$13:$AP$512,Auftrag!$D$13:$D$512,$B853,Auftrag!$E$13:$E$512,$C853,Auftrag!$Q$13:$Q$512,$D853)*$D853/1000,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9" t="n"/>
      <c r="E854" s="24" t="n"/>
      <c r="F854" s="24" t="n"/>
      <c r="G854" s="12">
        <f>IF($A854="","",COUNTIFS(Stangenbelegung!$A$5:$A$10004,$A854))</f>
        <v/>
      </c>
      <c r="H854" s="35">
        <f>IF($A854="","",SUMIFS(Stangenbelegung!$F$5:$F$10004,Stangenbelegung!$A$5:$A$10004,$A854))</f>
        <v/>
      </c>
      <c r="I854" s="23" t="n"/>
      <c r="J854" s="35">
        <f>IF($A854="","",$E854+H854+$I854)</f>
        <v/>
      </c>
      <c r="K854" s="35">
        <f>IF($A854="","",$D854-J854)</f>
        <v/>
      </c>
      <c r="L854" s="32">
        <f>IF($A854="","",H854/$D854)</f>
        <v/>
      </c>
      <c r="M854" s="28">
        <f>IF($A854="","",IF(OR(J854+$F854&gt;$D854+0.001,_xlfn.MAXIFS(Stangenbelegung!$H$5:$H$10004,Stangenbelegung!$A$5:$A$10004,$A854)&gt;$D854-$F854+0.001),"ÜBERBELEGT","OK"))</f>
        <v/>
      </c>
      <c r="N854" s="24" t="n"/>
      <c r="O854" s="24" t="n"/>
      <c r="P854" s="9" t="n"/>
      <c r="Q854" s="18">
        <f>IF($A854="","",IFERROR($D854/1000*INDEX(Profile!$K$5:$K$304,MATCH($B854,lst_Profil,0))*INDEX(Werkstoffe!$E$5:$E$304,MATCH($C854,lst_Werkstoff,0))/1000,""))</f>
        <v/>
      </c>
      <c r="R854" s="18">
        <f>IF($A854="","",IF(N(_xlfn.MAXIFS(Auftrag!$AP$13:$AP$512,Auftrag!$D$13:$D$512,$B854,Auftrag!$E$13:$E$512,$C854,Auftrag!$Q$13:$Q$512,$D854))&gt;0,_xlfn.MAXIFS(Auftrag!$AP$13:$AP$512,Auftrag!$D$13:$D$512,$B854,Auftrag!$E$13:$E$512,$C854,Auftrag!$Q$13:$Q$512,$D854)*$D854/1000,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9" t="n"/>
      <c r="E855" s="24" t="n"/>
      <c r="F855" s="24" t="n"/>
      <c r="G855" s="12">
        <f>IF($A855="","",COUNTIFS(Stangenbelegung!$A$5:$A$10004,$A855))</f>
        <v/>
      </c>
      <c r="H855" s="35">
        <f>IF($A855="","",SUMIFS(Stangenbelegung!$F$5:$F$10004,Stangenbelegung!$A$5:$A$10004,$A855))</f>
        <v/>
      </c>
      <c r="I855" s="23" t="n"/>
      <c r="J855" s="35">
        <f>IF($A855="","",$E855+H855+$I855)</f>
        <v/>
      </c>
      <c r="K855" s="35">
        <f>IF($A855="","",$D855-J855)</f>
        <v/>
      </c>
      <c r="L855" s="32">
        <f>IF($A855="","",H855/$D855)</f>
        <v/>
      </c>
      <c r="M855" s="28">
        <f>IF($A855="","",IF(OR(J855+$F855&gt;$D855+0.001,_xlfn.MAXIFS(Stangenbelegung!$H$5:$H$10004,Stangenbelegung!$A$5:$A$10004,$A855)&gt;$D855-$F855+0.001),"ÜBERBELEGT","OK"))</f>
        <v/>
      </c>
      <c r="N855" s="24" t="n"/>
      <c r="O855" s="24" t="n"/>
      <c r="P855" s="9" t="n"/>
      <c r="Q855" s="18">
        <f>IF($A855="","",IFERROR($D855/1000*INDEX(Profile!$K$5:$K$304,MATCH($B855,lst_Profil,0))*INDEX(Werkstoffe!$E$5:$E$304,MATCH($C855,lst_Werkstoff,0))/1000,""))</f>
        <v/>
      </c>
      <c r="R855" s="18">
        <f>IF($A855="","",IF(N(_xlfn.MAXIFS(Auftrag!$AP$13:$AP$512,Auftrag!$D$13:$D$512,$B855,Auftrag!$E$13:$E$512,$C855,Auftrag!$Q$13:$Q$512,$D855))&gt;0,_xlfn.MAXIFS(Auftrag!$AP$13:$AP$512,Auftrag!$D$13:$D$512,$B855,Auftrag!$E$13:$E$512,$C855,Auftrag!$Q$13:$Q$512,$D855)*$D855/1000,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9" t="n"/>
      <c r="E856" s="24" t="n"/>
      <c r="F856" s="24" t="n"/>
      <c r="G856" s="12">
        <f>IF($A856="","",COUNTIFS(Stangenbelegung!$A$5:$A$10004,$A856))</f>
        <v/>
      </c>
      <c r="H856" s="35">
        <f>IF($A856="","",SUMIFS(Stangenbelegung!$F$5:$F$10004,Stangenbelegung!$A$5:$A$10004,$A856))</f>
        <v/>
      </c>
      <c r="I856" s="23" t="n"/>
      <c r="J856" s="35">
        <f>IF($A856="","",$E856+H856+$I856)</f>
        <v/>
      </c>
      <c r="K856" s="35">
        <f>IF($A856="","",$D856-J856)</f>
        <v/>
      </c>
      <c r="L856" s="32">
        <f>IF($A856="","",H856/$D856)</f>
        <v/>
      </c>
      <c r="M856" s="28">
        <f>IF($A856="","",IF(OR(J856+$F856&gt;$D856+0.001,_xlfn.MAXIFS(Stangenbelegung!$H$5:$H$10004,Stangenbelegung!$A$5:$A$10004,$A856)&gt;$D856-$F856+0.001),"ÜBERBELEGT","OK"))</f>
        <v/>
      </c>
      <c r="N856" s="24" t="n"/>
      <c r="O856" s="24" t="n"/>
      <c r="P856" s="9" t="n"/>
      <c r="Q856" s="18">
        <f>IF($A856="","",IFERROR($D856/1000*INDEX(Profile!$K$5:$K$304,MATCH($B856,lst_Profil,0))*INDEX(Werkstoffe!$E$5:$E$304,MATCH($C856,lst_Werkstoff,0))/1000,""))</f>
        <v/>
      </c>
      <c r="R856" s="18">
        <f>IF($A856="","",IF(N(_xlfn.MAXIFS(Auftrag!$AP$13:$AP$512,Auftrag!$D$13:$D$512,$B856,Auftrag!$E$13:$E$512,$C856,Auftrag!$Q$13:$Q$512,$D856))&gt;0,_xlfn.MAXIFS(Auftrag!$AP$13:$AP$512,Auftrag!$D$13:$D$512,$B856,Auftrag!$E$13:$E$512,$C856,Auftrag!$Q$13:$Q$512,$D856)*$D856/1000,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9" t="n"/>
      <c r="E857" s="24" t="n"/>
      <c r="F857" s="24" t="n"/>
      <c r="G857" s="12">
        <f>IF($A857="","",COUNTIFS(Stangenbelegung!$A$5:$A$10004,$A857))</f>
        <v/>
      </c>
      <c r="H857" s="35">
        <f>IF($A857="","",SUMIFS(Stangenbelegung!$F$5:$F$10004,Stangenbelegung!$A$5:$A$10004,$A857))</f>
        <v/>
      </c>
      <c r="I857" s="23" t="n"/>
      <c r="J857" s="35">
        <f>IF($A857="","",$E857+H857+$I857)</f>
        <v/>
      </c>
      <c r="K857" s="35">
        <f>IF($A857="","",$D857-J857)</f>
        <v/>
      </c>
      <c r="L857" s="32">
        <f>IF($A857="","",H857/$D857)</f>
        <v/>
      </c>
      <c r="M857" s="28">
        <f>IF($A857="","",IF(OR(J857+$F857&gt;$D857+0.001,_xlfn.MAXIFS(Stangenbelegung!$H$5:$H$10004,Stangenbelegung!$A$5:$A$10004,$A857)&gt;$D857-$F857+0.001),"ÜBERBELEGT","OK"))</f>
        <v/>
      </c>
      <c r="N857" s="24" t="n"/>
      <c r="O857" s="24" t="n"/>
      <c r="P857" s="9" t="n"/>
      <c r="Q857" s="18">
        <f>IF($A857="","",IFERROR($D857/1000*INDEX(Profile!$K$5:$K$304,MATCH($B857,lst_Profil,0))*INDEX(Werkstoffe!$E$5:$E$304,MATCH($C857,lst_Werkstoff,0))/1000,""))</f>
        <v/>
      </c>
      <c r="R857" s="18">
        <f>IF($A857="","",IF(N(_xlfn.MAXIFS(Auftrag!$AP$13:$AP$512,Auftrag!$D$13:$D$512,$B857,Auftrag!$E$13:$E$512,$C857,Auftrag!$Q$13:$Q$512,$D857))&gt;0,_xlfn.MAXIFS(Auftrag!$AP$13:$AP$512,Auftrag!$D$13:$D$512,$B857,Auftrag!$E$13:$E$512,$C857,Auftrag!$Q$13:$Q$512,$D857)*$D857/1000,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9" t="n"/>
      <c r="E858" s="24" t="n"/>
      <c r="F858" s="24" t="n"/>
      <c r="G858" s="12">
        <f>IF($A858="","",COUNTIFS(Stangenbelegung!$A$5:$A$10004,$A858))</f>
        <v/>
      </c>
      <c r="H858" s="35">
        <f>IF($A858="","",SUMIFS(Stangenbelegung!$F$5:$F$10004,Stangenbelegung!$A$5:$A$10004,$A858))</f>
        <v/>
      </c>
      <c r="I858" s="23" t="n"/>
      <c r="J858" s="35">
        <f>IF($A858="","",$E858+H858+$I858)</f>
        <v/>
      </c>
      <c r="K858" s="35">
        <f>IF($A858="","",$D858-J858)</f>
        <v/>
      </c>
      <c r="L858" s="32">
        <f>IF($A858="","",H858/$D858)</f>
        <v/>
      </c>
      <c r="M858" s="28">
        <f>IF($A858="","",IF(OR(J858+$F858&gt;$D858+0.001,_xlfn.MAXIFS(Stangenbelegung!$H$5:$H$10004,Stangenbelegung!$A$5:$A$10004,$A858)&gt;$D858-$F858+0.001),"ÜBERBELEGT","OK"))</f>
        <v/>
      </c>
      <c r="N858" s="24" t="n"/>
      <c r="O858" s="24" t="n"/>
      <c r="P858" s="9" t="n"/>
      <c r="Q858" s="18">
        <f>IF($A858="","",IFERROR($D858/1000*INDEX(Profile!$K$5:$K$304,MATCH($B858,lst_Profil,0))*INDEX(Werkstoffe!$E$5:$E$304,MATCH($C858,lst_Werkstoff,0))/1000,""))</f>
        <v/>
      </c>
      <c r="R858" s="18">
        <f>IF($A858="","",IF(N(_xlfn.MAXIFS(Auftrag!$AP$13:$AP$512,Auftrag!$D$13:$D$512,$B858,Auftrag!$E$13:$E$512,$C858,Auftrag!$Q$13:$Q$512,$D858))&gt;0,_xlfn.MAXIFS(Auftrag!$AP$13:$AP$512,Auftrag!$D$13:$D$512,$B858,Auftrag!$E$13:$E$512,$C858,Auftrag!$Q$13:$Q$512,$D858)*$D858/1000,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9" t="n"/>
      <c r="E859" s="24" t="n"/>
      <c r="F859" s="24" t="n"/>
      <c r="G859" s="12">
        <f>IF($A859="","",COUNTIFS(Stangenbelegung!$A$5:$A$10004,$A859))</f>
        <v/>
      </c>
      <c r="H859" s="35">
        <f>IF($A859="","",SUMIFS(Stangenbelegung!$F$5:$F$10004,Stangenbelegung!$A$5:$A$10004,$A859))</f>
        <v/>
      </c>
      <c r="I859" s="23" t="n"/>
      <c r="J859" s="35">
        <f>IF($A859="","",$E859+H859+$I859)</f>
        <v/>
      </c>
      <c r="K859" s="35">
        <f>IF($A859="","",$D859-J859)</f>
        <v/>
      </c>
      <c r="L859" s="32">
        <f>IF($A859="","",H859/$D859)</f>
        <v/>
      </c>
      <c r="M859" s="28">
        <f>IF($A859="","",IF(OR(J859+$F859&gt;$D859+0.001,_xlfn.MAXIFS(Stangenbelegung!$H$5:$H$10004,Stangenbelegung!$A$5:$A$10004,$A859)&gt;$D859-$F859+0.001),"ÜBERBELEGT","OK"))</f>
        <v/>
      </c>
      <c r="N859" s="24" t="n"/>
      <c r="O859" s="24" t="n"/>
      <c r="P859" s="9" t="n"/>
      <c r="Q859" s="18">
        <f>IF($A859="","",IFERROR($D859/1000*INDEX(Profile!$K$5:$K$304,MATCH($B859,lst_Profil,0))*INDEX(Werkstoffe!$E$5:$E$304,MATCH($C859,lst_Werkstoff,0))/1000,""))</f>
        <v/>
      </c>
      <c r="R859" s="18">
        <f>IF($A859="","",IF(N(_xlfn.MAXIFS(Auftrag!$AP$13:$AP$512,Auftrag!$D$13:$D$512,$B859,Auftrag!$E$13:$E$512,$C859,Auftrag!$Q$13:$Q$512,$D859))&gt;0,_xlfn.MAXIFS(Auftrag!$AP$13:$AP$512,Auftrag!$D$13:$D$512,$B859,Auftrag!$E$13:$E$512,$C859,Auftrag!$Q$13:$Q$512,$D859)*$D859/1000,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9" t="n"/>
      <c r="E860" s="24" t="n"/>
      <c r="F860" s="24" t="n"/>
      <c r="G860" s="12">
        <f>IF($A860="","",COUNTIFS(Stangenbelegung!$A$5:$A$10004,$A860))</f>
        <v/>
      </c>
      <c r="H860" s="35">
        <f>IF($A860="","",SUMIFS(Stangenbelegung!$F$5:$F$10004,Stangenbelegung!$A$5:$A$10004,$A860))</f>
        <v/>
      </c>
      <c r="I860" s="23" t="n"/>
      <c r="J860" s="35">
        <f>IF($A860="","",$E860+H860+$I860)</f>
        <v/>
      </c>
      <c r="K860" s="35">
        <f>IF($A860="","",$D860-J860)</f>
        <v/>
      </c>
      <c r="L860" s="32">
        <f>IF($A860="","",H860/$D860)</f>
        <v/>
      </c>
      <c r="M860" s="28">
        <f>IF($A860="","",IF(OR(J860+$F860&gt;$D860+0.001,_xlfn.MAXIFS(Stangenbelegung!$H$5:$H$10004,Stangenbelegung!$A$5:$A$10004,$A860)&gt;$D860-$F860+0.001),"ÜBERBELEGT","OK"))</f>
        <v/>
      </c>
      <c r="N860" s="24" t="n"/>
      <c r="O860" s="24" t="n"/>
      <c r="P860" s="9" t="n"/>
      <c r="Q860" s="18">
        <f>IF($A860="","",IFERROR($D860/1000*INDEX(Profile!$K$5:$K$304,MATCH($B860,lst_Profil,0))*INDEX(Werkstoffe!$E$5:$E$304,MATCH($C860,lst_Werkstoff,0))/1000,""))</f>
        <v/>
      </c>
      <c r="R860" s="18">
        <f>IF($A860="","",IF(N(_xlfn.MAXIFS(Auftrag!$AP$13:$AP$512,Auftrag!$D$13:$D$512,$B860,Auftrag!$E$13:$E$512,$C860,Auftrag!$Q$13:$Q$512,$D860))&gt;0,_xlfn.MAXIFS(Auftrag!$AP$13:$AP$512,Auftrag!$D$13:$D$512,$B860,Auftrag!$E$13:$E$512,$C860,Auftrag!$Q$13:$Q$512,$D860)*$D860/1000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9" t="n"/>
      <c r="E861" s="24" t="n"/>
      <c r="F861" s="24" t="n"/>
      <c r="G861" s="12">
        <f>IF($A861="","",COUNTIFS(Stangenbelegung!$A$5:$A$10004,$A861))</f>
        <v/>
      </c>
      <c r="H861" s="35">
        <f>IF($A861="","",SUMIFS(Stangenbelegung!$F$5:$F$10004,Stangenbelegung!$A$5:$A$10004,$A861))</f>
        <v/>
      </c>
      <c r="I861" s="23" t="n"/>
      <c r="J861" s="35">
        <f>IF($A861="","",$E861+H861+$I861)</f>
        <v/>
      </c>
      <c r="K861" s="35">
        <f>IF($A861="","",$D861-J861)</f>
        <v/>
      </c>
      <c r="L861" s="32">
        <f>IF($A861="","",H861/$D861)</f>
        <v/>
      </c>
      <c r="M861" s="28">
        <f>IF($A861="","",IF(OR(J861+$F861&gt;$D861+0.001,_xlfn.MAXIFS(Stangenbelegung!$H$5:$H$10004,Stangenbelegung!$A$5:$A$10004,$A861)&gt;$D861-$F861+0.001),"ÜBERBELEGT","OK"))</f>
        <v/>
      </c>
      <c r="N861" s="24" t="n"/>
      <c r="O861" s="24" t="n"/>
      <c r="P861" s="9" t="n"/>
      <c r="Q861" s="18">
        <f>IF($A861="","",IFERROR($D861/1000*INDEX(Profile!$K$5:$K$304,MATCH($B861,lst_Profil,0))*INDEX(Werkstoffe!$E$5:$E$304,MATCH($C861,lst_Werkstoff,0))/1000,""))</f>
        <v/>
      </c>
      <c r="R861" s="18">
        <f>IF($A861="","",IF(N(_xlfn.MAXIFS(Auftrag!$AP$13:$AP$512,Auftrag!$D$13:$D$512,$B861,Auftrag!$E$13:$E$512,$C861,Auftrag!$Q$13:$Q$512,$D861))&gt;0,_xlfn.MAXIFS(Auftrag!$AP$13:$AP$512,Auftrag!$D$13:$D$512,$B861,Auftrag!$E$13:$E$512,$C861,Auftrag!$Q$13:$Q$512,$D861)*$D861/1000,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9" t="n"/>
      <c r="E862" s="24" t="n"/>
      <c r="F862" s="24" t="n"/>
      <c r="G862" s="12">
        <f>IF($A862="","",COUNTIFS(Stangenbelegung!$A$5:$A$10004,$A862))</f>
        <v/>
      </c>
      <c r="H862" s="35">
        <f>IF($A862="","",SUMIFS(Stangenbelegung!$F$5:$F$10004,Stangenbelegung!$A$5:$A$10004,$A862))</f>
        <v/>
      </c>
      <c r="I862" s="23" t="n"/>
      <c r="J862" s="35">
        <f>IF($A862="","",$E862+H862+$I862)</f>
        <v/>
      </c>
      <c r="K862" s="35">
        <f>IF($A862="","",$D862-J862)</f>
        <v/>
      </c>
      <c r="L862" s="32">
        <f>IF($A862="","",H862/$D862)</f>
        <v/>
      </c>
      <c r="M862" s="28">
        <f>IF($A862="","",IF(OR(J862+$F862&gt;$D862+0.001,_xlfn.MAXIFS(Stangenbelegung!$H$5:$H$10004,Stangenbelegung!$A$5:$A$10004,$A862)&gt;$D862-$F862+0.001),"ÜBERBELEGT","OK"))</f>
        <v/>
      </c>
      <c r="N862" s="24" t="n"/>
      <c r="O862" s="24" t="n"/>
      <c r="P862" s="9" t="n"/>
      <c r="Q862" s="18">
        <f>IF($A862="","",IFERROR($D862/1000*INDEX(Profile!$K$5:$K$304,MATCH($B862,lst_Profil,0))*INDEX(Werkstoffe!$E$5:$E$304,MATCH($C862,lst_Werkstoff,0))/1000,""))</f>
        <v/>
      </c>
      <c r="R862" s="18">
        <f>IF($A862="","",IF(N(_xlfn.MAXIFS(Auftrag!$AP$13:$AP$512,Auftrag!$D$13:$D$512,$B862,Auftrag!$E$13:$E$512,$C862,Auftrag!$Q$13:$Q$512,$D862))&gt;0,_xlfn.MAXIFS(Auftrag!$AP$13:$AP$512,Auftrag!$D$13:$D$512,$B862,Auftrag!$E$13:$E$512,$C862,Auftrag!$Q$13:$Q$512,$D862)*$D862/1000,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9" t="n"/>
      <c r="E863" s="24" t="n"/>
      <c r="F863" s="24" t="n"/>
      <c r="G863" s="12">
        <f>IF($A863="","",COUNTIFS(Stangenbelegung!$A$5:$A$10004,$A863))</f>
        <v/>
      </c>
      <c r="H863" s="35">
        <f>IF($A863="","",SUMIFS(Stangenbelegung!$F$5:$F$10004,Stangenbelegung!$A$5:$A$10004,$A863))</f>
        <v/>
      </c>
      <c r="I863" s="23" t="n"/>
      <c r="J863" s="35">
        <f>IF($A863="","",$E863+H863+$I863)</f>
        <v/>
      </c>
      <c r="K863" s="35">
        <f>IF($A863="","",$D863-J863)</f>
        <v/>
      </c>
      <c r="L863" s="32">
        <f>IF($A863="","",H863/$D863)</f>
        <v/>
      </c>
      <c r="M863" s="28">
        <f>IF($A863="","",IF(OR(J863+$F863&gt;$D863+0.001,_xlfn.MAXIFS(Stangenbelegung!$H$5:$H$10004,Stangenbelegung!$A$5:$A$10004,$A863)&gt;$D863-$F863+0.001),"ÜBERBELEGT","OK"))</f>
        <v/>
      </c>
      <c r="N863" s="24" t="n"/>
      <c r="O863" s="24" t="n"/>
      <c r="P863" s="9" t="n"/>
      <c r="Q863" s="18">
        <f>IF($A863="","",IFERROR($D863/1000*INDEX(Profile!$K$5:$K$304,MATCH($B863,lst_Profil,0))*INDEX(Werkstoffe!$E$5:$E$304,MATCH($C863,lst_Werkstoff,0))/1000,""))</f>
        <v/>
      </c>
      <c r="R863" s="18">
        <f>IF($A863="","",IF(N(_xlfn.MAXIFS(Auftrag!$AP$13:$AP$512,Auftrag!$D$13:$D$512,$B863,Auftrag!$E$13:$E$512,$C863,Auftrag!$Q$13:$Q$512,$D863))&gt;0,_xlfn.MAXIFS(Auftrag!$AP$13:$AP$512,Auftrag!$D$13:$D$512,$B863,Auftrag!$E$13:$E$512,$C863,Auftrag!$Q$13:$Q$512,$D863)*$D863/1000,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9" t="n"/>
      <c r="E864" s="24" t="n"/>
      <c r="F864" s="24" t="n"/>
      <c r="G864" s="12">
        <f>IF($A864="","",COUNTIFS(Stangenbelegung!$A$5:$A$10004,$A864))</f>
        <v/>
      </c>
      <c r="H864" s="35">
        <f>IF($A864="","",SUMIFS(Stangenbelegung!$F$5:$F$10004,Stangenbelegung!$A$5:$A$10004,$A864))</f>
        <v/>
      </c>
      <c r="I864" s="23" t="n"/>
      <c r="J864" s="35">
        <f>IF($A864="","",$E864+H864+$I864)</f>
        <v/>
      </c>
      <c r="K864" s="35">
        <f>IF($A864="","",$D864-J864)</f>
        <v/>
      </c>
      <c r="L864" s="32">
        <f>IF($A864="","",H864/$D864)</f>
        <v/>
      </c>
      <c r="M864" s="28">
        <f>IF($A864="","",IF(OR(J864+$F864&gt;$D864+0.001,_xlfn.MAXIFS(Stangenbelegung!$H$5:$H$10004,Stangenbelegung!$A$5:$A$10004,$A864)&gt;$D864-$F864+0.001),"ÜBERBELEGT","OK"))</f>
        <v/>
      </c>
      <c r="N864" s="24" t="n"/>
      <c r="O864" s="24" t="n"/>
      <c r="P864" s="9" t="n"/>
      <c r="Q864" s="18">
        <f>IF($A864="","",IFERROR($D864/1000*INDEX(Profile!$K$5:$K$304,MATCH($B864,lst_Profil,0))*INDEX(Werkstoffe!$E$5:$E$304,MATCH($C864,lst_Werkstoff,0))/1000,""))</f>
        <v/>
      </c>
      <c r="R864" s="18">
        <f>IF($A864="","",IF(N(_xlfn.MAXIFS(Auftrag!$AP$13:$AP$512,Auftrag!$D$13:$D$512,$B864,Auftrag!$E$13:$E$512,$C864,Auftrag!$Q$13:$Q$512,$D864))&gt;0,_xlfn.MAXIFS(Auftrag!$AP$13:$AP$512,Auftrag!$D$13:$D$512,$B864,Auftrag!$E$13:$E$512,$C864,Auftrag!$Q$13:$Q$512,$D864)*$D864/1000,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9" t="n"/>
      <c r="E865" s="24" t="n"/>
      <c r="F865" s="24" t="n"/>
      <c r="G865" s="12">
        <f>IF($A865="","",COUNTIFS(Stangenbelegung!$A$5:$A$10004,$A865))</f>
        <v/>
      </c>
      <c r="H865" s="35">
        <f>IF($A865="","",SUMIFS(Stangenbelegung!$F$5:$F$10004,Stangenbelegung!$A$5:$A$10004,$A865))</f>
        <v/>
      </c>
      <c r="I865" s="23" t="n"/>
      <c r="J865" s="35">
        <f>IF($A865="","",$E865+H865+$I865)</f>
        <v/>
      </c>
      <c r="K865" s="35">
        <f>IF($A865="","",$D865-J865)</f>
        <v/>
      </c>
      <c r="L865" s="32">
        <f>IF($A865="","",H865/$D865)</f>
        <v/>
      </c>
      <c r="M865" s="28">
        <f>IF($A865="","",IF(OR(J865+$F865&gt;$D865+0.001,_xlfn.MAXIFS(Stangenbelegung!$H$5:$H$10004,Stangenbelegung!$A$5:$A$10004,$A865)&gt;$D865-$F865+0.001),"ÜBERBELEGT","OK"))</f>
        <v/>
      </c>
      <c r="N865" s="24" t="n"/>
      <c r="O865" s="24" t="n"/>
      <c r="P865" s="9" t="n"/>
      <c r="Q865" s="18">
        <f>IF($A865="","",IFERROR($D865/1000*INDEX(Profile!$K$5:$K$304,MATCH($B865,lst_Profil,0))*INDEX(Werkstoffe!$E$5:$E$304,MATCH($C865,lst_Werkstoff,0))/1000,""))</f>
        <v/>
      </c>
      <c r="R865" s="18">
        <f>IF($A865="","",IF(N(_xlfn.MAXIFS(Auftrag!$AP$13:$AP$512,Auftrag!$D$13:$D$512,$B865,Auftrag!$E$13:$E$512,$C865,Auftrag!$Q$13:$Q$512,$D865))&gt;0,_xlfn.MAXIFS(Auftrag!$AP$13:$AP$512,Auftrag!$D$13:$D$512,$B865,Auftrag!$E$13:$E$512,$C865,Auftrag!$Q$13:$Q$512,$D865)*$D865/1000,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9" t="n"/>
      <c r="E866" s="24" t="n"/>
      <c r="F866" s="24" t="n"/>
      <c r="G866" s="12">
        <f>IF($A866="","",COUNTIFS(Stangenbelegung!$A$5:$A$10004,$A866))</f>
        <v/>
      </c>
      <c r="H866" s="35">
        <f>IF($A866="","",SUMIFS(Stangenbelegung!$F$5:$F$10004,Stangenbelegung!$A$5:$A$10004,$A866))</f>
        <v/>
      </c>
      <c r="I866" s="23" t="n"/>
      <c r="J866" s="35">
        <f>IF($A866="","",$E866+H866+$I866)</f>
        <v/>
      </c>
      <c r="K866" s="35">
        <f>IF($A866="","",$D866-J866)</f>
        <v/>
      </c>
      <c r="L866" s="32">
        <f>IF($A866="","",H866/$D866)</f>
        <v/>
      </c>
      <c r="M866" s="28">
        <f>IF($A866="","",IF(OR(J866+$F866&gt;$D866+0.001,_xlfn.MAXIFS(Stangenbelegung!$H$5:$H$10004,Stangenbelegung!$A$5:$A$10004,$A866)&gt;$D866-$F866+0.001),"ÜBERBELEGT","OK"))</f>
        <v/>
      </c>
      <c r="N866" s="24" t="n"/>
      <c r="O866" s="24" t="n"/>
      <c r="P866" s="9" t="n"/>
      <c r="Q866" s="18">
        <f>IF($A866="","",IFERROR($D866/1000*INDEX(Profile!$K$5:$K$304,MATCH($B866,lst_Profil,0))*INDEX(Werkstoffe!$E$5:$E$304,MATCH($C866,lst_Werkstoff,0))/1000,""))</f>
        <v/>
      </c>
      <c r="R866" s="18">
        <f>IF($A866="","",IF(N(_xlfn.MAXIFS(Auftrag!$AP$13:$AP$512,Auftrag!$D$13:$D$512,$B866,Auftrag!$E$13:$E$512,$C866,Auftrag!$Q$13:$Q$512,$D866))&gt;0,_xlfn.MAXIFS(Auftrag!$AP$13:$AP$512,Auftrag!$D$13:$D$512,$B866,Auftrag!$E$13:$E$512,$C866,Auftrag!$Q$13:$Q$512,$D866)*$D866/1000,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9" t="n"/>
      <c r="E867" s="24" t="n"/>
      <c r="F867" s="24" t="n"/>
      <c r="G867" s="12">
        <f>IF($A867="","",COUNTIFS(Stangenbelegung!$A$5:$A$10004,$A867))</f>
        <v/>
      </c>
      <c r="H867" s="35">
        <f>IF($A867="","",SUMIFS(Stangenbelegung!$F$5:$F$10004,Stangenbelegung!$A$5:$A$10004,$A867))</f>
        <v/>
      </c>
      <c r="I867" s="23" t="n"/>
      <c r="J867" s="35">
        <f>IF($A867="","",$E867+H867+$I867)</f>
        <v/>
      </c>
      <c r="K867" s="35">
        <f>IF($A867="","",$D867-J867)</f>
        <v/>
      </c>
      <c r="L867" s="32">
        <f>IF($A867="","",H867/$D867)</f>
        <v/>
      </c>
      <c r="M867" s="28">
        <f>IF($A867="","",IF(OR(J867+$F867&gt;$D867+0.001,_xlfn.MAXIFS(Stangenbelegung!$H$5:$H$10004,Stangenbelegung!$A$5:$A$10004,$A867)&gt;$D867-$F867+0.001),"ÜBERBELEGT","OK"))</f>
        <v/>
      </c>
      <c r="N867" s="24" t="n"/>
      <c r="O867" s="24" t="n"/>
      <c r="P867" s="9" t="n"/>
      <c r="Q867" s="18">
        <f>IF($A867="","",IFERROR($D867/1000*INDEX(Profile!$K$5:$K$304,MATCH($B867,lst_Profil,0))*INDEX(Werkstoffe!$E$5:$E$304,MATCH($C867,lst_Werkstoff,0))/1000,""))</f>
        <v/>
      </c>
      <c r="R867" s="18">
        <f>IF($A867="","",IF(N(_xlfn.MAXIFS(Auftrag!$AP$13:$AP$512,Auftrag!$D$13:$D$512,$B867,Auftrag!$E$13:$E$512,$C867,Auftrag!$Q$13:$Q$512,$D867))&gt;0,_xlfn.MAXIFS(Auftrag!$AP$13:$AP$512,Auftrag!$D$13:$D$512,$B867,Auftrag!$E$13:$E$512,$C867,Auftrag!$Q$13:$Q$512,$D867)*$D867/1000,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9" t="n"/>
      <c r="E868" s="24" t="n"/>
      <c r="F868" s="24" t="n"/>
      <c r="G868" s="12">
        <f>IF($A868="","",COUNTIFS(Stangenbelegung!$A$5:$A$10004,$A868))</f>
        <v/>
      </c>
      <c r="H868" s="35">
        <f>IF($A868="","",SUMIFS(Stangenbelegung!$F$5:$F$10004,Stangenbelegung!$A$5:$A$10004,$A868))</f>
        <v/>
      </c>
      <c r="I868" s="23" t="n"/>
      <c r="J868" s="35">
        <f>IF($A868="","",$E868+H868+$I868)</f>
        <v/>
      </c>
      <c r="K868" s="35">
        <f>IF($A868="","",$D868-J868)</f>
        <v/>
      </c>
      <c r="L868" s="32">
        <f>IF($A868="","",H868/$D868)</f>
        <v/>
      </c>
      <c r="M868" s="28">
        <f>IF($A868="","",IF(OR(J868+$F868&gt;$D868+0.001,_xlfn.MAXIFS(Stangenbelegung!$H$5:$H$10004,Stangenbelegung!$A$5:$A$10004,$A868)&gt;$D868-$F868+0.001),"ÜBERBELEGT","OK"))</f>
        <v/>
      </c>
      <c r="N868" s="24" t="n"/>
      <c r="O868" s="24" t="n"/>
      <c r="P868" s="9" t="n"/>
      <c r="Q868" s="18">
        <f>IF($A868="","",IFERROR($D868/1000*INDEX(Profile!$K$5:$K$304,MATCH($B868,lst_Profil,0))*INDEX(Werkstoffe!$E$5:$E$304,MATCH($C868,lst_Werkstoff,0))/1000,""))</f>
        <v/>
      </c>
      <c r="R868" s="18">
        <f>IF($A868="","",IF(N(_xlfn.MAXIFS(Auftrag!$AP$13:$AP$512,Auftrag!$D$13:$D$512,$B868,Auftrag!$E$13:$E$512,$C868,Auftrag!$Q$13:$Q$512,$D868))&gt;0,_xlfn.MAXIFS(Auftrag!$AP$13:$AP$512,Auftrag!$D$13:$D$512,$B868,Auftrag!$E$13:$E$512,$C868,Auftrag!$Q$13:$Q$512,$D868)*$D868/1000,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9" t="n"/>
      <c r="E869" s="24" t="n"/>
      <c r="F869" s="24" t="n"/>
      <c r="G869" s="12">
        <f>IF($A869="","",COUNTIFS(Stangenbelegung!$A$5:$A$10004,$A869))</f>
        <v/>
      </c>
      <c r="H869" s="35">
        <f>IF($A869="","",SUMIFS(Stangenbelegung!$F$5:$F$10004,Stangenbelegung!$A$5:$A$10004,$A869))</f>
        <v/>
      </c>
      <c r="I869" s="23" t="n"/>
      <c r="J869" s="35">
        <f>IF($A869="","",$E869+H869+$I869)</f>
        <v/>
      </c>
      <c r="K869" s="35">
        <f>IF($A869="","",$D869-J869)</f>
        <v/>
      </c>
      <c r="L869" s="32">
        <f>IF($A869="","",H869/$D869)</f>
        <v/>
      </c>
      <c r="M869" s="28">
        <f>IF($A869="","",IF(OR(J869+$F869&gt;$D869+0.001,_xlfn.MAXIFS(Stangenbelegung!$H$5:$H$10004,Stangenbelegung!$A$5:$A$10004,$A869)&gt;$D869-$F869+0.001),"ÜBERBELEGT","OK"))</f>
        <v/>
      </c>
      <c r="N869" s="24" t="n"/>
      <c r="O869" s="24" t="n"/>
      <c r="P869" s="9" t="n"/>
      <c r="Q869" s="18">
        <f>IF($A869="","",IFERROR($D869/1000*INDEX(Profile!$K$5:$K$304,MATCH($B869,lst_Profil,0))*INDEX(Werkstoffe!$E$5:$E$304,MATCH($C869,lst_Werkstoff,0))/1000,""))</f>
        <v/>
      </c>
      <c r="R869" s="18">
        <f>IF($A869="","",IF(N(_xlfn.MAXIFS(Auftrag!$AP$13:$AP$512,Auftrag!$D$13:$D$512,$B869,Auftrag!$E$13:$E$512,$C869,Auftrag!$Q$13:$Q$512,$D869))&gt;0,_xlfn.MAXIFS(Auftrag!$AP$13:$AP$512,Auftrag!$D$13:$D$512,$B869,Auftrag!$E$13:$E$512,$C869,Auftrag!$Q$13:$Q$512,$D869)*$D869/1000,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9" t="n"/>
      <c r="E870" s="24" t="n"/>
      <c r="F870" s="24" t="n"/>
      <c r="G870" s="12">
        <f>IF($A870="","",COUNTIFS(Stangenbelegung!$A$5:$A$10004,$A870))</f>
        <v/>
      </c>
      <c r="H870" s="35">
        <f>IF($A870="","",SUMIFS(Stangenbelegung!$F$5:$F$10004,Stangenbelegung!$A$5:$A$10004,$A870))</f>
        <v/>
      </c>
      <c r="I870" s="23" t="n"/>
      <c r="J870" s="35">
        <f>IF($A870="","",$E870+H870+$I870)</f>
        <v/>
      </c>
      <c r="K870" s="35">
        <f>IF($A870="","",$D870-J870)</f>
        <v/>
      </c>
      <c r="L870" s="32">
        <f>IF($A870="","",H870/$D870)</f>
        <v/>
      </c>
      <c r="M870" s="28">
        <f>IF($A870="","",IF(OR(J870+$F870&gt;$D870+0.001,_xlfn.MAXIFS(Stangenbelegung!$H$5:$H$10004,Stangenbelegung!$A$5:$A$10004,$A870)&gt;$D870-$F870+0.001),"ÜBERBELEGT","OK"))</f>
        <v/>
      </c>
      <c r="N870" s="24" t="n"/>
      <c r="O870" s="24" t="n"/>
      <c r="P870" s="9" t="n"/>
      <c r="Q870" s="18">
        <f>IF($A870="","",IFERROR($D870/1000*INDEX(Profile!$K$5:$K$304,MATCH($B870,lst_Profil,0))*INDEX(Werkstoffe!$E$5:$E$304,MATCH($C870,lst_Werkstoff,0))/1000,""))</f>
        <v/>
      </c>
      <c r="R870" s="18">
        <f>IF($A870="","",IF(N(_xlfn.MAXIFS(Auftrag!$AP$13:$AP$512,Auftrag!$D$13:$D$512,$B870,Auftrag!$E$13:$E$512,$C870,Auftrag!$Q$13:$Q$512,$D870))&gt;0,_xlfn.MAXIFS(Auftrag!$AP$13:$AP$512,Auftrag!$D$13:$D$512,$B870,Auftrag!$E$13:$E$512,$C870,Auftrag!$Q$13:$Q$512,$D870)*$D870/1000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9" t="n"/>
      <c r="E871" s="24" t="n"/>
      <c r="F871" s="24" t="n"/>
      <c r="G871" s="12">
        <f>IF($A871="","",COUNTIFS(Stangenbelegung!$A$5:$A$10004,$A871))</f>
        <v/>
      </c>
      <c r="H871" s="35">
        <f>IF($A871="","",SUMIFS(Stangenbelegung!$F$5:$F$10004,Stangenbelegung!$A$5:$A$10004,$A871))</f>
        <v/>
      </c>
      <c r="I871" s="23" t="n"/>
      <c r="J871" s="35">
        <f>IF($A871="","",$E871+H871+$I871)</f>
        <v/>
      </c>
      <c r="K871" s="35">
        <f>IF($A871="","",$D871-J871)</f>
        <v/>
      </c>
      <c r="L871" s="32">
        <f>IF($A871="","",H871/$D871)</f>
        <v/>
      </c>
      <c r="M871" s="28">
        <f>IF($A871="","",IF(OR(J871+$F871&gt;$D871+0.001,_xlfn.MAXIFS(Stangenbelegung!$H$5:$H$10004,Stangenbelegung!$A$5:$A$10004,$A871)&gt;$D871-$F871+0.001),"ÜBERBELEGT","OK"))</f>
        <v/>
      </c>
      <c r="N871" s="24" t="n"/>
      <c r="O871" s="24" t="n"/>
      <c r="P871" s="9" t="n"/>
      <c r="Q871" s="18">
        <f>IF($A871="","",IFERROR($D871/1000*INDEX(Profile!$K$5:$K$304,MATCH($B871,lst_Profil,0))*INDEX(Werkstoffe!$E$5:$E$304,MATCH($C871,lst_Werkstoff,0))/1000,""))</f>
        <v/>
      </c>
      <c r="R871" s="18">
        <f>IF($A871="","",IF(N(_xlfn.MAXIFS(Auftrag!$AP$13:$AP$512,Auftrag!$D$13:$D$512,$B871,Auftrag!$E$13:$E$512,$C871,Auftrag!$Q$13:$Q$512,$D871))&gt;0,_xlfn.MAXIFS(Auftrag!$AP$13:$AP$512,Auftrag!$D$13:$D$512,$B871,Auftrag!$E$13:$E$512,$C871,Auftrag!$Q$13:$Q$512,$D871)*$D871/1000,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9" t="n"/>
      <c r="E872" s="24" t="n"/>
      <c r="F872" s="24" t="n"/>
      <c r="G872" s="12">
        <f>IF($A872="","",COUNTIFS(Stangenbelegung!$A$5:$A$10004,$A872))</f>
        <v/>
      </c>
      <c r="H872" s="35">
        <f>IF($A872="","",SUMIFS(Stangenbelegung!$F$5:$F$10004,Stangenbelegung!$A$5:$A$10004,$A872))</f>
        <v/>
      </c>
      <c r="I872" s="23" t="n"/>
      <c r="J872" s="35">
        <f>IF($A872="","",$E872+H872+$I872)</f>
        <v/>
      </c>
      <c r="K872" s="35">
        <f>IF($A872="","",$D872-J872)</f>
        <v/>
      </c>
      <c r="L872" s="32">
        <f>IF($A872="","",H872/$D872)</f>
        <v/>
      </c>
      <c r="M872" s="28">
        <f>IF($A872="","",IF(OR(J872+$F872&gt;$D872+0.001,_xlfn.MAXIFS(Stangenbelegung!$H$5:$H$10004,Stangenbelegung!$A$5:$A$10004,$A872)&gt;$D872-$F872+0.001),"ÜBERBELEGT","OK"))</f>
        <v/>
      </c>
      <c r="N872" s="24" t="n"/>
      <c r="O872" s="24" t="n"/>
      <c r="P872" s="9" t="n"/>
      <c r="Q872" s="18">
        <f>IF($A872="","",IFERROR($D872/1000*INDEX(Profile!$K$5:$K$304,MATCH($B872,lst_Profil,0))*INDEX(Werkstoffe!$E$5:$E$304,MATCH($C872,lst_Werkstoff,0))/1000,""))</f>
        <v/>
      </c>
      <c r="R872" s="18">
        <f>IF($A872="","",IF(N(_xlfn.MAXIFS(Auftrag!$AP$13:$AP$512,Auftrag!$D$13:$D$512,$B872,Auftrag!$E$13:$E$512,$C872,Auftrag!$Q$13:$Q$512,$D872))&gt;0,_xlfn.MAXIFS(Auftrag!$AP$13:$AP$512,Auftrag!$D$13:$D$512,$B872,Auftrag!$E$13:$E$512,$C872,Auftrag!$Q$13:$Q$512,$D872)*$D872/1000,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9" t="n"/>
      <c r="E873" s="24" t="n"/>
      <c r="F873" s="24" t="n"/>
      <c r="G873" s="12">
        <f>IF($A873="","",COUNTIFS(Stangenbelegung!$A$5:$A$10004,$A873))</f>
        <v/>
      </c>
      <c r="H873" s="35">
        <f>IF($A873="","",SUMIFS(Stangenbelegung!$F$5:$F$10004,Stangenbelegung!$A$5:$A$10004,$A873))</f>
        <v/>
      </c>
      <c r="I873" s="23" t="n"/>
      <c r="J873" s="35">
        <f>IF($A873="","",$E873+H873+$I873)</f>
        <v/>
      </c>
      <c r="K873" s="35">
        <f>IF($A873="","",$D873-J873)</f>
        <v/>
      </c>
      <c r="L873" s="32">
        <f>IF($A873="","",H873/$D873)</f>
        <v/>
      </c>
      <c r="M873" s="28">
        <f>IF($A873="","",IF(OR(J873+$F873&gt;$D873+0.001,_xlfn.MAXIFS(Stangenbelegung!$H$5:$H$10004,Stangenbelegung!$A$5:$A$10004,$A873)&gt;$D873-$F873+0.001),"ÜBERBELEGT","OK"))</f>
        <v/>
      </c>
      <c r="N873" s="24" t="n"/>
      <c r="O873" s="24" t="n"/>
      <c r="P873" s="9" t="n"/>
      <c r="Q873" s="18">
        <f>IF($A873="","",IFERROR($D873/1000*INDEX(Profile!$K$5:$K$304,MATCH($B873,lst_Profil,0))*INDEX(Werkstoffe!$E$5:$E$304,MATCH($C873,lst_Werkstoff,0))/1000,""))</f>
        <v/>
      </c>
      <c r="R873" s="18">
        <f>IF($A873="","",IF(N(_xlfn.MAXIFS(Auftrag!$AP$13:$AP$512,Auftrag!$D$13:$D$512,$B873,Auftrag!$E$13:$E$512,$C873,Auftrag!$Q$13:$Q$512,$D873))&gt;0,_xlfn.MAXIFS(Auftrag!$AP$13:$AP$512,Auftrag!$D$13:$D$512,$B873,Auftrag!$E$13:$E$512,$C873,Auftrag!$Q$13:$Q$512,$D873)*$D873/1000,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9" t="n"/>
      <c r="E874" s="24" t="n"/>
      <c r="F874" s="24" t="n"/>
      <c r="G874" s="12">
        <f>IF($A874="","",COUNTIFS(Stangenbelegung!$A$5:$A$10004,$A874))</f>
        <v/>
      </c>
      <c r="H874" s="35">
        <f>IF($A874="","",SUMIFS(Stangenbelegung!$F$5:$F$10004,Stangenbelegung!$A$5:$A$10004,$A874))</f>
        <v/>
      </c>
      <c r="I874" s="23" t="n"/>
      <c r="J874" s="35">
        <f>IF($A874="","",$E874+H874+$I874)</f>
        <v/>
      </c>
      <c r="K874" s="35">
        <f>IF($A874="","",$D874-J874)</f>
        <v/>
      </c>
      <c r="L874" s="32">
        <f>IF($A874="","",H874/$D874)</f>
        <v/>
      </c>
      <c r="M874" s="28">
        <f>IF($A874="","",IF(OR(J874+$F874&gt;$D874+0.001,_xlfn.MAXIFS(Stangenbelegung!$H$5:$H$10004,Stangenbelegung!$A$5:$A$10004,$A874)&gt;$D874-$F874+0.001),"ÜBERBELEGT","OK"))</f>
        <v/>
      </c>
      <c r="N874" s="24" t="n"/>
      <c r="O874" s="24" t="n"/>
      <c r="P874" s="9" t="n"/>
      <c r="Q874" s="18">
        <f>IF($A874="","",IFERROR($D874/1000*INDEX(Profile!$K$5:$K$304,MATCH($B874,lst_Profil,0))*INDEX(Werkstoffe!$E$5:$E$304,MATCH($C874,lst_Werkstoff,0))/1000,""))</f>
        <v/>
      </c>
      <c r="R874" s="18">
        <f>IF($A874="","",IF(N(_xlfn.MAXIFS(Auftrag!$AP$13:$AP$512,Auftrag!$D$13:$D$512,$B874,Auftrag!$E$13:$E$512,$C874,Auftrag!$Q$13:$Q$512,$D874))&gt;0,_xlfn.MAXIFS(Auftrag!$AP$13:$AP$512,Auftrag!$D$13:$D$512,$B874,Auftrag!$E$13:$E$512,$C874,Auftrag!$Q$13:$Q$512,$D874)*$D874/1000,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9" t="n"/>
      <c r="E875" s="24" t="n"/>
      <c r="F875" s="24" t="n"/>
      <c r="G875" s="12">
        <f>IF($A875="","",COUNTIFS(Stangenbelegung!$A$5:$A$10004,$A875))</f>
        <v/>
      </c>
      <c r="H875" s="35">
        <f>IF($A875="","",SUMIFS(Stangenbelegung!$F$5:$F$10004,Stangenbelegung!$A$5:$A$10004,$A875))</f>
        <v/>
      </c>
      <c r="I875" s="23" t="n"/>
      <c r="J875" s="35">
        <f>IF($A875="","",$E875+H875+$I875)</f>
        <v/>
      </c>
      <c r="K875" s="35">
        <f>IF($A875="","",$D875-J875)</f>
        <v/>
      </c>
      <c r="L875" s="32">
        <f>IF($A875="","",H875/$D875)</f>
        <v/>
      </c>
      <c r="M875" s="28">
        <f>IF($A875="","",IF(OR(J875+$F875&gt;$D875+0.001,_xlfn.MAXIFS(Stangenbelegung!$H$5:$H$10004,Stangenbelegung!$A$5:$A$10004,$A875)&gt;$D875-$F875+0.001),"ÜBERBELEGT","OK"))</f>
        <v/>
      </c>
      <c r="N875" s="24" t="n"/>
      <c r="O875" s="24" t="n"/>
      <c r="P875" s="9" t="n"/>
      <c r="Q875" s="18">
        <f>IF($A875="","",IFERROR($D875/1000*INDEX(Profile!$K$5:$K$304,MATCH($B875,lst_Profil,0))*INDEX(Werkstoffe!$E$5:$E$304,MATCH($C875,lst_Werkstoff,0))/1000,""))</f>
        <v/>
      </c>
      <c r="R875" s="18">
        <f>IF($A875="","",IF(N(_xlfn.MAXIFS(Auftrag!$AP$13:$AP$512,Auftrag!$D$13:$D$512,$B875,Auftrag!$E$13:$E$512,$C875,Auftrag!$Q$13:$Q$512,$D875))&gt;0,_xlfn.MAXIFS(Auftrag!$AP$13:$AP$512,Auftrag!$D$13:$D$512,$B875,Auftrag!$E$13:$E$512,$C875,Auftrag!$Q$13:$Q$512,$D875)*$D875/1000,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9" t="n"/>
      <c r="E876" s="24" t="n"/>
      <c r="F876" s="24" t="n"/>
      <c r="G876" s="12">
        <f>IF($A876="","",COUNTIFS(Stangenbelegung!$A$5:$A$10004,$A876))</f>
        <v/>
      </c>
      <c r="H876" s="35">
        <f>IF($A876="","",SUMIFS(Stangenbelegung!$F$5:$F$10004,Stangenbelegung!$A$5:$A$10004,$A876))</f>
        <v/>
      </c>
      <c r="I876" s="23" t="n"/>
      <c r="J876" s="35">
        <f>IF($A876="","",$E876+H876+$I876)</f>
        <v/>
      </c>
      <c r="K876" s="35">
        <f>IF($A876="","",$D876-J876)</f>
        <v/>
      </c>
      <c r="L876" s="32">
        <f>IF($A876="","",H876/$D876)</f>
        <v/>
      </c>
      <c r="M876" s="28">
        <f>IF($A876="","",IF(OR(J876+$F876&gt;$D876+0.001,_xlfn.MAXIFS(Stangenbelegung!$H$5:$H$10004,Stangenbelegung!$A$5:$A$10004,$A876)&gt;$D876-$F876+0.001),"ÜBERBELEGT","OK"))</f>
        <v/>
      </c>
      <c r="N876" s="24" t="n"/>
      <c r="O876" s="24" t="n"/>
      <c r="P876" s="9" t="n"/>
      <c r="Q876" s="18">
        <f>IF($A876="","",IFERROR($D876/1000*INDEX(Profile!$K$5:$K$304,MATCH($B876,lst_Profil,0))*INDEX(Werkstoffe!$E$5:$E$304,MATCH($C876,lst_Werkstoff,0))/1000,""))</f>
        <v/>
      </c>
      <c r="R876" s="18">
        <f>IF($A876="","",IF(N(_xlfn.MAXIFS(Auftrag!$AP$13:$AP$512,Auftrag!$D$13:$D$512,$B876,Auftrag!$E$13:$E$512,$C876,Auftrag!$Q$13:$Q$512,$D876))&gt;0,_xlfn.MAXIFS(Auftrag!$AP$13:$AP$512,Auftrag!$D$13:$D$512,$B876,Auftrag!$E$13:$E$512,$C876,Auftrag!$Q$13:$Q$512,$D876)*$D876/1000,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9" t="n"/>
      <c r="E877" s="24" t="n"/>
      <c r="F877" s="24" t="n"/>
      <c r="G877" s="12">
        <f>IF($A877="","",COUNTIFS(Stangenbelegung!$A$5:$A$10004,$A877))</f>
        <v/>
      </c>
      <c r="H877" s="35">
        <f>IF($A877="","",SUMIFS(Stangenbelegung!$F$5:$F$10004,Stangenbelegung!$A$5:$A$10004,$A877))</f>
        <v/>
      </c>
      <c r="I877" s="23" t="n"/>
      <c r="J877" s="35">
        <f>IF($A877="","",$E877+H877+$I877)</f>
        <v/>
      </c>
      <c r="K877" s="35">
        <f>IF($A877="","",$D877-J877)</f>
        <v/>
      </c>
      <c r="L877" s="32">
        <f>IF($A877="","",H877/$D877)</f>
        <v/>
      </c>
      <c r="M877" s="28">
        <f>IF($A877="","",IF(OR(J877+$F877&gt;$D877+0.001,_xlfn.MAXIFS(Stangenbelegung!$H$5:$H$10004,Stangenbelegung!$A$5:$A$10004,$A877)&gt;$D877-$F877+0.001),"ÜBERBELEGT","OK"))</f>
        <v/>
      </c>
      <c r="N877" s="24" t="n"/>
      <c r="O877" s="24" t="n"/>
      <c r="P877" s="9" t="n"/>
      <c r="Q877" s="18">
        <f>IF($A877="","",IFERROR($D877/1000*INDEX(Profile!$K$5:$K$304,MATCH($B877,lst_Profil,0))*INDEX(Werkstoffe!$E$5:$E$304,MATCH($C877,lst_Werkstoff,0))/1000,""))</f>
        <v/>
      </c>
      <c r="R877" s="18">
        <f>IF($A877="","",IF(N(_xlfn.MAXIFS(Auftrag!$AP$13:$AP$512,Auftrag!$D$13:$D$512,$B877,Auftrag!$E$13:$E$512,$C877,Auftrag!$Q$13:$Q$512,$D877))&gt;0,_xlfn.MAXIFS(Auftrag!$AP$13:$AP$512,Auftrag!$D$13:$D$512,$B877,Auftrag!$E$13:$E$512,$C877,Auftrag!$Q$13:$Q$512,$D877)*$D877/1000,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9" t="n"/>
      <c r="E878" s="24" t="n"/>
      <c r="F878" s="24" t="n"/>
      <c r="G878" s="12">
        <f>IF($A878="","",COUNTIFS(Stangenbelegung!$A$5:$A$10004,$A878))</f>
        <v/>
      </c>
      <c r="H878" s="35">
        <f>IF($A878="","",SUMIFS(Stangenbelegung!$F$5:$F$10004,Stangenbelegung!$A$5:$A$10004,$A878))</f>
        <v/>
      </c>
      <c r="I878" s="23" t="n"/>
      <c r="J878" s="35">
        <f>IF($A878="","",$E878+H878+$I878)</f>
        <v/>
      </c>
      <c r="K878" s="35">
        <f>IF($A878="","",$D878-J878)</f>
        <v/>
      </c>
      <c r="L878" s="32">
        <f>IF($A878="","",H878/$D878)</f>
        <v/>
      </c>
      <c r="M878" s="28">
        <f>IF($A878="","",IF(OR(J878+$F878&gt;$D878+0.001,_xlfn.MAXIFS(Stangenbelegung!$H$5:$H$10004,Stangenbelegung!$A$5:$A$10004,$A878)&gt;$D878-$F878+0.001),"ÜBERBELEGT","OK"))</f>
        <v/>
      </c>
      <c r="N878" s="24" t="n"/>
      <c r="O878" s="24" t="n"/>
      <c r="P878" s="9" t="n"/>
      <c r="Q878" s="18">
        <f>IF($A878="","",IFERROR($D878/1000*INDEX(Profile!$K$5:$K$304,MATCH($B878,lst_Profil,0))*INDEX(Werkstoffe!$E$5:$E$304,MATCH($C878,lst_Werkstoff,0))/1000,""))</f>
        <v/>
      </c>
      <c r="R878" s="18">
        <f>IF($A878="","",IF(N(_xlfn.MAXIFS(Auftrag!$AP$13:$AP$512,Auftrag!$D$13:$D$512,$B878,Auftrag!$E$13:$E$512,$C878,Auftrag!$Q$13:$Q$512,$D878))&gt;0,_xlfn.MAXIFS(Auftrag!$AP$13:$AP$512,Auftrag!$D$13:$D$512,$B878,Auftrag!$E$13:$E$512,$C878,Auftrag!$Q$13:$Q$512,$D878)*$D878/1000,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9" t="n"/>
      <c r="E879" s="24" t="n"/>
      <c r="F879" s="24" t="n"/>
      <c r="G879" s="12">
        <f>IF($A879="","",COUNTIFS(Stangenbelegung!$A$5:$A$10004,$A879))</f>
        <v/>
      </c>
      <c r="H879" s="35">
        <f>IF($A879="","",SUMIFS(Stangenbelegung!$F$5:$F$10004,Stangenbelegung!$A$5:$A$10004,$A879))</f>
        <v/>
      </c>
      <c r="I879" s="23" t="n"/>
      <c r="J879" s="35">
        <f>IF($A879="","",$E879+H879+$I879)</f>
        <v/>
      </c>
      <c r="K879" s="35">
        <f>IF($A879="","",$D879-J879)</f>
        <v/>
      </c>
      <c r="L879" s="32">
        <f>IF($A879="","",H879/$D879)</f>
        <v/>
      </c>
      <c r="M879" s="28">
        <f>IF($A879="","",IF(OR(J879+$F879&gt;$D879+0.001,_xlfn.MAXIFS(Stangenbelegung!$H$5:$H$10004,Stangenbelegung!$A$5:$A$10004,$A879)&gt;$D879-$F879+0.001),"ÜBERBELEGT","OK"))</f>
        <v/>
      </c>
      <c r="N879" s="24" t="n"/>
      <c r="O879" s="24" t="n"/>
      <c r="P879" s="9" t="n"/>
      <c r="Q879" s="18">
        <f>IF($A879="","",IFERROR($D879/1000*INDEX(Profile!$K$5:$K$304,MATCH($B879,lst_Profil,0))*INDEX(Werkstoffe!$E$5:$E$304,MATCH($C879,lst_Werkstoff,0))/1000,""))</f>
        <v/>
      </c>
      <c r="R879" s="18">
        <f>IF($A879="","",IF(N(_xlfn.MAXIFS(Auftrag!$AP$13:$AP$512,Auftrag!$D$13:$D$512,$B879,Auftrag!$E$13:$E$512,$C879,Auftrag!$Q$13:$Q$512,$D879))&gt;0,_xlfn.MAXIFS(Auftrag!$AP$13:$AP$512,Auftrag!$D$13:$D$512,$B879,Auftrag!$E$13:$E$512,$C879,Auftrag!$Q$13:$Q$512,$D879)*$D879/1000,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9" t="n"/>
      <c r="E880" s="24" t="n"/>
      <c r="F880" s="24" t="n"/>
      <c r="G880" s="12">
        <f>IF($A880="","",COUNTIFS(Stangenbelegung!$A$5:$A$10004,$A880))</f>
        <v/>
      </c>
      <c r="H880" s="35">
        <f>IF($A880="","",SUMIFS(Stangenbelegung!$F$5:$F$10004,Stangenbelegung!$A$5:$A$10004,$A880))</f>
        <v/>
      </c>
      <c r="I880" s="23" t="n"/>
      <c r="J880" s="35">
        <f>IF($A880="","",$E880+H880+$I880)</f>
        <v/>
      </c>
      <c r="K880" s="35">
        <f>IF($A880="","",$D880-J880)</f>
        <v/>
      </c>
      <c r="L880" s="32">
        <f>IF($A880="","",H880/$D880)</f>
        <v/>
      </c>
      <c r="M880" s="28">
        <f>IF($A880="","",IF(OR(J880+$F880&gt;$D880+0.001,_xlfn.MAXIFS(Stangenbelegung!$H$5:$H$10004,Stangenbelegung!$A$5:$A$10004,$A880)&gt;$D880-$F880+0.001),"ÜBERBELEGT","OK"))</f>
        <v/>
      </c>
      <c r="N880" s="24" t="n"/>
      <c r="O880" s="24" t="n"/>
      <c r="P880" s="9" t="n"/>
      <c r="Q880" s="18">
        <f>IF($A880="","",IFERROR($D880/1000*INDEX(Profile!$K$5:$K$304,MATCH($B880,lst_Profil,0))*INDEX(Werkstoffe!$E$5:$E$304,MATCH($C880,lst_Werkstoff,0))/1000,""))</f>
        <v/>
      </c>
      <c r="R880" s="18">
        <f>IF($A880="","",IF(N(_xlfn.MAXIFS(Auftrag!$AP$13:$AP$512,Auftrag!$D$13:$D$512,$B880,Auftrag!$E$13:$E$512,$C880,Auftrag!$Q$13:$Q$512,$D880))&gt;0,_xlfn.MAXIFS(Auftrag!$AP$13:$AP$512,Auftrag!$D$13:$D$512,$B880,Auftrag!$E$13:$E$512,$C880,Auftrag!$Q$13:$Q$512,$D880)*$D880/1000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9" t="n"/>
      <c r="E881" s="24" t="n"/>
      <c r="F881" s="24" t="n"/>
      <c r="G881" s="12">
        <f>IF($A881="","",COUNTIFS(Stangenbelegung!$A$5:$A$10004,$A881))</f>
        <v/>
      </c>
      <c r="H881" s="35">
        <f>IF($A881="","",SUMIFS(Stangenbelegung!$F$5:$F$10004,Stangenbelegung!$A$5:$A$10004,$A881))</f>
        <v/>
      </c>
      <c r="I881" s="23" t="n"/>
      <c r="J881" s="35">
        <f>IF($A881="","",$E881+H881+$I881)</f>
        <v/>
      </c>
      <c r="K881" s="35">
        <f>IF($A881="","",$D881-J881)</f>
        <v/>
      </c>
      <c r="L881" s="32">
        <f>IF($A881="","",H881/$D881)</f>
        <v/>
      </c>
      <c r="M881" s="28">
        <f>IF($A881="","",IF(OR(J881+$F881&gt;$D881+0.001,_xlfn.MAXIFS(Stangenbelegung!$H$5:$H$10004,Stangenbelegung!$A$5:$A$10004,$A881)&gt;$D881-$F881+0.001),"ÜBERBELEGT","OK"))</f>
        <v/>
      </c>
      <c r="N881" s="24" t="n"/>
      <c r="O881" s="24" t="n"/>
      <c r="P881" s="9" t="n"/>
      <c r="Q881" s="18">
        <f>IF($A881="","",IFERROR($D881/1000*INDEX(Profile!$K$5:$K$304,MATCH($B881,lst_Profil,0))*INDEX(Werkstoffe!$E$5:$E$304,MATCH($C881,lst_Werkstoff,0))/1000,""))</f>
        <v/>
      </c>
      <c r="R881" s="18">
        <f>IF($A881="","",IF(N(_xlfn.MAXIFS(Auftrag!$AP$13:$AP$512,Auftrag!$D$13:$D$512,$B881,Auftrag!$E$13:$E$512,$C881,Auftrag!$Q$13:$Q$512,$D881))&gt;0,_xlfn.MAXIFS(Auftrag!$AP$13:$AP$512,Auftrag!$D$13:$D$512,$B881,Auftrag!$E$13:$E$512,$C881,Auftrag!$Q$13:$Q$512,$D881)*$D881/1000,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9" t="n"/>
      <c r="E882" s="24" t="n"/>
      <c r="F882" s="24" t="n"/>
      <c r="G882" s="12">
        <f>IF($A882="","",COUNTIFS(Stangenbelegung!$A$5:$A$10004,$A882))</f>
        <v/>
      </c>
      <c r="H882" s="35">
        <f>IF($A882="","",SUMIFS(Stangenbelegung!$F$5:$F$10004,Stangenbelegung!$A$5:$A$10004,$A882))</f>
        <v/>
      </c>
      <c r="I882" s="23" t="n"/>
      <c r="J882" s="35">
        <f>IF($A882="","",$E882+H882+$I882)</f>
        <v/>
      </c>
      <c r="K882" s="35">
        <f>IF($A882="","",$D882-J882)</f>
        <v/>
      </c>
      <c r="L882" s="32">
        <f>IF($A882="","",H882/$D882)</f>
        <v/>
      </c>
      <c r="M882" s="28">
        <f>IF($A882="","",IF(OR(J882+$F882&gt;$D882+0.001,_xlfn.MAXIFS(Stangenbelegung!$H$5:$H$10004,Stangenbelegung!$A$5:$A$10004,$A882)&gt;$D882-$F882+0.001),"ÜBERBELEGT","OK"))</f>
        <v/>
      </c>
      <c r="N882" s="24" t="n"/>
      <c r="O882" s="24" t="n"/>
      <c r="P882" s="9" t="n"/>
      <c r="Q882" s="18">
        <f>IF($A882="","",IFERROR($D882/1000*INDEX(Profile!$K$5:$K$304,MATCH($B882,lst_Profil,0))*INDEX(Werkstoffe!$E$5:$E$304,MATCH($C882,lst_Werkstoff,0))/1000,""))</f>
        <v/>
      </c>
      <c r="R882" s="18">
        <f>IF($A882="","",IF(N(_xlfn.MAXIFS(Auftrag!$AP$13:$AP$512,Auftrag!$D$13:$D$512,$B882,Auftrag!$E$13:$E$512,$C882,Auftrag!$Q$13:$Q$512,$D882))&gt;0,_xlfn.MAXIFS(Auftrag!$AP$13:$AP$512,Auftrag!$D$13:$D$512,$B882,Auftrag!$E$13:$E$512,$C882,Auftrag!$Q$13:$Q$512,$D882)*$D882/1000,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9" t="n"/>
      <c r="E883" s="24" t="n"/>
      <c r="F883" s="24" t="n"/>
      <c r="G883" s="12">
        <f>IF($A883="","",COUNTIFS(Stangenbelegung!$A$5:$A$10004,$A883))</f>
        <v/>
      </c>
      <c r="H883" s="35">
        <f>IF($A883="","",SUMIFS(Stangenbelegung!$F$5:$F$10004,Stangenbelegung!$A$5:$A$10004,$A883))</f>
        <v/>
      </c>
      <c r="I883" s="23" t="n"/>
      <c r="J883" s="35">
        <f>IF($A883="","",$E883+H883+$I883)</f>
        <v/>
      </c>
      <c r="K883" s="35">
        <f>IF($A883="","",$D883-J883)</f>
        <v/>
      </c>
      <c r="L883" s="32">
        <f>IF($A883="","",H883/$D883)</f>
        <v/>
      </c>
      <c r="M883" s="28">
        <f>IF($A883="","",IF(OR(J883+$F883&gt;$D883+0.001,_xlfn.MAXIFS(Stangenbelegung!$H$5:$H$10004,Stangenbelegung!$A$5:$A$10004,$A883)&gt;$D883-$F883+0.001),"ÜBERBELEGT","OK"))</f>
        <v/>
      </c>
      <c r="N883" s="24" t="n"/>
      <c r="O883" s="24" t="n"/>
      <c r="P883" s="9" t="n"/>
      <c r="Q883" s="18">
        <f>IF($A883="","",IFERROR($D883/1000*INDEX(Profile!$K$5:$K$304,MATCH($B883,lst_Profil,0))*INDEX(Werkstoffe!$E$5:$E$304,MATCH($C883,lst_Werkstoff,0))/1000,""))</f>
        <v/>
      </c>
      <c r="R883" s="18">
        <f>IF($A883="","",IF(N(_xlfn.MAXIFS(Auftrag!$AP$13:$AP$512,Auftrag!$D$13:$D$512,$B883,Auftrag!$E$13:$E$512,$C883,Auftrag!$Q$13:$Q$512,$D883))&gt;0,_xlfn.MAXIFS(Auftrag!$AP$13:$AP$512,Auftrag!$D$13:$D$512,$B883,Auftrag!$E$13:$E$512,$C883,Auftrag!$Q$13:$Q$512,$D883)*$D883/1000,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9" t="n"/>
      <c r="E884" s="24" t="n"/>
      <c r="F884" s="24" t="n"/>
      <c r="G884" s="12">
        <f>IF($A884="","",COUNTIFS(Stangenbelegung!$A$5:$A$10004,$A884))</f>
        <v/>
      </c>
      <c r="H884" s="35">
        <f>IF($A884="","",SUMIFS(Stangenbelegung!$F$5:$F$10004,Stangenbelegung!$A$5:$A$10004,$A884))</f>
        <v/>
      </c>
      <c r="I884" s="23" t="n"/>
      <c r="J884" s="35">
        <f>IF($A884="","",$E884+H884+$I884)</f>
        <v/>
      </c>
      <c r="K884" s="35">
        <f>IF($A884="","",$D884-J884)</f>
        <v/>
      </c>
      <c r="L884" s="32">
        <f>IF($A884="","",H884/$D884)</f>
        <v/>
      </c>
      <c r="M884" s="28">
        <f>IF($A884="","",IF(OR(J884+$F884&gt;$D884+0.001,_xlfn.MAXIFS(Stangenbelegung!$H$5:$H$10004,Stangenbelegung!$A$5:$A$10004,$A884)&gt;$D884-$F884+0.001),"ÜBERBELEGT","OK"))</f>
        <v/>
      </c>
      <c r="N884" s="24" t="n"/>
      <c r="O884" s="24" t="n"/>
      <c r="P884" s="9" t="n"/>
      <c r="Q884" s="18">
        <f>IF($A884="","",IFERROR($D884/1000*INDEX(Profile!$K$5:$K$304,MATCH($B884,lst_Profil,0))*INDEX(Werkstoffe!$E$5:$E$304,MATCH($C884,lst_Werkstoff,0))/1000,""))</f>
        <v/>
      </c>
      <c r="R884" s="18">
        <f>IF($A884="","",IF(N(_xlfn.MAXIFS(Auftrag!$AP$13:$AP$512,Auftrag!$D$13:$D$512,$B884,Auftrag!$E$13:$E$512,$C884,Auftrag!$Q$13:$Q$512,$D884))&gt;0,_xlfn.MAXIFS(Auftrag!$AP$13:$AP$512,Auftrag!$D$13:$D$512,$B884,Auftrag!$E$13:$E$512,$C884,Auftrag!$Q$13:$Q$512,$D884)*$D884/1000,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9" t="n"/>
      <c r="E885" s="24" t="n"/>
      <c r="F885" s="24" t="n"/>
      <c r="G885" s="12">
        <f>IF($A885="","",COUNTIFS(Stangenbelegung!$A$5:$A$10004,$A885))</f>
        <v/>
      </c>
      <c r="H885" s="35">
        <f>IF($A885="","",SUMIFS(Stangenbelegung!$F$5:$F$10004,Stangenbelegung!$A$5:$A$10004,$A885))</f>
        <v/>
      </c>
      <c r="I885" s="23" t="n"/>
      <c r="J885" s="35">
        <f>IF($A885="","",$E885+H885+$I885)</f>
        <v/>
      </c>
      <c r="K885" s="35">
        <f>IF($A885="","",$D885-J885)</f>
        <v/>
      </c>
      <c r="L885" s="32">
        <f>IF($A885="","",H885/$D885)</f>
        <v/>
      </c>
      <c r="M885" s="28">
        <f>IF($A885="","",IF(OR(J885+$F885&gt;$D885+0.001,_xlfn.MAXIFS(Stangenbelegung!$H$5:$H$10004,Stangenbelegung!$A$5:$A$10004,$A885)&gt;$D885-$F885+0.001),"ÜBERBELEGT","OK"))</f>
        <v/>
      </c>
      <c r="N885" s="24" t="n"/>
      <c r="O885" s="24" t="n"/>
      <c r="P885" s="9" t="n"/>
      <c r="Q885" s="18">
        <f>IF($A885="","",IFERROR($D885/1000*INDEX(Profile!$K$5:$K$304,MATCH($B885,lst_Profil,0))*INDEX(Werkstoffe!$E$5:$E$304,MATCH($C885,lst_Werkstoff,0))/1000,""))</f>
        <v/>
      </c>
      <c r="R885" s="18">
        <f>IF($A885="","",IF(N(_xlfn.MAXIFS(Auftrag!$AP$13:$AP$512,Auftrag!$D$13:$D$512,$B885,Auftrag!$E$13:$E$512,$C885,Auftrag!$Q$13:$Q$512,$D885))&gt;0,_xlfn.MAXIFS(Auftrag!$AP$13:$AP$512,Auftrag!$D$13:$D$512,$B885,Auftrag!$E$13:$E$512,$C885,Auftrag!$Q$13:$Q$512,$D885)*$D885/1000,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9" t="n"/>
      <c r="E886" s="24" t="n"/>
      <c r="F886" s="24" t="n"/>
      <c r="G886" s="12">
        <f>IF($A886="","",COUNTIFS(Stangenbelegung!$A$5:$A$10004,$A886))</f>
        <v/>
      </c>
      <c r="H886" s="35">
        <f>IF($A886="","",SUMIFS(Stangenbelegung!$F$5:$F$10004,Stangenbelegung!$A$5:$A$10004,$A886))</f>
        <v/>
      </c>
      <c r="I886" s="23" t="n"/>
      <c r="J886" s="35">
        <f>IF($A886="","",$E886+H886+$I886)</f>
        <v/>
      </c>
      <c r="K886" s="35">
        <f>IF($A886="","",$D886-J886)</f>
        <v/>
      </c>
      <c r="L886" s="32">
        <f>IF($A886="","",H886/$D886)</f>
        <v/>
      </c>
      <c r="M886" s="28">
        <f>IF($A886="","",IF(OR(J886+$F886&gt;$D886+0.001,_xlfn.MAXIFS(Stangenbelegung!$H$5:$H$10004,Stangenbelegung!$A$5:$A$10004,$A886)&gt;$D886-$F886+0.001),"ÜBERBELEGT","OK"))</f>
        <v/>
      </c>
      <c r="N886" s="24" t="n"/>
      <c r="O886" s="24" t="n"/>
      <c r="P886" s="9" t="n"/>
      <c r="Q886" s="18">
        <f>IF($A886="","",IFERROR($D886/1000*INDEX(Profile!$K$5:$K$304,MATCH($B886,lst_Profil,0))*INDEX(Werkstoffe!$E$5:$E$304,MATCH($C886,lst_Werkstoff,0))/1000,""))</f>
        <v/>
      </c>
      <c r="R886" s="18">
        <f>IF($A886="","",IF(N(_xlfn.MAXIFS(Auftrag!$AP$13:$AP$512,Auftrag!$D$13:$D$512,$B886,Auftrag!$E$13:$E$512,$C886,Auftrag!$Q$13:$Q$512,$D886))&gt;0,_xlfn.MAXIFS(Auftrag!$AP$13:$AP$512,Auftrag!$D$13:$D$512,$B886,Auftrag!$E$13:$E$512,$C886,Auftrag!$Q$13:$Q$512,$D886)*$D886/1000,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9" t="n"/>
      <c r="E887" s="24" t="n"/>
      <c r="F887" s="24" t="n"/>
      <c r="G887" s="12">
        <f>IF($A887="","",COUNTIFS(Stangenbelegung!$A$5:$A$10004,$A887))</f>
        <v/>
      </c>
      <c r="H887" s="35">
        <f>IF($A887="","",SUMIFS(Stangenbelegung!$F$5:$F$10004,Stangenbelegung!$A$5:$A$10004,$A887))</f>
        <v/>
      </c>
      <c r="I887" s="23" t="n"/>
      <c r="J887" s="35">
        <f>IF($A887="","",$E887+H887+$I887)</f>
        <v/>
      </c>
      <c r="K887" s="35">
        <f>IF($A887="","",$D887-J887)</f>
        <v/>
      </c>
      <c r="L887" s="32">
        <f>IF($A887="","",H887/$D887)</f>
        <v/>
      </c>
      <c r="M887" s="28">
        <f>IF($A887="","",IF(OR(J887+$F887&gt;$D887+0.001,_xlfn.MAXIFS(Stangenbelegung!$H$5:$H$10004,Stangenbelegung!$A$5:$A$10004,$A887)&gt;$D887-$F887+0.001),"ÜBERBELEGT","OK"))</f>
        <v/>
      </c>
      <c r="N887" s="24" t="n"/>
      <c r="O887" s="24" t="n"/>
      <c r="P887" s="9" t="n"/>
      <c r="Q887" s="18">
        <f>IF($A887="","",IFERROR($D887/1000*INDEX(Profile!$K$5:$K$304,MATCH($B887,lst_Profil,0))*INDEX(Werkstoffe!$E$5:$E$304,MATCH($C887,lst_Werkstoff,0))/1000,""))</f>
        <v/>
      </c>
      <c r="R887" s="18">
        <f>IF($A887="","",IF(N(_xlfn.MAXIFS(Auftrag!$AP$13:$AP$512,Auftrag!$D$13:$D$512,$B887,Auftrag!$E$13:$E$512,$C887,Auftrag!$Q$13:$Q$512,$D887))&gt;0,_xlfn.MAXIFS(Auftrag!$AP$13:$AP$512,Auftrag!$D$13:$D$512,$B887,Auftrag!$E$13:$E$512,$C887,Auftrag!$Q$13:$Q$512,$D887)*$D887/1000,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9" t="n"/>
      <c r="E888" s="24" t="n"/>
      <c r="F888" s="24" t="n"/>
      <c r="G888" s="12">
        <f>IF($A888="","",COUNTIFS(Stangenbelegung!$A$5:$A$10004,$A888))</f>
        <v/>
      </c>
      <c r="H888" s="35">
        <f>IF($A888="","",SUMIFS(Stangenbelegung!$F$5:$F$10004,Stangenbelegung!$A$5:$A$10004,$A888))</f>
        <v/>
      </c>
      <c r="I888" s="23" t="n"/>
      <c r="J888" s="35">
        <f>IF($A888="","",$E888+H888+$I888)</f>
        <v/>
      </c>
      <c r="K888" s="35">
        <f>IF($A888="","",$D888-J888)</f>
        <v/>
      </c>
      <c r="L888" s="32">
        <f>IF($A888="","",H888/$D888)</f>
        <v/>
      </c>
      <c r="M888" s="28">
        <f>IF($A888="","",IF(OR(J888+$F888&gt;$D888+0.001,_xlfn.MAXIFS(Stangenbelegung!$H$5:$H$10004,Stangenbelegung!$A$5:$A$10004,$A888)&gt;$D888-$F888+0.001),"ÜBERBELEGT","OK"))</f>
        <v/>
      </c>
      <c r="N888" s="24" t="n"/>
      <c r="O888" s="24" t="n"/>
      <c r="P888" s="9" t="n"/>
      <c r="Q888" s="18">
        <f>IF($A888="","",IFERROR($D888/1000*INDEX(Profile!$K$5:$K$304,MATCH($B888,lst_Profil,0))*INDEX(Werkstoffe!$E$5:$E$304,MATCH($C888,lst_Werkstoff,0))/1000,""))</f>
        <v/>
      </c>
      <c r="R888" s="18">
        <f>IF($A888="","",IF(N(_xlfn.MAXIFS(Auftrag!$AP$13:$AP$512,Auftrag!$D$13:$D$512,$B888,Auftrag!$E$13:$E$512,$C888,Auftrag!$Q$13:$Q$512,$D888))&gt;0,_xlfn.MAXIFS(Auftrag!$AP$13:$AP$512,Auftrag!$D$13:$D$512,$B888,Auftrag!$E$13:$E$512,$C888,Auftrag!$Q$13:$Q$512,$D888)*$D888/1000,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9" t="n"/>
      <c r="E889" s="24" t="n"/>
      <c r="F889" s="24" t="n"/>
      <c r="G889" s="12">
        <f>IF($A889="","",COUNTIFS(Stangenbelegung!$A$5:$A$10004,$A889))</f>
        <v/>
      </c>
      <c r="H889" s="35">
        <f>IF($A889="","",SUMIFS(Stangenbelegung!$F$5:$F$10004,Stangenbelegung!$A$5:$A$10004,$A889))</f>
        <v/>
      </c>
      <c r="I889" s="23" t="n"/>
      <c r="J889" s="35">
        <f>IF($A889="","",$E889+H889+$I889)</f>
        <v/>
      </c>
      <c r="K889" s="35">
        <f>IF($A889="","",$D889-J889)</f>
        <v/>
      </c>
      <c r="L889" s="32">
        <f>IF($A889="","",H889/$D889)</f>
        <v/>
      </c>
      <c r="M889" s="28">
        <f>IF($A889="","",IF(OR(J889+$F889&gt;$D889+0.001,_xlfn.MAXIFS(Stangenbelegung!$H$5:$H$10004,Stangenbelegung!$A$5:$A$10004,$A889)&gt;$D889-$F889+0.001),"ÜBERBELEGT","OK"))</f>
        <v/>
      </c>
      <c r="N889" s="24" t="n"/>
      <c r="O889" s="24" t="n"/>
      <c r="P889" s="9" t="n"/>
      <c r="Q889" s="18">
        <f>IF($A889="","",IFERROR($D889/1000*INDEX(Profile!$K$5:$K$304,MATCH($B889,lst_Profil,0))*INDEX(Werkstoffe!$E$5:$E$304,MATCH($C889,lst_Werkstoff,0))/1000,""))</f>
        <v/>
      </c>
      <c r="R889" s="18">
        <f>IF($A889="","",IF(N(_xlfn.MAXIFS(Auftrag!$AP$13:$AP$512,Auftrag!$D$13:$D$512,$B889,Auftrag!$E$13:$E$512,$C889,Auftrag!$Q$13:$Q$512,$D889))&gt;0,_xlfn.MAXIFS(Auftrag!$AP$13:$AP$512,Auftrag!$D$13:$D$512,$B889,Auftrag!$E$13:$E$512,$C889,Auftrag!$Q$13:$Q$512,$D889)*$D889/1000,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9" t="n"/>
      <c r="E890" s="24" t="n"/>
      <c r="F890" s="24" t="n"/>
      <c r="G890" s="12">
        <f>IF($A890="","",COUNTIFS(Stangenbelegung!$A$5:$A$10004,$A890))</f>
        <v/>
      </c>
      <c r="H890" s="35">
        <f>IF($A890="","",SUMIFS(Stangenbelegung!$F$5:$F$10004,Stangenbelegung!$A$5:$A$10004,$A890))</f>
        <v/>
      </c>
      <c r="I890" s="23" t="n"/>
      <c r="J890" s="35">
        <f>IF($A890="","",$E890+H890+$I890)</f>
        <v/>
      </c>
      <c r="K890" s="35">
        <f>IF($A890="","",$D890-J890)</f>
        <v/>
      </c>
      <c r="L890" s="32">
        <f>IF($A890="","",H890/$D890)</f>
        <v/>
      </c>
      <c r="M890" s="28">
        <f>IF($A890="","",IF(OR(J890+$F890&gt;$D890+0.001,_xlfn.MAXIFS(Stangenbelegung!$H$5:$H$10004,Stangenbelegung!$A$5:$A$10004,$A890)&gt;$D890-$F890+0.001),"ÜBERBELEGT","OK"))</f>
        <v/>
      </c>
      <c r="N890" s="24" t="n"/>
      <c r="O890" s="24" t="n"/>
      <c r="P890" s="9" t="n"/>
      <c r="Q890" s="18">
        <f>IF($A890="","",IFERROR($D890/1000*INDEX(Profile!$K$5:$K$304,MATCH($B890,lst_Profil,0))*INDEX(Werkstoffe!$E$5:$E$304,MATCH($C890,lst_Werkstoff,0))/1000,""))</f>
        <v/>
      </c>
      <c r="R890" s="18">
        <f>IF($A890="","",IF(N(_xlfn.MAXIFS(Auftrag!$AP$13:$AP$512,Auftrag!$D$13:$D$512,$B890,Auftrag!$E$13:$E$512,$C890,Auftrag!$Q$13:$Q$512,$D890))&gt;0,_xlfn.MAXIFS(Auftrag!$AP$13:$AP$512,Auftrag!$D$13:$D$512,$B890,Auftrag!$E$13:$E$512,$C890,Auftrag!$Q$13:$Q$512,$D890)*$D890/1000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9" t="n"/>
      <c r="E891" s="24" t="n"/>
      <c r="F891" s="24" t="n"/>
      <c r="G891" s="12">
        <f>IF($A891="","",COUNTIFS(Stangenbelegung!$A$5:$A$10004,$A891))</f>
        <v/>
      </c>
      <c r="H891" s="35">
        <f>IF($A891="","",SUMIFS(Stangenbelegung!$F$5:$F$10004,Stangenbelegung!$A$5:$A$10004,$A891))</f>
        <v/>
      </c>
      <c r="I891" s="23" t="n"/>
      <c r="J891" s="35">
        <f>IF($A891="","",$E891+H891+$I891)</f>
        <v/>
      </c>
      <c r="K891" s="35">
        <f>IF($A891="","",$D891-J891)</f>
        <v/>
      </c>
      <c r="L891" s="32">
        <f>IF($A891="","",H891/$D891)</f>
        <v/>
      </c>
      <c r="M891" s="28">
        <f>IF($A891="","",IF(OR(J891+$F891&gt;$D891+0.001,_xlfn.MAXIFS(Stangenbelegung!$H$5:$H$10004,Stangenbelegung!$A$5:$A$10004,$A891)&gt;$D891-$F891+0.001),"ÜBERBELEGT","OK"))</f>
        <v/>
      </c>
      <c r="N891" s="24" t="n"/>
      <c r="O891" s="24" t="n"/>
      <c r="P891" s="9" t="n"/>
      <c r="Q891" s="18">
        <f>IF($A891="","",IFERROR($D891/1000*INDEX(Profile!$K$5:$K$304,MATCH($B891,lst_Profil,0))*INDEX(Werkstoffe!$E$5:$E$304,MATCH($C891,lst_Werkstoff,0))/1000,""))</f>
        <v/>
      </c>
      <c r="R891" s="18">
        <f>IF($A891="","",IF(N(_xlfn.MAXIFS(Auftrag!$AP$13:$AP$512,Auftrag!$D$13:$D$512,$B891,Auftrag!$E$13:$E$512,$C891,Auftrag!$Q$13:$Q$512,$D891))&gt;0,_xlfn.MAXIFS(Auftrag!$AP$13:$AP$512,Auftrag!$D$13:$D$512,$B891,Auftrag!$E$13:$E$512,$C891,Auftrag!$Q$13:$Q$512,$D891)*$D891/1000,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9" t="n"/>
      <c r="E892" s="24" t="n"/>
      <c r="F892" s="24" t="n"/>
      <c r="G892" s="12">
        <f>IF($A892="","",COUNTIFS(Stangenbelegung!$A$5:$A$10004,$A892))</f>
        <v/>
      </c>
      <c r="H892" s="35">
        <f>IF($A892="","",SUMIFS(Stangenbelegung!$F$5:$F$10004,Stangenbelegung!$A$5:$A$10004,$A892))</f>
        <v/>
      </c>
      <c r="I892" s="23" t="n"/>
      <c r="J892" s="35">
        <f>IF($A892="","",$E892+H892+$I892)</f>
        <v/>
      </c>
      <c r="K892" s="35">
        <f>IF($A892="","",$D892-J892)</f>
        <v/>
      </c>
      <c r="L892" s="32">
        <f>IF($A892="","",H892/$D892)</f>
        <v/>
      </c>
      <c r="M892" s="28">
        <f>IF($A892="","",IF(OR(J892+$F892&gt;$D892+0.001,_xlfn.MAXIFS(Stangenbelegung!$H$5:$H$10004,Stangenbelegung!$A$5:$A$10004,$A892)&gt;$D892-$F892+0.001),"ÜBERBELEGT","OK"))</f>
        <v/>
      </c>
      <c r="N892" s="24" t="n"/>
      <c r="O892" s="24" t="n"/>
      <c r="P892" s="9" t="n"/>
      <c r="Q892" s="18">
        <f>IF($A892="","",IFERROR($D892/1000*INDEX(Profile!$K$5:$K$304,MATCH($B892,lst_Profil,0))*INDEX(Werkstoffe!$E$5:$E$304,MATCH($C892,lst_Werkstoff,0))/1000,""))</f>
        <v/>
      </c>
      <c r="R892" s="18">
        <f>IF($A892="","",IF(N(_xlfn.MAXIFS(Auftrag!$AP$13:$AP$512,Auftrag!$D$13:$D$512,$B892,Auftrag!$E$13:$E$512,$C892,Auftrag!$Q$13:$Q$512,$D892))&gt;0,_xlfn.MAXIFS(Auftrag!$AP$13:$AP$512,Auftrag!$D$13:$D$512,$B892,Auftrag!$E$13:$E$512,$C892,Auftrag!$Q$13:$Q$512,$D892)*$D892/1000,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9" t="n"/>
      <c r="E893" s="24" t="n"/>
      <c r="F893" s="24" t="n"/>
      <c r="G893" s="12">
        <f>IF($A893="","",COUNTIFS(Stangenbelegung!$A$5:$A$10004,$A893))</f>
        <v/>
      </c>
      <c r="H893" s="35">
        <f>IF($A893="","",SUMIFS(Stangenbelegung!$F$5:$F$10004,Stangenbelegung!$A$5:$A$10004,$A893))</f>
        <v/>
      </c>
      <c r="I893" s="23" t="n"/>
      <c r="J893" s="35">
        <f>IF($A893="","",$E893+H893+$I893)</f>
        <v/>
      </c>
      <c r="K893" s="35">
        <f>IF($A893="","",$D893-J893)</f>
        <v/>
      </c>
      <c r="L893" s="32">
        <f>IF($A893="","",H893/$D893)</f>
        <v/>
      </c>
      <c r="M893" s="28">
        <f>IF($A893="","",IF(OR(J893+$F893&gt;$D893+0.001,_xlfn.MAXIFS(Stangenbelegung!$H$5:$H$10004,Stangenbelegung!$A$5:$A$10004,$A893)&gt;$D893-$F893+0.001),"ÜBERBELEGT","OK"))</f>
        <v/>
      </c>
      <c r="N893" s="24" t="n"/>
      <c r="O893" s="24" t="n"/>
      <c r="P893" s="9" t="n"/>
      <c r="Q893" s="18">
        <f>IF($A893="","",IFERROR($D893/1000*INDEX(Profile!$K$5:$K$304,MATCH($B893,lst_Profil,0))*INDEX(Werkstoffe!$E$5:$E$304,MATCH($C893,lst_Werkstoff,0))/1000,""))</f>
        <v/>
      </c>
      <c r="R893" s="18">
        <f>IF($A893="","",IF(N(_xlfn.MAXIFS(Auftrag!$AP$13:$AP$512,Auftrag!$D$13:$D$512,$B893,Auftrag!$E$13:$E$512,$C893,Auftrag!$Q$13:$Q$512,$D893))&gt;0,_xlfn.MAXIFS(Auftrag!$AP$13:$AP$512,Auftrag!$D$13:$D$512,$B893,Auftrag!$E$13:$E$512,$C893,Auftrag!$Q$13:$Q$512,$D893)*$D893/1000,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9" t="n"/>
      <c r="E894" s="24" t="n"/>
      <c r="F894" s="24" t="n"/>
      <c r="G894" s="12">
        <f>IF($A894="","",COUNTIFS(Stangenbelegung!$A$5:$A$10004,$A894))</f>
        <v/>
      </c>
      <c r="H894" s="35">
        <f>IF($A894="","",SUMIFS(Stangenbelegung!$F$5:$F$10004,Stangenbelegung!$A$5:$A$10004,$A894))</f>
        <v/>
      </c>
      <c r="I894" s="23" t="n"/>
      <c r="J894" s="35">
        <f>IF($A894="","",$E894+H894+$I894)</f>
        <v/>
      </c>
      <c r="K894" s="35">
        <f>IF($A894="","",$D894-J894)</f>
        <v/>
      </c>
      <c r="L894" s="32">
        <f>IF($A894="","",H894/$D894)</f>
        <v/>
      </c>
      <c r="M894" s="28">
        <f>IF($A894="","",IF(OR(J894+$F894&gt;$D894+0.001,_xlfn.MAXIFS(Stangenbelegung!$H$5:$H$10004,Stangenbelegung!$A$5:$A$10004,$A894)&gt;$D894-$F894+0.001),"ÜBERBELEGT","OK"))</f>
        <v/>
      </c>
      <c r="N894" s="24" t="n"/>
      <c r="O894" s="24" t="n"/>
      <c r="P894" s="9" t="n"/>
      <c r="Q894" s="18">
        <f>IF($A894="","",IFERROR($D894/1000*INDEX(Profile!$K$5:$K$304,MATCH($B894,lst_Profil,0))*INDEX(Werkstoffe!$E$5:$E$304,MATCH($C894,lst_Werkstoff,0))/1000,""))</f>
        <v/>
      </c>
      <c r="R894" s="18">
        <f>IF($A894="","",IF(N(_xlfn.MAXIFS(Auftrag!$AP$13:$AP$512,Auftrag!$D$13:$D$512,$B894,Auftrag!$E$13:$E$512,$C894,Auftrag!$Q$13:$Q$512,$D894))&gt;0,_xlfn.MAXIFS(Auftrag!$AP$13:$AP$512,Auftrag!$D$13:$D$512,$B894,Auftrag!$E$13:$E$512,$C894,Auftrag!$Q$13:$Q$512,$D894)*$D894/1000,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9" t="n"/>
      <c r="E895" s="24" t="n"/>
      <c r="F895" s="24" t="n"/>
      <c r="G895" s="12">
        <f>IF($A895="","",COUNTIFS(Stangenbelegung!$A$5:$A$10004,$A895))</f>
        <v/>
      </c>
      <c r="H895" s="35">
        <f>IF($A895="","",SUMIFS(Stangenbelegung!$F$5:$F$10004,Stangenbelegung!$A$5:$A$10004,$A895))</f>
        <v/>
      </c>
      <c r="I895" s="23" t="n"/>
      <c r="J895" s="35">
        <f>IF($A895="","",$E895+H895+$I895)</f>
        <v/>
      </c>
      <c r="K895" s="35">
        <f>IF($A895="","",$D895-J895)</f>
        <v/>
      </c>
      <c r="L895" s="32">
        <f>IF($A895="","",H895/$D895)</f>
        <v/>
      </c>
      <c r="M895" s="28">
        <f>IF($A895="","",IF(OR(J895+$F895&gt;$D895+0.001,_xlfn.MAXIFS(Stangenbelegung!$H$5:$H$10004,Stangenbelegung!$A$5:$A$10004,$A895)&gt;$D895-$F895+0.001),"ÜBERBELEGT","OK"))</f>
        <v/>
      </c>
      <c r="N895" s="24" t="n"/>
      <c r="O895" s="24" t="n"/>
      <c r="P895" s="9" t="n"/>
      <c r="Q895" s="18">
        <f>IF($A895="","",IFERROR($D895/1000*INDEX(Profile!$K$5:$K$304,MATCH($B895,lst_Profil,0))*INDEX(Werkstoffe!$E$5:$E$304,MATCH($C895,lst_Werkstoff,0))/1000,""))</f>
        <v/>
      </c>
      <c r="R895" s="18">
        <f>IF($A895="","",IF(N(_xlfn.MAXIFS(Auftrag!$AP$13:$AP$512,Auftrag!$D$13:$D$512,$B895,Auftrag!$E$13:$E$512,$C895,Auftrag!$Q$13:$Q$512,$D895))&gt;0,_xlfn.MAXIFS(Auftrag!$AP$13:$AP$512,Auftrag!$D$13:$D$512,$B895,Auftrag!$E$13:$E$512,$C895,Auftrag!$Q$13:$Q$512,$D895)*$D895/1000,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9" t="n"/>
      <c r="E896" s="24" t="n"/>
      <c r="F896" s="24" t="n"/>
      <c r="G896" s="12">
        <f>IF($A896="","",COUNTIFS(Stangenbelegung!$A$5:$A$10004,$A896))</f>
        <v/>
      </c>
      <c r="H896" s="35">
        <f>IF($A896="","",SUMIFS(Stangenbelegung!$F$5:$F$10004,Stangenbelegung!$A$5:$A$10004,$A896))</f>
        <v/>
      </c>
      <c r="I896" s="23" t="n"/>
      <c r="J896" s="35">
        <f>IF($A896="","",$E896+H896+$I896)</f>
        <v/>
      </c>
      <c r="K896" s="35">
        <f>IF($A896="","",$D896-J896)</f>
        <v/>
      </c>
      <c r="L896" s="32">
        <f>IF($A896="","",H896/$D896)</f>
        <v/>
      </c>
      <c r="M896" s="28">
        <f>IF($A896="","",IF(OR(J896+$F896&gt;$D896+0.001,_xlfn.MAXIFS(Stangenbelegung!$H$5:$H$10004,Stangenbelegung!$A$5:$A$10004,$A896)&gt;$D896-$F896+0.001),"ÜBERBELEGT","OK"))</f>
        <v/>
      </c>
      <c r="N896" s="24" t="n"/>
      <c r="O896" s="24" t="n"/>
      <c r="P896" s="9" t="n"/>
      <c r="Q896" s="18">
        <f>IF($A896="","",IFERROR($D896/1000*INDEX(Profile!$K$5:$K$304,MATCH($B896,lst_Profil,0))*INDEX(Werkstoffe!$E$5:$E$304,MATCH($C896,lst_Werkstoff,0))/1000,""))</f>
        <v/>
      </c>
      <c r="R896" s="18">
        <f>IF($A896="","",IF(N(_xlfn.MAXIFS(Auftrag!$AP$13:$AP$512,Auftrag!$D$13:$D$512,$B896,Auftrag!$E$13:$E$512,$C896,Auftrag!$Q$13:$Q$512,$D896))&gt;0,_xlfn.MAXIFS(Auftrag!$AP$13:$AP$512,Auftrag!$D$13:$D$512,$B896,Auftrag!$E$13:$E$512,$C896,Auftrag!$Q$13:$Q$512,$D896)*$D896/1000,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9" t="n"/>
      <c r="E897" s="24" t="n"/>
      <c r="F897" s="24" t="n"/>
      <c r="G897" s="12">
        <f>IF($A897="","",COUNTIFS(Stangenbelegung!$A$5:$A$10004,$A897))</f>
        <v/>
      </c>
      <c r="H897" s="35">
        <f>IF($A897="","",SUMIFS(Stangenbelegung!$F$5:$F$10004,Stangenbelegung!$A$5:$A$10004,$A897))</f>
        <v/>
      </c>
      <c r="I897" s="23" t="n"/>
      <c r="J897" s="35">
        <f>IF($A897="","",$E897+H897+$I897)</f>
        <v/>
      </c>
      <c r="K897" s="35">
        <f>IF($A897="","",$D897-J897)</f>
        <v/>
      </c>
      <c r="L897" s="32">
        <f>IF($A897="","",H897/$D897)</f>
        <v/>
      </c>
      <c r="M897" s="28">
        <f>IF($A897="","",IF(OR(J897+$F897&gt;$D897+0.001,_xlfn.MAXIFS(Stangenbelegung!$H$5:$H$10004,Stangenbelegung!$A$5:$A$10004,$A897)&gt;$D897-$F897+0.001),"ÜBERBELEGT","OK"))</f>
        <v/>
      </c>
      <c r="N897" s="24" t="n"/>
      <c r="O897" s="24" t="n"/>
      <c r="P897" s="9" t="n"/>
      <c r="Q897" s="18">
        <f>IF($A897="","",IFERROR($D897/1000*INDEX(Profile!$K$5:$K$304,MATCH($B897,lst_Profil,0))*INDEX(Werkstoffe!$E$5:$E$304,MATCH($C897,lst_Werkstoff,0))/1000,""))</f>
        <v/>
      </c>
      <c r="R897" s="18">
        <f>IF($A897="","",IF(N(_xlfn.MAXIFS(Auftrag!$AP$13:$AP$512,Auftrag!$D$13:$D$512,$B897,Auftrag!$E$13:$E$512,$C897,Auftrag!$Q$13:$Q$512,$D897))&gt;0,_xlfn.MAXIFS(Auftrag!$AP$13:$AP$512,Auftrag!$D$13:$D$512,$B897,Auftrag!$E$13:$E$512,$C897,Auftrag!$Q$13:$Q$512,$D897)*$D897/1000,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9" t="n"/>
      <c r="E898" s="24" t="n"/>
      <c r="F898" s="24" t="n"/>
      <c r="G898" s="12">
        <f>IF($A898="","",COUNTIFS(Stangenbelegung!$A$5:$A$10004,$A898))</f>
        <v/>
      </c>
      <c r="H898" s="35">
        <f>IF($A898="","",SUMIFS(Stangenbelegung!$F$5:$F$10004,Stangenbelegung!$A$5:$A$10004,$A898))</f>
        <v/>
      </c>
      <c r="I898" s="23" t="n"/>
      <c r="J898" s="35">
        <f>IF($A898="","",$E898+H898+$I898)</f>
        <v/>
      </c>
      <c r="K898" s="35">
        <f>IF($A898="","",$D898-J898)</f>
        <v/>
      </c>
      <c r="L898" s="32">
        <f>IF($A898="","",H898/$D898)</f>
        <v/>
      </c>
      <c r="M898" s="28">
        <f>IF($A898="","",IF(OR(J898+$F898&gt;$D898+0.001,_xlfn.MAXIFS(Stangenbelegung!$H$5:$H$10004,Stangenbelegung!$A$5:$A$10004,$A898)&gt;$D898-$F898+0.001),"ÜBERBELEGT","OK"))</f>
        <v/>
      </c>
      <c r="N898" s="24" t="n"/>
      <c r="O898" s="24" t="n"/>
      <c r="P898" s="9" t="n"/>
      <c r="Q898" s="18">
        <f>IF($A898="","",IFERROR($D898/1000*INDEX(Profile!$K$5:$K$304,MATCH($B898,lst_Profil,0))*INDEX(Werkstoffe!$E$5:$E$304,MATCH($C898,lst_Werkstoff,0))/1000,""))</f>
        <v/>
      </c>
      <c r="R898" s="18">
        <f>IF($A898="","",IF(N(_xlfn.MAXIFS(Auftrag!$AP$13:$AP$512,Auftrag!$D$13:$D$512,$B898,Auftrag!$E$13:$E$512,$C898,Auftrag!$Q$13:$Q$512,$D898))&gt;0,_xlfn.MAXIFS(Auftrag!$AP$13:$AP$512,Auftrag!$D$13:$D$512,$B898,Auftrag!$E$13:$E$512,$C898,Auftrag!$Q$13:$Q$512,$D898)*$D898/1000,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9" t="n"/>
      <c r="E899" s="24" t="n"/>
      <c r="F899" s="24" t="n"/>
      <c r="G899" s="12">
        <f>IF($A899="","",COUNTIFS(Stangenbelegung!$A$5:$A$10004,$A899))</f>
        <v/>
      </c>
      <c r="H899" s="35">
        <f>IF($A899="","",SUMIFS(Stangenbelegung!$F$5:$F$10004,Stangenbelegung!$A$5:$A$10004,$A899))</f>
        <v/>
      </c>
      <c r="I899" s="23" t="n"/>
      <c r="J899" s="35">
        <f>IF($A899="","",$E899+H899+$I899)</f>
        <v/>
      </c>
      <c r="K899" s="35">
        <f>IF($A899="","",$D899-J899)</f>
        <v/>
      </c>
      <c r="L899" s="32">
        <f>IF($A899="","",H899/$D899)</f>
        <v/>
      </c>
      <c r="M899" s="28">
        <f>IF($A899="","",IF(OR(J899+$F899&gt;$D899+0.001,_xlfn.MAXIFS(Stangenbelegung!$H$5:$H$10004,Stangenbelegung!$A$5:$A$10004,$A899)&gt;$D899-$F899+0.001),"ÜBERBELEGT","OK"))</f>
        <v/>
      </c>
      <c r="N899" s="24" t="n"/>
      <c r="O899" s="24" t="n"/>
      <c r="P899" s="9" t="n"/>
      <c r="Q899" s="18">
        <f>IF($A899="","",IFERROR($D899/1000*INDEX(Profile!$K$5:$K$304,MATCH($B899,lst_Profil,0))*INDEX(Werkstoffe!$E$5:$E$304,MATCH($C899,lst_Werkstoff,0))/1000,""))</f>
        <v/>
      </c>
      <c r="R899" s="18">
        <f>IF($A899="","",IF(N(_xlfn.MAXIFS(Auftrag!$AP$13:$AP$512,Auftrag!$D$13:$D$512,$B899,Auftrag!$E$13:$E$512,$C899,Auftrag!$Q$13:$Q$512,$D899))&gt;0,_xlfn.MAXIFS(Auftrag!$AP$13:$AP$512,Auftrag!$D$13:$D$512,$B899,Auftrag!$E$13:$E$512,$C899,Auftrag!$Q$13:$Q$512,$D899)*$D899/1000,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9" t="n"/>
      <c r="E900" s="24" t="n"/>
      <c r="F900" s="24" t="n"/>
      <c r="G900" s="12">
        <f>IF($A900="","",COUNTIFS(Stangenbelegung!$A$5:$A$10004,$A900))</f>
        <v/>
      </c>
      <c r="H900" s="35">
        <f>IF($A900="","",SUMIFS(Stangenbelegung!$F$5:$F$10004,Stangenbelegung!$A$5:$A$10004,$A900))</f>
        <v/>
      </c>
      <c r="I900" s="23" t="n"/>
      <c r="J900" s="35">
        <f>IF($A900="","",$E900+H900+$I900)</f>
        <v/>
      </c>
      <c r="K900" s="35">
        <f>IF($A900="","",$D900-J900)</f>
        <v/>
      </c>
      <c r="L900" s="32">
        <f>IF($A900="","",H900/$D900)</f>
        <v/>
      </c>
      <c r="M900" s="28">
        <f>IF($A900="","",IF(OR(J900+$F900&gt;$D900+0.001,_xlfn.MAXIFS(Stangenbelegung!$H$5:$H$10004,Stangenbelegung!$A$5:$A$10004,$A900)&gt;$D900-$F900+0.001),"ÜBERBELEGT","OK"))</f>
        <v/>
      </c>
      <c r="N900" s="24" t="n"/>
      <c r="O900" s="24" t="n"/>
      <c r="P900" s="9" t="n"/>
      <c r="Q900" s="18">
        <f>IF($A900="","",IFERROR($D900/1000*INDEX(Profile!$K$5:$K$304,MATCH($B900,lst_Profil,0))*INDEX(Werkstoffe!$E$5:$E$304,MATCH($C900,lst_Werkstoff,0))/1000,""))</f>
        <v/>
      </c>
      <c r="R900" s="18">
        <f>IF($A900="","",IF(N(_xlfn.MAXIFS(Auftrag!$AP$13:$AP$512,Auftrag!$D$13:$D$512,$B900,Auftrag!$E$13:$E$512,$C900,Auftrag!$Q$13:$Q$512,$D900))&gt;0,_xlfn.MAXIFS(Auftrag!$AP$13:$AP$512,Auftrag!$D$13:$D$512,$B900,Auftrag!$E$13:$E$512,$C900,Auftrag!$Q$13:$Q$512,$D900)*$D900/1000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9" t="n"/>
      <c r="E901" s="24" t="n"/>
      <c r="F901" s="24" t="n"/>
      <c r="G901" s="12">
        <f>IF($A901="","",COUNTIFS(Stangenbelegung!$A$5:$A$10004,$A901))</f>
        <v/>
      </c>
      <c r="H901" s="35">
        <f>IF($A901="","",SUMIFS(Stangenbelegung!$F$5:$F$10004,Stangenbelegung!$A$5:$A$10004,$A901))</f>
        <v/>
      </c>
      <c r="I901" s="23" t="n"/>
      <c r="J901" s="35">
        <f>IF($A901="","",$E901+H901+$I901)</f>
        <v/>
      </c>
      <c r="K901" s="35">
        <f>IF($A901="","",$D901-J901)</f>
        <v/>
      </c>
      <c r="L901" s="32">
        <f>IF($A901="","",H901/$D901)</f>
        <v/>
      </c>
      <c r="M901" s="28">
        <f>IF($A901="","",IF(OR(J901+$F901&gt;$D901+0.001,_xlfn.MAXIFS(Stangenbelegung!$H$5:$H$10004,Stangenbelegung!$A$5:$A$10004,$A901)&gt;$D901-$F901+0.001),"ÜBERBELEGT","OK"))</f>
        <v/>
      </c>
      <c r="N901" s="24" t="n"/>
      <c r="O901" s="24" t="n"/>
      <c r="P901" s="9" t="n"/>
      <c r="Q901" s="18">
        <f>IF($A901="","",IFERROR($D901/1000*INDEX(Profile!$K$5:$K$304,MATCH($B901,lst_Profil,0))*INDEX(Werkstoffe!$E$5:$E$304,MATCH($C901,lst_Werkstoff,0))/1000,""))</f>
        <v/>
      </c>
      <c r="R901" s="18">
        <f>IF($A901="","",IF(N(_xlfn.MAXIFS(Auftrag!$AP$13:$AP$512,Auftrag!$D$13:$D$512,$B901,Auftrag!$E$13:$E$512,$C901,Auftrag!$Q$13:$Q$512,$D901))&gt;0,_xlfn.MAXIFS(Auftrag!$AP$13:$AP$512,Auftrag!$D$13:$D$512,$B901,Auftrag!$E$13:$E$512,$C901,Auftrag!$Q$13:$Q$512,$D901)*$D901/1000,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9" t="n"/>
      <c r="E902" s="24" t="n"/>
      <c r="F902" s="24" t="n"/>
      <c r="G902" s="12">
        <f>IF($A902="","",COUNTIFS(Stangenbelegung!$A$5:$A$10004,$A902))</f>
        <v/>
      </c>
      <c r="H902" s="35">
        <f>IF($A902="","",SUMIFS(Stangenbelegung!$F$5:$F$10004,Stangenbelegung!$A$5:$A$10004,$A902))</f>
        <v/>
      </c>
      <c r="I902" s="23" t="n"/>
      <c r="J902" s="35">
        <f>IF($A902="","",$E902+H902+$I902)</f>
        <v/>
      </c>
      <c r="K902" s="35">
        <f>IF($A902="","",$D902-J902)</f>
        <v/>
      </c>
      <c r="L902" s="32">
        <f>IF($A902="","",H902/$D902)</f>
        <v/>
      </c>
      <c r="M902" s="28">
        <f>IF($A902="","",IF(OR(J902+$F902&gt;$D902+0.001,_xlfn.MAXIFS(Stangenbelegung!$H$5:$H$10004,Stangenbelegung!$A$5:$A$10004,$A902)&gt;$D902-$F902+0.001),"ÜBERBELEGT","OK"))</f>
        <v/>
      </c>
      <c r="N902" s="24" t="n"/>
      <c r="O902" s="24" t="n"/>
      <c r="P902" s="9" t="n"/>
      <c r="Q902" s="18">
        <f>IF($A902="","",IFERROR($D902/1000*INDEX(Profile!$K$5:$K$304,MATCH($B902,lst_Profil,0))*INDEX(Werkstoffe!$E$5:$E$304,MATCH($C902,lst_Werkstoff,0))/1000,""))</f>
        <v/>
      </c>
      <c r="R902" s="18">
        <f>IF($A902="","",IF(N(_xlfn.MAXIFS(Auftrag!$AP$13:$AP$512,Auftrag!$D$13:$D$512,$B902,Auftrag!$E$13:$E$512,$C902,Auftrag!$Q$13:$Q$512,$D902))&gt;0,_xlfn.MAXIFS(Auftrag!$AP$13:$AP$512,Auftrag!$D$13:$D$512,$B902,Auftrag!$E$13:$E$512,$C902,Auftrag!$Q$13:$Q$512,$D902)*$D902/1000,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9" t="n"/>
      <c r="E903" s="24" t="n"/>
      <c r="F903" s="24" t="n"/>
      <c r="G903" s="12">
        <f>IF($A903="","",COUNTIFS(Stangenbelegung!$A$5:$A$10004,$A903))</f>
        <v/>
      </c>
      <c r="H903" s="35">
        <f>IF($A903="","",SUMIFS(Stangenbelegung!$F$5:$F$10004,Stangenbelegung!$A$5:$A$10004,$A903))</f>
        <v/>
      </c>
      <c r="I903" s="23" t="n"/>
      <c r="J903" s="35">
        <f>IF($A903="","",$E903+H903+$I903)</f>
        <v/>
      </c>
      <c r="K903" s="35">
        <f>IF($A903="","",$D903-J903)</f>
        <v/>
      </c>
      <c r="L903" s="32">
        <f>IF($A903="","",H903/$D903)</f>
        <v/>
      </c>
      <c r="M903" s="28">
        <f>IF($A903="","",IF(OR(J903+$F903&gt;$D903+0.001,_xlfn.MAXIFS(Stangenbelegung!$H$5:$H$10004,Stangenbelegung!$A$5:$A$10004,$A903)&gt;$D903-$F903+0.001),"ÜBERBELEGT","OK"))</f>
        <v/>
      </c>
      <c r="N903" s="24" t="n"/>
      <c r="O903" s="24" t="n"/>
      <c r="P903" s="9" t="n"/>
      <c r="Q903" s="18">
        <f>IF($A903="","",IFERROR($D903/1000*INDEX(Profile!$K$5:$K$304,MATCH($B903,lst_Profil,0))*INDEX(Werkstoffe!$E$5:$E$304,MATCH($C903,lst_Werkstoff,0))/1000,""))</f>
        <v/>
      </c>
      <c r="R903" s="18">
        <f>IF($A903="","",IF(N(_xlfn.MAXIFS(Auftrag!$AP$13:$AP$512,Auftrag!$D$13:$D$512,$B903,Auftrag!$E$13:$E$512,$C903,Auftrag!$Q$13:$Q$512,$D903))&gt;0,_xlfn.MAXIFS(Auftrag!$AP$13:$AP$512,Auftrag!$D$13:$D$512,$B903,Auftrag!$E$13:$E$512,$C903,Auftrag!$Q$13:$Q$512,$D903)*$D903/1000,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9" t="n"/>
      <c r="E904" s="24" t="n"/>
      <c r="F904" s="24" t="n"/>
      <c r="G904" s="12">
        <f>IF($A904="","",COUNTIFS(Stangenbelegung!$A$5:$A$10004,$A904))</f>
        <v/>
      </c>
      <c r="H904" s="35">
        <f>IF($A904="","",SUMIFS(Stangenbelegung!$F$5:$F$10004,Stangenbelegung!$A$5:$A$10004,$A904))</f>
        <v/>
      </c>
      <c r="I904" s="23" t="n"/>
      <c r="J904" s="35">
        <f>IF($A904="","",$E904+H904+$I904)</f>
        <v/>
      </c>
      <c r="K904" s="35">
        <f>IF($A904="","",$D904-J904)</f>
        <v/>
      </c>
      <c r="L904" s="32">
        <f>IF($A904="","",H904/$D904)</f>
        <v/>
      </c>
      <c r="M904" s="28">
        <f>IF($A904="","",IF(OR(J904+$F904&gt;$D904+0.001,_xlfn.MAXIFS(Stangenbelegung!$H$5:$H$10004,Stangenbelegung!$A$5:$A$10004,$A904)&gt;$D904-$F904+0.001),"ÜBERBELEGT","OK"))</f>
        <v/>
      </c>
      <c r="N904" s="24" t="n"/>
      <c r="O904" s="24" t="n"/>
      <c r="P904" s="9" t="n"/>
      <c r="Q904" s="18">
        <f>IF($A904="","",IFERROR($D904/1000*INDEX(Profile!$K$5:$K$304,MATCH($B904,lst_Profil,0))*INDEX(Werkstoffe!$E$5:$E$304,MATCH($C904,lst_Werkstoff,0))/1000,""))</f>
        <v/>
      </c>
      <c r="R904" s="18">
        <f>IF($A904="","",IF(N(_xlfn.MAXIFS(Auftrag!$AP$13:$AP$512,Auftrag!$D$13:$D$512,$B904,Auftrag!$E$13:$E$512,$C904,Auftrag!$Q$13:$Q$512,$D904))&gt;0,_xlfn.MAXIFS(Auftrag!$AP$13:$AP$512,Auftrag!$D$13:$D$512,$B904,Auftrag!$E$13:$E$512,$C904,Auftrag!$Q$13:$Q$512,$D904)*$D904/1000,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9" t="n"/>
      <c r="E905" s="24" t="n"/>
      <c r="F905" s="24" t="n"/>
      <c r="G905" s="12">
        <f>IF($A905="","",COUNTIFS(Stangenbelegung!$A$5:$A$10004,$A905))</f>
        <v/>
      </c>
      <c r="H905" s="35">
        <f>IF($A905="","",SUMIFS(Stangenbelegung!$F$5:$F$10004,Stangenbelegung!$A$5:$A$10004,$A905))</f>
        <v/>
      </c>
      <c r="I905" s="23" t="n"/>
      <c r="J905" s="35">
        <f>IF($A905="","",$E905+H905+$I905)</f>
        <v/>
      </c>
      <c r="K905" s="35">
        <f>IF($A905="","",$D905-J905)</f>
        <v/>
      </c>
      <c r="L905" s="32">
        <f>IF($A905="","",H905/$D905)</f>
        <v/>
      </c>
      <c r="M905" s="28">
        <f>IF($A905="","",IF(OR(J905+$F905&gt;$D905+0.001,_xlfn.MAXIFS(Stangenbelegung!$H$5:$H$10004,Stangenbelegung!$A$5:$A$10004,$A905)&gt;$D905-$F905+0.001),"ÜBERBELEGT","OK"))</f>
        <v/>
      </c>
      <c r="N905" s="24" t="n"/>
      <c r="O905" s="24" t="n"/>
      <c r="P905" s="9" t="n"/>
      <c r="Q905" s="18">
        <f>IF($A905="","",IFERROR($D905/1000*INDEX(Profile!$K$5:$K$304,MATCH($B905,lst_Profil,0))*INDEX(Werkstoffe!$E$5:$E$304,MATCH($C905,lst_Werkstoff,0))/1000,""))</f>
        <v/>
      </c>
      <c r="R905" s="18">
        <f>IF($A905="","",IF(N(_xlfn.MAXIFS(Auftrag!$AP$13:$AP$512,Auftrag!$D$13:$D$512,$B905,Auftrag!$E$13:$E$512,$C905,Auftrag!$Q$13:$Q$512,$D905))&gt;0,_xlfn.MAXIFS(Auftrag!$AP$13:$AP$512,Auftrag!$D$13:$D$512,$B905,Auftrag!$E$13:$E$512,$C905,Auftrag!$Q$13:$Q$512,$D905)*$D905/1000,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9" t="n"/>
      <c r="E906" s="24" t="n"/>
      <c r="F906" s="24" t="n"/>
      <c r="G906" s="12">
        <f>IF($A906="","",COUNTIFS(Stangenbelegung!$A$5:$A$10004,$A906))</f>
        <v/>
      </c>
      <c r="H906" s="35">
        <f>IF($A906="","",SUMIFS(Stangenbelegung!$F$5:$F$10004,Stangenbelegung!$A$5:$A$10004,$A906))</f>
        <v/>
      </c>
      <c r="I906" s="23" t="n"/>
      <c r="J906" s="35">
        <f>IF($A906="","",$E906+H906+$I906)</f>
        <v/>
      </c>
      <c r="K906" s="35">
        <f>IF($A906="","",$D906-J906)</f>
        <v/>
      </c>
      <c r="L906" s="32">
        <f>IF($A906="","",H906/$D906)</f>
        <v/>
      </c>
      <c r="M906" s="28">
        <f>IF($A906="","",IF(OR(J906+$F906&gt;$D906+0.001,_xlfn.MAXIFS(Stangenbelegung!$H$5:$H$10004,Stangenbelegung!$A$5:$A$10004,$A906)&gt;$D906-$F906+0.001),"ÜBERBELEGT","OK"))</f>
        <v/>
      </c>
      <c r="N906" s="24" t="n"/>
      <c r="O906" s="24" t="n"/>
      <c r="P906" s="9" t="n"/>
      <c r="Q906" s="18">
        <f>IF($A906="","",IFERROR($D906/1000*INDEX(Profile!$K$5:$K$304,MATCH($B906,lst_Profil,0))*INDEX(Werkstoffe!$E$5:$E$304,MATCH($C906,lst_Werkstoff,0))/1000,""))</f>
        <v/>
      </c>
      <c r="R906" s="18">
        <f>IF($A906="","",IF(N(_xlfn.MAXIFS(Auftrag!$AP$13:$AP$512,Auftrag!$D$13:$D$512,$B906,Auftrag!$E$13:$E$512,$C906,Auftrag!$Q$13:$Q$512,$D906))&gt;0,_xlfn.MAXIFS(Auftrag!$AP$13:$AP$512,Auftrag!$D$13:$D$512,$B906,Auftrag!$E$13:$E$512,$C906,Auftrag!$Q$13:$Q$512,$D906)*$D906/1000,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9" t="n"/>
      <c r="E907" s="24" t="n"/>
      <c r="F907" s="24" t="n"/>
      <c r="G907" s="12">
        <f>IF($A907="","",COUNTIFS(Stangenbelegung!$A$5:$A$10004,$A907))</f>
        <v/>
      </c>
      <c r="H907" s="35">
        <f>IF($A907="","",SUMIFS(Stangenbelegung!$F$5:$F$10004,Stangenbelegung!$A$5:$A$10004,$A907))</f>
        <v/>
      </c>
      <c r="I907" s="23" t="n"/>
      <c r="J907" s="35">
        <f>IF($A907="","",$E907+H907+$I907)</f>
        <v/>
      </c>
      <c r="K907" s="35">
        <f>IF($A907="","",$D907-J907)</f>
        <v/>
      </c>
      <c r="L907" s="32">
        <f>IF($A907="","",H907/$D907)</f>
        <v/>
      </c>
      <c r="M907" s="28">
        <f>IF($A907="","",IF(OR(J907+$F907&gt;$D907+0.001,_xlfn.MAXIFS(Stangenbelegung!$H$5:$H$10004,Stangenbelegung!$A$5:$A$10004,$A907)&gt;$D907-$F907+0.001),"ÜBERBELEGT","OK"))</f>
        <v/>
      </c>
      <c r="N907" s="24" t="n"/>
      <c r="O907" s="24" t="n"/>
      <c r="P907" s="9" t="n"/>
      <c r="Q907" s="18">
        <f>IF($A907="","",IFERROR($D907/1000*INDEX(Profile!$K$5:$K$304,MATCH($B907,lst_Profil,0))*INDEX(Werkstoffe!$E$5:$E$304,MATCH($C907,lst_Werkstoff,0))/1000,""))</f>
        <v/>
      </c>
      <c r="R907" s="18">
        <f>IF($A907="","",IF(N(_xlfn.MAXIFS(Auftrag!$AP$13:$AP$512,Auftrag!$D$13:$D$512,$B907,Auftrag!$E$13:$E$512,$C907,Auftrag!$Q$13:$Q$512,$D907))&gt;0,_xlfn.MAXIFS(Auftrag!$AP$13:$AP$512,Auftrag!$D$13:$D$512,$B907,Auftrag!$E$13:$E$512,$C907,Auftrag!$Q$13:$Q$512,$D907)*$D907/1000,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9" t="n"/>
      <c r="E908" s="24" t="n"/>
      <c r="F908" s="24" t="n"/>
      <c r="G908" s="12">
        <f>IF($A908="","",COUNTIFS(Stangenbelegung!$A$5:$A$10004,$A908))</f>
        <v/>
      </c>
      <c r="H908" s="35">
        <f>IF($A908="","",SUMIFS(Stangenbelegung!$F$5:$F$10004,Stangenbelegung!$A$5:$A$10004,$A908))</f>
        <v/>
      </c>
      <c r="I908" s="23" t="n"/>
      <c r="J908" s="35">
        <f>IF($A908="","",$E908+H908+$I908)</f>
        <v/>
      </c>
      <c r="K908" s="35">
        <f>IF($A908="","",$D908-J908)</f>
        <v/>
      </c>
      <c r="L908" s="32">
        <f>IF($A908="","",H908/$D908)</f>
        <v/>
      </c>
      <c r="M908" s="28">
        <f>IF($A908="","",IF(OR(J908+$F908&gt;$D908+0.001,_xlfn.MAXIFS(Stangenbelegung!$H$5:$H$10004,Stangenbelegung!$A$5:$A$10004,$A908)&gt;$D908-$F908+0.001),"ÜBERBELEGT","OK"))</f>
        <v/>
      </c>
      <c r="N908" s="24" t="n"/>
      <c r="O908" s="24" t="n"/>
      <c r="P908" s="9" t="n"/>
      <c r="Q908" s="18">
        <f>IF($A908="","",IFERROR($D908/1000*INDEX(Profile!$K$5:$K$304,MATCH($B908,lst_Profil,0))*INDEX(Werkstoffe!$E$5:$E$304,MATCH($C908,lst_Werkstoff,0))/1000,""))</f>
        <v/>
      </c>
      <c r="R908" s="18">
        <f>IF($A908="","",IF(N(_xlfn.MAXIFS(Auftrag!$AP$13:$AP$512,Auftrag!$D$13:$D$512,$B908,Auftrag!$E$13:$E$512,$C908,Auftrag!$Q$13:$Q$512,$D908))&gt;0,_xlfn.MAXIFS(Auftrag!$AP$13:$AP$512,Auftrag!$D$13:$D$512,$B908,Auftrag!$E$13:$E$512,$C908,Auftrag!$Q$13:$Q$512,$D908)*$D908/1000,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9" t="n"/>
      <c r="E909" s="24" t="n"/>
      <c r="F909" s="24" t="n"/>
      <c r="G909" s="12">
        <f>IF($A909="","",COUNTIFS(Stangenbelegung!$A$5:$A$10004,$A909))</f>
        <v/>
      </c>
      <c r="H909" s="35">
        <f>IF($A909="","",SUMIFS(Stangenbelegung!$F$5:$F$10004,Stangenbelegung!$A$5:$A$10004,$A909))</f>
        <v/>
      </c>
      <c r="I909" s="23" t="n"/>
      <c r="J909" s="35">
        <f>IF($A909="","",$E909+H909+$I909)</f>
        <v/>
      </c>
      <c r="K909" s="35">
        <f>IF($A909="","",$D909-J909)</f>
        <v/>
      </c>
      <c r="L909" s="32">
        <f>IF($A909="","",H909/$D909)</f>
        <v/>
      </c>
      <c r="M909" s="28">
        <f>IF($A909="","",IF(OR(J909+$F909&gt;$D909+0.001,_xlfn.MAXIFS(Stangenbelegung!$H$5:$H$10004,Stangenbelegung!$A$5:$A$10004,$A909)&gt;$D909-$F909+0.001),"ÜBERBELEGT","OK"))</f>
        <v/>
      </c>
      <c r="N909" s="24" t="n"/>
      <c r="O909" s="24" t="n"/>
      <c r="P909" s="9" t="n"/>
      <c r="Q909" s="18">
        <f>IF($A909="","",IFERROR($D909/1000*INDEX(Profile!$K$5:$K$304,MATCH($B909,lst_Profil,0))*INDEX(Werkstoffe!$E$5:$E$304,MATCH($C909,lst_Werkstoff,0))/1000,""))</f>
        <v/>
      </c>
      <c r="R909" s="18">
        <f>IF($A909="","",IF(N(_xlfn.MAXIFS(Auftrag!$AP$13:$AP$512,Auftrag!$D$13:$D$512,$B909,Auftrag!$E$13:$E$512,$C909,Auftrag!$Q$13:$Q$512,$D909))&gt;0,_xlfn.MAXIFS(Auftrag!$AP$13:$AP$512,Auftrag!$D$13:$D$512,$B909,Auftrag!$E$13:$E$512,$C909,Auftrag!$Q$13:$Q$512,$D909)*$D909/1000,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9" t="n"/>
      <c r="E910" s="24" t="n"/>
      <c r="F910" s="24" t="n"/>
      <c r="G910" s="12">
        <f>IF($A910="","",COUNTIFS(Stangenbelegung!$A$5:$A$10004,$A910))</f>
        <v/>
      </c>
      <c r="H910" s="35">
        <f>IF($A910="","",SUMIFS(Stangenbelegung!$F$5:$F$10004,Stangenbelegung!$A$5:$A$10004,$A910))</f>
        <v/>
      </c>
      <c r="I910" s="23" t="n"/>
      <c r="J910" s="35">
        <f>IF($A910="","",$E910+H910+$I910)</f>
        <v/>
      </c>
      <c r="K910" s="35">
        <f>IF($A910="","",$D910-J910)</f>
        <v/>
      </c>
      <c r="L910" s="32">
        <f>IF($A910="","",H910/$D910)</f>
        <v/>
      </c>
      <c r="M910" s="28">
        <f>IF($A910="","",IF(OR(J910+$F910&gt;$D910+0.001,_xlfn.MAXIFS(Stangenbelegung!$H$5:$H$10004,Stangenbelegung!$A$5:$A$10004,$A910)&gt;$D910-$F910+0.001),"ÜBERBELEGT","OK"))</f>
        <v/>
      </c>
      <c r="N910" s="24" t="n"/>
      <c r="O910" s="24" t="n"/>
      <c r="P910" s="9" t="n"/>
      <c r="Q910" s="18">
        <f>IF($A910="","",IFERROR($D910/1000*INDEX(Profile!$K$5:$K$304,MATCH($B910,lst_Profil,0))*INDEX(Werkstoffe!$E$5:$E$304,MATCH($C910,lst_Werkstoff,0))/1000,""))</f>
        <v/>
      </c>
      <c r="R910" s="18">
        <f>IF($A910="","",IF(N(_xlfn.MAXIFS(Auftrag!$AP$13:$AP$512,Auftrag!$D$13:$D$512,$B910,Auftrag!$E$13:$E$512,$C910,Auftrag!$Q$13:$Q$512,$D910))&gt;0,_xlfn.MAXIFS(Auftrag!$AP$13:$AP$512,Auftrag!$D$13:$D$512,$B910,Auftrag!$E$13:$E$512,$C910,Auftrag!$Q$13:$Q$512,$D910)*$D910/1000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9" t="n"/>
      <c r="E911" s="24" t="n"/>
      <c r="F911" s="24" t="n"/>
      <c r="G911" s="12">
        <f>IF($A911="","",COUNTIFS(Stangenbelegung!$A$5:$A$10004,$A911))</f>
        <v/>
      </c>
      <c r="H911" s="35">
        <f>IF($A911="","",SUMIFS(Stangenbelegung!$F$5:$F$10004,Stangenbelegung!$A$5:$A$10004,$A911))</f>
        <v/>
      </c>
      <c r="I911" s="23" t="n"/>
      <c r="J911" s="35">
        <f>IF($A911="","",$E911+H911+$I911)</f>
        <v/>
      </c>
      <c r="K911" s="35">
        <f>IF($A911="","",$D911-J911)</f>
        <v/>
      </c>
      <c r="L911" s="32">
        <f>IF($A911="","",H911/$D911)</f>
        <v/>
      </c>
      <c r="M911" s="28">
        <f>IF($A911="","",IF(OR(J911+$F911&gt;$D911+0.001,_xlfn.MAXIFS(Stangenbelegung!$H$5:$H$10004,Stangenbelegung!$A$5:$A$10004,$A911)&gt;$D911-$F911+0.001),"ÜBERBELEGT","OK"))</f>
        <v/>
      </c>
      <c r="N911" s="24" t="n"/>
      <c r="O911" s="24" t="n"/>
      <c r="P911" s="9" t="n"/>
      <c r="Q911" s="18">
        <f>IF($A911="","",IFERROR($D911/1000*INDEX(Profile!$K$5:$K$304,MATCH($B911,lst_Profil,0))*INDEX(Werkstoffe!$E$5:$E$304,MATCH($C911,lst_Werkstoff,0))/1000,""))</f>
        <v/>
      </c>
      <c r="R911" s="18">
        <f>IF($A911="","",IF(N(_xlfn.MAXIFS(Auftrag!$AP$13:$AP$512,Auftrag!$D$13:$D$512,$B911,Auftrag!$E$13:$E$512,$C911,Auftrag!$Q$13:$Q$512,$D911))&gt;0,_xlfn.MAXIFS(Auftrag!$AP$13:$AP$512,Auftrag!$D$13:$D$512,$B911,Auftrag!$E$13:$E$512,$C911,Auftrag!$Q$13:$Q$512,$D911)*$D911/1000,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9" t="n"/>
      <c r="E912" s="24" t="n"/>
      <c r="F912" s="24" t="n"/>
      <c r="G912" s="12">
        <f>IF($A912="","",COUNTIFS(Stangenbelegung!$A$5:$A$10004,$A912))</f>
        <v/>
      </c>
      <c r="H912" s="35">
        <f>IF($A912="","",SUMIFS(Stangenbelegung!$F$5:$F$10004,Stangenbelegung!$A$5:$A$10004,$A912))</f>
        <v/>
      </c>
      <c r="I912" s="23" t="n"/>
      <c r="J912" s="35">
        <f>IF($A912="","",$E912+H912+$I912)</f>
        <v/>
      </c>
      <c r="K912" s="35">
        <f>IF($A912="","",$D912-J912)</f>
        <v/>
      </c>
      <c r="L912" s="32">
        <f>IF($A912="","",H912/$D912)</f>
        <v/>
      </c>
      <c r="M912" s="28">
        <f>IF($A912="","",IF(OR(J912+$F912&gt;$D912+0.001,_xlfn.MAXIFS(Stangenbelegung!$H$5:$H$10004,Stangenbelegung!$A$5:$A$10004,$A912)&gt;$D912-$F912+0.001),"ÜBERBELEGT","OK"))</f>
        <v/>
      </c>
      <c r="N912" s="24" t="n"/>
      <c r="O912" s="24" t="n"/>
      <c r="P912" s="9" t="n"/>
      <c r="Q912" s="18">
        <f>IF($A912="","",IFERROR($D912/1000*INDEX(Profile!$K$5:$K$304,MATCH($B912,lst_Profil,0))*INDEX(Werkstoffe!$E$5:$E$304,MATCH($C912,lst_Werkstoff,0))/1000,""))</f>
        <v/>
      </c>
      <c r="R912" s="18">
        <f>IF($A912="","",IF(N(_xlfn.MAXIFS(Auftrag!$AP$13:$AP$512,Auftrag!$D$13:$D$512,$B912,Auftrag!$E$13:$E$512,$C912,Auftrag!$Q$13:$Q$512,$D912))&gt;0,_xlfn.MAXIFS(Auftrag!$AP$13:$AP$512,Auftrag!$D$13:$D$512,$B912,Auftrag!$E$13:$E$512,$C912,Auftrag!$Q$13:$Q$512,$D912)*$D912/1000,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9" t="n"/>
      <c r="E913" s="24" t="n"/>
      <c r="F913" s="24" t="n"/>
      <c r="G913" s="12">
        <f>IF($A913="","",COUNTIFS(Stangenbelegung!$A$5:$A$10004,$A913))</f>
        <v/>
      </c>
      <c r="H913" s="35">
        <f>IF($A913="","",SUMIFS(Stangenbelegung!$F$5:$F$10004,Stangenbelegung!$A$5:$A$10004,$A913))</f>
        <v/>
      </c>
      <c r="I913" s="23" t="n"/>
      <c r="J913" s="35">
        <f>IF($A913="","",$E913+H913+$I913)</f>
        <v/>
      </c>
      <c r="K913" s="35">
        <f>IF($A913="","",$D913-J913)</f>
        <v/>
      </c>
      <c r="L913" s="32">
        <f>IF($A913="","",H913/$D913)</f>
        <v/>
      </c>
      <c r="M913" s="28">
        <f>IF($A913="","",IF(OR(J913+$F913&gt;$D913+0.001,_xlfn.MAXIFS(Stangenbelegung!$H$5:$H$10004,Stangenbelegung!$A$5:$A$10004,$A913)&gt;$D913-$F913+0.001),"ÜBERBELEGT","OK"))</f>
        <v/>
      </c>
      <c r="N913" s="24" t="n"/>
      <c r="O913" s="24" t="n"/>
      <c r="P913" s="9" t="n"/>
      <c r="Q913" s="18">
        <f>IF($A913="","",IFERROR($D913/1000*INDEX(Profile!$K$5:$K$304,MATCH($B913,lst_Profil,0))*INDEX(Werkstoffe!$E$5:$E$304,MATCH($C913,lst_Werkstoff,0))/1000,""))</f>
        <v/>
      </c>
      <c r="R913" s="18">
        <f>IF($A913="","",IF(N(_xlfn.MAXIFS(Auftrag!$AP$13:$AP$512,Auftrag!$D$13:$D$512,$B913,Auftrag!$E$13:$E$512,$C913,Auftrag!$Q$13:$Q$512,$D913))&gt;0,_xlfn.MAXIFS(Auftrag!$AP$13:$AP$512,Auftrag!$D$13:$D$512,$B913,Auftrag!$E$13:$E$512,$C913,Auftrag!$Q$13:$Q$512,$D913)*$D913/1000,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9" t="n"/>
      <c r="E914" s="24" t="n"/>
      <c r="F914" s="24" t="n"/>
      <c r="G914" s="12">
        <f>IF($A914="","",COUNTIFS(Stangenbelegung!$A$5:$A$10004,$A914))</f>
        <v/>
      </c>
      <c r="H914" s="35">
        <f>IF($A914="","",SUMIFS(Stangenbelegung!$F$5:$F$10004,Stangenbelegung!$A$5:$A$10004,$A914))</f>
        <v/>
      </c>
      <c r="I914" s="23" t="n"/>
      <c r="J914" s="35">
        <f>IF($A914="","",$E914+H914+$I914)</f>
        <v/>
      </c>
      <c r="K914" s="35">
        <f>IF($A914="","",$D914-J914)</f>
        <v/>
      </c>
      <c r="L914" s="32">
        <f>IF($A914="","",H914/$D914)</f>
        <v/>
      </c>
      <c r="M914" s="28">
        <f>IF($A914="","",IF(OR(J914+$F914&gt;$D914+0.001,_xlfn.MAXIFS(Stangenbelegung!$H$5:$H$10004,Stangenbelegung!$A$5:$A$10004,$A914)&gt;$D914-$F914+0.001),"ÜBERBELEGT","OK"))</f>
        <v/>
      </c>
      <c r="N914" s="24" t="n"/>
      <c r="O914" s="24" t="n"/>
      <c r="P914" s="9" t="n"/>
      <c r="Q914" s="18">
        <f>IF($A914="","",IFERROR($D914/1000*INDEX(Profile!$K$5:$K$304,MATCH($B914,lst_Profil,0))*INDEX(Werkstoffe!$E$5:$E$304,MATCH($C914,lst_Werkstoff,0))/1000,""))</f>
        <v/>
      </c>
      <c r="R914" s="18">
        <f>IF($A914="","",IF(N(_xlfn.MAXIFS(Auftrag!$AP$13:$AP$512,Auftrag!$D$13:$D$512,$B914,Auftrag!$E$13:$E$512,$C914,Auftrag!$Q$13:$Q$512,$D914))&gt;0,_xlfn.MAXIFS(Auftrag!$AP$13:$AP$512,Auftrag!$D$13:$D$512,$B914,Auftrag!$E$13:$E$512,$C914,Auftrag!$Q$13:$Q$512,$D914)*$D914/1000,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9" t="n"/>
      <c r="E915" s="24" t="n"/>
      <c r="F915" s="24" t="n"/>
      <c r="G915" s="12">
        <f>IF($A915="","",COUNTIFS(Stangenbelegung!$A$5:$A$10004,$A915))</f>
        <v/>
      </c>
      <c r="H915" s="35">
        <f>IF($A915="","",SUMIFS(Stangenbelegung!$F$5:$F$10004,Stangenbelegung!$A$5:$A$10004,$A915))</f>
        <v/>
      </c>
      <c r="I915" s="23" t="n"/>
      <c r="J915" s="35">
        <f>IF($A915="","",$E915+H915+$I915)</f>
        <v/>
      </c>
      <c r="K915" s="35">
        <f>IF($A915="","",$D915-J915)</f>
        <v/>
      </c>
      <c r="L915" s="32">
        <f>IF($A915="","",H915/$D915)</f>
        <v/>
      </c>
      <c r="M915" s="28">
        <f>IF($A915="","",IF(OR(J915+$F915&gt;$D915+0.001,_xlfn.MAXIFS(Stangenbelegung!$H$5:$H$10004,Stangenbelegung!$A$5:$A$10004,$A915)&gt;$D915-$F915+0.001),"ÜBERBELEGT","OK"))</f>
        <v/>
      </c>
      <c r="N915" s="24" t="n"/>
      <c r="O915" s="24" t="n"/>
      <c r="P915" s="9" t="n"/>
      <c r="Q915" s="18">
        <f>IF($A915="","",IFERROR($D915/1000*INDEX(Profile!$K$5:$K$304,MATCH($B915,lst_Profil,0))*INDEX(Werkstoffe!$E$5:$E$304,MATCH($C915,lst_Werkstoff,0))/1000,""))</f>
        <v/>
      </c>
      <c r="R915" s="18">
        <f>IF($A915="","",IF(N(_xlfn.MAXIFS(Auftrag!$AP$13:$AP$512,Auftrag!$D$13:$D$512,$B915,Auftrag!$E$13:$E$512,$C915,Auftrag!$Q$13:$Q$512,$D915))&gt;0,_xlfn.MAXIFS(Auftrag!$AP$13:$AP$512,Auftrag!$D$13:$D$512,$B915,Auftrag!$E$13:$E$512,$C915,Auftrag!$Q$13:$Q$512,$D915)*$D915/1000,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9" t="n"/>
      <c r="E916" s="24" t="n"/>
      <c r="F916" s="24" t="n"/>
      <c r="G916" s="12">
        <f>IF($A916="","",COUNTIFS(Stangenbelegung!$A$5:$A$10004,$A916))</f>
        <v/>
      </c>
      <c r="H916" s="35">
        <f>IF($A916="","",SUMIFS(Stangenbelegung!$F$5:$F$10004,Stangenbelegung!$A$5:$A$10004,$A916))</f>
        <v/>
      </c>
      <c r="I916" s="23" t="n"/>
      <c r="J916" s="35">
        <f>IF($A916="","",$E916+H916+$I916)</f>
        <v/>
      </c>
      <c r="K916" s="35">
        <f>IF($A916="","",$D916-J916)</f>
        <v/>
      </c>
      <c r="L916" s="32">
        <f>IF($A916="","",H916/$D916)</f>
        <v/>
      </c>
      <c r="M916" s="28">
        <f>IF($A916="","",IF(OR(J916+$F916&gt;$D916+0.001,_xlfn.MAXIFS(Stangenbelegung!$H$5:$H$10004,Stangenbelegung!$A$5:$A$10004,$A916)&gt;$D916-$F916+0.001),"ÜBERBELEGT","OK"))</f>
        <v/>
      </c>
      <c r="N916" s="24" t="n"/>
      <c r="O916" s="24" t="n"/>
      <c r="P916" s="9" t="n"/>
      <c r="Q916" s="18">
        <f>IF($A916="","",IFERROR($D916/1000*INDEX(Profile!$K$5:$K$304,MATCH($B916,lst_Profil,0))*INDEX(Werkstoffe!$E$5:$E$304,MATCH($C916,lst_Werkstoff,0))/1000,""))</f>
        <v/>
      </c>
      <c r="R916" s="18">
        <f>IF($A916="","",IF(N(_xlfn.MAXIFS(Auftrag!$AP$13:$AP$512,Auftrag!$D$13:$D$512,$B916,Auftrag!$E$13:$E$512,$C916,Auftrag!$Q$13:$Q$512,$D916))&gt;0,_xlfn.MAXIFS(Auftrag!$AP$13:$AP$512,Auftrag!$D$13:$D$512,$B916,Auftrag!$E$13:$E$512,$C916,Auftrag!$Q$13:$Q$512,$D916)*$D916/1000,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9" t="n"/>
      <c r="E917" s="24" t="n"/>
      <c r="F917" s="24" t="n"/>
      <c r="G917" s="12">
        <f>IF($A917="","",COUNTIFS(Stangenbelegung!$A$5:$A$10004,$A917))</f>
        <v/>
      </c>
      <c r="H917" s="35">
        <f>IF($A917="","",SUMIFS(Stangenbelegung!$F$5:$F$10004,Stangenbelegung!$A$5:$A$10004,$A917))</f>
        <v/>
      </c>
      <c r="I917" s="23" t="n"/>
      <c r="J917" s="35">
        <f>IF($A917="","",$E917+H917+$I917)</f>
        <v/>
      </c>
      <c r="K917" s="35">
        <f>IF($A917="","",$D917-J917)</f>
        <v/>
      </c>
      <c r="L917" s="32">
        <f>IF($A917="","",H917/$D917)</f>
        <v/>
      </c>
      <c r="M917" s="28">
        <f>IF($A917="","",IF(OR(J917+$F917&gt;$D917+0.001,_xlfn.MAXIFS(Stangenbelegung!$H$5:$H$10004,Stangenbelegung!$A$5:$A$10004,$A917)&gt;$D917-$F917+0.001),"ÜBERBELEGT","OK"))</f>
        <v/>
      </c>
      <c r="N917" s="24" t="n"/>
      <c r="O917" s="24" t="n"/>
      <c r="P917" s="9" t="n"/>
      <c r="Q917" s="18">
        <f>IF($A917="","",IFERROR($D917/1000*INDEX(Profile!$K$5:$K$304,MATCH($B917,lst_Profil,0))*INDEX(Werkstoffe!$E$5:$E$304,MATCH($C917,lst_Werkstoff,0))/1000,""))</f>
        <v/>
      </c>
      <c r="R917" s="18">
        <f>IF($A917="","",IF(N(_xlfn.MAXIFS(Auftrag!$AP$13:$AP$512,Auftrag!$D$13:$D$512,$B917,Auftrag!$E$13:$E$512,$C917,Auftrag!$Q$13:$Q$512,$D917))&gt;0,_xlfn.MAXIFS(Auftrag!$AP$13:$AP$512,Auftrag!$D$13:$D$512,$B917,Auftrag!$E$13:$E$512,$C917,Auftrag!$Q$13:$Q$512,$D917)*$D917/1000,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9" t="n"/>
      <c r="E918" s="24" t="n"/>
      <c r="F918" s="24" t="n"/>
      <c r="G918" s="12">
        <f>IF($A918="","",COUNTIFS(Stangenbelegung!$A$5:$A$10004,$A918))</f>
        <v/>
      </c>
      <c r="H918" s="35">
        <f>IF($A918="","",SUMIFS(Stangenbelegung!$F$5:$F$10004,Stangenbelegung!$A$5:$A$10004,$A918))</f>
        <v/>
      </c>
      <c r="I918" s="23" t="n"/>
      <c r="J918" s="35">
        <f>IF($A918="","",$E918+H918+$I918)</f>
        <v/>
      </c>
      <c r="K918" s="35">
        <f>IF($A918="","",$D918-J918)</f>
        <v/>
      </c>
      <c r="L918" s="32">
        <f>IF($A918="","",H918/$D918)</f>
        <v/>
      </c>
      <c r="M918" s="28">
        <f>IF($A918="","",IF(OR(J918+$F918&gt;$D918+0.001,_xlfn.MAXIFS(Stangenbelegung!$H$5:$H$10004,Stangenbelegung!$A$5:$A$10004,$A918)&gt;$D918-$F918+0.001),"ÜBERBELEGT","OK"))</f>
        <v/>
      </c>
      <c r="N918" s="24" t="n"/>
      <c r="O918" s="24" t="n"/>
      <c r="P918" s="9" t="n"/>
      <c r="Q918" s="18">
        <f>IF($A918="","",IFERROR($D918/1000*INDEX(Profile!$K$5:$K$304,MATCH($B918,lst_Profil,0))*INDEX(Werkstoffe!$E$5:$E$304,MATCH($C918,lst_Werkstoff,0))/1000,""))</f>
        <v/>
      </c>
      <c r="R918" s="18">
        <f>IF($A918="","",IF(N(_xlfn.MAXIFS(Auftrag!$AP$13:$AP$512,Auftrag!$D$13:$D$512,$B918,Auftrag!$E$13:$E$512,$C918,Auftrag!$Q$13:$Q$512,$D918))&gt;0,_xlfn.MAXIFS(Auftrag!$AP$13:$AP$512,Auftrag!$D$13:$D$512,$B918,Auftrag!$E$13:$E$512,$C918,Auftrag!$Q$13:$Q$512,$D918)*$D918/1000,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9" t="n"/>
      <c r="E919" s="24" t="n"/>
      <c r="F919" s="24" t="n"/>
      <c r="G919" s="12">
        <f>IF($A919="","",COUNTIFS(Stangenbelegung!$A$5:$A$10004,$A919))</f>
        <v/>
      </c>
      <c r="H919" s="35">
        <f>IF($A919="","",SUMIFS(Stangenbelegung!$F$5:$F$10004,Stangenbelegung!$A$5:$A$10004,$A919))</f>
        <v/>
      </c>
      <c r="I919" s="23" t="n"/>
      <c r="J919" s="35">
        <f>IF($A919="","",$E919+H919+$I919)</f>
        <v/>
      </c>
      <c r="K919" s="35">
        <f>IF($A919="","",$D919-J919)</f>
        <v/>
      </c>
      <c r="L919" s="32">
        <f>IF($A919="","",H919/$D919)</f>
        <v/>
      </c>
      <c r="M919" s="28">
        <f>IF($A919="","",IF(OR(J919+$F919&gt;$D919+0.001,_xlfn.MAXIFS(Stangenbelegung!$H$5:$H$10004,Stangenbelegung!$A$5:$A$10004,$A919)&gt;$D919-$F919+0.001),"ÜBERBELEGT","OK"))</f>
        <v/>
      </c>
      <c r="N919" s="24" t="n"/>
      <c r="O919" s="24" t="n"/>
      <c r="P919" s="9" t="n"/>
      <c r="Q919" s="18">
        <f>IF($A919="","",IFERROR($D919/1000*INDEX(Profile!$K$5:$K$304,MATCH($B919,lst_Profil,0))*INDEX(Werkstoffe!$E$5:$E$304,MATCH($C919,lst_Werkstoff,0))/1000,""))</f>
        <v/>
      </c>
      <c r="R919" s="18">
        <f>IF($A919="","",IF(N(_xlfn.MAXIFS(Auftrag!$AP$13:$AP$512,Auftrag!$D$13:$D$512,$B919,Auftrag!$E$13:$E$512,$C919,Auftrag!$Q$13:$Q$512,$D919))&gt;0,_xlfn.MAXIFS(Auftrag!$AP$13:$AP$512,Auftrag!$D$13:$D$512,$B919,Auftrag!$E$13:$E$512,$C919,Auftrag!$Q$13:$Q$512,$D919)*$D919/1000,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9" t="n"/>
      <c r="E920" s="24" t="n"/>
      <c r="F920" s="24" t="n"/>
      <c r="G920" s="12">
        <f>IF($A920="","",COUNTIFS(Stangenbelegung!$A$5:$A$10004,$A920))</f>
        <v/>
      </c>
      <c r="H920" s="35">
        <f>IF($A920="","",SUMIFS(Stangenbelegung!$F$5:$F$10004,Stangenbelegung!$A$5:$A$10004,$A920))</f>
        <v/>
      </c>
      <c r="I920" s="23" t="n"/>
      <c r="J920" s="35">
        <f>IF($A920="","",$E920+H920+$I920)</f>
        <v/>
      </c>
      <c r="K920" s="35">
        <f>IF($A920="","",$D920-J920)</f>
        <v/>
      </c>
      <c r="L920" s="32">
        <f>IF($A920="","",H920/$D920)</f>
        <v/>
      </c>
      <c r="M920" s="28">
        <f>IF($A920="","",IF(OR(J920+$F920&gt;$D920+0.001,_xlfn.MAXIFS(Stangenbelegung!$H$5:$H$10004,Stangenbelegung!$A$5:$A$10004,$A920)&gt;$D920-$F920+0.001),"ÜBERBELEGT","OK"))</f>
        <v/>
      </c>
      <c r="N920" s="24" t="n"/>
      <c r="O920" s="24" t="n"/>
      <c r="P920" s="9" t="n"/>
      <c r="Q920" s="18">
        <f>IF($A920="","",IFERROR($D920/1000*INDEX(Profile!$K$5:$K$304,MATCH($B920,lst_Profil,0))*INDEX(Werkstoffe!$E$5:$E$304,MATCH($C920,lst_Werkstoff,0))/1000,""))</f>
        <v/>
      </c>
      <c r="R920" s="18">
        <f>IF($A920="","",IF(N(_xlfn.MAXIFS(Auftrag!$AP$13:$AP$512,Auftrag!$D$13:$D$512,$B920,Auftrag!$E$13:$E$512,$C920,Auftrag!$Q$13:$Q$512,$D920))&gt;0,_xlfn.MAXIFS(Auftrag!$AP$13:$AP$512,Auftrag!$D$13:$D$512,$B920,Auftrag!$E$13:$E$512,$C920,Auftrag!$Q$13:$Q$512,$D920)*$D920/1000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9" t="n"/>
      <c r="E921" s="24" t="n"/>
      <c r="F921" s="24" t="n"/>
      <c r="G921" s="12">
        <f>IF($A921="","",COUNTIFS(Stangenbelegung!$A$5:$A$10004,$A921))</f>
        <v/>
      </c>
      <c r="H921" s="35">
        <f>IF($A921="","",SUMIFS(Stangenbelegung!$F$5:$F$10004,Stangenbelegung!$A$5:$A$10004,$A921))</f>
        <v/>
      </c>
      <c r="I921" s="23" t="n"/>
      <c r="J921" s="35">
        <f>IF($A921="","",$E921+H921+$I921)</f>
        <v/>
      </c>
      <c r="K921" s="35">
        <f>IF($A921="","",$D921-J921)</f>
        <v/>
      </c>
      <c r="L921" s="32">
        <f>IF($A921="","",H921/$D921)</f>
        <v/>
      </c>
      <c r="M921" s="28">
        <f>IF($A921="","",IF(OR(J921+$F921&gt;$D921+0.001,_xlfn.MAXIFS(Stangenbelegung!$H$5:$H$10004,Stangenbelegung!$A$5:$A$10004,$A921)&gt;$D921-$F921+0.001),"ÜBERBELEGT","OK"))</f>
        <v/>
      </c>
      <c r="N921" s="24" t="n"/>
      <c r="O921" s="24" t="n"/>
      <c r="P921" s="9" t="n"/>
      <c r="Q921" s="18">
        <f>IF($A921="","",IFERROR($D921/1000*INDEX(Profile!$K$5:$K$304,MATCH($B921,lst_Profil,0))*INDEX(Werkstoffe!$E$5:$E$304,MATCH($C921,lst_Werkstoff,0))/1000,""))</f>
        <v/>
      </c>
      <c r="R921" s="18">
        <f>IF($A921="","",IF(N(_xlfn.MAXIFS(Auftrag!$AP$13:$AP$512,Auftrag!$D$13:$D$512,$B921,Auftrag!$E$13:$E$512,$C921,Auftrag!$Q$13:$Q$512,$D921))&gt;0,_xlfn.MAXIFS(Auftrag!$AP$13:$AP$512,Auftrag!$D$13:$D$512,$B921,Auftrag!$E$13:$E$512,$C921,Auftrag!$Q$13:$Q$512,$D921)*$D921/1000,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9" t="n"/>
      <c r="E922" s="24" t="n"/>
      <c r="F922" s="24" t="n"/>
      <c r="G922" s="12">
        <f>IF($A922="","",COUNTIFS(Stangenbelegung!$A$5:$A$10004,$A922))</f>
        <v/>
      </c>
      <c r="H922" s="35">
        <f>IF($A922="","",SUMIFS(Stangenbelegung!$F$5:$F$10004,Stangenbelegung!$A$5:$A$10004,$A922))</f>
        <v/>
      </c>
      <c r="I922" s="23" t="n"/>
      <c r="J922" s="35">
        <f>IF($A922="","",$E922+H922+$I922)</f>
        <v/>
      </c>
      <c r="K922" s="35">
        <f>IF($A922="","",$D922-J922)</f>
        <v/>
      </c>
      <c r="L922" s="32">
        <f>IF($A922="","",H922/$D922)</f>
        <v/>
      </c>
      <c r="M922" s="28">
        <f>IF($A922="","",IF(OR(J922+$F922&gt;$D922+0.001,_xlfn.MAXIFS(Stangenbelegung!$H$5:$H$10004,Stangenbelegung!$A$5:$A$10004,$A922)&gt;$D922-$F922+0.001),"ÜBERBELEGT","OK"))</f>
        <v/>
      </c>
      <c r="N922" s="24" t="n"/>
      <c r="O922" s="24" t="n"/>
      <c r="P922" s="9" t="n"/>
      <c r="Q922" s="18">
        <f>IF($A922="","",IFERROR($D922/1000*INDEX(Profile!$K$5:$K$304,MATCH($B922,lst_Profil,0))*INDEX(Werkstoffe!$E$5:$E$304,MATCH($C922,lst_Werkstoff,0))/1000,""))</f>
        <v/>
      </c>
      <c r="R922" s="18">
        <f>IF($A922="","",IF(N(_xlfn.MAXIFS(Auftrag!$AP$13:$AP$512,Auftrag!$D$13:$D$512,$B922,Auftrag!$E$13:$E$512,$C922,Auftrag!$Q$13:$Q$512,$D922))&gt;0,_xlfn.MAXIFS(Auftrag!$AP$13:$AP$512,Auftrag!$D$13:$D$512,$B922,Auftrag!$E$13:$E$512,$C922,Auftrag!$Q$13:$Q$512,$D922)*$D922/1000,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9" t="n"/>
      <c r="E923" s="24" t="n"/>
      <c r="F923" s="24" t="n"/>
      <c r="G923" s="12">
        <f>IF($A923="","",COUNTIFS(Stangenbelegung!$A$5:$A$10004,$A923))</f>
        <v/>
      </c>
      <c r="H923" s="35">
        <f>IF($A923="","",SUMIFS(Stangenbelegung!$F$5:$F$10004,Stangenbelegung!$A$5:$A$10004,$A923))</f>
        <v/>
      </c>
      <c r="I923" s="23" t="n"/>
      <c r="J923" s="35">
        <f>IF($A923="","",$E923+H923+$I923)</f>
        <v/>
      </c>
      <c r="K923" s="35">
        <f>IF($A923="","",$D923-J923)</f>
        <v/>
      </c>
      <c r="L923" s="32">
        <f>IF($A923="","",H923/$D923)</f>
        <v/>
      </c>
      <c r="M923" s="28">
        <f>IF($A923="","",IF(OR(J923+$F923&gt;$D923+0.001,_xlfn.MAXIFS(Stangenbelegung!$H$5:$H$10004,Stangenbelegung!$A$5:$A$10004,$A923)&gt;$D923-$F923+0.001),"ÜBERBELEGT","OK"))</f>
        <v/>
      </c>
      <c r="N923" s="24" t="n"/>
      <c r="O923" s="24" t="n"/>
      <c r="P923" s="9" t="n"/>
      <c r="Q923" s="18">
        <f>IF($A923="","",IFERROR($D923/1000*INDEX(Profile!$K$5:$K$304,MATCH($B923,lst_Profil,0))*INDEX(Werkstoffe!$E$5:$E$304,MATCH($C923,lst_Werkstoff,0))/1000,""))</f>
        <v/>
      </c>
      <c r="R923" s="18">
        <f>IF($A923="","",IF(N(_xlfn.MAXIFS(Auftrag!$AP$13:$AP$512,Auftrag!$D$13:$D$512,$B923,Auftrag!$E$13:$E$512,$C923,Auftrag!$Q$13:$Q$512,$D923))&gt;0,_xlfn.MAXIFS(Auftrag!$AP$13:$AP$512,Auftrag!$D$13:$D$512,$B923,Auftrag!$E$13:$E$512,$C923,Auftrag!$Q$13:$Q$512,$D923)*$D923/1000,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9" t="n"/>
      <c r="E924" s="24" t="n"/>
      <c r="F924" s="24" t="n"/>
      <c r="G924" s="12">
        <f>IF($A924="","",COUNTIFS(Stangenbelegung!$A$5:$A$10004,$A924))</f>
        <v/>
      </c>
      <c r="H924" s="35">
        <f>IF($A924="","",SUMIFS(Stangenbelegung!$F$5:$F$10004,Stangenbelegung!$A$5:$A$10004,$A924))</f>
        <v/>
      </c>
      <c r="I924" s="23" t="n"/>
      <c r="J924" s="35">
        <f>IF($A924="","",$E924+H924+$I924)</f>
        <v/>
      </c>
      <c r="K924" s="35">
        <f>IF($A924="","",$D924-J924)</f>
        <v/>
      </c>
      <c r="L924" s="32">
        <f>IF($A924="","",H924/$D924)</f>
        <v/>
      </c>
      <c r="M924" s="28">
        <f>IF($A924="","",IF(OR(J924+$F924&gt;$D924+0.001,_xlfn.MAXIFS(Stangenbelegung!$H$5:$H$10004,Stangenbelegung!$A$5:$A$10004,$A924)&gt;$D924-$F924+0.001),"ÜBERBELEGT","OK"))</f>
        <v/>
      </c>
      <c r="N924" s="24" t="n"/>
      <c r="O924" s="24" t="n"/>
      <c r="P924" s="9" t="n"/>
      <c r="Q924" s="18">
        <f>IF($A924="","",IFERROR($D924/1000*INDEX(Profile!$K$5:$K$304,MATCH($B924,lst_Profil,0))*INDEX(Werkstoffe!$E$5:$E$304,MATCH($C924,lst_Werkstoff,0))/1000,""))</f>
        <v/>
      </c>
      <c r="R924" s="18">
        <f>IF($A924="","",IF(N(_xlfn.MAXIFS(Auftrag!$AP$13:$AP$512,Auftrag!$D$13:$D$512,$B924,Auftrag!$E$13:$E$512,$C924,Auftrag!$Q$13:$Q$512,$D924))&gt;0,_xlfn.MAXIFS(Auftrag!$AP$13:$AP$512,Auftrag!$D$13:$D$512,$B924,Auftrag!$E$13:$E$512,$C924,Auftrag!$Q$13:$Q$512,$D924)*$D924/1000,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9" t="n"/>
      <c r="E925" s="24" t="n"/>
      <c r="F925" s="24" t="n"/>
      <c r="G925" s="12">
        <f>IF($A925="","",COUNTIFS(Stangenbelegung!$A$5:$A$10004,$A925))</f>
        <v/>
      </c>
      <c r="H925" s="35">
        <f>IF($A925="","",SUMIFS(Stangenbelegung!$F$5:$F$10004,Stangenbelegung!$A$5:$A$10004,$A925))</f>
        <v/>
      </c>
      <c r="I925" s="23" t="n"/>
      <c r="J925" s="35">
        <f>IF($A925="","",$E925+H925+$I925)</f>
        <v/>
      </c>
      <c r="K925" s="35">
        <f>IF($A925="","",$D925-J925)</f>
        <v/>
      </c>
      <c r="L925" s="32">
        <f>IF($A925="","",H925/$D925)</f>
        <v/>
      </c>
      <c r="M925" s="28">
        <f>IF($A925="","",IF(OR(J925+$F925&gt;$D925+0.001,_xlfn.MAXIFS(Stangenbelegung!$H$5:$H$10004,Stangenbelegung!$A$5:$A$10004,$A925)&gt;$D925-$F925+0.001),"ÜBERBELEGT","OK"))</f>
        <v/>
      </c>
      <c r="N925" s="24" t="n"/>
      <c r="O925" s="24" t="n"/>
      <c r="P925" s="9" t="n"/>
      <c r="Q925" s="18">
        <f>IF($A925="","",IFERROR($D925/1000*INDEX(Profile!$K$5:$K$304,MATCH($B925,lst_Profil,0))*INDEX(Werkstoffe!$E$5:$E$304,MATCH($C925,lst_Werkstoff,0))/1000,""))</f>
        <v/>
      </c>
      <c r="R925" s="18">
        <f>IF($A925="","",IF(N(_xlfn.MAXIFS(Auftrag!$AP$13:$AP$512,Auftrag!$D$13:$D$512,$B925,Auftrag!$E$13:$E$512,$C925,Auftrag!$Q$13:$Q$512,$D925))&gt;0,_xlfn.MAXIFS(Auftrag!$AP$13:$AP$512,Auftrag!$D$13:$D$512,$B925,Auftrag!$E$13:$E$512,$C925,Auftrag!$Q$13:$Q$512,$D925)*$D925/1000,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9" t="n"/>
      <c r="E926" s="24" t="n"/>
      <c r="F926" s="24" t="n"/>
      <c r="G926" s="12">
        <f>IF($A926="","",COUNTIFS(Stangenbelegung!$A$5:$A$10004,$A926))</f>
        <v/>
      </c>
      <c r="H926" s="35">
        <f>IF($A926="","",SUMIFS(Stangenbelegung!$F$5:$F$10004,Stangenbelegung!$A$5:$A$10004,$A926))</f>
        <v/>
      </c>
      <c r="I926" s="23" t="n"/>
      <c r="J926" s="35">
        <f>IF($A926="","",$E926+H926+$I926)</f>
        <v/>
      </c>
      <c r="K926" s="35">
        <f>IF($A926="","",$D926-J926)</f>
        <v/>
      </c>
      <c r="L926" s="32">
        <f>IF($A926="","",H926/$D926)</f>
        <v/>
      </c>
      <c r="M926" s="28">
        <f>IF($A926="","",IF(OR(J926+$F926&gt;$D926+0.001,_xlfn.MAXIFS(Stangenbelegung!$H$5:$H$10004,Stangenbelegung!$A$5:$A$10004,$A926)&gt;$D926-$F926+0.001),"ÜBERBELEGT","OK"))</f>
        <v/>
      </c>
      <c r="N926" s="24" t="n"/>
      <c r="O926" s="24" t="n"/>
      <c r="P926" s="9" t="n"/>
      <c r="Q926" s="18">
        <f>IF($A926="","",IFERROR($D926/1000*INDEX(Profile!$K$5:$K$304,MATCH($B926,lst_Profil,0))*INDEX(Werkstoffe!$E$5:$E$304,MATCH($C926,lst_Werkstoff,0))/1000,""))</f>
        <v/>
      </c>
      <c r="R926" s="18">
        <f>IF($A926="","",IF(N(_xlfn.MAXIFS(Auftrag!$AP$13:$AP$512,Auftrag!$D$13:$D$512,$B926,Auftrag!$E$13:$E$512,$C926,Auftrag!$Q$13:$Q$512,$D926))&gt;0,_xlfn.MAXIFS(Auftrag!$AP$13:$AP$512,Auftrag!$D$13:$D$512,$B926,Auftrag!$E$13:$E$512,$C926,Auftrag!$Q$13:$Q$512,$D926)*$D926/1000,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9" t="n"/>
      <c r="E927" s="24" t="n"/>
      <c r="F927" s="24" t="n"/>
      <c r="G927" s="12">
        <f>IF($A927="","",COUNTIFS(Stangenbelegung!$A$5:$A$10004,$A927))</f>
        <v/>
      </c>
      <c r="H927" s="35">
        <f>IF($A927="","",SUMIFS(Stangenbelegung!$F$5:$F$10004,Stangenbelegung!$A$5:$A$10004,$A927))</f>
        <v/>
      </c>
      <c r="I927" s="23" t="n"/>
      <c r="J927" s="35">
        <f>IF($A927="","",$E927+H927+$I927)</f>
        <v/>
      </c>
      <c r="K927" s="35">
        <f>IF($A927="","",$D927-J927)</f>
        <v/>
      </c>
      <c r="L927" s="32">
        <f>IF($A927="","",H927/$D927)</f>
        <v/>
      </c>
      <c r="M927" s="28">
        <f>IF($A927="","",IF(OR(J927+$F927&gt;$D927+0.001,_xlfn.MAXIFS(Stangenbelegung!$H$5:$H$10004,Stangenbelegung!$A$5:$A$10004,$A927)&gt;$D927-$F927+0.001),"ÜBERBELEGT","OK"))</f>
        <v/>
      </c>
      <c r="N927" s="24" t="n"/>
      <c r="O927" s="24" t="n"/>
      <c r="P927" s="9" t="n"/>
      <c r="Q927" s="18">
        <f>IF($A927="","",IFERROR($D927/1000*INDEX(Profile!$K$5:$K$304,MATCH($B927,lst_Profil,0))*INDEX(Werkstoffe!$E$5:$E$304,MATCH($C927,lst_Werkstoff,0))/1000,""))</f>
        <v/>
      </c>
      <c r="R927" s="18">
        <f>IF($A927="","",IF(N(_xlfn.MAXIFS(Auftrag!$AP$13:$AP$512,Auftrag!$D$13:$D$512,$B927,Auftrag!$E$13:$E$512,$C927,Auftrag!$Q$13:$Q$512,$D927))&gt;0,_xlfn.MAXIFS(Auftrag!$AP$13:$AP$512,Auftrag!$D$13:$D$512,$B927,Auftrag!$E$13:$E$512,$C927,Auftrag!$Q$13:$Q$512,$D927)*$D927/1000,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9" t="n"/>
      <c r="E928" s="24" t="n"/>
      <c r="F928" s="24" t="n"/>
      <c r="G928" s="12">
        <f>IF($A928="","",COUNTIFS(Stangenbelegung!$A$5:$A$10004,$A928))</f>
        <v/>
      </c>
      <c r="H928" s="35">
        <f>IF($A928="","",SUMIFS(Stangenbelegung!$F$5:$F$10004,Stangenbelegung!$A$5:$A$10004,$A928))</f>
        <v/>
      </c>
      <c r="I928" s="23" t="n"/>
      <c r="J928" s="35">
        <f>IF($A928="","",$E928+H928+$I928)</f>
        <v/>
      </c>
      <c r="K928" s="35">
        <f>IF($A928="","",$D928-J928)</f>
        <v/>
      </c>
      <c r="L928" s="32">
        <f>IF($A928="","",H928/$D928)</f>
        <v/>
      </c>
      <c r="M928" s="28">
        <f>IF($A928="","",IF(OR(J928+$F928&gt;$D928+0.001,_xlfn.MAXIFS(Stangenbelegung!$H$5:$H$10004,Stangenbelegung!$A$5:$A$10004,$A928)&gt;$D928-$F928+0.001),"ÜBERBELEGT","OK"))</f>
        <v/>
      </c>
      <c r="N928" s="24" t="n"/>
      <c r="O928" s="24" t="n"/>
      <c r="P928" s="9" t="n"/>
      <c r="Q928" s="18">
        <f>IF($A928="","",IFERROR($D928/1000*INDEX(Profile!$K$5:$K$304,MATCH($B928,lst_Profil,0))*INDEX(Werkstoffe!$E$5:$E$304,MATCH($C928,lst_Werkstoff,0))/1000,""))</f>
        <v/>
      </c>
      <c r="R928" s="18">
        <f>IF($A928="","",IF(N(_xlfn.MAXIFS(Auftrag!$AP$13:$AP$512,Auftrag!$D$13:$D$512,$B928,Auftrag!$E$13:$E$512,$C928,Auftrag!$Q$13:$Q$512,$D928))&gt;0,_xlfn.MAXIFS(Auftrag!$AP$13:$AP$512,Auftrag!$D$13:$D$512,$B928,Auftrag!$E$13:$E$512,$C928,Auftrag!$Q$13:$Q$512,$D928)*$D928/1000,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9" t="n"/>
      <c r="E929" s="24" t="n"/>
      <c r="F929" s="24" t="n"/>
      <c r="G929" s="12">
        <f>IF($A929="","",COUNTIFS(Stangenbelegung!$A$5:$A$10004,$A929))</f>
        <v/>
      </c>
      <c r="H929" s="35">
        <f>IF($A929="","",SUMIFS(Stangenbelegung!$F$5:$F$10004,Stangenbelegung!$A$5:$A$10004,$A929))</f>
        <v/>
      </c>
      <c r="I929" s="23" t="n"/>
      <c r="J929" s="35">
        <f>IF($A929="","",$E929+H929+$I929)</f>
        <v/>
      </c>
      <c r="K929" s="35">
        <f>IF($A929="","",$D929-J929)</f>
        <v/>
      </c>
      <c r="L929" s="32">
        <f>IF($A929="","",H929/$D929)</f>
        <v/>
      </c>
      <c r="M929" s="28">
        <f>IF($A929="","",IF(OR(J929+$F929&gt;$D929+0.001,_xlfn.MAXIFS(Stangenbelegung!$H$5:$H$10004,Stangenbelegung!$A$5:$A$10004,$A929)&gt;$D929-$F929+0.001),"ÜBERBELEGT","OK"))</f>
        <v/>
      </c>
      <c r="N929" s="24" t="n"/>
      <c r="O929" s="24" t="n"/>
      <c r="P929" s="9" t="n"/>
      <c r="Q929" s="18">
        <f>IF($A929="","",IFERROR($D929/1000*INDEX(Profile!$K$5:$K$304,MATCH($B929,lst_Profil,0))*INDEX(Werkstoffe!$E$5:$E$304,MATCH($C929,lst_Werkstoff,0))/1000,""))</f>
        <v/>
      </c>
      <c r="R929" s="18">
        <f>IF($A929="","",IF(N(_xlfn.MAXIFS(Auftrag!$AP$13:$AP$512,Auftrag!$D$13:$D$512,$B929,Auftrag!$E$13:$E$512,$C929,Auftrag!$Q$13:$Q$512,$D929))&gt;0,_xlfn.MAXIFS(Auftrag!$AP$13:$AP$512,Auftrag!$D$13:$D$512,$B929,Auftrag!$E$13:$E$512,$C929,Auftrag!$Q$13:$Q$512,$D929)*$D929/1000,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9" t="n"/>
      <c r="E930" s="24" t="n"/>
      <c r="F930" s="24" t="n"/>
      <c r="G930" s="12">
        <f>IF($A930="","",COUNTIFS(Stangenbelegung!$A$5:$A$10004,$A930))</f>
        <v/>
      </c>
      <c r="H930" s="35">
        <f>IF($A930="","",SUMIFS(Stangenbelegung!$F$5:$F$10004,Stangenbelegung!$A$5:$A$10004,$A930))</f>
        <v/>
      </c>
      <c r="I930" s="23" t="n"/>
      <c r="J930" s="35">
        <f>IF($A930="","",$E930+H930+$I930)</f>
        <v/>
      </c>
      <c r="K930" s="35">
        <f>IF($A930="","",$D930-J930)</f>
        <v/>
      </c>
      <c r="L930" s="32">
        <f>IF($A930="","",H930/$D930)</f>
        <v/>
      </c>
      <c r="M930" s="28">
        <f>IF($A930="","",IF(OR(J930+$F930&gt;$D930+0.001,_xlfn.MAXIFS(Stangenbelegung!$H$5:$H$10004,Stangenbelegung!$A$5:$A$10004,$A930)&gt;$D930-$F930+0.001),"ÜBERBELEGT","OK"))</f>
        <v/>
      </c>
      <c r="N930" s="24" t="n"/>
      <c r="O930" s="24" t="n"/>
      <c r="P930" s="9" t="n"/>
      <c r="Q930" s="18">
        <f>IF($A930="","",IFERROR($D930/1000*INDEX(Profile!$K$5:$K$304,MATCH($B930,lst_Profil,0))*INDEX(Werkstoffe!$E$5:$E$304,MATCH($C930,lst_Werkstoff,0))/1000,""))</f>
        <v/>
      </c>
      <c r="R930" s="18">
        <f>IF($A930="","",IF(N(_xlfn.MAXIFS(Auftrag!$AP$13:$AP$512,Auftrag!$D$13:$D$512,$B930,Auftrag!$E$13:$E$512,$C930,Auftrag!$Q$13:$Q$512,$D930))&gt;0,_xlfn.MAXIFS(Auftrag!$AP$13:$AP$512,Auftrag!$D$13:$D$512,$B930,Auftrag!$E$13:$E$512,$C930,Auftrag!$Q$13:$Q$512,$D930)*$D930/1000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9" t="n"/>
      <c r="E931" s="24" t="n"/>
      <c r="F931" s="24" t="n"/>
      <c r="G931" s="12">
        <f>IF($A931="","",COUNTIFS(Stangenbelegung!$A$5:$A$10004,$A931))</f>
        <v/>
      </c>
      <c r="H931" s="35">
        <f>IF($A931="","",SUMIFS(Stangenbelegung!$F$5:$F$10004,Stangenbelegung!$A$5:$A$10004,$A931))</f>
        <v/>
      </c>
      <c r="I931" s="23" t="n"/>
      <c r="J931" s="35">
        <f>IF($A931="","",$E931+H931+$I931)</f>
        <v/>
      </c>
      <c r="K931" s="35">
        <f>IF($A931="","",$D931-J931)</f>
        <v/>
      </c>
      <c r="L931" s="32">
        <f>IF($A931="","",H931/$D931)</f>
        <v/>
      </c>
      <c r="M931" s="28">
        <f>IF($A931="","",IF(OR(J931+$F931&gt;$D931+0.001,_xlfn.MAXIFS(Stangenbelegung!$H$5:$H$10004,Stangenbelegung!$A$5:$A$10004,$A931)&gt;$D931-$F931+0.001),"ÜBERBELEGT","OK"))</f>
        <v/>
      </c>
      <c r="N931" s="24" t="n"/>
      <c r="O931" s="24" t="n"/>
      <c r="P931" s="9" t="n"/>
      <c r="Q931" s="18">
        <f>IF($A931="","",IFERROR($D931/1000*INDEX(Profile!$K$5:$K$304,MATCH($B931,lst_Profil,0))*INDEX(Werkstoffe!$E$5:$E$304,MATCH($C931,lst_Werkstoff,0))/1000,""))</f>
        <v/>
      </c>
      <c r="R931" s="18">
        <f>IF($A931="","",IF(N(_xlfn.MAXIFS(Auftrag!$AP$13:$AP$512,Auftrag!$D$13:$D$512,$B931,Auftrag!$E$13:$E$512,$C931,Auftrag!$Q$13:$Q$512,$D931))&gt;0,_xlfn.MAXIFS(Auftrag!$AP$13:$AP$512,Auftrag!$D$13:$D$512,$B931,Auftrag!$E$13:$E$512,$C931,Auftrag!$Q$13:$Q$512,$D931)*$D931/1000,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9" t="n"/>
      <c r="E932" s="24" t="n"/>
      <c r="F932" s="24" t="n"/>
      <c r="G932" s="12">
        <f>IF($A932="","",COUNTIFS(Stangenbelegung!$A$5:$A$10004,$A932))</f>
        <v/>
      </c>
      <c r="H932" s="35">
        <f>IF($A932="","",SUMIFS(Stangenbelegung!$F$5:$F$10004,Stangenbelegung!$A$5:$A$10004,$A932))</f>
        <v/>
      </c>
      <c r="I932" s="23" t="n"/>
      <c r="J932" s="35">
        <f>IF($A932="","",$E932+H932+$I932)</f>
        <v/>
      </c>
      <c r="K932" s="35">
        <f>IF($A932="","",$D932-J932)</f>
        <v/>
      </c>
      <c r="L932" s="32">
        <f>IF($A932="","",H932/$D932)</f>
        <v/>
      </c>
      <c r="M932" s="28">
        <f>IF($A932="","",IF(OR(J932+$F932&gt;$D932+0.001,_xlfn.MAXIFS(Stangenbelegung!$H$5:$H$10004,Stangenbelegung!$A$5:$A$10004,$A932)&gt;$D932-$F932+0.001),"ÜBERBELEGT","OK"))</f>
        <v/>
      </c>
      <c r="N932" s="24" t="n"/>
      <c r="O932" s="24" t="n"/>
      <c r="P932" s="9" t="n"/>
      <c r="Q932" s="18">
        <f>IF($A932="","",IFERROR($D932/1000*INDEX(Profile!$K$5:$K$304,MATCH($B932,lst_Profil,0))*INDEX(Werkstoffe!$E$5:$E$304,MATCH($C932,lst_Werkstoff,0))/1000,""))</f>
        <v/>
      </c>
      <c r="R932" s="18">
        <f>IF($A932="","",IF(N(_xlfn.MAXIFS(Auftrag!$AP$13:$AP$512,Auftrag!$D$13:$D$512,$B932,Auftrag!$E$13:$E$512,$C932,Auftrag!$Q$13:$Q$512,$D932))&gt;0,_xlfn.MAXIFS(Auftrag!$AP$13:$AP$512,Auftrag!$D$13:$D$512,$B932,Auftrag!$E$13:$E$512,$C932,Auftrag!$Q$13:$Q$512,$D932)*$D932/1000,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9" t="n"/>
      <c r="E933" s="24" t="n"/>
      <c r="F933" s="24" t="n"/>
      <c r="G933" s="12">
        <f>IF($A933="","",COUNTIFS(Stangenbelegung!$A$5:$A$10004,$A933))</f>
        <v/>
      </c>
      <c r="H933" s="35">
        <f>IF($A933="","",SUMIFS(Stangenbelegung!$F$5:$F$10004,Stangenbelegung!$A$5:$A$10004,$A933))</f>
        <v/>
      </c>
      <c r="I933" s="23" t="n"/>
      <c r="J933" s="35">
        <f>IF($A933="","",$E933+H933+$I933)</f>
        <v/>
      </c>
      <c r="K933" s="35">
        <f>IF($A933="","",$D933-J933)</f>
        <v/>
      </c>
      <c r="L933" s="32">
        <f>IF($A933="","",H933/$D933)</f>
        <v/>
      </c>
      <c r="M933" s="28">
        <f>IF($A933="","",IF(OR(J933+$F933&gt;$D933+0.001,_xlfn.MAXIFS(Stangenbelegung!$H$5:$H$10004,Stangenbelegung!$A$5:$A$10004,$A933)&gt;$D933-$F933+0.001),"ÜBERBELEGT","OK"))</f>
        <v/>
      </c>
      <c r="N933" s="24" t="n"/>
      <c r="O933" s="24" t="n"/>
      <c r="P933" s="9" t="n"/>
      <c r="Q933" s="18">
        <f>IF($A933="","",IFERROR($D933/1000*INDEX(Profile!$K$5:$K$304,MATCH($B933,lst_Profil,0))*INDEX(Werkstoffe!$E$5:$E$304,MATCH($C933,lst_Werkstoff,0))/1000,""))</f>
        <v/>
      </c>
      <c r="R933" s="18">
        <f>IF($A933="","",IF(N(_xlfn.MAXIFS(Auftrag!$AP$13:$AP$512,Auftrag!$D$13:$D$512,$B933,Auftrag!$E$13:$E$512,$C933,Auftrag!$Q$13:$Q$512,$D933))&gt;0,_xlfn.MAXIFS(Auftrag!$AP$13:$AP$512,Auftrag!$D$13:$D$512,$B933,Auftrag!$E$13:$E$512,$C933,Auftrag!$Q$13:$Q$512,$D933)*$D933/1000,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9" t="n"/>
      <c r="E934" s="24" t="n"/>
      <c r="F934" s="24" t="n"/>
      <c r="G934" s="12">
        <f>IF($A934="","",COUNTIFS(Stangenbelegung!$A$5:$A$10004,$A934))</f>
        <v/>
      </c>
      <c r="H934" s="35">
        <f>IF($A934="","",SUMIFS(Stangenbelegung!$F$5:$F$10004,Stangenbelegung!$A$5:$A$10004,$A934))</f>
        <v/>
      </c>
      <c r="I934" s="23" t="n"/>
      <c r="J934" s="35">
        <f>IF($A934="","",$E934+H934+$I934)</f>
        <v/>
      </c>
      <c r="K934" s="35">
        <f>IF($A934="","",$D934-J934)</f>
        <v/>
      </c>
      <c r="L934" s="32">
        <f>IF($A934="","",H934/$D934)</f>
        <v/>
      </c>
      <c r="M934" s="28">
        <f>IF($A934="","",IF(OR(J934+$F934&gt;$D934+0.001,_xlfn.MAXIFS(Stangenbelegung!$H$5:$H$10004,Stangenbelegung!$A$5:$A$10004,$A934)&gt;$D934-$F934+0.001),"ÜBERBELEGT","OK"))</f>
        <v/>
      </c>
      <c r="N934" s="24" t="n"/>
      <c r="O934" s="24" t="n"/>
      <c r="P934" s="9" t="n"/>
      <c r="Q934" s="18">
        <f>IF($A934="","",IFERROR($D934/1000*INDEX(Profile!$K$5:$K$304,MATCH($B934,lst_Profil,0))*INDEX(Werkstoffe!$E$5:$E$304,MATCH($C934,lst_Werkstoff,0))/1000,""))</f>
        <v/>
      </c>
      <c r="R934" s="18">
        <f>IF($A934="","",IF(N(_xlfn.MAXIFS(Auftrag!$AP$13:$AP$512,Auftrag!$D$13:$D$512,$B934,Auftrag!$E$13:$E$512,$C934,Auftrag!$Q$13:$Q$512,$D934))&gt;0,_xlfn.MAXIFS(Auftrag!$AP$13:$AP$512,Auftrag!$D$13:$D$512,$B934,Auftrag!$E$13:$E$512,$C934,Auftrag!$Q$13:$Q$512,$D934)*$D934/1000,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9" t="n"/>
      <c r="E935" s="24" t="n"/>
      <c r="F935" s="24" t="n"/>
      <c r="G935" s="12">
        <f>IF($A935="","",COUNTIFS(Stangenbelegung!$A$5:$A$10004,$A935))</f>
        <v/>
      </c>
      <c r="H935" s="35">
        <f>IF($A935="","",SUMIFS(Stangenbelegung!$F$5:$F$10004,Stangenbelegung!$A$5:$A$10004,$A935))</f>
        <v/>
      </c>
      <c r="I935" s="23" t="n"/>
      <c r="J935" s="35">
        <f>IF($A935="","",$E935+H935+$I935)</f>
        <v/>
      </c>
      <c r="K935" s="35">
        <f>IF($A935="","",$D935-J935)</f>
        <v/>
      </c>
      <c r="L935" s="32">
        <f>IF($A935="","",H935/$D935)</f>
        <v/>
      </c>
      <c r="M935" s="28">
        <f>IF($A935="","",IF(OR(J935+$F935&gt;$D935+0.001,_xlfn.MAXIFS(Stangenbelegung!$H$5:$H$10004,Stangenbelegung!$A$5:$A$10004,$A935)&gt;$D935-$F935+0.001),"ÜBERBELEGT","OK"))</f>
        <v/>
      </c>
      <c r="N935" s="24" t="n"/>
      <c r="O935" s="24" t="n"/>
      <c r="P935" s="9" t="n"/>
      <c r="Q935" s="18">
        <f>IF($A935="","",IFERROR($D935/1000*INDEX(Profile!$K$5:$K$304,MATCH($B935,lst_Profil,0))*INDEX(Werkstoffe!$E$5:$E$304,MATCH($C935,lst_Werkstoff,0))/1000,""))</f>
        <v/>
      </c>
      <c r="R935" s="18">
        <f>IF($A935="","",IF(N(_xlfn.MAXIFS(Auftrag!$AP$13:$AP$512,Auftrag!$D$13:$D$512,$B935,Auftrag!$E$13:$E$512,$C935,Auftrag!$Q$13:$Q$512,$D935))&gt;0,_xlfn.MAXIFS(Auftrag!$AP$13:$AP$512,Auftrag!$D$13:$D$512,$B935,Auftrag!$E$13:$E$512,$C935,Auftrag!$Q$13:$Q$512,$D935)*$D935/1000,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9" t="n"/>
      <c r="E936" s="24" t="n"/>
      <c r="F936" s="24" t="n"/>
      <c r="G936" s="12">
        <f>IF($A936="","",COUNTIFS(Stangenbelegung!$A$5:$A$10004,$A936))</f>
        <v/>
      </c>
      <c r="H936" s="35">
        <f>IF($A936="","",SUMIFS(Stangenbelegung!$F$5:$F$10004,Stangenbelegung!$A$5:$A$10004,$A936))</f>
        <v/>
      </c>
      <c r="I936" s="23" t="n"/>
      <c r="J936" s="35">
        <f>IF($A936="","",$E936+H936+$I936)</f>
        <v/>
      </c>
      <c r="K936" s="35">
        <f>IF($A936="","",$D936-J936)</f>
        <v/>
      </c>
      <c r="L936" s="32">
        <f>IF($A936="","",H936/$D936)</f>
        <v/>
      </c>
      <c r="M936" s="28">
        <f>IF($A936="","",IF(OR(J936+$F936&gt;$D936+0.001,_xlfn.MAXIFS(Stangenbelegung!$H$5:$H$10004,Stangenbelegung!$A$5:$A$10004,$A936)&gt;$D936-$F936+0.001),"ÜBERBELEGT","OK"))</f>
        <v/>
      </c>
      <c r="N936" s="24" t="n"/>
      <c r="O936" s="24" t="n"/>
      <c r="P936" s="9" t="n"/>
      <c r="Q936" s="18">
        <f>IF($A936="","",IFERROR($D936/1000*INDEX(Profile!$K$5:$K$304,MATCH($B936,lst_Profil,0))*INDEX(Werkstoffe!$E$5:$E$304,MATCH($C936,lst_Werkstoff,0))/1000,""))</f>
        <v/>
      </c>
      <c r="R936" s="18">
        <f>IF($A936="","",IF(N(_xlfn.MAXIFS(Auftrag!$AP$13:$AP$512,Auftrag!$D$13:$D$512,$B936,Auftrag!$E$13:$E$512,$C936,Auftrag!$Q$13:$Q$512,$D936))&gt;0,_xlfn.MAXIFS(Auftrag!$AP$13:$AP$512,Auftrag!$D$13:$D$512,$B936,Auftrag!$E$13:$E$512,$C936,Auftrag!$Q$13:$Q$512,$D936)*$D936/1000,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9" t="n"/>
      <c r="E937" s="24" t="n"/>
      <c r="F937" s="24" t="n"/>
      <c r="G937" s="12">
        <f>IF($A937="","",COUNTIFS(Stangenbelegung!$A$5:$A$10004,$A937))</f>
        <v/>
      </c>
      <c r="H937" s="35">
        <f>IF($A937="","",SUMIFS(Stangenbelegung!$F$5:$F$10004,Stangenbelegung!$A$5:$A$10004,$A937))</f>
        <v/>
      </c>
      <c r="I937" s="23" t="n"/>
      <c r="J937" s="35">
        <f>IF($A937="","",$E937+H937+$I937)</f>
        <v/>
      </c>
      <c r="K937" s="35">
        <f>IF($A937="","",$D937-J937)</f>
        <v/>
      </c>
      <c r="L937" s="32">
        <f>IF($A937="","",H937/$D937)</f>
        <v/>
      </c>
      <c r="M937" s="28">
        <f>IF($A937="","",IF(OR(J937+$F937&gt;$D937+0.001,_xlfn.MAXIFS(Stangenbelegung!$H$5:$H$10004,Stangenbelegung!$A$5:$A$10004,$A937)&gt;$D937-$F937+0.001),"ÜBERBELEGT","OK"))</f>
        <v/>
      </c>
      <c r="N937" s="24" t="n"/>
      <c r="O937" s="24" t="n"/>
      <c r="P937" s="9" t="n"/>
      <c r="Q937" s="18">
        <f>IF($A937="","",IFERROR($D937/1000*INDEX(Profile!$K$5:$K$304,MATCH($B937,lst_Profil,0))*INDEX(Werkstoffe!$E$5:$E$304,MATCH($C937,lst_Werkstoff,0))/1000,""))</f>
        <v/>
      </c>
      <c r="R937" s="18">
        <f>IF($A937="","",IF(N(_xlfn.MAXIFS(Auftrag!$AP$13:$AP$512,Auftrag!$D$13:$D$512,$B937,Auftrag!$E$13:$E$512,$C937,Auftrag!$Q$13:$Q$512,$D937))&gt;0,_xlfn.MAXIFS(Auftrag!$AP$13:$AP$512,Auftrag!$D$13:$D$512,$B937,Auftrag!$E$13:$E$512,$C937,Auftrag!$Q$13:$Q$512,$D937)*$D937/1000,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9" t="n"/>
      <c r="E938" s="24" t="n"/>
      <c r="F938" s="24" t="n"/>
      <c r="G938" s="12">
        <f>IF($A938="","",COUNTIFS(Stangenbelegung!$A$5:$A$10004,$A938))</f>
        <v/>
      </c>
      <c r="H938" s="35">
        <f>IF($A938="","",SUMIFS(Stangenbelegung!$F$5:$F$10004,Stangenbelegung!$A$5:$A$10004,$A938))</f>
        <v/>
      </c>
      <c r="I938" s="23" t="n"/>
      <c r="J938" s="35">
        <f>IF($A938="","",$E938+H938+$I938)</f>
        <v/>
      </c>
      <c r="K938" s="35">
        <f>IF($A938="","",$D938-J938)</f>
        <v/>
      </c>
      <c r="L938" s="32">
        <f>IF($A938="","",H938/$D938)</f>
        <v/>
      </c>
      <c r="M938" s="28">
        <f>IF($A938="","",IF(OR(J938+$F938&gt;$D938+0.001,_xlfn.MAXIFS(Stangenbelegung!$H$5:$H$10004,Stangenbelegung!$A$5:$A$10004,$A938)&gt;$D938-$F938+0.001),"ÜBERBELEGT","OK"))</f>
        <v/>
      </c>
      <c r="N938" s="24" t="n"/>
      <c r="O938" s="24" t="n"/>
      <c r="P938" s="9" t="n"/>
      <c r="Q938" s="18">
        <f>IF($A938="","",IFERROR($D938/1000*INDEX(Profile!$K$5:$K$304,MATCH($B938,lst_Profil,0))*INDEX(Werkstoffe!$E$5:$E$304,MATCH($C938,lst_Werkstoff,0))/1000,""))</f>
        <v/>
      </c>
      <c r="R938" s="18">
        <f>IF($A938="","",IF(N(_xlfn.MAXIFS(Auftrag!$AP$13:$AP$512,Auftrag!$D$13:$D$512,$B938,Auftrag!$E$13:$E$512,$C938,Auftrag!$Q$13:$Q$512,$D938))&gt;0,_xlfn.MAXIFS(Auftrag!$AP$13:$AP$512,Auftrag!$D$13:$D$512,$B938,Auftrag!$E$13:$E$512,$C938,Auftrag!$Q$13:$Q$512,$D938)*$D938/1000,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9" t="n"/>
      <c r="E939" s="24" t="n"/>
      <c r="F939" s="24" t="n"/>
      <c r="G939" s="12">
        <f>IF($A939="","",COUNTIFS(Stangenbelegung!$A$5:$A$10004,$A939))</f>
        <v/>
      </c>
      <c r="H939" s="35">
        <f>IF($A939="","",SUMIFS(Stangenbelegung!$F$5:$F$10004,Stangenbelegung!$A$5:$A$10004,$A939))</f>
        <v/>
      </c>
      <c r="I939" s="23" t="n"/>
      <c r="J939" s="35">
        <f>IF($A939="","",$E939+H939+$I939)</f>
        <v/>
      </c>
      <c r="K939" s="35">
        <f>IF($A939="","",$D939-J939)</f>
        <v/>
      </c>
      <c r="L939" s="32">
        <f>IF($A939="","",H939/$D939)</f>
        <v/>
      </c>
      <c r="M939" s="28">
        <f>IF($A939="","",IF(OR(J939+$F939&gt;$D939+0.001,_xlfn.MAXIFS(Stangenbelegung!$H$5:$H$10004,Stangenbelegung!$A$5:$A$10004,$A939)&gt;$D939-$F939+0.001),"ÜBERBELEGT","OK"))</f>
        <v/>
      </c>
      <c r="N939" s="24" t="n"/>
      <c r="O939" s="24" t="n"/>
      <c r="P939" s="9" t="n"/>
      <c r="Q939" s="18">
        <f>IF($A939="","",IFERROR($D939/1000*INDEX(Profile!$K$5:$K$304,MATCH($B939,lst_Profil,0))*INDEX(Werkstoffe!$E$5:$E$304,MATCH($C939,lst_Werkstoff,0))/1000,""))</f>
        <v/>
      </c>
      <c r="R939" s="18">
        <f>IF($A939="","",IF(N(_xlfn.MAXIFS(Auftrag!$AP$13:$AP$512,Auftrag!$D$13:$D$512,$B939,Auftrag!$E$13:$E$512,$C939,Auftrag!$Q$13:$Q$512,$D939))&gt;0,_xlfn.MAXIFS(Auftrag!$AP$13:$AP$512,Auftrag!$D$13:$D$512,$B939,Auftrag!$E$13:$E$512,$C939,Auftrag!$Q$13:$Q$512,$D939)*$D939/1000,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9" t="n"/>
      <c r="E940" s="24" t="n"/>
      <c r="F940" s="24" t="n"/>
      <c r="G940" s="12">
        <f>IF($A940="","",COUNTIFS(Stangenbelegung!$A$5:$A$10004,$A940))</f>
        <v/>
      </c>
      <c r="H940" s="35">
        <f>IF($A940="","",SUMIFS(Stangenbelegung!$F$5:$F$10004,Stangenbelegung!$A$5:$A$10004,$A940))</f>
        <v/>
      </c>
      <c r="I940" s="23" t="n"/>
      <c r="J940" s="35">
        <f>IF($A940="","",$E940+H940+$I940)</f>
        <v/>
      </c>
      <c r="K940" s="35">
        <f>IF($A940="","",$D940-J940)</f>
        <v/>
      </c>
      <c r="L940" s="32">
        <f>IF($A940="","",H940/$D940)</f>
        <v/>
      </c>
      <c r="M940" s="28">
        <f>IF($A940="","",IF(OR(J940+$F940&gt;$D940+0.001,_xlfn.MAXIFS(Stangenbelegung!$H$5:$H$10004,Stangenbelegung!$A$5:$A$10004,$A940)&gt;$D940-$F940+0.001),"ÜBERBELEGT","OK"))</f>
        <v/>
      </c>
      <c r="N940" s="24" t="n"/>
      <c r="O940" s="24" t="n"/>
      <c r="P940" s="9" t="n"/>
      <c r="Q940" s="18">
        <f>IF($A940="","",IFERROR($D940/1000*INDEX(Profile!$K$5:$K$304,MATCH($B940,lst_Profil,0))*INDEX(Werkstoffe!$E$5:$E$304,MATCH($C940,lst_Werkstoff,0))/1000,""))</f>
        <v/>
      </c>
      <c r="R940" s="18">
        <f>IF($A940="","",IF(N(_xlfn.MAXIFS(Auftrag!$AP$13:$AP$512,Auftrag!$D$13:$D$512,$B940,Auftrag!$E$13:$E$512,$C940,Auftrag!$Q$13:$Q$512,$D940))&gt;0,_xlfn.MAXIFS(Auftrag!$AP$13:$AP$512,Auftrag!$D$13:$D$512,$B940,Auftrag!$E$13:$E$512,$C940,Auftrag!$Q$13:$Q$512,$D940)*$D940/1000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9" t="n"/>
      <c r="E941" s="24" t="n"/>
      <c r="F941" s="24" t="n"/>
      <c r="G941" s="12">
        <f>IF($A941="","",COUNTIFS(Stangenbelegung!$A$5:$A$10004,$A941))</f>
        <v/>
      </c>
      <c r="H941" s="35">
        <f>IF($A941="","",SUMIFS(Stangenbelegung!$F$5:$F$10004,Stangenbelegung!$A$5:$A$10004,$A941))</f>
        <v/>
      </c>
      <c r="I941" s="23" t="n"/>
      <c r="J941" s="35">
        <f>IF($A941="","",$E941+H941+$I941)</f>
        <v/>
      </c>
      <c r="K941" s="35">
        <f>IF($A941="","",$D941-J941)</f>
        <v/>
      </c>
      <c r="L941" s="32">
        <f>IF($A941="","",H941/$D941)</f>
        <v/>
      </c>
      <c r="M941" s="28">
        <f>IF($A941="","",IF(OR(J941+$F941&gt;$D941+0.001,_xlfn.MAXIFS(Stangenbelegung!$H$5:$H$10004,Stangenbelegung!$A$5:$A$10004,$A941)&gt;$D941-$F941+0.001),"ÜBERBELEGT","OK"))</f>
        <v/>
      </c>
      <c r="N941" s="24" t="n"/>
      <c r="O941" s="24" t="n"/>
      <c r="P941" s="9" t="n"/>
      <c r="Q941" s="18">
        <f>IF($A941="","",IFERROR($D941/1000*INDEX(Profile!$K$5:$K$304,MATCH($B941,lst_Profil,0))*INDEX(Werkstoffe!$E$5:$E$304,MATCH($C941,lst_Werkstoff,0))/1000,""))</f>
        <v/>
      </c>
      <c r="R941" s="18">
        <f>IF($A941="","",IF(N(_xlfn.MAXIFS(Auftrag!$AP$13:$AP$512,Auftrag!$D$13:$D$512,$B941,Auftrag!$E$13:$E$512,$C941,Auftrag!$Q$13:$Q$512,$D941))&gt;0,_xlfn.MAXIFS(Auftrag!$AP$13:$AP$512,Auftrag!$D$13:$D$512,$B941,Auftrag!$E$13:$E$512,$C941,Auftrag!$Q$13:$Q$512,$D941)*$D941/1000,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9" t="n"/>
      <c r="E942" s="24" t="n"/>
      <c r="F942" s="24" t="n"/>
      <c r="G942" s="12">
        <f>IF($A942="","",COUNTIFS(Stangenbelegung!$A$5:$A$10004,$A942))</f>
        <v/>
      </c>
      <c r="H942" s="35">
        <f>IF($A942="","",SUMIFS(Stangenbelegung!$F$5:$F$10004,Stangenbelegung!$A$5:$A$10004,$A942))</f>
        <v/>
      </c>
      <c r="I942" s="23" t="n"/>
      <c r="J942" s="35">
        <f>IF($A942="","",$E942+H942+$I942)</f>
        <v/>
      </c>
      <c r="K942" s="35">
        <f>IF($A942="","",$D942-J942)</f>
        <v/>
      </c>
      <c r="L942" s="32">
        <f>IF($A942="","",H942/$D942)</f>
        <v/>
      </c>
      <c r="M942" s="28">
        <f>IF($A942="","",IF(OR(J942+$F942&gt;$D942+0.001,_xlfn.MAXIFS(Stangenbelegung!$H$5:$H$10004,Stangenbelegung!$A$5:$A$10004,$A942)&gt;$D942-$F942+0.001),"ÜBERBELEGT","OK"))</f>
        <v/>
      </c>
      <c r="N942" s="24" t="n"/>
      <c r="O942" s="24" t="n"/>
      <c r="P942" s="9" t="n"/>
      <c r="Q942" s="18">
        <f>IF($A942="","",IFERROR($D942/1000*INDEX(Profile!$K$5:$K$304,MATCH($B942,lst_Profil,0))*INDEX(Werkstoffe!$E$5:$E$304,MATCH($C942,lst_Werkstoff,0))/1000,""))</f>
        <v/>
      </c>
      <c r="R942" s="18">
        <f>IF($A942="","",IF(N(_xlfn.MAXIFS(Auftrag!$AP$13:$AP$512,Auftrag!$D$13:$D$512,$B942,Auftrag!$E$13:$E$512,$C942,Auftrag!$Q$13:$Q$512,$D942))&gt;0,_xlfn.MAXIFS(Auftrag!$AP$13:$AP$512,Auftrag!$D$13:$D$512,$B942,Auftrag!$E$13:$E$512,$C942,Auftrag!$Q$13:$Q$512,$D942)*$D942/1000,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9" t="n"/>
      <c r="E943" s="24" t="n"/>
      <c r="F943" s="24" t="n"/>
      <c r="G943" s="12">
        <f>IF($A943="","",COUNTIFS(Stangenbelegung!$A$5:$A$10004,$A943))</f>
        <v/>
      </c>
      <c r="H943" s="35">
        <f>IF($A943="","",SUMIFS(Stangenbelegung!$F$5:$F$10004,Stangenbelegung!$A$5:$A$10004,$A943))</f>
        <v/>
      </c>
      <c r="I943" s="23" t="n"/>
      <c r="J943" s="35">
        <f>IF($A943="","",$E943+H943+$I943)</f>
        <v/>
      </c>
      <c r="K943" s="35">
        <f>IF($A943="","",$D943-J943)</f>
        <v/>
      </c>
      <c r="L943" s="32">
        <f>IF($A943="","",H943/$D943)</f>
        <v/>
      </c>
      <c r="M943" s="28">
        <f>IF($A943="","",IF(OR(J943+$F943&gt;$D943+0.001,_xlfn.MAXIFS(Stangenbelegung!$H$5:$H$10004,Stangenbelegung!$A$5:$A$10004,$A943)&gt;$D943-$F943+0.001),"ÜBERBELEGT","OK"))</f>
        <v/>
      </c>
      <c r="N943" s="24" t="n"/>
      <c r="O943" s="24" t="n"/>
      <c r="P943" s="9" t="n"/>
      <c r="Q943" s="18">
        <f>IF($A943="","",IFERROR($D943/1000*INDEX(Profile!$K$5:$K$304,MATCH($B943,lst_Profil,0))*INDEX(Werkstoffe!$E$5:$E$304,MATCH($C943,lst_Werkstoff,0))/1000,""))</f>
        <v/>
      </c>
      <c r="R943" s="18">
        <f>IF($A943="","",IF(N(_xlfn.MAXIFS(Auftrag!$AP$13:$AP$512,Auftrag!$D$13:$D$512,$B943,Auftrag!$E$13:$E$512,$C943,Auftrag!$Q$13:$Q$512,$D943))&gt;0,_xlfn.MAXIFS(Auftrag!$AP$13:$AP$512,Auftrag!$D$13:$D$512,$B943,Auftrag!$E$13:$E$512,$C943,Auftrag!$Q$13:$Q$512,$D943)*$D943/1000,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9" t="n"/>
      <c r="E944" s="24" t="n"/>
      <c r="F944" s="24" t="n"/>
      <c r="G944" s="12">
        <f>IF($A944="","",COUNTIFS(Stangenbelegung!$A$5:$A$10004,$A944))</f>
        <v/>
      </c>
      <c r="H944" s="35">
        <f>IF($A944="","",SUMIFS(Stangenbelegung!$F$5:$F$10004,Stangenbelegung!$A$5:$A$10004,$A944))</f>
        <v/>
      </c>
      <c r="I944" s="23" t="n"/>
      <c r="J944" s="35">
        <f>IF($A944="","",$E944+H944+$I944)</f>
        <v/>
      </c>
      <c r="K944" s="35">
        <f>IF($A944="","",$D944-J944)</f>
        <v/>
      </c>
      <c r="L944" s="32">
        <f>IF($A944="","",H944/$D944)</f>
        <v/>
      </c>
      <c r="M944" s="28">
        <f>IF($A944="","",IF(OR(J944+$F944&gt;$D944+0.001,_xlfn.MAXIFS(Stangenbelegung!$H$5:$H$10004,Stangenbelegung!$A$5:$A$10004,$A944)&gt;$D944-$F944+0.001),"ÜBERBELEGT","OK"))</f>
        <v/>
      </c>
      <c r="N944" s="24" t="n"/>
      <c r="O944" s="24" t="n"/>
      <c r="P944" s="9" t="n"/>
      <c r="Q944" s="18">
        <f>IF($A944="","",IFERROR($D944/1000*INDEX(Profile!$K$5:$K$304,MATCH($B944,lst_Profil,0))*INDEX(Werkstoffe!$E$5:$E$304,MATCH($C944,lst_Werkstoff,0))/1000,""))</f>
        <v/>
      </c>
      <c r="R944" s="18">
        <f>IF($A944="","",IF(N(_xlfn.MAXIFS(Auftrag!$AP$13:$AP$512,Auftrag!$D$13:$D$512,$B944,Auftrag!$E$13:$E$512,$C944,Auftrag!$Q$13:$Q$512,$D944))&gt;0,_xlfn.MAXIFS(Auftrag!$AP$13:$AP$512,Auftrag!$D$13:$D$512,$B944,Auftrag!$E$13:$E$512,$C944,Auftrag!$Q$13:$Q$512,$D944)*$D944/1000,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9" t="n"/>
      <c r="E945" s="24" t="n"/>
      <c r="F945" s="24" t="n"/>
      <c r="G945" s="12">
        <f>IF($A945="","",COUNTIFS(Stangenbelegung!$A$5:$A$10004,$A945))</f>
        <v/>
      </c>
      <c r="H945" s="35">
        <f>IF($A945="","",SUMIFS(Stangenbelegung!$F$5:$F$10004,Stangenbelegung!$A$5:$A$10004,$A945))</f>
        <v/>
      </c>
      <c r="I945" s="23" t="n"/>
      <c r="J945" s="35">
        <f>IF($A945="","",$E945+H945+$I945)</f>
        <v/>
      </c>
      <c r="K945" s="35">
        <f>IF($A945="","",$D945-J945)</f>
        <v/>
      </c>
      <c r="L945" s="32">
        <f>IF($A945="","",H945/$D945)</f>
        <v/>
      </c>
      <c r="M945" s="28">
        <f>IF($A945="","",IF(OR(J945+$F945&gt;$D945+0.001,_xlfn.MAXIFS(Stangenbelegung!$H$5:$H$10004,Stangenbelegung!$A$5:$A$10004,$A945)&gt;$D945-$F945+0.001),"ÜBERBELEGT","OK"))</f>
        <v/>
      </c>
      <c r="N945" s="24" t="n"/>
      <c r="O945" s="24" t="n"/>
      <c r="P945" s="9" t="n"/>
      <c r="Q945" s="18">
        <f>IF($A945="","",IFERROR($D945/1000*INDEX(Profile!$K$5:$K$304,MATCH($B945,lst_Profil,0))*INDEX(Werkstoffe!$E$5:$E$304,MATCH($C945,lst_Werkstoff,0))/1000,""))</f>
        <v/>
      </c>
      <c r="R945" s="18">
        <f>IF($A945="","",IF(N(_xlfn.MAXIFS(Auftrag!$AP$13:$AP$512,Auftrag!$D$13:$D$512,$B945,Auftrag!$E$13:$E$512,$C945,Auftrag!$Q$13:$Q$512,$D945))&gt;0,_xlfn.MAXIFS(Auftrag!$AP$13:$AP$512,Auftrag!$D$13:$D$512,$B945,Auftrag!$E$13:$E$512,$C945,Auftrag!$Q$13:$Q$512,$D945)*$D945/1000,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9" t="n"/>
      <c r="E946" s="24" t="n"/>
      <c r="F946" s="24" t="n"/>
      <c r="G946" s="12">
        <f>IF($A946="","",COUNTIFS(Stangenbelegung!$A$5:$A$10004,$A946))</f>
        <v/>
      </c>
      <c r="H946" s="35">
        <f>IF($A946="","",SUMIFS(Stangenbelegung!$F$5:$F$10004,Stangenbelegung!$A$5:$A$10004,$A946))</f>
        <v/>
      </c>
      <c r="I946" s="23" t="n"/>
      <c r="J946" s="35">
        <f>IF($A946="","",$E946+H946+$I946)</f>
        <v/>
      </c>
      <c r="K946" s="35">
        <f>IF($A946="","",$D946-J946)</f>
        <v/>
      </c>
      <c r="L946" s="32">
        <f>IF($A946="","",H946/$D946)</f>
        <v/>
      </c>
      <c r="M946" s="28">
        <f>IF($A946="","",IF(OR(J946+$F946&gt;$D946+0.001,_xlfn.MAXIFS(Stangenbelegung!$H$5:$H$10004,Stangenbelegung!$A$5:$A$10004,$A946)&gt;$D946-$F946+0.001),"ÜBERBELEGT","OK"))</f>
        <v/>
      </c>
      <c r="N946" s="24" t="n"/>
      <c r="O946" s="24" t="n"/>
      <c r="P946" s="9" t="n"/>
      <c r="Q946" s="18">
        <f>IF($A946="","",IFERROR($D946/1000*INDEX(Profile!$K$5:$K$304,MATCH($B946,lst_Profil,0))*INDEX(Werkstoffe!$E$5:$E$304,MATCH($C946,lst_Werkstoff,0))/1000,""))</f>
        <v/>
      </c>
      <c r="R946" s="18">
        <f>IF($A946="","",IF(N(_xlfn.MAXIFS(Auftrag!$AP$13:$AP$512,Auftrag!$D$13:$D$512,$B946,Auftrag!$E$13:$E$512,$C946,Auftrag!$Q$13:$Q$512,$D946))&gt;0,_xlfn.MAXIFS(Auftrag!$AP$13:$AP$512,Auftrag!$D$13:$D$512,$B946,Auftrag!$E$13:$E$512,$C946,Auftrag!$Q$13:$Q$512,$D946)*$D946/1000,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9" t="n"/>
      <c r="E947" s="24" t="n"/>
      <c r="F947" s="24" t="n"/>
      <c r="G947" s="12">
        <f>IF($A947="","",COUNTIFS(Stangenbelegung!$A$5:$A$10004,$A947))</f>
        <v/>
      </c>
      <c r="H947" s="35">
        <f>IF($A947="","",SUMIFS(Stangenbelegung!$F$5:$F$10004,Stangenbelegung!$A$5:$A$10004,$A947))</f>
        <v/>
      </c>
      <c r="I947" s="23" t="n"/>
      <c r="J947" s="35">
        <f>IF($A947="","",$E947+H947+$I947)</f>
        <v/>
      </c>
      <c r="K947" s="35">
        <f>IF($A947="","",$D947-J947)</f>
        <v/>
      </c>
      <c r="L947" s="32">
        <f>IF($A947="","",H947/$D947)</f>
        <v/>
      </c>
      <c r="M947" s="28">
        <f>IF($A947="","",IF(OR(J947+$F947&gt;$D947+0.001,_xlfn.MAXIFS(Stangenbelegung!$H$5:$H$10004,Stangenbelegung!$A$5:$A$10004,$A947)&gt;$D947-$F947+0.001),"ÜBERBELEGT","OK"))</f>
        <v/>
      </c>
      <c r="N947" s="24" t="n"/>
      <c r="O947" s="24" t="n"/>
      <c r="P947" s="9" t="n"/>
      <c r="Q947" s="18">
        <f>IF($A947="","",IFERROR($D947/1000*INDEX(Profile!$K$5:$K$304,MATCH($B947,lst_Profil,0))*INDEX(Werkstoffe!$E$5:$E$304,MATCH($C947,lst_Werkstoff,0))/1000,""))</f>
        <v/>
      </c>
      <c r="R947" s="18">
        <f>IF($A947="","",IF(N(_xlfn.MAXIFS(Auftrag!$AP$13:$AP$512,Auftrag!$D$13:$D$512,$B947,Auftrag!$E$13:$E$512,$C947,Auftrag!$Q$13:$Q$512,$D947))&gt;0,_xlfn.MAXIFS(Auftrag!$AP$13:$AP$512,Auftrag!$D$13:$D$512,$B947,Auftrag!$E$13:$E$512,$C947,Auftrag!$Q$13:$Q$512,$D947)*$D947/1000,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9" t="n"/>
      <c r="E948" s="24" t="n"/>
      <c r="F948" s="24" t="n"/>
      <c r="G948" s="12">
        <f>IF($A948="","",COUNTIFS(Stangenbelegung!$A$5:$A$10004,$A948))</f>
        <v/>
      </c>
      <c r="H948" s="35">
        <f>IF($A948="","",SUMIFS(Stangenbelegung!$F$5:$F$10004,Stangenbelegung!$A$5:$A$10004,$A948))</f>
        <v/>
      </c>
      <c r="I948" s="23" t="n"/>
      <c r="J948" s="35">
        <f>IF($A948="","",$E948+H948+$I948)</f>
        <v/>
      </c>
      <c r="K948" s="35">
        <f>IF($A948="","",$D948-J948)</f>
        <v/>
      </c>
      <c r="L948" s="32">
        <f>IF($A948="","",H948/$D948)</f>
        <v/>
      </c>
      <c r="M948" s="28">
        <f>IF($A948="","",IF(OR(J948+$F948&gt;$D948+0.001,_xlfn.MAXIFS(Stangenbelegung!$H$5:$H$10004,Stangenbelegung!$A$5:$A$10004,$A948)&gt;$D948-$F948+0.001),"ÜBERBELEGT","OK"))</f>
        <v/>
      </c>
      <c r="N948" s="24" t="n"/>
      <c r="O948" s="24" t="n"/>
      <c r="P948" s="9" t="n"/>
      <c r="Q948" s="18">
        <f>IF($A948="","",IFERROR($D948/1000*INDEX(Profile!$K$5:$K$304,MATCH($B948,lst_Profil,0))*INDEX(Werkstoffe!$E$5:$E$304,MATCH($C948,lst_Werkstoff,0))/1000,""))</f>
        <v/>
      </c>
      <c r="R948" s="18">
        <f>IF($A948="","",IF(N(_xlfn.MAXIFS(Auftrag!$AP$13:$AP$512,Auftrag!$D$13:$D$512,$B948,Auftrag!$E$13:$E$512,$C948,Auftrag!$Q$13:$Q$512,$D948))&gt;0,_xlfn.MAXIFS(Auftrag!$AP$13:$AP$512,Auftrag!$D$13:$D$512,$B948,Auftrag!$E$13:$E$512,$C948,Auftrag!$Q$13:$Q$512,$D948)*$D948/1000,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9" t="n"/>
      <c r="E949" s="24" t="n"/>
      <c r="F949" s="24" t="n"/>
      <c r="G949" s="12">
        <f>IF($A949="","",COUNTIFS(Stangenbelegung!$A$5:$A$10004,$A949))</f>
        <v/>
      </c>
      <c r="H949" s="35">
        <f>IF($A949="","",SUMIFS(Stangenbelegung!$F$5:$F$10004,Stangenbelegung!$A$5:$A$10004,$A949))</f>
        <v/>
      </c>
      <c r="I949" s="23" t="n"/>
      <c r="J949" s="35">
        <f>IF($A949="","",$E949+H949+$I949)</f>
        <v/>
      </c>
      <c r="K949" s="35">
        <f>IF($A949="","",$D949-J949)</f>
        <v/>
      </c>
      <c r="L949" s="32">
        <f>IF($A949="","",H949/$D949)</f>
        <v/>
      </c>
      <c r="M949" s="28">
        <f>IF($A949="","",IF(OR(J949+$F949&gt;$D949+0.001,_xlfn.MAXIFS(Stangenbelegung!$H$5:$H$10004,Stangenbelegung!$A$5:$A$10004,$A949)&gt;$D949-$F949+0.001),"ÜBERBELEGT","OK"))</f>
        <v/>
      </c>
      <c r="N949" s="24" t="n"/>
      <c r="O949" s="24" t="n"/>
      <c r="P949" s="9" t="n"/>
      <c r="Q949" s="18">
        <f>IF($A949="","",IFERROR($D949/1000*INDEX(Profile!$K$5:$K$304,MATCH($B949,lst_Profil,0))*INDEX(Werkstoffe!$E$5:$E$304,MATCH($C949,lst_Werkstoff,0))/1000,""))</f>
        <v/>
      </c>
      <c r="R949" s="18">
        <f>IF($A949="","",IF(N(_xlfn.MAXIFS(Auftrag!$AP$13:$AP$512,Auftrag!$D$13:$D$512,$B949,Auftrag!$E$13:$E$512,$C949,Auftrag!$Q$13:$Q$512,$D949))&gt;0,_xlfn.MAXIFS(Auftrag!$AP$13:$AP$512,Auftrag!$D$13:$D$512,$B949,Auftrag!$E$13:$E$512,$C949,Auftrag!$Q$13:$Q$512,$D949)*$D949/1000,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9" t="n"/>
      <c r="E950" s="24" t="n"/>
      <c r="F950" s="24" t="n"/>
      <c r="G950" s="12">
        <f>IF($A950="","",COUNTIFS(Stangenbelegung!$A$5:$A$10004,$A950))</f>
        <v/>
      </c>
      <c r="H950" s="35">
        <f>IF($A950="","",SUMIFS(Stangenbelegung!$F$5:$F$10004,Stangenbelegung!$A$5:$A$10004,$A950))</f>
        <v/>
      </c>
      <c r="I950" s="23" t="n"/>
      <c r="J950" s="35">
        <f>IF($A950="","",$E950+H950+$I950)</f>
        <v/>
      </c>
      <c r="K950" s="35">
        <f>IF($A950="","",$D950-J950)</f>
        <v/>
      </c>
      <c r="L950" s="32">
        <f>IF($A950="","",H950/$D950)</f>
        <v/>
      </c>
      <c r="M950" s="28">
        <f>IF($A950="","",IF(OR(J950+$F950&gt;$D950+0.001,_xlfn.MAXIFS(Stangenbelegung!$H$5:$H$10004,Stangenbelegung!$A$5:$A$10004,$A950)&gt;$D950-$F950+0.001),"ÜBERBELEGT","OK"))</f>
        <v/>
      </c>
      <c r="N950" s="24" t="n"/>
      <c r="O950" s="24" t="n"/>
      <c r="P950" s="9" t="n"/>
      <c r="Q950" s="18">
        <f>IF($A950="","",IFERROR($D950/1000*INDEX(Profile!$K$5:$K$304,MATCH($B950,lst_Profil,0))*INDEX(Werkstoffe!$E$5:$E$304,MATCH($C950,lst_Werkstoff,0))/1000,""))</f>
        <v/>
      </c>
      <c r="R950" s="18">
        <f>IF($A950="","",IF(N(_xlfn.MAXIFS(Auftrag!$AP$13:$AP$512,Auftrag!$D$13:$D$512,$B950,Auftrag!$E$13:$E$512,$C950,Auftrag!$Q$13:$Q$512,$D950))&gt;0,_xlfn.MAXIFS(Auftrag!$AP$13:$AP$512,Auftrag!$D$13:$D$512,$B950,Auftrag!$E$13:$E$512,$C950,Auftrag!$Q$13:$Q$512,$D950)*$D950/1000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9" t="n"/>
      <c r="E951" s="24" t="n"/>
      <c r="F951" s="24" t="n"/>
      <c r="G951" s="12">
        <f>IF($A951="","",COUNTIFS(Stangenbelegung!$A$5:$A$10004,$A951))</f>
        <v/>
      </c>
      <c r="H951" s="35">
        <f>IF($A951="","",SUMIFS(Stangenbelegung!$F$5:$F$10004,Stangenbelegung!$A$5:$A$10004,$A951))</f>
        <v/>
      </c>
      <c r="I951" s="23" t="n"/>
      <c r="J951" s="35">
        <f>IF($A951="","",$E951+H951+$I951)</f>
        <v/>
      </c>
      <c r="K951" s="35">
        <f>IF($A951="","",$D951-J951)</f>
        <v/>
      </c>
      <c r="L951" s="32">
        <f>IF($A951="","",H951/$D951)</f>
        <v/>
      </c>
      <c r="M951" s="28">
        <f>IF($A951="","",IF(OR(J951+$F951&gt;$D951+0.001,_xlfn.MAXIFS(Stangenbelegung!$H$5:$H$10004,Stangenbelegung!$A$5:$A$10004,$A951)&gt;$D951-$F951+0.001),"ÜBERBELEGT","OK"))</f>
        <v/>
      </c>
      <c r="N951" s="24" t="n"/>
      <c r="O951" s="24" t="n"/>
      <c r="P951" s="9" t="n"/>
      <c r="Q951" s="18">
        <f>IF($A951="","",IFERROR($D951/1000*INDEX(Profile!$K$5:$K$304,MATCH($B951,lst_Profil,0))*INDEX(Werkstoffe!$E$5:$E$304,MATCH($C951,lst_Werkstoff,0))/1000,""))</f>
        <v/>
      </c>
      <c r="R951" s="18">
        <f>IF($A951="","",IF(N(_xlfn.MAXIFS(Auftrag!$AP$13:$AP$512,Auftrag!$D$13:$D$512,$B951,Auftrag!$E$13:$E$512,$C951,Auftrag!$Q$13:$Q$512,$D951))&gt;0,_xlfn.MAXIFS(Auftrag!$AP$13:$AP$512,Auftrag!$D$13:$D$512,$B951,Auftrag!$E$13:$E$512,$C951,Auftrag!$Q$13:$Q$512,$D951)*$D951/1000,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9" t="n"/>
      <c r="E952" s="24" t="n"/>
      <c r="F952" s="24" t="n"/>
      <c r="G952" s="12">
        <f>IF($A952="","",COUNTIFS(Stangenbelegung!$A$5:$A$10004,$A952))</f>
        <v/>
      </c>
      <c r="H952" s="35">
        <f>IF($A952="","",SUMIFS(Stangenbelegung!$F$5:$F$10004,Stangenbelegung!$A$5:$A$10004,$A952))</f>
        <v/>
      </c>
      <c r="I952" s="23" t="n"/>
      <c r="J952" s="35">
        <f>IF($A952="","",$E952+H952+$I952)</f>
        <v/>
      </c>
      <c r="K952" s="35">
        <f>IF($A952="","",$D952-J952)</f>
        <v/>
      </c>
      <c r="L952" s="32">
        <f>IF($A952="","",H952/$D952)</f>
        <v/>
      </c>
      <c r="M952" s="28">
        <f>IF($A952="","",IF(OR(J952+$F952&gt;$D952+0.001,_xlfn.MAXIFS(Stangenbelegung!$H$5:$H$10004,Stangenbelegung!$A$5:$A$10004,$A952)&gt;$D952-$F952+0.001),"ÜBERBELEGT","OK"))</f>
        <v/>
      </c>
      <c r="N952" s="24" t="n"/>
      <c r="O952" s="24" t="n"/>
      <c r="P952" s="9" t="n"/>
      <c r="Q952" s="18">
        <f>IF($A952="","",IFERROR($D952/1000*INDEX(Profile!$K$5:$K$304,MATCH($B952,lst_Profil,0))*INDEX(Werkstoffe!$E$5:$E$304,MATCH($C952,lst_Werkstoff,0))/1000,""))</f>
        <v/>
      </c>
      <c r="R952" s="18">
        <f>IF($A952="","",IF(N(_xlfn.MAXIFS(Auftrag!$AP$13:$AP$512,Auftrag!$D$13:$D$512,$B952,Auftrag!$E$13:$E$512,$C952,Auftrag!$Q$13:$Q$512,$D952))&gt;0,_xlfn.MAXIFS(Auftrag!$AP$13:$AP$512,Auftrag!$D$13:$D$512,$B952,Auftrag!$E$13:$E$512,$C952,Auftrag!$Q$13:$Q$512,$D952)*$D952/1000,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9" t="n"/>
      <c r="E953" s="24" t="n"/>
      <c r="F953" s="24" t="n"/>
      <c r="G953" s="12">
        <f>IF($A953="","",COUNTIFS(Stangenbelegung!$A$5:$A$10004,$A953))</f>
        <v/>
      </c>
      <c r="H953" s="35">
        <f>IF($A953="","",SUMIFS(Stangenbelegung!$F$5:$F$10004,Stangenbelegung!$A$5:$A$10004,$A953))</f>
        <v/>
      </c>
      <c r="I953" s="23" t="n"/>
      <c r="J953" s="35">
        <f>IF($A953="","",$E953+H953+$I953)</f>
        <v/>
      </c>
      <c r="K953" s="35">
        <f>IF($A953="","",$D953-J953)</f>
        <v/>
      </c>
      <c r="L953" s="32">
        <f>IF($A953="","",H953/$D953)</f>
        <v/>
      </c>
      <c r="M953" s="28">
        <f>IF($A953="","",IF(OR(J953+$F953&gt;$D953+0.001,_xlfn.MAXIFS(Stangenbelegung!$H$5:$H$10004,Stangenbelegung!$A$5:$A$10004,$A953)&gt;$D953-$F953+0.001),"ÜBERBELEGT","OK"))</f>
        <v/>
      </c>
      <c r="N953" s="24" t="n"/>
      <c r="O953" s="24" t="n"/>
      <c r="P953" s="9" t="n"/>
      <c r="Q953" s="18">
        <f>IF($A953="","",IFERROR($D953/1000*INDEX(Profile!$K$5:$K$304,MATCH($B953,lst_Profil,0))*INDEX(Werkstoffe!$E$5:$E$304,MATCH($C953,lst_Werkstoff,0))/1000,""))</f>
        <v/>
      </c>
      <c r="R953" s="18">
        <f>IF($A953="","",IF(N(_xlfn.MAXIFS(Auftrag!$AP$13:$AP$512,Auftrag!$D$13:$D$512,$B953,Auftrag!$E$13:$E$512,$C953,Auftrag!$Q$13:$Q$512,$D953))&gt;0,_xlfn.MAXIFS(Auftrag!$AP$13:$AP$512,Auftrag!$D$13:$D$512,$B953,Auftrag!$E$13:$E$512,$C953,Auftrag!$Q$13:$Q$512,$D953)*$D953/1000,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9" t="n"/>
      <c r="E954" s="24" t="n"/>
      <c r="F954" s="24" t="n"/>
      <c r="G954" s="12">
        <f>IF($A954="","",COUNTIFS(Stangenbelegung!$A$5:$A$10004,$A954))</f>
        <v/>
      </c>
      <c r="H954" s="35">
        <f>IF($A954="","",SUMIFS(Stangenbelegung!$F$5:$F$10004,Stangenbelegung!$A$5:$A$10004,$A954))</f>
        <v/>
      </c>
      <c r="I954" s="23" t="n"/>
      <c r="J954" s="35">
        <f>IF($A954="","",$E954+H954+$I954)</f>
        <v/>
      </c>
      <c r="K954" s="35">
        <f>IF($A954="","",$D954-J954)</f>
        <v/>
      </c>
      <c r="L954" s="32">
        <f>IF($A954="","",H954/$D954)</f>
        <v/>
      </c>
      <c r="M954" s="28">
        <f>IF($A954="","",IF(OR(J954+$F954&gt;$D954+0.001,_xlfn.MAXIFS(Stangenbelegung!$H$5:$H$10004,Stangenbelegung!$A$5:$A$10004,$A954)&gt;$D954-$F954+0.001),"ÜBERBELEGT","OK"))</f>
        <v/>
      </c>
      <c r="N954" s="24" t="n"/>
      <c r="O954" s="24" t="n"/>
      <c r="P954" s="9" t="n"/>
      <c r="Q954" s="18">
        <f>IF($A954="","",IFERROR($D954/1000*INDEX(Profile!$K$5:$K$304,MATCH($B954,lst_Profil,0))*INDEX(Werkstoffe!$E$5:$E$304,MATCH($C954,lst_Werkstoff,0))/1000,""))</f>
        <v/>
      </c>
      <c r="R954" s="18">
        <f>IF($A954="","",IF(N(_xlfn.MAXIFS(Auftrag!$AP$13:$AP$512,Auftrag!$D$13:$D$512,$B954,Auftrag!$E$13:$E$512,$C954,Auftrag!$Q$13:$Q$512,$D954))&gt;0,_xlfn.MAXIFS(Auftrag!$AP$13:$AP$512,Auftrag!$D$13:$D$512,$B954,Auftrag!$E$13:$E$512,$C954,Auftrag!$Q$13:$Q$512,$D954)*$D954/1000,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9" t="n"/>
      <c r="E955" s="24" t="n"/>
      <c r="F955" s="24" t="n"/>
      <c r="G955" s="12">
        <f>IF($A955="","",COUNTIFS(Stangenbelegung!$A$5:$A$10004,$A955))</f>
        <v/>
      </c>
      <c r="H955" s="35">
        <f>IF($A955="","",SUMIFS(Stangenbelegung!$F$5:$F$10004,Stangenbelegung!$A$5:$A$10004,$A955))</f>
        <v/>
      </c>
      <c r="I955" s="23" t="n"/>
      <c r="J955" s="35">
        <f>IF($A955="","",$E955+H955+$I955)</f>
        <v/>
      </c>
      <c r="K955" s="35">
        <f>IF($A955="","",$D955-J955)</f>
        <v/>
      </c>
      <c r="L955" s="32">
        <f>IF($A955="","",H955/$D955)</f>
        <v/>
      </c>
      <c r="M955" s="28">
        <f>IF($A955="","",IF(OR(J955+$F955&gt;$D955+0.001,_xlfn.MAXIFS(Stangenbelegung!$H$5:$H$10004,Stangenbelegung!$A$5:$A$10004,$A955)&gt;$D955-$F955+0.001),"ÜBERBELEGT","OK"))</f>
        <v/>
      </c>
      <c r="N955" s="24" t="n"/>
      <c r="O955" s="24" t="n"/>
      <c r="P955" s="9" t="n"/>
      <c r="Q955" s="18">
        <f>IF($A955="","",IFERROR($D955/1000*INDEX(Profile!$K$5:$K$304,MATCH($B955,lst_Profil,0))*INDEX(Werkstoffe!$E$5:$E$304,MATCH($C955,lst_Werkstoff,0))/1000,""))</f>
        <v/>
      </c>
      <c r="R955" s="18">
        <f>IF($A955="","",IF(N(_xlfn.MAXIFS(Auftrag!$AP$13:$AP$512,Auftrag!$D$13:$D$512,$B955,Auftrag!$E$13:$E$512,$C955,Auftrag!$Q$13:$Q$512,$D955))&gt;0,_xlfn.MAXIFS(Auftrag!$AP$13:$AP$512,Auftrag!$D$13:$D$512,$B955,Auftrag!$E$13:$E$512,$C955,Auftrag!$Q$13:$Q$512,$D955)*$D955/1000,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9" t="n"/>
      <c r="E956" s="24" t="n"/>
      <c r="F956" s="24" t="n"/>
      <c r="G956" s="12">
        <f>IF($A956="","",COUNTIFS(Stangenbelegung!$A$5:$A$10004,$A956))</f>
        <v/>
      </c>
      <c r="H956" s="35">
        <f>IF($A956="","",SUMIFS(Stangenbelegung!$F$5:$F$10004,Stangenbelegung!$A$5:$A$10004,$A956))</f>
        <v/>
      </c>
      <c r="I956" s="23" t="n"/>
      <c r="J956" s="35">
        <f>IF($A956="","",$E956+H956+$I956)</f>
        <v/>
      </c>
      <c r="K956" s="35">
        <f>IF($A956="","",$D956-J956)</f>
        <v/>
      </c>
      <c r="L956" s="32">
        <f>IF($A956="","",H956/$D956)</f>
        <v/>
      </c>
      <c r="M956" s="28">
        <f>IF($A956="","",IF(OR(J956+$F956&gt;$D956+0.001,_xlfn.MAXIFS(Stangenbelegung!$H$5:$H$10004,Stangenbelegung!$A$5:$A$10004,$A956)&gt;$D956-$F956+0.001),"ÜBERBELEGT","OK"))</f>
        <v/>
      </c>
      <c r="N956" s="24" t="n"/>
      <c r="O956" s="24" t="n"/>
      <c r="P956" s="9" t="n"/>
      <c r="Q956" s="18">
        <f>IF($A956="","",IFERROR($D956/1000*INDEX(Profile!$K$5:$K$304,MATCH($B956,lst_Profil,0))*INDEX(Werkstoffe!$E$5:$E$304,MATCH($C956,lst_Werkstoff,0))/1000,""))</f>
        <v/>
      </c>
      <c r="R956" s="18">
        <f>IF($A956="","",IF(N(_xlfn.MAXIFS(Auftrag!$AP$13:$AP$512,Auftrag!$D$13:$D$512,$B956,Auftrag!$E$13:$E$512,$C956,Auftrag!$Q$13:$Q$512,$D956))&gt;0,_xlfn.MAXIFS(Auftrag!$AP$13:$AP$512,Auftrag!$D$13:$D$512,$B956,Auftrag!$E$13:$E$512,$C956,Auftrag!$Q$13:$Q$512,$D956)*$D956/1000,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9" t="n"/>
      <c r="E957" s="24" t="n"/>
      <c r="F957" s="24" t="n"/>
      <c r="G957" s="12">
        <f>IF($A957="","",COUNTIFS(Stangenbelegung!$A$5:$A$10004,$A957))</f>
        <v/>
      </c>
      <c r="H957" s="35">
        <f>IF($A957="","",SUMIFS(Stangenbelegung!$F$5:$F$10004,Stangenbelegung!$A$5:$A$10004,$A957))</f>
        <v/>
      </c>
      <c r="I957" s="23" t="n"/>
      <c r="J957" s="35">
        <f>IF($A957="","",$E957+H957+$I957)</f>
        <v/>
      </c>
      <c r="K957" s="35">
        <f>IF($A957="","",$D957-J957)</f>
        <v/>
      </c>
      <c r="L957" s="32">
        <f>IF($A957="","",H957/$D957)</f>
        <v/>
      </c>
      <c r="M957" s="28">
        <f>IF($A957="","",IF(OR(J957+$F957&gt;$D957+0.001,_xlfn.MAXIFS(Stangenbelegung!$H$5:$H$10004,Stangenbelegung!$A$5:$A$10004,$A957)&gt;$D957-$F957+0.001),"ÜBERBELEGT","OK"))</f>
        <v/>
      </c>
      <c r="N957" s="24" t="n"/>
      <c r="O957" s="24" t="n"/>
      <c r="P957" s="9" t="n"/>
      <c r="Q957" s="18">
        <f>IF($A957="","",IFERROR($D957/1000*INDEX(Profile!$K$5:$K$304,MATCH($B957,lst_Profil,0))*INDEX(Werkstoffe!$E$5:$E$304,MATCH($C957,lst_Werkstoff,0))/1000,""))</f>
        <v/>
      </c>
      <c r="R957" s="18">
        <f>IF($A957="","",IF(N(_xlfn.MAXIFS(Auftrag!$AP$13:$AP$512,Auftrag!$D$13:$D$512,$B957,Auftrag!$E$13:$E$512,$C957,Auftrag!$Q$13:$Q$512,$D957))&gt;0,_xlfn.MAXIFS(Auftrag!$AP$13:$AP$512,Auftrag!$D$13:$D$512,$B957,Auftrag!$E$13:$E$512,$C957,Auftrag!$Q$13:$Q$512,$D957)*$D957/1000,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9" t="n"/>
      <c r="E958" s="24" t="n"/>
      <c r="F958" s="24" t="n"/>
      <c r="G958" s="12">
        <f>IF($A958="","",COUNTIFS(Stangenbelegung!$A$5:$A$10004,$A958))</f>
        <v/>
      </c>
      <c r="H958" s="35">
        <f>IF($A958="","",SUMIFS(Stangenbelegung!$F$5:$F$10004,Stangenbelegung!$A$5:$A$10004,$A958))</f>
        <v/>
      </c>
      <c r="I958" s="23" t="n"/>
      <c r="J958" s="35">
        <f>IF($A958="","",$E958+H958+$I958)</f>
        <v/>
      </c>
      <c r="K958" s="35">
        <f>IF($A958="","",$D958-J958)</f>
        <v/>
      </c>
      <c r="L958" s="32">
        <f>IF($A958="","",H958/$D958)</f>
        <v/>
      </c>
      <c r="M958" s="28">
        <f>IF($A958="","",IF(OR(J958+$F958&gt;$D958+0.001,_xlfn.MAXIFS(Stangenbelegung!$H$5:$H$10004,Stangenbelegung!$A$5:$A$10004,$A958)&gt;$D958-$F958+0.001),"ÜBERBELEGT","OK"))</f>
        <v/>
      </c>
      <c r="N958" s="24" t="n"/>
      <c r="O958" s="24" t="n"/>
      <c r="P958" s="9" t="n"/>
      <c r="Q958" s="18">
        <f>IF($A958="","",IFERROR($D958/1000*INDEX(Profile!$K$5:$K$304,MATCH($B958,lst_Profil,0))*INDEX(Werkstoffe!$E$5:$E$304,MATCH($C958,lst_Werkstoff,0))/1000,""))</f>
        <v/>
      </c>
      <c r="R958" s="18">
        <f>IF($A958="","",IF(N(_xlfn.MAXIFS(Auftrag!$AP$13:$AP$512,Auftrag!$D$13:$D$512,$B958,Auftrag!$E$13:$E$512,$C958,Auftrag!$Q$13:$Q$512,$D958))&gt;0,_xlfn.MAXIFS(Auftrag!$AP$13:$AP$512,Auftrag!$D$13:$D$512,$B958,Auftrag!$E$13:$E$512,$C958,Auftrag!$Q$13:$Q$512,$D958)*$D958/1000,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9" t="n"/>
      <c r="E959" s="24" t="n"/>
      <c r="F959" s="24" t="n"/>
      <c r="G959" s="12">
        <f>IF($A959="","",COUNTIFS(Stangenbelegung!$A$5:$A$10004,$A959))</f>
        <v/>
      </c>
      <c r="H959" s="35">
        <f>IF($A959="","",SUMIFS(Stangenbelegung!$F$5:$F$10004,Stangenbelegung!$A$5:$A$10004,$A959))</f>
        <v/>
      </c>
      <c r="I959" s="23" t="n"/>
      <c r="J959" s="35">
        <f>IF($A959="","",$E959+H959+$I959)</f>
        <v/>
      </c>
      <c r="K959" s="35">
        <f>IF($A959="","",$D959-J959)</f>
        <v/>
      </c>
      <c r="L959" s="32">
        <f>IF($A959="","",H959/$D959)</f>
        <v/>
      </c>
      <c r="M959" s="28">
        <f>IF($A959="","",IF(OR(J959+$F959&gt;$D959+0.001,_xlfn.MAXIFS(Stangenbelegung!$H$5:$H$10004,Stangenbelegung!$A$5:$A$10004,$A959)&gt;$D959-$F959+0.001),"ÜBERBELEGT","OK"))</f>
        <v/>
      </c>
      <c r="N959" s="24" t="n"/>
      <c r="O959" s="24" t="n"/>
      <c r="P959" s="9" t="n"/>
      <c r="Q959" s="18">
        <f>IF($A959="","",IFERROR($D959/1000*INDEX(Profile!$K$5:$K$304,MATCH($B959,lst_Profil,0))*INDEX(Werkstoffe!$E$5:$E$304,MATCH($C959,lst_Werkstoff,0))/1000,""))</f>
        <v/>
      </c>
      <c r="R959" s="18">
        <f>IF($A959="","",IF(N(_xlfn.MAXIFS(Auftrag!$AP$13:$AP$512,Auftrag!$D$13:$D$512,$B959,Auftrag!$E$13:$E$512,$C959,Auftrag!$Q$13:$Q$512,$D959))&gt;0,_xlfn.MAXIFS(Auftrag!$AP$13:$AP$512,Auftrag!$D$13:$D$512,$B959,Auftrag!$E$13:$E$512,$C959,Auftrag!$Q$13:$Q$512,$D959)*$D959/1000,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9" t="n"/>
      <c r="E960" s="24" t="n"/>
      <c r="F960" s="24" t="n"/>
      <c r="G960" s="12">
        <f>IF($A960="","",COUNTIFS(Stangenbelegung!$A$5:$A$10004,$A960))</f>
        <v/>
      </c>
      <c r="H960" s="35">
        <f>IF($A960="","",SUMIFS(Stangenbelegung!$F$5:$F$10004,Stangenbelegung!$A$5:$A$10004,$A960))</f>
        <v/>
      </c>
      <c r="I960" s="23" t="n"/>
      <c r="J960" s="35">
        <f>IF($A960="","",$E960+H960+$I960)</f>
        <v/>
      </c>
      <c r="K960" s="35">
        <f>IF($A960="","",$D960-J960)</f>
        <v/>
      </c>
      <c r="L960" s="32">
        <f>IF($A960="","",H960/$D960)</f>
        <v/>
      </c>
      <c r="M960" s="28">
        <f>IF($A960="","",IF(OR(J960+$F960&gt;$D960+0.001,_xlfn.MAXIFS(Stangenbelegung!$H$5:$H$10004,Stangenbelegung!$A$5:$A$10004,$A960)&gt;$D960-$F960+0.001),"ÜBERBELEGT","OK"))</f>
        <v/>
      </c>
      <c r="N960" s="24" t="n"/>
      <c r="O960" s="24" t="n"/>
      <c r="P960" s="9" t="n"/>
      <c r="Q960" s="18">
        <f>IF($A960="","",IFERROR($D960/1000*INDEX(Profile!$K$5:$K$304,MATCH($B960,lst_Profil,0))*INDEX(Werkstoffe!$E$5:$E$304,MATCH($C960,lst_Werkstoff,0))/1000,""))</f>
        <v/>
      </c>
      <c r="R960" s="18">
        <f>IF($A960="","",IF(N(_xlfn.MAXIFS(Auftrag!$AP$13:$AP$512,Auftrag!$D$13:$D$512,$B960,Auftrag!$E$13:$E$512,$C960,Auftrag!$Q$13:$Q$512,$D960))&gt;0,_xlfn.MAXIFS(Auftrag!$AP$13:$AP$512,Auftrag!$D$13:$D$512,$B960,Auftrag!$E$13:$E$512,$C960,Auftrag!$Q$13:$Q$512,$D960)*$D960/1000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9" t="n"/>
      <c r="E961" s="24" t="n"/>
      <c r="F961" s="24" t="n"/>
      <c r="G961" s="12">
        <f>IF($A961="","",COUNTIFS(Stangenbelegung!$A$5:$A$10004,$A961))</f>
        <v/>
      </c>
      <c r="H961" s="35">
        <f>IF($A961="","",SUMIFS(Stangenbelegung!$F$5:$F$10004,Stangenbelegung!$A$5:$A$10004,$A961))</f>
        <v/>
      </c>
      <c r="I961" s="23" t="n"/>
      <c r="J961" s="35">
        <f>IF($A961="","",$E961+H961+$I961)</f>
        <v/>
      </c>
      <c r="K961" s="35">
        <f>IF($A961="","",$D961-J961)</f>
        <v/>
      </c>
      <c r="L961" s="32">
        <f>IF($A961="","",H961/$D961)</f>
        <v/>
      </c>
      <c r="M961" s="28">
        <f>IF($A961="","",IF(OR(J961+$F961&gt;$D961+0.001,_xlfn.MAXIFS(Stangenbelegung!$H$5:$H$10004,Stangenbelegung!$A$5:$A$10004,$A961)&gt;$D961-$F961+0.001),"ÜBERBELEGT","OK"))</f>
        <v/>
      </c>
      <c r="N961" s="24" t="n"/>
      <c r="O961" s="24" t="n"/>
      <c r="P961" s="9" t="n"/>
      <c r="Q961" s="18">
        <f>IF($A961="","",IFERROR($D961/1000*INDEX(Profile!$K$5:$K$304,MATCH($B961,lst_Profil,0))*INDEX(Werkstoffe!$E$5:$E$304,MATCH($C961,lst_Werkstoff,0))/1000,""))</f>
        <v/>
      </c>
      <c r="R961" s="18">
        <f>IF($A961="","",IF(N(_xlfn.MAXIFS(Auftrag!$AP$13:$AP$512,Auftrag!$D$13:$D$512,$B961,Auftrag!$E$13:$E$512,$C961,Auftrag!$Q$13:$Q$512,$D961))&gt;0,_xlfn.MAXIFS(Auftrag!$AP$13:$AP$512,Auftrag!$D$13:$D$512,$B961,Auftrag!$E$13:$E$512,$C961,Auftrag!$Q$13:$Q$512,$D961)*$D961/1000,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9" t="n"/>
      <c r="E962" s="24" t="n"/>
      <c r="F962" s="24" t="n"/>
      <c r="G962" s="12">
        <f>IF($A962="","",COUNTIFS(Stangenbelegung!$A$5:$A$10004,$A962))</f>
        <v/>
      </c>
      <c r="H962" s="35">
        <f>IF($A962="","",SUMIFS(Stangenbelegung!$F$5:$F$10004,Stangenbelegung!$A$5:$A$10004,$A962))</f>
        <v/>
      </c>
      <c r="I962" s="23" t="n"/>
      <c r="J962" s="35">
        <f>IF($A962="","",$E962+H962+$I962)</f>
        <v/>
      </c>
      <c r="K962" s="35">
        <f>IF($A962="","",$D962-J962)</f>
        <v/>
      </c>
      <c r="L962" s="32">
        <f>IF($A962="","",H962/$D962)</f>
        <v/>
      </c>
      <c r="M962" s="28">
        <f>IF($A962="","",IF(OR(J962+$F962&gt;$D962+0.001,_xlfn.MAXIFS(Stangenbelegung!$H$5:$H$10004,Stangenbelegung!$A$5:$A$10004,$A962)&gt;$D962-$F962+0.001),"ÜBERBELEGT","OK"))</f>
        <v/>
      </c>
      <c r="N962" s="24" t="n"/>
      <c r="O962" s="24" t="n"/>
      <c r="P962" s="9" t="n"/>
      <c r="Q962" s="18">
        <f>IF($A962="","",IFERROR($D962/1000*INDEX(Profile!$K$5:$K$304,MATCH($B962,lst_Profil,0))*INDEX(Werkstoffe!$E$5:$E$304,MATCH($C962,lst_Werkstoff,0))/1000,""))</f>
        <v/>
      </c>
      <c r="R962" s="18">
        <f>IF($A962="","",IF(N(_xlfn.MAXIFS(Auftrag!$AP$13:$AP$512,Auftrag!$D$13:$D$512,$B962,Auftrag!$E$13:$E$512,$C962,Auftrag!$Q$13:$Q$512,$D962))&gt;0,_xlfn.MAXIFS(Auftrag!$AP$13:$AP$512,Auftrag!$D$13:$D$512,$B962,Auftrag!$E$13:$E$512,$C962,Auftrag!$Q$13:$Q$512,$D962)*$D962/1000,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9" t="n"/>
      <c r="E963" s="24" t="n"/>
      <c r="F963" s="24" t="n"/>
      <c r="G963" s="12">
        <f>IF($A963="","",COUNTIFS(Stangenbelegung!$A$5:$A$10004,$A963))</f>
        <v/>
      </c>
      <c r="H963" s="35">
        <f>IF($A963="","",SUMIFS(Stangenbelegung!$F$5:$F$10004,Stangenbelegung!$A$5:$A$10004,$A963))</f>
        <v/>
      </c>
      <c r="I963" s="23" t="n"/>
      <c r="J963" s="35">
        <f>IF($A963="","",$E963+H963+$I963)</f>
        <v/>
      </c>
      <c r="K963" s="35">
        <f>IF($A963="","",$D963-J963)</f>
        <v/>
      </c>
      <c r="L963" s="32">
        <f>IF($A963="","",H963/$D963)</f>
        <v/>
      </c>
      <c r="M963" s="28">
        <f>IF($A963="","",IF(OR(J963+$F963&gt;$D963+0.001,_xlfn.MAXIFS(Stangenbelegung!$H$5:$H$10004,Stangenbelegung!$A$5:$A$10004,$A963)&gt;$D963-$F963+0.001),"ÜBERBELEGT","OK"))</f>
        <v/>
      </c>
      <c r="N963" s="24" t="n"/>
      <c r="O963" s="24" t="n"/>
      <c r="P963" s="9" t="n"/>
      <c r="Q963" s="18">
        <f>IF($A963="","",IFERROR($D963/1000*INDEX(Profile!$K$5:$K$304,MATCH($B963,lst_Profil,0))*INDEX(Werkstoffe!$E$5:$E$304,MATCH($C963,lst_Werkstoff,0))/1000,""))</f>
        <v/>
      </c>
      <c r="R963" s="18">
        <f>IF($A963="","",IF(N(_xlfn.MAXIFS(Auftrag!$AP$13:$AP$512,Auftrag!$D$13:$D$512,$B963,Auftrag!$E$13:$E$512,$C963,Auftrag!$Q$13:$Q$512,$D963))&gt;0,_xlfn.MAXIFS(Auftrag!$AP$13:$AP$512,Auftrag!$D$13:$D$512,$B963,Auftrag!$E$13:$E$512,$C963,Auftrag!$Q$13:$Q$512,$D963)*$D963/1000,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9" t="n"/>
      <c r="E964" s="24" t="n"/>
      <c r="F964" s="24" t="n"/>
      <c r="G964" s="12">
        <f>IF($A964="","",COUNTIFS(Stangenbelegung!$A$5:$A$10004,$A964))</f>
        <v/>
      </c>
      <c r="H964" s="35">
        <f>IF($A964="","",SUMIFS(Stangenbelegung!$F$5:$F$10004,Stangenbelegung!$A$5:$A$10004,$A964))</f>
        <v/>
      </c>
      <c r="I964" s="23" t="n"/>
      <c r="J964" s="35">
        <f>IF($A964="","",$E964+H964+$I964)</f>
        <v/>
      </c>
      <c r="K964" s="35">
        <f>IF($A964="","",$D964-J964)</f>
        <v/>
      </c>
      <c r="L964" s="32">
        <f>IF($A964="","",H964/$D964)</f>
        <v/>
      </c>
      <c r="M964" s="28">
        <f>IF($A964="","",IF(OR(J964+$F964&gt;$D964+0.001,_xlfn.MAXIFS(Stangenbelegung!$H$5:$H$10004,Stangenbelegung!$A$5:$A$10004,$A964)&gt;$D964-$F964+0.001),"ÜBERBELEGT","OK"))</f>
        <v/>
      </c>
      <c r="N964" s="24" t="n"/>
      <c r="O964" s="24" t="n"/>
      <c r="P964" s="9" t="n"/>
      <c r="Q964" s="18">
        <f>IF($A964="","",IFERROR($D964/1000*INDEX(Profile!$K$5:$K$304,MATCH($B964,lst_Profil,0))*INDEX(Werkstoffe!$E$5:$E$304,MATCH($C964,lst_Werkstoff,0))/1000,""))</f>
        <v/>
      </c>
      <c r="R964" s="18">
        <f>IF($A964="","",IF(N(_xlfn.MAXIFS(Auftrag!$AP$13:$AP$512,Auftrag!$D$13:$D$512,$B964,Auftrag!$E$13:$E$512,$C964,Auftrag!$Q$13:$Q$512,$D964))&gt;0,_xlfn.MAXIFS(Auftrag!$AP$13:$AP$512,Auftrag!$D$13:$D$512,$B964,Auftrag!$E$13:$E$512,$C964,Auftrag!$Q$13:$Q$512,$D964)*$D964/1000,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9" t="n"/>
      <c r="E965" s="24" t="n"/>
      <c r="F965" s="24" t="n"/>
      <c r="G965" s="12">
        <f>IF($A965="","",COUNTIFS(Stangenbelegung!$A$5:$A$10004,$A965))</f>
        <v/>
      </c>
      <c r="H965" s="35">
        <f>IF($A965="","",SUMIFS(Stangenbelegung!$F$5:$F$10004,Stangenbelegung!$A$5:$A$10004,$A965))</f>
        <v/>
      </c>
      <c r="I965" s="23" t="n"/>
      <c r="J965" s="35">
        <f>IF($A965="","",$E965+H965+$I965)</f>
        <v/>
      </c>
      <c r="K965" s="35">
        <f>IF($A965="","",$D965-J965)</f>
        <v/>
      </c>
      <c r="L965" s="32">
        <f>IF($A965="","",H965/$D965)</f>
        <v/>
      </c>
      <c r="M965" s="28">
        <f>IF($A965="","",IF(OR(J965+$F965&gt;$D965+0.001,_xlfn.MAXIFS(Stangenbelegung!$H$5:$H$10004,Stangenbelegung!$A$5:$A$10004,$A965)&gt;$D965-$F965+0.001),"ÜBERBELEGT","OK"))</f>
        <v/>
      </c>
      <c r="N965" s="24" t="n"/>
      <c r="O965" s="24" t="n"/>
      <c r="P965" s="9" t="n"/>
      <c r="Q965" s="18">
        <f>IF($A965="","",IFERROR($D965/1000*INDEX(Profile!$K$5:$K$304,MATCH($B965,lst_Profil,0))*INDEX(Werkstoffe!$E$5:$E$304,MATCH($C965,lst_Werkstoff,0))/1000,""))</f>
        <v/>
      </c>
      <c r="R965" s="18">
        <f>IF($A965="","",IF(N(_xlfn.MAXIFS(Auftrag!$AP$13:$AP$512,Auftrag!$D$13:$D$512,$B965,Auftrag!$E$13:$E$512,$C965,Auftrag!$Q$13:$Q$512,$D965))&gt;0,_xlfn.MAXIFS(Auftrag!$AP$13:$AP$512,Auftrag!$D$13:$D$512,$B965,Auftrag!$E$13:$E$512,$C965,Auftrag!$Q$13:$Q$512,$D965)*$D965/1000,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9" t="n"/>
      <c r="E966" s="24" t="n"/>
      <c r="F966" s="24" t="n"/>
      <c r="G966" s="12">
        <f>IF($A966="","",COUNTIFS(Stangenbelegung!$A$5:$A$10004,$A966))</f>
        <v/>
      </c>
      <c r="H966" s="35">
        <f>IF($A966="","",SUMIFS(Stangenbelegung!$F$5:$F$10004,Stangenbelegung!$A$5:$A$10004,$A966))</f>
        <v/>
      </c>
      <c r="I966" s="23" t="n"/>
      <c r="J966" s="35">
        <f>IF($A966="","",$E966+H966+$I966)</f>
        <v/>
      </c>
      <c r="K966" s="35">
        <f>IF($A966="","",$D966-J966)</f>
        <v/>
      </c>
      <c r="L966" s="32">
        <f>IF($A966="","",H966/$D966)</f>
        <v/>
      </c>
      <c r="M966" s="28">
        <f>IF($A966="","",IF(OR(J966+$F966&gt;$D966+0.001,_xlfn.MAXIFS(Stangenbelegung!$H$5:$H$10004,Stangenbelegung!$A$5:$A$10004,$A966)&gt;$D966-$F966+0.001),"ÜBERBELEGT","OK"))</f>
        <v/>
      </c>
      <c r="N966" s="24" t="n"/>
      <c r="O966" s="24" t="n"/>
      <c r="P966" s="9" t="n"/>
      <c r="Q966" s="18">
        <f>IF($A966="","",IFERROR($D966/1000*INDEX(Profile!$K$5:$K$304,MATCH($B966,lst_Profil,0))*INDEX(Werkstoffe!$E$5:$E$304,MATCH($C966,lst_Werkstoff,0))/1000,""))</f>
        <v/>
      </c>
      <c r="R966" s="18">
        <f>IF($A966="","",IF(N(_xlfn.MAXIFS(Auftrag!$AP$13:$AP$512,Auftrag!$D$13:$D$512,$B966,Auftrag!$E$13:$E$512,$C966,Auftrag!$Q$13:$Q$512,$D966))&gt;0,_xlfn.MAXIFS(Auftrag!$AP$13:$AP$512,Auftrag!$D$13:$D$512,$B966,Auftrag!$E$13:$E$512,$C966,Auftrag!$Q$13:$Q$512,$D966)*$D966/1000,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9" t="n"/>
      <c r="E967" s="24" t="n"/>
      <c r="F967" s="24" t="n"/>
      <c r="G967" s="12">
        <f>IF($A967="","",COUNTIFS(Stangenbelegung!$A$5:$A$10004,$A967))</f>
        <v/>
      </c>
      <c r="H967" s="35">
        <f>IF($A967="","",SUMIFS(Stangenbelegung!$F$5:$F$10004,Stangenbelegung!$A$5:$A$10004,$A967))</f>
        <v/>
      </c>
      <c r="I967" s="23" t="n"/>
      <c r="J967" s="35">
        <f>IF($A967="","",$E967+H967+$I967)</f>
        <v/>
      </c>
      <c r="K967" s="35">
        <f>IF($A967="","",$D967-J967)</f>
        <v/>
      </c>
      <c r="L967" s="32">
        <f>IF($A967="","",H967/$D967)</f>
        <v/>
      </c>
      <c r="M967" s="28">
        <f>IF($A967="","",IF(OR(J967+$F967&gt;$D967+0.001,_xlfn.MAXIFS(Stangenbelegung!$H$5:$H$10004,Stangenbelegung!$A$5:$A$10004,$A967)&gt;$D967-$F967+0.001),"ÜBERBELEGT","OK"))</f>
        <v/>
      </c>
      <c r="N967" s="24" t="n"/>
      <c r="O967" s="24" t="n"/>
      <c r="P967" s="9" t="n"/>
      <c r="Q967" s="18">
        <f>IF($A967="","",IFERROR($D967/1000*INDEX(Profile!$K$5:$K$304,MATCH($B967,lst_Profil,0))*INDEX(Werkstoffe!$E$5:$E$304,MATCH($C967,lst_Werkstoff,0))/1000,""))</f>
        <v/>
      </c>
      <c r="R967" s="18">
        <f>IF($A967="","",IF(N(_xlfn.MAXIFS(Auftrag!$AP$13:$AP$512,Auftrag!$D$13:$D$512,$B967,Auftrag!$E$13:$E$512,$C967,Auftrag!$Q$13:$Q$512,$D967))&gt;0,_xlfn.MAXIFS(Auftrag!$AP$13:$AP$512,Auftrag!$D$13:$D$512,$B967,Auftrag!$E$13:$E$512,$C967,Auftrag!$Q$13:$Q$512,$D967)*$D967/1000,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9" t="n"/>
      <c r="E968" s="24" t="n"/>
      <c r="F968" s="24" t="n"/>
      <c r="G968" s="12">
        <f>IF($A968="","",COUNTIFS(Stangenbelegung!$A$5:$A$10004,$A968))</f>
        <v/>
      </c>
      <c r="H968" s="35">
        <f>IF($A968="","",SUMIFS(Stangenbelegung!$F$5:$F$10004,Stangenbelegung!$A$5:$A$10004,$A968))</f>
        <v/>
      </c>
      <c r="I968" s="23" t="n"/>
      <c r="J968" s="35">
        <f>IF($A968="","",$E968+H968+$I968)</f>
        <v/>
      </c>
      <c r="K968" s="35">
        <f>IF($A968="","",$D968-J968)</f>
        <v/>
      </c>
      <c r="L968" s="32">
        <f>IF($A968="","",H968/$D968)</f>
        <v/>
      </c>
      <c r="M968" s="28">
        <f>IF($A968="","",IF(OR(J968+$F968&gt;$D968+0.001,_xlfn.MAXIFS(Stangenbelegung!$H$5:$H$10004,Stangenbelegung!$A$5:$A$10004,$A968)&gt;$D968-$F968+0.001),"ÜBERBELEGT","OK"))</f>
        <v/>
      </c>
      <c r="N968" s="24" t="n"/>
      <c r="O968" s="24" t="n"/>
      <c r="P968" s="9" t="n"/>
      <c r="Q968" s="18">
        <f>IF($A968="","",IFERROR($D968/1000*INDEX(Profile!$K$5:$K$304,MATCH($B968,lst_Profil,0))*INDEX(Werkstoffe!$E$5:$E$304,MATCH($C968,lst_Werkstoff,0))/1000,""))</f>
        <v/>
      </c>
      <c r="R968" s="18">
        <f>IF($A968="","",IF(N(_xlfn.MAXIFS(Auftrag!$AP$13:$AP$512,Auftrag!$D$13:$D$512,$B968,Auftrag!$E$13:$E$512,$C968,Auftrag!$Q$13:$Q$512,$D968))&gt;0,_xlfn.MAXIFS(Auftrag!$AP$13:$AP$512,Auftrag!$D$13:$D$512,$B968,Auftrag!$E$13:$E$512,$C968,Auftrag!$Q$13:$Q$512,$D968)*$D968/1000,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9" t="n"/>
      <c r="E969" s="24" t="n"/>
      <c r="F969" s="24" t="n"/>
      <c r="G969" s="12">
        <f>IF($A969="","",COUNTIFS(Stangenbelegung!$A$5:$A$10004,$A969))</f>
        <v/>
      </c>
      <c r="H969" s="35">
        <f>IF($A969="","",SUMIFS(Stangenbelegung!$F$5:$F$10004,Stangenbelegung!$A$5:$A$10004,$A969))</f>
        <v/>
      </c>
      <c r="I969" s="23" t="n"/>
      <c r="J969" s="35">
        <f>IF($A969="","",$E969+H969+$I969)</f>
        <v/>
      </c>
      <c r="K969" s="35">
        <f>IF($A969="","",$D969-J969)</f>
        <v/>
      </c>
      <c r="L969" s="32">
        <f>IF($A969="","",H969/$D969)</f>
        <v/>
      </c>
      <c r="M969" s="28">
        <f>IF($A969="","",IF(OR(J969+$F969&gt;$D969+0.001,_xlfn.MAXIFS(Stangenbelegung!$H$5:$H$10004,Stangenbelegung!$A$5:$A$10004,$A969)&gt;$D969-$F969+0.001),"ÜBERBELEGT","OK"))</f>
        <v/>
      </c>
      <c r="N969" s="24" t="n"/>
      <c r="O969" s="24" t="n"/>
      <c r="P969" s="9" t="n"/>
      <c r="Q969" s="18">
        <f>IF($A969="","",IFERROR($D969/1000*INDEX(Profile!$K$5:$K$304,MATCH($B969,lst_Profil,0))*INDEX(Werkstoffe!$E$5:$E$304,MATCH($C969,lst_Werkstoff,0))/1000,""))</f>
        <v/>
      </c>
      <c r="R969" s="18">
        <f>IF($A969="","",IF(N(_xlfn.MAXIFS(Auftrag!$AP$13:$AP$512,Auftrag!$D$13:$D$512,$B969,Auftrag!$E$13:$E$512,$C969,Auftrag!$Q$13:$Q$512,$D969))&gt;0,_xlfn.MAXIFS(Auftrag!$AP$13:$AP$512,Auftrag!$D$13:$D$512,$B969,Auftrag!$E$13:$E$512,$C969,Auftrag!$Q$13:$Q$512,$D969)*$D969/1000,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9" t="n"/>
      <c r="E970" s="24" t="n"/>
      <c r="F970" s="24" t="n"/>
      <c r="G970" s="12">
        <f>IF($A970="","",COUNTIFS(Stangenbelegung!$A$5:$A$10004,$A970))</f>
        <v/>
      </c>
      <c r="H970" s="35">
        <f>IF($A970="","",SUMIFS(Stangenbelegung!$F$5:$F$10004,Stangenbelegung!$A$5:$A$10004,$A970))</f>
        <v/>
      </c>
      <c r="I970" s="23" t="n"/>
      <c r="J970" s="35">
        <f>IF($A970="","",$E970+H970+$I970)</f>
        <v/>
      </c>
      <c r="K970" s="35">
        <f>IF($A970="","",$D970-J970)</f>
        <v/>
      </c>
      <c r="L970" s="32">
        <f>IF($A970="","",H970/$D970)</f>
        <v/>
      </c>
      <c r="M970" s="28">
        <f>IF($A970="","",IF(OR(J970+$F970&gt;$D970+0.001,_xlfn.MAXIFS(Stangenbelegung!$H$5:$H$10004,Stangenbelegung!$A$5:$A$10004,$A970)&gt;$D970-$F970+0.001),"ÜBERBELEGT","OK"))</f>
        <v/>
      </c>
      <c r="N970" s="24" t="n"/>
      <c r="O970" s="24" t="n"/>
      <c r="P970" s="9" t="n"/>
      <c r="Q970" s="18">
        <f>IF($A970="","",IFERROR($D970/1000*INDEX(Profile!$K$5:$K$304,MATCH($B970,lst_Profil,0))*INDEX(Werkstoffe!$E$5:$E$304,MATCH($C970,lst_Werkstoff,0))/1000,""))</f>
        <v/>
      </c>
      <c r="R970" s="18">
        <f>IF($A970="","",IF(N(_xlfn.MAXIFS(Auftrag!$AP$13:$AP$512,Auftrag!$D$13:$D$512,$B970,Auftrag!$E$13:$E$512,$C970,Auftrag!$Q$13:$Q$512,$D970))&gt;0,_xlfn.MAXIFS(Auftrag!$AP$13:$AP$512,Auftrag!$D$13:$D$512,$B970,Auftrag!$E$13:$E$512,$C970,Auftrag!$Q$13:$Q$512,$D970)*$D970/1000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9" t="n"/>
      <c r="E971" s="24" t="n"/>
      <c r="F971" s="24" t="n"/>
      <c r="G971" s="12">
        <f>IF($A971="","",COUNTIFS(Stangenbelegung!$A$5:$A$10004,$A971))</f>
        <v/>
      </c>
      <c r="H971" s="35">
        <f>IF($A971="","",SUMIFS(Stangenbelegung!$F$5:$F$10004,Stangenbelegung!$A$5:$A$10004,$A971))</f>
        <v/>
      </c>
      <c r="I971" s="23" t="n"/>
      <c r="J971" s="35">
        <f>IF($A971="","",$E971+H971+$I971)</f>
        <v/>
      </c>
      <c r="K971" s="35">
        <f>IF($A971="","",$D971-J971)</f>
        <v/>
      </c>
      <c r="L971" s="32">
        <f>IF($A971="","",H971/$D971)</f>
        <v/>
      </c>
      <c r="M971" s="28">
        <f>IF($A971="","",IF(OR(J971+$F971&gt;$D971+0.001,_xlfn.MAXIFS(Stangenbelegung!$H$5:$H$10004,Stangenbelegung!$A$5:$A$10004,$A971)&gt;$D971-$F971+0.001),"ÜBERBELEGT","OK"))</f>
        <v/>
      </c>
      <c r="N971" s="24" t="n"/>
      <c r="O971" s="24" t="n"/>
      <c r="P971" s="9" t="n"/>
      <c r="Q971" s="18">
        <f>IF($A971="","",IFERROR($D971/1000*INDEX(Profile!$K$5:$K$304,MATCH($B971,lst_Profil,0))*INDEX(Werkstoffe!$E$5:$E$304,MATCH($C971,lst_Werkstoff,0))/1000,""))</f>
        <v/>
      </c>
      <c r="R971" s="18">
        <f>IF($A971="","",IF(N(_xlfn.MAXIFS(Auftrag!$AP$13:$AP$512,Auftrag!$D$13:$D$512,$B971,Auftrag!$E$13:$E$512,$C971,Auftrag!$Q$13:$Q$512,$D971))&gt;0,_xlfn.MAXIFS(Auftrag!$AP$13:$AP$512,Auftrag!$D$13:$D$512,$B971,Auftrag!$E$13:$E$512,$C971,Auftrag!$Q$13:$Q$512,$D971)*$D971/1000,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9" t="n"/>
      <c r="E972" s="24" t="n"/>
      <c r="F972" s="24" t="n"/>
      <c r="G972" s="12">
        <f>IF($A972="","",COUNTIFS(Stangenbelegung!$A$5:$A$10004,$A972))</f>
        <v/>
      </c>
      <c r="H972" s="35">
        <f>IF($A972="","",SUMIFS(Stangenbelegung!$F$5:$F$10004,Stangenbelegung!$A$5:$A$10004,$A972))</f>
        <v/>
      </c>
      <c r="I972" s="23" t="n"/>
      <c r="J972" s="35">
        <f>IF($A972="","",$E972+H972+$I972)</f>
        <v/>
      </c>
      <c r="K972" s="35">
        <f>IF($A972="","",$D972-J972)</f>
        <v/>
      </c>
      <c r="L972" s="32">
        <f>IF($A972="","",H972/$D972)</f>
        <v/>
      </c>
      <c r="M972" s="28">
        <f>IF($A972="","",IF(OR(J972+$F972&gt;$D972+0.001,_xlfn.MAXIFS(Stangenbelegung!$H$5:$H$10004,Stangenbelegung!$A$5:$A$10004,$A972)&gt;$D972-$F972+0.001),"ÜBERBELEGT","OK"))</f>
        <v/>
      </c>
      <c r="N972" s="24" t="n"/>
      <c r="O972" s="24" t="n"/>
      <c r="P972" s="9" t="n"/>
      <c r="Q972" s="18">
        <f>IF($A972="","",IFERROR($D972/1000*INDEX(Profile!$K$5:$K$304,MATCH($B972,lst_Profil,0))*INDEX(Werkstoffe!$E$5:$E$304,MATCH($C972,lst_Werkstoff,0))/1000,""))</f>
        <v/>
      </c>
      <c r="R972" s="18">
        <f>IF($A972="","",IF(N(_xlfn.MAXIFS(Auftrag!$AP$13:$AP$512,Auftrag!$D$13:$D$512,$B972,Auftrag!$E$13:$E$512,$C972,Auftrag!$Q$13:$Q$512,$D972))&gt;0,_xlfn.MAXIFS(Auftrag!$AP$13:$AP$512,Auftrag!$D$13:$D$512,$B972,Auftrag!$E$13:$E$512,$C972,Auftrag!$Q$13:$Q$512,$D972)*$D972/1000,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9" t="n"/>
      <c r="E973" s="24" t="n"/>
      <c r="F973" s="24" t="n"/>
      <c r="G973" s="12">
        <f>IF($A973="","",COUNTIFS(Stangenbelegung!$A$5:$A$10004,$A973))</f>
        <v/>
      </c>
      <c r="H973" s="35">
        <f>IF($A973="","",SUMIFS(Stangenbelegung!$F$5:$F$10004,Stangenbelegung!$A$5:$A$10004,$A973))</f>
        <v/>
      </c>
      <c r="I973" s="23" t="n"/>
      <c r="J973" s="35">
        <f>IF($A973="","",$E973+H973+$I973)</f>
        <v/>
      </c>
      <c r="K973" s="35">
        <f>IF($A973="","",$D973-J973)</f>
        <v/>
      </c>
      <c r="L973" s="32">
        <f>IF($A973="","",H973/$D973)</f>
        <v/>
      </c>
      <c r="M973" s="28">
        <f>IF($A973="","",IF(OR(J973+$F973&gt;$D973+0.001,_xlfn.MAXIFS(Stangenbelegung!$H$5:$H$10004,Stangenbelegung!$A$5:$A$10004,$A973)&gt;$D973-$F973+0.001),"ÜBERBELEGT","OK"))</f>
        <v/>
      </c>
      <c r="N973" s="24" t="n"/>
      <c r="O973" s="24" t="n"/>
      <c r="P973" s="9" t="n"/>
      <c r="Q973" s="18">
        <f>IF($A973="","",IFERROR($D973/1000*INDEX(Profile!$K$5:$K$304,MATCH($B973,lst_Profil,0))*INDEX(Werkstoffe!$E$5:$E$304,MATCH($C973,lst_Werkstoff,0))/1000,""))</f>
        <v/>
      </c>
      <c r="R973" s="18">
        <f>IF($A973="","",IF(N(_xlfn.MAXIFS(Auftrag!$AP$13:$AP$512,Auftrag!$D$13:$D$512,$B973,Auftrag!$E$13:$E$512,$C973,Auftrag!$Q$13:$Q$512,$D973))&gt;0,_xlfn.MAXIFS(Auftrag!$AP$13:$AP$512,Auftrag!$D$13:$D$512,$B973,Auftrag!$E$13:$E$512,$C973,Auftrag!$Q$13:$Q$512,$D973)*$D973/1000,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9" t="n"/>
      <c r="E974" s="24" t="n"/>
      <c r="F974" s="24" t="n"/>
      <c r="G974" s="12">
        <f>IF($A974="","",COUNTIFS(Stangenbelegung!$A$5:$A$10004,$A974))</f>
        <v/>
      </c>
      <c r="H974" s="35">
        <f>IF($A974="","",SUMIFS(Stangenbelegung!$F$5:$F$10004,Stangenbelegung!$A$5:$A$10004,$A974))</f>
        <v/>
      </c>
      <c r="I974" s="23" t="n"/>
      <c r="J974" s="35">
        <f>IF($A974="","",$E974+H974+$I974)</f>
        <v/>
      </c>
      <c r="K974" s="35">
        <f>IF($A974="","",$D974-J974)</f>
        <v/>
      </c>
      <c r="L974" s="32">
        <f>IF($A974="","",H974/$D974)</f>
        <v/>
      </c>
      <c r="M974" s="28">
        <f>IF($A974="","",IF(OR(J974+$F974&gt;$D974+0.001,_xlfn.MAXIFS(Stangenbelegung!$H$5:$H$10004,Stangenbelegung!$A$5:$A$10004,$A974)&gt;$D974-$F974+0.001),"ÜBERBELEGT","OK"))</f>
        <v/>
      </c>
      <c r="N974" s="24" t="n"/>
      <c r="O974" s="24" t="n"/>
      <c r="P974" s="9" t="n"/>
      <c r="Q974" s="18">
        <f>IF($A974="","",IFERROR($D974/1000*INDEX(Profile!$K$5:$K$304,MATCH($B974,lst_Profil,0))*INDEX(Werkstoffe!$E$5:$E$304,MATCH($C974,lst_Werkstoff,0))/1000,""))</f>
        <v/>
      </c>
      <c r="R974" s="18">
        <f>IF($A974="","",IF(N(_xlfn.MAXIFS(Auftrag!$AP$13:$AP$512,Auftrag!$D$13:$D$512,$B974,Auftrag!$E$13:$E$512,$C974,Auftrag!$Q$13:$Q$512,$D974))&gt;0,_xlfn.MAXIFS(Auftrag!$AP$13:$AP$512,Auftrag!$D$13:$D$512,$B974,Auftrag!$E$13:$E$512,$C974,Auftrag!$Q$13:$Q$512,$D974)*$D974/1000,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9" t="n"/>
      <c r="E975" s="24" t="n"/>
      <c r="F975" s="24" t="n"/>
      <c r="G975" s="12">
        <f>IF($A975="","",COUNTIFS(Stangenbelegung!$A$5:$A$10004,$A975))</f>
        <v/>
      </c>
      <c r="H975" s="35">
        <f>IF($A975="","",SUMIFS(Stangenbelegung!$F$5:$F$10004,Stangenbelegung!$A$5:$A$10004,$A975))</f>
        <v/>
      </c>
      <c r="I975" s="23" t="n"/>
      <c r="J975" s="35">
        <f>IF($A975="","",$E975+H975+$I975)</f>
        <v/>
      </c>
      <c r="K975" s="35">
        <f>IF($A975="","",$D975-J975)</f>
        <v/>
      </c>
      <c r="L975" s="32">
        <f>IF($A975="","",H975/$D975)</f>
        <v/>
      </c>
      <c r="M975" s="28">
        <f>IF($A975="","",IF(OR(J975+$F975&gt;$D975+0.001,_xlfn.MAXIFS(Stangenbelegung!$H$5:$H$10004,Stangenbelegung!$A$5:$A$10004,$A975)&gt;$D975-$F975+0.001),"ÜBERBELEGT","OK"))</f>
        <v/>
      </c>
      <c r="N975" s="24" t="n"/>
      <c r="O975" s="24" t="n"/>
      <c r="P975" s="9" t="n"/>
      <c r="Q975" s="18">
        <f>IF($A975="","",IFERROR($D975/1000*INDEX(Profile!$K$5:$K$304,MATCH($B975,lst_Profil,0))*INDEX(Werkstoffe!$E$5:$E$304,MATCH($C975,lst_Werkstoff,0))/1000,""))</f>
        <v/>
      </c>
      <c r="R975" s="18">
        <f>IF($A975="","",IF(N(_xlfn.MAXIFS(Auftrag!$AP$13:$AP$512,Auftrag!$D$13:$D$512,$B975,Auftrag!$E$13:$E$512,$C975,Auftrag!$Q$13:$Q$512,$D975))&gt;0,_xlfn.MAXIFS(Auftrag!$AP$13:$AP$512,Auftrag!$D$13:$D$512,$B975,Auftrag!$E$13:$E$512,$C975,Auftrag!$Q$13:$Q$512,$D975)*$D975/1000,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9" t="n"/>
      <c r="E976" s="24" t="n"/>
      <c r="F976" s="24" t="n"/>
      <c r="G976" s="12">
        <f>IF($A976="","",COUNTIFS(Stangenbelegung!$A$5:$A$10004,$A976))</f>
        <v/>
      </c>
      <c r="H976" s="35">
        <f>IF($A976="","",SUMIFS(Stangenbelegung!$F$5:$F$10004,Stangenbelegung!$A$5:$A$10004,$A976))</f>
        <v/>
      </c>
      <c r="I976" s="23" t="n"/>
      <c r="J976" s="35">
        <f>IF($A976="","",$E976+H976+$I976)</f>
        <v/>
      </c>
      <c r="K976" s="35">
        <f>IF($A976="","",$D976-J976)</f>
        <v/>
      </c>
      <c r="L976" s="32">
        <f>IF($A976="","",H976/$D976)</f>
        <v/>
      </c>
      <c r="M976" s="28">
        <f>IF($A976="","",IF(OR(J976+$F976&gt;$D976+0.001,_xlfn.MAXIFS(Stangenbelegung!$H$5:$H$10004,Stangenbelegung!$A$5:$A$10004,$A976)&gt;$D976-$F976+0.001),"ÜBERBELEGT","OK"))</f>
        <v/>
      </c>
      <c r="N976" s="24" t="n"/>
      <c r="O976" s="24" t="n"/>
      <c r="P976" s="9" t="n"/>
      <c r="Q976" s="18">
        <f>IF($A976="","",IFERROR($D976/1000*INDEX(Profile!$K$5:$K$304,MATCH($B976,lst_Profil,0))*INDEX(Werkstoffe!$E$5:$E$304,MATCH($C976,lst_Werkstoff,0))/1000,""))</f>
        <v/>
      </c>
      <c r="R976" s="18">
        <f>IF($A976="","",IF(N(_xlfn.MAXIFS(Auftrag!$AP$13:$AP$512,Auftrag!$D$13:$D$512,$B976,Auftrag!$E$13:$E$512,$C976,Auftrag!$Q$13:$Q$512,$D976))&gt;0,_xlfn.MAXIFS(Auftrag!$AP$13:$AP$512,Auftrag!$D$13:$D$512,$B976,Auftrag!$E$13:$E$512,$C976,Auftrag!$Q$13:$Q$512,$D976)*$D976/1000,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9" t="n"/>
      <c r="E977" s="24" t="n"/>
      <c r="F977" s="24" t="n"/>
      <c r="G977" s="12">
        <f>IF($A977="","",COUNTIFS(Stangenbelegung!$A$5:$A$10004,$A977))</f>
        <v/>
      </c>
      <c r="H977" s="35">
        <f>IF($A977="","",SUMIFS(Stangenbelegung!$F$5:$F$10004,Stangenbelegung!$A$5:$A$10004,$A977))</f>
        <v/>
      </c>
      <c r="I977" s="23" t="n"/>
      <c r="J977" s="35">
        <f>IF($A977="","",$E977+H977+$I977)</f>
        <v/>
      </c>
      <c r="K977" s="35">
        <f>IF($A977="","",$D977-J977)</f>
        <v/>
      </c>
      <c r="L977" s="32">
        <f>IF($A977="","",H977/$D977)</f>
        <v/>
      </c>
      <c r="M977" s="28">
        <f>IF($A977="","",IF(OR(J977+$F977&gt;$D977+0.001,_xlfn.MAXIFS(Stangenbelegung!$H$5:$H$10004,Stangenbelegung!$A$5:$A$10004,$A977)&gt;$D977-$F977+0.001),"ÜBERBELEGT","OK"))</f>
        <v/>
      </c>
      <c r="N977" s="24" t="n"/>
      <c r="O977" s="24" t="n"/>
      <c r="P977" s="9" t="n"/>
      <c r="Q977" s="18">
        <f>IF($A977="","",IFERROR($D977/1000*INDEX(Profile!$K$5:$K$304,MATCH($B977,lst_Profil,0))*INDEX(Werkstoffe!$E$5:$E$304,MATCH($C977,lst_Werkstoff,0))/1000,""))</f>
        <v/>
      </c>
      <c r="R977" s="18">
        <f>IF($A977="","",IF(N(_xlfn.MAXIFS(Auftrag!$AP$13:$AP$512,Auftrag!$D$13:$D$512,$B977,Auftrag!$E$13:$E$512,$C977,Auftrag!$Q$13:$Q$512,$D977))&gt;0,_xlfn.MAXIFS(Auftrag!$AP$13:$AP$512,Auftrag!$D$13:$D$512,$B977,Auftrag!$E$13:$E$512,$C977,Auftrag!$Q$13:$Q$512,$D977)*$D977/1000,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9" t="n"/>
      <c r="E978" s="24" t="n"/>
      <c r="F978" s="24" t="n"/>
      <c r="G978" s="12">
        <f>IF($A978="","",COUNTIFS(Stangenbelegung!$A$5:$A$10004,$A978))</f>
        <v/>
      </c>
      <c r="H978" s="35">
        <f>IF($A978="","",SUMIFS(Stangenbelegung!$F$5:$F$10004,Stangenbelegung!$A$5:$A$10004,$A978))</f>
        <v/>
      </c>
      <c r="I978" s="23" t="n"/>
      <c r="J978" s="35">
        <f>IF($A978="","",$E978+H978+$I978)</f>
        <v/>
      </c>
      <c r="K978" s="35">
        <f>IF($A978="","",$D978-J978)</f>
        <v/>
      </c>
      <c r="L978" s="32">
        <f>IF($A978="","",H978/$D978)</f>
        <v/>
      </c>
      <c r="M978" s="28">
        <f>IF($A978="","",IF(OR(J978+$F978&gt;$D978+0.001,_xlfn.MAXIFS(Stangenbelegung!$H$5:$H$10004,Stangenbelegung!$A$5:$A$10004,$A978)&gt;$D978-$F978+0.001),"ÜBERBELEGT","OK"))</f>
        <v/>
      </c>
      <c r="N978" s="24" t="n"/>
      <c r="O978" s="24" t="n"/>
      <c r="P978" s="9" t="n"/>
      <c r="Q978" s="18">
        <f>IF($A978="","",IFERROR($D978/1000*INDEX(Profile!$K$5:$K$304,MATCH($B978,lst_Profil,0))*INDEX(Werkstoffe!$E$5:$E$304,MATCH($C978,lst_Werkstoff,0))/1000,""))</f>
        <v/>
      </c>
      <c r="R978" s="18">
        <f>IF($A978="","",IF(N(_xlfn.MAXIFS(Auftrag!$AP$13:$AP$512,Auftrag!$D$13:$D$512,$B978,Auftrag!$E$13:$E$512,$C978,Auftrag!$Q$13:$Q$512,$D978))&gt;0,_xlfn.MAXIFS(Auftrag!$AP$13:$AP$512,Auftrag!$D$13:$D$512,$B978,Auftrag!$E$13:$E$512,$C978,Auftrag!$Q$13:$Q$512,$D978)*$D978/1000,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9" t="n"/>
      <c r="E979" s="24" t="n"/>
      <c r="F979" s="24" t="n"/>
      <c r="G979" s="12">
        <f>IF($A979="","",COUNTIFS(Stangenbelegung!$A$5:$A$10004,$A979))</f>
        <v/>
      </c>
      <c r="H979" s="35">
        <f>IF($A979="","",SUMIFS(Stangenbelegung!$F$5:$F$10004,Stangenbelegung!$A$5:$A$10004,$A979))</f>
        <v/>
      </c>
      <c r="I979" s="23" t="n"/>
      <c r="J979" s="35">
        <f>IF($A979="","",$E979+H979+$I979)</f>
        <v/>
      </c>
      <c r="K979" s="35">
        <f>IF($A979="","",$D979-J979)</f>
        <v/>
      </c>
      <c r="L979" s="32">
        <f>IF($A979="","",H979/$D979)</f>
        <v/>
      </c>
      <c r="M979" s="28">
        <f>IF($A979="","",IF(OR(J979+$F979&gt;$D979+0.001,_xlfn.MAXIFS(Stangenbelegung!$H$5:$H$10004,Stangenbelegung!$A$5:$A$10004,$A979)&gt;$D979-$F979+0.001),"ÜBERBELEGT","OK"))</f>
        <v/>
      </c>
      <c r="N979" s="24" t="n"/>
      <c r="O979" s="24" t="n"/>
      <c r="P979" s="9" t="n"/>
      <c r="Q979" s="18">
        <f>IF($A979="","",IFERROR($D979/1000*INDEX(Profile!$K$5:$K$304,MATCH($B979,lst_Profil,0))*INDEX(Werkstoffe!$E$5:$E$304,MATCH($C979,lst_Werkstoff,0))/1000,""))</f>
        <v/>
      </c>
      <c r="R979" s="18">
        <f>IF($A979="","",IF(N(_xlfn.MAXIFS(Auftrag!$AP$13:$AP$512,Auftrag!$D$13:$D$512,$B979,Auftrag!$E$13:$E$512,$C979,Auftrag!$Q$13:$Q$512,$D979))&gt;0,_xlfn.MAXIFS(Auftrag!$AP$13:$AP$512,Auftrag!$D$13:$D$512,$B979,Auftrag!$E$13:$E$512,$C979,Auftrag!$Q$13:$Q$512,$D979)*$D979/1000,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9" t="n"/>
      <c r="E980" s="24" t="n"/>
      <c r="F980" s="24" t="n"/>
      <c r="G980" s="12">
        <f>IF($A980="","",COUNTIFS(Stangenbelegung!$A$5:$A$10004,$A980))</f>
        <v/>
      </c>
      <c r="H980" s="35">
        <f>IF($A980="","",SUMIFS(Stangenbelegung!$F$5:$F$10004,Stangenbelegung!$A$5:$A$10004,$A980))</f>
        <v/>
      </c>
      <c r="I980" s="23" t="n"/>
      <c r="J980" s="35">
        <f>IF($A980="","",$E980+H980+$I980)</f>
        <v/>
      </c>
      <c r="K980" s="35">
        <f>IF($A980="","",$D980-J980)</f>
        <v/>
      </c>
      <c r="L980" s="32">
        <f>IF($A980="","",H980/$D980)</f>
        <v/>
      </c>
      <c r="M980" s="28">
        <f>IF($A980="","",IF(OR(J980+$F980&gt;$D980+0.001,_xlfn.MAXIFS(Stangenbelegung!$H$5:$H$10004,Stangenbelegung!$A$5:$A$10004,$A980)&gt;$D980-$F980+0.001),"ÜBERBELEGT","OK"))</f>
        <v/>
      </c>
      <c r="N980" s="24" t="n"/>
      <c r="O980" s="24" t="n"/>
      <c r="P980" s="9" t="n"/>
      <c r="Q980" s="18">
        <f>IF($A980="","",IFERROR($D980/1000*INDEX(Profile!$K$5:$K$304,MATCH($B980,lst_Profil,0))*INDEX(Werkstoffe!$E$5:$E$304,MATCH($C980,lst_Werkstoff,0))/1000,""))</f>
        <v/>
      </c>
      <c r="R980" s="18">
        <f>IF($A980="","",IF(N(_xlfn.MAXIFS(Auftrag!$AP$13:$AP$512,Auftrag!$D$13:$D$512,$B980,Auftrag!$E$13:$E$512,$C980,Auftrag!$Q$13:$Q$512,$D980))&gt;0,_xlfn.MAXIFS(Auftrag!$AP$13:$AP$512,Auftrag!$D$13:$D$512,$B980,Auftrag!$E$13:$E$512,$C980,Auftrag!$Q$13:$Q$512,$D980)*$D980/1000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9" t="n"/>
      <c r="E981" s="24" t="n"/>
      <c r="F981" s="24" t="n"/>
      <c r="G981" s="12">
        <f>IF($A981="","",COUNTIFS(Stangenbelegung!$A$5:$A$10004,$A981))</f>
        <v/>
      </c>
      <c r="H981" s="35">
        <f>IF($A981="","",SUMIFS(Stangenbelegung!$F$5:$F$10004,Stangenbelegung!$A$5:$A$10004,$A981))</f>
        <v/>
      </c>
      <c r="I981" s="23" t="n"/>
      <c r="J981" s="35">
        <f>IF($A981="","",$E981+H981+$I981)</f>
        <v/>
      </c>
      <c r="K981" s="35">
        <f>IF($A981="","",$D981-J981)</f>
        <v/>
      </c>
      <c r="L981" s="32">
        <f>IF($A981="","",H981/$D981)</f>
        <v/>
      </c>
      <c r="M981" s="28">
        <f>IF($A981="","",IF(OR(J981+$F981&gt;$D981+0.001,_xlfn.MAXIFS(Stangenbelegung!$H$5:$H$10004,Stangenbelegung!$A$5:$A$10004,$A981)&gt;$D981-$F981+0.001),"ÜBERBELEGT","OK"))</f>
        <v/>
      </c>
      <c r="N981" s="24" t="n"/>
      <c r="O981" s="24" t="n"/>
      <c r="P981" s="9" t="n"/>
      <c r="Q981" s="18">
        <f>IF($A981="","",IFERROR($D981/1000*INDEX(Profile!$K$5:$K$304,MATCH($B981,lst_Profil,0))*INDEX(Werkstoffe!$E$5:$E$304,MATCH($C981,lst_Werkstoff,0))/1000,""))</f>
        <v/>
      </c>
      <c r="R981" s="18">
        <f>IF($A981="","",IF(N(_xlfn.MAXIFS(Auftrag!$AP$13:$AP$512,Auftrag!$D$13:$D$512,$B981,Auftrag!$E$13:$E$512,$C981,Auftrag!$Q$13:$Q$512,$D981))&gt;0,_xlfn.MAXIFS(Auftrag!$AP$13:$AP$512,Auftrag!$D$13:$D$512,$B981,Auftrag!$E$13:$E$512,$C981,Auftrag!$Q$13:$Q$512,$D981)*$D981/1000,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9" t="n"/>
      <c r="E982" s="24" t="n"/>
      <c r="F982" s="24" t="n"/>
      <c r="G982" s="12">
        <f>IF($A982="","",COUNTIFS(Stangenbelegung!$A$5:$A$10004,$A982))</f>
        <v/>
      </c>
      <c r="H982" s="35">
        <f>IF($A982="","",SUMIFS(Stangenbelegung!$F$5:$F$10004,Stangenbelegung!$A$5:$A$10004,$A982))</f>
        <v/>
      </c>
      <c r="I982" s="23" t="n"/>
      <c r="J982" s="35">
        <f>IF($A982="","",$E982+H982+$I982)</f>
        <v/>
      </c>
      <c r="K982" s="35">
        <f>IF($A982="","",$D982-J982)</f>
        <v/>
      </c>
      <c r="L982" s="32">
        <f>IF($A982="","",H982/$D982)</f>
        <v/>
      </c>
      <c r="M982" s="28">
        <f>IF($A982="","",IF(OR(J982+$F982&gt;$D982+0.001,_xlfn.MAXIFS(Stangenbelegung!$H$5:$H$10004,Stangenbelegung!$A$5:$A$10004,$A982)&gt;$D982-$F982+0.001),"ÜBERBELEGT","OK"))</f>
        <v/>
      </c>
      <c r="N982" s="24" t="n"/>
      <c r="O982" s="24" t="n"/>
      <c r="P982" s="9" t="n"/>
      <c r="Q982" s="18">
        <f>IF($A982="","",IFERROR($D982/1000*INDEX(Profile!$K$5:$K$304,MATCH($B982,lst_Profil,0))*INDEX(Werkstoffe!$E$5:$E$304,MATCH($C982,lst_Werkstoff,0))/1000,""))</f>
        <v/>
      </c>
      <c r="R982" s="18">
        <f>IF($A982="","",IF(N(_xlfn.MAXIFS(Auftrag!$AP$13:$AP$512,Auftrag!$D$13:$D$512,$B982,Auftrag!$E$13:$E$512,$C982,Auftrag!$Q$13:$Q$512,$D982))&gt;0,_xlfn.MAXIFS(Auftrag!$AP$13:$AP$512,Auftrag!$D$13:$D$512,$B982,Auftrag!$E$13:$E$512,$C982,Auftrag!$Q$13:$Q$512,$D982)*$D982/1000,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9" t="n"/>
      <c r="E983" s="24" t="n"/>
      <c r="F983" s="24" t="n"/>
      <c r="G983" s="12">
        <f>IF($A983="","",COUNTIFS(Stangenbelegung!$A$5:$A$10004,$A983))</f>
        <v/>
      </c>
      <c r="H983" s="35">
        <f>IF($A983="","",SUMIFS(Stangenbelegung!$F$5:$F$10004,Stangenbelegung!$A$5:$A$10004,$A983))</f>
        <v/>
      </c>
      <c r="I983" s="23" t="n"/>
      <c r="J983" s="35">
        <f>IF($A983="","",$E983+H983+$I983)</f>
        <v/>
      </c>
      <c r="K983" s="35">
        <f>IF($A983="","",$D983-J983)</f>
        <v/>
      </c>
      <c r="L983" s="32">
        <f>IF($A983="","",H983/$D983)</f>
        <v/>
      </c>
      <c r="M983" s="28">
        <f>IF($A983="","",IF(OR(J983+$F983&gt;$D983+0.001,_xlfn.MAXIFS(Stangenbelegung!$H$5:$H$10004,Stangenbelegung!$A$5:$A$10004,$A983)&gt;$D983-$F983+0.001),"ÜBERBELEGT","OK"))</f>
        <v/>
      </c>
      <c r="N983" s="24" t="n"/>
      <c r="O983" s="24" t="n"/>
      <c r="P983" s="9" t="n"/>
      <c r="Q983" s="18">
        <f>IF($A983="","",IFERROR($D983/1000*INDEX(Profile!$K$5:$K$304,MATCH($B983,lst_Profil,0))*INDEX(Werkstoffe!$E$5:$E$304,MATCH($C983,lst_Werkstoff,0))/1000,""))</f>
        <v/>
      </c>
      <c r="R983" s="18">
        <f>IF($A983="","",IF(N(_xlfn.MAXIFS(Auftrag!$AP$13:$AP$512,Auftrag!$D$13:$D$512,$B983,Auftrag!$E$13:$E$512,$C983,Auftrag!$Q$13:$Q$512,$D983))&gt;0,_xlfn.MAXIFS(Auftrag!$AP$13:$AP$512,Auftrag!$D$13:$D$512,$B983,Auftrag!$E$13:$E$512,$C983,Auftrag!$Q$13:$Q$512,$D983)*$D983/1000,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9" t="n"/>
      <c r="E984" s="24" t="n"/>
      <c r="F984" s="24" t="n"/>
      <c r="G984" s="12">
        <f>IF($A984="","",COUNTIFS(Stangenbelegung!$A$5:$A$10004,$A984))</f>
        <v/>
      </c>
      <c r="H984" s="35">
        <f>IF($A984="","",SUMIFS(Stangenbelegung!$F$5:$F$10004,Stangenbelegung!$A$5:$A$10004,$A984))</f>
        <v/>
      </c>
      <c r="I984" s="23" t="n"/>
      <c r="J984" s="35">
        <f>IF($A984="","",$E984+H984+$I984)</f>
        <v/>
      </c>
      <c r="K984" s="35">
        <f>IF($A984="","",$D984-J984)</f>
        <v/>
      </c>
      <c r="L984" s="32">
        <f>IF($A984="","",H984/$D984)</f>
        <v/>
      </c>
      <c r="M984" s="28">
        <f>IF($A984="","",IF(OR(J984+$F984&gt;$D984+0.001,_xlfn.MAXIFS(Stangenbelegung!$H$5:$H$10004,Stangenbelegung!$A$5:$A$10004,$A984)&gt;$D984-$F984+0.001),"ÜBERBELEGT","OK"))</f>
        <v/>
      </c>
      <c r="N984" s="24" t="n"/>
      <c r="O984" s="24" t="n"/>
      <c r="P984" s="9" t="n"/>
      <c r="Q984" s="18">
        <f>IF($A984="","",IFERROR($D984/1000*INDEX(Profile!$K$5:$K$304,MATCH($B984,lst_Profil,0))*INDEX(Werkstoffe!$E$5:$E$304,MATCH($C984,lst_Werkstoff,0))/1000,""))</f>
        <v/>
      </c>
      <c r="R984" s="18">
        <f>IF($A984="","",IF(N(_xlfn.MAXIFS(Auftrag!$AP$13:$AP$512,Auftrag!$D$13:$D$512,$B984,Auftrag!$E$13:$E$512,$C984,Auftrag!$Q$13:$Q$512,$D984))&gt;0,_xlfn.MAXIFS(Auftrag!$AP$13:$AP$512,Auftrag!$D$13:$D$512,$B984,Auftrag!$E$13:$E$512,$C984,Auftrag!$Q$13:$Q$512,$D984)*$D984/1000,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9" t="n"/>
      <c r="E985" s="24" t="n"/>
      <c r="F985" s="24" t="n"/>
      <c r="G985" s="12">
        <f>IF($A985="","",COUNTIFS(Stangenbelegung!$A$5:$A$10004,$A985))</f>
        <v/>
      </c>
      <c r="H985" s="35">
        <f>IF($A985="","",SUMIFS(Stangenbelegung!$F$5:$F$10004,Stangenbelegung!$A$5:$A$10004,$A985))</f>
        <v/>
      </c>
      <c r="I985" s="23" t="n"/>
      <c r="J985" s="35">
        <f>IF($A985="","",$E985+H985+$I985)</f>
        <v/>
      </c>
      <c r="K985" s="35">
        <f>IF($A985="","",$D985-J985)</f>
        <v/>
      </c>
      <c r="L985" s="32">
        <f>IF($A985="","",H985/$D985)</f>
        <v/>
      </c>
      <c r="M985" s="28">
        <f>IF($A985="","",IF(OR(J985+$F985&gt;$D985+0.001,_xlfn.MAXIFS(Stangenbelegung!$H$5:$H$10004,Stangenbelegung!$A$5:$A$10004,$A985)&gt;$D985-$F985+0.001),"ÜBERBELEGT","OK"))</f>
        <v/>
      </c>
      <c r="N985" s="24" t="n"/>
      <c r="O985" s="24" t="n"/>
      <c r="P985" s="9" t="n"/>
      <c r="Q985" s="18">
        <f>IF($A985="","",IFERROR($D985/1000*INDEX(Profile!$K$5:$K$304,MATCH($B985,lst_Profil,0))*INDEX(Werkstoffe!$E$5:$E$304,MATCH($C985,lst_Werkstoff,0))/1000,""))</f>
        <v/>
      </c>
      <c r="R985" s="18">
        <f>IF($A985="","",IF(N(_xlfn.MAXIFS(Auftrag!$AP$13:$AP$512,Auftrag!$D$13:$D$512,$B985,Auftrag!$E$13:$E$512,$C985,Auftrag!$Q$13:$Q$512,$D985))&gt;0,_xlfn.MAXIFS(Auftrag!$AP$13:$AP$512,Auftrag!$D$13:$D$512,$B985,Auftrag!$E$13:$E$512,$C985,Auftrag!$Q$13:$Q$512,$D985)*$D985/1000,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9" t="n"/>
      <c r="E986" s="24" t="n"/>
      <c r="F986" s="24" t="n"/>
      <c r="G986" s="12">
        <f>IF($A986="","",COUNTIFS(Stangenbelegung!$A$5:$A$10004,$A986))</f>
        <v/>
      </c>
      <c r="H986" s="35">
        <f>IF($A986="","",SUMIFS(Stangenbelegung!$F$5:$F$10004,Stangenbelegung!$A$5:$A$10004,$A986))</f>
        <v/>
      </c>
      <c r="I986" s="23" t="n"/>
      <c r="J986" s="35">
        <f>IF($A986="","",$E986+H986+$I986)</f>
        <v/>
      </c>
      <c r="K986" s="35">
        <f>IF($A986="","",$D986-J986)</f>
        <v/>
      </c>
      <c r="L986" s="32">
        <f>IF($A986="","",H986/$D986)</f>
        <v/>
      </c>
      <c r="M986" s="28">
        <f>IF($A986="","",IF(OR(J986+$F986&gt;$D986+0.001,_xlfn.MAXIFS(Stangenbelegung!$H$5:$H$10004,Stangenbelegung!$A$5:$A$10004,$A986)&gt;$D986-$F986+0.001),"ÜBERBELEGT","OK"))</f>
        <v/>
      </c>
      <c r="N986" s="24" t="n"/>
      <c r="O986" s="24" t="n"/>
      <c r="P986" s="9" t="n"/>
      <c r="Q986" s="18">
        <f>IF($A986="","",IFERROR($D986/1000*INDEX(Profile!$K$5:$K$304,MATCH($B986,lst_Profil,0))*INDEX(Werkstoffe!$E$5:$E$304,MATCH($C986,lst_Werkstoff,0))/1000,""))</f>
        <v/>
      </c>
      <c r="R986" s="18">
        <f>IF($A986="","",IF(N(_xlfn.MAXIFS(Auftrag!$AP$13:$AP$512,Auftrag!$D$13:$D$512,$B986,Auftrag!$E$13:$E$512,$C986,Auftrag!$Q$13:$Q$512,$D986))&gt;0,_xlfn.MAXIFS(Auftrag!$AP$13:$AP$512,Auftrag!$D$13:$D$512,$B986,Auftrag!$E$13:$E$512,$C986,Auftrag!$Q$13:$Q$512,$D986)*$D986/1000,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9" t="n"/>
      <c r="E987" s="24" t="n"/>
      <c r="F987" s="24" t="n"/>
      <c r="G987" s="12">
        <f>IF($A987="","",COUNTIFS(Stangenbelegung!$A$5:$A$10004,$A987))</f>
        <v/>
      </c>
      <c r="H987" s="35">
        <f>IF($A987="","",SUMIFS(Stangenbelegung!$F$5:$F$10004,Stangenbelegung!$A$5:$A$10004,$A987))</f>
        <v/>
      </c>
      <c r="I987" s="23" t="n"/>
      <c r="J987" s="35">
        <f>IF($A987="","",$E987+H987+$I987)</f>
        <v/>
      </c>
      <c r="K987" s="35">
        <f>IF($A987="","",$D987-J987)</f>
        <v/>
      </c>
      <c r="L987" s="32">
        <f>IF($A987="","",H987/$D987)</f>
        <v/>
      </c>
      <c r="M987" s="28">
        <f>IF($A987="","",IF(OR(J987+$F987&gt;$D987+0.001,_xlfn.MAXIFS(Stangenbelegung!$H$5:$H$10004,Stangenbelegung!$A$5:$A$10004,$A987)&gt;$D987-$F987+0.001),"ÜBERBELEGT","OK"))</f>
        <v/>
      </c>
      <c r="N987" s="24" t="n"/>
      <c r="O987" s="24" t="n"/>
      <c r="P987" s="9" t="n"/>
      <c r="Q987" s="18">
        <f>IF($A987="","",IFERROR($D987/1000*INDEX(Profile!$K$5:$K$304,MATCH($B987,lst_Profil,0))*INDEX(Werkstoffe!$E$5:$E$304,MATCH($C987,lst_Werkstoff,0))/1000,""))</f>
        <v/>
      </c>
      <c r="R987" s="18">
        <f>IF($A987="","",IF(N(_xlfn.MAXIFS(Auftrag!$AP$13:$AP$512,Auftrag!$D$13:$D$512,$B987,Auftrag!$E$13:$E$512,$C987,Auftrag!$Q$13:$Q$512,$D987))&gt;0,_xlfn.MAXIFS(Auftrag!$AP$13:$AP$512,Auftrag!$D$13:$D$512,$B987,Auftrag!$E$13:$E$512,$C987,Auftrag!$Q$13:$Q$512,$D987)*$D987/1000,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9" t="n"/>
      <c r="E988" s="24" t="n"/>
      <c r="F988" s="24" t="n"/>
      <c r="G988" s="12">
        <f>IF($A988="","",COUNTIFS(Stangenbelegung!$A$5:$A$10004,$A988))</f>
        <v/>
      </c>
      <c r="H988" s="35">
        <f>IF($A988="","",SUMIFS(Stangenbelegung!$F$5:$F$10004,Stangenbelegung!$A$5:$A$10004,$A988))</f>
        <v/>
      </c>
      <c r="I988" s="23" t="n"/>
      <c r="J988" s="35">
        <f>IF($A988="","",$E988+H988+$I988)</f>
        <v/>
      </c>
      <c r="K988" s="35">
        <f>IF($A988="","",$D988-J988)</f>
        <v/>
      </c>
      <c r="L988" s="32">
        <f>IF($A988="","",H988/$D988)</f>
        <v/>
      </c>
      <c r="M988" s="28">
        <f>IF($A988="","",IF(OR(J988+$F988&gt;$D988+0.001,_xlfn.MAXIFS(Stangenbelegung!$H$5:$H$10004,Stangenbelegung!$A$5:$A$10004,$A988)&gt;$D988-$F988+0.001),"ÜBERBELEGT","OK"))</f>
        <v/>
      </c>
      <c r="N988" s="24" t="n"/>
      <c r="O988" s="24" t="n"/>
      <c r="P988" s="9" t="n"/>
      <c r="Q988" s="18">
        <f>IF($A988="","",IFERROR($D988/1000*INDEX(Profile!$K$5:$K$304,MATCH($B988,lst_Profil,0))*INDEX(Werkstoffe!$E$5:$E$304,MATCH($C988,lst_Werkstoff,0))/1000,""))</f>
        <v/>
      </c>
      <c r="R988" s="18">
        <f>IF($A988="","",IF(N(_xlfn.MAXIFS(Auftrag!$AP$13:$AP$512,Auftrag!$D$13:$D$512,$B988,Auftrag!$E$13:$E$512,$C988,Auftrag!$Q$13:$Q$512,$D988))&gt;0,_xlfn.MAXIFS(Auftrag!$AP$13:$AP$512,Auftrag!$D$13:$D$512,$B988,Auftrag!$E$13:$E$512,$C988,Auftrag!$Q$13:$Q$512,$D988)*$D988/1000,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9" t="n"/>
      <c r="E989" s="24" t="n"/>
      <c r="F989" s="24" t="n"/>
      <c r="G989" s="12">
        <f>IF($A989="","",COUNTIFS(Stangenbelegung!$A$5:$A$10004,$A989))</f>
        <v/>
      </c>
      <c r="H989" s="35">
        <f>IF($A989="","",SUMIFS(Stangenbelegung!$F$5:$F$10004,Stangenbelegung!$A$5:$A$10004,$A989))</f>
        <v/>
      </c>
      <c r="I989" s="23" t="n"/>
      <c r="J989" s="35">
        <f>IF($A989="","",$E989+H989+$I989)</f>
        <v/>
      </c>
      <c r="K989" s="35">
        <f>IF($A989="","",$D989-J989)</f>
        <v/>
      </c>
      <c r="L989" s="32">
        <f>IF($A989="","",H989/$D989)</f>
        <v/>
      </c>
      <c r="M989" s="28">
        <f>IF($A989="","",IF(OR(J989+$F989&gt;$D989+0.001,_xlfn.MAXIFS(Stangenbelegung!$H$5:$H$10004,Stangenbelegung!$A$5:$A$10004,$A989)&gt;$D989-$F989+0.001),"ÜBERBELEGT","OK"))</f>
        <v/>
      </c>
      <c r="N989" s="24" t="n"/>
      <c r="O989" s="24" t="n"/>
      <c r="P989" s="9" t="n"/>
      <c r="Q989" s="18">
        <f>IF($A989="","",IFERROR($D989/1000*INDEX(Profile!$K$5:$K$304,MATCH($B989,lst_Profil,0))*INDEX(Werkstoffe!$E$5:$E$304,MATCH($C989,lst_Werkstoff,0))/1000,""))</f>
        <v/>
      </c>
      <c r="R989" s="18">
        <f>IF($A989="","",IF(N(_xlfn.MAXIFS(Auftrag!$AP$13:$AP$512,Auftrag!$D$13:$D$512,$B989,Auftrag!$E$13:$E$512,$C989,Auftrag!$Q$13:$Q$512,$D989))&gt;0,_xlfn.MAXIFS(Auftrag!$AP$13:$AP$512,Auftrag!$D$13:$D$512,$B989,Auftrag!$E$13:$E$512,$C989,Auftrag!$Q$13:$Q$512,$D989)*$D989/1000,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9" t="n"/>
      <c r="E990" s="24" t="n"/>
      <c r="F990" s="24" t="n"/>
      <c r="G990" s="12">
        <f>IF($A990="","",COUNTIFS(Stangenbelegung!$A$5:$A$10004,$A990))</f>
        <v/>
      </c>
      <c r="H990" s="35">
        <f>IF($A990="","",SUMIFS(Stangenbelegung!$F$5:$F$10004,Stangenbelegung!$A$5:$A$10004,$A990))</f>
        <v/>
      </c>
      <c r="I990" s="23" t="n"/>
      <c r="J990" s="35">
        <f>IF($A990="","",$E990+H990+$I990)</f>
        <v/>
      </c>
      <c r="K990" s="35">
        <f>IF($A990="","",$D990-J990)</f>
        <v/>
      </c>
      <c r="L990" s="32">
        <f>IF($A990="","",H990/$D990)</f>
        <v/>
      </c>
      <c r="M990" s="28">
        <f>IF($A990="","",IF(OR(J990+$F990&gt;$D990+0.001,_xlfn.MAXIFS(Stangenbelegung!$H$5:$H$10004,Stangenbelegung!$A$5:$A$10004,$A990)&gt;$D990-$F990+0.001),"ÜBERBELEGT","OK"))</f>
        <v/>
      </c>
      <c r="N990" s="24" t="n"/>
      <c r="O990" s="24" t="n"/>
      <c r="P990" s="9" t="n"/>
      <c r="Q990" s="18">
        <f>IF($A990="","",IFERROR($D990/1000*INDEX(Profile!$K$5:$K$304,MATCH($B990,lst_Profil,0))*INDEX(Werkstoffe!$E$5:$E$304,MATCH($C990,lst_Werkstoff,0))/1000,""))</f>
        <v/>
      </c>
      <c r="R990" s="18">
        <f>IF($A990="","",IF(N(_xlfn.MAXIFS(Auftrag!$AP$13:$AP$512,Auftrag!$D$13:$D$512,$B990,Auftrag!$E$13:$E$512,$C990,Auftrag!$Q$13:$Q$512,$D990))&gt;0,_xlfn.MAXIFS(Auftrag!$AP$13:$AP$512,Auftrag!$D$13:$D$512,$B990,Auftrag!$E$13:$E$512,$C990,Auftrag!$Q$13:$Q$512,$D990)*$D990/1000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9" t="n"/>
      <c r="E991" s="24" t="n"/>
      <c r="F991" s="24" t="n"/>
      <c r="G991" s="12">
        <f>IF($A991="","",COUNTIFS(Stangenbelegung!$A$5:$A$10004,$A991))</f>
        <v/>
      </c>
      <c r="H991" s="35">
        <f>IF($A991="","",SUMIFS(Stangenbelegung!$F$5:$F$10004,Stangenbelegung!$A$5:$A$10004,$A991))</f>
        <v/>
      </c>
      <c r="I991" s="23" t="n"/>
      <c r="J991" s="35">
        <f>IF($A991="","",$E991+H991+$I991)</f>
        <v/>
      </c>
      <c r="K991" s="35">
        <f>IF($A991="","",$D991-J991)</f>
        <v/>
      </c>
      <c r="L991" s="32">
        <f>IF($A991="","",H991/$D991)</f>
        <v/>
      </c>
      <c r="M991" s="28">
        <f>IF($A991="","",IF(OR(J991+$F991&gt;$D991+0.001,_xlfn.MAXIFS(Stangenbelegung!$H$5:$H$10004,Stangenbelegung!$A$5:$A$10004,$A991)&gt;$D991-$F991+0.001),"ÜBERBELEGT","OK"))</f>
        <v/>
      </c>
      <c r="N991" s="24" t="n"/>
      <c r="O991" s="24" t="n"/>
      <c r="P991" s="9" t="n"/>
      <c r="Q991" s="18">
        <f>IF($A991="","",IFERROR($D991/1000*INDEX(Profile!$K$5:$K$304,MATCH($B991,lst_Profil,0))*INDEX(Werkstoffe!$E$5:$E$304,MATCH($C991,lst_Werkstoff,0))/1000,""))</f>
        <v/>
      </c>
      <c r="R991" s="18">
        <f>IF($A991="","",IF(N(_xlfn.MAXIFS(Auftrag!$AP$13:$AP$512,Auftrag!$D$13:$D$512,$B991,Auftrag!$E$13:$E$512,$C991,Auftrag!$Q$13:$Q$512,$D991))&gt;0,_xlfn.MAXIFS(Auftrag!$AP$13:$AP$512,Auftrag!$D$13:$D$512,$B991,Auftrag!$E$13:$E$512,$C991,Auftrag!$Q$13:$Q$512,$D991)*$D991/1000,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9" t="n"/>
      <c r="E992" s="24" t="n"/>
      <c r="F992" s="24" t="n"/>
      <c r="G992" s="12">
        <f>IF($A992="","",COUNTIFS(Stangenbelegung!$A$5:$A$10004,$A992))</f>
        <v/>
      </c>
      <c r="H992" s="35">
        <f>IF($A992="","",SUMIFS(Stangenbelegung!$F$5:$F$10004,Stangenbelegung!$A$5:$A$10004,$A992))</f>
        <v/>
      </c>
      <c r="I992" s="23" t="n"/>
      <c r="J992" s="35">
        <f>IF($A992="","",$E992+H992+$I992)</f>
        <v/>
      </c>
      <c r="K992" s="35">
        <f>IF($A992="","",$D992-J992)</f>
        <v/>
      </c>
      <c r="L992" s="32">
        <f>IF($A992="","",H992/$D992)</f>
        <v/>
      </c>
      <c r="M992" s="28">
        <f>IF($A992="","",IF(OR(J992+$F992&gt;$D992+0.001,_xlfn.MAXIFS(Stangenbelegung!$H$5:$H$10004,Stangenbelegung!$A$5:$A$10004,$A992)&gt;$D992-$F992+0.001),"ÜBERBELEGT","OK"))</f>
        <v/>
      </c>
      <c r="N992" s="24" t="n"/>
      <c r="O992" s="24" t="n"/>
      <c r="P992" s="9" t="n"/>
      <c r="Q992" s="18">
        <f>IF($A992="","",IFERROR($D992/1000*INDEX(Profile!$K$5:$K$304,MATCH($B992,lst_Profil,0))*INDEX(Werkstoffe!$E$5:$E$304,MATCH($C992,lst_Werkstoff,0))/1000,""))</f>
        <v/>
      </c>
      <c r="R992" s="18">
        <f>IF($A992="","",IF(N(_xlfn.MAXIFS(Auftrag!$AP$13:$AP$512,Auftrag!$D$13:$D$512,$B992,Auftrag!$E$13:$E$512,$C992,Auftrag!$Q$13:$Q$512,$D992))&gt;0,_xlfn.MAXIFS(Auftrag!$AP$13:$AP$512,Auftrag!$D$13:$D$512,$B992,Auftrag!$E$13:$E$512,$C992,Auftrag!$Q$13:$Q$512,$D992)*$D992/1000,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9" t="n"/>
      <c r="E993" s="24" t="n"/>
      <c r="F993" s="24" t="n"/>
      <c r="G993" s="12">
        <f>IF($A993="","",COUNTIFS(Stangenbelegung!$A$5:$A$10004,$A993))</f>
        <v/>
      </c>
      <c r="H993" s="35">
        <f>IF($A993="","",SUMIFS(Stangenbelegung!$F$5:$F$10004,Stangenbelegung!$A$5:$A$10004,$A993))</f>
        <v/>
      </c>
      <c r="I993" s="23" t="n"/>
      <c r="J993" s="35">
        <f>IF($A993="","",$E993+H993+$I993)</f>
        <v/>
      </c>
      <c r="K993" s="35">
        <f>IF($A993="","",$D993-J993)</f>
        <v/>
      </c>
      <c r="L993" s="32">
        <f>IF($A993="","",H993/$D993)</f>
        <v/>
      </c>
      <c r="M993" s="28">
        <f>IF($A993="","",IF(OR(J993+$F993&gt;$D993+0.001,_xlfn.MAXIFS(Stangenbelegung!$H$5:$H$10004,Stangenbelegung!$A$5:$A$10004,$A993)&gt;$D993-$F993+0.001),"ÜBERBELEGT","OK"))</f>
        <v/>
      </c>
      <c r="N993" s="24" t="n"/>
      <c r="O993" s="24" t="n"/>
      <c r="P993" s="9" t="n"/>
      <c r="Q993" s="18">
        <f>IF($A993="","",IFERROR($D993/1000*INDEX(Profile!$K$5:$K$304,MATCH($B993,lst_Profil,0))*INDEX(Werkstoffe!$E$5:$E$304,MATCH($C993,lst_Werkstoff,0))/1000,""))</f>
        <v/>
      </c>
      <c r="R993" s="18">
        <f>IF($A993="","",IF(N(_xlfn.MAXIFS(Auftrag!$AP$13:$AP$512,Auftrag!$D$13:$D$512,$B993,Auftrag!$E$13:$E$512,$C993,Auftrag!$Q$13:$Q$512,$D993))&gt;0,_xlfn.MAXIFS(Auftrag!$AP$13:$AP$512,Auftrag!$D$13:$D$512,$B993,Auftrag!$E$13:$E$512,$C993,Auftrag!$Q$13:$Q$512,$D993)*$D993/1000,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9" t="n"/>
      <c r="E994" s="24" t="n"/>
      <c r="F994" s="24" t="n"/>
      <c r="G994" s="12">
        <f>IF($A994="","",COUNTIFS(Stangenbelegung!$A$5:$A$10004,$A994))</f>
        <v/>
      </c>
      <c r="H994" s="35">
        <f>IF($A994="","",SUMIFS(Stangenbelegung!$F$5:$F$10004,Stangenbelegung!$A$5:$A$10004,$A994))</f>
        <v/>
      </c>
      <c r="I994" s="23" t="n"/>
      <c r="J994" s="35">
        <f>IF($A994="","",$E994+H994+$I994)</f>
        <v/>
      </c>
      <c r="K994" s="35">
        <f>IF($A994="","",$D994-J994)</f>
        <v/>
      </c>
      <c r="L994" s="32">
        <f>IF($A994="","",H994/$D994)</f>
        <v/>
      </c>
      <c r="M994" s="28">
        <f>IF($A994="","",IF(OR(J994+$F994&gt;$D994+0.001,_xlfn.MAXIFS(Stangenbelegung!$H$5:$H$10004,Stangenbelegung!$A$5:$A$10004,$A994)&gt;$D994-$F994+0.001),"ÜBERBELEGT","OK"))</f>
        <v/>
      </c>
      <c r="N994" s="24" t="n"/>
      <c r="O994" s="24" t="n"/>
      <c r="P994" s="9" t="n"/>
      <c r="Q994" s="18">
        <f>IF($A994="","",IFERROR($D994/1000*INDEX(Profile!$K$5:$K$304,MATCH($B994,lst_Profil,0))*INDEX(Werkstoffe!$E$5:$E$304,MATCH($C994,lst_Werkstoff,0))/1000,""))</f>
        <v/>
      </c>
      <c r="R994" s="18">
        <f>IF($A994="","",IF(N(_xlfn.MAXIFS(Auftrag!$AP$13:$AP$512,Auftrag!$D$13:$D$512,$B994,Auftrag!$E$13:$E$512,$C994,Auftrag!$Q$13:$Q$512,$D994))&gt;0,_xlfn.MAXIFS(Auftrag!$AP$13:$AP$512,Auftrag!$D$13:$D$512,$B994,Auftrag!$E$13:$E$512,$C994,Auftrag!$Q$13:$Q$512,$D994)*$D994/1000,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9" t="n"/>
      <c r="E995" s="24" t="n"/>
      <c r="F995" s="24" t="n"/>
      <c r="G995" s="12">
        <f>IF($A995="","",COUNTIFS(Stangenbelegung!$A$5:$A$10004,$A995))</f>
        <v/>
      </c>
      <c r="H995" s="35">
        <f>IF($A995="","",SUMIFS(Stangenbelegung!$F$5:$F$10004,Stangenbelegung!$A$5:$A$10004,$A995))</f>
        <v/>
      </c>
      <c r="I995" s="23" t="n"/>
      <c r="J995" s="35">
        <f>IF($A995="","",$E995+H995+$I995)</f>
        <v/>
      </c>
      <c r="K995" s="35">
        <f>IF($A995="","",$D995-J995)</f>
        <v/>
      </c>
      <c r="L995" s="32">
        <f>IF($A995="","",H995/$D995)</f>
        <v/>
      </c>
      <c r="M995" s="28">
        <f>IF($A995="","",IF(OR(J995+$F995&gt;$D995+0.001,_xlfn.MAXIFS(Stangenbelegung!$H$5:$H$10004,Stangenbelegung!$A$5:$A$10004,$A995)&gt;$D995-$F995+0.001),"ÜBERBELEGT","OK"))</f>
        <v/>
      </c>
      <c r="N995" s="24" t="n"/>
      <c r="O995" s="24" t="n"/>
      <c r="P995" s="9" t="n"/>
      <c r="Q995" s="18">
        <f>IF($A995="","",IFERROR($D995/1000*INDEX(Profile!$K$5:$K$304,MATCH($B995,lst_Profil,0))*INDEX(Werkstoffe!$E$5:$E$304,MATCH($C995,lst_Werkstoff,0))/1000,""))</f>
        <v/>
      </c>
      <c r="R995" s="18">
        <f>IF($A995="","",IF(N(_xlfn.MAXIFS(Auftrag!$AP$13:$AP$512,Auftrag!$D$13:$D$512,$B995,Auftrag!$E$13:$E$512,$C995,Auftrag!$Q$13:$Q$512,$D995))&gt;0,_xlfn.MAXIFS(Auftrag!$AP$13:$AP$512,Auftrag!$D$13:$D$512,$B995,Auftrag!$E$13:$E$512,$C995,Auftrag!$Q$13:$Q$512,$D995)*$D995/1000,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9" t="n"/>
      <c r="E996" s="24" t="n"/>
      <c r="F996" s="24" t="n"/>
      <c r="G996" s="12">
        <f>IF($A996="","",COUNTIFS(Stangenbelegung!$A$5:$A$10004,$A996))</f>
        <v/>
      </c>
      <c r="H996" s="35">
        <f>IF($A996="","",SUMIFS(Stangenbelegung!$F$5:$F$10004,Stangenbelegung!$A$5:$A$10004,$A996))</f>
        <v/>
      </c>
      <c r="I996" s="23" t="n"/>
      <c r="J996" s="35">
        <f>IF($A996="","",$E996+H996+$I996)</f>
        <v/>
      </c>
      <c r="K996" s="35">
        <f>IF($A996="","",$D996-J996)</f>
        <v/>
      </c>
      <c r="L996" s="32">
        <f>IF($A996="","",H996/$D996)</f>
        <v/>
      </c>
      <c r="M996" s="28">
        <f>IF($A996="","",IF(OR(J996+$F996&gt;$D996+0.001,_xlfn.MAXIFS(Stangenbelegung!$H$5:$H$10004,Stangenbelegung!$A$5:$A$10004,$A996)&gt;$D996-$F996+0.001),"ÜBERBELEGT","OK"))</f>
        <v/>
      </c>
      <c r="N996" s="24" t="n"/>
      <c r="O996" s="24" t="n"/>
      <c r="P996" s="9" t="n"/>
      <c r="Q996" s="18">
        <f>IF($A996="","",IFERROR($D996/1000*INDEX(Profile!$K$5:$K$304,MATCH($B996,lst_Profil,0))*INDEX(Werkstoffe!$E$5:$E$304,MATCH($C996,lst_Werkstoff,0))/1000,""))</f>
        <v/>
      </c>
      <c r="R996" s="18">
        <f>IF($A996="","",IF(N(_xlfn.MAXIFS(Auftrag!$AP$13:$AP$512,Auftrag!$D$13:$D$512,$B996,Auftrag!$E$13:$E$512,$C996,Auftrag!$Q$13:$Q$512,$D996))&gt;0,_xlfn.MAXIFS(Auftrag!$AP$13:$AP$512,Auftrag!$D$13:$D$512,$B996,Auftrag!$E$13:$E$512,$C996,Auftrag!$Q$13:$Q$512,$D996)*$D996/1000,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9" t="n"/>
      <c r="E997" s="24" t="n"/>
      <c r="F997" s="24" t="n"/>
      <c r="G997" s="12">
        <f>IF($A997="","",COUNTIFS(Stangenbelegung!$A$5:$A$10004,$A997))</f>
        <v/>
      </c>
      <c r="H997" s="35">
        <f>IF($A997="","",SUMIFS(Stangenbelegung!$F$5:$F$10004,Stangenbelegung!$A$5:$A$10004,$A997))</f>
        <v/>
      </c>
      <c r="I997" s="23" t="n"/>
      <c r="J997" s="35">
        <f>IF($A997="","",$E997+H997+$I997)</f>
        <v/>
      </c>
      <c r="K997" s="35">
        <f>IF($A997="","",$D997-J997)</f>
        <v/>
      </c>
      <c r="L997" s="32">
        <f>IF($A997="","",H997/$D997)</f>
        <v/>
      </c>
      <c r="M997" s="28">
        <f>IF($A997="","",IF(OR(J997+$F997&gt;$D997+0.001,_xlfn.MAXIFS(Stangenbelegung!$H$5:$H$10004,Stangenbelegung!$A$5:$A$10004,$A997)&gt;$D997-$F997+0.001),"ÜBERBELEGT","OK"))</f>
        <v/>
      </c>
      <c r="N997" s="24" t="n"/>
      <c r="O997" s="24" t="n"/>
      <c r="P997" s="9" t="n"/>
      <c r="Q997" s="18">
        <f>IF($A997="","",IFERROR($D997/1000*INDEX(Profile!$K$5:$K$304,MATCH($B997,lst_Profil,0))*INDEX(Werkstoffe!$E$5:$E$304,MATCH($C997,lst_Werkstoff,0))/1000,""))</f>
        <v/>
      </c>
      <c r="R997" s="18">
        <f>IF($A997="","",IF(N(_xlfn.MAXIFS(Auftrag!$AP$13:$AP$512,Auftrag!$D$13:$D$512,$B997,Auftrag!$E$13:$E$512,$C997,Auftrag!$Q$13:$Q$512,$D997))&gt;0,_xlfn.MAXIFS(Auftrag!$AP$13:$AP$512,Auftrag!$D$13:$D$512,$B997,Auftrag!$E$13:$E$512,$C997,Auftrag!$Q$13:$Q$512,$D997)*$D997/1000,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9" t="n"/>
      <c r="E998" s="24" t="n"/>
      <c r="F998" s="24" t="n"/>
      <c r="G998" s="12">
        <f>IF($A998="","",COUNTIFS(Stangenbelegung!$A$5:$A$10004,$A998))</f>
        <v/>
      </c>
      <c r="H998" s="35">
        <f>IF($A998="","",SUMIFS(Stangenbelegung!$F$5:$F$10004,Stangenbelegung!$A$5:$A$10004,$A998))</f>
        <v/>
      </c>
      <c r="I998" s="23" t="n"/>
      <c r="J998" s="35">
        <f>IF($A998="","",$E998+H998+$I998)</f>
        <v/>
      </c>
      <c r="K998" s="35">
        <f>IF($A998="","",$D998-J998)</f>
        <v/>
      </c>
      <c r="L998" s="32">
        <f>IF($A998="","",H998/$D998)</f>
        <v/>
      </c>
      <c r="M998" s="28">
        <f>IF($A998="","",IF(OR(J998+$F998&gt;$D998+0.001,_xlfn.MAXIFS(Stangenbelegung!$H$5:$H$10004,Stangenbelegung!$A$5:$A$10004,$A998)&gt;$D998-$F998+0.001),"ÜBERBELEGT","OK"))</f>
        <v/>
      </c>
      <c r="N998" s="24" t="n"/>
      <c r="O998" s="24" t="n"/>
      <c r="P998" s="9" t="n"/>
      <c r="Q998" s="18">
        <f>IF($A998="","",IFERROR($D998/1000*INDEX(Profile!$K$5:$K$304,MATCH($B998,lst_Profil,0))*INDEX(Werkstoffe!$E$5:$E$304,MATCH($C998,lst_Werkstoff,0))/1000,""))</f>
        <v/>
      </c>
      <c r="R998" s="18">
        <f>IF($A998="","",IF(N(_xlfn.MAXIFS(Auftrag!$AP$13:$AP$512,Auftrag!$D$13:$D$512,$B998,Auftrag!$E$13:$E$512,$C998,Auftrag!$Q$13:$Q$512,$D998))&gt;0,_xlfn.MAXIFS(Auftrag!$AP$13:$AP$512,Auftrag!$D$13:$D$512,$B998,Auftrag!$E$13:$E$512,$C998,Auftrag!$Q$13:$Q$512,$D998)*$D998/1000,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9" t="n"/>
      <c r="E999" s="24" t="n"/>
      <c r="F999" s="24" t="n"/>
      <c r="G999" s="12">
        <f>IF($A999="","",COUNTIFS(Stangenbelegung!$A$5:$A$10004,$A999))</f>
        <v/>
      </c>
      <c r="H999" s="35">
        <f>IF($A999="","",SUMIFS(Stangenbelegung!$F$5:$F$10004,Stangenbelegung!$A$5:$A$10004,$A999))</f>
        <v/>
      </c>
      <c r="I999" s="23" t="n"/>
      <c r="J999" s="35">
        <f>IF($A999="","",$E999+H999+$I999)</f>
        <v/>
      </c>
      <c r="K999" s="35">
        <f>IF($A999="","",$D999-J999)</f>
        <v/>
      </c>
      <c r="L999" s="32">
        <f>IF($A999="","",H999/$D999)</f>
        <v/>
      </c>
      <c r="M999" s="28">
        <f>IF($A999="","",IF(OR(J999+$F999&gt;$D999+0.001,_xlfn.MAXIFS(Stangenbelegung!$H$5:$H$10004,Stangenbelegung!$A$5:$A$10004,$A999)&gt;$D999-$F999+0.001),"ÜBERBELEGT","OK"))</f>
        <v/>
      </c>
      <c r="N999" s="24" t="n"/>
      <c r="O999" s="24" t="n"/>
      <c r="P999" s="9" t="n"/>
      <c r="Q999" s="18">
        <f>IF($A999="","",IFERROR($D999/1000*INDEX(Profile!$K$5:$K$304,MATCH($B999,lst_Profil,0))*INDEX(Werkstoffe!$E$5:$E$304,MATCH($C999,lst_Werkstoff,0))/1000,""))</f>
        <v/>
      </c>
      <c r="R999" s="18">
        <f>IF($A999="","",IF(N(_xlfn.MAXIFS(Auftrag!$AP$13:$AP$512,Auftrag!$D$13:$D$512,$B999,Auftrag!$E$13:$E$512,$C999,Auftrag!$Q$13:$Q$512,$D999))&gt;0,_xlfn.MAXIFS(Auftrag!$AP$13:$AP$512,Auftrag!$D$13:$D$512,$B999,Auftrag!$E$13:$E$512,$C999,Auftrag!$Q$13:$Q$512,$D999)*$D999/1000,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9" t="n"/>
      <c r="E1000" s="24" t="n"/>
      <c r="F1000" s="24" t="n"/>
      <c r="G1000" s="12">
        <f>IF($A1000="","",COUNTIFS(Stangenbelegung!$A$5:$A$10004,$A1000))</f>
        <v/>
      </c>
      <c r="H1000" s="35">
        <f>IF($A1000="","",SUMIFS(Stangenbelegung!$F$5:$F$10004,Stangenbelegung!$A$5:$A$10004,$A1000))</f>
        <v/>
      </c>
      <c r="I1000" s="23" t="n"/>
      <c r="J1000" s="35">
        <f>IF($A1000="","",$E1000+H1000+$I1000)</f>
        <v/>
      </c>
      <c r="K1000" s="35">
        <f>IF($A1000="","",$D1000-J1000)</f>
        <v/>
      </c>
      <c r="L1000" s="32">
        <f>IF($A1000="","",H1000/$D1000)</f>
        <v/>
      </c>
      <c r="M1000" s="28">
        <f>IF($A1000="","",IF(OR(J1000+$F1000&gt;$D1000+0.001,_xlfn.MAXIFS(Stangenbelegung!$H$5:$H$10004,Stangenbelegung!$A$5:$A$10004,$A1000)&gt;$D1000-$F1000+0.001),"ÜBERBELEGT","OK"))</f>
        <v/>
      </c>
      <c r="N1000" s="24" t="n"/>
      <c r="O1000" s="24" t="n"/>
      <c r="P1000" s="9" t="n"/>
      <c r="Q1000" s="18">
        <f>IF($A1000="","",IFERROR($D1000/1000*INDEX(Profile!$K$5:$K$304,MATCH($B1000,lst_Profil,0))*INDEX(Werkstoffe!$E$5:$E$304,MATCH($C1000,lst_Werkstoff,0))/1000,""))</f>
        <v/>
      </c>
      <c r="R1000" s="18">
        <f>IF($A1000="","",IF(N(_xlfn.MAXIFS(Auftrag!$AP$13:$AP$512,Auftrag!$D$13:$D$512,$B1000,Auftrag!$E$13:$E$512,$C1000,Auftrag!$Q$13:$Q$512,$D1000))&gt;0,_xlfn.MAXIFS(Auftrag!$AP$13:$AP$512,Auftrag!$D$13:$D$512,$B1000,Auftrag!$E$13:$E$512,$C1000,Auftrag!$Q$13:$Q$512,$D1000)*$D1000/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9" t="n"/>
      <c r="E1001" s="24" t="n"/>
      <c r="F1001" s="24" t="n"/>
      <c r="G1001" s="12">
        <f>IF($A1001="","",COUNTIFS(Stangenbelegung!$A$5:$A$10004,$A1001))</f>
        <v/>
      </c>
      <c r="H1001" s="35">
        <f>IF($A1001="","",SUMIFS(Stangenbelegung!$F$5:$F$10004,Stangenbelegung!$A$5:$A$10004,$A1001))</f>
        <v/>
      </c>
      <c r="I1001" s="23" t="n"/>
      <c r="J1001" s="35">
        <f>IF($A1001="","",$E1001+H1001+$I1001)</f>
        <v/>
      </c>
      <c r="K1001" s="35">
        <f>IF($A1001="","",$D1001-J1001)</f>
        <v/>
      </c>
      <c r="L1001" s="32">
        <f>IF($A1001="","",H1001/$D1001)</f>
        <v/>
      </c>
      <c r="M1001" s="28">
        <f>IF($A1001="","",IF(OR(J1001+$F1001&gt;$D1001+0.001,_xlfn.MAXIFS(Stangenbelegung!$H$5:$H$10004,Stangenbelegung!$A$5:$A$10004,$A1001)&gt;$D1001-$F1001+0.001),"ÜBERBELEGT","OK"))</f>
        <v/>
      </c>
      <c r="N1001" s="24" t="n"/>
      <c r="O1001" s="24" t="n"/>
      <c r="P1001" s="9" t="n"/>
      <c r="Q1001" s="18">
        <f>IF($A1001="","",IFERROR($D1001/1000*INDEX(Profile!$K$5:$K$304,MATCH($B1001,lst_Profil,0))*INDEX(Werkstoffe!$E$5:$E$304,MATCH($C1001,lst_Werkstoff,0))/1000,""))</f>
        <v/>
      </c>
      <c r="R1001" s="18">
        <f>IF($A1001="","",IF(N(_xlfn.MAXIFS(Auftrag!$AP$13:$AP$512,Auftrag!$D$13:$D$512,$B1001,Auftrag!$E$13:$E$512,$C1001,Auftrag!$Q$13:$Q$512,$D1001))&gt;0,_xlfn.MAXIFS(Auftrag!$AP$13:$AP$512,Auftrag!$D$13:$D$512,$B1001,Auftrag!$E$13:$E$512,$C1001,Auftrag!$Q$13:$Q$512,$D1001)*$D1001/1000,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9" t="n"/>
      <c r="E1002" s="24" t="n"/>
      <c r="F1002" s="24" t="n"/>
      <c r="G1002" s="12">
        <f>IF($A1002="","",COUNTIFS(Stangenbelegung!$A$5:$A$10004,$A1002))</f>
        <v/>
      </c>
      <c r="H1002" s="35">
        <f>IF($A1002="","",SUMIFS(Stangenbelegung!$F$5:$F$10004,Stangenbelegung!$A$5:$A$10004,$A1002))</f>
        <v/>
      </c>
      <c r="I1002" s="23" t="n"/>
      <c r="J1002" s="35">
        <f>IF($A1002="","",$E1002+H1002+$I1002)</f>
        <v/>
      </c>
      <c r="K1002" s="35">
        <f>IF($A1002="","",$D1002-J1002)</f>
        <v/>
      </c>
      <c r="L1002" s="32">
        <f>IF($A1002="","",H1002/$D1002)</f>
        <v/>
      </c>
      <c r="M1002" s="28">
        <f>IF($A1002="","",IF(OR(J1002+$F1002&gt;$D1002+0.001,_xlfn.MAXIFS(Stangenbelegung!$H$5:$H$10004,Stangenbelegung!$A$5:$A$10004,$A1002)&gt;$D1002-$F1002+0.001),"ÜBERBELEGT","OK"))</f>
        <v/>
      </c>
      <c r="N1002" s="24" t="n"/>
      <c r="O1002" s="24" t="n"/>
      <c r="P1002" s="9" t="n"/>
      <c r="Q1002" s="18">
        <f>IF($A1002="","",IFERROR($D1002/1000*INDEX(Profile!$K$5:$K$304,MATCH($B1002,lst_Profil,0))*INDEX(Werkstoffe!$E$5:$E$304,MATCH($C1002,lst_Werkstoff,0))/1000,""))</f>
        <v/>
      </c>
      <c r="R1002" s="18">
        <f>IF($A1002="","",IF(N(_xlfn.MAXIFS(Auftrag!$AP$13:$AP$512,Auftrag!$D$13:$D$512,$B1002,Auftrag!$E$13:$E$512,$C1002,Auftrag!$Q$13:$Q$512,$D1002))&gt;0,_xlfn.MAXIFS(Auftrag!$AP$13:$AP$512,Auftrag!$D$13:$D$512,$B1002,Auftrag!$E$13:$E$512,$C1002,Auftrag!$Q$13:$Q$512,$D1002)*$D1002/1000,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9" t="n"/>
      <c r="E1003" s="24" t="n"/>
      <c r="F1003" s="24" t="n"/>
      <c r="G1003" s="12">
        <f>IF($A1003="","",COUNTIFS(Stangenbelegung!$A$5:$A$10004,$A1003))</f>
        <v/>
      </c>
      <c r="H1003" s="35">
        <f>IF($A1003="","",SUMIFS(Stangenbelegung!$F$5:$F$10004,Stangenbelegung!$A$5:$A$10004,$A1003))</f>
        <v/>
      </c>
      <c r="I1003" s="23" t="n"/>
      <c r="J1003" s="35">
        <f>IF($A1003="","",$E1003+H1003+$I1003)</f>
        <v/>
      </c>
      <c r="K1003" s="35">
        <f>IF($A1003="","",$D1003-J1003)</f>
        <v/>
      </c>
      <c r="L1003" s="32">
        <f>IF($A1003="","",H1003/$D1003)</f>
        <v/>
      </c>
      <c r="M1003" s="28">
        <f>IF($A1003="","",IF(OR(J1003+$F1003&gt;$D1003+0.001,_xlfn.MAXIFS(Stangenbelegung!$H$5:$H$10004,Stangenbelegung!$A$5:$A$10004,$A1003)&gt;$D1003-$F1003+0.001),"ÜBERBELEGT","OK"))</f>
        <v/>
      </c>
      <c r="N1003" s="24" t="n"/>
      <c r="O1003" s="24" t="n"/>
      <c r="P1003" s="9" t="n"/>
      <c r="Q1003" s="18">
        <f>IF($A1003="","",IFERROR($D1003/1000*INDEX(Profile!$K$5:$K$304,MATCH($B1003,lst_Profil,0))*INDEX(Werkstoffe!$E$5:$E$304,MATCH($C1003,lst_Werkstoff,0))/1000,""))</f>
        <v/>
      </c>
      <c r="R1003" s="18">
        <f>IF($A1003="","",IF(N(_xlfn.MAXIFS(Auftrag!$AP$13:$AP$512,Auftrag!$D$13:$D$512,$B1003,Auftrag!$E$13:$E$512,$C1003,Auftrag!$Q$13:$Q$512,$D1003))&gt;0,_xlfn.MAXIFS(Auftrag!$AP$13:$AP$512,Auftrag!$D$13:$D$512,$B1003,Auftrag!$E$13:$E$512,$C1003,Auftrag!$Q$13:$Q$512,$D1003)*$D1003/1000,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9" t="n"/>
      <c r="E1004" s="24" t="n"/>
      <c r="F1004" s="24" t="n"/>
      <c r="G1004" s="12">
        <f>IF($A1004="","",COUNTIFS(Stangenbelegung!$A$5:$A$10004,$A1004))</f>
        <v/>
      </c>
      <c r="H1004" s="35">
        <f>IF($A1004="","",SUMIFS(Stangenbelegung!$F$5:$F$10004,Stangenbelegung!$A$5:$A$10004,$A1004))</f>
        <v/>
      </c>
      <c r="I1004" s="23" t="n"/>
      <c r="J1004" s="35">
        <f>IF($A1004="","",$E1004+H1004+$I1004)</f>
        <v/>
      </c>
      <c r="K1004" s="35">
        <f>IF($A1004="","",$D1004-J1004)</f>
        <v/>
      </c>
      <c r="L1004" s="32">
        <f>IF($A1004="","",H1004/$D1004)</f>
        <v/>
      </c>
      <c r="M1004" s="28">
        <f>IF($A1004="","",IF(OR(J1004+$F1004&gt;$D1004+0.001,_xlfn.MAXIFS(Stangenbelegung!$H$5:$H$10004,Stangenbelegung!$A$5:$A$10004,$A1004)&gt;$D1004-$F1004+0.001),"ÜBERBELEGT","OK"))</f>
        <v/>
      </c>
      <c r="N1004" s="24" t="n"/>
      <c r="O1004" s="24" t="n"/>
      <c r="P1004" s="9" t="n"/>
      <c r="Q1004" s="18">
        <f>IF($A1004="","",IFERROR($D1004/1000*INDEX(Profile!$K$5:$K$304,MATCH($B1004,lst_Profil,0))*INDEX(Werkstoffe!$E$5:$E$304,MATCH($C1004,lst_Werkstoff,0))/1000,""))</f>
        <v/>
      </c>
      <c r="R1004" s="18">
        <f>IF($A1004="","",IF(N(_xlfn.MAXIFS(Auftrag!$AP$13:$AP$512,Auftrag!$D$13:$D$512,$B1004,Auftrag!$E$13:$E$512,$C1004,Auftrag!$Q$13:$Q$512,$D1004))&gt;0,_xlfn.MAXIFS(Auftrag!$AP$13:$AP$512,Auftrag!$D$13:$D$512,$B1004,Auftrag!$E$13:$E$512,$C1004,Auftrag!$Q$13:$Q$512,$D1004)*$D1004/1000,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9.xml><?xml version="1.0" encoding="utf-8"?>
<worksheet xmlns="http://schemas.openxmlformats.org/spreadsheetml/2006/main">
  <sheetPr codeName="Tabelle9">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2" t="inlineStr">
        <is>
          <t>Stange Nr.</t>
        </is>
      </c>
      <c r="B4" s="22" t="inlineStr">
        <is>
          <t>Platz</t>
        </is>
      </c>
      <c r="C4" s="22" t="inlineStr">
        <is>
          <t>Pos.</t>
        </is>
      </c>
      <c r="D4" s="22" t="inlineStr">
        <is>
          <t>Artikelnummer</t>
        </is>
      </c>
      <c r="E4" s="22" t="inlineStr">
        <is>
          <t>Zeile Auftrag</t>
        </is>
      </c>
      <c r="F4" s="22" t="inlineStr">
        <is>
          <t>Teilelänge [mm]</t>
        </is>
      </c>
      <c r="G4" s="22" t="inlineStr">
        <is>
          <t>Von [mm]</t>
        </is>
      </c>
      <c r="H4" s="22" t="inlineStr">
        <is>
          <t>Bis [mm]</t>
        </is>
      </c>
      <c r="I4" s="22" t="inlineStr">
        <is>
          <t>Lage</t>
        </is>
      </c>
      <c r="J4" s="22" t="inlineStr">
        <is>
          <t>Trennung zum Vorgänger</t>
        </is>
      </c>
      <c r="K4" s="22" t="inlineStr">
        <is>
          <t>Eingesparter Schneidweg [mm]</t>
        </is>
      </c>
      <c r="L4" s="22" t="inlineStr">
        <is>
          <t>Eingesparte Einstiche</t>
        </is>
      </c>
    </row>
  </sheetData>
  <pageMargins left="0.75" right="0.75" top="1" bottom="1" header="0.5" footer="0.5"/>
</worksheet>
</file>

<file path=xl/worksheets/sheet10.xml><?xml version="1.0" encoding="utf-8"?>
<worksheet xmlns="http://schemas.openxmlformats.org/spreadsheetml/2006/main">
  <sheetPr codeName="Tabelle10">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11.xml><?xml version="1.0" encoding="utf-8"?>
<worksheet xmlns="http://schemas.openxmlformats.org/spreadsheetml/2006/main">
  <sheetPr codeName="Tabelle11">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6" t="inlineStr">
        <is>
          <t>Profilform</t>
        </is>
      </c>
      <c r="B4" s="46" t="inlineStr">
        <is>
          <t>Preisbasis</t>
        </is>
      </c>
      <c r="C4" s="46" t="inlineStr">
        <is>
          <t>Ja/Nein</t>
        </is>
      </c>
      <c r="E4" s="46" t="inlineStr">
        <is>
          <t>Optimierung veraltet</t>
        </is>
      </c>
    </row>
    <row r="5">
      <c r="A5" s="47" t="inlineStr">
        <is>
          <t>Rundrohr</t>
        </is>
      </c>
      <c r="B5" s="47" t="inlineStr">
        <is>
          <t>€/kg</t>
        </is>
      </c>
      <c r="C5" s="47" t="inlineStr">
        <is>
          <t>ja</t>
        </is>
      </c>
      <c r="E5" s="48" t="inlineStr">
        <is>
          <t>nein</t>
        </is>
      </c>
    </row>
    <row r="6">
      <c r="A6" s="47" t="inlineStr">
        <is>
          <t>Quadratrohr</t>
        </is>
      </c>
      <c r="B6" s="47" t="inlineStr">
        <is>
          <t>€/Stange</t>
        </is>
      </c>
      <c r="C6" s="47" t="inlineStr">
        <is>
          <t>nein</t>
        </is>
      </c>
      <c r="E6" s="2" t="inlineStr">
        <is>
          <t>Wird von den Makros gesetzt, nicht ändern.</t>
        </is>
      </c>
    </row>
    <row r="7">
      <c r="A7" s="47" t="inlineStr">
        <is>
          <t>Rechteckrohr</t>
        </is>
      </c>
      <c r="B7" s="47" t="inlineStr">
        <is>
          <t>€/m</t>
        </is>
      </c>
    </row>
    <row r="8">
      <c r="A8" s="47" t="inlineStr">
        <is>
          <t>Sonderprofil</t>
        </is>
      </c>
    </row>
  </sheetData>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2" t="inlineStr">
        <is>
          <t>Profil-ID</t>
        </is>
      </c>
      <c r="B4" s="22" t="inlineStr">
        <is>
          <t>Profilform</t>
        </is>
      </c>
      <c r="C4" s="22" t="inlineStr">
        <is>
          <t>Abmessung A [mm]</t>
        </is>
      </c>
      <c r="D4" s="22" t="inlineStr">
        <is>
          <t>Abmessung B [mm]</t>
        </is>
      </c>
      <c r="E4" s="22" t="inlineStr">
        <is>
          <t>Wandstärke [mm]</t>
        </is>
      </c>
      <c r="F4" s="22" t="inlineStr">
        <is>
          <t>Fläche manuell [mm²] (optional)</t>
        </is>
      </c>
      <c r="G4" s="22" t="inlineStr">
        <is>
          <t>Endbeschnitt abweichend [mm]</t>
        </is>
      </c>
      <c r="H4" s="22" t="inlineStr">
        <is>
          <t>Greiferrest abweichend [mm]</t>
        </is>
      </c>
      <c r="I4" s="22" t="inlineStr">
        <is>
          <t>Bemerkung</t>
        </is>
      </c>
      <c r="J4" s="22" t="inlineStr">
        <is>
          <t>Fläche berechnet [mm²]</t>
        </is>
      </c>
      <c r="K4" s="22" t="inlineStr">
        <is>
          <t>Fläche wirksam [mm²]</t>
        </is>
      </c>
    </row>
    <row r="5">
      <c r="A5" s="9" t="inlineStr">
        <is>
          <t>RR 42,4x2,0</t>
        </is>
      </c>
      <c r="B5" s="9" t="inlineStr">
        <is>
          <t>Rundrohr</t>
        </is>
      </c>
      <c r="C5" s="49" t="n">
        <v>42.4</v>
      </c>
      <c r="D5" s="49" t="n"/>
      <c r="E5" s="50" t="n">
        <v>2</v>
      </c>
      <c r="F5" s="49" t="n"/>
      <c r="G5" s="24" t="n"/>
      <c r="H5" s="24" t="n"/>
      <c r="I5" s="9" t="inlineStr">
        <is>
          <t>Beispiel</t>
        </is>
      </c>
      <c r="J5" s="34">
        <f>IF(OR(A5="",C5="",E5=""),"",IF(B5="Rundrohr",PI()/4*(C5^2-(C5-2*E5)^2),IF(OR(B5="Quadratrohr",AND(B5="Rechteckrohr",D5&lt;&gt;"")),C5*IF(B5="Quadratrohr",C5,D5)-(C5-2*E5)*(IF(B5="Quadratrohr",C5,D5)-2*E5),"")))</f>
        <v/>
      </c>
      <c r="K5" s="34">
        <f>IF(A5="","",IF(F5&lt;&gt;"",F5,J5))</f>
        <v/>
      </c>
    </row>
    <row r="6">
      <c r="A6" s="9" t="inlineStr">
        <is>
          <t>RR 48,3x2,6</t>
        </is>
      </c>
      <c r="B6" s="9" t="inlineStr">
        <is>
          <t>Rundrohr</t>
        </is>
      </c>
      <c r="C6" s="49" t="n">
        <v>48.3</v>
      </c>
      <c r="D6" s="49" t="n"/>
      <c r="E6" s="50" t="n">
        <v>2.6</v>
      </c>
      <c r="F6" s="49" t="n"/>
      <c r="G6" s="24" t="n"/>
      <c r="H6" s="24" t="n"/>
      <c r="I6" s="9" t="inlineStr">
        <is>
          <t>Beispiel</t>
        </is>
      </c>
      <c r="J6" s="34">
        <f>IF(OR(A6="",C6="",E6=""),"",IF(B6="Rundrohr",PI()/4*(C6^2-(C6-2*E6)^2),IF(OR(B6="Quadratrohr",AND(B6="Rechteckrohr",D6&lt;&gt;"")),C6*IF(B6="Quadratrohr",C6,D6)-(C6-2*E6)*(IF(B6="Quadratrohr",C6,D6)-2*E6),"")))</f>
        <v/>
      </c>
      <c r="K6" s="34">
        <f>IF(A6="","",IF(F6&lt;&gt;"",F6,J6))</f>
        <v/>
      </c>
    </row>
    <row r="7">
      <c r="A7" s="9" t="inlineStr">
        <is>
          <t>QR 40x40x3</t>
        </is>
      </c>
      <c r="B7" s="9" t="inlineStr">
        <is>
          <t>Quadratrohr</t>
        </is>
      </c>
      <c r="C7" s="49" t="n">
        <v>40</v>
      </c>
      <c r="D7" s="49" t="n"/>
      <c r="E7" s="50" t="n">
        <v>3</v>
      </c>
      <c r="F7" s="49" t="n"/>
      <c r="G7" s="24" t="n"/>
      <c r="H7" s="24" t="n"/>
      <c r="I7" s="9" t="inlineStr">
        <is>
          <t>Beispiel</t>
        </is>
      </c>
      <c r="J7" s="34">
        <f>IF(OR(A7="",C7="",E7=""),"",IF(B7="Rundrohr",PI()/4*(C7^2-(C7-2*E7)^2),IF(OR(B7="Quadratrohr",AND(B7="Rechteckrohr",D7&lt;&gt;"")),C7*IF(B7="Quadratrohr",C7,D7)-(C7-2*E7)*(IF(B7="Quadratrohr",C7,D7)-2*E7),"")))</f>
        <v/>
      </c>
      <c r="K7" s="34">
        <f>IF(A7="","",IF(F7&lt;&gt;"",F7,J7))</f>
        <v/>
      </c>
    </row>
    <row r="8">
      <c r="A8" s="9" t="inlineStr">
        <is>
          <t>RE 60x40x3</t>
        </is>
      </c>
      <c r="B8" s="9" t="inlineStr">
        <is>
          <t>Rechteckrohr</t>
        </is>
      </c>
      <c r="C8" s="49" t="n">
        <v>60</v>
      </c>
      <c r="D8" s="49" t="n">
        <v>40</v>
      </c>
      <c r="E8" s="50" t="n">
        <v>3</v>
      </c>
      <c r="F8" s="49" t="n"/>
      <c r="G8" s="24" t="n"/>
      <c r="H8" s="24" t="n"/>
      <c r="I8" s="9" t="inlineStr">
        <is>
          <t>Beispiel</t>
        </is>
      </c>
      <c r="J8" s="34">
        <f>IF(OR(A8="",C8="",E8=""),"",IF(B8="Rundrohr",PI()/4*(C8^2-(C8-2*E8)^2),IF(OR(B8="Quadratrohr",AND(B8="Rechteckrohr",D8&lt;&gt;"")),C8*IF(B8="Quadratrohr",C8,D8)-(C8-2*E8)*(IF(B8="Quadratrohr",C8,D8)-2*E8),"")))</f>
        <v/>
      </c>
      <c r="K8" s="34">
        <f>IF(A8="","",IF(F8&lt;&gt;"",F8,J8))</f>
        <v/>
      </c>
    </row>
    <row r="9">
      <c r="A9" s="9" t="inlineStr">
        <is>
          <t>RE 120x60x4</t>
        </is>
      </c>
      <c r="B9" s="9" t="inlineStr">
        <is>
          <t>Rechteckrohr</t>
        </is>
      </c>
      <c r="C9" s="49" t="n">
        <v>120</v>
      </c>
      <c r="D9" s="49" t="n">
        <v>60</v>
      </c>
      <c r="E9" s="50" t="n">
        <v>4</v>
      </c>
      <c r="F9" s="49" t="n"/>
      <c r="G9" s="24" t="n">
        <v>30</v>
      </c>
      <c r="H9" s="24" t="n">
        <v>120</v>
      </c>
      <c r="I9" s="9" t="inlineStr">
        <is>
          <t>Beispiel: profilspezifischer Endbeschnitt/Greiferrest</t>
        </is>
      </c>
      <c r="J9" s="34">
        <f>IF(OR(A9="",C9="",E9=""),"",IF(B9="Rundrohr",PI()/4*(C9^2-(C9-2*E9)^2),IF(OR(B9="Quadratrohr",AND(B9="Rechteckrohr",D9&lt;&gt;"")),C9*IF(B9="Quadratrohr",C9,D9)-(C9-2*E9)*(IF(B9="Quadratrohr",C9,D9)-2*E9),"")))</f>
        <v/>
      </c>
      <c r="K9" s="34">
        <f>IF(A9="","",IF(F9&lt;&gt;"",F9,J9))</f>
        <v/>
      </c>
    </row>
    <row r="10">
      <c r="A10" s="9" t="n"/>
      <c r="B10" s="9" t="n"/>
      <c r="C10" s="49" t="n"/>
      <c r="D10" s="49" t="n"/>
      <c r="E10" s="50" t="n"/>
      <c r="F10" s="49" t="n"/>
      <c r="G10" s="24" t="n"/>
      <c r="H10" s="24" t="n"/>
      <c r="I10" s="9" t="n"/>
      <c r="J10" s="34">
        <f>IF(OR(A10="",C10="",E10=""),"",IF(B10="Rundrohr",PI()/4*(C10^2-(C10-2*E10)^2),IF(OR(B10="Quadratrohr",AND(B10="Rechteckrohr",D10&lt;&gt;"")),C10*IF(B10="Quadratrohr",C10,D10)-(C10-2*E10)*(IF(B10="Quadratrohr",C10,D10)-2*E10),"")))</f>
        <v/>
      </c>
      <c r="K10" s="34">
        <f>IF(A10="","",IF(F10&lt;&gt;"",F10,J10))</f>
        <v/>
      </c>
    </row>
    <row r="11">
      <c r="A11" s="9" t="n"/>
      <c r="B11" s="9" t="n"/>
      <c r="C11" s="49" t="n"/>
      <c r="D11" s="49" t="n"/>
      <c r="E11" s="50" t="n"/>
      <c r="F11" s="49" t="n"/>
      <c r="G11" s="24" t="n"/>
      <c r="H11" s="24" t="n"/>
      <c r="I11" s="9" t="n"/>
      <c r="J11" s="34">
        <f>IF(OR(A11="",C11="",E11=""),"",IF(B11="Rundrohr",PI()/4*(C11^2-(C11-2*E11)^2),IF(OR(B11="Quadratrohr",AND(B11="Rechteckrohr",D11&lt;&gt;"")),C11*IF(B11="Quadratrohr",C11,D11)-(C11-2*E11)*(IF(B11="Quadratrohr",C11,D11)-2*E11),"")))</f>
        <v/>
      </c>
      <c r="K11" s="34">
        <f>IF(A11="","",IF(F11&lt;&gt;"",F11,J11))</f>
        <v/>
      </c>
    </row>
    <row r="12">
      <c r="A12" s="9" t="n"/>
      <c r="B12" s="9" t="n"/>
      <c r="C12" s="49" t="n"/>
      <c r="D12" s="49" t="n"/>
      <c r="E12" s="50" t="n"/>
      <c r="F12" s="49" t="n"/>
      <c r="G12" s="24" t="n"/>
      <c r="H12" s="24" t="n"/>
      <c r="I12" s="9" t="n"/>
      <c r="J12" s="34">
        <f>IF(OR(A12="",C12="",E12=""),"",IF(B12="Rundrohr",PI()/4*(C12^2-(C12-2*E12)^2),IF(OR(B12="Quadratrohr",AND(B12="Rechteckrohr",D12&lt;&gt;"")),C12*IF(B12="Quadratrohr",C12,D12)-(C12-2*E12)*(IF(B12="Quadratrohr",C12,D12)-2*E12),"")))</f>
        <v/>
      </c>
      <c r="K12" s="34">
        <f>IF(A12="","",IF(F12&lt;&gt;"",F12,J12))</f>
        <v/>
      </c>
    </row>
    <row r="13">
      <c r="A13" s="9" t="n"/>
      <c r="B13" s="9" t="n"/>
      <c r="C13" s="49" t="n"/>
      <c r="D13" s="49" t="n"/>
      <c r="E13" s="50" t="n"/>
      <c r="F13" s="49" t="n"/>
      <c r="G13" s="24" t="n"/>
      <c r="H13" s="24" t="n"/>
      <c r="I13" s="9" t="n"/>
      <c r="J13" s="34">
        <f>IF(OR(A13="",C13="",E13=""),"",IF(B13="Rundrohr",PI()/4*(C13^2-(C13-2*E13)^2),IF(OR(B13="Quadratrohr",AND(B13="Rechteckrohr",D13&lt;&gt;"")),C13*IF(B13="Quadratrohr",C13,D13)-(C13-2*E13)*(IF(B13="Quadratrohr",C13,D13)-2*E13),"")))</f>
        <v/>
      </c>
      <c r="K13" s="34">
        <f>IF(A13="","",IF(F13&lt;&gt;"",F13,J13))</f>
        <v/>
      </c>
    </row>
    <row r="14">
      <c r="A14" s="9" t="n"/>
      <c r="B14" s="9" t="n"/>
      <c r="C14" s="49" t="n"/>
      <c r="D14" s="49" t="n"/>
      <c r="E14" s="50" t="n"/>
      <c r="F14" s="49" t="n"/>
      <c r="G14" s="24" t="n"/>
      <c r="H14" s="24" t="n"/>
      <c r="I14" s="9" t="n"/>
      <c r="J14" s="34">
        <f>IF(OR(A14="",C14="",E14=""),"",IF(B14="Rundrohr",PI()/4*(C14^2-(C14-2*E14)^2),IF(OR(B14="Quadratrohr",AND(B14="Rechteckrohr",D14&lt;&gt;"")),C14*IF(B14="Quadratrohr",C14,D14)-(C14-2*E14)*(IF(B14="Quadratrohr",C14,D14)-2*E14),"")))</f>
        <v/>
      </c>
      <c r="K14" s="34">
        <f>IF(A14="","",IF(F14&lt;&gt;"",F14,J14))</f>
        <v/>
      </c>
    </row>
    <row r="15">
      <c r="A15" s="9" t="n"/>
      <c r="B15" s="9" t="n"/>
      <c r="C15" s="49" t="n"/>
      <c r="D15" s="49" t="n"/>
      <c r="E15" s="50" t="n"/>
      <c r="F15" s="49" t="n"/>
      <c r="G15" s="24" t="n"/>
      <c r="H15" s="24" t="n"/>
      <c r="I15" s="9" t="n"/>
      <c r="J15" s="34">
        <f>IF(OR(A15="",C15="",E15=""),"",IF(B15="Rundrohr",PI()/4*(C15^2-(C15-2*E15)^2),IF(OR(B15="Quadratrohr",AND(B15="Rechteckrohr",D15&lt;&gt;"")),C15*IF(B15="Quadratrohr",C15,D15)-(C15-2*E15)*(IF(B15="Quadratrohr",C15,D15)-2*E15),"")))</f>
        <v/>
      </c>
      <c r="K15" s="34">
        <f>IF(A15="","",IF(F15&lt;&gt;"",F15,J15))</f>
        <v/>
      </c>
    </row>
    <row r="16">
      <c r="A16" s="9" t="n"/>
      <c r="B16" s="9" t="n"/>
      <c r="C16" s="49" t="n"/>
      <c r="D16" s="49" t="n"/>
      <c r="E16" s="50" t="n"/>
      <c r="F16" s="49" t="n"/>
      <c r="G16" s="24" t="n"/>
      <c r="H16" s="24" t="n"/>
      <c r="I16" s="9" t="n"/>
      <c r="J16" s="34">
        <f>IF(OR(A16="",C16="",E16=""),"",IF(B16="Rundrohr",PI()/4*(C16^2-(C16-2*E16)^2),IF(OR(B16="Quadratrohr",AND(B16="Rechteckrohr",D16&lt;&gt;"")),C16*IF(B16="Quadratrohr",C16,D16)-(C16-2*E16)*(IF(B16="Quadratrohr",C16,D16)-2*E16),"")))</f>
        <v/>
      </c>
      <c r="K16" s="34">
        <f>IF(A16="","",IF(F16&lt;&gt;"",F16,J16))</f>
        <v/>
      </c>
    </row>
    <row r="17">
      <c r="A17" s="9" t="n"/>
      <c r="B17" s="9" t="n"/>
      <c r="C17" s="49" t="n"/>
      <c r="D17" s="49" t="n"/>
      <c r="E17" s="50" t="n"/>
      <c r="F17" s="49" t="n"/>
      <c r="G17" s="24" t="n"/>
      <c r="H17" s="24" t="n"/>
      <c r="I17" s="9" t="n"/>
      <c r="J17" s="34">
        <f>IF(OR(A17="",C17="",E17=""),"",IF(B17="Rundrohr",PI()/4*(C17^2-(C17-2*E17)^2),IF(OR(B17="Quadratrohr",AND(B17="Rechteckrohr",D17&lt;&gt;"")),C17*IF(B17="Quadratrohr",C17,D17)-(C17-2*E17)*(IF(B17="Quadratrohr",C17,D17)-2*E17),"")))</f>
        <v/>
      </c>
      <c r="K17" s="34">
        <f>IF(A17="","",IF(F17&lt;&gt;"",F17,J17))</f>
        <v/>
      </c>
    </row>
    <row r="18">
      <c r="A18" s="9" t="n"/>
      <c r="B18" s="9" t="n"/>
      <c r="C18" s="49" t="n"/>
      <c r="D18" s="49" t="n"/>
      <c r="E18" s="50" t="n"/>
      <c r="F18" s="49" t="n"/>
      <c r="G18" s="24" t="n"/>
      <c r="H18" s="24" t="n"/>
      <c r="I18" s="9" t="n"/>
      <c r="J18" s="34">
        <f>IF(OR(A18="",C18="",E18=""),"",IF(B18="Rundrohr",PI()/4*(C18^2-(C18-2*E18)^2),IF(OR(B18="Quadratrohr",AND(B18="Rechteckrohr",D18&lt;&gt;"")),C18*IF(B18="Quadratrohr",C18,D18)-(C18-2*E18)*(IF(B18="Quadratrohr",C18,D18)-2*E18),"")))</f>
        <v/>
      </c>
      <c r="K18" s="34">
        <f>IF(A18="","",IF(F18&lt;&gt;"",F18,J18))</f>
        <v/>
      </c>
    </row>
    <row r="19">
      <c r="A19" s="9" t="n"/>
      <c r="B19" s="9" t="n"/>
      <c r="C19" s="49" t="n"/>
      <c r="D19" s="49" t="n"/>
      <c r="E19" s="50" t="n"/>
      <c r="F19" s="49" t="n"/>
      <c r="G19" s="24" t="n"/>
      <c r="H19" s="24" t="n"/>
      <c r="I19" s="9" t="n"/>
      <c r="J19" s="34">
        <f>IF(OR(A19="",C19="",E19=""),"",IF(B19="Rundrohr",PI()/4*(C19^2-(C19-2*E19)^2),IF(OR(B19="Quadratrohr",AND(B19="Rechteckrohr",D19&lt;&gt;"")),C19*IF(B19="Quadratrohr",C19,D19)-(C19-2*E19)*(IF(B19="Quadratrohr",C19,D19)-2*E19),"")))</f>
        <v/>
      </c>
      <c r="K19" s="34">
        <f>IF(A19="","",IF(F19&lt;&gt;"",F19,J19))</f>
        <v/>
      </c>
    </row>
    <row r="20">
      <c r="A20" s="9" t="n"/>
      <c r="B20" s="9" t="n"/>
      <c r="C20" s="49" t="n"/>
      <c r="D20" s="49" t="n"/>
      <c r="E20" s="50" t="n"/>
      <c r="F20" s="49" t="n"/>
      <c r="G20" s="24" t="n"/>
      <c r="H20" s="24" t="n"/>
      <c r="I20" s="9" t="n"/>
      <c r="J20" s="34">
        <f>IF(OR(A20="",C20="",E20=""),"",IF(B20="Rundrohr",PI()/4*(C20^2-(C20-2*E20)^2),IF(OR(B20="Quadratrohr",AND(B20="Rechteckrohr",D20&lt;&gt;"")),C20*IF(B20="Quadratrohr",C20,D20)-(C20-2*E20)*(IF(B20="Quadratrohr",C20,D20)-2*E20),"")))</f>
        <v/>
      </c>
      <c r="K20" s="34">
        <f>IF(A20="","",IF(F20&lt;&gt;"",F20,J20))</f>
        <v/>
      </c>
    </row>
    <row r="21">
      <c r="A21" s="9" t="n"/>
      <c r="B21" s="9" t="n"/>
      <c r="C21" s="49" t="n"/>
      <c r="D21" s="49" t="n"/>
      <c r="E21" s="50" t="n"/>
      <c r="F21" s="49" t="n"/>
      <c r="G21" s="24" t="n"/>
      <c r="H21" s="24" t="n"/>
      <c r="I21" s="9" t="n"/>
      <c r="J21" s="34">
        <f>IF(OR(A21="",C21="",E21=""),"",IF(B21="Rundrohr",PI()/4*(C21^2-(C21-2*E21)^2),IF(OR(B21="Quadratrohr",AND(B21="Rechteckrohr",D21&lt;&gt;"")),C21*IF(B21="Quadratrohr",C21,D21)-(C21-2*E21)*(IF(B21="Quadratrohr",C21,D21)-2*E21),"")))</f>
        <v/>
      </c>
      <c r="K21" s="34">
        <f>IF(A21="","",IF(F21&lt;&gt;"",F21,J21))</f>
        <v/>
      </c>
    </row>
    <row r="22">
      <c r="A22" s="9" t="n"/>
      <c r="B22" s="9" t="n"/>
      <c r="C22" s="49" t="n"/>
      <c r="D22" s="49" t="n"/>
      <c r="E22" s="50" t="n"/>
      <c r="F22" s="49" t="n"/>
      <c r="G22" s="24" t="n"/>
      <c r="H22" s="24" t="n"/>
      <c r="I22" s="9" t="n"/>
      <c r="J22" s="34">
        <f>IF(OR(A22="",C22="",E22=""),"",IF(B22="Rundrohr",PI()/4*(C22^2-(C22-2*E22)^2),IF(OR(B22="Quadratrohr",AND(B22="Rechteckrohr",D22&lt;&gt;"")),C22*IF(B22="Quadratrohr",C22,D22)-(C22-2*E22)*(IF(B22="Quadratrohr",C22,D22)-2*E22),"")))</f>
        <v/>
      </c>
      <c r="K22" s="34">
        <f>IF(A22="","",IF(F22&lt;&gt;"",F22,J22))</f>
        <v/>
      </c>
    </row>
    <row r="23">
      <c r="A23" s="9" t="n"/>
      <c r="B23" s="9" t="n"/>
      <c r="C23" s="49" t="n"/>
      <c r="D23" s="49" t="n"/>
      <c r="E23" s="50" t="n"/>
      <c r="F23" s="49" t="n"/>
      <c r="G23" s="24" t="n"/>
      <c r="H23" s="24" t="n"/>
      <c r="I23" s="9" t="n"/>
      <c r="J23" s="34">
        <f>IF(OR(A23="",C23="",E23=""),"",IF(B23="Rundrohr",PI()/4*(C23^2-(C23-2*E23)^2),IF(OR(B23="Quadratrohr",AND(B23="Rechteckrohr",D23&lt;&gt;"")),C23*IF(B23="Quadratrohr",C23,D23)-(C23-2*E23)*(IF(B23="Quadratrohr",C23,D23)-2*E23),"")))</f>
        <v/>
      </c>
      <c r="K23" s="34">
        <f>IF(A23="","",IF(F23&lt;&gt;"",F23,J23))</f>
        <v/>
      </c>
    </row>
    <row r="24">
      <c r="A24" s="9" t="n"/>
      <c r="B24" s="9" t="n"/>
      <c r="C24" s="49" t="n"/>
      <c r="D24" s="49" t="n"/>
      <c r="E24" s="50" t="n"/>
      <c r="F24" s="49" t="n"/>
      <c r="G24" s="24" t="n"/>
      <c r="H24" s="24" t="n"/>
      <c r="I24" s="9" t="n"/>
      <c r="J24" s="34">
        <f>IF(OR(A24="",C24="",E24=""),"",IF(B24="Rundrohr",PI()/4*(C24^2-(C24-2*E24)^2),IF(OR(B24="Quadratrohr",AND(B24="Rechteckrohr",D24&lt;&gt;"")),C24*IF(B24="Quadratrohr",C24,D24)-(C24-2*E24)*(IF(B24="Quadratrohr",C24,D24)-2*E24),"")))</f>
        <v/>
      </c>
      <c r="K24" s="34">
        <f>IF(A24="","",IF(F24&lt;&gt;"",F24,J24))</f>
        <v/>
      </c>
    </row>
    <row r="25">
      <c r="A25" s="9" t="n"/>
      <c r="B25" s="9" t="n"/>
      <c r="C25" s="49" t="n"/>
      <c r="D25" s="49" t="n"/>
      <c r="E25" s="50" t="n"/>
      <c r="F25" s="49" t="n"/>
      <c r="G25" s="24" t="n"/>
      <c r="H25" s="24" t="n"/>
      <c r="I25" s="9" t="n"/>
      <c r="J25" s="34">
        <f>IF(OR(A25="",C25="",E25=""),"",IF(B25="Rundrohr",PI()/4*(C25^2-(C25-2*E25)^2),IF(OR(B25="Quadratrohr",AND(B25="Rechteckrohr",D25&lt;&gt;"")),C25*IF(B25="Quadratrohr",C25,D25)-(C25-2*E25)*(IF(B25="Quadratrohr",C25,D25)-2*E25),"")))</f>
        <v/>
      </c>
      <c r="K25" s="34">
        <f>IF(A25="","",IF(F25&lt;&gt;"",F25,J25))</f>
        <v/>
      </c>
    </row>
    <row r="26">
      <c r="A26" s="9" t="n"/>
      <c r="B26" s="9" t="n"/>
      <c r="C26" s="49" t="n"/>
      <c r="D26" s="49" t="n"/>
      <c r="E26" s="50" t="n"/>
      <c r="F26" s="49" t="n"/>
      <c r="G26" s="24" t="n"/>
      <c r="H26" s="24" t="n"/>
      <c r="I26" s="9" t="n"/>
      <c r="J26" s="34">
        <f>IF(OR(A26="",C26="",E26=""),"",IF(B26="Rundrohr",PI()/4*(C26^2-(C26-2*E26)^2),IF(OR(B26="Quadratrohr",AND(B26="Rechteckrohr",D26&lt;&gt;"")),C26*IF(B26="Quadratrohr",C26,D26)-(C26-2*E26)*(IF(B26="Quadratrohr",C26,D26)-2*E26),"")))</f>
        <v/>
      </c>
      <c r="K26" s="34">
        <f>IF(A26="","",IF(F26&lt;&gt;"",F26,J26))</f>
        <v/>
      </c>
    </row>
    <row r="27">
      <c r="A27" s="9" t="n"/>
      <c r="B27" s="9" t="n"/>
      <c r="C27" s="49" t="n"/>
      <c r="D27" s="49" t="n"/>
      <c r="E27" s="50" t="n"/>
      <c r="F27" s="49" t="n"/>
      <c r="G27" s="24" t="n"/>
      <c r="H27" s="24" t="n"/>
      <c r="I27" s="9" t="n"/>
      <c r="J27" s="34">
        <f>IF(OR(A27="",C27="",E27=""),"",IF(B27="Rundrohr",PI()/4*(C27^2-(C27-2*E27)^2),IF(OR(B27="Quadratrohr",AND(B27="Rechteckrohr",D27&lt;&gt;"")),C27*IF(B27="Quadratrohr",C27,D27)-(C27-2*E27)*(IF(B27="Quadratrohr",C27,D27)-2*E27),"")))</f>
        <v/>
      </c>
      <c r="K27" s="34">
        <f>IF(A27="","",IF(F27&lt;&gt;"",F27,J27))</f>
        <v/>
      </c>
    </row>
    <row r="28">
      <c r="A28" s="9" t="n"/>
      <c r="B28" s="9" t="n"/>
      <c r="C28" s="49" t="n"/>
      <c r="D28" s="49" t="n"/>
      <c r="E28" s="50" t="n"/>
      <c r="F28" s="49" t="n"/>
      <c r="G28" s="24" t="n"/>
      <c r="H28" s="24" t="n"/>
      <c r="I28" s="9" t="n"/>
      <c r="J28" s="34">
        <f>IF(OR(A28="",C28="",E28=""),"",IF(B28="Rundrohr",PI()/4*(C28^2-(C28-2*E28)^2),IF(OR(B28="Quadratrohr",AND(B28="Rechteckrohr",D28&lt;&gt;"")),C28*IF(B28="Quadratrohr",C28,D28)-(C28-2*E28)*(IF(B28="Quadratrohr",C28,D28)-2*E28),"")))</f>
        <v/>
      </c>
      <c r="K28" s="34">
        <f>IF(A28="","",IF(F28&lt;&gt;"",F28,J28))</f>
        <v/>
      </c>
    </row>
    <row r="29">
      <c r="A29" s="9" t="n"/>
      <c r="B29" s="9" t="n"/>
      <c r="C29" s="49" t="n"/>
      <c r="D29" s="49" t="n"/>
      <c r="E29" s="50" t="n"/>
      <c r="F29" s="49" t="n"/>
      <c r="G29" s="24" t="n"/>
      <c r="H29" s="24" t="n"/>
      <c r="I29" s="9" t="n"/>
      <c r="J29" s="34">
        <f>IF(OR(A29="",C29="",E29=""),"",IF(B29="Rundrohr",PI()/4*(C29^2-(C29-2*E29)^2),IF(OR(B29="Quadratrohr",AND(B29="Rechteckrohr",D29&lt;&gt;"")),C29*IF(B29="Quadratrohr",C29,D29)-(C29-2*E29)*(IF(B29="Quadratrohr",C29,D29)-2*E29),"")))</f>
        <v/>
      </c>
      <c r="K29" s="34">
        <f>IF(A29="","",IF(F29&lt;&gt;"",F29,J29))</f>
        <v/>
      </c>
    </row>
    <row r="30">
      <c r="A30" s="9" t="n"/>
      <c r="B30" s="9" t="n"/>
      <c r="C30" s="49" t="n"/>
      <c r="D30" s="49" t="n"/>
      <c r="E30" s="50" t="n"/>
      <c r="F30" s="49" t="n"/>
      <c r="G30" s="24" t="n"/>
      <c r="H30" s="24" t="n"/>
      <c r="I30" s="9" t="n"/>
      <c r="J30" s="34">
        <f>IF(OR(A30="",C30="",E30=""),"",IF(B30="Rundrohr",PI()/4*(C30^2-(C30-2*E30)^2),IF(OR(B30="Quadratrohr",AND(B30="Rechteckrohr",D30&lt;&gt;"")),C30*IF(B30="Quadratrohr",C30,D30)-(C30-2*E30)*(IF(B30="Quadratrohr",C30,D30)-2*E30),"")))</f>
        <v/>
      </c>
      <c r="K30" s="34">
        <f>IF(A30="","",IF(F30&lt;&gt;"",F30,J30))</f>
        <v/>
      </c>
    </row>
    <row r="31">
      <c r="A31" s="9" t="n"/>
      <c r="B31" s="9" t="n"/>
      <c r="C31" s="49" t="n"/>
      <c r="D31" s="49" t="n"/>
      <c r="E31" s="50" t="n"/>
      <c r="F31" s="49" t="n"/>
      <c r="G31" s="24" t="n"/>
      <c r="H31" s="24" t="n"/>
      <c r="I31" s="9" t="n"/>
      <c r="J31" s="34">
        <f>IF(OR(A31="",C31="",E31=""),"",IF(B31="Rundrohr",PI()/4*(C31^2-(C31-2*E31)^2),IF(OR(B31="Quadratrohr",AND(B31="Rechteckrohr",D31&lt;&gt;"")),C31*IF(B31="Quadratrohr",C31,D31)-(C31-2*E31)*(IF(B31="Quadratrohr",C31,D31)-2*E31),"")))</f>
        <v/>
      </c>
      <c r="K31" s="34">
        <f>IF(A31="","",IF(F31&lt;&gt;"",F31,J31))</f>
        <v/>
      </c>
    </row>
    <row r="32">
      <c r="A32" s="9" t="n"/>
      <c r="B32" s="9" t="n"/>
      <c r="C32" s="49" t="n"/>
      <c r="D32" s="49" t="n"/>
      <c r="E32" s="50" t="n"/>
      <c r="F32" s="49" t="n"/>
      <c r="G32" s="24" t="n"/>
      <c r="H32" s="24" t="n"/>
      <c r="I32" s="9" t="n"/>
      <c r="J32" s="34">
        <f>IF(OR(A32="",C32="",E32=""),"",IF(B32="Rundrohr",PI()/4*(C32^2-(C32-2*E32)^2),IF(OR(B32="Quadratrohr",AND(B32="Rechteckrohr",D32&lt;&gt;"")),C32*IF(B32="Quadratrohr",C32,D32)-(C32-2*E32)*(IF(B32="Quadratrohr",C32,D32)-2*E32),"")))</f>
        <v/>
      </c>
      <c r="K32" s="34">
        <f>IF(A32="","",IF(F32&lt;&gt;"",F32,J32))</f>
        <v/>
      </c>
    </row>
    <row r="33">
      <c r="A33" s="9" t="n"/>
      <c r="B33" s="9" t="n"/>
      <c r="C33" s="49" t="n"/>
      <c r="D33" s="49" t="n"/>
      <c r="E33" s="50" t="n"/>
      <c r="F33" s="49" t="n"/>
      <c r="G33" s="24" t="n"/>
      <c r="H33" s="24" t="n"/>
      <c r="I33" s="9" t="n"/>
      <c r="J33" s="34">
        <f>IF(OR(A33="",C33="",E33=""),"",IF(B33="Rundrohr",PI()/4*(C33^2-(C33-2*E33)^2),IF(OR(B33="Quadratrohr",AND(B33="Rechteckrohr",D33&lt;&gt;"")),C33*IF(B33="Quadratrohr",C33,D33)-(C33-2*E33)*(IF(B33="Quadratrohr",C33,D33)-2*E33),"")))</f>
        <v/>
      </c>
      <c r="K33" s="34">
        <f>IF(A33="","",IF(F33&lt;&gt;"",F33,J33))</f>
        <v/>
      </c>
    </row>
    <row r="34">
      <c r="A34" s="9" t="n"/>
      <c r="B34" s="9" t="n"/>
      <c r="C34" s="49" t="n"/>
      <c r="D34" s="49" t="n"/>
      <c r="E34" s="50" t="n"/>
      <c r="F34" s="49" t="n"/>
      <c r="G34" s="24" t="n"/>
      <c r="H34" s="24" t="n"/>
      <c r="I34" s="9" t="n"/>
      <c r="J34" s="34">
        <f>IF(OR(A34="",C34="",E34=""),"",IF(B34="Rundrohr",PI()/4*(C34^2-(C34-2*E34)^2),IF(OR(B34="Quadratrohr",AND(B34="Rechteckrohr",D34&lt;&gt;"")),C34*IF(B34="Quadratrohr",C34,D34)-(C34-2*E34)*(IF(B34="Quadratrohr",C34,D34)-2*E34),"")))</f>
        <v/>
      </c>
      <c r="K34" s="34">
        <f>IF(A34="","",IF(F34&lt;&gt;"",F34,J34))</f>
        <v/>
      </c>
    </row>
    <row r="35">
      <c r="A35" s="9" t="n"/>
      <c r="B35" s="9" t="n"/>
      <c r="C35" s="49" t="n"/>
      <c r="D35" s="49" t="n"/>
      <c r="E35" s="50" t="n"/>
      <c r="F35" s="49" t="n"/>
      <c r="G35" s="24" t="n"/>
      <c r="H35" s="24" t="n"/>
      <c r="I35" s="9" t="n"/>
      <c r="J35" s="34">
        <f>IF(OR(A35="",C35="",E35=""),"",IF(B35="Rundrohr",PI()/4*(C35^2-(C35-2*E35)^2),IF(OR(B35="Quadratrohr",AND(B35="Rechteckrohr",D35&lt;&gt;"")),C35*IF(B35="Quadratrohr",C35,D35)-(C35-2*E35)*(IF(B35="Quadratrohr",C35,D35)-2*E35),"")))</f>
        <v/>
      </c>
      <c r="K35" s="34">
        <f>IF(A35="","",IF(F35&lt;&gt;"",F35,J35))</f>
        <v/>
      </c>
    </row>
    <row r="36">
      <c r="A36" s="9" t="n"/>
      <c r="B36" s="9" t="n"/>
      <c r="C36" s="49" t="n"/>
      <c r="D36" s="49" t="n"/>
      <c r="E36" s="50" t="n"/>
      <c r="F36" s="49" t="n"/>
      <c r="G36" s="24" t="n"/>
      <c r="H36" s="24" t="n"/>
      <c r="I36" s="9" t="n"/>
      <c r="J36" s="34">
        <f>IF(OR(A36="",C36="",E36=""),"",IF(B36="Rundrohr",PI()/4*(C36^2-(C36-2*E36)^2),IF(OR(B36="Quadratrohr",AND(B36="Rechteckrohr",D36&lt;&gt;"")),C36*IF(B36="Quadratrohr",C36,D36)-(C36-2*E36)*(IF(B36="Quadratrohr",C36,D36)-2*E36),"")))</f>
        <v/>
      </c>
      <c r="K36" s="34">
        <f>IF(A36="","",IF(F36&lt;&gt;"",F36,J36))</f>
        <v/>
      </c>
    </row>
    <row r="37">
      <c r="A37" s="9" t="n"/>
      <c r="B37" s="9" t="n"/>
      <c r="C37" s="49" t="n"/>
      <c r="D37" s="49" t="n"/>
      <c r="E37" s="50" t="n"/>
      <c r="F37" s="49" t="n"/>
      <c r="G37" s="24" t="n"/>
      <c r="H37" s="24" t="n"/>
      <c r="I37" s="9" t="n"/>
      <c r="J37" s="34">
        <f>IF(OR(A37="",C37="",E37=""),"",IF(B37="Rundrohr",PI()/4*(C37^2-(C37-2*E37)^2),IF(OR(B37="Quadratrohr",AND(B37="Rechteckrohr",D37&lt;&gt;"")),C37*IF(B37="Quadratrohr",C37,D37)-(C37-2*E37)*(IF(B37="Quadratrohr",C37,D37)-2*E37),"")))</f>
        <v/>
      </c>
      <c r="K37" s="34">
        <f>IF(A37="","",IF(F37&lt;&gt;"",F37,J37))</f>
        <v/>
      </c>
    </row>
    <row r="38">
      <c r="A38" s="9" t="n"/>
      <c r="B38" s="9" t="n"/>
      <c r="C38" s="49" t="n"/>
      <c r="D38" s="49" t="n"/>
      <c r="E38" s="50" t="n"/>
      <c r="F38" s="49" t="n"/>
      <c r="G38" s="24" t="n"/>
      <c r="H38" s="24" t="n"/>
      <c r="I38" s="9" t="n"/>
      <c r="J38" s="34">
        <f>IF(OR(A38="",C38="",E38=""),"",IF(B38="Rundrohr",PI()/4*(C38^2-(C38-2*E38)^2),IF(OR(B38="Quadratrohr",AND(B38="Rechteckrohr",D38&lt;&gt;"")),C38*IF(B38="Quadratrohr",C38,D38)-(C38-2*E38)*(IF(B38="Quadratrohr",C38,D38)-2*E38),"")))</f>
        <v/>
      </c>
      <c r="K38" s="34">
        <f>IF(A38="","",IF(F38&lt;&gt;"",F38,J38))</f>
        <v/>
      </c>
    </row>
    <row r="39">
      <c r="A39" s="9" t="n"/>
      <c r="B39" s="9" t="n"/>
      <c r="C39" s="49" t="n"/>
      <c r="D39" s="49" t="n"/>
      <c r="E39" s="50" t="n"/>
      <c r="F39" s="49" t="n"/>
      <c r="G39" s="24" t="n"/>
      <c r="H39" s="24" t="n"/>
      <c r="I39" s="9" t="n"/>
      <c r="J39" s="34">
        <f>IF(OR(A39="",C39="",E39=""),"",IF(B39="Rundrohr",PI()/4*(C39^2-(C39-2*E39)^2),IF(OR(B39="Quadratrohr",AND(B39="Rechteckrohr",D39&lt;&gt;"")),C39*IF(B39="Quadratrohr",C39,D39)-(C39-2*E39)*(IF(B39="Quadratrohr",C39,D39)-2*E39),"")))</f>
        <v/>
      </c>
      <c r="K39" s="34">
        <f>IF(A39="","",IF(F39&lt;&gt;"",F39,J39))</f>
        <v/>
      </c>
    </row>
    <row r="40">
      <c r="A40" s="9" t="n"/>
      <c r="B40" s="9" t="n"/>
      <c r="C40" s="49" t="n"/>
      <c r="D40" s="49" t="n"/>
      <c r="E40" s="50" t="n"/>
      <c r="F40" s="49" t="n"/>
      <c r="G40" s="24" t="n"/>
      <c r="H40" s="24" t="n"/>
      <c r="I40" s="9" t="n"/>
      <c r="J40" s="34">
        <f>IF(OR(A40="",C40="",E40=""),"",IF(B40="Rundrohr",PI()/4*(C40^2-(C40-2*E40)^2),IF(OR(B40="Quadratrohr",AND(B40="Rechteckrohr",D40&lt;&gt;"")),C40*IF(B40="Quadratrohr",C40,D40)-(C40-2*E40)*(IF(B40="Quadratrohr",C40,D40)-2*E40),"")))</f>
        <v/>
      </c>
      <c r="K40" s="34">
        <f>IF(A40="","",IF(F40&lt;&gt;"",F40,J40))</f>
        <v/>
      </c>
    </row>
    <row r="41">
      <c r="A41" s="9" t="n"/>
      <c r="B41" s="9" t="n"/>
      <c r="C41" s="49" t="n"/>
      <c r="D41" s="49" t="n"/>
      <c r="E41" s="50" t="n"/>
      <c r="F41" s="49" t="n"/>
      <c r="G41" s="24" t="n"/>
      <c r="H41" s="24" t="n"/>
      <c r="I41" s="9" t="n"/>
      <c r="J41" s="34">
        <f>IF(OR(A41="",C41="",E41=""),"",IF(B41="Rundrohr",PI()/4*(C41^2-(C41-2*E41)^2),IF(OR(B41="Quadratrohr",AND(B41="Rechteckrohr",D41&lt;&gt;"")),C41*IF(B41="Quadratrohr",C41,D41)-(C41-2*E41)*(IF(B41="Quadratrohr",C41,D41)-2*E41),"")))</f>
        <v/>
      </c>
      <c r="K41" s="34">
        <f>IF(A41="","",IF(F41&lt;&gt;"",F41,J41))</f>
        <v/>
      </c>
    </row>
    <row r="42">
      <c r="A42" s="9" t="n"/>
      <c r="B42" s="9" t="n"/>
      <c r="C42" s="49" t="n"/>
      <c r="D42" s="49" t="n"/>
      <c r="E42" s="50" t="n"/>
      <c r="F42" s="49" t="n"/>
      <c r="G42" s="24" t="n"/>
      <c r="H42" s="24" t="n"/>
      <c r="I42" s="9" t="n"/>
      <c r="J42" s="34">
        <f>IF(OR(A42="",C42="",E42=""),"",IF(B42="Rundrohr",PI()/4*(C42^2-(C42-2*E42)^2),IF(OR(B42="Quadratrohr",AND(B42="Rechteckrohr",D42&lt;&gt;"")),C42*IF(B42="Quadratrohr",C42,D42)-(C42-2*E42)*(IF(B42="Quadratrohr",C42,D42)-2*E42),"")))</f>
        <v/>
      </c>
      <c r="K42" s="34">
        <f>IF(A42="","",IF(F42&lt;&gt;"",F42,J42))</f>
        <v/>
      </c>
    </row>
    <row r="43">
      <c r="A43" s="9" t="n"/>
      <c r="B43" s="9" t="n"/>
      <c r="C43" s="49" t="n"/>
      <c r="D43" s="49" t="n"/>
      <c r="E43" s="50" t="n"/>
      <c r="F43" s="49" t="n"/>
      <c r="G43" s="24" t="n"/>
      <c r="H43" s="24" t="n"/>
      <c r="I43" s="9" t="n"/>
      <c r="J43" s="34">
        <f>IF(OR(A43="",C43="",E43=""),"",IF(B43="Rundrohr",PI()/4*(C43^2-(C43-2*E43)^2),IF(OR(B43="Quadratrohr",AND(B43="Rechteckrohr",D43&lt;&gt;"")),C43*IF(B43="Quadratrohr",C43,D43)-(C43-2*E43)*(IF(B43="Quadratrohr",C43,D43)-2*E43),"")))</f>
        <v/>
      </c>
      <c r="K43" s="34">
        <f>IF(A43="","",IF(F43&lt;&gt;"",F43,J43))</f>
        <v/>
      </c>
    </row>
    <row r="44">
      <c r="A44" s="9" t="n"/>
      <c r="B44" s="9" t="n"/>
      <c r="C44" s="49" t="n"/>
      <c r="D44" s="49" t="n"/>
      <c r="E44" s="50" t="n"/>
      <c r="F44" s="49" t="n"/>
      <c r="G44" s="24" t="n"/>
      <c r="H44" s="24" t="n"/>
      <c r="I44" s="9" t="n"/>
      <c r="J44" s="34">
        <f>IF(OR(A44="",C44="",E44=""),"",IF(B44="Rundrohr",PI()/4*(C44^2-(C44-2*E44)^2),IF(OR(B44="Quadratrohr",AND(B44="Rechteckrohr",D44&lt;&gt;"")),C44*IF(B44="Quadratrohr",C44,D44)-(C44-2*E44)*(IF(B44="Quadratrohr",C44,D44)-2*E44),"")))</f>
        <v/>
      </c>
      <c r="K44" s="34">
        <f>IF(A44="","",IF(F44&lt;&gt;"",F44,J44))</f>
        <v/>
      </c>
    </row>
    <row r="45">
      <c r="A45" s="9" t="n"/>
      <c r="B45" s="9" t="n"/>
      <c r="C45" s="49" t="n"/>
      <c r="D45" s="49" t="n"/>
      <c r="E45" s="50" t="n"/>
      <c r="F45" s="49" t="n"/>
      <c r="G45" s="24" t="n"/>
      <c r="H45" s="24" t="n"/>
      <c r="I45" s="9" t="n"/>
      <c r="J45" s="34">
        <f>IF(OR(A45="",C45="",E45=""),"",IF(B45="Rundrohr",PI()/4*(C45^2-(C45-2*E45)^2),IF(OR(B45="Quadratrohr",AND(B45="Rechteckrohr",D45&lt;&gt;"")),C45*IF(B45="Quadratrohr",C45,D45)-(C45-2*E45)*(IF(B45="Quadratrohr",C45,D45)-2*E45),"")))</f>
        <v/>
      </c>
      <c r="K45" s="34">
        <f>IF(A45="","",IF(F45&lt;&gt;"",F45,J45))</f>
        <v/>
      </c>
    </row>
    <row r="46">
      <c r="A46" s="9" t="n"/>
      <c r="B46" s="9" t="n"/>
      <c r="C46" s="49" t="n"/>
      <c r="D46" s="49" t="n"/>
      <c r="E46" s="50" t="n"/>
      <c r="F46" s="49" t="n"/>
      <c r="G46" s="24" t="n"/>
      <c r="H46" s="24" t="n"/>
      <c r="I46" s="9" t="n"/>
      <c r="J46" s="34">
        <f>IF(OR(A46="",C46="",E46=""),"",IF(B46="Rundrohr",PI()/4*(C46^2-(C46-2*E46)^2),IF(OR(B46="Quadratrohr",AND(B46="Rechteckrohr",D46&lt;&gt;"")),C46*IF(B46="Quadratrohr",C46,D46)-(C46-2*E46)*(IF(B46="Quadratrohr",C46,D46)-2*E46),"")))</f>
        <v/>
      </c>
      <c r="K46" s="34">
        <f>IF(A46="","",IF(F46&lt;&gt;"",F46,J46))</f>
        <v/>
      </c>
    </row>
    <row r="47">
      <c r="A47" s="9" t="n"/>
      <c r="B47" s="9" t="n"/>
      <c r="C47" s="49" t="n"/>
      <c r="D47" s="49" t="n"/>
      <c r="E47" s="50" t="n"/>
      <c r="F47" s="49" t="n"/>
      <c r="G47" s="24" t="n"/>
      <c r="H47" s="24" t="n"/>
      <c r="I47" s="9" t="n"/>
      <c r="J47" s="34">
        <f>IF(OR(A47="",C47="",E47=""),"",IF(B47="Rundrohr",PI()/4*(C47^2-(C47-2*E47)^2),IF(OR(B47="Quadratrohr",AND(B47="Rechteckrohr",D47&lt;&gt;"")),C47*IF(B47="Quadratrohr",C47,D47)-(C47-2*E47)*(IF(B47="Quadratrohr",C47,D47)-2*E47),"")))</f>
        <v/>
      </c>
      <c r="K47" s="34">
        <f>IF(A47="","",IF(F47&lt;&gt;"",F47,J47))</f>
        <v/>
      </c>
    </row>
    <row r="48">
      <c r="A48" s="9" t="n"/>
      <c r="B48" s="9" t="n"/>
      <c r="C48" s="49" t="n"/>
      <c r="D48" s="49" t="n"/>
      <c r="E48" s="50" t="n"/>
      <c r="F48" s="49" t="n"/>
      <c r="G48" s="24" t="n"/>
      <c r="H48" s="24" t="n"/>
      <c r="I48" s="9" t="n"/>
      <c r="J48" s="34">
        <f>IF(OR(A48="",C48="",E48=""),"",IF(B48="Rundrohr",PI()/4*(C48^2-(C48-2*E48)^2),IF(OR(B48="Quadratrohr",AND(B48="Rechteckrohr",D48&lt;&gt;"")),C48*IF(B48="Quadratrohr",C48,D48)-(C48-2*E48)*(IF(B48="Quadratrohr",C48,D48)-2*E48),"")))</f>
        <v/>
      </c>
      <c r="K48" s="34">
        <f>IF(A48="","",IF(F48&lt;&gt;"",F48,J48))</f>
        <v/>
      </c>
    </row>
    <row r="49">
      <c r="A49" s="9" t="n"/>
      <c r="B49" s="9" t="n"/>
      <c r="C49" s="49" t="n"/>
      <c r="D49" s="49" t="n"/>
      <c r="E49" s="50" t="n"/>
      <c r="F49" s="49" t="n"/>
      <c r="G49" s="24" t="n"/>
      <c r="H49" s="24" t="n"/>
      <c r="I49" s="9" t="n"/>
      <c r="J49" s="34">
        <f>IF(OR(A49="",C49="",E49=""),"",IF(B49="Rundrohr",PI()/4*(C49^2-(C49-2*E49)^2),IF(OR(B49="Quadratrohr",AND(B49="Rechteckrohr",D49&lt;&gt;"")),C49*IF(B49="Quadratrohr",C49,D49)-(C49-2*E49)*(IF(B49="Quadratrohr",C49,D49)-2*E49),"")))</f>
        <v/>
      </c>
      <c r="K49" s="34">
        <f>IF(A49="","",IF(F49&lt;&gt;"",F49,J49))</f>
        <v/>
      </c>
    </row>
    <row r="50">
      <c r="A50" s="9" t="n"/>
      <c r="B50" s="9" t="n"/>
      <c r="C50" s="49" t="n"/>
      <c r="D50" s="49" t="n"/>
      <c r="E50" s="50" t="n"/>
      <c r="F50" s="49" t="n"/>
      <c r="G50" s="24" t="n"/>
      <c r="H50" s="24" t="n"/>
      <c r="I50" s="9" t="n"/>
      <c r="J50" s="34">
        <f>IF(OR(A50="",C50="",E50=""),"",IF(B50="Rundrohr",PI()/4*(C50^2-(C50-2*E50)^2),IF(OR(B50="Quadratrohr",AND(B50="Rechteckrohr",D50&lt;&gt;"")),C50*IF(B50="Quadratrohr",C50,D50)-(C50-2*E50)*(IF(B50="Quadratrohr",C50,D50)-2*E50),"")))</f>
        <v/>
      </c>
      <c r="K50" s="34">
        <f>IF(A50="","",IF(F50&lt;&gt;"",F50,J50))</f>
        <v/>
      </c>
    </row>
    <row r="51">
      <c r="A51" s="9" t="n"/>
      <c r="B51" s="9" t="n"/>
      <c r="C51" s="49" t="n"/>
      <c r="D51" s="49" t="n"/>
      <c r="E51" s="50" t="n"/>
      <c r="F51" s="49" t="n"/>
      <c r="G51" s="24" t="n"/>
      <c r="H51" s="24" t="n"/>
      <c r="I51" s="9" t="n"/>
      <c r="J51" s="34">
        <f>IF(OR(A51="",C51="",E51=""),"",IF(B51="Rundrohr",PI()/4*(C51^2-(C51-2*E51)^2),IF(OR(B51="Quadratrohr",AND(B51="Rechteckrohr",D51&lt;&gt;"")),C51*IF(B51="Quadratrohr",C51,D51)-(C51-2*E51)*(IF(B51="Quadratrohr",C51,D51)-2*E51),"")))</f>
        <v/>
      </c>
      <c r="K51" s="34">
        <f>IF(A51="","",IF(F51&lt;&gt;"",F51,J51))</f>
        <v/>
      </c>
    </row>
    <row r="52">
      <c r="A52" s="9" t="n"/>
      <c r="B52" s="9" t="n"/>
      <c r="C52" s="49" t="n"/>
      <c r="D52" s="49" t="n"/>
      <c r="E52" s="50" t="n"/>
      <c r="F52" s="49" t="n"/>
      <c r="G52" s="24" t="n"/>
      <c r="H52" s="24" t="n"/>
      <c r="I52" s="9" t="n"/>
      <c r="J52" s="34">
        <f>IF(OR(A52="",C52="",E52=""),"",IF(B52="Rundrohr",PI()/4*(C52^2-(C52-2*E52)^2),IF(OR(B52="Quadratrohr",AND(B52="Rechteckrohr",D52&lt;&gt;"")),C52*IF(B52="Quadratrohr",C52,D52)-(C52-2*E52)*(IF(B52="Quadratrohr",C52,D52)-2*E52),"")))</f>
        <v/>
      </c>
      <c r="K52" s="34">
        <f>IF(A52="","",IF(F52&lt;&gt;"",F52,J52))</f>
        <v/>
      </c>
    </row>
    <row r="53">
      <c r="A53" s="9" t="n"/>
      <c r="B53" s="9" t="n"/>
      <c r="C53" s="49" t="n"/>
      <c r="D53" s="49" t="n"/>
      <c r="E53" s="50" t="n"/>
      <c r="F53" s="49" t="n"/>
      <c r="G53" s="24" t="n"/>
      <c r="H53" s="24" t="n"/>
      <c r="I53" s="9" t="n"/>
      <c r="J53" s="34">
        <f>IF(OR(A53="",C53="",E53=""),"",IF(B53="Rundrohr",PI()/4*(C53^2-(C53-2*E53)^2),IF(OR(B53="Quadratrohr",AND(B53="Rechteckrohr",D53&lt;&gt;"")),C53*IF(B53="Quadratrohr",C53,D53)-(C53-2*E53)*(IF(B53="Quadratrohr",C53,D53)-2*E53),"")))</f>
        <v/>
      </c>
      <c r="K53" s="34">
        <f>IF(A53="","",IF(F53&lt;&gt;"",F53,J53))</f>
        <v/>
      </c>
    </row>
    <row r="54">
      <c r="A54" s="9" t="n"/>
      <c r="B54" s="9" t="n"/>
      <c r="C54" s="49" t="n"/>
      <c r="D54" s="49" t="n"/>
      <c r="E54" s="50" t="n"/>
      <c r="F54" s="49" t="n"/>
      <c r="G54" s="24" t="n"/>
      <c r="H54" s="24" t="n"/>
      <c r="I54" s="9" t="n"/>
      <c r="J54" s="34">
        <f>IF(OR(A54="",C54="",E54=""),"",IF(B54="Rundrohr",PI()/4*(C54^2-(C54-2*E54)^2),IF(OR(B54="Quadratrohr",AND(B54="Rechteckrohr",D54&lt;&gt;"")),C54*IF(B54="Quadratrohr",C54,D54)-(C54-2*E54)*(IF(B54="Quadratrohr",C54,D54)-2*E54),"")))</f>
        <v/>
      </c>
      <c r="K54" s="34">
        <f>IF(A54="","",IF(F54&lt;&gt;"",F54,J54))</f>
        <v/>
      </c>
    </row>
    <row r="55">
      <c r="A55" s="9" t="n"/>
      <c r="B55" s="9" t="n"/>
      <c r="C55" s="49" t="n"/>
      <c r="D55" s="49" t="n"/>
      <c r="E55" s="50" t="n"/>
      <c r="F55" s="49" t="n"/>
      <c r="G55" s="24" t="n"/>
      <c r="H55" s="24" t="n"/>
      <c r="I55" s="9" t="n"/>
      <c r="J55" s="34">
        <f>IF(OR(A55="",C55="",E55=""),"",IF(B55="Rundrohr",PI()/4*(C55^2-(C55-2*E55)^2),IF(OR(B55="Quadratrohr",AND(B55="Rechteckrohr",D55&lt;&gt;"")),C55*IF(B55="Quadratrohr",C55,D55)-(C55-2*E55)*(IF(B55="Quadratrohr",C55,D55)-2*E55),"")))</f>
        <v/>
      </c>
      <c r="K55" s="34">
        <f>IF(A55="","",IF(F55&lt;&gt;"",F55,J55))</f>
        <v/>
      </c>
    </row>
    <row r="56">
      <c r="A56" s="9" t="n"/>
      <c r="B56" s="9" t="n"/>
      <c r="C56" s="49" t="n"/>
      <c r="D56" s="49" t="n"/>
      <c r="E56" s="50" t="n"/>
      <c r="F56" s="49" t="n"/>
      <c r="G56" s="24" t="n"/>
      <c r="H56" s="24" t="n"/>
      <c r="I56" s="9" t="n"/>
      <c r="J56" s="34">
        <f>IF(OR(A56="",C56="",E56=""),"",IF(B56="Rundrohr",PI()/4*(C56^2-(C56-2*E56)^2),IF(OR(B56="Quadratrohr",AND(B56="Rechteckrohr",D56&lt;&gt;"")),C56*IF(B56="Quadratrohr",C56,D56)-(C56-2*E56)*(IF(B56="Quadratrohr",C56,D56)-2*E56),"")))</f>
        <v/>
      </c>
      <c r="K56" s="34">
        <f>IF(A56="","",IF(F56&lt;&gt;"",F56,J56))</f>
        <v/>
      </c>
    </row>
    <row r="57">
      <c r="A57" s="9" t="n"/>
      <c r="B57" s="9" t="n"/>
      <c r="C57" s="49" t="n"/>
      <c r="D57" s="49" t="n"/>
      <c r="E57" s="50" t="n"/>
      <c r="F57" s="49" t="n"/>
      <c r="G57" s="24" t="n"/>
      <c r="H57" s="24" t="n"/>
      <c r="I57" s="9" t="n"/>
      <c r="J57" s="34">
        <f>IF(OR(A57="",C57="",E57=""),"",IF(B57="Rundrohr",PI()/4*(C57^2-(C57-2*E57)^2),IF(OR(B57="Quadratrohr",AND(B57="Rechteckrohr",D57&lt;&gt;"")),C57*IF(B57="Quadratrohr",C57,D57)-(C57-2*E57)*(IF(B57="Quadratrohr",C57,D57)-2*E57),"")))</f>
        <v/>
      </c>
      <c r="K57" s="34">
        <f>IF(A57="","",IF(F57&lt;&gt;"",F57,J57))</f>
        <v/>
      </c>
    </row>
    <row r="58">
      <c r="A58" s="9" t="n"/>
      <c r="B58" s="9" t="n"/>
      <c r="C58" s="49" t="n"/>
      <c r="D58" s="49" t="n"/>
      <c r="E58" s="50" t="n"/>
      <c r="F58" s="49" t="n"/>
      <c r="G58" s="24" t="n"/>
      <c r="H58" s="24" t="n"/>
      <c r="I58" s="9" t="n"/>
      <c r="J58" s="34">
        <f>IF(OR(A58="",C58="",E58=""),"",IF(B58="Rundrohr",PI()/4*(C58^2-(C58-2*E58)^2),IF(OR(B58="Quadratrohr",AND(B58="Rechteckrohr",D58&lt;&gt;"")),C58*IF(B58="Quadratrohr",C58,D58)-(C58-2*E58)*(IF(B58="Quadratrohr",C58,D58)-2*E58),"")))</f>
        <v/>
      </c>
      <c r="K58" s="34">
        <f>IF(A58="","",IF(F58&lt;&gt;"",F58,J58))</f>
        <v/>
      </c>
    </row>
    <row r="59">
      <c r="A59" s="9" t="n"/>
      <c r="B59" s="9" t="n"/>
      <c r="C59" s="49" t="n"/>
      <c r="D59" s="49" t="n"/>
      <c r="E59" s="50" t="n"/>
      <c r="F59" s="49" t="n"/>
      <c r="G59" s="24" t="n"/>
      <c r="H59" s="24" t="n"/>
      <c r="I59" s="9" t="n"/>
      <c r="J59" s="34">
        <f>IF(OR(A59="",C59="",E59=""),"",IF(B59="Rundrohr",PI()/4*(C59^2-(C59-2*E59)^2),IF(OR(B59="Quadratrohr",AND(B59="Rechteckrohr",D59&lt;&gt;"")),C59*IF(B59="Quadratrohr",C59,D59)-(C59-2*E59)*(IF(B59="Quadratrohr",C59,D59)-2*E59),"")))</f>
        <v/>
      </c>
      <c r="K59" s="34">
        <f>IF(A59="","",IF(F59&lt;&gt;"",F59,J59))</f>
        <v/>
      </c>
    </row>
    <row r="60">
      <c r="A60" s="9" t="n"/>
      <c r="B60" s="9" t="n"/>
      <c r="C60" s="49" t="n"/>
      <c r="D60" s="49" t="n"/>
      <c r="E60" s="50" t="n"/>
      <c r="F60" s="49" t="n"/>
      <c r="G60" s="24" t="n"/>
      <c r="H60" s="24" t="n"/>
      <c r="I60" s="9" t="n"/>
      <c r="J60" s="34">
        <f>IF(OR(A60="",C60="",E60=""),"",IF(B60="Rundrohr",PI()/4*(C60^2-(C60-2*E60)^2),IF(OR(B60="Quadratrohr",AND(B60="Rechteckrohr",D60&lt;&gt;"")),C60*IF(B60="Quadratrohr",C60,D60)-(C60-2*E60)*(IF(B60="Quadratrohr",C60,D60)-2*E60),"")))</f>
        <v/>
      </c>
      <c r="K60" s="34">
        <f>IF(A60="","",IF(F60&lt;&gt;"",F60,J60))</f>
        <v/>
      </c>
    </row>
    <row r="61">
      <c r="A61" s="9" t="n"/>
      <c r="B61" s="9" t="n"/>
      <c r="C61" s="49" t="n"/>
      <c r="D61" s="49" t="n"/>
      <c r="E61" s="50" t="n"/>
      <c r="F61" s="49" t="n"/>
      <c r="G61" s="24" t="n"/>
      <c r="H61" s="24" t="n"/>
      <c r="I61" s="9" t="n"/>
      <c r="J61" s="34">
        <f>IF(OR(A61="",C61="",E61=""),"",IF(B61="Rundrohr",PI()/4*(C61^2-(C61-2*E61)^2),IF(OR(B61="Quadratrohr",AND(B61="Rechteckrohr",D61&lt;&gt;"")),C61*IF(B61="Quadratrohr",C61,D61)-(C61-2*E61)*(IF(B61="Quadratrohr",C61,D61)-2*E61),"")))</f>
        <v/>
      </c>
      <c r="K61" s="34">
        <f>IF(A61="","",IF(F61&lt;&gt;"",F61,J61))</f>
        <v/>
      </c>
    </row>
    <row r="62">
      <c r="A62" s="9" t="n"/>
      <c r="B62" s="9" t="n"/>
      <c r="C62" s="49" t="n"/>
      <c r="D62" s="49" t="n"/>
      <c r="E62" s="50" t="n"/>
      <c r="F62" s="49" t="n"/>
      <c r="G62" s="24" t="n"/>
      <c r="H62" s="24" t="n"/>
      <c r="I62" s="9" t="n"/>
      <c r="J62" s="34">
        <f>IF(OR(A62="",C62="",E62=""),"",IF(B62="Rundrohr",PI()/4*(C62^2-(C62-2*E62)^2),IF(OR(B62="Quadratrohr",AND(B62="Rechteckrohr",D62&lt;&gt;"")),C62*IF(B62="Quadratrohr",C62,D62)-(C62-2*E62)*(IF(B62="Quadratrohr",C62,D62)-2*E62),"")))</f>
        <v/>
      </c>
      <c r="K62" s="34">
        <f>IF(A62="","",IF(F62&lt;&gt;"",F62,J62))</f>
        <v/>
      </c>
    </row>
    <row r="63">
      <c r="A63" s="9" t="n"/>
      <c r="B63" s="9" t="n"/>
      <c r="C63" s="49" t="n"/>
      <c r="D63" s="49" t="n"/>
      <c r="E63" s="50" t="n"/>
      <c r="F63" s="49" t="n"/>
      <c r="G63" s="24" t="n"/>
      <c r="H63" s="24" t="n"/>
      <c r="I63" s="9" t="n"/>
      <c r="J63" s="34">
        <f>IF(OR(A63="",C63="",E63=""),"",IF(B63="Rundrohr",PI()/4*(C63^2-(C63-2*E63)^2),IF(OR(B63="Quadratrohr",AND(B63="Rechteckrohr",D63&lt;&gt;"")),C63*IF(B63="Quadratrohr",C63,D63)-(C63-2*E63)*(IF(B63="Quadratrohr",C63,D63)-2*E63),"")))</f>
        <v/>
      </c>
      <c r="K63" s="34">
        <f>IF(A63="","",IF(F63&lt;&gt;"",F63,J63))</f>
        <v/>
      </c>
    </row>
    <row r="64">
      <c r="A64" s="9" t="n"/>
      <c r="B64" s="9" t="n"/>
      <c r="C64" s="49" t="n"/>
      <c r="D64" s="49" t="n"/>
      <c r="E64" s="50" t="n"/>
      <c r="F64" s="49" t="n"/>
      <c r="G64" s="24" t="n"/>
      <c r="H64" s="24" t="n"/>
      <c r="I64" s="9" t="n"/>
      <c r="J64" s="34">
        <f>IF(OR(A64="",C64="",E64=""),"",IF(B64="Rundrohr",PI()/4*(C64^2-(C64-2*E64)^2),IF(OR(B64="Quadratrohr",AND(B64="Rechteckrohr",D64&lt;&gt;"")),C64*IF(B64="Quadratrohr",C64,D64)-(C64-2*E64)*(IF(B64="Quadratrohr",C64,D64)-2*E64),"")))</f>
        <v/>
      </c>
      <c r="K64" s="34">
        <f>IF(A64="","",IF(F64&lt;&gt;"",F64,J64))</f>
        <v/>
      </c>
    </row>
    <row r="65">
      <c r="A65" s="9" t="n"/>
      <c r="B65" s="9" t="n"/>
      <c r="C65" s="49" t="n"/>
      <c r="D65" s="49" t="n"/>
      <c r="E65" s="50" t="n"/>
      <c r="F65" s="49" t="n"/>
      <c r="G65" s="24" t="n"/>
      <c r="H65" s="24" t="n"/>
      <c r="I65" s="9" t="n"/>
      <c r="J65" s="34">
        <f>IF(OR(A65="",C65="",E65=""),"",IF(B65="Rundrohr",PI()/4*(C65^2-(C65-2*E65)^2),IF(OR(B65="Quadratrohr",AND(B65="Rechteckrohr",D65&lt;&gt;"")),C65*IF(B65="Quadratrohr",C65,D65)-(C65-2*E65)*(IF(B65="Quadratrohr",C65,D65)-2*E65),"")))</f>
        <v/>
      </c>
      <c r="K65" s="34">
        <f>IF(A65="","",IF(F65&lt;&gt;"",F65,J65))</f>
        <v/>
      </c>
    </row>
    <row r="66">
      <c r="A66" s="9" t="n"/>
      <c r="B66" s="9" t="n"/>
      <c r="C66" s="49" t="n"/>
      <c r="D66" s="49" t="n"/>
      <c r="E66" s="50" t="n"/>
      <c r="F66" s="49" t="n"/>
      <c r="G66" s="24" t="n"/>
      <c r="H66" s="24" t="n"/>
      <c r="I66" s="9" t="n"/>
      <c r="J66" s="34">
        <f>IF(OR(A66="",C66="",E66=""),"",IF(B66="Rundrohr",PI()/4*(C66^2-(C66-2*E66)^2),IF(OR(B66="Quadratrohr",AND(B66="Rechteckrohr",D66&lt;&gt;"")),C66*IF(B66="Quadratrohr",C66,D66)-(C66-2*E66)*(IF(B66="Quadratrohr",C66,D66)-2*E66),"")))</f>
        <v/>
      </c>
      <c r="K66" s="34">
        <f>IF(A66="","",IF(F66&lt;&gt;"",F66,J66))</f>
        <v/>
      </c>
    </row>
    <row r="67">
      <c r="A67" s="9" t="n"/>
      <c r="B67" s="9" t="n"/>
      <c r="C67" s="49" t="n"/>
      <c r="D67" s="49" t="n"/>
      <c r="E67" s="50" t="n"/>
      <c r="F67" s="49" t="n"/>
      <c r="G67" s="24" t="n"/>
      <c r="H67" s="24" t="n"/>
      <c r="I67" s="9" t="n"/>
      <c r="J67" s="34">
        <f>IF(OR(A67="",C67="",E67=""),"",IF(B67="Rundrohr",PI()/4*(C67^2-(C67-2*E67)^2),IF(OR(B67="Quadratrohr",AND(B67="Rechteckrohr",D67&lt;&gt;"")),C67*IF(B67="Quadratrohr",C67,D67)-(C67-2*E67)*(IF(B67="Quadratrohr",C67,D67)-2*E67),"")))</f>
        <v/>
      </c>
      <c r="K67" s="34">
        <f>IF(A67="","",IF(F67&lt;&gt;"",F67,J67))</f>
        <v/>
      </c>
    </row>
    <row r="68">
      <c r="A68" s="9" t="n"/>
      <c r="B68" s="9" t="n"/>
      <c r="C68" s="49" t="n"/>
      <c r="D68" s="49" t="n"/>
      <c r="E68" s="50" t="n"/>
      <c r="F68" s="49" t="n"/>
      <c r="G68" s="24" t="n"/>
      <c r="H68" s="24" t="n"/>
      <c r="I68" s="9" t="n"/>
      <c r="J68" s="34">
        <f>IF(OR(A68="",C68="",E68=""),"",IF(B68="Rundrohr",PI()/4*(C68^2-(C68-2*E68)^2),IF(OR(B68="Quadratrohr",AND(B68="Rechteckrohr",D68&lt;&gt;"")),C68*IF(B68="Quadratrohr",C68,D68)-(C68-2*E68)*(IF(B68="Quadratrohr",C68,D68)-2*E68),"")))</f>
        <v/>
      </c>
      <c r="K68" s="34">
        <f>IF(A68="","",IF(F68&lt;&gt;"",F68,J68))</f>
        <v/>
      </c>
    </row>
    <row r="69">
      <c r="A69" s="9" t="n"/>
      <c r="B69" s="9" t="n"/>
      <c r="C69" s="49" t="n"/>
      <c r="D69" s="49" t="n"/>
      <c r="E69" s="50" t="n"/>
      <c r="F69" s="49" t="n"/>
      <c r="G69" s="24" t="n"/>
      <c r="H69" s="24" t="n"/>
      <c r="I69" s="9" t="n"/>
      <c r="J69" s="34">
        <f>IF(OR(A69="",C69="",E69=""),"",IF(B69="Rundrohr",PI()/4*(C69^2-(C69-2*E69)^2),IF(OR(B69="Quadratrohr",AND(B69="Rechteckrohr",D69&lt;&gt;"")),C69*IF(B69="Quadratrohr",C69,D69)-(C69-2*E69)*(IF(B69="Quadratrohr",C69,D69)-2*E69),"")))</f>
        <v/>
      </c>
      <c r="K69" s="34">
        <f>IF(A69="","",IF(F69&lt;&gt;"",F69,J69))</f>
        <v/>
      </c>
    </row>
    <row r="70">
      <c r="A70" s="9" t="n"/>
      <c r="B70" s="9" t="n"/>
      <c r="C70" s="49" t="n"/>
      <c r="D70" s="49" t="n"/>
      <c r="E70" s="50" t="n"/>
      <c r="F70" s="49" t="n"/>
      <c r="G70" s="24" t="n"/>
      <c r="H70" s="24" t="n"/>
      <c r="I70" s="9" t="n"/>
      <c r="J70" s="34">
        <f>IF(OR(A70="",C70="",E70=""),"",IF(B70="Rundrohr",PI()/4*(C70^2-(C70-2*E70)^2),IF(OR(B70="Quadratrohr",AND(B70="Rechteckrohr",D70&lt;&gt;"")),C70*IF(B70="Quadratrohr",C70,D70)-(C70-2*E70)*(IF(B70="Quadratrohr",C70,D70)-2*E70),"")))</f>
        <v/>
      </c>
      <c r="K70" s="34">
        <f>IF(A70="","",IF(F70&lt;&gt;"",F70,J70))</f>
        <v/>
      </c>
    </row>
    <row r="71">
      <c r="A71" s="9" t="n"/>
      <c r="B71" s="9" t="n"/>
      <c r="C71" s="49" t="n"/>
      <c r="D71" s="49" t="n"/>
      <c r="E71" s="50" t="n"/>
      <c r="F71" s="49" t="n"/>
      <c r="G71" s="24" t="n"/>
      <c r="H71" s="24" t="n"/>
      <c r="I71" s="9" t="n"/>
      <c r="J71" s="34">
        <f>IF(OR(A71="",C71="",E71=""),"",IF(B71="Rundrohr",PI()/4*(C71^2-(C71-2*E71)^2),IF(OR(B71="Quadratrohr",AND(B71="Rechteckrohr",D71&lt;&gt;"")),C71*IF(B71="Quadratrohr",C71,D71)-(C71-2*E71)*(IF(B71="Quadratrohr",C71,D71)-2*E71),"")))</f>
        <v/>
      </c>
      <c r="K71" s="34">
        <f>IF(A71="","",IF(F71&lt;&gt;"",F71,J71))</f>
        <v/>
      </c>
    </row>
    <row r="72">
      <c r="A72" s="9" t="n"/>
      <c r="B72" s="9" t="n"/>
      <c r="C72" s="49" t="n"/>
      <c r="D72" s="49" t="n"/>
      <c r="E72" s="50" t="n"/>
      <c r="F72" s="49" t="n"/>
      <c r="G72" s="24" t="n"/>
      <c r="H72" s="24" t="n"/>
      <c r="I72" s="9" t="n"/>
      <c r="J72" s="34">
        <f>IF(OR(A72="",C72="",E72=""),"",IF(B72="Rundrohr",PI()/4*(C72^2-(C72-2*E72)^2),IF(OR(B72="Quadratrohr",AND(B72="Rechteckrohr",D72&lt;&gt;"")),C72*IF(B72="Quadratrohr",C72,D72)-(C72-2*E72)*(IF(B72="Quadratrohr",C72,D72)-2*E72),"")))</f>
        <v/>
      </c>
      <c r="K72" s="34">
        <f>IF(A72="","",IF(F72&lt;&gt;"",F72,J72))</f>
        <v/>
      </c>
    </row>
    <row r="73">
      <c r="A73" s="9" t="n"/>
      <c r="B73" s="9" t="n"/>
      <c r="C73" s="49" t="n"/>
      <c r="D73" s="49" t="n"/>
      <c r="E73" s="50" t="n"/>
      <c r="F73" s="49" t="n"/>
      <c r="G73" s="24" t="n"/>
      <c r="H73" s="24" t="n"/>
      <c r="I73" s="9" t="n"/>
      <c r="J73" s="34">
        <f>IF(OR(A73="",C73="",E73=""),"",IF(B73="Rundrohr",PI()/4*(C73^2-(C73-2*E73)^2),IF(OR(B73="Quadratrohr",AND(B73="Rechteckrohr",D73&lt;&gt;"")),C73*IF(B73="Quadratrohr",C73,D73)-(C73-2*E73)*(IF(B73="Quadratrohr",C73,D73)-2*E73),"")))</f>
        <v/>
      </c>
      <c r="K73" s="34">
        <f>IF(A73="","",IF(F73&lt;&gt;"",F73,J73))</f>
        <v/>
      </c>
    </row>
    <row r="74">
      <c r="A74" s="9" t="n"/>
      <c r="B74" s="9" t="n"/>
      <c r="C74" s="49" t="n"/>
      <c r="D74" s="49" t="n"/>
      <c r="E74" s="50" t="n"/>
      <c r="F74" s="49" t="n"/>
      <c r="G74" s="24" t="n"/>
      <c r="H74" s="24" t="n"/>
      <c r="I74" s="9" t="n"/>
      <c r="J74" s="34">
        <f>IF(OR(A74="",C74="",E74=""),"",IF(B74="Rundrohr",PI()/4*(C74^2-(C74-2*E74)^2),IF(OR(B74="Quadratrohr",AND(B74="Rechteckrohr",D74&lt;&gt;"")),C74*IF(B74="Quadratrohr",C74,D74)-(C74-2*E74)*(IF(B74="Quadratrohr",C74,D74)-2*E74),"")))</f>
        <v/>
      </c>
      <c r="K74" s="34">
        <f>IF(A74="","",IF(F74&lt;&gt;"",F74,J74))</f>
        <v/>
      </c>
    </row>
    <row r="75">
      <c r="A75" s="9" t="n"/>
      <c r="B75" s="9" t="n"/>
      <c r="C75" s="49" t="n"/>
      <c r="D75" s="49" t="n"/>
      <c r="E75" s="50" t="n"/>
      <c r="F75" s="49" t="n"/>
      <c r="G75" s="24" t="n"/>
      <c r="H75" s="24" t="n"/>
      <c r="I75" s="9" t="n"/>
      <c r="J75" s="34">
        <f>IF(OR(A75="",C75="",E75=""),"",IF(B75="Rundrohr",PI()/4*(C75^2-(C75-2*E75)^2),IF(OR(B75="Quadratrohr",AND(B75="Rechteckrohr",D75&lt;&gt;"")),C75*IF(B75="Quadratrohr",C75,D75)-(C75-2*E75)*(IF(B75="Quadratrohr",C75,D75)-2*E75),"")))</f>
        <v/>
      </c>
      <c r="K75" s="34">
        <f>IF(A75="","",IF(F75&lt;&gt;"",F75,J75))</f>
        <v/>
      </c>
    </row>
    <row r="76">
      <c r="A76" s="9" t="n"/>
      <c r="B76" s="9" t="n"/>
      <c r="C76" s="49" t="n"/>
      <c r="D76" s="49" t="n"/>
      <c r="E76" s="50" t="n"/>
      <c r="F76" s="49" t="n"/>
      <c r="G76" s="24" t="n"/>
      <c r="H76" s="24" t="n"/>
      <c r="I76" s="9" t="n"/>
      <c r="J76" s="34">
        <f>IF(OR(A76="",C76="",E76=""),"",IF(B76="Rundrohr",PI()/4*(C76^2-(C76-2*E76)^2),IF(OR(B76="Quadratrohr",AND(B76="Rechteckrohr",D76&lt;&gt;"")),C76*IF(B76="Quadratrohr",C76,D76)-(C76-2*E76)*(IF(B76="Quadratrohr",C76,D76)-2*E76),"")))</f>
        <v/>
      </c>
      <c r="K76" s="34">
        <f>IF(A76="","",IF(F76&lt;&gt;"",F76,J76))</f>
        <v/>
      </c>
    </row>
    <row r="77">
      <c r="A77" s="9" t="n"/>
      <c r="B77" s="9" t="n"/>
      <c r="C77" s="49" t="n"/>
      <c r="D77" s="49" t="n"/>
      <c r="E77" s="50" t="n"/>
      <c r="F77" s="49" t="n"/>
      <c r="G77" s="24" t="n"/>
      <c r="H77" s="24" t="n"/>
      <c r="I77" s="9" t="n"/>
      <c r="J77" s="34">
        <f>IF(OR(A77="",C77="",E77=""),"",IF(B77="Rundrohr",PI()/4*(C77^2-(C77-2*E77)^2),IF(OR(B77="Quadratrohr",AND(B77="Rechteckrohr",D77&lt;&gt;"")),C77*IF(B77="Quadratrohr",C77,D77)-(C77-2*E77)*(IF(B77="Quadratrohr",C77,D77)-2*E77),"")))</f>
        <v/>
      </c>
      <c r="K77" s="34">
        <f>IF(A77="","",IF(F77&lt;&gt;"",F77,J77))</f>
        <v/>
      </c>
    </row>
    <row r="78">
      <c r="A78" s="9" t="n"/>
      <c r="B78" s="9" t="n"/>
      <c r="C78" s="49" t="n"/>
      <c r="D78" s="49" t="n"/>
      <c r="E78" s="50" t="n"/>
      <c r="F78" s="49" t="n"/>
      <c r="G78" s="24" t="n"/>
      <c r="H78" s="24" t="n"/>
      <c r="I78" s="9" t="n"/>
      <c r="J78" s="34">
        <f>IF(OR(A78="",C78="",E78=""),"",IF(B78="Rundrohr",PI()/4*(C78^2-(C78-2*E78)^2),IF(OR(B78="Quadratrohr",AND(B78="Rechteckrohr",D78&lt;&gt;"")),C78*IF(B78="Quadratrohr",C78,D78)-(C78-2*E78)*(IF(B78="Quadratrohr",C78,D78)-2*E78),"")))</f>
        <v/>
      </c>
      <c r="K78" s="34">
        <f>IF(A78="","",IF(F78&lt;&gt;"",F78,J78))</f>
        <v/>
      </c>
    </row>
    <row r="79">
      <c r="A79" s="9" t="n"/>
      <c r="B79" s="9" t="n"/>
      <c r="C79" s="49" t="n"/>
      <c r="D79" s="49" t="n"/>
      <c r="E79" s="50" t="n"/>
      <c r="F79" s="49" t="n"/>
      <c r="G79" s="24" t="n"/>
      <c r="H79" s="24" t="n"/>
      <c r="I79" s="9" t="n"/>
      <c r="J79" s="34">
        <f>IF(OR(A79="",C79="",E79=""),"",IF(B79="Rundrohr",PI()/4*(C79^2-(C79-2*E79)^2),IF(OR(B79="Quadratrohr",AND(B79="Rechteckrohr",D79&lt;&gt;"")),C79*IF(B79="Quadratrohr",C79,D79)-(C79-2*E79)*(IF(B79="Quadratrohr",C79,D79)-2*E79),"")))</f>
        <v/>
      </c>
      <c r="K79" s="34">
        <f>IF(A79="","",IF(F79&lt;&gt;"",F79,J79))</f>
        <v/>
      </c>
    </row>
    <row r="80">
      <c r="A80" s="9" t="n"/>
      <c r="B80" s="9" t="n"/>
      <c r="C80" s="49" t="n"/>
      <c r="D80" s="49" t="n"/>
      <c r="E80" s="50" t="n"/>
      <c r="F80" s="49" t="n"/>
      <c r="G80" s="24" t="n"/>
      <c r="H80" s="24" t="n"/>
      <c r="I80" s="9" t="n"/>
      <c r="J80" s="34">
        <f>IF(OR(A80="",C80="",E80=""),"",IF(B80="Rundrohr",PI()/4*(C80^2-(C80-2*E80)^2),IF(OR(B80="Quadratrohr",AND(B80="Rechteckrohr",D80&lt;&gt;"")),C80*IF(B80="Quadratrohr",C80,D80)-(C80-2*E80)*(IF(B80="Quadratrohr",C80,D80)-2*E80),"")))</f>
        <v/>
      </c>
      <c r="K80" s="34">
        <f>IF(A80="","",IF(F80&lt;&gt;"",F80,J80))</f>
        <v/>
      </c>
    </row>
    <row r="81">
      <c r="A81" s="9" t="n"/>
      <c r="B81" s="9" t="n"/>
      <c r="C81" s="49" t="n"/>
      <c r="D81" s="49" t="n"/>
      <c r="E81" s="50" t="n"/>
      <c r="F81" s="49" t="n"/>
      <c r="G81" s="24" t="n"/>
      <c r="H81" s="24" t="n"/>
      <c r="I81" s="9" t="n"/>
      <c r="J81" s="34">
        <f>IF(OR(A81="",C81="",E81=""),"",IF(B81="Rundrohr",PI()/4*(C81^2-(C81-2*E81)^2),IF(OR(B81="Quadratrohr",AND(B81="Rechteckrohr",D81&lt;&gt;"")),C81*IF(B81="Quadratrohr",C81,D81)-(C81-2*E81)*(IF(B81="Quadratrohr",C81,D81)-2*E81),"")))</f>
        <v/>
      </c>
      <c r="K81" s="34">
        <f>IF(A81="","",IF(F81&lt;&gt;"",F81,J81))</f>
        <v/>
      </c>
    </row>
    <row r="82">
      <c r="A82" s="9" t="n"/>
      <c r="B82" s="9" t="n"/>
      <c r="C82" s="49" t="n"/>
      <c r="D82" s="49" t="n"/>
      <c r="E82" s="50" t="n"/>
      <c r="F82" s="49" t="n"/>
      <c r="G82" s="24" t="n"/>
      <c r="H82" s="24" t="n"/>
      <c r="I82" s="9" t="n"/>
      <c r="J82" s="34">
        <f>IF(OR(A82="",C82="",E82=""),"",IF(B82="Rundrohr",PI()/4*(C82^2-(C82-2*E82)^2),IF(OR(B82="Quadratrohr",AND(B82="Rechteckrohr",D82&lt;&gt;"")),C82*IF(B82="Quadratrohr",C82,D82)-(C82-2*E82)*(IF(B82="Quadratrohr",C82,D82)-2*E82),"")))</f>
        <v/>
      </c>
      <c r="K82" s="34">
        <f>IF(A82="","",IF(F82&lt;&gt;"",F82,J82))</f>
        <v/>
      </c>
    </row>
    <row r="83">
      <c r="A83" s="9" t="n"/>
      <c r="B83" s="9" t="n"/>
      <c r="C83" s="49" t="n"/>
      <c r="D83" s="49" t="n"/>
      <c r="E83" s="50" t="n"/>
      <c r="F83" s="49" t="n"/>
      <c r="G83" s="24" t="n"/>
      <c r="H83" s="24" t="n"/>
      <c r="I83" s="9" t="n"/>
      <c r="J83" s="34">
        <f>IF(OR(A83="",C83="",E83=""),"",IF(B83="Rundrohr",PI()/4*(C83^2-(C83-2*E83)^2),IF(OR(B83="Quadratrohr",AND(B83="Rechteckrohr",D83&lt;&gt;"")),C83*IF(B83="Quadratrohr",C83,D83)-(C83-2*E83)*(IF(B83="Quadratrohr",C83,D83)-2*E83),"")))</f>
        <v/>
      </c>
      <c r="K83" s="34">
        <f>IF(A83="","",IF(F83&lt;&gt;"",F83,J83))</f>
        <v/>
      </c>
    </row>
    <row r="84">
      <c r="A84" s="9" t="n"/>
      <c r="B84" s="9" t="n"/>
      <c r="C84" s="49" t="n"/>
      <c r="D84" s="49" t="n"/>
      <c r="E84" s="50" t="n"/>
      <c r="F84" s="49" t="n"/>
      <c r="G84" s="24" t="n"/>
      <c r="H84" s="24" t="n"/>
      <c r="I84" s="9" t="n"/>
      <c r="J84" s="34">
        <f>IF(OR(A84="",C84="",E84=""),"",IF(B84="Rundrohr",PI()/4*(C84^2-(C84-2*E84)^2),IF(OR(B84="Quadratrohr",AND(B84="Rechteckrohr",D84&lt;&gt;"")),C84*IF(B84="Quadratrohr",C84,D84)-(C84-2*E84)*(IF(B84="Quadratrohr",C84,D84)-2*E84),"")))</f>
        <v/>
      </c>
      <c r="K84" s="34">
        <f>IF(A84="","",IF(F84&lt;&gt;"",F84,J84))</f>
        <v/>
      </c>
    </row>
    <row r="85">
      <c r="A85" s="9" t="n"/>
      <c r="B85" s="9" t="n"/>
      <c r="C85" s="49" t="n"/>
      <c r="D85" s="49" t="n"/>
      <c r="E85" s="50" t="n"/>
      <c r="F85" s="49" t="n"/>
      <c r="G85" s="24" t="n"/>
      <c r="H85" s="24" t="n"/>
      <c r="I85" s="9" t="n"/>
      <c r="J85" s="34">
        <f>IF(OR(A85="",C85="",E85=""),"",IF(B85="Rundrohr",PI()/4*(C85^2-(C85-2*E85)^2),IF(OR(B85="Quadratrohr",AND(B85="Rechteckrohr",D85&lt;&gt;"")),C85*IF(B85="Quadratrohr",C85,D85)-(C85-2*E85)*(IF(B85="Quadratrohr",C85,D85)-2*E85),"")))</f>
        <v/>
      </c>
      <c r="K85" s="34">
        <f>IF(A85="","",IF(F85&lt;&gt;"",F85,J85))</f>
        <v/>
      </c>
    </row>
    <row r="86">
      <c r="A86" s="9" t="n"/>
      <c r="B86" s="9" t="n"/>
      <c r="C86" s="49" t="n"/>
      <c r="D86" s="49" t="n"/>
      <c r="E86" s="50" t="n"/>
      <c r="F86" s="49" t="n"/>
      <c r="G86" s="24" t="n"/>
      <c r="H86" s="24" t="n"/>
      <c r="I86" s="9" t="n"/>
      <c r="J86" s="34">
        <f>IF(OR(A86="",C86="",E86=""),"",IF(B86="Rundrohr",PI()/4*(C86^2-(C86-2*E86)^2),IF(OR(B86="Quadratrohr",AND(B86="Rechteckrohr",D86&lt;&gt;"")),C86*IF(B86="Quadratrohr",C86,D86)-(C86-2*E86)*(IF(B86="Quadratrohr",C86,D86)-2*E86),"")))</f>
        <v/>
      </c>
      <c r="K86" s="34">
        <f>IF(A86="","",IF(F86&lt;&gt;"",F86,J86))</f>
        <v/>
      </c>
    </row>
    <row r="87">
      <c r="A87" s="9" t="n"/>
      <c r="B87" s="9" t="n"/>
      <c r="C87" s="49" t="n"/>
      <c r="D87" s="49" t="n"/>
      <c r="E87" s="50" t="n"/>
      <c r="F87" s="49" t="n"/>
      <c r="G87" s="24" t="n"/>
      <c r="H87" s="24" t="n"/>
      <c r="I87" s="9" t="n"/>
      <c r="J87" s="34">
        <f>IF(OR(A87="",C87="",E87=""),"",IF(B87="Rundrohr",PI()/4*(C87^2-(C87-2*E87)^2),IF(OR(B87="Quadratrohr",AND(B87="Rechteckrohr",D87&lt;&gt;"")),C87*IF(B87="Quadratrohr",C87,D87)-(C87-2*E87)*(IF(B87="Quadratrohr",C87,D87)-2*E87),"")))</f>
        <v/>
      </c>
      <c r="K87" s="34">
        <f>IF(A87="","",IF(F87&lt;&gt;"",F87,J87))</f>
        <v/>
      </c>
    </row>
    <row r="88">
      <c r="A88" s="9" t="n"/>
      <c r="B88" s="9" t="n"/>
      <c r="C88" s="49" t="n"/>
      <c r="D88" s="49" t="n"/>
      <c r="E88" s="50" t="n"/>
      <c r="F88" s="49" t="n"/>
      <c r="G88" s="24" t="n"/>
      <c r="H88" s="24" t="n"/>
      <c r="I88" s="9" t="n"/>
      <c r="J88" s="34">
        <f>IF(OR(A88="",C88="",E88=""),"",IF(B88="Rundrohr",PI()/4*(C88^2-(C88-2*E88)^2),IF(OR(B88="Quadratrohr",AND(B88="Rechteckrohr",D88&lt;&gt;"")),C88*IF(B88="Quadratrohr",C88,D88)-(C88-2*E88)*(IF(B88="Quadratrohr",C88,D88)-2*E88),"")))</f>
        <v/>
      </c>
      <c r="K88" s="34">
        <f>IF(A88="","",IF(F88&lt;&gt;"",F88,J88))</f>
        <v/>
      </c>
    </row>
    <row r="89">
      <c r="A89" s="9" t="n"/>
      <c r="B89" s="9" t="n"/>
      <c r="C89" s="49" t="n"/>
      <c r="D89" s="49" t="n"/>
      <c r="E89" s="50" t="n"/>
      <c r="F89" s="49" t="n"/>
      <c r="G89" s="24" t="n"/>
      <c r="H89" s="24" t="n"/>
      <c r="I89" s="9" t="n"/>
      <c r="J89" s="34">
        <f>IF(OR(A89="",C89="",E89=""),"",IF(B89="Rundrohr",PI()/4*(C89^2-(C89-2*E89)^2),IF(OR(B89="Quadratrohr",AND(B89="Rechteckrohr",D89&lt;&gt;"")),C89*IF(B89="Quadratrohr",C89,D89)-(C89-2*E89)*(IF(B89="Quadratrohr",C89,D89)-2*E89),"")))</f>
        <v/>
      </c>
      <c r="K89" s="34">
        <f>IF(A89="","",IF(F89&lt;&gt;"",F89,J89))</f>
        <v/>
      </c>
    </row>
    <row r="90">
      <c r="A90" s="9" t="n"/>
      <c r="B90" s="9" t="n"/>
      <c r="C90" s="49" t="n"/>
      <c r="D90" s="49" t="n"/>
      <c r="E90" s="50" t="n"/>
      <c r="F90" s="49" t="n"/>
      <c r="G90" s="24" t="n"/>
      <c r="H90" s="24" t="n"/>
      <c r="I90" s="9" t="n"/>
      <c r="J90" s="34">
        <f>IF(OR(A90="",C90="",E90=""),"",IF(B90="Rundrohr",PI()/4*(C90^2-(C90-2*E90)^2),IF(OR(B90="Quadratrohr",AND(B90="Rechteckrohr",D90&lt;&gt;"")),C90*IF(B90="Quadratrohr",C90,D90)-(C90-2*E90)*(IF(B90="Quadratrohr",C90,D90)-2*E90),"")))</f>
        <v/>
      </c>
      <c r="K90" s="34">
        <f>IF(A90="","",IF(F90&lt;&gt;"",F90,J90))</f>
        <v/>
      </c>
    </row>
    <row r="91">
      <c r="A91" s="9" t="n"/>
      <c r="B91" s="9" t="n"/>
      <c r="C91" s="49" t="n"/>
      <c r="D91" s="49" t="n"/>
      <c r="E91" s="50" t="n"/>
      <c r="F91" s="49" t="n"/>
      <c r="G91" s="24" t="n"/>
      <c r="H91" s="24" t="n"/>
      <c r="I91" s="9" t="n"/>
      <c r="J91" s="34">
        <f>IF(OR(A91="",C91="",E91=""),"",IF(B91="Rundrohr",PI()/4*(C91^2-(C91-2*E91)^2),IF(OR(B91="Quadratrohr",AND(B91="Rechteckrohr",D91&lt;&gt;"")),C91*IF(B91="Quadratrohr",C91,D91)-(C91-2*E91)*(IF(B91="Quadratrohr",C91,D91)-2*E91),"")))</f>
        <v/>
      </c>
      <c r="K91" s="34">
        <f>IF(A91="","",IF(F91&lt;&gt;"",F91,J91))</f>
        <v/>
      </c>
    </row>
    <row r="92">
      <c r="A92" s="9" t="n"/>
      <c r="B92" s="9" t="n"/>
      <c r="C92" s="49" t="n"/>
      <c r="D92" s="49" t="n"/>
      <c r="E92" s="50" t="n"/>
      <c r="F92" s="49" t="n"/>
      <c r="G92" s="24" t="n"/>
      <c r="H92" s="24" t="n"/>
      <c r="I92" s="9" t="n"/>
      <c r="J92" s="34">
        <f>IF(OR(A92="",C92="",E92=""),"",IF(B92="Rundrohr",PI()/4*(C92^2-(C92-2*E92)^2),IF(OR(B92="Quadratrohr",AND(B92="Rechteckrohr",D92&lt;&gt;"")),C92*IF(B92="Quadratrohr",C92,D92)-(C92-2*E92)*(IF(B92="Quadratrohr",C92,D92)-2*E92),"")))</f>
        <v/>
      </c>
      <c r="K92" s="34">
        <f>IF(A92="","",IF(F92&lt;&gt;"",F92,J92))</f>
        <v/>
      </c>
    </row>
    <row r="93">
      <c r="A93" s="9" t="n"/>
      <c r="B93" s="9" t="n"/>
      <c r="C93" s="49" t="n"/>
      <c r="D93" s="49" t="n"/>
      <c r="E93" s="50" t="n"/>
      <c r="F93" s="49" t="n"/>
      <c r="G93" s="24" t="n"/>
      <c r="H93" s="24" t="n"/>
      <c r="I93" s="9" t="n"/>
      <c r="J93" s="34">
        <f>IF(OR(A93="",C93="",E93=""),"",IF(B93="Rundrohr",PI()/4*(C93^2-(C93-2*E93)^2),IF(OR(B93="Quadratrohr",AND(B93="Rechteckrohr",D93&lt;&gt;"")),C93*IF(B93="Quadratrohr",C93,D93)-(C93-2*E93)*(IF(B93="Quadratrohr",C93,D93)-2*E93),"")))</f>
        <v/>
      </c>
      <c r="K93" s="34">
        <f>IF(A93="","",IF(F93&lt;&gt;"",F93,J93))</f>
        <v/>
      </c>
    </row>
    <row r="94">
      <c r="A94" s="9" t="n"/>
      <c r="B94" s="9" t="n"/>
      <c r="C94" s="49" t="n"/>
      <c r="D94" s="49" t="n"/>
      <c r="E94" s="50" t="n"/>
      <c r="F94" s="49" t="n"/>
      <c r="G94" s="24" t="n"/>
      <c r="H94" s="24" t="n"/>
      <c r="I94" s="9" t="n"/>
      <c r="J94" s="34">
        <f>IF(OR(A94="",C94="",E94=""),"",IF(B94="Rundrohr",PI()/4*(C94^2-(C94-2*E94)^2),IF(OR(B94="Quadratrohr",AND(B94="Rechteckrohr",D94&lt;&gt;"")),C94*IF(B94="Quadratrohr",C94,D94)-(C94-2*E94)*(IF(B94="Quadratrohr",C94,D94)-2*E94),"")))</f>
        <v/>
      </c>
      <c r="K94" s="34">
        <f>IF(A94="","",IF(F94&lt;&gt;"",F94,J94))</f>
        <v/>
      </c>
    </row>
    <row r="95">
      <c r="A95" s="9" t="n"/>
      <c r="B95" s="9" t="n"/>
      <c r="C95" s="49" t="n"/>
      <c r="D95" s="49" t="n"/>
      <c r="E95" s="50" t="n"/>
      <c r="F95" s="49" t="n"/>
      <c r="G95" s="24" t="n"/>
      <c r="H95" s="24" t="n"/>
      <c r="I95" s="9" t="n"/>
      <c r="J95" s="34">
        <f>IF(OR(A95="",C95="",E95=""),"",IF(B95="Rundrohr",PI()/4*(C95^2-(C95-2*E95)^2),IF(OR(B95="Quadratrohr",AND(B95="Rechteckrohr",D95&lt;&gt;"")),C95*IF(B95="Quadratrohr",C95,D95)-(C95-2*E95)*(IF(B95="Quadratrohr",C95,D95)-2*E95),"")))</f>
        <v/>
      </c>
      <c r="K95" s="34">
        <f>IF(A95="","",IF(F95&lt;&gt;"",F95,J95))</f>
        <v/>
      </c>
    </row>
    <row r="96">
      <c r="A96" s="9" t="n"/>
      <c r="B96" s="9" t="n"/>
      <c r="C96" s="49" t="n"/>
      <c r="D96" s="49" t="n"/>
      <c r="E96" s="50" t="n"/>
      <c r="F96" s="49" t="n"/>
      <c r="G96" s="24" t="n"/>
      <c r="H96" s="24" t="n"/>
      <c r="I96" s="9" t="n"/>
      <c r="J96" s="34">
        <f>IF(OR(A96="",C96="",E96=""),"",IF(B96="Rundrohr",PI()/4*(C96^2-(C96-2*E96)^2),IF(OR(B96="Quadratrohr",AND(B96="Rechteckrohr",D96&lt;&gt;"")),C96*IF(B96="Quadratrohr",C96,D96)-(C96-2*E96)*(IF(B96="Quadratrohr",C96,D96)-2*E96),"")))</f>
        <v/>
      </c>
      <c r="K96" s="34">
        <f>IF(A96="","",IF(F96&lt;&gt;"",F96,J96))</f>
        <v/>
      </c>
    </row>
    <row r="97">
      <c r="A97" s="9" t="n"/>
      <c r="B97" s="9" t="n"/>
      <c r="C97" s="49" t="n"/>
      <c r="D97" s="49" t="n"/>
      <c r="E97" s="50" t="n"/>
      <c r="F97" s="49" t="n"/>
      <c r="G97" s="24" t="n"/>
      <c r="H97" s="24" t="n"/>
      <c r="I97" s="9" t="n"/>
      <c r="J97" s="34">
        <f>IF(OR(A97="",C97="",E97=""),"",IF(B97="Rundrohr",PI()/4*(C97^2-(C97-2*E97)^2),IF(OR(B97="Quadratrohr",AND(B97="Rechteckrohr",D97&lt;&gt;"")),C97*IF(B97="Quadratrohr",C97,D97)-(C97-2*E97)*(IF(B97="Quadratrohr",C97,D97)-2*E97),"")))</f>
        <v/>
      </c>
      <c r="K97" s="34">
        <f>IF(A97="","",IF(F97&lt;&gt;"",F97,J97))</f>
        <v/>
      </c>
    </row>
    <row r="98">
      <c r="A98" s="9" t="n"/>
      <c r="B98" s="9" t="n"/>
      <c r="C98" s="49" t="n"/>
      <c r="D98" s="49" t="n"/>
      <c r="E98" s="50" t="n"/>
      <c r="F98" s="49" t="n"/>
      <c r="G98" s="24" t="n"/>
      <c r="H98" s="24" t="n"/>
      <c r="I98" s="9" t="n"/>
      <c r="J98" s="34">
        <f>IF(OR(A98="",C98="",E98=""),"",IF(B98="Rundrohr",PI()/4*(C98^2-(C98-2*E98)^2),IF(OR(B98="Quadratrohr",AND(B98="Rechteckrohr",D98&lt;&gt;"")),C98*IF(B98="Quadratrohr",C98,D98)-(C98-2*E98)*(IF(B98="Quadratrohr",C98,D98)-2*E98),"")))</f>
        <v/>
      </c>
      <c r="K98" s="34">
        <f>IF(A98="","",IF(F98&lt;&gt;"",F98,J98))</f>
        <v/>
      </c>
    </row>
    <row r="99">
      <c r="A99" s="9" t="n"/>
      <c r="B99" s="9" t="n"/>
      <c r="C99" s="49" t="n"/>
      <c r="D99" s="49" t="n"/>
      <c r="E99" s="50" t="n"/>
      <c r="F99" s="49" t="n"/>
      <c r="G99" s="24" t="n"/>
      <c r="H99" s="24" t="n"/>
      <c r="I99" s="9" t="n"/>
      <c r="J99" s="34">
        <f>IF(OR(A99="",C99="",E99=""),"",IF(B99="Rundrohr",PI()/4*(C99^2-(C99-2*E99)^2),IF(OR(B99="Quadratrohr",AND(B99="Rechteckrohr",D99&lt;&gt;"")),C99*IF(B99="Quadratrohr",C99,D99)-(C99-2*E99)*(IF(B99="Quadratrohr",C99,D99)-2*E99),"")))</f>
        <v/>
      </c>
      <c r="K99" s="34">
        <f>IF(A99="","",IF(F99&lt;&gt;"",F99,J99))</f>
        <v/>
      </c>
    </row>
    <row r="100">
      <c r="A100" s="9" t="n"/>
      <c r="B100" s="9" t="n"/>
      <c r="C100" s="49" t="n"/>
      <c r="D100" s="49" t="n"/>
      <c r="E100" s="50" t="n"/>
      <c r="F100" s="49" t="n"/>
      <c r="G100" s="24" t="n"/>
      <c r="H100" s="24" t="n"/>
      <c r="I100" s="9" t="n"/>
      <c r="J100" s="34">
        <f>IF(OR(A100="",C100="",E100=""),"",IF(B100="Rundrohr",PI()/4*(C100^2-(C100-2*E100)^2),IF(OR(B100="Quadratrohr",AND(B100="Rechteckrohr",D100&lt;&gt;"")),C100*IF(B100="Quadratrohr",C100,D100)-(C100-2*E100)*(IF(B100="Quadratrohr",C100,D100)-2*E100),"")))</f>
        <v/>
      </c>
      <c r="K100" s="34">
        <f>IF(A100="","",IF(F100&lt;&gt;"",F100,J100))</f>
        <v/>
      </c>
    </row>
    <row r="101">
      <c r="A101" s="9" t="n"/>
      <c r="B101" s="9" t="n"/>
      <c r="C101" s="49" t="n"/>
      <c r="D101" s="49" t="n"/>
      <c r="E101" s="50" t="n"/>
      <c r="F101" s="49" t="n"/>
      <c r="G101" s="24" t="n"/>
      <c r="H101" s="24" t="n"/>
      <c r="I101" s="9" t="n"/>
      <c r="J101" s="34">
        <f>IF(OR(A101="",C101="",E101=""),"",IF(B101="Rundrohr",PI()/4*(C101^2-(C101-2*E101)^2),IF(OR(B101="Quadratrohr",AND(B101="Rechteckrohr",D101&lt;&gt;"")),C101*IF(B101="Quadratrohr",C101,D101)-(C101-2*E101)*(IF(B101="Quadratrohr",C101,D101)-2*E101),"")))</f>
        <v/>
      </c>
      <c r="K101" s="34">
        <f>IF(A101="","",IF(F101&lt;&gt;"",F101,J101))</f>
        <v/>
      </c>
    </row>
    <row r="102">
      <c r="A102" s="9" t="n"/>
      <c r="B102" s="9" t="n"/>
      <c r="C102" s="49" t="n"/>
      <c r="D102" s="49" t="n"/>
      <c r="E102" s="50" t="n"/>
      <c r="F102" s="49" t="n"/>
      <c r="G102" s="24" t="n"/>
      <c r="H102" s="24" t="n"/>
      <c r="I102" s="9" t="n"/>
      <c r="J102" s="34">
        <f>IF(OR(A102="",C102="",E102=""),"",IF(B102="Rundrohr",PI()/4*(C102^2-(C102-2*E102)^2),IF(OR(B102="Quadratrohr",AND(B102="Rechteckrohr",D102&lt;&gt;"")),C102*IF(B102="Quadratrohr",C102,D102)-(C102-2*E102)*(IF(B102="Quadratrohr",C102,D102)-2*E102),"")))</f>
        <v/>
      </c>
      <c r="K102" s="34">
        <f>IF(A102="","",IF(F102&lt;&gt;"",F102,J102))</f>
        <v/>
      </c>
    </row>
    <row r="103">
      <c r="A103" s="9" t="n"/>
      <c r="B103" s="9" t="n"/>
      <c r="C103" s="49" t="n"/>
      <c r="D103" s="49" t="n"/>
      <c r="E103" s="50" t="n"/>
      <c r="F103" s="49" t="n"/>
      <c r="G103" s="24" t="n"/>
      <c r="H103" s="24" t="n"/>
      <c r="I103" s="9" t="n"/>
      <c r="J103" s="34">
        <f>IF(OR(A103="",C103="",E103=""),"",IF(B103="Rundrohr",PI()/4*(C103^2-(C103-2*E103)^2),IF(OR(B103="Quadratrohr",AND(B103="Rechteckrohr",D103&lt;&gt;"")),C103*IF(B103="Quadratrohr",C103,D103)-(C103-2*E103)*(IF(B103="Quadratrohr",C103,D103)-2*E103),"")))</f>
        <v/>
      </c>
      <c r="K103" s="34">
        <f>IF(A103="","",IF(F103&lt;&gt;"",F103,J103))</f>
        <v/>
      </c>
    </row>
    <row r="104">
      <c r="A104" s="9" t="n"/>
      <c r="B104" s="9" t="n"/>
      <c r="C104" s="49" t="n"/>
      <c r="D104" s="49" t="n"/>
      <c r="E104" s="50" t="n"/>
      <c r="F104" s="49" t="n"/>
      <c r="G104" s="24" t="n"/>
      <c r="H104" s="24" t="n"/>
      <c r="I104" s="9" t="n"/>
      <c r="J104" s="34">
        <f>IF(OR(A104="",C104="",E104=""),"",IF(B104="Rundrohr",PI()/4*(C104^2-(C104-2*E104)^2),IF(OR(B104="Quadratrohr",AND(B104="Rechteckrohr",D104&lt;&gt;"")),C104*IF(B104="Quadratrohr",C104,D104)-(C104-2*E104)*(IF(B104="Quadratrohr",C104,D104)-2*E104),"")))</f>
        <v/>
      </c>
      <c r="K104" s="34">
        <f>IF(A104="","",IF(F104&lt;&gt;"",F104,J104))</f>
        <v/>
      </c>
    </row>
    <row r="105">
      <c r="A105" s="9" t="n"/>
      <c r="B105" s="9" t="n"/>
      <c r="C105" s="49" t="n"/>
      <c r="D105" s="49" t="n"/>
      <c r="E105" s="50" t="n"/>
      <c r="F105" s="49" t="n"/>
      <c r="G105" s="24" t="n"/>
      <c r="H105" s="24" t="n"/>
      <c r="I105" s="9" t="n"/>
      <c r="J105" s="34">
        <f>IF(OR(A105="",C105="",E105=""),"",IF(B105="Rundrohr",PI()/4*(C105^2-(C105-2*E105)^2),IF(OR(B105="Quadratrohr",AND(B105="Rechteckrohr",D105&lt;&gt;"")),C105*IF(B105="Quadratrohr",C105,D105)-(C105-2*E105)*(IF(B105="Quadratrohr",C105,D105)-2*E105),"")))</f>
        <v/>
      </c>
      <c r="K105" s="34">
        <f>IF(A105="","",IF(F105&lt;&gt;"",F105,J105))</f>
        <v/>
      </c>
    </row>
    <row r="106">
      <c r="A106" s="9" t="n"/>
      <c r="B106" s="9" t="n"/>
      <c r="C106" s="49" t="n"/>
      <c r="D106" s="49" t="n"/>
      <c r="E106" s="50" t="n"/>
      <c r="F106" s="49" t="n"/>
      <c r="G106" s="24" t="n"/>
      <c r="H106" s="24" t="n"/>
      <c r="I106" s="9" t="n"/>
      <c r="J106" s="34">
        <f>IF(OR(A106="",C106="",E106=""),"",IF(B106="Rundrohr",PI()/4*(C106^2-(C106-2*E106)^2),IF(OR(B106="Quadratrohr",AND(B106="Rechteckrohr",D106&lt;&gt;"")),C106*IF(B106="Quadratrohr",C106,D106)-(C106-2*E106)*(IF(B106="Quadratrohr",C106,D106)-2*E106),"")))</f>
        <v/>
      </c>
      <c r="K106" s="34">
        <f>IF(A106="","",IF(F106&lt;&gt;"",F106,J106))</f>
        <v/>
      </c>
    </row>
    <row r="107">
      <c r="A107" s="9" t="n"/>
      <c r="B107" s="9" t="n"/>
      <c r="C107" s="49" t="n"/>
      <c r="D107" s="49" t="n"/>
      <c r="E107" s="50" t="n"/>
      <c r="F107" s="49" t="n"/>
      <c r="G107" s="24" t="n"/>
      <c r="H107" s="24" t="n"/>
      <c r="I107" s="9" t="n"/>
      <c r="J107" s="34">
        <f>IF(OR(A107="",C107="",E107=""),"",IF(B107="Rundrohr",PI()/4*(C107^2-(C107-2*E107)^2),IF(OR(B107="Quadratrohr",AND(B107="Rechteckrohr",D107&lt;&gt;"")),C107*IF(B107="Quadratrohr",C107,D107)-(C107-2*E107)*(IF(B107="Quadratrohr",C107,D107)-2*E107),"")))</f>
        <v/>
      </c>
      <c r="K107" s="34">
        <f>IF(A107="","",IF(F107&lt;&gt;"",F107,J107))</f>
        <v/>
      </c>
    </row>
    <row r="108">
      <c r="A108" s="9" t="n"/>
      <c r="B108" s="9" t="n"/>
      <c r="C108" s="49" t="n"/>
      <c r="D108" s="49" t="n"/>
      <c r="E108" s="50" t="n"/>
      <c r="F108" s="49" t="n"/>
      <c r="G108" s="24" t="n"/>
      <c r="H108" s="24" t="n"/>
      <c r="I108" s="9" t="n"/>
      <c r="J108" s="34">
        <f>IF(OR(A108="",C108="",E108=""),"",IF(B108="Rundrohr",PI()/4*(C108^2-(C108-2*E108)^2),IF(OR(B108="Quadratrohr",AND(B108="Rechteckrohr",D108&lt;&gt;"")),C108*IF(B108="Quadratrohr",C108,D108)-(C108-2*E108)*(IF(B108="Quadratrohr",C108,D108)-2*E108),"")))</f>
        <v/>
      </c>
      <c r="K108" s="34">
        <f>IF(A108="","",IF(F108&lt;&gt;"",F108,J108))</f>
        <v/>
      </c>
    </row>
    <row r="109">
      <c r="A109" s="9" t="n"/>
      <c r="B109" s="9" t="n"/>
      <c r="C109" s="49" t="n"/>
      <c r="D109" s="49" t="n"/>
      <c r="E109" s="50" t="n"/>
      <c r="F109" s="49" t="n"/>
      <c r="G109" s="24" t="n"/>
      <c r="H109" s="24" t="n"/>
      <c r="I109" s="9" t="n"/>
      <c r="J109" s="34">
        <f>IF(OR(A109="",C109="",E109=""),"",IF(B109="Rundrohr",PI()/4*(C109^2-(C109-2*E109)^2),IF(OR(B109="Quadratrohr",AND(B109="Rechteckrohr",D109&lt;&gt;"")),C109*IF(B109="Quadratrohr",C109,D109)-(C109-2*E109)*(IF(B109="Quadratrohr",C109,D109)-2*E109),"")))</f>
        <v/>
      </c>
      <c r="K109" s="34">
        <f>IF(A109="","",IF(F109&lt;&gt;"",F109,J109))</f>
        <v/>
      </c>
    </row>
    <row r="110">
      <c r="A110" s="9" t="n"/>
      <c r="B110" s="9" t="n"/>
      <c r="C110" s="49" t="n"/>
      <c r="D110" s="49" t="n"/>
      <c r="E110" s="50" t="n"/>
      <c r="F110" s="49" t="n"/>
      <c r="G110" s="24" t="n"/>
      <c r="H110" s="24" t="n"/>
      <c r="I110" s="9" t="n"/>
      <c r="J110" s="34">
        <f>IF(OR(A110="",C110="",E110=""),"",IF(B110="Rundrohr",PI()/4*(C110^2-(C110-2*E110)^2),IF(OR(B110="Quadratrohr",AND(B110="Rechteckrohr",D110&lt;&gt;"")),C110*IF(B110="Quadratrohr",C110,D110)-(C110-2*E110)*(IF(B110="Quadratrohr",C110,D110)-2*E110),"")))</f>
        <v/>
      </c>
      <c r="K110" s="34">
        <f>IF(A110="","",IF(F110&lt;&gt;"",F110,J110))</f>
        <v/>
      </c>
    </row>
    <row r="111">
      <c r="A111" s="9" t="n"/>
      <c r="B111" s="9" t="n"/>
      <c r="C111" s="49" t="n"/>
      <c r="D111" s="49" t="n"/>
      <c r="E111" s="50" t="n"/>
      <c r="F111" s="49" t="n"/>
      <c r="G111" s="24" t="n"/>
      <c r="H111" s="24" t="n"/>
      <c r="I111" s="9" t="n"/>
      <c r="J111" s="34">
        <f>IF(OR(A111="",C111="",E111=""),"",IF(B111="Rundrohr",PI()/4*(C111^2-(C111-2*E111)^2),IF(OR(B111="Quadratrohr",AND(B111="Rechteckrohr",D111&lt;&gt;"")),C111*IF(B111="Quadratrohr",C111,D111)-(C111-2*E111)*(IF(B111="Quadratrohr",C111,D111)-2*E111),"")))</f>
        <v/>
      </c>
      <c r="K111" s="34">
        <f>IF(A111="","",IF(F111&lt;&gt;"",F111,J111))</f>
        <v/>
      </c>
    </row>
    <row r="112">
      <c r="A112" s="9" t="n"/>
      <c r="B112" s="9" t="n"/>
      <c r="C112" s="49" t="n"/>
      <c r="D112" s="49" t="n"/>
      <c r="E112" s="50" t="n"/>
      <c r="F112" s="49" t="n"/>
      <c r="G112" s="24" t="n"/>
      <c r="H112" s="24" t="n"/>
      <c r="I112" s="9" t="n"/>
      <c r="J112" s="34">
        <f>IF(OR(A112="",C112="",E112=""),"",IF(B112="Rundrohr",PI()/4*(C112^2-(C112-2*E112)^2),IF(OR(B112="Quadratrohr",AND(B112="Rechteckrohr",D112&lt;&gt;"")),C112*IF(B112="Quadratrohr",C112,D112)-(C112-2*E112)*(IF(B112="Quadratrohr",C112,D112)-2*E112),"")))</f>
        <v/>
      </c>
      <c r="K112" s="34">
        <f>IF(A112="","",IF(F112&lt;&gt;"",F112,J112))</f>
        <v/>
      </c>
    </row>
    <row r="113">
      <c r="A113" s="9" t="n"/>
      <c r="B113" s="9" t="n"/>
      <c r="C113" s="49" t="n"/>
      <c r="D113" s="49" t="n"/>
      <c r="E113" s="50" t="n"/>
      <c r="F113" s="49" t="n"/>
      <c r="G113" s="24" t="n"/>
      <c r="H113" s="24" t="n"/>
      <c r="I113" s="9" t="n"/>
      <c r="J113" s="34">
        <f>IF(OR(A113="",C113="",E113=""),"",IF(B113="Rundrohr",PI()/4*(C113^2-(C113-2*E113)^2),IF(OR(B113="Quadratrohr",AND(B113="Rechteckrohr",D113&lt;&gt;"")),C113*IF(B113="Quadratrohr",C113,D113)-(C113-2*E113)*(IF(B113="Quadratrohr",C113,D113)-2*E113),"")))</f>
        <v/>
      </c>
      <c r="K113" s="34">
        <f>IF(A113="","",IF(F113&lt;&gt;"",F113,J113))</f>
        <v/>
      </c>
    </row>
    <row r="114">
      <c r="A114" s="9" t="n"/>
      <c r="B114" s="9" t="n"/>
      <c r="C114" s="49" t="n"/>
      <c r="D114" s="49" t="n"/>
      <c r="E114" s="50" t="n"/>
      <c r="F114" s="49" t="n"/>
      <c r="G114" s="24" t="n"/>
      <c r="H114" s="24" t="n"/>
      <c r="I114" s="9" t="n"/>
      <c r="J114" s="34">
        <f>IF(OR(A114="",C114="",E114=""),"",IF(B114="Rundrohr",PI()/4*(C114^2-(C114-2*E114)^2),IF(OR(B114="Quadratrohr",AND(B114="Rechteckrohr",D114&lt;&gt;"")),C114*IF(B114="Quadratrohr",C114,D114)-(C114-2*E114)*(IF(B114="Quadratrohr",C114,D114)-2*E114),"")))</f>
        <v/>
      </c>
      <c r="K114" s="34">
        <f>IF(A114="","",IF(F114&lt;&gt;"",F114,J114))</f>
        <v/>
      </c>
    </row>
    <row r="115">
      <c r="A115" s="9" t="n"/>
      <c r="B115" s="9" t="n"/>
      <c r="C115" s="49" t="n"/>
      <c r="D115" s="49" t="n"/>
      <c r="E115" s="50" t="n"/>
      <c r="F115" s="49" t="n"/>
      <c r="G115" s="24" t="n"/>
      <c r="H115" s="24" t="n"/>
      <c r="I115" s="9" t="n"/>
      <c r="J115" s="34">
        <f>IF(OR(A115="",C115="",E115=""),"",IF(B115="Rundrohr",PI()/4*(C115^2-(C115-2*E115)^2),IF(OR(B115="Quadratrohr",AND(B115="Rechteckrohr",D115&lt;&gt;"")),C115*IF(B115="Quadratrohr",C115,D115)-(C115-2*E115)*(IF(B115="Quadratrohr",C115,D115)-2*E115),"")))</f>
        <v/>
      </c>
      <c r="K115" s="34">
        <f>IF(A115="","",IF(F115&lt;&gt;"",F115,J115))</f>
        <v/>
      </c>
    </row>
    <row r="116">
      <c r="A116" s="9" t="n"/>
      <c r="B116" s="9" t="n"/>
      <c r="C116" s="49" t="n"/>
      <c r="D116" s="49" t="n"/>
      <c r="E116" s="50" t="n"/>
      <c r="F116" s="49" t="n"/>
      <c r="G116" s="24" t="n"/>
      <c r="H116" s="24" t="n"/>
      <c r="I116" s="9" t="n"/>
      <c r="J116" s="34">
        <f>IF(OR(A116="",C116="",E116=""),"",IF(B116="Rundrohr",PI()/4*(C116^2-(C116-2*E116)^2),IF(OR(B116="Quadratrohr",AND(B116="Rechteckrohr",D116&lt;&gt;"")),C116*IF(B116="Quadratrohr",C116,D116)-(C116-2*E116)*(IF(B116="Quadratrohr",C116,D116)-2*E116),"")))</f>
        <v/>
      </c>
      <c r="K116" s="34">
        <f>IF(A116="","",IF(F116&lt;&gt;"",F116,J116))</f>
        <v/>
      </c>
    </row>
    <row r="117">
      <c r="A117" s="9" t="n"/>
      <c r="B117" s="9" t="n"/>
      <c r="C117" s="49" t="n"/>
      <c r="D117" s="49" t="n"/>
      <c r="E117" s="50" t="n"/>
      <c r="F117" s="49" t="n"/>
      <c r="G117" s="24" t="n"/>
      <c r="H117" s="24" t="n"/>
      <c r="I117" s="9" t="n"/>
      <c r="J117" s="34">
        <f>IF(OR(A117="",C117="",E117=""),"",IF(B117="Rundrohr",PI()/4*(C117^2-(C117-2*E117)^2),IF(OR(B117="Quadratrohr",AND(B117="Rechteckrohr",D117&lt;&gt;"")),C117*IF(B117="Quadratrohr",C117,D117)-(C117-2*E117)*(IF(B117="Quadratrohr",C117,D117)-2*E117),"")))</f>
        <v/>
      </c>
      <c r="K117" s="34">
        <f>IF(A117="","",IF(F117&lt;&gt;"",F117,J117))</f>
        <v/>
      </c>
    </row>
    <row r="118">
      <c r="A118" s="9" t="n"/>
      <c r="B118" s="9" t="n"/>
      <c r="C118" s="49" t="n"/>
      <c r="D118" s="49" t="n"/>
      <c r="E118" s="50" t="n"/>
      <c r="F118" s="49" t="n"/>
      <c r="G118" s="24" t="n"/>
      <c r="H118" s="24" t="n"/>
      <c r="I118" s="9" t="n"/>
      <c r="J118" s="34">
        <f>IF(OR(A118="",C118="",E118=""),"",IF(B118="Rundrohr",PI()/4*(C118^2-(C118-2*E118)^2),IF(OR(B118="Quadratrohr",AND(B118="Rechteckrohr",D118&lt;&gt;"")),C118*IF(B118="Quadratrohr",C118,D118)-(C118-2*E118)*(IF(B118="Quadratrohr",C118,D118)-2*E118),"")))</f>
        <v/>
      </c>
      <c r="K118" s="34">
        <f>IF(A118="","",IF(F118&lt;&gt;"",F118,J118))</f>
        <v/>
      </c>
    </row>
    <row r="119">
      <c r="A119" s="9" t="n"/>
      <c r="B119" s="9" t="n"/>
      <c r="C119" s="49" t="n"/>
      <c r="D119" s="49" t="n"/>
      <c r="E119" s="50" t="n"/>
      <c r="F119" s="49" t="n"/>
      <c r="G119" s="24" t="n"/>
      <c r="H119" s="24" t="n"/>
      <c r="I119" s="9" t="n"/>
      <c r="J119" s="34">
        <f>IF(OR(A119="",C119="",E119=""),"",IF(B119="Rundrohr",PI()/4*(C119^2-(C119-2*E119)^2),IF(OR(B119="Quadratrohr",AND(B119="Rechteckrohr",D119&lt;&gt;"")),C119*IF(B119="Quadratrohr",C119,D119)-(C119-2*E119)*(IF(B119="Quadratrohr",C119,D119)-2*E119),"")))</f>
        <v/>
      </c>
      <c r="K119" s="34">
        <f>IF(A119="","",IF(F119&lt;&gt;"",F119,J119))</f>
        <v/>
      </c>
    </row>
    <row r="120">
      <c r="A120" s="9" t="n"/>
      <c r="B120" s="9" t="n"/>
      <c r="C120" s="49" t="n"/>
      <c r="D120" s="49" t="n"/>
      <c r="E120" s="50" t="n"/>
      <c r="F120" s="49" t="n"/>
      <c r="G120" s="24" t="n"/>
      <c r="H120" s="24" t="n"/>
      <c r="I120" s="9" t="n"/>
      <c r="J120" s="34">
        <f>IF(OR(A120="",C120="",E120=""),"",IF(B120="Rundrohr",PI()/4*(C120^2-(C120-2*E120)^2),IF(OR(B120="Quadratrohr",AND(B120="Rechteckrohr",D120&lt;&gt;"")),C120*IF(B120="Quadratrohr",C120,D120)-(C120-2*E120)*(IF(B120="Quadratrohr",C120,D120)-2*E120),"")))</f>
        <v/>
      </c>
      <c r="K120" s="34">
        <f>IF(A120="","",IF(F120&lt;&gt;"",F120,J120))</f>
        <v/>
      </c>
    </row>
    <row r="121">
      <c r="A121" s="9" t="n"/>
      <c r="B121" s="9" t="n"/>
      <c r="C121" s="49" t="n"/>
      <c r="D121" s="49" t="n"/>
      <c r="E121" s="50" t="n"/>
      <c r="F121" s="49" t="n"/>
      <c r="G121" s="24" t="n"/>
      <c r="H121" s="24" t="n"/>
      <c r="I121" s="9" t="n"/>
      <c r="J121" s="34">
        <f>IF(OR(A121="",C121="",E121=""),"",IF(B121="Rundrohr",PI()/4*(C121^2-(C121-2*E121)^2),IF(OR(B121="Quadratrohr",AND(B121="Rechteckrohr",D121&lt;&gt;"")),C121*IF(B121="Quadratrohr",C121,D121)-(C121-2*E121)*(IF(B121="Quadratrohr",C121,D121)-2*E121),"")))</f>
        <v/>
      </c>
      <c r="K121" s="34">
        <f>IF(A121="","",IF(F121&lt;&gt;"",F121,J121))</f>
        <v/>
      </c>
    </row>
    <row r="122">
      <c r="A122" s="9" t="n"/>
      <c r="B122" s="9" t="n"/>
      <c r="C122" s="49" t="n"/>
      <c r="D122" s="49" t="n"/>
      <c r="E122" s="50" t="n"/>
      <c r="F122" s="49" t="n"/>
      <c r="G122" s="24" t="n"/>
      <c r="H122" s="24" t="n"/>
      <c r="I122" s="9" t="n"/>
      <c r="J122" s="34">
        <f>IF(OR(A122="",C122="",E122=""),"",IF(B122="Rundrohr",PI()/4*(C122^2-(C122-2*E122)^2),IF(OR(B122="Quadratrohr",AND(B122="Rechteckrohr",D122&lt;&gt;"")),C122*IF(B122="Quadratrohr",C122,D122)-(C122-2*E122)*(IF(B122="Quadratrohr",C122,D122)-2*E122),"")))</f>
        <v/>
      </c>
      <c r="K122" s="34">
        <f>IF(A122="","",IF(F122&lt;&gt;"",F122,J122))</f>
        <v/>
      </c>
    </row>
    <row r="123">
      <c r="A123" s="9" t="n"/>
      <c r="B123" s="9" t="n"/>
      <c r="C123" s="49" t="n"/>
      <c r="D123" s="49" t="n"/>
      <c r="E123" s="50" t="n"/>
      <c r="F123" s="49" t="n"/>
      <c r="G123" s="24" t="n"/>
      <c r="H123" s="24" t="n"/>
      <c r="I123" s="9" t="n"/>
      <c r="J123" s="34">
        <f>IF(OR(A123="",C123="",E123=""),"",IF(B123="Rundrohr",PI()/4*(C123^2-(C123-2*E123)^2),IF(OR(B123="Quadratrohr",AND(B123="Rechteckrohr",D123&lt;&gt;"")),C123*IF(B123="Quadratrohr",C123,D123)-(C123-2*E123)*(IF(B123="Quadratrohr",C123,D123)-2*E123),"")))</f>
        <v/>
      </c>
      <c r="K123" s="34">
        <f>IF(A123="","",IF(F123&lt;&gt;"",F123,J123))</f>
        <v/>
      </c>
    </row>
    <row r="124">
      <c r="A124" s="9" t="n"/>
      <c r="B124" s="9" t="n"/>
      <c r="C124" s="49" t="n"/>
      <c r="D124" s="49" t="n"/>
      <c r="E124" s="50" t="n"/>
      <c r="F124" s="49" t="n"/>
      <c r="G124" s="24" t="n"/>
      <c r="H124" s="24" t="n"/>
      <c r="I124" s="9" t="n"/>
      <c r="J124" s="34">
        <f>IF(OR(A124="",C124="",E124=""),"",IF(B124="Rundrohr",PI()/4*(C124^2-(C124-2*E124)^2),IF(OR(B124="Quadratrohr",AND(B124="Rechteckrohr",D124&lt;&gt;"")),C124*IF(B124="Quadratrohr",C124,D124)-(C124-2*E124)*(IF(B124="Quadratrohr",C124,D124)-2*E124),"")))</f>
        <v/>
      </c>
      <c r="K124" s="34">
        <f>IF(A124="","",IF(F124&lt;&gt;"",F124,J124))</f>
        <v/>
      </c>
    </row>
    <row r="125">
      <c r="A125" s="9" t="n"/>
      <c r="B125" s="9" t="n"/>
      <c r="C125" s="49" t="n"/>
      <c r="D125" s="49" t="n"/>
      <c r="E125" s="50" t="n"/>
      <c r="F125" s="49" t="n"/>
      <c r="G125" s="24" t="n"/>
      <c r="H125" s="24" t="n"/>
      <c r="I125" s="9" t="n"/>
      <c r="J125" s="34">
        <f>IF(OR(A125="",C125="",E125=""),"",IF(B125="Rundrohr",PI()/4*(C125^2-(C125-2*E125)^2),IF(OR(B125="Quadratrohr",AND(B125="Rechteckrohr",D125&lt;&gt;"")),C125*IF(B125="Quadratrohr",C125,D125)-(C125-2*E125)*(IF(B125="Quadratrohr",C125,D125)-2*E125),"")))</f>
        <v/>
      </c>
      <c r="K125" s="34">
        <f>IF(A125="","",IF(F125&lt;&gt;"",F125,J125))</f>
        <v/>
      </c>
    </row>
    <row r="126">
      <c r="A126" s="9" t="n"/>
      <c r="B126" s="9" t="n"/>
      <c r="C126" s="49" t="n"/>
      <c r="D126" s="49" t="n"/>
      <c r="E126" s="50" t="n"/>
      <c r="F126" s="49" t="n"/>
      <c r="G126" s="24" t="n"/>
      <c r="H126" s="24" t="n"/>
      <c r="I126" s="9" t="n"/>
      <c r="J126" s="34">
        <f>IF(OR(A126="",C126="",E126=""),"",IF(B126="Rundrohr",PI()/4*(C126^2-(C126-2*E126)^2),IF(OR(B126="Quadratrohr",AND(B126="Rechteckrohr",D126&lt;&gt;"")),C126*IF(B126="Quadratrohr",C126,D126)-(C126-2*E126)*(IF(B126="Quadratrohr",C126,D126)-2*E126),"")))</f>
        <v/>
      </c>
      <c r="K126" s="34">
        <f>IF(A126="","",IF(F126&lt;&gt;"",F126,J126))</f>
        <v/>
      </c>
    </row>
    <row r="127">
      <c r="A127" s="9" t="n"/>
      <c r="B127" s="9" t="n"/>
      <c r="C127" s="49" t="n"/>
      <c r="D127" s="49" t="n"/>
      <c r="E127" s="50" t="n"/>
      <c r="F127" s="49" t="n"/>
      <c r="G127" s="24" t="n"/>
      <c r="H127" s="24" t="n"/>
      <c r="I127" s="9" t="n"/>
      <c r="J127" s="34">
        <f>IF(OR(A127="",C127="",E127=""),"",IF(B127="Rundrohr",PI()/4*(C127^2-(C127-2*E127)^2),IF(OR(B127="Quadratrohr",AND(B127="Rechteckrohr",D127&lt;&gt;"")),C127*IF(B127="Quadratrohr",C127,D127)-(C127-2*E127)*(IF(B127="Quadratrohr",C127,D127)-2*E127),"")))</f>
        <v/>
      </c>
      <c r="K127" s="34">
        <f>IF(A127="","",IF(F127&lt;&gt;"",F127,J127))</f>
        <v/>
      </c>
    </row>
    <row r="128">
      <c r="A128" s="9" t="n"/>
      <c r="B128" s="9" t="n"/>
      <c r="C128" s="49" t="n"/>
      <c r="D128" s="49" t="n"/>
      <c r="E128" s="50" t="n"/>
      <c r="F128" s="49" t="n"/>
      <c r="G128" s="24" t="n"/>
      <c r="H128" s="24" t="n"/>
      <c r="I128" s="9" t="n"/>
      <c r="J128" s="34">
        <f>IF(OR(A128="",C128="",E128=""),"",IF(B128="Rundrohr",PI()/4*(C128^2-(C128-2*E128)^2),IF(OR(B128="Quadratrohr",AND(B128="Rechteckrohr",D128&lt;&gt;"")),C128*IF(B128="Quadratrohr",C128,D128)-(C128-2*E128)*(IF(B128="Quadratrohr",C128,D128)-2*E128),"")))</f>
        <v/>
      </c>
      <c r="K128" s="34">
        <f>IF(A128="","",IF(F128&lt;&gt;"",F128,J128))</f>
        <v/>
      </c>
    </row>
    <row r="129">
      <c r="A129" s="9" t="n"/>
      <c r="B129" s="9" t="n"/>
      <c r="C129" s="49" t="n"/>
      <c r="D129" s="49" t="n"/>
      <c r="E129" s="50" t="n"/>
      <c r="F129" s="49" t="n"/>
      <c r="G129" s="24" t="n"/>
      <c r="H129" s="24" t="n"/>
      <c r="I129" s="9" t="n"/>
      <c r="J129" s="34">
        <f>IF(OR(A129="",C129="",E129=""),"",IF(B129="Rundrohr",PI()/4*(C129^2-(C129-2*E129)^2),IF(OR(B129="Quadratrohr",AND(B129="Rechteckrohr",D129&lt;&gt;"")),C129*IF(B129="Quadratrohr",C129,D129)-(C129-2*E129)*(IF(B129="Quadratrohr",C129,D129)-2*E129),"")))</f>
        <v/>
      </c>
      <c r="K129" s="34">
        <f>IF(A129="","",IF(F129&lt;&gt;"",F129,J129))</f>
        <v/>
      </c>
    </row>
    <row r="130">
      <c r="A130" s="9" t="n"/>
      <c r="B130" s="9" t="n"/>
      <c r="C130" s="49" t="n"/>
      <c r="D130" s="49" t="n"/>
      <c r="E130" s="50" t="n"/>
      <c r="F130" s="49" t="n"/>
      <c r="G130" s="24" t="n"/>
      <c r="H130" s="24" t="n"/>
      <c r="I130" s="9" t="n"/>
      <c r="J130" s="34">
        <f>IF(OR(A130="",C130="",E130=""),"",IF(B130="Rundrohr",PI()/4*(C130^2-(C130-2*E130)^2),IF(OR(B130="Quadratrohr",AND(B130="Rechteckrohr",D130&lt;&gt;"")),C130*IF(B130="Quadratrohr",C130,D130)-(C130-2*E130)*(IF(B130="Quadratrohr",C130,D130)-2*E130),"")))</f>
        <v/>
      </c>
      <c r="K130" s="34">
        <f>IF(A130="","",IF(F130&lt;&gt;"",F130,J130))</f>
        <v/>
      </c>
    </row>
    <row r="131">
      <c r="A131" s="9" t="n"/>
      <c r="B131" s="9" t="n"/>
      <c r="C131" s="49" t="n"/>
      <c r="D131" s="49" t="n"/>
      <c r="E131" s="50" t="n"/>
      <c r="F131" s="49" t="n"/>
      <c r="G131" s="24" t="n"/>
      <c r="H131" s="24" t="n"/>
      <c r="I131" s="9" t="n"/>
      <c r="J131" s="34">
        <f>IF(OR(A131="",C131="",E131=""),"",IF(B131="Rundrohr",PI()/4*(C131^2-(C131-2*E131)^2),IF(OR(B131="Quadratrohr",AND(B131="Rechteckrohr",D131&lt;&gt;"")),C131*IF(B131="Quadratrohr",C131,D131)-(C131-2*E131)*(IF(B131="Quadratrohr",C131,D131)-2*E131),"")))</f>
        <v/>
      </c>
      <c r="K131" s="34">
        <f>IF(A131="","",IF(F131&lt;&gt;"",F131,J131))</f>
        <v/>
      </c>
    </row>
    <row r="132">
      <c r="A132" s="9" t="n"/>
      <c r="B132" s="9" t="n"/>
      <c r="C132" s="49" t="n"/>
      <c r="D132" s="49" t="n"/>
      <c r="E132" s="50" t="n"/>
      <c r="F132" s="49" t="n"/>
      <c r="G132" s="24" t="n"/>
      <c r="H132" s="24" t="n"/>
      <c r="I132" s="9" t="n"/>
      <c r="J132" s="34">
        <f>IF(OR(A132="",C132="",E132=""),"",IF(B132="Rundrohr",PI()/4*(C132^2-(C132-2*E132)^2),IF(OR(B132="Quadratrohr",AND(B132="Rechteckrohr",D132&lt;&gt;"")),C132*IF(B132="Quadratrohr",C132,D132)-(C132-2*E132)*(IF(B132="Quadratrohr",C132,D132)-2*E132),"")))</f>
        <v/>
      </c>
      <c r="K132" s="34">
        <f>IF(A132="","",IF(F132&lt;&gt;"",F132,J132))</f>
        <v/>
      </c>
    </row>
    <row r="133">
      <c r="A133" s="9" t="n"/>
      <c r="B133" s="9" t="n"/>
      <c r="C133" s="49" t="n"/>
      <c r="D133" s="49" t="n"/>
      <c r="E133" s="50" t="n"/>
      <c r="F133" s="49" t="n"/>
      <c r="G133" s="24" t="n"/>
      <c r="H133" s="24" t="n"/>
      <c r="I133" s="9" t="n"/>
      <c r="J133" s="34">
        <f>IF(OR(A133="",C133="",E133=""),"",IF(B133="Rundrohr",PI()/4*(C133^2-(C133-2*E133)^2),IF(OR(B133="Quadratrohr",AND(B133="Rechteckrohr",D133&lt;&gt;"")),C133*IF(B133="Quadratrohr",C133,D133)-(C133-2*E133)*(IF(B133="Quadratrohr",C133,D133)-2*E133),"")))</f>
        <v/>
      </c>
      <c r="K133" s="34">
        <f>IF(A133="","",IF(F133&lt;&gt;"",F133,J133))</f>
        <v/>
      </c>
    </row>
    <row r="134">
      <c r="A134" s="9" t="n"/>
      <c r="B134" s="9" t="n"/>
      <c r="C134" s="49" t="n"/>
      <c r="D134" s="49" t="n"/>
      <c r="E134" s="50" t="n"/>
      <c r="F134" s="49" t="n"/>
      <c r="G134" s="24" t="n"/>
      <c r="H134" s="24" t="n"/>
      <c r="I134" s="9" t="n"/>
      <c r="J134" s="34">
        <f>IF(OR(A134="",C134="",E134=""),"",IF(B134="Rundrohr",PI()/4*(C134^2-(C134-2*E134)^2),IF(OR(B134="Quadratrohr",AND(B134="Rechteckrohr",D134&lt;&gt;"")),C134*IF(B134="Quadratrohr",C134,D134)-(C134-2*E134)*(IF(B134="Quadratrohr",C134,D134)-2*E134),"")))</f>
        <v/>
      </c>
      <c r="K134" s="34">
        <f>IF(A134="","",IF(F134&lt;&gt;"",F134,J134))</f>
        <v/>
      </c>
    </row>
    <row r="135">
      <c r="A135" s="9" t="n"/>
      <c r="B135" s="9" t="n"/>
      <c r="C135" s="49" t="n"/>
      <c r="D135" s="49" t="n"/>
      <c r="E135" s="50" t="n"/>
      <c r="F135" s="49" t="n"/>
      <c r="G135" s="24" t="n"/>
      <c r="H135" s="24" t="n"/>
      <c r="I135" s="9" t="n"/>
      <c r="J135" s="34">
        <f>IF(OR(A135="",C135="",E135=""),"",IF(B135="Rundrohr",PI()/4*(C135^2-(C135-2*E135)^2),IF(OR(B135="Quadratrohr",AND(B135="Rechteckrohr",D135&lt;&gt;"")),C135*IF(B135="Quadratrohr",C135,D135)-(C135-2*E135)*(IF(B135="Quadratrohr",C135,D135)-2*E135),"")))</f>
        <v/>
      </c>
      <c r="K135" s="34">
        <f>IF(A135="","",IF(F135&lt;&gt;"",F135,J135))</f>
        <v/>
      </c>
    </row>
    <row r="136">
      <c r="A136" s="9" t="n"/>
      <c r="B136" s="9" t="n"/>
      <c r="C136" s="49" t="n"/>
      <c r="D136" s="49" t="n"/>
      <c r="E136" s="50" t="n"/>
      <c r="F136" s="49" t="n"/>
      <c r="G136" s="24" t="n"/>
      <c r="H136" s="24" t="n"/>
      <c r="I136" s="9" t="n"/>
      <c r="J136" s="34">
        <f>IF(OR(A136="",C136="",E136=""),"",IF(B136="Rundrohr",PI()/4*(C136^2-(C136-2*E136)^2),IF(OR(B136="Quadratrohr",AND(B136="Rechteckrohr",D136&lt;&gt;"")),C136*IF(B136="Quadratrohr",C136,D136)-(C136-2*E136)*(IF(B136="Quadratrohr",C136,D136)-2*E136),"")))</f>
        <v/>
      </c>
      <c r="K136" s="34">
        <f>IF(A136="","",IF(F136&lt;&gt;"",F136,J136))</f>
        <v/>
      </c>
    </row>
    <row r="137">
      <c r="A137" s="9" t="n"/>
      <c r="B137" s="9" t="n"/>
      <c r="C137" s="49" t="n"/>
      <c r="D137" s="49" t="n"/>
      <c r="E137" s="50" t="n"/>
      <c r="F137" s="49" t="n"/>
      <c r="G137" s="24" t="n"/>
      <c r="H137" s="24" t="n"/>
      <c r="I137" s="9" t="n"/>
      <c r="J137" s="34">
        <f>IF(OR(A137="",C137="",E137=""),"",IF(B137="Rundrohr",PI()/4*(C137^2-(C137-2*E137)^2),IF(OR(B137="Quadratrohr",AND(B137="Rechteckrohr",D137&lt;&gt;"")),C137*IF(B137="Quadratrohr",C137,D137)-(C137-2*E137)*(IF(B137="Quadratrohr",C137,D137)-2*E137),"")))</f>
        <v/>
      </c>
      <c r="K137" s="34">
        <f>IF(A137="","",IF(F137&lt;&gt;"",F137,J137))</f>
        <v/>
      </c>
    </row>
    <row r="138">
      <c r="A138" s="9" t="n"/>
      <c r="B138" s="9" t="n"/>
      <c r="C138" s="49" t="n"/>
      <c r="D138" s="49" t="n"/>
      <c r="E138" s="50" t="n"/>
      <c r="F138" s="49" t="n"/>
      <c r="G138" s="24" t="n"/>
      <c r="H138" s="24" t="n"/>
      <c r="I138" s="9" t="n"/>
      <c r="J138" s="34">
        <f>IF(OR(A138="",C138="",E138=""),"",IF(B138="Rundrohr",PI()/4*(C138^2-(C138-2*E138)^2),IF(OR(B138="Quadratrohr",AND(B138="Rechteckrohr",D138&lt;&gt;"")),C138*IF(B138="Quadratrohr",C138,D138)-(C138-2*E138)*(IF(B138="Quadratrohr",C138,D138)-2*E138),"")))</f>
        <v/>
      </c>
      <c r="K138" s="34">
        <f>IF(A138="","",IF(F138&lt;&gt;"",F138,J138))</f>
        <v/>
      </c>
    </row>
    <row r="139">
      <c r="A139" s="9" t="n"/>
      <c r="B139" s="9" t="n"/>
      <c r="C139" s="49" t="n"/>
      <c r="D139" s="49" t="n"/>
      <c r="E139" s="50" t="n"/>
      <c r="F139" s="49" t="n"/>
      <c r="G139" s="24" t="n"/>
      <c r="H139" s="24" t="n"/>
      <c r="I139" s="9" t="n"/>
      <c r="J139" s="34">
        <f>IF(OR(A139="",C139="",E139=""),"",IF(B139="Rundrohr",PI()/4*(C139^2-(C139-2*E139)^2),IF(OR(B139="Quadratrohr",AND(B139="Rechteckrohr",D139&lt;&gt;"")),C139*IF(B139="Quadratrohr",C139,D139)-(C139-2*E139)*(IF(B139="Quadratrohr",C139,D139)-2*E139),"")))</f>
        <v/>
      </c>
      <c r="K139" s="34">
        <f>IF(A139="","",IF(F139&lt;&gt;"",F139,J139))</f>
        <v/>
      </c>
    </row>
    <row r="140">
      <c r="A140" s="9" t="n"/>
      <c r="B140" s="9" t="n"/>
      <c r="C140" s="49" t="n"/>
      <c r="D140" s="49" t="n"/>
      <c r="E140" s="50" t="n"/>
      <c r="F140" s="49" t="n"/>
      <c r="G140" s="24" t="n"/>
      <c r="H140" s="24" t="n"/>
      <c r="I140" s="9" t="n"/>
      <c r="J140" s="34">
        <f>IF(OR(A140="",C140="",E140=""),"",IF(B140="Rundrohr",PI()/4*(C140^2-(C140-2*E140)^2),IF(OR(B140="Quadratrohr",AND(B140="Rechteckrohr",D140&lt;&gt;"")),C140*IF(B140="Quadratrohr",C140,D140)-(C140-2*E140)*(IF(B140="Quadratrohr",C140,D140)-2*E140),"")))</f>
        <v/>
      </c>
      <c r="K140" s="34">
        <f>IF(A140="","",IF(F140&lt;&gt;"",F140,J140))</f>
        <v/>
      </c>
    </row>
    <row r="141">
      <c r="A141" s="9" t="n"/>
      <c r="B141" s="9" t="n"/>
      <c r="C141" s="49" t="n"/>
      <c r="D141" s="49" t="n"/>
      <c r="E141" s="50" t="n"/>
      <c r="F141" s="49" t="n"/>
      <c r="G141" s="24" t="n"/>
      <c r="H141" s="24" t="n"/>
      <c r="I141" s="9" t="n"/>
      <c r="J141" s="34">
        <f>IF(OR(A141="",C141="",E141=""),"",IF(B141="Rundrohr",PI()/4*(C141^2-(C141-2*E141)^2),IF(OR(B141="Quadratrohr",AND(B141="Rechteckrohr",D141&lt;&gt;"")),C141*IF(B141="Quadratrohr",C141,D141)-(C141-2*E141)*(IF(B141="Quadratrohr",C141,D141)-2*E141),"")))</f>
        <v/>
      </c>
      <c r="K141" s="34">
        <f>IF(A141="","",IF(F141&lt;&gt;"",F141,J141))</f>
        <v/>
      </c>
    </row>
    <row r="142">
      <c r="A142" s="9" t="n"/>
      <c r="B142" s="9" t="n"/>
      <c r="C142" s="49" t="n"/>
      <c r="D142" s="49" t="n"/>
      <c r="E142" s="50" t="n"/>
      <c r="F142" s="49" t="n"/>
      <c r="G142" s="24" t="n"/>
      <c r="H142" s="24" t="n"/>
      <c r="I142" s="9" t="n"/>
      <c r="J142" s="34">
        <f>IF(OR(A142="",C142="",E142=""),"",IF(B142="Rundrohr",PI()/4*(C142^2-(C142-2*E142)^2),IF(OR(B142="Quadratrohr",AND(B142="Rechteckrohr",D142&lt;&gt;"")),C142*IF(B142="Quadratrohr",C142,D142)-(C142-2*E142)*(IF(B142="Quadratrohr",C142,D142)-2*E142),"")))</f>
        <v/>
      </c>
      <c r="K142" s="34">
        <f>IF(A142="","",IF(F142&lt;&gt;"",F142,J142))</f>
        <v/>
      </c>
    </row>
    <row r="143">
      <c r="A143" s="9" t="n"/>
      <c r="B143" s="9" t="n"/>
      <c r="C143" s="49" t="n"/>
      <c r="D143" s="49" t="n"/>
      <c r="E143" s="50" t="n"/>
      <c r="F143" s="49" t="n"/>
      <c r="G143" s="24" t="n"/>
      <c r="H143" s="24" t="n"/>
      <c r="I143" s="9" t="n"/>
      <c r="J143" s="34">
        <f>IF(OR(A143="",C143="",E143=""),"",IF(B143="Rundrohr",PI()/4*(C143^2-(C143-2*E143)^2),IF(OR(B143="Quadratrohr",AND(B143="Rechteckrohr",D143&lt;&gt;"")),C143*IF(B143="Quadratrohr",C143,D143)-(C143-2*E143)*(IF(B143="Quadratrohr",C143,D143)-2*E143),"")))</f>
        <v/>
      </c>
      <c r="K143" s="34">
        <f>IF(A143="","",IF(F143&lt;&gt;"",F143,J143))</f>
        <v/>
      </c>
    </row>
    <row r="144">
      <c r="A144" s="9" t="n"/>
      <c r="B144" s="9" t="n"/>
      <c r="C144" s="49" t="n"/>
      <c r="D144" s="49" t="n"/>
      <c r="E144" s="50" t="n"/>
      <c r="F144" s="49" t="n"/>
      <c r="G144" s="24" t="n"/>
      <c r="H144" s="24" t="n"/>
      <c r="I144" s="9" t="n"/>
      <c r="J144" s="34">
        <f>IF(OR(A144="",C144="",E144=""),"",IF(B144="Rundrohr",PI()/4*(C144^2-(C144-2*E144)^2),IF(OR(B144="Quadratrohr",AND(B144="Rechteckrohr",D144&lt;&gt;"")),C144*IF(B144="Quadratrohr",C144,D144)-(C144-2*E144)*(IF(B144="Quadratrohr",C144,D144)-2*E144),"")))</f>
        <v/>
      </c>
      <c r="K144" s="34">
        <f>IF(A144="","",IF(F144&lt;&gt;"",F144,J144))</f>
        <v/>
      </c>
    </row>
    <row r="145">
      <c r="A145" s="9" t="n"/>
      <c r="B145" s="9" t="n"/>
      <c r="C145" s="49" t="n"/>
      <c r="D145" s="49" t="n"/>
      <c r="E145" s="50" t="n"/>
      <c r="F145" s="49" t="n"/>
      <c r="G145" s="24" t="n"/>
      <c r="H145" s="24" t="n"/>
      <c r="I145" s="9" t="n"/>
      <c r="J145" s="34">
        <f>IF(OR(A145="",C145="",E145=""),"",IF(B145="Rundrohr",PI()/4*(C145^2-(C145-2*E145)^2),IF(OR(B145="Quadratrohr",AND(B145="Rechteckrohr",D145&lt;&gt;"")),C145*IF(B145="Quadratrohr",C145,D145)-(C145-2*E145)*(IF(B145="Quadratrohr",C145,D145)-2*E145),"")))</f>
        <v/>
      </c>
      <c r="K145" s="34">
        <f>IF(A145="","",IF(F145&lt;&gt;"",F145,J145))</f>
        <v/>
      </c>
    </row>
    <row r="146">
      <c r="A146" s="9" t="n"/>
      <c r="B146" s="9" t="n"/>
      <c r="C146" s="49" t="n"/>
      <c r="D146" s="49" t="n"/>
      <c r="E146" s="50" t="n"/>
      <c r="F146" s="49" t="n"/>
      <c r="G146" s="24" t="n"/>
      <c r="H146" s="24" t="n"/>
      <c r="I146" s="9" t="n"/>
      <c r="J146" s="34">
        <f>IF(OR(A146="",C146="",E146=""),"",IF(B146="Rundrohr",PI()/4*(C146^2-(C146-2*E146)^2),IF(OR(B146="Quadratrohr",AND(B146="Rechteckrohr",D146&lt;&gt;"")),C146*IF(B146="Quadratrohr",C146,D146)-(C146-2*E146)*(IF(B146="Quadratrohr",C146,D146)-2*E146),"")))</f>
        <v/>
      </c>
      <c r="K146" s="34">
        <f>IF(A146="","",IF(F146&lt;&gt;"",F146,J146))</f>
        <v/>
      </c>
    </row>
    <row r="147">
      <c r="A147" s="9" t="n"/>
      <c r="B147" s="9" t="n"/>
      <c r="C147" s="49" t="n"/>
      <c r="D147" s="49" t="n"/>
      <c r="E147" s="50" t="n"/>
      <c r="F147" s="49" t="n"/>
      <c r="G147" s="24" t="n"/>
      <c r="H147" s="24" t="n"/>
      <c r="I147" s="9" t="n"/>
      <c r="J147" s="34">
        <f>IF(OR(A147="",C147="",E147=""),"",IF(B147="Rundrohr",PI()/4*(C147^2-(C147-2*E147)^2),IF(OR(B147="Quadratrohr",AND(B147="Rechteckrohr",D147&lt;&gt;"")),C147*IF(B147="Quadratrohr",C147,D147)-(C147-2*E147)*(IF(B147="Quadratrohr",C147,D147)-2*E147),"")))</f>
        <v/>
      </c>
      <c r="K147" s="34">
        <f>IF(A147="","",IF(F147&lt;&gt;"",F147,J147))</f>
        <v/>
      </c>
    </row>
    <row r="148">
      <c r="A148" s="9" t="n"/>
      <c r="B148" s="9" t="n"/>
      <c r="C148" s="49" t="n"/>
      <c r="D148" s="49" t="n"/>
      <c r="E148" s="50" t="n"/>
      <c r="F148" s="49" t="n"/>
      <c r="G148" s="24" t="n"/>
      <c r="H148" s="24" t="n"/>
      <c r="I148" s="9" t="n"/>
      <c r="J148" s="34">
        <f>IF(OR(A148="",C148="",E148=""),"",IF(B148="Rundrohr",PI()/4*(C148^2-(C148-2*E148)^2),IF(OR(B148="Quadratrohr",AND(B148="Rechteckrohr",D148&lt;&gt;"")),C148*IF(B148="Quadratrohr",C148,D148)-(C148-2*E148)*(IF(B148="Quadratrohr",C148,D148)-2*E148),"")))</f>
        <v/>
      </c>
      <c r="K148" s="34">
        <f>IF(A148="","",IF(F148&lt;&gt;"",F148,J148))</f>
        <v/>
      </c>
    </row>
    <row r="149">
      <c r="A149" s="9" t="n"/>
      <c r="B149" s="9" t="n"/>
      <c r="C149" s="49" t="n"/>
      <c r="D149" s="49" t="n"/>
      <c r="E149" s="50" t="n"/>
      <c r="F149" s="49" t="n"/>
      <c r="G149" s="24" t="n"/>
      <c r="H149" s="24" t="n"/>
      <c r="I149" s="9" t="n"/>
      <c r="J149" s="34">
        <f>IF(OR(A149="",C149="",E149=""),"",IF(B149="Rundrohr",PI()/4*(C149^2-(C149-2*E149)^2),IF(OR(B149="Quadratrohr",AND(B149="Rechteckrohr",D149&lt;&gt;"")),C149*IF(B149="Quadratrohr",C149,D149)-(C149-2*E149)*(IF(B149="Quadratrohr",C149,D149)-2*E149),"")))</f>
        <v/>
      </c>
      <c r="K149" s="34">
        <f>IF(A149="","",IF(F149&lt;&gt;"",F149,J149))</f>
        <v/>
      </c>
    </row>
    <row r="150">
      <c r="A150" s="9" t="n"/>
      <c r="B150" s="9" t="n"/>
      <c r="C150" s="49" t="n"/>
      <c r="D150" s="49" t="n"/>
      <c r="E150" s="50" t="n"/>
      <c r="F150" s="49" t="n"/>
      <c r="G150" s="24" t="n"/>
      <c r="H150" s="24" t="n"/>
      <c r="I150" s="9" t="n"/>
      <c r="J150" s="34">
        <f>IF(OR(A150="",C150="",E150=""),"",IF(B150="Rundrohr",PI()/4*(C150^2-(C150-2*E150)^2),IF(OR(B150="Quadratrohr",AND(B150="Rechteckrohr",D150&lt;&gt;"")),C150*IF(B150="Quadratrohr",C150,D150)-(C150-2*E150)*(IF(B150="Quadratrohr",C150,D150)-2*E150),"")))</f>
        <v/>
      </c>
      <c r="K150" s="34">
        <f>IF(A150="","",IF(F150&lt;&gt;"",F150,J150))</f>
        <v/>
      </c>
    </row>
    <row r="151">
      <c r="A151" s="9" t="n"/>
      <c r="B151" s="9" t="n"/>
      <c r="C151" s="49" t="n"/>
      <c r="D151" s="49" t="n"/>
      <c r="E151" s="50" t="n"/>
      <c r="F151" s="49" t="n"/>
      <c r="G151" s="24" t="n"/>
      <c r="H151" s="24" t="n"/>
      <c r="I151" s="9" t="n"/>
      <c r="J151" s="34">
        <f>IF(OR(A151="",C151="",E151=""),"",IF(B151="Rundrohr",PI()/4*(C151^2-(C151-2*E151)^2),IF(OR(B151="Quadratrohr",AND(B151="Rechteckrohr",D151&lt;&gt;"")),C151*IF(B151="Quadratrohr",C151,D151)-(C151-2*E151)*(IF(B151="Quadratrohr",C151,D151)-2*E151),"")))</f>
        <v/>
      </c>
      <c r="K151" s="34">
        <f>IF(A151="","",IF(F151&lt;&gt;"",F151,J151))</f>
        <v/>
      </c>
    </row>
    <row r="152">
      <c r="A152" s="9" t="n"/>
      <c r="B152" s="9" t="n"/>
      <c r="C152" s="49" t="n"/>
      <c r="D152" s="49" t="n"/>
      <c r="E152" s="50" t="n"/>
      <c r="F152" s="49" t="n"/>
      <c r="G152" s="24" t="n"/>
      <c r="H152" s="24" t="n"/>
      <c r="I152" s="9" t="n"/>
      <c r="J152" s="34">
        <f>IF(OR(A152="",C152="",E152=""),"",IF(B152="Rundrohr",PI()/4*(C152^2-(C152-2*E152)^2),IF(OR(B152="Quadratrohr",AND(B152="Rechteckrohr",D152&lt;&gt;"")),C152*IF(B152="Quadratrohr",C152,D152)-(C152-2*E152)*(IF(B152="Quadratrohr",C152,D152)-2*E152),"")))</f>
        <v/>
      </c>
      <c r="K152" s="34">
        <f>IF(A152="","",IF(F152&lt;&gt;"",F152,J152))</f>
        <v/>
      </c>
    </row>
    <row r="153">
      <c r="A153" s="9" t="n"/>
      <c r="B153" s="9" t="n"/>
      <c r="C153" s="49" t="n"/>
      <c r="D153" s="49" t="n"/>
      <c r="E153" s="50" t="n"/>
      <c r="F153" s="49" t="n"/>
      <c r="G153" s="24" t="n"/>
      <c r="H153" s="24" t="n"/>
      <c r="I153" s="9" t="n"/>
      <c r="J153" s="34">
        <f>IF(OR(A153="",C153="",E153=""),"",IF(B153="Rundrohr",PI()/4*(C153^2-(C153-2*E153)^2),IF(OR(B153="Quadratrohr",AND(B153="Rechteckrohr",D153&lt;&gt;"")),C153*IF(B153="Quadratrohr",C153,D153)-(C153-2*E153)*(IF(B153="Quadratrohr",C153,D153)-2*E153),"")))</f>
        <v/>
      </c>
      <c r="K153" s="34">
        <f>IF(A153="","",IF(F153&lt;&gt;"",F153,J153))</f>
        <v/>
      </c>
    </row>
    <row r="154">
      <c r="A154" s="9" t="n"/>
      <c r="B154" s="9" t="n"/>
      <c r="C154" s="49" t="n"/>
      <c r="D154" s="49" t="n"/>
      <c r="E154" s="50" t="n"/>
      <c r="F154" s="49" t="n"/>
      <c r="G154" s="24" t="n"/>
      <c r="H154" s="24" t="n"/>
      <c r="I154" s="9" t="n"/>
      <c r="J154" s="34">
        <f>IF(OR(A154="",C154="",E154=""),"",IF(B154="Rundrohr",PI()/4*(C154^2-(C154-2*E154)^2),IF(OR(B154="Quadratrohr",AND(B154="Rechteckrohr",D154&lt;&gt;"")),C154*IF(B154="Quadratrohr",C154,D154)-(C154-2*E154)*(IF(B154="Quadratrohr",C154,D154)-2*E154),"")))</f>
        <v/>
      </c>
      <c r="K154" s="34">
        <f>IF(A154="","",IF(F154&lt;&gt;"",F154,J154))</f>
        <v/>
      </c>
    </row>
    <row r="155">
      <c r="A155" s="9" t="n"/>
      <c r="B155" s="9" t="n"/>
      <c r="C155" s="49" t="n"/>
      <c r="D155" s="49" t="n"/>
      <c r="E155" s="50" t="n"/>
      <c r="F155" s="49" t="n"/>
      <c r="G155" s="24" t="n"/>
      <c r="H155" s="24" t="n"/>
      <c r="I155" s="9" t="n"/>
      <c r="J155" s="34">
        <f>IF(OR(A155="",C155="",E155=""),"",IF(B155="Rundrohr",PI()/4*(C155^2-(C155-2*E155)^2),IF(OR(B155="Quadratrohr",AND(B155="Rechteckrohr",D155&lt;&gt;"")),C155*IF(B155="Quadratrohr",C155,D155)-(C155-2*E155)*(IF(B155="Quadratrohr",C155,D155)-2*E155),"")))</f>
        <v/>
      </c>
      <c r="K155" s="34">
        <f>IF(A155="","",IF(F155&lt;&gt;"",F155,J155))</f>
        <v/>
      </c>
    </row>
    <row r="156">
      <c r="A156" s="9" t="n"/>
      <c r="B156" s="9" t="n"/>
      <c r="C156" s="49" t="n"/>
      <c r="D156" s="49" t="n"/>
      <c r="E156" s="50" t="n"/>
      <c r="F156" s="49" t="n"/>
      <c r="G156" s="24" t="n"/>
      <c r="H156" s="24" t="n"/>
      <c r="I156" s="9" t="n"/>
      <c r="J156" s="34">
        <f>IF(OR(A156="",C156="",E156=""),"",IF(B156="Rundrohr",PI()/4*(C156^2-(C156-2*E156)^2),IF(OR(B156="Quadratrohr",AND(B156="Rechteckrohr",D156&lt;&gt;"")),C156*IF(B156="Quadratrohr",C156,D156)-(C156-2*E156)*(IF(B156="Quadratrohr",C156,D156)-2*E156),"")))</f>
        <v/>
      </c>
      <c r="K156" s="34">
        <f>IF(A156="","",IF(F156&lt;&gt;"",F156,J156))</f>
        <v/>
      </c>
    </row>
    <row r="157">
      <c r="A157" s="9" t="n"/>
      <c r="B157" s="9" t="n"/>
      <c r="C157" s="49" t="n"/>
      <c r="D157" s="49" t="n"/>
      <c r="E157" s="50" t="n"/>
      <c r="F157" s="49" t="n"/>
      <c r="G157" s="24" t="n"/>
      <c r="H157" s="24" t="n"/>
      <c r="I157" s="9" t="n"/>
      <c r="J157" s="34">
        <f>IF(OR(A157="",C157="",E157=""),"",IF(B157="Rundrohr",PI()/4*(C157^2-(C157-2*E157)^2),IF(OR(B157="Quadratrohr",AND(B157="Rechteckrohr",D157&lt;&gt;"")),C157*IF(B157="Quadratrohr",C157,D157)-(C157-2*E157)*(IF(B157="Quadratrohr",C157,D157)-2*E157),"")))</f>
        <v/>
      </c>
      <c r="K157" s="34">
        <f>IF(A157="","",IF(F157&lt;&gt;"",F157,J157))</f>
        <v/>
      </c>
    </row>
    <row r="158">
      <c r="A158" s="9" t="n"/>
      <c r="B158" s="9" t="n"/>
      <c r="C158" s="49" t="n"/>
      <c r="D158" s="49" t="n"/>
      <c r="E158" s="50" t="n"/>
      <c r="F158" s="49" t="n"/>
      <c r="G158" s="24" t="n"/>
      <c r="H158" s="24" t="n"/>
      <c r="I158" s="9" t="n"/>
      <c r="J158" s="34">
        <f>IF(OR(A158="",C158="",E158=""),"",IF(B158="Rundrohr",PI()/4*(C158^2-(C158-2*E158)^2),IF(OR(B158="Quadratrohr",AND(B158="Rechteckrohr",D158&lt;&gt;"")),C158*IF(B158="Quadratrohr",C158,D158)-(C158-2*E158)*(IF(B158="Quadratrohr",C158,D158)-2*E158),"")))</f>
        <v/>
      </c>
      <c r="K158" s="34">
        <f>IF(A158="","",IF(F158&lt;&gt;"",F158,J158))</f>
        <v/>
      </c>
    </row>
    <row r="159">
      <c r="A159" s="9" t="n"/>
      <c r="B159" s="9" t="n"/>
      <c r="C159" s="49" t="n"/>
      <c r="D159" s="49" t="n"/>
      <c r="E159" s="50" t="n"/>
      <c r="F159" s="49" t="n"/>
      <c r="G159" s="24" t="n"/>
      <c r="H159" s="24" t="n"/>
      <c r="I159" s="9" t="n"/>
      <c r="J159" s="34">
        <f>IF(OR(A159="",C159="",E159=""),"",IF(B159="Rundrohr",PI()/4*(C159^2-(C159-2*E159)^2),IF(OR(B159="Quadratrohr",AND(B159="Rechteckrohr",D159&lt;&gt;"")),C159*IF(B159="Quadratrohr",C159,D159)-(C159-2*E159)*(IF(B159="Quadratrohr",C159,D159)-2*E159),"")))</f>
        <v/>
      </c>
      <c r="K159" s="34">
        <f>IF(A159="","",IF(F159&lt;&gt;"",F159,J159))</f>
        <v/>
      </c>
    </row>
    <row r="160">
      <c r="A160" s="9" t="n"/>
      <c r="B160" s="9" t="n"/>
      <c r="C160" s="49" t="n"/>
      <c r="D160" s="49" t="n"/>
      <c r="E160" s="50" t="n"/>
      <c r="F160" s="49" t="n"/>
      <c r="G160" s="24" t="n"/>
      <c r="H160" s="24" t="n"/>
      <c r="I160" s="9" t="n"/>
      <c r="J160" s="34">
        <f>IF(OR(A160="",C160="",E160=""),"",IF(B160="Rundrohr",PI()/4*(C160^2-(C160-2*E160)^2),IF(OR(B160="Quadratrohr",AND(B160="Rechteckrohr",D160&lt;&gt;"")),C160*IF(B160="Quadratrohr",C160,D160)-(C160-2*E160)*(IF(B160="Quadratrohr",C160,D160)-2*E160),"")))</f>
        <v/>
      </c>
      <c r="K160" s="34">
        <f>IF(A160="","",IF(F160&lt;&gt;"",F160,J160))</f>
        <v/>
      </c>
    </row>
    <row r="161">
      <c r="A161" s="9" t="n"/>
      <c r="B161" s="9" t="n"/>
      <c r="C161" s="49" t="n"/>
      <c r="D161" s="49" t="n"/>
      <c r="E161" s="50" t="n"/>
      <c r="F161" s="49" t="n"/>
      <c r="G161" s="24" t="n"/>
      <c r="H161" s="24" t="n"/>
      <c r="I161" s="9" t="n"/>
      <c r="J161" s="34">
        <f>IF(OR(A161="",C161="",E161=""),"",IF(B161="Rundrohr",PI()/4*(C161^2-(C161-2*E161)^2),IF(OR(B161="Quadratrohr",AND(B161="Rechteckrohr",D161&lt;&gt;"")),C161*IF(B161="Quadratrohr",C161,D161)-(C161-2*E161)*(IF(B161="Quadratrohr",C161,D161)-2*E161),"")))</f>
        <v/>
      </c>
      <c r="K161" s="34">
        <f>IF(A161="","",IF(F161&lt;&gt;"",F161,J161))</f>
        <v/>
      </c>
    </row>
    <row r="162">
      <c r="A162" s="9" t="n"/>
      <c r="B162" s="9" t="n"/>
      <c r="C162" s="49" t="n"/>
      <c r="D162" s="49" t="n"/>
      <c r="E162" s="50" t="n"/>
      <c r="F162" s="49" t="n"/>
      <c r="G162" s="24" t="n"/>
      <c r="H162" s="24" t="n"/>
      <c r="I162" s="9" t="n"/>
      <c r="J162" s="34">
        <f>IF(OR(A162="",C162="",E162=""),"",IF(B162="Rundrohr",PI()/4*(C162^2-(C162-2*E162)^2),IF(OR(B162="Quadratrohr",AND(B162="Rechteckrohr",D162&lt;&gt;"")),C162*IF(B162="Quadratrohr",C162,D162)-(C162-2*E162)*(IF(B162="Quadratrohr",C162,D162)-2*E162),"")))</f>
        <v/>
      </c>
      <c r="K162" s="34">
        <f>IF(A162="","",IF(F162&lt;&gt;"",F162,J162))</f>
        <v/>
      </c>
    </row>
    <row r="163">
      <c r="A163" s="9" t="n"/>
      <c r="B163" s="9" t="n"/>
      <c r="C163" s="49" t="n"/>
      <c r="D163" s="49" t="n"/>
      <c r="E163" s="50" t="n"/>
      <c r="F163" s="49" t="n"/>
      <c r="G163" s="24" t="n"/>
      <c r="H163" s="24" t="n"/>
      <c r="I163" s="9" t="n"/>
      <c r="J163" s="34">
        <f>IF(OR(A163="",C163="",E163=""),"",IF(B163="Rundrohr",PI()/4*(C163^2-(C163-2*E163)^2),IF(OR(B163="Quadratrohr",AND(B163="Rechteckrohr",D163&lt;&gt;"")),C163*IF(B163="Quadratrohr",C163,D163)-(C163-2*E163)*(IF(B163="Quadratrohr",C163,D163)-2*E163),"")))</f>
        <v/>
      </c>
      <c r="K163" s="34">
        <f>IF(A163="","",IF(F163&lt;&gt;"",F163,J163))</f>
        <v/>
      </c>
    </row>
    <row r="164">
      <c r="A164" s="9" t="n"/>
      <c r="B164" s="9" t="n"/>
      <c r="C164" s="49" t="n"/>
      <c r="D164" s="49" t="n"/>
      <c r="E164" s="50" t="n"/>
      <c r="F164" s="49" t="n"/>
      <c r="G164" s="24" t="n"/>
      <c r="H164" s="24" t="n"/>
      <c r="I164" s="9" t="n"/>
      <c r="J164" s="34">
        <f>IF(OR(A164="",C164="",E164=""),"",IF(B164="Rundrohr",PI()/4*(C164^2-(C164-2*E164)^2),IF(OR(B164="Quadratrohr",AND(B164="Rechteckrohr",D164&lt;&gt;"")),C164*IF(B164="Quadratrohr",C164,D164)-(C164-2*E164)*(IF(B164="Quadratrohr",C164,D164)-2*E164),"")))</f>
        <v/>
      </c>
      <c r="K164" s="34">
        <f>IF(A164="","",IF(F164&lt;&gt;"",F164,J164))</f>
        <v/>
      </c>
    </row>
    <row r="165">
      <c r="A165" s="9" t="n"/>
      <c r="B165" s="9" t="n"/>
      <c r="C165" s="49" t="n"/>
      <c r="D165" s="49" t="n"/>
      <c r="E165" s="50" t="n"/>
      <c r="F165" s="49" t="n"/>
      <c r="G165" s="24" t="n"/>
      <c r="H165" s="24" t="n"/>
      <c r="I165" s="9" t="n"/>
      <c r="J165" s="34">
        <f>IF(OR(A165="",C165="",E165=""),"",IF(B165="Rundrohr",PI()/4*(C165^2-(C165-2*E165)^2),IF(OR(B165="Quadratrohr",AND(B165="Rechteckrohr",D165&lt;&gt;"")),C165*IF(B165="Quadratrohr",C165,D165)-(C165-2*E165)*(IF(B165="Quadratrohr",C165,D165)-2*E165),"")))</f>
        <v/>
      </c>
      <c r="K165" s="34">
        <f>IF(A165="","",IF(F165&lt;&gt;"",F165,J165))</f>
        <v/>
      </c>
    </row>
    <row r="166">
      <c r="A166" s="9" t="n"/>
      <c r="B166" s="9" t="n"/>
      <c r="C166" s="49" t="n"/>
      <c r="D166" s="49" t="n"/>
      <c r="E166" s="50" t="n"/>
      <c r="F166" s="49" t="n"/>
      <c r="G166" s="24" t="n"/>
      <c r="H166" s="24" t="n"/>
      <c r="I166" s="9" t="n"/>
      <c r="J166" s="34">
        <f>IF(OR(A166="",C166="",E166=""),"",IF(B166="Rundrohr",PI()/4*(C166^2-(C166-2*E166)^2),IF(OR(B166="Quadratrohr",AND(B166="Rechteckrohr",D166&lt;&gt;"")),C166*IF(B166="Quadratrohr",C166,D166)-(C166-2*E166)*(IF(B166="Quadratrohr",C166,D166)-2*E166),"")))</f>
        <v/>
      </c>
      <c r="K166" s="34">
        <f>IF(A166="","",IF(F166&lt;&gt;"",F166,J166))</f>
        <v/>
      </c>
    </row>
    <row r="167">
      <c r="A167" s="9" t="n"/>
      <c r="B167" s="9" t="n"/>
      <c r="C167" s="49" t="n"/>
      <c r="D167" s="49" t="n"/>
      <c r="E167" s="50" t="n"/>
      <c r="F167" s="49" t="n"/>
      <c r="G167" s="24" t="n"/>
      <c r="H167" s="24" t="n"/>
      <c r="I167" s="9" t="n"/>
      <c r="J167" s="34">
        <f>IF(OR(A167="",C167="",E167=""),"",IF(B167="Rundrohr",PI()/4*(C167^2-(C167-2*E167)^2),IF(OR(B167="Quadratrohr",AND(B167="Rechteckrohr",D167&lt;&gt;"")),C167*IF(B167="Quadratrohr",C167,D167)-(C167-2*E167)*(IF(B167="Quadratrohr",C167,D167)-2*E167),"")))</f>
        <v/>
      </c>
      <c r="K167" s="34">
        <f>IF(A167="","",IF(F167&lt;&gt;"",F167,J167))</f>
        <v/>
      </c>
    </row>
    <row r="168">
      <c r="A168" s="9" t="n"/>
      <c r="B168" s="9" t="n"/>
      <c r="C168" s="49" t="n"/>
      <c r="D168" s="49" t="n"/>
      <c r="E168" s="50" t="n"/>
      <c r="F168" s="49" t="n"/>
      <c r="G168" s="24" t="n"/>
      <c r="H168" s="24" t="n"/>
      <c r="I168" s="9" t="n"/>
      <c r="J168" s="34">
        <f>IF(OR(A168="",C168="",E168=""),"",IF(B168="Rundrohr",PI()/4*(C168^2-(C168-2*E168)^2),IF(OR(B168="Quadratrohr",AND(B168="Rechteckrohr",D168&lt;&gt;"")),C168*IF(B168="Quadratrohr",C168,D168)-(C168-2*E168)*(IF(B168="Quadratrohr",C168,D168)-2*E168),"")))</f>
        <v/>
      </c>
      <c r="K168" s="34">
        <f>IF(A168="","",IF(F168&lt;&gt;"",F168,J168))</f>
        <v/>
      </c>
    </row>
    <row r="169">
      <c r="A169" s="9" t="n"/>
      <c r="B169" s="9" t="n"/>
      <c r="C169" s="49" t="n"/>
      <c r="D169" s="49" t="n"/>
      <c r="E169" s="50" t="n"/>
      <c r="F169" s="49" t="n"/>
      <c r="G169" s="24" t="n"/>
      <c r="H169" s="24" t="n"/>
      <c r="I169" s="9" t="n"/>
      <c r="J169" s="34">
        <f>IF(OR(A169="",C169="",E169=""),"",IF(B169="Rundrohr",PI()/4*(C169^2-(C169-2*E169)^2),IF(OR(B169="Quadratrohr",AND(B169="Rechteckrohr",D169&lt;&gt;"")),C169*IF(B169="Quadratrohr",C169,D169)-(C169-2*E169)*(IF(B169="Quadratrohr",C169,D169)-2*E169),"")))</f>
        <v/>
      </c>
      <c r="K169" s="34">
        <f>IF(A169="","",IF(F169&lt;&gt;"",F169,J169))</f>
        <v/>
      </c>
    </row>
    <row r="170">
      <c r="A170" s="9" t="n"/>
      <c r="B170" s="9" t="n"/>
      <c r="C170" s="49" t="n"/>
      <c r="D170" s="49" t="n"/>
      <c r="E170" s="50" t="n"/>
      <c r="F170" s="49" t="n"/>
      <c r="G170" s="24" t="n"/>
      <c r="H170" s="24" t="n"/>
      <c r="I170" s="9" t="n"/>
      <c r="J170" s="34">
        <f>IF(OR(A170="",C170="",E170=""),"",IF(B170="Rundrohr",PI()/4*(C170^2-(C170-2*E170)^2),IF(OR(B170="Quadratrohr",AND(B170="Rechteckrohr",D170&lt;&gt;"")),C170*IF(B170="Quadratrohr",C170,D170)-(C170-2*E170)*(IF(B170="Quadratrohr",C170,D170)-2*E170),"")))</f>
        <v/>
      </c>
      <c r="K170" s="34">
        <f>IF(A170="","",IF(F170&lt;&gt;"",F170,J170))</f>
        <v/>
      </c>
    </row>
    <row r="171">
      <c r="A171" s="9" t="n"/>
      <c r="B171" s="9" t="n"/>
      <c r="C171" s="49" t="n"/>
      <c r="D171" s="49" t="n"/>
      <c r="E171" s="50" t="n"/>
      <c r="F171" s="49" t="n"/>
      <c r="G171" s="24" t="n"/>
      <c r="H171" s="24" t="n"/>
      <c r="I171" s="9" t="n"/>
      <c r="J171" s="34">
        <f>IF(OR(A171="",C171="",E171=""),"",IF(B171="Rundrohr",PI()/4*(C171^2-(C171-2*E171)^2),IF(OR(B171="Quadratrohr",AND(B171="Rechteckrohr",D171&lt;&gt;"")),C171*IF(B171="Quadratrohr",C171,D171)-(C171-2*E171)*(IF(B171="Quadratrohr",C171,D171)-2*E171),"")))</f>
        <v/>
      </c>
      <c r="K171" s="34">
        <f>IF(A171="","",IF(F171&lt;&gt;"",F171,J171))</f>
        <v/>
      </c>
    </row>
    <row r="172">
      <c r="A172" s="9" t="n"/>
      <c r="B172" s="9" t="n"/>
      <c r="C172" s="49" t="n"/>
      <c r="D172" s="49" t="n"/>
      <c r="E172" s="50" t="n"/>
      <c r="F172" s="49" t="n"/>
      <c r="G172" s="24" t="n"/>
      <c r="H172" s="24" t="n"/>
      <c r="I172" s="9" t="n"/>
      <c r="J172" s="34">
        <f>IF(OR(A172="",C172="",E172=""),"",IF(B172="Rundrohr",PI()/4*(C172^2-(C172-2*E172)^2),IF(OR(B172="Quadratrohr",AND(B172="Rechteckrohr",D172&lt;&gt;"")),C172*IF(B172="Quadratrohr",C172,D172)-(C172-2*E172)*(IF(B172="Quadratrohr",C172,D172)-2*E172),"")))</f>
        <v/>
      </c>
      <c r="K172" s="34">
        <f>IF(A172="","",IF(F172&lt;&gt;"",F172,J172))</f>
        <v/>
      </c>
    </row>
    <row r="173">
      <c r="A173" s="9" t="n"/>
      <c r="B173" s="9" t="n"/>
      <c r="C173" s="49" t="n"/>
      <c r="D173" s="49" t="n"/>
      <c r="E173" s="50" t="n"/>
      <c r="F173" s="49" t="n"/>
      <c r="G173" s="24" t="n"/>
      <c r="H173" s="24" t="n"/>
      <c r="I173" s="9" t="n"/>
      <c r="J173" s="34">
        <f>IF(OR(A173="",C173="",E173=""),"",IF(B173="Rundrohr",PI()/4*(C173^2-(C173-2*E173)^2),IF(OR(B173="Quadratrohr",AND(B173="Rechteckrohr",D173&lt;&gt;"")),C173*IF(B173="Quadratrohr",C173,D173)-(C173-2*E173)*(IF(B173="Quadratrohr",C173,D173)-2*E173),"")))</f>
        <v/>
      </c>
      <c r="K173" s="34">
        <f>IF(A173="","",IF(F173&lt;&gt;"",F173,J173))</f>
        <v/>
      </c>
    </row>
    <row r="174">
      <c r="A174" s="9" t="n"/>
      <c r="B174" s="9" t="n"/>
      <c r="C174" s="49" t="n"/>
      <c r="D174" s="49" t="n"/>
      <c r="E174" s="50" t="n"/>
      <c r="F174" s="49" t="n"/>
      <c r="G174" s="24" t="n"/>
      <c r="H174" s="24" t="n"/>
      <c r="I174" s="9" t="n"/>
      <c r="J174" s="34">
        <f>IF(OR(A174="",C174="",E174=""),"",IF(B174="Rundrohr",PI()/4*(C174^2-(C174-2*E174)^2),IF(OR(B174="Quadratrohr",AND(B174="Rechteckrohr",D174&lt;&gt;"")),C174*IF(B174="Quadratrohr",C174,D174)-(C174-2*E174)*(IF(B174="Quadratrohr",C174,D174)-2*E174),"")))</f>
        <v/>
      </c>
      <c r="K174" s="34">
        <f>IF(A174="","",IF(F174&lt;&gt;"",F174,J174))</f>
        <v/>
      </c>
    </row>
    <row r="175">
      <c r="A175" s="9" t="n"/>
      <c r="B175" s="9" t="n"/>
      <c r="C175" s="49" t="n"/>
      <c r="D175" s="49" t="n"/>
      <c r="E175" s="50" t="n"/>
      <c r="F175" s="49" t="n"/>
      <c r="G175" s="24" t="n"/>
      <c r="H175" s="24" t="n"/>
      <c r="I175" s="9" t="n"/>
      <c r="J175" s="34">
        <f>IF(OR(A175="",C175="",E175=""),"",IF(B175="Rundrohr",PI()/4*(C175^2-(C175-2*E175)^2),IF(OR(B175="Quadratrohr",AND(B175="Rechteckrohr",D175&lt;&gt;"")),C175*IF(B175="Quadratrohr",C175,D175)-(C175-2*E175)*(IF(B175="Quadratrohr",C175,D175)-2*E175),"")))</f>
        <v/>
      </c>
      <c r="K175" s="34">
        <f>IF(A175="","",IF(F175&lt;&gt;"",F175,J175))</f>
        <v/>
      </c>
    </row>
    <row r="176">
      <c r="A176" s="9" t="n"/>
      <c r="B176" s="9" t="n"/>
      <c r="C176" s="49" t="n"/>
      <c r="D176" s="49" t="n"/>
      <c r="E176" s="50" t="n"/>
      <c r="F176" s="49" t="n"/>
      <c r="G176" s="24" t="n"/>
      <c r="H176" s="24" t="n"/>
      <c r="I176" s="9" t="n"/>
      <c r="J176" s="34">
        <f>IF(OR(A176="",C176="",E176=""),"",IF(B176="Rundrohr",PI()/4*(C176^2-(C176-2*E176)^2),IF(OR(B176="Quadratrohr",AND(B176="Rechteckrohr",D176&lt;&gt;"")),C176*IF(B176="Quadratrohr",C176,D176)-(C176-2*E176)*(IF(B176="Quadratrohr",C176,D176)-2*E176),"")))</f>
        <v/>
      </c>
      <c r="K176" s="34">
        <f>IF(A176="","",IF(F176&lt;&gt;"",F176,J176))</f>
        <v/>
      </c>
    </row>
    <row r="177">
      <c r="A177" s="9" t="n"/>
      <c r="B177" s="9" t="n"/>
      <c r="C177" s="49" t="n"/>
      <c r="D177" s="49" t="n"/>
      <c r="E177" s="50" t="n"/>
      <c r="F177" s="49" t="n"/>
      <c r="G177" s="24" t="n"/>
      <c r="H177" s="24" t="n"/>
      <c r="I177" s="9" t="n"/>
      <c r="J177" s="34">
        <f>IF(OR(A177="",C177="",E177=""),"",IF(B177="Rundrohr",PI()/4*(C177^2-(C177-2*E177)^2),IF(OR(B177="Quadratrohr",AND(B177="Rechteckrohr",D177&lt;&gt;"")),C177*IF(B177="Quadratrohr",C177,D177)-(C177-2*E177)*(IF(B177="Quadratrohr",C177,D177)-2*E177),"")))</f>
        <v/>
      </c>
      <c r="K177" s="34">
        <f>IF(A177="","",IF(F177&lt;&gt;"",F177,J177))</f>
        <v/>
      </c>
    </row>
    <row r="178">
      <c r="A178" s="9" t="n"/>
      <c r="B178" s="9" t="n"/>
      <c r="C178" s="49" t="n"/>
      <c r="D178" s="49" t="n"/>
      <c r="E178" s="50" t="n"/>
      <c r="F178" s="49" t="n"/>
      <c r="G178" s="24" t="n"/>
      <c r="H178" s="24" t="n"/>
      <c r="I178" s="9" t="n"/>
      <c r="J178" s="34">
        <f>IF(OR(A178="",C178="",E178=""),"",IF(B178="Rundrohr",PI()/4*(C178^2-(C178-2*E178)^2),IF(OR(B178="Quadratrohr",AND(B178="Rechteckrohr",D178&lt;&gt;"")),C178*IF(B178="Quadratrohr",C178,D178)-(C178-2*E178)*(IF(B178="Quadratrohr",C178,D178)-2*E178),"")))</f>
        <v/>
      </c>
      <c r="K178" s="34">
        <f>IF(A178="","",IF(F178&lt;&gt;"",F178,J178))</f>
        <v/>
      </c>
    </row>
    <row r="179">
      <c r="A179" s="9" t="n"/>
      <c r="B179" s="9" t="n"/>
      <c r="C179" s="49" t="n"/>
      <c r="D179" s="49" t="n"/>
      <c r="E179" s="50" t="n"/>
      <c r="F179" s="49" t="n"/>
      <c r="G179" s="24" t="n"/>
      <c r="H179" s="24" t="n"/>
      <c r="I179" s="9" t="n"/>
      <c r="J179" s="34">
        <f>IF(OR(A179="",C179="",E179=""),"",IF(B179="Rundrohr",PI()/4*(C179^2-(C179-2*E179)^2),IF(OR(B179="Quadratrohr",AND(B179="Rechteckrohr",D179&lt;&gt;"")),C179*IF(B179="Quadratrohr",C179,D179)-(C179-2*E179)*(IF(B179="Quadratrohr",C179,D179)-2*E179),"")))</f>
        <v/>
      </c>
      <c r="K179" s="34">
        <f>IF(A179="","",IF(F179&lt;&gt;"",F179,J179))</f>
        <v/>
      </c>
    </row>
    <row r="180">
      <c r="A180" s="9" t="n"/>
      <c r="B180" s="9" t="n"/>
      <c r="C180" s="49" t="n"/>
      <c r="D180" s="49" t="n"/>
      <c r="E180" s="50" t="n"/>
      <c r="F180" s="49" t="n"/>
      <c r="G180" s="24" t="n"/>
      <c r="H180" s="24" t="n"/>
      <c r="I180" s="9" t="n"/>
      <c r="J180" s="34">
        <f>IF(OR(A180="",C180="",E180=""),"",IF(B180="Rundrohr",PI()/4*(C180^2-(C180-2*E180)^2),IF(OR(B180="Quadratrohr",AND(B180="Rechteckrohr",D180&lt;&gt;"")),C180*IF(B180="Quadratrohr",C180,D180)-(C180-2*E180)*(IF(B180="Quadratrohr",C180,D180)-2*E180),"")))</f>
        <v/>
      </c>
      <c r="K180" s="34">
        <f>IF(A180="","",IF(F180&lt;&gt;"",F180,J180))</f>
        <v/>
      </c>
    </row>
    <row r="181">
      <c r="A181" s="9" t="n"/>
      <c r="B181" s="9" t="n"/>
      <c r="C181" s="49" t="n"/>
      <c r="D181" s="49" t="n"/>
      <c r="E181" s="50" t="n"/>
      <c r="F181" s="49" t="n"/>
      <c r="G181" s="24" t="n"/>
      <c r="H181" s="24" t="n"/>
      <c r="I181" s="9" t="n"/>
      <c r="J181" s="34">
        <f>IF(OR(A181="",C181="",E181=""),"",IF(B181="Rundrohr",PI()/4*(C181^2-(C181-2*E181)^2),IF(OR(B181="Quadratrohr",AND(B181="Rechteckrohr",D181&lt;&gt;"")),C181*IF(B181="Quadratrohr",C181,D181)-(C181-2*E181)*(IF(B181="Quadratrohr",C181,D181)-2*E181),"")))</f>
        <v/>
      </c>
      <c r="K181" s="34">
        <f>IF(A181="","",IF(F181&lt;&gt;"",F181,J181))</f>
        <v/>
      </c>
    </row>
    <row r="182">
      <c r="A182" s="9" t="n"/>
      <c r="B182" s="9" t="n"/>
      <c r="C182" s="49" t="n"/>
      <c r="D182" s="49" t="n"/>
      <c r="E182" s="50" t="n"/>
      <c r="F182" s="49" t="n"/>
      <c r="G182" s="24" t="n"/>
      <c r="H182" s="24" t="n"/>
      <c r="I182" s="9" t="n"/>
      <c r="J182" s="34">
        <f>IF(OR(A182="",C182="",E182=""),"",IF(B182="Rundrohr",PI()/4*(C182^2-(C182-2*E182)^2),IF(OR(B182="Quadratrohr",AND(B182="Rechteckrohr",D182&lt;&gt;"")),C182*IF(B182="Quadratrohr",C182,D182)-(C182-2*E182)*(IF(B182="Quadratrohr",C182,D182)-2*E182),"")))</f>
        <v/>
      </c>
      <c r="K182" s="34">
        <f>IF(A182="","",IF(F182&lt;&gt;"",F182,J182))</f>
        <v/>
      </c>
    </row>
    <row r="183">
      <c r="A183" s="9" t="n"/>
      <c r="B183" s="9" t="n"/>
      <c r="C183" s="49" t="n"/>
      <c r="D183" s="49" t="n"/>
      <c r="E183" s="50" t="n"/>
      <c r="F183" s="49" t="n"/>
      <c r="G183" s="24" t="n"/>
      <c r="H183" s="24" t="n"/>
      <c r="I183" s="9" t="n"/>
      <c r="J183" s="34">
        <f>IF(OR(A183="",C183="",E183=""),"",IF(B183="Rundrohr",PI()/4*(C183^2-(C183-2*E183)^2),IF(OR(B183="Quadratrohr",AND(B183="Rechteckrohr",D183&lt;&gt;"")),C183*IF(B183="Quadratrohr",C183,D183)-(C183-2*E183)*(IF(B183="Quadratrohr",C183,D183)-2*E183),"")))</f>
        <v/>
      </c>
      <c r="K183" s="34">
        <f>IF(A183="","",IF(F183&lt;&gt;"",F183,J183))</f>
        <v/>
      </c>
    </row>
    <row r="184">
      <c r="A184" s="9" t="n"/>
      <c r="B184" s="9" t="n"/>
      <c r="C184" s="49" t="n"/>
      <c r="D184" s="49" t="n"/>
      <c r="E184" s="50" t="n"/>
      <c r="F184" s="49" t="n"/>
      <c r="G184" s="24" t="n"/>
      <c r="H184" s="24" t="n"/>
      <c r="I184" s="9" t="n"/>
      <c r="J184" s="34">
        <f>IF(OR(A184="",C184="",E184=""),"",IF(B184="Rundrohr",PI()/4*(C184^2-(C184-2*E184)^2),IF(OR(B184="Quadratrohr",AND(B184="Rechteckrohr",D184&lt;&gt;"")),C184*IF(B184="Quadratrohr",C184,D184)-(C184-2*E184)*(IF(B184="Quadratrohr",C184,D184)-2*E184),"")))</f>
        <v/>
      </c>
      <c r="K184" s="34">
        <f>IF(A184="","",IF(F184&lt;&gt;"",F184,J184))</f>
        <v/>
      </c>
    </row>
    <row r="185">
      <c r="A185" s="9" t="n"/>
      <c r="B185" s="9" t="n"/>
      <c r="C185" s="49" t="n"/>
      <c r="D185" s="49" t="n"/>
      <c r="E185" s="50" t="n"/>
      <c r="F185" s="49" t="n"/>
      <c r="G185" s="24" t="n"/>
      <c r="H185" s="24" t="n"/>
      <c r="I185" s="9" t="n"/>
      <c r="J185" s="34">
        <f>IF(OR(A185="",C185="",E185=""),"",IF(B185="Rundrohr",PI()/4*(C185^2-(C185-2*E185)^2),IF(OR(B185="Quadratrohr",AND(B185="Rechteckrohr",D185&lt;&gt;"")),C185*IF(B185="Quadratrohr",C185,D185)-(C185-2*E185)*(IF(B185="Quadratrohr",C185,D185)-2*E185),"")))</f>
        <v/>
      </c>
      <c r="K185" s="34">
        <f>IF(A185="","",IF(F185&lt;&gt;"",F185,J185))</f>
        <v/>
      </c>
    </row>
    <row r="186">
      <c r="A186" s="9" t="n"/>
      <c r="B186" s="9" t="n"/>
      <c r="C186" s="49" t="n"/>
      <c r="D186" s="49" t="n"/>
      <c r="E186" s="50" t="n"/>
      <c r="F186" s="49" t="n"/>
      <c r="G186" s="24" t="n"/>
      <c r="H186" s="24" t="n"/>
      <c r="I186" s="9" t="n"/>
      <c r="J186" s="34">
        <f>IF(OR(A186="",C186="",E186=""),"",IF(B186="Rundrohr",PI()/4*(C186^2-(C186-2*E186)^2),IF(OR(B186="Quadratrohr",AND(B186="Rechteckrohr",D186&lt;&gt;"")),C186*IF(B186="Quadratrohr",C186,D186)-(C186-2*E186)*(IF(B186="Quadratrohr",C186,D186)-2*E186),"")))</f>
        <v/>
      </c>
      <c r="K186" s="34">
        <f>IF(A186="","",IF(F186&lt;&gt;"",F186,J186))</f>
        <v/>
      </c>
    </row>
    <row r="187">
      <c r="A187" s="9" t="n"/>
      <c r="B187" s="9" t="n"/>
      <c r="C187" s="49" t="n"/>
      <c r="D187" s="49" t="n"/>
      <c r="E187" s="50" t="n"/>
      <c r="F187" s="49" t="n"/>
      <c r="G187" s="24" t="n"/>
      <c r="H187" s="24" t="n"/>
      <c r="I187" s="9" t="n"/>
      <c r="J187" s="34">
        <f>IF(OR(A187="",C187="",E187=""),"",IF(B187="Rundrohr",PI()/4*(C187^2-(C187-2*E187)^2),IF(OR(B187="Quadratrohr",AND(B187="Rechteckrohr",D187&lt;&gt;"")),C187*IF(B187="Quadratrohr",C187,D187)-(C187-2*E187)*(IF(B187="Quadratrohr",C187,D187)-2*E187),"")))</f>
        <v/>
      </c>
      <c r="K187" s="34">
        <f>IF(A187="","",IF(F187&lt;&gt;"",F187,J187))</f>
        <v/>
      </c>
    </row>
    <row r="188">
      <c r="A188" s="9" t="n"/>
      <c r="B188" s="9" t="n"/>
      <c r="C188" s="49" t="n"/>
      <c r="D188" s="49" t="n"/>
      <c r="E188" s="50" t="n"/>
      <c r="F188" s="49" t="n"/>
      <c r="G188" s="24" t="n"/>
      <c r="H188" s="24" t="n"/>
      <c r="I188" s="9" t="n"/>
      <c r="J188" s="34">
        <f>IF(OR(A188="",C188="",E188=""),"",IF(B188="Rundrohr",PI()/4*(C188^2-(C188-2*E188)^2),IF(OR(B188="Quadratrohr",AND(B188="Rechteckrohr",D188&lt;&gt;"")),C188*IF(B188="Quadratrohr",C188,D188)-(C188-2*E188)*(IF(B188="Quadratrohr",C188,D188)-2*E188),"")))</f>
        <v/>
      </c>
      <c r="K188" s="34">
        <f>IF(A188="","",IF(F188&lt;&gt;"",F188,J188))</f>
        <v/>
      </c>
    </row>
    <row r="189">
      <c r="A189" s="9" t="n"/>
      <c r="B189" s="9" t="n"/>
      <c r="C189" s="49" t="n"/>
      <c r="D189" s="49" t="n"/>
      <c r="E189" s="50" t="n"/>
      <c r="F189" s="49" t="n"/>
      <c r="G189" s="24" t="n"/>
      <c r="H189" s="24" t="n"/>
      <c r="I189" s="9" t="n"/>
      <c r="J189" s="34">
        <f>IF(OR(A189="",C189="",E189=""),"",IF(B189="Rundrohr",PI()/4*(C189^2-(C189-2*E189)^2),IF(OR(B189="Quadratrohr",AND(B189="Rechteckrohr",D189&lt;&gt;"")),C189*IF(B189="Quadratrohr",C189,D189)-(C189-2*E189)*(IF(B189="Quadratrohr",C189,D189)-2*E189),"")))</f>
        <v/>
      </c>
      <c r="K189" s="34">
        <f>IF(A189="","",IF(F189&lt;&gt;"",F189,J189))</f>
        <v/>
      </c>
    </row>
    <row r="190">
      <c r="A190" s="9" t="n"/>
      <c r="B190" s="9" t="n"/>
      <c r="C190" s="49" t="n"/>
      <c r="D190" s="49" t="n"/>
      <c r="E190" s="50" t="n"/>
      <c r="F190" s="49" t="n"/>
      <c r="G190" s="24" t="n"/>
      <c r="H190" s="24" t="n"/>
      <c r="I190" s="9" t="n"/>
      <c r="J190" s="34">
        <f>IF(OR(A190="",C190="",E190=""),"",IF(B190="Rundrohr",PI()/4*(C190^2-(C190-2*E190)^2),IF(OR(B190="Quadratrohr",AND(B190="Rechteckrohr",D190&lt;&gt;"")),C190*IF(B190="Quadratrohr",C190,D190)-(C190-2*E190)*(IF(B190="Quadratrohr",C190,D190)-2*E190),"")))</f>
        <v/>
      </c>
      <c r="K190" s="34">
        <f>IF(A190="","",IF(F190&lt;&gt;"",F190,J190))</f>
        <v/>
      </c>
    </row>
    <row r="191">
      <c r="A191" s="9" t="n"/>
      <c r="B191" s="9" t="n"/>
      <c r="C191" s="49" t="n"/>
      <c r="D191" s="49" t="n"/>
      <c r="E191" s="50" t="n"/>
      <c r="F191" s="49" t="n"/>
      <c r="G191" s="24" t="n"/>
      <c r="H191" s="24" t="n"/>
      <c r="I191" s="9" t="n"/>
      <c r="J191" s="34">
        <f>IF(OR(A191="",C191="",E191=""),"",IF(B191="Rundrohr",PI()/4*(C191^2-(C191-2*E191)^2),IF(OR(B191="Quadratrohr",AND(B191="Rechteckrohr",D191&lt;&gt;"")),C191*IF(B191="Quadratrohr",C191,D191)-(C191-2*E191)*(IF(B191="Quadratrohr",C191,D191)-2*E191),"")))</f>
        <v/>
      </c>
      <c r="K191" s="34">
        <f>IF(A191="","",IF(F191&lt;&gt;"",F191,J191))</f>
        <v/>
      </c>
    </row>
    <row r="192">
      <c r="A192" s="9" t="n"/>
      <c r="B192" s="9" t="n"/>
      <c r="C192" s="49" t="n"/>
      <c r="D192" s="49" t="n"/>
      <c r="E192" s="50" t="n"/>
      <c r="F192" s="49" t="n"/>
      <c r="G192" s="24" t="n"/>
      <c r="H192" s="24" t="n"/>
      <c r="I192" s="9" t="n"/>
      <c r="J192" s="34">
        <f>IF(OR(A192="",C192="",E192=""),"",IF(B192="Rundrohr",PI()/4*(C192^2-(C192-2*E192)^2),IF(OR(B192="Quadratrohr",AND(B192="Rechteckrohr",D192&lt;&gt;"")),C192*IF(B192="Quadratrohr",C192,D192)-(C192-2*E192)*(IF(B192="Quadratrohr",C192,D192)-2*E192),"")))</f>
        <v/>
      </c>
      <c r="K192" s="34">
        <f>IF(A192="","",IF(F192&lt;&gt;"",F192,J192))</f>
        <v/>
      </c>
    </row>
    <row r="193">
      <c r="A193" s="9" t="n"/>
      <c r="B193" s="9" t="n"/>
      <c r="C193" s="49" t="n"/>
      <c r="D193" s="49" t="n"/>
      <c r="E193" s="50" t="n"/>
      <c r="F193" s="49" t="n"/>
      <c r="G193" s="24" t="n"/>
      <c r="H193" s="24" t="n"/>
      <c r="I193" s="9" t="n"/>
      <c r="J193" s="34">
        <f>IF(OR(A193="",C193="",E193=""),"",IF(B193="Rundrohr",PI()/4*(C193^2-(C193-2*E193)^2),IF(OR(B193="Quadratrohr",AND(B193="Rechteckrohr",D193&lt;&gt;"")),C193*IF(B193="Quadratrohr",C193,D193)-(C193-2*E193)*(IF(B193="Quadratrohr",C193,D193)-2*E193),"")))</f>
        <v/>
      </c>
      <c r="K193" s="34">
        <f>IF(A193="","",IF(F193&lt;&gt;"",F193,J193))</f>
        <v/>
      </c>
    </row>
    <row r="194">
      <c r="A194" s="9" t="n"/>
      <c r="B194" s="9" t="n"/>
      <c r="C194" s="49" t="n"/>
      <c r="D194" s="49" t="n"/>
      <c r="E194" s="50" t="n"/>
      <c r="F194" s="49" t="n"/>
      <c r="G194" s="24" t="n"/>
      <c r="H194" s="24" t="n"/>
      <c r="I194" s="9" t="n"/>
      <c r="J194" s="34">
        <f>IF(OR(A194="",C194="",E194=""),"",IF(B194="Rundrohr",PI()/4*(C194^2-(C194-2*E194)^2),IF(OR(B194="Quadratrohr",AND(B194="Rechteckrohr",D194&lt;&gt;"")),C194*IF(B194="Quadratrohr",C194,D194)-(C194-2*E194)*(IF(B194="Quadratrohr",C194,D194)-2*E194),"")))</f>
        <v/>
      </c>
      <c r="K194" s="34">
        <f>IF(A194="","",IF(F194&lt;&gt;"",F194,J194))</f>
        <v/>
      </c>
    </row>
    <row r="195">
      <c r="A195" s="9" t="n"/>
      <c r="B195" s="9" t="n"/>
      <c r="C195" s="49" t="n"/>
      <c r="D195" s="49" t="n"/>
      <c r="E195" s="50" t="n"/>
      <c r="F195" s="49" t="n"/>
      <c r="G195" s="24" t="n"/>
      <c r="H195" s="24" t="n"/>
      <c r="I195" s="9" t="n"/>
      <c r="J195" s="34">
        <f>IF(OR(A195="",C195="",E195=""),"",IF(B195="Rundrohr",PI()/4*(C195^2-(C195-2*E195)^2),IF(OR(B195="Quadratrohr",AND(B195="Rechteckrohr",D195&lt;&gt;"")),C195*IF(B195="Quadratrohr",C195,D195)-(C195-2*E195)*(IF(B195="Quadratrohr",C195,D195)-2*E195),"")))</f>
        <v/>
      </c>
      <c r="K195" s="34">
        <f>IF(A195="","",IF(F195&lt;&gt;"",F195,J195))</f>
        <v/>
      </c>
    </row>
    <row r="196">
      <c r="A196" s="9" t="n"/>
      <c r="B196" s="9" t="n"/>
      <c r="C196" s="49" t="n"/>
      <c r="D196" s="49" t="n"/>
      <c r="E196" s="50" t="n"/>
      <c r="F196" s="49" t="n"/>
      <c r="G196" s="24" t="n"/>
      <c r="H196" s="24" t="n"/>
      <c r="I196" s="9" t="n"/>
      <c r="J196" s="34">
        <f>IF(OR(A196="",C196="",E196=""),"",IF(B196="Rundrohr",PI()/4*(C196^2-(C196-2*E196)^2),IF(OR(B196="Quadratrohr",AND(B196="Rechteckrohr",D196&lt;&gt;"")),C196*IF(B196="Quadratrohr",C196,D196)-(C196-2*E196)*(IF(B196="Quadratrohr",C196,D196)-2*E196),"")))</f>
        <v/>
      </c>
      <c r="K196" s="34">
        <f>IF(A196="","",IF(F196&lt;&gt;"",F196,J196))</f>
        <v/>
      </c>
    </row>
    <row r="197">
      <c r="A197" s="9" t="n"/>
      <c r="B197" s="9" t="n"/>
      <c r="C197" s="49" t="n"/>
      <c r="D197" s="49" t="n"/>
      <c r="E197" s="50" t="n"/>
      <c r="F197" s="49" t="n"/>
      <c r="G197" s="24" t="n"/>
      <c r="H197" s="24" t="n"/>
      <c r="I197" s="9" t="n"/>
      <c r="J197" s="34">
        <f>IF(OR(A197="",C197="",E197=""),"",IF(B197="Rundrohr",PI()/4*(C197^2-(C197-2*E197)^2),IF(OR(B197="Quadratrohr",AND(B197="Rechteckrohr",D197&lt;&gt;"")),C197*IF(B197="Quadratrohr",C197,D197)-(C197-2*E197)*(IF(B197="Quadratrohr",C197,D197)-2*E197),"")))</f>
        <v/>
      </c>
      <c r="K197" s="34">
        <f>IF(A197="","",IF(F197&lt;&gt;"",F197,J197))</f>
        <v/>
      </c>
    </row>
    <row r="198">
      <c r="A198" s="9" t="n"/>
      <c r="B198" s="9" t="n"/>
      <c r="C198" s="49" t="n"/>
      <c r="D198" s="49" t="n"/>
      <c r="E198" s="50" t="n"/>
      <c r="F198" s="49" t="n"/>
      <c r="G198" s="24" t="n"/>
      <c r="H198" s="24" t="n"/>
      <c r="I198" s="9" t="n"/>
      <c r="J198" s="34">
        <f>IF(OR(A198="",C198="",E198=""),"",IF(B198="Rundrohr",PI()/4*(C198^2-(C198-2*E198)^2),IF(OR(B198="Quadratrohr",AND(B198="Rechteckrohr",D198&lt;&gt;"")),C198*IF(B198="Quadratrohr",C198,D198)-(C198-2*E198)*(IF(B198="Quadratrohr",C198,D198)-2*E198),"")))</f>
        <v/>
      </c>
      <c r="K198" s="34">
        <f>IF(A198="","",IF(F198&lt;&gt;"",F198,J198))</f>
        <v/>
      </c>
    </row>
    <row r="199">
      <c r="A199" s="9" t="n"/>
      <c r="B199" s="9" t="n"/>
      <c r="C199" s="49" t="n"/>
      <c r="D199" s="49" t="n"/>
      <c r="E199" s="50" t="n"/>
      <c r="F199" s="49" t="n"/>
      <c r="G199" s="24" t="n"/>
      <c r="H199" s="24" t="n"/>
      <c r="I199" s="9" t="n"/>
      <c r="J199" s="34">
        <f>IF(OR(A199="",C199="",E199=""),"",IF(B199="Rundrohr",PI()/4*(C199^2-(C199-2*E199)^2),IF(OR(B199="Quadratrohr",AND(B199="Rechteckrohr",D199&lt;&gt;"")),C199*IF(B199="Quadratrohr",C199,D199)-(C199-2*E199)*(IF(B199="Quadratrohr",C199,D199)-2*E199),"")))</f>
        <v/>
      </c>
      <c r="K199" s="34">
        <f>IF(A199="","",IF(F199&lt;&gt;"",F199,J199))</f>
        <v/>
      </c>
    </row>
    <row r="200">
      <c r="A200" s="9" t="n"/>
      <c r="B200" s="9" t="n"/>
      <c r="C200" s="49" t="n"/>
      <c r="D200" s="49" t="n"/>
      <c r="E200" s="50" t="n"/>
      <c r="F200" s="49" t="n"/>
      <c r="G200" s="24" t="n"/>
      <c r="H200" s="24" t="n"/>
      <c r="I200" s="9" t="n"/>
      <c r="J200" s="34">
        <f>IF(OR(A200="",C200="",E200=""),"",IF(B200="Rundrohr",PI()/4*(C200^2-(C200-2*E200)^2),IF(OR(B200="Quadratrohr",AND(B200="Rechteckrohr",D200&lt;&gt;"")),C200*IF(B200="Quadratrohr",C200,D200)-(C200-2*E200)*(IF(B200="Quadratrohr",C200,D200)-2*E200),"")))</f>
        <v/>
      </c>
      <c r="K200" s="34">
        <f>IF(A200="","",IF(F200&lt;&gt;"",F200,J200))</f>
        <v/>
      </c>
    </row>
    <row r="201">
      <c r="A201" s="9" t="n"/>
      <c r="B201" s="9" t="n"/>
      <c r="C201" s="49" t="n"/>
      <c r="D201" s="49" t="n"/>
      <c r="E201" s="50" t="n"/>
      <c r="F201" s="49" t="n"/>
      <c r="G201" s="24" t="n"/>
      <c r="H201" s="24" t="n"/>
      <c r="I201" s="9" t="n"/>
      <c r="J201" s="34">
        <f>IF(OR(A201="",C201="",E201=""),"",IF(B201="Rundrohr",PI()/4*(C201^2-(C201-2*E201)^2),IF(OR(B201="Quadratrohr",AND(B201="Rechteckrohr",D201&lt;&gt;"")),C201*IF(B201="Quadratrohr",C201,D201)-(C201-2*E201)*(IF(B201="Quadratrohr",C201,D201)-2*E201),"")))</f>
        <v/>
      </c>
      <c r="K201" s="34">
        <f>IF(A201="","",IF(F201&lt;&gt;"",F201,J201))</f>
        <v/>
      </c>
    </row>
    <row r="202">
      <c r="A202" s="9" t="n"/>
      <c r="B202" s="9" t="n"/>
      <c r="C202" s="49" t="n"/>
      <c r="D202" s="49" t="n"/>
      <c r="E202" s="50" t="n"/>
      <c r="F202" s="49" t="n"/>
      <c r="G202" s="24" t="n"/>
      <c r="H202" s="24" t="n"/>
      <c r="I202" s="9" t="n"/>
      <c r="J202" s="34">
        <f>IF(OR(A202="",C202="",E202=""),"",IF(B202="Rundrohr",PI()/4*(C202^2-(C202-2*E202)^2),IF(OR(B202="Quadratrohr",AND(B202="Rechteckrohr",D202&lt;&gt;"")),C202*IF(B202="Quadratrohr",C202,D202)-(C202-2*E202)*(IF(B202="Quadratrohr",C202,D202)-2*E202),"")))</f>
        <v/>
      </c>
      <c r="K202" s="34">
        <f>IF(A202="","",IF(F202&lt;&gt;"",F202,J202))</f>
        <v/>
      </c>
    </row>
    <row r="203">
      <c r="A203" s="9" t="n"/>
      <c r="B203" s="9" t="n"/>
      <c r="C203" s="49" t="n"/>
      <c r="D203" s="49" t="n"/>
      <c r="E203" s="50" t="n"/>
      <c r="F203" s="49" t="n"/>
      <c r="G203" s="24" t="n"/>
      <c r="H203" s="24" t="n"/>
      <c r="I203" s="9" t="n"/>
      <c r="J203" s="34">
        <f>IF(OR(A203="",C203="",E203=""),"",IF(B203="Rundrohr",PI()/4*(C203^2-(C203-2*E203)^2),IF(OR(B203="Quadratrohr",AND(B203="Rechteckrohr",D203&lt;&gt;"")),C203*IF(B203="Quadratrohr",C203,D203)-(C203-2*E203)*(IF(B203="Quadratrohr",C203,D203)-2*E203),"")))</f>
        <v/>
      </c>
      <c r="K203" s="34">
        <f>IF(A203="","",IF(F203&lt;&gt;"",F203,J203))</f>
        <v/>
      </c>
    </row>
    <row r="204">
      <c r="A204" s="9" t="n"/>
      <c r="B204" s="9" t="n"/>
      <c r="C204" s="49" t="n"/>
      <c r="D204" s="49" t="n"/>
      <c r="E204" s="50" t="n"/>
      <c r="F204" s="49" t="n"/>
      <c r="G204" s="24" t="n"/>
      <c r="H204" s="24" t="n"/>
      <c r="I204" s="9" t="n"/>
      <c r="J204" s="34">
        <f>IF(OR(A204="",C204="",E204=""),"",IF(B204="Rundrohr",PI()/4*(C204^2-(C204-2*E204)^2),IF(OR(B204="Quadratrohr",AND(B204="Rechteckrohr",D204&lt;&gt;"")),C204*IF(B204="Quadratrohr",C204,D204)-(C204-2*E204)*(IF(B204="Quadratrohr",C204,D204)-2*E204),"")))</f>
        <v/>
      </c>
      <c r="K204" s="34">
        <f>IF(A204="","",IF(F204&lt;&gt;"",F204,J204))</f>
        <v/>
      </c>
    </row>
    <row r="205">
      <c r="A205" s="9" t="n"/>
      <c r="B205" s="9" t="n"/>
      <c r="C205" s="49" t="n"/>
      <c r="D205" s="49" t="n"/>
      <c r="E205" s="50" t="n"/>
      <c r="F205" s="49" t="n"/>
      <c r="G205" s="24" t="n"/>
      <c r="H205" s="24" t="n"/>
      <c r="I205" s="9" t="n"/>
      <c r="J205" s="34">
        <f>IF(OR(A205="",C205="",E205=""),"",IF(B205="Rundrohr",PI()/4*(C205^2-(C205-2*E205)^2),IF(OR(B205="Quadratrohr",AND(B205="Rechteckrohr",D205&lt;&gt;"")),C205*IF(B205="Quadratrohr",C205,D205)-(C205-2*E205)*(IF(B205="Quadratrohr",C205,D205)-2*E205),"")))</f>
        <v/>
      </c>
      <c r="K205" s="34">
        <f>IF(A205="","",IF(F205&lt;&gt;"",F205,J205))</f>
        <v/>
      </c>
    </row>
    <row r="206">
      <c r="A206" s="9" t="n"/>
      <c r="B206" s="9" t="n"/>
      <c r="C206" s="49" t="n"/>
      <c r="D206" s="49" t="n"/>
      <c r="E206" s="50" t="n"/>
      <c r="F206" s="49" t="n"/>
      <c r="G206" s="24" t="n"/>
      <c r="H206" s="24" t="n"/>
      <c r="I206" s="9" t="n"/>
      <c r="J206" s="34">
        <f>IF(OR(A206="",C206="",E206=""),"",IF(B206="Rundrohr",PI()/4*(C206^2-(C206-2*E206)^2),IF(OR(B206="Quadratrohr",AND(B206="Rechteckrohr",D206&lt;&gt;"")),C206*IF(B206="Quadratrohr",C206,D206)-(C206-2*E206)*(IF(B206="Quadratrohr",C206,D206)-2*E206),"")))</f>
        <v/>
      </c>
      <c r="K206" s="34">
        <f>IF(A206="","",IF(F206&lt;&gt;"",F206,J206))</f>
        <v/>
      </c>
    </row>
    <row r="207">
      <c r="A207" s="9" t="n"/>
      <c r="B207" s="9" t="n"/>
      <c r="C207" s="49" t="n"/>
      <c r="D207" s="49" t="n"/>
      <c r="E207" s="50" t="n"/>
      <c r="F207" s="49" t="n"/>
      <c r="G207" s="24" t="n"/>
      <c r="H207" s="24" t="n"/>
      <c r="I207" s="9" t="n"/>
      <c r="J207" s="34">
        <f>IF(OR(A207="",C207="",E207=""),"",IF(B207="Rundrohr",PI()/4*(C207^2-(C207-2*E207)^2),IF(OR(B207="Quadratrohr",AND(B207="Rechteckrohr",D207&lt;&gt;"")),C207*IF(B207="Quadratrohr",C207,D207)-(C207-2*E207)*(IF(B207="Quadratrohr",C207,D207)-2*E207),"")))</f>
        <v/>
      </c>
      <c r="K207" s="34">
        <f>IF(A207="","",IF(F207&lt;&gt;"",F207,J207))</f>
        <v/>
      </c>
    </row>
    <row r="208">
      <c r="A208" s="9" t="n"/>
      <c r="B208" s="9" t="n"/>
      <c r="C208" s="49" t="n"/>
      <c r="D208" s="49" t="n"/>
      <c r="E208" s="50" t="n"/>
      <c r="F208" s="49" t="n"/>
      <c r="G208" s="24" t="n"/>
      <c r="H208" s="24" t="n"/>
      <c r="I208" s="9" t="n"/>
      <c r="J208" s="34">
        <f>IF(OR(A208="",C208="",E208=""),"",IF(B208="Rundrohr",PI()/4*(C208^2-(C208-2*E208)^2),IF(OR(B208="Quadratrohr",AND(B208="Rechteckrohr",D208&lt;&gt;"")),C208*IF(B208="Quadratrohr",C208,D208)-(C208-2*E208)*(IF(B208="Quadratrohr",C208,D208)-2*E208),"")))</f>
        <v/>
      </c>
      <c r="K208" s="34">
        <f>IF(A208="","",IF(F208&lt;&gt;"",F208,J208))</f>
        <v/>
      </c>
    </row>
    <row r="209">
      <c r="A209" s="9" t="n"/>
      <c r="B209" s="9" t="n"/>
      <c r="C209" s="49" t="n"/>
      <c r="D209" s="49" t="n"/>
      <c r="E209" s="50" t="n"/>
      <c r="F209" s="49" t="n"/>
      <c r="G209" s="24" t="n"/>
      <c r="H209" s="24" t="n"/>
      <c r="I209" s="9" t="n"/>
      <c r="J209" s="34">
        <f>IF(OR(A209="",C209="",E209=""),"",IF(B209="Rundrohr",PI()/4*(C209^2-(C209-2*E209)^2),IF(OR(B209="Quadratrohr",AND(B209="Rechteckrohr",D209&lt;&gt;"")),C209*IF(B209="Quadratrohr",C209,D209)-(C209-2*E209)*(IF(B209="Quadratrohr",C209,D209)-2*E209),"")))</f>
        <v/>
      </c>
      <c r="K209" s="34">
        <f>IF(A209="","",IF(F209&lt;&gt;"",F209,J209))</f>
        <v/>
      </c>
    </row>
    <row r="210">
      <c r="A210" s="9" t="n"/>
      <c r="B210" s="9" t="n"/>
      <c r="C210" s="49" t="n"/>
      <c r="D210" s="49" t="n"/>
      <c r="E210" s="50" t="n"/>
      <c r="F210" s="49" t="n"/>
      <c r="G210" s="24" t="n"/>
      <c r="H210" s="24" t="n"/>
      <c r="I210" s="9" t="n"/>
      <c r="J210" s="34">
        <f>IF(OR(A210="",C210="",E210=""),"",IF(B210="Rundrohr",PI()/4*(C210^2-(C210-2*E210)^2),IF(OR(B210="Quadratrohr",AND(B210="Rechteckrohr",D210&lt;&gt;"")),C210*IF(B210="Quadratrohr",C210,D210)-(C210-2*E210)*(IF(B210="Quadratrohr",C210,D210)-2*E210),"")))</f>
        <v/>
      </c>
      <c r="K210" s="34">
        <f>IF(A210="","",IF(F210&lt;&gt;"",F210,J210))</f>
        <v/>
      </c>
    </row>
    <row r="211">
      <c r="A211" s="9" t="n"/>
      <c r="B211" s="9" t="n"/>
      <c r="C211" s="49" t="n"/>
      <c r="D211" s="49" t="n"/>
      <c r="E211" s="50" t="n"/>
      <c r="F211" s="49" t="n"/>
      <c r="G211" s="24" t="n"/>
      <c r="H211" s="24" t="n"/>
      <c r="I211" s="9" t="n"/>
      <c r="J211" s="34">
        <f>IF(OR(A211="",C211="",E211=""),"",IF(B211="Rundrohr",PI()/4*(C211^2-(C211-2*E211)^2),IF(OR(B211="Quadratrohr",AND(B211="Rechteckrohr",D211&lt;&gt;"")),C211*IF(B211="Quadratrohr",C211,D211)-(C211-2*E211)*(IF(B211="Quadratrohr",C211,D211)-2*E211),"")))</f>
        <v/>
      </c>
      <c r="K211" s="34">
        <f>IF(A211="","",IF(F211&lt;&gt;"",F211,J211))</f>
        <v/>
      </c>
    </row>
    <row r="212">
      <c r="A212" s="9" t="n"/>
      <c r="B212" s="9" t="n"/>
      <c r="C212" s="49" t="n"/>
      <c r="D212" s="49" t="n"/>
      <c r="E212" s="50" t="n"/>
      <c r="F212" s="49" t="n"/>
      <c r="G212" s="24" t="n"/>
      <c r="H212" s="24" t="n"/>
      <c r="I212" s="9" t="n"/>
      <c r="J212" s="34">
        <f>IF(OR(A212="",C212="",E212=""),"",IF(B212="Rundrohr",PI()/4*(C212^2-(C212-2*E212)^2),IF(OR(B212="Quadratrohr",AND(B212="Rechteckrohr",D212&lt;&gt;"")),C212*IF(B212="Quadratrohr",C212,D212)-(C212-2*E212)*(IF(B212="Quadratrohr",C212,D212)-2*E212),"")))</f>
        <v/>
      </c>
      <c r="K212" s="34">
        <f>IF(A212="","",IF(F212&lt;&gt;"",F212,J212))</f>
        <v/>
      </c>
    </row>
    <row r="213">
      <c r="A213" s="9" t="n"/>
      <c r="B213" s="9" t="n"/>
      <c r="C213" s="49" t="n"/>
      <c r="D213" s="49" t="n"/>
      <c r="E213" s="50" t="n"/>
      <c r="F213" s="49" t="n"/>
      <c r="G213" s="24" t="n"/>
      <c r="H213" s="24" t="n"/>
      <c r="I213" s="9" t="n"/>
      <c r="J213" s="34">
        <f>IF(OR(A213="",C213="",E213=""),"",IF(B213="Rundrohr",PI()/4*(C213^2-(C213-2*E213)^2),IF(OR(B213="Quadratrohr",AND(B213="Rechteckrohr",D213&lt;&gt;"")),C213*IF(B213="Quadratrohr",C213,D213)-(C213-2*E213)*(IF(B213="Quadratrohr",C213,D213)-2*E213),"")))</f>
        <v/>
      </c>
      <c r="K213" s="34">
        <f>IF(A213="","",IF(F213&lt;&gt;"",F213,J213))</f>
        <v/>
      </c>
    </row>
    <row r="214">
      <c r="A214" s="9" t="n"/>
      <c r="B214" s="9" t="n"/>
      <c r="C214" s="49" t="n"/>
      <c r="D214" s="49" t="n"/>
      <c r="E214" s="50" t="n"/>
      <c r="F214" s="49" t="n"/>
      <c r="G214" s="24" t="n"/>
      <c r="H214" s="24" t="n"/>
      <c r="I214" s="9" t="n"/>
      <c r="J214" s="34">
        <f>IF(OR(A214="",C214="",E214=""),"",IF(B214="Rundrohr",PI()/4*(C214^2-(C214-2*E214)^2),IF(OR(B214="Quadratrohr",AND(B214="Rechteckrohr",D214&lt;&gt;"")),C214*IF(B214="Quadratrohr",C214,D214)-(C214-2*E214)*(IF(B214="Quadratrohr",C214,D214)-2*E214),"")))</f>
        <v/>
      </c>
      <c r="K214" s="34">
        <f>IF(A214="","",IF(F214&lt;&gt;"",F214,J214))</f>
        <v/>
      </c>
    </row>
    <row r="215">
      <c r="A215" s="9" t="n"/>
      <c r="B215" s="9" t="n"/>
      <c r="C215" s="49" t="n"/>
      <c r="D215" s="49" t="n"/>
      <c r="E215" s="50" t="n"/>
      <c r="F215" s="49" t="n"/>
      <c r="G215" s="24" t="n"/>
      <c r="H215" s="24" t="n"/>
      <c r="I215" s="9" t="n"/>
      <c r="J215" s="34">
        <f>IF(OR(A215="",C215="",E215=""),"",IF(B215="Rundrohr",PI()/4*(C215^2-(C215-2*E215)^2),IF(OR(B215="Quadratrohr",AND(B215="Rechteckrohr",D215&lt;&gt;"")),C215*IF(B215="Quadratrohr",C215,D215)-(C215-2*E215)*(IF(B215="Quadratrohr",C215,D215)-2*E215),"")))</f>
        <v/>
      </c>
      <c r="K215" s="34">
        <f>IF(A215="","",IF(F215&lt;&gt;"",F215,J215))</f>
        <v/>
      </c>
    </row>
    <row r="216">
      <c r="A216" s="9" t="n"/>
      <c r="B216" s="9" t="n"/>
      <c r="C216" s="49" t="n"/>
      <c r="D216" s="49" t="n"/>
      <c r="E216" s="50" t="n"/>
      <c r="F216" s="49" t="n"/>
      <c r="G216" s="24" t="n"/>
      <c r="H216" s="24" t="n"/>
      <c r="I216" s="9" t="n"/>
      <c r="J216" s="34">
        <f>IF(OR(A216="",C216="",E216=""),"",IF(B216="Rundrohr",PI()/4*(C216^2-(C216-2*E216)^2),IF(OR(B216="Quadratrohr",AND(B216="Rechteckrohr",D216&lt;&gt;"")),C216*IF(B216="Quadratrohr",C216,D216)-(C216-2*E216)*(IF(B216="Quadratrohr",C216,D216)-2*E216),"")))</f>
        <v/>
      </c>
      <c r="K216" s="34">
        <f>IF(A216="","",IF(F216&lt;&gt;"",F216,J216))</f>
        <v/>
      </c>
    </row>
    <row r="217">
      <c r="A217" s="9" t="n"/>
      <c r="B217" s="9" t="n"/>
      <c r="C217" s="49" t="n"/>
      <c r="D217" s="49" t="n"/>
      <c r="E217" s="50" t="n"/>
      <c r="F217" s="49" t="n"/>
      <c r="G217" s="24" t="n"/>
      <c r="H217" s="24" t="n"/>
      <c r="I217" s="9" t="n"/>
      <c r="J217" s="34">
        <f>IF(OR(A217="",C217="",E217=""),"",IF(B217="Rundrohr",PI()/4*(C217^2-(C217-2*E217)^2),IF(OR(B217="Quadratrohr",AND(B217="Rechteckrohr",D217&lt;&gt;"")),C217*IF(B217="Quadratrohr",C217,D217)-(C217-2*E217)*(IF(B217="Quadratrohr",C217,D217)-2*E217),"")))</f>
        <v/>
      </c>
      <c r="K217" s="34">
        <f>IF(A217="","",IF(F217&lt;&gt;"",F217,J217))</f>
        <v/>
      </c>
    </row>
    <row r="218">
      <c r="A218" s="9" t="n"/>
      <c r="B218" s="9" t="n"/>
      <c r="C218" s="49" t="n"/>
      <c r="D218" s="49" t="n"/>
      <c r="E218" s="50" t="n"/>
      <c r="F218" s="49" t="n"/>
      <c r="G218" s="24" t="n"/>
      <c r="H218" s="24" t="n"/>
      <c r="I218" s="9" t="n"/>
      <c r="J218" s="34">
        <f>IF(OR(A218="",C218="",E218=""),"",IF(B218="Rundrohr",PI()/4*(C218^2-(C218-2*E218)^2),IF(OR(B218="Quadratrohr",AND(B218="Rechteckrohr",D218&lt;&gt;"")),C218*IF(B218="Quadratrohr",C218,D218)-(C218-2*E218)*(IF(B218="Quadratrohr",C218,D218)-2*E218),"")))</f>
        <v/>
      </c>
      <c r="K218" s="34">
        <f>IF(A218="","",IF(F218&lt;&gt;"",F218,J218))</f>
        <v/>
      </c>
    </row>
    <row r="219">
      <c r="A219" s="9" t="n"/>
      <c r="B219" s="9" t="n"/>
      <c r="C219" s="49" t="n"/>
      <c r="D219" s="49" t="n"/>
      <c r="E219" s="50" t="n"/>
      <c r="F219" s="49" t="n"/>
      <c r="G219" s="24" t="n"/>
      <c r="H219" s="24" t="n"/>
      <c r="I219" s="9" t="n"/>
      <c r="J219" s="34">
        <f>IF(OR(A219="",C219="",E219=""),"",IF(B219="Rundrohr",PI()/4*(C219^2-(C219-2*E219)^2),IF(OR(B219="Quadratrohr",AND(B219="Rechteckrohr",D219&lt;&gt;"")),C219*IF(B219="Quadratrohr",C219,D219)-(C219-2*E219)*(IF(B219="Quadratrohr",C219,D219)-2*E219),"")))</f>
        <v/>
      </c>
      <c r="K219" s="34">
        <f>IF(A219="","",IF(F219&lt;&gt;"",F219,J219))</f>
        <v/>
      </c>
    </row>
    <row r="220">
      <c r="A220" s="9" t="n"/>
      <c r="B220" s="9" t="n"/>
      <c r="C220" s="49" t="n"/>
      <c r="D220" s="49" t="n"/>
      <c r="E220" s="50" t="n"/>
      <c r="F220" s="49" t="n"/>
      <c r="G220" s="24" t="n"/>
      <c r="H220" s="24" t="n"/>
      <c r="I220" s="9" t="n"/>
      <c r="J220" s="34">
        <f>IF(OR(A220="",C220="",E220=""),"",IF(B220="Rundrohr",PI()/4*(C220^2-(C220-2*E220)^2),IF(OR(B220="Quadratrohr",AND(B220="Rechteckrohr",D220&lt;&gt;"")),C220*IF(B220="Quadratrohr",C220,D220)-(C220-2*E220)*(IF(B220="Quadratrohr",C220,D220)-2*E220),"")))</f>
        <v/>
      </c>
      <c r="K220" s="34">
        <f>IF(A220="","",IF(F220&lt;&gt;"",F220,J220))</f>
        <v/>
      </c>
    </row>
    <row r="221">
      <c r="A221" s="9" t="n"/>
      <c r="B221" s="9" t="n"/>
      <c r="C221" s="49" t="n"/>
      <c r="D221" s="49" t="n"/>
      <c r="E221" s="50" t="n"/>
      <c r="F221" s="49" t="n"/>
      <c r="G221" s="24" t="n"/>
      <c r="H221" s="24" t="n"/>
      <c r="I221" s="9" t="n"/>
      <c r="J221" s="34">
        <f>IF(OR(A221="",C221="",E221=""),"",IF(B221="Rundrohr",PI()/4*(C221^2-(C221-2*E221)^2),IF(OR(B221="Quadratrohr",AND(B221="Rechteckrohr",D221&lt;&gt;"")),C221*IF(B221="Quadratrohr",C221,D221)-(C221-2*E221)*(IF(B221="Quadratrohr",C221,D221)-2*E221),"")))</f>
        <v/>
      </c>
      <c r="K221" s="34">
        <f>IF(A221="","",IF(F221&lt;&gt;"",F221,J221))</f>
        <v/>
      </c>
    </row>
    <row r="222">
      <c r="A222" s="9" t="n"/>
      <c r="B222" s="9" t="n"/>
      <c r="C222" s="49" t="n"/>
      <c r="D222" s="49" t="n"/>
      <c r="E222" s="50" t="n"/>
      <c r="F222" s="49" t="n"/>
      <c r="G222" s="24" t="n"/>
      <c r="H222" s="24" t="n"/>
      <c r="I222" s="9" t="n"/>
      <c r="J222" s="34">
        <f>IF(OR(A222="",C222="",E222=""),"",IF(B222="Rundrohr",PI()/4*(C222^2-(C222-2*E222)^2),IF(OR(B222="Quadratrohr",AND(B222="Rechteckrohr",D222&lt;&gt;"")),C222*IF(B222="Quadratrohr",C222,D222)-(C222-2*E222)*(IF(B222="Quadratrohr",C222,D222)-2*E222),"")))</f>
        <v/>
      </c>
      <c r="K222" s="34">
        <f>IF(A222="","",IF(F222&lt;&gt;"",F222,J222))</f>
        <v/>
      </c>
    </row>
    <row r="223">
      <c r="A223" s="9" t="n"/>
      <c r="B223" s="9" t="n"/>
      <c r="C223" s="49" t="n"/>
      <c r="D223" s="49" t="n"/>
      <c r="E223" s="50" t="n"/>
      <c r="F223" s="49" t="n"/>
      <c r="G223" s="24" t="n"/>
      <c r="H223" s="24" t="n"/>
      <c r="I223" s="9" t="n"/>
      <c r="J223" s="34">
        <f>IF(OR(A223="",C223="",E223=""),"",IF(B223="Rundrohr",PI()/4*(C223^2-(C223-2*E223)^2),IF(OR(B223="Quadratrohr",AND(B223="Rechteckrohr",D223&lt;&gt;"")),C223*IF(B223="Quadratrohr",C223,D223)-(C223-2*E223)*(IF(B223="Quadratrohr",C223,D223)-2*E223),"")))</f>
        <v/>
      </c>
      <c r="K223" s="34">
        <f>IF(A223="","",IF(F223&lt;&gt;"",F223,J223))</f>
        <v/>
      </c>
    </row>
    <row r="224">
      <c r="A224" s="9" t="n"/>
      <c r="B224" s="9" t="n"/>
      <c r="C224" s="49" t="n"/>
      <c r="D224" s="49" t="n"/>
      <c r="E224" s="50" t="n"/>
      <c r="F224" s="49" t="n"/>
      <c r="G224" s="24" t="n"/>
      <c r="H224" s="24" t="n"/>
      <c r="I224" s="9" t="n"/>
      <c r="J224" s="34">
        <f>IF(OR(A224="",C224="",E224=""),"",IF(B224="Rundrohr",PI()/4*(C224^2-(C224-2*E224)^2),IF(OR(B224="Quadratrohr",AND(B224="Rechteckrohr",D224&lt;&gt;"")),C224*IF(B224="Quadratrohr",C224,D224)-(C224-2*E224)*(IF(B224="Quadratrohr",C224,D224)-2*E224),"")))</f>
        <v/>
      </c>
      <c r="K224" s="34">
        <f>IF(A224="","",IF(F224&lt;&gt;"",F224,J224))</f>
        <v/>
      </c>
    </row>
    <row r="225">
      <c r="A225" s="9" t="n"/>
      <c r="B225" s="9" t="n"/>
      <c r="C225" s="49" t="n"/>
      <c r="D225" s="49" t="n"/>
      <c r="E225" s="50" t="n"/>
      <c r="F225" s="49" t="n"/>
      <c r="G225" s="24" t="n"/>
      <c r="H225" s="24" t="n"/>
      <c r="I225" s="9" t="n"/>
      <c r="J225" s="34">
        <f>IF(OR(A225="",C225="",E225=""),"",IF(B225="Rundrohr",PI()/4*(C225^2-(C225-2*E225)^2),IF(OR(B225="Quadratrohr",AND(B225="Rechteckrohr",D225&lt;&gt;"")),C225*IF(B225="Quadratrohr",C225,D225)-(C225-2*E225)*(IF(B225="Quadratrohr",C225,D225)-2*E225),"")))</f>
        <v/>
      </c>
      <c r="K225" s="34">
        <f>IF(A225="","",IF(F225&lt;&gt;"",F225,J225))</f>
        <v/>
      </c>
    </row>
    <row r="226">
      <c r="A226" s="9" t="n"/>
      <c r="B226" s="9" t="n"/>
      <c r="C226" s="49" t="n"/>
      <c r="D226" s="49" t="n"/>
      <c r="E226" s="50" t="n"/>
      <c r="F226" s="49" t="n"/>
      <c r="G226" s="24" t="n"/>
      <c r="H226" s="24" t="n"/>
      <c r="I226" s="9" t="n"/>
      <c r="J226" s="34">
        <f>IF(OR(A226="",C226="",E226=""),"",IF(B226="Rundrohr",PI()/4*(C226^2-(C226-2*E226)^2),IF(OR(B226="Quadratrohr",AND(B226="Rechteckrohr",D226&lt;&gt;"")),C226*IF(B226="Quadratrohr",C226,D226)-(C226-2*E226)*(IF(B226="Quadratrohr",C226,D226)-2*E226),"")))</f>
        <v/>
      </c>
      <c r="K226" s="34">
        <f>IF(A226="","",IF(F226&lt;&gt;"",F226,J226))</f>
        <v/>
      </c>
    </row>
    <row r="227">
      <c r="A227" s="9" t="n"/>
      <c r="B227" s="9" t="n"/>
      <c r="C227" s="49" t="n"/>
      <c r="D227" s="49" t="n"/>
      <c r="E227" s="50" t="n"/>
      <c r="F227" s="49" t="n"/>
      <c r="G227" s="24" t="n"/>
      <c r="H227" s="24" t="n"/>
      <c r="I227" s="9" t="n"/>
      <c r="J227" s="34">
        <f>IF(OR(A227="",C227="",E227=""),"",IF(B227="Rundrohr",PI()/4*(C227^2-(C227-2*E227)^2),IF(OR(B227="Quadratrohr",AND(B227="Rechteckrohr",D227&lt;&gt;"")),C227*IF(B227="Quadratrohr",C227,D227)-(C227-2*E227)*(IF(B227="Quadratrohr",C227,D227)-2*E227),"")))</f>
        <v/>
      </c>
      <c r="K227" s="34">
        <f>IF(A227="","",IF(F227&lt;&gt;"",F227,J227))</f>
        <v/>
      </c>
    </row>
    <row r="228">
      <c r="A228" s="9" t="n"/>
      <c r="B228" s="9" t="n"/>
      <c r="C228" s="49" t="n"/>
      <c r="D228" s="49" t="n"/>
      <c r="E228" s="50" t="n"/>
      <c r="F228" s="49" t="n"/>
      <c r="G228" s="24" t="n"/>
      <c r="H228" s="24" t="n"/>
      <c r="I228" s="9" t="n"/>
      <c r="J228" s="34">
        <f>IF(OR(A228="",C228="",E228=""),"",IF(B228="Rundrohr",PI()/4*(C228^2-(C228-2*E228)^2),IF(OR(B228="Quadratrohr",AND(B228="Rechteckrohr",D228&lt;&gt;"")),C228*IF(B228="Quadratrohr",C228,D228)-(C228-2*E228)*(IF(B228="Quadratrohr",C228,D228)-2*E228),"")))</f>
        <v/>
      </c>
      <c r="K228" s="34">
        <f>IF(A228="","",IF(F228&lt;&gt;"",F228,J228))</f>
        <v/>
      </c>
    </row>
    <row r="229">
      <c r="A229" s="9" t="n"/>
      <c r="B229" s="9" t="n"/>
      <c r="C229" s="49" t="n"/>
      <c r="D229" s="49" t="n"/>
      <c r="E229" s="50" t="n"/>
      <c r="F229" s="49" t="n"/>
      <c r="G229" s="24" t="n"/>
      <c r="H229" s="24" t="n"/>
      <c r="I229" s="9" t="n"/>
      <c r="J229" s="34">
        <f>IF(OR(A229="",C229="",E229=""),"",IF(B229="Rundrohr",PI()/4*(C229^2-(C229-2*E229)^2),IF(OR(B229="Quadratrohr",AND(B229="Rechteckrohr",D229&lt;&gt;"")),C229*IF(B229="Quadratrohr",C229,D229)-(C229-2*E229)*(IF(B229="Quadratrohr",C229,D229)-2*E229),"")))</f>
        <v/>
      </c>
      <c r="K229" s="34">
        <f>IF(A229="","",IF(F229&lt;&gt;"",F229,J229))</f>
        <v/>
      </c>
    </row>
    <row r="230">
      <c r="A230" s="9" t="n"/>
      <c r="B230" s="9" t="n"/>
      <c r="C230" s="49" t="n"/>
      <c r="D230" s="49" t="n"/>
      <c r="E230" s="50" t="n"/>
      <c r="F230" s="49" t="n"/>
      <c r="G230" s="24" t="n"/>
      <c r="H230" s="24" t="n"/>
      <c r="I230" s="9" t="n"/>
      <c r="J230" s="34">
        <f>IF(OR(A230="",C230="",E230=""),"",IF(B230="Rundrohr",PI()/4*(C230^2-(C230-2*E230)^2),IF(OR(B230="Quadratrohr",AND(B230="Rechteckrohr",D230&lt;&gt;"")),C230*IF(B230="Quadratrohr",C230,D230)-(C230-2*E230)*(IF(B230="Quadratrohr",C230,D230)-2*E230),"")))</f>
        <v/>
      </c>
      <c r="K230" s="34">
        <f>IF(A230="","",IF(F230&lt;&gt;"",F230,J230))</f>
        <v/>
      </c>
    </row>
    <row r="231">
      <c r="A231" s="9" t="n"/>
      <c r="B231" s="9" t="n"/>
      <c r="C231" s="49" t="n"/>
      <c r="D231" s="49" t="n"/>
      <c r="E231" s="50" t="n"/>
      <c r="F231" s="49" t="n"/>
      <c r="G231" s="24" t="n"/>
      <c r="H231" s="24" t="n"/>
      <c r="I231" s="9" t="n"/>
      <c r="J231" s="34">
        <f>IF(OR(A231="",C231="",E231=""),"",IF(B231="Rundrohr",PI()/4*(C231^2-(C231-2*E231)^2),IF(OR(B231="Quadratrohr",AND(B231="Rechteckrohr",D231&lt;&gt;"")),C231*IF(B231="Quadratrohr",C231,D231)-(C231-2*E231)*(IF(B231="Quadratrohr",C231,D231)-2*E231),"")))</f>
        <v/>
      </c>
      <c r="K231" s="34">
        <f>IF(A231="","",IF(F231&lt;&gt;"",F231,J231))</f>
        <v/>
      </c>
    </row>
    <row r="232">
      <c r="A232" s="9" t="n"/>
      <c r="B232" s="9" t="n"/>
      <c r="C232" s="49" t="n"/>
      <c r="D232" s="49" t="n"/>
      <c r="E232" s="50" t="n"/>
      <c r="F232" s="49" t="n"/>
      <c r="G232" s="24" t="n"/>
      <c r="H232" s="24" t="n"/>
      <c r="I232" s="9" t="n"/>
      <c r="J232" s="34">
        <f>IF(OR(A232="",C232="",E232=""),"",IF(B232="Rundrohr",PI()/4*(C232^2-(C232-2*E232)^2),IF(OR(B232="Quadratrohr",AND(B232="Rechteckrohr",D232&lt;&gt;"")),C232*IF(B232="Quadratrohr",C232,D232)-(C232-2*E232)*(IF(B232="Quadratrohr",C232,D232)-2*E232),"")))</f>
        <v/>
      </c>
      <c r="K232" s="34">
        <f>IF(A232="","",IF(F232&lt;&gt;"",F232,J232))</f>
        <v/>
      </c>
    </row>
    <row r="233">
      <c r="A233" s="9" t="n"/>
      <c r="B233" s="9" t="n"/>
      <c r="C233" s="49" t="n"/>
      <c r="D233" s="49" t="n"/>
      <c r="E233" s="50" t="n"/>
      <c r="F233" s="49" t="n"/>
      <c r="G233" s="24" t="n"/>
      <c r="H233" s="24" t="n"/>
      <c r="I233" s="9" t="n"/>
      <c r="J233" s="34">
        <f>IF(OR(A233="",C233="",E233=""),"",IF(B233="Rundrohr",PI()/4*(C233^2-(C233-2*E233)^2),IF(OR(B233="Quadratrohr",AND(B233="Rechteckrohr",D233&lt;&gt;"")),C233*IF(B233="Quadratrohr",C233,D233)-(C233-2*E233)*(IF(B233="Quadratrohr",C233,D233)-2*E233),"")))</f>
        <v/>
      </c>
      <c r="K233" s="34">
        <f>IF(A233="","",IF(F233&lt;&gt;"",F233,J233))</f>
        <v/>
      </c>
    </row>
    <row r="234">
      <c r="A234" s="9" t="n"/>
      <c r="B234" s="9" t="n"/>
      <c r="C234" s="49" t="n"/>
      <c r="D234" s="49" t="n"/>
      <c r="E234" s="50" t="n"/>
      <c r="F234" s="49" t="n"/>
      <c r="G234" s="24" t="n"/>
      <c r="H234" s="24" t="n"/>
      <c r="I234" s="9" t="n"/>
      <c r="J234" s="34">
        <f>IF(OR(A234="",C234="",E234=""),"",IF(B234="Rundrohr",PI()/4*(C234^2-(C234-2*E234)^2),IF(OR(B234="Quadratrohr",AND(B234="Rechteckrohr",D234&lt;&gt;"")),C234*IF(B234="Quadratrohr",C234,D234)-(C234-2*E234)*(IF(B234="Quadratrohr",C234,D234)-2*E234),"")))</f>
        <v/>
      </c>
      <c r="K234" s="34">
        <f>IF(A234="","",IF(F234&lt;&gt;"",F234,J234))</f>
        <v/>
      </c>
    </row>
    <row r="235">
      <c r="A235" s="9" t="n"/>
      <c r="B235" s="9" t="n"/>
      <c r="C235" s="49" t="n"/>
      <c r="D235" s="49" t="n"/>
      <c r="E235" s="50" t="n"/>
      <c r="F235" s="49" t="n"/>
      <c r="G235" s="24" t="n"/>
      <c r="H235" s="24" t="n"/>
      <c r="I235" s="9" t="n"/>
      <c r="J235" s="34">
        <f>IF(OR(A235="",C235="",E235=""),"",IF(B235="Rundrohr",PI()/4*(C235^2-(C235-2*E235)^2),IF(OR(B235="Quadratrohr",AND(B235="Rechteckrohr",D235&lt;&gt;"")),C235*IF(B235="Quadratrohr",C235,D235)-(C235-2*E235)*(IF(B235="Quadratrohr",C235,D235)-2*E235),"")))</f>
        <v/>
      </c>
      <c r="K235" s="34">
        <f>IF(A235="","",IF(F235&lt;&gt;"",F235,J235))</f>
        <v/>
      </c>
    </row>
    <row r="236">
      <c r="A236" s="9" t="n"/>
      <c r="B236" s="9" t="n"/>
      <c r="C236" s="49" t="n"/>
      <c r="D236" s="49" t="n"/>
      <c r="E236" s="50" t="n"/>
      <c r="F236" s="49" t="n"/>
      <c r="G236" s="24" t="n"/>
      <c r="H236" s="24" t="n"/>
      <c r="I236" s="9" t="n"/>
      <c r="J236" s="34">
        <f>IF(OR(A236="",C236="",E236=""),"",IF(B236="Rundrohr",PI()/4*(C236^2-(C236-2*E236)^2),IF(OR(B236="Quadratrohr",AND(B236="Rechteckrohr",D236&lt;&gt;"")),C236*IF(B236="Quadratrohr",C236,D236)-(C236-2*E236)*(IF(B236="Quadratrohr",C236,D236)-2*E236),"")))</f>
        <v/>
      </c>
      <c r="K236" s="34">
        <f>IF(A236="","",IF(F236&lt;&gt;"",F236,J236))</f>
        <v/>
      </c>
    </row>
    <row r="237">
      <c r="A237" s="9" t="n"/>
      <c r="B237" s="9" t="n"/>
      <c r="C237" s="49" t="n"/>
      <c r="D237" s="49" t="n"/>
      <c r="E237" s="50" t="n"/>
      <c r="F237" s="49" t="n"/>
      <c r="G237" s="24" t="n"/>
      <c r="H237" s="24" t="n"/>
      <c r="I237" s="9" t="n"/>
      <c r="J237" s="34">
        <f>IF(OR(A237="",C237="",E237=""),"",IF(B237="Rundrohr",PI()/4*(C237^2-(C237-2*E237)^2),IF(OR(B237="Quadratrohr",AND(B237="Rechteckrohr",D237&lt;&gt;"")),C237*IF(B237="Quadratrohr",C237,D237)-(C237-2*E237)*(IF(B237="Quadratrohr",C237,D237)-2*E237),"")))</f>
        <v/>
      </c>
      <c r="K237" s="34">
        <f>IF(A237="","",IF(F237&lt;&gt;"",F237,J237))</f>
        <v/>
      </c>
    </row>
    <row r="238">
      <c r="A238" s="9" t="n"/>
      <c r="B238" s="9" t="n"/>
      <c r="C238" s="49" t="n"/>
      <c r="D238" s="49" t="n"/>
      <c r="E238" s="50" t="n"/>
      <c r="F238" s="49" t="n"/>
      <c r="G238" s="24" t="n"/>
      <c r="H238" s="24" t="n"/>
      <c r="I238" s="9" t="n"/>
      <c r="J238" s="34">
        <f>IF(OR(A238="",C238="",E238=""),"",IF(B238="Rundrohr",PI()/4*(C238^2-(C238-2*E238)^2),IF(OR(B238="Quadratrohr",AND(B238="Rechteckrohr",D238&lt;&gt;"")),C238*IF(B238="Quadratrohr",C238,D238)-(C238-2*E238)*(IF(B238="Quadratrohr",C238,D238)-2*E238),"")))</f>
        <v/>
      </c>
      <c r="K238" s="34">
        <f>IF(A238="","",IF(F238&lt;&gt;"",F238,J238))</f>
        <v/>
      </c>
    </row>
    <row r="239">
      <c r="A239" s="9" t="n"/>
      <c r="B239" s="9" t="n"/>
      <c r="C239" s="49" t="n"/>
      <c r="D239" s="49" t="n"/>
      <c r="E239" s="50" t="n"/>
      <c r="F239" s="49" t="n"/>
      <c r="G239" s="24" t="n"/>
      <c r="H239" s="24" t="n"/>
      <c r="I239" s="9" t="n"/>
      <c r="J239" s="34">
        <f>IF(OR(A239="",C239="",E239=""),"",IF(B239="Rundrohr",PI()/4*(C239^2-(C239-2*E239)^2),IF(OR(B239="Quadratrohr",AND(B239="Rechteckrohr",D239&lt;&gt;"")),C239*IF(B239="Quadratrohr",C239,D239)-(C239-2*E239)*(IF(B239="Quadratrohr",C239,D239)-2*E239),"")))</f>
        <v/>
      </c>
      <c r="K239" s="34">
        <f>IF(A239="","",IF(F239&lt;&gt;"",F239,J239))</f>
        <v/>
      </c>
    </row>
    <row r="240">
      <c r="A240" s="9" t="n"/>
      <c r="B240" s="9" t="n"/>
      <c r="C240" s="49" t="n"/>
      <c r="D240" s="49" t="n"/>
      <c r="E240" s="50" t="n"/>
      <c r="F240" s="49" t="n"/>
      <c r="G240" s="24" t="n"/>
      <c r="H240" s="24" t="n"/>
      <c r="I240" s="9" t="n"/>
      <c r="J240" s="34">
        <f>IF(OR(A240="",C240="",E240=""),"",IF(B240="Rundrohr",PI()/4*(C240^2-(C240-2*E240)^2),IF(OR(B240="Quadratrohr",AND(B240="Rechteckrohr",D240&lt;&gt;"")),C240*IF(B240="Quadratrohr",C240,D240)-(C240-2*E240)*(IF(B240="Quadratrohr",C240,D240)-2*E240),"")))</f>
        <v/>
      </c>
      <c r="K240" s="34">
        <f>IF(A240="","",IF(F240&lt;&gt;"",F240,J240))</f>
        <v/>
      </c>
    </row>
    <row r="241">
      <c r="A241" s="9" t="n"/>
      <c r="B241" s="9" t="n"/>
      <c r="C241" s="49" t="n"/>
      <c r="D241" s="49" t="n"/>
      <c r="E241" s="50" t="n"/>
      <c r="F241" s="49" t="n"/>
      <c r="G241" s="24" t="n"/>
      <c r="H241" s="24" t="n"/>
      <c r="I241" s="9" t="n"/>
      <c r="J241" s="34">
        <f>IF(OR(A241="",C241="",E241=""),"",IF(B241="Rundrohr",PI()/4*(C241^2-(C241-2*E241)^2),IF(OR(B241="Quadratrohr",AND(B241="Rechteckrohr",D241&lt;&gt;"")),C241*IF(B241="Quadratrohr",C241,D241)-(C241-2*E241)*(IF(B241="Quadratrohr",C241,D241)-2*E241),"")))</f>
        <v/>
      </c>
      <c r="K241" s="34">
        <f>IF(A241="","",IF(F241&lt;&gt;"",F241,J241))</f>
        <v/>
      </c>
    </row>
    <row r="242">
      <c r="A242" s="9" t="n"/>
      <c r="B242" s="9" t="n"/>
      <c r="C242" s="49" t="n"/>
      <c r="D242" s="49" t="n"/>
      <c r="E242" s="50" t="n"/>
      <c r="F242" s="49" t="n"/>
      <c r="G242" s="24" t="n"/>
      <c r="H242" s="24" t="n"/>
      <c r="I242" s="9" t="n"/>
      <c r="J242" s="34">
        <f>IF(OR(A242="",C242="",E242=""),"",IF(B242="Rundrohr",PI()/4*(C242^2-(C242-2*E242)^2),IF(OR(B242="Quadratrohr",AND(B242="Rechteckrohr",D242&lt;&gt;"")),C242*IF(B242="Quadratrohr",C242,D242)-(C242-2*E242)*(IF(B242="Quadratrohr",C242,D242)-2*E242),"")))</f>
        <v/>
      </c>
      <c r="K242" s="34">
        <f>IF(A242="","",IF(F242&lt;&gt;"",F242,J242))</f>
        <v/>
      </c>
    </row>
    <row r="243">
      <c r="A243" s="9" t="n"/>
      <c r="B243" s="9" t="n"/>
      <c r="C243" s="49" t="n"/>
      <c r="D243" s="49" t="n"/>
      <c r="E243" s="50" t="n"/>
      <c r="F243" s="49" t="n"/>
      <c r="G243" s="24" t="n"/>
      <c r="H243" s="24" t="n"/>
      <c r="I243" s="9" t="n"/>
      <c r="J243" s="34">
        <f>IF(OR(A243="",C243="",E243=""),"",IF(B243="Rundrohr",PI()/4*(C243^2-(C243-2*E243)^2),IF(OR(B243="Quadratrohr",AND(B243="Rechteckrohr",D243&lt;&gt;"")),C243*IF(B243="Quadratrohr",C243,D243)-(C243-2*E243)*(IF(B243="Quadratrohr",C243,D243)-2*E243),"")))</f>
        <v/>
      </c>
      <c r="K243" s="34">
        <f>IF(A243="","",IF(F243&lt;&gt;"",F243,J243))</f>
        <v/>
      </c>
    </row>
    <row r="244">
      <c r="A244" s="9" t="n"/>
      <c r="B244" s="9" t="n"/>
      <c r="C244" s="49" t="n"/>
      <c r="D244" s="49" t="n"/>
      <c r="E244" s="50" t="n"/>
      <c r="F244" s="49" t="n"/>
      <c r="G244" s="24" t="n"/>
      <c r="H244" s="24" t="n"/>
      <c r="I244" s="9" t="n"/>
      <c r="J244" s="34">
        <f>IF(OR(A244="",C244="",E244=""),"",IF(B244="Rundrohr",PI()/4*(C244^2-(C244-2*E244)^2),IF(OR(B244="Quadratrohr",AND(B244="Rechteckrohr",D244&lt;&gt;"")),C244*IF(B244="Quadratrohr",C244,D244)-(C244-2*E244)*(IF(B244="Quadratrohr",C244,D244)-2*E244),"")))</f>
        <v/>
      </c>
      <c r="K244" s="34">
        <f>IF(A244="","",IF(F244&lt;&gt;"",F244,J244))</f>
        <v/>
      </c>
    </row>
    <row r="245">
      <c r="A245" s="9" t="n"/>
      <c r="B245" s="9" t="n"/>
      <c r="C245" s="49" t="n"/>
      <c r="D245" s="49" t="n"/>
      <c r="E245" s="50" t="n"/>
      <c r="F245" s="49" t="n"/>
      <c r="G245" s="24" t="n"/>
      <c r="H245" s="24" t="n"/>
      <c r="I245" s="9" t="n"/>
      <c r="J245" s="34">
        <f>IF(OR(A245="",C245="",E245=""),"",IF(B245="Rundrohr",PI()/4*(C245^2-(C245-2*E245)^2),IF(OR(B245="Quadratrohr",AND(B245="Rechteckrohr",D245&lt;&gt;"")),C245*IF(B245="Quadratrohr",C245,D245)-(C245-2*E245)*(IF(B245="Quadratrohr",C245,D245)-2*E245),"")))</f>
        <v/>
      </c>
      <c r="K245" s="34">
        <f>IF(A245="","",IF(F245&lt;&gt;"",F245,J245))</f>
        <v/>
      </c>
    </row>
    <row r="246">
      <c r="A246" s="9" t="n"/>
      <c r="B246" s="9" t="n"/>
      <c r="C246" s="49" t="n"/>
      <c r="D246" s="49" t="n"/>
      <c r="E246" s="50" t="n"/>
      <c r="F246" s="49" t="n"/>
      <c r="G246" s="24" t="n"/>
      <c r="H246" s="24" t="n"/>
      <c r="I246" s="9" t="n"/>
      <c r="J246" s="34">
        <f>IF(OR(A246="",C246="",E246=""),"",IF(B246="Rundrohr",PI()/4*(C246^2-(C246-2*E246)^2),IF(OR(B246="Quadratrohr",AND(B246="Rechteckrohr",D246&lt;&gt;"")),C246*IF(B246="Quadratrohr",C246,D246)-(C246-2*E246)*(IF(B246="Quadratrohr",C246,D246)-2*E246),"")))</f>
        <v/>
      </c>
      <c r="K246" s="34">
        <f>IF(A246="","",IF(F246&lt;&gt;"",F246,J246))</f>
        <v/>
      </c>
    </row>
    <row r="247">
      <c r="A247" s="9" t="n"/>
      <c r="B247" s="9" t="n"/>
      <c r="C247" s="49" t="n"/>
      <c r="D247" s="49" t="n"/>
      <c r="E247" s="50" t="n"/>
      <c r="F247" s="49" t="n"/>
      <c r="G247" s="24" t="n"/>
      <c r="H247" s="24" t="n"/>
      <c r="I247" s="9" t="n"/>
      <c r="J247" s="34">
        <f>IF(OR(A247="",C247="",E247=""),"",IF(B247="Rundrohr",PI()/4*(C247^2-(C247-2*E247)^2),IF(OR(B247="Quadratrohr",AND(B247="Rechteckrohr",D247&lt;&gt;"")),C247*IF(B247="Quadratrohr",C247,D247)-(C247-2*E247)*(IF(B247="Quadratrohr",C247,D247)-2*E247),"")))</f>
        <v/>
      </c>
      <c r="K247" s="34">
        <f>IF(A247="","",IF(F247&lt;&gt;"",F247,J247))</f>
        <v/>
      </c>
    </row>
    <row r="248">
      <c r="A248" s="9" t="n"/>
      <c r="B248" s="9" t="n"/>
      <c r="C248" s="49" t="n"/>
      <c r="D248" s="49" t="n"/>
      <c r="E248" s="50" t="n"/>
      <c r="F248" s="49" t="n"/>
      <c r="G248" s="24" t="n"/>
      <c r="H248" s="24" t="n"/>
      <c r="I248" s="9" t="n"/>
      <c r="J248" s="34">
        <f>IF(OR(A248="",C248="",E248=""),"",IF(B248="Rundrohr",PI()/4*(C248^2-(C248-2*E248)^2),IF(OR(B248="Quadratrohr",AND(B248="Rechteckrohr",D248&lt;&gt;"")),C248*IF(B248="Quadratrohr",C248,D248)-(C248-2*E248)*(IF(B248="Quadratrohr",C248,D248)-2*E248),"")))</f>
        <v/>
      </c>
      <c r="K248" s="34">
        <f>IF(A248="","",IF(F248&lt;&gt;"",F248,J248))</f>
        <v/>
      </c>
    </row>
    <row r="249">
      <c r="A249" s="9" t="n"/>
      <c r="B249" s="9" t="n"/>
      <c r="C249" s="49" t="n"/>
      <c r="D249" s="49" t="n"/>
      <c r="E249" s="50" t="n"/>
      <c r="F249" s="49" t="n"/>
      <c r="G249" s="24" t="n"/>
      <c r="H249" s="24" t="n"/>
      <c r="I249" s="9" t="n"/>
      <c r="J249" s="34">
        <f>IF(OR(A249="",C249="",E249=""),"",IF(B249="Rundrohr",PI()/4*(C249^2-(C249-2*E249)^2),IF(OR(B249="Quadratrohr",AND(B249="Rechteckrohr",D249&lt;&gt;"")),C249*IF(B249="Quadratrohr",C249,D249)-(C249-2*E249)*(IF(B249="Quadratrohr",C249,D249)-2*E249),"")))</f>
        <v/>
      </c>
      <c r="K249" s="34">
        <f>IF(A249="","",IF(F249&lt;&gt;"",F249,J249))</f>
        <v/>
      </c>
    </row>
    <row r="250">
      <c r="A250" s="9" t="n"/>
      <c r="B250" s="9" t="n"/>
      <c r="C250" s="49" t="n"/>
      <c r="D250" s="49" t="n"/>
      <c r="E250" s="50" t="n"/>
      <c r="F250" s="49" t="n"/>
      <c r="G250" s="24" t="n"/>
      <c r="H250" s="24" t="n"/>
      <c r="I250" s="9" t="n"/>
      <c r="J250" s="34">
        <f>IF(OR(A250="",C250="",E250=""),"",IF(B250="Rundrohr",PI()/4*(C250^2-(C250-2*E250)^2),IF(OR(B250="Quadratrohr",AND(B250="Rechteckrohr",D250&lt;&gt;"")),C250*IF(B250="Quadratrohr",C250,D250)-(C250-2*E250)*(IF(B250="Quadratrohr",C250,D250)-2*E250),"")))</f>
        <v/>
      </c>
      <c r="K250" s="34">
        <f>IF(A250="","",IF(F250&lt;&gt;"",F250,J250))</f>
        <v/>
      </c>
    </row>
    <row r="251">
      <c r="A251" s="9" t="n"/>
      <c r="B251" s="9" t="n"/>
      <c r="C251" s="49" t="n"/>
      <c r="D251" s="49" t="n"/>
      <c r="E251" s="50" t="n"/>
      <c r="F251" s="49" t="n"/>
      <c r="G251" s="24" t="n"/>
      <c r="H251" s="24" t="n"/>
      <c r="I251" s="9" t="n"/>
      <c r="J251" s="34">
        <f>IF(OR(A251="",C251="",E251=""),"",IF(B251="Rundrohr",PI()/4*(C251^2-(C251-2*E251)^2),IF(OR(B251="Quadratrohr",AND(B251="Rechteckrohr",D251&lt;&gt;"")),C251*IF(B251="Quadratrohr",C251,D251)-(C251-2*E251)*(IF(B251="Quadratrohr",C251,D251)-2*E251),"")))</f>
        <v/>
      </c>
      <c r="K251" s="34">
        <f>IF(A251="","",IF(F251&lt;&gt;"",F251,J251))</f>
        <v/>
      </c>
    </row>
    <row r="252">
      <c r="A252" s="9" t="n"/>
      <c r="B252" s="9" t="n"/>
      <c r="C252" s="49" t="n"/>
      <c r="D252" s="49" t="n"/>
      <c r="E252" s="50" t="n"/>
      <c r="F252" s="49" t="n"/>
      <c r="G252" s="24" t="n"/>
      <c r="H252" s="24" t="n"/>
      <c r="I252" s="9" t="n"/>
      <c r="J252" s="34">
        <f>IF(OR(A252="",C252="",E252=""),"",IF(B252="Rundrohr",PI()/4*(C252^2-(C252-2*E252)^2),IF(OR(B252="Quadratrohr",AND(B252="Rechteckrohr",D252&lt;&gt;"")),C252*IF(B252="Quadratrohr",C252,D252)-(C252-2*E252)*(IF(B252="Quadratrohr",C252,D252)-2*E252),"")))</f>
        <v/>
      </c>
      <c r="K252" s="34">
        <f>IF(A252="","",IF(F252&lt;&gt;"",F252,J252))</f>
        <v/>
      </c>
    </row>
    <row r="253">
      <c r="A253" s="9" t="n"/>
      <c r="B253" s="9" t="n"/>
      <c r="C253" s="49" t="n"/>
      <c r="D253" s="49" t="n"/>
      <c r="E253" s="50" t="n"/>
      <c r="F253" s="49" t="n"/>
      <c r="G253" s="24" t="n"/>
      <c r="H253" s="24" t="n"/>
      <c r="I253" s="9" t="n"/>
      <c r="J253" s="34">
        <f>IF(OR(A253="",C253="",E253=""),"",IF(B253="Rundrohr",PI()/4*(C253^2-(C253-2*E253)^2),IF(OR(B253="Quadratrohr",AND(B253="Rechteckrohr",D253&lt;&gt;"")),C253*IF(B253="Quadratrohr",C253,D253)-(C253-2*E253)*(IF(B253="Quadratrohr",C253,D253)-2*E253),"")))</f>
        <v/>
      </c>
      <c r="K253" s="34">
        <f>IF(A253="","",IF(F253&lt;&gt;"",F253,J253))</f>
        <v/>
      </c>
    </row>
    <row r="254">
      <c r="A254" s="9" t="n"/>
      <c r="B254" s="9" t="n"/>
      <c r="C254" s="49" t="n"/>
      <c r="D254" s="49" t="n"/>
      <c r="E254" s="50" t="n"/>
      <c r="F254" s="49" t="n"/>
      <c r="G254" s="24" t="n"/>
      <c r="H254" s="24" t="n"/>
      <c r="I254" s="9" t="n"/>
      <c r="J254" s="34">
        <f>IF(OR(A254="",C254="",E254=""),"",IF(B254="Rundrohr",PI()/4*(C254^2-(C254-2*E254)^2),IF(OR(B254="Quadratrohr",AND(B254="Rechteckrohr",D254&lt;&gt;"")),C254*IF(B254="Quadratrohr",C254,D254)-(C254-2*E254)*(IF(B254="Quadratrohr",C254,D254)-2*E254),"")))</f>
        <v/>
      </c>
      <c r="K254" s="34">
        <f>IF(A254="","",IF(F254&lt;&gt;"",F254,J254))</f>
        <v/>
      </c>
    </row>
    <row r="255">
      <c r="A255" s="9" t="n"/>
      <c r="B255" s="9" t="n"/>
      <c r="C255" s="49" t="n"/>
      <c r="D255" s="49" t="n"/>
      <c r="E255" s="50" t="n"/>
      <c r="F255" s="49" t="n"/>
      <c r="G255" s="24" t="n"/>
      <c r="H255" s="24" t="n"/>
      <c r="I255" s="9" t="n"/>
      <c r="J255" s="34">
        <f>IF(OR(A255="",C255="",E255=""),"",IF(B255="Rundrohr",PI()/4*(C255^2-(C255-2*E255)^2),IF(OR(B255="Quadratrohr",AND(B255="Rechteckrohr",D255&lt;&gt;"")),C255*IF(B255="Quadratrohr",C255,D255)-(C255-2*E255)*(IF(B255="Quadratrohr",C255,D255)-2*E255),"")))</f>
        <v/>
      </c>
      <c r="K255" s="34">
        <f>IF(A255="","",IF(F255&lt;&gt;"",F255,J255))</f>
        <v/>
      </c>
    </row>
    <row r="256">
      <c r="A256" s="9" t="n"/>
      <c r="B256" s="9" t="n"/>
      <c r="C256" s="49" t="n"/>
      <c r="D256" s="49" t="n"/>
      <c r="E256" s="50" t="n"/>
      <c r="F256" s="49" t="n"/>
      <c r="G256" s="24" t="n"/>
      <c r="H256" s="24" t="n"/>
      <c r="I256" s="9" t="n"/>
      <c r="J256" s="34">
        <f>IF(OR(A256="",C256="",E256=""),"",IF(B256="Rundrohr",PI()/4*(C256^2-(C256-2*E256)^2),IF(OR(B256="Quadratrohr",AND(B256="Rechteckrohr",D256&lt;&gt;"")),C256*IF(B256="Quadratrohr",C256,D256)-(C256-2*E256)*(IF(B256="Quadratrohr",C256,D256)-2*E256),"")))</f>
        <v/>
      </c>
      <c r="K256" s="34">
        <f>IF(A256="","",IF(F256&lt;&gt;"",F256,J256))</f>
        <v/>
      </c>
    </row>
    <row r="257">
      <c r="A257" s="9" t="n"/>
      <c r="B257" s="9" t="n"/>
      <c r="C257" s="49" t="n"/>
      <c r="D257" s="49" t="n"/>
      <c r="E257" s="50" t="n"/>
      <c r="F257" s="49" t="n"/>
      <c r="G257" s="24" t="n"/>
      <c r="H257" s="24" t="n"/>
      <c r="I257" s="9" t="n"/>
      <c r="J257" s="34">
        <f>IF(OR(A257="",C257="",E257=""),"",IF(B257="Rundrohr",PI()/4*(C257^2-(C257-2*E257)^2),IF(OR(B257="Quadratrohr",AND(B257="Rechteckrohr",D257&lt;&gt;"")),C257*IF(B257="Quadratrohr",C257,D257)-(C257-2*E257)*(IF(B257="Quadratrohr",C257,D257)-2*E257),"")))</f>
        <v/>
      </c>
      <c r="K257" s="34">
        <f>IF(A257="","",IF(F257&lt;&gt;"",F257,J257))</f>
        <v/>
      </c>
    </row>
    <row r="258">
      <c r="A258" s="9" t="n"/>
      <c r="B258" s="9" t="n"/>
      <c r="C258" s="49" t="n"/>
      <c r="D258" s="49" t="n"/>
      <c r="E258" s="50" t="n"/>
      <c r="F258" s="49" t="n"/>
      <c r="G258" s="24" t="n"/>
      <c r="H258" s="24" t="n"/>
      <c r="I258" s="9" t="n"/>
      <c r="J258" s="34">
        <f>IF(OR(A258="",C258="",E258=""),"",IF(B258="Rundrohr",PI()/4*(C258^2-(C258-2*E258)^2),IF(OR(B258="Quadratrohr",AND(B258="Rechteckrohr",D258&lt;&gt;"")),C258*IF(B258="Quadratrohr",C258,D258)-(C258-2*E258)*(IF(B258="Quadratrohr",C258,D258)-2*E258),"")))</f>
        <v/>
      </c>
      <c r="K258" s="34">
        <f>IF(A258="","",IF(F258&lt;&gt;"",F258,J258))</f>
        <v/>
      </c>
    </row>
    <row r="259">
      <c r="A259" s="9" t="n"/>
      <c r="B259" s="9" t="n"/>
      <c r="C259" s="49" t="n"/>
      <c r="D259" s="49" t="n"/>
      <c r="E259" s="50" t="n"/>
      <c r="F259" s="49" t="n"/>
      <c r="G259" s="24" t="n"/>
      <c r="H259" s="24" t="n"/>
      <c r="I259" s="9" t="n"/>
      <c r="J259" s="34">
        <f>IF(OR(A259="",C259="",E259=""),"",IF(B259="Rundrohr",PI()/4*(C259^2-(C259-2*E259)^2),IF(OR(B259="Quadratrohr",AND(B259="Rechteckrohr",D259&lt;&gt;"")),C259*IF(B259="Quadratrohr",C259,D259)-(C259-2*E259)*(IF(B259="Quadratrohr",C259,D259)-2*E259),"")))</f>
        <v/>
      </c>
      <c r="K259" s="34">
        <f>IF(A259="","",IF(F259&lt;&gt;"",F259,J259))</f>
        <v/>
      </c>
    </row>
    <row r="260">
      <c r="A260" s="9" t="n"/>
      <c r="B260" s="9" t="n"/>
      <c r="C260" s="49" t="n"/>
      <c r="D260" s="49" t="n"/>
      <c r="E260" s="50" t="n"/>
      <c r="F260" s="49" t="n"/>
      <c r="G260" s="24" t="n"/>
      <c r="H260" s="24" t="n"/>
      <c r="I260" s="9" t="n"/>
      <c r="J260" s="34">
        <f>IF(OR(A260="",C260="",E260=""),"",IF(B260="Rundrohr",PI()/4*(C260^2-(C260-2*E260)^2),IF(OR(B260="Quadratrohr",AND(B260="Rechteckrohr",D260&lt;&gt;"")),C260*IF(B260="Quadratrohr",C260,D260)-(C260-2*E260)*(IF(B260="Quadratrohr",C260,D260)-2*E260),"")))</f>
        <v/>
      </c>
      <c r="K260" s="34">
        <f>IF(A260="","",IF(F260&lt;&gt;"",F260,J260))</f>
        <v/>
      </c>
    </row>
    <row r="261">
      <c r="A261" s="9" t="n"/>
      <c r="B261" s="9" t="n"/>
      <c r="C261" s="49" t="n"/>
      <c r="D261" s="49" t="n"/>
      <c r="E261" s="50" t="n"/>
      <c r="F261" s="49" t="n"/>
      <c r="G261" s="24" t="n"/>
      <c r="H261" s="24" t="n"/>
      <c r="I261" s="9" t="n"/>
      <c r="J261" s="34">
        <f>IF(OR(A261="",C261="",E261=""),"",IF(B261="Rundrohr",PI()/4*(C261^2-(C261-2*E261)^2),IF(OR(B261="Quadratrohr",AND(B261="Rechteckrohr",D261&lt;&gt;"")),C261*IF(B261="Quadratrohr",C261,D261)-(C261-2*E261)*(IF(B261="Quadratrohr",C261,D261)-2*E261),"")))</f>
        <v/>
      </c>
      <c r="K261" s="34">
        <f>IF(A261="","",IF(F261&lt;&gt;"",F261,J261))</f>
        <v/>
      </c>
    </row>
    <row r="262">
      <c r="A262" s="9" t="n"/>
      <c r="B262" s="9" t="n"/>
      <c r="C262" s="49" t="n"/>
      <c r="D262" s="49" t="n"/>
      <c r="E262" s="50" t="n"/>
      <c r="F262" s="49" t="n"/>
      <c r="G262" s="24" t="n"/>
      <c r="H262" s="24" t="n"/>
      <c r="I262" s="9" t="n"/>
      <c r="J262" s="34">
        <f>IF(OR(A262="",C262="",E262=""),"",IF(B262="Rundrohr",PI()/4*(C262^2-(C262-2*E262)^2),IF(OR(B262="Quadratrohr",AND(B262="Rechteckrohr",D262&lt;&gt;"")),C262*IF(B262="Quadratrohr",C262,D262)-(C262-2*E262)*(IF(B262="Quadratrohr",C262,D262)-2*E262),"")))</f>
        <v/>
      </c>
      <c r="K262" s="34">
        <f>IF(A262="","",IF(F262&lt;&gt;"",F262,J262))</f>
        <v/>
      </c>
    </row>
    <row r="263">
      <c r="A263" s="9" t="n"/>
      <c r="B263" s="9" t="n"/>
      <c r="C263" s="49" t="n"/>
      <c r="D263" s="49" t="n"/>
      <c r="E263" s="50" t="n"/>
      <c r="F263" s="49" t="n"/>
      <c r="G263" s="24" t="n"/>
      <c r="H263" s="24" t="n"/>
      <c r="I263" s="9" t="n"/>
      <c r="J263" s="34">
        <f>IF(OR(A263="",C263="",E263=""),"",IF(B263="Rundrohr",PI()/4*(C263^2-(C263-2*E263)^2),IF(OR(B263="Quadratrohr",AND(B263="Rechteckrohr",D263&lt;&gt;"")),C263*IF(B263="Quadratrohr",C263,D263)-(C263-2*E263)*(IF(B263="Quadratrohr",C263,D263)-2*E263),"")))</f>
        <v/>
      </c>
      <c r="K263" s="34">
        <f>IF(A263="","",IF(F263&lt;&gt;"",F263,J263))</f>
        <v/>
      </c>
    </row>
    <row r="264">
      <c r="A264" s="9" t="n"/>
      <c r="B264" s="9" t="n"/>
      <c r="C264" s="49" t="n"/>
      <c r="D264" s="49" t="n"/>
      <c r="E264" s="50" t="n"/>
      <c r="F264" s="49" t="n"/>
      <c r="G264" s="24" t="n"/>
      <c r="H264" s="24" t="n"/>
      <c r="I264" s="9" t="n"/>
      <c r="J264" s="34">
        <f>IF(OR(A264="",C264="",E264=""),"",IF(B264="Rundrohr",PI()/4*(C264^2-(C264-2*E264)^2),IF(OR(B264="Quadratrohr",AND(B264="Rechteckrohr",D264&lt;&gt;"")),C264*IF(B264="Quadratrohr",C264,D264)-(C264-2*E264)*(IF(B264="Quadratrohr",C264,D264)-2*E264),"")))</f>
        <v/>
      </c>
      <c r="K264" s="34">
        <f>IF(A264="","",IF(F264&lt;&gt;"",F264,J264))</f>
        <v/>
      </c>
    </row>
    <row r="265">
      <c r="A265" s="9" t="n"/>
      <c r="B265" s="9" t="n"/>
      <c r="C265" s="49" t="n"/>
      <c r="D265" s="49" t="n"/>
      <c r="E265" s="50" t="n"/>
      <c r="F265" s="49" t="n"/>
      <c r="G265" s="24" t="n"/>
      <c r="H265" s="24" t="n"/>
      <c r="I265" s="9" t="n"/>
      <c r="J265" s="34">
        <f>IF(OR(A265="",C265="",E265=""),"",IF(B265="Rundrohr",PI()/4*(C265^2-(C265-2*E265)^2),IF(OR(B265="Quadratrohr",AND(B265="Rechteckrohr",D265&lt;&gt;"")),C265*IF(B265="Quadratrohr",C265,D265)-(C265-2*E265)*(IF(B265="Quadratrohr",C265,D265)-2*E265),"")))</f>
        <v/>
      </c>
      <c r="K265" s="34">
        <f>IF(A265="","",IF(F265&lt;&gt;"",F265,J265))</f>
        <v/>
      </c>
    </row>
    <row r="266">
      <c r="A266" s="9" t="n"/>
      <c r="B266" s="9" t="n"/>
      <c r="C266" s="49" t="n"/>
      <c r="D266" s="49" t="n"/>
      <c r="E266" s="50" t="n"/>
      <c r="F266" s="49" t="n"/>
      <c r="G266" s="24" t="n"/>
      <c r="H266" s="24" t="n"/>
      <c r="I266" s="9" t="n"/>
      <c r="J266" s="34">
        <f>IF(OR(A266="",C266="",E266=""),"",IF(B266="Rundrohr",PI()/4*(C266^2-(C266-2*E266)^2),IF(OR(B266="Quadratrohr",AND(B266="Rechteckrohr",D266&lt;&gt;"")),C266*IF(B266="Quadratrohr",C266,D266)-(C266-2*E266)*(IF(B266="Quadratrohr",C266,D266)-2*E266),"")))</f>
        <v/>
      </c>
      <c r="K266" s="34">
        <f>IF(A266="","",IF(F266&lt;&gt;"",F266,J266))</f>
        <v/>
      </c>
    </row>
    <row r="267">
      <c r="A267" s="9" t="n"/>
      <c r="B267" s="9" t="n"/>
      <c r="C267" s="49" t="n"/>
      <c r="D267" s="49" t="n"/>
      <c r="E267" s="50" t="n"/>
      <c r="F267" s="49" t="n"/>
      <c r="G267" s="24" t="n"/>
      <c r="H267" s="24" t="n"/>
      <c r="I267" s="9" t="n"/>
      <c r="J267" s="34">
        <f>IF(OR(A267="",C267="",E267=""),"",IF(B267="Rundrohr",PI()/4*(C267^2-(C267-2*E267)^2),IF(OR(B267="Quadratrohr",AND(B267="Rechteckrohr",D267&lt;&gt;"")),C267*IF(B267="Quadratrohr",C267,D267)-(C267-2*E267)*(IF(B267="Quadratrohr",C267,D267)-2*E267),"")))</f>
        <v/>
      </c>
      <c r="K267" s="34">
        <f>IF(A267="","",IF(F267&lt;&gt;"",F267,J267))</f>
        <v/>
      </c>
    </row>
    <row r="268">
      <c r="A268" s="9" t="n"/>
      <c r="B268" s="9" t="n"/>
      <c r="C268" s="49" t="n"/>
      <c r="D268" s="49" t="n"/>
      <c r="E268" s="50" t="n"/>
      <c r="F268" s="49" t="n"/>
      <c r="G268" s="24" t="n"/>
      <c r="H268" s="24" t="n"/>
      <c r="I268" s="9" t="n"/>
      <c r="J268" s="34">
        <f>IF(OR(A268="",C268="",E268=""),"",IF(B268="Rundrohr",PI()/4*(C268^2-(C268-2*E268)^2),IF(OR(B268="Quadratrohr",AND(B268="Rechteckrohr",D268&lt;&gt;"")),C268*IF(B268="Quadratrohr",C268,D268)-(C268-2*E268)*(IF(B268="Quadratrohr",C268,D268)-2*E268),"")))</f>
        <v/>
      </c>
      <c r="K268" s="34">
        <f>IF(A268="","",IF(F268&lt;&gt;"",F268,J268))</f>
        <v/>
      </c>
    </row>
    <row r="269">
      <c r="A269" s="9" t="n"/>
      <c r="B269" s="9" t="n"/>
      <c r="C269" s="49" t="n"/>
      <c r="D269" s="49" t="n"/>
      <c r="E269" s="50" t="n"/>
      <c r="F269" s="49" t="n"/>
      <c r="G269" s="24" t="n"/>
      <c r="H269" s="24" t="n"/>
      <c r="I269" s="9" t="n"/>
      <c r="J269" s="34">
        <f>IF(OR(A269="",C269="",E269=""),"",IF(B269="Rundrohr",PI()/4*(C269^2-(C269-2*E269)^2),IF(OR(B269="Quadratrohr",AND(B269="Rechteckrohr",D269&lt;&gt;"")),C269*IF(B269="Quadratrohr",C269,D269)-(C269-2*E269)*(IF(B269="Quadratrohr",C269,D269)-2*E269),"")))</f>
        <v/>
      </c>
      <c r="K269" s="34">
        <f>IF(A269="","",IF(F269&lt;&gt;"",F269,J269))</f>
        <v/>
      </c>
    </row>
    <row r="270">
      <c r="A270" s="9" t="n"/>
      <c r="B270" s="9" t="n"/>
      <c r="C270" s="49" t="n"/>
      <c r="D270" s="49" t="n"/>
      <c r="E270" s="50" t="n"/>
      <c r="F270" s="49" t="n"/>
      <c r="G270" s="24" t="n"/>
      <c r="H270" s="24" t="n"/>
      <c r="I270" s="9" t="n"/>
      <c r="J270" s="34">
        <f>IF(OR(A270="",C270="",E270=""),"",IF(B270="Rundrohr",PI()/4*(C270^2-(C270-2*E270)^2),IF(OR(B270="Quadratrohr",AND(B270="Rechteckrohr",D270&lt;&gt;"")),C270*IF(B270="Quadratrohr",C270,D270)-(C270-2*E270)*(IF(B270="Quadratrohr",C270,D270)-2*E270),"")))</f>
        <v/>
      </c>
      <c r="K270" s="34">
        <f>IF(A270="","",IF(F270&lt;&gt;"",F270,J270))</f>
        <v/>
      </c>
    </row>
    <row r="271">
      <c r="A271" s="9" t="n"/>
      <c r="B271" s="9" t="n"/>
      <c r="C271" s="49" t="n"/>
      <c r="D271" s="49" t="n"/>
      <c r="E271" s="50" t="n"/>
      <c r="F271" s="49" t="n"/>
      <c r="G271" s="24" t="n"/>
      <c r="H271" s="24" t="n"/>
      <c r="I271" s="9" t="n"/>
      <c r="J271" s="34">
        <f>IF(OR(A271="",C271="",E271=""),"",IF(B271="Rundrohr",PI()/4*(C271^2-(C271-2*E271)^2),IF(OR(B271="Quadratrohr",AND(B271="Rechteckrohr",D271&lt;&gt;"")),C271*IF(B271="Quadratrohr",C271,D271)-(C271-2*E271)*(IF(B271="Quadratrohr",C271,D271)-2*E271),"")))</f>
        <v/>
      </c>
      <c r="K271" s="34">
        <f>IF(A271="","",IF(F271&lt;&gt;"",F271,J271))</f>
        <v/>
      </c>
    </row>
    <row r="272">
      <c r="A272" s="9" t="n"/>
      <c r="B272" s="9" t="n"/>
      <c r="C272" s="49" t="n"/>
      <c r="D272" s="49" t="n"/>
      <c r="E272" s="50" t="n"/>
      <c r="F272" s="49" t="n"/>
      <c r="G272" s="24" t="n"/>
      <c r="H272" s="24" t="n"/>
      <c r="I272" s="9" t="n"/>
      <c r="J272" s="34">
        <f>IF(OR(A272="",C272="",E272=""),"",IF(B272="Rundrohr",PI()/4*(C272^2-(C272-2*E272)^2),IF(OR(B272="Quadratrohr",AND(B272="Rechteckrohr",D272&lt;&gt;"")),C272*IF(B272="Quadratrohr",C272,D272)-(C272-2*E272)*(IF(B272="Quadratrohr",C272,D272)-2*E272),"")))</f>
        <v/>
      </c>
      <c r="K272" s="34">
        <f>IF(A272="","",IF(F272&lt;&gt;"",F272,J272))</f>
        <v/>
      </c>
    </row>
    <row r="273">
      <c r="A273" s="9" t="n"/>
      <c r="B273" s="9" t="n"/>
      <c r="C273" s="49" t="n"/>
      <c r="D273" s="49" t="n"/>
      <c r="E273" s="50" t="n"/>
      <c r="F273" s="49" t="n"/>
      <c r="G273" s="24" t="n"/>
      <c r="H273" s="24" t="n"/>
      <c r="I273" s="9" t="n"/>
      <c r="J273" s="34">
        <f>IF(OR(A273="",C273="",E273=""),"",IF(B273="Rundrohr",PI()/4*(C273^2-(C273-2*E273)^2),IF(OR(B273="Quadratrohr",AND(B273="Rechteckrohr",D273&lt;&gt;"")),C273*IF(B273="Quadratrohr",C273,D273)-(C273-2*E273)*(IF(B273="Quadratrohr",C273,D273)-2*E273),"")))</f>
        <v/>
      </c>
      <c r="K273" s="34">
        <f>IF(A273="","",IF(F273&lt;&gt;"",F273,J273))</f>
        <v/>
      </c>
    </row>
    <row r="274">
      <c r="A274" s="9" t="n"/>
      <c r="B274" s="9" t="n"/>
      <c r="C274" s="49" t="n"/>
      <c r="D274" s="49" t="n"/>
      <c r="E274" s="50" t="n"/>
      <c r="F274" s="49" t="n"/>
      <c r="G274" s="24" t="n"/>
      <c r="H274" s="24" t="n"/>
      <c r="I274" s="9" t="n"/>
      <c r="J274" s="34">
        <f>IF(OR(A274="",C274="",E274=""),"",IF(B274="Rundrohr",PI()/4*(C274^2-(C274-2*E274)^2),IF(OR(B274="Quadratrohr",AND(B274="Rechteckrohr",D274&lt;&gt;"")),C274*IF(B274="Quadratrohr",C274,D274)-(C274-2*E274)*(IF(B274="Quadratrohr",C274,D274)-2*E274),"")))</f>
        <v/>
      </c>
      <c r="K274" s="34">
        <f>IF(A274="","",IF(F274&lt;&gt;"",F274,J274))</f>
        <v/>
      </c>
    </row>
    <row r="275">
      <c r="A275" s="9" t="n"/>
      <c r="B275" s="9" t="n"/>
      <c r="C275" s="49" t="n"/>
      <c r="D275" s="49" t="n"/>
      <c r="E275" s="50" t="n"/>
      <c r="F275" s="49" t="n"/>
      <c r="G275" s="24" t="n"/>
      <c r="H275" s="24" t="n"/>
      <c r="I275" s="9" t="n"/>
      <c r="J275" s="34">
        <f>IF(OR(A275="",C275="",E275=""),"",IF(B275="Rundrohr",PI()/4*(C275^2-(C275-2*E275)^2),IF(OR(B275="Quadratrohr",AND(B275="Rechteckrohr",D275&lt;&gt;"")),C275*IF(B275="Quadratrohr",C275,D275)-(C275-2*E275)*(IF(B275="Quadratrohr",C275,D275)-2*E275),"")))</f>
        <v/>
      </c>
      <c r="K275" s="34">
        <f>IF(A275="","",IF(F275&lt;&gt;"",F275,J275))</f>
        <v/>
      </c>
    </row>
    <row r="276">
      <c r="A276" s="9" t="n"/>
      <c r="B276" s="9" t="n"/>
      <c r="C276" s="49" t="n"/>
      <c r="D276" s="49" t="n"/>
      <c r="E276" s="50" t="n"/>
      <c r="F276" s="49" t="n"/>
      <c r="G276" s="24" t="n"/>
      <c r="H276" s="24" t="n"/>
      <c r="I276" s="9" t="n"/>
      <c r="J276" s="34">
        <f>IF(OR(A276="",C276="",E276=""),"",IF(B276="Rundrohr",PI()/4*(C276^2-(C276-2*E276)^2),IF(OR(B276="Quadratrohr",AND(B276="Rechteckrohr",D276&lt;&gt;"")),C276*IF(B276="Quadratrohr",C276,D276)-(C276-2*E276)*(IF(B276="Quadratrohr",C276,D276)-2*E276),"")))</f>
        <v/>
      </c>
      <c r="K276" s="34">
        <f>IF(A276="","",IF(F276&lt;&gt;"",F276,J276))</f>
        <v/>
      </c>
    </row>
    <row r="277">
      <c r="A277" s="9" t="n"/>
      <c r="B277" s="9" t="n"/>
      <c r="C277" s="49" t="n"/>
      <c r="D277" s="49" t="n"/>
      <c r="E277" s="50" t="n"/>
      <c r="F277" s="49" t="n"/>
      <c r="G277" s="24" t="n"/>
      <c r="H277" s="24" t="n"/>
      <c r="I277" s="9" t="n"/>
      <c r="J277" s="34">
        <f>IF(OR(A277="",C277="",E277=""),"",IF(B277="Rundrohr",PI()/4*(C277^2-(C277-2*E277)^2),IF(OR(B277="Quadratrohr",AND(B277="Rechteckrohr",D277&lt;&gt;"")),C277*IF(B277="Quadratrohr",C277,D277)-(C277-2*E277)*(IF(B277="Quadratrohr",C277,D277)-2*E277),"")))</f>
        <v/>
      </c>
      <c r="K277" s="34">
        <f>IF(A277="","",IF(F277&lt;&gt;"",F277,J277))</f>
        <v/>
      </c>
    </row>
    <row r="278">
      <c r="A278" s="9" t="n"/>
      <c r="B278" s="9" t="n"/>
      <c r="C278" s="49" t="n"/>
      <c r="D278" s="49" t="n"/>
      <c r="E278" s="50" t="n"/>
      <c r="F278" s="49" t="n"/>
      <c r="G278" s="24" t="n"/>
      <c r="H278" s="24" t="n"/>
      <c r="I278" s="9" t="n"/>
      <c r="J278" s="34">
        <f>IF(OR(A278="",C278="",E278=""),"",IF(B278="Rundrohr",PI()/4*(C278^2-(C278-2*E278)^2),IF(OR(B278="Quadratrohr",AND(B278="Rechteckrohr",D278&lt;&gt;"")),C278*IF(B278="Quadratrohr",C278,D278)-(C278-2*E278)*(IF(B278="Quadratrohr",C278,D278)-2*E278),"")))</f>
        <v/>
      </c>
      <c r="K278" s="34">
        <f>IF(A278="","",IF(F278&lt;&gt;"",F278,J278))</f>
        <v/>
      </c>
    </row>
    <row r="279">
      <c r="A279" s="9" t="n"/>
      <c r="B279" s="9" t="n"/>
      <c r="C279" s="49" t="n"/>
      <c r="D279" s="49" t="n"/>
      <c r="E279" s="50" t="n"/>
      <c r="F279" s="49" t="n"/>
      <c r="G279" s="24" t="n"/>
      <c r="H279" s="24" t="n"/>
      <c r="I279" s="9" t="n"/>
      <c r="J279" s="34">
        <f>IF(OR(A279="",C279="",E279=""),"",IF(B279="Rundrohr",PI()/4*(C279^2-(C279-2*E279)^2),IF(OR(B279="Quadratrohr",AND(B279="Rechteckrohr",D279&lt;&gt;"")),C279*IF(B279="Quadratrohr",C279,D279)-(C279-2*E279)*(IF(B279="Quadratrohr",C279,D279)-2*E279),"")))</f>
        <v/>
      </c>
      <c r="K279" s="34">
        <f>IF(A279="","",IF(F279&lt;&gt;"",F279,J279))</f>
        <v/>
      </c>
    </row>
    <row r="280">
      <c r="A280" s="9" t="n"/>
      <c r="B280" s="9" t="n"/>
      <c r="C280" s="49" t="n"/>
      <c r="D280" s="49" t="n"/>
      <c r="E280" s="50" t="n"/>
      <c r="F280" s="49" t="n"/>
      <c r="G280" s="24" t="n"/>
      <c r="H280" s="24" t="n"/>
      <c r="I280" s="9" t="n"/>
      <c r="J280" s="34">
        <f>IF(OR(A280="",C280="",E280=""),"",IF(B280="Rundrohr",PI()/4*(C280^2-(C280-2*E280)^2),IF(OR(B280="Quadratrohr",AND(B280="Rechteckrohr",D280&lt;&gt;"")),C280*IF(B280="Quadratrohr",C280,D280)-(C280-2*E280)*(IF(B280="Quadratrohr",C280,D280)-2*E280),"")))</f>
        <v/>
      </c>
      <c r="K280" s="34">
        <f>IF(A280="","",IF(F280&lt;&gt;"",F280,J280))</f>
        <v/>
      </c>
    </row>
    <row r="281">
      <c r="A281" s="9" t="n"/>
      <c r="B281" s="9" t="n"/>
      <c r="C281" s="49" t="n"/>
      <c r="D281" s="49" t="n"/>
      <c r="E281" s="50" t="n"/>
      <c r="F281" s="49" t="n"/>
      <c r="G281" s="24" t="n"/>
      <c r="H281" s="24" t="n"/>
      <c r="I281" s="9" t="n"/>
      <c r="J281" s="34">
        <f>IF(OR(A281="",C281="",E281=""),"",IF(B281="Rundrohr",PI()/4*(C281^2-(C281-2*E281)^2),IF(OR(B281="Quadratrohr",AND(B281="Rechteckrohr",D281&lt;&gt;"")),C281*IF(B281="Quadratrohr",C281,D281)-(C281-2*E281)*(IF(B281="Quadratrohr",C281,D281)-2*E281),"")))</f>
        <v/>
      </c>
      <c r="K281" s="34">
        <f>IF(A281="","",IF(F281&lt;&gt;"",F281,J281))</f>
        <v/>
      </c>
    </row>
    <row r="282">
      <c r="A282" s="9" t="n"/>
      <c r="B282" s="9" t="n"/>
      <c r="C282" s="49" t="n"/>
      <c r="D282" s="49" t="n"/>
      <c r="E282" s="50" t="n"/>
      <c r="F282" s="49" t="n"/>
      <c r="G282" s="24" t="n"/>
      <c r="H282" s="24" t="n"/>
      <c r="I282" s="9" t="n"/>
      <c r="J282" s="34">
        <f>IF(OR(A282="",C282="",E282=""),"",IF(B282="Rundrohr",PI()/4*(C282^2-(C282-2*E282)^2),IF(OR(B282="Quadratrohr",AND(B282="Rechteckrohr",D282&lt;&gt;"")),C282*IF(B282="Quadratrohr",C282,D282)-(C282-2*E282)*(IF(B282="Quadratrohr",C282,D282)-2*E282),"")))</f>
        <v/>
      </c>
      <c r="K282" s="34">
        <f>IF(A282="","",IF(F282&lt;&gt;"",F282,J282))</f>
        <v/>
      </c>
    </row>
    <row r="283">
      <c r="A283" s="9" t="n"/>
      <c r="B283" s="9" t="n"/>
      <c r="C283" s="49" t="n"/>
      <c r="D283" s="49" t="n"/>
      <c r="E283" s="50" t="n"/>
      <c r="F283" s="49" t="n"/>
      <c r="G283" s="24" t="n"/>
      <c r="H283" s="24" t="n"/>
      <c r="I283" s="9" t="n"/>
      <c r="J283" s="34">
        <f>IF(OR(A283="",C283="",E283=""),"",IF(B283="Rundrohr",PI()/4*(C283^2-(C283-2*E283)^2),IF(OR(B283="Quadratrohr",AND(B283="Rechteckrohr",D283&lt;&gt;"")),C283*IF(B283="Quadratrohr",C283,D283)-(C283-2*E283)*(IF(B283="Quadratrohr",C283,D283)-2*E283),"")))</f>
        <v/>
      </c>
      <c r="K283" s="34">
        <f>IF(A283="","",IF(F283&lt;&gt;"",F283,J283))</f>
        <v/>
      </c>
    </row>
    <row r="284">
      <c r="A284" s="9" t="n"/>
      <c r="B284" s="9" t="n"/>
      <c r="C284" s="49" t="n"/>
      <c r="D284" s="49" t="n"/>
      <c r="E284" s="50" t="n"/>
      <c r="F284" s="49" t="n"/>
      <c r="G284" s="24" t="n"/>
      <c r="H284" s="24" t="n"/>
      <c r="I284" s="9" t="n"/>
      <c r="J284" s="34">
        <f>IF(OR(A284="",C284="",E284=""),"",IF(B284="Rundrohr",PI()/4*(C284^2-(C284-2*E284)^2),IF(OR(B284="Quadratrohr",AND(B284="Rechteckrohr",D284&lt;&gt;"")),C284*IF(B284="Quadratrohr",C284,D284)-(C284-2*E284)*(IF(B284="Quadratrohr",C284,D284)-2*E284),"")))</f>
        <v/>
      </c>
      <c r="K284" s="34">
        <f>IF(A284="","",IF(F284&lt;&gt;"",F284,J284))</f>
        <v/>
      </c>
    </row>
    <row r="285">
      <c r="A285" s="9" t="n"/>
      <c r="B285" s="9" t="n"/>
      <c r="C285" s="49" t="n"/>
      <c r="D285" s="49" t="n"/>
      <c r="E285" s="50" t="n"/>
      <c r="F285" s="49" t="n"/>
      <c r="G285" s="24" t="n"/>
      <c r="H285" s="24" t="n"/>
      <c r="I285" s="9" t="n"/>
      <c r="J285" s="34">
        <f>IF(OR(A285="",C285="",E285=""),"",IF(B285="Rundrohr",PI()/4*(C285^2-(C285-2*E285)^2),IF(OR(B285="Quadratrohr",AND(B285="Rechteckrohr",D285&lt;&gt;"")),C285*IF(B285="Quadratrohr",C285,D285)-(C285-2*E285)*(IF(B285="Quadratrohr",C285,D285)-2*E285),"")))</f>
        <v/>
      </c>
      <c r="K285" s="34">
        <f>IF(A285="","",IF(F285&lt;&gt;"",F285,J285))</f>
        <v/>
      </c>
    </row>
    <row r="286">
      <c r="A286" s="9" t="n"/>
      <c r="B286" s="9" t="n"/>
      <c r="C286" s="49" t="n"/>
      <c r="D286" s="49" t="n"/>
      <c r="E286" s="50" t="n"/>
      <c r="F286" s="49" t="n"/>
      <c r="G286" s="24" t="n"/>
      <c r="H286" s="24" t="n"/>
      <c r="I286" s="9" t="n"/>
      <c r="J286" s="34">
        <f>IF(OR(A286="",C286="",E286=""),"",IF(B286="Rundrohr",PI()/4*(C286^2-(C286-2*E286)^2),IF(OR(B286="Quadratrohr",AND(B286="Rechteckrohr",D286&lt;&gt;"")),C286*IF(B286="Quadratrohr",C286,D286)-(C286-2*E286)*(IF(B286="Quadratrohr",C286,D286)-2*E286),"")))</f>
        <v/>
      </c>
      <c r="K286" s="34">
        <f>IF(A286="","",IF(F286&lt;&gt;"",F286,J286))</f>
        <v/>
      </c>
    </row>
    <row r="287">
      <c r="A287" s="9" t="n"/>
      <c r="B287" s="9" t="n"/>
      <c r="C287" s="49" t="n"/>
      <c r="D287" s="49" t="n"/>
      <c r="E287" s="50" t="n"/>
      <c r="F287" s="49" t="n"/>
      <c r="G287" s="24" t="n"/>
      <c r="H287" s="24" t="n"/>
      <c r="I287" s="9" t="n"/>
      <c r="J287" s="34">
        <f>IF(OR(A287="",C287="",E287=""),"",IF(B287="Rundrohr",PI()/4*(C287^2-(C287-2*E287)^2),IF(OR(B287="Quadratrohr",AND(B287="Rechteckrohr",D287&lt;&gt;"")),C287*IF(B287="Quadratrohr",C287,D287)-(C287-2*E287)*(IF(B287="Quadratrohr",C287,D287)-2*E287),"")))</f>
        <v/>
      </c>
      <c r="K287" s="34">
        <f>IF(A287="","",IF(F287&lt;&gt;"",F287,J287))</f>
        <v/>
      </c>
    </row>
    <row r="288">
      <c r="A288" s="9" t="n"/>
      <c r="B288" s="9" t="n"/>
      <c r="C288" s="49" t="n"/>
      <c r="D288" s="49" t="n"/>
      <c r="E288" s="50" t="n"/>
      <c r="F288" s="49" t="n"/>
      <c r="G288" s="24" t="n"/>
      <c r="H288" s="24" t="n"/>
      <c r="I288" s="9" t="n"/>
      <c r="J288" s="34">
        <f>IF(OR(A288="",C288="",E288=""),"",IF(B288="Rundrohr",PI()/4*(C288^2-(C288-2*E288)^2),IF(OR(B288="Quadratrohr",AND(B288="Rechteckrohr",D288&lt;&gt;"")),C288*IF(B288="Quadratrohr",C288,D288)-(C288-2*E288)*(IF(B288="Quadratrohr",C288,D288)-2*E288),"")))</f>
        <v/>
      </c>
      <c r="K288" s="34">
        <f>IF(A288="","",IF(F288&lt;&gt;"",F288,J288))</f>
        <v/>
      </c>
    </row>
    <row r="289">
      <c r="A289" s="9" t="n"/>
      <c r="B289" s="9" t="n"/>
      <c r="C289" s="49" t="n"/>
      <c r="D289" s="49" t="n"/>
      <c r="E289" s="50" t="n"/>
      <c r="F289" s="49" t="n"/>
      <c r="G289" s="24" t="n"/>
      <c r="H289" s="24" t="n"/>
      <c r="I289" s="9" t="n"/>
      <c r="J289" s="34">
        <f>IF(OR(A289="",C289="",E289=""),"",IF(B289="Rundrohr",PI()/4*(C289^2-(C289-2*E289)^2),IF(OR(B289="Quadratrohr",AND(B289="Rechteckrohr",D289&lt;&gt;"")),C289*IF(B289="Quadratrohr",C289,D289)-(C289-2*E289)*(IF(B289="Quadratrohr",C289,D289)-2*E289),"")))</f>
        <v/>
      </c>
      <c r="K289" s="34">
        <f>IF(A289="","",IF(F289&lt;&gt;"",F289,J289))</f>
        <v/>
      </c>
    </row>
    <row r="290">
      <c r="A290" s="9" t="n"/>
      <c r="B290" s="9" t="n"/>
      <c r="C290" s="49" t="n"/>
      <c r="D290" s="49" t="n"/>
      <c r="E290" s="50" t="n"/>
      <c r="F290" s="49" t="n"/>
      <c r="G290" s="24" t="n"/>
      <c r="H290" s="24" t="n"/>
      <c r="I290" s="9" t="n"/>
      <c r="J290" s="34">
        <f>IF(OR(A290="",C290="",E290=""),"",IF(B290="Rundrohr",PI()/4*(C290^2-(C290-2*E290)^2),IF(OR(B290="Quadratrohr",AND(B290="Rechteckrohr",D290&lt;&gt;"")),C290*IF(B290="Quadratrohr",C290,D290)-(C290-2*E290)*(IF(B290="Quadratrohr",C290,D290)-2*E290),"")))</f>
        <v/>
      </c>
      <c r="K290" s="34">
        <f>IF(A290="","",IF(F290&lt;&gt;"",F290,J290))</f>
        <v/>
      </c>
    </row>
    <row r="291">
      <c r="A291" s="9" t="n"/>
      <c r="B291" s="9" t="n"/>
      <c r="C291" s="49" t="n"/>
      <c r="D291" s="49" t="n"/>
      <c r="E291" s="50" t="n"/>
      <c r="F291" s="49" t="n"/>
      <c r="G291" s="24" t="n"/>
      <c r="H291" s="24" t="n"/>
      <c r="I291" s="9" t="n"/>
      <c r="J291" s="34">
        <f>IF(OR(A291="",C291="",E291=""),"",IF(B291="Rundrohr",PI()/4*(C291^2-(C291-2*E291)^2),IF(OR(B291="Quadratrohr",AND(B291="Rechteckrohr",D291&lt;&gt;"")),C291*IF(B291="Quadratrohr",C291,D291)-(C291-2*E291)*(IF(B291="Quadratrohr",C291,D291)-2*E291),"")))</f>
        <v/>
      </c>
      <c r="K291" s="34">
        <f>IF(A291="","",IF(F291&lt;&gt;"",F291,J291))</f>
        <v/>
      </c>
    </row>
    <row r="292">
      <c r="A292" s="9" t="n"/>
      <c r="B292" s="9" t="n"/>
      <c r="C292" s="49" t="n"/>
      <c r="D292" s="49" t="n"/>
      <c r="E292" s="50" t="n"/>
      <c r="F292" s="49" t="n"/>
      <c r="G292" s="24" t="n"/>
      <c r="H292" s="24" t="n"/>
      <c r="I292" s="9" t="n"/>
      <c r="J292" s="34">
        <f>IF(OR(A292="",C292="",E292=""),"",IF(B292="Rundrohr",PI()/4*(C292^2-(C292-2*E292)^2),IF(OR(B292="Quadratrohr",AND(B292="Rechteckrohr",D292&lt;&gt;"")),C292*IF(B292="Quadratrohr",C292,D292)-(C292-2*E292)*(IF(B292="Quadratrohr",C292,D292)-2*E292),"")))</f>
        <v/>
      </c>
      <c r="K292" s="34">
        <f>IF(A292="","",IF(F292&lt;&gt;"",F292,J292))</f>
        <v/>
      </c>
    </row>
    <row r="293">
      <c r="A293" s="9" t="n"/>
      <c r="B293" s="9" t="n"/>
      <c r="C293" s="49" t="n"/>
      <c r="D293" s="49" t="n"/>
      <c r="E293" s="50" t="n"/>
      <c r="F293" s="49" t="n"/>
      <c r="G293" s="24" t="n"/>
      <c r="H293" s="24" t="n"/>
      <c r="I293" s="9" t="n"/>
      <c r="J293" s="34">
        <f>IF(OR(A293="",C293="",E293=""),"",IF(B293="Rundrohr",PI()/4*(C293^2-(C293-2*E293)^2),IF(OR(B293="Quadratrohr",AND(B293="Rechteckrohr",D293&lt;&gt;"")),C293*IF(B293="Quadratrohr",C293,D293)-(C293-2*E293)*(IF(B293="Quadratrohr",C293,D293)-2*E293),"")))</f>
        <v/>
      </c>
      <c r="K293" s="34">
        <f>IF(A293="","",IF(F293&lt;&gt;"",F293,J293))</f>
        <v/>
      </c>
    </row>
    <row r="294">
      <c r="A294" s="9" t="n"/>
      <c r="B294" s="9" t="n"/>
      <c r="C294" s="49" t="n"/>
      <c r="D294" s="49" t="n"/>
      <c r="E294" s="50" t="n"/>
      <c r="F294" s="49" t="n"/>
      <c r="G294" s="24" t="n"/>
      <c r="H294" s="24" t="n"/>
      <c r="I294" s="9" t="n"/>
      <c r="J294" s="34">
        <f>IF(OR(A294="",C294="",E294=""),"",IF(B294="Rundrohr",PI()/4*(C294^2-(C294-2*E294)^2),IF(OR(B294="Quadratrohr",AND(B294="Rechteckrohr",D294&lt;&gt;"")),C294*IF(B294="Quadratrohr",C294,D294)-(C294-2*E294)*(IF(B294="Quadratrohr",C294,D294)-2*E294),"")))</f>
        <v/>
      </c>
      <c r="K294" s="34">
        <f>IF(A294="","",IF(F294&lt;&gt;"",F294,J294))</f>
        <v/>
      </c>
    </row>
    <row r="295">
      <c r="A295" s="9" t="n"/>
      <c r="B295" s="9" t="n"/>
      <c r="C295" s="49" t="n"/>
      <c r="D295" s="49" t="n"/>
      <c r="E295" s="50" t="n"/>
      <c r="F295" s="49" t="n"/>
      <c r="G295" s="24" t="n"/>
      <c r="H295" s="24" t="n"/>
      <c r="I295" s="9" t="n"/>
      <c r="J295" s="34">
        <f>IF(OR(A295="",C295="",E295=""),"",IF(B295="Rundrohr",PI()/4*(C295^2-(C295-2*E295)^2),IF(OR(B295="Quadratrohr",AND(B295="Rechteckrohr",D295&lt;&gt;"")),C295*IF(B295="Quadratrohr",C295,D295)-(C295-2*E295)*(IF(B295="Quadratrohr",C295,D295)-2*E295),"")))</f>
        <v/>
      </c>
      <c r="K295" s="34">
        <f>IF(A295="","",IF(F295&lt;&gt;"",F295,J295))</f>
        <v/>
      </c>
    </row>
    <row r="296">
      <c r="A296" s="9" t="n"/>
      <c r="B296" s="9" t="n"/>
      <c r="C296" s="49" t="n"/>
      <c r="D296" s="49" t="n"/>
      <c r="E296" s="50" t="n"/>
      <c r="F296" s="49" t="n"/>
      <c r="G296" s="24" t="n"/>
      <c r="H296" s="24" t="n"/>
      <c r="I296" s="9" t="n"/>
      <c r="J296" s="34">
        <f>IF(OR(A296="",C296="",E296=""),"",IF(B296="Rundrohr",PI()/4*(C296^2-(C296-2*E296)^2),IF(OR(B296="Quadratrohr",AND(B296="Rechteckrohr",D296&lt;&gt;"")),C296*IF(B296="Quadratrohr",C296,D296)-(C296-2*E296)*(IF(B296="Quadratrohr",C296,D296)-2*E296),"")))</f>
        <v/>
      </c>
      <c r="K296" s="34">
        <f>IF(A296="","",IF(F296&lt;&gt;"",F296,J296))</f>
        <v/>
      </c>
    </row>
    <row r="297">
      <c r="A297" s="9" t="n"/>
      <c r="B297" s="9" t="n"/>
      <c r="C297" s="49" t="n"/>
      <c r="D297" s="49" t="n"/>
      <c r="E297" s="50" t="n"/>
      <c r="F297" s="49" t="n"/>
      <c r="G297" s="24" t="n"/>
      <c r="H297" s="24" t="n"/>
      <c r="I297" s="9" t="n"/>
      <c r="J297" s="34">
        <f>IF(OR(A297="",C297="",E297=""),"",IF(B297="Rundrohr",PI()/4*(C297^2-(C297-2*E297)^2),IF(OR(B297="Quadratrohr",AND(B297="Rechteckrohr",D297&lt;&gt;"")),C297*IF(B297="Quadratrohr",C297,D297)-(C297-2*E297)*(IF(B297="Quadratrohr",C297,D297)-2*E297),"")))</f>
        <v/>
      </c>
      <c r="K297" s="34">
        <f>IF(A297="","",IF(F297&lt;&gt;"",F297,J297))</f>
        <v/>
      </c>
    </row>
    <row r="298">
      <c r="A298" s="9" t="n"/>
      <c r="B298" s="9" t="n"/>
      <c r="C298" s="49" t="n"/>
      <c r="D298" s="49" t="n"/>
      <c r="E298" s="50" t="n"/>
      <c r="F298" s="49" t="n"/>
      <c r="G298" s="24" t="n"/>
      <c r="H298" s="24" t="n"/>
      <c r="I298" s="9" t="n"/>
      <c r="J298" s="34">
        <f>IF(OR(A298="",C298="",E298=""),"",IF(B298="Rundrohr",PI()/4*(C298^2-(C298-2*E298)^2),IF(OR(B298="Quadratrohr",AND(B298="Rechteckrohr",D298&lt;&gt;"")),C298*IF(B298="Quadratrohr",C298,D298)-(C298-2*E298)*(IF(B298="Quadratrohr",C298,D298)-2*E298),"")))</f>
        <v/>
      </c>
      <c r="K298" s="34">
        <f>IF(A298="","",IF(F298&lt;&gt;"",F298,J298))</f>
        <v/>
      </c>
    </row>
    <row r="299">
      <c r="A299" s="9" t="n"/>
      <c r="B299" s="9" t="n"/>
      <c r="C299" s="49" t="n"/>
      <c r="D299" s="49" t="n"/>
      <c r="E299" s="50" t="n"/>
      <c r="F299" s="49" t="n"/>
      <c r="G299" s="24" t="n"/>
      <c r="H299" s="24" t="n"/>
      <c r="I299" s="9" t="n"/>
      <c r="J299" s="34">
        <f>IF(OR(A299="",C299="",E299=""),"",IF(B299="Rundrohr",PI()/4*(C299^2-(C299-2*E299)^2),IF(OR(B299="Quadratrohr",AND(B299="Rechteckrohr",D299&lt;&gt;"")),C299*IF(B299="Quadratrohr",C299,D299)-(C299-2*E299)*(IF(B299="Quadratrohr",C299,D299)-2*E299),"")))</f>
        <v/>
      </c>
      <c r="K299" s="34">
        <f>IF(A299="","",IF(F299&lt;&gt;"",F299,J299))</f>
        <v/>
      </c>
    </row>
    <row r="300">
      <c r="A300" s="9" t="n"/>
      <c r="B300" s="9" t="n"/>
      <c r="C300" s="49" t="n"/>
      <c r="D300" s="49" t="n"/>
      <c r="E300" s="50" t="n"/>
      <c r="F300" s="49" t="n"/>
      <c r="G300" s="24" t="n"/>
      <c r="H300" s="24" t="n"/>
      <c r="I300" s="9" t="n"/>
      <c r="J300" s="34">
        <f>IF(OR(A300="",C300="",E300=""),"",IF(B300="Rundrohr",PI()/4*(C300^2-(C300-2*E300)^2),IF(OR(B300="Quadratrohr",AND(B300="Rechteckrohr",D300&lt;&gt;"")),C300*IF(B300="Quadratrohr",C300,D300)-(C300-2*E300)*(IF(B300="Quadratrohr",C300,D300)-2*E300),"")))</f>
        <v/>
      </c>
      <c r="K300" s="34">
        <f>IF(A300="","",IF(F300&lt;&gt;"",F300,J300))</f>
        <v/>
      </c>
    </row>
    <row r="301">
      <c r="A301" s="9" t="n"/>
      <c r="B301" s="9" t="n"/>
      <c r="C301" s="49" t="n"/>
      <c r="D301" s="49" t="n"/>
      <c r="E301" s="50" t="n"/>
      <c r="F301" s="49" t="n"/>
      <c r="G301" s="24" t="n"/>
      <c r="H301" s="24" t="n"/>
      <c r="I301" s="9" t="n"/>
      <c r="J301" s="34">
        <f>IF(OR(A301="",C301="",E301=""),"",IF(B301="Rundrohr",PI()/4*(C301^2-(C301-2*E301)^2),IF(OR(B301="Quadratrohr",AND(B301="Rechteckrohr",D301&lt;&gt;"")),C301*IF(B301="Quadratrohr",C301,D301)-(C301-2*E301)*(IF(B301="Quadratrohr",C301,D301)-2*E301),"")))</f>
        <v/>
      </c>
      <c r="K301" s="34">
        <f>IF(A301="","",IF(F301&lt;&gt;"",F301,J301))</f>
        <v/>
      </c>
    </row>
    <row r="302">
      <c r="A302" s="9" t="n"/>
      <c r="B302" s="9" t="n"/>
      <c r="C302" s="49" t="n"/>
      <c r="D302" s="49" t="n"/>
      <c r="E302" s="50" t="n"/>
      <c r="F302" s="49" t="n"/>
      <c r="G302" s="24" t="n"/>
      <c r="H302" s="24" t="n"/>
      <c r="I302" s="9" t="n"/>
      <c r="J302" s="34">
        <f>IF(OR(A302="",C302="",E302=""),"",IF(B302="Rundrohr",PI()/4*(C302^2-(C302-2*E302)^2),IF(OR(B302="Quadratrohr",AND(B302="Rechteckrohr",D302&lt;&gt;"")),C302*IF(B302="Quadratrohr",C302,D302)-(C302-2*E302)*(IF(B302="Quadratrohr",C302,D302)-2*E302),"")))</f>
        <v/>
      </c>
      <c r="K302" s="34">
        <f>IF(A302="","",IF(F302&lt;&gt;"",F302,J302))</f>
        <v/>
      </c>
    </row>
    <row r="303">
      <c r="A303" s="9" t="n"/>
      <c r="B303" s="9" t="n"/>
      <c r="C303" s="49" t="n"/>
      <c r="D303" s="49" t="n"/>
      <c r="E303" s="50" t="n"/>
      <c r="F303" s="49" t="n"/>
      <c r="G303" s="24" t="n"/>
      <c r="H303" s="24" t="n"/>
      <c r="I303" s="9" t="n"/>
      <c r="J303" s="34">
        <f>IF(OR(A303="",C303="",E303=""),"",IF(B303="Rundrohr",PI()/4*(C303^2-(C303-2*E303)^2),IF(OR(B303="Quadratrohr",AND(B303="Rechteckrohr",D303&lt;&gt;"")),C303*IF(B303="Quadratrohr",C303,D303)-(C303-2*E303)*(IF(B303="Quadratrohr",C303,D303)-2*E303),"")))</f>
        <v/>
      </c>
      <c r="K303" s="34">
        <f>IF(A303="","",IF(F303&lt;&gt;"",F303,J303))</f>
        <v/>
      </c>
    </row>
    <row r="304">
      <c r="A304" s="9" t="n"/>
      <c r="B304" s="9" t="n"/>
      <c r="C304" s="49" t="n"/>
      <c r="D304" s="49" t="n"/>
      <c r="E304" s="50" t="n"/>
      <c r="F304" s="49" t="n"/>
      <c r="G304" s="24" t="n"/>
      <c r="H304" s="24" t="n"/>
      <c r="I304" s="9" t="n"/>
      <c r="J304" s="34">
        <f>IF(OR(A304="",C304="",E304=""),"",IF(B304="Rundrohr",PI()/4*(C304^2-(C304-2*E304)^2),IF(OR(B304="Quadratrohr",AND(B304="Rechteckrohr",D304&lt;&gt;"")),C304*IF(B304="Quadratrohr",C304,D304)-(C304-2*E304)*(IF(B304="Quadratrohr",C304,D304)-2*E304),"")))</f>
        <v/>
      </c>
      <c r="K304" s="34">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3.xml><?xml version="1.0" encoding="utf-8"?>
<worksheet xmlns="http://schemas.openxmlformats.org/spreadsheetml/2006/main">
  <sheetPr codeName="Tabelle13">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2" t="inlineStr">
        <is>
          <t>Werkstoff-ID</t>
        </is>
      </c>
      <c r="B4" s="22" t="inlineStr">
        <is>
          <t>Werkstoff</t>
        </is>
      </c>
      <c r="C4" s="22" t="inlineStr">
        <is>
          <t>Werkstoff-Nr.</t>
        </is>
      </c>
      <c r="D4" s="22" t="inlineStr">
        <is>
          <t>Norm / Qualität</t>
        </is>
      </c>
      <c r="E4" s="22" t="inlineStr">
        <is>
          <t>Dichte [kg/dm³]</t>
        </is>
      </c>
      <c r="F4" s="22" t="inlineStr">
        <is>
          <t>Bemerkung</t>
        </is>
      </c>
      <c r="G4" s="22" t="inlineStr">
        <is>
          <t>Tonnenpreis [€/t]</t>
        </is>
      </c>
      <c r="H4" s="22" t="inlineStr">
        <is>
          <t>Text im Angebot</t>
        </is>
      </c>
    </row>
    <row r="5">
      <c r="A5" s="9" t="inlineStr">
        <is>
          <t>S235-10219</t>
        </is>
      </c>
      <c r="B5" s="9" t="inlineStr">
        <is>
          <t>S235JRH</t>
        </is>
      </c>
      <c r="C5" s="9" t="inlineStr">
        <is>
          <t>1.0039</t>
        </is>
      </c>
      <c r="D5" s="9" t="inlineStr">
        <is>
          <t>EN 10219 kaltgefertigt, geschweißt</t>
        </is>
      </c>
      <c r="E5" s="50" t="n">
        <v>7.85</v>
      </c>
      <c r="F5" s="9" t="inlineStr">
        <is>
          <t>Beispiel</t>
        </is>
      </c>
      <c r="G5" s="19" t="n">
        <v>1000</v>
      </c>
      <c r="H5" s="9" t="inlineStr">
        <is>
          <t>S235 EN10219</t>
        </is>
      </c>
    </row>
    <row r="6">
      <c r="A6" s="9" t="inlineStr">
        <is>
          <t>S355-10219</t>
        </is>
      </c>
      <c r="B6" s="9" t="inlineStr">
        <is>
          <t>S355J2H</t>
        </is>
      </c>
      <c r="C6" s="9" t="inlineStr">
        <is>
          <t>1.0576</t>
        </is>
      </c>
      <c r="D6" s="9" t="inlineStr">
        <is>
          <t>EN 10219 kaltgefertigt, geschweißt</t>
        </is>
      </c>
      <c r="E6" s="50" t="n">
        <v>7.85</v>
      </c>
      <c r="F6" s="9" t="inlineStr">
        <is>
          <t>Beispiel</t>
        </is>
      </c>
      <c r="G6" s="19" t="n">
        <v>1050</v>
      </c>
      <c r="H6" s="9" t="inlineStr">
        <is>
          <t>S355 EN10219</t>
        </is>
      </c>
    </row>
    <row r="7">
      <c r="A7" s="9" t="inlineStr">
        <is>
          <t>1.4301</t>
        </is>
      </c>
      <c r="B7" s="9" t="inlineStr">
        <is>
          <t>X5CrNi18-10</t>
        </is>
      </c>
      <c r="C7" s="9" t="inlineStr">
        <is>
          <t>1.4301</t>
        </is>
      </c>
      <c r="D7" s="9" t="inlineStr">
        <is>
          <t>EN 10217-7 / ASTM A554</t>
        </is>
      </c>
      <c r="E7" s="50" t="n">
        <v>7.9</v>
      </c>
      <c r="F7" s="9" t="inlineStr">
        <is>
          <t>Beispiel</t>
        </is>
      </c>
      <c r="G7" s="19" t="n">
        <v>4200</v>
      </c>
      <c r="H7" s="9" t="inlineStr">
        <is>
          <t>1.4301 EN10217-7</t>
        </is>
      </c>
    </row>
    <row r="8">
      <c r="A8" s="9" t="inlineStr">
        <is>
          <t>AW6060-T66</t>
        </is>
      </c>
      <c r="B8" s="9" t="inlineStr">
        <is>
          <t>EN AW-6060 T66</t>
        </is>
      </c>
      <c r="C8" s="9" t="inlineStr">
        <is>
          <t>3.3206</t>
        </is>
      </c>
      <c r="D8" s="9" t="inlineStr">
        <is>
          <t>EN 755-2</t>
        </is>
      </c>
      <c r="E8" s="50" t="n">
        <v>2.7</v>
      </c>
      <c r="F8" s="9" t="inlineStr">
        <is>
          <t>Beispiel</t>
        </is>
      </c>
      <c r="G8" s="19" t="n">
        <v>4500</v>
      </c>
      <c r="H8" s="9" t="inlineStr">
        <is>
          <t>EN AW-6060 T66</t>
        </is>
      </c>
    </row>
    <row r="9">
      <c r="A9" s="9" t="n"/>
      <c r="B9" s="9" t="n"/>
      <c r="C9" s="9" t="n"/>
      <c r="D9" s="9" t="n"/>
      <c r="E9" s="50" t="n"/>
      <c r="F9" s="9" t="n"/>
      <c r="G9" s="19" t="n"/>
      <c r="H9" s="9" t="n"/>
    </row>
    <row r="10">
      <c r="A10" s="9" t="n"/>
      <c r="B10" s="9" t="n"/>
      <c r="C10" s="9" t="n"/>
      <c r="D10" s="9" t="n"/>
      <c r="E10" s="50" t="n"/>
      <c r="F10" s="9" t="n"/>
      <c r="G10" s="19" t="n"/>
      <c r="H10" s="9" t="n"/>
    </row>
    <row r="11">
      <c r="A11" s="9" t="n"/>
      <c r="B11" s="9" t="n"/>
      <c r="C11" s="9" t="n"/>
      <c r="D11" s="9" t="n"/>
      <c r="E11" s="50" t="n"/>
      <c r="F11" s="9" t="n"/>
      <c r="G11" s="19" t="n"/>
      <c r="H11" s="9" t="n"/>
    </row>
    <row r="12">
      <c r="A12" s="9" t="n"/>
      <c r="B12" s="9" t="n"/>
      <c r="C12" s="9" t="n"/>
      <c r="D12" s="9" t="n"/>
      <c r="E12" s="50" t="n"/>
      <c r="F12" s="9" t="n"/>
      <c r="G12" s="19" t="n"/>
      <c r="H12" s="9" t="n"/>
    </row>
    <row r="13">
      <c r="A13" s="9" t="n"/>
      <c r="B13" s="9" t="n"/>
      <c r="C13" s="9" t="n"/>
      <c r="D13" s="9" t="n"/>
      <c r="E13" s="50" t="n"/>
      <c r="F13" s="9" t="n"/>
      <c r="G13" s="19" t="n"/>
      <c r="H13" s="9" t="n"/>
    </row>
    <row r="14">
      <c r="A14" s="9" t="n"/>
      <c r="B14" s="9" t="n"/>
      <c r="C14" s="9" t="n"/>
      <c r="D14" s="9" t="n"/>
      <c r="E14" s="50" t="n"/>
      <c r="F14" s="9" t="n"/>
      <c r="G14" s="19" t="n"/>
      <c r="H14" s="9" t="n"/>
    </row>
    <row r="15">
      <c r="A15" s="9" t="n"/>
      <c r="B15" s="9" t="n"/>
      <c r="C15" s="9" t="n"/>
      <c r="D15" s="9" t="n"/>
      <c r="E15" s="50" t="n"/>
      <c r="F15" s="9" t="n"/>
      <c r="G15" s="19" t="n"/>
      <c r="H15" s="9" t="n"/>
    </row>
    <row r="16">
      <c r="A16" s="9" t="n"/>
      <c r="B16" s="9" t="n"/>
      <c r="C16" s="9" t="n"/>
      <c r="D16" s="9" t="n"/>
      <c r="E16" s="50" t="n"/>
      <c r="F16" s="9" t="n"/>
      <c r="G16" s="19" t="n"/>
      <c r="H16" s="9" t="n"/>
    </row>
    <row r="17">
      <c r="A17" s="9" t="n"/>
      <c r="B17" s="9" t="n"/>
      <c r="C17" s="9" t="n"/>
      <c r="D17" s="9" t="n"/>
      <c r="E17" s="50" t="n"/>
      <c r="F17" s="9" t="n"/>
      <c r="G17" s="19" t="n"/>
      <c r="H17" s="9" t="n"/>
    </row>
    <row r="18">
      <c r="A18" s="9" t="n"/>
      <c r="B18" s="9" t="n"/>
      <c r="C18" s="9" t="n"/>
      <c r="D18" s="9" t="n"/>
      <c r="E18" s="50" t="n"/>
      <c r="F18" s="9" t="n"/>
      <c r="G18" s="19" t="n"/>
      <c r="H18" s="9" t="n"/>
    </row>
    <row r="19">
      <c r="A19" s="9" t="n"/>
      <c r="B19" s="9" t="n"/>
      <c r="C19" s="9" t="n"/>
      <c r="D19" s="9" t="n"/>
      <c r="E19" s="50" t="n"/>
      <c r="F19" s="9" t="n"/>
      <c r="G19" s="19" t="n"/>
      <c r="H19" s="9" t="n"/>
    </row>
    <row r="20">
      <c r="A20" s="9" t="n"/>
      <c r="B20" s="9" t="n"/>
      <c r="C20" s="9" t="n"/>
      <c r="D20" s="9" t="n"/>
      <c r="E20" s="50" t="n"/>
      <c r="F20" s="9" t="n"/>
      <c r="G20" s="19" t="n"/>
      <c r="H20" s="9" t="n"/>
    </row>
    <row r="21">
      <c r="A21" s="9" t="n"/>
      <c r="B21" s="9" t="n"/>
      <c r="C21" s="9" t="n"/>
      <c r="D21" s="9" t="n"/>
      <c r="E21" s="50" t="n"/>
      <c r="F21" s="9" t="n"/>
      <c r="G21" s="19" t="n"/>
      <c r="H21" s="9" t="n"/>
    </row>
    <row r="22">
      <c r="A22" s="9" t="n"/>
      <c r="B22" s="9" t="n"/>
      <c r="C22" s="9" t="n"/>
      <c r="D22" s="9" t="n"/>
      <c r="E22" s="50" t="n"/>
      <c r="F22" s="9" t="n"/>
      <c r="G22" s="19" t="n"/>
      <c r="H22" s="9" t="n"/>
    </row>
    <row r="23">
      <c r="A23" s="9" t="n"/>
      <c r="B23" s="9" t="n"/>
      <c r="C23" s="9" t="n"/>
      <c r="D23" s="9" t="n"/>
      <c r="E23" s="50" t="n"/>
      <c r="F23" s="9" t="n"/>
      <c r="G23" s="19" t="n"/>
      <c r="H23" s="9" t="n"/>
    </row>
    <row r="24">
      <c r="A24" s="9" t="n"/>
      <c r="B24" s="9" t="n"/>
      <c r="C24" s="9" t="n"/>
      <c r="D24" s="9" t="n"/>
      <c r="E24" s="50" t="n"/>
      <c r="F24" s="9" t="n"/>
      <c r="G24" s="19" t="n"/>
      <c r="H24" s="9" t="n"/>
    </row>
    <row r="25">
      <c r="A25" s="9" t="n"/>
      <c r="B25" s="9" t="n"/>
      <c r="C25" s="9" t="n"/>
      <c r="D25" s="9" t="n"/>
      <c r="E25" s="50" t="n"/>
      <c r="F25" s="9" t="n"/>
      <c r="G25" s="19" t="n"/>
      <c r="H25" s="9" t="n"/>
    </row>
    <row r="26">
      <c r="A26" s="9" t="n"/>
      <c r="B26" s="9" t="n"/>
      <c r="C26" s="9" t="n"/>
      <c r="D26" s="9" t="n"/>
      <c r="E26" s="50" t="n"/>
      <c r="F26" s="9" t="n"/>
      <c r="G26" s="19" t="n"/>
      <c r="H26" s="9" t="n"/>
    </row>
    <row r="27">
      <c r="A27" s="9" t="n"/>
      <c r="B27" s="9" t="n"/>
      <c r="C27" s="9" t="n"/>
      <c r="D27" s="9" t="n"/>
      <c r="E27" s="50" t="n"/>
      <c r="F27" s="9" t="n"/>
      <c r="G27" s="19" t="n"/>
      <c r="H27" s="9" t="n"/>
    </row>
    <row r="28">
      <c r="A28" s="9" t="n"/>
      <c r="B28" s="9" t="n"/>
      <c r="C28" s="9" t="n"/>
      <c r="D28" s="9" t="n"/>
      <c r="E28" s="50" t="n"/>
      <c r="F28" s="9" t="n"/>
      <c r="G28" s="19" t="n"/>
      <c r="H28" s="9" t="n"/>
    </row>
    <row r="29">
      <c r="A29" s="9" t="n"/>
      <c r="B29" s="9" t="n"/>
      <c r="C29" s="9" t="n"/>
      <c r="D29" s="9" t="n"/>
      <c r="E29" s="50" t="n"/>
      <c r="F29" s="9" t="n"/>
      <c r="G29" s="19" t="n"/>
      <c r="H29" s="9" t="n"/>
    </row>
    <row r="30">
      <c r="A30" s="9" t="n"/>
      <c r="B30" s="9" t="n"/>
      <c r="C30" s="9" t="n"/>
      <c r="D30" s="9" t="n"/>
      <c r="E30" s="50" t="n"/>
      <c r="F30" s="9" t="n"/>
      <c r="G30" s="19" t="n"/>
      <c r="H30" s="9" t="n"/>
    </row>
    <row r="31">
      <c r="A31" s="9" t="n"/>
      <c r="B31" s="9" t="n"/>
      <c r="C31" s="9" t="n"/>
      <c r="D31" s="9" t="n"/>
      <c r="E31" s="50" t="n"/>
      <c r="F31" s="9" t="n"/>
      <c r="G31" s="19" t="n"/>
      <c r="H31" s="9" t="n"/>
    </row>
    <row r="32">
      <c r="A32" s="9" t="n"/>
      <c r="B32" s="9" t="n"/>
      <c r="C32" s="9" t="n"/>
      <c r="D32" s="9" t="n"/>
      <c r="E32" s="50" t="n"/>
      <c r="F32" s="9" t="n"/>
      <c r="G32" s="19" t="n"/>
      <c r="H32" s="9" t="n"/>
    </row>
    <row r="33">
      <c r="A33" s="9" t="n"/>
      <c r="B33" s="9" t="n"/>
      <c r="C33" s="9" t="n"/>
      <c r="D33" s="9" t="n"/>
      <c r="E33" s="50" t="n"/>
      <c r="F33" s="9" t="n"/>
      <c r="G33" s="19" t="n"/>
      <c r="H33" s="9" t="n"/>
    </row>
    <row r="34">
      <c r="A34" s="9" t="n"/>
      <c r="B34" s="9" t="n"/>
      <c r="C34" s="9" t="n"/>
      <c r="D34" s="9" t="n"/>
      <c r="E34" s="50" t="n"/>
      <c r="F34" s="9" t="n"/>
      <c r="G34" s="19" t="n"/>
      <c r="H34" s="9" t="n"/>
    </row>
    <row r="35">
      <c r="A35" s="9" t="n"/>
      <c r="B35" s="9" t="n"/>
      <c r="C35" s="9" t="n"/>
      <c r="D35" s="9" t="n"/>
      <c r="E35" s="50" t="n"/>
      <c r="F35" s="9" t="n"/>
      <c r="G35" s="19" t="n"/>
      <c r="H35" s="9" t="n"/>
    </row>
    <row r="36">
      <c r="A36" s="9" t="n"/>
      <c r="B36" s="9" t="n"/>
      <c r="C36" s="9" t="n"/>
      <c r="D36" s="9" t="n"/>
      <c r="E36" s="50" t="n"/>
      <c r="F36" s="9" t="n"/>
      <c r="G36" s="19" t="n"/>
      <c r="H36" s="9" t="n"/>
    </row>
    <row r="37">
      <c r="A37" s="9" t="n"/>
      <c r="B37" s="9" t="n"/>
      <c r="C37" s="9" t="n"/>
      <c r="D37" s="9" t="n"/>
      <c r="E37" s="50" t="n"/>
      <c r="F37" s="9" t="n"/>
      <c r="G37" s="19" t="n"/>
      <c r="H37" s="9" t="n"/>
    </row>
    <row r="38">
      <c r="A38" s="9" t="n"/>
      <c r="B38" s="9" t="n"/>
      <c r="C38" s="9" t="n"/>
      <c r="D38" s="9" t="n"/>
      <c r="E38" s="50" t="n"/>
      <c r="F38" s="9" t="n"/>
      <c r="G38" s="19" t="n"/>
      <c r="H38" s="9" t="n"/>
    </row>
    <row r="39">
      <c r="A39" s="9" t="n"/>
      <c r="B39" s="9" t="n"/>
      <c r="C39" s="9" t="n"/>
      <c r="D39" s="9" t="n"/>
      <c r="E39" s="50" t="n"/>
      <c r="F39" s="9" t="n"/>
      <c r="G39" s="19" t="n"/>
      <c r="H39" s="9" t="n"/>
    </row>
    <row r="40">
      <c r="A40" s="9" t="n"/>
      <c r="B40" s="9" t="n"/>
      <c r="C40" s="9" t="n"/>
      <c r="D40" s="9" t="n"/>
      <c r="E40" s="50" t="n"/>
      <c r="F40" s="9" t="n"/>
      <c r="G40" s="19" t="n"/>
      <c r="H40" s="9" t="n"/>
    </row>
    <row r="41">
      <c r="A41" s="9" t="n"/>
      <c r="B41" s="9" t="n"/>
      <c r="C41" s="9" t="n"/>
      <c r="D41" s="9" t="n"/>
      <c r="E41" s="50" t="n"/>
      <c r="F41" s="9" t="n"/>
      <c r="G41" s="19" t="n"/>
      <c r="H41" s="9" t="n"/>
    </row>
    <row r="42">
      <c r="A42" s="9" t="n"/>
      <c r="B42" s="9" t="n"/>
      <c r="C42" s="9" t="n"/>
      <c r="D42" s="9" t="n"/>
      <c r="E42" s="50" t="n"/>
      <c r="F42" s="9" t="n"/>
      <c r="G42" s="19" t="n"/>
      <c r="H42" s="9" t="n"/>
    </row>
    <row r="43">
      <c r="A43" s="9" t="n"/>
      <c r="B43" s="9" t="n"/>
      <c r="C43" s="9" t="n"/>
      <c r="D43" s="9" t="n"/>
      <c r="E43" s="50" t="n"/>
      <c r="F43" s="9" t="n"/>
      <c r="G43" s="19" t="n"/>
      <c r="H43" s="9" t="n"/>
    </row>
    <row r="44">
      <c r="A44" s="9" t="n"/>
      <c r="B44" s="9" t="n"/>
      <c r="C44" s="9" t="n"/>
      <c r="D44" s="9" t="n"/>
      <c r="E44" s="50" t="n"/>
      <c r="F44" s="9" t="n"/>
      <c r="G44" s="19" t="n"/>
      <c r="H44" s="9" t="n"/>
    </row>
    <row r="45">
      <c r="A45" s="9" t="n"/>
      <c r="B45" s="9" t="n"/>
      <c r="C45" s="9" t="n"/>
      <c r="D45" s="9" t="n"/>
      <c r="E45" s="50" t="n"/>
      <c r="F45" s="9" t="n"/>
      <c r="G45" s="19" t="n"/>
      <c r="H45" s="9" t="n"/>
    </row>
    <row r="46">
      <c r="A46" s="9" t="n"/>
      <c r="B46" s="9" t="n"/>
      <c r="C46" s="9" t="n"/>
      <c r="D46" s="9" t="n"/>
      <c r="E46" s="50" t="n"/>
      <c r="F46" s="9" t="n"/>
      <c r="G46" s="19" t="n"/>
      <c r="H46" s="9" t="n"/>
    </row>
    <row r="47">
      <c r="A47" s="9" t="n"/>
      <c r="B47" s="9" t="n"/>
      <c r="C47" s="9" t="n"/>
      <c r="D47" s="9" t="n"/>
      <c r="E47" s="50" t="n"/>
      <c r="F47" s="9" t="n"/>
      <c r="G47" s="19" t="n"/>
      <c r="H47" s="9" t="n"/>
    </row>
    <row r="48">
      <c r="A48" s="9" t="n"/>
      <c r="B48" s="9" t="n"/>
      <c r="C48" s="9" t="n"/>
      <c r="D48" s="9" t="n"/>
      <c r="E48" s="50" t="n"/>
      <c r="F48" s="9" t="n"/>
      <c r="G48" s="19" t="n"/>
      <c r="H48" s="9" t="n"/>
    </row>
    <row r="49">
      <c r="A49" s="9" t="n"/>
      <c r="B49" s="9" t="n"/>
      <c r="C49" s="9" t="n"/>
      <c r="D49" s="9" t="n"/>
      <c r="E49" s="50" t="n"/>
      <c r="F49" s="9" t="n"/>
      <c r="G49" s="19" t="n"/>
      <c r="H49" s="9" t="n"/>
    </row>
    <row r="50">
      <c r="A50" s="9" t="n"/>
      <c r="B50" s="9" t="n"/>
      <c r="C50" s="9" t="n"/>
      <c r="D50" s="9" t="n"/>
      <c r="E50" s="50" t="n"/>
      <c r="F50" s="9" t="n"/>
      <c r="G50" s="19" t="n"/>
      <c r="H50" s="9" t="n"/>
    </row>
    <row r="51">
      <c r="A51" s="9" t="n"/>
      <c r="B51" s="9" t="n"/>
      <c r="C51" s="9" t="n"/>
      <c r="D51" s="9" t="n"/>
      <c r="E51" s="50" t="n"/>
      <c r="F51" s="9" t="n"/>
      <c r="G51" s="19" t="n"/>
      <c r="H51" s="9" t="n"/>
    </row>
    <row r="52">
      <c r="A52" s="9" t="n"/>
      <c r="B52" s="9" t="n"/>
      <c r="C52" s="9" t="n"/>
      <c r="D52" s="9" t="n"/>
      <c r="E52" s="50" t="n"/>
      <c r="F52" s="9" t="n"/>
      <c r="G52" s="19" t="n"/>
      <c r="H52" s="9" t="n"/>
    </row>
    <row r="53">
      <c r="A53" s="9" t="n"/>
      <c r="B53" s="9" t="n"/>
      <c r="C53" s="9" t="n"/>
      <c r="D53" s="9" t="n"/>
      <c r="E53" s="50" t="n"/>
      <c r="F53" s="9" t="n"/>
      <c r="G53" s="19" t="n"/>
      <c r="H53" s="9" t="n"/>
    </row>
    <row r="54">
      <c r="A54" s="9" t="n"/>
      <c r="B54" s="9" t="n"/>
      <c r="C54" s="9" t="n"/>
      <c r="D54" s="9" t="n"/>
      <c r="E54" s="50" t="n"/>
      <c r="F54" s="9" t="n"/>
      <c r="G54" s="19" t="n"/>
      <c r="H54" s="9" t="n"/>
    </row>
    <row r="55">
      <c r="A55" s="9" t="n"/>
      <c r="B55" s="9" t="n"/>
      <c r="C55" s="9" t="n"/>
      <c r="D55" s="9" t="n"/>
      <c r="E55" s="50" t="n"/>
      <c r="F55" s="9" t="n"/>
      <c r="G55" s="19" t="n"/>
      <c r="H55" s="9" t="n"/>
    </row>
    <row r="56">
      <c r="A56" s="9" t="n"/>
      <c r="B56" s="9" t="n"/>
      <c r="C56" s="9" t="n"/>
      <c r="D56" s="9" t="n"/>
      <c r="E56" s="50" t="n"/>
      <c r="F56" s="9" t="n"/>
      <c r="G56" s="19" t="n"/>
      <c r="H56" s="9" t="n"/>
    </row>
    <row r="57">
      <c r="A57" s="9" t="n"/>
      <c r="B57" s="9" t="n"/>
      <c r="C57" s="9" t="n"/>
      <c r="D57" s="9" t="n"/>
      <c r="E57" s="50" t="n"/>
      <c r="F57" s="9" t="n"/>
      <c r="G57" s="19" t="n"/>
      <c r="H57" s="9" t="n"/>
    </row>
    <row r="58">
      <c r="A58" s="9" t="n"/>
      <c r="B58" s="9" t="n"/>
      <c r="C58" s="9" t="n"/>
      <c r="D58" s="9" t="n"/>
      <c r="E58" s="50" t="n"/>
      <c r="F58" s="9" t="n"/>
      <c r="G58" s="19" t="n"/>
      <c r="H58" s="9" t="n"/>
    </row>
    <row r="59">
      <c r="A59" s="9" t="n"/>
      <c r="B59" s="9" t="n"/>
      <c r="C59" s="9" t="n"/>
      <c r="D59" s="9" t="n"/>
      <c r="E59" s="50" t="n"/>
      <c r="F59" s="9" t="n"/>
      <c r="G59" s="19" t="n"/>
      <c r="H59" s="9" t="n"/>
    </row>
    <row r="60">
      <c r="A60" s="9" t="n"/>
      <c r="B60" s="9" t="n"/>
      <c r="C60" s="9" t="n"/>
      <c r="D60" s="9" t="n"/>
      <c r="E60" s="50" t="n"/>
      <c r="F60" s="9" t="n"/>
      <c r="G60" s="19" t="n"/>
      <c r="H60" s="9" t="n"/>
    </row>
    <row r="61">
      <c r="A61" s="9" t="n"/>
      <c r="B61" s="9" t="n"/>
      <c r="C61" s="9" t="n"/>
      <c r="D61" s="9" t="n"/>
      <c r="E61" s="50" t="n"/>
      <c r="F61" s="9" t="n"/>
      <c r="G61" s="19" t="n"/>
      <c r="H61" s="9" t="n"/>
    </row>
    <row r="62">
      <c r="A62" s="9" t="n"/>
      <c r="B62" s="9" t="n"/>
      <c r="C62" s="9" t="n"/>
      <c r="D62" s="9" t="n"/>
      <c r="E62" s="50" t="n"/>
      <c r="F62" s="9" t="n"/>
      <c r="G62" s="19" t="n"/>
      <c r="H62" s="9" t="n"/>
    </row>
    <row r="63">
      <c r="A63" s="9" t="n"/>
      <c r="B63" s="9" t="n"/>
      <c r="C63" s="9" t="n"/>
      <c r="D63" s="9" t="n"/>
      <c r="E63" s="50" t="n"/>
      <c r="F63" s="9" t="n"/>
      <c r="G63" s="19" t="n"/>
      <c r="H63" s="9" t="n"/>
    </row>
    <row r="64">
      <c r="A64" s="9" t="n"/>
      <c r="B64" s="9" t="n"/>
      <c r="C64" s="9" t="n"/>
      <c r="D64" s="9" t="n"/>
      <c r="E64" s="50" t="n"/>
      <c r="F64" s="9" t="n"/>
      <c r="G64" s="19" t="n"/>
      <c r="H64" s="9" t="n"/>
    </row>
    <row r="65">
      <c r="A65" s="9" t="n"/>
      <c r="B65" s="9" t="n"/>
      <c r="C65" s="9" t="n"/>
      <c r="D65" s="9" t="n"/>
      <c r="E65" s="50" t="n"/>
      <c r="F65" s="9" t="n"/>
      <c r="G65" s="19" t="n"/>
      <c r="H65" s="9" t="n"/>
    </row>
    <row r="66">
      <c r="A66" s="9" t="n"/>
      <c r="B66" s="9" t="n"/>
      <c r="C66" s="9" t="n"/>
      <c r="D66" s="9" t="n"/>
      <c r="E66" s="50" t="n"/>
      <c r="F66" s="9" t="n"/>
      <c r="G66" s="19" t="n"/>
      <c r="H66" s="9" t="n"/>
    </row>
    <row r="67">
      <c r="A67" s="9" t="n"/>
      <c r="B67" s="9" t="n"/>
      <c r="C67" s="9" t="n"/>
      <c r="D67" s="9" t="n"/>
      <c r="E67" s="50" t="n"/>
      <c r="F67" s="9" t="n"/>
      <c r="G67" s="19" t="n"/>
      <c r="H67" s="9" t="n"/>
    </row>
    <row r="68">
      <c r="A68" s="9" t="n"/>
      <c r="B68" s="9" t="n"/>
      <c r="C68" s="9" t="n"/>
      <c r="D68" s="9" t="n"/>
      <c r="E68" s="50" t="n"/>
      <c r="F68" s="9" t="n"/>
      <c r="G68" s="19" t="n"/>
      <c r="H68" s="9" t="n"/>
    </row>
    <row r="69">
      <c r="A69" s="9" t="n"/>
      <c r="B69" s="9" t="n"/>
      <c r="C69" s="9" t="n"/>
      <c r="D69" s="9" t="n"/>
      <c r="E69" s="50" t="n"/>
      <c r="F69" s="9" t="n"/>
      <c r="G69" s="19" t="n"/>
      <c r="H69" s="9" t="n"/>
    </row>
    <row r="70">
      <c r="A70" s="9" t="n"/>
      <c r="B70" s="9" t="n"/>
      <c r="C70" s="9" t="n"/>
      <c r="D70" s="9" t="n"/>
      <c r="E70" s="50" t="n"/>
      <c r="F70" s="9" t="n"/>
      <c r="G70" s="19" t="n"/>
      <c r="H70" s="9" t="n"/>
    </row>
    <row r="71">
      <c r="A71" s="9" t="n"/>
      <c r="B71" s="9" t="n"/>
      <c r="C71" s="9" t="n"/>
      <c r="D71" s="9" t="n"/>
      <c r="E71" s="50" t="n"/>
      <c r="F71" s="9" t="n"/>
      <c r="G71" s="19" t="n"/>
      <c r="H71" s="9" t="n"/>
    </row>
    <row r="72">
      <c r="A72" s="9" t="n"/>
      <c r="B72" s="9" t="n"/>
      <c r="C72" s="9" t="n"/>
      <c r="D72" s="9" t="n"/>
      <c r="E72" s="50" t="n"/>
      <c r="F72" s="9" t="n"/>
      <c r="G72" s="19" t="n"/>
      <c r="H72" s="9" t="n"/>
    </row>
    <row r="73">
      <c r="A73" s="9" t="n"/>
      <c r="B73" s="9" t="n"/>
      <c r="C73" s="9" t="n"/>
      <c r="D73" s="9" t="n"/>
      <c r="E73" s="50" t="n"/>
      <c r="F73" s="9" t="n"/>
      <c r="G73" s="19" t="n"/>
      <c r="H73" s="9" t="n"/>
    </row>
    <row r="74">
      <c r="A74" s="9" t="n"/>
      <c r="B74" s="9" t="n"/>
      <c r="C74" s="9" t="n"/>
      <c r="D74" s="9" t="n"/>
      <c r="E74" s="50" t="n"/>
      <c r="F74" s="9" t="n"/>
      <c r="G74" s="19" t="n"/>
      <c r="H74" s="9" t="n"/>
    </row>
    <row r="75">
      <c r="A75" s="9" t="n"/>
      <c r="B75" s="9" t="n"/>
      <c r="C75" s="9" t="n"/>
      <c r="D75" s="9" t="n"/>
      <c r="E75" s="50" t="n"/>
      <c r="F75" s="9" t="n"/>
      <c r="G75" s="19" t="n"/>
      <c r="H75" s="9" t="n"/>
    </row>
    <row r="76">
      <c r="A76" s="9" t="n"/>
      <c r="B76" s="9" t="n"/>
      <c r="C76" s="9" t="n"/>
      <c r="D76" s="9" t="n"/>
      <c r="E76" s="50" t="n"/>
      <c r="F76" s="9" t="n"/>
      <c r="G76" s="19" t="n"/>
      <c r="H76" s="9" t="n"/>
    </row>
    <row r="77">
      <c r="A77" s="9" t="n"/>
      <c r="B77" s="9" t="n"/>
      <c r="C77" s="9" t="n"/>
      <c r="D77" s="9" t="n"/>
      <c r="E77" s="50" t="n"/>
      <c r="F77" s="9" t="n"/>
      <c r="G77" s="19" t="n"/>
      <c r="H77" s="9" t="n"/>
    </row>
    <row r="78">
      <c r="A78" s="9" t="n"/>
      <c r="B78" s="9" t="n"/>
      <c r="C78" s="9" t="n"/>
      <c r="D78" s="9" t="n"/>
      <c r="E78" s="50" t="n"/>
      <c r="F78" s="9" t="n"/>
      <c r="G78" s="19" t="n"/>
      <c r="H78" s="9" t="n"/>
    </row>
    <row r="79">
      <c r="A79" s="9" t="n"/>
      <c r="B79" s="9" t="n"/>
      <c r="C79" s="9" t="n"/>
      <c r="D79" s="9" t="n"/>
      <c r="E79" s="50" t="n"/>
      <c r="F79" s="9" t="n"/>
      <c r="G79" s="19" t="n"/>
      <c r="H79" s="9" t="n"/>
    </row>
    <row r="80">
      <c r="A80" s="9" t="n"/>
      <c r="B80" s="9" t="n"/>
      <c r="C80" s="9" t="n"/>
      <c r="D80" s="9" t="n"/>
      <c r="E80" s="50" t="n"/>
      <c r="F80" s="9" t="n"/>
      <c r="G80" s="19" t="n"/>
      <c r="H80" s="9" t="n"/>
    </row>
    <row r="81">
      <c r="A81" s="9" t="n"/>
      <c r="B81" s="9" t="n"/>
      <c r="C81" s="9" t="n"/>
      <c r="D81" s="9" t="n"/>
      <c r="E81" s="50" t="n"/>
      <c r="F81" s="9" t="n"/>
      <c r="G81" s="19" t="n"/>
      <c r="H81" s="9" t="n"/>
    </row>
    <row r="82">
      <c r="A82" s="9" t="n"/>
      <c r="B82" s="9" t="n"/>
      <c r="C82" s="9" t="n"/>
      <c r="D82" s="9" t="n"/>
      <c r="E82" s="50" t="n"/>
      <c r="F82" s="9" t="n"/>
      <c r="G82" s="19" t="n"/>
      <c r="H82" s="9" t="n"/>
    </row>
    <row r="83">
      <c r="A83" s="9" t="n"/>
      <c r="B83" s="9" t="n"/>
      <c r="C83" s="9" t="n"/>
      <c r="D83" s="9" t="n"/>
      <c r="E83" s="50" t="n"/>
      <c r="F83" s="9" t="n"/>
      <c r="G83" s="19" t="n"/>
      <c r="H83" s="9" t="n"/>
    </row>
    <row r="84">
      <c r="A84" s="9" t="n"/>
      <c r="B84" s="9" t="n"/>
      <c r="C84" s="9" t="n"/>
      <c r="D84" s="9" t="n"/>
      <c r="E84" s="50" t="n"/>
      <c r="F84" s="9" t="n"/>
      <c r="G84" s="19" t="n"/>
      <c r="H84" s="9" t="n"/>
    </row>
    <row r="85">
      <c r="A85" s="9" t="n"/>
      <c r="B85" s="9" t="n"/>
      <c r="C85" s="9" t="n"/>
      <c r="D85" s="9" t="n"/>
      <c r="E85" s="50" t="n"/>
      <c r="F85" s="9" t="n"/>
      <c r="G85" s="19" t="n"/>
      <c r="H85" s="9" t="n"/>
    </row>
    <row r="86">
      <c r="A86" s="9" t="n"/>
      <c r="B86" s="9" t="n"/>
      <c r="C86" s="9" t="n"/>
      <c r="D86" s="9" t="n"/>
      <c r="E86" s="50" t="n"/>
      <c r="F86" s="9" t="n"/>
      <c r="G86" s="19" t="n"/>
      <c r="H86" s="9" t="n"/>
    </row>
    <row r="87">
      <c r="A87" s="9" t="n"/>
      <c r="B87" s="9" t="n"/>
      <c r="C87" s="9" t="n"/>
      <c r="D87" s="9" t="n"/>
      <c r="E87" s="50" t="n"/>
      <c r="F87" s="9" t="n"/>
      <c r="G87" s="19" t="n"/>
      <c r="H87" s="9" t="n"/>
    </row>
    <row r="88">
      <c r="A88" s="9" t="n"/>
      <c r="B88" s="9" t="n"/>
      <c r="C88" s="9" t="n"/>
      <c r="D88" s="9" t="n"/>
      <c r="E88" s="50" t="n"/>
      <c r="F88" s="9" t="n"/>
      <c r="G88" s="19" t="n"/>
      <c r="H88" s="9" t="n"/>
    </row>
    <row r="89">
      <c r="A89" s="9" t="n"/>
      <c r="B89" s="9" t="n"/>
      <c r="C89" s="9" t="n"/>
      <c r="D89" s="9" t="n"/>
      <c r="E89" s="50" t="n"/>
      <c r="F89" s="9" t="n"/>
      <c r="G89" s="19" t="n"/>
      <c r="H89" s="9" t="n"/>
    </row>
    <row r="90">
      <c r="A90" s="9" t="n"/>
      <c r="B90" s="9" t="n"/>
      <c r="C90" s="9" t="n"/>
      <c r="D90" s="9" t="n"/>
      <c r="E90" s="50" t="n"/>
      <c r="F90" s="9" t="n"/>
      <c r="G90" s="19" t="n"/>
      <c r="H90" s="9" t="n"/>
    </row>
    <row r="91">
      <c r="A91" s="9" t="n"/>
      <c r="B91" s="9" t="n"/>
      <c r="C91" s="9" t="n"/>
      <c r="D91" s="9" t="n"/>
      <c r="E91" s="50" t="n"/>
      <c r="F91" s="9" t="n"/>
      <c r="G91" s="19" t="n"/>
      <c r="H91" s="9" t="n"/>
    </row>
    <row r="92">
      <c r="A92" s="9" t="n"/>
      <c r="B92" s="9" t="n"/>
      <c r="C92" s="9" t="n"/>
      <c r="D92" s="9" t="n"/>
      <c r="E92" s="50" t="n"/>
      <c r="F92" s="9" t="n"/>
      <c r="G92" s="19" t="n"/>
      <c r="H92" s="9" t="n"/>
    </row>
    <row r="93">
      <c r="A93" s="9" t="n"/>
      <c r="B93" s="9" t="n"/>
      <c r="C93" s="9" t="n"/>
      <c r="D93" s="9" t="n"/>
      <c r="E93" s="50" t="n"/>
      <c r="F93" s="9" t="n"/>
      <c r="G93" s="19" t="n"/>
      <c r="H93" s="9" t="n"/>
    </row>
    <row r="94">
      <c r="A94" s="9" t="n"/>
      <c r="B94" s="9" t="n"/>
      <c r="C94" s="9" t="n"/>
      <c r="D94" s="9" t="n"/>
      <c r="E94" s="50" t="n"/>
      <c r="F94" s="9" t="n"/>
      <c r="G94" s="19" t="n"/>
      <c r="H94" s="9" t="n"/>
    </row>
    <row r="95">
      <c r="A95" s="9" t="n"/>
      <c r="B95" s="9" t="n"/>
      <c r="C95" s="9" t="n"/>
      <c r="D95" s="9" t="n"/>
      <c r="E95" s="50" t="n"/>
      <c r="F95" s="9" t="n"/>
      <c r="G95" s="19" t="n"/>
      <c r="H95" s="9" t="n"/>
    </row>
    <row r="96">
      <c r="A96" s="9" t="n"/>
      <c r="B96" s="9" t="n"/>
      <c r="C96" s="9" t="n"/>
      <c r="D96" s="9" t="n"/>
      <c r="E96" s="50" t="n"/>
      <c r="F96" s="9" t="n"/>
      <c r="G96" s="19" t="n"/>
      <c r="H96" s="9" t="n"/>
    </row>
    <row r="97">
      <c r="A97" s="9" t="n"/>
      <c r="B97" s="9" t="n"/>
      <c r="C97" s="9" t="n"/>
      <c r="D97" s="9" t="n"/>
      <c r="E97" s="50" t="n"/>
      <c r="F97" s="9" t="n"/>
      <c r="G97" s="19" t="n"/>
      <c r="H97" s="9" t="n"/>
    </row>
    <row r="98">
      <c r="A98" s="9" t="n"/>
      <c r="B98" s="9" t="n"/>
      <c r="C98" s="9" t="n"/>
      <c r="D98" s="9" t="n"/>
      <c r="E98" s="50" t="n"/>
      <c r="F98" s="9" t="n"/>
      <c r="G98" s="19" t="n"/>
      <c r="H98" s="9" t="n"/>
    </row>
    <row r="99">
      <c r="A99" s="9" t="n"/>
      <c r="B99" s="9" t="n"/>
      <c r="C99" s="9" t="n"/>
      <c r="D99" s="9" t="n"/>
      <c r="E99" s="50" t="n"/>
      <c r="F99" s="9" t="n"/>
      <c r="G99" s="19" t="n"/>
      <c r="H99" s="9" t="n"/>
    </row>
    <row r="100">
      <c r="A100" s="9" t="n"/>
      <c r="B100" s="9" t="n"/>
      <c r="C100" s="9" t="n"/>
      <c r="D100" s="9" t="n"/>
      <c r="E100" s="50" t="n"/>
      <c r="F100" s="9" t="n"/>
      <c r="G100" s="19" t="n"/>
      <c r="H100" s="9" t="n"/>
    </row>
    <row r="101">
      <c r="A101" s="9" t="n"/>
      <c r="B101" s="9" t="n"/>
      <c r="C101" s="9" t="n"/>
      <c r="D101" s="9" t="n"/>
      <c r="E101" s="50" t="n"/>
      <c r="F101" s="9" t="n"/>
      <c r="G101" s="19" t="n"/>
      <c r="H101" s="9" t="n"/>
    </row>
    <row r="102">
      <c r="A102" s="9" t="n"/>
      <c r="B102" s="9" t="n"/>
      <c r="C102" s="9" t="n"/>
      <c r="D102" s="9" t="n"/>
      <c r="E102" s="50" t="n"/>
      <c r="F102" s="9" t="n"/>
      <c r="G102" s="19" t="n"/>
      <c r="H102" s="9" t="n"/>
    </row>
    <row r="103">
      <c r="A103" s="9" t="n"/>
      <c r="B103" s="9" t="n"/>
      <c r="C103" s="9" t="n"/>
      <c r="D103" s="9" t="n"/>
      <c r="E103" s="50" t="n"/>
      <c r="F103" s="9" t="n"/>
      <c r="G103" s="19" t="n"/>
      <c r="H103" s="9" t="n"/>
    </row>
    <row r="104">
      <c r="A104" s="9" t="n"/>
      <c r="B104" s="9" t="n"/>
      <c r="C104" s="9" t="n"/>
      <c r="D104" s="9" t="n"/>
      <c r="E104" s="50" t="n"/>
      <c r="F104" s="9" t="n"/>
      <c r="G104" s="19" t="n"/>
      <c r="H104" s="9" t="n"/>
    </row>
    <row r="105">
      <c r="A105" s="9" t="n"/>
      <c r="B105" s="9" t="n"/>
      <c r="C105" s="9" t="n"/>
      <c r="D105" s="9" t="n"/>
      <c r="E105" s="50" t="n"/>
      <c r="F105" s="9" t="n"/>
      <c r="G105" s="19" t="n"/>
      <c r="H105" s="9" t="n"/>
    </row>
    <row r="106">
      <c r="A106" s="9" t="n"/>
      <c r="B106" s="9" t="n"/>
      <c r="C106" s="9" t="n"/>
      <c r="D106" s="9" t="n"/>
      <c r="E106" s="50" t="n"/>
      <c r="F106" s="9" t="n"/>
      <c r="G106" s="19" t="n"/>
      <c r="H106" s="9" t="n"/>
    </row>
    <row r="107">
      <c r="A107" s="9" t="n"/>
      <c r="B107" s="9" t="n"/>
      <c r="C107" s="9" t="n"/>
      <c r="D107" s="9" t="n"/>
      <c r="E107" s="50" t="n"/>
      <c r="F107" s="9" t="n"/>
      <c r="G107" s="19" t="n"/>
      <c r="H107" s="9" t="n"/>
    </row>
    <row r="108">
      <c r="A108" s="9" t="n"/>
      <c r="B108" s="9" t="n"/>
      <c r="C108" s="9" t="n"/>
      <c r="D108" s="9" t="n"/>
      <c r="E108" s="50" t="n"/>
      <c r="F108" s="9" t="n"/>
      <c r="G108" s="19" t="n"/>
      <c r="H108" s="9" t="n"/>
    </row>
    <row r="109">
      <c r="A109" s="9" t="n"/>
      <c r="B109" s="9" t="n"/>
      <c r="C109" s="9" t="n"/>
      <c r="D109" s="9" t="n"/>
      <c r="E109" s="50" t="n"/>
      <c r="F109" s="9" t="n"/>
      <c r="G109" s="19" t="n"/>
      <c r="H109" s="9" t="n"/>
    </row>
    <row r="110">
      <c r="A110" s="9" t="n"/>
      <c r="B110" s="9" t="n"/>
      <c r="C110" s="9" t="n"/>
      <c r="D110" s="9" t="n"/>
      <c r="E110" s="50" t="n"/>
      <c r="F110" s="9" t="n"/>
      <c r="G110" s="19" t="n"/>
      <c r="H110" s="9" t="n"/>
    </row>
    <row r="111">
      <c r="A111" s="9" t="n"/>
      <c r="B111" s="9" t="n"/>
      <c r="C111" s="9" t="n"/>
      <c r="D111" s="9" t="n"/>
      <c r="E111" s="50" t="n"/>
      <c r="F111" s="9" t="n"/>
      <c r="G111" s="19" t="n"/>
      <c r="H111" s="9" t="n"/>
    </row>
    <row r="112">
      <c r="A112" s="9" t="n"/>
      <c r="B112" s="9" t="n"/>
      <c r="C112" s="9" t="n"/>
      <c r="D112" s="9" t="n"/>
      <c r="E112" s="50" t="n"/>
      <c r="F112" s="9" t="n"/>
      <c r="G112" s="19" t="n"/>
      <c r="H112" s="9" t="n"/>
    </row>
    <row r="113">
      <c r="A113" s="9" t="n"/>
      <c r="B113" s="9" t="n"/>
      <c r="C113" s="9" t="n"/>
      <c r="D113" s="9" t="n"/>
      <c r="E113" s="50" t="n"/>
      <c r="F113" s="9" t="n"/>
      <c r="G113" s="19" t="n"/>
      <c r="H113" s="9" t="n"/>
    </row>
    <row r="114">
      <c r="A114" s="9" t="n"/>
      <c r="B114" s="9" t="n"/>
      <c r="C114" s="9" t="n"/>
      <c r="D114" s="9" t="n"/>
      <c r="E114" s="50" t="n"/>
      <c r="F114" s="9" t="n"/>
      <c r="G114" s="19" t="n"/>
      <c r="H114" s="9" t="n"/>
    </row>
    <row r="115">
      <c r="A115" s="9" t="n"/>
      <c r="B115" s="9" t="n"/>
      <c r="C115" s="9" t="n"/>
      <c r="D115" s="9" t="n"/>
      <c r="E115" s="50" t="n"/>
      <c r="F115" s="9" t="n"/>
      <c r="G115" s="19" t="n"/>
      <c r="H115" s="9" t="n"/>
    </row>
    <row r="116">
      <c r="A116" s="9" t="n"/>
      <c r="B116" s="9" t="n"/>
      <c r="C116" s="9" t="n"/>
      <c r="D116" s="9" t="n"/>
      <c r="E116" s="50" t="n"/>
      <c r="F116" s="9" t="n"/>
      <c r="G116" s="19" t="n"/>
      <c r="H116" s="9" t="n"/>
    </row>
    <row r="117">
      <c r="A117" s="9" t="n"/>
      <c r="B117" s="9" t="n"/>
      <c r="C117" s="9" t="n"/>
      <c r="D117" s="9" t="n"/>
      <c r="E117" s="50" t="n"/>
      <c r="F117" s="9" t="n"/>
      <c r="G117" s="19" t="n"/>
      <c r="H117" s="9" t="n"/>
    </row>
    <row r="118">
      <c r="A118" s="9" t="n"/>
      <c r="B118" s="9" t="n"/>
      <c r="C118" s="9" t="n"/>
      <c r="D118" s="9" t="n"/>
      <c r="E118" s="50" t="n"/>
      <c r="F118" s="9" t="n"/>
      <c r="G118" s="19" t="n"/>
      <c r="H118" s="9" t="n"/>
    </row>
    <row r="119">
      <c r="A119" s="9" t="n"/>
      <c r="B119" s="9" t="n"/>
      <c r="C119" s="9" t="n"/>
      <c r="D119" s="9" t="n"/>
      <c r="E119" s="50" t="n"/>
      <c r="F119" s="9" t="n"/>
      <c r="G119" s="19" t="n"/>
      <c r="H119" s="9" t="n"/>
    </row>
    <row r="120">
      <c r="A120" s="9" t="n"/>
      <c r="B120" s="9" t="n"/>
      <c r="C120" s="9" t="n"/>
      <c r="D120" s="9" t="n"/>
      <c r="E120" s="50" t="n"/>
      <c r="F120" s="9" t="n"/>
      <c r="G120" s="19" t="n"/>
      <c r="H120" s="9" t="n"/>
    </row>
    <row r="121">
      <c r="A121" s="9" t="n"/>
      <c r="B121" s="9" t="n"/>
      <c r="C121" s="9" t="n"/>
      <c r="D121" s="9" t="n"/>
      <c r="E121" s="50" t="n"/>
      <c r="F121" s="9" t="n"/>
      <c r="G121" s="19" t="n"/>
      <c r="H121" s="9" t="n"/>
    </row>
    <row r="122">
      <c r="A122" s="9" t="n"/>
      <c r="B122" s="9" t="n"/>
      <c r="C122" s="9" t="n"/>
      <c r="D122" s="9" t="n"/>
      <c r="E122" s="50" t="n"/>
      <c r="F122" s="9" t="n"/>
      <c r="G122" s="19" t="n"/>
      <c r="H122" s="9" t="n"/>
    </row>
    <row r="123">
      <c r="A123" s="9" t="n"/>
      <c r="B123" s="9" t="n"/>
      <c r="C123" s="9" t="n"/>
      <c r="D123" s="9" t="n"/>
      <c r="E123" s="50" t="n"/>
      <c r="F123" s="9" t="n"/>
      <c r="G123" s="19" t="n"/>
      <c r="H123" s="9" t="n"/>
    </row>
    <row r="124">
      <c r="A124" s="9" t="n"/>
      <c r="B124" s="9" t="n"/>
      <c r="C124" s="9" t="n"/>
      <c r="D124" s="9" t="n"/>
      <c r="E124" s="50" t="n"/>
      <c r="F124" s="9" t="n"/>
      <c r="G124" s="19" t="n"/>
      <c r="H124" s="9" t="n"/>
    </row>
    <row r="125">
      <c r="A125" s="9" t="n"/>
      <c r="B125" s="9" t="n"/>
      <c r="C125" s="9" t="n"/>
      <c r="D125" s="9" t="n"/>
      <c r="E125" s="50" t="n"/>
      <c r="F125" s="9" t="n"/>
      <c r="G125" s="19" t="n"/>
      <c r="H125" s="9" t="n"/>
    </row>
    <row r="126">
      <c r="A126" s="9" t="n"/>
      <c r="B126" s="9" t="n"/>
      <c r="C126" s="9" t="n"/>
      <c r="D126" s="9" t="n"/>
      <c r="E126" s="50" t="n"/>
      <c r="F126" s="9" t="n"/>
      <c r="G126" s="19" t="n"/>
      <c r="H126" s="9" t="n"/>
    </row>
    <row r="127">
      <c r="A127" s="9" t="n"/>
      <c r="B127" s="9" t="n"/>
      <c r="C127" s="9" t="n"/>
      <c r="D127" s="9" t="n"/>
      <c r="E127" s="50" t="n"/>
      <c r="F127" s="9" t="n"/>
      <c r="G127" s="19" t="n"/>
      <c r="H127" s="9" t="n"/>
    </row>
    <row r="128">
      <c r="A128" s="9" t="n"/>
      <c r="B128" s="9" t="n"/>
      <c r="C128" s="9" t="n"/>
      <c r="D128" s="9" t="n"/>
      <c r="E128" s="50" t="n"/>
      <c r="F128" s="9" t="n"/>
      <c r="G128" s="19" t="n"/>
      <c r="H128" s="9" t="n"/>
    </row>
    <row r="129">
      <c r="A129" s="9" t="n"/>
      <c r="B129" s="9" t="n"/>
      <c r="C129" s="9" t="n"/>
      <c r="D129" s="9" t="n"/>
      <c r="E129" s="50" t="n"/>
      <c r="F129" s="9" t="n"/>
      <c r="G129" s="19" t="n"/>
      <c r="H129" s="9" t="n"/>
    </row>
    <row r="130">
      <c r="A130" s="9" t="n"/>
      <c r="B130" s="9" t="n"/>
      <c r="C130" s="9" t="n"/>
      <c r="D130" s="9" t="n"/>
      <c r="E130" s="50" t="n"/>
      <c r="F130" s="9" t="n"/>
      <c r="G130" s="19" t="n"/>
      <c r="H130" s="9" t="n"/>
    </row>
    <row r="131">
      <c r="A131" s="9" t="n"/>
      <c r="B131" s="9" t="n"/>
      <c r="C131" s="9" t="n"/>
      <c r="D131" s="9" t="n"/>
      <c r="E131" s="50" t="n"/>
      <c r="F131" s="9" t="n"/>
      <c r="G131" s="19" t="n"/>
      <c r="H131" s="9" t="n"/>
    </row>
    <row r="132">
      <c r="A132" s="9" t="n"/>
      <c r="B132" s="9" t="n"/>
      <c r="C132" s="9" t="n"/>
      <c r="D132" s="9" t="n"/>
      <c r="E132" s="50" t="n"/>
      <c r="F132" s="9" t="n"/>
      <c r="G132" s="19" t="n"/>
      <c r="H132" s="9" t="n"/>
    </row>
    <row r="133">
      <c r="A133" s="9" t="n"/>
      <c r="B133" s="9" t="n"/>
      <c r="C133" s="9" t="n"/>
      <c r="D133" s="9" t="n"/>
      <c r="E133" s="50" t="n"/>
      <c r="F133" s="9" t="n"/>
      <c r="G133" s="19" t="n"/>
      <c r="H133" s="9" t="n"/>
    </row>
    <row r="134">
      <c r="A134" s="9" t="n"/>
      <c r="B134" s="9" t="n"/>
      <c r="C134" s="9" t="n"/>
      <c r="D134" s="9" t="n"/>
      <c r="E134" s="50" t="n"/>
      <c r="F134" s="9" t="n"/>
      <c r="G134" s="19" t="n"/>
      <c r="H134" s="9" t="n"/>
    </row>
    <row r="135">
      <c r="A135" s="9" t="n"/>
      <c r="B135" s="9" t="n"/>
      <c r="C135" s="9" t="n"/>
      <c r="D135" s="9" t="n"/>
      <c r="E135" s="50" t="n"/>
      <c r="F135" s="9" t="n"/>
      <c r="G135" s="19" t="n"/>
      <c r="H135" s="9" t="n"/>
    </row>
    <row r="136">
      <c r="A136" s="9" t="n"/>
      <c r="B136" s="9" t="n"/>
      <c r="C136" s="9" t="n"/>
      <c r="D136" s="9" t="n"/>
      <c r="E136" s="50" t="n"/>
      <c r="F136" s="9" t="n"/>
      <c r="G136" s="19" t="n"/>
      <c r="H136" s="9" t="n"/>
    </row>
    <row r="137">
      <c r="A137" s="9" t="n"/>
      <c r="B137" s="9" t="n"/>
      <c r="C137" s="9" t="n"/>
      <c r="D137" s="9" t="n"/>
      <c r="E137" s="50" t="n"/>
      <c r="F137" s="9" t="n"/>
      <c r="G137" s="19" t="n"/>
      <c r="H137" s="9" t="n"/>
    </row>
    <row r="138">
      <c r="A138" s="9" t="n"/>
      <c r="B138" s="9" t="n"/>
      <c r="C138" s="9" t="n"/>
      <c r="D138" s="9" t="n"/>
      <c r="E138" s="50" t="n"/>
      <c r="F138" s="9" t="n"/>
      <c r="G138" s="19" t="n"/>
      <c r="H138" s="9" t="n"/>
    </row>
    <row r="139">
      <c r="A139" s="9" t="n"/>
      <c r="B139" s="9" t="n"/>
      <c r="C139" s="9" t="n"/>
      <c r="D139" s="9" t="n"/>
      <c r="E139" s="50" t="n"/>
      <c r="F139" s="9" t="n"/>
      <c r="G139" s="19" t="n"/>
      <c r="H139" s="9" t="n"/>
    </row>
    <row r="140">
      <c r="A140" s="9" t="n"/>
      <c r="B140" s="9" t="n"/>
      <c r="C140" s="9" t="n"/>
      <c r="D140" s="9" t="n"/>
      <c r="E140" s="50" t="n"/>
      <c r="F140" s="9" t="n"/>
      <c r="G140" s="19" t="n"/>
      <c r="H140" s="9" t="n"/>
    </row>
    <row r="141">
      <c r="A141" s="9" t="n"/>
      <c r="B141" s="9" t="n"/>
      <c r="C141" s="9" t="n"/>
      <c r="D141" s="9" t="n"/>
      <c r="E141" s="50" t="n"/>
      <c r="F141" s="9" t="n"/>
      <c r="G141" s="19" t="n"/>
      <c r="H141" s="9" t="n"/>
    </row>
    <row r="142">
      <c r="A142" s="9" t="n"/>
      <c r="B142" s="9" t="n"/>
      <c r="C142" s="9" t="n"/>
      <c r="D142" s="9" t="n"/>
      <c r="E142" s="50" t="n"/>
      <c r="F142" s="9" t="n"/>
      <c r="G142" s="19" t="n"/>
      <c r="H142" s="9" t="n"/>
    </row>
    <row r="143">
      <c r="A143" s="9" t="n"/>
      <c r="B143" s="9" t="n"/>
      <c r="C143" s="9" t="n"/>
      <c r="D143" s="9" t="n"/>
      <c r="E143" s="50" t="n"/>
      <c r="F143" s="9" t="n"/>
      <c r="G143" s="19" t="n"/>
      <c r="H143" s="9" t="n"/>
    </row>
    <row r="144">
      <c r="A144" s="9" t="n"/>
      <c r="B144" s="9" t="n"/>
      <c r="C144" s="9" t="n"/>
      <c r="D144" s="9" t="n"/>
      <c r="E144" s="50" t="n"/>
      <c r="F144" s="9" t="n"/>
      <c r="G144" s="19" t="n"/>
      <c r="H144" s="9" t="n"/>
    </row>
    <row r="145">
      <c r="A145" s="9" t="n"/>
      <c r="B145" s="9" t="n"/>
      <c r="C145" s="9" t="n"/>
      <c r="D145" s="9" t="n"/>
      <c r="E145" s="50" t="n"/>
      <c r="F145" s="9" t="n"/>
      <c r="G145" s="19" t="n"/>
      <c r="H145" s="9" t="n"/>
    </row>
    <row r="146">
      <c r="A146" s="9" t="n"/>
      <c r="B146" s="9" t="n"/>
      <c r="C146" s="9" t="n"/>
      <c r="D146" s="9" t="n"/>
      <c r="E146" s="50" t="n"/>
      <c r="F146" s="9" t="n"/>
      <c r="G146" s="19" t="n"/>
      <c r="H146" s="9" t="n"/>
    </row>
    <row r="147">
      <c r="A147" s="9" t="n"/>
      <c r="B147" s="9" t="n"/>
      <c r="C147" s="9" t="n"/>
      <c r="D147" s="9" t="n"/>
      <c r="E147" s="50" t="n"/>
      <c r="F147" s="9" t="n"/>
      <c r="G147" s="19" t="n"/>
      <c r="H147" s="9" t="n"/>
    </row>
    <row r="148">
      <c r="A148" s="9" t="n"/>
      <c r="B148" s="9" t="n"/>
      <c r="C148" s="9" t="n"/>
      <c r="D148" s="9" t="n"/>
      <c r="E148" s="50" t="n"/>
      <c r="F148" s="9" t="n"/>
      <c r="G148" s="19" t="n"/>
      <c r="H148" s="9" t="n"/>
    </row>
    <row r="149">
      <c r="A149" s="9" t="n"/>
      <c r="B149" s="9" t="n"/>
      <c r="C149" s="9" t="n"/>
      <c r="D149" s="9" t="n"/>
      <c r="E149" s="50" t="n"/>
      <c r="F149" s="9" t="n"/>
      <c r="G149" s="19" t="n"/>
      <c r="H149" s="9" t="n"/>
    </row>
    <row r="150">
      <c r="A150" s="9" t="n"/>
      <c r="B150" s="9" t="n"/>
      <c r="C150" s="9" t="n"/>
      <c r="D150" s="9" t="n"/>
      <c r="E150" s="50" t="n"/>
      <c r="F150" s="9" t="n"/>
      <c r="G150" s="19" t="n"/>
      <c r="H150" s="9" t="n"/>
    </row>
    <row r="151">
      <c r="A151" s="9" t="n"/>
      <c r="B151" s="9" t="n"/>
      <c r="C151" s="9" t="n"/>
      <c r="D151" s="9" t="n"/>
      <c r="E151" s="50" t="n"/>
      <c r="F151" s="9" t="n"/>
      <c r="G151" s="19" t="n"/>
      <c r="H151" s="9" t="n"/>
    </row>
    <row r="152">
      <c r="A152" s="9" t="n"/>
      <c r="B152" s="9" t="n"/>
      <c r="C152" s="9" t="n"/>
      <c r="D152" s="9" t="n"/>
      <c r="E152" s="50" t="n"/>
      <c r="F152" s="9" t="n"/>
      <c r="G152" s="19" t="n"/>
      <c r="H152" s="9" t="n"/>
    </row>
    <row r="153">
      <c r="A153" s="9" t="n"/>
      <c r="B153" s="9" t="n"/>
      <c r="C153" s="9" t="n"/>
      <c r="D153" s="9" t="n"/>
      <c r="E153" s="50" t="n"/>
      <c r="F153" s="9" t="n"/>
      <c r="G153" s="19" t="n"/>
      <c r="H153" s="9" t="n"/>
    </row>
    <row r="154">
      <c r="A154" s="9" t="n"/>
      <c r="B154" s="9" t="n"/>
      <c r="C154" s="9" t="n"/>
      <c r="D154" s="9" t="n"/>
      <c r="E154" s="50" t="n"/>
      <c r="F154" s="9" t="n"/>
      <c r="G154" s="19" t="n"/>
      <c r="H154" s="9" t="n"/>
    </row>
    <row r="155">
      <c r="A155" s="9" t="n"/>
      <c r="B155" s="9" t="n"/>
      <c r="C155" s="9" t="n"/>
      <c r="D155" s="9" t="n"/>
      <c r="E155" s="50" t="n"/>
      <c r="F155" s="9" t="n"/>
      <c r="G155" s="19" t="n"/>
      <c r="H155" s="9" t="n"/>
    </row>
    <row r="156">
      <c r="A156" s="9" t="n"/>
      <c r="B156" s="9" t="n"/>
      <c r="C156" s="9" t="n"/>
      <c r="D156" s="9" t="n"/>
      <c r="E156" s="50" t="n"/>
      <c r="F156" s="9" t="n"/>
      <c r="G156" s="19" t="n"/>
      <c r="H156" s="9" t="n"/>
    </row>
    <row r="157">
      <c r="A157" s="9" t="n"/>
      <c r="B157" s="9" t="n"/>
      <c r="C157" s="9" t="n"/>
      <c r="D157" s="9" t="n"/>
      <c r="E157" s="50" t="n"/>
      <c r="F157" s="9" t="n"/>
      <c r="G157" s="19" t="n"/>
      <c r="H157" s="9" t="n"/>
    </row>
    <row r="158">
      <c r="A158" s="9" t="n"/>
      <c r="B158" s="9" t="n"/>
      <c r="C158" s="9" t="n"/>
      <c r="D158" s="9" t="n"/>
      <c r="E158" s="50" t="n"/>
      <c r="F158" s="9" t="n"/>
      <c r="G158" s="19" t="n"/>
      <c r="H158" s="9" t="n"/>
    </row>
    <row r="159">
      <c r="A159" s="9" t="n"/>
      <c r="B159" s="9" t="n"/>
      <c r="C159" s="9" t="n"/>
      <c r="D159" s="9" t="n"/>
      <c r="E159" s="50" t="n"/>
      <c r="F159" s="9" t="n"/>
      <c r="G159" s="19" t="n"/>
      <c r="H159" s="9" t="n"/>
    </row>
    <row r="160">
      <c r="A160" s="9" t="n"/>
      <c r="B160" s="9" t="n"/>
      <c r="C160" s="9" t="n"/>
      <c r="D160" s="9" t="n"/>
      <c r="E160" s="50" t="n"/>
      <c r="F160" s="9" t="n"/>
      <c r="G160" s="19" t="n"/>
      <c r="H160" s="9" t="n"/>
    </row>
    <row r="161">
      <c r="A161" s="9" t="n"/>
      <c r="B161" s="9" t="n"/>
      <c r="C161" s="9" t="n"/>
      <c r="D161" s="9" t="n"/>
      <c r="E161" s="50" t="n"/>
      <c r="F161" s="9" t="n"/>
      <c r="G161" s="19" t="n"/>
      <c r="H161" s="9" t="n"/>
    </row>
    <row r="162">
      <c r="A162" s="9" t="n"/>
      <c r="B162" s="9" t="n"/>
      <c r="C162" s="9" t="n"/>
      <c r="D162" s="9" t="n"/>
      <c r="E162" s="50" t="n"/>
      <c r="F162" s="9" t="n"/>
      <c r="G162" s="19" t="n"/>
      <c r="H162" s="9" t="n"/>
    </row>
    <row r="163">
      <c r="A163" s="9" t="n"/>
      <c r="B163" s="9" t="n"/>
      <c r="C163" s="9" t="n"/>
      <c r="D163" s="9" t="n"/>
      <c r="E163" s="50" t="n"/>
      <c r="F163" s="9" t="n"/>
      <c r="G163" s="19" t="n"/>
      <c r="H163" s="9" t="n"/>
    </row>
    <row r="164">
      <c r="A164" s="9" t="n"/>
      <c r="B164" s="9" t="n"/>
      <c r="C164" s="9" t="n"/>
      <c r="D164" s="9" t="n"/>
      <c r="E164" s="50" t="n"/>
      <c r="F164" s="9" t="n"/>
      <c r="G164" s="19" t="n"/>
      <c r="H164" s="9" t="n"/>
    </row>
    <row r="165">
      <c r="A165" s="9" t="n"/>
      <c r="B165" s="9" t="n"/>
      <c r="C165" s="9" t="n"/>
      <c r="D165" s="9" t="n"/>
      <c r="E165" s="50" t="n"/>
      <c r="F165" s="9" t="n"/>
      <c r="G165" s="19" t="n"/>
      <c r="H165" s="9" t="n"/>
    </row>
    <row r="166">
      <c r="A166" s="9" t="n"/>
      <c r="B166" s="9" t="n"/>
      <c r="C166" s="9" t="n"/>
      <c r="D166" s="9" t="n"/>
      <c r="E166" s="50" t="n"/>
      <c r="F166" s="9" t="n"/>
      <c r="G166" s="19" t="n"/>
      <c r="H166" s="9" t="n"/>
    </row>
    <row r="167">
      <c r="A167" s="9" t="n"/>
      <c r="B167" s="9" t="n"/>
      <c r="C167" s="9" t="n"/>
      <c r="D167" s="9" t="n"/>
      <c r="E167" s="50" t="n"/>
      <c r="F167" s="9" t="n"/>
      <c r="G167" s="19" t="n"/>
      <c r="H167" s="9" t="n"/>
    </row>
    <row r="168">
      <c r="A168" s="9" t="n"/>
      <c r="B168" s="9" t="n"/>
      <c r="C168" s="9" t="n"/>
      <c r="D168" s="9" t="n"/>
      <c r="E168" s="50" t="n"/>
      <c r="F168" s="9" t="n"/>
      <c r="G168" s="19" t="n"/>
      <c r="H168" s="9" t="n"/>
    </row>
    <row r="169">
      <c r="A169" s="9" t="n"/>
      <c r="B169" s="9" t="n"/>
      <c r="C169" s="9" t="n"/>
      <c r="D169" s="9" t="n"/>
      <c r="E169" s="50" t="n"/>
      <c r="F169" s="9" t="n"/>
      <c r="G169" s="19" t="n"/>
      <c r="H169" s="9" t="n"/>
    </row>
    <row r="170">
      <c r="A170" s="9" t="n"/>
      <c r="B170" s="9" t="n"/>
      <c r="C170" s="9" t="n"/>
      <c r="D170" s="9" t="n"/>
      <c r="E170" s="50" t="n"/>
      <c r="F170" s="9" t="n"/>
      <c r="G170" s="19" t="n"/>
      <c r="H170" s="9" t="n"/>
    </row>
    <row r="171">
      <c r="A171" s="9" t="n"/>
      <c r="B171" s="9" t="n"/>
      <c r="C171" s="9" t="n"/>
      <c r="D171" s="9" t="n"/>
      <c r="E171" s="50" t="n"/>
      <c r="F171" s="9" t="n"/>
      <c r="G171" s="19" t="n"/>
      <c r="H171" s="9" t="n"/>
    </row>
    <row r="172">
      <c r="A172" s="9" t="n"/>
      <c r="B172" s="9" t="n"/>
      <c r="C172" s="9" t="n"/>
      <c r="D172" s="9" t="n"/>
      <c r="E172" s="50" t="n"/>
      <c r="F172" s="9" t="n"/>
      <c r="G172" s="19" t="n"/>
      <c r="H172" s="9" t="n"/>
    </row>
    <row r="173">
      <c r="A173" s="9" t="n"/>
      <c r="B173" s="9" t="n"/>
      <c r="C173" s="9" t="n"/>
      <c r="D173" s="9" t="n"/>
      <c r="E173" s="50" t="n"/>
      <c r="F173" s="9" t="n"/>
      <c r="G173" s="19" t="n"/>
      <c r="H173" s="9" t="n"/>
    </row>
    <row r="174">
      <c r="A174" s="9" t="n"/>
      <c r="B174" s="9" t="n"/>
      <c r="C174" s="9" t="n"/>
      <c r="D174" s="9" t="n"/>
      <c r="E174" s="50" t="n"/>
      <c r="F174" s="9" t="n"/>
      <c r="G174" s="19" t="n"/>
      <c r="H174" s="9" t="n"/>
    </row>
    <row r="175">
      <c r="A175" s="9" t="n"/>
      <c r="B175" s="9" t="n"/>
      <c r="C175" s="9" t="n"/>
      <c r="D175" s="9" t="n"/>
      <c r="E175" s="50" t="n"/>
      <c r="F175" s="9" t="n"/>
      <c r="G175" s="19" t="n"/>
      <c r="H175" s="9" t="n"/>
    </row>
    <row r="176">
      <c r="A176" s="9" t="n"/>
      <c r="B176" s="9" t="n"/>
      <c r="C176" s="9" t="n"/>
      <c r="D176" s="9" t="n"/>
      <c r="E176" s="50" t="n"/>
      <c r="F176" s="9" t="n"/>
      <c r="G176" s="19" t="n"/>
      <c r="H176" s="9" t="n"/>
    </row>
    <row r="177">
      <c r="A177" s="9" t="n"/>
      <c r="B177" s="9" t="n"/>
      <c r="C177" s="9" t="n"/>
      <c r="D177" s="9" t="n"/>
      <c r="E177" s="50" t="n"/>
      <c r="F177" s="9" t="n"/>
      <c r="G177" s="19" t="n"/>
      <c r="H177" s="9" t="n"/>
    </row>
    <row r="178">
      <c r="A178" s="9" t="n"/>
      <c r="B178" s="9" t="n"/>
      <c r="C178" s="9" t="n"/>
      <c r="D178" s="9" t="n"/>
      <c r="E178" s="50" t="n"/>
      <c r="F178" s="9" t="n"/>
      <c r="G178" s="19" t="n"/>
      <c r="H178" s="9" t="n"/>
    </row>
    <row r="179">
      <c r="A179" s="9" t="n"/>
      <c r="B179" s="9" t="n"/>
      <c r="C179" s="9" t="n"/>
      <c r="D179" s="9" t="n"/>
      <c r="E179" s="50" t="n"/>
      <c r="F179" s="9" t="n"/>
      <c r="G179" s="19" t="n"/>
      <c r="H179" s="9" t="n"/>
    </row>
    <row r="180">
      <c r="A180" s="9" t="n"/>
      <c r="B180" s="9" t="n"/>
      <c r="C180" s="9" t="n"/>
      <c r="D180" s="9" t="n"/>
      <c r="E180" s="50" t="n"/>
      <c r="F180" s="9" t="n"/>
      <c r="G180" s="19" t="n"/>
      <c r="H180" s="9" t="n"/>
    </row>
    <row r="181">
      <c r="A181" s="9" t="n"/>
      <c r="B181" s="9" t="n"/>
      <c r="C181" s="9" t="n"/>
      <c r="D181" s="9" t="n"/>
      <c r="E181" s="50" t="n"/>
      <c r="F181" s="9" t="n"/>
      <c r="G181" s="19" t="n"/>
      <c r="H181" s="9" t="n"/>
    </row>
    <row r="182">
      <c r="A182" s="9" t="n"/>
      <c r="B182" s="9" t="n"/>
      <c r="C182" s="9" t="n"/>
      <c r="D182" s="9" t="n"/>
      <c r="E182" s="50" t="n"/>
      <c r="F182" s="9" t="n"/>
      <c r="G182" s="19" t="n"/>
      <c r="H182" s="9" t="n"/>
    </row>
    <row r="183">
      <c r="A183" s="9" t="n"/>
      <c r="B183" s="9" t="n"/>
      <c r="C183" s="9" t="n"/>
      <c r="D183" s="9" t="n"/>
      <c r="E183" s="50" t="n"/>
      <c r="F183" s="9" t="n"/>
      <c r="G183" s="19" t="n"/>
      <c r="H183" s="9" t="n"/>
    </row>
    <row r="184">
      <c r="A184" s="9" t="n"/>
      <c r="B184" s="9" t="n"/>
      <c r="C184" s="9" t="n"/>
      <c r="D184" s="9" t="n"/>
      <c r="E184" s="50" t="n"/>
      <c r="F184" s="9" t="n"/>
      <c r="G184" s="19" t="n"/>
      <c r="H184" s="9" t="n"/>
    </row>
    <row r="185">
      <c r="A185" s="9" t="n"/>
      <c r="B185" s="9" t="n"/>
      <c r="C185" s="9" t="n"/>
      <c r="D185" s="9" t="n"/>
      <c r="E185" s="50" t="n"/>
      <c r="F185" s="9" t="n"/>
      <c r="G185" s="19" t="n"/>
      <c r="H185" s="9" t="n"/>
    </row>
    <row r="186">
      <c r="A186" s="9" t="n"/>
      <c r="B186" s="9" t="n"/>
      <c r="C186" s="9" t="n"/>
      <c r="D186" s="9" t="n"/>
      <c r="E186" s="50" t="n"/>
      <c r="F186" s="9" t="n"/>
      <c r="G186" s="19" t="n"/>
      <c r="H186" s="9" t="n"/>
    </row>
    <row r="187">
      <c r="A187" s="9" t="n"/>
      <c r="B187" s="9" t="n"/>
      <c r="C187" s="9" t="n"/>
      <c r="D187" s="9" t="n"/>
      <c r="E187" s="50" t="n"/>
      <c r="F187" s="9" t="n"/>
      <c r="G187" s="19" t="n"/>
      <c r="H187" s="9" t="n"/>
    </row>
    <row r="188">
      <c r="A188" s="9" t="n"/>
      <c r="B188" s="9" t="n"/>
      <c r="C188" s="9" t="n"/>
      <c r="D188" s="9" t="n"/>
      <c r="E188" s="50" t="n"/>
      <c r="F188" s="9" t="n"/>
      <c r="G188" s="19" t="n"/>
      <c r="H188" s="9" t="n"/>
    </row>
    <row r="189">
      <c r="A189" s="9" t="n"/>
      <c r="B189" s="9" t="n"/>
      <c r="C189" s="9" t="n"/>
      <c r="D189" s="9" t="n"/>
      <c r="E189" s="50" t="n"/>
      <c r="F189" s="9" t="n"/>
      <c r="G189" s="19" t="n"/>
      <c r="H189" s="9" t="n"/>
    </row>
    <row r="190">
      <c r="A190" s="9" t="n"/>
      <c r="B190" s="9" t="n"/>
      <c r="C190" s="9" t="n"/>
      <c r="D190" s="9" t="n"/>
      <c r="E190" s="50" t="n"/>
      <c r="F190" s="9" t="n"/>
      <c r="G190" s="19" t="n"/>
      <c r="H190" s="9" t="n"/>
    </row>
    <row r="191">
      <c r="A191" s="9" t="n"/>
      <c r="B191" s="9" t="n"/>
      <c r="C191" s="9" t="n"/>
      <c r="D191" s="9" t="n"/>
      <c r="E191" s="50" t="n"/>
      <c r="F191" s="9" t="n"/>
      <c r="G191" s="19" t="n"/>
      <c r="H191" s="9" t="n"/>
    </row>
    <row r="192">
      <c r="A192" s="9" t="n"/>
      <c r="B192" s="9" t="n"/>
      <c r="C192" s="9" t="n"/>
      <c r="D192" s="9" t="n"/>
      <c r="E192" s="50" t="n"/>
      <c r="F192" s="9" t="n"/>
      <c r="G192" s="19" t="n"/>
      <c r="H192" s="9" t="n"/>
    </row>
    <row r="193">
      <c r="A193" s="9" t="n"/>
      <c r="B193" s="9" t="n"/>
      <c r="C193" s="9" t="n"/>
      <c r="D193" s="9" t="n"/>
      <c r="E193" s="50" t="n"/>
      <c r="F193" s="9" t="n"/>
      <c r="G193" s="19" t="n"/>
      <c r="H193" s="9" t="n"/>
    </row>
    <row r="194">
      <c r="A194" s="9" t="n"/>
      <c r="B194" s="9" t="n"/>
      <c r="C194" s="9" t="n"/>
      <c r="D194" s="9" t="n"/>
      <c r="E194" s="50" t="n"/>
      <c r="F194" s="9" t="n"/>
      <c r="G194" s="19" t="n"/>
      <c r="H194" s="9" t="n"/>
    </row>
    <row r="195">
      <c r="A195" s="9" t="n"/>
      <c r="B195" s="9" t="n"/>
      <c r="C195" s="9" t="n"/>
      <c r="D195" s="9" t="n"/>
      <c r="E195" s="50" t="n"/>
      <c r="F195" s="9" t="n"/>
      <c r="G195" s="19" t="n"/>
      <c r="H195" s="9" t="n"/>
    </row>
    <row r="196">
      <c r="A196" s="9" t="n"/>
      <c r="B196" s="9" t="n"/>
      <c r="C196" s="9" t="n"/>
      <c r="D196" s="9" t="n"/>
      <c r="E196" s="50" t="n"/>
      <c r="F196" s="9" t="n"/>
      <c r="G196" s="19" t="n"/>
      <c r="H196" s="9" t="n"/>
    </row>
    <row r="197">
      <c r="A197" s="9" t="n"/>
      <c r="B197" s="9" t="n"/>
      <c r="C197" s="9" t="n"/>
      <c r="D197" s="9" t="n"/>
      <c r="E197" s="50" t="n"/>
      <c r="F197" s="9" t="n"/>
      <c r="G197" s="19" t="n"/>
      <c r="H197" s="9" t="n"/>
    </row>
    <row r="198">
      <c r="A198" s="9" t="n"/>
      <c r="B198" s="9" t="n"/>
      <c r="C198" s="9" t="n"/>
      <c r="D198" s="9" t="n"/>
      <c r="E198" s="50" t="n"/>
      <c r="F198" s="9" t="n"/>
      <c r="G198" s="19" t="n"/>
      <c r="H198" s="9" t="n"/>
    </row>
    <row r="199">
      <c r="A199" s="9" t="n"/>
      <c r="B199" s="9" t="n"/>
      <c r="C199" s="9" t="n"/>
      <c r="D199" s="9" t="n"/>
      <c r="E199" s="50" t="n"/>
      <c r="F199" s="9" t="n"/>
      <c r="G199" s="19" t="n"/>
      <c r="H199" s="9" t="n"/>
    </row>
    <row r="200">
      <c r="A200" s="9" t="n"/>
      <c r="B200" s="9" t="n"/>
      <c r="C200" s="9" t="n"/>
      <c r="D200" s="9" t="n"/>
      <c r="E200" s="50" t="n"/>
      <c r="F200" s="9" t="n"/>
      <c r="G200" s="19" t="n"/>
      <c r="H200" s="9" t="n"/>
    </row>
    <row r="201">
      <c r="A201" s="9" t="n"/>
      <c r="B201" s="9" t="n"/>
      <c r="C201" s="9" t="n"/>
      <c r="D201" s="9" t="n"/>
      <c r="E201" s="50" t="n"/>
      <c r="F201" s="9" t="n"/>
      <c r="G201" s="19" t="n"/>
      <c r="H201" s="9" t="n"/>
    </row>
    <row r="202">
      <c r="A202" s="9" t="n"/>
      <c r="B202" s="9" t="n"/>
      <c r="C202" s="9" t="n"/>
      <c r="D202" s="9" t="n"/>
      <c r="E202" s="50" t="n"/>
      <c r="F202" s="9" t="n"/>
      <c r="G202" s="19" t="n"/>
      <c r="H202" s="9" t="n"/>
    </row>
    <row r="203">
      <c r="A203" s="9" t="n"/>
      <c r="B203" s="9" t="n"/>
      <c r="C203" s="9" t="n"/>
      <c r="D203" s="9" t="n"/>
      <c r="E203" s="50" t="n"/>
      <c r="F203" s="9" t="n"/>
      <c r="G203" s="19" t="n"/>
      <c r="H203" s="9" t="n"/>
    </row>
    <row r="204">
      <c r="A204" s="9" t="n"/>
      <c r="B204" s="9" t="n"/>
      <c r="C204" s="9" t="n"/>
      <c r="D204" s="9" t="n"/>
      <c r="E204" s="50" t="n"/>
      <c r="F204" s="9" t="n"/>
      <c r="G204" s="19" t="n"/>
      <c r="H204" s="9" t="n"/>
    </row>
    <row r="205">
      <c r="A205" s="9" t="n"/>
      <c r="B205" s="9" t="n"/>
      <c r="C205" s="9" t="n"/>
      <c r="D205" s="9" t="n"/>
      <c r="E205" s="50" t="n"/>
      <c r="F205" s="9" t="n"/>
      <c r="G205" s="19" t="n"/>
      <c r="H205" s="9" t="n"/>
    </row>
    <row r="206">
      <c r="A206" s="9" t="n"/>
      <c r="B206" s="9" t="n"/>
      <c r="C206" s="9" t="n"/>
      <c r="D206" s="9" t="n"/>
      <c r="E206" s="50" t="n"/>
      <c r="F206" s="9" t="n"/>
      <c r="G206" s="19" t="n"/>
      <c r="H206" s="9" t="n"/>
    </row>
    <row r="207">
      <c r="A207" s="9" t="n"/>
      <c r="B207" s="9" t="n"/>
      <c r="C207" s="9" t="n"/>
      <c r="D207" s="9" t="n"/>
      <c r="E207" s="50" t="n"/>
      <c r="F207" s="9" t="n"/>
      <c r="G207" s="19" t="n"/>
      <c r="H207" s="9" t="n"/>
    </row>
    <row r="208">
      <c r="A208" s="9" t="n"/>
      <c r="B208" s="9" t="n"/>
      <c r="C208" s="9" t="n"/>
      <c r="D208" s="9" t="n"/>
      <c r="E208" s="50" t="n"/>
      <c r="F208" s="9" t="n"/>
      <c r="G208" s="19" t="n"/>
      <c r="H208" s="9" t="n"/>
    </row>
    <row r="209">
      <c r="A209" s="9" t="n"/>
      <c r="B209" s="9" t="n"/>
      <c r="C209" s="9" t="n"/>
      <c r="D209" s="9" t="n"/>
      <c r="E209" s="50" t="n"/>
      <c r="F209" s="9" t="n"/>
      <c r="G209" s="19" t="n"/>
      <c r="H209" s="9" t="n"/>
    </row>
    <row r="210">
      <c r="A210" s="9" t="n"/>
      <c r="B210" s="9" t="n"/>
      <c r="C210" s="9" t="n"/>
      <c r="D210" s="9" t="n"/>
      <c r="E210" s="50" t="n"/>
      <c r="F210" s="9" t="n"/>
      <c r="G210" s="19" t="n"/>
      <c r="H210" s="9" t="n"/>
    </row>
    <row r="211">
      <c r="A211" s="9" t="n"/>
      <c r="B211" s="9" t="n"/>
      <c r="C211" s="9" t="n"/>
      <c r="D211" s="9" t="n"/>
      <c r="E211" s="50" t="n"/>
      <c r="F211" s="9" t="n"/>
      <c r="G211" s="19" t="n"/>
      <c r="H211" s="9" t="n"/>
    </row>
    <row r="212">
      <c r="A212" s="9" t="n"/>
      <c r="B212" s="9" t="n"/>
      <c r="C212" s="9" t="n"/>
      <c r="D212" s="9" t="n"/>
      <c r="E212" s="50" t="n"/>
      <c r="F212" s="9" t="n"/>
      <c r="G212" s="19" t="n"/>
      <c r="H212" s="9" t="n"/>
    </row>
    <row r="213">
      <c r="A213" s="9" t="n"/>
      <c r="B213" s="9" t="n"/>
      <c r="C213" s="9" t="n"/>
      <c r="D213" s="9" t="n"/>
      <c r="E213" s="50" t="n"/>
      <c r="F213" s="9" t="n"/>
      <c r="G213" s="19" t="n"/>
      <c r="H213" s="9" t="n"/>
    </row>
    <row r="214">
      <c r="A214" s="9" t="n"/>
      <c r="B214" s="9" t="n"/>
      <c r="C214" s="9" t="n"/>
      <c r="D214" s="9" t="n"/>
      <c r="E214" s="50" t="n"/>
      <c r="F214" s="9" t="n"/>
      <c r="G214" s="19" t="n"/>
      <c r="H214" s="9" t="n"/>
    </row>
    <row r="215">
      <c r="A215" s="9" t="n"/>
      <c r="B215" s="9" t="n"/>
      <c r="C215" s="9" t="n"/>
      <c r="D215" s="9" t="n"/>
      <c r="E215" s="50" t="n"/>
      <c r="F215" s="9" t="n"/>
      <c r="G215" s="19" t="n"/>
      <c r="H215" s="9" t="n"/>
    </row>
    <row r="216">
      <c r="A216" s="9" t="n"/>
      <c r="B216" s="9" t="n"/>
      <c r="C216" s="9" t="n"/>
      <c r="D216" s="9" t="n"/>
      <c r="E216" s="50" t="n"/>
      <c r="F216" s="9" t="n"/>
      <c r="G216" s="19" t="n"/>
      <c r="H216" s="9" t="n"/>
    </row>
    <row r="217">
      <c r="A217" s="9" t="n"/>
      <c r="B217" s="9" t="n"/>
      <c r="C217" s="9" t="n"/>
      <c r="D217" s="9" t="n"/>
      <c r="E217" s="50" t="n"/>
      <c r="F217" s="9" t="n"/>
      <c r="G217" s="19" t="n"/>
      <c r="H217" s="9" t="n"/>
    </row>
    <row r="218">
      <c r="A218" s="9" t="n"/>
      <c r="B218" s="9" t="n"/>
      <c r="C218" s="9" t="n"/>
      <c r="D218" s="9" t="n"/>
      <c r="E218" s="50" t="n"/>
      <c r="F218" s="9" t="n"/>
      <c r="G218" s="19" t="n"/>
      <c r="H218" s="9" t="n"/>
    </row>
    <row r="219">
      <c r="A219" s="9" t="n"/>
      <c r="B219" s="9" t="n"/>
      <c r="C219" s="9" t="n"/>
      <c r="D219" s="9" t="n"/>
      <c r="E219" s="50" t="n"/>
      <c r="F219" s="9" t="n"/>
      <c r="G219" s="19" t="n"/>
      <c r="H219" s="9" t="n"/>
    </row>
    <row r="220">
      <c r="A220" s="9" t="n"/>
      <c r="B220" s="9" t="n"/>
      <c r="C220" s="9" t="n"/>
      <c r="D220" s="9" t="n"/>
      <c r="E220" s="50" t="n"/>
      <c r="F220" s="9" t="n"/>
      <c r="G220" s="19" t="n"/>
      <c r="H220" s="9" t="n"/>
    </row>
    <row r="221">
      <c r="A221" s="9" t="n"/>
      <c r="B221" s="9" t="n"/>
      <c r="C221" s="9" t="n"/>
      <c r="D221" s="9" t="n"/>
      <c r="E221" s="50" t="n"/>
      <c r="F221" s="9" t="n"/>
      <c r="G221" s="19" t="n"/>
      <c r="H221" s="9" t="n"/>
    </row>
    <row r="222">
      <c r="A222" s="9" t="n"/>
      <c r="B222" s="9" t="n"/>
      <c r="C222" s="9" t="n"/>
      <c r="D222" s="9" t="n"/>
      <c r="E222" s="50" t="n"/>
      <c r="F222" s="9" t="n"/>
      <c r="G222" s="19" t="n"/>
      <c r="H222" s="9" t="n"/>
    </row>
    <row r="223">
      <c r="A223" s="9" t="n"/>
      <c r="B223" s="9" t="n"/>
      <c r="C223" s="9" t="n"/>
      <c r="D223" s="9" t="n"/>
      <c r="E223" s="50" t="n"/>
      <c r="F223" s="9" t="n"/>
      <c r="G223" s="19" t="n"/>
      <c r="H223" s="9" t="n"/>
    </row>
    <row r="224">
      <c r="A224" s="9" t="n"/>
      <c r="B224" s="9" t="n"/>
      <c r="C224" s="9" t="n"/>
      <c r="D224" s="9" t="n"/>
      <c r="E224" s="50" t="n"/>
      <c r="F224" s="9" t="n"/>
      <c r="G224" s="19" t="n"/>
      <c r="H224" s="9" t="n"/>
    </row>
    <row r="225">
      <c r="A225" s="9" t="n"/>
      <c r="B225" s="9" t="n"/>
      <c r="C225" s="9" t="n"/>
      <c r="D225" s="9" t="n"/>
      <c r="E225" s="50" t="n"/>
      <c r="F225" s="9" t="n"/>
      <c r="G225" s="19" t="n"/>
      <c r="H225" s="9" t="n"/>
    </row>
    <row r="226">
      <c r="A226" s="9" t="n"/>
      <c r="B226" s="9" t="n"/>
      <c r="C226" s="9" t="n"/>
      <c r="D226" s="9" t="n"/>
      <c r="E226" s="50" t="n"/>
      <c r="F226" s="9" t="n"/>
      <c r="G226" s="19" t="n"/>
      <c r="H226" s="9" t="n"/>
    </row>
    <row r="227">
      <c r="A227" s="9" t="n"/>
      <c r="B227" s="9" t="n"/>
      <c r="C227" s="9" t="n"/>
      <c r="D227" s="9" t="n"/>
      <c r="E227" s="50" t="n"/>
      <c r="F227" s="9" t="n"/>
      <c r="G227" s="19" t="n"/>
      <c r="H227" s="9" t="n"/>
    </row>
    <row r="228">
      <c r="A228" s="9" t="n"/>
      <c r="B228" s="9" t="n"/>
      <c r="C228" s="9" t="n"/>
      <c r="D228" s="9" t="n"/>
      <c r="E228" s="50" t="n"/>
      <c r="F228" s="9" t="n"/>
      <c r="G228" s="19" t="n"/>
      <c r="H228" s="9" t="n"/>
    </row>
    <row r="229">
      <c r="A229" s="9" t="n"/>
      <c r="B229" s="9" t="n"/>
      <c r="C229" s="9" t="n"/>
      <c r="D229" s="9" t="n"/>
      <c r="E229" s="50" t="n"/>
      <c r="F229" s="9" t="n"/>
      <c r="G229" s="19" t="n"/>
      <c r="H229" s="9" t="n"/>
    </row>
    <row r="230">
      <c r="A230" s="9" t="n"/>
      <c r="B230" s="9" t="n"/>
      <c r="C230" s="9" t="n"/>
      <c r="D230" s="9" t="n"/>
      <c r="E230" s="50" t="n"/>
      <c r="F230" s="9" t="n"/>
      <c r="G230" s="19" t="n"/>
      <c r="H230" s="9" t="n"/>
    </row>
    <row r="231">
      <c r="A231" s="9" t="n"/>
      <c r="B231" s="9" t="n"/>
      <c r="C231" s="9" t="n"/>
      <c r="D231" s="9" t="n"/>
      <c r="E231" s="50" t="n"/>
      <c r="F231" s="9" t="n"/>
      <c r="G231" s="19" t="n"/>
      <c r="H231" s="9" t="n"/>
    </row>
    <row r="232">
      <c r="A232" s="9" t="n"/>
      <c r="B232" s="9" t="n"/>
      <c r="C232" s="9" t="n"/>
      <c r="D232" s="9" t="n"/>
      <c r="E232" s="50" t="n"/>
      <c r="F232" s="9" t="n"/>
      <c r="G232" s="19" t="n"/>
      <c r="H232" s="9" t="n"/>
    </row>
    <row r="233">
      <c r="A233" s="9" t="n"/>
      <c r="B233" s="9" t="n"/>
      <c r="C233" s="9" t="n"/>
      <c r="D233" s="9" t="n"/>
      <c r="E233" s="50" t="n"/>
      <c r="F233" s="9" t="n"/>
      <c r="G233" s="19" t="n"/>
      <c r="H233" s="9" t="n"/>
    </row>
    <row r="234">
      <c r="A234" s="9" t="n"/>
      <c r="B234" s="9" t="n"/>
      <c r="C234" s="9" t="n"/>
      <c r="D234" s="9" t="n"/>
      <c r="E234" s="50" t="n"/>
      <c r="F234" s="9" t="n"/>
      <c r="G234" s="19" t="n"/>
      <c r="H234" s="9" t="n"/>
    </row>
    <row r="235">
      <c r="A235" s="9" t="n"/>
      <c r="B235" s="9" t="n"/>
      <c r="C235" s="9" t="n"/>
      <c r="D235" s="9" t="n"/>
      <c r="E235" s="50" t="n"/>
      <c r="F235" s="9" t="n"/>
      <c r="G235" s="19" t="n"/>
      <c r="H235" s="9" t="n"/>
    </row>
    <row r="236">
      <c r="A236" s="9" t="n"/>
      <c r="B236" s="9" t="n"/>
      <c r="C236" s="9" t="n"/>
      <c r="D236" s="9" t="n"/>
      <c r="E236" s="50" t="n"/>
      <c r="F236" s="9" t="n"/>
      <c r="G236" s="19" t="n"/>
      <c r="H236" s="9" t="n"/>
    </row>
    <row r="237">
      <c r="A237" s="9" t="n"/>
      <c r="B237" s="9" t="n"/>
      <c r="C237" s="9" t="n"/>
      <c r="D237" s="9" t="n"/>
      <c r="E237" s="50" t="n"/>
      <c r="F237" s="9" t="n"/>
      <c r="G237" s="19" t="n"/>
      <c r="H237" s="9" t="n"/>
    </row>
    <row r="238">
      <c r="A238" s="9" t="n"/>
      <c r="B238" s="9" t="n"/>
      <c r="C238" s="9" t="n"/>
      <c r="D238" s="9" t="n"/>
      <c r="E238" s="50" t="n"/>
      <c r="F238" s="9" t="n"/>
      <c r="G238" s="19" t="n"/>
      <c r="H238" s="9" t="n"/>
    </row>
    <row r="239">
      <c r="A239" s="9" t="n"/>
      <c r="B239" s="9" t="n"/>
      <c r="C239" s="9" t="n"/>
      <c r="D239" s="9" t="n"/>
      <c r="E239" s="50" t="n"/>
      <c r="F239" s="9" t="n"/>
      <c r="G239" s="19" t="n"/>
      <c r="H239" s="9" t="n"/>
    </row>
    <row r="240">
      <c r="A240" s="9" t="n"/>
      <c r="B240" s="9" t="n"/>
      <c r="C240" s="9" t="n"/>
      <c r="D240" s="9" t="n"/>
      <c r="E240" s="50" t="n"/>
      <c r="F240" s="9" t="n"/>
      <c r="G240" s="19" t="n"/>
      <c r="H240" s="9" t="n"/>
    </row>
    <row r="241">
      <c r="A241" s="9" t="n"/>
      <c r="B241" s="9" t="n"/>
      <c r="C241" s="9" t="n"/>
      <c r="D241" s="9" t="n"/>
      <c r="E241" s="50" t="n"/>
      <c r="F241" s="9" t="n"/>
      <c r="G241" s="19" t="n"/>
      <c r="H241" s="9" t="n"/>
    </row>
    <row r="242">
      <c r="A242" s="9" t="n"/>
      <c r="B242" s="9" t="n"/>
      <c r="C242" s="9" t="n"/>
      <c r="D242" s="9" t="n"/>
      <c r="E242" s="50" t="n"/>
      <c r="F242" s="9" t="n"/>
      <c r="G242" s="19" t="n"/>
      <c r="H242" s="9" t="n"/>
    </row>
    <row r="243">
      <c r="A243" s="9" t="n"/>
      <c r="B243" s="9" t="n"/>
      <c r="C243" s="9" t="n"/>
      <c r="D243" s="9" t="n"/>
      <c r="E243" s="50" t="n"/>
      <c r="F243" s="9" t="n"/>
      <c r="G243" s="19" t="n"/>
      <c r="H243" s="9" t="n"/>
    </row>
    <row r="244">
      <c r="A244" s="9" t="n"/>
      <c r="B244" s="9" t="n"/>
      <c r="C244" s="9" t="n"/>
      <c r="D244" s="9" t="n"/>
      <c r="E244" s="50" t="n"/>
      <c r="F244" s="9" t="n"/>
      <c r="G244" s="19" t="n"/>
      <c r="H244" s="9" t="n"/>
    </row>
    <row r="245">
      <c r="A245" s="9" t="n"/>
      <c r="B245" s="9" t="n"/>
      <c r="C245" s="9" t="n"/>
      <c r="D245" s="9" t="n"/>
      <c r="E245" s="50" t="n"/>
      <c r="F245" s="9" t="n"/>
      <c r="G245" s="19" t="n"/>
      <c r="H245" s="9" t="n"/>
    </row>
    <row r="246">
      <c r="A246" s="9" t="n"/>
      <c r="B246" s="9" t="n"/>
      <c r="C246" s="9" t="n"/>
      <c r="D246" s="9" t="n"/>
      <c r="E246" s="50" t="n"/>
      <c r="F246" s="9" t="n"/>
      <c r="G246" s="19" t="n"/>
      <c r="H246" s="9" t="n"/>
    </row>
    <row r="247">
      <c r="A247" s="9" t="n"/>
      <c r="B247" s="9" t="n"/>
      <c r="C247" s="9" t="n"/>
      <c r="D247" s="9" t="n"/>
      <c r="E247" s="50" t="n"/>
      <c r="F247" s="9" t="n"/>
      <c r="G247" s="19" t="n"/>
      <c r="H247" s="9" t="n"/>
    </row>
    <row r="248">
      <c r="A248" s="9" t="n"/>
      <c r="B248" s="9" t="n"/>
      <c r="C248" s="9" t="n"/>
      <c r="D248" s="9" t="n"/>
      <c r="E248" s="50" t="n"/>
      <c r="F248" s="9" t="n"/>
      <c r="G248" s="19" t="n"/>
      <c r="H248" s="9" t="n"/>
    </row>
    <row r="249">
      <c r="A249" s="9" t="n"/>
      <c r="B249" s="9" t="n"/>
      <c r="C249" s="9" t="n"/>
      <c r="D249" s="9" t="n"/>
      <c r="E249" s="50" t="n"/>
      <c r="F249" s="9" t="n"/>
      <c r="G249" s="19" t="n"/>
      <c r="H249" s="9" t="n"/>
    </row>
    <row r="250">
      <c r="A250" s="9" t="n"/>
      <c r="B250" s="9" t="n"/>
      <c r="C250" s="9" t="n"/>
      <c r="D250" s="9" t="n"/>
      <c r="E250" s="50" t="n"/>
      <c r="F250" s="9" t="n"/>
      <c r="G250" s="19" t="n"/>
      <c r="H250" s="9" t="n"/>
    </row>
    <row r="251">
      <c r="A251" s="9" t="n"/>
      <c r="B251" s="9" t="n"/>
      <c r="C251" s="9" t="n"/>
      <c r="D251" s="9" t="n"/>
      <c r="E251" s="50" t="n"/>
      <c r="F251" s="9" t="n"/>
      <c r="G251" s="19" t="n"/>
      <c r="H251" s="9" t="n"/>
    </row>
    <row r="252">
      <c r="A252" s="9" t="n"/>
      <c r="B252" s="9" t="n"/>
      <c r="C252" s="9" t="n"/>
      <c r="D252" s="9" t="n"/>
      <c r="E252" s="50" t="n"/>
      <c r="F252" s="9" t="n"/>
      <c r="G252" s="19" t="n"/>
      <c r="H252" s="9" t="n"/>
    </row>
    <row r="253">
      <c r="A253" s="9" t="n"/>
      <c r="B253" s="9" t="n"/>
      <c r="C253" s="9" t="n"/>
      <c r="D253" s="9" t="n"/>
      <c r="E253" s="50" t="n"/>
      <c r="F253" s="9" t="n"/>
      <c r="G253" s="19" t="n"/>
      <c r="H253" s="9" t="n"/>
    </row>
    <row r="254">
      <c r="A254" s="9" t="n"/>
      <c r="B254" s="9" t="n"/>
      <c r="C254" s="9" t="n"/>
      <c r="D254" s="9" t="n"/>
      <c r="E254" s="50" t="n"/>
      <c r="F254" s="9" t="n"/>
      <c r="G254" s="19" t="n"/>
      <c r="H254" s="9" t="n"/>
    </row>
    <row r="255">
      <c r="A255" s="9" t="n"/>
      <c r="B255" s="9" t="n"/>
      <c r="C255" s="9" t="n"/>
      <c r="D255" s="9" t="n"/>
      <c r="E255" s="50" t="n"/>
      <c r="F255" s="9" t="n"/>
      <c r="G255" s="19" t="n"/>
      <c r="H255" s="9" t="n"/>
    </row>
    <row r="256">
      <c r="A256" s="9" t="n"/>
      <c r="B256" s="9" t="n"/>
      <c r="C256" s="9" t="n"/>
      <c r="D256" s="9" t="n"/>
      <c r="E256" s="50" t="n"/>
      <c r="F256" s="9" t="n"/>
      <c r="G256" s="19" t="n"/>
      <c r="H256" s="9" t="n"/>
    </row>
    <row r="257">
      <c r="A257" s="9" t="n"/>
      <c r="B257" s="9" t="n"/>
      <c r="C257" s="9" t="n"/>
      <c r="D257" s="9" t="n"/>
      <c r="E257" s="50" t="n"/>
      <c r="F257" s="9" t="n"/>
      <c r="G257" s="19" t="n"/>
      <c r="H257" s="9" t="n"/>
    </row>
    <row r="258">
      <c r="A258" s="9" t="n"/>
      <c r="B258" s="9" t="n"/>
      <c r="C258" s="9" t="n"/>
      <c r="D258" s="9" t="n"/>
      <c r="E258" s="50" t="n"/>
      <c r="F258" s="9" t="n"/>
      <c r="G258" s="19" t="n"/>
      <c r="H258" s="9" t="n"/>
    </row>
    <row r="259">
      <c r="A259" s="9" t="n"/>
      <c r="B259" s="9" t="n"/>
      <c r="C259" s="9" t="n"/>
      <c r="D259" s="9" t="n"/>
      <c r="E259" s="50" t="n"/>
      <c r="F259" s="9" t="n"/>
      <c r="G259" s="19" t="n"/>
      <c r="H259" s="9" t="n"/>
    </row>
    <row r="260">
      <c r="A260" s="9" t="n"/>
      <c r="B260" s="9" t="n"/>
      <c r="C260" s="9" t="n"/>
      <c r="D260" s="9" t="n"/>
      <c r="E260" s="50" t="n"/>
      <c r="F260" s="9" t="n"/>
      <c r="G260" s="19" t="n"/>
      <c r="H260" s="9" t="n"/>
    </row>
    <row r="261">
      <c r="A261" s="9" t="n"/>
      <c r="B261" s="9" t="n"/>
      <c r="C261" s="9" t="n"/>
      <c r="D261" s="9" t="n"/>
      <c r="E261" s="50" t="n"/>
      <c r="F261" s="9" t="n"/>
      <c r="G261" s="19" t="n"/>
      <c r="H261" s="9" t="n"/>
    </row>
    <row r="262">
      <c r="A262" s="9" t="n"/>
      <c r="B262" s="9" t="n"/>
      <c r="C262" s="9" t="n"/>
      <c r="D262" s="9" t="n"/>
      <c r="E262" s="50" t="n"/>
      <c r="F262" s="9" t="n"/>
      <c r="G262" s="19" t="n"/>
      <c r="H262" s="9" t="n"/>
    </row>
    <row r="263">
      <c r="A263" s="9" t="n"/>
      <c r="B263" s="9" t="n"/>
      <c r="C263" s="9" t="n"/>
      <c r="D263" s="9" t="n"/>
      <c r="E263" s="50" t="n"/>
      <c r="F263" s="9" t="n"/>
      <c r="G263" s="19" t="n"/>
      <c r="H263" s="9" t="n"/>
    </row>
    <row r="264">
      <c r="A264" s="9" t="n"/>
      <c r="B264" s="9" t="n"/>
      <c r="C264" s="9" t="n"/>
      <c r="D264" s="9" t="n"/>
      <c r="E264" s="50" t="n"/>
      <c r="F264" s="9" t="n"/>
      <c r="G264" s="19" t="n"/>
      <c r="H264" s="9" t="n"/>
    </row>
    <row r="265">
      <c r="A265" s="9" t="n"/>
      <c r="B265" s="9" t="n"/>
      <c r="C265" s="9" t="n"/>
      <c r="D265" s="9" t="n"/>
      <c r="E265" s="50" t="n"/>
      <c r="F265" s="9" t="n"/>
      <c r="G265" s="19" t="n"/>
      <c r="H265" s="9" t="n"/>
    </row>
    <row r="266">
      <c r="A266" s="9" t="n"/>
      <c r="B266" s="9" t="n"/>
      <c r="C266" s="9" t="n"/>
      <c r="D266" s="9" t="n"/>
      <c r="E266" s="50" t="n"/>
      <c r="F266" s="9" t="n"/>
      <c r="G266" s="19" t="n"/>
      <c r="H266" s="9" t="n"/>
    </row>
    <row r="267">
      <c r="A267" s="9" t="n"/>
      <c r="B267" s="9" t="n"/>
      <c r="C267" s="9" t="n"/>
      <c r="D267" s="9" t="n"/>
      <c r="E267" s="50" t="n"/>
      <c r="F267" s="9" t="n"/>
      <c r="G267" s="19" t="n"/>
      <c r="H267" s="9" t="n"/>
    </row>
    <row r="268">
      <c r="A268" s="9" t="n"/>
      <c r="B268" s="9" t="n"/>
      <c r="C268" s="9" t="n"/>
      <c r="D268" s="9" t="n"/>
      <c r="E268" s="50" t="n"/>
      <c r="F268" s="9" t="n"/>
      <c r="G268" s="19" t="n"/>
      <c r="H268" s="9" t="n"/>
    </row>
    <row r="269">
      <c r="A269" s="9" t="n"/>
      <c r="B269" s="9" t="n"/>
      <c r="C269" s="9" t="n"/>
      <c r="D269" s="9" t="n"/>
      <c r="E269" s="50" t="n"/>
      <c r="F269" s="9" t="n"/>
      <c r="G269" s="19" t="n"/>
      <c r="H269" s="9" t="n"/>
    </row>
    <row r="270">
      <c r="A270" s="9" t="n"/>
      <c r="B270" s="9" t="n"/>
      <c r="C270" s="9" t="n"/>
      <c r="D270" s="9" t="n"/>
      <c r="E270" s="50" t="n"/>
      <c r="F270" s="9" t="n"/>
      <c r="G270" s="19" t="n"/>
      <c r="H270" s="9" t="n"/>
    </row>
    <row r="271">
      <c r="A271" s="9" t="n"/>
      <c r="B271" s="9" t="n"/>
      <c r="C271" s="9" t="n"/>
      <c r="D271" s="9" t="n"/>
      <c r="E271" s="50" t="n"/>
      <c r="F271" s="9" t="n"/>
      <c r="G271" s="19" t="n"/>
      <c r="H271" s="9" t="n"/>
    </row>
    <row r="272">
      <c r="A272" s="9" t="n"/>
      <c r="B272" s="9" t="n"/>
      <c r="C272" s="9" t="n"/>
      <c r="D272" s="9" t="n"/>
      <c r="E272" s="50" t="n"/>
      <c r="F272" s="9" t="n"/>
      <c r="G272" s="19" t="n"/>
      <c r="H272" s="9" t="n"/>
    </row>
    <row r="273">
      <c r="A273" s="9" t="n"/>
      <c r="B273" s="9" t="n"/>
      <c r="C273" s="9" t="n"/>
      <c r="D273" s="9" t="n"/>
      <c r="E273" s="50" t="n"/>
      <c r="F273" s="9" t="n"/>
      <c r="G273" s="19" t="n"/>
      <c r="H273" s="9" t="n"/>
    </row>
    <row r="274">
      <c r="A274" s="9" t="n"/>
      <c r="B274" s="9" t="n"/>
      <c r="C274" s="9" t="n"/>
      <c r="D274" s="9" t="n"/>
      <c r="E274" s="50" t="n"/>
      <c r="F274" s="9" t="n"/>
      <c r="G274" s="19" t="n"/>
      <c r="H274" s="9" t="n"/>
    </row>
    <row r="275">
      <c r="A275" s="9" t="n"/>
      <c r="B275" s="9" t="n"/>
      <c r="C275" s="9" t="n"/>
      <c r="D275" s="9" t="n"/>
      <c r="E275" s="50" t="n"/>
      <c r="F275" s="9" t="n"/>
      <c r="G275" s="19" t="n"/>
      <c r="H275" s="9" t="n"/>
    </row>
    <row r="276">
      <c r="A276" s="9" t="n"/>
      <c r="B276" s="9" t="n"/>
      <c r="C276" s="9" t="n"/>
      <c r="D276" s="9" t="n"/>
      <c r="E276" s="50" t="n"/>
      <c r="F276" s="9" t="n"/>
      <c r="G276" s="19" t="n"/>
      <c r="H276" s="9" t="n"/>
    </row>
    <row r="277">
      <c r="A277" s="9" t="n"/>
      <c r="B277" s="9" t="n"/>
      <c r="C277" s="9" t="n"/>
      <c r="D277" s="9" t="n"/>
      <c r="E277" s="50" t="n"/>
      <c r="F277" s="9" t="n"/>
      <c r="G277" s="19" t="n"/>
      <c r="H277" s="9" t="n"/>
    </row>
    <row r="278">
      <c r="A278" s="9" t="n"/>
      <c r="B278" s="9" t="n"/>
      <c r="C278" s="9" t="n"/>
      <c r="D278" s="9" t="n"/>
      <c r="E278" s="50" t="n"/>
      <c r="F278" s="9" t="n"/>
      <c r="G278" s="19" t="n"/>
      <c r="H278" s="9" t="n"/>
    </row>
    <row r="279">
      <c r="A279" s="9" t="n"/>
      <c r="B279" s="9" t="n"/>
      <c r="C279" s="9" t="n"/>
      <c r="D279" s="9" t="n"/>
      <c r="E279" s="50" t="n"/>
      <c r="F279" s="9" t="n"/>
      <c r="G279" s="19" t="n"/>
      <c r="H279" s="9" t="n"/>
    </row>
    <row r="280">
      <c r="A280" s="9" t="n"/>
      <c r="B280" s="9" t="n"/>
      <c r="C280" s="9" t="n"/>
      <c r="D280" s="9" t="n"/>
      <c r="E280" s="50" t="n"/>
      <c r="F280" s="9" t="n"/>
      <c r="G280" s="19" t="n"/>
      <c r="H280" s="9" t="n"/>
    </row>
    <row r="281">
      <c r="A281" s="9" t="n"/>
      <c r="B281" s="9" t="n"/>
      <c r="C281" s="9" t="n"/>
      <c r="D281" s="9" t="n"/>
      <c r="E281" s="50" t="n"/>
      <c r="F281" s="9" t="n"/>
      <c r="G281" s="19" t="n"/>
      <c r="H281" s="9" t="n"/>
    </row>
    <row r="282">
      <c r="A282" s="9" t="n"/>
      <c r="B282" s="9" t="n"/>
      <c r="C282" s="9" t="n"/>
      <c r="D282" s="9" t="n"/>
      <c r="E282" s="50" t="n"/>
      <c r="F282" s="9" t="n"/>
      <c r="G282" s="19" t="n"/>
      <c r="H282" s="9" t="n"/>
    </row>
    <row r="283">
      <c r="A283" s="9" t="n"/>
      <c r="B283" s="9" t="n"/>
      <c r="C283" s="9" t="n"/>
      <c r="D283" s="9" t="n"/>
      <c r="E283" s="50" t="n"/>
      <c r="F283" s="9" t="n"/>
      <c r="G283" s="19" t="n"/>
      <c r="H283" s="9" t="n"/>
    </row>
    <row r="284">
      <c r="A284" s="9" t="n"/>
      <c r="B284" s="9" t="n"/>
      <c r="C284" s="9" t="n"/>
      <c r="D284" s="9" t="n"/>
      <c r="E284" s="50" t="n"/>
      <c r="F284" s="9" t="n"/>
      <c r="G284" s="19" t="n"/>
      <c r="H284" s="9" t="n"/>
    </row>
    <row r="285">
      <c r="A285" s="9" t="n"/>
      <c r="B285" s="9" t="n"/>
      <c r="C285" s="9" t="n"/>
      <c r="D285" s="9" t="n"/>
      <c r="E285" s="50" t="n"/>
      <c r="F285" s="9" t="n"/>
      <c r="G285" s="19" t="n"/>
      <c r="H285" s="9" t="n"/>
    </row>
    <row r="286">
      <c r="A286" s="9" t="n"/>
      <c r="B286" s="9" t="n"/>
      <c r="C286" s="9" t="n"/>
      <c r="D286" s="9" t="n"/>
      <c r="E286" s="50" t="n"/>
      <c r="F286" s="9" t="n"/>
      <c r="G286" s="19" t="n"/>
      <c r="H286" s="9" t="n"/>
    </row>
    <row r="287">
      <c r="A287" s="9" t="n"/>
      <c r="B287" s="9" t="n"/>
      <c r="C287" s="9" t="n"/>
      <c r="D287" s="9" t="n"/>
      <c r="E287" s="50" t="n"/>
      <c r="F287" s="9" t="n"/>
      <c r="G287" s="19" t="n"/>
      <c r="H287" s="9" t="n"/>
    </row>
    <row r="288">
      <c r="A288" s="9" t="n"/>
      <c r="B288" s="9" t="n"/>
      <c r="C288" s="9" t="n"/>
      <c r="D288" s="9" t="n"/>
      <c r="E288" s="50" t="n"/>
      <c r="F288" s="9" t="n"/>
      <c r="G288" s="19" t="n"/>
      <c r="H288" s="9" t="n"/>
    </row>
    <row r="289">
      <c r="A289" s="9" t="n"/>
      <c r="B289" s="9" t="n"/>
      <c r="C289" s="9" t="n"/>
      <c r="D289" s="9" t="n"/>
      <c r="E289" s="50" t="n"/>
      <c r="F289" s="9" t="n"/>
      <c r="G289" s="19" t="n"/>
      <c r="H289" s="9" t="n"/>
    </row>
    <row r="290">
      <c r="A290" s="9" t="n"/>
      <c r="B290" s="9" t="n"/>
      <c r="C290" s="9" t="n"/>
      <c r="D290" s="9" t="n"/>
      <c r="E290" s="50" t="n"/>
      <c r="F290" s="9" t="n"/>
      <c r="G290" s="19" t="n"/>
      <c r="H290" s="9" t="n"/>
    </row>
    <row r="291">
      <c r="A291" s="9" t="n"/>
      <c r="B291" s="9" t="n"/>
      <c r="C291" s="9" t="n"/>
      <c r="D291" s="9" t="n"/>
      <c r="E291" s="50" t="n"/>
      <c r="F291" s="9" t="n"/>
      <c r="G291" s="19" t="n"/>
      <c r="H291" s="9" t="n"/>
    </row>
    <row r="292">
      <c r="A292" s="9" t="n"/>
      <c r="B292" s="9" t="n"/>
      <c r="C292" s="9" t="n"/>
      <c r="D292" s="9" t="n"/>
      <c r="E292" s="50" t="n"/>
      <c r="F292" s="9" t="n"/>
      <c r="G292" s="19" t="n"/>
      <c r="H292" s="9" t="n"/>
    </row>
    <row r="293">
      <c r="A293" s="9" t="n"/>
      <c r="B293" s="9" t="n"/>
      <c r="C293" s="9" t="n"/>
      <c r="D293" s="9" t="n"/>
      <c r="E293" s="50" t="n"/>
      <c r="F293" s="9" t="n"/>
      <c r="G293" s="19" t="n"/>
      <c r="H293" s="9" t="n"/>
    </row>
    <row r="294">
      <c r="A294" s="9" t="n"/>
      <c r="B294" s="9" t="n"/>
      <c r="C294" s="9" t="n"/>
      <c r="D294" s="9" t="n"/>
      <c r="E294" s="50" t="n"/>
      <c r="F294" s="9" t="n"/>
      <c r="G294" s="19" t="n"/>
      <c r="H294" s="9" t="n"/>
    </row>
    <row r="295">
      <c r="A295" s="9" t="n"/>
      <c r="B295" s="9" t="n"/>
      <c r="C295" s="9" t="n"/>
      <c r="D295" s="9" t="n"/>
      <c r="E295" s="50" t="n"/>
      <c r="F295" s="9" t="n"/>
      <c r="G295" s="19" t="n"/>
      <c r="H295" s="9" t="n"/>
    </row>
    <row r="296">
      <c r="A296" s="9" t="n"/>
      <c r="B296" s="9" t="n"/>
      <c r="C296" s="9" t="n"/>
      <c r="D296" s="9" t="n"/>
      <c r="E296" s="50" t="n"/>
      <c r="F296" s="9" t="n"/>
      <c r="G296" s="19" t="n"/>
      <c r="H296" s="9" t="n"/>
    </row>
    <row r="297">
      <c r="A297" s="9" t="n"/>
      <c r="B297" s="9" t="n"/>
      <c r="C297" s="9" t="n"/>
      <c r="D297" s="9" t="n"/>
      <c r="E297" s="50" t="n"/>
      <c r="F297" s="9" t="n"/>
      <c r="G297" s="19" t="n"/>
      <c r="H297" s="9" t="n"/>
    </row>
    <row r="298">
      <c r="A298" s="9" t="n"/>
      <c r="B298" s="9" t="n"/>
      <c r="C298" s="9" t="n"/>
      <c r="D298" s="9" t="n"/>
      <c r="E298" s="50" t="n"/>
      <c r="F298" s="9" t="n"/>
      <c r="G298" s="19" t="n"/>
      <c r="H298" s="9" t="n"/>
    </row>
    <row r="299">
      <c r="A299" s="9" t="n"/>
      <c r="B299" s="9" t="n"/>
      <c r="C299" s="9" t="n"/>
      <c r="D299" s="9" t="n"/>
      <c r="E299" s="50" t="n"/>
      <c r="F299" s="9" t="n"/>
      <c r="G299" s="19" t="n"/>
      <c r="H299" s="9" t="n"/>
    </row>
    <row r="300">
      <c r="A300" s="9" t="n"/>
      <c r="B300" s="9" t="n"/>
      <c r="C300" s="9" t="n"/>
      <c r="D300" s="9" t="n"/>
      <c r="E300" s="50" t="n"/>
      <c r="F300" s="9" t="n"/>
      <c r="G300" s="19" t="n"/>
      <c r="H300" s="9" t="n"/>
    </row>
    <row r="301">
      <c r="A301" s="9" t="n"/>
      <c r="B301" s="9" t="n"/>
      <c r="C301" s="9" t="n"/>
      <c r="D301" s="9" t="n"/>
      <c r="E301" s="50" t="n"/>
      <c r="F301" s="9" t="n"/>
      <c r="G301" s="19" t="n"/>
      <c r="H301" s="9" t="n"/>
    </row>
    <row r="302">
      <c r="A302" s="9" t="n"/>
      <c r="B302" s="9" t="n"/>
      <c r="C302" s="9" t="n"/>
      <c r="D302" s="9" t="n"/>
      <c r="E302" s="50" t="n"/>
      <c r="F302" s="9" t="n"/>
      <c r="G302" s="19" t="n"/>
      <c r="H302" s="9" t="n"/>
    </row>
    <row r="303">
      <c r="A303" s="9" t="n"/>
      <c r="B303" s="9" t="n"/>
      <c r="C303" s="9" t="n"/>
      <c r="D303" s="9" t="n"/>
      <c r="E303" s="50" t="n"/>
      <c r="F303" s="9" t="n"/>
      <c r="G303" s="19" t="n"/>
      <c r="H303" s="9" t="n"/>
    </row>
    <row r="304">
      <c r="A304" s="9" t="n"/>
      <c r="B304" s="9" t="n"/>
      <c r="C304" s="9" t="n"/>
      <c r="D304" s="9" t="n"/>
      <c r="E304" s="50" t="n"/>
      <c r="F304" s="9" t="n"/>
      <c r="G304" s="19"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4.xml><?xml version="1.0" encoding="utf-8"?>
<worksheet xmlns="http://schemas.openxmlformats.org/spreadsheetml/2006/main">
  <sheetPr codeName="Tabelle14">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2" t="inlineStr">
        <is>
          <t>Profil-ID</t>
        </is>
      </c>
      <c r="B4" s="22" t="inlineStr">
        <is>
          <t>Werkstoff-ID</t>
        </is>
      </c>
      <c r="C4" s="22" t="inlineStr">
        <is>
          <t>Preisbasis</t>
        </is>
      </c>
      <c r="D4" s="22" t="inlineStr">
        <is>
          <t>Preis [€]</t>
        </is>
      </c>
      <c r="E4" s="22" t="inlineStr">
        <is>
          <t>Liefer-Stangenlänge [mm]</t>
        </is>
      </c>
      <c r="F4" s="22" t="inlineStr">
        <is>
          <t>Gültig ab</t>
        </is>
      </c>
      <c r="G4" s="22" t="inlineStr">
        <is>
          <t>Lieferant</t>
        </is>
      </c>
      <c r="H4" s="22" t="inlineStr">
        <is>
          <t>Bemerkung</t>
        </is>
      </c>
      <c r="I4" s="22" t="inlineStr">
        <is>
          <t>Prüfung</t>
        </is>
      </c>
      <c r="J4" s="22" t="inlineStr">
        <is>
          <t>Preis €/m automatisch</t>
        </is>
      </c>
    </row>
    <row r="5">
      <c r="A5" s="9" t="inlineStr">
        <is>
          <t>RR 42,4x2,0</t>
        </is>
      </c>
      <c r="B5" s="9" t="inlineStr">
        <is>
          <t>S235-10219</t>
        </is>
      </c>
      <c r="C5" s="9" t="inlineStr">
        <is>
          <t>€/kg</t>
        </is>
      </c>
      <c r="D5" s="29" t="n">
        <v>1.45</v>
      </c>
      <c r="E5" s="19" t="n">
        <v>6000</v>
      </c>
      <c r="F5" s="14" t="n">
        <v>46296</v>
      </c>
      <c r="G5" s="9" t="inlineStr">
        <is>
          <t>Beispiel-Lieferant</t>
        </is>
      </c>
      <c r="H5" s="9" t="inlineStr">
        <is>
          <t>Beispiel</t>
        </is>
      </c>
      <c r="I5" s="28">
        <f>IF(A5&amp;B5="","",IF(ISNA(MATCH(A5,lst_Profil,0)),"FEHLER: Profil unbekannt",IF(ISNA(MATCH(B5,lst_Werkstoff,0)),"FEHLER: Werkstoff unbekannt",IF(COUNTIFS($A$5:$A$304,A5,$B$5:$B$304,B5)&gt;1,"FEHLER: doppelt",IF(OR(C5="",D5=""),"FEHLER: Preis unvollständig",IF(AND(C5="€/Stange",E5=""),"FEHLER: Stangenlänge fehlt","OK"))))))</f>
        <v/>
      </c>
      <c r="J5" s="1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29" t="n">
        <v>1.45</v>
      </c>
      <c r="E6" s="19" t="n">
        <v>6000</v>
      </c>
      <c r="F6" s="14" t="n">
        <v>46296</v>
      </c>
      <c r="G6" s="9" t="inlineStr">
        <is>
          <t>Beispiel-Lieferant</t>
        </is>
      </c>
      <c r="H6" s="9" t="inlineStr">
        <is>
          <t>Beispiel</t>
        </is>
      </c>
      <c r="I6" s="28">
        <f>IF(A6&amp;B6="","",IF(ISNA(MATCH(A6,lst_Profil,0)),"FEHLER: Profil unbekannt",IF(ISNA(MATCH(B6,lst_Werkstoff,0)),"FEHLER: Werkstoff unbekannt",IF(COUNTIFS($A$5:$A$304,A6,$B$5:$B$304,B6)&gt;1,"FEHLER: doppelt",IF(OR(C6="",D6=""),"FEHLER: Preis unvollständig",IF(AND(C6="€/Stange",E6=""),"FEHLER: Stangenlänge fehlt","OK"))))))</f>
        <v/>
      </c>
      <c r="J6" s="1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29" t="n">
        <v>1.5</v>
      </c>
      <c r="E7" s="19" t="n">
        <v>6000</v>
      </c>
      <c r="F7" s="14" t="n">
        <v>46296</v>
      </c>
      <c r="G7" s="9" t="inlineStr">
        <is>
          <t>Beispiel-Lieferant</t>
        </is>
      </c>
      <c r="H7" s="9" t="inlineStr">
        <is>
          <t>Beispiel</t>
        </is>
      </c>
      <c r="I7" s="28">
        <f>IF(A7&amp;B7="","",IF(ISNA(MATCH(A7,lst_Profil,0)),"FEHLER: Profil unbekannt",IF(ISNA(MATCH(B7,lst_Werkstoff,0)),"FEHLER: Werkstoff unbekannt",IF(COUNTIFS($A$5:$A$304,A7,$B$5:$B$304,B7)&gt;1,"FEHLER: doppelt",IF(OR(C7="",D7=""),"FEHLER: Preis unvollständig",IF(AND(C7="€/Stange",E7=""),"FEHLER: Stangenlänge fehlt","OK"))))))</f>
        <v/>
      </c>
      <c r="J7" s="1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29" t="n">
        <v>1.6</v>
      </c>
      <c r="E8" s="19" t="n">
        <v>6000</v>
      </c>
      <c r="F8" s="14" t="n">
        <v>46296</v>
      </c>
      <c r="G8" s="9" t="inlineStr">
        <is>
          <t>Beispiel-Lieferant</t>
        </is>
      </c>
      <c r="H8" s="9" t="inlineStr">
        <is>
          <t>Beispiel</t>
        </is>
      </c>
      <c r="I8" s="28">
        <f>IF(A8&amp;B8="","",IF(ISNA(MATCH(A8,lst_Profil,0)),"FEHLER: Profil unbekannt",IF(ISNA(MATCH(B8,lst_Werkstoff,0)),"FEHLER: Werkstoff unbekannt",IF(COUNTIFS($A$5:$A$304,A8,$B$5:$B$304,B8)&gt;1,"FEHLER: doppelt",IF(OR(C8="",D8=""),"FEHLER: Preis unvollständig",IF(AND(C8="€/Stange",E8=""),"FEHLER: Stangenlänge fehlt","OK"))))))</f>
        <v/>
      </c>
      <c r="J8" s="1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29" t="n">
        <v>62</v>
      </c>
      <c r="E9" s="19" t="n">
        <v>6000</v>
      </c>
      <c r="F9" s="14" t="n">
        <v>46296</v>
      </c>
      <c r="G9" s="9" t="inlineStr">
        <is>
          <t>Beispiel-Lieferant</t>
        </is>
      </c>
      <c r="H9" s="9" t="inlineStr">
        <is>
          <t>Beispiel</t>
        </is>
      </c>
      <c r="I9" s="28">
        <f>IF(A9&amp;B9="","",IF(ISNA(MATCH(A9,lst_Profil,0)),"FEHLER: Profil unbekannt",IF(ISNA(MATCH(B9,lst_Werkstoff,0)),"FEHLER: Werkstoff unbekannt",IF(COUNTIFS($A$5:$A$304,A9,$B$5:$B$304,B9)&gt;1,"FEHLER: doppelt",IF(OR(C9="",D9=""),"FEHLER: Preis unvollständig",IF(AND(C9="€/Stange",E9=""),"FEHLER: Stangenlänge fehlt","OK"))))))</f>
        <v/>
      </c>
      <c r="J9" s="18">
        <f>IF(OR(A9="",B9=""),"",IFERROR(INDEX(Profile!$K$5:$K$304,MATCH(A9,lst_Profil,0))*INDEX(Werkstoffe!$E$5:$E$304,MATCH(B9,lst_Werkstoff,0))/1000*INDEX(Werkstoffe!$G$5:$G$304,MATCH(B9,lst_Werkstoff,0))/1000,""))</f>
        <v/>
      </c>
    </row>
    <row r="10">
      <c r="A10" s="9" t="n"/>
      <c r="B10" s="9" t="n"/>
      <c r="C10" s="9" t="n"/>
      <c r="D10" s="29" t="n"/>
      <c r="E10" s="19" t="n"/>
      <c r="F10" s="14" t="n"/>
      <c r="G10" s="9" t="n"/>
      <c r="H10" s="9" t="n"/>
      <c r="I10" s="28">
        <f>IF(A10&amp;B10="","",IF(ISNA(MATCH(A10,lst_Profil,0)),"FEHLER: Profil unbekannt",IF(ISNA(MATCH(B10,lst_Werkstoff,0)),"FEHLER: Werkstoff unbekannt",IF(COUNTIFS($A$5:$A$304,A10,$B$5:$B$304,B10)&gt;1,"FEHLER: doppelt",IF(OR(C10="",D10=""),"FEHLER: Preis unvollständig",IF(AND(C10="€/Stange",E10=""),"FEHLER: Stangenlänge fehlt","OK"))))))</f>
        <v/>
      </c>
      <c r="J10" s="18">
        <f>IF(OR(A10="",B10=""),"",IFERROR(INDEX(Profile!$K$5:$K$304,MATCH(A10,lst_Profil,0))*INDEX(Werkstoffe!$E$5:$E$304,MATCH(B10,lst_Werkstoff,0))/1000*INDEX(Werkstoffe!$G$5:$G$304,MATCH(B10,lst_Werkstoff,0))/1000,""))</f>
        <v/>
      </c>
    </row>
    <row r="11">
      <c r="A11" s="9" t="n"/>
      <c r="B11" s="9" t="n"/>
      <c r="C11" s="9" t="n"/>
      <c r="D11" s="29" t="n"/>
      <c r="E11" s="19" t="n"/>
      <c r="F11" s="14" t="n"/>
      <c r="G11" s="9" t="n"/>
      <c r="H11" s="9" t="n"/>
      <c r="I11" s="28">
        <f>IF(A11&amp;B11="","",IF(ISNA(MATCH(A11,lst_Profil,0)),"FEHLER: Profil unbekannt",IF(ISNA(MATCH(B11,lst_Werkstoff,0)),"FEHLER: Werkstoff unbekannt",IF(COUNTIFS($A$5:$A$304,A11,$B$5:$B$304,B11)&gt;1,"FEHLER: doppelt",IF(OR(C11="",D11=""),"FEHLER: Preis unvollständig",IF(AND(C11="€/Stange",E11=""),"FEHLER: Stangenlänge fehlt","OK"))))))</f>
        <v/>
      </c>
      <c r="J11" s="18">
        <f>IF(OR(A11="",B11=""),"",IFERROR(INDEX(Profile!$K$5:$K$304,MATCH(A11,lst_Profil,0))*INDEX(Werkstoffe!$E$5:$E$304,MATCH(B11,lst_Werkstoff,0))/1000*INDEX(Werkstoffe!$G$5:$G$304,MATCH(B11,lst_Werkstoff,0))/1000,""))</f>
        <v/>
      </c>
    </row>
    <row r="12">
      <c r="A12" s="9" t="n"/>
      <c r="B12" s="9" t="n"/>
      <c r="C12" s="9" t="n"/>
      <c r="D12" s="29" t="n"/>
      <c r="E12" s="19" t="n"/>
      <c r="F12" s="14" t="n"/>
      <c r="G12" s="9" t="n"/>
      <c r="H12" s="9" t="n"/>
      <c r="I12" s="28">
        <f>IF(A12&amp;B12="","",IF(ISNA(MATCH(A12,lst_Profil,0)),"FEHLER: Profil unbekannt",IF(ISNA(MATCH(B12,lst_Werkstoff,0)),"FEHLER: Werkstoff unbekannt",IF(COUNTIFS($A$5:$A$304,A12,$B$5:$B$304,B12)&gt;1,"FEHLER: doppelt",IF(OR(C12="",D12=""),"FEHLER: Preis unvollständig",IF(AND(C12="€/Stange",E12=""),"FEHLER: Stangenlänge fehlt","OK"))))))</f>
        <v/>
      </c>
      <c r="J12" s="18">
        <f>IF(OR(A12="",B12=""),"",IFERROR(INDEX(Profile!$K$5:$K$304,MATCH(A12,lst_Profil,0))*INDEX(Werkstoffe!$E$5:$E$304,MATCH(B12,lst_Werkstoff,0))/1000*INDEX(Werkstoffe!$G$5:$G$304,MATCH(B12,lst_Werkstoff,0))/1000,""))</f>
        <v/>
      </c>
    </row>
    <row r="13">
      <c r="A13" s="9" t="n"/>
      <c r="B13" s="9" t="n"/>
      <c r="C13" s="9" t="n"/>
      <c r="D13" s="29" t="n"/>
      <c r="E13" s="19" t="n"/>
      <c r="F13" s="14" t="n"/>
      <c r="G13" s="9" t="n"/>
      <c r="H13" s="9" t="n"/>
      <c r="I13" s="28">
        <f>IF(A13&amp;B13="","",IF(ISNA(MATCH(A13,lst_Profil,0)),"FEHLER: Profil unbekannt",IF(ISNA(MATCH(B13,lst_Werkstoff,0)),"FEHLER: Werkstoff unbekannt",IF(COUNTIFS($A$5:$A$304,A13,$B$5:$B$304,B13)&gt;1,"FEHLER: doppelt",IF(OR(C13="",D13=""),"FEHLER: Preis unvollständig",IF(AND(C13="€/Stange",E13=""),"FEHLER: Stangenlänge fehlt","OK"))))))</f>
        <v/>
      </c>
      <c r="J13" s="18">
        <f>IF(OR(A13="",B13=""),"",IFERROR(INDEX(Profile!$K$5:$K$304,MATCH(A13,lst_Profil,0))*INDEX(Werkstoffe!$E$5:$E$304,MATCH(B13,lst_Werkstoff,0))/1000*INDEX(Werkstoffe!$G$5:$G$304,MATCH(B13,lst_Werkstoff,0))/1000,""))</f>
        <v/>
      </c>
    </row>
    <row r="14">
      <c r="A14" s="9" t="n"/>
      <c r="B14" s="9" t="n"/>
      <c r="C14" s="9" t="n"/>
      <c r="D14" s="29" t="n"/>
      <c r="E14" s="19" t="n"/>
      <c r="F14" s="14" t="n"/>
      <c r="G14" s="9" t="n"/>
      <c r="H14" s="9" t="n"/>
      <c r="I14" s="28">
        <f>IF(A14&amp;B14="","",IF(ISNA(MATCH(A14,lst_Profil,0)),"FEHLER: Profil unbekannt",IF(ISNA(MATCH(B14,lst_Werkstoff,0)),"FEHLER: Werkstoff unbekannt",IF(COUNTIFS($A$5:$A$304,A14,$B$5:$B$304,B14)&gt;1,"FEHLER: doppelt",IF(OR(C14="",D14=""),"FEHLER: Preis unvollständig",IF(AND(C14="€/Stange",E14=""),"FEHLER: Stangenlänge fehlt","OK"))))))</f>
        <v/>
      </c>
      <c r="J14" s="18">
        <f>IF(OR(A14="",B14=""),"",IFERROR(INDEX(Profile!$K$5:$K$304,MATCH(A14,lst_Profil,0))*INDEX(Werkstoffe!$E$5:$E$304,MATCH(B14,lst_Werkstoff,0))/1000*INDEX(Werkstoffe!$G$5:$G$304,MATCH(B14,lst_Werkstoff,0))/1000,""))</f>
        <v/>
      </c>
    </row>
    <row r="15">
      <c r="A15" s="9" t="n"/>
      <c r="B15" s="9" t="n"/>
      <c r="C15" s="9" t="n"/>
      <c r="D15" s="29" t="n"/>
      <c r="E15" s="19" t="n"/>
      <c r="F15" s="14" t="n"/>
      <c r="G15" s="9" t="n"/>
      <c r="H15" s="9" t="n"/>
      <c r="I15" s="28">
        <f>IF(A15&amp;B15="","",IF(ISNA(MATCH(A15,lst_Profil,0)),"FEHLER: Profil unbekannt",IF(ISNA(MATCH(B15,lst_Werkstoff,0)),"FEHLER: Werkstoff unbekannt",IF(COUNTIFS($A$5:$A$304,A15,$B$5:$B$304,B15)&gt;1,"FEHLER: doppelt",IF(OR(C15="",D15=""),"FEHLER: Preis unvollständig",IF(AND(C15="€/Stange",E15=""),"FEHLER: Stangenlänge fehlt","OK"))))))</f>
        <v/>
      </c>
      <c r="J15" s="18">
        <f>IF(OR(A15="",B15=""),"",IFERROR(INDEX(Profile!$K$5:$K$304,MATCH(A15,lst_Profil,0))*INDEX(Werkstoffe!$E$5:$E$304,MATCH(B15,lst_Werkstoff,0))/1000*INDEX(Werkstoffe!$G$5:$G$304,MATCH(B15,lst_Werkstoff,0))/1000,""))</f>
        <v/>
      </c>
    </row>
    <row r="16">
      <c r="A16" s="9" t="n"/>
      <c r="B16" s="9" t="n"/>
      <c r="C16" s="9" t="n"/>
      <c r="D16" s="29" t="n"/>
      <c r="E16" s="19" t="n"/>
      <c r="F16" s="14" t="n"/>
      <c r="G16" s="9" t="n"/>
      <c r="H16" s="9" t="n"/>
      <c r="I16" s="28">
        <f>IF(A16&amp;B16="","",IF(ISNA(MATCH(A16,lst_Profil,0)),"FEHLER: Profil unbekannt",IF(ISNA(MATCH(B16,lst_Werkstoff,0)),"FEHLER: Werkstoff unbekannt",IF(COUNTIFS($A$5:$A$304,A16,$B$5:$B$304,B16)&gt;1,"FEHLER: doppelt",IF(OR(C16="",D16=""),"FEHLER: Preis unvollständig",IF(AND(C16="€/Stange",E16=""),"FEHLER: Stangenlänge fehlt","OK"))))))</f>
        <v/>
      </c>
      <c r="J16" s="18">
        <f>IF(OR(A16="",B16=""),"",IFERROR(INDEX(Profile!$K$5:$K$304,MATCH(A16,lst_Profil,0))*INDEX(Werkstoffe!$E$5:$E$304,MATCH(B16,lst_Werkstoff,0))/1000*INDEX(Werkstoffe!$G$5:$G$304,MATCH(B16,lst_Werkstoff,0))/1000,""))</f>
        <v/>
      </c>
    </row>
    <row r="17">
      <c r="A17" s="9" t="n"/>
      <c r="B17" s="9" t="n"/>
      <c r="C17" s="9" t="n"/>
      <c r="D17" s="29" t="n"/>
      <c r="E17" s="19" t="n"/>
      <c r="F17" s="14" t="n"/>
      <c r="G17" s="9" t="n"/>
      <c r="H17" s="9" t="n"/>
      <c r="I17" s="28">
        <f>IF(A17&amp;B17="","",IF(ISNA(MATCH(A17,lst_Profil,0)),"FEHLER: Profil unbekannt",IF(ISNA(MATCH(B17,lst_Werkstoff,0)),"FEHLER: Werkstoff unbekannt",IF(COUNTIFS($A$5:$A$304,A17,$B$5:$B$304,B17)&gt;1,"FEHLER: doppelt",IF(OR(C17="",D17=""),"FEHLER: Preis unvollständig",IF(AND(C17="€/Stange",E17=""),"FEHLER: Stangenlänge fehlt","OK"))))))</f>
        <v/>
      </c>
      <c r="J17" s="18">
        <f>IF(OR(A17="",B17=""),"",IFERROR(INDEX(Profile!$K$5:$K$304,MATCH(A17,lst_Profil,0))*INDEX(Werkstoffe!$E$5:$E$304,MATCH(B17,lst_Werkstoff,0))/1000*INDEX(Werkstoffe!$G$5:$G$304,MATCH(B17,lst_Werkstoff,0))/1000,""))</f>
        <v/>
      </c>
    </row>
    <row r="18">
      <c r="A18" s="9" t="n"/>
      <c r="B18" s="9" t="n"/>
      <c r="C18" s="9" t="n"/>
      <c r="D18" s="29" t="n"/>
      <c r="E18" s="19" t="n"/>
      <c r="F18" s="14" t="n"/>
      <c r="G18" s="9" t="n"/>
      <c r="H18" s="9" t="n"/>
      <c r="I18" s="28">
        <f>IF(A18&amp;B18="","",IF(ISNA(MATCH(A18,lst_Profil,0)),"FEHLER: Profil unbekannt",IF(ISNA(MATCH(B18,lst_Werkstoff,0)),"FEHLER: Werkstoff unbekannt",IF(COUNTIFS($A$5:$A$304,A18,$B$5:$B$304,B18)&gt;1,"FEHLER: doppelt",IF(OR(C18="",D18=""),"FEHLER: Preis unvollständig",IF(AND(C18="€/Stange",E18=""),"FEHLER: Stangenlänge fehlt","OK"))))))</f>
        <v/>
      </c>
      <c r="J18" s="18">
        <f>IF(OR(A18="",B18=""),"",IFERROR(INDEX(Profile!$K$5:$K$304,MATCH(A18,lst_Profil,0))*INDEX(Werkstoffe!$E$5:$E$304,MATCH(B18,lst_Werkstoff,0))/1000*INDEX(Werkstoffe!$G$5:$G$304,MATCH(B18,lst_Werkstoff,0))/1000,""))</f>
        <v/>
      </c>
    </row>
    <row r="19">
      <c r="A19" s="9" t="n"/>
      <c r="B19" s="9" t="n"/>
      <c r="C19" s="9" t="n"/>
      <c r="D19" s="29" t="n"/>
      <c r="E19" s="19" t="n"/>
      <c r="F19" s="14" t="n"/>
      <c r="G19" s="9" t="n"/>
      <c r="H19" s="9" t="n"/>
      <c r="I19" s="28">
        <f>IF(A19&amp;B19="","",IF(ISNA(MATCH(A19,lst_Profil,0)),"FEHLER: Profil unbekannt",IF(ISNA(MATCH(B19,lst_Werkstoff,0)),"FEHLER: Werkstoff unbekannt",IF(COUNTIFS($A$5:$A$304,A19,$B$5:$B$304,B19)&gt;1,"FEHLER: doppelt",IF(OR(C19="",D19=""),"FEHLER: Preis unvollständig",IF(AND(C19="€/Stange",E19=""),"FEHLER: Stangenlänge fehlt","OK"))))))</f>
        <v/>
      </c>
      <c r="J19" s="18">
        <f>IF(OR(A19="",B19=""),"",IFERROR(INDEX(Profile!$K$5:$K$304,MATCH(A19,lst_Profil,0))*INDEX(Werkstoffe!$E$5:$E$304,MATCH(B19,lst_Werkstoff,0))/1000*INDEX(Werkstoffe!$G$5:$G$304,MATCH(B19,lst_Werkstoff,0))/1000,""))</f>
        <v/>
      </c>
    </row>
    <row r="20">
      <c r="A20" s="9" t="n"/>
      <c r="B20" s="9" t="n"/>
      <c r="C20" s="9" t="n"/>
      <c r="D20" s="29" t="n"/>
      <c r="E20" s="19" t="n"/>
      <c r="F20" s="14" t="n"/>
      <c r="G20" s="9" t="n"/>
      <c r="H20" s="9" t="n"/>
      <c r="I20" s="28">
        <f>IF(A20&amp;B20="","",IF(ISNA(MATCH(A20,lst_Profil,0)),"FEHLER: Profil unbekannt",IF(ISNA(MATCH(B20,lst_Werkstoff,0)),"FEHLER: Werkstoff unbekannt",IF(COUNTIFS($A$5:$A$304,A20,$B$5:$B$304,B20)&gt;1,"FEHLER: doppelt",IF(OR(C20="",D20=""),"FEHLER: Preis unvollständig",IF(AND(C20="€/Stange",E20=""),"FEHLER: Stangenlänge fehlt","OK"))))))</f>
        <v/>
      </c>
      <c r="J20" s="18">
        <f>IF(OR(A20="",B20=""),"",IFERROR(INDEX(Profile!$K$5:$K$304,MATCH(A20,lst_Profil,0))*INDEX(Werkstoffe!$E$5:$E$304,MATCH(B20,lst_Werkstoff,0))/1000*INDEX(Werkstoffe!$G$5:$G$304,MATCH(B20,lst_Werkstoff,0))/1000,""))</f>
        <v/>
      </c>
    </row>
    <row r="21">
      <c r="A21" s="9" t="n"/>
      <c r="B21" s="9" t="n"/>
      <c r="C21" s="9" t="n"/>
      <c r="D21" s="29" t="n"/>
      <c r="E21" s="19" t="n"/>
      <c r="F21" s="14" t="n"/>
      <c r="G21" s="9" t="n"/>
      <c r="H21" s="9" t="n"/>
      <c r="I21" s="28">
        <f>IF(A21&amp;B21="","",IF(ISNA(MATCH(A21,lst_Profil,0)),"FEHLER: Profil unbekannt",IF(ISNA(MATCH(B21,lst_Werkstoff,0)),"FEHLER: Werkstoff unbekannt",IF(COUNTIFS($A$5:$A$304,A21,$B$5:$B$304,B21)&gt;1,"FEHLER: doppelt",IF(OR(C21="",D21=""),"FEHLER: Preis unvollständig",IF(AND(C21="€/Stange",E21=""),"FEHLER: Stangenlänge fehlt","OK"))))))</f>
        <v/>
      </c>
      <c r="J21" s="18">
        <f>IF(OR(A21="",B21=""),"",IFERROR(INDEX(Profile!$K$5:$K$304,MATCH(A21,lst_Profil,0))*INDEX(Werkstoffe!$E$5:$E$304,MATCH(B21,lst_Werkstoff,0))/1000*INDEX(Werkstoffe!$G$5:$G$304,MATCH(B21,lst_Werkstoff,0))/1000,""))</f>
        <v/>
      </c>
    </row>
    <row r="22">
      <c r="A22" s="9" t="n"/>
      <c r="B22" s="9" t="n"/>
      <c r="C22" s="9" t="n"/>
      <c r="D22" s="29" t="n"/>
      <c r="E22" s="19" t="n"/>
      <c r="F22" s="14" t="n"/>
      <c r="G22" s="9" t="n"/>
      <c r="H22" s="9" t="n"/>
      <c r="I22" s="28">
        <f>IF(A22&amp;B22="","",IF(ISNA(MATCH(A22,lst_Profil,0)),"FEHLER: Profil unbekannt",IF(ISNA(MATCH(B22,lst_Werkstoff,0)),"FEHLER: Werkstoff unbekannt",IF(COUNTIFS($A$5:$A$304,A22,$B$5:$B$304,B22)&gt;1,"FEHLER: doppelt",IF(OR(C22="",D22=""),"FEHLER: Preis unvollständig",IF(AND(C22="€/Stange",E22=""),"FEHLER: Stangenlänge fehlt","OK"))))))</f>
        <v/>
      </c>
      <c r="J22" s="18">
        <f>IF(OR(A22="",B22=""),"",IFERROR(INDEX(Profile!$K$5:$K$304,MATCH(A22,lst_Profil,0))*INDEX(Werkstoffe!$E$5:$E$304,MATCH(B22,lst_Werkstoff,0))/1000*INDEX(Werkstoffe!$G$5:$G$304,MATCH(B22,lst_Werkstoff,0))/1000,""))</f>
        <v/>
      </c>
    </row>
    <row r="23">
      <c r="A23" s="9" t="n"/>
      <c r="B23" s="9" t="n"/>
      <c r="C23" s="9" t="n"/>
      <c r="D23" s="29" t="n"/>
      <c r="E23" s="19" t="n"/>
      <c r="F23" s="14" t="n"/>
      <c r="G23" s="9" t="n"/>
      <c r="H23" s="9" t="n"/>
      <c r="I23" s="28">
        <f>IF(A23&amp;B23="","",IF(ISNA(MATCH(A23,lst_Profil,0)),"FEHLER: Profil unbekannt",IF(ISNA(MATCH(B23,lst_Werkstoff,0)),"FEHLER: Werkstoff unbekannt",IF(COUNTIFS($A$5:$A$304,A23,$B$5:$B$304,B23)&gt;1,"FEHLER: doppelt",IF(OR(C23="",D23=""),"FEHLER: Preis unvollständig",IF(AND(C23="€/Stange",E23=""),"FEHLER: Stangenlänge fehlt","OK"))))))</f>
        <v/>
      </c>
      <c r="J23" s="18">
        <f>IF(OR(A23="",B23=""),"",IFERROR(INDEX(Profile!$K$5:$K$304,MATCH(A23,lst_Profil,0))*INDEX(Werkstoffe!$E$5:$E$304,MATCH(B23,lst_Werkstoff,0))/1000*INDEX(Werkstoffe!$G$5:$G$304,MATCH(B23,lst_Werkstoff,0))/1000,""))</f>
        <v/>
      </c>
    </row>
    <row r="24">
      <c r="A24" s="9" t="n"/>
      <c r="B24" s="9" t="n"/>
      <c r="C24" s="9" t="n"/>
      <c r="D24" s="29" t="n"/>
      <c r="E24" s="19" t="n"/>
      <c r="F24" s="14" t="n"/>
      <c r="G24" s="9" t="n"/>
      <c r="H24" s="9" t="n"/>
      <c r="I24" s="28">
        <f>IF(A24&amp;B24="","",IF(ISNA(MATCH(A24,lst_Profil,0)),"FEHLER: Profil unbekannt",IF(ISNA(MATCH(B24,lst_Werkstoff,0)),"FEHLER: Werkstoff unbekannt",IF(COUNTIFS($A$5:$A$304,A24,$B$5:$B$304,B24)&gt;1,"FEHLER: doppelt",IF(OR(C24="",D24=""),"FEHLER: Preis unvollständig",IF(AND(C24="€/Stange",E24=""),"FEHLER: Stangenlänge fehlt","OK"))))))</f>
        <v/>
      </c>
      <c r="J24" s="18">
        <f>IF(OR(A24="",B24=""),"",IFERROR(INDEX(Profile!$K$5:$K$304,MATCH(A24,lst_Profil,0))*INDEX(Werkstoffe!$E$5:$E$304,MATCH(B24,lst_Werkstoff,0))/1000*INDEX(Werkstoffe!$G$5:$G$304,MATCH(B24,lst_Werkstoff,0))/1000,""))</f>
        <v/>
      </c>
    </row>
    <row r="25">
      <c r="A25" s="9" t="n"/>
      <c r="B25" s="9" t="n"/>
      <c r="C25" s="9" t="n"/>
      <c r="D25" s="29" t="n"/>
      <c r="E25" s="19" t="n"/>
      <c r="F25" s="14" t="n"/>
      <c r="G25" s="9" t="n"/>
      <c r="H25" s="9" t="n"/>
      <c r="I25" s="28">
        <f>IF(A25&amp;B25="","",IF(ISNA(MATCH(A25,lst_Profil,0)),"FEHLER: Profil unbekannt",IF(ISNA(MATCH(B25,lst_Werkstoff,0)),"FEHLER: Werkstoff unbekannt",IF(COUNTIFS($A$5:$A$304,A25,$B$5:$B$304,B25)&gt;1,"FEHLER: doppelt",IF(OR(C25="",D25=""),"FEHLER: Preis unvollständig",IF(AND(C25="€/Stange",E25=""),"FEHLER: Stangenlänge fehlt","OK"))))))</f>
        <v/>
      </c>
      <c r="J25" s="18">
        <f>IF(OR(A25="",B25=""),"",IFERROR(INDEX(Profile!$K$5:$K$304,MATCH(A25,lst_Profil,0))*INDEX(Werkstoffe!$E$5:$E$304,MATCH(B25,lst_Werkstoff,0))/1000*INDEX(Werkstoffe!$G$5:$G$304,MATCH(B25,lst_Werkstoff,0))/1000,""))</f>
        <v/>
      </c>
    </row>
    <row r="26">
      <c r="A26" s="9" t="n"/>
      <c r="B26" s="9" t="n"/>
      <c r="C26" s="9" t="n"/>
      <c r="D26" s="29" t="n"/>
      <c r="E26" s="19" t="n"/>
      <c r="F26" s="14" t="n"/>
      <c r="G26" s="9" t="n"/>
      <c r="H26" s="9" t="n"/>
      <c r="I26" s="28">
        <f>IF(A26&amp;B26="","",IF(ISNA(MATCH(A26,lst_Profil,0)),"FEHLER: Profil unbekannt",IF(ISNA(MATCH(B26,lst_Werkstoff,0)),"FEHLER: Werkstoff unbekannt",IF(COUNTIFS($A$5:$A$304,A26,$B$5:$B$304,B26)&gt;1,"FEHLER: doppelt",IF(OR(C26="",D26=""),"FEHLER: Preis unvollständig",IF(AND(C26="€/Stange",E26=""),"FEHLER: Stangenlänge fehlt","OK"))))))</f>
        <v/>
      </c>
      <c r="J26" s="18">
        <f>IF(OR(A26="",B26=""),"",IFERROR(INDEX(Profile!$K$5:$K$304,MATCH(A26,lst_Profil,0))*INDEX(Werkstoffe!$E$5:$E$304,MATCH(B26,lst_Werkstoff,0))/1000*INDEX(Werkstoffe!$G$5:$G$304,MATCH(B26,lst_Werkstoff,0))/1000,""))</f>
        <v/>
      </c>
    </row>
    <row r="27">
      <c r="A27" s="9" t="n"/>
      <c r="B27" s="9" t="n"/>
      <c r="C27" s="9" t="n"/>
      <c r="D27" s="29" t="n"/>
      <c r="E27" s="19" t="n"/>
      <c r="F27" s="14" t="n"/>
      <c r="G27" s="9" t="n"/>
      <c r="H27" s="9" t="n"/>
      <c r="I27" s="28">
        <f>IF(A27&amp;B27="","",IF(ISNA(MATCH(A27,lst_Profil,0)),"FEHLER: Profil unbekannt",IF(ISNA(MATCH(B27,lst_Werkstoff,0)),"FEHLER: Werkstoff unbekannt",IF(COUNTIFS($A$5:$A$304,A27,$B$5:$B$304,B27)&gt;1,"FEHLER: doppelt",IF(OR(C27="",D27=""),"FEHLER: Preis unvollständig",IF(AND(C27="€/Stange",E27=""),"FEHLER: Stangenlänge fehlt","OK"))))))</f>
        <v/>
      </c>
      <c r="J27" s="18">
        <f>IF(OR(A27="",B27=""),"",IFERROR(INDEX(Profile!$K$5:$K$304,MATCH(A27,lst_Profil,0))*INDEX(Werkstoffe!$E$5:$E$304,MATCH(B27,lst_Werkstoff,0))/1000*INDEX(Werkstoffe!$G$5:$G$304,MATCH(B27,lst_Werkstoff,0))/1000,""))</f>
        <v/>
      </c>
    </row>
    <row r="28">
      <c r="A28" s="9" t="n"/>
      <c r="B28" s="9" t="n"/>
      <c r="C28" s="9" t="n"/>
      <c r="D28" s="29" t="n"/>
      <c r="E28" s="19" t="n"/>
      <c r="F28" s="14" t="n"/>
      <c r="G28" s="9" t="n"/>
      <c r="H28" s="9" t="n"/>
      <c r="I28" s="28">
        <f>IF(A28&amp;B28="","",IF(ISNA(MATCH(A28,lst_Profil,0)),"FEHLER: Profil unbekannt",IF(ISNA(MATCH(B28,lst_Werkstoff,0)),"FEHLER: Werkstoff unbekannt",IF(COUNTIFS($A$5:$A$304,A28,$B$5:$B$304,B28)&gt;1,"FEHLER: doppelt",IF(OR(C28="",D28=""),"FEHLER: Preis unvollständig",IF(AND(C28="€/Stange",E28=""),"FEHLER: Stangenlänge fehlt","OK"))))))</f>
        <v/>
      </c>
      <c r="J28" s="18">
        <f>IF(OR(A28="",B28=""),"",IFERROR(INDEX(Profile!$K$5:$K$304,MATCH(A28,lst_Profil,0))*INDEX(Werkstoffe!$E$5:$E$304,MATCH(B28,lst_Werkstoff,0))/1000*INDEX(Werkstoffe!$G$5:$G$304,MATCH(B28,lst_Werkstoff,0))/1000,""))</f>
        <v/>
      </c>
    </row>
    <row r="29">
      <c r="A29" s="9" t="n"/>
      <c r="B29" s="9" t="n"/>
      <c r="C29" s="9" t="n"/>
      <c r="D29" s="29" t="n"/>
      <c r="E29" s="19" t="n"/>
      <c r="F29" s="14" t="n"/>
      <c r="G29" s="9" t="n"/>
      <c r="H29" s="9" t="n"/>
      <c r="I29" s="28">
        <f>IF(A29&amp;B29="","",IF(ISNA(MATCH(A29,lst_Profil,0)),"FEHLER: Profil unbekannt",IF(ISNA(MATCH(B29,lst_Werkstoff,0)),"FEHLER: Werkstoff unbekannt",IF(COUNTIFS($A$5:$A$304,A29,$B$5:$B$304,B29)&gt;1,"FEHLER: doppelt",IF(OR(C29="",D29=""),"FEHLER: Preis unvollständig",IF(AND(C29="€/Stange",E29=""),"FEHLER: Stangenlänge fehlt","OK"))))))</f>
        <v/>
      </c>
      <c r="J29" s="18">
        <f>IF(OR(A29="",B29=""),"",IFERROR(INDEX(Profile!$K$5:$K$304,MATCH(A29,lst_Profil,0))*INDEX(Werkstoffe!$E$5:$E$304,MATCH(B29,lst_Werkstoff,0))/1000*INDEX(Werkstoffe!$G$5:$G$304,MATCH(B29,lst_Werkstoff,0))/1000,""))</f>
        <v/>
      </c>
    </row>
    <row r="30">
      <c r="A30" s="9" t="n"/>
      <c r="B30" s="9" t="n"/>
      <c r="C30" s="9" t="n"/>
      <c r="D30" s="29" t="n"/>
      <c r="E30" s="19" t="n"/>
      <c r="F30" s="14" t="n"/>
      <c r="G30" s="9" t="n"/>
      <c r="H30" s="9" t="n"/>
      <c r="I30" s="28">
        <f>IF(A30&amp;B30="","",IF(ISNA(MATCH(A30,lst_Profil,0)),"FEHLER: Profil unbekannt",IF(ISNA(MATCH(B30,lst_Werkstoff,0)),"FEHLER: Werkstoff unbekannt",IF(COUNTIFS($A$5:$A$304,A30,$B$5:$B$304,B30)&gt;1,"FEHLER: doppelt",IF(OR(C30="",D30=""),"FEHLER: Preis unvollständig",IF(AND(C30="€/Stange",E30=""),"FEHLER: Stangenlänge fehlt","OK"))))))</f>
        <v/>
      </c>
      <c r="J30" s="18">
        <f>IF(OR(A30="",B30=""),"",IFERROR(INDEX(Profile!$K$5:$K$304,MATCH(A30,lst_Profil,0))*INDEX(Werkstoffe!$E$5:$E$304,MATCH(B30,lst_Werkstoff,0))/1000*INDEX(Werkstoffe!$G$5:$G$304,MATCH(B30,lst_Werkstoff,0))/1000,""))</f>
        <v/>
      </c>
    </row>
    <row r="31">
      <c r="A31" s="9" t="n"/>
      <c r="B31" s="9" t="n"/>
      <c r="C31" s="9" t="n"/>
      <c r="D31" s="29" t="n"/>
      <c r="E31" s="19" t="n"/>
      <c r="F31" s="14" t="n"/>
      <c r="G31" s="9" t="n"/>
      <c r="H31" s="9" t="n"/>
      <c r="I31" s="28">
        <f>IF(A31&amp;B31="","",IF(ISNA(MATCH(A31,lst_Profil,0)),"FEHLER: Profil unbekannt",IF(ISNA(MATCH(B31,lst_Werkstoff,0)),"FEHLER: Werkstoff unbekannt",IF(COUNTIFS($A$5:$A$304,A31,$B$5:$B$304,B31)&gt;1,"FEHLER: doppelt",IF(OR(C31="",D31=""),"FEHLER: Preis unvollständig",IF(AND(C31="€/Stange",E31=""),"FEHLER: Stangenlänge fehlt","OK"))))))</f>
        <v/>
      </c>
      <c r="J31" s="18">
        <f>IF(OR(A31="",B31=""),"",IFERROR(INDEX(Profile!$K$5:$K$304,MATCH(A31,lst_Profil,0))*INDEX(Werkstoffe!$E$5:$E$304,MATCH(B31,lst_Werkstoff,0))/1000*INDEX(Werkstoffe!$G$5:$G$304,MATCH(B31,lst_Werkstoff,0))/1000,""))</f>
        <v/>
      </c>
    </row>
    <row r="32">
      <c r="A32" s="9" t="n"/>
      <c r="B32" s="9" t="n"/>
      <c r="C32" s="9" t="n"/>
      <c r="D32" s="29" t="n"/>
      <c r="E32" s="19" t="n"/>
      <c r="F32" s="14" t="n"/>
      <c r="G32" s="9" t="n"/>
      <c r="H32" s="9" t="n"/>
      <c r="I32" s="28">
        <f>IF(A32&amp;B32="","",IF(ISNA(MATCH(A32,lst_Profil,0)),"FEHLER: Profil unbekannt",IF(ISNA(MATCH(B32,lst_Werkstoff,0)),"FEHLER: Werkstoff unbekannt",IF(COUNTIFS($A$5:$A$304,A32,$B$5:$B$304,B32)&gt;1,"FEHLER: doppelt",IF(OR(C32="",D32=""),"FEHLER: Preis unvollständig",IF(AND(C32="€/Stange",E32=""),"FEHLER: Stangenlänge fehlt","OK"))))))</f>
        <v/>
      </c>
      <c r="J32" s="18">
        <f>IF(OR(A32="",B32=""),"",IFERROR(INDEX(Profile!$K$5:$K$304,MATCH(A32,lst_Profil,0))*INDEX(Werkstoffe!$E$5:$E$304,MATCH(B32,lst_Werkstoff,0))/1000*INDEX(Werkstoffe!$G$5:$G$304,MATCH(B32,lst_Werkstoff,0))/1000,""))</f>
        <v/>
      </c>
    </row>
    <row r="33">
      <c r="A33" s="9" t="n"/>
      <c r="B33" s="9" t="n"/>
      <c r="C33" s="9" t="n"/>
      <c r="D33" s="29" t="n"/>
      <c r="E33" s="19" t="n"/>
      <c r="F33" s="14" t="n"/>
      <c r="G33" s="9" t="n"/>
      <c r="H33" s="9" t="n"/>
      <c r="I33" s="28">
        <f>IF(A33&amp;B33="","",IF(ISNA(MATCH(A33,lst_Profil,0)),"FEHLER: Profil unbekannt",IF(ISNA(MATCH(B33,lst_Werkstoff,0)),"FEHLER: Werkstoff unbekannt",IF(COUNTIFS($A$5:$A$304,A33,$B$5:$B$304,B33)&gt;1,"FEHLER: doppelt",IF(OR(C33="",D33=""),"FEHLER: Preis unvollständig",IF(AND(C33="€/Stange",E33=""),"FEHLER: Stangenlänge fehlt","OK"))))))</f>
        <v/>
      </c>
      <c r="J33" s="18">
        <f>IF(OR(A33="",B33=""),"",IFERROR(INDEX(Profile!$K$5:$K$304,MATCH(A33,lst_Profil,0))*INDEX(Werkstoffe!$E$5:$E$304,MATCH(B33,lst_Werkstoff,0))/1000*INDEX(Werkstoffe!$G$5:$G$304,MATCH(B33,lst_Werkstoff,0))/1000,""))</f>
        <v/>
      </c>
    </row>
    <row r="34">
      <c r="A34" s="9" t="n"/>
      <c r="B34" s="9" t="n"/>
      <c r="C34" s="9" t="n"/>
      <c r="D34" s="29" t="n"/>
      <c r="E34" s="19" t="n"/>
      <c r="F34" s="14" t="n"/>
      <c r="G34" s="9" t="n"/>
      <c r="H34" s="9" t="n"/>
      <c r="I34" s="28">
        <f>IF(A34&amp;B34="","",IF(ISNA(MATCH(A34,lst_Profil,0)),"FEHLER: Profil unbekannt",IF(ISNA(MATCH(B34,lst_Werkstoff,0)),"FEHLER: Werkstoff unbekannt",IF(COUNTIFS($A$5:$A$304,A34,$B$5:$B$304,B34)&gt;1,"FEHLER: doppelt",IF(OR(C34="",D34=""),"FEHLER: Preis unvollständig",IF(AND(C34="€/Stange",E34=""),"FEHLER: Stangenlänge fehlt","OK"))))))</f>
        <v/>
      </c>
      <c r="J34" s="18">
        <f>IF(OR(A34="",B34=""),"",IFERROR(INDEX(Profile!$K$5:$K$304,MATCH(A34,lst_Profil,0))*INDEX(Werkstoffe!$E$5:$E$304,MATCH(B34,lst_Werkstoff,0))/1000*INDEX(Werkstoffe!$G$5:$G$304,MATCH(B34,lst_Werkstoff,0))/1000,""))</f>
        <v/>
      </c>
    </row>
    <row r="35">
      <c r="A35" s="9" t="n"/>
      <c r="B35" s="9" t="n"/>
      <c r="C35" s="9" t="n"/>
      <c r="D35" s="29" t="n"/>
      <c r="E35" s="19" t="n"/>
      <c r="F35" s="14" t="n"/>
      <c r="G35" s="9" t="n"/>
      <c r="H35" s="9" t="n"/>
      <c r="I35" s="28">
        <f>IF(A35&amp;B35="","",IF(ISNA(MATCH(A35,lst_Profil,0)),"FEHLER: Profil unbekannt",IF(ISNA(MATCH(B35,lst_Werkstoff,0)),"FEHLER: Werkstoff unbekannt",IF(COUNTIFS($A$5:$A$304,A35,$B$5:$B$304,B35)&gt;1,"FEHLER: doppelt",IF(OR(C35="",D35=""),"FEHLER: Preis unvollständig",IF(AND(C35="€/Stange",E35=""),"FEHLER: Stangenlänge fehlt","OK"))))))</f>
        <v/>
      </c>
      <c r="J35" s="18">
        <f>IF(OR(A35="",B35=""),"",IFERROR(INDEX(Profile!$K$5:$K$304,MATCH(A35,lst_Profil,0))*INDEX(Werkstoffe!$E$5:$E$304,MATCH(B35,lst_Werkstoff,0))/1000*INDEX(Werkstoffe!$G$5:$G$304,MATCH(B35,lst_Werkstoff,0))/1000,""))</f>
        <v/>
      </c>
    </row>
    <row r="36">
      <c r="A36" s="9" t="n"/>
      <c r="B36" s="9" t="n"/>
      <c r="C36" s="9" t="n"/>
      <c r="D36" s="29" t="n"/>
      <c r="E36" s="19" t="n"/>
      <c r="F36" s="14" t="n"/>
      <c r="G36" s="9" t="n"/>
      <c r="H36" s="9" t="n"/>
      <c r="I36" s="28">
        <f>IF(A36&amp;B36="","",IF(ISNA(MATCH(A36,lst_Profil,0)),"FEHLER: Profil unbekannt",IF(ISNA(MATCH(B36,lst_Werkstoff,0)),"FEHLER: Werkstoff unbekannt",IF(COUNTIFS($A$5:$A$304,A36,$B$5:$B$304,B36)&gt;1,"FEHLER: doppelt",IF(OR(C36="",D36=""),"FEHLER: Preis unvollständig",IF(AND(C36="€/Stange",E36=""),"FEHLER: Stangenlänge fehlt","OK"))))))</f>
        <v/>
      </c>
      <c r="J36" s="18">
        <f>IF(OR(A36="",B36=""),"",IFERROR(INDEX(Profile!$K$5:$K$304,MATCH(A36,lst_Profil,0))*INDEX(Werkstoffe!$E$5:$E$304,MATCH(B36,lst_Werkstoff,0))/1000*INDEX(Werkstoffe!$G$5:$G$304,MATCH(B36,lst_Werkstoff,0))/1000,""))</f>
        <v/>
      </c>
    </row>
    <row r="37">
      <c r="A37" s="9" t="n"/>
      <c r="B37" s="9" t="n"/>
      <c r="C37" s="9" t="n"/>
      <c r="D37" s="29" t="n"/>
      <c r="E37" s="19" t="n"/>
      <c r="F37" s="14" t="n"/>
      <c r="G37" s="9" t="n"/>
      <c r="H37" s="9" t="n"/>
      <c r="I37" s="28">
        <f>IF(A37&amp;B37="","",IF(ISNA(MATCH(A37,lst_Profil,0)),"FEHLER: Profil unbekannt",IF(ISNA(MATCH(B37,lst_Werkstoff,0)),"FEHLER: Werkstoff unbekannt",IF(COUNTIFS($A$5:$A$304,A37,$B$5:$B$304,B37)&gt;1,"FEHLER: doppelt",IF(OR(C37="",D37=""),"FEHLER: Preis unvollständig",IF(AND(C37="€/Stange",E37=""),"FEHLER: Stangenlänge fehlt","OK"))))))</f>
        <v/>
      </c>
      <c r="J37" s="18">
        <f>IF(OR(A37="",B37=""),"",IFERROR(INDEX(Profile!$K$5:$K$304,MATCH(A37,lst_Profil,0))*INDEX(Werkstoffe!$E$5:$E$304,MATCH(B37,lst_Werkstoff,0))/1000*INDEX(Werkstoffe!$G$5:$G$304,MATCH(B37,lst_Werkstoff,0))/1000,""))</f>
        <v/>
      </c>
    </row>
    <row r="38">
      <c r="A38" s="9" t="n"/>
      <c r="B38" s="9" t="n"/>
      <c r="C38" s="9" t="n"/>
      <c r="D38" s="29" t="n"/>
      <c r="E38" s="19" t="n"/>
      <c r="F38" s="14" t="n"/>
      <c r="G38" s="9" t="n"/>
      <c r="H38" s="9" t="n"/>
      <c r="I38" s="28">
        <f>IF(A38&amp;B38="","",IF(ISNA(MATCH(A38,lst_Profil,0)),"FEHLER: Profil unbekannt",IF(ISNA(MATCH(B38,lst_Werkstoff,0)),"FEHLER: Werkstoff unbekannt",IF(COUNTIFS($A$5:$A$304,A38,$B$5:$B$304,B38)&gt;1,"FEHLER: doppelt",IF(OR(C38="",D38=""),"FEHLER: Preis unvollständig",IF(AND(C38="€/Stange",E38=""),"FEHLER: Stangenlänge fehlt","OK"))))))</f>
        <v/>
      </c>
      <c r="J38" s="18">
        <f>IF(OR(A38="",B38=""),"",IFERROR(INDEX(Profile!$K$5:$K$304,MATCH(A38,lst_Profil,0))*INDEX(Werkstoffe!$E$5:$E$304,MATCH(B38,lst_Werkstoff,0))/1000*INDEX(Werkstoffe!$G$5:$G$304,MATCH(B38,lst_Werkstoff,0))/1000,""))</f>
        <v/>
      </c>
    </row>
    <row r="39">
      <c r="A39" s="9" t="n"/>
      <c r="B39" s="9" t="n"/>
      <c r="C39" s="9" t="n"/>
      <c r="D39" s="29" t="n"/>
      <c r="E39" s="19" t="n"/>
      <c r="F39" s="14" t="n"/>
      <c r="G39" s="9" t="n"/>
      <c r="H39" s="9" t="n"/>
      <c r="I39" s="28">
        <f>IF(A39&amp;B39="","",IF(ISNA(MATCH(A39,lst_Profil,0)),"FEHLER: Profil unbekannt",IF(ISNA(MATCH(B39,lst_Werkstoff,0)),"FEHLER: Werkstoff unbekannt",IF(COUNTIFS($A$5:$A$304,A39,$B$5:$B$304,B39)&gt;1,"FEHLER: doppelt",IF(OR(C39="",D39=""),"FEHLER: Preis unvollständig",IF(AND(C39="€/Stange",E39=""),"FEHLER: Stangenlänge fehlt","OK"))))))</f>
        <v/>
      </c>
      <c r="J39" s="18">
        <f>IF(OR(A39="",B39=""),"",IFERROR(INDEX(Profile!$K$5:$K$304,MATCH(A39,lst_Profil,0))*INDEX(Werkstoffe!$E$5:$E$304,MATCH(B39,lst_Werkstoff,0))/1000*INDEX(Werkstoffe!$G$5:$G$304,MATCH(B39,lst_Werkstoff,0))/1000,""))</f>
        <v/>
      </c>
    </row>
    <row r="40">
      <c r="A40" s="9" t="n"/>
      <c r="B40" s="9" t="n"/>
      <c r="C40" s="9" t="n"/>
      <c r="D40" s="29" t="n"/>
      <c r="E40" s="19" t="n"/>
      <c r="F40" s="14" t="n"/>
      <c r="G40" s="9" t="n"/>
      <c r="H40" s="9" t="n"/>
      <c r="I40" s="28">
        <f>IF(A40&amp;B40="","",IF(ISNA(MATCH(A40,lst_Profil,0)),"FEHLER: Profil unbekannt",IF(ISNA(MATCH(B40,lst_Werkstoff,0)),"FEHLER: Werkstoff unbekannt",IF(COUNTIFS($A$5:$A$304,A40,$B$5:$B$304,B40)&gt;1,"FEHLER: doppelt",IF(OR(C40="",D40=""),"FEHLER: Preis unvollständig",IF(AND(C40="€/Stange",E40=""),"FEHLER: Stangenlänge fehlt","OK"))))))</f>
        <v/>
      </c>
      <c r="J40" s="18">
        <f>IF(OR(A40="",B40=""),"",IFERROR(INDEX(Profile!$K$5:$K$304,MATCH(A40,lst_Profil,0))*INDEX(Werkstoffe!$E$5:$E$304,MATCH(B40,lst_Werkstoff,0))/1000*INDEX(Werkstoffe!$G$5:$G$304,MATCH(B40,lst_Werkstoff,0))/1000,""))</f>
        <v/>
      </c>
    </row>
    <row r="41">
      <c r="A41" s="9" t="n"/>
      <c r="B41" s="9" t="n"/>
      <c r="C41" s="9" t="n"/>
      <c r="D41" s="29" t="n"/>
      <c r="E41" s="19" t="n"/>
      <c r="F41" s="14" t="n"/>
      <c r="G41" s="9" t="n"/>
      <c r="H41" s="9" t="n"/>
      <c r="I41" s="28">
        <f>IF(A41&amp;B41="","",IF(ISNA(MATCH(A41,lst_Profil,0)),"FEHLER: Profil unbekannt",IF(ISNA(MATCH(B41,lst_Werkstoff,0)),"FEHLER: Werkstoff unbekannt",IF(COUNTIFS($A$5:$A$304,A41,$B$5:$B$304,B41)&gt;1,"FEHLER: doppelt",IF(OR(C41="",D41=""),"FEHLER: Preis unvollständig",IF(AND(C41="€/Stange",E41=""),"FEHLER: Stangenlänge fehlt","OK"))))))</f>
        <v/>
      </c>
      <c r="J41" s="18">
        <f>IF(OR(A41="",B41=""),"",IFERROR(INDEX(Profile!$K$5:$K$304,MATCH(A41,lst_Profil,0))*INDEX(Werkstoffe!$E$5:$E$304,MATCH(B41,lst_Werkstoff,0))/1000*INDEX(Werkstoffe!$G$5:$G$304,MATCH(B41,lst_Werkstoff,0))/1000,""))</f>
        <v/>
      </c>
    </row>
    <row r="42">
      <c r="A42" s="9" t="n"/>
      <c r="B42" s="9" t="n"/>
      <c r="C42" s="9" t="n"/>
      <c r="D42" s="29" t="n"/>
      <c r="E42" s="19" t="n"/>
      <c r="F42" s="14" t="n"/>
      <c r="G42" s="9" t="n"/>
      <c r="H42" s="9" t="n"/>
      <c r="I42" s="28">
        <f>IF(A42&amp;B42="","",IF(ISNA(MATCH(A42,lst_Profil,0)),"FEHLER: Profil unbekannt",IF(ISNA(MATCH(B42,lst_Werkstoff,0)),"FEHLER: Werkstoff unbekannt",IF(COUNTIFS($A$5:$A$304,A42,$B$5:$B$304,B42)&gt;1,"FEHLER: doppelt",IF(OR(C42="",D42=""),"FEHLER: Preis unvollständig",IF(AND(C42="€/Stange",E42=""),"FEHLER: Stangenlänge fehlt","OK"))))))</f>
        <v/>
      </c>
      <c r="J42" s="18">
        <f>IF(OR(A42="",B42=""),"",IFERROR(INDEX(Profile!$K$5:$K$304,MATCH(A42,lst_Profil,0))*INDEX(Werkstoffe!$E$5:$E$304,MATCH(B42,lst_Werkstoff,0))/1000*INDEX(Werkstoffe!$G$5:$G$304,MATCH(B42,lst_Werkstoff,0))/1000,""))</f>
        <v/>
      </c>
    </row>
    <row r="43">
      <c r="A43" s="9" t="n"/>
      <c r="B43" s="9" t="n"/>
      <c r="C43" s="9" t="n"/>
      <c r="D43" s="29" t="n"/>
      <c r="E43" s="19" t="n"/>
      <c r="F43" s="14" t="n"/>
      <c r="G43" s="9" t="n"/>
      <c r="H43" s="9" t="n"/>
      <c r="I43" s="28">
        <f>IF(A43&amp;B43="","",IF(ISNA(MATCH(A43,lst_Profil,0)),"FEHLER: Profil unbekannt",IF(ISNA(MATCH(B43,lst_Werkstoff,0)),"FEHLER: Werkstoff unbekannt",IF(COUNTIFS($A$5:$A$304,A43,$B$5:$B$304,B43)&gt;1,"FEHLER: doppelt",IF(OR(C43="",D43=""),"FEHLER: Preis unvollständig",IF(AND(C43="€/Stange",E43=""),"FEHLER: Stangenlänge fehlt","OK"))))))</f>
        <v/>
      </c>
      <c r="J43" s="18">
        <f>IF(OR(A43="",B43=""),"",IFERROR(INDEX(Profile!$K$5:$K$304,MATCH(A43,lst_Profil,0))*INDEX(Werkstoffe!$E$5:$E$304,MATCH(B43,lst_Werkstoff,0))/1000*INDEX(Werkstoffe!$G$5:$G$304,MATCH(B43,lst_Werkstoff,0))/1000,""))</f>
        <v/>
      </c>
    </row>
    <row r="44">
      <c r="A44" s="9" t="n"/>
      <c r="B44" s="9" t="n"/>
      <c r="C44" s="9" t="n"/>
      <c r="D44" s="29" t="n"/>
      <c r="E44" s="19" t="n"/>
      <c r="F44" s="14" t="n"/>
      <c r="G44" s="9" t="n"/>
      <c r="H44" s="9" t="n"/>
      <c r="I44" s="28">
        <f>IF(A44&amp;B44="","",IF(ISNA(MATCH(A44,lst_Profil,0)),"FEHLER: Profil unbekannt",IF(ISNA(MATCH(B44,lst_Werkstoff,0)),"FEHLER: Werkstoff unbekannt",IF(COUNTIFS($A$5:$A$304,A44,$B$5:$B$304,B44)&gt;1,"FEHLER: doppelt",IF(OR(C44="",D44=""),"FEHLER: Preis unvollständig",IF(AND(C44="€/Stange",E44=""),"FEHLER: Stangenlänge fehlt","OK"))))))</f>
        <v/>
      </c>
      <c r="J44" s="18">
        <f>IF(OR(A44="",B44=""),"",IFERROR(INDEX(Profile!$K$5:$K$304,MATCH(A44,lst_Profil,0))*INDEX(Werkstoffe!$E$5:$E$304,MATCH(B44,lst_Werkstoff,0))/1000*INDEX(Werkstoffe!$G$5:$G$304,MATCH(B44,lst_Werkstoff,0))/1000,""))</f>
        <v/>
      </c>
    </row>
    <row r="45">
      <c r="A45" s="9" t="n"/>
      <c r="B45" s="9" t="n"/>
      <c r="C45" s="9" t="n"/>
      <c r="D45" s="29" t="n"/>
      <c r="E45" s="19" t="n"/>
      <c r="F45" s="14" t="n"/>
      <c r="G45" s="9" t="n"/>
      <c r="H45" s="9" t="n"/>
      <c r="I45" s="28">
        <f>IF(A45&amp;B45="","",IF(ISNA(MATCH(A45,lst_Profil,0)),"FEHLER: Profil unbekannt",IF(ISNA(MATCH(B45,lst_Werkstoff,0)),"FEHLER: Werkstoff unbekannt",IF(COUNTIFS($A$5:$A$304,A45,$B$5:$B$304,B45)&gt;1,"FEHLER: doppelt",IF(OR(C45="",D45=""),"FEHLER: Preis unvollständig",IF(AND(C45="€/Stange",E45=""),"FEHLER: Stangenlänge fehlt","OK"))))))</f>
        <v/>
      </c>
      <c r="J45" s="18">
        <f>IF(OR(A45="",B45=""),"",IFERROR(INDEX(Profile!$K$5:$K$304,MATCH(A45,lst_Profil,0))*INDEX(Werkstoffe!$E$5:$E$304,MATCH(B45,lst_Werkstoff,0))/1000*INDEX(Werkstoffe!$G$5:$G$304,MATCH(B45,lst_Werkstoff,0))/1000,""))</f>
        <v/>
      </c>
    </row>
    <row r="46">
      <c r="A46" s="9" t="n"/>
      <c r="B46" s="9" t="n"/>
      <c r="C46" s="9" t="n"/>
      <c r="D46" s="29" t="n"/>
      <c r="E46" s="19" t="n"/>
      <c r="F46" s="14" t="n"/>
      <c r="G46" s="9" t="n"/>
      <c r="H46" s="9" t="n"/>
      <c r="I46" s="28">
        <f>IF(A46&amp;B46="","",IF(ISNA(MATCH(A46,lst_Profil,0)),"FEHLER: Profil unbekannt",IF(ISNA(MATCH(B46,lst_Werkstoff,0)),"FEHLER: Werkstoff unbekannt",IF(COUNTIFS($A$5:$A$304,A46,$B$5:$B$304,B46)&gt;1,"FEHLER: doppelt",IF(OR(C46="",D46=""),"FEHLER: Preis unvollständig",IF(AND(C46="€/Stange",E46=""),"FEHLER: Stangenlänge fehlt","OK"))))))</f>
        <v/>
      </c>
      <c r="J46" s="18">
        <f>IF(OR(A46="",B46=""),"",IFERROR(INDEX(Profile!$K$5:$K$304,MATCH(A46,lst_Profil,0))*INDEX(Werkstoffe!$E$5:$E$304,MATCH(B46,lst_Werkstoff,0))/1000*INDEX(Werkstoffe!$G$5:$G$304,MATCH(B46,lst_Werkstoff,0))/1000,""))</f>
        <v/>
      </c>
    </row>
    <row r="47">
      <c r="A47" s="9" t="n"/>
      <c r="B47" s="9" t="n"/>
      <c r="C47" s="9" t="n"/>
      <c r="D47" s="29" t="n"/>
      <c r="E47" s="19" t="n"/>
      <c r="F47" s="14" t="n"/>
      <c r="G47" s="9" t="n"/>
      <c r="H47" s="9" t="n"/>
      <c r="I47" s="28">
        <f>IF(A47&amp;B47="","",IF(ISNA(MATCH(A47,lst_Profil,0)),"FEHLER: Profil unbekannt",IF(ISNA(MATCH(B47,lst_Werkstoff,0)),"FEHLER: Werkstoff unbekannt",IF(COUNTIFS($A$5:$A$304,A47,$B$5:$B$304,B47)&gt;1,"FEHLER: doppelt",IF(OR(C47="",D47=""),"FEHLER: Preis unvollständig",IF(AND(C47="€/Stange",E47=""),"FEHLER: Stangenlänge fehlt","OK"))))))</f>
        <v/>
      </c>
      <c r="J47" s="18">
        <f>IF(OR(A47="",B47=""),"",IFERROR(INDEX(Profile!$K$5:$K$304,MATCH(A47,lst_Profil,0))*INDEX(Werkstoffe!$E$5:$E$304,MATCH(B47,lst_Werkstoff,0))/1000*INDEX(Werkstoffe!$G$5:$G$304,MATCH(B47,lst_Werkstoff,0))/1000,""))</f>
        <v/>
      </c>
    </row>
    <row r="48">
      <c r="A48" s="9" t="n"/>
      <c r="B48" s="9" t="n"/>
      <c r="C48" s="9" t="n"/>
      <c r="D48" s="29" t="n"/>
      <c r="E48" s="19" t="n"/>
      <c r="F48" s="14" t="n"/>
      <c r="G48" s="9" t="n"/>
      <c r="H48" s="9" t="n"/>
      <c r="I48" s="28">
        <f>IF(A48&amp;B48="","",IF(ISNA(MATCH(A48,lst_Profil,0)),"FEHLER: Profil unbekannt",IF(ISNA(MATCH(B48,lst_Werkstoff,0)),"FEHLER: Werkstoff unbekannt",IF(COUNTIFS($A$5:$A$304,A48,$B$5:$B$304,B48)&gt;1,"FEHLER: doppelt",IF(OR(C48="",D48=""),"FEHLER: Preis unvollständig",IF(AND(C48="€/Stange",E48=""),"FEHLER: Stangenlänge fehlt","OK"))))))</f>
        <v/>
      </c>
      <c r="J48" s="18">
        <f>IF(OR(A48="",B48=""),"",IFERROR(INDEX(Profile!$K$5:$K$304,MATCH(A48,lst_Profil,0))*INDEX(Werkstoffe!$E$5:$E$304,MATCH(B48,lst_Werkstoff,0))/1000*INDEX(Werkstoffe!$G$5:$G$304,MATCH(B48,lst_Werkstoff,0))/1000,""))</f>
        <v/>
      </c>
    </row>
    <row r="49">
      <c r="A49" s="9" t="n"/>
      <c r="B49" s="9" t="n"/>
      <c r="C49" s="9" t="n"/>
      <c r="D49" s="29" t="n"/>
      <c r="E49" s="19" t="n"/>
      <c r="F49" s="14" t="n"/>
      <c r="G49" s="9" t="n"/>
      <c r="H49" s="9" t="n"/>
      <c r="I49" s="28">
        <f>IF(A49&amp;B49="","",IF(ISNA(MATCH(A49,lst_Profil,0)),"FEHLER: Profil unbekannt",IF(ISNA(MATCH(B49,lst_Werkstoff,0)),"FEHLER: Werkstoff unbekannt",IF(COUNTIFS($A$5:$A$304,A49,$B$5:$B$304,B49)&gt;1,"FEHLER: doppelt",IF(OR(C49="",D49=""),"FEHLER: Preis unvollständig",IF(AND(C49="€/Stange",E49=""),"FEHLER: Stangenlänge fehlt","OK"))))))</f>
        <v/>
      </c>
      <c r="J49" s="18">
        <f>IF(OR(A49="",B49=""),"",IFERROR(INDEX(Profile!$K$5:$K$304,MATCH(A49,lst_Profil,0))*INDEX(Werkstoffe!$E$5:$E$304,MATCH(B49,lst_Werkstoff,0))/1000*INDEX(Werkstoffe!$G$5:$G$304,MATCH(B49,lst_Werkstoff,0))/1000,""))</f>
        <v/>
      </c>
    </row>
    <row r="50">
      <c r="A50" s="9" t="n"/>
      <c r="B50" s="9" t="n"/>
      <c r="C50" s="9" t="n"/>
      <c r="D50" s="29" t="n"/>
      <c r="E50" s="19" t="n"/>
      <c r="F50" s="14" t="n"/>
      <c r="G50" s="9" t="n"/>
      <c r="H50" s="9" t="n"/>
      <c r="I50" s="28">
        <f>IF(A50&amp;B50="","",IF(ISNA(MATCH(A50,lst_Profil,0)),"FEHLER: Profil unbekannt",IF(ISNA(MATCH(B50,lst_Werkstoff,0)),"FEHLER: Werkstoff unbekannt",IF(COUNTIFS($A$5:$A$304,A50,$B$5:$B$304,B50)&gt;1,"FEHLER: doppelt",IF(OR(C50="",D50=""),"FEHLER: Preis unvollständig",IF(AND(C50="€/Stange",E50=""),"FEHLER: Stangenlänge fehlt","OK"))))))</f>
        <v/>
      </c>
      <c r="J50" s="18">
        <f>IF(OR(A50="",B50=""),"",IFERROR(INDEX(Profile!$K$5:$K$304,MATCH(A50,lst_Profil,0))*INDEX(Werkstoffe!$E$5:$E$304,MATCH(B50,lst_Werkstoff,0))/1000*INDEX(Werkstoffe!$G$5:$G$304,MATCH(B50,lst_Werkstoff,0))/1000,""))</f>
        <v/>
      </c>
    </row>
    <row r="51">
      <c r="A51" s="9" t="n"/>
      <c r="B51" s="9" t="n"/>
      <c r="C51" s="9" t="n"/>
      <c r="D51" s="29" t="n"/>
      <c r="E51" s="19" t="n"/>
      <c r="F51" s="14" t="n"/>
      <c r="G51" s="9" t="n"/>
      <c r="H51" s="9" t="n"/>
      <c r="I51" s="28">
        <f>IF(A51&amp;B51="","",IF(ISNA(MATCH(A51,lst_Profil,0)),"FEHLER: Profil unbekannt",IF(ISNA(MATCH(B51,lst_Werkstoff,0)),"FEHLER: Werkstoff unbekannt",IF(COUNTIFS($A$5:$A$304,A51,$B$5:$B$304,B51)&gt;1,"FEHLER: doppelt",IF(OR(C51="",D51=""),"FEHLER: Preis unvollständig",IF(AND(C51="€/Stange",E51=""),"FEHLER: Stangenlänge fehlt","OK"))))))</f>
        <v/>
      </c>
      <c r="J51" s="18">
        <f>IF(OR(A51="",B51=""),"",IFERROR(INDEX(Profile!$K$5:$K$304,MATCH(A51,lst_Profil,0))*INDEX(Werkstoffe!$E$5:$E$304,MATCH(B51,lst_Werkstoff,0))/1000*INDEX(Werkstoffe!$G$5:$G$304,MATCH(B51,lst_Werkstoff,0))/1000,""))</f>
        <v/>
      </c>
    </row>
    <row r="52">
      <c r="A52" s="9" t="n"/>
      <c r="B52" s="9" t="n"/>
      <c r="C52" s="9" t="n"/>
      <c r="D52" s="29" t="n"/>
      <c r="E52" s="19" t="n"/>
      <c r="F52" s="14" t="n"/>
      <c r="G52" s="9" t="n"/>
      <c r="H52" s="9" t="n"/>
      <c r="I52" s="28">
        <f>IF(A52&amp;B52="","",IF(ISNA(MATCH(A52,lst_Profil,0)),"FEHLER: Profil unbekannt",IF(ISNA(MATCH(B52,lst_Werkstoff,0)),"FEHLER: Werkstoff unbekannt",IF(COUNTIFS($A$5:$A$304,A52,$B$5:$B$304,B52)&gt;1,"FEHLER: doppelt",IF(OR(C52="",D52=""),"FEHLER: Preis unvollständig",IF(AND(C52="€/Stange",E52=""),"FEHLER: Stangenlänge fehlt","OK"))))))</f>
        <v/>
      </c>
      <c r="J52" s="18">
        <f>IF(OR(A52="",B52=""),"",IFERROR(INDEX(Profile!$K$5:$K$304,MATCH(A52,lst_Profil,0))*INDEX(Werkstoffe!$E$5:$E$304,MATCH(B52,lst_Werkstoff,0))/1000*INDEX(Werkstoffe!$G$5:$G$304,MATCH(B52,lst_Werkstoff,0))/1000,""))</f>
        <v/>
      </c>
    </row>
    <row r="53">
      <c r="A53" s="9" t="n"/>
      <c r="B53" s="9" t="n"/>
      <c r="C53" s="9" t="n"/>
      <c r="D53" s="29" t="n"/>
      <c r="E53" s="19" t="n"/>
      <c r="F53" s="14" t="n"/>
      <c r="G53" s="9" t="n"/>
      <c r="H53" s="9" t="n"/>
      <c r="I53" s="28">
        <f>IF(A53&amp;B53="","",IF(ISNA(MATCH(A53,lst_Profil,0)),"FEHLER: Profil unbekannt",IF(ISNA(MATCH(B53,lst_Werkstoff,0)),"FEHLER: Werkstoff unbekannt",IF(COUNTIFS($A$5:$A$304,A53,$B$5:$B$304,B53)&gt;1,"FEHLER: doppelt",IF(OR(C53="",D53=""),"FEHLER: Preis unvollständig",IF(AND(C53="€/Stange",E53=""),"FEHLER: Stangenlänge fehlt","OK"))))))</f>
        <v/>
      </c>
      <c r="J53" s="18">
        <f>IF(OR(A53="",B53=""),"",IFERROR(INDEX(Profile!$K$5:$K$304,MATCH(A53,lst_Profil,0))*INDEX(Werkstoffe!$E$5:$E$304,MATCH(B53,lst_Werkstoff,0))/1000*INDEX(Werkstoffe!$G$5:$G$304,MATCH(B53,lst_Werkstoff,0))/1000,""))</f>
        <v/>
      </c>
    </row>
    <row r="54">
      <c r="A54" s="9" t="n"/>
      <c r="B54" s="9" t="n"/>
      <c r="C54" s="9" t="n"/>
      <c r="D54" s="29" t="n"/>
      <c r="E54" s="19" t="n"/>
      <c r="F54" s="14" t="n"/>
      <c r="G54" s="9" t="n"/>
      <c r="H54" s="9" t="n"/>
      <c r="I54" s="28">
        <f>IF(A54&amp;B54="","",IF(ISNA(MATCH(A54,lst_Profil,0)),"FEHLER: Profil unbekannt",IF(ISNA(MATCH(B54,lst_Werkstoff,0)),"FEHLER: Werkstoff unbekannt",IF(COUNTIFS($A$5:$A$304,A54,$B$5:$B$304,B54)&gt;1,"FEHLER: doppelt",IF(OR(C54="",D54=""),"FEHLER: Preis unvollständig",IF(AND(C54="€/Stange",E54=""),"FEHLER: Stangenlänge fehlt","OK"))))))</f>
        <v/>
      </c>
      <c r="J54" s="18">
        <f>IF(OR(A54="",B54=""),"",IFERROR(INDEX(Profile!$K$5:$K$304,MATCH(A54,lst_Profil,0))*INDEX(Werkstoffe!$E$5:$E$304,MATCH(B54,lst_Werkstoff,0))/1000*INDEX(Werkstoffe!$G$5:$G$304,MATCH(B54,lst_Werkstoff,0))/1000,""))</f>
        <v/>
      </c>
    </row>
    <row r="55">
      <c r="A55" s="9" t="n"/>
      <c r="B55" s="9" t="n"/>
      <c r="C55" s="9" t="n"/>
      <c r="D55" s="29" t="n"/>
      <c r="E55" s="19" t="n"/>
      <c r="F55" s="14" t="n"/>
      <c r="G55" s="9" t="n"/>
      <c r="H55" s="9" t="n"/>
      <c r="I55" s="28">
        <f>IF(A55&amp;B55="","",IF(ISNA(MATCH(A55,lst_Profil,0)),"FEHLER: Profil unbekannt",IF(ISNA(MATCH(B55,lst_Werkstoff,0)),"FEHLER: Werkstoff unbekannt",IF(COUNTIFS($A$5:$A$304,A55,$B$5:$B$304,B55)&gt;1,"FEHLER: doppelt",IF(OR(C55="",D55=""),"FEHLER: Preis unvollständig",IF(AND(C55="€/Stange",E55=""),"FEHLER: Stangenlänge fehlt","OK"))))))</f>
        <v/>
      </c>
      <c r="J55" s="18">
        <f>IF(OR(A55="",B55=""),"",IFERROR(INDEX(Profile!$K$5:$K$304,MATCH(A55,lst_Profil,0))*INDEX(Werkstoffe!$E$5:$E$304,MATCH(B55,lst_Werkstoff,0))/1000*INDEX(Werkstoffe!$G$5:$G$304,MATCH(B55,lst_Werkstoff,0))/1000,""))</f>
        <v/>
      </c>
    </row>
    <row r="56">
      <c r="A56" s="9" t="n"/>
      <c r="B56" s="9" t="n"/>
      <c r="C56" s="9" t="n"/>
      <c r="D56" s="29" t="n"/>
      <c r="E56" s="19" t="n"/>
      <c r="F56" s="14" t="n"/>
      <c r="G56" s="9" t="n"/>
      <c r="H56" s="9" t="n"/>
      <c r="I56" s="28">
        <f>IF(A56&amp;B56="","",IF(ISNA(MATCH(A56,lst_Profil,0)),"FEHLER: Profil unbekannt",IF(ISNA(MATCH(B56,lst_Werkstoff,0)),"FEHLER: Werkstoff unbekannt",IF(COUNTIFS($A$5:$A$304,A56,$B$5:$B$304,B56)&gt;1,"FEHLER: doppelt",IF(OR(C56="",D56=""),"FEHLER: Preis unvollständig",IF(AND(C56="€/Stange",E56=""),"FEHLER: Stangenlänge fehlt","OK"))))))</f>
        <v/>
      </c>
      <c r="J56" s="18">
        <f>IF(OR(A56="",B56=""),"",IFERROR(INDEX(Profile!$K$5:$K$304,MATCH(A56,lst_Profil,0))*INDEX(Werkstoffe!$E$5:$E$304,MATCH(B56,lst_Werkstoff,0))/1000*INDEX(Werkstoffe!$G$5:$G$304,MATCH(B56,lst_Werkstoff,0))/1000,""))</f>
        <v/>
      </c>
    </row>
    <row r="57">
      <c r="A57" s="9" t="n"/>
      <c r="B57" s="9" t="n"/>
      <c r="C57" s="9" t="n"/>
      <c r="D57" s="29" t="n"/>
      <c r="E57" s="19" t="n"/>
      <c r="F57" s="14" t="n"/>
      <c r="G57" s="9" t="n"/>
      <c r="H57" s="9" t="n"/>
      <c r="I57" s="28">
        <f>IF(A57&amp;B57="","",IF(ISNA(MATCH(A57,lst_Profil,0)),"FEHLER: Profil unbekannt",IF(ISNA(MATCH(B57,lst_Werkstoff,0)),"FEHLER: Werkstoff unbekannt",IF(COUNTIFS($A$5:$A$304,A57,$B$5:$B$304,B57)&gt;1,"FEHLER: doppelt",IF(OR(C57="",D57=""),"FEHLER: Preis unvollständig",IF(AND(C57="€/Stange",E57=""),"FEHLER: Stangenlänge fehlt","OK"))))))</f>
        <v/>
      </c>
      <c r="J57" s="18">
        <f>IF(OR(A57="",B57=""),"",IFERROR(INDEX(Profile!$K$5:$K$304,MATCH(A57,lst_Profil,0))*INDEX(Werkstoffe!$E$5:$E$304,MATCH(B57,lst_Werkstoff,0))/1000*INDEX(Werkstoffe!$G$5:$G$304,MATCH(B57,lst_Werkstoff,0))/1000,""))</f>
        <v/>
      </c>
    </row>
    <row r="58">
      <c r="A58" s="9" t="n"/>
      <c r="B58" s="9" t="n"/>
      <c r="C58" s="9" t="n"/>
      <c r="D58" s="29" t="n"/>
      <c r="E58" s="19" t="n"/>
      <c r="F58" s="14" t="n"/>
      <c r="G58" s="9" t="n"/>
      <c r="H58" s="9" t="n"/>
      <c r="I58" s="28">
        <f>IF(A58&amp;B58="","",IF(ISNA(MATCH(A58,lst_Profil,0)),"FEHLER: Profil unbekannt",IF(ISNA(MATCH(B58,lst_Werkstoff,0)),"FEHLER: Werkstoff unbekannt",IF(COUNTIFS($A$5:$A$304,A58,$B$5:$B$304,B58)&gt;1,"FEHLER: doppelt",IF(OR(C58="",D58=""),"FEHLER: Preis unvollständig",IF(AND(C58="€/Stange",E58=""),"FEHLER: Stangenlänge fehlt","OK"))))))</f>
        <v/>
      </c>
      <c r="J58" s="18">
        <f>IF(OR(A58="",B58=""),"",IFERROR(INDEX(Profile!$K$5:$K$304,MATCH(A58,lst_Profil,0))*INDEX(Werkstoffe!$E$5:$E$304,MATCH(B58,lst_Werkstoff,0))/1000*INDEX(Werkstoffe!$G$5:$G$304,MATCH(B58,lst_Werkstoff,0))/1000,""))</f>
        <v/>
      </c>
    </row>
    <row r="59">
      <c r="A59" s="9" t="n"/>
      <c r="B59" s="9" t="n"/>
      <c r="C59" s="9" t="n"/>
      <c r="D59" s="29" t="n"/>
      <c r="E59" s="19" t="n"/>
      <c r="F59" s="14" t="n"/>
      <c r="G59" s="9" t="n"/>
      <c r="H59" s="9" t="n"/>
      <c r="I59" s="28">
        <f>IF(A59&amp;B59="","",IF(ISNA(MATCH(A59,lst_Profil,0)),"FEHLER: Profil unbekannt",IF(ISNA(MATCH(B59,lst_Werkstoff,0)),"FEHLER: Werkstoff unbekannt",IF(COUNTIFS($A$5:$A$304,A59,$B$5:$B$304,B59)&gt;1,"FEHLER: doppelt",IF(OR(C59="",D59=""),"FEHLER: Preis unvollständig",IF(AND(C59="€/Stange",E59=""),"FEHLER: Stangenlänge fehlt","OK"))))))</f>
        <v/>
      </c>
      <c r="J59" s="18">
        <f>IF(OR(A59="",B59=""),"",IFERROR(INDEX(Profile!$K$5:$K$304,MATCH(A59,lst_Profil,0))*INDEX(Werkstoffe!$E$5:$E$304,MATCH(B59,lst_Werkstoff,0))/1000*INDEX(Werkstoffe!$G$5:$G$304,MATCH(B59,lst_Werkstoff,0))/1000,""))</f>
        <v/>
      </c>
    </row>
    <row r="60">
      <c r="A60" s="9" t="n"/>
      <c r="B60" s="9" t="n"/>
      <c r="C60" s="9" t="n"/>
      <c r="D60" s="29" t="n"/>
      <c r="E60" s="19" t="n"/>
      <c r="F60" s="14" t="n"/>
      <c r="G60" s="9" t="n"/>
      <c r="H60" s="9" t="n"/>
      <c r="I60" s="28">
        <f>IF(A60&amp;B60="","",IF(ISNA(MATCH(A60,lst_Profil,0)),"FEHLER: Profil unbekannt",IF(ISNA(MATCH(B60,lst_Werkstoff,0)),"FEHLER: Werkstoff unbekannt",IF(COUNTIFS($A$5:$A$304,A60,$B$5:$B$304,B60)&gt;1,"FEHLER: doppelt",IF(OR(C60="",D60=""),"FEHLER: Preis unvollständig",IF(AND(C60="€/Stange",E60=""),"FEHLER: Stangenlänge fehlt","OK"))))))</f>
        <v/>
      </c>
      <c r="J60" s="18">
        <f>IF(OR(A60="",B60=""),"",IFERROR(INDEX(Profile!$K$5:$K$304,MATCH(A60,lst_Profil,0))*INDEX(Werkstoffe!$E$5:$E$304,MATCH(B60,lst_Werkstoff,0))/1000*INDEX(Werkstoffe!$G$5:$G$304,MATCH(B60,lst_Werkstoff,0))/1000,""))</f>
        <v/>
      </c>
    </row>
    <row r="61">
      <c r="A61" s="9" t="n"/>
      <c r="B61" s="9" t="n"/>
      <c r="C61" s="9" t="n"/>
      <c r="D61" s="29" t="n"/>
      <c r="E61" s="19" t="n"/>
      <c r="F61" s="14" t="n"/>
      <c r="G61" s="9" t="n"/>
      <c r="H61" s="9" t="n"/>
      <c r="I61" s="28">
        <f>IF(A61&amp;B61="","",IF(ISNA(MATCH(A61,lst_Profil,0)),"FEHLER: Profil unbekannt",IF(ISNA(MATCH(B61,lst_Werkstoff,0)),"FEHLER: Werkstoff unbekannt",IF(COUNTIFS($A$5:$A$304,A61,$B$5:$B$304,B61)&gt;1,"FEHLER: doppelt",IF(OR(C61="",D61=""),"FEHLER: Preis unvollständig",IF(AND(C61="€/Stange",E61=""),"FEHLER: Stangenlänge fehlt","OK"))))))</f>
        <v/>
      </c>
      <c r="J61" s="18">
        <f>IF(OR(A61="",B61=""),"",IFERROR(INDEX(Profile!$K$5:$K$304,MATCH(A61,lst_Profil,0))*INDEX(Werkstoffe!$E$5:$E$304,MATCH(B61,lst_Werkstoff,0))/1000*INDEX(Werkstoffe!$G$5:$G$304,MATCH(B61,lst_Werkstoff,0))/1000,""))</f>
        <v/>
      </c>
    </row>
    <row r="62">
      <c r="A62" s="9" t="n"/>
      <c r="B62" s="9" t="n"/>
      <c r="C62" s="9" t="n"/>
      <c r="D62" s="29" t="n"/>
      <c r="E62" s="19" t="n"/>
      <c r="F62" s="14" t="n"/>
      <c r="G62" s="9" t="n"/>
      <c r="H62" s="9" t="n"/>
      <c r="I62" s="28">
        <f>IF(A62&amp;B62="","",IF(ISNA(MATCH(A62,lst_Profil,0)),"FEHLER: Profil unbekannt",IF(ISNA(MATCH(B62,lst_Werkstoff,0)),"FEHLER: Werkstoff unbekannt",IF(COUNTIFS($A$5:$A$304,A62,$B$5:$B$304,B62)&gt;1,"FEHLER: doppelt",IF(OR(C62="",D62=""),"FEHLER: Preis unvollständig",IF(AND(C62="€/Stange",E62=""),"FEHLER: Stangenlänge fehlt","OK"))))))</f>
        <v/>
      </c>
      <c r="J62" s="18">
        <f>IF(OR(A62="",B62=""),"",IFERROR(INDEX(Profile!$K$5:$K$304,MATCH(A62,lst_Profil,0))*INDEX(Werkstoffe!$E$5:$E$304,MATCH(B62,lst_Werkstoff,0))/1000*INDEX(Werkstoffe!$G$5:$G$304,MATCH(B62,lst_Werkstoff,0))/1000,""))</f>
        <v/>
      </c>
    </row>
    <row r="63">
      <c r="A63" s="9" t="n"/>
      <c r="B63" s="9" t="n"/>
      <c r="C63" s="9" t="n"/>
      <c r="D63" s="29" t="n"/>
      <c r="E63" s="19" t="n"/>
      <c r="F63" s="14" t="n"/>
      <c r="G63" s="9" t="n"/>
      <c r="H63" s="9" t="n"/>
      <c r="I63" s="28">
        <f>IF(A63&amp;B63="","",IF(ISNA(MATCH(A63,lst_Profil,0)),"FEHLER: Profil unbekannt",IF(ISNA(MATCH(B63,lst_Werkstoff,0)),"FEHLER: Werkstoff unbekannt",IF(COUNTIFS($A$5:$A$304,A63,$B$5:$B$304,B63)&gt;1,"FEHLER: doppelt",IF(OR(C63="",D63=""),"FEHLER: Preis unvollständig",IF(AND(C63="€/Stange",E63=""),"FEHLER: Stangenlänge fehlt","OK"))))))</f>
        <v/>
      </c>
      <c r="J63" s="18">
        <f>IF(OR(A63="",B63=""),"",IFERROR(INDEX(Profile!$K$5:$K$304,MATCH(A63,lst_Profil,0))*INDEX(Werkstoffe!$E$5:$E$304,MATCH(B63,lst_Werkstoff,0))/1000*INDEX(Werkstoffe!$G$5:$G$304,MATCH(B63,lst_Werkstoff,0))/1000,""))</f>
        <v/>
      </c>
    </row>
    <row r="64">
      <c r="A64" s="9" t="n"/>
      <c r="B64" s="9" t="n"/>
      <c r="C64" s="9" t="n"/>
      <c r="D64" s="29" t="n"/>
      <c r="E64" s="19" t="n"/>
      <c r="F64" s="14" t="n"/>
      <c r="G64" s="9" t="n"/>
      <c r="H64" s="9" t="n"/>
      <c r="I64" s="28">
        <f>IF(A64&amp;B64="","",IF(ISNA(MATCH(A64,lst_Profil,0)),"FEHLER: Profil unbekannt",IF(ISNA(MATCH(B64,lst_Werkstoff,0)),"FEHLER: Werkstoff unbekannt",IF(COUNTIFS($A$5:$A$304,A64,$B$5:$B$304,B64)&gt;1,"FEHLER: doppelt",IF(OR(C64="",D64=""),"FEHLER: Preis unvollständig",IF(AND(C64="€/Stange",E64=""),"FEHLER: Stangenlänge fehlt","OK"))))))</f>
        <v/>
      </c>
      <c r="J64" s="18">
        <f>IF(OR(A64="",B64=""),"",IFERROR(INDEX(Profile!$K$5:$K$304,MATCH(A64,lst_Profil,0))*INDEX(Werkstoffe!$E$5:$E$304,MATCH(B64,lst_Werkstoff,0))/1000*INDEX(Werkstoffe!$G$5:$G$304,MATCH(B64,lst_Werkstoff,0))/1000,""))</f>
        <v/>
      </c>
    </row>
    <row r="65">
      <c r="A65" s="9" t="n"/>
      <c r="B65" s="9" t="n"/>
      <c r="C65" s="9" t="n"/>
      <c r="D65" s="29" t="n"/>
      <c r="E65" s="19" t="n"/>
      <c r="F65" s="14" t="n"/>
      <c r="G65" s="9" t="n"/>
      <c r="H65" s="9" t="n"/>
      <c r="I65" s="28">
        <f>IF(A65&amp;B65="","",IF(ISNA(MATCH(A65,lst_Profil,0)),"FEHLER: Profil unbekannt",IF(ISNA(MATCH(B65,lst_Werkstoff,0)),"FEHLER: Werkstoff unbekannt",IF(COUNTIFS($A$5:$A$304,A65,$B$5:$B$304,B65)&gt;1,"FEHLER: doppelt",IF(OR(C65="",D65=""),"FEHLER: Preis unvollständig",IF(AND(C65="€/Stange",E65=""),"FEHLER: Stangenlänge fehlt","OK"))))))</f>
        <v/>
      </c>
      <c r="J65" s="18">
        <f>IF(OR(A65="",B65=""),"",IFERROR(INDEX(Profile!$K$5:$K$304,MATCH(A65,lst_Profil,0))*INDEX(Werkstoffe!$E$5:$E$304,MATCH(B65,lst_Werkstoff,0))/1000*INDEX(Werkstoffe!$G$5:$G$304,MATCH(B65,lst_Werkstoff,0))/1000,""))</f>
        <v/>
      </c>
    </row>
    <row r="66">
      <c r="A66" s="9" t="n"/>
      <c r="B66" s="9" t="n"/>
      <c r="C66" s="9" t="n"/>
      <c r="D66" s="29" t="n"/>
      <c r="E66" s="19" t="n"/>
      <c r="F66" s="14" t="n"/>
      <c r="G66" s="9" t="n"/>
      <c r="H66" s="9" t="n"/>
      <c r="I66" s="28">
        <f>IF(A66&amp;B66="","",IF(ISNA(MATCH(A66,lst_Profil,0)),"FEHLER: Profil unbekannt",IF(ISNA(MATCH(B66,lst_Werkstoff,0)),"FEHLER: Werkstoff unbekannt",IF(COUNTIFS($A$5:$A$304,A66,$B$5:$B$304,B66)&gt;1,"FEHLER: doppelt",IF(OR(C66="",D66=""),"FEHLER: Preis unvollständig",IF(AND(C66="€/Stange",E66=""),"FEHLER: Stangenlänge fehlt","OK"))))))</f>
        <v/>
      </c>
      <c r="J66" s="18">
        <f>IF(OR(A66="",B66=""),"",IFERROR(INDEX(Profile!$K$5:$K$304,MATCH(A66,lst_Profil,0))*INDEX(Werkstoffe!$E$5:$E$304,MATCH(B66,lst_Werkstoff,0))/1000*INDEX(Werkstoffe!$G$5:$G$304,MATCH(B66,lst_Werkstoff,0))/1000,""))</f>
        <v/>
      </c>
    </row>
    <row r="67">
      <c r="A67" s="9" t="n"/>
      <c r="B67" s="9" t="n"/>
      <c r="C67" s="9" t="n"/>
      <c r="D67" s="29" t="n"/>
      <c r="E67" s="19" t="n"/>
      <c r="F67" s="14" t="n"/>
      <c r="G67" s="9" t="n"/>
      <c r="H67" s="9" t="n"/>
      <c r="I67" s="28">
        <f>IF(A67&amp;B67="","",IF(ISNA(MATCH(A67,lst_Profil,0)),"FEHLER: Profil unbekannt",IF(ISNA(MATCH(B67,lst_Werkstoff,0)),"FEHLER: Werkstoff unbekannt",IF(COUNTIFS($A$5:$A$304,A67,$B$5:$B$304,B67)&gt;1,"FEHLER: doppelt",IF(OR(C67="",D67=""),"FEHLER: Preis unvollständig",IF(AND(C67="€/Stange",E67=""),"FEHLER: Stangenlänge fehlt","OK"))))))</f>
        <v/>
      </c>
      <c r="J67" s="18">
        <f>IF(OR(A67="",B67=""),"",IFERROR(INDEX(Profile!$K$5:$K$304,MATCH(A67,lst_Profil,0))*INDEX(Werkstoffe!$E$5:$E$304,MATCH(B67,lst_Werkstoff,0))/1000*INDEX(Werkstoffe!$G$5:$G$304,MATCH(B67,lst_Werkstoff,0))/1000,""))</f>
        <v/>
      </c>
    </row>
    <row r="68">
      <c r="A68" s="9" t="n"/>
      <c r="B68" s="9" t="n"/>
      <c r="C68" s="9" t="n"/>
      <c r="D68" s="29" t="n"/>
      <c r="E68" s="19" t="n"/>
      <c r="F68" s="14" t="n"/>
      <c r="G68" s="9" t="n"/>
      <c r="H68" s="9" t="n"/>
      <c r="I68" s="28">
        <f>IF(A68&amp;B68="","",IF(ISNA(MATCH(A68,lst_Profil,0)),"FEHLER: Profil unbekannt",IF(ISNA(MATCH(B68,lst_Werkstoff,0)),"FEHLER: Werkstoff unbekannt",IF(COUNTIFS($A$5:$A$304,A68,$B$5:$B$304,B68)&gt;1,"FEHLER: doppelt",IF(OR(C68="",D68=""),"FEHLER: Preis unvollständig",IF(AND(C68="€/Stange",E68=""),"FEHLER: Stangenlänge fehlt","OK"))))))</f>
        <v/>
      </c>
      <c r="J68" s="18">
        <f>IF(OR(A68="",B68=""),"",IFERROR(INDEX(Profile!$K$5:$K$304,MATCH(A68,lst_Profil,0))*INDEX(Werkstoffe!$E$5:$E$304,MATCH(B68,lst_Werkstoff,0))/1000*INDEX(Werkstoffe!$G$5:$G$304,MATCH(B68,lst_Werkstoff,0))/1000,""))</f>
        <v/>
      </c>
    </row>
    <row r="69">
      <c r="A69" s="9" t="n"/>
      <c r="B69" s="9" t="n"/>
      <c r="C69" s="9" t="n"/>
      <c r="D69" s="29" t="n"/>
      <c r="E69" s="19" t="n"/>
      <c r="F69" s="14" t="n"/>
      <c r="G69" s="9" t="n"/>
      <c r="H69" s="9" t="n"/>
      <c r="I69" s="28">
        <f>IF(A69&amp;B69="","",IF(ISNA(MATCH(A69,lst_Profil,0)),"FEHLER: Profil unbekannt",IF(ISNA(MATCH(B69,lst_Werkstoff,0)),"FEHLER: Werkstoff unbekannt",IF(COUNTIFS($A$5:$A$304,A69,$B$5:$B$304,B69)&gt;1,"FEHLER: doppelt",IF(OR(C69="",D69=""),"FEHLER: Preis unvollständig",IF(AND(C69="€/Stange",E69=""),"FEHLER: Stangenlänge fehlt","OK"))))))</f>
        <v/>
      </c>
      <c r="J69" s="18">
        <f>IF(OR(A69="",B69=""),"",IFERROR(INDEX(Profile!$K$5:$K$304,MATCH(A69,lst_Profil,0))*INDEX(Werkstoffe!$E$5:$E$304,MATCH(B69,lst_Werkstoff,0))/1000*INDEX(Werkstoffe!$G$5:$G$304,MATCH(B69,lst_Werkstoff,0))/1000,""))</f>
        <v/>
      </c>
    </row>
    <row r="70">
      <c r="A70" s="9" t="n"/>
      <c r="B70" s="9" t="n"/>
      <c r="C70" s="9" t="n"/>
      <c r="D70" s="29" t="n"/>
      <c r="E70" s="19" t="n"/>
      <c r="F70" s="14" t="n"/>
      <c r="G70" s="9" t="n"/>
      <c r="H70" s="9" t="n"/>
      <c r="I70" s="28">
        <f>IF(A70&amp;B70="","",IF(ISNA(MATCH(A70,lst_Profil,0)),"FEHLER: Profil unbekannt",IF(ISNA(MATCH(B70,lst_Werkstoff,0)),"FEHLER: Werkstoff unbekannt",IF(COUNTIFS($A$5:$A$304,A70,$B$5:$B$304,B70)&gt;1,"FEHLER: doppelt",IF(OR(C70="",D70=""),"FEHLER: Preis unvollständig",IF(AND(C70="€/Stange",E70=""),"FEHLER: Stangenlänge fehlt","OK"))))))</f>
        <v/>
      </c>
      <c r="J70" s="18">
        <f>IF(OR(A70="",B70=""),"",IFERROR(INDEX(Profile!$K$5:$K$304,MATCH(A70,lst_Profil,0))*INDEX(Werkstoffe!$E$5:$E$304,MATCH(B70,lst_Werkstoff,0))/1000*INDEX(Werkstoffe!$G$5:$G$304,MATCH(B70,lst_Werkstoff,0))/1000,""))</f>
        <v/>
      </c>
    </row>
    <row r="71">
      <c r="A71" s="9" t="n"/>
      <c r="B71" s="9" t="n"/>
      <c r="C71" s="9" t="n"/>
      <c r="D71" s="29" t="n"/>
      <c r="E71" s="19" t="n"/>
      <c r="F71" s="14" t="n"/>
      <c r="G71" s="9" t="n"/>
      <c r="H71" s="9" t="n"/>
      <c r="I71" s="28">
        <f>IF(A71&amp;B71="","",IF(ISNA(MATCH(A71,lst_Profil,0)),"FEHLER: Profil unbekannt",IF(ISNA(MATCH(B71,lst_Werkstoff,0)),"FEHLER: Werkstoff unbekannt",IF(COUNTIFS($A$5:$A$304,A71,$B$5:$B$304,B71)&gt;1,"FEHLER: doppelt",IF(OR(C71="",D71=""),"FEHLER: Preis unvollständig",IF(AND(C71="€/Stange",E71=""),"FEHLER: Stangenlänge fehlt","OK"))))))</f>
        <v/>
      </c>
      <c r="J71" s="18">
        <f>IF(OR(A71="",B71=""),"",IFERROR(INDEX(Profile!$K$5:$K$304,MATCH(A71,lst_Profil,0))*INDEX(Werkstoffe!$E$5:$E$304,MATCH(B71,lst_Werkstoff,0))/1000*INDEX(Werkstoffe!$G$5:$G$304,MATCH(B71,lst_Werkstoff,0))/1000,""))</f>
        <v/>
      </c>
    </row>
    <row r="72">
      <c r="A72" s="9" t="n"/>
      <c r="B72" s="9" t="n"/>
      <c r="C72" s="9" t="n"/>
      <c r="D72" s="29" t="n"/>
      <c r="E72" s="19" t="n"/>
      <c r="F72" s="14" t="n"/>
      <c r="G72" s="9" t="n"/>
      <c r="H72" s="9" t="n"/>
      <c r="I72" s="28">
        <f>IF(A72&amp;B72="","",IF(ISNA(MATCH(A72,lst_Profil,0)),"FEHLER: Profil unbekannt",IF(ISNA(MATCH(B72,lst_Werkstoff,0)),"FEHLER: Werkstoff unbekannt",IF(COUNTIFS($A$5:$A$304,A72,$B$5:$B$304,B72)&gt;1,"FEHLER: doppelt",IF(OR(C72="",D72=""),"FEHLER: Preis unvollständig",IF(AND(C72="€/Stange",E72=""),"FEHLER: Stangenlänge fehlt","OK"))))))</f>
        <v/>
      </c>
      <c r="J72" s="18">
        <f>IF(OR(A72="",B72=""),"",IFERROR(INDEX(Profile!$K$5:$K$304,MATCH(A72,lst_Profil,0))*INDEX(Werkstoffe!$E$5:$E$304,MATCH(B72,lst_Werkstoff,0))/1000*INDEX(Werkstoffe!$G$5:$G$304,MATCH(B72,lst_Werkstoff,0))/1000,""))</f>
        <v/>
      </c>
    </row>
    <row r="73">
      <c r="A73" s="9" t="n"/>
      <c r="B73" s="9" t="n"/>
      <c r="C73" s="9" t="n"/>
      <c r="D73" s="29" t="n"/>
      <c r="E73" s="19" t="n"/>
      <c r="F73" s="14" t="n"/>
      <c r="G73" s="9" t="n"/>
      <c r="H73" s="9" t="n"/>
      <c r="I73" s="28">
        <f>IF(A73&amp;B73="","",IF(ISNA(MATCH(A73,lst_Profil,0)),"FEHLER: Profil unbekannt",IF(ISNA(MATCH(B73,lst_Werkstoff,0)),"FEHLER: Werkstoff unbekannt",IF(COUNTIFS($A$5:$A$304,A73,$B$5:$B$304,B73)&gt;1,"FEHLER: doppelt",IF(OR(C73="",D73=""),"FEHLER: Preis unvollständig",IF(AND(C73="€/Stange",E73=""),"FEHLER: Stangenlänge fehlt","OK"))))))</f>
        <v/>
      </c>
      <c r="J73" s="18">
        <f>IF(OR(A73="",B73=""),"",IFERROR(INDEX(Profile!$K$5:$K$304,MATCH(A73,lst_Profil,0))*INDEX(Werkstoffe!$E$5:$E$304,MATCH(B73,lst_Werkstoff,0))/1000*INDEX(Werkstoffe!$G$5:$G$304,MATCH(B73,lst_Werkstoff,0))/1000,""))</f>
        <v/>
      </c>
    </row>
    <row r="74">
      <c r="A74" s="9" t="n"/>
      <c r="B74" s="9" t="n"/>
      <c r="C74" s="9" t="n"/>
      <c r="D74" s="29" t="n"/>
      <c r="E74" s="19" t="n"/>
      <c r="F74" s="14" t="n"/>
      <c r="G74" s="9" t="n"/>
      <c r="H74" s="9" t="n"/>
      <c r="I74" s="28">
        <f>IF(A74&amp;B74="","",IF(ISNA(MATCH(A74,lst_Profil,0)),"FEHLER: Profil unbekannt",IF(ISNA(MATCH(B74,lst_Werkstoff,0)),"FEHLER: Werkstoff unbekannt",IF(COUNTIFS($A$5:$A$304,A74,$B$5:$B$304,B74)&gt;1,"FEHLER: doppelt",IF(OR(C74="",D74=""),"FEHLER: Preis unvollständig",IF(AND(C74="€/Stange",E74=""),"FEHLER: Stangenlänge fehlt","OK"))))))</f>
        <v/>
      </c>
      <c r="J74" s="18">
        <f>IF(OR(A74="",B74=""),"",IFERROR(INDEX(Profile!$K$5:$K$304,MATCH(A74,lst_Profil,0))*INDEX(Werkstoffe!$E$5:$E$304,MATCH(B74,lst_Werkstoff,0))/1000*INDEX(Werkstoffe!$G$5:$G$304,MATCH(B74,lst_Werkstoff,0))/1000,""))</f>
        <v/>
      </c>
    </row>
    <row r="75">
      <c r="A75" s="9" t="n"/>
      <c r="B75" s="9" t="n"/>
      <c r="C75" s="9" t="n"/>
      <c r="D75" s="29" t="n"/>
      <c r="E75" s="19" t="n"/>
      <c r="F75" s="14" t="n"/>
      <c r="G75" s="9" t="n"/>
      <c r="H75" s="9" t="n"/>
      <c r="I75" s="28">
        <f>IF(A75&amp;B75="","",IF(ISNA(MATCH(A75,lst_Profil,0)),"FEHLER: Profil unbekannt",IF(ISNA(MATCH(B75,lst_Werkstoff,0)),"FEHLER: Werkstoff unbekannt",IF(COUNTIFS($A$5:$A$304,A75,$B$5:$B$304,B75)&gt;1,"FEHLER: doppelt",IF(OR(C75="",D75=""),"FEHLER: Preis unvollständig",IF(AND(C75="€/Stange",E75=""),"FEHLER: Stangenlänge fehlt","OK"))))))</f>
        <v/>
      </c>
      <c r="J75" s="18">
        <f>IF(OR(A75="",B75=""),"",IFERROR(INDEX(Profile!$K$5:$K$304,MATCH(A75,lst_Profil,0))*INDEX(Werkstoffe!$E$5:$E$304,MATCH(B75,lst_Werkstoff,0))/1000*INDEX(Werkstoffe!$G$5:$G$304,MATCH(B75,lst_Werkstoff,0))/1000,""))</f>
        <v/>
      </c>
    </row>
    <row r="76">
      <c r="A76" s="9" t="n"/>
      <c r="B76" s="9" t="n"/>
      <c r="C76" s="9" t="n"/>
      <c r="D76" s="29" t="n"/>
      <c r="E76" s="19" t="n"/>
      <c r="F76" s="14" t="n"/>
      <c r="G76" s="9" t="n"/>
      <c r="H76" s="9" t="n"/>
      <c r="I76" s="28">
        <f>IF(A76&amp;B76="","",IF(ISNA(MATCH(A76,lst_Profil,0)),"FEHLER: Profil unbekannt",IF(ISNA(MATCH(B76,lst_Werkstoff,0)),"FEHLER: Werkstoff unbekannt",IF(COUNTIFS($A$5:$A$304,A76,$B$5:$B$304,B76)&gt;1,"FEHLER: doppelt",IF(OR(C76="",D76=""),"FEHLER: Preis unvollständig",IF(AND(C76="€/Stange",E76=""),"FEHLER: Stangenlänge fehlt","OK"))))))</f>
        <v/>
      </c>
      <c r="J76" s="18">
        <f>IF(OR(A76="",B76=""),"",IFERROR(INDEX(Profile!$K$5:$K$304,MATCH(A76,lst_Profil,0))*INDEX(Werkstoffe!$E$5:$E$304,MATCH(B76,lst_Werkstoff,0))/1000*INDEX(Werkstoffe!$G$5:$G$304,MATCH(B76,lst_Werkstoff,0))/1000,""))</f>
        <v/>
      </c>
    </row>
    <row r="77">
      <c r="A77" s="9" t="n"/>
      <c r="B77" s="9" t="n"/>
      <c r="C77" s="9" t="n"/>
      <c r="D77" s="29" t="n"/>
      <c r="E77" s="19" t="n"/>
      <c r="F77" s="14" t="n"/>
      <c r="G77" s="9" t="n"/>
      <c r="H77" s="9" t="n"/>
      <c r="I77" s="28">
        <f>IF(A77&amp;B77="","",IF(ISNA(MATCH(A77,lst_Profil,0)),"FEHLER: Profil unbekannt",IF(ISNA(MATCH(B77,lst_Werkstoff,0)),"FEHLER: Werkstoff unbekannt",IF(COUNTIFS($A$5:$A$304,A77,$B$5:$B$304,B77)&gt;1,"FEHLER: doppelt",IF(OR(C77="",D77=""),"FEHLER: Preis unvollständig",IF(AND(C77="€/Stange",E77=""),"FEHLER: Stangenlänge fehlt","OK"))))))</f>
        <v/>
      </c>
      <c r="J77" s="18">
        <f>IF(OR(A77="",B77=""),"",IFERROR(INDEX(Profile!$K$5:$K$304,MATCH(A77,lst_Profil,0))*INDEX(Werkstoffe!$E$5:$E$304,MATCH(B77,lst_Werkstoff,0))/1000*INDEX(Werkstoffe!$G$5:$G$304,MATCH(B77,lst_Werkstoff,0))/1000,""))</f>
        <v/>
      </c>
    </row>
    <row r="78">
      <c r="A78" s="9" t="n"/>
      <c r="B78" s="9" t="n"/>
      <c r="C78" s="9" t="n"/>
      <c r="D78" s="29" t="n"/>
      <c r="E78" s="19" t="n"/>
      <c r="F78" s="14" t="n"/>
      <c r="G78" s="9" t="n"/>
      <c r="H78" s="9" t="n"/>
      <c r="I78" s="28">
        <f>IF(A78&amp;B78="","",IF(ISNA(MATCH(A78,lst_Profil,0)),"FEHLER: Profil unbekannt",IF(ISNA(MATCH(B78,lst_Werkstoff,0)),"FEHLER: Werkstoff unbekannt",IF(COUNTIFS($A$5:$A$304,A78,$B$5:$B$304,B78)&gt;1,"FEHLER: doppelt",IF(OR(C78="",D78=""),"FEHLER: Preis unvollständig",IF(AND(C78="€/Stange",E78=""),"FEHLER: Stangenlänge fehlt","OK"))))))</f>
        <v/>
      </c>
      <c r="J78" s="18">
        <f>IF(OR(A78="",B78=""),"",IFERROR(INDEX(Profile!$K$5:$K$304,MATCH(A78,lst_Profil,0))*INDEX(Werkstoffe!$E$5:$E$304,MATCH(B78,lst_Werkstoff,0))/1000*INDEX(Werkstoffe!$G$5:$G$304,MATCH(B78,lst_Werkstoff,0))/1000,""))</f>
        <v/>
      </c>
    </row>
    <row r="79">
      <c r="A79" s="9" t="n"/>
      <c r="B79" s="9" t="n"/>
      <c r="C79" s="9" t="n"/>
      <c r="D79" s="29" t="n"/>
      <c r="E79" s="19" t="n"/>
      <c r="F79" s="14" t="n"/>
      <c r="G79" s="9" t="n"/>
      <c r="H79" s="9" t="n"/>
      <c r="I79" s="28">
        <f>IF(A79&amp;B79="","",IF(ISNA(MATCH(A79,lst_Profil,0)),"FEHLER: Profil unbekannt",IF(ISNA(MATCH(B79,lst_Werkstoff,0)),"FEHLER: Werkstoff unbekannt",IF(COUNTIFS($A$5:$A$304,A79,$B$5:$B$304,B79)&gt;1,"FEHLER: doppelt",IF(OR(C79="",D79=""),"FEHLER: Preis unvollständig",IF(AND(C79="€/Stange",E79=""),"FEHLER: Stangenlänge fehlt","OK"))))))</f>
        <v/>
      </c>
      <c r="J79" s="18">
        <f>IF(OR(A79="",B79=""),"",IFERROR(INDEX(Profile!$K$5:$K$304,MATCH(A79,lst_Profil,0))*INDEX(Werkstoffe!$E$5:$E$304,MATCH(B79,lst_Werkstoff,0))/1000*INDEX(Werkstoffe!$G$5:$G$304,MATCH(B79,lst_Werkstoff,0))/1000,""))</f>
        <v/>
      </c>
    </row>
    <row r="80">
      <c r="A80" s="9" t="n"/>
      <c r="B80" s="9" t="n"/>
      <c r="C80" s="9" t="n"/>
      <c r="D80" s="29" t="n"/>
      <c r="E80" s="19" t="n"/>
      <c r="F80" s="14" t="n"/>
      <c r="G80" s="9" t="n"/>
      <c r="H80" s="9" t="n"/>
      <c r="I80" s="28">
        <f>IF(A80&amp;B80="","",IF(ISNA(MATCH(A80,lst_Profil,0)),"FEHLER: Profil unbekannt",IF(ISNA(MATCH(B80,lst_Werkstoff,0)),"FEHLER: Werkstoff unbekannt",IF(COUNTIFS($A$5:$A$304,A80,$B$5:$B$304,B80)&gt;1,"FEHLER: doppelt",IF(OR(C80="",D80=""),"FEHLER: Preis unvollständig",IF(AND(C80="€/Stange",E80=""),"FEHLER: Stangenlänge fehlt","OK"))))))</f>
        <v/>
      </c>
      <c r="J80" s="18">
        <f>IF(OR(A80="",B80=""),"",IFERROR(INDEX(Profile!$K$5:$K$304,MATCH(A80,lst_Profil,0))*INDEX(Werkstoffe!$E$5:$E$304,MATCH(B80,lst_Werkstoff,0))/1000*INDEX(Werkstoffe!$G$5:$G$304,MATCH(B80,lst_Werkstoff,0))/1000,""))</f>
        <v/>
      </c>
    </row>
    <row r="81">
      <c r="A81" s="9" t="n"/>
      <c r="B81" s="9" t="n"/>
      <c r="C81" s="9" t="n"/>
      <c r="D81" s="29" t="n"/>
      <c r="E81" s="19" t="n"/>
      <c r="F81" s="14" t="n"/>
      <c r="G81" s="9" t="n"/>
      <c r="H81" s="9" t="n"/>
      <c r="I81" s="28">
        <f>IF(A81&amp;B81="","",IF(ISNA(MATCH(A81,lst_Profil,0)),"FEHLER: Profil unbekannt",IF(ISNA(MATCH(B81,lst_Werkstoff,0)),"FEHLER: Werkstoff unbekannt",IF(COUNTIFS($A$5:$A$304,A81,$B$5:$B$304,B81)&gt;1,"FEHLER: doppelt",IF(OR(C81="",D81=""),"FEHLER: Preis unvollständig",IF(AND(C81="€/Stange",E81=""),"FEHLER: Stangenlänge fehlt","OK"))))))</f>
        <v/>
      </c>
      <c r="J81" s="18">
        <f>IF(OR(A81="",B81=""),"",IFERROR(INDEX(Profile!$K$5:$K$304,MATCH(A81,lst_Profil,0))*INDEX(Werkstoffe!$E$5:$E$304,MATCH(B81,lst_Werkstoff,0))/1000*INDEX(Werkstoffe!$G$5:$G$304,MATCH(B81,lst_Werkstoff,0))/1000,""))</f>
        <v/>
      </c>
    </row>
    <row r="82">
      <c r="A82" s="9" t="n"/>
      <c r="B82" s="9" t="n"/>
      <c r="C82" s="9" t="n"/>
      <c r="D82" s="29" t="n"/>
      <c r="E82" s="19" t="n"/>
      <c r="F82" s="14" t="n"/>
      <c r="G82" s="9" t="n"/>
      <c r="H82" s="9" t="n"/>
      <c r="I82" s="28">
        <f>IF(A82&amp;B82="","",IF(ISNA(MATCH(A82,lst_Profil,0)),"FEHLER: Profil unbekannt",IF(ISNA(MATCH(B82,lst_Werkstoff,0)),"FEHLER: Werkstoff unbekannt",IF(COUNTIFS($A$5:$A$304,A82,$B$5:$B$304,B82)&gt;1,"FEHLER: doppelt",IF(OR(C82="",D82=""),"FEHLER: Preis unvollständig",IF(AND(C82="€/Stange",E82=""),"FEHLER: Stangenlänge fehlt","OK"))))))</f>
        <v/>
      </c>
      <c r="J82" s="18">
        <f>IF(OR(A82="",B82=""),"",IFERROR(INDEX(Profile!$K$5:$K$304,MATCH(A82,lst_Profil,0))*INDEX(Werkstoffe!$E$5:$E$304,MATCH(B82,lst_Werkstoff,0))/1000*INDEX(Werkstoffe!$G$5:$G$304,MATCH(B82,lst_Werkstoff,0))/1000,""))</f>
        <v/>
      </c>
    </row>
    <row r="83">
      <c r="A83" s="9" t="n"/>
      <c r="B83" s="9" t="n"/>
      <c r="C83" s="9" t="n"/>
      <c r="D83" s="29" t="n"/>
      <c r="E83" s="19" t="n"/>
      <c r="F83" s="14" t="n"/>
      <c r="G83" s="9" t="n"/>
      <c r="H83" s="9" t="n"/>
      <c r="I83" s="28">
        <f>IF(A83&amp;B83="","",IF(ISNA(MATCH(A83,lst_Profil,0)),"FEHLER: Profil unbekannt",IF(ISNA(MATCH(B83,lst_Werkstoff,0)),"FEHLER: Werkstoff unbekannt",IF(COUNTIFS($A$5:$A$304,A83,$B$5:$B$304,B83)&gt;1,"FEHLER: doppelt",IF(OR(C83="",D83=""),"FEHLER: Preis unvollständig",IF(AND(C83="€/Stange",E83=""),"FEHLER: Stangenlänge fehlt","OK"))))))</f>
        <v/>
      </c>
      <c r="J83" s="18">
        <f>IF(OR(A83="",B83=""),"",IFERROR(INDEX(Profile!$K$5:$K$304,MATCH(A83,lst_Profil,0))*INDEX(Werkstoffe!$E$5:$E$304,MATCH(B83,lst_Werkstoff,0))/1000*INDEX(Werkstoffe!$G$5:$G$304,MATCH(B83,lst_Werkstoff,0))/1000,""))</f>
        <v/>
      </c>
    </row>
    <row r="84">
      <c r="A84" s="9" t="n"/>
      <c r="B84" s="9" t="n"/>
      <c r="C84" s="9" t="n"/>
      <c r="D84" s="29" t="n"/>
      <c r="E84" s="19" t="n"/>
      <c r="F84" s="14" t="n"/>
      <c r="G84" s="9" t="n"/>
      <c r="H84" s="9" t="n"/>
      <c r="I84" s="28">
        <f>IF(A84&amp;B84="","",IF(ISNA(MATCH(A84,lst_Profil,0)),"FEHLER: Profil unbekannt",IF(ISNA(MATCH(B84,lst_Werkstoff,0)),"FEHLER: Werkstoff unbekannt",IF(COUNTIFS($A$5:$A$304,A84,$B$5:$B$304,B84)&gt;1,"FEHLER: doppelt",IF(OR(C84="",D84=""),"FEHLER: Preis unvollständig",IF(AND(C84="€/Stange",E84=""),"FEHLER: Stangenlänge fehlt","OK"))))))</f>
        <v/>
      </c>
      <c r="J84" s="18">
        <f>IF(OR(A84="",B84=""),"",IFERROR(INDEX(Profile!$K$5:$K$304,MATCH(A84,lst_Profil,0))*INDEX(Werkstoffe!$E$5:$E$304,MATCH(B84,lst_Werkstoff,0))/1000*INDEX(Werkstoffe!$G$5:$G$304,MATCH(B84,lst_Werkstoff,0))/1000,""))</f>
        <v/>
      </c>
    </row>
    <row r="85">
      <c r="A85" s="9" t="n"/>
      <c r="B85" s="9" t="n"/>
      <c r="C85" s="9" t="n"/>
      <c r="D85" s="29" t="n"/>
      <c r="E85" s="19" t="n"/>
      <c r="F85" s="14" t="n"/>
      <c r="G85" s="9" t="n"/>
      <c r="H85" s="9" t="n"/>
      <c r="I85" s="28">
        <f>IF(A85&amp;B85="","",IF(ISNA(MATCH(A85,lst_Profil,0)),"FEHLER: Profil unbekannt",IF(ISNA(MATCH(B85,lst_Werkstoff,0)),"FEHLER: Werkstoff unbekannt",IF(COUNTIFS($A$5:$A$304,A85,$B$5:$B$304,B85)&gt;1,"FEHLER: doppelt",IF(OR(C85="",D85=""),"FEHLER: Preis unvollständig",IF(AND(C85="€/Stange",E85=""),"FEHLER: Stangenlänge fehlt","OK"))))))</f>
        <v/>
      </c>
      <c r="J85" s="18">
        <f>IF(OR(A85="",B85=""),"",IFERROR(INDEX(Profile!$K$5:$K$304,MATCH(A85,lst_Profil,0))*INDEX(Werkstoffe!$E$5:$E$304,MATCH(B85,lst_Werkstoff,0))/1000*INDEX(Werkstoffe!$G$5:$G$304,MATCH(B85,lst_Werkstoff,0))/1000,""))</f>
        <v/>
      </c>
    </row>
    <row r="86">
      <c r="A86" s="9" t="n"/>
      <c r="B86" s="9" t="n"/>
      <c r="C86" s="9" t="n"/>
      <c r="D86" s="29" t="n"/>
      <c r="E86" s="19" t="n"/>
      <c r="F86" s="14" t="n"/>
      <c r="G86" s="9" t="n"/>
      <c r="H86" s="9" t="n"/>
      <c r="I86" s="28">
        <f>IF(A86&amp;B86="","",IF(ISNA(MATCH(A86,lst_Profil,0)),"FEHLER: Profil unbekannt",IF(ISNA(MATCH(B86,lst_Werkstoff,0)),"FEHLER: Werkstoff unbekannt",IF(COUNTIFS($A$5:$A$304,A86,$B$5:$B$304,B86)&gt;1,"FEHLER: doppelt",IF(OR(C86="",D86=""),"FEHLER: Preis unvollständig",IF(AND(C86="€/Stange",E86=""),"FEHLER: Stangenlänge fehlt","OK"))))))</f>
        <v/>
      </c>
      <c r="J86" s="18">
        <f>IF(OR(A86="",B86=""),"",IFERROR(INDEX(Profile!$K$5:$K$304,MATCH(A86,lst_Profil,0))*INDEX(Werkstoffe!$E$5:$E$304,MATCH(B86,lst_Werkstoff,0))/1000*INDEX(Werkstoffe!$G$5:$G$304,MATCH(B86,lst_Werkstoff,0))/1000,""))</f>
        <v/>
      </c>
    </row>
    <row r="87">
      <c r="A87" s="9" t="n"/>
      <c r="B87" s="9" t="n"/>
      <c r="C87" s="9" t="n"/>
      <c r="D87" s="29" t="n"/>
      <c r="E87" s="19" t="n"/>
      <c r="F87" s="14" t="n"/>
      <c r="G87" s="9" t="n"/>
      <c r="H87" s="9" t="n"/>
      <c r="I87" s="28">
        <f>IF(A87&amp;B87="","",IF(ISNA(MATCH(A87,lst_Profil,0)),"FEHLER: Profil unbekannt",IF(ISNA(MATCH(B87,lst_Werkstoff,0)),"FEHLER: Werkstoff unbekannt",IF(COUNTIFS($A$5:$A$304,A87,$B$5:$B$304,B87)&gt;1,"FEHLER: doppelt",IF(OR(C87="",D87=""),"FEHLER: Preis unvollständig",IF(AND(C87="€/Stange",E87=""),"FEHLER: Stangenlänge fehlt","OK"))))))</f>
        <v/>
      </c>
      <c r="J87" s="18">
        <f>IF(OR(A87="",B87=""),"",IFERROR(INDEX(Profile!$K$5:$K$304,MATCH(A87,lst_Profil,0))*INDEX(Werkstoffe!$E$5:$E$304,MATCH(B87,lst_Werkstoff,0))/1000*INDEX(Werkstoffe!$G$5:$G$304,MATCH(B87,lst_Werkstoff,0))/1000,""))</f>
        <v/>
      </c>
    </row>
    <row r="88">
      <c r="A88" s="9" t="n"/>
      <c r="B88" s="9" t="n"/>
      <c r="C88" s="9" t="n"/>
      <c r="D88" s="29" t="n"/>
      <c r="E88" s="19" t="n"/>
      <c r="F88" s="14" t="n"/>
      <c r="G88" s="9" t="n"/>
      <c r="H88" s="9" t="n"/>
      <c r="I88" s="28">
        <f>IF(A88&amp;B88="","",IF(ISNA(MATCH(A88,lst_Profil,0)),"FEHLER: Profil unbekannt",IF(ISNA(MATCH(B88,lst_Werkstoff,0)),"FEHLER: Werkstoff unbekannt",IF(COUNTIFS($A$5:$A$304,A88,$B$5:$B$304,B88)&gt;1,"FEHLER: doppelt",IF(OR(C88="",D88=""),"FEHLER: Preis unvollständig",IF(AND(C88="€/Stange",E88=""),"FEHLER: Stangenlänge fehlt","OK"))))))</f>
        <v/>
      </c>
      <c r="J88" s="18">
        <f>IF(OR(A88="",B88=""),"",IFERROR(INDEX(Profile!$K$5:$K$304,MATCH(A88,lst_Profil,0))*INDEX(Werkstoffe!$E$5:$E$304,MATCH(B88,lst_Werkstoff,0))/1000*INDEX(Werkstoffe!$G$5:$G$304,MATCH(B88,lst_Werkstoff,0))/1000,""))</f>
        <v/>
      </c>
    </row>
    <row r="89">
      <c r="A89" s="9" t="n"/>
      <c r="B89" s="9" t="n"/>
      <c r="C89" s="9" t="n"/>
      <c r="D89" s="29" t="n"/>
      <c r="E89" s="19" t="n"/>
      <c r="F89" s="14" t="n"/>
      <c r="G89" s="9" t="n"/>
      <c r="H89" s="9" t="n"/>
      <c r="I89" s="28">
        <f>IF(A89&amp;B89="","",IF(ISNA(MATCH(A89,lst_Profil,0)),"FEHLER: Profil unbekannt",IF(ISNA(MATCH(B89,lst_Werkstoff,0)),"FEHLER: Werkstoff unbekannt",IF(COUNTIFS($A$5:$A$304,A89,$B$5:$B$304,B89)&gt;1,"FEHLER: doppelt",IF(OR(C89="",D89=""),"FEHLER: Preis unvollständig",IF(AND(C89="€/Stange",E89=""),"FEHLER: Stangenlänge fehlt","OK"))))))</f>
        <v/>
      </c>
      <c r="J89" s="18">
        <f>IF(OR(A89="",B89=""),"",IFERROR(INDEX(Profile!$K$5:$K$304,MATCH(A89,lst_Profil,0))*INDEX(Werkstoffe!$E$5:$E$304,MATCH(B89,lst_Werkstoff,0))/1000*INDEX(Werkstoffe!$G$5:$G$304,MATCH(B89,lst_Werkstoff,0))/1000,""))</f>
        <v/>
      </c>
    </row>
    <row r="90">
      <c r="A90" s="9" t="n"/>
      <c r="B90" s="9" t="n"/>
      <c r="C90" s="9" t="n"/>
      <c r="D90" s="29" t="n"/>
      <c r="E90" s="19" t="n"/>
      <c r="F90" s="14" t="n"/>
      <c r="G90" s="9" t="n"/>
      <c r="H90" s="9" t="n"/>
      <c r="I90" s="28">
        <f>IF(A90&amp;B90="","",IF(ISNA(MATCH(A90,lst_Profil,0)),"FEHLER: Profil unbekannt",IF(ISNA(MATCH(B90,lst_Werkstoff,0)),"FEHLER: Werkstoff unbekannt",IF(COUNTIFS($A$5:$A$304,A90,$B$5:$B$304,B90)&gt;1,"FEHLER: doppelt",IF(OR(C90="",D90=""),"FEHLER: Preis unvollständig",IF(AND(C90="€/Stange",E90=""),"FEHLER: Stangenlänge fehlt","OK"))))))</f>
        <v/>
      </c>
      <c r="J90" s="18">
        <f>IF(OR(A90="",B90=""),"",IFERROR(INDEX(Profile!$K$5:$K$304,MATCH(A90,lst_Profil,0))*INDEX(Werkstoffe!$E$5:$E$304,MATCH(B90,lst_Werkstoff,0))/1000*INDEX(Werkstoffe!$G$5:$G$304,MATCH(B90,lst_Werkstoff,0))/1000,""))</f>
        <v/>
      </c>
    </row>
    <row r="91">
      <c r="A91" s="9" t="n"/>
      <c r="B91" s="9" t="n"/>
      <c r="C91" s="9" t="n"/>
      <c r="D91" s="29" t="n"/>
      <c r="E91" s="19" t="n"/>
      <c r="F91" s="14" t="n"/>
      <c r="G91" s="9" t="n"/>
      <c r="H91" s="9" t="n"/>
      <c r="I91" s="28">
        <f>IF(A91&amp;B91="","",IF(ISNA(MATCH(A91,lst_Profil,0)),"FEHLER: Profil unbekannt",IF(ISNA(MATCH(B91,lst_Werkstoff,0)),"FEHLER: Werkstoff unbekannt",IF(COUNTIFS($A$5:$A$304,A91,$B$5:$B$304,B91)&gt;1,"FEHLER: doppelt",IF(OR(C91="",D91=""),"FEHLER: Preis unvollständig",IF(AND(C91="€/Stange",E91=""),"FEHLER: Stangenlänge fehlt","OK"))))))</f>
        <v/>
      </c>
      <c r="J91" s="18">
        <f>IF(OR(A91="",B91=""),"",IFERROR(INDEX(Profile!$K$5:$K$304,MATCH(A91,lst_Profil,0))*INDEX(Werkstoffe!$E$5:$E$304,MATCH(B91,lst_Werkstoff,0))/1000*INDEX(Werkstoffe!$G$5:$G$304,MATCH(B91,lst_Werkstoff,0))/1000,""))</f>
        <v/>
      </c>
    </row>
    <row r="92">
      <c r="A92" s="9" t="n"/>
      <c r="B92" s="9" t="n"/>
      <c r="C92" s="9" t="n"/>
      <c r="D92" s="29" t="n"/>
      <c r="E92" s="19" t="n"/>
      <c r="F92" s="14" t="n"/>
      <c r="G92" s="9" t="n"/>
      <c r="H92" s="9" t="n"/>
      <c r="I92" s="28">
        <f>IF(A92&amp;B92="","",IF(ISNA(MATCH(A92,lst_Profil,0)),"FEHLER: Profil unbekannt",IF(ISNA(MATCH(B92,lst_Werkstoff,0)),"FEHLER: Werkstoff unbekannt",IF(COUNTIFS($A$5:$A$304,A92,$B$5:$B$304,B92)&gt;1,"FEHLER: doppelt",IF(OR(C92="",D92=""),"FEHLER: Preis unvollständig",IF(AND(C92="€/Stange",E92=""),"FEHLER: Stangenlänge fehlt","OK"))))))</f>
        <v/>
      </c>
      <c r="J92" s="18">
        <f>IF(OR(A92="",B92=""),"",IFERROR(INDEX(Profile!$K$5:$K$304,MATCH(A92,lst_Profil,0))*INDEX(Werkstoffe!$E$5:$E$304,MATCH(B92,lst_Werkstoff,0))/1000*INDEX(Werkstoffe!$G$5:$G$304,MATCH(B92,lst_Werkstoff,0))/1000,""))</f>
        <v/>
      </c>
    </row>
    <row r="93">
      <c r="A93" s="9" t="n"/>
      <c r="B93" s="9" t="n"/>
      <c r="C93" s="9" t="n"/>
      <c r="D93" s="29" t="n"/>
      <c r="E93" s="19" t="n"/>
      <c r="F93" s="14" t="n"/>
      <c r="G93" s="9" t="n"/>
      <c r="H93" s="9" t="n"/>
      <c r="I93" s="28">
        <f>IF(A93&amp;B93="","",IF(ISNA(MATCH(A93,lst_Profil,0)),"FEHLER: Profil unbekannt",IF(ISNA(MATCH(B93,lst_Werkstoff,0)),"FEHLER: Werkstoff unbekannt",IF(COUNTIFS($A$5:$A$304,A93,$B$5:$B$304,B93)&gt;1,"FEHLER: doppelt",IF(OR(C93="",D93=""),"FEHLER: Preis unvollständig",IF(AND(C93="€/Stange",E93=""),"FEHLER: Stangenlänge fehlt","OK"))))))</f>
        <v/>
      </c>
      <c r="J93" s="18">
        <f>IF(OR(A93="",B93=""),"",IFERROR(INDEX(Profile!$K$5:$K$304,MATCH(A93,lst_Profil,0))*INDEX(Werkstoffe!$E$5:$E$304,MATCH(B93,lst_Werkstoff,0))/1000*INDEX(Werkstoffe!$G$5:$G$304,MATCH(B93,lst_Werkstoff,0))/1000,""))</f>
        <v/>
      </c>
    </row>
    <row r="94">
      <c r="A94" s="9" t="n"/>
      <c r="B94" s="9" t="n"/>
      <c r="C94" s="9" t="n"/>
      <c r="D94" s="29" t="n"/>
      <c r="E94" s="19" t="n"/>
      <c r="F94" s="14" t="n"/>
      <c r="G94" s="9" t="n"/>
      <c r="H94" s="9" t="n"/>
      <c r="I94" s="28">
        <f>IF(A94&amp;B94="","",IF(ISNA(MATCH(A94,lst_Profil,0)),"FEHLER: Profil unbekannt",IF(ISNA(MATCH(B94,lst_Werkstoff,0)),"FEHLER: Werkstoff unbekannt",IF(COUNTIFS($A$5:$A$304,A94,$B$5:$B$304,B94)&gt;1,"FEHLER: doppelt",IF(OR(C94="",D94=""),"FEHLER: Preis unvollständig",IF(AND(C94="€/Stange",E94=""),"FEHLER: Stangenlänge fehlt","OK"))))))</f>
        <v/>
      </c>
      <c r="J94" s="18">
        <f>IF(OR(A94="",B94=""),"",IFERROR(INDEX(Profile!$K$5:$K$304,MATCH(A94,lst_Profil,0))*INDEX(Werkstoffe!$E$5:$E$304,MATCH(B94,lst_Werkstoff,0))/1000*INDEX(Werkstoffe!$G$5:$G$304,MATCH(B94,lst_Werkstoff,0))/1000,""))</f>
        <v/>
      </c>
    </row>
    <row r="95">
      <c r="A95" s="9" t="n"/>
      <c r="B95" s="9" t="n"/>
      <c r="C95" s="9" t="n"/>
      <c r="D95" s="29" t="n"/>
      <c r="E95" s="19" t="n"/>
      <c r="F95" s="14" t="n"/>
      <c r="G95" s="9" t="n"/>
      <c r="H95" s="9" t="n"/>
      <c r="I95" s="28">
        <f>IF(A95&amp;B95="","",IF(ISNA(MATCH(A95,lst_Profil,0)),"FEHLER: Profil unbekannt",IF(ISNA(MATCH(B95,lst_Werkstoff,0)),"FEHLER: Werkstoff unbekannt",IF(COUNTIFS($A$5:$A$304,A95,$B$5:$B$304,B95)&gt;1,"FEHLER: doppelt",IF(OR(C95="",D95=""),"FEHLER: Preis unvollständig",IF(AND(C95="€/Stange",E95=""),"FEHLER: Stangenlänge fehlt","OK"))))))</f>
        <v/>
      </c>
      <c r="J95" s="18">
        <f>IF(OR(A95="",B95=""),"",IFERROR(INDEX(Profile!$K$5:$K$304,MATCH(A95,lst_Profil,0))*INDEX(Werkstoffe!$E$5:$E$304,MATCH(B95,lst_Werkstoff,0))/1000*INDEX(Werkstoffe!$G$5:$G$304,MATCH(B95,lst_Werkstoff,0))/1000,""))</f>
        <v/>
      </c>
    </row>
    <row r="96">
      <c r="A96" s="9" t="n"/>
      <c r="B96" s="9" t="n"/>
      <c r="C96" s="9" t="n"/>
      <c r="D96" s="29" t="n"/>
      <c r="E96" s="19" t="n"/>
      <c r="F96" s="14" t="n"/>
      <c r="G96" s="9" t="n"/>
      <c r="H96" s="9" t="n"/>
      <c r="I96" s="28">
        <f>IF(A96&amp;B96="","",IF(ISNA(MATCH(A96,lst_Profil,0)),"FEHLER: Profil unbekannt",IF(ISNA(MATCH(B96,lst_Werkstoff,0)),"FEHLER: Werkstoff unbekannt",IF(COUNTIFS($A$5:$A$304,A96,$B$5:$B$304,B96)&gt;1,"FEHLER: doppelt",IF(OR(C96="",D96=""),"FEHLER: Preis unvollständig",IF(AND(C96="€/Stange",E96=""),"FEHLER: Stangenlänge fehlt","OK"))))))</f>
        <v/>
      </c>
      <c r="J96" s="18">
        <f>IF(OR(A96="",B96=""),"",IFERROR(INDEX(Profile!$K$5:$K$304,MATCH(A96,lst_Profil,0))*INDEX(Werkstoffe!$E$5:$E$304,MATCH(B96,lst_Werkstoff,0))/1000*INDEX(Werkstoffe!$G$5:$G$304,MATCH(B96,lst_Werkstoff,0))/1000,""))</f>
        <v/>
      </c>
    </row>
    <row r="97">
      <c r="A97" s="9" t="n"/>
      <c r="B97" s="9" t="n"/>
      <c r="C97" s="9" t="n"/>
      <c r="D97" s="29" t="n"/>
      <c r="E97" s="19" t="n"/>
      <c r="F97" s="14" t="n"/>
      <c r="G97" s="9" t="n"/>
      <c r="H97" s="9" t="n"/>
      <c r="I97" s="28">
        <f>IF(A97&amp;B97="","",IF(ISNA(MATCH(A97,lst_Profil,0)),"FEHLER: Profil unbekannt",IF(ISNA(MATCH(B97,lst_Werkstoff,0)),"FEHLER: Werkstoff unbekannt",IF(COUNTIFS($A$5:$A$304,A97,$B$5:$B$304,B97)&gt;1,"FEHLER: doppelt",IF(OR(C97="",D97=""),"FEHLER: Preis unvollständig",IF(AND(C97="€/Stange",E97=""),"FEHLER: Stangenlänge fehlt","OK"))))))</f>
        <v/>
      </c>
      <c r="J97" s="18">
        <f>IF(OR(A97="",B97=""),"",IFERROR(INDEX(Profile!$K$5:$K$304,MATCH(A97,lst_Profil,0))*INDEX(Werkstoffe!$E$5:$E$304,MATCH(B97,lst_Werkstoff,0))/1000*INDEX(Werkstoffe!$G$5:$G$304,MATCH(B97,lst_Werkstoff,0))/1000,""))</f>
        <v/>
      </c>
    </row>
    <row r="98">
      <c r="A98" s="9" t="n"/>
      <c r="B98" s="9" t="n"/>
      <c r="C98" s="9" t="n"/>
      <c r="D98" s="29" t="n"/>
      <c r="E98" s="19" t="n"/>
      <c r="F98" s="14" t="n"/>
      <c r="G98" s="9" t="n"/>
      <c r="H98" s="9" t="n"/>
      <c r="I98" s="28">
        <f>IF(A98&amp;B98="","",IF(ISNA(MATCH(A98,lst_Profil,0)),"FEHLER: Profil unbekannt",IF(ISNA(MATCH(B98,lst_Werkstoff,0)),"FEHLER: Werkstoff unbekannt",IF(COUNTIFS($A$5:$A$304,A98,$B$5:$B$304,B98)&gt;1,"FEHLER: doppelt",IF(OR(C98="",D98=""),"FEHLER: Preis unvollständig",IF(AND(C98="€/Stange",E98=""),"FEHLER: Stangenlänge fehlt","OK"))))))</f>
        <v/>
      </c>
      <c r="J98" s="18">
        <f>IF(OR(A98="",B98=""),"",IFERROR(INDEX(Profile!$K$5:$K$304,MATCH(A98,lst_Profil,0))*INDEX(Werkstoffe!$E$5:$E$304,MATCH(B98,lst_Werkstoff,0))/1000*INDEX(Werkstoffe!$G$5:$G$304,MATCH(B98,lst_Werkstoff,0))/1000,""))</f>
        <v/>
      </c>
    </row>
    <row r="99">
      <c r="A99" s="9" t="n"/>
      <c r="B99" s="9" t="n"/>
      <c r="C99" s="9" t="n"/>
      <c r="D99" s="29" t="n"/>
      <c r="E99" s="19" t="n"/>
      <c r="F99" s="14" t="n"/>
      <c r="G99" s="9" t="n"/>
      <c r="H99" s="9" t="n"/>
      <c r="I99" s="28">
        <f>IF(A99&amp;B99="","",IF(ISNA(MATCH(A99,lst_Profil,0)),"FEHLER: Profil unbekannt",IF(ISNA(MATCH(B99,lst_Werkstoff,0)),"FEHLER: Werkstoff unbekannt",IF(COUNTIFS($A$5:$A$304,A99,$B$5:$B$304,B99)&gt;1,"FEHLER: doppelt",IF(OR(C99="",D99=""),"FEHLER: Preis unvollständig",IF(AND(C99="€/Stange",E99=""),"FEHLER: Stangenlänge fehlt","OK"))))))</f>
        <v/>
      </c>
      <c r="J99" s="18">
        <f>IF(OR(A99="",B99=""),"",IFERROR(INDEX(Profile!$K$5:$K$304,MATCH(A99,lst_Profil,0))*INDEX(Werkstoffe!$E$5:$E$304,MATCH(B99,lst_Werkstoff,0))/1000*INDEX(Werkstoffe!$G$5:$G$304,MATCH(B99,lst_Werkstoff,0))/1000,""))</f>
        <v/>
      </c>
    </row>
    <row r="100">
      <c r="A100" s="9" t="n"/>
      <c r="B100" s="9" t="n"/>
      <c r="C100" s="9" t="n"/>
      <c r="D100" s="29" t="n"/>
      <c r="E100" s="19" t="n"/>
      <c r="F100" s="14" t="n"/>
      <c r="G100" s="9" t="n"/>
      <c r="H100" s="9" t="n"/>
      <c r="I100" s="28">
        <f>IF(A100&amp;B100="","",IF(ISNA(MATCH(A100,lst_Profil,0)),"FEHLER: Profil unbekannt",IF(ISNA(MATCH(B100,lst_Werkstoff,0)),"FEHLER: Werkstoff unbekannt",IF(COUNTIFS($A$5:$A$304,A100,$B$5:$B$304,B100)&gt;1,"FEHLER: doppelt",IF(OR(C100="",D100=""),"FEHLER: Preis unvollständig",IF(AND(C100="€/Stange",E100=""),"FEHLER: Stangenlänge fehlt","OK"))))))</f>
        <v/>
      </c>
      <c r="J100" s="18">
        <f>IF(OR(A100="",B100=""),"",IFERROR(INDEX(Profile!$K$5:$K$304,MATCH(A100,lst_Profil,0))*INDEX(Werkstoffe!$E$5:$E$304,MATCH(B100,lst_Werkstoff,0))/1000*INDEX(Werkstoffe!$G$5:$G$304,MATCH(B100,lst_Werkstoff,0))/1000,""))</f>
        <v/>
      </c>
    </row>
    <row r="101">
      <c r="A101" s="9" t="n"/>
      <c r="B101" s="9" t="n"/>
      <c r="C101" s="9" t="n"/>
      <c r="D101" s="29" t="n"/>
      <c r="E101" s="19" t="n"/>
      <c r="F101" s="14" t="n"/>
      <c r="G101" s="9" t="n"/>
      <c r="H101" s="9" t="n"/>
      <c r="I101" s="28">
        <f>IF(A101&amp;B101="","",IF(ISNA(MATCH(A101,lst_Profil,0)),"FEHLER: Profil unbekannt",IF(ISNA(MATCH(B101,lst_Werkstoff,0)),"FEHLER: Werkstoff unbekannt",IF(COUNTIFS($A$5:$A$304,A101,$B$5:$B$304,B101)&gt;1,"FEHLER: doppelt",IF(OR(C101="",D101=""),"FEHLER: Preis unvollständig",IF(AND(C101="€/Stange",E101=""),"FEHLER: Stangenlänge fehlt","OK"))))))</f>
        <v/>
      </c>
      <c r="J101" s="18">
        <f>IF(OR(A101="",B101=""),"",IFERROR(INDEX(Profile!$K$5:$K$304,MATCH(A101,lst_Profil,0))*INDEX(Werkstoffe!$E$5:$E$304,MATCH(B101,lst_Werkstoff,0))/1000*INDEX(Werkstoffe!$G$5:$G$304,MATCH(B101,lst_Werkstoff,0))/1000,""))</f>
        <v/>
      </c>
    </row>
    <row r="102">
      <c r="A102" s="9" t="n"/>
      <c r="B102" s="9" t="n"/>
      <c r="C102" s="9" t="n"/>
      <c r="D102" s="29" t="n"/>
      <c r="E102" s="19" t="n"/>
      <c r="F102" s="14" t="n"/>
      <c r="G102" s="9" t="n"/>
      <c r="H102" s="9" t="n"/>
      <c r="I102" s="28">
        <f>IF(A102&amp;B102="","",IF(ISNA(MATCH(A102,lst_Profil,0)),"FEHLER: Profil unbekannt",IF(ISNA(MATCH(B102,lst_Werkstoff,0)),"FEHLER: Werkstoff unbekannt",IF(COUNTIFS($A$5:$A$304,A102,$B$5:$B$304,B102)&gt;1,"FEHLER: doppelt",IF(OR(C102="",D102=""),"FEHLER: Preis unvollständig",IF(AND(C102="€/Stange",E102=""),"FEHLER: Stangenlänge fehlt","OK"))))))</f>
        <v/>
      </c>
      <c r="J102" s="18">
        <f>IF(OR(A102="",B102=""),"",IFERROR(INDEX(Profile!$K$5:$K$304,MATCH(A102,lst_Profil,0))*INDEX(Werkstoffe!$E$5:$E$304,MATCH(B102,lst_Werkstoff,0))/1000*INDEX(Werkstoffe!$G$5:$G$304,MATCH(B102,lst_Werkstoff,0))/1000,""))</f>
        <v/>
      </c>
    </row>
    <row r="103">
      <c r="A103" s="9" t="n"/>
      <c r="B103" s="9" t="n"/>
      <c r="C103" s="9" t="n"/>
      <c r="D103" s="29" t="n"/>
      <c r="E103" s="19" t="n"/>
      <c r="F103" s="14" t="n"/>
      <c r="G103" s="9" t="n"/>
      <c r="H103" s="9" t="n"/>
      <c r="I103" s="28">
        <f>IF(A103&amp;B103="","",IF(ISNA(MATCH(A103,lst_Profil,0)),"FEHLER: Profil unbekannt",IF(ISNA(MATCH(B103,lst_Werkstoff,0)),"FEHLER: Werkstoff unbekannt",IF(COUNTIFS($A$5:$A$304,A103,$B$5:$B$304,B103)&gt;1,"FEHLER: doppelt",IF(OR(C103="",D103=""),"FEHLER: Preis unvollständig",IF(AND(C103="€/Stange",E103=""),"FEHLER: Stangenlänge fehlt","OK"))))))</f>
        <v/>
      </c>
      <c r="J103" s="18">
        <f>IF(OR(A103="",B103=""),"",IFERROR(INDEX(Profile!$K$5:$K$304,MATCH(A103,lst_Profil,0))*INDEX(Werkstoffe!$E$5:$E$304,MATCH(B103,lst_Werkstoff,0))/1000*INDEX(Werkstoffe!$G$5:$G$304,MATCH(B103,lst_Werkstoff,0))/1000,""))</f>
        <v/>
      </c>
    </row>
    <row r="104">
      <c r="A104" s="9" t="n"/>
      <c r="B104" s="9" t="n"/>
      <c r="C104" s="9" t="n"/>
      <c r="D104" s="29" t="n"/>
      <c r="E104" s="19" t="n"/>
      <c r="F104" s="14" t="n"/>
      <c r="G104" s="9" t="n"/>
      <c r="H104" s="9" t="n"/>
      <c r="I104" s="28">
        <f>IF(A104&amp;B104="","",IF(ISNA(MATCH(A104,lst_Profil,0)),"FEHLER: Profil unbekannt",IF(ISNA(MATCH(B104,lst_Werkstoff,0)),"FEHLER: Werkstoff unbekannt",IF(COUNTIFS($A$5:$A$304,A104,$B$5:$B$304,B104)&gt;1,"FEHLER: doppelt",IF(OR(C104="",D104=""),"FEHLER: Preis unvollständig",IF(AND(C104="€/Stange",E104=""),"FEHLER: Stangenlänge fehlt","OK"))))))</f>
        <v/>
      </c>
      <c r="J104" s="18">
        <f>IF(OR(A104="",B104=""),"",IFERROR(INDEX(Profile!$K$5:$K$304,MATCH(A104,lst_Profil,0))*INDEX(Werkstoffe!$E$5:$E$304,MATCH(B104,lst_Werkstoff,0))/1000*INDEX(Werkstoffe!$G$5:$G$304,MATCH(B104,lst_Werkstoff,0))/1000,""))</f>
        <v/>
      </c>
    </row>
    <row r="105">
      <c r="A105" s="9" t="n"/>
      <c r="B105" s="9" t="n"/>
      <c r="C105" s="9" t="n"/>
      <c r="D105" s="29" t="n"/>
      <c r="E105" s="19" t="n"/>
      <c r="F105" s="14" t="n"/>
      <c r="G105" s="9" t="n"/>
      <c r="H105" s="9" t="n"/>
      <c r="I105" s="28">
        <f>IF(A105&amp;B105="","",IF(ISNA(MATCH(A105,lst_Profil,0)),"FEHLER: Profil unbekannt",IF(ISNA(MATCH(B105,lst_Werkstoff,0)),"FEHLER: Werkstoff unbekannt",IF(COUNTIFS($A$5:$A$304,A105,$B$5:$B$304,B105)&gt;1,"FEHLER: doppelt",IF(OR(C105="",D105=""),"FEHLER: Preis unvollständig",IF(AND(C105="€/Stange",E105=""),"FEHLER: Stangenlänge fehlt","OK"))))))</f>
        <v/>
      </c>
      <c r="J105" s="18">
        <f>IF(OR(A105="",B105=""),"",IFERROR(INDEX(Profile!$K$5:$K$304,MATCH(A105,lst_Profil,0))*INDEX(Werkstoffe!$E$5:$E$304,MATCH(B105,lst_Werkstoff,0))/1000*INDEX(Werkstoffe!$G$5:$G$304,MATCH(B105,lst_Werkstoff,0))/1000,""))</f>
        <v/>
      </c>
    </row>
    <row r="106">
      <c r="A106" s="9" t="n"/>
      <c r="B106" s="9" t="n"/>
      <c r="C106" s="9" t="n"/>
      <c r="D106" s="29" t="n"/>
      <c r="E106" s="19" t="n"/>
      <c r="F106" s="14" t="n"/>
      <c r="G106" s="9" t="n"/>
      <c r="H106" s="9" t="n"/>
      <c r="I106" s="28">
        <f>IF(A106&amp;B106="","",IF(ISNA(MATCH(A106,lst_Profil,0)),"FEHLER: Profil unbekannt",IF(ISNA(MATCH(B106,lst_Werkstoff,0)),"FEHLER: Werkstoff unbekannt",IF(COUNTIFS($A$5:$A$304,A106,$B$5:$B$304,B106)&gt;1,"FEHLER: doppelt",IF(OR(C106="",D106=""),"FEHLER: Preis unvollständig",IF(AND(C106="€/Stange",E106=""),"FEHLER: Stangenlänge fehlt","OK"))))))</f>
        <v/>
      </c>
      <c r="J106" s="18">
        <f>IF(OR(A106="",B106=""),"",IFERROR(INDEX(Profile!$K$5:$K$304,MATCH(A106,lst_Profil,0))*INDEX(Werkstoffe!$E$5:$E$304,MATCH(B106,lst_Werkstoff,0))/1000*INDEX(Werkstoffe!$G$5:$G$304,MATCH(B106,lst_Werkstoff,0))/1000,""))</f>
        <v/>
      </c>
    </row>
    <row r="107">
      <c r="A107" s="9" t="n"/>
      <c r="B107" s="9" t="n"/>
      <c r="C107" s="9" t="n"/>
      <c r="D107" s="29" t="n"/>
      <c r="E107" s="19" t="n"/>
      <c r="F107" s="14" t="n"/>
      <c r="G107" s="9" t="n"/>
      <c r="H107" s="9" t="n"/>
      <c r="I107" s="28">
        <f>IF(A107&amp;B107="","",IF(ISNA(MATCH(A107,lst_Profil,0)),"FEHLER: Profil unbekannt",IF(ISNA(MATCH(B107,lst_Werkstoff,0)),"FEHLER: Werkstoff unbekannt",IF(COUNTIFS($A$5:$A$304,A107,$B$5:$B$304,B107)&gt;1,"FEHLER: doppelt",IF(OR(C107="",D107=""),"FEHLER: Preis unvollständig",IF(AND(C107="€/Stange",E107=""),"FEHLER: Stangenlänge fehlt","OK"))))))</f>
        <v/>
      </c>
      <c r="J107" s="18">
        <f>IF(OR(A107="",B107=""),"",IFERROR(INDEX(Profile!$K$5:$K$304,MATCH(A107,lst_Profil,0))*INDEX(Werkstoffe!$E$5:$E$304,MATCH(B107,lst_Werkstoff,0))/1000*INDEX(Werkstoffe!$G$5:$G$304,MATCH(B107,lst_Werkstoff,0))/1000,""))</f>
        <v/>
      </c>
    </row>
    <row r="108">
      <c r="A108" s="9" t="n"/>
      <c r="B108" s="9" t="n"/>
      <c r="C108" s="9" t="n"/>
      <c r="D108" s="29" t="n"/>
      <c r="E108" s="19" t="n"/>
      <c r="F108" s="14" t="n"/>
      <c r="G108" s="9" t="n"/>
      <c r="H108" s="9" t="n"/>
      <c r="I108" s="28">
        <f>IF(A108&amp;B108="","",IF(ISNA(MATCH(A108,lst_Profil,0)),"FEHLER: Profil unbekannt",IF(ISNA(MATCH(B108,lst_Werkstoff,0)),"FEHLER: Werkstoff unbekannt",IF(COUNTIFS($A$5:$A$304,A108,$B$5:$B$304,B108)&gt;1,"FEHLER: doppelt",IF(OR(C108="",D108=""),"FEHLER: Preis unvollständig",IF(AND(C108="€/Stange",E108=""),"FEHLER: Stangenlänge fehlt","OK"))))))</f>
        <v/>
      </c>
      <c r="J108" s="18">
        <f>IF(OR(A108="",B108=""),"",IFERROR(INDEX(Profile!$K$5:$K$304,MATCH(A108,lst_Profil,0))*INDEX(Werkstoffe!$E$5:$E$304,MATCH(B108,lst_Werkstoff,0))/1000*INDEX(Werkstoffe!$G$5:$G$304,MATCH(B108,lst_Werkstoff,0))/1000,""))</f>
        <v/>
      </c>
    </row>
    <row r="109">
      <c r="A109" s="9" t="n"/>
      <c r="B109" s="9" t="n"/>
      <c r="C109" s="9" t="n"/>
      <c r="D109" s="29" t="n"/>
      <c r="E109" s="19" t="n"/>
      <c r="F109" s="14" t="n"/>
      <c r="G109" s="9" t="n"/>
      <c r="H109" s="9" t="n"/>
      <c r="I109" s="28">
        <f>IF(A109&amp;B109="","",IF(ISNA(MATCH(A109,lst_Profil,0)),"FEHLER: Profil unbekannt",IF(ISNA(MATCH(B109,lst_Werkstoff,0)),"FEHLER: Werkstoff unbekannt",IF(COUNTIFS($A$5:$A$304,A109,$B$5:$B$304,B109)&gt;1,"FEHLER: doppelt",IF(OR(C109="",D109=""),"FEHLER: Preis unvollständig",IF(AND(C109="€/Stange",E109=""),"FEHLER: Stangenlänge fehlt","OK"))))))</f>
        <v/>
      </c>
      <c r="J109" s="18">
        <f>IF(OR(A109="",B109=""),"",IFERROR(INDEX(Profile!$K$5:$K$304,MATCH(A109,lst_Profil,0))*INDEX(Werkstoffe!$E$5:$E$304,MATCH(B109,lst_Werkstoff,0))/1000*INDEX(Werkstoffe!$G$5:$G$304,MATCH(B109,lst_Werkstoff,0))/1000,""))</f>
        <v/>
      </c>
    </row>
    <row r="110">
      <c r="A110" s="9" t="n"/>
      <c r="B110" s="9" t="n"/>
      <c r="C110" s="9" t="n"/>
      <c r="D110" s="29" t="n"/>
      <c r="E110" s="19" t="n"/>
      <c r="F110" s="14" t="n"/>
      <c r="G110" s="9" t="n"/>
      <c r="H110" s="9" t="n"/>
      <c r="I110" s="28">
        <f>IF(A110&amp;B110="","",IF(ISNA(MATCH(A110,lst_Profil,0)),"FEHLER: Profil unbekannt",IF(ISNA(MATCH(B110,lst_Werkstoff,0)),"FEHLER: Werkstoff unbekannt",IF(COUNTIFS($A$5:$A$304,A110,$B$5:$B$304,B110)&gt;1,"FEHLER: doppelt",IF(OR(C110="",D110=""),"FEHLER: Preis unvollständig",IF(AND(C110="€/Stange",E110=""),"FEHLER: Stangenlänge fehlt","OK"))))))</f>
        <v/>
      </c>
      <c r="J110" s="18">
        <f>IF(OR(A110="",B110=""),"",IFERROR(INDEX(Profile!$K$5:$K$304,MATCH(A110,lst_Profil,0))*INDEX(Werkstoffe!$E$5:$E$304,MATCH(B110,lst_Werkstoff,0))/1000*INDEX(Werkstoffe!$G$5:$G$304,MATCH(B110,lst_Werkstoff,0))/1000,""))</f>
        <v/>
      </c>
    </row>
    <row r="111">
      <c r="A111" s="9" t="n"/>
      <c r="B111" s="9" t="n"/>
      <c r="C111" s="9" t="n"/>
      <c r="D111" s="29" t="n"/>
      <c r="E111" s="19" t="n"/>
      <c r="F111" s="14" t="n"/>
      <c r="G111" s="9" t="n"/>
      <c r="H111" s="9" t="n"/>
      <c r="I111" s="28">
        <f>IF(A111&amp;B111="","",IF(ISNA(MATCH(A111,lst_Profil,0)),"FEHLER: Profil unbekannt",IF(ISNA(MATCH(B111,lst_Werkstoff,0)),"FEHLER: Werkstoff unbekannt",IF(COUNTIFS($A$5:$A$304,A111,$B$5:$B$304,B111)&gt;1,"FEHLER: doppelt",IF(OR(C111="",D111=""),"FEHLER: Preis unvollständig",IF(AND(C111="€/Stange",E111=""),"FEHLER: Stangenlänge fehlt","OK"))))))</f>
        <v/>
      </c>
      <c r="J111" s="18">
        <f>IF(OR(A111="",B111=""),"",IFERROR(INDEX(Profile!$K$5:$K$304,MATCH(A111,lst_Profil,0))*INDEX(Werkstoffe!$E$5:$E$304,MATCH(B111,lst_Werkstoff,0))/1000*INDEX(Werkstoffe!$G$5:$G$304,MATCH(B111,lst_Werkstoff,0))/1000,""))</f>
        <v/>
      </c>
    </row>
    <row r="112">
      <c r="A112" s="9" t="n"/>
      <c r="B112" s="9" t="n"/>
      <c r="C112" s="9" t="n"/>
      <c r="D112" s="29" t="n"/>
      <c r="E112" s="19" t="n"/>
      <c r="F112" s="14" t="n"/>
      <c r="G112" s="9" t="n"/>
      <c r="H112" s="9" t="n"/>
      <c r="I112" s="28">
        <f>IF(A112&amp;B112="","",IF(ISNA(MATCH(A112,lst_Profil,0)),"FEHLER: Profil unbekannt",IF(ISNA(MATCH(B112,lst_Werkstoff,0)),"FEHLER: Werkstoff unbekannt",IF(COUNTIFS($A$5:$A$304,A112,$B$5:$B$304,B112)&gt;1,"FEHLER: doppelt",IF(OR(C112="",D112=""),"FEHLER: Preis unvollständig",IF(AND(C112="€/Stange",E112=""),"FEHLER: Stangenlänge fehlt","OK"))))))</f>
        <v/>
      </c>
      <c r="J112" s="18">
        <f>IF(OR(A112="",B112=""),"",IFERROR(INDEX(Profile!$K$5:$K$304,MATCH(A112,lst_Profil,0))*INDEX(Werkstoffe!$E$5:$E$304,MATCH(B112,lst_Werkstoff,0))/1000*INDEX(Werkstoffe!$G$5:$G$304,MATCH(B112,lst_Werkstoff,0))/1000,""))</f>
        <v/>
      </c>
    </row>
    <row r="113">
      <c r="A113" s="9" t="n"/>
      <c r="B113" s="9" t="n"/>
      <c r="C113" s="9" t="n"/>
      <c r="D113" s="29" t="n"/>
      <c r="E113" s="19" t="n"/>
      <c r="F113" s="14" t="n"/>
      <c r="G113" s="9" t="n"/>
      <c r="H113" s="9" t="n"/>
      <c r="I113" s="28">
        <f>IF(A113&amp;B113="","",IF(ISNA(MATCH(A113,lst_Profil,0)),"FEHLER: Profil unbekannt",IF(ISNA(MATCH(B113,lst_Werkstoff,0)),"FEHLER: Werkstoff unbekannt",IF(COUNTIFS($A$5:$A$304,A113,$B$5:$B$304,B113)&gt;1,"FEHLER: doppelt",IF(OR(C113="",D113=""),"FEHLER: Preis unvollständig",IF(AND(C113="€/Stange",E113=""),"FEHLER: Stangenlänge fehlt","OK"))))))</f>
        <v/>
      </c>
      <c r="J113" s="18">
        <f>IF(OR(A113="",B113=""),"",IFERROR(INDEX(Profile!$K$5:$K$304,MATCH(A113,lst_Profil,0))*INDEX(Werkstoffe!$E$5:$E$304,MATCH(B113,lst_Werkstoff,0))/1000*INDEX(Werkstoffe!$G$5:$G$304,MATCH(B113,lst_Werkstoff,0))/1000,""))</f>
        <v/>
      </c>
    </row>
    <row r="114">
      <c r="A114" s="9" t="n"/>
      <c r="B114" s="9" t="n"/>
      <c r="C114" s="9" t="n"/>
      <c r="D114" s="29" t="n"/>
      <c r="E114" s="19" t="n"/>
      <c r="F114" s="14" t="n"/>
      <c r="G114" s="9" t="n"/>
      <c r="H114" s="9" t="n"/>
      <c r="I114" s="28">
        <f>IF(A114&amp;B114="","",IF(ISNA(MATCH(A114,lst_Profil,0)),"FEHLER: Profil unbekannt",IF(ISNA(MATCH(B114,lst_Werkstoff,0)),"FEHLER: Werkstoff unbekannt",IF(COUNTIFS($A$5:$A$304,A114,$B$5:$B$304,B114)&gt;1,"FEHLER: doppelt",IF(OR(C114="",D114=""),"FEHLER: Preis unvollständig",IF(AND(C114="€/Stange",E114=""),"FEHLER: Stangenlänge fehlt","OK"))))))</f>
        <v/>
      </c>
      <c r="J114" s="18">
        <f>IF(OR(A114="",B114=""),"",IFERROR(INDEX(Profile!$K$5:$K$304,MATCH(A114,lst_Profil,0))*INDEX(Werkstoffe!$E$5:$E$304,MATCH(B114,lst_Werkstoff,0))/1000*INDEX(Werkstoffe!$G$5:$G$304,MATCH(B114,lst_Werkstoff,0))/1000,""))</f>
        <v/>
      </c>
    </row>
    <row r="115">
      <c r="A115" s="9" t="n"/>
      <c r="B115" s="9" t="n"/>
      <c r="C115" s="9" t="n"/>
      <c r="D115" s="29" t="n"/>
      <c r="E115" s="19" t="n"/>
      <c r="F115" s="14" t="n"/>
      <c r="G115" s="9" t="n"/>
      <c r="H115" s="9" t="n"/>
      <c r="I115" s="28">
        <f>IF(A115&amp;B115="","",IF(ISNA(MATCH(A115,lst_Profil,0)),"FEHLER: Profil unbekannt",IF(ISNA(MATCH(B115,lst_Werkstoff,0)),"FEHLER: Werkstoff unbekannt",IF(COUNTIFS($A$5:$A$304,A115,$B$5:$B$304,B115)&gt;1,"FEHLER: doppelt",IF(OR(C115="",D115=""),"FEHLER: Preis unvollständig",IF(AND(C115="€/Stange",E115=""),"FEHLER: Stangenlänge fehlt","OK"))))))</f>
        <v/>
      </c>
      <c r="J115" s="18">
        <f>IF(OR(A115="",B115=""),"",IFERROR(INDEX(Profile!$K$5:$K$304,MATCH(A115,lst_Profil,0))*INDEX(Werkstoffe!$E$5:$E$304,MATCH(B115,lst_Werkstoff,0))/1000*INDEX(Werkstoffe!$G$5:$G$304,MATCH(B115,lst_Werkstoff,0))/1000,""))</f>
        <v/>
      </c>
    </row>
    <row r="116">
      <c r="A116" s="9" t="n"/>
      <c r="B116" s="9" t="n"/>
      <c r="C116" s="9" t="n"/>
      <c r="D116" s="29" t="n"/>
      <c r="E116" s="19" t="n"/>
      <c r="F116" s="14" t="n"/>
      <c r="G116" s="9" t="n"/>
      <c r="H116" s="9" t="n"/>
      <c r="I116" s="28">
        <f>IF(A116&amp;B116="","",IF(ISNA(MATCH(A116,lst_Profil,0)),"FEHLER: Profil unbekannt",IF(ISNA(MATCH(B116,lst_Werkstoff,0)),"FEHLER: Werkstoff unbekannt",IF(COUNTIFS($A$5:$A$304,A116,$B$5:$B$304,B116)&gt;1,"FEHLER: doppelt",IF(OR(C116="",D116=""),"FEHLER: Preis unvollständig",IF(AND(C116="€/Stange",E116=""),"FEHLER: Stangenlänge fehlt","OK"))))))</f>
        <v/>
      </c>
      <c r="J116" s="18">
        <f>IF(OR(A116="",B116=""),"",IFERROR(INDEX(Profile!$K$5:$K$304,MATCH(A116,lst_Profil,0))*INDEX(Werkstoffe!$E$5:$E$304,MATCH(B116,lst_Werkstoff,0))/1000*INDEX(Werkstoffe!$G$5:$G$304,MATCH(B116,lst_Werkstoff,0))/1000,""))</f>
        <v/>
      </c>
    </row>
    <row r="117">
      <c r="A117" s="9" t="n"/>
      <c r="B117" s="9" t="n"/>
      <c r="C117" s="9" t="n"/>
      <c r="D117" s="29" t="n"/>
      <c r="E117" s="19" t="n"/>
      <c r="F117" s="14" t="n"/>
      <c r="G117" s="9" t="n"/>
      <c r="H117" s="9" t="n"/>
      <c r="I117" s="28">
        <f>IF(A117&amp;B117="","",IF(ISNA(MATCH(A117,lst_Profil,0)),"FEHLER: Profil unbekannt",IF(ISNA(MATCH(B117,lst_Werkstoff,0)),"FEHLER: Werkstoff unbekannt",IF(COUNTIFS($A$5:$A$304,A117,$B$5:$B$304,B117)&gt;1,"FEHLER: doppelt",IF(OR(C117="",D117=""),"FEHLER: Preis unvollständig",IF(AND(C117="€/Stange",E117=""),"FEHLER: Stangenlänge fehlt","OK"))))))</f>
        <v/>
      </c>
      <c r="J117" s="18">
        <f>IF(OR(A117="",B117=""),"",IFERROR(INDEX(Profile!$K$5:$K$304,MATCH(A117,lst_Profil,0))*INDEX(Werkstoffe!$E$5:$E$304,MATCH(B117,lst_Werkstoff,0))/1000*INDEX(Werkstoffe!$G$5:$G$304,MATCH(B117,lst_Werkstoff,0))/1000,""))</f>
        <v/>
      </c>
    </row>
    <row r="118">
      <c r="A118" s="9" t="n"/>
      <c r="B118" s="9" t="n"/>
      <c r="C118" s="9" t="n"/>
      <c r="D118" s="29" t="n"/>
      <c r="E118" s="19" t="n"/>
      <c r="F118" s="14" t="n"/>
      <c r="G118" s="9" t="n"/>
      <c r="H118" s="9" t="n"/>
      <c r="I118" s="28">
        <f>IF(A118&amp;B118="","",IF(ISNA(MATCH(A118,lst_Profil,0)),"FEHLER: Profil unbekannt",IF(ISNA(MATCH(B118,lst_Werkstoff,0)),"FEHLER: Werkstoff unbekannt",IF(COUNTIFS($A$5:$A$304,A118,$B$5:$B$304,B118)&gt;1,"FEHLER: doppelt",IF(OR(C118="",D118=""),"FEHLER: Preis unvollständig",IF(AND(C118="€/Stange",E118=""),"FEHLER: Stangenlänge fehlt","OK"))))))</f>
        <v/>
      </c>
      <c r="J118" s="18">
        <f>IF(OR(A118="",B118=""),"",IFERROR(INDEX(Profile!$K$5:$K$304,MATCH(A118,lst_Profil,0))*INDEX(Werkstoffe!$E$5:$E$304,MATCH(B118,lst_Werkstoff,0))/1000*INDEX(Werkstoffe!$G$5:$G$304,MATCH(B118,lst_Werkstoff,0))/1000,""))</f>
        <v/>
      </c>
    </row>
    <row r="119">
      <c r="A119" s="9" t="n"/>
      <c r="B119" s="9" t="n"/>
      <c r="C119" s="9" t="n"/>
      <c r="D119" s="29" t="n"/>
      <c r="E119" s="19" t="n"/>
      <c r="F119" s="14" t="n"/>
      <c r="G119" s="9" t="n"/>
      <c r="H119" s="9" t="n"/>
      <c r="I119" s="28">
        <f>IF(A119&amp;B119="","",IF(ISNA(MATCH(A119,lst_Profil,0)),"FEHLER: Profil unbekannt",IF(ISNA(MATCH(B119,lst_Werkstoff,0)),"FEHLER: Werkstoff unbekannt",IF(COUNTIFS($A$5:$A$304,A119,$B$5:$B$304,B119)&gt;1,"FEHLER: doppelt",IF(OR(C119="",D119=""),"FEHLER: Preis unvollständig",IF(AND(C119="€/Stange",E119=""),"FEHLER: Stangenlänge fehlt","OK"))))))</f>
        <v/>
      </c>
      <c r="J119" s="18">
        <f>IF(OR(A119="",B119=""),"",IFERROR(INDEX(Profile!$K$5:$K$304,MATCH(A119,lst_Profil,0))*INDEX(Werkstoffe!$E$5:$E$304,MATCH(B119,lst_Werkstoff,0))/1000*INDEX(Werkstoffe!$G$5:$G$304,MATCH(B119,lst_Werkstoff,0))/1000,""))</f>
        <v/>
      </c>
    </row>
    <row r="120">
      <c r="A120" s="9" t="n"/>
      <c r="B120" s="9" t="n"/>
      <c r="C120" s="9" t="n"/>
      <c r="D120" s="29" t="n"/>
      <c r="E120" s="19" t="n"/>
      <c r="F120" s="14" t="n"/>
      <c r="G120" s="9" t="n"/>
      <c r="H120" s="9" t="n"/>
      <c r="I120" s="28">
        <f>IF(A120&amp;B120="","",IF(ISNA(MATCH(A120,lst_Profil,0)),"FEHLER: Profil unbekannt",IF(ISNA(MATCH(B120,lst_Werkstoff,0)),"FEHLER: Werkstoff unbekannt",IF(COUNTIFS($A$5:$A$304,A120,$B$5:$B$304,B120)&gt;1,"FEHLER: doppelt",IF(OR(C120="",D120=""),"FEHLER: Preis unvollständig",IF(AND(C120="€/Stange",E120=""),"FEHLER: Stangenlänge fehlt","OK"))))))</f>
        <v/>
      </c>
      <c r="J120" s="18">
        <f>IF(OR(A120="",B120=""),"",IFERROR(INDEX(Profile!$K$5:$K$304,MATCH(A120,lst_Profil,0))*INDEX(Werkstoffe!$E$5:$E$304,MATCH(B120,lst_Werkstoff,0))/1000*INDEX(Werkstoffe!$G$5:$G$304,MATCH(B120,lst_Werkstoff,0))/1000,""))</f>
        <v/>
      </c>
    </row>
    <row r="121">
      <c r="A121" s="9" t="n"/>
      <c r="B121" s="9" t="n"/>
      <c r="C121" s="9" t="n"/>
      <c r="D121" s="29" t="n"/>
      <c r="E121" s="19" t="n"/>
      <c r="F121" s="14" t="n"/>
      <c r="G121" s="9" t="n"/>
      <c r="H121" s="9" t="n"/>
      <c r="I121" s="28">
        <f>IF(A121&amp;B121="","",IF(ISNA(MATCH(A121,lst_Profil,0)),"FEHLER: Profil unbekannt",IF(ISNA(MATCH(B121,lst_Werkstoff,0)),"FEHLER: Werkstoff unbekannt",IF(COUNTIFS($A$5:$A$304,A121,$B$5:$B$304,B121)&gt;1,"FEHLER: doppelt",IF(OR(C121="",D121=""),"FEHLER: Preis unvollständig",IF(AND(C121="€/Stange",E121=""),"FEHLER: Stangenlänge fehlt","OK"))))))</f>
        <v/>
      </c>
      <c r="J121" s="18">
        <f>IF(OR(A121="",B121=""),"",IFERROR(INDEX(Profile!$K$5:$K$304,MATCH(A121,lst_Profil,0))*INDEX(Werkstoffe!$E$5:$E$304,MATCH(B121,lst_Werkstoff,0))/1000*INDEX(Werkstoffe!$G$5:$G$304,MATCH(B121,lst_Werkstoff,0))/1000,""))</f>
        <v/>
      </c>
    </row>
    <row r="122">
      <c r="A122" s="9" t="n"/>
      <c r="B122" s="9" t="n"/>
      <c r="C122" s="9" t="n"/>
      <c r="D122" s="29" t="n"/>
      <c r="E122" s="19" t="n"/>
      <c r="F122" s="14" t="n"/>
      <c r="G122" s="9" t="n"/>
      <c r="H122" s="9" t="n"/>
      <c r="I122" s="28">
        <f>IF(A122&amp;B122="","",IF(ISNA(MATCH(A122,lst_Profil,0)),"FEHLER: Profil unbekannt",IF(ISNA(MATCH(B122,lst_Werkstoff,0)),"FEHLER: Werkstoff unbekannt",IF(COUNTIFS($A$5:$A$304,A122,$B$5:$B$304,B122)&gt;1,"FEHLER: doppelt",IF(OR(C122="",D122=""),"FEHLER: Preis unvollständig",IF(AND(C122="€/Stange",E122=""),"FEHLER: Stangenlänge fehlt","OK"))))))</f>
        <v/>
      </c>
      <c r="J122" s="18">
        <f>IF(OR(A122="",B122=""),"",IFERROR(INDEX(Profile!$K$5:$K$304,MATCH(A122,lst_Profil,0))*INDEX(Werkstoffe!$E$5:$E$304,MATCH(B122,lst_Werkstoff,0))/1000*INDEX(Werkstoffe!$G$5:$G$304,MATCH(B122,lst_Werkstoff,0))/1000,""))</f>
        <v/>
      </c>
    </row>
    <row r="123">
      <c r="A123" s="9" t="n"/>
      <c r="B123" s="9" t="n"/>
      <c r="C123" s="9" t="n"/>
      <c r="D123" s="29" t="n"/>
      <c r="E123" s="19" t="n"/>
      <c r="F123" s="14" t="n"/>
      <c r="G123" s="9" t="n"/>
      <c r="H123" s="9" t="n"/>
      <c r="I123" s="28">
        <f>IF(A123&amp;B123="","",IF(ISNA(MATCH(A123,lst_Profil,0)),"FEHLER: Profil unbekannt",IF(ISNA(MATCH(B123,lst_Werkstoff,0)),"FEHLER: Werkstoff unbekannt",IF(COUNTIFS($A$5:$A$304,A123,$B$5:$B$304,B123)&gt;1,"FEHLER: doppelt",IF(OR(C123="",D123=""),"FEHLER: Preis unvollständig",IF(AND(C123="€/Stange",E123=""),"FEHLER: Stangenlänge fehlt","OK"))))))</f>
        <v/>
      </c>
      <c r="J123" s="18">
        <f>IF(OR(A123="",B123=""),"",IFERROR(INDEX(Profile!$K$5:$K$304,MATCH(A123,lst_Profil,0))*INDEX(Werkstoffe!$E$5:$E$304,MATCH(B123,lst_Werkstoff,0))/1000*INDEX(Werkstoffe!$G$5:$G$304,MATCH(B123,lst_Werkstoff,0))/1000,""))</f>
        <v/>
      </c>
    </row>
    <row r="124">
      <c r="A124" s="9" t="n"/>
      <c r="B124" s="9" t="n"/>
      <c r="C124" s="9" t="n"/>
      <c r="D124" s="29" t="n"/>
      <c r="E124" s="19" t="n"/>
      <c r="F124" s="14" t="n"/>
      <c r="G124" s="9" t="n"/>
      <c r="H124" s="9" t="n"/>
      <c r="I124" s="28">
        <f>IF(A124&amp;B124="","",IF(ISNA(MATCH(A124,lst_Profil,0)),"FEHLER: Profil unbekannt",IF(ISNA(MATCH(B124,lst_Werkstoff,0)),"FEHLER: Werkstoff unbekannt",IF(COUNTIFS($A$5:$A$304,A124,$B$5:$B$304,B124)&gt;1,"FEHLER: doppelt",IF(OR(C124="",D124=""),"FEHLER: Preis unvollständig",IF(AND(C124="€/Stange",E124=""),"FEHLER: Stangenlänge fehlt","OK"))))))</f>
        <v/>
      </c>
      <c r="J124" s="18">
        <f>IF(OR(A124="",B124=""),"",IFERROR(INDEX(Profile!$K$5:$K$304,MATCH(A124,lst_Profil,0))*INDEX(Werkstoffe!$E$5:$E$304,MATCH(B124,lst_Werkstoff,0))/1000*INDEX(Werkstoffe!$G$5:$G$304,MATCH(B124,lst_Werkstoff,0))/1000,""))</f>
        <v/>
      </c>
    </row>
    <row r="125">
      <c r="A125" s="9" t="n"/>
      <c r="B125" s="9" t="n"/>
      <c r="C125" s="9" t="n"/>
      <c r="D125" s="29" t="n"/>
      <c r="E125" s="19" t="n"/>
      <c r="F125" s="14" t="n"/>
      <c r="G125" s="9" t="n"/>
      <c r="H125" s="9" t="n"/>
      <c r="I125" s="28">
        <f>IF(A125&amp;B125="","",IF(ISNA(MATCH(A125,lst_Profil,0)),"FEHLER: Profil unbekannt",IF(ISNA(MATCH(B125,lst_Werkstoff,0)),"FEHLER: Werkstoff unbekannt",IF(COUNTIFS($A$5:$A$304,A125,$B$5:$B$304,B125)&gt;1,"FEHLER: doppelt",IF(OR(C125="",D125=""),"FEHLER: Preis unvollständig",IF(AND(C125="€/Stange",E125=""),"FEHLER: Stangenlänge fehlt","OK"))))))</f>
        <v/>
      </c>
      <c r="J125" s="18">
        <f>IF(OR(A125="",B125=""),"",IFERROR(INDEX(Profile!$K$5:$K$304,MATCH(A125,lst_Profil,0))*INDEX(Werkstoffe!$E$5:$E$304,MATCH(B125,lst_Werkstoff,0))/1000*INDEX(Werkstoffe!$G$5:$G$304,MATCH(B125,lst_Werkstoff,0))/1000,""))</f>
        <v/>
      </c>
    </row>
    <row r="126">
      <c r="A126" s="9" t="n"/>
      <c r="B126" s="9" t="n"/>
      <c r="C126" s="9" t="n"/>
      <c r="D126" s="29" t="n"/>
      <c r="E126" s="19" t="n"/>
      <c r="F126" s="14" t="n"/>
      <c r="G126" s="9" t="n"/>
      <c r="H126" s="9" t="n"/>
      <c r="I126" s="28">
        <f>IF(A126&amp;B126="","",IF(ISNA(MATCH(A126,lst_Profil,0)),"FEHLER: Profil unbekannt",IF(ISNA(MATCH(B126,lst_Werkstoff,0)),"FEHLER: Werkstoff unbekannt",IF(COUNTIFS($A$5:$A$304,A126,$B$5:$B$304,B126)&gt;1,"FEHLER: doppelt",IF(OR(C126="",D126=""),"FEHLER: Preis unvollständig",IF(AND(C126="€/Stange",E126=""),"FEHLER: Stangenlänge fehlt","OK"))))))</f>
        <v/>
      </c>
      <c r="J126" s="18">
        <f>IF(OR(A126="",B126=""),"",IFERROR(INDEX(Profile!$K$5:$K$304,MATCH(A126,lst_Profil,0))*INDEX(Werkstoffe!$E$5:$E$304,MATCH(B126,lst_Werkstoff,0))/1000*INDEX(Werkstoffe!$G$5:$G$304,MATCH(B126,lst_Werkstoff,0))/1000,""))</f>
        <v/>
      </c>
    </row>
    <row r="127">
      <c r="A127" s="9" t="n"/>
      <c r="B127" s="9" t="n"/>
      <c r="C127" s="9" t="n"/>
      <c r="D127" s="29" t="n"/>
      <c r="E127" s="19" t="n"/>
      <c r="F127" s="14" t="n"/>
      <c r="G127" s="9" t="n"/>
      <c r="H127" s="9" t="n"/>
      <c r="I127" s="28">
        <f>IF(A127&amp;B127="","",IF(ISNA(MATCH(A127,lst_Profil,0)),"FEHLER: Profil unbekannt",IF(ISNA(MATCH(B127,lst_Werkstoff,0)),"FEHLER: Werkstoff unbekannt",IF(COUNTIFS($A$5:$A$304,A127,$B$5:$B$304,B127)&gt;1,"FEHLER: doppelt",IF(OR(C127="",D127=""),"FEHLER: Preis unvollständig",IF(AND(C127="€/Stange",E127=""),"FEHLER: Stangenlänge fehlt","OK"))))))</f>
        <v/>
      </c>
      <c r="J127" s="18">
        <f>IF(OR(A127="",B127=""),"",IFERROR(INDEX(Profile!$K$5:$K$304,MATCH(A127,lst_Profil,0))*INDEX(Werkstoffe!$E$5:$E$304,MATCH(B127,lst_Werkstoff,0))/1000*INDEX(Werkstoffe!$G$5:$G$304,MATCH(B127,lst_Werkstoff,0))/1000,""))</f>
        <v/>
      </c>
    </row>
    <row r="128">
      <c r="A128" s="9" t="n"/>
      <c r="B128" s="9" t="n"/>
      <c r="C128" s="9" t="n"/>
      <c r="D128" s="29" t="n"/>
      <c r="E128" s="19" t="n"/>
      <c r="F128" s="14" t="n"/>
      <c r="G128" s="9" t="n"/>
      <c r="H128" s="9" t="n"/>
      <c r="I128" s="28">
        <f>IF(A128&amp;B128="","",IF(ISNA(MATCH(A128,lst_Profil,0)),"FEHLER: Profil unbekannt",IF(ISNA(MATCH(B128,lst_Werkstoff,0)),"FEHLER: Werkstoff unbekannt",IF(COUNTIFS($A$5:$A$304,A128,$B$5:$B$304,B128)&gt;1,"FEHLER: doppelt",IF(OR(C128="",D128=""),"FEHLER: Preis unvollständig",IF(AND(C128="€/Stange",E128=""),"FEHLER: Stangenlänge fehlt","OK"))))))</f>
        <v/>
      </c>
      <c r="J128" s="18">
        <f>IF(OR(A128="",B128=""),"",IFERROR(INDEX(Profile!$K$5:$K$304,MATCH(A128,lst_Profil,0))*INDEX(Werkstoffe!$E$5:$E$304,MATCH(B128,lst_Werkstoff,0))/1000*INDEX(Werkstoffe!$G$5:$G$304,MATCH(B128,lst_Werkstoff,0))/1000,""))</f>
        <v/>
      </c>
    </row>
    <row r="129">
      <c r="A129" s="9" t="n"/>
      <c r="B129" s="9" t="n"/>
      <c r="C129" s="9" t="n"/>
      <c r="D129" s="29" t="n"/>
      <c r="E129" s="19" t="n"/>
      <c r="F129" s="14" t="n"/>
      <c r="G129" s="9" t="n"/>
      <c r="H129" s="9" t="n"/>
      <c r="I129" s="28">
        <f>IF(A129&amp;B129="","",IF(ISNA(MATCH(A129,lst_Profil,0)),"FEHLER: Profil unbekannt",IF(ISNA(MATCH(B129,lst_Werkstoff,0)),"FEHLER: Werkstoff unbekannt",IF(COUNTIFS($A$5:$A$304,A129,$B$5:$B$304,B129)&gt;1,"FEHLER: doppelt",IF(OR(C129="",D129=""),"FEHLER: Preis unvollständig",IF(AND(C129="€/Stange",E129=""),"FEHLER: Stangenlänge fehlt","OK"))))))</f>
        <v/>
      </c>
      <c r="J129" s="18">
        <f>IF(OR(A129="",B129=""),"",IFERROR(INDEX(Profile!$K$5:$K$304,MATCH(A129,lst_Profil,0))*INDEX(Werkstoffe!$E$5:$E$304,MATCH(B129,lst_Werkstoff,0))/1000*INDEX(Werkstoffe!$G$5:$G$304,MATCH(B129,lst_Werkstoff,0))/1000,""))</f>
        <v/>
      </c>
    </row>
    <row r="130">
      <c r="A130" s="9" t="n"/>
      <c r="B130" s="9" t="n"/>
      <c r="C130" s="9" t="n"/>
      <c r="D130" s="29" t="n"/>
      <c r="E130" s="19" t="n"/>
      <c r="F130" s="14" t="n"/>
      <c r="G130" s="9" t="n"/>
      <c r="H130" s="9" t="n"/>
      <c r="I130" s="28">
        <f>IF(A130&amp;B130="","",IF(ISNA(MATCH(A130,lst_Profil,0)),"FEHLER: Profil unbekannt",IF(ISNA(MATCH(B130,lst_Werkstoff,0)),"FEHLER: Werkstoff unbekannt",IF(COUNTIFS($A$5:$A$304,A130,$B$5:$B$304,B130)&gt;1,"FEHLER: doppelt",IF(OR(C130="",D130=""),"FEHLER: Preis unvollständig",IF(AND(C130="€/Stange",E130=""),"FEHLER: Stangenlänge fehlt","OK"))))))</f>
        <v/>
      </c>
      <c r="J130" s="18">
        <f>IF(OR(A130="",B130=""),"",IFERROR(INDEX(Profile!$K$5:$K$304,MATCH(A130,lst_Profil,0))*INDEX(Werkstoffe!$E$5:$E$304,MATCH(B130,lst_Werkstoff,0))/1000*INDEX(Werkstoffe!$G$5:$G$304,MATCH(B130,lst_Werkstoff,0))/1000,""))</f>
        <v/>
      </c>
    </row>
    <row r="131">
      <c r="A131" s="9" t="n"/>
      <c r="B131" s="9" t="n"/>
      <c r="C131" s="9" t="n"/>
      <c r="D131" s="29" t="n"/>
      <c r="E131" s="19" t="n"/>
      <c r="F131" s="14" t="n"/>
      <c r="G131" s="9" t="n"/>
      <c r="H131" s="9" t="n"/>
      <c r="I131" s="28">
        <f>IF(A131&amp;B131="","",IF(ISNA(MATCH(A131,lst_Profil,0)),"FEHLER: Profil unbekannt",IF(ISNA(MATCH(B131,lst_Werkstoff,0)),"FEHLER: Werkstoff unbekannt",IF(COUNTIFS($A$5:$A$304,A131,$B$5:$B$304,B131)&gt;1,"FEHLER: doppelt",IF(OR(C131="",D131=""),"FEHLER: Preis unvollständig",IF(AND(C131="€/Stange",E131=""),"FEHLER: Stangenlänge fehlt","OK"))))))</f>
        <v/>
      </c>
      <c r="J131" s="18">
        <f>IF(OR(A131="",B131=""),"",IFERROR(INDEX(Profile!$K$5:$K$304,MATCH(A131,lst_Profil,0))*INDEX(Werkstoffe!$E$5:$E$304,MATCH(B131,lst_Werkstoff,0))/1000*INDEX(Werkstoffe!$G$5:$G$304,MATCH(B131,lst_Werkstoff,0))/1000,""))</f>
        <v/>
      </c>
    </row>
    <row r="132">
      <c r="A132" s="9" t="n"/>
      <c r="B132" s="9" t="n"/>
      <c r="C132" s="9" t="n"/>
      <c r="D132" s="29" t="n"/>
      <c r="E132" s="19" t="n"/>
      <c r="F132" s="14" t="n"/>
      <c r="G132" s="9" t="n"/>
      <c r="H132" s="9" t="n"/>
      <c r="I132" s="28">
        <f>IF(A132&amp;B132="","",IF(ISNA(MATCH(A132,lst_Profil,0)),"FEHLER: Profil unbekannt",IF(ISNA(MATCH(B132,lst_Werkstoff,0)),"FEHLER: Werkstoff unbekannt",IF(COUNTIFS($A$5:$A$304,A132,$B$5:$B$304,B132)&gt;1,"FEHLER: doppelt",IF(OR(C132="",D132=""),"FEHLER: Preis unvollständig",IF(AND(C132="€/Stange",E132=""),"FEHLER: Stangenlänge fehlt","OK"))))))</f>
        <v/>
      </c>
      <c r="J132" s="18">
        <f>IF(OR(A132="",B132=""),"",IFERROR(INDEX(Profile!$K$5:$K$304,MATCH(A132,lst_Profil,0))*INDEX(Werkstoffe!$E$5:$E$304,MATCH(B132,lst_Werkstoff,0))/1000*INDEX(Werkstoffe!$G$5:$G$304,MATCH(B132,lst_Werkstoff,0))/1000,""))</f>
        <v/>
      </c>
    </row>
    <row r="133">
      <c r="A133" s="9" t="n"/>
      <c r="B133" s="9" t="n"/>
      <c r="C133" s="9" t="n"/>
      <c r="D133" s="29" t="n"/>
      <c r="E133" s="19" t="n"/>
      <c r="F133" s="14" t="n"/>
      <c r="G133" s="9" t="n"/>
      <c r="H133" s="9" t="n"/>
      <c r="I133" s="28">
        <f>IF(A133&amp;B133="","",IF(ISNA(MATCH(A133,lst_Profil,0)),"FEHLER: Profil unbekannt",IF(ISNA(MATCH(B133,lst_Werkstoff,0)),"FEHLER: Werkstoff unbekannt",IF(COUNTIFS($A$5:$A$304,A133,$B$5:$B$304,B133)&gt;1,"FEHLER: doppelt",IF(OR(C133="",D133=""),"FEHLER: Preis unvollständig",IF(AND(C133="€/Stange",E133=""),"FEHLER: Stangenlänge fehlt","OK"))))))</f>
        <v/>
      </c>
      <c r="J133" s="18">
        <f>IF(OR(A133="",B133=""),"",IFERROR(INDEX(Profile!$K$5:$K$304,MATCH(A133,lst_Profil,0))*INDEX(Werkstoffe!$E$5:$E$304,MATCH(B133,lst_Werkstoff,0))/1000*INDEX(Werkstoffe!$G$5:$G$304,MATCH(B133,lst_Werkstoff,0))/1000,""))</f>
        <v/>
      </c>
    </row>
    <row r="134">
      <c r="A134" s="9" t="n"/>
      <c r="B134" s="9" t="n"/>
      <c r="C134" s="9" t="n"/>
      <c r="D134" s="29" t="n"/>
      <c r="E134" s="19" t="n"/>
      <c r="F134" s="14" t="n"/>
      <c r="G134" s="9" t="n"/>
      <c r="H134" s="9" t="n"/>
      <c r="I134" s="28">
        <f>IF(A134&amp;B134="","",IF(ISNA(MATCH(A134,lst_Profil,0)),"FEHLER: Profil unbekannt",IF(ISNA(MATCH(B134,lst_Werkstoff,0)),"FEHLER: Werkstoff unbekannt",IF(COUNTIFS($A$5:$A$304,A134,$B$5:$B$304,B134)&gt;1,"FEHLER: doppelt",IF(OR(C134="",D134=""),"FEHLER: Preis unvollständig",IF(AND(C134="€/Stange",E134=""),"FEHLER: Stangenlänge fehlt","OK"))))))</f>
        <v/>
      </c>
      <c r="J134" s="18">
        <f>IF(OR(A134="",B134=""),"",IFERROR(INDEX(Profile!$K$5:$K$304,MATCH(A134,lst_Profil,0))*INDEX(Werkstoffe!$E$5:$E$304,MATCH(B134,lst_Werkstoff,0))/1000*INDEX(Werkstoffe!$G$5:$G$304,MATCH(B134,lst_Werkstoff,0))/1000,""))</f>
        <v/>
      </c>
    </row>
    <row r="135">
      <c r="A135" s="9" t="n"/>
      <c r="B135" s="9" t="n"/>
      <c r="C135" s="9" t="n"/>
      <c r="D135" s="29" t="n"/>
      <c r="E135" s="19" t="n"/>
      <c r="F135" s="14" t="n"/>
      <c r="G135" s="9" t="n"/>
      <c r="H135" s="9" t="n"/>
      <c r="I135" s="28">
        <f>IF(A135&amp;B135="","",IF(ISNA(MATCH(A135,lst_Profil,0)),"FEHLER: Profil unbekannt",IF(ISNA(MATCH(B135,lst_Werkstoff,0)),"FEHLER: Werkstoff unbekannt",IF(COUNTIFS($A$5:$A$304,A135,$B$5:$B$304,B135)&gt;1,"FEHLER: doppelt",IF(OR(C135="",D135=""),"FEHLER: Preis unvollständig",IF(AND(C135="€/Stange",E135=""),"FEHLER: Stangenlänge fehlt","OK"))))))</f>
        <v/>
      </c>
      <c r="J135" s="18">
        <f>IF(OR(A135="",B135=""),"",IFERROR(INDEX(Profile!$K$5:$K$304,MATCH(A135,lst_Profil,0))*INDEX(Werkstoffe!$E$5:$E$304,MATCH(B135,lst_Werkstoff,0))/1000*INDEX(Werkstoffe!$G$5:$G$304,MATCH(B135,lst_Werkstoff,0))/1000,""))</f>
        <v/>
      </c>
    </row>
    <row r="136">
      <c r="A136" s="9" t="n"/>
      <c r="B136" s="9" t="n"/>
      <c r="C136" s="9" t="n"/>
      <c r="D136" s="29" t="n"/>
      <c r="E136" s="19" t="n"/>
      <c r="F136" s="14" t="n"/>
      <c r="G136" s="9" t="n"/>
      <c r="H136" s="9" t="n"/>
      <c r="I136" s="28">
        <f>IF(A136&amp;B136="","",IF(ISNA(MATCH(A136,lst_Profil,0)),"FEHLER: Profil unbekannt",IF(ISNA(MATCH(B136,lst_Werkstoff,0)),"FEHLER: Werkstoff unbekannt",IF(COUNTIFS($A$5:$A$304,A136,$B$5:$B$304,B136)&gt;1,"FEHLER: doppelt",IF(OR(C136="",D136=""),"FEHLER: Preis unvollständig",IF(AND(C136="€/Stange",E136=""),"FEHLER: Stangenlänge fehlt","OK"))))))</f>
        <v/>
      </c>
      <c r="J136" s="18">
        <f>IF(OR(A136="",B136=""),"",IFERROR(INDEX(Profile!$K$5:$K$304,MATCH(A136,lst_Profil,0))*INDEX(Werkstoffe!$E$5:$E$304,MATCH(B136,lst_Werkstoff,0))/1000*INDEX(Werkstoffe!$G$5:$G$304,MATCH(B136,lst_Werkstoff,0))/1000,""))</f>
        <v/>
      </c>
    </row>
    <row r="137">
      <c r="A137" s="9" t="n"/>
      <c r="B137" s="9" t="n"/>
      <c r="C137" s="9" t="n"/>
      <c r="D137" s="29" t="n"/>
      <c r="E137" s="19" t="n"/>
      <c r="F137" s="14" t="n"/>
      <c r="G137" s="9" t="n"/>
      <c r="H137" s="9" t="n"/>
      <c r="I137" s="28">
        <f>IF(A137&amp;B137="","",IF(ISNA(MATCH(A137,lst_Profil,0)),"FEHLER: Profil unbekannt",IF(ISNA(MATCH(B137,lst_Werkstoff,0)),"FEHLER: Werkstoff unbekannt",IF(COUNTIFS($A$5:$A$304,A137,$B$5:$B$304,B137)&gt;1,"FEHLER: doppelt",IF(OR(C137="",D137=""),"FEHLER: Preis unvollständig",IF(AND(C137="€/Stange",E137=""),"FEHLER: Stangenlänge fehlt","OK"))))))</f>
        <v/>
      </c>
      <c r="J137" s="18">
        <f>IF(OR(A137="",B137=""),"",IFERROR(INDEX(Profile!$K$5:$K$304,MATCH(A137,lst_Profil,0))*INDEX(Werkstoffe!$E$5:$E$304,MATCH(B137,lst_Werkstoff,0))/1000*INDEX(Werkstoffe!$G$5:$G$304,MATCH(B137,lst_Werkstoff,0))/1000,""))</f>
        <v/>
      </c>
    </row>
    <row r="138">
      <c r="A138" s="9" t="n"/>
      <c r="B138" s="9" t="n"/>
      <c r="C138" s="9" t="n"/>
      <c r="D138" s="29" t="n"/>
      <c r="E138" s="19" t="n"/>
      <c r="F138" s="14" t="n"/>
      <c r="G138" s="9" t="n"/>
      <c r="H138" s="9" t="n"/>
      <c r="I138" s="28">
        <f>IF(A138&amp;B138="","",IF(ISNA(MATCH(A138,lst_Profil,0)),"FEHLER: Profil unbekannt",IF(ISNA(MATCH(B138,lst_Werkstoff,0)),"FEHLER: Werkstoff unbekannt",IF(COUNTIFS($A$5:$A$304,A138,$B$5:$B$304,B138)&gt;1,"FEHLER: doppelt",IF(OR(C138="",D138=""),"FEHLER: Preis unvollständig",IF(AND(C138="€/Stange",E138=""),"FEHLER: Stangenlänge fehlt","OK"))))))</f>
        <v/>
      </c>
      <c r="J138" s="18">
        <f>IF(OR(A138="",B138=""),"",IFERROR(INDEX(Profile!$K$5:$K$304,MATCH(A138,lst_Profil,0))*INDEX(Werkstoffe!$E$5:$E$304,MATCH(B138,lst_Werkstoff,0))/1000*INDEX(Werkstoffe!$G$5:$G$304,MATCH(B138,lst_Werkstoff,0))/1000,""))</f>
        <v/>
      </c>
    </row>
    <row r="139">
      <c r="A139" s="9" t="n"/>
      <c r="B139" s="9" t="n"/>
      <c r="C139" s="9" t="n"/>
      <c r="D139" s="29" t="n"/>
      <c r="E139" s="19" t="n"/>
      <c r="F139" s="14" t="n"/>
      <c r="G139" s="9" t="n"/>
      <c r="H139" s="9" t="n"/>
      <c r="I139" s="28">
        <f>IF(A139&amp;B139="","",IF(ISNA(MATCH(A139,lst_Profil,0)),"FEHLER: Profil unbekannt",IF(ISNA(MATCH(B139,lst_Werkstoff,0)),"FEHLER: Werkstoff unbekannt",IF(COUNTIFS($A$5:$A$304,A139,$B$5:$B$304,B139)&gt;1,"FEHLER: doppelt",IF(OR(C139="",D139=""),"FEHLER: Preis unvollständig",IF(AND(C139="€/Stange",E139=""),"FEHLER: Stangenlänge fehlt","OK"))))))</f>
        <v/>
      </c>
      <c r="J139" s="18">
        <f>IF(OR(A139="",B139=""),"",IFERROR(INDEX(Profile!$K$5:$K$304,MATCH(A139,lst_Profil,0))*INDEX(Werkstoffe!$E$5:$E$304,MATCH(B139,lst_Werkstoff,0))/1000*INDEX(Werkstoffe!$G$5:$G$304,MATCH(B139,lst_Werkstoff,0))/1000,""))</f>
        <v/>
      </c>
    </row>
    <row r="140">
      <c r="A140" s="9" t="n"/>
      <c r="B140" s="9" t="n"/>
      <c r="C140" s="9" t="n"/>
      <c r="D140" s="29" t="n"/>
      <c r="E140" s="19" t="n"/>
      <c r="F140" s="14" t="n"/>
      <c r="G140" s="9" t="n"/>
      <c r="H140" s="9" t="n"/>
      <c r="I140" s="28">
        <f>IF(A140&amp;B140="","",IF(ISNA(MATCH(A140,lst_Profil,0)),"FEHLER: Profil unbekannt",IF(ISNA(MATCH(B140,lst_Werkstoff,0)),"FEHLER: Werkstoff unbekannt",IF(COUNTIFS($A$5:$A$304,A140,$B$5:$B$304,B140)&gt;1,"FEHLER: doppelt",IF(OR(C140="",D140=""),"FEHLER: Preis unvollständig",IF(AND(C140="€/Stange",E140=""),"FEHLER: Stangenlänge fehlt","OK"))))))</f>
        <v/>
      </c>
      <c r="J140" s="18">
        <f>IF(OR(A140="",B140=""),"",IFERROR(INDEX(Profile!$K$5:$K$304,MATCH(A140,lst_Profil,0))*INDEX(Werkstoffe!$E$5:$E$304,MATCH(B140,lst_Werkstoff,0))/1000*INDEX(Werkstoffe!$G$5:$G$304,MATCH(B140,lst_Werkstoff,0))/1000,""))</f>
        <v/>
      </c>
    </row>
    <row r="141">
      <c r="A141" s="9" t="n"/>
      <c r="B141" s="9" t="n"/>
      <c r="C141" s="9" t="n"/>
      <c r="D141" s="29" t="n"/>
      <c r="E141" s="19" t="n"/>
      <c r="F141" s="14" t="n"/>
      <c r="G141" s="9" t="n"/>
      <c r="H141" s="9" t="n"/>
      <c r="I141" s="28">
        <f>IF(A141&amp;B141="","",IF(ISNA(MATCH(A141,lst_Profil,0)),"FEHLER: Profil unbekannt",IF(ISNA(MATCH(B141,lst_Werkstoff,0)),"FEHLER: Werkstoff unbekannt",IF(COUNTIFS($A$5:$A$304,A141,$B$5:$B$304,B141)&gt;1,"FEHLER: doppelt",IF(OR(C141="",D141=""),"FEHLER: Preis unvollständig",IF(AND(C141="€/Stange",E141=""),"FEHLER: Stangenlänge fehlt","OK"))))))</f>
        <v/>
      </c>
      <c r="J141" s="18">
        <f>IF(OR(A141="",B141=""),"",IFERROR(INDEX(Profile!$K$5:$K$304,MATCH(A141,lst_Profil,0))*INDEX(Werkstoffe!$E$5:$E$304,MATCH(B141,lst_Werkstoff,0))/1000*INDEX(Werkstoffe!$G$5:$G$304,MATCH(B141,lst_Werkstoff,0))/1000,""))</f>
        <v/>
      </c>
    </row>
    <row r="142">
      <c r="A142" s="9" t="n"/>
      <c r="B142" s="9" t="n"/>
      <c r="C142" s="9" t="n"/>
      <c r="D142" s="29" t="n"/>
      <c r="E142" s="19" t="n"/>
      <c r="F142" s="14" t="n"/>
      <c r="G142" s="9" t="n"/>
      <c r="H142" s="9" t="n"/>
      <c r="I142" s="28">
        <f>IF(A142&amp;B142="","",IF(ISNA(MATCH(A142,lst_Profil,0)),"FEHLER: Profil unbekannt",IF(ISNA(MATCH(B142,lst_Werkstoff,0)),"FEHLER: Werkstoff unbekannt",IF(COUNTIFS($A$5:$A$304,A142,$B$5:$B$304,B142)&gt;1,"FEHLER: doppelt",IF(OR(C142="",D142=""),"FEHLER: Preis unvollständig",IF(AND(C142="€/Stange",E142=""),"FEHLER: Stangenlänge fehlt","OK"))))))</f>
        <v/>
      </c>
      <c r="J142" s="18">
        <f>IF(OR(A142="",B142=""),"",IFERROR(INDEX(Profile!$K$5:$K$304,MATCH(A142,lst_Profil,0))*INDEX(Werkstoffe!$E$5:$E$304,MATCH(B142,lst_Werkstoff,0))/1000*INDEX(Werkstoffe!$G$5:$G$304,MATCH(B142,lst_Werkstoff,0))/1000,""))</f>
        <v/>
      </c>
    </row>
    <row r="143">
      <c r="A143" s="9" t="n"/>
      <c r="B143" s="9" t="n"/>
      <c r="C143" s="9" t="n"/>
      <c r="D143" s="29" t="n"/>
      <c r="E143" s="19" t="n"/>
      <c r="F143" s="14" t="n"/>
      <c r="G143" s="9" t="n"/>
      <c r="H143" s="9" t="n"/>
      <c r="I143" s="28">
        <f>IF(A143&amp;B143="","",IF(ISNA(MATCH(A143,lst_Profil,0)),"FEHLER: Profil unbekannt",IF(ISNA(MATCH(B143,lst_Werkstoff,0)),"FEHLER: Werkstoff unbekannt",IF(COUNTIFS($A$5:$A$304,A143,$B$5:$B$304,B143)&gt;1,"FEHLER: doppelt",IF(OR(C143="",D143=""),"FEHLER: Preis unvollständig",IF(AND(C143="€/Stange",E143=""),"FEHLER: Stangenlänge fehlt","OK"))))))</f>
        <v/>
      </c>
      <c r="J143" s="18">
        <f>IF(OR(A143="",B143=""),"",IFERROR(INDEX(Profile!$K$5:$K$304,MATCH(A143,lst_Profil,0))*INDEX(Werkstoffe!$E$5:$E$304,MATCH(B143,lst_Werkstoff,0))/1000*INDEX(Werkstoffe!$G$5:$G$304,MATCH(B143,lst_Werkstoff,0))/1000,""))</f>
        <v/>
      </c>
    </row>
    <row r="144">
      <c r="A144" s="9" t="n"/>
      <c r="B144" s="9" t="n"/>
      <c r="C144" s="9" t="n"/>
      <c r="D144" s="29" t="n"/>
      <c r="E144" s="19" t="n"/>
      <c r="F144" s="14" t="n"/>
      <c r="G144" s="9" t="n"/>
      <c r="H144" s="9" t="n"/>
      <c r="I144" s="28">
        <f>IF(A144&amp;B144="","",IF(ISNA(MATCH(A144,lst_Profil,0)),"FEHLER: Profil unbekannt",IF(ISNA(MATCH(B144,lst_Werkstoff,0)),"FEHLER: Werkstoff unbekannt",IF(COUNTIFS($A$5:$A$304,A144,$B$5:$B$304,B144)&gt;1,"FEHLER: doppelt",IF(OR(C144="",D144=""),"FEHLER: Preis unvollständig",IF(AND(C144="€/Stange",E144=""),"FEHLER: Stangenlänge fehlt","OK"))))))</f>
        <v/>
      </c>
      <c r="J144" s="18">
        <f>IF(OR(A144="",B144=""),"",IFERROR(INDEX(Profile!$K$5:$K$304,MATCH(A144,lst_Profil,0))*INDEX(Werkstoffe!$E$5:$E$304,MATCH(B144,lst_Werkstoff,0))/1000*INDEX(Werkstoffe!$G$5:$G$304,MATCH(B144,lst_Werkstoff,0))/1000,""))</f>
        <v/>
      </c>
    </row>
    <row r="145">
      <c r="A145" s="9" t="n"/>
      <c r="B145" s="9" t="n"/>
      <c r="C145" s="9" t="n"/>
      <c r="D145" s="29" t="n"/>
      <c r="E145" s="19" t="n"/>
      <c r="F145" s="14" t="n"/>
      <c r="G145" s="9" t="n"/>
      <c r="H145" s="9" t="n"/>
      <c r="I145" s="28">
        <f>IF(A145&amp;B145="","",IF(ISNA(MATCH(A145,lst_Profil,0)),"FEHLER: Profil unbekannt",IF(ISNA(MATCH(B145,lst_Werkstoff,0)),"FEHLER: Werkstoff unbekannt",IF(COUNTIFS($A$5:$A$304,A145,$B$5:$B$304,B145)&gt;1,"FEHLER: doppelt",IF(OR(C145="",D145=""),"FEHLER: Preis unvollständig",IF(AND(C145="€/Stange",E145=""),"FEHLER: Stangenlänge fehlt","OK"))))))</f>
        <v/>
      </c>
      <c r="J145" s="18">
        <f>IF(OR(A145="",B145=""),"",IFERROR(INDEX(Profile!$K$5:$K$304,MATCH(A145,lst_Profil,0))*INDEX(Werkstoffe!$E$5:$E$304,MATCH(B145,lst_Werkstoff,0))/1000*INDEX(Werkstoffe!$G$5:$G$304,MATCH(B145,lst_Werkstoff,0))/1000,""))</f>
        <v/>
      </c>
    </row>
    <row r="146">
      <c r="A146" s="9" t="n"/>
      <c r="B146" s="9" t="n"/>
      <c r="C146" s="9" t="n"/>
      <c r="D146" s="29" t="n"/>
      <c r="E146" s="19" t="n"/>
      <c r="F146" s="14" t="n"/>
      <c r="G146" s="9" t="n"/>
      <c r="H146" s="9" t="n"/>
      <c r="I146" s="28">
        <f>IF(A146&amp;B146="","",IF(ISNA(MATCH(A146,lst_Profil,0)),"FEHLER: Profil unbekannt",IF(ISNA(MATCH(B146,lst_Werkstoff,0)),"FEHLER: Werkstoff unbekannt",IF(COUNTIFS($A$5:$A$304,A146,$B$5:$B$304,B146)&gt;1,"FEHLER: doppelt",IF(OR(C146="",D146=""),"FEHLER: Preis unvollständig",IF(AND(C146="€/Stange",E146=""),"FEHLER: Stangenlänge fehlt","OK"))))))</f>
        <v/>
      </c>
      <c r="J146" s="18">
        <f>IF(OR(A146="",B146=""),"",IFERROR(INDEX(Profile!$K$5:$K$304,MATCH(A146,lst_Profil,0))*INDEX(Werkstoffe!$E$5:$E$304,MATCH(B146,lst_Werkstoff,0))/1000*INDEX(Werkstoffe!$G$5:$G$304,MATCH(B146,lst_Werkstoff,0))/1000,""))</f>
        <v/>
      </c>
    </row>
    <row r="147">
      <c r="A147" s="9" t="n"/>
      <c r="B147" s="9" t="n"/>
      <c r="C147" s="9" t="n"/>
      <c r="D147" s="29" t="n"/>
      <c r="E147" s="19" t="n"/>
      <c r="F147" s="14" t="n"/>
      <c r="G147" s="9" t="n"/>
      <c r="H147" s="9" t="n"/>
      <c r="I147" s="28">
        <f>IF(A147&amp;B147="","",IF(ISNA(MATCH(A147,lst_Profil,0)),"FEHLER: Profil unbekannt",IF(ISNA(MATCH(B147,lst_Werkstoff,0)),"FEHLER: Werkstoff unbekannt",IF(COUNTIFS($A$5:$A$304,A147,$B$5:$B$304,B147)&gt;1,"FEHLER: doppelt",IF(OR(C147="",D147=""),"FEHLER: Preis unvollständig",IF(AND(C147="€/Stange",E147=""),"FEHLER: Stangenlänge fehlt","OK"))))))</f>
        <v/>
      </c>
      <c r="J147" s="18">
        <f>IF(OR(A147="",B147=""),"",IFERROR(INDEX(Profile!$K$5:$K$304,MATCH(A147,lst_Profil,0))*INDEX(Werkstoffe!$E$5:$E$304,MATCH(B147,lst_Werkstoff,0))/1000*INDEX(Werkstoffe!$G$5:$G$304,MATCH(B147,lst_Werkstoff,0))/1000,""))</f>
        <v/>
      </c>
    </row>
    <row r="148">
      <c r="A148" s="9" t="n"/>
      <c r="B148" s="9" t="n"/>
      <c r="C148" s="9" t="n"/>
      <c r="D148" s="29" t="n"/>
      <c r="E148" s="19" t="n"/>
      <c r="F148" s="14" t="n"/>
      <c r="G148" s="9" t="n"/>
      <c r="H148" s="9" t="n"/>
      <c r="I148" s="28">
        <f>IF(A148&amp;B148="","",IF(ISNA(MATCH(A148,lst_Profil,0)),"FEHLER: Profil unbekannt",IF(ISNA(MATCH(B148,lst_Werkstoff,0)),"FEHLER: Werkstoff unbekannt",IF(COUNTIFS($A$5:$A$304,A148,$B$5:$B$304,B148)&gt;1,"FEHLER: doppelt",IF(OR(C148="",D148=""),"FEHLER: Preis unvollständig",IF(AND(C148="€/Stange",E148=""),"FEHLER: Stangenlänge fehlt","OK"))))))</f>
        <v/>
      </c>
      <c r="J148" s="18">
        <f>IF(OR(A148="",B148=""),"",IFERROR(INDEX(Profile!$K$5:$K$304,MATCH(A148,lst_Profil,0))*INDEX(Werkstoffe!$E$5:$E$304,MATCH(B148,lst_Werkstoff,0))/1000*INDEX(Werkstoffe!$G$5:$G$304,MATCH(B148,lst_Werkstoff,0))/1000,""))</f>
        <v/>
      </c>
    </row>
    <row r="149">
      <c r="A149" s="9" t="n"/>
      <c r="B149" s="9" t="n"/>
      <c r="C149" s="9" t="n"/>
      <c r="D149" s="29" t="n"/>
      <c r="E149" s="19" t="n"/>
      <c r="F149" s="14" t="n"/>
      <c r="G149" s="9" t="n"/>
      <c r="H149" s="9" t="n"/>
      <c r="I149" s="28">
        <f>IF(A149&amp;B149="","",IF(ISNA(MATCH(A149,lst_Profil,0)),"FEHLER: Profil unbekannt",IF(ISNA(MATCH(B149,lst_Werkstoff,0)),"FEHLER: Werkstoff unbekannt",IF(COUNTIFS($A$5:$A$304,A149,$B$5:$B$304,B149)&gt;1,"FEHLER: doppelt",IF(OR(C149="",D149=""),"FEHLER: Preis unvollständig",IF(AND(C149="€/Stange",E149=""),"FEHLER: Stangenlänge fehlt","OK"))))))</f>
        <v/>
      </c>
      <c r="J149" s="18">
        <f>IF(OR(A149="",B149=""),"",IFERROR(INDEX(Profile!$K$5:$K$304,MATCH(A149,lst_Profil,0))*INDEX(Werkstoffe!$E$5:$E$304,MATCH(B149,lst_Werkstoff,0))/1000*INDEX(Werkstoffe!$G$5:$G$304,MATCH(B149,lst_Werkstoff,0))/1000,""))</f>
        <v/>
      </c>
    </row>
    <row r="150">
      <c r="A150" s="9" t="n"/>
      <c r="B150" s="9" t="n"/>
      <c r="C150" s="9" t="n"/>
      <c r="D150" s="29" t="n"/>
      <c r="E150" s="19" t="n"/>
      <c r="F150" s="14" t="n"/>
      <c r="G150" s="9" t="n"/>
      <c r="H150" s="9" t="n"/>
      <c r="I150" s="28">
        <f>IF(A150&amp;B150="","",IF(ISNA(MATCH(A150,lst_Profil,0)),"FEHLER: Profil unbekannt",IF(ISNA(MATCH(B150,lst_Werkstoff,0)),"FEHLER: Werkstoff unbekannt",IF(COUNTIFS($A$5:$A$304,A150,$B$5:$B$304,B150)&gt;1,"FEHLER: doppelt",IF(OR(C150="",D150=""),"FEHLER: Preis unvollständig",IF(AND(C150="€/Stange",E150=""),"FEHLER: Stangenlänge fehlt","OK"))))))</f>
        <v/>
      </c>
      <c r="J150" s="18">
        <f>IF(OR(A150="",B150=""),"",IFERROR(INDEX(Profile!$K$5:$K$304,MATCH(A150,lst_Profil,0))*INDEX(Werkstoffe!$E$5:$E$304,MATCH(B150,lst_Werkstoff,0))/1000*INDEX(Werkstoffe!$G$5:$G$304,MATCH(B150,lst_Werkstoff,0))/1000,""))</f>
        <v/>
      </c>
    </row>
    <row r="151">
      <c r="A151" s="9" t="n"/>
      <c r="B151" s="9" t="n"/>
      <c r="C151" s="9" t="n"/>
      <c r="D151" s="29" t="n"/>
      <c r="E151" s="19" t="n"/>
      <c r="F151" s="14" t="n"/>
      <c r="G151" s="9" t="n"/>
      <c r="H151" s="9" t="n"/>
      <c r="I151" s="28">
        <f>IF(A151&amp;B151="","",IF(ISNA(MATCH(A151,lst_Profil,0)),"FEHLER: Profil unbekannt",IF(ISNA(MATCH(B151,lst_Werkstoff,0)),"FEHLER: Werkstoff unbekannt",IF(COUNTIFS($A$5:$A$304,A151,$B$5:$B$304,B151)&gt;1,"FEHLER: doppelt",IF(OR(C151="",D151=""),"FEHLER: Preis unvollständig",IF(AND(C151="€/Stange",E151=""),"FEHLER: Stangenlänge fehlt","OK"))))))</f>
        <v/>
      </c>
      <c r="J151" s="18">
        <f>IF(OR(A151="",B151=""),"",IFERROR(INDEX(Profile!$K$5:$K$304,MATCH(A151,lst_Profil,0))*INDEX(Werkstoffe!$E$5:$E$304,MATCH(B151,lst_Werkstoff,0))/1000*INDEX(Werkstoffe!$G$5:$G$304,MATCH(B151,lst_Werkstoff,0))/1000,""))</f>
        <v/>
      </c>
    </row>
    <row r="152">
      <c r="A152" s="9" t="n"/>
      <c r="B152" s="9" t="n"/>
      <c r="C152" s="9" t="n"/>
      <c r="D152" s="29" t="n"/>
      <c r="E152" s="19" t="n"/>
      <c r="F152" s="14" t="n"/>
      <c r="G152" s="9" t="n"/>
      <c r="H152" s="9" t="n"/>
      <c r="I152" s="28">
        <f>IF(A152&amp;B152="","",IF(ISNA(MATCH(A152,lst_Profil,0)),"FEHLER: Profil unbekannt",IF(ISNA(MATCH(B152,lst_Werkstoff,0)),"FEHLER: Werkstoff unbekannt",IF(COUNTIFS($A$5:$A$304,A152,$B$5:$B$304,B152)&gt;1,"FEHLER: doppelt",IF(OR(C152="",D152=""),"FEHLER: Preis unvollständig",IF(AND(C152="€/Stange",E152=""),"FEHLER: Stangenlänge fehlt","OK"))))))</f>
        <v/>
      </c>
      <c r="J152" s="18">
        <f>IF(OR(A152="",B152=""),"",IFERROR(INDEX(Profile!$K$5:$K$304,MATCH(A152,lst_Profil,0))*INDEX(Werkstoffe!$E$5:$E$304,MATCH(B152,lst_Werkstoff,0))/1000*INDEX(Werkstoffe!$G$5:$G$304,MATCH(B152,lst_Werkstoff,0))/1000,""))</f>
        <v/>
      </c>
    </row>
    <row r="153">
      <c r="A153" s="9" t="n"/>
      <c r="B153" s="9" t="n"/>
      <c r="C153" s="9" t="n"/>
      <c r="D153" s="29" t="n"/>
      <c r="E153" s="19" t="n"/>
      <c r="F153" s="14" t="n"/>
      <c r="G153" s="9" t="n"/>
      <c r="H153" s="9" t="n"/>
      <c r="I153" s="28">
        <f>IF(A153&amp;B153="","",IF(ISNA(MATCH(A153,lst_Profil,0)),"FEHLER: Profil unbekannt",IF(ISNA(MATCH(B153,lst_Werkstoff,0)),"FEHLER: Werkstoff unbekannt",IF(COUNTIFS($A$5:$A$304,A153,$B$5:$B$304,B153)&gt;1,"FEHLER: doppelt",IF(OR(C153="",D153=""),"FEHLER: Preis unvollständig",IF(AND(C153="€/Stange",E153=""),"FEHLER: Stangenlänge fehlt","OK"))))))</f>
        <v/>
      </c>
      <c r="J153" s="18">
        <f>IF(OR(A153="",B153=""),"",IFERROR(INDEX(Profile!$K$5:$K$304,MATCH(A153,lst_Profil,0))*INDEX(Werkstoffe!$E$5:$E$304,MATCH(B153,lst_Werkstoff,0))/1000*INDEX(Werkstoffe!$G$5:$G$304,MATCH(B153,lst_Werkstoff,0))/1000,""))</f>
        <v/>
      </c>
    </row>
    <row r="154">
      <c r="A154" s="9" t="n"/>
      <c r="B154" s="9" t="n"/>
      <c r="C154" s="9" t="n"/>
      <c r="D154" s="29" t="n"/>
      <c r="E154" s="19" t="n"/>
      <c r="F154" s="14" t="n"/>
      <c r="G154" s="9" t="n"/>
      <c r="H154" s="9" t="n"/>
      <c r="I154" s="28">
        <f>IF(A154&amp;B154="","",IF(ISNA(MATCH(A154,lst_Profil,0)),"FEHLER: Profil unbekannt",IF(ISNA(MATCH(B154,lst_Werkstoff,0)),"FEHLER: Werkstoff unbekannt",IF(COUNTIFS($A$5:$A$304,A154,$B$5:$B$304,B154)&gt;1,"FEHLER: doppelt",IF(OR(C154="",D154=""),"FEHLER: Preis unvollständig",IF(AND(C154="€/Stange",E154=""),"FEHLER: Stangenlänge fehlt","OK"))))))</f>
        <v/>
      </c>
      <c r="J154" s="18">
        <f>IF(OR(A154="",B154=""),"",IFERROR(INDEX(Profile!$K$5:$K$304,MATCH(A154,lst_Profil,0))*INDEX(Werkstoffe!$E$5:$E$304,MATCH(B154,lst_Werkstoff,0))/1000*INDEX(Werkstoffe!$G$5:$G$304,MATCH(B154,lst_Werkstoff,0))/1000,""))</f>
        <v/>
      </c>
    </row>
    <row r="155">
      <c r="A155" s="9" t="n"/>
      <c r="B155" s="9" t="n"/>
      <c r="C155" s="9" t="n"/>
      <c r="D155" s="29" t="n"/>
      <c r="E155" s="19" t="n"/>
      <c r="F155" s="14" t="n"/>
      <c r="G155" s="9" t="n"/>
      <c r="H155" s="9" t="n"/>
      <c r="I155" s="28">
        <f>IF(A155&amp;B155="","",IF(ISNA(MATCH(A155,lst_Profil,0)),"FEHLER: Profil unbekannt",IF(ISNA(MATCH(B155,lst_Werkstoff,0)),"FEHLER: Werkstoff unbekannt",IF(COUNTIFS($A$5:$A$304,A155,$B$5:$B$304,B155)&gt;1,"FEHLER: doppelt",IF(OR(C155="",D155=""),"FEHLER: Preis unvollständig",IF(AND(C155="€/Stange",E155=""),"FEHLER: Stangenlänge fehlt","OK"))))))</f>
        <v/>
      </c>
      <c r="J155" s="18">
        <f>IF(OR(A155="",B155=""),"",IFERROR(INDEX(Profile!$K$5:$K$304,MATCH(A155,lst_Profil,0))*INDEX(Werkstoffe!$E$5:$E$304,MATCH(B155,lst_Werkstoff,0))/1000*INDEX(Werkstoffe!$G$5:$G$304,MATCH(B155,lst_Werkstoff,0))/1000,""))</f>
        <v/>
      </c>
    </row>
    <row r="156">
      <c r="A156" s="9" t="n"/>
      <c r="B156" s="9" t="n"/>
      <c r="C156" s="9" t="n"/>
      <c r="D156" s="29" t="n"/>
      <c r="E156" s="19" t="n"/>
      <c r="F156" s="14" t="n"/>
      <c r="G156" s="9" t="n"/>
      <c r="H156" s="9" t="n"/>
      <c r="I156" s="28">
        <f>IF(A156&amp;B156="","",IF(ISNA(MATCH(A156,lst_Profil,0)),"FEHLER: Profil unbekannt",IF(ISNA(MATCH(B156,lst_Werkstoff,0)),"FEHLER: Werkstoff unbekannt",IF(COUNTIFS($A$5:$A$304,A156,$B$5:$B$304,B156)&gt;1,"FEHLER: doppelt",IF(OR(C156="",D156=""),"FEHLER: Preis unvollständig",IF(AND(C156="€/Stange",E156=""),"FEHLER: Stangenlänge fehlt","OK"))))))</f>
        <v/>
      </c>
      <c r="J156" s="18">
        <f>IF(OR(A156="",B156=""),"",IFERROR(INDEX(Profile!$K$5:$K$304,MATCH(A156,lst_Profil,0))*INDEX(Werkstoffe!$E$5:$E$304,MATCH(B156,lst_Werkstoff,0))/1000*INDEX(Werkstoffe!$G$5:$G$304,MATCH(B156,lst_Werkstoff,0))/1000,""))</f>
        <v/>
      </c>
    </row>
    <row r="157">
      <c r="A157" s="9" t="n"/>
      <c r="B157" s="9" t="n"/>
      <c r="C157" s="9" t="n"/>
      <c r="D157" s="29" t="n"/>
      <c r="E157" s="19" t="n"/>
      <c r="F157" s="14" t="n"/>
      <c r="G157" s="9" t="n"/>
      <c r="H157" s="9" t="n"/>
      <c r="I157" s="28">
        <f>IF(A157&amp;B157="","",IF(ISNA(MATCH(A157,lst_Profil,0)),"FEHLER: Profil unbekannt",IF(ISNA(MATCH(B157,lst_Werkstoff,0)),"FEHLER: Werkstoff unbekannt",IF(COUNTIFS($A$5:$A$304,A157,$B$5:$B$304,B157)&gt;1,"FEHLER: doppelt",IF(OR(C157="",D157=""),"FEHLER: Preis unvollständig",IF(AND(C157="€/Stange",E157=""),"FEHLER: Stangenlänge fehlt","OK"))))))</f>
        <v/>
      </c>
      <c r="J157" s="18">
        <f>IF(OR(A157="",B157=""),"",IFERROR(INDEX(Profile!$K$5:$K$304,MATCH(A157,lst_Profil,0))*INDEX(Werkstoffe!$E$5:$E$304,MATCH(B157,lst_Werkstoff,0))/1000*INDEX(Werkstoffe!$G$5:$G$304,MATCH(B157,lst_Werkstoff,0))/1000,""))</f>
        <v/>
      </c>
    </row>
    <row r="158">
      <c r="A158" s="9" t="n"/>
      <c r="B158" s="9" t="n"/>
      <c r="C158" s="9" t="n"/>
      <c r="D158" s="29" t="n"/>
      <c r="E158" s="19" t="n"/>
      <c r="F158" s="14" t="n"/>
      <c r="G158" s="9" t="n"/>
      <c r="H158" s="9" t="n"/>
      <c r="I158" s="28">
        <f>IF(A158&amp;B158="","",IF(ISNA(MATCH(A158,lst_Profil,0)),"FEHLER: Profil unbekannt",IF(ISNA(MATCH(B158,lst_Werkstoff,0)),"FEHLER: Werkstoff unbekannt",IF(COUNTIFS($A$5:$A$304,A158,$B$5:$B$304,B158)&gt;1,"FEHLER: doppelt",IF(OR(C158="",D158=""),"FEHLER: Preis unvollständig",IF(AND(C158="€/Stange",E158=""),"FEHLER: Stangenlänge fehlt","OK"))))))</f>
        <v/>
      </c>
      <c r="J158" s="18">
        <f>IF(OR(A158="",B158=""),"",IFERROR(INDEX(Profile!$K$5:$K$304,MATCH(A158,lst_Profil,0))*INDEX(Werkstoffe!$E$5:$E$304,MATCH(B158,lst_Werkstoff,0))/1000*INDEX(Werkstoffe!$G$5:$G$304,MATCH(B158,lst_Werkstoff,0))/1000,""))</f>
        <v/>
      </c>
    </row>
    <row r="159">
      <c r="A159" s="9" t="n"/>
      <c r="B159" s="9" t="n"/>
      <c r="C159" s="9" t="n"/>
      <c r="D159" s="29" t="n"/>
      <c r="E159" s="19" t="n"/>
      <c r="F159" s="14" t="n"/>
      <c r="G159" s="9" t="n"/>
      <c r="H159" s="9" t="n"/>
      <c r="I159" s="28">
        <f>IF(A159&amp;B159="","",IF(ISNA(MATCH(A159,lst_Profil,0)),"FEHLER: Profil unbekannt",IF(ISNA(MATCH(B159,lst_Werkstoff,0)),"FEHLER: Werkstoff unbekannt",IF(COUNTIFS($A$5:$A$304,A159,$B$5:$B$304,B159)&gt;1,"FEHLER: doppelt",IF(OR(C159="",D159=""),"FEHLER: Preis unvollständig",IF(AND(C159="€/Stange",E159=""),"FEHLER: Stangenlänge fehlt","OK"))))))</f>
        <v/>
      </c>
      <c r="J159" s="18">
        <f>IF(OR(A159="",B159=""),"",IFERROR(INDEX(Profile!$K$5:$K$304,MATCH(A159,lst_Profil,0))*INDEX(Werkstoffe!$E$5:$E$304,MATCH(B159,lst_Werkstoff,0))/1000*INDEX(Werkstoffe!$G$5:$G$304,MATCH(B159,lst_Werkstoff,0))/1000,""))</f>
        <v/>
      </c>
    </row>
    <row r="160">
      <c r="A160" s="9" t="n"/>
      <c r="B160" s="9" t="n"/>
      <c r="C160" s="9" t="n"/>
      <c r="D160" s="29" t="n"/>
      <c r="E160" s="19" t="n"/>
      <c r="F160" s="14" t="n"/>
      <c r="G160" s="9" t="n"/>
      <c r="H160" s="9" t="n"/>
      <c r="I160" s="28">
        <f>IF(A160&amp;B160="","",IF(ISNA(MATCH(A160,lst_Profil,0)),"FEHLER: Profil unbekannt",IF(ISNA(MATCH(B160,lst_Werkstoff,0)),"FEHLER: Werkstoff unbekannt",IF(COUNTIFS($A$5:$A$304,A160,$B$5:$B$304,B160)&gt;1,"FEHLER: doppelt",IF(OR(C160="",D160=""),"FEHLER: Preis unvollständig",IF(AND(C160="€/Stange",E160=""),"FEHLER: Stangenlänge fehlt","OK"))))))</f>
        <v/>
      </c>
      <c r="J160" s="18">
        <f>IF(OR(A160="",B160=""),"",IFERROR(INDEX(Profile!$K$5:$K$304,MATCH(A160,lst_Profil,0))*INDEX(Werkstoffe!$E$5:$E$304,MATCH(B160,lst_Werkstoff,0))/1000*INDEX(Werkstoffe!$G$5:$G$304,MATCH(B160,lst_Werkstoff,0))/1000,""))</f>
        <v/>
      </c>
    </row>
    <row r="161">
      <c r="A161" s="9" t="n"/>
      <c r="B161" s="9" t="n"/>
      <c r="C161" s="9" t="n"/>
      <c r="D161" s="29" t="n"/>
      <c r="E161" s="19" t="n"/>
      <c r="F161" s="14" t="n"/>
      <c r="G161" s="9" t="n"/>
      <c r="H161" s="9" t="n"/>
      <c r="I161" s="28">
        <f>IF(A161&amp;B161="","",IF(ISNA(MATCH(A161,lst_Profil,0)),"FEHLER: Profil unbekannt",IF(ISNA(MATCH(B161,lst_Werkstoff,0)),"FEHLER: Werkstoff unbekannt",IF(COUNTIFS($A$5:$A$304,A161,$B$5:$B$304,B161)&gt;1,"FEHLER: doppelt",IF(OR(C161="",D161=""),"FEHLER: Preis unvollständig",IF(AND(C161="€/Stange",E161=""),"FEHLER: Stangenlänge fehlt","OK"))))))</f>
        <v/>
      </c>
      <c r="J161" s="18">
        <f>IF(OR(A161="",B161=""),"",IFERROR(INDEX(Profile!$K$5:$K$304,MATCH(A161,lst_Profil,0))*INDEX(Werkstoffe!$E$5:$E$304,MATCH(B161,lst_Werkstoff,0))/1000*INDEX(Werkstoffe!$G$5:$G$304,MATCH(B161,lst_Werkstoff,0))/1000,""))</f>
        <v/>
      </c>
    </row>
    <row r="162">
      <c r="A162" s="9" t="n"/>
      <c r="B162" s="9" t="n"/>
      <c r="C162" s="9" t="n"/>
      <c r="D162" s="29" t="n"/>
      <c r="E162" s="19" t="n"/>
      <c r="F162" s="14" t="n"/>
      <c r="G162" s="9" t="n"/>
      <c r="H162" s="9" t="n"/>
      <c r="I162" s="28">
        <f>IF(A162&amp;B162="","",IF(ISNA(MATCH(A162,lst_Profil,0)),"FEHLER: Profil unbekannt",IF(ISNA(MATCH(B162,lst_Werkstoff,0)),"FEHLER: Werkstoff unbekannt",IF(COUNTIFS($A$5:$A$304,A162,$B$5:$B$304,B162)&gt;1,"FEHLER: doppelt",IF(OR(C162="",D162=""),"FEHLER: Preis unvollständig",IF(AND(C162="€/Stange",E162=""),"FEHLER: Stangenlänge fehlt","OK"))))))</f>
        <v/>
      </c>
      <c r="J162" s="18">
        <f>IF(OR(A162="",B162=""),"",IFERROR(INDEX(Profile!$K$5:$K$304,MATCH(A162,lst_Profil,0))*INDEX(Werkstoffe!$E$5:$E$304,MATCH(B162,lst_Werkstoff,0))/1000*INDEX(Werkstoffe!$G$5:$G$304,MATCH(B162,lst_Werkstoff,0))/1000,""))</f>
        <v/>
      </c>
    </row>
    <row r="163">
      <c r="A163" s="9" t="n"/>
      <c r="B163" s="9" t="n"/>
      <c r="C163" s="9" t="n"/>
      <c r="D163" s="29" t="n"/>
      <c r="E163" s="19" t="n"/>
      <c r="F163" s="14" t="n"/>
      <c r="G163" s="9" t="n"/>
      <c r="H163" s="9" t="n"/>
      <c r="I163" s="28">
        <f>IF(A163&amp;B163="","",IF(ISNA(MATCH(A163,lst_Profil,0)),"FEHLER: Profil unbekannt",IF(ISNA(MATCH(B163,lst_Werkstoff,0)),"FEHLER: Werkstoff unbekannt",IF(COUNTIFS($A$5:$A$304,A163,$B$5:$B$304,B163)&gt;1,"FEHLER: doppelt",IF(OR(C163="",D163=""),"FEHLER: Preis unvollständig",IF(AND(C163="€/Stange",E163=""),"FEHLER: Stangenlänge fehlt","OK"))))))</f>
        <v/>
      </c>
      <c r="J163" s="18">
        <f>IF(OR(A163="",B163=""),"",IFERROR(INDEX(Profile!$K$5:$K$304,MATCH(A163,lst_Profil,0))*INDEX(Werkstoffe!$E$5:$E$304,MATCH(B163,lst_Werkstoff,0))/1000*INDEX(Werkstoffe!$G$5:$G$304,MATCH(B163,lst_Werkstoff,0))/1000,""))</f>
        <v/>
      </c>
    </row>
    <row r="164">
      <c r="A164" s="9" t="n"/>
      <c r="B164" s="9" t="n"/>
      <c r="C164" s="9" t="n"/>
      <c r="D164" s="29" t="n"/>
      <c r="E164" s="19" t="n"/>
      <c r="F164" s="14" t="n"/>
      <c r="G164" s="9" t="n"/>
      <c r="H164" s="9" t="n"/>
      <c r="I164" s="28">
        <f>IF(A164&amp;B164="","",IF(ISNA(MATCH(A164,lst_Profil,0)),"FEHLER: Profil unbekannt",IF(ISNA(MATCH(B164,lst_Werkstoff,0)),"FEHLER: Werkstoff unbekannt",IF(COUNTIFS($A$5:$A$304,A164,$B$5:$B$304,B164)&gt;1,"FEHLER: doppelt",IF(OR(C164="",D164=""),"FEHLER: Preis unvollständig",IF(AND(C164="€/Stange",E164=""),"FEHLER: Stangenlänge fehlt","OK"))))))</f>
        <v/>
      </c>
      <c r="J164" s="18">
        <f>IF(OR(A164="",B164=""),"",IFERROR(INDEX(Profile!$K$5:$K$304,MATCH(A164,lst_Profil,0))*INDEX(Werkstoffe!$E$5:$E$304,MATCH(B164,lst_Werkstoff,0))/1000*INDEX(Werkstoffe!$G$5:$G$304,MATCH(B164,lst_Werkstoff,0))/1000,""))</f>
        <v/>
      </c>
    </row>
    <row r="165">
      <c r="A165" s="9" t="n"/>
      <c r="B165" s="9" t="n"/>
      <c r="C165" s="9" t="n"/>
      <c r="D165" s="29" t="n"/>
      <c r="E165" s="19" t="n"/>
      <c r="F165" s="14" t="n"/>
      <c r="G165" s="9" t="n"/>
      <c r="H165" s="9" t="n"/>
      <c r="I165" s="28">
        <f>IF(A165&amp;B165="","",IF(ISNA(MATCH(A165,lst_Profil,0)),"FEHLER: Profil unbekannt",IF(ISNA(MATCH(B165,lst_Werkstoff,0)),"FEHLER: Werkstoff unbekannt",IF(COUNTIFS($A$5:$A$304,A165,$B$5:$B$304,B165)&gt;1,"FEHLER: doppelt",IF(OR(C165="",D165=""),"FEHLER: Preis unvollständig",IF(AND(C165="€/Stange",E165=""),"FEHLER: Stangenlänge fehlt","OK"))))))</f>
        <v/>
      </c>
      <c r="J165" s="18">
        <f>IF(OR(A165="",B165=""),"",IFERROR(INDEX(Profile!$K$5:$K$304,MATCH(A165,lst_Profil,0))*INDEX(Werkstoffe!$E$5:$E$304,MATCH(B165,lst_Werkstoff,0))/1000*INDEX(Werkstoffe!$G$5:$G$304,MATCH(B165,lst_Werkstoff,0))/1000,""))</f>
        <v/>
      </c>
    </row>
    <row r="166">
      <c r="A166" s="9" t="n"/>
      <c r="B166" s="9" t="n"/>
      <c r="C166" s="9" t="n"/>
      <c r="D166" s="29" t="n"/>
      <c r="E166" s="19" t="n"/>
      <c r="F166" s="14" t="n"/>
      <c r="G166" s="9" t="n"/>
      <c r="H166" s="9" t="n"/>
      <c r="I166" s="28">
        <f>IF(A166&amp;B166="","",IF(ISNA(MATCH(A166,lst_Profil,0)),"FEHLER: Profil unbekannt",IF(ISNA(MATCH(B166,lst_Werkstoff,0)),"FEHLER: Werkstoff unbekannt",IF(COUNTIFS($A$5:$A$304,A166,$B$5:$B$304,B166)&gt;1,"FEHLER: doppelt",IF(OR(C166="",D166=""),"FEHLER: Preis unvollständig",IF(AND(C166="€/Stange",E166=""),"FEHLER: Stangenlänge fehlt","OK"))))))</f>
        <v/>
      </c>
      <c r="J166" s="18">
        <f>IF(OR(A166="",B166=""),"",IFERROR(INDEX(Profile!$K$5:$K$304,MATCH(A166,lst_Profil,0))*INDEX(Werkstoffe!$E$5:$E$304,MATCH(B166,lst_Werkstoff,0))/1000*INDEX(Werkstoffe!$G$5:$G$304,MATCH(B166,lst_Werkstoff,0))/1000,""))</f>
        <v/>
      </c>
    </row>
    <row r="167">
      <c r="A167" s="9" t="n"/>
      <c r="B167" s="9" t="n"/>
      <c r="C167" s="9" t="n"/>
      <c r="D167" s="29" t="n"/>
      <c r="E167" s="19" t="n"/>
      <c r="F167" s="14" t="n"/>
      <c r="G167" s="9" t="n"/>
      <c r="H167" s="9" t="n"/>
      <c r="I167" s="28">
        <f>IF(A167&amp;B167="","",IF(ISNA(MATCH(A167,lst_Profil,0)),"FEHLER: Profil unbekannt",IF(ISNA(MATCH(B167,lst_Werkstoff,0)),"FEHLER: Werkstoff unbekannt",IF(COUNTIFS($A$5:$A$304,A167,$B$5:$B$304,B167)&gt;1,"FEHLER: doppelt",IF(OR(C167="",D167=""),"FEHLER: Preis unvollständig",IF(AND(C167="€/Stange",E167=""),"FEHLER: Stangenlänge fehlt","OK"))))))</f>
        <v/>
      </c>
      <c r="J167" s="18">
        <f>IF(OR(A167="",B167=""),"",IFERROR(INDEX(Profile!$K$5:$K$304,MATCH(A167,lst_Profil,0))*INDEX(Werkstoffe!$E$5:$E$304,MATCH(B167,lst_Werkstoff,0))/1000*INDEX(Werkstoffe!$G$5:$G$304,MATCH(B167,lst_Werkstoff,0))/1000,""))</f>
        <v/>
      </c>
    </row>
    <row r="168">
      <c r="A168" s="9" t="n"/>
      <c r="B168" s="9" t="n"/>
      <c r="C168" s="9" t="n"/>
      <c r="D168" s="29" t="n"/>
      <c r="E168" s="19" t="n"/>
      <c r="F168" s="14" t="n"/>
      <c r="G168" s="9" t="n"/>
      <c r="H168" s="9" t="n"/>
      <c r="I168" s="28">
        <f>IF(A168&amp;B168="","",IF(ISNA(MATCH(A168,lst_Profil,0)),"FEHLER: Profil unbekannt",IF(ISNA(MATCH(B168,lst_Werkstoff,0)),"FEHLER: Werkstoff unbekannt",IF(COUNTIFS($A$5:$A$304,A168,$B$5:$B$304,B168)&gt;1,"FEHLER: doppelt",IF(OR(C168="",D168=""),"FEHLER: Preis unvollständig",IF(AND(C168="€/Stange",E168=""),"FEHLER: Stangenlänge fehlt","OK"))))))</f>
        <v/>
      </c>
      <c r="J168" s="18">
        <f>IF(OR(A168="",B168=""),"",IFERROR(INDEX(Profile!$K$5:$K$304,MATCH(A168,lst_Profil,0))*INDEX(Werkstoffe!$E$5:$E$304,MATCH(B168,lst_Werkstoff,0))/1000*INDEX(Werkstoffe!$G$5:$G$304,MATCH(B168,lst_Werkstoff,0))/1000,""))</f>
        <v/>
      </c>
    </row>
    <row r="169">
      <c r="A169" s="9" t="n"/>
      <c r="B169" s="9" t="n"/>
      <c r="C169" s="9" t="n"/>
      <c r="D169" s="29" t="n"/>
      <c r="E169" s="19" t="n"/>
      <c r="F169" s="14" t="n"/>
      <c r="G169" s="9" t="n"/>
      <c r="H169" s="9" t="n"/>
      <c r="I169" s="28">
        <f>IF(A169&amp;B169="","",IF(ISNA(MATCH(A169,lst_Profil,0)),"FEHLER: Profil unbekannt",IF(ISNA(MATCH(B169,lst_Werkstoff,0)),"FEHLER: Werkstoff unbekannt",IF(COUNTIFS($A$5:$A$304,A169,$B$5:$B$304,B169)&gt;1,"FEHLER: doppelt",IF(OR(C169="",D169=""),"FEHLER: Preis unvollständig",IF(AND(C169="€/Stange",E169=""),"FEHLER: Stangenlänge fehlt","OK"))))))</f>
        <v/>
      </c>
      <c r="J169" s="18">
        <f>IF(OR(A169="",B169=""),"",IFERROR(INDEX(Profile!$K$5:$K$304,MATCH(A169,lst_Profil,0))*INDEX(Werkstoffe!$E$5:$E$304,MATCH(B169,lst_Werkstoff,0))/1000*INDEX(Werkstoffe!$G$5:$G$304,MATCH(B169,lst_Werkstoff,0))/1000,""))</f>
        <v/>
      </c>
    </row>
    <row r="170">
      <c r="A170" s="9" t="n"/>
      <c r="B170" s="9" t="n"/>
      <c r="C170" s="9" t="n"/>
      <c r="D170" s="29" t="n"/>
      <c r="E170" s="19" t="n"/>
      <c r="F170" s="14" t="n"/>
      <c r="G170" s="9" t="n"/>
      <c r="H170" s="9" t="n"/>
      <c r="I170" s="28">
        <f>IF(A170&amp;B170="","",IF(ISNA(MATCH(A170,lst_Profil,0)),"FEHLER: Profil unbekannt",IF(ISNA(MATCH(B170,lst_Werkstoff,0)),"FEHLER: Werkstoff unbekannt",IF(COUNTIFS($A$5:$A$304,A170,$B$5:$B$304,B170)&gt;1,"FEHLER: doppelt",IF(OR(C170="",D170=""),"FEHLER: Preis unvollständig",IF(AND(C170="€/Stange",E170=""),"FEHLER: Stangenlänge fehlt","OK"))))))</f>
        <v/>
      </c>
      <c r="J170" s="18">
        <f>IF(OR(A170="",B170=""),"",IFERROR(INDEX(Profile!$K$5:$K$304,MATCH(A170,lst_Profil,0))*INDEX(Werkstoffe!$E$5:$E$304,MATCH(B170,lst_Werkstoff,0))/1000*INDEX(Werkstoffe!$G$5:$G$304,MATCH(B170,lst_Werkstoff,0))/1000,""))</f>
        <v/>
      </c>
    </row>
    <row r="171">
      <c r="A171" s="9" t="n"/>
      <c r="B171" s="9" t="n"/>
      <c r="C171" s="9" t="n"/>
      <c r="D171" s="29" t="n"/>
      <c r="E171" s="19" t="n"/>
      <c r="F171" s="14" t="n"/>
      <c r="G171" s="9" t="n"/>
      <c r="H171" s="9" t="n"/>
      <c r="I171" s="28">
        <f>IF(A171&amp;B171="","",IF(ISNA(MATCH(A171,lst_Profil,0)),"FEHLER: Profil unbekannt",IF(ISNA(MATCH(B171,lst_Werkstoff,0)),"FEHLER: Werkstoff unbekannt",IF(COUNTIFS($A$5:$A$304,A171,$B$5:$B$304,B171)&gt;1,"FEHLER: doppelt",IF(OR(C171="",D171=""),"FEHLER: Preis unvollständig",IF(AND(C171="€/Stange",E171=""),"FEHLER: Stangenlänge fehlt","OK"))))))</f>
        <v/>
      </c>
      <c r="J171" s="18">
        <f>IF(OR(A171="",B171=""),"",IFERROR(INDEX(Profile!$K$5:$K$304,MATCH(A171,lst_Profil,0))*INDEX(Werkstoffe!$E$5:$E$304,MATCH(B171,lst_Werkstoff,0))/1000*INDEX(Werkstoffe!$G$5:$G$304,MATCH(B171,lst_Werkstoff,0))/1000,""))</f>
        <v/>
      </c>
    </row>
    <row r="172">
      <c r="A172" s="9" t="n"/>
      <c r="B172" s="9" t="n"/>
      <c r="C172" s="9" t="n"/>
      <c r="D172" s="29" t="n"/>
      <c r="E172" s="19" t="n"/>
      <c r="F172" s="14" t="n"/>
      <c r="G172" s="9" t="n"/>
      <c r="H172" s="9" t="n"/>
      <c r="I172" s="28">
        <f>IF(A172&amp;B172="","",IF(ISNA(MATCH(A172,lst_Profil,0)),"FEHLER: Profil unbekannt",IF(ISNA(MATCH(B172,lst_Werkstoff,0)),"FEHLER: Werkstoff unbekannt",IF(COUNTIFS($A$5:$A$304,A172,$B$5:$B$304,B172)&gt;1,"FEHLER: doppelt",IF(OR(C172="",D172=""),"FEHLER: Preis unvollständig",IF(AND(C172="€/Stange",E172=""),"FEHLER: Stangenlänge fehlt","OK"))))))</f>
        <v/>
      </c>
      <c r="J172" s="18">
        <f>IF(OR(A172="",B172=""),"",IFERROR(INDEX(Profile!$K$5:$K$304,MATCH(A172,lst_Profil,0))*INDEX(Werkstoffe!$E$5:$E$304,MATCH(B172,lst_Werkstoff,0))/1000*INDEX(Werkstoffe!$G$5:$G$304,MATCH(B172,lst_Werkstoff,0))/1000,""))</f>
        <v/>
      </c>
    </row>
    <row r="173">
      <c r="A173" s="9" t="n"/>
      <c r="B173" s="9" t="n"/>
      <c r="C173" s="9" t="n"/>
      <c r="D173" s="29" t="n"/>
      <c r="E173" s="19" t="n"/>
      <c r="F173" s="14" t="n"/>
      <c r="G173" s="9" t="n"/>
      <c r="H173" s="9" t="n"/>
      <c r="I173" s="28">
        <f>IF(A173&amp;B173="","",IF(ISNA(MATCH(A173,lst_Profil,0)),"FEHLER: Profil unbekannt",IF(ISNA(MATCH(B173,lst_Werkstoff,0)),"FEHLER: Werkstoff unbekannt",IF(COUNTIFS($A$5:$A$304,A173,$B$5:$B$304,B173)&gt;1,"FEHLER: doppelt",IF(OR(C173="",D173=""),"FEHLER: Preis unvollständig",IF(AND(C173="€/Stange",E173=""),"FEHLER: Stangenlänge fehlt","OK"))))))</f>
        <v/>
      </c>
      <c r="J173" s="18">
        <f>IF(OR(A173="",B173=""),"",IFERROR(INDEX(Profile!$K$5:$K$304,MATCH(A173,lst_Profil,0))*INDEX(Werkstoffe!$E$5:$E$304,MATCH(B173,lst_Werkstoff,0))/1000*INDEX(Werkstoffe!$G$5:$G$304,MATCH(B173,lst_Werkstoff,0))/1000,""))</f>
        <v/>
      </c>
    </row>
    <row r="174">
      <c r="A174" s="9" t="n"/>
      <c r="B174" s="9" t="n"/>
      <c r="C174" s="9" t="n"/>
      <c r="D174" s="29" t="n"/>
      <c r="E174" s="19" t="n"/>
      <c r="F174" s="14" t="n"/>
      <c r="G174" s="9" t="n"/>
      <c r="H174" s="9" t="n"/>
      <c r="I174" s="28">
        <f>IF(A174&amp;B174="","",IF(ISNA(MATCH(A174,lst_Profil,0)),"FEHLER: Profil unbekannt",IF(ISNA(MATCH(B174,lst_Werkstoff,0)),"FEHLER: Werkstoff unbekannt",IF(COUNTIFS($A$5:$A$304,A174,$B$5:$B$304,B174)&gt;1,"FEHLER: doppelt",IF(OR(C174="",D174=""),"FEHLER: Preis unvollständig",IF(AND(C174="€/Stange",E174=""),"FEHLER: Stangenlänge fehlt","OK"))))))</f>
        <v/>
      </c>
      <c r="J174" s="18">
        <f>IF(OR(A174="",B174=""),"",IFERROR(INDEX(Profile!$K$5:$K$304,MATCH(A174,lst_Profil,0))*INDEX(Werkstoffe!$E$5:$E$304,MATCH(B174,lst_Werkstoff,0))/1000*INDEX(Werkstoffe!$G$5:$G$304,MATCH(B174,lst_Werkstoff,0))/1000,""))</f>
        <v/>
      </c>
    </row>
    <row r="175">
      <c r="A175" s="9" t="n"/>
      <c r="B175" s="9" t="n"/>
      <c r="C175" s="9" t="n"/>
      <c r="D175" s="29" t="n"/>
      <c r="E175" s="19" t="n"/>
      <c r="F175" s="14" t="n"/>
      <c r="G175" s="9" t="n"/>
      <c r="H175" s="9" t="n"/>
      <c r="I175" s="28">
        <f>IF(A175&amp;B175="","",IF(ISNA(MATCH(A175,lst_Profil,0)),"FEHLER: Profil unbekannt",IF(ISNA(MATCH(B175,lst_Werkstoff,0)),"FEHLER: Werkstoff unbekannt",IF(COUNTIFS($A$5:$A$304,A175,$B$5:$B$304,B175)&gt;1,"FEHLER: doppelt",IF(OR(C175="",D175=""),"FEHLER: Preis unvollständig",IF(AND(C175="€/Stange",E175=""),"FEHLER: Stangenlänge fehlt","OK"))))))</f>
        <v/>
      </c>
      <c r="J175" s="18">
        <f>IF(OR(A175="",B175=""),"",IFERROR(INDEX(Profile!$K$5:$K$304,MATCH(A175,lst_Profil,0))*INDEX(Werkstoffe!$E$5:$E$304,MATCH(B175,lst_Werkstoff,0))/1000*INDEX(Werkstoffe!$G$5:$G$304,MATCH(B175,lst_Werkstoff,0))/1000,""))</f>
        <v/>
      </c>
    </row>
    <row r="176">
      <c r="A176" s="9" t="n"/>
      <c r="B176" s="9" t="n"/>
      <c r="C176" s="9" t="n"/>
      <c r="D176" s="29" t="n"/>
      <c r="E176" s="19" t="n"/>
      <c r="F176" s="14" t="n"/>
      <c r="G176" s="9" t="n"/>
      <c r="H176" s="9" t="n"/>
      <c r="I176" s="28">
        <f>IF(A176&amp;B176="","",IF(ISNA(MATCH(A176,lst_Profil,0)),"FEHLER: Profil unbekannt",IF(ISNA(MATCH(B176,lst_Werkstoff,0)),"FEHLER: Werkstoff unbekannt",IF(COUNTIFS($A$5:$A$304,A176,$B$5:$B$304,B176)&gt;1,"FEHLER: doppelt",IF(OR(C176="",D176=""),"FEHLER: Preis unvollständig",IF(AND(C176="€/Stange",E176=""),"FEHLER: Stangenlänge fehlt","OK"))))))</f>
        <v/>
      </c>
      <c r="J176" s="18">
        <f>IF(OR(A176="",B176=""),"",IFERROR(INDEX(Profile!$K$5:$K$304,MATCH(A176,lst_Profil,0))*INDEX(Werkstoffe!$E$5:$E$304,MATCH(B176,lst_Werkstoff,0))/1000*INDEX(Werkstoffe!$G$5:$G$304,MATCH(B176,lst_Werkstoff,0))/1000,""))</f>
        <v/>
      </c>
    </row>
    <row r="177">
      <c r="A177" s="9" t="n"/>
      <c r="B177" s="9" t="n"/>
      <c r="C177" s="9" t="n"/>
      <c r="D177" s="29" t="n"/>
      <c r="E177" s="19" t="n"/>
      <c r="F177" s="14" t="n"/>
      <c r="G177" s="9" t="n"/>
      <c r="H177" s="9" t="n"/>
      <c r="I177" s="28">
        <f>IF(A177&amp;B177="","",IF(ISNA(MATCH(A177,lst_Profil,0)),"FEHLER: Profil unbekannt",IF(ISNA(MATCH(B177,lst_Werkstoff,0)),"FEHLER: Werkstoff unbekannt",IF(COUNTIFS($A$5:$A$304,A177,$B$5:$B$304,B177)&gt;1,"FEHLER: doppelt",IF(OR(C177="",D177=""),"FEHLER: Preis unvollständig",IF(AND(C177="€/Stange",E177=""),"FEHLER: Stangenlänge fehlt","OK"))))))</f>
        <v/>
      </c>
      <c r="J177" s="18">
        <f>IF(OR(A177="",B177=""),"",IFERROR(INDEX(Profile!$K$5:$K$304,MATCH(A177,lst_Profil,0))*INDEX(Werkstoffe!$E$5:$E$304,MATCH(B177,lst_Werkstoff,0))/1000*INDEX(Werkstoffe!$G$5:$G$304,MATCH(B177,lst_Werkstoff,0))/1000,""))</f>
        <v/>
      </c>
    </row>
    <row r="178">
      <c r="A178" s="9" t="n"/>
      <c r="B178" s="9" t="n"/>
      <c r="C178" s="9" t="n"/>
      <c r="D178" s="29" t="n"/>
      <c r="E178" s="19" t="n"/>
      <c r="F178" s="14" t="n"/>
      <c r="G178" s="9" t="n"/>
      <c r="H178" s="9" t="n"/>
      <c r="I178" s="28">
        <f>IF(A178&amp;B178="","",IF(ISNA(MATCH(A178,lst_Profil,0)),"FEHLER: Profil unbekannt",IF(ISNA(MATCH(B178,lst_Werkstoff,0)),"FEHLER: Werkstoff unbekannt",IF(COUNTIFS($A$5:$A$304,A178,$B$5:$B$304,B178)&gt;1,"FEHLER: doppelt",IF(OR(C178="",D178=""),"FEHLER: Preis unvollständig",IF(AND(C178="€/Stange",E178=""),"FEHLER: Stangenlänge fehlt","OK"))))))</f>
        <v/>
      </c>
      <c r="J178" s="18">
        <f>IF(OR(A178="",B178=""),"",IFERROR(INDEX(Profile!$K$5:$K$304,MATCH(A178,lst_Profil,0))*INDEX(Werkstoffe!$E$5:$E$304,MATCH(B178,lst_Werkstoff,0))/1000*INDEX(Werkstoffe!$G$5:$G$304,MATCH(B178,lst_Werkstoff,0))/1000,""))</f>
        <v/>
      </c>
    </row>
    <row r="179">
      <c r="A179" s="9" t="n"/>
      <c r="B179" s="9" t="n"/>
      <c r="C179" s="9" t="n"/>
      <c r="D179" s="29" t="n"/>
      <c r="E179" s="19" t="n"/>
      <c r="F179" s="14" t="n"/>
      <c r="G179" s="9" t="n"/>
      <c r="H179" s="9" t="n"/>
      <c r="I179" s="28">
        <f>IF(A179&amp;B179="","",IF(ISNA(MATCH(A179,lst_Profil,0)),"FEHLER: Profil unbekannt",IF(ISNA(MATCH(B179,lst_Werkstoff,0)),"FEHLER: Werkstoff unbekannt",IF(COUNTIFS($A$5:$A$304,A179,$B$5:$B$304,B179)&gt;1,"FEHLER: doppelt",IF(OR(C179="",D179=""),"FEHLER: Preis unvollständig",IF(AND(C179="€/Stange",E179=""),"FEHLER: Stangenlänge fehlt","OK"))))))</f>
        <v/>
      </c>
      <c r="J179" s="18">
        <f>IF(OR(A179="",B179=""),"",IFERROR(INDEX(Profile!$K$5:$K$304,MATCH(A179,lst_Profil,0))*INDEX(Werkstoffe!$E$5:$E$304,MATCH(B179,lst_Werkstoff,0))/1000*INDEX(Werkstoffe!$G$5:$G$304,MATCH(B179,lst_Werkstoff,0))/1000,""))</f>
        <v/>
      </c>
    </row>
    <row r="180">
      <c r="A180" s="9" t="n"/>
      <c r="B180" s="9" t="n"/>
      <c r="C180" s="9" t="n"/>
      <c r="D180" s="29" t="n"/>
      <c r="E180" s="19" t="n"/>
      <c r="F180" s="14" t="n"/>
      <c r="G180" s="9" t="n"/>
      <c r="H180" s="9" t="n"/>
      <c r="I180" s="28">
        <f>IF(A180&amp;B180="","",IF(ISNA(MATCH(A180,lst_Profil,0)),"FEHLER: Profil unbekannt",IF(ISNA(MATCH(B180,lst_Werkstoff,0)),"FEHLER: Werkstoff unbekannt",IF(COUNTIFS($A$5:$A$304,A180,$B$5:$B$304,B180)&gt;1,"FEHLER: doppelt",IF(OR(C180="",D180=""),"FEHLER: Preis unvollständig",IF(AND(C180="€/Stange",E180=""),"FEHLER: Stangenlänge fehlt","OK"))))))</f>
        <v/>
      </c>
      <c r="J180" s="18">
        <f>IF(OR(A180="",B180=""),"",IFERROR(INDEX(Profile!$K$5:$K$304,MATCH(A180,lst_Profil,0))*INDEX(Werkstoffe!$E$5:$E$304,MATCH(B180,lst_Werkstoff,0))/1000*INDEX(Werkstoffe!$G$5:$G$304,MATCH(B180,lst_Werkstoff,0))/1000,""))</f>
        <v/>
      </c>
    </row>
    <row r="181">
      <c r="A181" s="9" t="n"/>
      <c r="B181" s="9" t="n"/>
      <c r="C181" s="9" t="n"/>
      <c r="D181" s="29" t="n"/>
      <c r="E181" s="19" t="n"/>
      <c r="F181" s="14" t="n"/>
      <c r="G181" s="9" t="n"/>
      <c r="H181" s="9" t="n"/>
      <c r="I181" s="28">
        <f>IF(A181&amp;B181="","",IF(ISNA(MATCH(A181,lst_Profil,0)),"FEHLER: Profil unbekannt",IF(ISNA(MATCH(B181,lst_Werkstoff,0)),"FEHLER: Werkstoff unbekannt",IF(COUNTIFS($A$5:$A$304,A181,$B$5:$B$304,B181)&gt;1,"FEHLER: doppelt",IF(OR(C181="",D181=""),"FEHLER: Preis unvollständig",IF(AND(C181="€/Stange",E181=""),"FEHLER: Stangenlänge fehlt","OK"))))))</f>
        <v/>
      </c>
      <c r="J181" s="18">
        <f>IF(OR(A181="",B181=""),"",IFERROR(INDEX(Profile!$K$5:$K$304,MATCH(A181,lst_Profil,0))*INDEX(Werkstoffe!$E$5:$E$304,MATCH(B181,lst_Werkstoff,0))/1000*INDEX(Werkstoffe!$G$5:$G$304,MATCH(B181,lst_Werkstoff,0))/1000,""))</f>
        <v/>
      </c>
    </row>
    <row r="182">
      <c r="A182" s="9" t="n"/>
      <c r="B182" s="9" t="n"/>
      <c r="C182" s="9" t="n"/>
      <c r="D182" s="29" t="n"/>
      <c r="E182" s="19" t="n"/>
      <c r="F182" s="14" t="n"/>
      <c r="G182" s="9" t="n"/>
      <c r="H182" s="9" t="n"/>
      <c r="I182" s="28">
        <f>IF(A182&amp;B182="","",IF(ISNA(MATCH(A182,lst_Profil,0)),"FEHLER: Profil unbekannt",IF(ISNA(MATCH(B182,lst_Werkstoff,0)),"FEHLER: Werkstoff unbekannt",IF(COUNTIFS($A$5:$A$304,A182,$B$5:$B$304,B182)&gt;1,"FEHLER: doppelt",IF(OR(C182="",D182=""),"FEHLER: Preis unvollständig",IF(AND(C182="€/Stange",E182=""),"FEHLER: Stangenlänge fehlt","OK"))))))</f>
        <v/>
      </c>
      <c r="J182" s="18">
        <f>IF(OR(A182="",B182=""),"",IFERROR(INDEX(Profile!$K$5:$K$304,MATCH(A182,lst_Profil,0))*INDEX(Werkstoffe!$E$5:$E$304,MATCH(B182,lst_Werkstoff,0))/1000*INDEX(Werkstoffe!$G$5:$G$304,MATCH(B182,lst_Werkstoff,0))/1000,""))</f>
        <v/>
      </c>
    </row>
    <row r="183">
      <c r="A183" s="9" t="n"/>
      <c r="B183" s="9" t="n"/>
      <c r="C183" s="9" t="n"/>
      <c r="D183" s="29" t="n"/>
      <c r="E183" s="19" t="n"/>
      <c r="F183" s="14" t="n"/>
      <c r="G183" s="9" t="n"/>
      <c r="H183" s="9" t="n"/>
      <c r="I183" s="28">
        <f>IF(A183&amp;B183="","",IF(ISNA(MATCH(A183,lst_Profil,0)),"FEHLER: Profil unbekannt",IF(ISNA(MATCH(B183,lst_Werkstoff,0)),"FEHLER: Werkstoff unbekannt",IF(COUNTIFS($A$5:$A$304,A183,$B$5:$B$304,B183)&gt;1,"FEHLER: doppelt",IF(OR(C183="",D183=""),"FEHLER: Preis unvollständig",IF(AND(C183="€/Stange",E183=""),"FEHLER: Stangenlänge fehlt","OK"))))))</f>
        <v/>
      </c>
      <c r="J183" s="18">
        <f>IF(OR(A183="",B183=""),"",IFERROR(INDEX(Profile!$K$5:$K$304,MATCH(A183,lst_Profil,0))*INDEX(Werkstoffe!$E$5:$E$304,MATCH(B183,lst_Werkstoff,0))/1000*INDEX(Werkstoffe!$G$5:$G$304,MATCH(B183,lst_Werkstoff,0))/1000,""))</f>
        <v/>
      </c>
    </row>
    <row r="184">
      <c r="A184" s="9" t="n"/>
      <c r="B184" s="9" t="n"/>
      <c r="C184" s="9" t="n"/>
      <c r="D184" s="29" t="n"/>
      <c r="E184" s="19" t="n"/>
      <c r="F184" s="14" t="n"/>
      <c r="G184" s="9" t="n"/>
      <c r="H184" s="9" t="n"/>
      <c r="I184" s="28">
        <f>IF(A184&amp;B184="","",IF(ISNA(MATCH(A184,lst_Profil,0)),"FEHLER: Profil unbekannt",IF(ISNA(MATCH(B184,lst_Werkstoff,0)),"FEHLER: Werkstoff unbekannt",IF(COUNTIFS($A$5:$A$304,A184,$B$5:$B$304,B184)&gt;1,"FEHLER: doppelt",IF(OR(C184="",D184=""),"FEHLER: Preis unvollständig",IF(AND(C184="€/Stange",E184=""),"FEHLER: Stangenlänge fehlt","OK"))))))</f>
        <v/>
      </c>
      <c r="J184" s="18">
        <f>IF(OR(A184="",B184=""),"",IFERROR(INDEX(Profile!$K$5:$K$304,MATCH(A184,lst_Profil,0))*INDEX(Werkstoffe!$E$5:$E$304,MATCH(B184,lst_Werkstoff,0))/1000*INDEX(Werkstoffe!$G$5:$G$304,MATCH(B184,lst_Werkstoff,0))/1000,""))</f>
        <v/>
      </c>
    </row>
    <row r="185">
      <c r="A185" s="9" t="n"/>
      <c r="B185" s="9" t="n"/>
      <c r="C185" s="9" t="n"/>
      <c r="D185" s="29" t="n"/>
      <c r="E185" s="19" t="n"/>
      <c r="F185" s="14" t="n"/>
      <c r="G185" s="9" t="n"/>
      <c r="H185" s="9" t="n"/>
      <c r="I185" s="28">
        <f>IF(A185&amp;B185="","",IF(ISNA(MATCH(A185,lst_Profil,0)),"FEHLER: Profil unbekannt",IF(ISNA(MATCH(B185,lst_Werkstoff,0)),"FEHLER: Werkstoff unbekannt",IF(COUNTIFS($A$5:$A$304,A185,$B$5:$B$304,B185)&gt;1,"FEHLER: doppelt",IF(OR(C185="",D185=""),"FEHLER: Preis unvollständig",IF(AND(C185="€/Stange",E185=""),"FEHLER: Stangenlänge fehlt","OK"))))))</f>
        <v/>
      </c>
      <c r="J185" s="18">
        <f>IF(OR(A185="",B185=""),"",IFERROR(INDEX(Profile!$K$5:$K$304,MATCH(A185,lst_Profil,0))*INDEX(Werkstoffe!$E$5:$E$304,MATCH(B185,lst_Werkstoff,0))/1000*INDEX(Werkstoffe!$G$5:$G$304,MATCH(B185,lst_Werkstoff,0))/1000,""))</f>
        <v/>
      </c>
    </row>
    <row r="186">
      <c r="A186" s="9" t="n"/>
      <c r="B186" s="9" t="n"/>
      <c r="C186" s="9" t="n"/>
      <c r="D186" s="29" t="n"/>
      <c r="E186" s="19" t="n"/>
      <c r="F186" s="14" t="n"/>
      <c r="G186" s="9" t="n"/>
      <c r="H186" s="9" t="n"/>
      <c r="I186" s="28">
        <f>IF(A186&amp;B186="","",IF(ISNA(MATCH(A186,lst_Profil,0)),"FEHLER: Profil unbekannt",IF(ISNA(MATCH(B186,lst_Werkstoff,0)),"FEHLER: Werkstoff unbekannt",IF(COUNTIFS($A$5:$A$304,A186,$B$5:$B$304,B186)&gt;1,"FEHLER: doppelt",IF(OR(C186="",D186=""),"FEHLER: Preis unvollständig",IF(AND(C186="€/Stange",E186=""),"FEHLER: Stangenlänge fehlt","OK"))))))</f>
        <v/>
      </c>
      <c r="J186" s="18">
        <f>IF(OR(A186="",B186=""),"",IFERROR(INDEX(Profile!$K$5:$K$304,MATCH(A186,lst_Profil,0))*INDEX(Werkstoffe!$E$5:$E$304,MATCH(B186,lst_Werkstoff,0))/1000*INDEX(Werkstoffe!$G$5:$G$304,MATCH(B186,lst_Werkstoff,0))/1000,""))</f>
        <v/>
      </c>
    </row>
    <row r="187">
      <c r="A187" s="9" t="n"/>
      <c r="B187" s="9" t="n"/>
      <c r="C187" s="9" t="n"/>
      <c r="D187" s="29" t="n"/>
      <c r="E187" s="19" t="n"/>
      <c r="F187" s="14" t="n"/>
      <c r="G187" s="9" t="n"/>
      <c r="H187" s="9" t="n"/>
      <c r="I187" s="28">
        <f>IF(A187&amp;B187="","",IF(ISNA(MATCH(A187,lst_Profil,0)),"FEHLER: Profil unbekannt",IF(ISNA(MATCH(B187,lst_Werkstoff,0)),"FEHLER: Werkstoff unbekannt",IF(COUNTIFS($A$5:$A$304,A187,$B$5:$B$304,B187)&gt;1,"FEHLER: doppelt",IF(OR(C187="",D187=""),"FEHLER: Preis unvollständig",IF(AND(C187="€/Stange",E187=""),"FEHLER: Stangenlänge fehlt","OK"))))))</f>
        <v/>
      </c>
      <c r="J187" s="18">
        <f>IF(OR(A187="",B187=""),"",IFERROR(INDEX(Profile!$K$5:$K$304,MATCH(A187,lst_Profil,0))*INDEX(Werkstoffe!$E$5:$E$304,MATCH(B187,lst_Werkstoff,0))/1000*INDEX(Werkstoffe!$G$5:$G$304,MATCH(B187,lst_Werkstoff,0))/1000,""))</f>
        <v/>
      </c>
    </row>
    <row r="188">
      <c r="A188" s="9" t="n"/>
      <c r="B188" s="9" t="n"/>
      <c r="C188" s="9" t="n"/>
      <c r="D188" s="29" t="n"/>
      <c r="E188" s="19" t="n"/>
      <c r="F188" s="14" t="n"/>
      <c r="G188" s="9" t="n"/>
      <c r="H188" s="9" t="n"/>
      <c r="I188" s="28">
        <f>IF(A188&amp;B188="","",IF(ISNA(MATCH(A188,lst_Profil,0)),"FEHLER: Profil unbekannt",IF(ISNA(MATCH(B188,lst_Werkstoff,0)),"FEHLER: Werkstoff unbekannt",IF(COUNTIFS($A$5:$A$304,A188,$B$5:$B$304,B188)&gt;1,"FEHLER: doppelt",IF(OR(C188="",D188=""),"FEHLER: Preis unvollständig",IF(AND(C188="€/Stange",E188=""),"FEHLER: Stangenlänge fehlt","OK"))))))</f>
        <v/>
      </c>
      <c r="J188" s="18">
        <f>IF(OR(A188="",B188=""),"",IFERROR(INDEX(Profile!$K$5:$K$304,MATCH(A188,lst_Profil,0))*INDEX(Werkstoffe!$E$5:$E$304,MATCH(B188,lst_Werkstoff,0))/1000*INDEX(Werkstoffe!$G$5:$G$304,MATCH(B188,lst_Werkstoff,0))/1000,""))</f>
        <v/>
      </c>
    </row>
    <row r="189">
      <c r="A189" s="9" t="n"/>
      <c r="B189" s="9" t="n"/>
      <c r="C189" s="9" t="n"/>
      <c r="D189" s="29" t="n"/>
      <c r="E189" s="19" t="n"/>
      <c r="F189" s="14" t="n"/>
      <c r="G189" s="9" t="n"/>
      <c r="H189" s="9" t="n"/>
      <c r="I189" s="28">
        <f>IF(A189&amp;B189="","",IF(ISNA(MATCH(A189,lst_Profil,0)),"FEHLER: Profil unbekannt",IF(ISNA(MATCH(B189,lst_Werkstoff,0)),"FEHLER: Werkstoff unbekannt",IF(COUNTIFS($A$5:$A$304,A189,$B$5:$B$304,B189)&gt;1,"FEHLER: doppelt",IF(OR(C189="",D189=""),"FEHLER: Preis unvollständig",IF(AND(C189="€/Stange",E189=""),"FEHLER: Stangenlänge fehlt","OK"))))))</f>
        <v/>
      </c>
      <c r="J189" s="18">
        <f>IF(OR(A189="",B189=""),"",IFERROR(INDEX(Profile!$K$5:$K$304,MATCH(A189,lst_Profil,0))*INDEX(Werkstoffe!$E$5:$E$304,MATCH(B189,lst_Werkstoff,0))/1000*INDEX(Werkstoffe!$G$5:$G$304,MATCH(B189,lst_Werkstoff,0))/1000,""))</f>
        <v/>
      </c>
    </row>
    <row r="190">
      <c r="A190" s="9" t="n"/>
      <c r="B190" s="9" t="n"/>
      <c r="C190" s="9" t="n"/>
      <c r="D190" s="29" t="n"/>
      <c r="E190" s="19" t="n"/>
      <c r="F190" s="14" t="n"/>
      <c r="G190" s="9" t="n"/>
      <c r="H190" s="9" t="n"/>
      <c r="I190" s="28">
        <f>IF(A190&amp;B190="","",IF(ISNA(MATCH(A190,lst_Profil,0)),"FEHLER: Profil unbekannt",IF(ISNA(MATCH(B190,lst_Werkstoff,0)),"FEHLER: Werkstoff unbekannt",IF(COUNTIFS($A$5:$A$304,A190,$B$5:$B$304,B190)&gt;1,"FEHLER: doppelt",IF(OR(C190="",D190=""),"FEHLER: Preis unvollständig",IF(AND(C190="€/Stange",E190=""),"FEHLER: Stangenlänge fehlt","OK"))))))</f>
        <v/>
      </c>
      <c r="J190" s="18">
        <f>IF(OR(A190="",B190=""),"",IFERROR(INDEX(Profile!$K$5:$K$304,MATCH(A190,lst_Profil,0))*INDEX(Werkstoffe!$E$5:$E$304,MATCH(B190,lst_Werkstoff,0))/1000*INDEX(Werkstoffe!$G$5:$G$304,MATCH(B190,lst_Werkstoff,0))/1000,""))</f>
        <v/>
      </c>
    </row>
    <row r="191">
      <c r="A191" s="9" t="n"/>
      <c r="B191" s="9" t="n"/>
      <c r="C191" s="9" t="n"/>
      <c r="D191" s="29" t="n"/>
      <c r="E191" s="19" t="n"/>
      <c r="F191" s="14" t="n"/>
      <c r="G191" s="9" t="n"/>
      <c r="H191" s="9" t="n"/>
      <c r="I191" s="28">
        <f>IF(A191&amp;B191="","",IF(ISNA(MATCH(A191,lst_Profil,0)),"FEHLER: Profil unbekannt",IF(ISNA(MATCH(B191,lst_Werkstoff,0)),"FEHLER: Werkstoff unbekannt",IF(COUNTIFS($A$5:$A$304,A191,$B$5:$B$304,B191)&gt;1,"FEHLER: doppelt",IF(OR(C191="",D191=""),"FEHLER: Preis unvollständig",IF(AND(C191="€/Stange",E191=""),"FEHLER: Stangenlänge fehlt","OK"))))))</f>
        <v/>
      </c>
      <c r="J191" s="18">
        <f>IF(OR(A191="",B191=""),"",IFERROR(INDEX(Profile!$K$5:$K$304,MATCH(A191,lst_Profil,0))*INDEX(Werkstoffe!$E$5:$E$304,MATCH(B191,lst_Werkstoff,0))/1000*INDEX(Werkstoffe!$G$5:$G$304,MATCH(B191,lst_Werkstoff,0))/1000,""))</f>
        <v/>
      </c>
    </row>
    <row r="192">
      <c r="A192" s="9" t="n"/>
      <c r="B192" s="9" t="n"/>
      <c r="C192" s="9" t="n"/>
      <c r="D192" s="29" t="n"/>
      <c r="E192" s="19" t="n"/>
      <c r="F192" s="14" t="n"/>
      <c r="G192" s="9" t="n"/>
      <c r="H192" s="9" t="n"/>
      <c r="I192" s="28">
        <f>IF(A192&amp;B192="","",IF(ISNA(MATCH(A192,lst_Profil,0)),"FEHLER: Profil unbekannt",IF(ISNA(MATCH(B192,lst_Werkstoff,0)),"FEHLER: Werkstoff unbekannt",IF(COUNTIFS($A$5:$A$304,A192,$B$5:$B$304,B192)&gt;1,"FEHLER: doppelt",IF(OR(C192="",D192=""),"FEHLER: Preis unvollständig",IF(AND(C192="€/Stange",E192=""),"FEHLER: Stangenlänge fehlt","OK"))))))</f>
        <v/>
      </c>
      <c r="J192" s="18">
        <f>IF(OR(A192="",B192=""),"",IFERROR(INDEX(Profile!$K$5:$K$304,MATCH(A192,lst_Profil,0))*INDEX(Werkstoffe!$E$5:$E$304,MATCH(B192,lst_Werkstoff,0))/1000*INDEX(Werkstoffe!$G$5:$G$304,MATCH(B192,lst_Werkstoff,0))/1000,""))</f>
        <v/>
      </c>
    </row>
    <row r="193">
      <c r="A193" s="9" t="n"/>
      <c r="B193" s="9" t="n"/>
      <c r="C193" s="9" t="n"/>
      <c r="D193" s="29" t="n"/>
      <c r="E193" s="19" t="n"/>
      <c r="F193" s="14" t="n"/>
      <c r="G193" s="9" t="n"/>
      <c r="H193" s="9" t="n"/>
      <c r="I193" s="28">
        <f>IF(A193&amp;B193="","",IF(ISNA(MATCH(A193,lst_Profil,0)),"FEHLER: Profil unbekannt",IF(ISNA(MATCH(B193,lst_Werkstoff,0)),"FEHLER: Werkstoff unbekannt",IF(COUNTIFS($A$5:$A$304,A193,$B$5:$B$304,B193)&gt;1,"FEHLER: doppelt",IF(OR(C193="",D193=""),"FEHLER: Preis unvollständig",IF(AND(C193="€/Stange",E193=""),"FEHLER: Stangenlänge fehlt","OK"))))))</f>
        <v/>
      </c>
      <c r="J193" s="18">
        <f>IF(OR(A193="",B193=""),"",IFERROR(INDEX(Profile!$K$5:$K$304,MATCH(A193,lst_Profil,0))*INDEX(Werkstoffe!$E$5:$E$304,MATCH(B193,lst_Werkstoff,0))/1000*INDEX(Werkstoffe!$G$5:$G$304,MATCH(B193,lst_Werkstoff,0))/1000,""))</f>
        <v/>
      </c>
    </row>
    <row r="194">
      <c r="A194" s="9" t="n"/>
      <c r="B194" s="9" t="n"/>
      <c r="C194" s="9" t="n"/>
      <c r="D194" s="29" t="n"/>
      <c r="E194" s="19" t="n"/>
      <c r="F194" s="14" t="n"/>
      <c r="G194" s="9" t="n"/>
      <c r="H194" s="9" t="n"/>
      <c r="I194" s="28">
        <f>IF(A194&amp;B194="","",IF(ISNA(MATCH(A194,lst_Profil,0)),"FEHLER: Profil unbekannt",IF(ISNA(MATCH(B194,lst_Werkstoff,0)),"FEHLER: Werkstoff unbekannt",IF(COUNTIFS($A$5:$A$304,A194,$B$5:$B$304,B194)&gt;1,"FEHLER: doppelt",IF(OR(C194="",D194=""),"FEHLER: Preis unvollständig",IF(AND(C194="€/Stange",E194=""),"FEHLER: Stangenlänge fehlt","OK"))))))</f>
        <v/>
      </c>
      <c r="J194" s="18">
        <f>IF(OR(A194="",B194=""),"",IFERROR(INDEX(Profile!$K$5:$K$304,MATCH(A194,lst_Profil,0))*INDEX(Werkstoffe!$E$5:$E$304,MATCH(B194,lst_Werkstoff,0))/1000*INDEX(Werkstoffe!$G$5:$G$304,MATCH(B194,lst_Werkstoff,0))/1000,""))</f>
        <v/>
      </c>
    </row>
    <row r="195">
      <c r="A195" s="9" t="n"/>
      <c r="B195" s="9" t="n"/>
      <c r="C195" s="9" t="n"/>
      <c r="D195" s="29" t="n"/>
      <c r="E195" s="19" t="n"/>
      <c r="F195" s="14" t="n"/>
      <c r="G195" s="9" t="n"/>
      <c r="H195" s="9" t="n"/>
      <c r="I195" s="28">
        <f>IF(A195&amp;B195="","",IF(ISNA(MATCH(A195,lst_Profil,0)),"FEHLER: Profil unbekannt",IF(ISNA(MATCH(B195,lst_Werkstoff,0)),"FEHLER: Werkstoff unbekannt",IF(COUNTIFS($A$5:$A$304,A195,$B$5:$B$304,B195)&gt;1,"FEHLER: doppelt",IF(OR(C195="",D195=""),"FEHLER: Preis unvollständig",IF(AND(C195="€/Stange",E195=""),"FEHLER: Stangenlänge fehlt","OK"))))))</f>
        <v/>
      </c>
      <c r="J195" s="18">
        <f>IF(OR(A195="",B195=""),"",IFERROR(INDEX(Profile!$K$5:$K$304,MATCH(A195,lst_Profil,0))*INDEX(Werkstoffe!$E$5:$E$304,MATCH(B195,lst_Werkstoff,0))/1000*INDEX(Werkstoffe!$G$5:$G$304,MATCH(B195,lst_Werkstoff,0))/1000,""))</f>
        <v/>
      </c>
    </row>
    <row r="196">
      <c r="A196" s="9" t="n"/>
      <c r="B196" s="9" t="n"/>
      <c r="C196" s="9" t="n"/>
      <c r="D196" s="29" t="n"/>
      <c r="E196" s="19" t="n"/>
      <c r="F196" s="14" t="n"/>
      <c r="G196" s="9" t="n"/>
      <c r="H196" s="9" t="n"/>
      <c r="I196" s="28">
        <f>IF(A196&amp;B196="","",IF(ISNA(MATCH(A196,lst_Profil,0)),"FEHLER: Profil unbekannt",IF(ISNA(MATCH(B196,lst_Werkstoff,0)),"FEHLER: Werkstoff unbekannt",IF(COUNTIFS($A$5:$A$304,A196,$B$5:$B$304,B196)&gt;1,"FEHLER: doppelt",IF(OR(C196="",D196=""),"FEHLER: Preis unvollständig",IF(AND(C196="€/Stange",E196=""),"FEHLER: Stangenlänge fehlt","OK"))))))</f>
        <v/>
      </c>
      <c r="J196" s="18">
        <f>IF(OR(A196="",B196=""),"",IFERROR(INDEX(Profile!$K$5:$K$304,MATCH(A196,lst_Profil,0))*INDEX(Werkstoffe!$E$5:$E$304,MATCH(B196,lst_Werkstoff,0))/1000*INDEX(Werkstoffe!$G$5:$G$304,MATCH(B196,lst_Werkstoff,0))/1000,""))</f>
        <v/>
      </c>
    </row>
    <row r="197">
      <c r="A197" s="9" t="n"/>
      <c r="B197" s="9" t="n"/>
      <c r="C197" s="9" t="n"/>
      <c r="D197" s="29" t="n"/>
      <c r="E197" s="19" t="n"/>
      <c r="F197" s="14" t="n"/>
      <c r="G197" s="9" t="n"/>
      <c r="H197" s="9" t="n"/>
      <c r="I197" s="28">
        <f>IF(A197&amp;B197="","",IF(ISNA(MATCH(A197,lst_Profil,0)),"FEHLER: Profil unbekannt",IF(ISNA(MATCH(B197,lst_Werkstoff,0)),"FEHLER: Werkstoff unbekannt",IF(COUNTIFS($A$5:$A$304,A197,$B$5:$B$304,B197)&gt;1,"FEHLER: doppelt",IF(OR(C197="",D197=""),"FEHLER: Preis unvollständig",IF(AND(C197="€/Stange",E197=""),"FEHLER: Stangenlänge fehlt","OK"))))))</f>
        <v/>
      </c>
      <c r="J197" s="18">
        <f>IF(OR(A197="",B197=""),"",IFERROR(INDEX(Profile!$K$5:$K$304,MATCH(A197,lst_Profil,0))*INDEX(Werkstoffe!$E$5:$E$304,MATCH(B197,lst_Werkstoff,0))/1000*INDEX(Werkstoffe!$G$5:$G$304,MATCH(B197,lst_Werkstoff,0))/1000,""))</f>
        <v/>
      </c>
    </row>
    <row r="198">
      <c r="A198" s="9" t="n"/>
      <c r="B198" s="9" t="n"/>
      <c r="C198" s="9" t="n"/>
      <c r="D198" s="29" t="n"/>
      <c r="E198" s="19" t="n"/>
      <c r="F198" s="14" t="n"/>
      <c r="G198" s="9" t="n"/>
      <c r="H198" s="9" t="n"/>
      <c r="I198" s="28">
        <f>IF(A198&amp;B198="","",IF(ISNA(MATCH(A198,lst_Profil,0)),"FEHLER: Profil unbekannt",IF(ISNA(MATCH(B198,lst_Werkstoff,0)),"FEHLER: Werkstoff unbekannt",IF(COUNTIFS($A$5:$A$304,A198,$B$5:$B$304,B198)&gt;1,"FEHLER: doppelt",IF(OR(C198="",D198=""),"FEHLER: Preis unvollständig",IF(AND(C198="€/Stange",E198=""),"FEHLER: Stangenlänge fehlt","OK"))))))</f>
        <v/>
      </c>
      <c r="J198" s="18">
        <f>IF(OR(A198="",B198=""),"",IFERROR(INDEX(Profile!$K$5:$K$304,MATCH(A198,lst_Profil,0))*INDEX(Werkstoffe!$E$5:$E$304,MATCH(B198,lst_Werkstoff,0))/1000*INDEX(Werkstoffe!$G$5:$G$304,MATCH(B198,lst_Werkstoff,0))/1000,""))</f>
        <v/>
      </c>
    </row>
    <row r="199">
      <c r="A199" s="9" t="n"/>
      <c r="B199" s="9" t="n"/>
      <c r="C199" s="9" t="n"/>
      <c r="D199" s="29" t="n"/>
      <c r="E199" s="19" t="n"/>
      <c r="F199" s="14" t="n"/>
      <c r="G199" s="9" t="n"/>
      <c r="H199" s="9" t="n"/>
      <c r="I199" s="28">
        <f>IF(A199&amp;B199="","",IF(ISNA(MATCH(A199,lst_Profil,0)),"FEHLER: Profil unbekannt",IF(ISNA(MATCH(B199,lst_Werkstoff,0)),"FEHLER: Werkstoff unbekannt",IF(COUNTIFS($A$5:$A$304,A199,$B$5:$B$304,B199)&gt;1,"FEHLER: doppelt",IF(OR(C199="",D199=""),"FEHLER: Preis unvollständig",IF(AND(C199="€/Stange",E199=""),"FEHLER: Stangenlänge fehlt","OK"))))))</f>
        <v/>
      </c>
      <c r="J199" s="18">
        <f>IF(OR(A199="",B199=""),"",IFERROR(INDEX(Profile!$K$5:$K$304,MATCH(A199,lst_Profil,0))*INDEX(Werkstoffe!$E$5:$E$304,MATCH(B199,lst_Werkstoff,0))/1000*INDEX(Werkstoffe!$G$5:$G$304,MATCH(B199,lst_Werkstoff,0))/1000,""))</f>
        <v/>
      </c>
    </row>
    <row r="200">
      <c r="A200" s="9" t="n"/>
      <c r="B200" s="9" t="n"/>
      <c r="C200" s="9" t="n"/>
      <c r="D200" s="29" t="n"/>
      <c r="E200" s="19" t="n"/>
      <c r="F200" s="14" t="n"/>
      <c r="G200" s="9" t="n"/>
      <c r="H200" s="9" t="n"/>
      <c r="I200" s="28">
        <f>IF(A200&amp;B200="","",IF(ISNA(MATCH(A200,lst_Profil,0)),"FEHLER: Profil unbekannt",IF(ISNA(MATCH(B200,lst_Werkstoff,0)),"FEHLER: Werkstoff unbekannt",IF(COUNTIFS($A$5:$A$304,A200,$B$5:$B$304,B200)&gt;1,"FEHLER: doppelt",IF(OR(C200="",D200=""),"FEHLER: Preis unvollständig",IF(AND(C200="€/Stange",E200=""),"FEHLER: Stangenlänge fehlt","OK"))))))</f>
        <v/>
      </c>
      <c r="J200" s="18">
        <f>IF(OR(A200="",B200=""),"",IFERROR(INDEX(Profile!$K$5:$K$304,MATCH(A200,lst_Profil,0))*INDEX(Werkstoffe!$E$5:$E$304,MATCH(B200,lst_Werkstoff,0))/1000*INDEX(Werkstoffe!$G$5:$G$304,MATCH(B200,lst_Werkstoff,0))/1000,""))</f>
        <v/>
      </c>
    </row>
    <row r="201">
      <c r="A201" s="9" t="n"/>
      <c r="B201" s="9" t="n"/>
      <c r="C201" s="9" t="n"/>
      <c r="D201" s="29" t="n"/>
      <c r="E201" s="19" t="n"/>
      <c r="F201" s="14" t="n"/>
      <c r="G201" s="9" t="n"/>
      <c r="H201" s="9" t="n"/>
      <c r="I201" s="28">
        <f>IF(A201&amp;B201="","",IF(ISNA(MATCH(A201,lst_Profil,0)),"FEHLER: Profil unbekannt",IF(ISNA(MATCH(B201,lst_Werkstoff,0)),"FEHLER: Werkstoff unbekannt",IF(COUNTIFS($A$5:$A$304,A201,$B$5:$B$304,B201)&gt;1,"FEHLER: doppelt",IF(OR(C201="",D201=""),"FEHLER: Preis unvollständig",IF(AND(C201="€/Stange",E201=""),"FEHLER: Stangenlänge fehlt","OK"))))))</f>
        <v/>
      </c>
      <c r="J201" s="18">
        <f>IF(OR(A201="",B201=""),"",IFERROR(INDEX(Profile!$K$5:$K$304,MATCH(A201,lst_Profil,0))*INDEX(Werkstoffe!$E$5:$E$304,MATCH(B201,lst_Werkstoff,0))/1000*INDEX(Werkstoffe!$G$5:$G$304,MATCH(B201,lst_Werkstoff,0))/1000,""))</f>
        <v/>
      </c>
    </row>
    <row r="202">
      <c r="A202" s="9" t="n"/>
      <c r="B202" s="9" t="n"/>
      <c r="C202" s="9" t="n"/>
      <c r="D202" s="29" t="n"/>
      <c r="E202" s="19" t="n"/>
      <c r="F202" s="14" t="n"/>
      <c r="G202" s="9" t="n"/>
      <c r="H202" s="9" t="n"/>
      <c r="I202" s="28">
        <f>IF(A202&amp;B202="","",IF(ISNA(MATCH(A202,lst_Profil,0)),"FEHLER: Profil unbekannt",IF(ISNA(MATCH(B202,lst_Werkstoff,0)),"FEHLER: Werkstoff unbekannt",IF(COUNTIFS($A$5:$A$304,A202,$B$5:$B$304,B202)&gt;1,"FEHLER: doppelt",IF(OR(C202="",D202=""),"FEHLER: Preis unvollständig",IF(AND(C202="€/Stange",E202=""),"FEHLER: Stangenlänge fehlt","OK"))))))</f>
        <v/>
      </c>
      <c r="J202" s="18">
        <f>IF(OR(A202="",B202=""),"",IFERROR(INDEX(Profile!$K$5:$K$304,MATCH(A202,lst_Profil,0))*INDEX(Werkstoffe!$E$5:$E$304,MATCH(B202,lst_Werkstoff,0))/1000*INDEX(Werkstoffe!$G$5:$G$304,MATCH(B202,lst_Werkstoff,0))/1000,""))</f>
        <v/>
      </c>
    </row>
    <row r="203">
      <c r="A203" s="9" t="n"/>
      <c r="B203" s="9" t="n"/>
      <c r="C203" s="9" t="n"/>
      <c r="D203" s="29" t="n"/>
      <c r="E203" s="19" t="n"/>
      <c r="F203" s="14" t="n"/>
      <c r="G203" s="9" t="n"/>
      <c r="H203" s="9" t="n"/>
      <c r="I203" s="28">
        <f>IF(A203&amp;B203="","",IF(ISNA(MATCH(A203,lst_Profil,0)),"FEHLER: Profil unbekannt",IF(ISNA(MATCH(B203,lst_Werkstoff,0)),"FEHLER: Werkstoff unbekannt",IF(COUNTIFS($A$5:$A$304,A203,$B$5:$B$304,B203)&gt;1,"FEHLER: doppelt",IF(OR(C203="",D203=""),"FEHLER: Preis unvollständig",IF(AND(C203="€/Stange",E203=""),"FEHLER: Stangenlänge fehlt","OK"))))))</f>
        <v/>
      </c>
      <c r="J203" s="18">
        <f>IF(OR(A203="",B203=""),"",IFERROR(INDEX(Profile!$K$5:$K$304,MATCH(A203,lst_Profil,0))*INDEX(Werkstoffe!$E$5:$E$304,MATCH(B203,lst_Werkstoff,0))/1000*INDEX(Werkstoffe!$G$5:$G$304,MATCH(B203,lst_Werkstoff,0))/1000,""))</f>
        <v/>
      </c>
    </row>
    <row r="204">
      <c r="A204" s="9" t="n"/>
      <c r="B204" s="9" t="n"/>
      <c r="C204" s="9" t="n"/>
      <c r="D204" s="29" t="n"/>
      <c r="E204" s="19" t="n"/>
      <c r="F204" s="14" t="n"/>
      <c r="G204" s="9" t="n"/>
      <c r="H204" s="9" t="n"/>
      <c r="I204" s="28">
        <f>IF(A204&amp;B204="","",IF(ISNA(MATCH(A204,lst_Profil,0)),"FEHLER: Profil unbekannt",IF(ISNA(MATCH(B204,lst_Werkstoff,0)),"FEHLER: Werkstoff unbekannt",IF(COUNTIFS($A$5:$A$304,A204,$B$5:$B$304,B204)&gt;1,"FEHLER: doppelt",IF(OR(C204="",D204=""),"FEHLER: Preis unvollständig",IF(AND(C204="€/Stange",E204=""),"FEHLER: Stangenlänge fehlt","OK"))))))</f>
        <v/>
      </c>
      <c r="J204" s="18">
        <f>IF(OR(A204="",B204=""),"",IFERROR(INDEX(Profile!$K$5:$K$304,MATCH(A204,lst_Profil,0))*INDEX(Werkstoffe!$E$5:$E$304,MATCH(B204,lst_Werkstoff,0))/1000*INDEX(Werkstoffe!$G$5:$G$304,MATCH(B204,lst_Werkstoff,0))/1000,""))</f>
        <v/>
      </c>
    </row>
    <row r="205">
      <c r="A205" s="9" t="n"/>
      <c r="B205" s="9" t="n"/>
      <c r="C205" s="9" t="n"/>
      <c r="D205" s="29" t="n"/>
      <c r="E205" s="19" t="n"/>
      <c r="F205" s="14" t="n"/>
      <c r="G205" s="9" t="n"/>
      <c r="H205" s="9" t="n"/>
      <c r="I205" s="28">
        <f>IF(A205&amp;B205="","",IF(ISNA(MATCH(A205,lst_Profil,0)),"FEHLER: Profil unbekannt",IF(ISNA(MATCH(B205,lst_Werkstoff,0)),"FEHLER: Werkstoff unbekannt",IF(COUNTIFS($A$5:$A$304,A205,$B$5:$B$304,B205)&gt;1,"FEHLER: doppelt",IF(OR(C205="",D205=""),"FEHLER: Preis unvollständig",IF(AND(C205="€/Stange",E205=""),"FEHLER: Stangenlänge fehlt","OK"))))))</f>
        <v/>
      </c>
      <c r="J205" s="18">
        <f>IF(OR(A205="",B205=""),"",IFERROR(INDEX(Profile!$K$5:$K$304,MATCH(A205,lst_Profil,0))*INDEX(Werkstoffe!$E$5:$E$304,MATCH(B205,lst_Werkstoff,0))/1000*INDEX(Werkstoffe!$G$5:$G$304,MATCH(B205,lst_Werkstoff,0))/1000,""))</f>
        <v/>
      </c>
    </row>
    <row r="206">
      <c r="A206" s="9" t="n"/>
      <c r="B206" s="9" t="n"/>
      <c r="C206" s="9" t="n"/>
      <c r="D206" s="29" t="n"/>
      <c r="E206" s="19" t="n"/>
      <c r="F206" s="14" t="n"/>
      <c r="G206" s="9" t="n"/>
      <c r="H206" s="9" t="n"/>
      <c r="I206" s="28">
        <f>IF(A206&amp;B206="","",IF(ISNA(MATCH(A206,lst_Profil,0)),"FEHLER: Profil unbekannt",IF(ISNA(MATCH(B206,lst_Werkstoff,0)),"FEHLER: Werkstoff unbekannt",IF(COUNTIFS($A$5:$A$304,A206,$B$5:$B$304,B206)&gt;1,"FEHLER: doppelt",IF(OR(C206="",D206=""),"FEHLER: Preis unvollständig",IF(AND(C206="€/Stange",E206=""),"FEHLER: Stangenlänge fehlt","OK"))))))</f>
        <v/>
      </c>
      <c r="J206" s="18">
        <f>IF(OR(A206="",B206=""),"",IFERROR(INDEX(Profile!$K$5:$K$304,MATCH(A206,lst_Profil,0))*INDEX(Werkstoffe!$E$5:$E$304,MATCH(B206,lst_Werkstoff,0))/1000*INDEX(Werkstoffe!$G$5:$G$304,MATCH(B206,lst_Werkstoff,0))/1000,""))</f>
        <v/>
      </c>
    </row>
    <row r="207">
      <c r="A207" s="9" t="n"/>
      <c r="B207" s="9" t="n"/>
      <c r="C207" s="9" t="n"/>
      <c r="D207" s="29" t="n"/>
      <c r="E207" s="19" t="n"/>
      <c r="F207" s="14" t="n"/>
      <c r="G207" s="9" t="n"/>
      <c r="H207" s="9" t="n"/>
      <c r="I207" s="28">
        <f>IF(A207&amp;B207="","",IF(ISNA(MATCH(A207,lst_Profil,0)),"FEHLER: Profil unbekannt",IF(ISNA(MATCH(B207,lst_Werkstoff,0)),"FEHLER: Werkstoff unbekannt",IF(COUNTIFS($A$5:$A$304,A207,$B$5:$B$304,B207)&gt;1,"FEHLER: doppelt",IF(OR(C207="",D207=""),"FEHLER: Preis unvollständig",IF(AND(C207="€/Stange",E207=""),"FEHLER: Stangenlänge fehlt","OK"))))))</f>
        <v/>
      </c>
      <c r="J207" s="18">
        <f>IF(OR(A207="",B207=""),"",IFERROR(INDEX(Profile!$K$5:$K$304,MATCH(A207,lst_Profil,0))*INDEX(Werkstoffe!$E$5:$E$304,MATCH(B207,lst_Werkstoff,0))/1000*INDEX(Werkstoffe!$G$5:$G$304,MATCH(B207,lst_Werkstoff,0))/1000,""))</f>
        <v/>
      </c>
    </row>
    <row r="208">
      <c r="A208" s="9" t="n"/>
      <c r="B208" s="9" t="n"/>
      <c r="C208" s="9" t="n"/>
      <c r="D208" s="29" t="n"/>
      <c r="E208" s="19" t="n"/>
      <c r="F208" s="14" t="n"/>
      <c r="G208" s="9" t="n"/>
      <c r="H208" s="9" t="n"/>
      <c r="I208" s="28">
        <f>IF(A208&amp;B208="","",IF(ISNA(MATCH(A208,lst_Profil,0)),"FEHLER: Profil unbekannt",IF(ISNA(MATCH(B208,lst_Werkstoff,0)),"FEHLER: Werkstoff unbekannt",IF(COUNTIFS($A$5:$A$304,A208,$B$5:$B$304,B208)&gt;1,"FEHLER: doppelt",IF(OR(C208="",D208=""),"FEHLER: Preis unvollständig",IF(AND(C208="€/Stange",E208=""),"FEHLER: Stangenlänge fehlt","OK"))))))</f>
        <v/>
      </c>
      <c r="J208" s="18">
        <f>IF(OR(A208="",B208=""),"",IFERROR(INDEX(Profile!$K$5:$K$304,MATCH(A208,lst_Profil,0))*INDEX(Werkstoffe!$E$5:$E$304,MATCH(B208,lst_Werkstoff,0))/1000*INDEX(Werkstoffe!$G$5:$G$304,MATCH(B208,lst_Werkstoff,0))/1000,""))</f>
        <v/>
      </c>
    </row>
    <row r="209">
      <c r="A209" s="9" t="n"/>
      <c r="B209" s="9" t="n"/>
      <c r="C209" s="9" t="n"/>
      <c r="D209" s="29" t="n"/>
      <c r="E209" s="19" t="n"/>
      <c r="F209" s="14" t="n"/>
      <c r="G209" s="9" t="n"/>
      <c r="H209" s="9" t="n"/>
      <c r="I209" s="28">
        <f>IF(A209&amp;B209="","",IF(ISNA(MATCH(A209,lst_Profil,0)),"FEHLER: Profil unbekannt",IF(ISNA(MATCH(B209,lst_Werkstoff,0)),"FEHLER: Werkstoff unbekannt",IF(COUNTIFS($A$5:$A$304,A209,$B$5:$B$304,B209)&gt;1,"FEHLER: doppelt",IF(OR(C209="",D209=""),"FEHLER: Preis unvollständig",IF(AND(C209="€/Stange",E209=""),"FEHLER: Stangenlänge fehlt","OK"))))))</f>
        <v/>
      </c>
      <c r="J209" s="18">
        <f>IF(OR(A209="",B209=""),"",IFERROR(INDEX(Profile!$K$5:$K$304,MATCH(A209,lst_Profil,0))*INDEX(Werkstoffe!$E$5:$E$304,MATCH(B209,lst_Werkstoff,0))/1000*INDEX(Werkstoffe!$G$5:$G$304,MATCH(B209,lst_Werkstoff,0))/1000,""))</f>
        <v/>
      </c>
    </row>
    <row r="210">
      <c r="A210" s="9" t="n"/>
      <c r="B210" s="9" t="n"/>
      <c r="C210" s="9" t="n"/>
      <c r="D210" s="29" t="n"/>
      <c r="E210" s="19" t="n"/>
      <c r="F210" s="14" t="n"/>
      <c r="G210" s="9" t="n"/>
      <c r="H210" s="9" t="n"/>
      <c r="I210" s="28">
        <f>IF(A210&amp;B210="","",IF(ISNA(MATCH(A210,lst_Profil,0)),"FEHLER: Profil unbekannt",IF(ISNA(MATCH(B210,lst_Werkstoff,0)),"FEHLER: Werkstoff unbekannt",IF(COUNTIFS($A$5:$A$304,A210,$B$5:$B$304,B210)&gt;1,"FEHLER: doppelt",IF(OR(C210="",D210=""),"FEHLER: Preis unvollständig",IF(AND(C210="€/Stange",E210=""),"FEHLER: Stangenlänge fehlt","OK"))))))</f>
        <v/>
      </c>
      <c r="J210" s="18">
        <f>IF(OR(A210="",B210=""),"",IFERROR(INDEX(Profile!$K$5:$K$304,MATCH(A210,lst_Profil,0))*INDEX(Werkstoffe!$E$5:$E$304,MATCH(B210,lst_Werkstoff,0))/1000*INDEX(Werkstoffe!$G$5:$G$304,MATCH(B210,lst_Werkstoff,0))/1000,""))</f>
        <v/>
      </c>
    </row>
    <row r="211">
      <c r="A211" s="9" t="n"/>
      <c r="B211" s="9" t="n"/>
      <c r="C211" s="9" t="n"/>
      <c r="D211" s="29" t="n"/>
      <c r="E211" s="19" t="n"/>
      <c r="F211" s="14" t="n"/>
      <c r="G211" s="9" t="n"/>
      <c r="H211" s="9" t="n"/>
      <c r="I211" s="28">
        <f>IF(A211&amp;B211="","",IF(ISNA(MATCH(A211,lst_Profil,0)),"FEHLER: Profil unbekannt",IF(ISNA(MATCH(B211,lst_Werkstoff,0)),"FEHLER: Werkstoff unbekannt",IF(COUNTIFS($A$5:$A$304,A211,$B$5:$B$304,B211)&gt;1,"FEHLER: doppelt",IF(OR(C211="",D211=""),"FEHLER: Preis unvollständig",IF(AND(C211="€/Stange",E211=""),"FEHLER: Stangenlänge fehlt","OK"))))))</f>
        <v/>
      </c>
      <c r="J211" s="18">
        <f>IF(OR(A211="",B211=""),"",IFERROR(INDEX(Profile!$K$5:$K$304,MATCH(A211,lst_Profil,0))*INDEX(Werkstoffe!$E$5:$E$304,MATCH(B211,lst_Werkstoff,0))/1000*INDEX(Werkstoffe!$G$5:$G$304,MATCH(B211,lst_Werkstoff,0))/1000,""))</f>
        <v/>
      </c>
    </row>
    <row r="212">
      <c r="A212" s="9" t="n"/>
      <c r="B212" s="9" t="n"/>
      <c r="C212" s="9" t="n"/>
      <c r="D212" s="29" t="n"/>
      <c r="E212" s="19" t="n"/>
      <c r="F212" s="14" t="n"/>
      <c r="G212" s="9" t="n"/>
      <c r="H212" s="9" t="n"/>
      <c r="I212" s="28">
        <f>IF(A212&amp;B212="","",IF(ISNA(MATCH(A212,lst_Profil,0)),"FEHLER: Profil unbekannt",IF(ISNA(MATCH(B212,lst_Werkstoff,0)),"FEHLER: Werkstoff unbekannt",IF(COUNTIFS($A$5:$A$304,A212,$B$5:$B$304,B212)&gt;1,"FEHLER: doppelt",IF(OR(C212="",D212=""),"FEHLER: Preis unvollständig",IF(AND(C212="€/Stange",E212=""),"FEHLER: Stangenlänge fehlt","OK"))))))</f>
        <v/>
      </c>
      <c r="J212" s="18">
        <f>IF(OR(A212="",B212=""),"",IFERROR(INDEX(Profile!$K$5:$K$304,MATCH(A212,lst_Profil,0))*INDEX(Werkstoffe!$E$5:$E$304,MATCH(B212,lst_Werkstoff,0))/1000*INDEX(Werkstoffe!$G$5:$G$304,MATCH(B212,lst_Werkstoff,0))/1000,""))</f>
        <v/>
      </c>
    </row>
    <row r="213">
      <c r="A213" s="9" t="n"/>
      <c r="B213" s="9" t="n"/>
      <c r="C213" s="9" t="n"/>
      <c r="D213" s="29" t="n"/>
      <c r="E213" s="19" t="n"/>
      <c r="F213" s="14" t="n"/>
      <c r="G213" s="9" t="n"/>
      <c r="H213" s="9" t="n"/>
      <c r="I213" s="28">
        <f>IF(A213&amp;B213="","",IF(ISNA(MATCH(A213,lst_Profil,0)),"FEHLER: Profil unbekannt",IF(ISNA(MATCH(B213,lst_Werkstoff,0)),"FEHLER: Werkstoff unbekannt",IF(COUNTIFS($A$5:$A$304,A213,$B$5:$B$304,B213)&gt;1,"FEHLER: doppelt",IF(OR(C213="",D213=""),"FEHLER: Preis unvollständig",IF(AND(C213="€/Stange",E213=""),"FEHLER: Stangenlänge fehlt","OK"))))))</f>
        <v/>
      </c>
      <c r="J213" s="18">
        <f>IF(OR(A213="",B213=""),"",IFERROR(INDEX(Profile!$K$5:$K$304,MATCH(A213,lst_Profil,0))*INDEX(Werkstoffe!$E$5:$E$304,MATCH(B213,lst_Werkstoff,0))/1000*INDEX(Werkstoffe!$G$5:$G$304,MATCH(B213,lst_Werkstoff,0))/1000,""))</f>
        <v/>
      </c>
    </row>
    <row r="214">
      <c r="A214" s="9" t="n"/>
      <c r="B214" s="9" t="n"/>
      <c r="C214" s="9" t="n"/>
      <c r="D214" s="29" t="n"/>
      <c r="E214" s="19" t="n"/>
      <c r="F214" s="14" t="n"/>
      <c r="G214" s="9" t="n"/>
      <c r="H214" s="9" t="n"/>
      <c r="I214" s="28">
        <f>IF(A214&amp;B214="","",IF(ISNA(MATCH(A214,lst_Profil,0)),"FEHLER: Profil unbekannt",IF(ISNA(MATCH(B214,lst_Werkstoff,0)),"FEHLER: Werkstoff unbekannt",IF(COUNTIFS($A$5:$A$304,A214,$B$5:$B$304,B214)&gt;1,"FEHLER: doppelt",IF(OR(C214="",D214=""),"FEHLER: Preis unvollständig",IF(AND(C214="€/Stange",E214=""),"FEHLER: Stangenlänge fehlt","OK"))))))</f>
        <v/>
      </c>
      <c r="J214" s="18">
        <f>IF(OR(A214="",B214=""),"",IFERROR(INDEX(Profile!$K$5:$K$304,MATCH(A214,lst_Profil,0))*INDEX(Werkstoffe!$E$5:$E$304,MATCH(B214,lst_Werkstoff,0))/1000*INDEX(Werkstoffe!$G$5:$G$304,MATCH(B214,lst_Werkstoff,0))/1000,""))</f>
        <v/>
      </c>
    </row>
    <row r="215">
      <c r="A215" s="9" t="n"/>
      <c r="B215" s="9" t="n"/>
      <c r="C215" s="9" t="n"/>
      <c r="D215" s="29" t="n"/>
      <c r="E215" s="19" t="n"/>
      <c r="F215" s="14" t="n"/>
      <c r="G215" s="9" t="n"/>
      <c r="H215" s="9" t="n"/>
      <c r="I215" s="28">
        <f>IF(A215&amp;B215="","",IF(ISNA(MATCH(A215,lst_Profil,0)),"FEHLER: Profil unbekannt",IF(ISNA(MATCH(B215,lst_Werkstoff,0)),"FEHLER: Werkstoff unbekannt",IF(COUNTIFS($A$5:$A$304,A215,$B$5:$B$304,B215)&gt;1,"FEHLER: doppelt",IF(OR(C215="",D215=""),"FEHLER: Preis unvollständig",IF(AND(C215="€/Stange",E215=""),"FEHLER: Stangenlänge fehlt","OK"))))))</f>
        <v/>
      </c>
      <c r="J215" s="18">
        <f>IF(OR(A215="",B215=""),"",IFERROR(INDEX(Profile!$K$5:$K$304,MATCH(A215,lst_Profil,0))*INDEX(Werkstoffe!$E$5:$E$304,MATCH(B215,lst_Werkstoff,0))/1000*INDEX(Werkstoffe!$G$5:$G$304,MATCH(B215,lst_Werkstoff,0))/1000,""))</f>
        <v/>
      </c>
    </row>
    <row r="216">
      <c r="A216" s="9" t="n"/>
      <c r="B216" s="9" t="n"/>
      <c r="C216" s="9" t="n"/>
      <c r="D216" s="29" t="n"/>
      <c r="E216" s="19" t="n"/>
      <c r="F216" s="14" t="n"/>
      <c r="G216" s="9" t="n"/>
      <c r="H216" s="9" t="n"/>
      <c r="I216" s="28">
        <f>IF(A216&amp;B216="","",IF(ISNA(MATCH(A216,lst_Profil,0)),"FEHLER: Profil unbekannt",IF(ISNA(MATCH(B216,lst_Werkstoff,0)),"FEHLER: Werkstoff unbekannt",IF(COUNTIFS($A$5:$A$304,A216,$B$5:$B$304,B216)&gt;1,"FEHLER: doppelt",IF(OR(C216="",D216=""),"FEHLER: Preis unvollständig",IF(AND(C216="€/Stange",E216=""),"FEHLER: Stangenlänge fehlt","OK"))))))</f>
        <v/>
      </c>
      <c r="J216" s="18">
        <f>IF(OR(A216="",B216=""),"",IFERROR(INDEX(Profile!$K$5:$K$304,MATCH(A216,lst_Profil,0))*INDEX(Werkstoffe!$E$5:$E$304,MATCH(B216,lst_Werkstoff,0))/1000*INDEX(Werkstoffe!$G$5:$G$304,MATCH(B216,lst_Werkstoff,0))/1000,""))</f>
        <v/>
      </c>
    </row>
    <row r="217">
      <c r="A217" s="9" t="n"/>
      <c r="B217" s="9" t="n"/>
      <c r="C217" s="9" t="n"/>
      <c r="D217" s="29" t="n"/>
      <c r="E217" s="19" t="n"/>
      <c r="F217" s="14" t="n"/>
      <c r="G217" s="9" t="n"/>
      <c r="H217" s="9" t="n"/>
      <c r="I217" s="28">
        <f>IF(A217&amp;B217="","",IF(ISNA(MATCH(A217,lst_Profil,0)),"FEHLER: Profil unbekannt",IF(ISNA(MATCH(B217,lst_Werkstoff,0)),"FEHLER: Werkstoff unbekannt",IF(COUNTIFS($A$5:$A$304,A217,$B$5:$B$304,B217)&gt;1,"FEHLER: doppelt",IF(OR(C217="",D217=""),"FEHLER: Preis unvollständig",IF(AND(C217="€/Stange",E217=""),"FEHLER: Stangenlänge fehlt","OK"))))))</f>
        <v/>
      </c>
      <c r="J217" s="18">
        <f>IF(OR(A217="",B217=""),"",IFERROR(INDEX(Profile!$K$5:$K$304,MATCH(A217,lst_Profil,0))*INDEX(Werkstoffe!$E$5:$E$304,MATCH(B217,lst_Werkstoff,0))/1000*INDEX(Werkstoffe!$G$5:$G$304,MATCH(B217,lst_Werkstoff,0))/1000,""))</f>
        <v/>
      </c>
    </row>
    <row r="218">
      <c r="A218" s="9" t="n"/>
      <c r="B218" s="9" t="n"/>
      <c r="C218" s="9" t="n"/>
      <c r="D218" s="29" t="n"/>
      <c r="E218" s="19" t="n"/>
      <c r="F218" s="14" t="n"/>
      <c r="G218" s="9" t="n"/>
      <c r="H218" s="9" t="n"/>
      <c r="I218" s="28">
        <f>IF(A218&amp;B218="","",IF(ISNA(MATCH(A218,lst_Profil,0)),"FEHLER: Profil unbekannt",IF(ISNA(MATCH(B218,lst_Werkstoff,0)),"FEHLER: Werkstoff unbekannt",IF(COUNTIFS($A$5:$A$304,A218,$B$5:$B$304,B218)&gt;1,"FEHLER: doppelt",IF(OR(C218="",D218=""),"FEHLER: Preis unvollständig",IF(AND(C218="€/Stange",E218=""),"FEHLER: Stangenlänge fehlt","OK"))))))</f>
        <v/>
      </c>
      <c r="J218" s="18">
        <f>IF(OR(A218="",B218=""),"",IFERROR(INDEX(Profile!$K$5:$K$304,MATCH(A218,lst_Profil,0))*INDEX(Werkstoffe!$E$5:$E$304,MATCH(B218,lst_Werkstoff,0))/1000*INDEX(Werkstoffe!$G$5:$G$304,MATCH(B218,lst_Werkstoff,0))/1000,""))</f>
        <v/>
      </c>
    </row>
    <row r="219">
      <c r="A219" s="9" t="n"/>
      <c r="B219" s="9" t="n"/>
      <c r="C219" s="9" t="n"/>
      <c r="D219" s="29" t="n"/>
      <c r="E219" s="19" t="n"/>
      <c r="F219" s="14" t="n"/>
      <c r="G219" s="9" t="n"/>
      <c r="H219" s="9" t="n"/>
      <c r="I219" s="28">
        <f>IF(A219&amp;B219="","",IF(ISNA(MATCH(A219,lst_Profil,0)),"FEHLER: Profil unbekannt",IF(ISNA(MATCH(B219,lst_Werkstoff,0)),"FEHLER: Werkstoff unbekannt",IF(COUNTIFS($A$5:$A$304,A219,$B$5:$B$304,B219)&gt;1,"FEHLER: doppelt",IF(OR(C219="",D219=""),"FEHLER: Preis unvollständig",IF(AND(C219="€/Stange",E219=""),"FEHLER: Stangenlänge fehlt","OK"))))))</f>
        <v/>
      </c>
      <c r="J219" s="18">
        <f>IF(OR(A219="",B219=""),"",IFERROR(INDEX(Profile!$K$5:$K$304,MATCH(A219,lst_Profil,0))*INDEX(Werkstoffe!$E$5:$E$304,MATCH(B219,lst_Werkstoff,0))/1000*INDEX(Werkstoffe!$G$5:$G$304,MATCH(B219,lst_Werkstoff,0))/1000,""))</f>
        <v/>
      </c>
    </row>
    <row r="220">
      <c r="A220" s="9" t="n"/>
      <c r="B220" s="9" t="n"/>
      <c r="C220" s="9" t="n"/>
      <c r="D220" s="29" t="n"/>
      <c r="E220" s="19" t="n"/>
      <c r="F220" s="14" t="n"/>
      <c r="G220" s="9" t="n"/>
      <c r="H220" s="9" t="n"/>
      <c r="I220" s="28">
        <f>IF(A220&amp;B220="","",IF(ISNA(MATCH(A220,lst_Profil,0)),"FEHLER: Profil unbekannt",IF(ISNA(MATCH(B220,lst_Werkstoff,0)),"FEHLER: Werkstoff unbekannt",IF(COUNTIFS($A$5:$A$304,A220,$B$5:$B$304,B220)&gt;1,"FEHLER: doppelt",IF(OR(C220="",D220=""),"FEHLER: Preis unvollständig",IF(AND(C220="€/Stange",E220=""),"FEHLER: Stangenlänge fehlt","OK"))))))</f>
        <v/>
      </c>
      <c r="J220" s="18">
        <f>IF(OR(A220="",B220=""),"",IFERROR(INDEX(Profile!$K$5:$K$304,MATCH(A220,lst_Profil,0))*INDEX(Werkstoffe!$E$5:$E$304,MATCH(B220,lst_Werkstoff,0))/1000*INDEX(Werkstoffe!$G$5:$G$304,MATCH(B220,lst_Werkstoff,0))/1000,""))</f>
        <v/>
      </c>
    </row>
    <row r="221">
      <c r="A221" s="9" t="n"/>
      <c r="B221" s="9" t="n"/>
      <c r="C221" s="9" t="n"/>
      <c r="D221" s="29" t="n"/>
      <c r="E221" s="19" t="n"/>
      <c r="F221" s="14" t="n"/>
      <c r="G221" s="9" t="n"/>
      <c r="H221" s="9" t="n"/>
      <c r="I221" s="28">
        <f>IF(A221&amp;B221="","",IF(ISNA(MATCH(A221,lst_Profil,0)),"FEHLER: Profil unbekannt",IF(ISNA(MATCH(B221,lst_Werkstoff,0)),"FEHLER: Werkstoff unbekannt",IF(COUNTIFS($A$5:$A$304,A221,$B$5:$B$304,B221)&gt;1,"FEHLER: doppelt",IF(OR(C221="",D221=""),"FEHLER: Preis unvollständig",IF(AND(C221="€/Stange",E221=""),"FEHLER: Stangenlänge fehlt","OK"))))))</f>
        <v/>
      </c>
      <c r="J221" s="18">
        <f>IF(OR(A221="",B221=""),"",IFERROR(INDEX(Profile!$K$5:$K$304,MATCH(A221,lst_Profil,0))*INDEX(Werkstoffe!$E$5:$E$304,MATCH(B221,lst_Werkstoff,0))/1000*INDEX(Werkstoffe!$G$5:$G$304,MATCH(B221,lst_Werkstoff,0))/1000,""))</f>
        <v/>
      </c>
    </row>
    <row r="222">
      <c r="A222" s="9" t="n"/>
      <c r="B222" s="9" t="n"/>
      <c r="C222" s="9" t="n"/>
      <c r="D222" s="29" t="n"/>
      <c r="E222" s="19" t="n"/>
      <c r="F222" s="14" t="n"/>
      <c r="G222" s="9" t="n"/>
      <c r="H222" s="9" t="n"/>
      <c r="I222" s="28">
        <f>IF(A222&amp;B222="","",IF(ISNA(MATCH(A222,lst_Profil,0)),"FEHLER: Profil unbekannt",IF(ISNA(MATCH(B222,lst_Werkstoff,0)),"FEHLER: Werkstoff unbekannt",IF(COUNTIFS($A$5:$A$304,A222,$B$5:$B$304,B222)&gt;1,"FEHLER: doppelt",IF(OR(C222="",D222=""),"FEHLER: Preis unvollständig",IF(AND(C222="€/Stange",E222=""),"FEHLER: Stangenlänge fehlt","OK"))))))</f>
        <v/>
      </c>
      <c r="J222" s="18">
        <f>IF(OR(A222="",B222=""),"",IFERROR(INDEX(Profile!$K$5:$K$304,MATCH(A222,lst_Profil,0))*INDEX(Werkstoffe!$E$5:$E$304,MATCH(B222,lst_Werkstoff,0))/1000*INDEX(Werkstoffe!$G$5:$G$304,MATCH(B222,lst_Werkstoff,0))/1000,""))</f>
        <v/>
      </c>
    </row>
    <row r="223">
      <c r="A223" s="9" t="n"/>
      <c r="B223" s="9" t="n"/>
      <c r="C223" s="9" t="n"/>
      <c r="D223" s="29" t="n"/>
      <c r="E223" s="19" t="n"/>
      <c r="F223" s="14" t="n"/>
      <c r="G223" s="9" t="n"/>
      <c r="H223" s="9" t="n"/>
      <c r="I223" s="28">
        <f>IF(A223&amp;B223="","",IF(ISNA(MATCH(A223,lst_Profil,0)),"FEHLER: Profil unbekannt",IF(ISNA(MATCH(B223,lst_Werkstoff,0)),"FEHLER: Werkstoff unbekannt",IF(COUNTIFS($A$5:$A$304,A223,$B$5:$B$304,B223)&gt;1,"FEHLER: doppelt",IF(OR(C223="",D223=""),"FEHLER: Preis unvollständig",IF(AND(C223="€/Stange",E223=""),"FEHLER: Stangenlänge fehlt","OK"))))))</f>
        <v/>
      </c>
      <c r="J223" s="18">
        <f>IF(OR(A223="",B223=""),"",IFERROR(INDEX(Profile!$K$5:$K$304,MATCH(A223,lst_Profil,0))*INDEX(Werkstoffe!$E$5:$E$304,MATCH(B223,lst_Werkstoff,0))/1000*INDEX(Werkstoffe!$G$5:$G$304,MATCH(B223,lst_Werkstoff,0))/1000,""))</f>
        <v/>
      </c>
    </row>
    <row r="224">
      <c r="A224" s="9" t="n"/>
      <c r="B224" s="9" t="n"/>
      <c r="C224" s="9" t="n"/>
      <c r="D224" s="29" t="n"/>
      <c r="E224" s="19" t="n"/>
      <c r="F224" s="14" t="n"/>
      <c r="G224" s="9" t="n"/>
      <c r="H224" s="9" t="n"/>
      <c r="I224" s="28">
        <f>IF(A224&amp;B224="","",IF(ISNA(MATCH(A224,lst_Profil,0)),"FEHLER: Profil unbekannt",IF(ISNA(MATCH(B224,lst_Werkstoff,0)),"FEHLER: Werkstoff unbekannt",IF(COUNTIFS($A$5:$A$304,A224,$B$5:$B$304,B224)&gt;1,"FEHLER: doppelt",IF(OR(C224="",D224=""),"FEHLER: Preis unvollständig",IF(AND(C224="€/Stange",E224=""),"FEHLER: Stangenlänge fehlt","OK"))))))</f>
        <v/>
      </c>
      <c r="J224" s="18">
        <f>IF(OR(A224="",B224=""),"",IFERROR(INDEX(Profile!$K$5:$K$304,MATCH(A224,lst_Profil,0))*INDEX(Werkstoffe!$E$5:$E$304,MATCH(B224,lst_Werkstoff,0))/1000*INDEX(Werkstoffe!$G$5:$G$304,MATCH(B224,lst_Werkstoff,0))/1000,""))</f>
        <v/>
      </c>
    </row>
    <row r="225">
      <c r="A225" s="9" t="n"/>
      <c r="B225" s="9" t="n"/>
      <c r="C225" s="9" t="n"/>
      <c r="D225" s="29" t="n"/>
      <c r="E225" s="19" t="n"/>
      <c r="F225" s="14" t="n"/>
      <c r="G225" s="9" t="n"/>
      <c r="H225" s="9" t="n"/>
      <c r="I225" s="28">
        <f>IF(A225&amp;B225="","",IF(ISNA(MATCH(A225,lst_Profil,0)),"FEHLER: Profil unbekannt",IF(ISNA(MATCH(B225,lst_Werkstoff,0)),"FEHLER: Werkstoff unbekannt",IF(COUNTIFS($A$5:$A$304,A225,$B$5:$B$304,B225)&gt;1,"FEHLER: doppelt",IF(OR(C225="",D225=""),"FEHLER: Preis unvollständig",IF(AND(C225="€/Stange",E225=""),"FEHLER: Stangenlänge fehlt","OK"))))))</f>
        <v/>
      </c>
      <c r="J225" s="18">
        <f>IF(OR(A225="",B225=""),"",IFERROR(INDEX(Profile!$K$5:$K$304,MATCH(A225,lst_Profil,0))*INDEX(Werkstoffe!$E$5:$E$304,MATCH(B225,lst_Werkstoff,0))/1000*INDEX(Werkstoffe!$G$5:$G$304,MATCH(B225,lst_Werkstoff,0))/1000,""))</f>
        <v/>
      </c>
    </row>
    <row r="226">
      <c r="A226" s="9" t="n"/>
      <c r="B226" s="9" t="n"/>
      <c r="C226" s="9" t="n"/>
      <c r="D226" s="29" t="n"/>
      <c r="E226" s="19" t="n"/>
      <c r="F226" s="14" t="n"/>
      <c r="G226" s="9" t="n"/>
      <c r="H226" s="9" t="n"/>
      <c r="I226" s="28">
        <f>IF(A226&amp;B226="","",IF(ISNA(MATCH(A226,lst_Profil,0)),"FEHLER: Profil unbekannt",IF(ISNA(MATCH(B226,lst_Werkstoff,0)),"FEHLER: Werkstoff unbekannt",IF(COUNTIFS($A$5:$A$304,A226,$B$5:$B$304,B226)&gt;1,"FEHLER: doppelt",IF(OR(C226="",D226=""),"FEHLER: Preis unvollständig",IF(AND(C226="€/Stange",E226=""),"FEHLER: Stangenlänge fehlt","OK"))))))</f>
        <v/>
      </c>
      <c r="J226" s="18">
        <f>IF(OR(A226="",B226=""),"",IFERROR(INDEX(Profile!$K$5:$K$304,MATCH(A226,lst_Profil,0))*INDEX(Werkstoffe!$E$5:$E$304,MATCH(B226,lst_Werkstoff,0))/1000*INDEX(Werkstoffe!$G$5:$G$304,MATCH(B226,lst_Werkstoff,0))/1000,""))</f>
        <v/>
      </c>
    </row>
    <row r="227">
      <c r="A227" s="9" t="n"/>
      <c r="B227" s="9" t="n"/>
      <c r="C227" s="9" t="n"/>
      <c r="D227" s="29" t="n"/>
      <c r="E227" s="19" t="n"/>
      <c r="F227" s="14" t="n"/>
      <c r="G227" s="9" t="n"/>
      <c r="H227" s="9" t="n"/>
      <c r="I227" s="28">
        <f>IF(A227&amp;B227="","",IF(ISNA(MATCH(A227,lst_Profil,0)),"FEHLER: Profil unbekannt",IF(ISNA(MATCH(B227,lst_Werkstoff,0)),"FEHLER: Werkstoff unbekannt",IF(COUNTIFS($A$5:$A$304,A227,$B$5:$B$304,B227)&gt;1,"FEHLER: doppelt",IF(OR(C227="",D227=""),"FEHLER: Preis unvollständig",IF(AND(C227="€/Stange",E227=""),"FEHLER: Stangenlänge fehlt","OK"))))))</f>
        <v/>
      </c>
      <c r="J227" s="18">
        <f>IF(OR(A227="",B227=""),"",IFERROR(INDEX(Profile!$K$5:$K$304,MATCH(A227,lst_Profil,0))*INDEX(Werkstoffe!$E$5:$E$304,MATCH(B227,lst_Werkstoff,0))/1000*INDEX(Werkstoffe!$G$5:$G$304,MATCH(B227,lst_Werkstoff,0))/1000,""))</f>
        <v/>
      </c>
    </row>
    <row r="228">
      <c r="A228" s="9" t="n"/>
      <c r="B228" s="9" t="n"/>
      <c r="C228" s="9" t="n"/>
      <c r="D228" s="29" t="n"/>
      <c r="E228" s="19" t="n"/>
      <c r="F228" s="14" t="n"/>
      <c r="G228" s="9" t="n"/>
      <c r="H228" s="9" t="n"/>
      <c r="I228" s="28">
        <f>IF(A228&amp;B228="","",IF(ISNA(MATCH(A228,lst_Profil,0)),"FEHLER: Profil unbekannt",IF(ISNA(MATCH(B228,lst_Werkstoff,0)),"FEHLER: Werkstoff unbekannt",IF(COUNTIFS($A$5:$A$304,A228,$B$5:$B$304,B228)&gt;1,"FEHLER: doppelt",IF(OR(C228="",D228=""),"FEHLER: Preis unvollständig",IF(AND(C228="€/Stange",E228=""),"FEHLER: Stangenlänge fehlt","OK"))))))</f>
        <v/>
      </c>
      <c r="J228" s="18">
        <f>IF(OR(A228="",B228=""),"",IFERROR(INDEX(Profile!$K$5:$K$304,MATCH(A228,lst_Profil,0))*INDEX(Werkstoffe!$E$5:$E$304,MATCH(B228,lst_Werkstoff,0))/1000*INDEX(Werkstoffe!$G$5:$G$304,MATCH(B228,lst_Werkstoff,0))/1000,""))</f>
        <v/>
      </c>
    </row>
    <row r="229">
      <c r="A229" s="9" t="n"/>
      <c r="B229" s="9" t="n"/>
      <c r="C229" s="9" t="n"/>
      <c r="D229" s="29" t="n"/>
      <c r="E229" s="19" t="n"/>
      <c r="F229" s="14" t="n"/>
      <c r="G229" s="9" t="n"/>
      <c r="H229" s="9" t="n"/>
      <c r="I229" s="28">
        <f>IF(A229&amp;B229="","",IF(ISNA(MATCH(A229,lst_Profil,0)),"FEHLER: Profil unbekannt",IF(ISNA(MATCH(B229,lst_Werkstoff,0)),"FEHLER: Werkstoff unbekannt",IF(COUNTIFS($A$5:$A$304,A229,$B$5:$B$304,B229)&gt;1,"FEHLER: doppelt",IF(OR(C229="",D229=""),"FEHLER: Preis unvollständig",IF(AND(C229="€/Stange",E229=""),"FEHLER: Stangenlänge fehlt","OK"))))))</f>
        <v/>
      </c>
      <c r="J229" s="18">
        <f>IF(OR(A229="",B229=""),"",IFERROR(INDEX(Profile!$K$5:$K$304,MATCH(A229,lst_Profil,0))*INDEX(Werkstoffe!$E$5:$E$304,MATCH(B229,lst_Werkstoff,0))/1000*INDEX(Werkstoffe!$G$5:$G$304,MATCH(B229,lst_Werkstoff,0))/1000,""))</f>
        <v/>
      </c>
    </row>
    <row r="230">
      <c r="A230" s="9" t="n"/>
      <c r="B230" s="9" t="n"/>
      <c r="C230" s="9" t="n"/>
      <c r="D230" s="29" t="n"/>
      <c r="E230" s="19" t="n"/>
      <c r="F230" s="14" t="n"/>
      <c r="G230" s="9" t="n"/>
      <c r="H230" s="9" t="n"/>
      <c r="I230" s="28">
        <f>IF(A230&amp;B230="","",IF(ISNA(MATCH(A230,lst_Profil,0)),"FEHLER: Profil unbekannt",IF(ISNA(MATCH(B230,lst_Werkstoff,0)),"FEHLER: Werkstoff unbekannt",IF(COUNTIFS($A$5:$A$304,A230,$B$5:$B$304,B230)&gt;1,"FEHLER: doppelt",IF(OR(C230="",D230=""),"FEHLER: Preis unvollständig",IF(AND(C230="€/Stange",E230=""),"FEHLER: Stangenlänge fehlt","OK"))))))</f>
        <v/>
      </c>
      <c r="J230" s="18">
        <f>IF(OR(A230="",B230=""),"",IFERROR(INDEX(Profile!$K$5:$K$304,MATCH(A230,lst_Profil,0))*INDEX(Werkstoffe!$E$5:$E$304,MATCH(B230,lst_Werkstoff,0))/1000*INDEX(Werkstoffe!$G$5:$G$304,MATCH(B230,lst_Werkstoff,0))/1000,""))</f>
        <v/>
      </c>
    </row>
    <row r="231">
      <c r="A231" s="9" t="n"/>
      <c r="B231" s="9" t="n"/>
      <c r="C231" s="9" t="n"/>
      <c r="D231" s="29" t="n"/>
      <c r="E231" s="19" t="n"/>
      <c r="F231" s="14" t="n"/>
      <c r="G231" s="9" t="n"/>
      <c r="H231" s="9" t="n"/>
      <c r="I231" s="28">
        <f>IF(A231&amp;B231="","",IF(ISNA(MATCH(A231,lst_Profil,0)),"FEHLER: Profil unbekannt",IF(ISNA(MATCH(B231,lst_Werkstoff,0)),"FEHLER: Werkstoff unbekannt",IF(COUNTIFS($A$5:$A$304,A231,$B$5:$B$304,B231)&gt;1,"FEHLER: doppelt",IF(OR(C231="",D231=""),"FEHLER: Preis unvollständig",IF(AND(C231="€/Stange",E231=""),"FEHLER: Stangenlänge fehlt","OK"))))))</f>
        <v/>
      </c>
      <c r="J231" s="18">
        <f>IF(OR(A231="",B231=""),"",IFERROR(INDEX(Profile!$K$5:$K$304,MATCH(A231,lst_Profil,0))*INDEX(Werkstoffe!$E$5:$E$304,MATCH(B231,lst_Werkstoff,0))/1000*INDEX(Werkstoffe!$G$5:$G$304,MATCH(B231,lst_Werkstoff,0))/1000,""))</f>
        <v/>
      </c>
    </row>
    <row r="232">
      <c r="A232" s="9" t="n"/>
      <c r="B232" s="9" t="n"/>
      <c r="C232" s="9" t="n"/>
      <c r="D232" s="29" t="n"/>
      <c r="E232" s="19" t="n"/>
      <c r="F232" s="14" t="n"/>
      <c r="G232" s="9" t="n"/>
      <c r="H232" s="9" t="n"/>
      <c r="I232" s="28">
        <f>IF(A232&amp;B232="","",IF(ISNA(MATCH(A232,lst_Profil,0)),"FEHLER: Profil unbekannt",IF(ISNA(MATCH(B232,lst_Werkstoff,0)),"FEHLER: Werkstoff unbekannt",IF(COUNTIFS($A$5:$A$304,A232,$B$5:$B$304,B232)&gt;1,"FEHLER: doppelt",IF(OR(C232="",D232=""),"FEHLER: Preis unvollständig",IF(AND(C232="€/Stange",E232=""),"FEHLER: Stangenlänge fehlt","OK"))))))</f>
        <v/>
      </c>
      <c r="J232" s="18">
        <f>IF(OR(A232="",B232=""),"",IFERROR(INDEX(Profile!$K$5:$K$304,MATCH(A232,lst_Profil,0))*INDEX(Werkstoffe!$E$5:$E$304,MATCH(B232,lst_Werkstoff,0))/1000*INDEX(Werkstoffe!$G$5:$G$304,MATCH(B232,lst_Werkstoff,0))/1000,""))</f>
        <v/>
      </c>
    </row>
    <row r="233">
      <c r="A233" s="9" t="n"/>
      <c r="B233" s="9" t="n"/>
      <c r="C233" s="9" t="n"/>
      <c r="D233" s="29" t="n"/>
      <c r="E233" s="19" t="n"/>
      <c r="F233" s="14" t="n"/>
      <c r="G233" s="9" t="n"/>
      <c r="H233" s="9" t="n"/>
      <c r="I233" s="28">
        <f>IF(A233&amp;B233="","",IF(ISNA(MATCH(A233,lst_Profil,0)),"FEHLER: Profil unbekannt",IF(ISNA(MATCH(B233,lst_Werkstoff,0)),"FEHLER: Werkstoff unbekannt",IF(COUNTIFS($A$5:$A$304,A233,$B$5:$B$304,B233)&gt;1,"FEHLER: doppelt",IF(OR(C233="",D233=""),"FEHLER: Preis unvollständig",IF(AND(C233="€/Stange",E233=""),"FEHLER: Stangenlänge fehlt","OK"))))))</f>
        <v/>
      </c>
      <c r="J233" s="18">
        <f>IF(OR(A233="",B233=""),"",IFERROR(INDEX(Profile!$K$5:$K$304,MATCH(A233,lst_Profil,0))*INDEX(Werkstoffe!$E$5:$E$304,MATCH(B233,lst_Werkstoff,0))/1000*INDEX(Werkstoffe!$G$5:$G$304,MATCH(B233,lst_Werkstoff,0))/1000,""))</f>
        <v/>
      </c>
    </row>
    <row r="234">
      <c r="A234" s="9" t="n"/>
      <c r="B234" s="9" t="n"/>
      <c r="C234" s="9" t="n"/>
      <c r="D234" s="29" t="n"/>
      <c r="E234" s="19" t="n"/>
      <c r="F234" s="14" t="n"/>
      <c r="G234" s="9" t="n"/>
      <c r="H234" s="9" t="n"/>
      <c r="I234" s="28">
        <f>IF(A234&amp;B234="","",IF(ISNA(MATCH(A234,lst_Profil,0)),"FEHLER: Profil unbekannt",IF(ISNA(MATCH(B234,lst_Werkstoff,0)),"FEHLER: Werkstoff unbekannt",IF(COUNTIFS($A$5:$A$304,A234,$B$5:$B$304,B234)&gt;1,"FEHLER: doppelt",IF(OR(C234="",D234=""),"FEHLER: Preis unvollständig",IF(AND(C234="€/Stange",E234=""),"FEHLER: Stangenlänge fehlt","OK"))))))</f>
        <v/>
      </c>
      <c r="J234" s="18">
        <f>IF(OR(A234="",B234=""),"",IFERROR(INDEX(Profile!$K$5:$K$304,MATCH(A234,lst_Profil,0))*INDEX(Werkstoffe!$E$5:$E$304,MATCH(B234,lst_Werkstoff,0))/1000*INDEX(Werkstoffe!$G$5:$G$304,MATCH(B234,lst_Werkstoff,0))/1000,""))</f>
        <v/>
      </c>
    </row>
    <row r="235">
      <c r="A235" s="9" t="n"/>
      <c r="B235" s="9" t="n"/>
      <c r="C235" s="9" t="n"/>
      <c r="D235" s="29" t="n"/>
      <c r="E235" s="19" t="n"/>
      <c r="F235" s="14" t="n"/>
      <c r="G235" s="9" t="n"/>
      <c r="H235" s="9" t="n"/>
      <c r="I235" s="28">
        <f>IF(A235&amp;B235="","",IF(ISNA(MATCH(A235,lst_Profil,0)),"FEHLER: Profil unbekannt",IF(ISNA(MATCH(B235,lst_Werkstoff,0)),"FEHLER: Werkstoff unbekannt",IF(COUNTIFS($A$5:$A$304,A235,$B$5:$B$304,B235)&gt;1,"FEHLER: doppelt",IF(OR(C235="",D235=""),"FEHLER: Preis unvollständig",IF(AND(C235="€/Stange",E235=""),"FEHLER: Stangenlänge fehlt","OK"))))))</f>
        <v/>
      </c>
      <c r="J235" s="18">
        <f>IF(OR(A235="",B235=""),"",IFERROR(INDEX(Profile!$K$5:$K$304,MATCH(A235,lst_Profil,0))*INDEX(Werkstoffe!$E$5:$E$304,MATCH(B235,lst_Werkstoff,0))/1000*INDEX(Werkstoffe!$G$5:$G$304,MATCH(B235,lst_Werkstoff,0))/1000,""))</f>
        <v/>
      </c>
    </row>
    <row r="236">
      <c r="A236" s="9" t="n"/>
      <c r="B236" s="9" t="n"/>
      <c r="C236" s="9" t="n"/>
      <c r="D236" s="29" t="n"/>
      <c r="E236" s="19" t="n"/>
      <c r="F236" s="14" t="n"/>
      <c r="G236" s="9" t="n"/>
      <c r="H236" s="9" t="n"/>
      <c r="I236" s="28">
        <f>IF(A236&amp;B236="","",IF(ISNA(MATCH(A236,lst_Profil,0)),"FEHLER: Profil unbekannt",IF(ISNA(MATCH(B236,lst_Werkstoff,0)),"FEHLER: Werkstoff unbekannt",IF(COUNTIFS($A$5:$A$304,A236,$B$5:$B$304,B236)&gt;1,"FEHLER: doppelt",IF(OR(C236="",D236=""),"FEHLER: Preis unvollständig",IF(AND(C236="€/Stange",E236=""),"FEHLER: Stangenlänge fehlt","OK"))))))</f>
        <v/>
      </c>
      <c r="J236" s="18">
        <f>IF(OR(A236="",B236=""),"",IFERROR(INDEX(Profile!$K$5:$K$304,MATCH(A236,lst_Profil,0))*INDEX(Werkstoffe!$E$5:$E$304,MATCH(B236,lst_Werkstoff,0))/1000*INDEX(Werkstoffe!$G$5:$G$304,MATCH(B236,lst_Werkstoff,0))/1000,""))</f>
        <v/>
      </c>
    </row>
    <row r="237">
      <c r="A237" s="9" t="n"/>
      <c r="B237" s="9" t="n"/>
      <c r="C237" s="9" t="n"/>
      <c r="D237" s="29" t="n"/>
      <c r="E237" s="19" t="n"/>
      <c r="F237" s="14" t="n"/>
      <c r="G237" s="9" t="n"/>
      <c r="H237" s="9" t="n"/>
      <c r="I237" s="28">
        <f>IF(A237&amp;B237="","",IF(ISNA(MATCH(A237,lst_Profil,0)),"FEHLER: Profil unbekannt",IF(ISNA(MATCH(B237,lst_Werkstoff,0)),"FEHLER: Werkstoff unbekannt",IF(COUNTIFS($A$5:$A$304,A237,$B$5:$B$304,B237)&gt;1,"FEHLER: doppelt",IF(OR(C237="",D237=""),"FEHLER: Preis unvollständig",IF(AND(C237="€/Stange",E237=""),"FEHLER: Stangenlänge fehlt","OK"))))))</f>
        <v/>
      </c>
      <c r="J237" s="18">
        <f>IF(OR(A237="",B237=""),"",IFERROR(INDEX(Profile!$K$5:$K$304,MATCH(A237,lst_Profil,0))*INDEX(Werkstoffe!$E$5:$E$304,MATCH(B237,lst_Werkstoff,0))/1000*INDEX(Werkstoffe!$G$5:$G$304,MATCH(B237,lst_Werkstoff,0))/1000,""))</f>
        <v/>
      </c>
    </row>
    <row r="238">
      <c r="A238" s="9" t="n"/>
      <c r="B238" s="9" t="n"/>
      <c r="C238" s="9" t="n"/>
      <c r="D238" s="29" t="n"/>
      <c r="E238" s="19" t="n"/>
      <c r="F238" s="14" t="n"/>
      <c r="G238" s="9" t="n"/>
      <c r="H238" s="9" t="n"/>
      <c r="I238" s="28">
        <f>IF(A238&amp;B238="","",IF(ISNA(MATCH(A238,lst_Profil,0)),"FEHLER: Profil unbekannt",IF(ISNA(MATCH(B238,lst_Werkstoff,0)),"FEHLER: Werkstoff unbekannt",IF(COUNTIFS($A$5:$A$304,A238,$B$5:$B$304,B238)&gt;1,"FEHLER: doppelt",IF(OR(C238="",D238=""),"FEHLER: Preis unvollständig",IF(AND(C238="€/Stange",E238=""),"FEHLER: Stangenlänge fehlt","OK"))))))</f>
        <v/>
      </c>
      <c r="J238" s="18">
        <f>IF(OR(A238="",B238=""),"",IFERROR(INDEX(Profile!$K$5:$K$304,MATCH(A238,lst_Profil,0))*INDEX(Werkstoffe!$E$5:$E$304,MATCH(B238,lst_Werkstoff,0))/1000*INDEX(Werkstoffe!$G$5:$G$304,MATCH(B238,lst_Werkstoff,0))/1000,""))</f>
        <v/>
      </c>
    </row>
    <row r="239">
      <c r="A239" s="9" t="n"/>
      <c r="B239" s="9" t="n"/>
      <c r="C239" s="9" t="n"/>
      <c r="D239" s="29" t="n"/>
      <c r="E239" s="19" t="n"/>
      <c r="F239" s="14" t="n"/>
      <c r="G239" s="9" t="n"/>
      <c r="H239" s="9" t="n"/>
      <c r="I239" s="28">
        <f>IF(A239&amp;B239="","",IF(ISNA(MATCH(A239,lst_Profil,0)),"FEHLER: Profil unbekannt",IF(ISNA(MATCH(B239,lst_Werkstoff,0)),"FEHLER: Werkstoff unbekannt",IF(COUNTIFS($A$5:$A$304,A239,$B$5:$B$304,B239)&gt;1,"FEHLER: doppelt",IF(OR(C239="",D239=""),"FEHLER: Preis unvollständig",IF(AND(C239="€/Stange",E239=""),"FEHLER: Stangenlänge fehlt","OK"))))))</f>
        <v/>
      </c>
      <c r="J239" s="18">
        <f>IF(OR(A239="",B239=""),"",IFERROR(INDEX(Profile!$K$5:$K$304,MATCH(A239,lst_Profil,0))*INDEX(Werkstoffe!$E$5:$E$304,MATCH(B239,lst_Werkstoff,0))/1000*INDEX(Werkstoffe!$G$5:$G$304,MATCH(B239,lst_Werkstoff,0))/1000,""))</f>
        <v/>
      </c>
    </row>
    <row r="240">
      <c r="A240" s="9" t="n"/>
      <c r="B240" s="9" t="n"/>
      <c r="C240" s="9" t="n"/>
      <c r="D240" s="29" t="n"/>
      <c r="E240" s="19" t="n"/>
      <c r="F240" s="14" t="n"/>
      <c r="G240" s="9" t="n"/>
      <c r="H240" s="9" t="n"/>
      <c r="I240" s="28">
        <f>IF(A240&amp;B240="","",IF(ISNA(MATCH(A240,lst_Profil,0)),"FEHLER: Profil unbekannt",IF(ISNA(MATCH(B240,lst_Werkstoff,0)),"FEHLER: Werkstoff unbekannt",IF(COUNTIFS($A$5:$A$304,A240,$B$5:$B$304,B240)&gt;1,"FEHLER: doppelt",IF(OR(C240="",D240=""),"FEHLER: Preis unvollständig",IF(AND(C240="€/Stange",E240=""),"FEHLER: Stangenlänge fehlt","OK"))))))</f>
        <v/>
      </c>
      <c r="J240" s="18">
        <f>IF(OR(A240="",B240=""),"",IFERROR(INDEX(Profile!$K$5:$K$304,MATCH(A240,lst_Profil,0))*INDEX(Werkstoffe!$E$5:$E$304,MATCH(B240,lst_Werkstoff,0))/1000*INDEX(Werkstoffe!$G$5:$G$304,MATCH(B240,lst_Werkstoff,0))/1000,""))</f>
        <v/>
      </c>
    </row>
    <row r="241">
      <c r="A241" s="9" t="n"/>
      <c r="B241" s="9" t="n"/>
      <c r="C241" s="9" t="n"/>
      <c r="D241" s="29" t="n"/>
      <c r="E241" s="19" t="n"/>
      <c r="F241" s="14" t="n"/>
      <c r="G241" s="9" t="n"/>
      <c r="H241" s="9" t="n"/>
      <c r="I241" s="28">
        <f>IF(A241&amp;B241="","",IF(ISNA(MATCH(A241,lst_Profil,0)),"FEHLER: Profil unbekannt",IF(ISNA(MATCH(B241,lst_Werkstoff,0)),"FEHLER: Werkstoff unbekannt",IF(COUNTIFS($A$5:$A$304,A241,$B$5:$B$304,B241)&gt;1,"FEHLER: doppelt",IF(OR(C241="",D241=""),"FEHLER: Preis unvollständig",IF(AND(C241="€/Stange",E241=""),"FEHLER: Stangenlänge fehlt","OK"))))))</f>
        <v/>
      </c>
      <c r="J241" s="18">
        <f>IF(OR(A241="",B241=""),"",IFERROR(INDEX(Profile!$K$5:$K$304,MATCH(A241,lst_Profil,0))*INDEX(Werkstoffe!$E$5:$E$304,MATCH(B241,lst_Werkstoff,0))/1000*INDEX(Werkstoffe!$G$5:$G$304,MATCH(B241,lst_Werkstoff,0))/1000,""))</f>
        <v/>
      </c>
    </row>
    <row r="242">
      <c r="A242" s="9" t="n"/>
      <c r="B242" s="9" t="n"/>
      <c r="C242" s="9" t="n"/>
      <c r="D242" s="29" t="n"/>
      <c r="E242" s="19" t="n"/>
      <c r="F242" s="14" t="n"/>
      <c r="G242" s="9" t="n"/>
      <c r="H242" s="9" t="n"/>
      <c r="I242" s="28">
        <f>IF(A242&amp;B242="","",IF(ISNA(MATCH(A242,lst_Profil,0)),"FEHLER: Profil unbekannt",IF(ISNA(MATCH(B242,lst_Werkstoff,0)),"FEHLER: Werkstoff unbekannt",IF(COUNTIFS($A$5:$A$304,A242,$B$5:$B$304,B242)&gt;1,"FEHLER: doppelt",IF(OR(C242="",D242=""),"FEHLER: Preis unvollständig",IF(AND(C242="€/Stange",E242=""),"FEHLER: Stangenlänge fehlt","OK"))))))</f>
        <v/>
      </c>
      <c r="J242" s="18">
        <f>IF(OR(A242="",B242=""),"",IFERROR(INDEX(Profile!$K$5:$K$304,MATCH(A242,lst_Profil,0))*INDEX(Werkstoffe!$E$5:$E$304,MATCH(B242,lst_Werkstoff,0))/1000*INDEX(Werkstoffe!$G$5:$G$304,MATCH(B242,lst_Werkstoff,0))/1000,""))</f>
        <v/>
      </c>
    </row>
    <row r="243">
      <c r="A243" s="9" t="n"/>
      <c r="B243" s="9" t="n"/>
      <c r="C243" s="9" t="n"/>
      <c r="D243" s="29" t="n"/>
      <c r="E243" s="19" t="n"/>
      <c r="F243" s="14" t="n"/>
      <c r="G243" s="9" t="n"/>
      <c r="H243" s="9" t="n"/>
      <c r="I243" s="28">
        <f>IF(A243&amp;B243="","",IF(ISNA(MATCH(A243,lst_Profil,0)),"FEHLER: Profil unbekannt",IF(ISNA(MATCH(B243,lst_Werkstoff,0)),"FEHLER: Werkstoff unbekannt",IF(COUNTIFS($A$5:$A$304,A243,$B$5:$B$304,B243)&gt;1,"FEHLER: doppelt",IF(OR(C243="",D243=""),"FEHLER: Preis unvollständig",IF(AND(C243="€/Stange",E243=""),"FEHLER: Stangenlänge fehlt","OK"))))))</f>
        <v/>
      </c>
      <c r="J243" s="18">
        <f>IF(OR(A243="",B243=""),"",IFERROR(INDEX(Profile!$K$5:$K$304,MATCH(A243,lst_Profil,0))*INDEX(Werkstoffe!$E$5:$E$304,MATCH(B243,lst_Werkstoff,0))/1000*INDEX(Werkstoffe!$G$5:$G$304,MATCH(B243,lst_Werkstoff,0))/1000,""))</f>
        <v/>
      </c>
    </row>
    <row r="244">
      <c r="A244" s="9" t="n"/>
      <c r="B244" s="9" t="n"/>
      <c r="C244" s="9" t="n"/>
      <c r="D244" s="29" t="n"/>
      <c r="E244" s="19" t="n"/>
      <c r="F244" s="14" t="n"/>
      <c r="G244" s="9" t="n"/>
      <c r="H244" s="9" t="n"/>
      <c r="I244" s="28">
        <f>IF(A244&amp;B244="","",IF(ISNA(MATCH(A244,lst_Profil,0)),"FEHLER: Profil unbekannt",IF(ISNA(MATCH(B244,lst_Werkstoff,0)),"FEHLER: Werkstoff unbekannt",IF(COUNTIFS($A$5:$A$304,A244,$B$5:$B$304,B244)&gt;1,"FEHLER: doppelt",IF(OR(C244="",D244=""),"FEHLER: Preis unvollständig",IF(AND(C244="€/Stange",E244=""),"FEHLER: Stangenlänge fehlt","OK"))))))</f>
        <v/>
      </c>
      <c r="J244" s="18">
        <f>IF(OR(A244="",B244=""),"",IFERROR(INDEX(Profile!$K$5:$K$304,MATCH(A244,lst_Profil,0))*INDEX(Werkstoffe!$E$5:$E$304,MATCH(B244,lst_Werkstoff,0))/1000*INDEX(Werkstoffe!$G$5:$G$304,MATCH(B244,lst_Werkstoff,0))/1000,""))</f>
        <v/>
      </c>
    </row>
    <row r="245">
      <c r="A245" s="9" t="n"/>
      <c r="B245" s="9" t="n"/>
      <c r="C245" s="9" t="n"/>
      <c r="D245" s="29" t="n"/>
      <c r="E245" s="19" t="n"/>
      <c r="F245" s="14" t="n"/>
      <c r="G245" s="9" t="n"/>
      <c r="H245" s="9" t="n"/>
      <c r="I245" s="28">
        <f>IF(A245&amp;B245="","",IF(ISNA(MATCH(A245,lst_Profil,0)),"FEHLER: Profil unbekannt",IF(ISNA(MATCH(B245,lst_Werkstoff,0)),"FEHLER: Werkstoff unbekannt",IF(COUNTIFS($A$5:$A$304,A245,$B$5:$B$304,B245)&gt;1,"FEHLER: doppelt",IF(OR(C245="",D245=""),"FEHLER: Preis unvollständig",IF(AND(C245="€/Stange",E245=""),"FEHLER: Stangenlänge fehlt","OK"))))))</f>
        <v/>
      </c>
      <c r="J245" s="18">
        <f>IF(OR(A245="",B245=""),"",IFERROR(INDEX(Profile!$K$5:$K$304,MATCH(A245,lst_Profil,0))*INDEX(Werkstoffe!$E$5:$E$304,MATCH(B245,lst_Werkstoff,0))/1000*INDEX(Werkstoffe!$G$5:$G$304,MATCH(B245,lst_Werkstoff,0))/1000,""))</f>
        <v/>
      </c>
    </row>
    <row r="246">
      <c r="A246" s="9" t="n"/>
      <c r="B246" s="9" t="n"/>
      <c r="C246" s="9" t="n"/>
      <c r="D246" s="29" t="n"/>
      <c r="E246" s="19" t="n"/>
      <c r="F246" s="14" t="n"/>
      <c r="G246" s="9" t="n"/>
      <c r="H246" s="9" t="n"/>
      <c r="I246" s="28">
        <f>IF(A246&amp;B246="","",IF(ISNA(MATCH(A246,lst_Profil,0)),"FEHLER: Profil unbekannt",IF(ISNA(MATCH(B246,lst_Werkstoff,0)),"FEHLER: Werkstoff unbekannt",IF(COUNTIFS($A$5:$A$304,A246,$B$5:$B$304,B246)&gt;1,"FEHLER: doppelt",IF(OR(C246="",D246=""),"FEHLER: Preis unvollständig",IF(AND(C246="€/Stange",E246=""),"FEHLER: Stangenlänge fehlt","OK"))))))</f>
        <v/>
      </c>
      <c r="J246" s="18">
        <f>IF(OR(A246="",B246=""),"",IFERROR(INDEX(Profile!$K$5:$K$304,MATCH(A246,lst_Profil,0))*INDEX(Werkstoffe!$E$5:$E$304,MATCH(B246,lst_Werkstoff,0))/1000*INDEX(Werkstoffe!$G$5:$G$304,MATCH(B246,lst_Werkstoff,0))/1000,""))</f>
        <v/>
      </c>
    </row>
    <row r="247">
      <c r="A247" s="9" t="n"/>
      <c r="B247" s="9" t="n"/>
      <c r="C247" s="9" t="n"/>
      <c r="D247" s="29" t="n"/>
      <c r="E247" s="19" t="n"/>
      <c r="F247" s="14" t="n"/>
      <c r="G247" s="9" t="n"/>
      <c r="H247" s="9" t="n"/>
      <c r="I247" s="28">
        <f>IF(A247&amp;B247="","",IF(ISNA(MATCH(A247,lst_Profil,0)),"FEHLER: Profil unbekannt",IF(ISNA(MATCH(B247,lst_Werkstoff,0)),"FEHLER: Werkstoff unbekannt",IF(COUNTIFS($A$5:$A$304,A247,$B$5:$B$304,B247)&gt;1,"FEHLER: doppelt",IF(OR(C247="",D247=""),"FEHLER: Preis unvollständig",IF(AND(C247="€/Stange",E247=""),"FEHLER: Stangenlänge fehlt","OK"))))))</f>
        <v/>
      </c>
      <c r="J247" s="18">
        <f>IF(OR(A247="",B247=""),"",IFERROR(INDEX(Profile!$K$5:$K$304,MATCH(A247,lst_Profil,0))*INDEX(Werkstoffe!$E$5:$E$304,MATCH(B247,lst_Werkstoff,0))/1000*INDEX(Werkstoffe!$G$5:$G$304,MATCH(B247,lst_Werkstoff,0))/1000,""))</f>
        <v/>
      </c>
    </row>
    <row r="248">
      <c r="A248" s="9" t="n"/>
      <c r="B248" s="9" t="n"/>
      <c r="C248" s="9" t="n"/>
      <c r="D248" s="29" t="n"/>
      <c r="E248" s="19" t="n"/>
      <c r="F248" s="14" t="n"/>
      <c r="G248" s="9" t="n"/>
      <c r="H248" s="9" t="n"/>
      <c r="I248" s="28">
        <f>IF(A248&amp;B248="","",IF(ISNA(MATCH(A248,lst_Profil,0)),"FEHLER: Profil unbekannt",IF(ISNA(MATCH(B248,lst_Werkstoff,0)),"FEHLER: Werkstoff unbekannt",IF(COUNTIFS($A$5:$A$304,A248,$B$5:$B$304,B248)&gt;1,"FEHLER: doppelt",IF(OR(C248="",D248=""),"FEHLER: Preis unvollständig",IF(AND(C248="€/Stange",E248=""),"FEHLER: Stangenlänge fehlt","OK"))))))</f>
        <v/>
      </c>
      <c r="J248" s="18">
        <f>IF(OR(A248="",B248=""),"",IFERROR(INDEX(Profile!$K$5:$K$304,MATCH(A248,lst_Profil,0))*INDEX(Werkstoffe!$E$5:$E$304,MATCH(B248,lst_Werkstoff,0))/1000*INDEX(Werkstoffe!$G$5:$G$304,MATCH(B248,lst_Werkstoff,0))/1000,""))</f>
        <v/>
      </c>
    </row>
    <row r="249">
      <c r="A249" s="9" t="n"/>
      <c r="B249" s="9" t="n"/>
      <c r="C249" s="9" t="n"/>
      <c r="D249" s="29" t="n"/>
      <c r="E249" s="19" t="n"/>
      <c r="F249" s="14" t="n"/>
      <c r="G249" s="9" t="n"/>
      <c r="H249" s="9" t="n"/>
      <c r="I249" s="28">
        <f>IF(A249&amp;B249="","",IF(ISNA(MATCH(A249,lst_Profil,0)),"FEHLER: Profil unbekannt",IF(ISNA(MATCH(B249,lst_Werkstoff,0)),"FEHLER: Werkstoff unbekannt",IF(COUNTIFS($A$5:$A$304,A249,$B$5:$B$304,B249)&gt;1,"FEHLER: doppelt",IF(OR(C249="",D249=""),"FEHLER: Preis unvollständig",IF(AND(C249="€/Stange",E249=""),"FEHLER: Stangenlänge fehlt","OK"))))))</f>
        <v/>
      </c>
      <c r="J249" s="18">
        <f>IF(OR(A249="",B249=""),"",IFERROR(INDEX(Profile!$K$5:$K$304,MATCH(A249,lst_Profil,0))*INDEX(Werkstoffe!$E$5:$E$304,MATCH(B249,lst_Werkstoff,0))/1000*INDEX(Werkstoffe!$G$5:$G$304,MATCH(B249,lst_Werkstoff,0))/1000,""))</f>
        <v/>
      </c>
    </row>
    <row r="250">
      <c r="A250" s="9" t="n"/>
      <c r="B250" s="9" t="n"/>
      <c r="C250" s="9" t="n"/>
      <c r="D250" s="29" t="n"/>
      <c r="E250" s="19" t="n"/>
      <c r="F250" s="14" t="n"/>
      <c r="G250" s="9" t="n"/>
      <c r="H250" s="9" t="n"/>
      <c r="I250" s="28">
        <f>IF(A250&amp;B250="","",IF(ISNA(MATCH(A250,lst_Profil,0)),"FEHLER: Profil unbekannt",IF(ISNA(MATCH(B250,lst_Werkstoff,0)),"FEHLER: Werkstoff unbekannt",IF(COUNTIFS($A$5:$A$304,A250,$B$5:$B$304,B250)&gt;1,"FEHLER: doppelt",IF(OR(C250="",D250=""),"FEHLER: Preis unvollständig",IF(AND(C250="€/Stange",E250=""),"FEHLER: Stangenlänge fehlt","OK"))))))</f>
        <v/>
      </c>
      <c r="J250" s="18">
        <f>IF(OR(A250="",B250=""),"",IFERROR(INDEX(Profile!$K$5:$K$304,MATCH(A250,lst_Profil,0))*INDEX(Werkstoffe!$E$5:$E$304,MATCH(B250,lst_Werkstoff,0))/1000*INDEX(Werkstoffe!$G$5:$G$304,MATCH(B250,lst_Werkstoff,0))/1000,""))</f>
        <v/>
      </c>
    </row>
    <row r="251">
      <c r="A251" s="9" t="n"/>
      <c r="B251" s="9" t="n"/>
      <c r="C251" s="9" t="n"/>
      <c r="D251" s="29" t="n"/>
      <c r="E251" s="19" t="n"/>
      <c r="F251" s="14" t="n"/>
      <c r="G251" s="9" t="n"/>
      <c r="H251" s="9" t="n"/>
      <c r="I251" s="28">
        <f>IF(A251&amp;B251="","",IF(ISNA(MATCH(A251,lst_Profil,0)),"FEHLER: Profil unbekannt",IF(ISNA(MATCH(B251,lst_Werkstoff,0)),"FEHLER: Werkstoff unbekannt",IF(COUNTIFS($A$5:$A$304,A251,$B$5:$B$304,B251)&gt;1,"FEHLER: doppelt",IF(OR(C251="",D251=""),"FEHLER: Preis unvollständig",IF(AND(C251="€/Stange",E251=""),"FEHLER: Stangenlänge fehlt","OK"))))))</f>
        <v/>
      </c>
      <c r="J251" s="18">
        <f>IF(OR(A251="",B251=""),"",IFERROR(INDEX(Profile!$K$5:$K$304,MATCH(A251,lst_Profil,0))*INDEX(Werkstoffe!$E$5:$E$304,MATCH(B251,lst_Werkstoff,0))/1000*INDEX(Werkstoffe!$G$5:$G$304,MATCH(B251,lst_Werkstoff,0))/1000,""))</f>
        <v/>
      </c>
    </row>
    <row r="252">
      <c r="A252" s="9" t="n"/>
      <c r="B252" s="9" t="n"/>
      <c r="C252" s="9" t="n"/>
      <c r="D252" s="29" t="n"/>
      <c r="E252" s="19" t="n"/>
      <c r="F252" s="14" t="n"/>
      <c r="G252" s="9" t="n"/>
      <c r="H252" s="9" t="n"/>
      <c r="I252" s="28">
        <f>IF(A252&amp;B252="","",IF(ISNA(MATCH(A252,lst_Profil,0)),"FEHLER: Profil unbekannt",IF(ISNA(MATCH(B252,lst_Werkstoff,0)),"FEHLER: Werkstoff unbekannt",IF(COUNTIFS($A$5:$A$304,A252,$B$5:$B$304,B252)&gt;1,"FEHLER: doppelt",IF(OR(C252="",D252=""),"FEHLER: Preis unvollständig",IF(AND(C252="€/Stange",E252=""),"FEHLER: Stangenlänge fehlt","OK"))))))</f>
        <v/>
      </c>
      <c r="J252" s="18">
        <f>IF(OR(A252="",B252=""),"",IFERROR(INDEX(Profile!$K$5:$K$304,MATCH(A252,lst_Profil,0))*INDEX(Werkstoffe!$E$5:$E$304,MATCH(B252,lst_Werkstoff,0))/1000*INDEX(Werkstoffe!$G$5:$G$304,MATCH(B252,lst_Werkstoff,0))/1000,""))</f>
        <v/>
      </c>
    </row>
    <row r="253">
      <c r="A253" s="9" t="n"/>
      <c r="B253" s="9" t="n"/>
      <c r="C253" s="9" t="n"/>
      <c r="D253" s="29" t="n"/>
      <c r="E253" s="19" t="n"/>
      <c r="F253" s="14" t="n"/>
      <c r="G253" s="9" t="n"/>
      <c r="H253" s="9" t="n"/>
      <c r="I253" s="28">
        <f>IF(A253&amp;B253="","",IF(ISNA(MATCH(A253,lst_Profil,0)),"FEHLER: Profil unbekannt",IF(ISNA(MATCH(B253,lst_Werkstoff,0)),"FEHLER: Werkstoff unbekannt",IF(COUNTIFS($A$5:$A$304,A253,$B$5:$B$304,B253)&gt;1,"FEHLER: doppelt",IF(OR(C253="",D253=""),"FEHLER: Preis unvollständig",IF(AND(C253="€/Stange",E253=""),"FEHLER: Stangenlänge fehlt","OK"))))))</f>
        <v/>
      </c>
      <c r="J253" s="18">
        <f>IF(OR(A253="",B253=""),"",IFERROR(INDEX(Profile!$K$5:$K$304,MATCH(A253,lst_Profil,0))*INDEX(Werkstoffe!$E$5:$E$304,MATCH(B253,lst_Werkstoff,0))/1000*INDEX(Werkstoffe!$G$5:$G$304,MATCH(B253,lst_Werkstoff,0))/1000,""))</f>
        <v/>
      </c>
    </row>
    <row r="254">
      <c r="A254" s="9" t="n"/>
      <c r="B254" s="9" t="n"/>
      <c r="C254" s="9" t="n"/>
      <c r="D254" s="29" t="n"/>
      <c r="E254" s="19" t="n"/>
      <c r="F254" s="14" t="n"/>
      <c r="G254" s="9" t="n"/>
      <c r="H254" s="9" t="n"/>
      <c r="I254" s="28">
        <f>IF(A254&amp;B254="","",IF(ISNA(MATCH(A254,lst_Profil,0)),"FEHLER: Profil unbekannt",IF(ISNA(MATCH(B254,lst_Werkstoff,0)),"FEHLER: Werkstoff unbekannt",IF(COUNTIFS($A$5:$A$304,A254,$B$5:$B$304,B254)&gt;1,"FEHLER: doppelt",IF(OR(C254="",D254=""),"FEHLER: Preis unvollständig",IF(AND(C254="€/Stange",E254=""),"FEHLER: Stangenlänge fehlt","OK"))))))</f>
        <v/>
      </c>
      <c r="J254" s="18">
        <f>IF(OR(A254="",B254=""),"",IFERROR(INDEX(Profile!$K$5:$K$304,MATCH(A254,lst_Profil,0))*INDEX(Werkstoffe!$E$5:$E$304,MATCH(B254,lst_Werkstoff,0))/1000*INDEX(Werkstoffe!$G$5:$G$304,MATCH(B254,lst_Werkstoff,0))/1000,""))</f>
        <v/>
      </c>
    </row>
    <row r="255">
      <c r="A255" s="9" t="n"/>
      <c r="B255" s="9" t="n"/>
      <c r="C255" s="9" t="n"/>
      <c r="D255" s="29" t="n"/>
      <c r="E255" s="19" t="n"/>
      <c r="F255" s="14" t="n"/>
      <c r="G255" s="9" t="n"/>
      <c r="H255" s="9" t="n"/>
      <c r="I255" s="28">
        <f>IF(A255&amp;B255="","",IF(ISNA(MATCH(A255,lst_Profil,0)),"FEHLER: Profil unbekannt",IF(ISNA(MATCH(B255,lst_Werkstoff,0)),"FEHLER: Werkstoff unbekannt",IF(COUNTIFS($A$5:$A$304,A255,$B$5:$B$304,B255)&gt;1,"FEHLER: doppelt",IF(OR(C255="",D255=""),"FEHLER: Preis unvollständig",IF(AND(C255="€/Stange",E255=""),"FEHLER: Stangenlänge fehlt","OK"))))))</f>
        <v/>
      </c>
      <c r="J255" s="18">
        <f>IF(OR(A255="",B255=""),"",IFERROR(INDEX(Profile!$K$5:$K$304,MATCH(A255,lst_Profil,0))*INDEX(Werkstoffe!$E$5:$E$304,MATCH(B255,lst_Werkstoff,0))/1000*INDEX(Werkstoffe!$G$5:$G$304,MATCH(B255,lst_Werkstoff,0))/1000,""))</f>
        <v/>
      </c>
    </row>
    <row r="256">
      <c r="A256" s="9" t="n"/>
      <c r="B256" s="9" t="n"/>
      <c r="C256" s="9" t="n"/>
      <c r="D256" s="29" t="n"/>
      <c r="E256" s="19" t="n"/>
      <c r="F256" s="14" t="n"/>
      <c r="G256" s="9" t="n"/>
      <c r="H256" s="9" t="n"/>
      <c r="I256" s="28">
        <f>IF(A256&amp;B256="","",IF(ISNA(MATCH(A256,lst_Profil,0)),"FEHLER: Profil unbekannt",IF(ISNA(MATCH(B256,lst_Werkstoff,0)),"FEHLER: Werkstoff unbekannt",IF(COUNTIFS($A$5:$A$304,A256,$B$5:$B$304,B256)&gt;1,"FEHLER: doppelt",IF(OR(C256="",D256=""),"FEHLER: Preis unvollständig",IF(AND(C256="€/Stange",E256=""),"FEHLER: Stangenlänge fehlt","OK"))))))</f>
        <v/>
      </c>
      <c r="J256" s="18">
        <f>IF(OR(A256="",B256=""),"",IFERROR(INDEX(Profile!$K$5:$K$304,MATCH(A256,lst_Profil,0))*INDEX(Werkstoffe!$E$5:$E$304,MATCH(B256,lst_Werkstoff,0))/1000*INDEX(Werkstoffe!$G$5:$G$304,MATCH(B256,lst_Werkstoff,0))/1000,""))</f>
        <v/>
      </c>
    </row>
    <row r="257">
      <c r="A257" s="9" t="n"/>
      <c r="B257" s="9" t="n"/>
      <c r="C257" s="9" t="n"/>
      <c r="D257" s="29" t="n"/>
      <c r="E257" s="19" t="n"/>
      <c r="F257" s="14" t="n"/>
      <c r="G257" s="9" t="n"/>
      <c r="H257" s="9" t="n"/>
      <c r="I257" s="28">
        <f>IF(A257&amp;B257="","",IF(ISNA(MATCH(A257,lst_Profil,0)),"FEHLER: Profil unbekannt",IF(ISNA(MATCH(B257,lst_Werkstoff,0)),"FEHLER: Werkstoff unbekannt",IF(COUNTIFS($A$5:$A$304,A257,$B$5:$B$304,B257)&gt;1,"FEHLER: doppelt",IF(OR(C257="",D257=""),"FEHLER: Preis unvollständig",IF(AND(C257="€/Stange",E257=""),"FEHLER: Stangenlänge fehlt","OK"))))))</f>
        <v/>
      </c>
      <c r="J257" s="18">
        <f>IF(OR(A257="",B257=""),"",IFERROR(INDEX(Profile!$K$5:$K$304,MATCH(A257,lst_Profil,0))*INDEX(Werkstoffe!$E$5:$E$304,MATCH(B257,lst_Werkstoff,0))/1000*INDEX(Werkstoffe!$G$5:$G$304,MATCH(B257,lst_Werkstoff,0))/1000,""))</f>
        <v/>
      </c>
    </row>
    <row r="258">
      <c r="A258" s="9" t="n"/>
      <c r="B258" s="9" t="n"/>
      <c r="C258" s="9" t="n"/>
      <c r="D258" s="29" t="n"/>
      <c r="E258" s="19" t="n"/>
      <c r="F258" s="14" t="n"/>
      <c r="G258" s="9" t="n"/>
      <c r="H258" s="9" t="n"/>
      <c r="I258" s="28">
        <f>IF(A258&amp;B258="","",IF(ISNA(MATCH(A258,lst_Profil,0)),"FEHLER: Profil unbekannt",IF(ISNA(MATCH(B258,lst_Werkstoff,0)),"FEHLER: Werkstoff unbekannt",IF(COUNTIFS($A$5:$A$304,A258,$B$5:$B$304,B258)&gt;1,"FEHLER: doppelt",IF(OR(C258="",D258=""),"FEHLER: Preis unvollständig",IF(AND(C258="€/Stange",E258=""),"FEHLER: Stangenlänge fehlt","OK"))))))</f>
        <v/>
      </c>
      <c r="J258" s="18">
        <f>IF(OR(A258="",B258=""),"",IFERROR(INDEX(Profile!$K$5:$K$304,MATCH(A258,lst_Profil,0))*INDEX(Werkstoffe!$E$5:$E$304,MATCH(B258,lst_Werkstoff,0))/1000*INDEX(Werkstoffe!$G$5:$G$304,MATCH(B258,lst_Werkstoff,0))/1000,""))</f>
        <v/>
      </c>
    </row>
    <row r="259">
      <c r="A259" s="9" t="n"/>
      <c r="B259" s="9" t="n"/>
      <c r="C259" s="9" t="n"/>
      <c r="D259" s="29" t="n"/>
      <c r="E259" s="19" t="n"/>
      <c r="F259" s="14" t="n"/>
      <c r="G259" s="9" t="n"/>
      <c r="H259" s="9" t="n"/>
      <c r="I259" s="28">
        <f>IF(A259&amp;B259="","",IF(ISNA(MATCH(A259,lst_Profil,0)),"FEHLER: Profil unbekannt",IF(ISNA(MATCH(B259,lst_Werkstoff,0)),"FEHLER: Werkstoff unbekannt",IF(COUNTIFS($A$5:$A$304,A259,$B$5:$B$304,B259)&gt;1,"FEHLER: doppelt",IF(OR(C259="",D259=""),"FEHLER: Preis unvollständig",IF(AND(C259="€/Stange",E259=""),"FEHLER: Stangenlänge fehlt","OK"))))))</f>
        <v/>
      </c>
      <c r="J259" s="18">
        <f>IF(OR(A259="",B259=""),"",IFERROR(INDEX(Profile!$K$5:$K$304,MATCH(A259,lst_Profil,0))*INDEX(Werkstoffe!$E$5:$E$304,MATCH(B259,lst_Werkstoff,0))/1000*INDEX(Werkstoffe!$G$5:$G$304,MATCH(B259,lst_Werkstoff,0))/1000,""))</f>
        <v/>
      </c>
    </row>
    <row r="260">
      <c r="A260" s="9" t="n"/>
      <c r="B260" s="9" t="n"/>
      <c r="C260" s="9" t="n"/>
      <c r="D260" s="29" t="n"/>
      <c r="E260" s="19" t="n"/>
      <c r="F260" s="14" t="n"/>
      <c r="G260" s="9" t="n"/>
      <c r="H260" s="9" t="n"/>
      <c r="I260" s="28">
        <f>IF(A260&amp;B260="","",IF(ISNA(MATCH(A260,lst_Profil,0)),"FEHLER: Profil unbekannt",IF(ISNA(MATCH(B260,lst_Werkstoff,0)),"FEHLER: Werkstoff unbekannt",IF(COUNTIFS($A$5:$A$304,A260,$B$5:$B$304,B260)&gt;1,"FEHLER: doppelt",IF(OR(C260="",D260=""),"FEHLER: Preis unvollständig",IF(AND(C260="€/Stange",E260=""),"FEHLER: Stangenlänge fehlt","OK"))))))</f>
        <v/>
      </c>
      <c r="J260" s="18">
        <f>IF(OR(A260="",B260=""),"",IFERROR(INDEX(Profile!$K$5:$K$304,MATCH(A260,lst_Profil,0))*INDEX(Werkstoffe!$E$5:$E$304,MATCH(B260,lst_Werkstoff,0))/1000*INDEX(Werkstoffe!$G$5:$G$304,MATCH(B260,lst_Werkstoff,0))/1000,""))</f>
        <v/>
      </c>
    </row>
    <row r="261">
      <c r="A261" s="9" t="n"/>
      <c r="B261" s="9" t="n"/>
      <c r="C261" s="9" t="n"/>
      <c r="D261" s="29" t="n"/>
      <c r="E261" s="19" t="n"/>
      <c r="F261" s="14" t="n"/>
      <c r="G261" s="9" t="n"/>
      <c r="H261" s="9" t="n"/>
      <c r="I261" s="28">
        <f>IF(A261&amp;B261="","",IF(ISNA(MATCH(A261,lst_Profil,0)),"FEHLER: Profil unbekannt",IF(ISNA(MATCH(B261,lst_Werkstoff,0)),"FEHLER: Werkstoff unbekannt",IF(COUNTIFS($A$5:$A$304,A261,$B$5:$B$304,B261)&gt;1,"FEHLER: doppelt",IF(OR(C261="",D261=""),"FEHLER: Preis unvollständig",IF(AND(C261="€/Stange",E261=""),"FEHLER: Stangenlänge fehlt","OK"))))))</f>
        <v/>
      </c>
      <c r="J261" s="18">
        <f>IF(OR(A261="",B261=""),"",IFERROR(INDEX(Profile!$K$5:$K$304,MATCH(A261,lst_Profil,0))*INDEX(Werkstoffe!$E$5:$E$304,MATCH(B261,lst_Werkstoff,0))/1000*INDEX(Werkstoffe!$G$5:$G$304,MATCH(B261,lst_Werkstoff,0))/1000,""))</f>
        <v/>
      </c>
    </row>
    <row r="262">
      <c r="A262" s="9" t="n"/>
      <c r="B262" s="9" t="n"/>
      <c r="C262" s="9" t="n"/>
      <c r="D262" s="29" t="n"/>
      <c r="E262" s="19" t="n"/>
      <c r="F262" s="14" t="n"/>
      <c r="G262" s="9" t="n"/>
      <c r="H262" s="9" t="n"/>
      <c r="I262" s="28">
        <f>IF(A262&amp;B262="","",IF(ISNA(MATCH(A262,lst_Profil,0)),"FEHLER: Profil unbekannt",IF(ISNA(MATCH(B262,lst_Werkstoff,0)),"FEHLER: Werkstoff unbekannt",IF(COUNTIFS($A$5:$A$304,A262,$B$5:$B$304,B262)&gt;1,"FEHLER: doppelt",IF(OR(C262="",D262=""),"FEHLER: Preis unvollständig",IF(AND(C262="€/Stange",E262=""),"FEHLER: Stangenlänge fehlt","OK"))))))</f>
        <v/>
      </c>
      <c r="J262" s="18">
        <f>IF(OR(A262="",B262=""),"",IFERROR(INDEX(Profile!$K$5:$K$304,MATCH(A262,lst_Profil,0))*INDEX(Werkstoffe!$E$5:$E$304,MATCH(B262,lst_Werkstoff,0))/1000*INDEX(Werkstoffe!$G$5:$G$304,MATCH(B262,lst_Werkstoff,0))/1000,""))</f>
        <v/>
      </c>
    </row>
    <row r="263">
      <c r="A263" s="9" t="n"/>
      <c r="B263" s="9" t="n"/>
      <c r="C263" s="9" t="n"/>
      <c r="D263" s="29" t="n"/>
      <c r="E263" s="19" t="n"/>
      <c r="F263" s="14" t="n"/>
      <c r="G263" s="9" t="n"/>
      <c r="H263" s="9" t="n"/>
      <c r="I263" s="28">
        <f>IF(A263&amp;B263="","",IF(ISNA(MATCH(A263,lst_Profil,0)),"FEHLER: Profil unbekannt",IF(ISNA(MATCH(B263,lst_Werkstoff,0)),"FEHLER: Werkstoff unbekannt",IF(COUNTIFS($A$5:$A$304,A263,$B$5:$B$304,B263)&gt;1,"FEHLER: doppelt",IF(OR(C263="",D263=""),"FEHLER: Preis unvollständig",IF(AND(C263="€/Stange",E263=""),"FEHLER: Stangenlänge fehlt","OK"))))))</f>
        <v/>
      </c>
      <c r="J263" s="18">
        <f>IF(OR(A263="",B263=""),"",IFERROR(INDEX(Profile!$K$5:$K$304,MATCH(A263,lst_Profil,0))*INDEX(Werkstoffe!$E$5:$E$304,MATCH(B263,lst_Werkstoff,0))/1000*INDEX(Werkstoffe!$G$5:$G$304,MATCH(B263,lst_Werkstoff,0))/1000,""))</f>
        <v/>
      </c>
    </row>
    <row r="264">
      <c r="A264" s="9" t="n"/>
      <c r="B264" s="9" t="n"/>
      <c r="C264" s="9" t="n"/>
      <c r="D264" s="29" t="n"/>
      <c r="E264" s="19" t="n"/>
      <c r="F264" s="14" t="n"/>
      <c r="G264" s="9" t="n"/>
      <c r="H264" s="9" t="n"/>
      <c r="I264" s="28">
        <f>IF(A264&amp;B264="","",IF(ISNA(MATCH(A264,lst_Profil,0)),"FEHLER: Profil unbekannt",IF(ISNA(MATCH(B264,lst_Werkstoff,0)),"FEHLER: Werkstoff unbekannt",IF(COUNTIFS($A$5:$A$304,A264,$B$5:$B$304,B264)&gt;1,"FEHLER: doppelt",IF(OR(C264="",D264=""),"FEHLER: Preis unvollständig",IF(AND(C264="€/Stange",E264=""),"FEHLER: Stangenlänge fehlt","OK"))))))</f>
        <v/>
      </c>
      <c r="J264" s="18">
        <f>IF(OR(A264="",B264=""),"",IFERROR(INDEX(Profile!$K$5:$K$304,MATCH(A264,lst_Profil,0))*INDEX(Werkstoffe!$E$5:$E$304,MATCH(B264,lst_Werkstoff,0))/1000*INDEX(Werkstoffe!$G$5:$G$304,MATCH(B264,lst_Werkstoff,0))/1000,""))</f>
        <v/>
      </c>
    </row>
    <row r="265">
      <c r="A265" s="9" t="n"/>
      <c r="B265" s="9" t="n"/>
      <c r="C265" s="9" t="n"/>
      <c r="D265" s="29" t="n"/>
      <c r="E265" s="19" t="n"/>
      <c r="F265" s="14" t="n"/>
      <c r="G265" s="9" t="n"/>
      <c r="H265" s="9" t="n"/>
      <c r="I265" s="28">
        <f>IF(A265&amp;B265="","",IF(ISNA(MATCH(A265,lst_Profil,0)),"FEHLER: Profil unbekannt",IF(ISNA(MATCH(B265,lst_Werkstoff,0)),"FEHLER: Werkstoff unbekannt",IF(COUNTIFS($A$5:$A$304,A265,$B$5:$B$304,B265)&gt;1,"FEHLER: doppelt",IF(OR(C265="",D265=""),"FEHLER: Preis unvollständig",IF(AND(C265="€/Stange",E265=""),"FEHLER: Stangenlänge fehlt","OK"))))))</f>
        <v/>
      </c>
      <c r="J265" s="18">
        <f>IF(OR(A265="",B265=""),"",IFERROR(INDEX(Profile!$K$5:$K$304,MATCH(A265,lst_Profil,0))*INDEX(Werkstoffe!$E$5:$E$304,MATCH(B265,lst_Werkstoff,0))/1000*INDEX(Werkstoffe!$G$5:$G$304,MATCH(B265,lst_Werkstoff,0))/1000,""))</f>
        <v/>
      </c>
    </row>
    <row r="266">
      <c r="A266" s="9" t="n"/>
      <c r="B266" s="9" t="n"/>
      <c r="C266" s="9" t="n"/>
      <c r="D266" s="29" t="n"/>
      <c r="E266" s="19" t="n"/>
      <c r="F266" s="14" t="n"/>
      <c r="G266" s="9" t="n"/>
      <c r="H266" s="9" t="n"/>
      <c r="I266" s="28">
        <f>IF(A266&amp;B266="","",IF(ISNA(MATCH(A266,lst_Profil,0)),"FEHLER: Profil unbekannt",IF(ISNA(MATCH(B266,lst_Werkstoff,0)),"FEHLER: Werkstoff unbekannt",IF(COUNTIFS($A$5:$A$304,A266,$B$5:$B$304,B266)&gt;1,"FEHLER: doppelt",IF(OR(C266="",D266=""),"FEHLER: Preis unvollständig",IF(AND(C266="€/Stange",E266=""),"FEHLER: Stangenlänge fehlt","OK"))))))</f>
        <v/>
      </c>
      <c r="J266" s="18">
        <f>IF(OR(A266="",B266=""),"",IFERROR(INDEX(Profile!$K$5:$K$304,MATCH(A266,lst_Profil,0))*INDEX(Werkstoffe!$E$5:$E$304,MATCH(B266,lst_Werkstoff,0))/1000*INDEX(Werkstoffe!$G$5:$G$304,MATCH(B266,lst_Werkstoff,0))/1000,""))</f>
        <v/>
      </c>
    </row>
    <row r="267">
      <c r="A267" s="9" t="n"/>
      <c r="B267" s="9" t="n"/>
      <c r="C267" s="9" t="n"/>
      <c r="D267" s="29" t="n"/>
      <c r="E267" s="19" t="n"/>
      <c r="F267" s="14" t="n"/>
      <c r="G267" s="9" t="n"/>
      <c r="H267" s="9" t="n"/>
      <c r="I267" s="28">
        <f>IF(A267&amp;B267="","",IF(ISNA(MATCH(A267,lst_Profil,0)),"FEHLER: Profil unbekannt",IF(ISNA(MATCH(B267,lst_Werkstoff,0)),"FEHLER: Werkstoff unbekannt",IF(COUNTIFS($A$5:$A$304,A267,$B$5:$B$304,B267)&gt;1,"FEHLER: doppelt",IF(OR(C267="",D267=""),"FEHLER: Preis unvollständig",IF(AND(C267="€/Stange",E267=""),"FEHLER: Stangenlänge fehlt","OK"))))))</f>
        <v/>
      </c>
      <c r="J267" s="18">
        <f>IF(OR(A267="",B267=""),"",IFERROR(INDEX(Profile!$K$5:$K$304,MATCH(A267,lst_Profil,0))*INDEX(Werkstoffe!$E$5:$E$304,MATCH(B267,lst_Werkstoff,0))/1000*INDEX(Werkstoffe!$G$5:$G$304,MATCH(B267,lst_Werkstoff,0))/1000,""))</f>
        <v/>
      </c>
    </row>
    <row r="268">
      <c r="A268" s="9" t="n"/>
      <c r="B268" s="9" t="n"/>
      <c r="C268" s="9" t="n"/>
      <c r="D268" s="29" t="n"/>
      <c r="E268" s="19" t="n"/>
      <c r="F268" s="14" t="n"/>
      <c r="G268" s="9" t="n"/>
      <c r="H268" s="9" t="n"/>
      <c r="I268" s="28">
        <f>IF(A268&amp;B268="","",IF(ISNA(MATCH(A268,lst_Profil,0)),"FEHLER: Profil unbekannt",IF(ISNA(MATCH(B268,lst_Werkstoff,0)),"FEHLER: Werkstoff unbekannt",IF(COUNTIFS($A$5:$A$304,A268,$B$5:$B$304,B268)&gt;1,"FEHLER: doppelt",IF(OR(C268="",D268=""),"FEHLER: Preis unvollständig",IF(AND(C268="€/Stange",E268=""),"FEHLER: Stangenlänge fehlt","OK"))))))</f>
        <v/>
      </c>
      <c r="J268" s="18">
        <f>IF(OR(A268="",B268=""),"",IFERROR(INDEX(Profile!$K$5:$K$304,MATCH(A268,lst_Profil,0))*INDEX(Werkstoffe!$E$5:$E$304,MATCH(B268,lst_Werkstoff,0))/1000*INDEX(Werkstoffe!$G$5:$G$304,MATCH(B268,lst_Werkstoff,0))/1000,""))</f>
        <v/>
      </c>
    </row>
    <row r="269">
      <c r="A269" s="9" t="n"/>
      <c r="B269" s="9" t="n"/>
      <c r="C269" s="9" t="n"/>
      <c r="D269" s="29" t="n"/>
      <c r="E269" s="19" t="n"/>
      <c r="F269" s="14" t="n"/>
      <c r="G269" s="9" t="n"/>
      <c r="H269" s="9" t="n"/>
      <c r="I269" s="28">
        <f>IF(A269&amp;B269="","",IF(ISNA(MATCH(A269,lst_Profil,0)),"FEHLER: Profil unbekannt",IF(ISNA(MATCH(B269,lst_Werkstoff,0)),"FEHLER: Werkstoff unbekannt",IF(COUNTIFS($A$5:$A$304,A269,$B$5:$B$304,B269)&gt;1,"FEHLER: doppelt",IF(OR(C269="",D269=""),"FEHLER: Preis unvollständig",IF(AND(C269="€/Stange",E269=""),"FEHLER: Stangenlänge fehlt","OK"))))))</f>
        <v/>
      </c>
      <c r="J269" s="18">
        <f>IF(OR(A269="",B269=""),"",IFERROR(INDEX(Profile!$K$5:$K$304,MATCH(A269,lst_Profil,0))*INDEX(Werkstoffe!$E$5:$E$304,MATCH(B269,lst_Werkstoff,0))/1000*INDEX(Werkstoffe!$G$5:$G$304,MATCH(B269,lst_Werkstoff,0))/1000,""))</f>
        <v/>
      </c>
    </row>
    <row r="270">
      <c r="A270" s="9" t="n"/>
      <c r="B270" s="9" t="n"/>
      <c r="C270" s="9" t="n"/>
      <c r="D270" s="29" t="n"/>
      <c r="E270" s="19" t="n"/>
      <c r="F270" s="14" t="n"/>
      <c r="G270" s="9" t="n"/>
      <c r="H270" s="9" t="n"/>
      <c r="I270" s="28">
        <f>IF(A270&amp;B270="","",IF(ISNA(MATCH(A270,lst_Profil,0)),"FEHLER: Profil unbekannt",IF(ISNA(MATCH(B270,lst_Werkstoff,0)),"FEHLER: Werkstoff unbekannt",IF(COUNTIFS($A$5:$A$304,A270,$B$5:$B$304,B270)&gt;1,"FEHLER: doppelt",IF(OR(C270="",D270=""),"FEHLER: Preis unvollständig",IF(AND(C270="€/Stange",E270=""),"FEHLER: Stangenlänge fehlt","OK"))))))</f>
        <v/>
      </c>
      <c r="J270" s="18">
        <f>IF(OR(A270="",B270=""),"",IFERROR(INDEX(Profile!$K$5:$K$304,MATCH(A270,lst_Profil,0))*INDEX(Werkstoffe!$E$5:$E$304,MATCH(B270,lst_Werkstoff,0))/1000*INDEX(Werkstoffe!$G$5:$G$304,MATCH(B270,lst_Werkstoff,0))/1000,""))</f>
        <v/>
      </c>
    </row>
    <row r="271">
      <c r="A271" s="9" t="n"/>
      <c r="B271" s="9" t="n"/>
      <c r="C271" s="9" t="n"/>
      <c r="D271" s="29" t="n"/>
      <c r="E271" s="19" t="n"/>
      <c r="F271" s="14" t="n"/>
      <c r="G271" s="9" t="n"/>
      <c r="H271" s="9" t="n"/>
      <c r="I271" s="28">
        <f>IF(A271&amp;B271="","",IF(ISNA(MATCH(A271,lst_Profil,0)),"FEHLER: Profil unbekannt",IF(ISNA(MATCH(B271,lst_Werkstoff,0)),"FEHLER: Werkstoff unbekannt",IF(COUNTIFS($A$5:$A$304,A271,$B$5:$B$304,B271)&gt;1,"FEHLER: doppelt",IF(OR(C271="",D271=""),"FEHLER: Preis unvollständig",IF(AND(C271="€/Stange",E271=""),"FEHLER: Stangenlänge fehlt","OK"))))))</f>
        <v/>
      </c>
      <c r="J271" s="18">
        <f>IF(OR(A271="",B271=""),"",IFERROR(INDEX(Profile!$K$5:$K$304,MATCH(A271,lst_Profil,0))*INDEX(Werkstoffe!$E$5:$E$304,MATCH(B271,lst_Werkstoff,0))/1000*INDEX(Werkstoffe!$G$5:$G$304,MATCH(B271,lst_Werkstoff,0))/1000,""))</f>
        <v/>
      </c>
    </row>
    <row r="272">
      <c r="A272" s="9" t="n"/>
      <c r="B272" s="9" t="n"/>
      <c r="C272" s="9" t="n"/>
      <c r="D272" s="29" t="n"/>
      <c r="E272" s="19" t="n"/>
      <c r="F272" s="14" t="n"/>
      <c r="G272" s="9" t="n"/>
      <c r="H272" s="9" t="n"/>
      <c r="I272" s="28">
        <f>IF(A272&amp;B272="","",IF(ISNA(MATCH(A272,lst_Profil,0)),"FEHLER: Profil unbekannt",IF(ISNA(MATCH(B272,lst_Werkstoff,0)),"FEHLER: Werkstoff unbekannt",IF(COUNTIFS($A$5:$A$304,A272,$B$5:$B$304,B272)&gt;1,"FEHLER: doppelt",IF(OR(C272="",D272=""),"FEHLER: Preis unvollständig",IF(AND(C272="€/Stange",E272=""),"FEHLER: Stangenlänge fehlt","OK"))))))</f>
        <v/>
      </c>
      <c r="J272" s="18">
        <f>IF(OR(A272="",B272=""),"",IFERROR(INDEX(Profile!$K$5:$K$304,MATCH(A272,lst_Profil,0))*INDEX(Werkstoffe!$E$5:$E$304,MATCH(B272,lst_Werkstoff,0))/1000*INDEX(Werkstoffe!$G$5:$G$304,MATCH(B272,lst_Werkstoff,0))/1000,""))</f>
        <v/>
      </c>
    </row>
    <row r="273">
      <c r="A273" s="9" t="n"/>
      <c r="B273" s="9" t="n"/>
      <c r="C273" s="9" t="n"/>
      <c r="D273" s="29" t="n"/>
      <c r="E273" s="19" t="n"/>
      <c r="F273" s="14" t="n"/>
      <c r="G273" s="9" t="n"/>
      <c r="H273" s="9" t="n"/>
      <c r="I273" s="28">
        <f>IF(A273&amp;B273="","",IF(ISNA(MATCH(A273,lst_Profil,0)),"FEHLER: Profil unbekannt",IF(ISNA(MATCH(B273,lst_Werkstoff,0)),"FEHLER: Werkstoff unbekannt",IF(COUNTIFS($A$5:$A$304,A273,$B$5:$B$304,B273)&gt;1,"FEHLER: doppelt",IF(OR(C273="",D273=""),"FEHLER: Preis unvollständig",IF(AND(C273="€/Stange",E273=""),"FEHLER: Stangenlänge fehlt","OK"))))))</f>
        <v/>
      </c>
      <c r="J273" s="18">
        <f>IF(OR(A273="",B273=""),"",IFERROR(INDEX(Profile!$K$5:$K$304,MATCH(A273,lst_Profil,0))*INDEX(Werkstoffe!$E$5:$E$304,MATCH(B273,lst_Werkstoff,0))/1000*INDEX(Werkstoffe!$G$5:$G$304,MATCH(B273,lst_Werkstoff,0))/1000,""))</f>
        <v/>
      </c>
    </row>
    <row r="274">
      <c r="A274" s="9" t="n"/>
      <c r="B274" s="9" t="n"/>
      <c r="C274" s="9" t="n"/>
      <c r="D274" s="29" t="n"/>
      <c r="E274" s="19" t="n"/>
      <c r="F274" s="14" t="n"/>
      <c r="G274" s="9" t="n"/>
      <c r="H274" s="9" t="n"/>
      <c r="I274" s="28">
        <f>IF(A274&amp;B274="","",IF(ISNA(MATCH(A274,lst_Profil,0)),"FEHLER: Profil unbekannt",IF(ISNA(MATCH(B274,lst_Werkstoff,0)),"FEHLER: Werkstoff unbekannt",IF(COUNTIFS($A$5:$A$304,A274,$B$5:$B$304,B274)&gt;1,"FEHLER: doppelt",IF(OR(C274="",D274=""),"FEHLER: Preis unvollständig",IF(AND(C274="€/Stange",E274=""),"FEHLER: Stangenlänge fehlt","OK"))))))</f>
        <v/>
      </c>
      <c r="J274" s="18">
        <f>IF(OR(A274="",B274=""),"",IFERROR(INDEX(Profile!$K$5:$K$304,MATCH(A274,lst_Profil,0))*INDEX(Werkstoffe!$E$5:$E$304,MATCH(B274,lst_Werkstoff,0))/1000*INDEX(Werkstoffe!$G$5:$G$304,MATCH(B274,lst_Werkstoff,0))/1000,""))</f>
        <v/>
      </c>
    </row>
    <row r="275">
      <c r="A275" s="9" t="n"/>
      <c r="B275" s="9" t="n"/>
      <c r="C275" s="9" t="n"/>
      <c r="D275" s="29" t="n"/>
      <c r="E275" s="19" t="n"/>
      <c r="F275" s="14" t="n"/>
      <c r="G275" s="9" t="n"/>
      <c r="H275" s="9" t="n"/>
      <c r="I275" s="28">
        <f>IF(A275&amp;B275="","",IF(ISNA(MATCH(A275,lst_Profil,0)),"FEHLER: Profil unbekannt",IF(ISNA(MATCH(B275,lst_Werkstoff,0)),"FEHLER: Werkstoff unbekannt",IF(COUNTIFS($A$5:$A$304,A275,$B$5:$B$304,B275)&gt;1,"FEHLER: doppelt",IF(OR(C275="",D275=""),"FEHLER: Preis unvollständig",IF(AND(C275="€/Stange",E275=""),"FEHLER: Stangenlänge fehlt","OK"))))))</f>
        <v/>
      </c>
      <c r="J275" s="18">
        <f>IF(OR(A275="",B275=""),"",IFERROR(INDEX(Profile!$K$5:$K$304,MATCH(A275,lst_Profil,0))*INDEX(Werkstoffe!$E$5:$E$304,MATCH(B275,lst_Werkstoff,0))/1000*INDEX(Werkstoffe!$G$5:$G$304,MATCH(B275,lst_Werkstoff,0))/1000,""))</f>
        <v/>
      </c>
    </row>
    <row r="276">
      <c r="A276" s="9" t="n"/>
      <c r="B276" s="9" t="n"/>
      <c r="C276" s="9" t="n"/>
      <c r="D276" s="29" t="n"/>
      <c r="E276" s="19" t="n"/>
      <c r="F276" s="14" t="n"/>
      <c r="G276" s="9" t="n"/>
      <c r="H276" s="9" t="n"/>
      <c r="I276" s="28">
        <f>IF(A276&amp;B276="","",IF(ISNA(MATCH(A276,lst_Profil,0)),"FEHLER: Profil unbekannt",IF(ISNA(MATCH(B276,lst_Werkstoff,0)),"FEHLER: Werkstoff unbekannt",IF(COUNTIFS($A$5:$A$304,A276,$B$5:$B$304,B276)&gt;1,"FEHLER: doppelt",IF(OR(C276="",D276=""),"FEHLER: Preis unvollständig",IF(AND(C276="€/Stange",E276=""),"FEHLER: Stangenlänge fehlt","OK"))))))</f>
        <v/>
      </c>
      <c r="J276" s="18">
        <f>IF(OR(A276="",B276=""),"",IFERROR(INDEX(Profile!$K$5:$K$304,MATCH(A276,lst_Profil,0))*INDEX(Werkstoffe!$E$5:$E$304,MATCH(B276,lst_Werkstoff,0))/1000*INDEX(Werkstoffe!$G$5:$G$304,MATCH(B276,lst_Werkstoff,0))/1000,""))</f>
        <v/>
      </c>
    </row>
    <row r="277">
      <c r="A277" s="9" t="n"/>
      <c r="B277" s="9" t="n"/>
      <c r="C277" s="9" t="n"/>
      <c r="D277" s="29" t="n"/>
      <c r="E277" s="19" t="n"/>
      <c r="F277" s="14" t="n"/>
      <c r="G277" s="9" t="n"/>
      <c r="H277" s="9" t="n"/>
      <c r="I277" s="28">
        <f>IF(A277&amp;B277="","",IF(ISNA(MATCH(A277,lst_Profil,0)),"FEHLER: Profil unbekannt",IF(ISNA(MATCH(B277,lst_Werkstoff,0)),"FEHLER: Werkstoff unbekannt",IF(COUNTIFS($A$5:$A$304,A277,$B$5:$B$304,B277)&gt;1,"FEHLER: doppelt",IF(OR(C277="",D277=""),"FEHLER: Preis unvollständig",IF(AND(C277="€/Stange",E277=""),"FEHLER: Stangenlänge fehlt","OK"))))))</f>
        <v/>
      </c>
      <c r="J277" s="18">
        <f>IF(OR(A277="",B277=""),"",IFERROR(INDEX(Profile!$K$5:$K$304,MATCH(A277,lst_Profil,0))*INDEX(Werkstoffe!$E$5:$E$304,MATCH(B277,lst_Werkstoff,0))/1000*INDEX(Werkstoffe!$G$5:$G$304,MATCH(B277,lst_Werkstoff,0))/1000,""))</f>
        <v/>
      </c>
    </row>
    <row r="278">
      <c r="A278" s="9" t="n"/>
      <c r="B278" s="9" t="n"/>
      <c r="C278" s="9" t="n"/>
      <c r="D278" s="29" t="n"/>
      <c r="E278" s="19" t="n"/>
      <c r="F278" s="14" t="n"/>
      <c r="G278" s="9" t="n"/>
      <c r="H278" s="9" t="n"/>
      <c r="I278" s="28">
        <f>IF(A278&amp;B278="","",IF(ISNA(MATCH(A278,lst_Profil,0)),"FEHLER: Profil unbekannt",IF(ISNA(MATCH(B278,lst_Werkstoff,0)),"FEHLER: Werkstoff unbekannt",IF(COUNTIFS($A$5:$A$304,A278,$B$5:$B$304,B278)&gt;1,"FEHLER: doppelt",IF(OR(C278="",D278=""),"FEHLER: Preis unvollständig",IF(AND(C278="€/Stange",E278=""),"FEHLER: Stangenlänge fehlt","OK"))))))</f>
        <v/>
      </c>
      <c r="J278" s="18">
        <f>IF(OR(A278="",B278=""),"",IFERROR(INDEX(Profile!$K$5:$K$304,MATCH(A278,lst_Profil,0))*INDEX(Werkstoffe!$E$5:$E$304,MATCH(B278,lst_Werkstoff,0))/1000*INDEX(Werkstoffe!$G$5:$G$304,MATCH(B278,lst_Werkstoff,0))/1000,""))</f>
        <v/>
      </c>
    </row>
    <row r="279">
      <c r="A279" s="9" t="n"/>
      <c r="B279" s="9" t="n"/>
      <c r="C279" s="9" t="n"/>
      <c r="D279" s="29" t="n"/>
      <c r="E279" s="19" t="n"/>
      <c r="F279" s="14" t="n"/>
      <c r="G279" s="9" t="n"/>
      <c r="H279" s="9" t="n"/>
      <c r="I279" s="28">
        <f>IF(A279&amp;B279="","",IF(ISNA(MATCH(A279,lst_Profil,0)),"FEHLER: Profil unbekannt",IF(ISNA(MATCH(B279,lst_Werkstoff,0)),"FEHLER: Werkstoff unbekannt",IF(COUNTIFS($A$5:$A$304,A279,$B$5:$B$304,B279)&gt;1,"FEHLER: doppelt",IF(OR(C279="",D279=""),"FEHLER: Preis unvollständig",IF(AND(C279="€/Stange",E279=""),"FEHLER: Stangenlänge fehlt","OK"))))))</f>
        <v/>
      </c>
      <c r="J279" s="18">
        <f>IF(OR(A279="",B279=""),"",IFERROR(INDEX(Profile!$K$5:$K$304,MATCH(A279,lst_Profil,0))*INDEX(Werkstoffe!$E$5:$E$304,MATCH(B279,lst_Werkstoff,0))/1000*INDEX(Werkstoffe!$G$5:$G$304,MATCH(B279,lst_Werkstoff,0))/1000,""))</f>
        <v/>
      </c>
    </row>
    <row r="280">
      <c r="A280" s="9" t="n"/>
      <c r="B280" s="9" t="n"/>
      <c r="C280" s="9" t="n"/>
      <c r="D280" s="29" t="n"/>
      <c r="E280" s="19" t="n"/>
      <c r="F280" s="14" t="n"/>
      <c r="G280" s="9" t="n"/>
      <c r="H280" s="9" t="n"/>
      <c r="I280" s="28">
        <f>IF(A280&amp;B280="","",IF(ISNA(MATCH(A280,lst_Profil,0)),"FEHLER: Profil unbekannt",IF(ISNA(MATCH(B280,lst_Werkstoff,0)),"FEHLER: Werkstoff unbekannt",IF(COUNTIFS($A$5:$A$304,A280,$B$5:$B$304,B280)&gt;1,"FEHLER: doppelt",IF(OR(C280="",D280=""),"FEHLER: Preis unvollständig",IF(AND(C280="€/Stange",E280=""),"FEHLER: Stangenlänge fehlt","OK"))))))</f>
        <v/>
      </c>
      <c r="J280" s="18">
        <f>IF(OR(A280="",B280=""),"",IFERROR(INDEX(Profile!$K$5:$K$304,MATCH(A280,lst_Profil,0))*INDEX(Werkstoffe!$E$5:$E$304,MATCH(B280,lst_Werkstoff,0))/1000*INDEX(Werkstoffe!$G$5:$G$304,MATCH(B280,lst_Werkstoff,0))/1000,""))</f>
        <v/>
      </c>
    </row>
    <row r="281">
      <c r="A281" s="9" t="n"/>
      <c r="B281" s="9" t="n"/>
      <c r="C281" s="9" t="n"/>
      <c r="D281" s="29" t="n"/>
      <c r="E281" s="19" t="n"/>
      <c r="F281" s="14" t="n"/>
      <c r="G281" s="9" t="n"/>
      <c r="H281" s="9" t="n"/>
      <c r="I281" s="28">
        <f>IF(A281&amp;B281="","",IF(ISNA(MATCH(A281,lst_Profil,0)),"FEHLER: Profil unbekannt",IF(ISNA(MATCH(B281,lst_Werkstoff,0)),"FEHLER: Werkstoff unbekannt",IF(COUNTIFS($A$5:$A$304,A281,$B$5:$B$304,B281)&gt;1,"FEHLER: doppelt",IF(OR(C281="",D281=""),"FEHLER: Preis unvollständig",IF(AND(C281="€/Stange",E281=""),"FEHLER: Stangenlänge fehlt","OK"))))))</f>
        <v/>
      </c>
      <c r="J281" s="18">
        <f>IF(OR(A281="",B281=""),"",IFERROR(INDEX(Profile!$K$5:$K$304,MATCH(A281,lst_Profil,0))*INDEX(Werkstoffe!$E$5:$E$304,MATCH(B281,lst_Werkstoff,0))/1000*INDEX(Werkstoffe!$G$5:$G$304,MATCH(B281,lst_Werkstoff,0))/1000,""))</f>
        <v/>
      </c>
    </row>
    <row r="282">
      <c r="A282" s="9" t="n"/>
      <c r="B282" s="9" t="n"/>
      <c r="C282" s="9" t="n"/>
      <c r="D282" s="29" t="n"/>
      <c r="E282" s="19" t="n"/>
      <c r="F282" s="14" t="n"/>
      <c r="G282" s="9" t="n"/>
      <c r="H282" s="9" t="n"/>
      <c r="I282" s="28">
        <f>IF(A282&amp;B282="","",IF(ISNA(MATCH(A282,lst_Profil,0)),"FEHLER: Profil unbekannt",IF(ISNA(MATCH(B282,lst_Werkstoff,0)),"FEHLER: Werkstoff unbekannt",IF(COUNTIFS($A$5:$A$304,A282,$B$5:$B$304,B282)&gt;1,"FEHLER: doppelt",IF(OR(C282="",D282=""),"FEHLER: Preis unvollständig",IF(AND(C282="€/Stange",E282=""),"FEHLER: Stangenlänge fehlt","OK"))))))</f>
        <v/>
      </c>
      <c r="J282" s="18">
        <f>IF(OR(A282="",B282=""),"",IFERROR(INDEX(Profile!$K$5:$K$304,MATCH(A282,lst_Profil,0))*INDEX(Werkstoffe!$E$5:$E$304,MATCH(B282,lst_Werkstoff,0))/1000*INDEX(Werkstoffe!$G$5:$G$304,MATCH(B282,lst_Werkstoff,0))/1000,""))</f>
        <v/>
      </c>
    </row>
    <row r="283">
      <c r="A283" s="9" t="n"/>
      <c r="B283" s="9" t="n"/>
      <c r="C283" s="9" t="n"/>
      <c r="D283" s="29" t="n"/>
      <c r="E283" s="19" t="n"/>
      <c r="F283" s="14" t="n"/>
      <c r="G283" s="9" t="n"/>
      <c r="H283" s="9" t="n"/>
      <c r="I283" s="28">
        <f>IF(A283&amp;B283="","",IF(ISNA(MATCH(A283,lst_Profil,0)),"FEHLER: Profil unbekannt",IF(ISNA(MATCH(B283,lst_Werkstoff,0)),"FEHLER: Werkstoff unbekannt",IF(COUNTIFS($A$5:$A$304,A283,$B$5:$B$304,B283)&gt;1,"FEHLER: doppelt",IF(OR(C283="",D283=""),"FEHLER: Preis unvollständig",IF(AND(C283="€/Stange",E283=""),"FEHLER: Stangenlänge fehlt","OK"))))))</f>
        <v/>
      </c>
      <c r="J283" s="18">
        <f>IF(OR(A283="",B283=""),"",IFERROR(INDEX(Profile!$K$5:$K$304,MATCH(A283,lst_Profil,0))*INDEX(Werkstoffe!$E$5:$E$304,MATCH(B283,lst_Werkstoff,0))/1000*INDEX(Werkstoffe!$G$5:$G$304,MATCH(B283,lst_Werkstoff,0))/1000,""))</f>
        <v/>
      </c>
    </row>
    <row r="284">
      <c r="A284" s="9" t="n"/>
      <c r="B284" s="9" t="n"/>
      <c r="C284" s="9" t="n"/>
      <c r="D284" s="29" t="n"/>
      <c r="E284" s="19" t="n"/>
      <c r="F284" s="14" t="n"/>
      <c r="G284" s="9" t="n"/>
      <c r="H284" s="9" t="n"/>
      <c r="I284" s="28">
        <f>IF(A284&amp;B284="","",IF(ISNA(MATCH(A284,lst_Profil,0)),"FEHLER: Profil unbekannt",IF(ISNA(MATCH(B284,lst_Werkstoff,0)),"FEHLER: Werkstoff unbekannt",IF(COUNTIFS($A$5:$A$304,A284,$B$5:$B$304,B284)&gt;1,"FEHLER: doppelt",IF(OR(C284="",D284=""),"FEHLER: Preis unvollständig",IF(AND(C284="€/Stange",E284=""),"FEHLER: Stangenlänge fehlt","OK"))))))</f>
        <v/>
      </c>
      <c r="J284" s="18">
        <f>IF(OR(A284="",B284=""),"",IFERROR(INDEX(Profile!$K$5:$K$304,MATCH(A284,lst_Profil,0))*INDEX(Werkstoffe!$E$5:$E$304,MATCH(B284,lst_Werkstoff,0))/1000*INDEX(Werkstoffe!$G$5:$G$304,MATCH(B284,lst_Werkstoff,0))/1000,""))</f>
        <v/>
      </c>
    </row>
    <row r="285">
      <c r="A285" s="9" t="n"/>
      <c r="B285" s="9" t="n"/>
      <c r="C285" s="9" t="n"/>
      <c r="D285" s="29" t="n"/>
      <c r="E285" s="19" t="n"/>
      <c r="F285" s="14" t="n"/>
      <c r="G285" s="9" t="n"/>
      <c r="H285" s="9" t="n"/>
      <c r="I285" s="28">
        <f>IF(A285&amp;B285="","",IF(ISNA(MATCH(A285,lst_Profil,0)),"FEHLER: Profil unbekannt",IF(ISNA(MATCH(B285,lst_Werkstoff,0)),"FEHLER: Werkstoff unbekannt",IF(COUNTIFS($A$5:$A$304,A285,$B$5:$B$304,B285)&gt;1,"FEHLER: doppelt",IF(OR(C285="",D285=""),"FEHLER: Preis unvollständig",IF(AND(C285="€/Stange",E285=""),"FEHLER: Stangenlänge fehlt","OK"))))))</f>
        <v/>
      </c>
      <c r="J285" s="18">
        <f>IF(OR(A285="",B285=""),"",IFERROR(INDEX(Profile!$K$5:$K$304,MATCH(A285,lst_Profil,0))*INDEX(Werkstoffe!$E$5:$E$304,MATCH(B285,lst_Werkstoff,0))/1000*INDEX(Werkstoffe!$G$5:$G$304,MATCH(B285,lst_Werkstoff,0))/1000,""))</f>
        <v/>
      </c>
    </row>
    <row r="286">
      <c r="A286" s="9" t="n"/>
      <c r="B286" s="9" t="n"/>
      <c r="C286" s="9" t="n"/>
      <c r="D286" s="29" t="n"/>
      <c r="E286" s="19" t="n"/>
      <c r="F286" s="14" t="n"/>
      <c r="G286" s="9" t="n"/>
      <c r="H286" s="9" t="n"/>
      <c r="I286" s="28">
        <f>IF(A286&amp;B286="","",IF(ISNA(MATCH(A286,lst_Profil,0)),"FEHLER: Profil unbekannt",IF(ISNA(MATCH(B286,lst_Werkstoff,0)),"FEHLER: Werkstoff unbekannt",IF(COUNTIFS($A$5:$A$304,A286,$B$5:$B$304,B286)&gt;1,"FEHLER: doppelt",IF(OR(C286="",D286=""),"FEHLER: Preis unvollständig",IF(AND(C286="€/Stange",E286=""),"FEHLER: Stangenlänge fehlt","OK"))))))</f>
        <v/>
      </c>
      <c r="J286" s="18">
        <f>IF(OR(A286="",B286=""),"",IFERROR(INDEX(Profile!$K$5:$K$304,MATCH(A286,lst_Profil,0))*INDEX(Werkstoffe!$E$5:$E$304,MATCH(B286,lst_Werkstoff,0))/1000*INDEX(Werkstoffe!$G$5:$G$304,MATCH(B286,lst_Werkstoff,0))/1000,""))</f>
        <v/>
      </c>
    </row>
    <row r="287">
      <c r="A287" s="9" t="n"/>
      <c r="B287" s="9" t="n"/>
      <c r="C287" s="9" t="n"/>
      <c r="D287" s="29" t="n"/>
      <c r="E287" s="19" t="n"/>
      <c r="F287" s="14" t="n"/>
      <c r="G287" s="9" t="n"/>
      <c r="H287" s="9" t="n"/>
      <c r="I287" s="28">
        <f>IF(A287&amp;B287="","",IF(ISNA(MATCH(A287,lst_Profil,0)),"FEHLER: Profil unbekannt",IF(ISNA(MATCH(B287,lst_Werkstoff,0)),"FEHLER: Werkstoff unbekannt",IF(COUNTIFS($A$5:$A$304,A287,$B$5:$B$304,B287)&gt;1,"FEHLER: doppelt",IF(OR(C287="",D287=""),"FEHLER: Preis unvollständig",IF(AND(C287="€/Stange",E287=""),"FEHLER: Stangenlänge fehlt","OK"))))))</f>
        <v/>
      </c>
      <c r="J287" s="18">
        <f>IF(OR(A287="",B287=""),"",IFERROR(INDEX(Profile!$K$5:$K$304,MATCH(A287,lst_Profil,0))*INDEX(Werkstoffe!$E$5:$E$304,MATCH(B287,lst_Werkstoff,0))/1000*INDEX(Werkstoffe!$G$5:$G$304,MATCH(B287,lst_Werkstoff,0))/1000,""))</f>
        <v/>
      </c>
    </row>
    <row r="288">
      <c r="A288" s="9" t="n"/>
      <c r="B288" s="9" t="n"/>
      <c r="C288" s="9" t="n"/>
      <c r="D288" s="29" t="n"/>
      <c r="E288" s="19" t="n"/>
      <c r="F288" s="14" t="n"/>
      <c r="G288" s="9" t="n"/>
      <c r="H288" s="9" t="n"/>
      <c r="I288" s="28">
        <f>IF(A288&amp;B288="","",IF(ISNA(MATCH(A288,lst_Profil,0)),"FEHLER: Profil unbekannt",IF(ISNA(MATCH(B288,lst_Werkstoff,0)),"FEHLER: Werkstoff unbekannt",IF(COUNTIFS($A$5:$A$304,A288,$B$5:$B$304,B288)&gt;1,"FEHLER: doppelt",IF(OR(C288="",D288=""),"FEHLER: Preis unvollständig",IF(AND(C288="€/Stange",E288=""),"FEHLER: Stangenlänge fehlt","OK"))))))</f>
        <v/>
      </c>
      <c r="J288" s="18">
        <f>IF(OR(A288="",B288=""),"",IFERROR(INDEX(Profile!$K$5:$K$304,MATCH(A288,lst_Profil,0))*INDEX(Werkstoffe!$E$5:$E$304,MATCH(B288,lst_Werkstoff,0))/1000*INDEX(Werkstoffe!$G$5:$G$304,MATCH(B288,lst_Werkstoff,0))/1000,""))</f>
        <v/>
      </c>
    </row>
    <row r="289">
      <c r="A289" s="9" t="n"/>
      <c r="B289" s="9" t="n"/>
      <c r="C289" s="9" t="n"/>
      <c r="D289" s="29" t="n"/>
      <c r="E289" s="19" t="n"/>
      <c r="F289" s="14" t="n"/>
      <c r="G289" s="9" t="n"/>
      <c r="H289" s="9" t="n"/>
      <c r="I289" s="28">
        <f>IF(A289&amp;B289="","",IF(ISNA(MATCH(A289,lst_Profil,0)),"FEHLER: Profil unbekannt",IF(ISNA(MATCH(B289,lst_Werkstoff,0)),"FEHLER: Werkstoff unbekannt",IF(COUNTIFS($A$5:$A$304,A289,$B$5:$B$304,B289)&gt;1,"FEHLER: doppelt",IF(OR(C289="",D289=""),"FEHLER: Preis unvollständig",IF(AND(C289="€/Stange",E289=""),"FEHLER: Stangenlänge fehlt","OK"))))))</f>
        <v/>
      </c>
      <c r="J289" s="18">
        <f>IF(OR(A289="",B289=""),"",IFERROR(INDEX(Profile!$K$5:$K$304,MATCH(A289,lst_Profil,0))*INDEX(Werkstoffe!$E$5:$E$304,MATCH(B289,lst_Werkstoff,0))/1000*INDEX(Werkstoffe!$G$5:$G$304,MATCH(B289,lst_Werkstoff,0))/1000,""))</f>
        <v/>
      </c>
    </row>
    <row r="290">
      <c r="A290" s="9" t="n"/>
      <c r="B290" s="9" t="n"/>
      <c r="C290" s="9" t="n"/>
      <c r="D290" s="29" t="n"/>
      <c r="E290" s="19" t="n"/>
      <c r="F290" s="14" t="n"/>
      <c r="G290" s="9" t="n"/>
      <c r="H290" s="9" t="n"/>
      <c r="I290" s="28">
        <f>IF(A290&amp;B290="","",IF(ISNA(MATCH(A290,lst_Profil,0)),"FEHLER: Profil unbekannt",IF(ISNA(MATCH(B290,lst_Werkstoff,0)),"FEHLER: Werkstoff unbekannt",IF(COUNTIFS($A$5:$A$304,A290,$B$5:$B$304,B290)&gt;1,"FEHLER: doppelt",IF(OR(C290="",D290=""),"FEHLER: Preis unvollständig",IF(AND(C290="€/Stange",E290=""),"FEHLER: Stangenlänge fehlt","OK"))))))</f>
        <v/>
      </c>
      <c r="J290" s="18">
        <f>IF(OR(A290="",B290=""),"",IFERROR(INDEX(Profile!$K$5:$K$304,MATCH(A290,lst_Profil,0))*INDEX(Werkstoffe!$E$5:$E$304,MATCH(B290,lst_Werkstoff,0))/1000*INDEX(Werkstoffe!$G$5:$G$304,MATCH(B290,lst_Werkstoff,0))/1000,""))</f>
        <v/>
      </c>
    </row>
    <row r="291">
      <c r="A291" s="9" t="n"/>
      <c r="B291" s="9" t="n"/>
      <c r="C291" s="9" t="n"/>
      <c r="D291" s="29" t="n"/>
      <c r="E291" s="19" t="n"/>
      <c r="F291" s="14" t="n"/>
      <c r="G291" s="9" t="n"/>
      <c r="H291" s="9" t="n"/>
      <c r="I291" s="28">
        <f>IF(A291&amp;B291="","",IF(ISNA(MATCH(A291,lst_Profil,0)),"FEHLER: Profil unbekannt",IF(ISNA(MATCH(B291,lst_Werkstoff,0)),"FEHLER: Werkstoff unbekannt",IF(COUNTIFS($A$5:$A$304,A291,$B$5:$B$304,B291)&gt;1,"FEHLER: doppelt",IF(OR(C291="",D291=""),"FEHLER: Preis unvollständig",IF(AND(C291="€/Stange",E291=""),"FEHLER: Stangenlänge fehlt","OK"))))))</f>
        <v/>
      </c>
      <c r="J291" s="18">
        <f>IF(OR(A291="",B291=""),"",IFERROR(INDEX(Profile!$K$5:$K$304,MATCH(A291,lst_Profil,0))*INDEX(Werkstoffe!$E$5:$E$304,MATCH(B291,lst_Werkstoff,0))/1000*INDEX(Werkstoffe!$G$5:$G$304,MATCH(B291,lst_Werkstoff,0))/1000,""))</f>
        <v/>
      </c>
    </row>
    <row r="292">
      <c r="A292" s="9" t="n"/>
      <c r="B292" s="9" t="n"/>
      <c r="C292" s="9" t="n"/>
      <c r="D292" s="29" t="n"/>
      <c r="E292" s="19" t="n"/>
      <c r="F292" s="14" t="n"/>
      <c r="G292" s="9" t="n"/>
      <c r="H292" s="9" t="n"/>
      <c r="I292" s="28">
        <f>IF(A292&amp;B292="","",IF(ISNA(MATCH(A292,lst_Profil,0)),"FEHLER: Profil unbekannt",IF(ISNA(MATCH(B292,lst_Werkstoff,0)),"FEHLER: Werkstoff unbekannt",IF(COUNTIFS($A$5:$A$304,A292,$B$5:$B$304,B292)&gt;1,"FEHLER: doppelt",IF(OR(C292="",D292=""),"FEHLER: Preis unvollständig",IF(AND(C292="€/Stange",E292=""),"FEHLER: Stangenlänge fehlt","OK"))))))</f>
        <v/>
      </c>
      <c r="J292" s="18">
        <f>IF(OR(A292="",B292=""),"",IFERROR(INDEX(Profile!$K$5:$K$304,MATCH(A292,lst_Profil,0))*INDEX(Werkstoffe!$E$5:$E$304,MATCH(B292,lst_Werkstoff,0))/1000*INDEX(Werkstoffe!$G$5:$G$304,MATCH(B292,lst_Werkstoff,0))/1000,""))</f>
        <v/>
      </c>
    </row>
    <row r="293">
      <c r="A293" s="9" t="n"/>
      <c r="B293" s="9" t="n"/>
      <c r="C293" s="9" t="n"/>
      <c r="D293" s="29" t="n"/>
      <c r="E293" s="19" t="n"/>
      <c r="F293" s="14" t="n"/>
      <c r="G293" s="9" t="n"/>
      <c r="H293" s="9" t="n"/>
      <c r="I293" s="28">
        <f>IF(A293&amp;B293="","",IF(ISNA(MATCH(A293,lst_Profil,0)),"FEHLER: Profil unbekannt",IF(ISNA(MATCH(B293,lst_Werkstoff,0)),"FEHLER: Werkstoff unbekannt",IF(COUNTIFS($A$5:$A$304,A293,$B$5:$B$304,B293)&gt;1,"FEHLER: doppelt",IF(OR(C293="",D293=""),"FEHLER: Preis unvollständig",IF(AND(C293="€/Stange",E293=""),"FEHLER: Stangenlänge fehlt","OK"))))))</f>
        <v/>
      </c>
      <c r="J293" s="18">
        <f>IF(OR(A293="",B293=""),"",IFERROR(INDEX(Profile!$K$5:$K$304,MATCH(A293,lst_Profil,0))*INDEX(Werkstoffe!$E$5:$E$304,MATCH(B293,lst_Werkstoff,0))/1000*INDEX(Werkstoffe!$G$5:$G$304,MATCH(B293,lst_Werkstoff,0))/1000,""))</f>
        <v/>
      </c>
    </row>
    <row r="294">
      <c r="A294" s="9" t="n"/>
      <c r="B294" s="9" t="n"/>
      <c r="C294" s="9" t="n"/>
      <c r="D294" s="29" t="n"/>
      <c r="E294" s="19" t="n"/>
      <c r="F294" s="14" t="n"/>
      <c r="G294" s="9" t="n"/>
      <c r="H294" s="9" t="n"/>
      <c r="I294" s="28">
        <f>IF(A294&amp;B294="","",IF(ISNA(MATCH(A294,lst_Profil,0)),"FEHLER: Profil unbekannt",IF(ISNA(MATCH(B294,lst_Werkstoff,0)),"FEHLER: Werkstoff unbekannt",IF(COUNTIFS($A$5:$A$304,A294,$B$5:$B$304,B294)&gt;1,"FEHLER: doppelt",IF(OR(C294="",D294=""),"FEHLER: Preis unvollständig",IF(AND(C294="€/Stange",E294=""),"FEHLER: Stangenlänge fehlt","OK"))))))</f>
        <v/>
      </c>
      <c r="J294" s="18">
        <f>IF(OR(A294="",B294=""),"",IFERROR(INDEX(Profile!$K$5:$K$304,MATCH(A294,lst_Profil,0))*INDEX(Werkstoffe!$E$5:$E$304,MATCH(B294,lst_Werkstoff,0))/1000*INDEX(Werkstoffe!$G$5:$G$304,MATCH(B294,lst_Werkstoff,0))/1000,""))</f>
        <v/>
      </c>
    </row>
    <row r="295">
      <c r="A295" s="9" t="n"/>
      <c r="B295" s="9" t="n"/>
      <c r="C295" s="9" t="n"/>
      <c r="D295" s="29" t="n"/>
      <c r="E295" s="19" t="n"/>
      <c r="F295" s="14" t="n"/>
      <c r="G295" s="9" t="n"/>
      <c r="H295" s="9" t="n"/>
      <c r="I295" s="28">
        <f>IF(A295&amp;B295="","",IF(ISNA(MATCH(A295,lst_Profil,0)),"FEHLER: Profil unbekannt",IF(ISNA(MATCH(B295,lst_Werkstoff,0)),"FEHLER: Werkstoff unbekannt",IF(COUNTIFS($A$5:$A$304,A295,$B$5:$B$304,B295)&gt;1,"FEHLER: doppelt",IF(OR(C295="",D295=""),"FEHLER: Preis unvollständig",IF(AND(C295="€/Stange",E295=""),"FEHLER: Stangenlänge fehlt","OK"))))))</f>
        <v/>
      </c>
      <c r="J295" s="18">
        <f>IF(OR(A295="",B295=""),"",IFERROR(INDEX(Profile!$K$5:$K$304,MATCH(A295,lst_Profil,0))*INDEX(Werkstoffe!$E$5:$E$304,MATCH(B295,lst_Werkstoff,0))/1000*INDEX(Werkstoffe!$G$5:$G$304,MATCH(B295,lst_Werkstoff,0))/1000,""))</f>
        <v/>
      </c>
    </row>
    <row r="296">
      <c r="A296" s="9" t="n"/>
      <c r="B296" s="9" t="n"/>
      <c r="C296" s="9" t="n"/>
      <c r="D296" s="29" t="n"/>
      <c r="E296" s="19" t="n"/>
      <c r="F296" s="14" t="n"/>
      <c r="G296" s="9" t="n"/>
      <c r="H296" s="9" t="n"/>
      <c r="I296" s="28">
        <f>IF(A296&amp;B296="","",IF(ISNA(MATCH(A296,lst_Profil,0)),"FEHLER: Profil unbekannt",IF(ISNA(MATCH(B296,lst_Werkstoff,0)),"FEHLER: Werkstoff unbekannt",IF(COUNTIFS($A$5:$A$304,A296,$B$5:$B$304,B296)&gt;1,"FEHLER: doppelt",IF(OR(C296="",D296=""),"FEHLER: Preis unvollständig",IF(AND(C296="€/Stange",E296=""),"FEHLER: Stangenlänge fehlt","OK"))))))</f>
        <v/>
      </c>
      <c r="J296" s="18">
        <f>IF(OR(A296="",B296=""),"",IFERROR(INDEX(Profile!$K$5:$K$304,MATCH(A296,lst_Profil,0))*INDEX(Werkstoffe!$E$5:$E$304,MATCH(B296,lst_Werkstoff,0))/1000*INDEX(Werkstoffe!$G$5:$G$304,MATCH(B296,lst_Werkstoff,0))/1000,""))</f>
        <v/>
      </c>
    </row>
    <row r="297">
      <c r="A297" s="9" t="n"/>
      <c r="B297" s="9" t="n"/>
      <c r="C297" s="9" t="n"/>
      <c r="D297" s="29" t="n"/>
      <c r="E297" s="19" t="n"/>
      <c r="F297" s="14" t="n"/>
      <c r="G297" s="9" t="n"/>
      <c r="H297" s="9" t="n"/>
      <c r="I297" s="28">
        <f>IF(A297&amp;B297="","",IF(ISNA(MATCH(A297,lst_Profil,0)),"FEHLER: Profil unbekannt",IF(ISNA(MATCH(B297,lst_Werkstoff,0)),"FEHLER: Werkstoff unbekannt",IF(COUNTIFS($A$5:$A$304,A297,$B$5:$B$304,B297)&gt;1,"FEHLER: doppelt",IF(OR(C297="",D297=""),"FEHLER: Preis unvollständig",IF(AND(C297="€/Stange",E297=""),"FEHLER: Stangenlänge fehlt","OK"))))))</f>
        <v/>
      </c>
      <c r="J297" s="18">
        <f>IF(OR(A297="",B297=""),"",IFERROR(INDEX(Profile!$K$5:$K$304,MATCH(A297,lst_Profil,0))*INDEX(Werkstoffe!$E$5:$E$304,MATCH(B297,lst_Werkstoff,0))/1000*INDEX(Werkstoffe!$G$5:$G$304,MATCH(B297,lst_Werkstoff,0))/1000,""))</f>
        <v/>
      </c>
    </row>
    <row r="298">
      <c r="A298" s="9" t="n"/>
      <c r="B298" s="9" t="n"/>
      <c r="C298" s="9" t="n"/>
      <c r="D298" s="29" t="n"/>
      <c r="E298" s="19" t="n"/>
      <c r="F298" s="14" t="n"/>
      <c r="G298" s="9" t="n"/>
      <c r="H298" s="9" t="n"/>
      <c r="I298" s="28">
        <f>IF(A298&amp;B298="","",IF(ISNA(MATCH(A298,lst_Profil,0)),"FEHLER: Profil unbekannt",IF(ISNA(MATCH(B298,lst_Werkstoff,0)),"FEHLER: Werkstoff unbekannt",IF(COUNTIFS($A$5:$A$304,A298,$B$5:$B$304,B298)&gt;1,"FEHLER: doppelt",IF(OR(C298="",D298=""),"FEHLER: Preis unvollständig",IF(AND(C298="€/Stange",E298=""),"FEHLER: Stangenlänge fehlt","OK"))))))</f>
        <v/>
      </c>
      <c r="J298" s="18">
        <f>IF(OR(A298="",B298=""),"",IFERROR(INDEX(Profile!$K$5:$K$304,MATCH(A298,lst_Profil,0))*INDEX(Werkstoffe!$E$5:$E$304,MATCH(B298,lst_Werkstoff,0))/1000*INDEX(Werkstoffe!$G$5:$G$304,MATCH(B298,lst_Werkstoff,0))/1000,""))</f>
        <v/>
      </c>
    </row>
    <row r="299">
      <c r="A299" s="9" t="n"/>
      <c r="B299" s="9" t="n"/>
      <c r="C299" s="9" t="n"/>
      <c r="D299" s="29" t="n"/>
      <c r="E299" s="19" t="n"/>
      <c r="F299" s="14" t="n"/>
      <c r="G299" s="9" t="n"/>
      <c r="H299" s="9" t="n"/>
      <c r="I299" s="28">
        <f>IF(A299&amp;B299="","",IF(ISNA(MATCH(A299,lst_Profil,0)),"FEHLER: Profil unbekannt",IF(ISNA(MATCH(B299,lst_Werkstoff,0)),"FEHLER: Werkstoff unbekannt",IF(COUNTIFS($A$5:$A$304,A299,$B$5:$B$304,B299)&gt;1,"FEHLER: doppelt",IF(OR(C299="",D299=""),"FEHLER: Preis unvollständig",IF(AND(C299="€/Stange",E299=""),"FEHLER: Stangenlänge fehlt","OK"))))))</f>
        <v/>
      </c>
      <c r="J299" s="18">
        <f>IF(OR(A299="",B299=""),"",IFERROR(INDEX(Profile!$K$5:$K$304,MATCH(A299,lst_Profil,0))*INDEX(Werkstoffe!$E$5:$E$304,MATCH(B299,lst_Werkstoff,0))/1000*INDEX(Werkstoffe!$G$5:$G$304,MATCH(B299,lst_Werkstoff,0))/1000,""))</f>
        <v/>
      </c>
    </row>
    <row r="300">
      <c r="A300" s="9" t="n"/>
      <c r="B300" s="9" t="n"/>
      <c r="C300" s="9" t="n"/>
      <c r="D300" s="29" t="n"/>
      <c r="E300" s="19" t="n"/>
      <c r="F300" s="14" t="n"/>
      <c r="G300" s="9" t="n"/>
      <c r="H300" s="9" t="n"/>
      <c r="I300" s="28">
        <f>IF(A300&amp;B300="","",IF(ISNA(MATCH(A300,lst_Profil,0)),"FEHLER: Profil unbekannt",IF(ISNA(MATCH(B300,lst_Werkstoff,0)),"FEHLER: Werkstoff unbekannt",IF(COUNTIFS($A$5:$A$304,A300,$B$5:$B$304,B300)&gt;1,"FEHLER: doppelt",IF(OR(C300="",D300=""),"FEHLER: Preis unvollständig",IF(AND(C300="€/Stange",E300=""),"FEHLER: Stangenlänge fehlt","OK"))))))</f>
        <v/>
      </c>
      <c r="J300" s="18">
        <f>IF(OR(A300="",B300=""),"",IFERROR(INDEX(Profile!$K$5:$K$304,MATCH(A300,lst_Profil,0))*INDEX(Werkstoffe!$E$5:$E$304,MATCH(B300,lst_Werkstoff,0))/1000*INDEX(Werkstoffe!$G$5:$G$304,MATCH(B300,lst_Werkstoff,0))/1000,""))</f>
        <v/>
      </c>
    </row>
    <row r="301">
      <c r="A301" s="9" t="n"/>
      <c r="B301" s="9" t="n"/>
      <c r="C301" s="9" t="n"/>
      <c r="D301" s="29" t="n"/>
      <c r="E301" s="19" t="n"/>
      <c r="F301" s="14" t="n"/>
      <c r="G301" s="9" t="n"/>
      <c r="H301" s="9" t="n"/>
      <c r="I301" s="28">
        <f>IF(A301&amp;B301="","",IF(ISNA(MATCH(A301,lst_Profil,0)),"FEHLER: Profil unbekannt",IF(ISNA(MATCH(B301,lst_Werkstoff,0)),"FEHLER: Werkstoff unbekannt",IF(COUNTIFS($A$5:$A$304,A301,$B$5:$B$304,B301)&gt;1,"FEHLER: doppelt",IF(OR(C301="",D301=""),"FEHLER: Preis unvollständig",IF(AND(C301="€/Stange",E301=""),"FEHLER: Stangenlänge fehlt","OK"))))))</f>
        <v/>
      </c>
      <c r="J301" s="18">
        <f>IF(OR(A301="",B301=""),"",IFERROR(INDEX(Profile!$K$5:$K$304,MATCH(A301,lst_Profil,0))*INDEX(Werkstoffe!$E$5:$E$304,MATCH(B301,lst_Werkstoff,0))/1000*INDEX(Werkstoffe!$G$5:$G$304,MATCH(B301,lst_Werkstoff,0))/1000,""))</f>
        <v/>
      </c>
    </row>
    <row r="302">
      <c r="A302" s="9" t="n"/>
      <c r="B302" s="9" t="n"/>
      <c r="C302" s="9" t="n"/>
      <c r="D302" s="29" t="n"/>
      <c r="E302" s="19" t="n"/>
      <c r="F302" s="14" t="n"/>
      <c r="G302" s="9" t="n"/>
      <c r="H302" s="9" t="n"/>
      <c r="I302" s="28">
        <f>IF(A302&amp;B302="","",IF(ISNA(MATCH(A302,lst_Profil,0)),"FEHLER: Profil unbekannt",IF(ISNA(MATCH(B302,lst_Werkstoff,0)),"FEHLER: Werkstoff unbekannt",IF(COUNTIFS($A$5:$A$304,A302,$B$5:$B$304,B302)&gt;1,"FEHLER: doppelt",IF(OR(C302="",D302=""),"FEHLER: Preis unvollständig",IF(AND(C302="€/Stange",E302=""),"FEHLER: Stangenlänge fehlt","OK"))))))</f>
        <v/>
      </c>
      <c r="J302" s="18">
        <f>IF(OR(A302="",B302=""),"",IFERROR(INDEX(Profile!$K$5:$K$304,MATCH(A302,lst_Profil,0))*INDEX(Werkstoffe!$E$5:$E$304,MATCH(B302,lst_Werkstoff,0))/1000*INDEX(Werkstoffe!$G$5:$G$304,MATCH(B302,lst_Werkstoff,0))/1000,""))</f>
        <v/>
      </c>
    </row>
    <row r="303">
      <c r="A303" s="9" t="n"/>
      <c r="B303" s="9" t="n"/>
      <c r="C303" s="9" t="n"/>
      <c r="D303" s="29" t="n"/>
      <c r="E303" s="19" t="n"/>
      <c r="F303" s="14" t="n"/>
      <c r="G303" s="9" t="n"/>
      <c r="H303" s="9" t="n"/>
      <c r="I303" s="28">
        <f>IF(A303&amp;B303="","",IF(ISNA(MATCH(A303,lst_Profil,0)),"FEHLER: Profil unbekannt",IF(ISNA(MATCH(B303,lst_Werkstoff,0)),"FEHLER: Werkstoff unbekannt",IF(COUNTIFS($A$5:$A$304,A303,$B$5:$B$304,B303)&gt;1,"FEHLER: doppelt",IF(OR(C303="",D303=""),"FEHLER: Preis unvollständig",IF(AND(C303="€/Stange",E303=""),"FEHLER: Stangenlänge fehlt","OK"))))))</f>
        <v/>
      </c>
      <c r="J303" s="18">
        <f>IF(OR(A303="",B303=""),"",IFERROR(INDEX(Profile!$K$5:$K$304,MATCH(A303,lst_Profil,0))*INDEX(Werkstoffe!$E$5:$E$304,MATCH(B303,lst_Werkstoff,0))/1000*INDEX(Werkstoffe!$G$5:$G$304,MATCH(B303,lst_Werkstoff,0))/1000,""))</f>
        <v/>
      </c>
    </row>
    <row r="304">
      <c r="A304" s="9" t="n"/>
      <c r="B304" s="9" t="n"/>
      <c r="C304" s="9" t="n"/>
      <c r="D304" s="29" t="n"/>
      <c r="E304" s="19" t="n"/>
      <c r="F304" s="14" t="n"/>
      <c r="G304" s="9" t="n"/>
      <c r="H304" s="9" t="n"/>
      <c r="I304" s="28">
        <f>IF(A304&amp;B304="","",IF(ISNA(MATCH(A304,lst_Profil,0)),"FEHLER: Profil unbekannt",IF(ISNA(MATCH(B304,lst_Werkstoff,0)),"FEHLER: Werkstoff unbekannt",IF(COUNTIFS($A$5:$A$304,A304,$B$5:$B$304,B304)&gt;1,"FEHLER: doppelt",IF(OR(C304="",D304=""),"FEHLER: Preis unvollständig",IF(AND(C304="€/Stange",E304=""),"FEHLER: Stangenlänge fehlt","OK"))))))</f>
        <v/>
      </c>
      <c r="J304" s="1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5.xml><?xml version="1.0" encoding="utf-8"?>
<worksheet xmlns="http://schemas.openxmlformats.org/spreadsheetml/2006/main">
  <sheetPr codeName="Tabelle15">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2" t="inlineStr">
        <is>
          <t>Maschinen-ID</t>
        </is>
      </c>
      <c r="B4" s="22" t="inlineStr">
        <is>
          <t>Bezeichnung</t>
        </is>
      </c>
      <c r="C4" s="22" t="inlineStr">
        <is>
          <t>Endbeschnitt [mm]</t>
        </is>
      </c>
      <c r="D4" s="22" t="inlineStr">
        <is>
          <t>Greiferrest [mm]</t>
        </is>
      </c>
      <c r="E4" s="22" t="inlineStr">
        <is>
          <t>Schnittverlust je Schnitt [mm]</t>
        </is>
      </c>
      <c r="F4" s="22" t="inlineStr">
        <is>
          <t>Max. Stangenlänge [mm]</t>
        </is>
      </c>
      <c r="G4" s="22" t="inlineStr">
        <is>
          <t>Stundensatz [€/h]</t>
        </is>
      </c>
      <c r="H4" s="22" t="inlineStr">
        <is>
          <t>Kontur klein bis [mm]</t>
        </is>
      </c>
      <c r="I4" s="22" t="inlineStr">
        <is>
          <t>Kontur mittel bis [mm]</t>
        </is>
      </c>
      <c r="J4" s="22" t="inlineStr">
        <is>
          <t>Abstand getrennte Schnitte [mm]</t>
        </is>
      </c>
      <c r="K4" s="22" t="inlineStr">
        <is>
          <t>Rüstzeit je Auftrag [min]</t>
        </is>
      </c>
      <c r="L4" s="22" t="inlineStr">
        <is>
          <t>Stangenwechsel je Stange [s]</t>
        </is>
      </c>
      <c r="M4" s="22" t="inlineStr">
        <is>
          <t>Bemerkung</t>
        </is>
      </c>
    </row>
    <row r="5">
      <c r="A5" s="9" t="inlineStr">
        <is>
          <t>RL-1</t>
        </is>
      </c>
      <c r="B5" s="9" t="inlineStr">
        <is>
          <t>Rohrlaser 1 (Beispiel)</t>
        </is>
      </c>
      <c r="C5" s="24" t="n">
        <v>20</v>
      </c>
      <c r="D5" s="24" t="n">
        <v>80</v>
      </c>
      <c r="E5" s="49" t="n">
        <v>0.3</v>
      </c>
      <c r="F5" s="19" t="n">
        <v>6500</v>
      </c>
      <c r="G5" s="29" t="n">
        <v>120</v>
      </c>
      <c r="H5" s="9" t="n">
        <v>10</v>
      </c>
      <c r="I5" s="9" t="n">
        <v>50</v>
      </c>
      <c r="J5" s="49" t="n">
        <v>2</v>
      </c>
      <c r="K5" s="24" t="n">
        <v>15</v>
      </c>
      <c r="L5" s="24" t="n">
        <v>30</v>
      </c>
      <c r="M5" s="9" t="inlineStr">
        <is>
          <t>Beispielwerte</t>
        </is>
      </c>
    </row>
    <row r="6">
      <c r="A6" s="9" t="inlineStr">
        <is>
          <t>RL-2</t>
        </is>
      </c>
      <c r="B6" s="9" t="inlineStr">
        <is>
          <t>Rohrlaser 2 (Beispiel)</t>
        </is>
      </c>
      <c r="C6" s="24" t="n">
        <v>15</v>
      </c>
      <c r="D6" s="24" t="n">
        <v>120</v>
      </c>
      <c r="E6" s="49" t="n">
        <v>0.3</v>
      </c>
      <c r="F6" s="19" t="n">
        <v>8500</v>
      </c>
      <c r="G6" s="29" t="n">
        <v>140</v>
      </c>
      <c r="H6" s="9" t="n">
        <v>10</v>
      </c>
      <c r="I6" s="9" t="n">
        <v>50</v>
      </c>
      <c r="J6" s="49" t="n">
        <v>2</v>
      </c>
      <c r="K6" s="24" t="n">
        <v>20</v>
      </c>
      <c r="L6" s="24" t="n">
        <v>40</v>
      </c>
      <c r="M6" s="9" t="inlineStr">
        <is>
          <t>Beispielwerte</t>
        </is>
      </c>
    </row>
    <row r="7">
      <c r="A7" s="9" t="n"/>
      <c r="B7" s="9" t="n"/>
      <c r="C7" s="24" t="n"/>
      <c r="D7" s="24" t="n"/>
      <c r="E7" s="49" t="n"/>
      <c r="F7" s="19" t="n"/>
      <c r="G7" s="29" t="n"/>
      <c r="H7" s="9" t="n"/>
      <c r="I7" s="9" t="n"/>
      <c r="J7" s="49" t="n"/>
      <c r="K7" s="24" t="n"/>
      <c r="L7" s="24" t="n"/>
      <c r="M7" s="9" t="n"/>
    </row>
    <row r="8">
      <c r="A8" s="9" t="n"/>
      <c r="B8" s="9" t="n"/>
      <c r="C8" s="24" t="n"/>
      <c r="D8" s="24" t="n"/>
      <c r="E8" s="49" t="n"/>
      <c r="F8" s="19" t="n"/>
      <c r="G8" s="29" t="n"/>
      <c r="H8" s="9" t="n"/>
      <c r="I8" s="9" t="n"/>
      <c r="J8" s="49" t="n"/>
      <c r="K8" s="24" t="n"/>
      <c r="L8" s="24" t="n"/>
      <c r="M8" s="9" t="n"/>
    </row>
    <row r="9">
      <c r="A9" s="9" t="n"/>
      <c r="B9" s="9" t="n"/>
      <c r="C9" s="24" t="n"/>
      <c r="D9" s="24" t="n"/>
      <c r="E9" s="49" t="n"/>
      <c r="F9" s="19" t="n"/>
      <c r="G9" s="29" t="n"/>
      <c r="H9" s="9" t="n"/>
      <c r="I9" s="9" t="n"/>
      <c r="J9" s="49" t="n"/>
      <c r="K9" s="24" t="n"/>
      <c r="L9" s="24" t="n"/>
      <c r="M9" s="9" t="n"/>
    </row>
    <row r="10">
      <c r="A10" s="9" t="n"/>
      <c r="B10" s="9" t="n"/>
      <c r="C10" s="24" t="n"/>
      <c r="D10" s="24" t="n"/>
      <c r="E10" s="49" t="n"/>
      <c r="F10" s="19" t="n"/>
      <c r="G10" s="29" t="n"/>
      <c r="H10" s="9" t="n"/>
      <c r="I10" s="9" t="n"/>
      <c r="J10" s="49" t="n"/>
      <c r="K10" s="24" t="n"/>
      <c r="L10" s="24" t="n"/>
      <c r="M10" s="9" t="n"/>
    </row>
    <row r="11">
      <c r="A11" s="9" t="n"/>
      <c r="B11" s="9" t="n"/>
      <c r="C11" s="24" t="n"/>
      <c r="D11" s="24" t="n"/>
      <c r="E11" s="49" t="n"/>
      <c r="F11" s="19" t="n"/>
      <c r="G11" s="29" t="n"/>
      <c r="H11" s="9" t="n"/>
      <c r="I11" s="9" t="n"/>
      <c r="J11" s="49" t="n"/>
      <c r="K11" s="24" t="n"/>
      <c r="L11" s="24" t="n"/>
      <c r="M11" s="9" t="n"/>
    </row>
    <row r="12">
      <c r="A12" s="9" t="n"/>
      <c r="B12" s="9" t="n"/>
      <c r="C12" s="24" t="n"/>
      <c r="D12" s="24" t="n"/>
      <c r="E12" s="49" t="n"/>
      <c r="F12" s="19" t="n"/>
      <c r="G12" s="29" t="n"/>
      <c r="H12" s="9" t="n"/>
      <c r="I12" s="9" t="n"/>
      <c r="J12" s="49" t="n"/>
      <c r="K12" s="24" t="n"/>
      <c r="L12" s="24" t="n"/>
      <c r="M12" s="9" t="n"/>
    </row>
    <row r="13">
      <c r="A13" s="9" t="n"/>
      <c r="B13" s="9" t="n"/>
      <c r="C13" s="24" t="n"/>
      <c r="D13" s="24" t="n"/>
      <c r="E13" s="49" t="n"/>
      <c r="F13" s="19" t="n"/>
      <c r="G13" s="29" t="n"/>
      <c r="H13" s="9" t="n"/>
      <c r="I13" s="9" t="n"/>
      <c r="J13" s="49" t="n"/>
      <c r="K13" s="24" t="n"/>
      <c r="L13" s="24" t="n"/>
      <c r="M13" s="9" t="n"/>
    </row>
    <row r="14">
      <c r="A14" s="9" t="n"/>
      <c r="B14" s="9" t="n"/>
      <c r="C14" s="24" t="n"/>
      <c r="D14" s="24" t="n"/>
      <c r="E14" s="49" t="n"/>
      <c r="F14" s="19" t="n"/>
      <c r="G14" s="29" t="n"/>
      <c r="H14" s="9" t="n"/>
      <c r="I14" s="9" t="n"/>
      <c r="J14" s="49" t="n"/>
      <c r="K14" s="24" t="n"/>
      <c r="L14" s="24" t="n"/>
      <c r="M14" s="9" t="n"/>
    </row>
    <row r="15">
      <c r="A15" s="9" t="n"/>
      <c r="B15" s="9" t="n"/>
      <c r="C15" s="24" t="n"/>
      <c r="D15" s="24" t="n"/>
      <c r="E15" s="49" t="n"/>
      <c r="F15" s="19" t="n"/>
      <c r="G15" s="29" t="n"/>
      <c r="H15" s="9" t="n"/>
      <c r="I15" s="9" t="n"/>
      <c r="J15" s="49" t="n"/>
      <c r="K15" s="24" t="n"/>
      <c r="L15" s="24" t="n"/>
      <c r="M15" s="9" t="n"/>
    </row>
    <row r="16">
      <c r="A16" s="9" t="n"/>
      <c r="B16" s="9" t="n"/>
      <c r="C16" s="24" t="n"/>
      <c r="D16" s="24" t="n"/>
      <c r="E16" s="49" t="n"/>
      <c r="F16" s="19" t="n"/>
      <c r="G16" s="29" t="n"/>
      <c r="H16" s="9" t="n"/>
      <c r="I16" s="9" t="n"/>
      <c r="J16" s="49" t="n"/>
      <c r="K16" s="24" t="n"/>
      <c r="L16" s="24" t="n"/>
      <c r="M16" s="9" t="n"/>
    </row>
    <row r="17">
      <c r="A17" s="9" t="n"/>
      <c r="B17" s="9" t="n"/>
      <c r="C17" s="24" t="n"/>
      <c r="D17" s="24" t="n"/>
      <c r="E17" s="49" t="n"/>
      <c r="F17" s="19" t="n"/>
      <c r="G17" s="29" t="n"/>
      <c r="H17" s="9" t="n"/>
      <c r="I17" s="9" t="n"/>
      <c r="J17" s="49" t="n"/>
      <c r="K17" s="24" t="n"/>
      <c r="L17" s="24" t="n"/>
      <c r="M17" s="9" t="n"/>
    </row>
    <row r="18">
      <c r="A18" s="9" t="n"/>
      <c r="B18" s="9" t="n"/>
      <c r="C18" s="24" t="n"/>
      <c r="D18" s="24" t="n"/>
      <c r="E18" s="49" t="n"/>
      <c r="F18" s="19" t="n"/>
      <c r="G18" s="29" t="n"/>
      <c r="H18" s="9" t="n"/>
      <c r="I18" s="9" t="n"/>
      <c r="J18" s="49" t="n"/>
      <c r="K18" s="24" t="n"/>
      <c r="L18" s="24" t="n"/>
      <c r="M18" s="9" t="n"/>
    </row>
    <row r="19">
      <c r="A19" s="9" t="n"/>
      <c r="B19" s="9" t="n"/>
      <c r="C19" s="24" t="n"/>
      <c r="D19" s="24" t="n"/>
      <c r="E19" s="49" t="n"/>
      <c r="F19" s="19" t="n"/>
      <c r="G19" s="29" t="n"/>
      <c r="H19" s="9" t="n"/>
      <c r="I19" s="9" t="n"/>
      <c r="J19" s="49" t="n"/>
      <c r="K19" s="24" t="n"/>
      <c r="L19" s="24" t="n"/>
      <c r="M19" s="9" t="n"/>
    </row>
    <row r="20">
      <c r="A20" s="9" t="n"/>
      <c r="B20" s="9" t="n"/>
      <c r="C20" s="24" t="n"/>
      <c r="D20" s="24" t="n"/>
      <c r="E20" s="49" t="n"/>
      <c r="F20" s="19" t="n"/>
      <c r="G20" s="29" t="n"/>
      <c r="H20" s="9" t="n"/>
      <c r="I20" s="9" t="n"/>
      <c r="J20" s="49" t="n"/>
      <c r="K20" s="24" t="n"/>
      <c r="L20" s="24" t="n"/>
      <c r="M20" s="9" t="n"/>
    </row>
    <row r="21">
      <c r="A21" s="9" t="n"/>
      <c r="B21" s="9" t="n"/>
      <c r="C21" s="24" t="n"/>
      <c r="D21" s="24" t="n"/>
      <c r="E21" s="49" t="n"/>
      <c r="F21" s="19" t="n"/>
      <c r="G21" s="29" t="n"/>
      <c r="H21" s="9" t="n"/>
      <c r="I21" s="9" t="n"/>
      <c r="J21" s="49" t="n"/>
      <c r="K21" s="24" t="n"/>
      <c r="L21" s="24" t="n"/>
      <c r="M21" s="9" t="n"/>
    </row>
    <row r="22">
      <c r="A22" s="9" t="n"/>
      <c r="B22" s="9" t="n"/>
      <c r="C22" s="24" t="n"/>
      <c r="D22" s="24" t="n"/>
      <c r="E22" s="49" t="n"/>
      <c r="F22" s="19" t="n"/>
      <c r="G22" s="29" t="n"/>
      <c r="H22" s="9" t="n"/>
      <c r="I22" s="9" t="n"/>
      <c r="J22" s="49" t="n"/>
      <c r="K22" s="24" t="n"/>
      <c r="L22" s="24" t="n"/>
      <c r="M22" s="9" t="n"/>
    </row>
    <row r="23">
      <c r="A23" s="9" t="n"/>
      <c r="B23" s="9" t="n"/>
      <c r="C23" s="24" t="n"/>
      <c r="D23" s="24" t="n"/>
      <c r="E23" s="49" t="n"/>
      <c r="F23" s="19" t="n"/>
      <c r="G23" s="29" t="n"/>
      <c r="H23" s="9" t="n"/>
      <c r="I23" s="9" t="n"/>
      <c r="J23" s="49" t="n"/>
      <c r="K23" s="24" t="n"/>
      <c r="L23" s="24" t="n"/>
      <c r="M23" s="9" t="n"/>
    </row>
    <row r="24">
      <c r="A24" s="9" t="n"/>
      <c r="B24" s="9" t="n"/>
      <c r="C24" s="24" t="n"/>
      <c r="D24" s="24" t="n"/>
      <c r="E24" s="49" t="n"/>
      <c r="F24" s="19" t="n"/>
      <c r="G24" s="29" t="n"/>
      <c r="H24" s="9" t="n"/>
      <c r="I24" s="9" t="n"/>
      <c r="J24" s="49" t="n"/>
      <c r="K24" s="24" t="n"/>
      <c r="L24" s="24" t="n"/>
      <c r="M24" s="9" t="n"/>
    </row>
    <row r="25">
      <c r="A25" s="9" t="n"/>
      <c r="B25" s="9" t="n"/>
      <c r="C25" s="24" t="n"/>
      <c r="D25" s="24" t="n"/>
      <c r="E25" s="49" t="n"/>
      <c r="F25" s="19" t="n"/>
      <c r="G25" s="29" t="n"/>
      <c r="H25" s="9" t="n"/>
      <c r="I25" s="9" t="n"/>
      <c r="J25" s="49" t="n"/>
      <c r="K25" s="24" t="n"/>
      <c r="L25" s="24" t="n"/>
      <c r="M25" s="9" t="n"/>
    </row>
    <row r="26">
      <c r="A26" s="9" t="n"/>
      <c r="B26" s="9" t="n"/>
      <c r="C26" s="24" t="n"/>
      <c r="D26" s="24" t="n"/>
      <c r="E26" s="49" t="n"/>
      <c r="F26" s="19" t="n"/>
      <c r="G26" s="29" t="n"/>
      <c r="H26" s="9" t="n"/>
      <c r="I26" s="9" t="n"/>
      <c r="J26" s="49" t="n"/>
      <c r="K26" s="24" t="n"/>
      <c r="L26" s="24" t="n"/>
      <c r="M26" s="9" t="n"/>
    </row>
    <row r="27">
      <c r="A27" s="9" t="n"/>
      <c r="B27" s="9" t="n"/>
      <c r="C27" s="24" t="n"/>
      <c r="D27" s="24" t="n"/>
      <c r="E27" s="49" t="n"/>
      <c r="F27" s="19" t="n"/>
      <c r="G27" s="29" t="n"/>
      <c r="H27" s="9" t="n"/>
      <c r="I27" s="9" t="n"/>
      <c r="J27" s="49" t="n"/>
      <c r="K27" s="24" t="n"/>
      <c r="L27" s="24" t="n"/>
      <c r="M27" s="9" t="n"/>
    </row>
    <row r="28">
      <c r="A28" s="9" t="n"/>
      <c r="B28" s="9" t="n"/>
      <c r="C28" s="24" t="n"/>
      <c r="D28" s="24" t="n"/>
      <c r="E28" s="49" t="n"/>
      <c r="F28" s="19" t="n"/>
      <c r="G28" s="29" t="n"/>
      <c r="H28" s="9" t="n"/>
      <c r="I28" s="9" t="n"/>
      <c r="J28" s="49" t="n"/>
      <c r="K28" s="24" t="n"/>
      <c r="L28" s="24" t="n"/>
      <c r="M28" s="9" t="n"/>
    </row>
    <row r="29">
      <c r="A29" s="9" t="n"/>
      <c r="B29" s="9" t="n"/>
      <c r="C29" s="24" t="n"/>
      <c r="D29" s="24" t="n"/>
      <c r="E29" s="49" t="n"/>
      <c r="F29" s="19" t="n"/>
      <c r="G29" s="29" t="n"/>
      <c r="H29" s="9" t="n"/>
      <c r="I29" s="9" t="n"/>
      <c r="J29" s="49" t="n"/>
      <c r="K29" s="24" t="n"/>
      <c r="L29" s="24" t="n"/>
      <c r="M29" s="9" t="n"/>
    </row>
    <row r="30">
      <c r="A30" s="9" t="n"/>
      <c r="B30" s="9" t="n"/>
      <c r="C30" s="24" t="n"/>
      <c r="D30" s="24" t="n"/>
      <c r="E30" s="49" t="n"/>
      <c r="F30" s="19" t="n"/>
      <c r="G30" s="29" t="n"/>
      <c r="H30" s="9" t="n"/>
      <c r="I30" s="9" t="n"/>
      <c r="J30" s="49" t="n"/>
      <c r="K30" s="24" t="n"/>
      <c r="L30" s="24" t="n"/>
      <c r="M30" s="9" t="n"/>
    </row>
    <row r="31">
      <c r="A31" s="9" t="n"/>
      <c r="B31" s="9" t="n"/>
      <c r="C31" s="24" t="n"/>
      <c r="D31" s="24" t="n"/>
      <c r="E31" s="49" t="n"/>
      <c r="F31" s="19" t="n"/>
      <c r="G31" s="29" t="n"/>
      <c r="H31" s="9" t="n"/>
      <c r="I31" s="9" t="n"/>
      <c r="J31" s="49" t="n"/>
      <c r="K31" s="24" t="n"/>
      <c r="L31" s="24" t="n"/>
      <c r="M31" s="9" t="n"/>
    </row>
    <row r="32">
      <c r="A32" s="9" t="n"/>
      <c r="B32" s="9" t="n"/>
      <c r="C32" s="24" t="n"/>
      <c r="D32" s="24" t="n"/>
      <c r="E32" s="49" t="n"/>
      <c r="F32" s="19" t="n"/>
      <c r="G32" s="29" t="n"/>
      <c r="H32" s="9" t="n"/>
      <c r="I32" s="9" t="n"/>
      <c r="J32" s="49" t="n"/>
      <c r="K32" s="24" t="n"/>
      <c r="L32" s="24" t="n"/>
      <c r="M32" s="9" t="n"/>
    </row>
    <row r="33">
      <c r="A33" s="9" t="n"/>
      <c r="B33" s="9" t="n"/>
      <c r="C33" s="24" t="n"/>
      <c r="D33" s="24" t="n"/>
      <c r="E33" s="49" t="n"/>
      <c r="F33" s="19" t="n"/>
      <c r="G33" s="29" t="n"/>
      <c r="H33" s="9" t="n"/>
      <c r="I33" s="9" t="n"/>
      <c r="J33" s="49" t="n"/>
      <c r="K33" s="24" t="n"/>
      <c r="L33" s="24" t="n"/>
      <c r="M33" s="9" t="n"/>
    </row>
    <row r="34">
      <c r="A34" s="9" t="n"/>
      <c r="B34" s="9" t="n"/>
      <c r="C34" s="24" t="n"/>
      <c r="D34" s="24" t="n"/>
      <c r="E34" s="49" t="n"/>
      <c r="F34" s="19" t="n"/>
      <c r="G34" s="29" t="n"/>
      <c r="H34" s="9" t="n"/>
      <c r="I34" s="9" t="n"/>
      <c r="J34" s="49" t="n"/>
      <c r="K34" s="24" t="n"/>
      <c r="L34" s="24" t="n"/>
      <c r="M34" s="9" t="n"/>
    </row>
    <row r="35">
      <c r="A35" s="9" t="n"/>
      <c r="B35" s="9" t="n"/>
      <c r="C35" s="24" t="n"/>
      <c r="D35" s="24" t="n"/>
      <c r="E35" s="49" t="n"/>
      <c r="F35" s="19" t="n"/>
      <c r="G35" s="29" t="n"/>
      <c r="H35" s="9" t="n"/>
      <c r="I35" s="9" t="n"/>
      <c r="J35" s="49" t="n"/>
      <c r="K35" s="24" t="n"/>
      <c r="L35" s="24" t="n"/>
      <c r="M35" s="9" t="n"/>
    </row>
    <row r="36">
      <c r="A36" s="9" t="n"/>
      <c r="B36" s="9" t="n"/>
      <c r="C36" s="24" t="n"/>
      <c r="D36" s="24" t="n"/>
      <c r="E36" s="49" t="n"/>
      <c r="F36" s="19" t="n"/>
      <c r="G36" s="29" t="n"/>
      <c r="H36" s="9" t="n"/>
      <c r="I36" s="9" t="n"/>
      <c r="J36" s="49" t="n"/>
      <c r="K36" s="24" t="n"/>
      <c r="L36" s="24" t="n"/>
      <c r="M36" s="9" t="n"/>
    </row>
    <row r="37">
      <c r="A37" s="9" t="n"/>
      <c r="B37" s="9" t="n"/>
      <c r="C37" s="24" t="n"/>
      <c r="D37" s="24" t="n"/>
      <c r="E37" s="49" t="n"/>
      <c r="F37" s="19" t="n"/>
      <c r="G37" s="29" t="n"/>
      <c r="H37" s="9" t="n"/>
      <c r="I37" s="9" t="n"/>
      <c r="J37" s="49" t="n"/>
      <c r="K37" s="24" t="n"/>
      <c r="L37" s="24" t="n"/>
      <c r="M37" s="9" t="n"/>
    </row>
    <row r="38">
      <c r="A38" s="9" t="n"/>
      <c r="B38" s="9" t="n"/>
      <c r="C38" s="24" t="n"/>
      <c r="D38" s="24" t="n"/>
      <c r="E38" s="49" t="n"/>
      <c r="F38" s="19" t="n"/>
      <c r="G38" s="29" t="n"/>
      <c r="H38" s="9" t="n"/>
      <c r="I38" s="9" t="n"/>
      <c r="J38" s="49" t="n"/>
      <c r="K38" s="24" t="n"/>
      <c r="L38" s="24" t="n"/>
      <c r="M38" s="9" t="n"/>
    </row>
    <row r="39">
      <c r="A39" s="9" t="n"/>
      <c r="B39" s="9" t="n"/>
      <c r="C39" s="24" t="n"/>
      <c r="D39" s="24" t="n"/>
      <c r="E39" s="49" t="n"/>
      <c r="F39" s="19" t="n"/>
      <c r="G39" s="29" t="n"/>
      <c r="H39" s="9" t="n"/>
      <c r="I39" s="9" t="n"/>
      <c r="J39" s="49" t="n"/>
      <c r="K39" s="24" t="n"/>
      <c r="L39" s="24" t="n"/>
      <c r="M39" s="9" t="n"/>
    </row>
    <row r="40">
      <c r="A40" s="9" t="n"/>
      <c r="B40" s="9" t="n"/>
      <c r="C40" s="24" t="n"/>
      <c r="D40" s="24" t="n"/>
      <c r="E40" s="49" t="n"/>
      <c r="F40" s="19" t="n"/>
      <c r="G40" s="29" t="n"/>
      <c r="H40" s="9" t="n"/>
      <c r="I40" s="9" t="n"/>
      <c r="J40" s="49" t="n"/>
      <c r="K40" s="24" t="n"/>
      <c r="L40" s="24" t="n"/>
      <c r="M40" s="9" t="n"/>
    </row>
    <row r="41">
      <c r="A41" s="9" t="n"/>
      <c r="B41" s="9" t="n"/>
      <c r="C41" s="24" t="n"/>
      <c r="D41" s="24" t="n"/>
      <c r="E41" s="49" t="n"/>
      <c r="F41" s="19" t="n"/>
      <c r="G41" s="29" t="n"/>
      <c r="H41" s="9" t="n"/>
      <c r="I41" s="9" t="n"/>
      <c r="J41" s="49" t="n"/>
      <c r="K41" s="24" t="n"/>
      <c r="L41" s="24" t="n"/>
      <c r="M41" s="9" t="n"/>
    </row>
    <row r="42">
      <c r="A42" s="9" t="n"/>
      <c r="B42" s="9" t="n"/>
      <c r="C42" s="24" t="n"/>
      <c r="D42" s="24" t="n"/>
      <c r="E42" s="49" t="n"/>
      <c r="F42" s="19" t="n"/>
      <c r="G42" s="29" t="n"/>
      <c r="H42" s="9" t="n"/>
      <c r="I42" s="9" t="n"/>
      <c r="J42" s="49" t="n"/>
      <c r="K42" s="24" t="n"/>
      <c r="L42" s="24" t="n"/>
      <c r="M42" s="9" t="n"/>
    </row>
    <row r="43">
      <c r="A43" s="9" t="n"/>
      <c r="B43" s="9" t="n"/>
      <c r="C43" s="24" t="n"/>
      <c r="D43" s="24" t="n"/>
      <c r="E43" s="49" t="n"/>
      <c r="F43" s="19" t="n"/>
      <c r="G43" s="29" t="n"/>
      <c r="H43" s="9" t="n"/>
      <c r="I43" s="9" t="n"/>
      <c r="J43" s="49" t="n"/>
      <c r="K43" s="24" t="n"/>
      <c r="L43" s="24" t="n"/>
      <c r="M43" s="9" t="n"/>
    </row>
    <row r="44">
      <c r="A44" s="9" t="n"/>
      <c r="B44" s="9" t="n"/>
      <c r="C44" s="24" t="n"/>
      <c r="D44" s="24" t="n"/>
      <c r="E44" s="49" t="n"/>
      <c r="F44" s="19" t="n"/>
      <c r="G44" s="29" t="n"/>
      <c r="H44" s="9" t="n"/>
      <c r="I44" s="9" t="n"/>
      <c r="J44" s="49" t="n"/>
      <c r="K44" s="24" t="n"/>
      <c r="L44" s="24" t="n"/>
      <c r="M44" s="9" t="n"/>
    </row>
    <row r="45">
      <c r="A45" s="9" t="n"/>
      <c r="B45" s="9" t="n"/>
      <c r="C45" s="24" t="n"/>
      <c r="D45" s="24" t="n"/>
      <c r="E45" s="49" t="n"/>
      <c r="F45" s="19" t="n"/>
      <c r="G45" s="29" t="n"/>
      <c r="H45" s="9" t="n"/>
      <c r="I45" s="9" t="n"/>
      <c r="J45" s="49" t="n"/>
      <c r="K45" s="24" t="n"/>
      <c r="L45" s="24" t="n"/>
      <c r="M45" s="9" t="n"/>
    </row>
    <row r="46">
      <c r="A46" s="9" t="n"/>
      <c r="B46" s="9" t="n"/>
      <c r="C46" s="24" t="n"/>
      <c r="D46" s="24" t="n"/>
      <c r="E46" s="49" t="n"/>
      <c r="F46" s="19" t="n"/>
      <c r="G46" s="29" t="n"/>
      <c r="H46" s="9" t="n"/>
      <c r="I46" s="9" t="n"/>
      <c r="J46" s="49" t="n"/>
      <c r="K46" s="24" t="n"/>
      <c r="L46" s="24" t="n"/>
      <c r="M46" s="9" t="n"/>
    </row>
    <row r="47">
      <c r="A47" s="9" t="n"/>
      <c r="B47" s="9" t="n"/>
      <c r="C47" s="24" t="n"/>
      <c r="D47" s="24" t="n"/>
      <c r="E47" s="49" t="n"/>
      <c r="F47" s="19" t="n"/>
      <c r="G47" s="29" t="n"/>
      <c r="H47" s="9" t="n"/>
      <c r="I47" s="9" t="n"/>
      <c r="J47" s="49" t="n"/>
      <c r="K47" s="24" t="n"/>
      <c r="L47" s="24" t="n"/>
      <c r="M47" s="9" t="n"/>
    </row>
    <row r="48">
      <c r="A48" s="9" t="n"/>
      <c r="B48" s="9" t="n"/>
      <c r="C48" s="24" t="n"/>
      <c r="D48" s="24" t="n"/>
      <c r="E48" s="49" t="n"/>
      <c r="F48" s="19" t="n"/>
      <c r="G48" s="29" t="n"/>
      <c r="H48" s="9" t="n"/>
      <c r="I48" s="9" t="n"/>
      <c r="J48" s="49" t="n"/>
      <c r="K48" s="24" t="n"/>
      <c r="L48" s="24" t="n"/>
      <c r="M48" s="9" t="n"/>
    </row>
    <row r="49">
      <c r="A49" s="9" t="n"/>
      <c r="B49" s="9" t="n"/>
      <c r="C49" s="24" t="n"/>
      <c r="D49" s="24" t="n"/>
      <c r="E49" s="49" t="n"/>
      <c r="F49" s="19" t="n"/>
      <c r="G49" s="29" t="n"/>
      <c r="H49" s="9" t="n"/>
      <c r="I49" s="9" t="n"/>
      <c r="J49" s="49" t="n"/>
      <c r="K49" s="24" t="n"/>
      <c r="L49" s="24" t="n"/>
      <c r="M49" s="9" t="n"/>
    </row>
    <row r="50">
      <c r="A50" s="9" t="n"/>
      <c r="B50" s="9" t="n"/>
      <c r="C50" s="24" t="n"/>
      <c r="D50" s="24" t="n"/>
      <c r="E50" s="49" t="n"/>
      <c r="F50" s="19" t="n"/>
      <c r="G50" s="29" t="n"/>
      <c r="H50" s="9" t="n"/>
      <c r="I50" s="9" t="n"/>
      <c r="J50" s="49" t="n"/>
      <c r="K50" s="24" t="n"/>
      <c r="L50" s="24" t="n"/>
      <c r="M50" s="9" t="n"/>
    </row>
    <row r="51">
      <c r="A51" s="9" t="n"/>
      <c r="B51" s="9" t="n"/>
      <c r="C51" s="24" t="n"/>
      <c r="D51" s="24" t="n"/>
      <c r="E51" s="49" t="n"/>
      <c r="F51" s="19" t="n"/>
      <c r="G51" s="29" t="n"/>
      <c r="H51" s="9" t="n"/>
      <c r="I51" s="9" t="n"/>
      <c r="J51" s="49" t="n"/>
      <c r="K51" s="24" t="n"/>
      <c r="L51" s="24" t="n"/>
      <c r="M51" s="9" t="n"/>
    </row>
    <row r="52">
      <c r="A52" s="9" t="n"/>
      <c r="B52" s="9" t="n"/>
      <c r="C52" s="24" t="n"/>
      <c r="D52" s="24" t="n"/>
      <c r="E52" s="49" t="n"/>
      <c r="F52" s="19" t="n"/>
      <c r="G52" s="29" t="n"/>
      <c r="H52" s="9" t="n"/>
      <c r="I52" s="9" t="n"/>
      <c r="J52" s="49" t="n"/>
      <c r="K52" s="24" t="n"/>
      <c r="L52" s="24" t="n"/>
      <c r="M52" s="9" t="n"/>
    </row>
    <row r="53">
      <c r="A53" s="9" t="n"/>
      <c r="B53" s="9" t="n"/>
      <c r="C53" s="24" t="n"/>
      <c r="D53" s="24" t="n"/>
      <c r="E53" s="49" t="n"/>
      <c r="F53" s="19" t="n"/>
      <c r="G53" s="29" t="n"/>
      <c r="H53" s="9" t="n"/>
      <c r="I53" s="9" t="n"/>
      <c r="J53" s="49" t="n"/>
      <c r="K53" s="24" t="n"/>
      <c r="L53" s="24" t="n"/>
      <c r="M53" s="9" t="n"/>
    </row>
    <row r="54">
      <c r="A54" s="9" t="n"/>
      <c r="B54" s="9" t="n"/>
      <c r="C54" s="24" t="n"/>
      <c r="D54" s="24" t="n"/>
      <c r="E54" s="49" t="n"/>
      <c r="F54" s="19" t="n"/>
      <c r="G54" s="29" t="n"/>
      <c r="H54" s="9" t="n"/>
      <c r="I54" s="9" t="n"/>
      <c r="J54" s="49" t="n"/>
      <c r="K54" s="24" t="n"/>
      <c r="L54" s="24" t="n"/>
      <c r="M54" s="9" t="n"/>
    </row>
    <row r="55">
      <c r="A55" s="9" t="n"/>
      <c r="B55" s="9" t="n"/>
      <c r="C55" s="24" t="n"/>
      <c r="D55" s="24" t="n"/>
      <c r="E55" s="49" t="n"/>
      <c r="F55" s="19" t="n"/>
      <c r="G55" s="29" t="n"/>
      <c r="H55" s="9" t="n"/>
      <c r="I55" s="9" t="n"/>
      <c r="J55" s="49" t="n"/>
      <c r="K55" s="24" t="n"/>
      <c r="L55" s="24" t="n"/>
      <c r="M55" s="9" t="n"/>
    </row>
    <row r="56">
      <c r="A56" s="9" t="n"/>
      <c r="B56" s="9" t="n"/>
      <c r="C56" s="24" t="n"/>
      <c r="D56" s="24" t="n"/>
      <c r="E56" s="49" t="n"/>
      <c r="F56" s="19" t="n"/>
      <c r="G56" s="29" t="n"/>
      <c r="H56" s="9" t="n"/>
      <c r="I56" s="9" t="n"/>
      <c r="J56" s="49" t="n"/>
      <c r="K56" s="24" t="n"/>
      <c r="L56" s="24" t="n"/>
      <c r="M56" s="9" t="n"/>
    </row>
    <row r="57">
      <c r="A57" s="9" t="n"/>
      <c r="B57" s="9" t="n"/>
      <c r="C57" s="24" t="n"/>
      <c r="D57" s="24" t="n"/>
      <c r="E57" s="49" t="n"/>
      <c r="F57" s="19" t="n"/>
      <c r="G57" s="29" t="n"/>
      <c r="H57" s="9" t="n"/>
      <c r="I57" s="9" t="n"/>
      <c r="J57" s="49" t="n"/>
      <c r="K57" s="24" t="n"/>
      <c r="L57" s="24" t="n"/>
      <c r="M57" s="9" t="n"/>
    </row>
    <row r="58">
      <c r="A58" s="9" t="n"/>
      <c r="B58" s="9" t="n"/>
      <c r="C58" s="24" t="n"/>
      <c r="D58" s="24" t="n"/>
      <c r="E58" s="49" t="n"/>
      <c r="F58" s="19" t="n"/>
      <c r="G58" s="29" t="n"/>
      <c r="H58" s="9" t="n"/>
      <c r="I58" s="9" t="n"/>
      <c r="J58" s="49" t="n"/>
      <c r="K58" s="24" t="n"/>
      <c r="L58" s="24" t="n"/>
      <c r="M58" s="9" t="n"/>
    </row>
    <row r="59">
      <c r="A59" s="9" t="n"/>
      <c r="B59" s="9" t="n"/>
      <c r="C59" s="24" t="n"/>
      <c r="D59" s="24" t="n"/>
      <c r="E59" s="49" t="n"/>
      <c r="F59" s="19" t="n"/>
      <c r="G59" s="29" t="n"/>
      <c r="H59" s="9" t="n"/>
      <c r="I59" s="9" t="n"/>
      <c r="J59" s="49" t="n"/>
      <c r="K59" s="24" t="n"/>
      <c r="L59" s="24" t="n"/>
      <c r="M59" s="9" t="n"/>
    </row>
    <row r="60">
      <c r="A60" s="9" t="n"/>
      <c r="B60" s="9" t="n"/>
      <c r="C60" s="24" t="n"/>
      <c r="D60" s="24" t="n"/>
      <c r="E60" s="49" t="n"/>
      <c r="F60" s="19" t="n"/>
      <c r="G60" s="29" t="n"/>
      <c r="H60" s="9" t="n"/>
      <c r="I60" s="9" t="n"/>
      <c r="J60" s="49" t="n"/>
      <c r="K60" s="24" t="n"/>
      <c r="L60" s="24" t="n"/>
      <c r="M60" s="9" t="n"/>
    </row>
    <row r="61">
      <c r="A61" s="9" t="n"/>
      <c r="B61" s="9" t="n"/>
      <c r="C61" s="24" t="n"/>
      <c r="D61" s="24" t="n"/>
      <c r="E61" s="49" t="n"/>
      <c r="F61" s="19" t="n"/>
      <c r="G61" s="29" t="n"/>
      <c r="H61" s="9" t="n"/>
      <c r="I61" s="9" t="n"/>
      <c r="J61" s="49" t="n"/>
      <c r="K61" s="24" t="n"/>
      <c r="L61" s="24" t="n"/>
      <c r="M61" s="9" t="n"/>
    </row>
    <row r="62">
      <c r="A62" s="9" t="n"/>
      <c r="B62" s="9" t="n"/>
      <c r="C62" s="24" t="n"/>
      <c r="D62" s="24" t="n"/>
      <c r="E62" s="49" t="n"/>
      <c r="F62" s="19" t="n"/>
      <c r="G62" s="29" t="n"/>
      <c r="H62" s="9" t="n"/>
      <c r="I62" s="9" t="n"/>
      <c r="J62" s="49" t="n"/>
      <c r="K62" s="24" t="n"/>
      <c r="L62" s="24" t="n"/>
      <c r="M62" s="9" t="n"/>
    </row>
    <row r="63">
      <c r="A63" s="9" t="n"/>
      <c r="B63" s="9" t="n"/>
      <c r="C63" s="24" t="n"/>
      <c r="D63" s="24" t="n"/>
      <c r="E63" s="49" t="n"/>
      <c r="F63" s="19" t="n"/>
      <c r="G63" s="29" t="n"/>
      <c r="H63" s="9" t="n"/>
      <c r="I63" s="9" t="n"/>
      <c r="J63" s="49" t="n"/>
      <c r="K63" s="24" t="n"/>
      <c r="L63" s="24" t="n"/>
      <c r="M63" s="9" t="n"/>
    </row>
    <row r="64">
      <c r="A64" s="9" t="n"/>
      <c r="B64" s="9" t="n"/>
      <c r="C64" s="24" t="n"/>
      <c r="D64" s="24" t="n"/>
      <c r="E64" s="49" t="n"/>
      <c r="F64" s="19" t="n"/>
      <c r="G64" s="29" t="n"/>
      <c r="H64" s="9" t="n"/>
      <c r="I64" s="9" t="n"/>
      <c r="J64" s="49" t="n"/>
      <c r="K64" s="24" t="n"/>
      <c r="L64" s="24" t="n"/>
      <c r="M64" s="9" t="n"/>
    </row>
    <row r="65">
      <c r="A65" s="9" t="n"/>
      <c r="B65" s="9" t="n"/>
      <c r="C65" s="24" t="n"/>
      <c r="D65" s="24" t="n"/>
      <c r="E65" s="49" t="n"/>
      <c r="F65" s="19" t="n"/>
      <c r="G65" s="29" t="n"/>
      <c r="H65" s="9" t="n"/>
      <c r="I65" s="9" t="n"/>
      <c r="J65" s="49" t="n"/>
      <c r="K65" s="24" t="n"/>
      <c r="L65" s="24" t="n"/>
      <c r="M65" s="9" t="n"/>
    </row>
    <row r="66">
      <c r="A66" s="9" t="n"/>
      <c r="B66" s="9" t="n"/>
      <c r="C66" s="24" t="n"/>
      <c r="D66" s="24" t="n"/>
      <c r="E66" s="49" t="n"/>
      <c r="F66" s="19" t="n"/>
      <c r="G66" s="29" t="n"/>
      <c r="H66" s="9" t="n"/>
      <c r="I66" s="9" t="n"/>
      <c r="J66" s="49" t="n"/>
      <c r="K66" s="24" t="n"/>
      <c r="L66" s="24" t="n"/>
      <c r="M66" s="9" t="n"/>
    </row>
    <row r="67">
      <c r="A67" s="9" t="n"/>
      <c r="B67" s="9" t="n"/>
      <c r="C67" s="24" t="n"/>
      <c r="D67" s="24" t="n"/>
      <c r="E67" s="49" t="n"/>
      <c r="F67" s="19" t="n"/>
      <c r="G67" s="29" t="n"/>
      <c r="H67" s="9" t="n"/>
      <c r="I67" s="9" t="n"/>
      <c r="J67" s="49" t="n"/>
      <c r="K67" s="24" t="n"/>
      <c r="L67" s="24" t="n"/>
      <c r="M67" s="9" t="n"/>
    </row>
    <row r="68">
      <c r="A68" s="9" t="n"/>
      <c r="B68" s="9" t="n"/>
      <c r="C68" s="24" t="n"/>
      <c r="D68" s="24" t="n"/>
      <c r="E68" s="49" t="n"/>
      <c r="F68" s="19" t="n"/>
      <c r="G68" s="29" t="n"/>
      <c r="H68" s="9" t="n"/>
      <c r="I68" s="9" t="n"/>
      <c r="J68" s="49" t="n"/>
      <c r="K68" s="24" t="n"/>
      <c r="L68" s="24" t="n"/>
      <c r="M68" s="9" t="n"/>
    </row>
    <row r="69">
      <c r="A69" s="9" t="n"/>
      <c r="B69" s="9" t="n"/>
      <c r="C69" s="24" t="n"/>
      <c r="D69" s="24" t="n"/>
      <c r="E69" s="49" t="n"/>
      <c r="F69" s="19" t="n"/>
      <c r="G69" s="29" t="n"/>
      <c r="H69" s="9" t="n"/>
      <c r="I69" s="9" t="n"/>
      <c r="J69" s="49" t="n"/>
      <c r="K69" s="24" t="n"/>
      <c r="L69" s="24" t="n"/>
      <c r="M69" s="9" t="n"/>
    </row>
    <row r="70">
      <c r="A70" s="9" t="n"/>
      <c r="B70" s="9" t="n"/>
      <c r="C70" s="24" t="n"/>
      <c r="D70" s="24" t="n"/>
      <c r="E70" s="49" t="n"/>
      <c r="F70" s="19" t="n"/>
      <c r="G70" s="29" t="n"/>
      <c r="H70" s="9" t="n"/>
      <c r="I70" s="9" t="n"/>
      <c r="J70" s="49" t="n"/>
      <c r="K70" s="24" t="n"/>
      <c r="L70" s="24" t="n"/>
      <c r="M70" s="9" t="n"/>
    </row>
    <row r="71">
      <c r="A71" s="9" t="n"/>
      <c r="B71" s="9" t="n"/>
      <c r="C71" s="24" t="n"/>
      <c r="D71" s="24" t="n"/>
      <c r="E71" s="49" t="n"/>
      <c r="F71" s="19" t="n"/>
      <c r="G71" s="29" t="n"/>
      <c r="H71" s="9" t="n"/>
      <c r="I71" s="9" t="n"/>
      <c r="J71" s="49" t="n"/>
      <c r="K71" s="24" t="n"/>
      <c r="L71" s="24" t="n"/>
      <c r="M71" s="9" t="n"/>
    </row>
    <row r="72">
      <c r="A72" s="9" t="n"/>
      <c r="B72" s="9" t="n"/>
      <c r="C72" s="24" t="n"/>
      <c r="D72" s="24" t="n"/>
      <c r="E72" s="49" t="n"/>
      <c r="F72" s="19" t="n"/>
      <c r="G72" s="29" t="n"/>
      <c r="H72" s="9" t="n"/>
      <c r="I72" s="9" t="n"/>
      <c r="J72" s="49" t="n"/>
      <c r="K72" s="24" t="n"/>
      <c r="L72" s="24" t="n"/>
      <c r="M72" s="9" t="n"/>
    </row>
    <row r="73">
      <c r="A73" s="9" t="n"/>
      <c r="B73" s="9" t="n"/>
      <c r="C73" s="24" t="n"/>
      <c r="D73" s="24" t="n"/>
      <c r="E73" s="49" t="n"/>
      <c r="F73" s="19" t="n"/>
      <c r="G73" s="29" t="n"/>
      <c r="H73" s="9" t="n"/>
      <c r="I73" s="9" t="n"/>
      <c r="J73" s="49" t="n"/>
      <c r="K73" s="24" t="n"/>
      <c r="L73" s="24" t="n"/>
      <c r="M73" s="9" t="n"/>
    </row>
    <row r="74">
      <c r="A74" s="9" t="n"/>
      <c r="B74" s="9" t="n"/>
      <c r="C74" s="24" t="n"/>
      <c r="D74" s="24" t="n"/>
      <c r="E74" s="49" t="n"/>
      <c r="F74" s="19" t="n"/>
      <c r="G74" s="29" t="n"/>
      <c r="H74" s="9" t="n"/>
      <c r="I74" s="9" t="n"/>
      <c r="J74" s="49" t="n"/>
      <c r="K74" s="24" t="n"/>
      <c r="L74" s="24" t="n"/>
      <c r="M74" s="9" t="n"/>
    </row>
    <row r="75">
      <c r="A75" s="9" t="n"/>
      <c r="B75" s="9" t="n"/>
      <c r="C75" s="24" t="n"/>
      <c r="D75" s="24" t="n"/>
      <c r="E75" s="49" t="n"/>
      <c r="F75" s="19" t="n"/>
      <c r="G75" s="29" t="n"/>
      <c r="H75" s="9" t="n"/>
      <c r="I75" s="9" t="n"/>
      <c r="J75" s="49" t="n"/>
      <c r="K75" s="24" t="n"/>
      <c r="L75" s="24" t="n"/>
      <c r="M75" s="9" t="n"/>
    </row>
    <row r="76">
      <c r="A76" s="9" t="n"/>
      <c r="B76" s="9" t="n"/>
      <c r="C76" s="24" t="n"/>
      <c r="D76" s="24" t="n"/>
      <c r="E76" s="49" t="n"/>
      <c r="F76" s="19" t="n"/>
      <c r="G76" s="29" t="n"/>
      <c r="H76" s="9" t="n"/>
      <c r="I76" s="9" t="n"/>
      <c r="J76" s="49" t="n"/>
      <c r="K76" s="24" t="n"/>
      <c r="L76" s="24" t="n"/>
      <c r="M76" s="9" t="n"/>
    </row>
    <row r="77">
      <c r="A77" s="9" t="n"/>
      <c r="B77" s="9" t="n"/>
      <c r="C77" s="24" t="n"/>
      <c r="D77" s="24" t="n"/>
      <c r="E77" s="49" t="n"/>
      <c r="F77" s="19" t="n"/>
      <c r="G77" s="29" t="n"/>
      <c r="H77" s="9" t="n"/>
      <c r="I77" s="9" t="n"/>
      <c r="J77" s="49" t="n"/>
      <c r="K77" s="24" t="n"/>
      <c r="L77" s="24" t="n"/>
      <c r="M77" s="9" t="n"/>
    </row>
    <row r="78">
      <c r="A78" s="9" t="n"/>
      <c r="B78" s="9" t="n"/>
      <c r="C78" s="24" t="n"/>
      <c r="D78" s="24" t="n"/>
      <c r="E78" s="49" t="n"/>
      <c r="F78" s="19" t="n"/>
      <c r="G78" s="29" t="n"/>
      <c r="H78" s="9" t="n"/>
      <c r="I78" s="9" t="n"/>
      <c r="J78" s="49" t="n"/>
      <c r="K78" s="24" t="n"/>
      <c r="L78" s="24" t="n"/>
      <c r="M78" s="9" t="n"/>
    </row>
    <row r="79">
      <c r="A79" s="9" t="n"/>
      <c r="B79" s="9" t="n"/>
      <c r="C79" s="24" t="n"/>
      <c r="D79" s="24" t="n"/>
      <c r="E79" s="49" t="n"/>
      <c r="F79" s="19" t="n"/>
      <c r="G79" s="29" t="n"/>
      <c r="H79" s="9" t="n"/>
      <c r="I79" s="9" t="n"/>
      <c r="J79" s="49" t="n"/>
      <c r="K79" s="24" t="n"/>
      <c r="L79" s="24" t="n"/>
      <c r="M79" s="9" t="n"/>
    </row>
    <row r="80">
      <c r="A80" s="9" t="n"/>
      <c r="B80" s="9" t="n"/>
      <c r="C80" s="24" t="n"/>
      <c r="D80" s="24" t="n"/>
      <c r="E80" s="49" t="n"/>
      <c r="F80" s="19" t="n"/>
      <c r="G80" s="29" t="n"/>
      <c r="H80" s="9" t="n"/>
      <c r="I80" s="9" t="n"/>
      <c r="J80" s="49" t="n"/>
      <c r="K80" s="24" t="n"/>
      <c r="L80" s="24" t="n"/>
      <c r="M80" s="9" t="n"/>
    </row>
    <row r="81">
      <c r="A81" s="9" t="n"/>
      <c r="B81" s="9" t="n"/>
      <c r="C81" s="24" t="n"/>
      <c r="D81" s="24" t="n"/>
      <c r="E81" s="49" t="n"/>
      <c r="F81" s="19" t="n"/>
      <c r="G81" s="29" t="n"/>
      <c r="H81" s="9" t="n"/>
      <c r="I81" s="9" t="n"/>
      <c r="J81" s="49" t="n"/>
      <c r="K81" s="24" t="n"/>
      <c r="L81" s="24" t="n"/>
      <c r="M81" s="9" t="n"/>
    </row>
    <row r="82">
      <c r="A82" s="9" t="n"/>
      <c r="B82" s="9" t="n"/>
      <c r="C82" s="24" t="n"/>
      <c r="D82" s="24" t="n"/>
      <c r="E82" s="49" t="n"/>
      <c r="F82" s="19" t="n"/>
      <c r="G82" s="29" t="n"/>
      <c r="H82" s="9" t="n"/>
      <c r="I82" s="9" t="n"/>
      <c r="J82" s="49" t="n"/>
      <c r="K82" s="24" t="n"/>
      <c r="L82" s="24" t="n"/>
      <c r="M82" s="9" t="n"/>
    </row>
    <row r="83">
      <c r="A83" s="9" t="n"/>
      <c r="B83" s="9" t="n"/>
      <c r="C83" s="24" t="n"/>
      <c r="D83" s="24" t="n"/>
      <c r="E83" s="49" t="n"/>
      <c r="F83" s="19" t="n"/>
      <c r="G83" s="29" t="n"/>
      <c r="H83" s="9" t="n"/>
      <c r="I83" s="9" t="n"/>
      <c r="J83" s="49" t="n"/>
      <c r="K83" s="24" t="n"/>
      <c r="L83" s="24" t="n"/>
      <c r="M83" s="9" t="n"/>
    </row>
    <row r="84">
      <c r="A84" s="9" t="n"/>
      <c r="B84" s="9" t="n"/>
      <c r="C84" s="24" t="n"/>
      <c r="D84" s="24" t="n"/>
      <c r="E84" s="49" t="n"/>
      <c r="F84" s="19" t="n"/>
      <c r="G84" s="29" t="n"/>
      <c r="H84" s="9" t="n"/>
      <c r="I84" s="9" t="n"/>
      <c r="J84" s="49" t="n"/>
      <c r="K84" s="24" t="n"/>
      <c r="L84" s="24" t="n"/>
      <c r="M84" s="9" t="n"/>
    </row>
    <row r="85">
      <c r="A85" s="9" t="n"/>
      <c r="B85" s="9" t="n"/>
      <c r="C85" s="24" t="n"/>
      <c r="D85" s="24" t="n"/>
      <c r="E85" s="49" t="n"/>
      <c r="F85" s="19" t="n"/>
      <c r="G85" s="29" t="n"/>
      <c r="H85" s="9" t="n"/>
      <c r="I85" s="9" t="n"/>
      <c r="J85" s="49" t="n"/>
      <c r="K85" s="24" t="n"/>
      <c r="L85" s="24" t="n"/>
      <c r="M85" s="9" t="n"/>
    </row>
    <row r="86">
      <c r="A86" s="9" t="n"/>
      <c r="B86" s="9" t="n"/>
      <c r="C86" s="24" t="n"/>
      <c r="D86" s="24" t="n"/>
      <c r="E86" s="49" t="n"/>
      <c r="F86" s="19" t="n"/>
      <c r="G86" s="29" t="n"/>
      <c r="H86" s="9" t="n"/>
      <c r="I86" s="9" t="n"/>
      <c r="J86" s="49" t="n"/>
      <c r="K86" s="24" t="n"/>
      <c r="L86" s="24" t="n"/>
      <c r="M86" s="9" t="n"/>
    </row>
    <row r="87">
      <c r="A87" s="9" t="n"/>
      <c r="B87" s="9" t="n"/>
      <c r="C87" s="24" t="n"/>
      <c r="D87" s="24" t="n"/>
      <c r="E87" s="49" t="n"/>
      <c r="F87" s="19" t="n"/>
      <c r="G87" s="29" t="n"/>
      <c r="H87" s="9" t="n"/>
      <c r="I87" s="9" t="n"/>
      <c r="J87" s="49" t="n"/>
      <c r="K87" s="24" t="n"/>
      <c r="L87" s="24" t="n"/>
      <c r="M87" s="9" t="n"/>
    </row>
    <row r="88">
      <c r="A88" s="9" t="n"/>
      <c r="B88" s="9" t="n"/>
      <c r="C88" s="24" t="n"/>
      <c r="D88" s="24" t="n"/>
      <c r="E88" s="49" t="n"/>
      <c r="F88" s="19" t="n"/>
      <c r="G88" s="29" t="n"/>
      <c r="H88" s="9" t="n"/>
      <c r="I88" s="9" t="n"/>
      <c r="J88" s="49" t="n"/>
      <c r="K88" s="24" t="n"/>
      <c r="L88" s="24" t="n"/>
      <c r="M88" s="9" t="n"/>
    </row>
    <row r="89">
      <c r="A89" s="9" t="n"/>
      <c r="B89" s="9" t="n"/>
      <c r="C89" s="24" t="n"/>
      <c r="D89" s="24" t="n"/>
      <c r="E89" s="49" t="n"/>
      <c r="F89" s="19" t="n"/>
      <c r="G89" s="29" t="n"/>
      <c r="H89" s="9" t="n"/>
      <c r="I89" s="9" t="n"/>
      <c r="J89" s="49" t="n"/>
      <c r="K89" s="24" t="n"/>
      <c r="L89" s="24" t="n"/>
      <c r="M89" s="9" t="n"/>
    </row>
    <row r="90">
      <c r="A90" s="9" t="n"/>
      <c r="B90" s="9" t="n"/>
      <c r="C90" s="24" t="n"/>
      <c r="D90" s="24" t="n"/>
      <c r="E90" s="49" t="n"/>
      <c r="F90" s="19" t="n"/>
      <c r="G90" s="29" t="n"/>
      <c r="H90" s="9" t="n"/>
      <c r="I90" s="9" t="n"/>
      <c r="J90" s="49" t="n"/>
      <c r="K90" s="24" t="n"/>
      <c r="L90" s="24" t="n"/>
      <c r="M90" s="9" t="n"/>
    </row>
    <row r="91">
      <c r="A91" s="9" t="n"/>
      <c r="B91" s="9" t="n"/>
      <c r="C91" s="24" t="n"/>
      <c r="D91" s="24" t="n"/>
      <c r="E91" s="49" t="n"/>
      <c r="F91" s="19" t="n"/>
      <c r="G91" s="29" t="n"/>
      <c r="H91" s="9" t="n"/>
      <c r="I91" s="9" t="n"/>
      <c r="J91" s="49" t="n"/>
      <c r="K91" s="24" t="n"/>
      <c r="L91" s="24" t="n"/>
      <c r="M91" s="9" t="n"/>
    </row>
    <row r="92">
      <c r="A92" s="9" t="n"/>
      <c r="B92" s="9" t="n"/>
      <c r="C92" s="24" t="n"/>
      <c r="D92" s="24" t="n"/>
      <c r="E92" s="49" t="n"/>
      <c r="F92" s="19" t="n"/>
      <c r="G92" s="29" t="n"/>
      <c r="H92" s="9" t="n"/>
      <c r="I92" s="9" t="n"/>
      <c r="J92" s="49" t="n"/>
      <c r="K92" s="24" t="n"/>
      <c r="L92" s="24" t="n"/>
      <c r="M92" s="9" t="n"/>
    </row>
    <row r="93">
      <c r="A93" s="9" t="n"/>
      <c r="B93" s="9" t="n"/>
      <c r="C93" s="24" t="n"/>
      <c r="D93" s="24" t="n"/>
      <c r="E93" s="49" t="n"/>
      <c r="F93" s="19" t="n"/>
      <c r="G93" s="29" t="n"/>
      <c r="H93" s="9" t="n"/>
      <c r="I93" s="9" t="n"/>
      <c r="J93" s="49" t="n"/>
      <c r="K93" s="24" t="n"/>
      <c r="L93" s="24" t="n"/>
      <c r="M93" s="9" t="n"/>
    </row>
    <row r="94">
      <c r="A94" s="9" t="n"/>
      <c r="B94" s="9" t="n"/>
      <c r="C94" s="24" t="n"/>
      <c r="D94" s="24" t="n"/>
      <c r="E94" s="49" t="n"/>
      <c r="F94" s="19" t="n"/>
      <c r="G94" s="29" t="n"/>
      <c r="H94" s="9" t="n"/>
      <c r="I94" s="9" t="n"/>
      <c r="J94" s="49" t="n"/>
      <c r="K94" s="24" t="n"/>
      <c r="L94" s="24" t="n"/>
      <c r="M94" s="9" t="n"/>
    </row>
    <row r="95">
      <c r="A95" s="9" t="n"/>
      <c r="B95" s="9" t="n"/>
      <c r="C95" s="24" t="n"/>
      <c r="D95" s="24" t="n"/>
      <c r="E95" s="49" t="n"/>
      <c r="F95" s="19" t="n"/>
      <c r="G95" s="29" t="n"/>
      <c r="H95" s="9" t="n"/>
      <c r="I95" s="9" t="n"/>
      <c r="J95" s="49" t="n"/>
      <c r="K95" s="24" t="n"/>
      <c r="L95" s="24" t="n"/>
      <c r="M95" s="9" t="n"/>
    </row>
    <row r="96">
      <c r="A96" s="9" t="n"/>
      <c r="B96" s="9" t="n"/>
      <c r="C96" s="24" t="n"/>
      <c r="D96" s="24" t="n"/>
      <c r="E96" s="49" t="n"/>
      <c r="F96" s="19" t="n"/>
      <c r="G96" s="29" t="n"/>
      <c r="H96" s="9" t="n"/>
      <c r="I96" s="9" t="n"/>
      <c r="J96" s="49" t="n"/>
      <c r="K96" s="24" t="n"/>
      <c r="L96" s="24" t="n"/>
      <c r="M96" s="9" t="n"/>
    </row>
    <row r="97">
      <c r="A97" s="9" t="n"/>
      <c r="B97" s="9" t="n"/>
      <c r="C97" s="24" t="n"/>
      <c r="D97" s="24" t="n"/>
      <c r="E97" s="49" t="n"/>
      <c r="F97" s="19" t="n"/>
      <c r="G97" s="29" t="n"/>
      <c r="H97" s="9" t="n"/>
      <c r="I97" s="9" t="n"/>
      <c r="J97" s="49" t="n"/>
      <c r="K97" s="24" t="n"/>
      <c r="L97" s="24" t="n"/>
      <c r="M97" s="9" t="n"/>
    </row>
    <row r="98">
      <c r="A98" s="9" t="n"/>
      <c r="B98" s="9" t="n"/>
      <c r="C98" s="24" t="n"/>
      <c r="D98" s="24" t="n"/>
      <c r="E98" s="49" t="n"/>
      <c r="F98" s="19" t="n"/>
      <c r="G98" s="29" t="n"/>
      <c r="H98" s="9" t="n"/>
      <c r="I98" s="9" t="n"/>
      <c r="J98" s="49" t="n"/>
      <c r="K98" s="24" t="n"/>
      <c r="L98" s="24" t="n"/>
      <c r="M98" s="9" t="n"/>
    </row>
    <row r="99">
      <c r="A99" s="9" t="n"/>
      <c r="B99" s="9" t="n"/>
      <c r="C99" s="24" t="n"/>
      <c r="D99" s="24" t="n"/>
      <c r="E99" s="49" t="n"/>
      <c r="F99" s="19" t="n"/>
      <c r="G99" s="29" t="n"/>
      <c r="H99" s="9" t="n"/>
      <c r="I99" s="9" t="n"/>
      <c r="J99" s="49" t="n"/>
      <c r="K99" s="24" t="n"/>
      <c r="L99" s="24" t="n"/>
      <c r="M99" s="9" t="n"/>
    </row>
    <row r="100">
      <c r="A100" s="9" t="n"/>
      <c r="B100" s="9" t="n"/>
      <c r="C100" s="24" t="n"/>
      <c r="D100" s="24" t="n"/>
      <c r="E100" s="49" t="n"/>
      <c r="F100" s="19" t="n"/>
      <c r="G100" s="29" t="n"/>
      <c r="H100" s="9" t="n"/>
      <c r="I100" s="9" t="n"/>
      <c r="J100" s="49" t="n"/>
      <c r="K100" s="24" t="n"/>
      <c r="L100" s="24" t="n"/>
      <c r="M100" s="9" t="n"/>
    </row>
    <row r="101">
      <c r="A101" s="9" t="n"/>
      <c r="B101" s="9" t="n"/>
      <c r="C101" s="24" t="n"/>
      <c r="D101" s="24" t="n"/>
      <c r="E101" s="49" t="n"/>
      <c r="F101" s="19" t="n"/>
      <c r="G101" s="29" t="n"/>
      <c r="H101" s="9" t="n"/>
      <c r="I101" s="9" t="n"/>
      <c r="J101" s="49" t="n"/>
      <c r="K101" s="24" t="n"/>
      <c r="L101" s="24" t="n"/>
      <c r="M101" s="9" t="n"/>
    </row>
    <row r="102">
      <c r="A102" s="9" t="n"/>
      <c r="B102" s="9" t="n"/>
      <c r="C102" s="24" t="n"/>
      <c r="D102" s="24" t="n"/>
      <c r="E102" s="49" t="n"/>
      <c r="F102" s="19" t="n"/>
      <c r="G102" s="29" t="n"/>
      <c r="H102" s="9" t="n"/>
      <c r="I102" s="9" t="n"/>
      <c r="J102" s="49" t="n"/>
      <c r="K102" s="24" t="n"/>
      <c r="L102" s="24" t="n"/>
      <c r="M102" s="9" t="n"/>
    </row>
    <row r="103">
      <c r="A103" s="9" t="n"/>
      <c r="B103" s="9" t="n"/>
      <c r="C103" s="24" t="n"/>
      <c r="D103" s="24" t="n"/>
      <c r="E103" s="49" t="n"/>
      <c r="F103" s="19" t="n"/>
      <c r="G103" s="29" t="n"/>
      <c r="H103" s="9" t="n"/>
      <c r="I103" s="9" t="n"/>
      <c r="J103" s="49" t="n"/>
      <c r="K103" s="24" t="n"/>
      <c r="L103" s="24" t="n"/>
      <c r="M103" s="9" t="n"/>
    </row>
    <row r="104">
      <c r="A104" s="9" t="n"/>
      <c r="B104" s="9" t="n"/>
      <c r="C104" s="24" t="n"/>
      <c r="D104" s="24" t="n"/>
      <c r="E104" s="49" t="n"/>
      <c r="F104" s="19" t="n"/>
      <c r="G104" s="29" t="n"/>
      <c r="H104" s="9" t="n"/>
      <c r="I104" s="9" t="n"/>
      <c r="J104" s="49" t="n"/>
      <c r="K104" s="24" t="n"/>
      <c r="L104" s="24" t="n"/>
      <c r="M104" s="9" t="n"/>
    </row>
    <row r="105">
      <c r="A105" s="9" t="n"/>
      <c r="B105" s="9" t="n"/>
      <c r="C105" s="24" t="n"/>
      <c r="D105" s="24" t="n"/>
      <c r="E105" s="49" t="n"/>
      <c r="F105" s="19" t="n"/>
      <c r="G105" s="29" t="n"/>
      <c r="H105" s="9" t="n"/>
      <c r="I105" s="9" t="n"/>
      <c r="J105" s="49" t="n"/>
      <c r="K105" s="24" t="n"/>
      <c r="L105" s="24" t="n"/>
      <c r="M105" s="9" t="n"/>
    </row>
    <row r="106">
      <c r="A106" s="9" t="n"/>
      <c r="B106" s="9" t="n"/>
      <c r="C106" s="24" t="n"/>
      <c r="D106" s="24" t="n"/>
      <c r="E106" s="49" t="n"/>
      <c r="F106" s="19" t="n"/>
      <c r="G106" s="29" t="n"/>
      <c r="H106" s="9" t="n"/>
      <c r="I106" s="9" t="n"/>
      <c r="J106" s="49" t="n"/>
      <c r="K106" s="24" t="n"/>
      <c r="L106" s="24" t="n"/>
      <c r="M106" s="9" t="n"/>
    </row>
    <row r="107">
      <c r="A107" s="9" t="n"/>
      <c r="B107" s="9" t="n"/>
      <c r="C107" s="24" t="n"/>
      <c r="D107" s="24" t="n"/>
      <c r="E107" s="49" t="n"/>
      <c r="F107" s="19" t="n"/>
      <c r="G107" s="29" t="n"/>
      <c r="H107" s="9" t="n"/>
      <c r="I107" s="9" t="n"/>
      <c r="J107" s="49" t="n"/>
      <c r="K107" s="24" t="n"/>
      <c r="L107" s="24" t="n"/>
      <c r="M107" s="9" t="n"/>
    </row>
    <row r="108">
      <c r="A108" s="9" t="n"/>
      <c r="B108" s="9" t="n"/>
      <c r="C108" s="24" t="n"/>
      <c r="D108" s="24" t="n"/>
      <c r="E108" s="49" t="n"/>
      <c r="F108" s="19" t="n"/>
      <c r="G108" s="29" t="n"/>
      <c r="H108" s="9" t="n"/>
      <c r="I108" s="9" t="n"/>
      <c r="J108" s="49" t="n"/>
      <c r="K108" s="24" t="n"/>
      <c r="L108" s="24" t="n"/>
      <c r="M108" s="9" t="n"/>
    </row>
    <row r="109">
      <c r="A109" s="9" t="n"/>
      <c r="B109" s="9" t="n"/>
      <c r="C109" s="24" t="n"/>
      <c r="D109" s="24" t="n"/>
      <c r="E109" s="49" t="n"/>
      <c r="F109" s="19" t="n"/>
      <c r="G109" s="29" t="n"/>
      <c r="H109" s="9" t="n"/>
      <c r="I109" s="9" t="n"/>
      <c r="J109" s="49" t="n"/>
      <c r="K109" s="24" t="n"/>
      <c r="L109" s="24" t="n"/>
      <c r="M109" s="9" t="n"/>
    </row>
    <row r="110">
      <c r="A110" s="9" t="n"/>
      <c r="B110" s="9" t="n"/>
      <c r="C110" s="24" t="n"/>
      <c r="D110" s="24" t="n"/>
      <c r="E110" s="49" t="n"/>
      <c r="F110" s="19" t="n"/>
      <c r="G110" s="29" t="n"/>
      <c r="H110" s="9" t="n"/>
      <c r="I110" s="9" t="n"/>
      <c r="J110" s="49" t="n"/>
      <c r="K110" s="24" t="n"/>
      <c r="L110" s="24" t="n"/>
      <c r="M110" s="9" t="n"/>
    </row>
    <row r="111">
      <c r="A111" s="9" t="n"/>
      <c r="B111" s="9" t="n"/>
      <c r="C111" s="24" t="n"/>
      <c r="D111" s="24" t="n"/>
      <c r="E111" s="49" t="n"/>
      <c r="F111" s="19" t="n"/>
      <c r="G111" s="29" t="n"/>
      <c r="H111" s="9" t="n"/>
      <c r="I111" s="9" t="n"/>
      <c r="J111" s="49" t="n"/>
      <c r="K111" s="24" t="n"/>
      <c r="L111" s="24" t="n"/>
      <c r="M111" s="9" t="n"/>
    </row>
    <row r="112">
      <c r="A112" s="9" t="n"/>
      <c r="B112" s="9" t="n"/>
      <c r="C112" s="24" t="n"/>
      <c r="D112" s="24" t="n"/>
      <c r="E112" s="49" t="n"/>
      <c r="F112" s="19" t="n"/>
      <c r="G112" s="29" t="n"/>
      <c r="H112" s="9" t="n"/>
      <c r="I112" s="9" t="n"/>
      <c r="J112" s="49" t="n"/>
      <c r="K112" s="24" t="n"/>
      <c r="L112" s="24" t="n"/>
      <c r="M112" s="9" t="n"/>
    </row>
    <row r="113">
      <c r="A113" s="9" t="n"/>
      <c r="B113" s="9" t="n"/>
      <c r="C113" s="24" t="n"/>
      <c r="D113" s="24" t="n"/>
      <c r="E113" s="49" t="n"/>
      <c r="F113" s="19" t="n"/>
      <c r="G113" s="29" t="n"/>
      <c r="H113" s="9" t="n"/>
      <c r="I113" s="9" t="n"/>
      <c r="J113" s="49" t="n"/>
      <c r="K113" s="24" t="n"/>
      <c r="L113" s="24" t="n"/>
      <c r="M113" s="9" t="n"/>
    </row>
    <row r="114">
      <c r="A114" s="9" t="n"/>
      <c r="B114" s="9" t="n"/>
      <c r="C114" s="24" t="n"/>
      <c r="D114" s="24" t="n"/>
      <c r="E114" s="49" t="n"/>
      <c r="F114" s="19" t="n"/>
      <c r="G114" s="29" t="n"/>
      <c r="H114" s="9" t="n"/>
      <c r="I114" s="9" t="n"/>
      <c r="J114" s="49" t="n"/>
      <c r="K114" s="24" t="n"/>
      <c r="L114" s="24" t="n"/>
      <c r="M114" s="9" t="n"/>
    </row>
    <row r="115">
      <c r="A115" s="9" t="n"/>
      <c r="B115" s="9" t="n"/>
      <c r="C115" s="24" t="n"/>
      <c r="D115" s="24" t="n"/>
      <c r="E115" s="49" t="n"/>
      <c r="F115" s="19" t="n"/>
      <c r="G115" s="29" t="n"/>
      <c r="H115" s="9" t="n"/>
      <c r="I115" s="9" t="n"/>
      <c r="J115" s="49" t="n"/>
      <c r="K115" s="24" t="n"/>
      <c r="L115" s="24" t="n"/>
      <c r="M115" s="9" t="n"/>
    </row>
    <row r="116">
      <c r="A116" s="9" t="n"/>
      <c r="B116" s="9" t="n"/>
      <c r="C116" s="24" t="n"/>
      <c r="D116" s="24" t="n"/>
      <c r="E116" s="49" t="n"/>
      <c r="F116" s="19" t="n"/>
      <c r="G116" s="29" t="n"/>
      <c r="H116" s="9" t="n"/>
      <c r="I116" s="9" t="n"/>
      <c r="J116" s="49" t="n"/>
      <c r="K116" s="24" t="n"/>
      <c r="L116" s="24" t="n"/>
      <c r="M116" s="9" t="n"/>
    </row>
    <row r="117">
      <c r="A117" s="9" t="n"/>
      <c r="B117" s="9" t="n"/>
      <c r="C117" s="24" t="n"/>
      <c r="D117" s="24" t="n"/>
      <c r="E117" s="49" t="n"/>
      <c r="F117" s="19" t="n"/>
      <c r="G117" s="29" t="n"/>
      <c r="H117" s="9" t="n"/>
      <c r="I117" s="9" t="n"/>
      <c r="J117" s="49" t="n"/>
      <c r="K117" s="24" t="n"/>
      <c r="L117" s="24" t="n"/>
      <c r="M117" s="9" t="n"/>
    </row>
    <row r="118">
      <c r="A118" s="9" t="n"/>
      <c r="B118" s="9" t="n"/>
      <c r="C118" s="24" t="n"/>
      <c r="D118" s="24" t="n"/>
      <c r="E118" s="49" t="n"/>
      <c r="F118" s="19" t="n"/>
      <c r="G118" s="29" t="n"/>
      <c r="H118" s="9" t="n"/>
      <c r="I118" s="9" t="n"/>
      <c r="J118" s="49" t="n"/>
      <c r="K118" s="24" t="n"/>
      <c r="L118" s="24" t="n"/>
      <c r="M118" s="9" t="n"/>
    </row>
    <row r="119">
      <c r="A119" s="9" t="n"/>
      <c r="B119" s="9" t="n"/>
      <c r="C119" s="24" t="n"/>
      <c r="D119" s="24" t="n"/>
      <c r="E119" s="49" t="n"/>
      <c r="F119" s="19" t="n"/>
      <c r="G119" s="29" t="n"/>
      <c r="H119" s="9" t="n"/>
      <c r="I119" s="9" t="n"/>
      <c r="J119" s="49" t="n"/>
      <c r="K119" s="24" t="n"/>
      <c r="L119" s="24" t="n"/>
      <c r="M119" s="9" t="n"/>
    </row>
    <row r="120">
      <c r="A120" s="9" t="n"/>
      <c r="B120" s="9" t="n"/>
      <c r="C120" s="24" t="n"/>
      <c r="D120" s="24" t="n"/>
      <c r="E120" s="49" t="n"/>
      <c r="F120" s="19" t="n"/>
      <c r="G120" s="29" t="n"/>
      <c r="H120" s="9" t="n"/>
      <c r="I120" s="9" t="n"/>
      <c r="J120" s="49" t="n"/>
      <c r="K120" s="24" t="n"/>
      <c r="L120" s="24" t="n"/>
      <c r="M120" s="9" t="n"/>
    </row>
    <row r="121">
      <c r="A121" s="9" t="n"/>
      <c r="B121" s="9" t="n"/>
      <c r="C121" s="24" t="n"/>
      <c r="D121" s="24" t="n"/>
      <c r="E121" s="49" t="n"/>
      <c r="F121" s="19" t="n"/>
      <c r="G121" s="29" t="n"/>
      <c r="H121" s="9" t="n"/>
      <c r="I121" s="9" t="n"/>
      <c r="J121" s="49" t="n"/>
      <c r="K121" s="24" t="n"/>
      <c r="L121" s="24" t="n"/>
      <c r="M121" s="9" t="n"/>
    </row>
    <row r="122">
      <c r="A122" s="9" t="n"/>
      <c r="B122" s="9" t="n"/>
      <c r="C122" s="24" t="n"/>
      <c r="D122" s="24" t="n"/>
      <c r="E122" s="49" t="n"/>
      <c r="F122" s="19" t="n"/>
      <c r="G122" s="29" t="n"/>
      <c r="H122" s="9" t="n"/>
      <c r="I122" s="9" t="n"/>
      <c r="J122" s="49" t="n"/>
      <c r="K122" s="24" t="n"/>
      <c r="L122" s="24" t="n"/>
      <c r="M122" s="9" t="n"/>
    </row>
    <row r="123">
      <c r="A123" s="9" t="n"/>
      <c r="B123" s="9" t="n"/>
      <c r="C123" s="24" t="n"/>
      <c r="D123" s="24" t="n"/>
      <c r="E123" s="49" t="n"/>
      <c r="F123" s="19" t="n"/>
      <c r="G123" s="29" t="n"/>
      <c r="H123" s="9" t="n"/>
      <c r="I123" s="9" t="n"/>
      <c r="J123" s="49" t="n"/>
      <c r="K123" s="24" t="n"/>
      <c r="L123" s="24" t="n"/>
      <c r="M123" s="9" t="n"/>
    </row>
    <row r="124">
      <c r="A124" s="9" t="n"/>
      <c r="B124" s="9" t="n"/>
      <c r="C124" s="24" t="n"/>
      <c r="D124" s="24" t="n"/>
      <c r="E124" s="49" t="n"/>
      <c r="F124" s="19" t="n"/>
      <c r="G124" s="29" t="n"/>
      <c r="H124" s="9" t="n"/>
      <c r="I124" s="9" t="n"/>
      <c r="J124" s="49" t="n"/>
      <c r="K124" s="24" t="n"/>
      <c r="L124" s="24" t="n"/>
      <c r="M124" s="9" t="n"/>
    </row>
    <row r="125">
      <c r="A125" s="9" t="n"/>
      <c r="B125" s="9" t="n"/>
      <c r="C125" s="24" t="n"/>
      <c r="D125" s="24" t="n"/>
      <c r="E125" s="49" t="n"/>
      <c r="F125" s="19" t="n"/>
      <c r="G125" s="29" t="n"/>
      <c r="H125" s="9" t="n"/>
      <c r="I125" s="9" t="n"/>
      <c r="J125" s="49" t="n"/>
      <c r="K125" s="24" t="n"/>
      <c r="L125" s="24" t="n"/>
      <c r="M125" s="9" t="n"/>
    </row>
    <row r="126">
      <c r="A126" s="9" t="n"/>
      <c r="B126" s="9" t="n"/>
      <c r="C126" s="24" t="n"/>
      <c r="D126" s="24" t="n"/>
      <c r="E126" s="49" t="n"/>
      <c r="F126" s="19" t="n"/>
      <c r="G126" s="29" t="n"/>
      <c r="H126" s="9" t="n"/>
      <c r="I126" s="9" t="n"/>
      <c r="J126" s="49" t="n"/>
      <c r="K126" s="24" t="n"/>
      <c r="L126" s="24" t="n"/>
      <c r="M126" s="9" t="n"/>
    </row>
    <row r="127">
      <c r="A127" s="9" t="n"/>
      <c r="B127" s="9" t="n"/>
      <c r="C127" s="24" t="n"/>
      <c r="D127" s="24" t="n"/>
      <c r="E127" s="49" t="n"/>
      <c r="F127" s="19" t="n"/>
      <c r="G127" s="29" t="n"/>
      <c r="H127" s="9" t="n"/>
      <c r="I127" s="9" t="n"/>
      <c r="J127" s="49" t="n"/>
      <c r="K127" s="24" t="n"/>
      <c r="L127" s="24" t="n"/>
      <c r="M127" s="9" t="n"/>
    </row>
    <row r="128">
      <c r="A128" s="9" t="n"/>
      <c r="B128" s="9" t="n"/>
      <c r="C128" s="24" t="n"/>
      <c r="D128" s="24" t="n"/>
      <c r="E128" s="49" t="n"/>
      <c r="F128" s="19" t="n"/>
      <c r="G128" s="29" t="n"/>
      <c r="H128" s="9" t="n"/>
      <c r="I128" s="9" t="n"/>
      <c r="J128" s="49" t="n"/>
      <c r="K128" s="24" t="n"/>
      <c r="L128" s="24" t="n"/>
      <c r="M128" s="9" t="n"/>
    </row>
    <row r="129">
      <c r="A129" s="9" t="n"/>
      <c r="B129" s="9" t="n"/>
      <c r="C129" s="24" t="n"/>
      <c r="D129" s="24" t="n"/>
      <c r="E129" s="49" t="n"/>
      <c r="F129" s="19" t="n"/>
      <c r="G129" s="29" t="n"/>
      <c r="H129" s="9" t="n"/>
      <c r="I129" s="9" t="n"/>
      <c r="J129" s="49" t="n"/>
      <c r="K129" s="24" t="n"/>
      <c r="L129" s="24" t="n"/>
      <c r="M129" s="9" t="n"/>
    </row>
    <row r="130">
      <c r="A130" s="9" t="n"/>
      <c r="B130" s="9" t="n"/>
      <c r="C130" s="24" t="n"/>
      <c r="D130" s="24" t="n"/>
      <c r="E130" s="49" t="n"/>
      <c r="F130" s="19" t="n"/>
      <c r="G130" s="29" t="n"/>
      <c r="H130" s="9" t="n"/>
      <c r="I130" s="9" t="n"/>
      <c r="J130" s="49" t="n"/>
      <c r="K130" s="24" t="n"/>
      <c r="L130" s="24" t="n"/>
      <c r="M130" s="9" t="n"/>
    </row>
    <row r="131">
      <c r="A131" s="9" t="n"/>
      <c r="B131" s="9" t="n"/>
      <c r="C131" s="24" t="n"/>
      <c r="D131" s="24" t="n"/>
      <c r="E131" s="49" t="n"/>
      <c r="F131" s="19" t="n"/>
      <c r="G131" s="29" t="n"/>
      <c r="H131" s="9" t="n"/>
      <c r="I131" s="9" t="n"/>
      <c r="J131" s="49" t="n"/>
      <c r="K131" s="24" t="n"/>
      <c r="L131" s="24" t="n"/>
      <c r="M131" s="9" t="n"/>
    </row>
    <row r="132">
      <c r="A132" s="9" t="n"/>
      <c r="B132" s="9" t="n"/>
      <c r="C132" s="24" t="n"/>
      <c r="D132" s="24" t="n"/>
      <c r="E132" s="49" t="n"/>
      <c r="F132" s="19" t="n"/>
      <c r="G132" s="29" t="n"/>
      <c r="H132" s="9" t="n"/>
      <c r="I132" s="9" t="n"/>
      <c r="J132" s="49" t="n"/>
      <c r="K132" s="24" t="n"/>
      <c r="L132" s="24" t="n"/>
      <c r="M132" s="9" t="n"/>
    </row>
    <row r="133">
      <c r="A133" s="9" t="n"/>
      <c r="B133" s="9" t="n"/>
      <c r="C133" s="24" t="n"/>
      <c r="D133" s="24" t="n"/>
      <c r="E133" s="49" t="n"/>
      <c r="F133" s="19" t="n"/>
      <c r="G133" s="29" t="n"/>
      <c r="H133" s="9" t="n"/>
      <c r="I133" s="9" t="n"/>
      <c r="J133" s="49" t="n"/>
      <c r="K133" s="24" t="n"/>
      <c r="L133" s="24" t="n"/>
      <c r="M133" s="9" t="n"/>
    </row>
    <row r="134">
      <c r="A134" s="9" t="n"/>
      <c r="B134" s="9" t="n"/>
      <c r="C134" s="24" t="n"/>
      <c r="D134" s="24" t="n"/>
      <c r="E134" s="49" t="n"/>
      <c r="F134" s="19" t="n"/>
      <c r="G134" s="29" t="n"/>
      <c r="H134" s="9" t="n"/>
      <c r="I134" s="9" t="n"/>
      <c r="J134" s="49" t="n"/>
      <c r="K134" s="24" t="n"/>
      <c r="L134" s="24" t="n"/>
      <c r="M134" s="9" t="n"/>
    </row>
    <row r="135">
      <c r="A135" s="9" t="n"/>
      <c r="B135" s="9" t="n"/>
      <c r="C135" s="24" t="n"/>
      <c r="D135" s="24" t="n"/>
      <c r="E135" s="49" t="n"/>
      <c r="F135" s="19" t="n"/>
      <c r="G135" s="29" t="n"/>
      <c r="H135" s="9" t="n"/>
      <c r="I135" s="9" t="n"/>
      <c r="J135" s="49" t="n"/>
      <c r="K135" s="24" t="n"/>
      <c r="L135" s="24" t="n"/>
      <c r="M135" s="9" t="n"/>
    </row>
    <row r="136">
      <c r="A136" s="9" t="n"/>
      <c r="B136" s="9" t="n"/>
      <c r="C136" s="24" t="n"/>
      <c r="D136" s="24" t="n"/>
      <c r="E136" s="49" t="n"/>
      <c r="F136" s="19" t="n"/>
      <c r="G136" s="29" t="n"/>
      <c r="H136" s="9" t="n"/>
      <c r="I136" s="9" t="n"/>
      <c r="J136" s="49" t="n"/>
      <c r="K136" s="24" t="n"/>
      <c r="L136" s="24" t="n"/>
      <c r="M136" s="9" t="n"/>
    </row>
    <row r="137">
      <c r="A137" s="9" t="n"/>
      <c r="B137" s="9" t="n"/>
      <c r="C137" s="24" t="n"/>
      <c r="D137" s="24" t="n"/>
      <c r="E137" s="49" t="n"/>
      <c r="F137" s="19" t="n"/>
      <c r="G137" s="29" t="n"/>
      <c r="H137" s="9" t="n"/>
      <c r="I137" s="9" t="n"/>
      <c r="J137" s="49" t="n"/>
      <c r="K137" s="24" t="n"/>
      <c r="L137" s="24" t="n"/>
      <c r="M137" s="9" t="n"/>
    </row>
    <row r="138">
      <c r="A138" s="9" t="n"/>
      <c r="B138" s="9" t="n"/>
      <c r="C138" s="24" t="n"/>
      <c r="D138" s="24" t="n"/>
      <c r="E138" s="49" t="n"/>
      <c r="F138" s="19" t="n"/>
      <c r="G138" s="29" t="n"/>
      <c r="H138" s="9" t="n"/>
      <c r="I138" s="9" t="n"/>
      <c r="J138" s="49" t="n"/>
      <c r="K138" s="24" t="n"/>
      <c r="L138" s="24" t="n"/>
      <c r="M138" s="9" t="n"/>
    </row>
    <row r="139">
      <c r="A139" s="9" t="n"/>
      <c r="B139" s="9" t="n"/>
      <c r="C139" s="24" t="n"/>
      <c r="D139" s="24" t="n"/>
      <c r="E139" s="49" t="n"/>
      <c r="F139" s="19" t="n"/>
      <c r="G139" s="29" t="n"/>
      <c r="H139" s="9" t="n"/>
      <c r="I139" s="9" t="n"/>
      <c r="J139" s="49" t="n"/>
      <c r="K139" s="24" t="n"/>
      <c r="L139" s="24" t="n"/>
      <c r="M139" s="9" t="n"/>
    </row>
    <row r="140">
      <c r="A140" s="9" t="n"/>
      <c r="B140" s="9" t="n"/>
      <c r="C140" s="24" t="n"/>
      <c r="D140" s="24" t="n"/>
      <c r="E140" s="49" t="n"/>
      <c r="F140" s="19" t="n"/>
      <c r="G140" s="29" t="n"/>
      <c r="H140" s="9" t="n"/>
      <c r="I140" s="9" t="n"/>
      <c r="J140" s="49" t="n"/>
      <c r="K140" s="24" t="n"/>
      <c r="L140" s="24" t="n"/>
      <c r="M140" s="9" t="n"/>
    </row>
    <row r="141">
      <c r="A141" s="9" t="n"/>
      <c r="B141" s="9" t="n"/>
      <c r="C141" s="24" t="n"/>
      <c r="D141" s="24" t="n"/>
      <c r="E141" s="49" t="n"/>
      <c r="F141" s="19" t="n"/>
      <c r="G141" s="29" t="n"/>
      <c r="H141" s="9" t="n"/>
      <c r="I141" s="9" t="n"/>
      <c r="J141" s="49" t="n"/>
      <c r="K141" s="24" t="n"/>
      <c r="L141" s="24" t="n"/>
      <c r="M141" s="9" t="n"/>
    </row>
    <row r="142">
      <c r="A142" s="9" t="n"/>
      <c r="B142" s="9" t="n"/>
      <c r="C142" s="24" t="n"/>
      <c r="D142" s="24" t="n"/>
      <c r="E142" s="49" t="n"/>
      <c r="F142" s="19" t="n"/>
      <c r="G142" s="29" t="n"/>
      <c r="H142" s="9" t="n"/>
      <c r="I142" s="9" t="n"/>
      <c r="J142" s="49" t="n"/>
      <c r="K142" s="24" t="n"/>
      <c r="L142" s="24" t="n"/>
      <c r="M142" s="9" t="n"/>
    </row>
    <row r="143">
      <c r="A143" s="9" t="n"/>
      <c r="B143" s="9" t="n"/>
      <c r="C143" s="24" t="n"/>
      <c r="D143" s="24" t="n"/>
      <c r="E143" s="49" t="n"/>
      <c r="F143" s="19" t="n"/>
      <c r="G143" s="29" t="n"/>
      <c r="H143" s="9" t="n"/>
      <c r="I143" s="9" t="n"/>
      <c r="J143" s="49" t="n"/>
      <c r="K143" s="24" t="n"/>
      <c r="L143" s="24" t="n"/>
      <c r="M143" s="9" t="n"/>
    </row>
    <row r="144">
      <c r="A144" s="9" t="n"/>
      <c r="B144" s="9" t="n"/>
      <c r="C144" s="24" t="n"/>
      <c r="D144" s="24" t="n"/>
      <c r="E144" s="49" t="n"/>
      <c r="F144" s="19" t="n"/>
      <c r="G144" s="29" t="n"/>
      <c r="H144" s="9" t="n"/>
      <c r="I144" s="9" t="n"/>
      <c r="J144" s="49" t="n"/>
      <c r="K144" s="24" t="n"/>
      <c r="L144" s="24" t="n"/>
      <c r="M144" s="9" t="n"/>
    </row>
    <row r="145">
      <c r="A145" s="9" t="n"/>
      <c r="B145" s="9" t="n"/>
      <c r="C145" s="24" t="n"/>
      <c r="D145" s="24" t="n"/>
      <c r="E145" s="49" t="n"/>
      <c r="F145" s="19" t="n"/>
      <c r="G145" s="29" t="n"/>
      <c r="H145" s="9" t="n"/>
      <c r="I145" s="9" t="n"/>
      <c r="J145" s="49" t="n"/>
      <c r="K145" s="24" t="n"/>
      <c r="L145" s="24" t="n"/>
      <c r="M145" s="9" t="n"/>
    </row>
    <row r="146">
      <c r="A146" s="9" t="n"/>
      <c r="B146" s="9" t="n"/>
      <c r="C146" s="24" t="n"/>
      <c r="D146" s="24" t="n"/>
      <c r="E146" s="49" t="n"/>
      <c r="F146" s="19" t="n"/>
      <c r="G146" s="29" t="n"/>
      <c r="H146" s="9" t="n"/>
      <c r="I146" s="9" t="n"/>
      <c r="J146" s="49" t="n"/>
      <c r="K146" s="24" t="n"/>
      <c r="L146" s="24" t="n"/>
      <c r="M146" s="9" t="n"/>
    </row>
    <row r="147">
      <c r="A147" s="9" t="n"/>
      <c r="B147" s="9" t="n"/>
      <c r="C147" s="24" t="n"/>
      <c r="D147" s="24" t="n"/>
      <c r="E147" s="49" t="n"/>
      <c r="F147" s="19" t="n"/>
      <c r="G147" s="29" t="n"/>
      <c r="H147" s="9" t="n"/>
      <c r="I147" s="9" t="n"/>
      <c r="J147" s="49" t="n"/>
      <c r="K147" s="24" t="n"/>
      <c r="L147" s="24" t="n"/>
      <c r="M147" s="9" t="n"/>
    </row>
    <row r="148">
      <c r="A148" s="9" t="n"/>
      <c r="B148" s="9" t="n"/>
      <c r="C148" s="24" t="n"/>
      <c r="D148" s="24" t="n"/>
      <c r="E148" s="49" t="n"/>
      <c r="F148" s="19" t="n"/>
      <c r="G148" s="29" t="n"/>
      <c r="H148" s="9" t="n"/>
      <c r="I148" s="9" t="n"/>
      <c r="J148" s="49" t="n"/>
      <c r="K148" s="24" t="n"/>
      <c r="L148" s="24" t="n"/>
      <c r="M148" s="9" t="n"/>
    </row>
    <row r="149">
      <c r="A149" s="9" t="n"/>
      <c r="B149" s="9" t="n"/>
      <c r="C149" s="24" t="n"/>
      <c r="D149" s="24" t="n"/>
      <c r="E149" s="49" t="n"/>
      <c r="F149" s="19" t="n"/>
      <c r="G149" s="29" t="n"/>
      <c r="H149" s="9" t="n"/>
      <c r="I149" s="9" t="n"/>
      <c r="J149" s="49" t="n"/>
      <c r="K149" s="24" t="n"/>
      <c r="L149" s="24" t="n"/>
      <c r="M149" s="9" t="n"/>
    </row>
    <row r="150">
      <c r="A150" s="9" t="n"/>
      <c r="B150" s="9" t="n"/>
      <c r="C150" s="24" t="n"/>
      <c r="D150" s="24" t="n"/>
      <c r="E150" s="49" t="n"/>
      <c r="F150" s="19" t="n"/>
      <c r="G150" s="29" t="n"/>
      <c r="H150" s="9" t="n"/>
      <c r="I150" s="9" t="n"/>
      <c r="J150" s="49" t="n"/>
      <c r="K150" s="24" t="n"/>
      <c r="L150" s="24" t="n"/>
      <c r="M150" s="9" t="n"/>
    </row>
    <row r="151">
      <c r="A151" s="9" t="n"/>
      <c r="B151" s="9" t="n"/>
      <c r="C151" s="24" t="n"/>
      <c r="D151" s="24" t="n"/>
      <c r="E151" s="49" t="n"/>
      <c r="F151" s="19" t="n"/>
      <c r="G151" s="29" t="n"/>
      <c r="H151" s="9" t="n"/>
      <c r="I151" s="9" t="n"/>
      <c r="J151" s="49" t="n"/>
      <c r="K151" s="24" t="n"/>
      <c r="L151" s="24" t="n"/>
      <c r="M151" s="9" t="n"/>
    </row>
    <row r="152">
      <c r="A152" s="9" t="n"/>
      <c r="B152" s="9" t="n"/>
      <c r="C152" s="24" t="n"/>
      <c r="D152" s="24" t="n"/>
      <c r="E152" s="49" t="n"/>
      <c r="F152" s="19" t="n"/>
      <c r="G152" s="29" t="n"/>
      <c r="H152" s="9" t="n"/>
      <c r="I152" s="9" t="n"/>
      <c r="J152" s="49" t="n"/>
      <c r="K152" s="24" t="n"/>
      <c r="L152" s="24" t="n"/>
      <c r="M152" s="9" t="n"/>
    </row>
    <row r="153">
      <c r="A153" s="9" t="n"/>
      <c r="B153" s="9" t="n"/>
      <c r="C153" s="24" t="n"/>
      <c r="D153" s="24" t="n"/>
      <c r="E153" s="49" t="n"/>
      <c r="F153" s="19" t="n"/>
      <c r="G153" s="29" t="n"/>
      <c r="H153" s="9" t="n"/>
      <c r="I153" s="9" t="n"/>
      <c r="J153" s="49" t="n"/>
      <c r="K153" s="24" t="n"/>
      <c r="L153" s="24" t="n"/>
      <c r="M153" s="9" t="n"/>
    </row>
    <row r="154">
      <c r="A154" s="9" t="n"/>
      <c r="B154" s="9" t="n"/>
      <c r="C154" s="24" t="n"/>
      <c r="D154" s="24" t="n"/>
      <c r="E154" s="49" t="n"/>
      <c r="F154" s="19" t="n"/>
      <c r="G154" s="29" t="n"/>
      <c r="H154" s="9" t="n"/>
      <c r="I154" s="9" t="n"/>
      <c r="J154" s="49" t="n"/>
      <c r="K154" s="24" t="n"/>
      <c r="L154" s="24" t="n"/>
      <c r="M154" s="9" t="n"/>
    </row>
    <row r="155">
      <c r="A155" s="9" t="n"/>
      <c r="B155" s="9" t="n"/>
      <c r="C155" s="24" t="n"/>
      <c r="D155" s="24" t="n"/>
      <c r="E155" s="49" t="n"/>
      <c r="F155" s="19" t="n"/>
      <c r="G155" s="29" t="n"/>
      <c r="H155" s="9" t="n"/>
      <c r="I155" s="9" t="n"/>
      <c r="J155" s="49" t="n"/>
      <c r="K155" s="24" t="n"/>
      <c r="L155" s="24" t="n"/>
      <c r="M155" s="9" t="n"/>
    </row>
    <row r="156">
      <c r="A156" s="9" t="n"/>
      <c r="B156" s="9" t="n"/>
      <c r="C156" s="24" t="n"/>
      <c r="D156" s="24" t="n"/>
      <c r="E156" s="49" t="n"/>
      <c r="F156" s="19" t="n"/>
      <c r="G156" s="29" t="n"/>
      <c r="H156" s="9" t="n"/>
      <c r="I156" s="9" t="n"/>
      <c r="J156" s="49" t="n"/>
      <c r="K156" s="24" t="n"/>
      <c r="L156" s="24" t="n"/>
      <c r="M156" s="9" t="n"/>
    </row>
    <row r="157">
      <c r="A157" s="9" t="n"/>
      <c r="B157" s="9" t="n"/>
      <c r="C157" s="24" t="n"/>
      <c r="D157" s="24" t="n"/>
      <c r="E157" s="49" t="n"/>
      <c r="F157" s="19" t="n"/>
      <c r="G157" s="29" t="n"/>
      <c r="H157" s="9" t="n"/>
      <c r="I157" s="9" t="n"/>
      <c r="J157" s="49" t="n"/>
      <c r="K157" s="24" t="n"/>
      <c r="L157" s="24" t="n"/>
      <c r="M157" s="9" t="n"/>
    </row>
    <row r="158">
      <c r="A158" s="9" t="n"/>
      <c r="B158" s="9" t="n"/>
      <c r="C158" s="24" t="n"/>
      <c r="D158" s="24" t="n"/>
      <c r="E158" s="49" t="n"/>
      <c r="F158" s="19" t="n"/>
      <c r="G158" s="29" t="n"/>
      <c r="H158" s="9" t="n"/>
      <c r="I158" s="9" t="n"/>
      <c r="J158" s="49" t="n"/>
      <c r="K158" s="24" t="n"/>
      <c r="L158" s="24" t="n"/>
      <c r="M158" s="9" t="n"/>
    </row>
    <row r="159">
      <c r="A159" s="9" t="n"/>
      <c r="B159" s="9" t="n"/>
      <c r="C159" s="24" t="n"/>
      <c r="D159" s="24" t="n"/>
      <c r="E159" s="49" t="n"/>
      <c r="F159" s="19" t="n"/>
      <c r="G159" s="29" t="n"/>
      <c r="H159" s="9" t="n"/>
      <c r="I159" s="9" t="n"/>
      <c r="J159" s="49" t="n"/>
      <c r="K159" s="24" t="n"/>
      <c r="L159" s="24" t="n"/>
      <c r="M159" s="9" t="n"/>
    </row>
    <row r="160">
      <c r="A160" s="9" t="n"/>
      <c r="B160" s="9" t="n"/>
      <c r="C160" s="24" t="n"/>
      <c r="D160" s="24" t="n"/>
      <c r="E160" s="49" t="n"/>
      <c r="F160" s="19" t="n"/>
      <c r="G160" s="29" t="n"/>
      <c r="H160" s="9" t="n"/>
      <c r="I160" s="9" t="n"/>
      <c r="J160" s="49" t="n"/>
      <c r="K160" s="24" t="n"/>
      <c r="L160" s="24" t="n"/>
      <c r="M160" s="9" t="n"/>
    </row>
    <row r="161">
      <c r="A161" s="9" t="n"/>
      <c r="B161" s="9" t="n"/>
      <c r="C161" s="24" t="n"/>
      <c r="D161" s="24" t="n"/>
      <c r="E161" s="49" t="n"/>
      <c r="F161" s="19" t="n"/>
      <c r="G161" s="29" t="n"/>
      <c r="H161" s="9" t="n"/>
      <c r="I161" s="9" t="n"/>
      <c r="J161" s="49" t="n"/>
      <c r="K161" s="24" t="n"/>
      <c r="L161" s="24" t="n"/>
      <c r="M161" s="9" t="n"/>
    </row>
    <row r="162">
      <c r="A162" s="9" t="n"/>
      <c r="B162" s="9" t="n"/>
      <c r="C162" s="24" t="n"/>
      <c r="D162" s="24" t="n"/>
      <c r="E162" s="49" t="n"/>
      <c r="F162" s="19" t="n"/>
      <c r="G162" s="29" t="n"/>
      <c r="H162" s="9" t="n"/>
      <c r="I162" s="9" t="n"/>
      <c r="J162" s="49" t="n"/>
      <c r="K162" s="24" t="n"/>
      <c r="L162" s="24" t="n"/>
      <c r="M162" s="9" t="n"/>
    </row>
    <row r="163">
      <c r="A163" s="9" t="n"/>
      <c r="B163" s="9" t="n"/>
      <c r="C163" s="24" t="n"/>
      <c r="D163" s="24" t="n"/>
      <c r="E163" s="49" t="n"/>
      <c r="F163" s="19" t="n"/>
      <c r="G163" s="29" t="n"/>
      <c r="H163" s="9" t="n"/>
      <c r="I163" s="9" t="n"/>
      <c r="J163" s="49" t="n"/>
      <c r="K163" s="24" t="n"/>
      <c r="L163" s="24" t="n"/>
      <c r="M163" s="9" t="n"/>
    </row>
    <row r="164">
      <c r="A164" s="9" t="n"/>
      <c r="B164" s="9" t="n"/>
      <c r="C164" s="24" t="n"/>
      <c r="D164" s="24" t="n"/>
      <c r="E164" s="49" t="n"/>
      <c r="F164" s="19" t="n"/>
      <c r="G164" s="29" t="n"/>
      <c r="H164" s="9" t="n"/>
      <c r="I164" s="9" t="n"/>
      <c r="J164" s="49" t="n"/>
      <c r="K164" s="24" t="n"/>
      <c r="L164" s="24" t="n"/>
      <c r="M164" s="9" t="n"/>
    </row>
    <row r="165">
      <c r="A165" s="9" t="n"/>
      <c r="B165" s="9" t="n"/>
      <c r="C165" s="24" t="n"/>
      <c r="D165" s="24" t="n"/>
      <c r="E165" s="49" t="n"/>
      <c r="F165" s="19" t="n"/>
      <c r="G165" s="29" t="n"/>
      <c r="H165" s="9" t="n"/>
      <c r="I165" s="9" t="n"/>
      <c r="J165" s="49" t="n"/>
      <c r="K165" s="24" t="n"/>
      <c r="L165" s="24" t="n"/>
      <c r="M165" s="9" t="n"/>
    </row>
    <row r="166">
      <c r="A166" s="9" t="n"/>
      <c r="B166" s="9" t="n"/>
      <c r="C166" s="24" t="n"/>
      <c r="D166" s="24" t="n"/>
      <c r="E166" s="49" t="n"/>
      <c r="F166" s="19" t="n"/>
      <c r="G166" s="29" t="n"/>
      <c r="H166" s="9" t="n"/>
      <c r="I166" s="9" t="n"/>
      <c r="J166" s="49" t="n"/>
      <c r="K166" s="24" t="n"/>
      <c r="L166" s="24" t="n"/>
      <c r="M166" s="9" t="n"/>
    </row>
    <row r="167">
      <c r="A167" s="9" t="n"/>
      <c r="B167" s="9" t="n"/>
      <c r="C167" s="24" t="n"/>
      <c r="D167" s="24" t="n"/>
      <c r="E167" s="49" t="n"/>
      <c r="F167" s="19" t="n"/>
      <c r="G167" s="29" t="n"/>
      <c r="H167" s="9" t="n"/>
      <c r="I167" s="9" t="n"/>
      <c r="J167" s="49" t="n"/>
      <c r="K167" s="24" t="n"/>
      <c r="L167" s="24" t="n"/>
      <c r="M167" s="9" t="n"/>
    </row>
    <row r="168">
      <c r="A168" s="9" t="n"/>
      <c r="B168" s="9" t="n"/>
      <c r="C168" s="24" t="n"/>
      <c r="D168" s="24" t="n"/>
      <c r="E168" s="49" t="n"/>
      <c r="F168" s="19" t="n"/>
      <c r="G168" s="29" t="n"/>
      <c r="H168" s="9" t="n"/>
      <c r="I168" s="9" t="n"/>
      <c r="J168" s="49" t="n"/>
      <c r="K168" s="24" t="n"/>
      <c r="L168" s="24" t="n"/>
      <c r="M168" s="9" t="n"/>
    </row>
    <row r="169">
      <c r="A169" s="9" t="n"/>
      <c r="B169" s="9" t="n"/>
      <c r="C169" s="24" t="n"/>
      <c r="D169" s="24" t="n"/>
      <c r="E169" s="49" t="n"/>
      <c r="F169" s="19" t="n"/>
      <c r="G169" s="29" t="n"/>
      <c r="H169" s="9" t="n"/>
      <c r="I169" s="9" t="n"/>
      <c r="J169" s="49" t="n"/>
      <c r="K169" s="24" t="n"/>
      <c r="L169" s="24" t="n"/>
      <c r="M169" s="9" t="n"/>
    </row>
    <row r="170">
      <c r="A170" s="9" t="n"/>
      <c r="B170" s="9" t="n"/>
      <c r="C170" s="24" t="n"/>
      <c r="D170" s="24" t="n"/>
      <c r="E170" s="49" t="n"/>
      <c r="F170" s="19" t="n"/>
      <c r="G170" s="29" t="n"/>
      <c r="H170" s="9" t="n"/>
      <c r="I170" s="9" t="n"/>
      <c r="J170" s="49" t="n"/>
      <c r="K170" s="24" t="n"/>
      <c r="L170" s="24" t="n"/>
      <c r="M170" s="9" t="n"/>
    </row>
    <row r="171">
      <c r="A171" s="9" t="n"/>
      <c r="B171" s="9" t="n"/>
      <c r="C171" s="24" t="n"/>
      <c r="D171" s="24" t="n"/>
      <c r="E171" s="49" t="n"/>
      <c r="F171" s="19" t="n"/>
      <c r="G171" s="29" t="n"/>
      <c r="H171" s="9" t="n"/>
      <c r="I171" s="9" t="n"/>
      <c r="J171" s="49" t="n"/>
      <c r="K171" s="24" t="n"/>
      <c r="L171" s="24" t="n"/>
      <c r="M171" s="9" t="n"/>
    </row>
    <row r="172">
      <c r="A172" s="9" t="n"/>
      <c r="B172" s="9" t="n"/>
      <c r="C172" s="24" t="n"/>
      <c r="D172" s="24" t="n"/>
      <c r="E172" s="49" t="n"/>
      <c r="F172" s="19" t="n"/>
      <c r="G172" s="29" t="n"/>
      <c r="H172" s="9" t="n"/>
      <c r="I172" s="9" t="n"/>
      <c r="J172" s="49" t="n"/>
      <c r="K172" s="24" t="n"/>
      <c r="L172" s="24" t="n"/>
      <c r="M172" s="9" t="n"/>
    </row>
    <row r="173">
      <c r="A173" s="9" t="n"/>
      <c r="B173" s="9" t="n"/>
      <c r="C173" s="24" t="n"/>
      <c r="D173" s="24" t="n"/>
      <c r="E173" s="49" t="n"/>
      <c r="F173" s="19" t="n"/>
      <c r="G173" s="29" t="n"/>
      <c r="H173" s="9" t="n"/>
      <c r="I173" s="9" t="n"/>
      <c r="J173" s="49" t="n"/>
      <c r="K173" s="24" t="n"/>
      <c r="L173" s="24" t="n"/>
      <c r="M173" s="9" t="n"/>
    </row>
    <row r="174">
      <c r="A174" s="9" t="n"/>
      <c r="B174" s="9" t="n"/>
      <c r="C174" s="24" t="n"/>
      <c r="D174" s="24" t="n"/>
      <c r="E174" s="49" t="n"/>
      <c r="F174" s="19" t="n"/>
      <c r="G174" s="29" t="n"/>
      <c r="H174" s="9" t="n"/>
      <c r="I174" s="9" t="n"/>
      <c r="J174" s="49" t="n"/>
      <c r="K174" s="24" t="n"/>
      <c r="L174" s="24" t="n"/>
      <c r="M174" s="9" t="n"/>
    </row>
    <row r="175">
      <c r="A175" s="9" t="n"/>
      <c r="B175" s="9" t="n"/>
      <c r="C175" s="24" t="n"/>
      <c r="D175" s="24" t="n"/>
      <c r="E175" s="49" t="n"/>
      <c r="F175" s="19" t="n"/>
      <c r="G175" s="29" t="n"/>
      <c r="H175" s="9" t="n"/>
      <c r="I175" s="9" t="n"/>
      <c r="J175" s="49" t="n"/>
      <c r="K175" s="24" t="n"/>
      <c r="L175" s="24" t="n"/>
      <c r="M175" s="9" t="n"/>
    </row>
    <row r="176">
      <c r="A176" s="9" t="n"/>
      <c r="B176" s="9" t="n"/>
      <c r="C176" s="24" t="n"/>
      <c r="D176" s="24" t="n"/>
      <c r="E176" s="49" t="n"/>
      <c r="F176" s="19" t="n"/>
      <c r="G176" s="29" t="n"/>
      <c r="H176" s="9" t="n"/>
      <c r="I176" s="9" t="n"/>
      <c r="J176" s="49" t="n"/>
      <c r="K176" s="24" t="n"/>
      <c r="L176" s="24" t="n"/>
      <c r="M176" s="9" t="n"/>
    </row>
    <row r="177">
      <c r="A177" s="9" t="n"/>
      <c r="B177" s="9" t="n"/>
      <c r="C177" s="24" t="n"/>
      <c r="D177" s="24" t="n"/>
      <c r="E177" s="49" t="n"/>
      <c r="F177" s="19" t="n"/>
      <c r="G177" s="29" t="n"/>
      <c r="H177" s="9" t="n"/>
      <c r="I177" s="9" t="n"/>
      <c r="J177" s="49" t="n"/>
      <c r="K177" s="24" t="n"/>
      <c r="L177" s="24" t="n"/>
      <c r="M177" s="9" t="n"/>
    </row>
    <row r="178">
      <c r="A178" s="9" t="n"/>
      <c r="B178" s="9" t="n"/>
      <c r="C178" s="24" t="n"/>
      <c r="D178" s="24" t="n"/>
      <c r="E178" s="49" t="n"/>
      <c r="F178" s="19" t="n"/>
      <c r="G178" s="29" t="n"/>
      <c r="H178" s="9" t="n"/>
      <c r="I178" s="9" t="n"/>
      <c r="J178" s="49" t="n"/>
      <c r="K178" s="24" t="n"/>
      <c r="L178" s="24" t="n"/>
      <c r="M178" s="9" t="n"/>
    </row>
    <row r="179">
      <c r="A179" s="9" t="n"/>
      <c r="B179" s="9" t="n"/>
      <c r="C179" s="24" t="n"/>
      <c r="D179" s="24" t="n"/>
      <c r="E179" s="49" t="n"/>
      <c r="F179" s="19" t="n"/>
      <c r="G179" s="29" t="n"/>
      <c r="H179" s="9" t="n"/>
      <c r="I179" s="9" t="n"/>
      <c r="J179" s="49" t="n"/>
      <c r="K179" s="24" t="n"/>
      <c r="L179" s="24" t="n"/>
      <c r="M179" s="9" t="n"/>
    </row>
    <row r="180">
      <c r="A180" s="9" t="n"/>
      <c r="B180" s="9" t="n"/>
      <c r="C180" s="24" t="n"/>
      <c r="D180" s="24" t="n"/>
      <c r="E180" s="49" t="n"/>
      <c r="F180" s="19" t="n"/>
      <c r="G180" s="29" t="n"/>
      <c r="H180" s="9" t="n"/>
      <c r="I180" s="9" t="n"/>
      <c r="J180" s="49" t="n"/>
      <c r="K180" s="24" t="n"/>
      <c r="L180" s="24" t="n"/>
      <c r="M180" s="9" t="n"/>
    </row>
    <row r="181">
      <c r="A181" s="9" t="n"/>
      <c r="B181" s="9" t="n"/>
      <c r="C181" s="24" t="n"/>
      <c r="D181" s="24" t="n"/>
      <c r="E181" s="49" t="n"/>
      <c r="F181" s="19" t="n"/>
      <c r="G181" s="29" t="n"/>
      <c r="H181" s="9" t="n"/>
      <c r="I181" s="9" t="n"/>
      <c r="J181" s="49" t="n"/>
      <c r="K181" s="24" t="n"/>
      <c r="L181" s="24" t="n"/>
      <c r="M181" s="9" t="n"/>
    </row>
    <row r="182">
      <c r="A182" s="9" t="n"/>
      <c r="B182" s="9" t="n"/>
      <c r="C182" s="24" t="n"/>
      <c r="D182" s="24" t="n"/>
      <c r="E182" s="49" t="n"/>
      <c r="F182" s="19" t="n"/>
      <c r="G182" s="29" t="n"/>
      <c r="H182" s="9" t="n"/>
      <c r="I182" s="9" t="n"/>
      <c r="J182" s="49" t="n"/>
      <c r="K182" s="24" t="n"/>
      <c r="L182" s="24" t="n"/>
      <c r="M182" s="9" t="n"/>
    </row>
    <row r="183">
      <c r="A183" s="9" t="n"/>
      <c r="B183" s="9" t="n"/>
      <c r="C183" s="24" t="n"/>
      <c r="D183" s="24" t="n"/>
      <c r="E183" s="49" t="n"/>
      <c r="F183" s="19" t="n"/>
      <c r="G183" s="29" t="n"/>
      <c r="H183" s="9" t="n"/>
      <c r="I183" s="9" t="n"/>
      <c r="J183" s="49" t="n"/>
      <c r="K183" s="24" t="n"/>
      <c r="L183" s="24" t="n"/>
      <c r="M183" s="9" t="n"/>
    </row>
    <row r="184">
      <c r="A184" s="9" t="n"/>
      <c r="B184" s="9" t="n"/>
      <c r="C184" s="24" t="n"/>
      <c r="D184" s="24" t="n"/>
      <c r="E184" s="49" t="n"/>
      <c r="F184" s="19" t="n"/>
      <c r="G184" s="29" t="n"/>
      <c r="H184" s="9" t="n"/>
      <c r="I184" s="9" t="n"/>
      <c r="J184" s="49" t="n"/>
      <c r="K184" s="24" t="n"/>
      <c r="L184" s="24" t="n"/>
      <c r="M184" s="9" t="n"/>
    </row>
    <row r="185">
      <c r="A185" s="9" t="n"/>
      <c r="B185" s="9" t="n"/>
      <c r="C185" s="24" t="n"/>
      <c r="D185" s="24" t="n"/>
      <c r="E185" s="49" t="n"/>
      <c r="F185" s="19" t="n"/>
      <c r="G185" s="29" t="n"/>
      <c r="H185" s="9" t="n"/>
      <c r="I185" s="9" t="n"/>
      <c r="J185" s="49" t="n"/>
      <c r="K185" s="24" t="n"/>
      <c r="L185" s="24" t="n"/>
      <c r="M185" s="9" t="n"/>
    </row>
    <row r="186">
      <c r="A186" s="9" t="n"/>
      <c r="B186" s="9" t="n"/>
      <c r="C186" s="24" t="n"/>
      <c r="D186" s="24" t="n"/>
      <c r="E186" s="49" t="n"/>
      <c r="F186" s="19" t="n"/>
      <c r="G186" s="29" t="n"/>
      <c r="H186" s="9" t="n"/>
      <c r="I186" s="9" t="n"/>
      <c r="J186" s="49" t="n"/>
      <c r="K186" s="24" t="n"/>
      <c r="L186" s="24" t="n"/>
      <c r="M186" s="9" t="n"/>
    </row>
    <row r="187">
      <c r="A187" s="9" t="n"/>
      <c r="B187" s="9" t="n"/>
      <c r="C187" s="24" t="n"/>
      <c r="D187" s="24" t="n"/>
      <c r="E187" s="49" t="n"/>
      <c r="F187" s="19" t="n"/>
      <c r="G187" s="29" t="n"/>
      <c r="H187" s="9" t="n"/>
      <c r="I187" s="9" t="n"/>
      <c r="J187" s="49" t="n"/>
      <c r="K187" s="24" t="n"/>
      <c r="L187" s="24" t="n"/>
      <c r="M187" s="9" t="n"/>
    </row>
    <row r="188">
      <c r="A188" s="9" t="n"/>
      <c r="B188" s="9" t="n"/>
      <c r="C188" s="24" t="n"/>
      <c r="D188" s="24" t="n"/>
      <c r="E188" s="49" t="n"/>
      <c r="F188" s="19" t="n"/>
      <c r="G188" s="29" t="n"/>
      <c r="H188" s="9" t="n"/>
      <c r="I188" s="9" t="n"/>
      <c r="J188" s="49" t="n"/>
      <c r="K188" s="24" t="n"/>
      <c r="L188" s="24" t="n"/>
      <c r="M188" s="9" t="n"/>
    </row>
    <row r="189">
      <c r="A189" s="9" t="n"/>
      <c r="B189" s="9" t="n"/>
      <c r="C189" s="24" t="n"/>
      <c r="D189" s="24" t="n"/>
      <c r="E189" s="49" t="n"/>
      <c r="F189" s="19" t="n"/>
      <c r="G189" s="29" t="n"/>
      <c r="H189" s="9" t="n"/>
      <c r="I189" s="9" t="n"/>
      <c r="J189" s="49" t="n"/>
      <c r="K189" s="24" t="n"/>
      <c r="L189" s="24" t="n"/>
      <c r="M189" s="9" t="n"/>
    </row>
    <row r="190">
      <c r="A190" s="9" t="n"/>
      <c r="B190" s="9" t="n"/>
      <c r="C190" s="24" t="n"/>
      <c r="D190" s="24" t="n"/>
      <c r="E190" s="49" t="n"/>
      <c r="F190" s="19" t="n"/>
      <c r="G190" s="29" t="n"/>
      <c r="H190" s="9" t="n"/>
      <c r="I190" s="9" t="n"/>
      <c r="J190" s="49" t="n"/>
      <c r="K190" s="24" t="n"/>
      <c r="L190" s="24" t="n"/>
      <c r="M190" s="9" t="n"/>
    </row>
    <row r="191">
      <c r="A191" s="9" t="n"/>
      <c r="B191" s="9" t="n"/>
      <c r="C191" s="24" t="n"/>
      <c r="D191" s="24" t="n"/>
      <c r="E191" s="49" t="n"/>
      <c r="F191" s="19" t="n"/>
      <c r="G191" s="29" t="n"/>
      <c r="H191" s="9" t="n"/>
      <c r="I191" s="9" t="n"/>
      <c r="J191" s="49" t="n"/>
      <c r="K191" s="24" t="n"/>
      <c r="L191" s="24" t="n"/>
      <c r="M191" s="9" t="n"/>
    </row>
    <row r="192">
      <c r="A192" s="9" t="n"/>
      <c r="B192" s="9" t="n"/>
      <c r="C192" s="24" t="n"/>
      <c r="D192" s="24" t="n"/>
      <c r="E192" s="49" t="n"/>
      <c r="F192" s="19" t="n"/>
      <c r="G192" s="29" t="n"/>
      <c r="H192" s="9" t="n"/>
      <c r="I192" s="9" t="n"/>
      <c r="J192" s="49" t="n"/>
      <c r="K192" s="24" t="n"/>
      <c r="L192" s="24" t="n"/>
      <c r="M192" s="9" t="n"/>
    </row>
    <row r="193">
      <c r="A193" s="9" t="n"/>
      <c r="B193" s="9" t="n"/>
      <c r="C193" s="24" t="n"/>
      <c r="D193" s="24" t="n"/>
      <c r="E193" s="49" t="n"/>
      <c r="F193" s="19" t="n"/>
      <c r="G193" s="29" t="n"/>
      <c r="H193" s="9" t="n"/>
      <c r="I193" s="9" t="n"/>
      <c r="J193" s="49" t="n"/>
      <c r="K193" s="24" t="n"/>
      <c r="L193" s="24" t="n"/>
      <c r="M193" s="9" t="n"/>
    </row>
    <row r="194">
      <c r="A194" s="9" t="n"/>
      <c r="B194" s="9" t="n"/>
      <c r="C194" s="24" t="n"/>
      <c r="D194" s="24" t="n"/>
      <c r="E194" s="49" t="n"/>
      <c r="F194" s="19" t="n"/>
      <c r="G194" s="29" t="n"/>
      <c r="H194" s="9" t="n"/>
      <c r="I194" s="9" t="n"/>
      <c r="J194" s="49" t="n"/>
      <c r="K194" s="24" t="n"/>
      <c r="L194" s="24" t="n"/>
      <c r="M194" s="9" t="n"/>
    </row>
    <row r="195">
      <c r="A195" s="9" t="n"/>
      <c r="B195" s="9" t="n"/>
      <c r="C195" s="24" t="n"/>
      <c r="D195" s="24" t="n"/>
      <c r="E195" s="49" t="n"/>
      <c r="F195" s="19" t="n"/>
      <c r="G195" s="29" t="n"/>
      <c r="H195" s="9" t="n"/>
      <c r="I195" s="9" t="n"/>
      <c r="J195" s="49" t="n"/>
      <c r="K195" s="24" t="n"/>
      <c r="L195" s="24" t="n"/>
      <c r="M195" s="9" t="n"/>
    </row>
    <row r="196">
      <c r="A196" s="9" t="n"/>
      <c r="B196" s="9" t="n"/>
      <c r="C196" s="24" t="n"/>
      <c r="D196" s="24" t="n"/>
      <c r="E196" s="49" t="n"/>
      <c r="F196" s="19" t="n"/>
      <c r="G196" s="29" t="n"/>
      <c r="H196" s="9" t="n"/>
      <c r="I196" s="9" t="n"/>
      <c r="J196" s="49" t="n"/>
      <c r="K196" s="24" t="n"/>
      <c r="L196" s="24" t="n"/>
      <c r="M196" s="9" t="n"/>
    </row>
    <row r="197">
      <c r="A197" s="9" t="n"/>
      <c r="B197" s="9" t="n"/>
      <c r="C197" s="24" t="n"/>
      <c r="D197" s="24" t="n"/>
      <c r="E197" s="49" t="n"/>
      <c r="F197" s="19" t="n"/>
      <c r="G197" s="29" t="n"/>
      <c r="H197" s="9" t="n"/>
      <c r="I197" s="9" t="n"/>
      <c r="J197" s="49" t="n"/>
      <c r="K197" s="24" t="n"/>
      <c r="L197" s="24" t="n"/>
      <c r="M197" s="9" t="n"/>
    </row>
    <row r="198">
      <c r="A198" s="9" t="n"/>
      <c r="B198" s="9" t="n"/>
      <c r="C198" s="24" t="n"/>
      <c r="D198" s="24" t="n"/>
      <c r="E198" s="49" t="n"/>
      <c r="F198" s="19" t="n"/>
      <c r="G198" s="29" t="n"/>
      <c r="H198" s="9" t="n"/>
      <c r="I198" s="9" t="n"/>
      <c r="J198" s="49" t="n"/>
      <c r="K198" s="24" t="n"/>
      <c r="L198" s="24" t="n"/>
      <c r="M198" s="9" t="n"/>
    </row>
    <row r="199">
      <c r="A199" s="9" t="n"/>
      <c r="B199" s="9" t="n"/>
      <c r="C199" s="24" t="n"/>
      <c r="D199" s="24" t="n"/>
      <c r="E199" s="49" t="n"/>
      <c r="F199" s="19" t="n"/>
      <c r="G199" s="29" t="n"/>
      <c r="H199" s="9" t="n"/>
      <c r="I199" s="9" t="n"/>
      <c r="J199" s="49" t="n"/>
      <c r="K199" s="24" t="n"/>
      <c r="L199" s="24" t="n"/>
      <c r="M199" s="9" t="n"/>
    </row>
    <row r="200">
      <c r="A200" s="9" t="n"/>
      <c r="B200" s="9" t="n"/>
      <c r="C200" s="24" t="n"/>
      <c r="D200" s="24" t="n"/>
      <c r="E200" s="49" t="n"/>
      <c r="F200" s="19" t="n"/>
      <c r="G200" s="29" t="n"/>
      <c r="H200" s="9" t="n"/>
      <c r="I200" s="9" t="n"/>
      <c r="J200" s="49" t="n"/>
      <c r="K200" s="24" t="n"/>
      <c r="L200" s="24" t="n"/>
      <c r="M200" s="9" t="n"/>
    </row>
    <row r="201">
      <c r="A201" s="9" t="n"/>
      <c r="B201" s="9" t="n"/>
      <c r="C201" s="24" t="n"/>
      <c r="D201" s="24" t="n"/>
      <c r="E201" s="49" t="n"/>
      <c r="F201" s="19" t="n"/>
      <c r="G201" s="29" t="n"/>
      <c r="H201" s="9" t="n"/>
      <c r="I201" s="9" t="n"/>
      <c r="J201" s="49" t="n"/>
      <c r="K201" s="24" t="n"/>
      <c r="L201" s="24" t="n"/>
      <c r="M201" s="9" t="n"/>
    </row>
    <row r="202">
      <c r="A202" s="9" t="n"/>
      <c r="B202" s="9" t="n"/>
      <c r="C202" s="24" t="n"/>
      <c r="D202" s="24" t="n"/>
      <c r="E202" s="49" t="n"/>
      <c r="F202" s="19" t="n"/>
      <c r="G202" s="29" t="n"/>
      <c r="H202" s="9" t="n"/>
      <c r="I202" s="9" t="n"/>
      <c r="J202" s="49" t="n"/>
      <c r="K202" s="24" t="n"/>
      <c r="L202" s="24" t="n"/>
      <c r="M202" s="9" t="n"/>
    </row>
    <row r="203">
      <c r="A203" s="9" t="n"/>
      <c r="B203" s="9" t="n"/>
      <c r="C203" s="24" t="n"/>
      <c r="D203" s="24" t="n"/>
      <c r="E203" s="49" t="n"/>
      <c r="F203" s="19" t="n"/>
      <c r="G203" s="29" t="n"/>
      <c r="H203" s="9" t="n"/>
      <c r="I203" s="9" t="n"/>
      <c r="J203" s="49" t="n"/>
      <c r="K203" s="24" t="n"/>
      <c r="L203" s="24" t="n"/>
      <c r="M203" s="9" t="n"/>
    </row>
    <row r="204">
      <c r="A204" s="9" t="n"/>
      <c r="B204" s="9" t="n"/>
      <c r="C204" s="24" t="n"/>
      <c r="D204" s="24" t="n"/>
      <c r="E204" s="49" t="n"/>
      <c r="F204" s="19" t="n"/>
      <c r="G204" s="29" t="n"/>
      <c r="H204" s="9" t="n"/>
      <c r="I204" s="9" t="n"/>
      <c r="J204" s="49" t="n"/>
      <c r="K204" s="24" t="n"/>
      <c r="L204" s="24" t="n"/>
      <c r="M204" s="9" t="n"/>
    </row>
    <row r="205">
      <c r="A205" s="9" t="n"/>
      <c r="B205" s="9" t="n"/>
      <c r="C205" s="24" t="n"/>
      <c r="D205" s="24" t="n"/>
      <c r="E205" s="49" t="n"/>
      <c r="F205" s="19" t="n"/>
      <c r="G205" s="29" t="n"/>
      <c r="H205" s="9" t="n"/>
      <c r="I205" s="9" t="n"/>
      <c r="J205" s="49" t="n"/>
      <c r="K205" s="24" t="n"/>
      <c r="L205" s="24" t="n"/>
      <c r="M205" s="9" t="n"/>
    </row>
    <row r="206">
      <c r="A206" s="9" t="n"/>
      <c r="B206" s="9" t="n"/>
      <c r="C206" s="24" t="n"/>
      <c r="D206" s="24" t="n"/>
      <c r="E206" s="49" t="n"/>
      <c r="F206" s="19" t="n"/>
      <c r="G206" s="29" t="n"/>
      <c r="H206" s="9" t="n"/>
      <c r="I206" s="9" t="n"/>
      <c r="J206" s="49" t="n"/>
      <c r="K206" s="24" t="n"/>
      <c r="L206" s="24" t="n"/>
      <c r="M206" s="9" t="n"/>
    </row>
    <row r="207">
      <c r="A207" s="9" t="n"/>
      <c r="B207" s="9" t="n"/>
      <c r="C207" s="24" t="n"/>
      <c r="D207" s="24" t="n"/>
      <c r="E207" s="49" t="n"/>
      <c r="F207" s="19" t="n"/>
      <c r="G207" s="29" t="n"/>
      <c r="H207" s="9" t="n"/>
      <c r="I207" s="9" t="n"/>
      <c r="J207" s="49" t="n"/>
      <c r="K207" s="24" t="n"/>
      <c r="L207" s="24" t="n"/>
      <c r="M207" s="9" t="n"/>
    </row>
    <row r="208">
      <c r="A208" s="9" t="n"/>
      <c r="B208" s="9" t="n"/>
      <c r="C208" s="24" t="n"/>
      <c r="D208" s="24" t="n"/>
      <c r="E208" s="49" t="n"/>
      <c r="F208" s="19" t="n"/>
      <c r="G208" s="29" t="n"/>
      <c r="H208" s="9" t="n"/>
      <c r="I208" s="9" t="n"/>
      <c r="J208" s="49" t="n"/>
      <c r="K208" s="24" t="n"/>
      <c r="L208" s="24" t="n"/>
      <c r="M208" s="9" t="n"/>
    </row>
    <row r="209">
      <c r="A209" s="9" t="n"/>
      <c r="B209" s="9" t="n"/>
      <c r="C209" s="24" t="n"/>
      <c r="D209" s="24" t="n"/>
      <c r="E209" s="49" t="n"/>
      <c r="F209" s="19" t="n"/>
      <c r="G209" s="29" t="n"/>
      <c r="H209" s="9" t="n"/>
      <c r="I209" s="9" t="n"/>
      <c r="J209" s="49" t="n"/>
      <c r="K209" s="24" t="n"/>
      <c r="L209" s="24" t="n"/>
      <c r="M209" s="9" t="n"/>
    </row>
    <row r="210">
      <c r="A210" s="9" t="n"/>
      <c r="B210" s="9" t="n"/>
      <c r="C210" s="24" t="n"/>
      <c r="D210" s="24" t="n"/>
      <c r="E210" s="49" t="n"/>
      <c r="F210" s="19" t="n"/>
      <c r="G210" s="29" t="n"/>
      <c r="H210" s="9" t="n"/>
      <c r="I210" s="9" t="n"/>
      <c r="J210" s="49" t="n"/>
      <c r="K210" s="24" t="n"/>
      <c r="L210" s="24" t="n"/>
      <c r="M210" s="9" t="n"/>
    </row>
    <row r="211">
      <c r="A211" s="9" t="n"/>
      <c r="B211" s="9" t="n"/>
      <c r="C211" s="24" t="n"/>
      <c r="D211" s="24" t="n"/>
      <c r="E211" s="49" t="n"/>
      <c r="F211" s="19" t="n"/>
      <c r="G211" s="29" t="n"/>
      <c r="H211" s="9" t="n"/>
      <c r="I211" s="9" t="n"/>
      <c r="J211" s="49" t="n"/>
      <c r="K211" s="24" t="n"/>
      <c r="L211" s="24" t="n"/>
      <c r="M211" s="9" t="n"/>
    </row>
    <row r="212">
      <c r="A212" s="9" t="n"/>
      <c r="B212" s="9" t="n"/>
      <c r="C212" s="24" t="n"/>
      <c r="D212" s="24" t="n"/>
      <c r="E212" s="49" t="n"/>
      <c r="F212" s="19" t="n"/>
      <c r="G212" s="29" t="n"/>
      <c r="H212" s="9" t="n"/>
      <c r="I212" s="9" t="n"/>
      <c r="J212" s="49" t="n"/>
      <c r="K212" s="24" t="n"/>
      <c r="L212" s="24" t="n"/>
      <c r="M212" s="9" t="n"/>
    </row>
    <row r="213">
      <c r="A213" s="9" t="n"/>
      <c r="B213" s="9" t="n"/>
      <c r="C213" s="24" t="n"/>
      <c r="D213" s="24" t="n"/>
      <c r="E213" s="49" t="n"/>
      <c r="F213" s="19" t="n"/>
      <c r="G213" s="29" t="n"/>
      <c r="H213" s="9" t="n"/>
      <c r="I213" s="9" t="n"/>
      <c r="J213" s="49" t="n"/>
      <c r="K213" s="24" t="n"/>
      <c r="L213" s="24" t="n"/>
      <c r="M213" s="9" t="n"/>
    </row>
    <row r="214">
      <c r="A214" s="9" t="n"/>
      <c r="B214" s="9" t="n"/>
      <c r="C214" s="24" t="n"/>
      <c r="D214" s="24" t="n"/>
      <c r="E214" s="49" t="n"/>
      <c r="F214" s="19" t="n"/>
      <c r="G214" s="29" t="n"/>
      <c r="H214" s="9" t="n"/>
      <c r="I214" s="9" t="n"/>
      <c r="J214" s="49" t="n"/>
      <c r="K214" s="24" t="n"/>
      <c r="L214" s="24" t="n"/>
      <c r="M214" s="9" t="n"/>
    </row>
    <row r="215">
      <c r="A215" s="9" t="n"/>
      <c r="B215" s="9" t="n"/>
      <c r="C215" s="24" t="n"/>
      <c r="D215" s="24" t="n"/>
      <c r="E215" s="49" t="n"/>
      <c r="F215" s="19" t="n"/>
      <c r="G215" s="29" t="n"/>
      <c r="H215" s="9" t="n"/>
      <c r="I215" s="9" t="n"/>
      <c r="J215" s="49" t="n"/>
      <c r="K215" s="24" t="n"/>
      <c r="L215" s="24" t="n"/>
      <c r="M215" s="9" t="n"/>
    </row>
    <row r="216">
      <c r="A216" s="9" t="n"/>
      <c r="B216" s="9" t="n"/>
      <c r="C216" s="24" t="n"/>
      <c r="D216" s="24" t="n"/>
      <c r="E216" s="49" t="n"/>
      <c r="F216" s="19" t="n"/>
      <c r="G216" s="29" t="n"/>
      <c r="H216" s="9" t="n"/>
      <c r="I216" s="9" t="n"/>
      <c r="J216" s="49" t="n"/>
      <c r="K216" s="24" t="n"/>
      <c r="L216" s="24" t="n"/>
      <c r="M216" s="9" t="n"/>
    </row>
    <row r="217">
      <c r="A217" s="9" t="n"/>
      <c r="B217" s="9" t="n"/>
      <c r="C217" s="24" t="n"/>
      <c r="D217" s="24" t="n"/>
      <c r="E217" s="49" t="n"/>
      <c r="F217" s="19" t="n"/>
      <c r="G217" s="29" t="n"/>
      <c r="H217" s="9" t="n"/>
      <c r="I217" s="9" t="n"/>
      <c r="J217" s="49" t="n"/>
      <c r="K217" s="24" t="n"/>
      <c r="L217" s="24" t="n"/>
      <c r="M217" s="9" t="n"/>
    </row>
    <row r="218">
      <c r="A218" s="9" t="n"/>
      <c r="B218" s="9" t="n"/>
      <c r="C218" s="24" t="n"/>
      <c r="D218" s="24" t="n"/>
      <c r="E218" s="49" t="n"/>
      <c r="F218" s="19" t="n"/>
      <c r="G218" s="29" t="n"/>
      <c r="H218" s="9" t="n"/>
      <c r="I218" s="9" t="n"/>
      <c r="J218" s="49" t="n"/>
      <c r="K218" s="24" t="n"/>
      <c r="L218" s="24" t="n"/>
      <c r="M218" s="9" t="n"/>
    </row>
    <row r="219">
      <c r="A219" s="9" t="n"/>
      <c r="B219" s="9" t="n"/>
      <c r="C219" s="24" t="n"/>
      <c r="D219" s="24" t="n"/>
      <c r="E219" s="49" t="n"/>
      <c r="F219" s="19" t="n"/>
      <c r="G219" s="29" t="n"/>
      <c r="H219" s="9" t="n"/>
      <c r="I219" s="9" t="n"/>
      <c r="J219" s="49" t="n"/>
      <c r="K219" s="24" t="n"/>
      <c r="L219" s="24" t="n"/>
      <c r="M219" s="9" t="n"/>
    </row>
    <row r="220">
      <c r="A220" s="9" t="n"/>
      <c r="B220" s="9" t="n"/>
      <c r="C220" s="24" t="n"/>
      <c r="D220" s="24" t="n"/>
      <c r="E220" s="49" t="n"/>
      <c r="F220" s="19" t="n"/>
      <c r="G220" s="29" t="n"/>
      <c r="H220" s="9" t="n"/>
      <c r="I220" s="9" t="n"/>
      <c r="J220" s="49" t="n"/>
      <c r="K220" s="24" t="n"/>
      <c r="L220" s="24" t="n"/>
      <c r="M220" s="9" t="n"/>
    </row>
    <row r="221">
      <c r="A221" s="9" t="n"/>
      <c r="B221" s="9" t="n"/>
      <c r="C221" s="24" t="n"/>
      <c r="D221" s="24" t="n"/>
      <c r="E221" s="49" t="n"/>
      <c r="F221" s="19" t="n"/>
      <c r="G221" s="29" t="n"/>
      <c r="H221" s="9" t="n"/>
      <c r="I221" s="9" t="n"/>
      <c r="J221" s="49" t="n"/>
      <c r="K221" s="24" t="n"/>
      <c r="L221" s="24" t="n"/>
      <c r="M221" s="9" t="n"/>
    </row>
    <row r="222">
      <c r="A222" s="9" t="n"/>
      <c r="B222" s="9" t="n"/>
      <c r="C222" s="24" t="n"/>
      <c r="D222" s="24" t="n"/>
      <c r="E222" s="49" t="n"/>
      <c r="F222" s="19" t="n"/>
      <c r="G222" s="29" t="n"/>
      <c r="H222" s="9" t="n"/>
      <c r="I222" s="9" t="n"/>
      <c r="J222" s="49" t="n"/>
      <c r="K222" s="24" t="n"/>
      <c r="L222" s="24" t="n"/>
      <c r="M222" s="9" t="n"/>
    </row>
    <row r="223">
      <c r="A223" s="9" t="n"/>
      <c r="B223" s="9" t="n"/>
      <c r="C223" s="24" t="n"/>
      <c r="D223" s="24" t="n"/>
      <c r="E223" s="49" t="n"/>
      <c r="F223" s="19" t="n"/>
      <c r="G223" s="29" t="n"/>
      <c r="H223" s="9" t="n"/>
      <c r="I223" s="9" t="n"/>
      <c r="J223" s="49" t="n"/>
      <c r="K223" s="24" t="n"/>
      <c r="L223" s="24" t="n"/>
      <c r="M223" s="9" t="n"/>
    </row>
    <row r="224">
      <c r="A224" s="9" t="n"/>
      <c r="B224" s="9" t="n"/>
      <c r="C224" s="24" t="n"/>
      <c r="D224" s="24" t="n"/>
      <c r="E224" s="49" t="n"/>
      <c r="F224" s="19" t="n"/>
      <c r="G224" s="29" t="n"/>
      <c r="H224" s="9" t="n"/>
      <c r="I224" s="9" t="n"/>
      <c r="J224" s="49" t="n"/>
      <c r="K224" s="24" t="n"/>
      <c r="L224" s="24" t="n"/>
      <c r="M224" s="9" t="n"/>
    </row>
    <row r="225">
      <c r="A225" s="9" t="n"/>
      <c r="B225" s="9" t="n"/>
      <c r="C225" s="24" t="n"/>
      <c r="D225" s="24" t="n"/>
      <c r="E225" s="49" t="n"/>
      <c r="F225" s="19" t="n"/>
      <c r="G225" s="29" t="n"/>
      <c r="H225" s="9" t="n"/>
      <c r="I225" s="9" t="n"/>
      <c r="J225" s="49" t="n"/>
      <c r="K225" s="24" t="n"/>
      <c r="L225" s="24" t="n"/>
      <c r="M225" s="9" t="n"/>
    </row>
    <row r="226">
      <c r="A226" s="9" t="n"/>
      <c r="B226" s="9" t="n"/>
      <c r="C226" s="24" t="n"/>
      <c r="D226" s="24" t="n"/>
      <c r="E226" s="49" t="n"/>
      <c r="F226" s="19" t="n"/>
      <c r="G226" s="29" t="n"/>
      <c r="H226" s="9" t="n"/>
      <c r="I226" s="9" t="n"/>
      <c r="J226" s="49" t="n"/>
      <c r="K226" s="24" t="n"/>
      <c r="L226" s="24" t="n"/>
      <c r="M226" s="9" t="n"/>
    </row>
    <row r="227">
      <c r="A227" s="9" t="n"/>
      <c r="B227" s="9" t="n"/>
      <c r="C227" s="24" t="n"/>
      <c r="D227" s="24" t="n"/>
      <c r="E227" s="49" t="n"/>
      <c r="F227" s="19" t="n"/>
      <c r="G227" s="29" t="n"/>
      <c r="H227" s="9" t="n"/>
      <c r="I227" s="9" t="n"/>
      <c r="J227" s="49" t="n"/>
      <c r="K227" s="24" t="n"/>
      <c r="L227" s="24" t="n"/>
      <c r="M227" s="9" t="n"/>
    </row>
    <row r="228">
      <c r="A228" s="9" t="n"/>
      <c r="B228" s="9" t="n"/>
      <c r="C228" s="24" t="n"/>
      <c r="D228" s="24" t="n"/>
      <c r="E228" s="49" t="n"/>
      <c r="F228" s="19" t="n"/>
      <c r="G228" s="29" t="n"/>
      <c r="H228" s="9" t="n"/>
      <c r="I228" s="9" t="n"/>
      <c r="J228" s="49" t="n"/>
      <c r="K228" s="24" t="n"/>
      <c r="L228" s="24" t="n"/>
      <c r="M228" s="9" t="n"/>
    </row>
    <row r="229">
      <c r="A229" s="9" t="n"/>
      <c r="B229" s="9" t="n"/>
      <c r="C229" s="24" t="n"/>
      <c r="D229" s="24" t="n"/>
      <c r="E229" s="49" t="n"/>
      <c r="F229" s="19" t="n"/>
      <c r="G229" s="29" t="n"/>
      <c r="H229" s="9" t="n"/>
      <c r="I229" s="9" t="n"/>
      <c r="J229" s="49" t="n"/>
      <c r="K229" s="24" t="n"/>
      <c r="L229" s="24" t="n"/>
      <c r="M229" s="9" t="n"/>
    </row>
    <row r="230">
      <c r="A230" s="9" t="n"/>
      <c r="B230" s="9" t="n"/>
      <c r="C230" s="24" t="n"/>
      <c r="D230" s="24" t="n"/>
      <c r="E230" s="49" t="n"/>
      <c r="F230" s="19" t="n"/>
      <c r="G230" s="29" t="n"/>
      <c r="H230" s="9" t="n"/>
      <c r="I230" s="9" t="n"/>
      <c r="J230" s="49" t="n"/>
      <c r="K230" s="24" t="n"/>
      <c r="L230" s="24" t="n"/>
      <c r="M230" s="9" t="n"/>
    </row>
    <row r="231">
      <c r="A231" s="9" t="n"/>
      <c r="B231" s="9" t="n"/>
      <c r="C231" s="24" t="n"/>
      <c r="D231" s="24" t="n"/>
      <c r="E231" s="49" t="n"/>
      <c r="F231" s="19" t="n"/>
      <c r="G231" s="29" t="n"/>
      <c r="H231" s="9" t="n"/>
      <c r="I231" s="9" t="n"/>
      <c r="J231" s="49" t="n"/>
      <c r="K231" s="24" t="n"/>
      <c r="L231" s="24" t="n"/>
      <c r="M231" s="9" t="n"/>
    </row>
    <row r="232">
      <c r="A232" s="9" t="n"/>
      <c r="B232" s="9" t="n"/>
      <c r="C232" s="24" t="n"/>
      <c r="D232" s="24" t="n"/>
      <c r="E232" s="49" t="n"/>
      <c r="F232" s="19" t="n"/>
      <c r="G232" s="29" t="n"/>
      <c r="H232" s="9" t="n"/>
      <c r="I232" s="9" t="n"/>
      <c r="J232" s="49" t="n"/>
      <c r="K232" s="24" t="n"/>
      <c r="L232" s="24" t="n"/>
      <c r="M232" s="9" t="n"/>
    </row>
    <row r="233">
      <c r="A233" s="9" t="n"/>
      <c r="B233" s="9" t="n"/>
      <c r="C233" s="24" t="n"/>
      <c r="D233" s="24" t="n"/>
      <c r="E233" s="49" t="n"/>
      <c r="F233" s="19" t="n"/>
      <c r="G233" s="29" t="n"/>
      <c r="H233" s="9" t="n"/>
      <c r="I233" s="9" t="n"/>
      <c r="J233" s="49" t="n"/>
      <c r="K233" s="24" t="n"/>
      <c r="L233" s="24" t="n"/>
      <c r="M233" s="9" t="n"/>
    </row>
    <row r="234">
      <c r="A234" s="9" t="n"/>
      <c r="B234" s="9" t="n"/>
      <c r="C234" s="24" t="n"/>
      <c r="D234" s="24" t="n"/>
      <c r="E234" s="49" t="n"/>
      <c r="F234" s="19" t="n"/>
      <c r="G234" s="29" t="n"/>
      <c r="H234" s="9" t="n"/>
      <c r="I234" s="9" t="n"/>
      <c r="J234" s="49" t="n"/>
      <c r="K234" s="24" t="n"/>
      <c r="L234" s="24" t="n"/>
      <c r="M234" s="9" t="n"/>
    </row>
    <row r="235">
      <c r="A235" s="9" t="n"/>
      <c r="B235" s="9" t="n"/>
      <c r="C235" s="24" t="n"/>
      <c r="D235" s="24" t="n"/>
      <c r="E235" s="49" t="n"/>
      <c r="F235" s="19" t="n"/>
      <c r="G235" s="29" t="n"/>
      <c r="H235" s="9" t="n"/>
      <c r="I235" s="9" t="n"/>
      <c r="J235" s="49" t="n"/>
      <c r="K235" s="24" t="n"/>
      <c r="L235" s="24" t="n"/>
      <c r="M235" s="9" t="n"/>
    </row>
    <row r="236">
      <c r="A236" s="9" t="n"/>
      <c r="B236" s="9" t="n"/>
      <c r="C236" s="24" t="n"/>
      <c r="D236" s="24" t="n"/>
      <c r="E236" s="49" t="n"/>
      <c r="F236" s="19" t="n"/>
      <c r="G236" s="29" t="n"/>
      <c r="H236" s="9" t="n"/>
      <c r="I236" s="9" t="n"/>
      <c r="J236" s="49" t="n"/>
      <c r="K236" s="24" t="n"/>
      <c r="L236" s="24" t="n"/>
      <c r="M236" s="9" t="n"/>
    </row>
    <row r="237">
      <c r="A237" s="9" t="n"/>
      <c r="B237" s="9" t="n"/>
      <c r="C237" s="24" t="n"/>
      <c r="D237" s="24" t="n"/>
      <c r="E237" s="49" t="n"/>
      <c r="F237" s="19" t="n"/>
      <c r="G237" s="29" t="n"/>
      <c r="H237" s="9" t="n"/>
      <c r="I237" s="9" t="n"/>
      <c r="J237" s="49" t="n"/>
      <c r="K237" s="24" t="n"/>
      <c r="L237" s="24" t="n"/>
      <c r="M237" s="9" t="n"/>
    </row>
    <row r="238">
      <c r="A238" s="9" t="n"/>
      <c r="B238" s="9" t="n"/>
      <c r="C238" s="24" t="n"/>
      <c r="D238" s="24" t="n"/>
      <c r="E238" s="49" t="n"/>
      <c r="F238" s="19" t="n"/>
      <c r="G238" s="29" t="n"/>
      <c r="H238" s="9" t="n"/>
      <c r="I238" s="9" t="n"/>
      <c r="J238" s="49" t="n"/>
      <c r="K238" s="24" t="n"/>
      <c r="L238" s="24" t="n"/>
      <c r="M238" s="9" t="n"/>
    </row>
    <row r="239">
      <c r="A239" s="9" t="n"/>
      <c r="B239" s="9" t="n"/>
      <c r="C239" s="24" t="n"/>
      <c r="D239" s="24" t="n"/>
      <c r="E239" s="49" t="n"/>
      <c r="F239" s="19" t="n"/>
      <c r="G239" s="29" t="n"/>
      <c r="H239" s="9" t="n"/>
      <c r="I239" s="9" t="n"/>
      <c r="J239" s="49" t="n"/>
      <c r="K239" s="24" t="n"/>
      <c r="L239" s="24" t="n"/>
      <c r="M239" s="9" t="n"/>
    </row>
    <row r="240">
      <c r="A240" s="9" t="n"/>
      <c r="B240" s="9" t="n"/>
      <c r="C240" s="24" t="n"/>
      <c r="D240" s="24" t="n"/>
      <c r="E240" s="49" t="n"/>
      <c r="F240" s="19" t="n"/>
      <c r="G240" s="29" t="n"/>
      <c r="H240" s="9" t="n"/>
      <c r="I240" s="9" t="n"/>
      <c r="J240" s="49" t="n"/>
      <c r="K240" s="24" t="n"/>
      <c r="L240" s="24" t="n"/>
      <c r="M240" s="9" t="n"/>
    </row>
    <row r="241">
      <c r="A241" s="9" t="n"/>
      <c r="B241" s="9" t="n"/>
      <c r="C241" s="24" t="n"/>
      <c r="D241" s="24" t="n"/>
      <c r="E241" s="49" t="n"/>
      <c r="F241" s="19" t="n"/>
      <c r="G241" s="29" t="n"/>
      <c r="H241" s="9" t="n"/>
      <c r="I241" s="9" t="n"/>
      <c r="J241" s="49" t="n"/>
      <c r="K241" s="24" t="n"/>
      <c r="L241" s="24" t="n"/>
      <c r="M241" s="9" t="n"/>
    </row>
    <row r="242">
      <c r="A242" s="9" t="n"/>
      <c r="B242" s="9" t="n"/>
      <c r="C242" s="24" t="n"/>
      <c r="D242" s="24" t="n"/>
      <c r="E242" s="49" t="n"/>
      <c r="F242" s="19" t="n"/>
      <c r="G242" s="29" t="n"/>
      <c r="H242" s="9" t="n"/>
      <c r="I242" s="9" t="n"/>
      <c r="J242" s="49" t="n"/>
      <c r="K242" s="24" t="n"/>
      <c r="L242" s="24" t="n"/>
      <c r="M242" s="9" t="n"/>
    </row>
    <row r="243">
      <c r="A243" s="9" t="n"/>
      <c r="B243" s="9" t="n"/>
      <c r="C243" s="24" t="n"/>
      <c r="D243" s="24" t="n"/>
      <c r="E243" s="49" t="n"/>
      <c r="F243" s="19" t="n"/>
      <c r="G243" s="29" t="n"/>
      <c r="H243" s="9" t="n"/>
      <c r="I243" s="9" t="n"/>
      <c r="J243" s="49" t="n"/>
      <c r="K243" s="24" t="n"/>
      <c r="L243" s="24" t="n"/>
      <c r="M243" s="9" t="n"/>
    </row>
    <row r="244">
      <c r="A244" s="9" t="n"/>
      <c r="B244" s="9" t="n"/>
      <c r="C244" s="24" t="n"/>
      <c r="D244" s="24" t="n"/>
      <c r="E244" s="49" t="n"/>
      <c r="F244" s="19" t="n"/>
      <c r="G244" s="29" t="n"/>
      <c r="H244" s="9" t="n"/>
      <c r="I244" s="9" t="n"/>
      <c r="J244" s="49" t="n"/>
      <c r="K244" s="24" t="n"/>
      <c r="L244" s="24" t="n"/>
      <c r="M244" s="9" t="n"/>
    </row>
    <row r="245">
      <c r="A245" s="9" t="n"/>
      <c r="B245" s="9" t="n"/>
      <c r="C245" s="24" t="n"/>
      <c r="D245" s="24" t="n"/>
      <c r="E245" s="49" t="n"/>
      <c r="F245" s="19" t="n"/>
      <c r="G245" s="29" t="n"/>
      <c r="H245" s="9" t="n"/>
      <c r="I245" s="9" t="n"/>
      <c r="J245" s="49" t="n"/>
      <c r="K245" s="24" t="n"/>
      <c r="L245" s="24" t="n"/>
      <c r="M245" s="9" t="n"/>
    </row>
    <row r="246">
      <c r="A246" s="9" t="n"/>
      <c r="B246" s="9" t="n"/>
      <c r="C246" s="24" t="n"/>
      <c r="D246" s="24" t="n"/>
      <c r="E246" s="49" t="n"/>
      <c r="F246" s="19" t="n"/>
      <c r="G246" s="29" t="n"/>
      <c r="H246" s="9" t="n"/>
      <c r="I246" s="9" t="n"/>
      <c r="J246" s="49" t="n"/>
      <c r="K246" s="24" t="n"/>
      <c r="L246" s="24" t="n"/>
      <c r="M246" s="9" t="n"/>
    </row>
    <row r="247">
      <c r="A247" s="9" t="n"/>
      <c r="B247" s="9" t="n"/>
      <c r="C247" s="24" t="n"/>
      <c r="D247" s="24" t="n"/>
      <c r="E247" s="49" t="n"/>
      <c r="F247" s="19" t="n"/>
      <c r="G247" s="29" t="n"/>
      <c r="H247" s="9" t="n"/>
      <c r="I247" s="9" t="n"/>
      <c r="J247" s="49" t="n"/>
      <c r="K247" s="24" t="n"/>
      <c r="L247" s="24" t="n"/>
      <c r="M247" s="9" t="n"/>
    </row>
    <row r="248">
      <c r="A248" s="9" t="n"/>
      <c r="B248" s="9" t="n"/>
      <c r="C248" s="24" t="n"/>
      <c r="D248" s="24" t="n"/>
      <c r="E248" s="49" t="n"/>
      <c r="F248" s="19" t="n"/>
      <c r="G248" s="29" t="n"/>
      <c r="H248" s="9" t="n"/>
      <c r="I248" s="9" t="n"/>
      <c r="J248" s="49" t="n"/>
      <c r="K248" s="24" t="n"/>
      <c r="L248" s="24" t="n"/>
      <c r="M248" s="9" t="n"/>
    </row>
    <row r="249">
      <c r="A249" s="9" t="n"/>
      <c r="B249" s="9" t="n"/>
      <c r="C249" s="24" t="n"/>
      <c r="D249" s="24" t="n"/>
      <c r="E249" s="49" t="n"/>
      <c r="F249" s="19" t="n"/>
      <c r="G249" s="29" t="n"/>
      <c r="H249" s="9" t="n"/>
      <c r="I249" s="9" t="n"/>
      <c r="J249" s="49" t="n"/>
      <c r="K249" s="24" t="n"/>
      <c r="L249" s="24" t="n"/>
      <c r="M249" s="9" t="n"/>
    </row>
    <row r="250">
      <c r="A250" s="9" t="n"/>
      <c r="B250" s="9" t="n"/>
      <c r="C250" s="24" t="n"/>
      <c r="D250" s="24" t="n"/>
      <c r="E250" s="49" t="n"/>
      <c r="F250" s="19" t="n"/>
      <c r="G250" s="29" t="n"/>
      <c r="H250" s="9" t="n"/>
      <c r="I250" s="9" t="n"/>
      <c r="J250" s="49" t="n"/>
      <c r="K250" s="24" t="n"/>
      <c r="L250" s="24" t="n"/>
      <c r="M250" s="9" t="n"/>
    </row>
    <row r="251">
      <c r="A251" s="9" t="n"/>
      <c r="B251" s="9" t="n"/>
      <c r="C251" s="24" t="n"/>
      <c r="D251" s="24" t="n"/>
      <c r="E251" s="49" t="n"/>
      <c r="F251" s="19" t="n"/>
      <c r="G251" s="29" t="n"/>
      <c r="H251" s="9" t="n"/>
      <c r="I251" s="9" t="n"/>
      <c r="J251" s="49" t="n"/>
      <c r="K251" s="24" t="n"/>
      <c r="L251" s="24" t="n"/>
      <c r="M251" s="9" t="n"/>
    </row>
    <row r="252">
      <c r="A252" s="9" t="n"/>
      <c r="B252" s="9" t="n"/>
      <c r="C252" s="24" t="n"/>
      <c r="D252" s="24" t="n"/>
      <c r="E252" s="49" t="n"/>
      <c r="F252" s="19" t="n"/>
      <c r="G252" s="29" t="n"/>
      <c r="H252" s="9" t="n"/>
      <c r="I252" s="9" t="n"/>
      <c r="J252" s="49" t="n"/>
      <c r="K252" s="24" t="n"/>
      <c r="L252" s="24" t="n"/>
      <c r="M252" s="9" t="n"/>
    </row>
    <row r="253">
      <c r="A253" s="9" t="n"/>
      <c r="B253" s="9" t="n"/>
      <c r="C253" s="24" t="n"/>
      <c r="D253" s="24" t="n"/>
      <c r="E253" s="49" t="n"/>
      <c r="F253" s="19" t="n"/>
      <c r="G253" s="29" t="n"/>
      <c r="H253" s="9" t="n"/>
      <c r="I253" s="9" t="n"/>
      <c r="J253" s="49" t="n"/>
      <c r="K253" s="24" t="n"/>
      <c r="L253" s="24" t="n"/>
      <c r="M253" s="9" t="n"/>
    </row>
    <row r="254">
      <c r="A254" s="9" t="n"/>
      <c r="B254" s="9" t="n"/>
      <c r="C254" s="24" t="n"/>
      <c r="D254" s="24" t="n"/>
      <c r="E254" s="49" t="n"/>
      <c r="F254" s="19" t="n"/>
      <c r="G254" s="29" t="n"/>
      <c r="H254" s="9" t="n"/>
      <c r="I254" s="9" t="n"/>
      <c r="J254" s="49" t="n"/>
      <c r="K254" s="24" t="n"/>
      <c r="L254" s="24" t="n"/>
      <c r="M254" s="9" t="n"/>
    </row>
    <row r="255">
      <c r="A255" s="9" t="n"/>
      <c r="B255" s="9" t="n"/>
      <c r="C255" s="24" t="n"/>
      <c r="D255" s="24" t="n"/>
      <c r="E255" s="49" t="n"/>
      <c r="F255" s="19" t="n"/>
      <c r="G255" s="29" t="n"/>
      <c r="H255" s="9" t="n"/>
      <c r="I255" s="9" t="n"/>
      <c r="J255" s="49" t="n"/>
      <c r="K255" s="24" t="n"/>
      <c r="L255" s="24" t="n"/>
      <c r="M255" s="9" t="n"/>
    </row>
    <row r="256">
      <c r="A256" s="9" t="n"/>
      <c r="B256" s="9" t="n"/>
      <c r="C256" s="24" t="n"/>
      <c r="D256" s="24" t="n"/>
      <c r="E256" s="49" t="n"/>
      <c r="F256" s="19" t="n"/>
      <c r="G256" s="29" t="n"/>
      <c r="H256" s="9" t="n"/>
      <c r="I256" s="9" t="n"/>
      <c r="J256" s="49" t="n"/>
      <c r="K256" s="24" t="n"/>
      <c r="L256" s="24" t="n"/>
      <c r="M256" s="9" t="n"/>
    </row>
    <row r="257">
      <c r="A257" s="9" t="n"/>
      <c r="B257" s="9" t="n"/>
      <c r="C257" s="24" t="n"/>
      <c r="D257" s="24" t="n"/>
      <c r="E257" s="49" t="n"/>
      <c r="F257" s="19" t="n"/>
      <c r="G257" s="29" t="n"/>
      <c r="H257" s="9" t="n"/>
      <c r="I257" s="9" t="n"/>
      <c r="J257" s="49" t="n"/>
      <c r="K257" s="24" t="n"/>
      <c r="L257" s="24" t="n"/>
      <c r="M257" s="9" t="n"/>
    </row>
    <row r="258">
      <c r="A258" s="9" t="n"/>
      <c r="B258" s="9" t="n"/>
      <c r="C258" s="24" t="n"/>
      <c r="D258" s="24" t="n"/>
      <c r="E258" s="49" t="n"/>
      <c r="F258" s="19" t="n"/>
      <c r="G258" s="29" t="n"/>
      <c r="H258" s="9" t="n"/>
      <c r="I258" s="9" t="n"/>
      <c r="J258" s="49" t="n"/>
      <c r="K258" s="24" t="n"/>
      <c r="L258" s="24" t="n"/>
      <c r="M258" s="9" t="n"/>
    </row>
    <row r="259">
      <c r="A259" s="9" t="n"/>
      <c r="B259" s="9" t="n"/>
      <c r="C259" s="24" t="n"/>
      <c r="D259" s="24" t="n"/>
      <c r="E259" s="49" t="n"/>
      <c r="F259" s="19" t="n"/>
      <c r="G259" s="29" t="n"/>
      <c r="H259" s="9" t="n"/>
      <c r="I259" s="9" t="n"/>
      <c r="J259" s="49" t="n"/>
      <c r="K259" s="24" t="n"/>
      <c r="L259" s="24" t="n"/>
      <c r="M259" s="9" t="n"/>
    </row>
    <row r="260">
      <c r="A260" s="9" t="n"/>
      <c r="B260" s="9" t="n"/>
      <c r="C260" s="24" t="n"/>
      <c r="D260" s="24" t="n"/>
      <c r="E260" s="49" t="n"/>
      <c r="F260" s="19" t="n"/>
      <c r="G260" s="29" t="n"/>
      <c r="H260" s="9" t="n"/>
      <c r="I260" s="9" t="n"/>
      <c r="J260" s="49" t="n"/>
      <c r="K260" s="24" t="n"/>
      <c r="L260" s="24" t="n"/>
      <c r="M260" s="9" t="n"/>
    </row>
    <row r="261">
      <c r="A261" s="9" t="n"/>
      <c r="B261" s="9" t="n"/>
      <c r="C261" s="24" t="n"/>
      <c r="D261" s="24" t="n"/>
      <c r="E261" s="49" t="n"/>
      <c r="F261" s="19" t="n"/>
      <c r="G261" s="29" t="n"/>
      <c r="H261" s="9" t="n"/>
      <c r="I261" s="9" t="n"/>
      <c r="J261" s="49" t="n"/>
      <c r="K261" s="24" t="n"/>
      <c r="L261" s="24" t="n"/>
      <c r="M261" s="9" t="n"/>
    </row>
    <row r="262">
      <c r="A262" s="9" t="n"/>
      <c r="B262" s="9" t="n"/>
      <c r="C262" s="24" t="n"/>
      <c r="D262" s="24" t="n"/>
      <c r="E262" s="49" t="n"/>
      <c r="F262" s="19" t="n"/>
      <c r="G262" s="29" t="n"/>
      <c r="H262" s="9" t="n"/>
      <c r="I262" s="9" t="n"/>
      <c r="J262" s="49" t="n"/>
      <c r="K262" s="24" t="n"/>
      <c r="L262" s="24" t="n"/>
      <c r="M262" s="9" t="n"/>
    </row>
    <row r="263">
      <c r="A263" s="9" t="n"/>
      <c r="B263" s="9" t="n"/>
      <c r="C263" s="24" t="n"/>
      <c r="D263" s="24" t="n"/>
      <c r="E263" s="49" t="n"/>
      <c r="F263" s="19" t="n"/>
      <c r="G263" s="29" t="n"/>
      <c r="H263" s="9" t="n"/>
      <c r="I263" s="9" t="n"/>
      <c r="J263" s="49" t="n"/>
      <c r="K263" s="24" t="n"/>
      <c r="L263" s="24" t="n"/>
      <c r="M263" s="9" t="n"/>
    </row>
    <row r="264">
      <c r="A264" s="9" t="n"/>
      <c r="B264" s="9" t="n"/>
      <c r="C264" s="24" t="n"/>
      <c r="D264" s="24" t="n"/>
      <c r="E264" s="49" t="n"/>
      <c r="F264" s="19" t="n"/>
      <c r="G264" s="29" t="n"/>
      <c r="H264" s="9" t="n"/>
      <c r="I264" s="9" t="n"/>
      <c r="J264" s="49" t="n"/>
      <c r="K264" s="24" t="n"/>
      <c r="L264" s="24" t="n"/>
      <c r="M264" s="9" t="n"/>
    </row>
    <row r="265">
      <c r="A265" s="9" t="n"/>
      <c r="B265" s="9" t="n"/>
      <c r="C265" s="24" t="n"/>
      <c r="D265" s="24" t="n"/>
      <c r="E265" s="49" t="n"/>
      <c r="F265" s="19" t="n"/>
      <c r="G265" s="29" t="n"/>
      <c r="H265" s="9" t="n"/>
      <c r="I265" s="9" t="n"/>
      <c r="J265" s="49" t="n"/>
      <c r="K265" s="24" t="n"/>
      <c r="L265" s="24" t="n"/>
      <c r="M265" s="9" t="n"/>
    </row>
    <row r="266">
      <c r="A266" s="9" t="n"/>
      <c r="B266" s="9" t="n"/>
      <c r="C266" s="24" t="n"/>
      <c r="D266" s="24" t="n"/>
      <c r="E266" s="49" t="n"/>
      <c r="F266" s="19" t="n"/>
      <c r="G266" s="29" t="n"/>
      <c r="H266" s="9" t="n"/>
      <c r="I266" s="9" t="n"/>
      <c r="J266" s="49" t="n"/>
      <c r="K266" s="24" t="n"/>
      <c r="L266" s="24" t="n"/>
      <c r="M266" s="9" t="n"/>
    </row>
    <row r="267">
      <c r="A267" s="9" t="n"/>
      <c r="B267" s="9" t="n"/>
      <c r="C267" s="24" t="n"/>
      <c r="D267" s="24" t="n"/>
      <c r="E267" s="49" t="n"/>
      <c r="F267" s="19" t="n"/>
      <c r="G267" s="29" t="n"/>
      <c r="H267" s="9" t="n"/>
      <c r="I267" s="9" t="n"/>
      <c r="J267" s="49" t="n"/>
      <c r="K267" s="24" t="n"/>
      <c r="L267" s="24" t="n"/>
      <c r="M267" s="9" t="n"/>
    </row>
    <row r="268">
      <c r="A268" s="9" t="n"/>
      <c r="B268" s="9" t="n"/>
      <c r="C268" s="24" t="n"/>
      <c r="D268" s="24" t="n"/>
      <c r="E268" s="49" t="n"/>
      <c r="F268" s="19" t="n"/>
      <c r="G268" s="29" t="n"/>
      <c r="H268" s="9" t="n"/>
      <c r="I268" s="9" t="n"/>
      <c r="J268" s="49" t="n"/>
      <c r="K268" s="24" t="n"/>
      <c r="L268" s="24" t="n"/>
      <c r="M268" s="9" t="n"/>
    </row>
    <row r="269">
      <c r="A269" s="9" t="n"/>
      <c r="B269" s="9" t="n"/>
      <c r="C269" s="24" t="n"/>
      <c r="D269" s="24" t="n"/>
      <c r="E269" s="49" t="n"/>
      <c r="F269" s="19" t="n"/>
      <c r="G269" s="29" t="n"/>
      <c r="H269" s="9" t="n"/>
      <c r="I269" s="9" t="n"/>
      <c r="J269" s="49" t="n"/>
      <c r="K269" s="24" t="n"/>
      <c r="L269" s="24" t="n"/>
      <c r="M269" s="9" t="n"/>
    </row>
    <row r="270">
      <c r="A270" s="9" t="n"/>
      <c r="B270" s="9" t="n"/>
      <c r="C270" s="24" t="n"/>
      <c r="D270" s="24" t="n"/>
      <c r="E270" s="49" t="n"/>
      <c r="F270" s="19" t="n"/>
      <c r="G270" s="29" t="n"/>
      <c r="H270" s="9" t="n"/>
      <c r="I270" s="9" t="n"/>
      <c r="J270" s="49" t="n"/>
      <c r="K270" s="24" t="n"/>
      <c r="L270" s="24" t="n"/>
      <c r="M270" s="9" t="n"/>
    </row>
    <row r="271">
      <c r="A271" s="9" t="n"/>
      <c r="B271" s="9" t="n"/>
      <c r="C271" s="24" t="n"/>
      <c r="D271" s="24" t="n"/>
      <c r="E271" s="49" t="n"/>
      <c r="F271" s="19" t="n"/>
      <c r="G271" s="29" t="n"/>
      <c r="H271" s="9" t="n"/>
      <c r="I271" s="9" t="n"/>
      <c r="J271" s="49" t="n"/>
      <c r="K271" s="24" t="n"/>
      <c r="L271" s="24" t="n"/>
      <c r="M271" s="9" t="n"/>
    </row>
    <row r="272">
      <c r="A272" s="9" t="n"/>
      <c r="B272" s="9" t="n"/>
      <c r="C272" s="24" t="n"/>
      <c r="D272" s="24" t="n"/>
      <c r="E272" s="49" t="n"/>
      <c r="F272" s="19" t="n"/>
      <c r="G272" s="29" t="n"/>
      <c r="H272" s="9" t="n"/>
      <c r="I272" s="9" t="n"/>
      <c r="J272" s="49" t="n"/>
      <c r="K272" s="24" t="n"/>
      <c r="L272" s="24" t="n"/>
      <c r="M272" s="9" t="n"/>
    </row>
    <row r="273">
      <c r="A273" s="9" t="n"/>
      <c r="B273" s="9" t="n"/>
      <c r="C273" s="24" t="n"/>
      <c r="D273" s="24" t="n"/>
      <c r="E273" s="49" t="n"/>
      <c r="F273" s="19" t="n"/>
      <c r="G273" s="29" t="n"/>
      <c r="H273" s="9" t="n"/>
      <c r="I273" s="9" t="n"/>
      <c r="J273" s="49" t="n"/>
      <c r="K273" s="24" t="n"/>
      <c r="L273" s="24" t="n"/>
      <c r="M273" s="9" t="n"/>
    </row>
    <row r="274">
      <c r="A274" s="9" t="n"/>
      <c r="B274" s="9" t="n"/>
      <c r="C274" s="24" t="n"/>
      <c r="D274" s="24" t="n"/>
      <c r="E274" s="49" t="n"/>
      <c r="F274" s="19" t="n"/>
      <c r="G274" s="29" t="n"/>
      <c r="H274" s="9" t="n"/>
      <c r="I274" s="9" t="n"/>
      <c r="J274" s="49" t="n"/>
      <c r="K274" s="24" t="n"/>
      <c r="L274" s="24" t="n"/>
      <c r="M274" s="9" t="n"/>
    </row>
    <row r="275">
      <c r="A275" s="9" t="n"/>
      <c r="B275" s="9" t="n"/>
      <c r="C275" s="24" t="n"/>
      <c r="D275" s="24" t="n"/>
      <c r="E275" s="49" t="n"/>
      <c r="F275" s="19" t="n"/>
      <c r="G275" s="29" t="n"/>
      <c r="H275" s="9" t="n"/>
      <c r="I275" s="9" t="n"/>
      <c r="J275" s="49" t="n"/>
      <c r="K275" s="24" t="n"/>
      <c r="L275" s="24" t="n"/>
      <c r="M275" s="9" t="n"/>
    </row>
    <row r="276">
      <c r="A276" s="9" t="n"/>
      <c r="B276" s="9" t="n"/>
      <c r="C276" s="24" t="n"/>
      <c r="D276" s="24" t="n"/>
      <c r="E276" s="49" t="n"/>
      <c r="F276" s="19" t="n"/>
      <c r="G276" s="29" t="n"/>
      <c r="H276" s="9" t="n"/>
      <c r="I276" s="9" t="n"/>
      <c r="J276" s="49" t="n"/>
      <c r="K276" s="24" t="n"/>
      <c r="L276" s="24" t="n"/>
      <c r="M276" s="9" t="n"/>
    </row>
    <row r="277">
      <c r="A277" s="9" t="n"/>
      <c r="B277" s="9" t="n"/>
      <c r="C277" s="24" t="n"/>
      <c r="D277" s="24" t="n"/>
      <c r="E277" s="49" t="n"/>
      <c r="F277" s="19" t="n"/>
      <c r="G277" s="29" t="n"/>
      <c r="H277" s="9" t="n"/>
      <c r="I277" s="9" t="n"/>
      <c r="J277" s="49" t="n"/>
      <c r="K277" s="24" t="n"/>
      <c r="L277" s="24" t="n"/>
      <c r="M277" s="9" t="n"/>
    </row>
    <row r="278">
      <c r="A278" s="9" t="n"/>
      <c r="B278" s="9" t="n"/>
      <c r="C278" s="24" t="n"/>
      <c r="D278" s="24" t="n"/>
      <c r="E278" s="49" t="n"/>
      <c r="F278" s="19" t="n"/>
      <c r="G278" s="29" t="n"/>
      <c r="H278" s="9" t="n"/>
      <c r="I278" s="9" t="n"/>
      <c r="J278" s="49" t="n"/>
      <c r="K278" s="24" t="n"/>
      <c r="L278" s="24" t="n"/>
      <c r="M278" s="9" t="n"/>
    </row>
    <row r="279">
      <c r="A279" s="9" t="n"/>
      <c r="B279" s="9" t="n"/>
      <c r="C279" s="24" t="n"/>
      <c r="D279" s="24" t="n"/>
      <c r="E279" s="49" t="n"/>
      <c r="F279" s="19" t="n"/>
      <c r="G279" s="29" t="n"/>
      <c r="H279" s="9" t="n"/>
      <c r="I279" s="9" t="n"/>
      <c r="J279" s="49" t="n"/>
      <c r="K279" s="24" t="n"/>
      <c r="L279" s="24" t="n"/>
      <c r="M279" s="9" t="n"/>
    </row>
    <row r="280">
      <c r="A280" s="9" t="n"/>
      <c r="B280" s="9" t="n"/>
      <c r="C280" s="24" t="n"/>
      <c r="D280" s="24" t="n"/>
      <c r="E280" s="49" t="n"/>
      <c r="F280" s="19" t="n"/>
      <c r="G280" s="29" t="n"/>
      <c r="H280" s="9" t="n"/>
      <c r="I280" s="9" t="n"/>
      <c r="J280" s="49" t="n"/>
      <c r="K280" s="24" t="n"/>
      <c r="L280" s="24" t="n"/>
      <c r="M280" s="9" t="n"/>
    </row>
    <row r="281">
      <c r="A281" s="9" t="n"/>
      <c r="B281" s="9" t="n"/>
      <c r="C281" s="24" t="n"/>
      <c r="D281" s="24" t="n"/>
      <c r="E281" s="49" t="n"/>
      <c r="F281" s="19" t="n"/>
      <c r="G281" s="29" t="n"/>
      <c r="H281" s="9" t="n"/>
      <c r="I281" s="9" t="n"/>
      <c r="J281" s="49" t="n"/>
      <c r="K281" s="24" t="n"/>
      <c r="L281" s="24" t="n"/>
      <c r="M281" s="9" t="n"/>
    </row>
    <row r="282">
      <c r="A282" s="9" t="n"/>
      <c r="B282" s="9" t="n"/>
      <c r="C282" s="24" t="n"/>
      <c r="D282" s="24" t="n"/>
      <c r="E282" s="49" t="n"/>
      <c r="F282" s="19" t="n"/>
      <c r="G282" s="29" t="n"/>
      <c r="H282" s="9" t="n"/>
      <c r="I282" s="9" t="n"/>
      <c r="J282" s="49" t="n"/>
      <c r="K282" s="24" t="n"/>
      <c r="L282" s="24" t="n"/>
      <c r="M282" s="9" t="n"/>
    </row>
    <row r="283">
      <c r="A283" s="9" t="n"/>
      <c r="B283" s="9" t="n"/>
      <c r="C283" s="24" t="n"/>
      <c r="D283" s="24" t="n"/>
      <c r="E283" s="49" t="n"/>
      <c r="F283" s="19" t="n"/>
      <c r="G283" s="29" t="n"/>
      <c r="H283" s="9" t="n"/>
      <c r="I283" s="9" t="n"/>
      <c r="J283" s="49" t="n"/>
      <c r="K283" s="24" t="n"/>
      <c r="L283" s="24" t="n"/>
      <c r="M283" s="9" t="n"/>
    </row>
    <row r="284">
      <c r="A284" s="9" t="n"/>
      <c r="B284" s="9" t="n"/>
      <c r="C284" s="24" t="n"/>
      <c r="D284" s="24" t="n"/>
      <c r="E284" s="49" t="n"/>
      <c r="F284" s="19" t="n"/>
      <c r="G284" s="29" t="n"/>
      <c r="H284" s="9" t="n"/>
      <c r="I284" s="9" t="n"/>
      <c r="J284" s="49" t="n"/>
      <c r="K284" s="24" t="n"/>
      <c r="L284" s="24" t="n"/>
      <c r="M284" s="9" t="n"/>
    </row>
    <row r="285">
      <c r="A285" s="9" t="n"/>
      <c r="B285" s="9" t="n"/>
      <c r="C285" s="24" t="n"/>
      <c r="D285" s="24" t="n"/>
      <c r="E285" s="49" t="n"/>
      <c r="F285" s="19" t="n"/>
      <c r="G285" s="29" t="n"/>
      <c r="H285" s="9" t="n"/>
      <c r="I285" s="9" t="n"/>
      <c r="J285" s="49" t="n"/>
      <c r="K285" s="24" t="n"/>
      <c r="L285" s="24" t="n"/>
      <c r="M285" s="9" t="n"/>
    </row>
    <row r="286">
      <c r="A286" s="9" t="n"/>
      <c r="B286" s="9" t="n"/>
      <c r="C286" s="24" t="n"/>
      <c r="D286" s="24" t="n"/>
      <c r="E286" s="49" t="n"/>
      <c r="F286" s="19" t="n"/>
      <c r="G286" s="29" t="n"/>
      <c r="H286" s="9" t="n"/>
      <c r="I286" s="9" t="n"/>
      <c r="J286" s="49" t="n"/>
      <c r="K286" s="24" t="n"/>
      <c r="L286" s="24" t="n"/>
      <c r="M286" s="9" t="n"/>
    </row>
    <row r="287">
      <c r="A287" s="9" t="n"/>
      <c r="B287" s="9" t="n"/>
      <c r="C287" s="24" t="n"/>
      <c r="D287" s="24" t="n"/>
      <c r="E287" s="49" t="n"/>
      <c r="F287" s="19" t="n"/>
      <c r="G287" s="29" t="n"/>
      <c r="H287" s="9" t="n"/>
      <c r="I287" s="9" t="n"/>
      <c r="J287" s="49" t="n"/>
      <c r="K287" s="24" t="n"/>
      <c r="L287" s="24" t="n"/>
      <c r="M287" s="9" t="n"/>
    </row>
    <row r="288">
      <c r="A288" s="9" t="n"/>
      <c r="B288" s="9" t="n"/>
      <c r="C288" s="24" t="n"/>
      <c r="D288" s="24" t="n"/>
      <c r="E288" s="49" t="n"/>
      <c r="F288" s="19" t="n"/>
      <c r="G288" s="29" t="n"/>
      <c r="H288" s="9" t="n"/>
      <c r="I288" s="9" t="n"/>
      <c r="J288" s="49" t="n"/>
      <c r="K288" s="24" t="n"/>
      <c r="L288" s="24" t="n"/>
      <c r="M288" s="9" t="n"/>
    </row>
    <row r="289">
      <c r="A289" s="9" t="n"/>
      <c r="B289" s="9" t="n"/>
      <c r="C289" s="24" t="n"/>
      <c r="D289" s="24" t="n"/>
      <c r="E289" s="49" t="n"/>
      <c r="F289" s="19" t="n"/>
      <c r="G289" s="29" t="n"/>
      <c r="H289" s="9" t="n"/>
      <c r="I289" s="9" t="n"/>
      <c r="J289" s="49" t="n"/>
      <c r="K289" s="24" t="n"/>
      <c r="L289" s="24" t="n"/>
      <c r="M289" s="9" t="n"/>
    </row>
    <row r="290">
      <c r="A290" s="9" t="n"/>
      <c r="B290" s="9" t="n"/>
      <c r="C290" s="24" t="n"/>
      <c r="D290" s="24" t="n"/>
      <c r="E290" s="49" t="n"/>
      <c r="F290" s="19" t="n"/>
      <c r="G290" s="29" t="n"/>
      <c r="H290" s="9" t="n"/>
      <c r="I290" s="9" t="n"/>
      <c r="J290" s="49" t="n"/>
      <c r="K290" s="24" t="n"/>
      <c r="L290" s="24" t="n"/>
      <c r="M290" s="9" t="n"/>
    </row>
    <row r="291">
      <c r="A291" s="9" t="n"/>
      <c r="B291" s="9" t="n"/>
      <c r="C291" s="24" t="n"/>
      <c r="D291" s="24" t="n"/>
      <c r="E291" s="49" t="n"/>
      <c r="F291" s="19" t="n"/>
      <c r="G291" s="29" t="n"/>
      <c r="H291" s="9" t="n"/>
      <c r="I291" s="9" t="n"/>
      <c r="J291" s="49" t="n"/>
      <c r="K291" s="24" t="n"/>
      <c r="L291" s="24" t="n"/>
      <c r="M291" s="9" t="n"/>
    </row>
    <row r="292">
      <c r="A292" s="9" t="n"/>
      <c r="B292" s="9" t="n"/>
      <c r="C292" s="24" t="n"/>
      <c r="D292" s="24" t="n"/>
      <c r="E292" s="49" t="n"/>
      <c r="F292" s="19" t="n"/>
      <c r="G292" s="29" t="n"/>
      <c r="H292" s="9" t="n"/>
      <c r="I292" s="9" t="n"/>
      <c r="J292" s="49" t="n"/>
      <c r="K292" s="24" t="n"/>
      <c r="L292" s="24" t="n"/>
      <c r="M292" s="9" t="n"/>
    </row>
    <row r="293">
      <c r="A293" s="9" t="n"/>
      <c r="B293" s="9" t="n"/>
      <c r="C293" s="24" t="n"/>
      <c r="D293" s="24" t="n"/>
      <c r="E293" s="49" t="n"/>
      <c r="F293" s="19" t="n"/>
      <c r="G293" s="29" t="n"/>
      <c r="H293" s="9" t="n"/>
      <c r="I293" s="9" t="n"/>
      <c r="J293" s="49" t="n"/>
      <c r="K293" s="24" t="n"/>
      <c r="L293" s="24" t="n"/>
      <c r="M293" s="9" t="n"/>
    </row>
    <row r="294">
      <c r="A294" s="9" t="n"/>
      <c r="B294" s="9" t="n"/>
      <c r="C294" s="24" t="n"/>
      <c r="D294" s="24" t="n"/>
      <c r="E294" s="49" t="n"/>
      <c r="F294" s="19" t="n"/>
      <c r="G294" s="29" t="n"/>
      <c r="H294" s="9" t="n"/>
      <c r="I294" s="9" t="n"/>
      <c r="J294" s="49" t="n"/>
      <c r="K294" s="24" t="n"/>
      <c r="L294" s="24" t="n"/>
      <c r="M294" s="9" t="n"/>
    </row>
    <row r="295">
      <c r="A295" s="9" t="n"/>
      <c r="B295" s="9" t="n"/>
      <c r="C295" s="24" t="n"/>
      <c r="D295" s="24" t="n"/>
      <c r="E295" s="49" t="n"/>
      <c r="F295" s="19" t="n"/>
      <c r="G295" s="29" t="n"/>
      <c r="H295" s="9" t="n"/>
      <c r="I295" s="9" t="n"/>
      <c r="J295" s="49" t="n"/>
      <c r="K295" s="24" t="n"/>
      <c r="L295" s="24" t="n"/>
      <c r="M295" s="9" t="n"/>
    </row>
    <row r="296">
      <c r="A296" s="9" t="n"/>
      <c r="B296" s="9" t="n"/>
      <c r="C296" s="24" t="n"/>
      <c r="D296" s="24" t="n"/>
      <c r="E296" s="49" t="n"/>
      <c r="F296" s="19" t="n"/>
      <c r="G296" s="29" t="n"/>
      <c r="H296" s="9" t="n"/>
      <c r="I296" s="9" t="n"/>
      <c r="J296" s="49" t="n"/>
      <c r="K296" s="24" t="n"/>
      <c r="L296" s="24" t="n"/>
      <c r="M296" s="9" t="n"/>
    </row>
    <row r="297">
      <c r="A297" s="9" t="n"/>
      <c r="B297" s="9" t="n"/>
      <c r="C297" s="24" t="n"/>
      <c r="D297" s="24" t="n"/>
      <c r="E297" s="49" t="n"/>
      <c r="F297" s="19" t="n"/>
      <c r="G297" s="29" t="n"/>
      <c r="H297" s="9" t="n"/>
      <c r="I297" s="9" t="n"/>
      <c r="J297" s="49" t="n"/>
      <c r="K297" s="24" t="n"/>
      <c r="L297" s="24" t="n"/>
      <c r="M297" s="9" t="n"/>
    </row>
    <row r="298">
      <c r="A298" s="9" t="n"/>
      <c r="B298" s="9" t="n"/>
      <c r="C298" s="24" t="n"/>
      <c r="D298" s="24" t="n"/>
      <c r="E298" s="49" t="n"/>
      <c r="F298" s="19" t="n"/>
      <c r="G298" s="29" t="n"/>
      <c r="H298" s="9" t="n"/>
      <c r="I298" s="9" t="n"/>
      <c r="J298" s="49" t="n"/>
      <c r="K298" s="24" t="n"/>
      <c r="L298" s="24" t="n"/>
      <c r="M298" s="9" t="n"/>
    </row>
    <row r="299">
      <c r="A299" s="9" t="n"/>
      <c r="B299" s="9" t="n"/>
      <c r="C299" s="24" t="n"/>
      <c r="D299" s="24" t="n"/>
      <c r="E299" s="49" t="n"/>
      <c r="F299" s="19" t="n"/>
      <c r="G299" s="29" t="n"/>
      <c r="H299" s="9" t="n"/>
      <c r="I299" s="9" t="n"/>
      <c r="J299" s="49" t="n"/>
      <c r="K299" s="24" t="n"/>
      <c r="L299" s="24" t="n"/>
      <c r="M299" s="9" t="n"/>
    </row>
    <row r="300">
      <c r="A300" s="9" t="n"/>
      <c r="B300" s="9" t="n"/>
      <c r="C300" s="24" t="n"/>
      <c r="D300" s="24" t="n"/>
      <c r="E300" s="49" t="n"/>
      <c r="F300" s="19" t="n"/>
      <c r="G300" s="29" t="n"/>
      <c r="H300" s="9" t="n"/>
      <c r="I300" s="9" t="n"/>
      <c r="J300" s="49" t="n"/>
      <c r="K300" s="24" t="n"/>
      <c r="L300" s="24" t="n"/>
      <c r="M300" s="9" t="n"/>
    </row>
    <row r="301">
      <c r="A301" s="9" t="n"/>
      <c r="B301" s="9" t="n"/>
      <c r="C301" s="24" t="n"/>
      <c r="D301" s="24" t="n"/>
      <c r="E301" s="49" t="n"/>
      <c r="F301" s="19" t="n"/>
      <c r="G301" s="29" t="n"/>
      <c r="H301" s="9" t="n"/>
      <c r="I301" s="9" t="n"/>
      <c r="J301" s="49" t="n"/>
      <c r="K301" s="24" t="n"/>
      <c r="L301" s="24" t="n"/>
      <c r="M301" s="9" t="n"/>
    </row>
    <row r="302">
      <c r="A302" s="9" t="n"/>
      <c r="B302" s="9" t="n"/>
      <c r="C302" s="24" t="n"/>
      <c r="D302" s="24" t="n"/>
      <c r="E302" s="49" t="n"/>
      <c r="F302" s="19" t="n"/>
      <c r="G302" s="29" t="n"/>
      <c r="H302" s="9" t="n"/>
      <c r="I302" s="9" t="n"/>
      <c r="J302" s="49" t="n"/>
      <c r="K302" s="24" t="n"/>
      <c r="L302" s="24" t="n"/>
      <c r="M302" s="9" t="n"/>
    </row>
    <row r="303">
      <c r="A303" s="9" t="n"/>
      <c r="B303" s="9" t="n"/>
      <c r="C303" s="24" t="n"/>
      <c r="D303" s="24" t="n"/>
      <c r="E303" s="49" t="n"/>
      <c r="F303" s="19" t="n"/>
      <c r="G303" s="29" t="n"/>
      <c r="H303" s="9" t="n"/>
      <c r="I303" s="9" t="n"/>
      <c r="J303" s="49" t="n"/>
      <c r="K303" s="24" t="n"/>
      <c r="L303" s="24" t="n"/>
      <c r="M303" s="9" t="n"/>
    </row>
    <row r="304">
      <c r="A304" s="9" t="n"/>
      <c r="B304" s="9" t="n"/>
      <c r="C304" s="24" t="n"/>
      <c r="D304" s="24" t="n"/>
      <c r="E304" s="49" t="n"/>
      <c r="F304" s="19" t="n"/>
      <c r="G304" s="29" t="n"/>
      <c r="H304" s="9" t="n"/>
      <c r="I304" s="9" t="n"/>
      <c r="J304" s="49" t="n"/>
      <c r="K304" s="24" t="n"/>
      <c r="L304" s="24"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6.xml><?xml version="1.0" encoding="utf-8"?>
<worksheet xmlns="http://schemas.openxmlformats.org/spreadsheetml/2006/main">
  <sheetPr codeName="Tabelle16">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2" t="inlineStr">
        <is>
          <t>Maschinen-ID</t>
        </is>
      </c>
      <c r="B4" s="22" t="inlineStr">
        <is>
          <t>Werkstoff-ID</t>
        </is>
      </c>
      <c r="C4" s="22" t="inlineStr">
        <is>
          <t>Wandstärke bis [mm]</t>
        </is>
      </c>
      <c r="D4" s="22" t="inlineStr">
        <is>
          <t>Vorschub groß / Trennschnitt [mm/min]</t>
        </is>
      </c>
      <c r="E4" s="22" t="inlineStr">
        <is>
          <t>Vorschub mittel [mm/min]</t>
        </is>
      </c>
      <c r="F4" s="22" t="inlineStr">
        <is>
          <t>Vorschub klein [mm/min]</t>
        </is>
      </c>
      <c r="G4" s="22" t="inlineStr">
        <is>
          <t>Einstechzeit [s]</t>
        </is>
      </c>
      <c r="H4" s="22" t="inlineStr">
        <is>
          <t>Vorschub Gravur [mm/min]</t>
        </is>
      </c>
      <c r="I4" s="22" t="inlineStr">
        <is>
          <t>Bemerkung</t>
        </is>
      </c>
    </row>
    <row r="5">
      <c r="A5" s="9" t="inlineStr">
        <is>
          <t>RL-1</t>
        </is>
      </c>
      <c r="B5" s="9" t="inlineStr">
        <is>
          <t>S235-10219</t>
        </is>
      </c>
      <c r="C5" s="49" t="n">
        <v>2</v>
      </c>
      <c r="D5" s="19" t="n">
        <v>6000</v>
      </c>
      <c r="E5" s="19" t="n">
        <v>4200</v>
      </c>
      <c r="F5" s="19" t="n">
        <v>2400</v>
      </c>
      <c r="G5" s="49" t="n">
        <v>0.3</v>
      </c>
      <c r="H5" s="19" t="n">
        <v>10000</v>
      </c>
      <c r="I5" s="9" t="inlineStr">
        <is>
          <t>Beispiel</t>
        </is>
      </c>
    </row>
    <row r="6">
      <c r="A6" s="9" t="inlineStr">
        <is>
          <t>RL-1</t>
        </is>
      </c>
      <c r="B6" s="9" t="inlineStr">
        <is>
          <t>S235-10219</t>
        </is>
      </c>
      <c r="C6" s="49" t="n">
        <v>3</v>
      </c>
      <c r="D6" s="19" t="n">
        <v>4500</v>
      </c>
      <c r="E6" s="19" t="n">
        <v>3150</v>
      </c>
      <c r="F6" s="19" t="n">
        <v>1800</v>
      </c>
      <c r="G6" s="49" t="n">
        <v>0.5</v>
      </c>
      <c r="H6" s="19" t="n">
        <v>10000</v>
      </c>
      <c r="I6" s="9" t="inlineStr">
        <is>
          <t>Beispiel</t>
        </is>
      </c>
    </row>
    <row r="7">
      <c r="A7" s="9" t="inlineStr">
        <is>
          <t>RL-1</t>
        </is>
      </c>
      <c r="B7" s="9" t="inlineStr">
        <is>
          <t>S235-10219</t>
        </is>
      </c>
      <c r="C7" s="49" t="n">
        <v>5</v>
      </c>
      <c r="D7" s="19" t="n">
        <v>3000</v>
      </c>
      <c r="E7" s="19" t="n">
        <v>2100</v>
      </c>
      <c r="F7" s="19" t="n">
        <v>1200</v>
      </c>
      <c r="G7" s="49" t="n">
        <v>0.8</v>
      </c>
      <c r="H7" s="19" t="n">
        <v>10000</v>
      </c>
      <c r="I7" s="9" t="inlineStr">
        <is>
          <t>Beispiel</t>
        </is>
      </c>
    </row>
    <row r="8">
      <c r="A8" s="9" t="inlineStr">
        <is>
          <t>RL-1</t>
        </is>
      </c>
      <c r="B8" s="9" t="inlineStr">
        <is>
          <t>S355-10219</t>
        </is>
      </c>
      <c r="C8" s="49" t="n">
        <v>2</v>
      </c>
      <c r="D8" s="19" t="n">
        <v>5800</v>
      </c>
      <c r="E8" s="19" t="n">
        <v>4060</v>
      </c>
      <c r="F8" s="19" t="n">
        <v>2320</v>
      </c>
      <c r="G8" s="49" t="n">
        <v>0.3</v>
      </c>
      <c r="H8" s="19" t="n">
        <v>10000</v>
      </c>
      <c r="I8" s="9" t="inlineStr">
        <is>
          <t>Beispiel</t>
        </is>
      </c>
    </row>
    <row r="9">
      <c r="A9" s="9" t="inlineStr">
        <is>
          <t>RL-1</t>
        </is>
      </c>
      <c r="B9" s="9" t="inlineStr">
        <is>
          <t>S355-10219</t>
        </is>
      </c>
      <c r="C9" s="49" t="n">
        <v>3</v>
      </c>
      <c r="D9" s="19" t="n">
        <v>4300</v>
      </c>
      <c r="E9" s="19" t="n">
        <v>3010</v>
      </c>
      <c r="F9" s="19" t="n">
        <v>1720</v>
      </c>
      <c r="G9" s="49" t="n">
        <v>0.5</v>
      </c>
      <c r="H9" s="19" t="n">
        <v>10000</v>
      </c>
      <c r="I9" s="9" t="inlineStr">
        <is>
          <t>Beispiel</t>
        </is>
      </c>
    </row>
    <row r="10">
      <c r="A10" s="9" t="inlineStr">
        <is>
          <t>RL-1</t>
        </is>
      </c>
      <c r="B10" s="9" t="inlineStr">
        <is>
          <t>S355-10219</t>
        </is>
      </c>
      <c r="C10" s="49" t="n">
        <v>5</v>
      </c>
      <c r="D10" s="19" t="n">
        <v>2800</v>
      </c>
      <c r="E10" s="19" t="n">
        <v>1960</v>
      </c>
      <c r="F10" s="19" t="n">
        <v>1120</v>
      </c>
      <c r="G10" s="49" t="n">
        <v>0.8</v>
      </c>
      <c r="H10" s="19" t="n">
        <v>10000</v>
      </c>
      <c r="I10" s="9" t="inlineStr">
        <is>
          <t>Beispiel</t>
        </is>
      </c>
    </row>
    <row r="11">
      <c r="A11" s="9" t="inlineStr">
        <is>
          <t>RL-1</t>
        </is>
      </c>
      <c r="B11" s="9" t="inlineStr">
        <is>
          <t>1.4301</t>
        </is>
      </c>
      <c r="C11" s="49" t="n">
        <v>2</v>
      </c>
      <c r="D11" s="19" t="n">
        <v>5000</v>
      </c>
      <c r="E11" s="19" t="n">
        <v>3500</v>
      </c>
      <c r="F11" s="19" t="n">
        <v>2000</v>
      </c>
      <c r="G11" s="49" t="n">
        <v>0.4</v>
      </c>
      <c r="H11" s="19" t="n">
        <v>10000</v>
      </c>
      <c r="I11" s="9" t="inlineStr">
        <is>
          <t>Beispiel</t>
        </is>
      </c>
    </row>
    <row r="12">
      <c r="A12" s="9" t="inlineStr">
        <is>
          <t>RL-1</t>
        </is>
      </c>
      <c r="B12" s="9" t="inlineStr">
        <is>
          <t>1.4301</t>
        </is>
      </c>
      <c r="C12" s="49" t="n">
        <v>3</v>
      </c>
      <c r="D12" s="19" t="n">
        <v>3500</v>
      </c>
      <c r="E12" s="19" t="n">
        <v>2450</v>
      </c>
      <c r="F12" s="19" t="n">
        <v>1400</v>
      </c>
      <c r="G12" s="49" t="n">
        <v>0.6</v>
      </c>
      <c r="H12" s="19" t="n">
        <v>10000</v>
      </c>
      <c r="I12" s="9" t="inlineStr">
        <is>
          <t>Beispiel</t>
        </is>
      </c>
    </row>
    <row r="13">
      <c r="A13" s="9" t="inlineStr">
        <is>
          <t>RL-1</t>
        </is>
      </c>
      <c r="B13" s="9" t="inlineStr">
        <is>
          <t>1.4301</t>
        </is>
      </c>
      <c r="C13" s="49" t="n">
        <v>5</v>
      </c>
      <c r="D13" s="19" t="n">
        <v>2000</v>
      </c>
      <c r="E13" s="19" t="n">
        <v>1400</v>
      </c>
      <c r="F13" s="19" t="n">
        <v>800</v>
      </c>
      <c r="G13" s="49" t="n">
        <v>1</v>
      </c>
      <c r="H13" s="19" t="n">
        <v>10000</v>
      </c>
      <c r="I13" s="9" t="inlineStr">
        <is>
          <t>Beispiel</t>
        </is>
      </c>
    </row>
    <row r="14">
      <c r="A14" s="9" t="inlineStr">
        <is>
          <t>RL-1</t>
        </is>
      </c>
      <c r="B14" s="9" t="inlineStr">
        <is>
          <t>AW6060-T66</t>
        </is>
      </c>
      <c r="C14" s="49" t="n">
        <v>2</v>
      </c>
      <c r="D14" s="19" t="n">
        <v>7000</v>
      </c>
      <c r="E14" s="19" t="n">
        <v>4900</v>
      </c>
      <c r="F14" s="19" t="n">
        <v>2800</v>
      </c>
      <c r="G14" s="49" t="n">
        <v>0.3</v>
      </c>
      <c r="H14" s="19" t="n">
        <v>10000</v>
      </c>
      <c r="I14" s="9" t="inlineStr">
        <is>
          <t>Beispiel</t>
        </is>
      </c>
    </row>
    <row r="15">
      <c r="A15" s="9" t="inlineStr">
        <is>
          <t>RL-1</t>
        </is>
      </c>
      <c r="B15" s="9" t="inlineStr">
        <is>
          <t>AW6060-T66</t>
        </is>
      </c>
      <c r="C15" s="49" t="n">
        <v>3</v>
      </c>
      <c r="D15" s="19" t="n">
        <v>5000</v>
      </c>
      <c r="E15" s="19" t="n">
        <v>3500</v>
      </c>
      <c r="F15" s="19" t="n">
        <v>2000</v>
      </c>
      <c r="G15" s="49" t="n">
        <v>0.5</v>
      </c>
      <c r="H15" s="19" t="n">
        <v>10000</v>
      </c>
      <c r="I15" s="9" t="inlineStr">
        <is>
          <t>Beispiel</t>
        </is>
      </c>
    </row>
    <row r="16">
      <c r="A16" s="9" t="inlineStr">
        <is>
          <t>RL-1</t>
        </is>
      </c>
      <c r="B16" s="9" t="inlineStr">
        <is>
          <t>AW6060-T66</t>
        </is>
      </c>
      <c r="C16" s="49" t="n">
        <v>5</v>
      </c>
      <c r="D16" s="19" t="n">
        <v>3200</v>
      </c>
      <c r="E16" s="19" t="n">
        <v>2240</v>
      </c>
      <c r="F16" s="19" t="n">
        <v>1280</v>
      </c>
      <c r="G16" s="49" t="n">
        <v>0.8</v>
      </c>
      <c r="H16" s="19" t="n">
        <v>10000</v>
      </c>
      <c r="I16" s="9" t="inlineStr">
        <is>
          <t>Beispiel</t>
        </is>
      </c>
    </row>
    <row r="17">
      <c r="A17" s="9" t="n"/>
      <c r="B17" s="9" t="n"/>
      <c r="C17" s="49" t="n"/>
      <c r="D17" s="19" t="n"/>
      <c r="E17" s="19" t="n"/>
      <c r="F17" s="19" t="n"/>
      <c r="G17" s="49" t="n"/>
      <c r="H17" s="19" t="n"/>
      <c r="I17" s="9" t="n"/>
    </row>
    <row r="18">
      <c r="A18" s="9" t="n"/>
      <c r="B18" s="9" t="n"/>
      <c r="C18" s="49" t="n"/>
      <c r="D18" s="19" t="n"/>
      <c r="E18" s="19" t="n"/>
      <c r="F18" s="19" t="n"/>
      <c r="G18" s="49" t="n"/>
      <c r="H18" s="19" t="n"/>
      <c r="I18" s="9" t="n"/>
    </row>
    <row r="19">
      <c r="A19" s="9" t="n"/>
      <c r="B19" s="9" t="n"/>
      <c r="C19" s="49" t="n"/>
      <c r="D19" s="19" t="n"/>
      <c r="E19" s="19" t="n"/>
      <c r="F19" s="19" t="n"/>
      <c r="G19" s="49" t="n"/>
      <c r="H19" s="19" t="n"/>
      <c r="I19" s="9" t="n"/>
    </row>
    <row r="20">
      <c r="A20" s="9" t="n"/>
      <c r="B20" s="9" t="n"/>
      <c r="C20" s="49" t="n"/>
      <c r="D20" s="19" t="n"/>
      <c r="E20" s="19" t="n"/>
      <c r="F20" s="19" t="n"/>
      <c r="G20" s="49" t="n"/>
      <c r="H20" s="19" t="n"/>
      <c r="I20" s="9" t="n"/>
    </row>
    <row r="21">
      <c r="A21" s="9" t="n"/>
      <c r="B21" s="9" t="n"/>
      <c r="C21" s="49" t="n"/>
      <c r="D21" s="19" t="n"/>
      <c r="E21" s="19" t="n"/>
      <c r="F21" s="19" t="n"/>
      <c r="G21" s="49" t="n"/>
      <c r="H21" s="19" t="n"/>
      <c r="I21" s="9" t="n"/>
    </row>
    <row r="22">
      <c r="A22" s="9" t="n"/>
      <c r="B22" s="9" t="n"/>
      <c r="C22" s="49" t="n"/>
      <c r="D22" s="19" t="n"/>
      <c r="E22" s="19" t="n"/>
      <c r="F22" s="19" t="n"/>
      <c r="G22" s="49" t="n"/>
      <c r="H22" s="19" t="n"/>
      <c r="I22" s="9" t="n"/>
    </row>
    <row r="23">
      <c r="A23" s="9" t="n"/>
      <c r="B23" s="9" t="n"/>
      <c r="C23" s="49" t="n"/>
      <c r="D23" s="19" t="n"/>
      <c r="E23" s="19" t="n"/>
      <c r="F23" s="19" t="n"/>
      <c r="G23" s="49" t="n"/>
      <c r="H23" s="19" t="n"/>
      <c r="I23" s="9" t="n"/>
    </row>
    <row r="24">
      <c r="A24" s="9" t="n"/>
      <c r="B24" s="9" t="n"/>
      <c r="C24" s="49" t="n"/>
      <c r="D24" s="19" t="n"/>
      <c r="E24" s="19" t="n"/>
      <c r="F24" s="19" t="n"/>
      <c r="G24" s="49" t="n"/>
      <c r="H24" s="19" t="n"/>
      <c r="I24" s="9" t="n"/>
    </row>
    <row r="25">
      <c r="A25" s="9" t="n"/>
      <c r="B25" s="9" t="n"/>
      <c r="C25" s="49" t="n"/>
      <c r="D25" s="19" t="n"/>
      <c r="E25" s="19" t="n"/>
      <c r="F25" s="19" t="n"/>
      <c r="G25" s="49" t="n"/>
      <c r="H25" s="19" t="n"/>
      <c r="I25" s="9" t="n"/>
    </row>
    <row r="26">
      <c r="A26" s="9" t="n"/>
      <c r="B26" s="9" t="n"/>
      <c r="C26" s="49" t="n"/>
      <c r="D26" s="19" t="n"/>
      <c r="E26" s="19" t="n"/>
      <c r="F26" s="19" t="n"/>
      <c r="G26" s="49" t="n"/>
      <c r="H26" s="19" t="n"/>
      <c r="I26" s="9" t="n"/>
    </row>
    <row r="27">
      <c r="A27" s="9" t="n"/>
      <c r="B27" s="9" t="n"/>
      <c r="C27" s="49" t="n"/>
      <c r="D27" s="19" t="n"/>
      <c r="E27" s="19" t="n"/>
      <c r="F27" s="19" t="n"/>
      <c r="G27" s="49" t="n"/>
      <c r="H27" s="19" t="n"/>
      <c r="I27" s="9" t="n"/>
    </row>
    <row r="28">
      <c r="A28" s="9" t="n"/>
      <c r="B28" s="9" t="n"/>
      <c r="C28" s="49" t="n"/>
      <c r="D28" s="19" t="n"/>
      <c r="E28" s="19" t="n"/>
      <c r="F28" s="19" t="n"/>
      <c r="G28" s="49" t="n"/>
      <c r="H28" s="19" t="n"/>
      <c r="I28" s="9" t="n"/>
    </row>
    <row r="29">
      <c r="A29" s="9" t="n"/>
      <c r="B29" s="9" t="n"/>
      <c r="C29" s="49" t="n"/>
      <c r="D29" s="19" t="n"/>
      <c r="E29" s="19" t="n"/>
      <c r="F29" s="19" t="n"/>
      <c r="G29" s="49" t="n"/>
      <c r="H29" s="19" t="n"/>
      <c r="I29" s="9" t="n"/>
    </row>
    <row r="30">
      <c r="A30" s="9" t="n"/>
      <c r="B30" s="9" t="n"/>
      <c r="C30" s="49" t="n"/>
      <c r="D30" s="19" t="n"/>
      <c r="E30" s="19" t="n"/>
      <c r="F30" s="19" t="n"/>
      <c r="G30" s="49" t="n"/>
      <c r="H30" s="19" t="n"/>
      <c r="I30" s="9" t="n"/>
    </row>
    <row r="31">
      <c r="A31" s="9" t="n"/>
      <c r="B31" s="9" t="n"/>
      <c r="C31" s="49" t="n"/>
      <c r="D31" s="19" t="n"/>
      <c r="E31" s="19" t="n"/>
      <c r="F31" s="19" t="n"/>
      <c r="G31" s="49" t="n"/>
      <c r="H31" s="19" t="n"/>
      <c r="I31" s="9" t="n"/>
    </row>
    <row r="32">
      <c r="A32" s="9" t="n"/>
      <c r="B32" s="9" t="n"/>
      <c r="C32" s="49" t="n"/>
      <c r="D32" s="19" t="n"/>
      <c r="E32" s="19" t="n"/>
      <c r="F32" s="19" t="n"/>
      <c r="G32" s="49" t="n"/>
      <c r="H32" s="19" t="n"/>
      <c r="I32" s="9" t="n"/>
    </row>
    <row r="33">
      <c r="A33" s="9" t="n"/>
      <c r="B33" s="9" t="n"/>
      <c r="C33" s="49" t="n"/>
      <c r="D33" s="19" t="n"/>
      <c r="E33" s="19" t="n"/>
      <c r="F33" s="19" t="n"/>
      <c r="G33" s="49" t="n"/>
      <c r="H33" s="19" t="n"/>
      <c r="I33" s="9" t="n"/>
    </row>
    <row r="34">
      <c r="A34" s="9" t="n"/>
      <c r="B34" s="9" t="n"/>
      <c r="C34" s="49" t="n"/>
      <c r="D34" s="19" t="n"/>
      <c r="E34" s="19" t="n"/>
      <c r="F34" s="19" t="n"/>
      <c r="G34" s="49" t="n"/>
      <c r="H34" s="19" t="n"/>
      <c r="I34" s="9" t="n"/>
    </row>
    <row r="35">
      <c r="A35" s="9" t="n"/>
      <c r="B35" s="9" t="n"/>
      <c r="C35" s="49" t="n"/>
      <c r="D35" s="19" t="n"/>
      <c r="E35" s="19" t="n"/>
      <c r="F35" s="19" t="n"/>
      <c r="G35" s="49" t="n"/>
      <c r="H35" s="19" t="n"/>
      <c r="I35" s="9" t="n"/>
    </row>
    <row r="36">
      <c r="A36" s="9" t="n"/>
      <c r="B36" s="9" t="n"/>
      <c r="C36" s="49" t="n"/>
      <c r="D36" s="19" t="n"/>
      <c r="E36" s="19" t="n"/>
      <c r="F36" s="19" t="n"/>
      <c r="G36" s="49" t="n"/>
      <c r="H36" s="19" t="n"/>
      <c r="I36" s="9" t="n"/>
    </row>
    <row r="37">
      <c r="A37" s="9" t="n"/>
      <c r="B37" s="9" t="n"/>
      <c r="C37" s="49" t="n"/>
      <c r="D37" s="19" t="n"/>
      <c r="E37" s="19" t="n"/>
      <c r="F37" s="19" t="n"/>
      <c r="G37" s="49" t="n"/>
      <c r="H37" s="19" t="n"/>
      <c r="I37" s="9" t="n"/>
    </row>
    <row r="38">
      <c r="A38" s="9" t="n"/>
      <c r="B38" s="9" t="n"/>
      <c r="C38" s="49" t="n"/>
      <c r="D38" s="19" t="n"/>
      <c r="E38" s="19" t="n"/>
      <c r="F38" s="19" t="n"/>
      <c r="G38" s="49" t="n"/>
      <c r="H38" s="19" t="n"/>
      <c r="I38" s="9" t="n"/>
    </row>
    <row r="39">
      <c r="A39" s="9" t="n"/>
      <c r="B39" s="9" t="n"/>
      <c r="C39" s="49" t="n"/>
      <c r="D39" s="19" t="n"/>
      <c r="E39" s="19" t="n"/>
      <c r="F39" s="19" t="n"/>
      <c r="G39" s="49" t="n"/>
      <c r="H39" s="19" t="n"/>
      <c r="I39" s="9" t="n"/>
    </row>
    <row r="40">
      <c r="A40" s="9" t="n"/>
      <c r="B40" s="9" t="n"/>
      <c r="C40" s="49" t="n"/>
      <c r="D40" s="19" t="n"/>
      <c r="E40" s="19" t="n"/>
      <c r="F40" s="19" t="n"/>
      <c r="G40" s="49" t="n"/>
      <c r="H40" s="19" t="n"/>
      <c r="I40" s="9" t="n"/>
    </row>
    <row r="41">
      <c r="A41" s="9" t="n"/>
      <c r="B41" s="9" t="n"/>
      <c r="C41" s="49" t="n"/>
      <c r="D41" s="19" t="n"/>
      <c r="E41" s="19" t="n"/>
      <c r="F41" s="19" t="n"/>
      <c r="G41" s="49" t="n"/>
      <c r="H41" s="19" t="n"/>
      <c r="I41" s="9" t="n"/>
    </row>
    <row r="42">
      <c r="A42" s="9" t="n"/>
      <c r="B42" s="9" t="n"/>
      <c r="C42" s="49" t="n"/>
      <c r="D42" s="19" t="n"/>
      <c r="E42" s="19" t="n"/>
      <c r="F42" s="19" t="n"/>
      <c r="G42" s="49" t="n"/>
      <c r="H42" s="19" t="n"/>
      <c r="I42" s="9" t="n"/>
    </row>
    <row r="43">
      <c r="A43" s="9" t="n"/>
      <c r="B43" s="9" t="n"/>
      <c r="C43" s="49" t="n"/>
      <c r="D43" s="19" t="n"/>
      <c r="E43" s="19" t="n"/>
      <c r="F43" s="19" t="n"/>
      <c r="G43" s="49" t="n"/>
      <c r="H43" s="19" t="n"/>
      <c r="I43" s="9" t="n"/>
    </row>
    <row r="44">
      <c r="A44" s="9" t="n"/>
      <c r="B44" s="9" t="n"/>
      <c r="C44" s="49" t="n"/>
      <c r="D44" s="19" t="n"/>
      <c r="E44" s="19" t="n"/>
      <c r="F44" s="19" t="n"/>
      <c r="G44" s="49" t="n"/>
      <c r="H44" s="19" t="n"/>
      <c r="I44" s="9" t="n"/>
    </row>
    <row r="45">
      <c r="A45" s="9" t="n"/>
      <c r="B45" s="9" t="n"/>
      <c r="C45" s="49" t="n"/>
      <c r="D45" s="19" t="n"/>
      <c r="E45" s="19" t="n"/>
      <c r="F45" s="19" t="n"/>
      <c r="G45" s="49" t="n"/>
      <c r="H45" s="19" t="n"/>
      <c r="I45" s="9" t="n"/>
    </row>
    <row r="46">
      <c r="A46" s="9" t="n"/>
      <c r="B46" s="9" t="n"/>
      <c r="C46" s="49" t="n"/>
      <c r="D46" s="19" t="n"/>
      <c r="E46" s="19" t="n"/>
      <c r="F46" s="19" t="n"/>
      <c r="G46" s="49" t="n"/>
      <c r="H46" s="19" t="n"/>
      <c r="I46" s="9" t="n"/>
    </row>
    <row r="47">
      <c r="A47" s="9" t="n"/>
      <c r="B47" s="9" t="n"/>
      <c r="C47" s="49" t="n"/>
      <c r="D47" s="19" t="n"/>
      <c r="E47" s="19" t="n"/>
      <c r="F47" s="19" t="n"/>
      <c r="G47" s="49" t="n"/>
      <c r="H47" s="19" t="n"/>
      <c r="I47" s="9" t="n"/>
    </row>
    <row r="48">
      <c r="A48" s="9" t="n"/>
      <c r="B48" s="9" t="n"/>
      <c r="C48" s="49" t="n"/>
      <c r="D48" s="19" t="n"/>
      <c r="E48" s="19" t="n"/>
      <c r="F48" s="19" t="n"/>
      <c r="G48" s="49" t="n"/>
      <c r="H48" s="19" t="n"/>
      <c r="I48" s="9" t="n"/>
    </row>
    <row r="49">
      <c r="A49" s="9" t="n"/>
      <c r="B49" s="9" t="n"/>
      <c r="C49" s="49" t="n"/>
      <c r="D49" s="19" t="n"/>
      <c r="E49" s="19" t="n"/>
      <c r="F49" s="19" t="n"/>
      <c r="G49" s="49" t="n"/>
      <c r="H49" s="19" t="n"/>
      <c r="I49" s="9" t="n"/>
    </row>
    <row r="50">
      <c r="A50" s="9" t="n"/>
      <c r="B50" s="9" t="n"/>
      <c r="C50" s="49" t="n"/>
      <c r="D50" s="19" t="n"/>
      <c r="E50" s="19" t="n"/>
      <c r="F50" s="19" t="n"/>
      <c r="G50" s="49" t="n"/>
      <c r="H50" s="19" t="n"/>
      <c r="I50" s="9" t="n"/>
    </row>
    <row r="51">
      <c r="A51" s="9" t="n"/>
      <c r="B51" s="9" t="n"/>
      <c r="C51" s="49" t="n"/>
      <c r="D51" s="19" t="n"/>
      <c r="E51" s="19" t="n"/>
      <c r="F51" s="19" t="n"/>
      <c r="G51" s="49" t="n"/>
      <c r="H51" s="19" t="n"/>
      <c r="I51" s="9" t="n"/>
    </row>
    <row r="52">
      <c r="A52" s="9" t="n"/>
      <c r="B52" s="9" t="n"/>
      <c r="C52" s="49" t="n"/>
      <c r="D52" s="19" t="n"/>
      <c r="E52" s="19" t="n"/>
      <c r="F52" s="19" t="n"/>
      <c r="G52" s="49" t="n"/>
      <c r="H52" s="19" t="n"/>
      <c r="I52" s="9" t="n"/>
    </row>
    <row r="53">
      <c r="A53" s="9" t="n"/>
      <c r="B53" s="9" t="n"/>
      <c r="C53" s="49" t="n"/>
      <c r="D53" s="19" t="n"/>
      <c r="E53" s="19" t="n"/>
      <c r="F53" s="19" t="n"/>
      <c r="G53" s="49" t="n"/>
      <c r="H53" s="19" t="n"/>
      <c r="I53" s="9" t="n"/>
    </row>
    <row r="54">
      <c r="A54" s="9" t="n"/>
      <c r="B54" s="9" t="n"/>
      <c r="C54" s="49" t="n"/>
      <c r="D54" s="19" t="n"/>
      <c r="E54" s="19" t="n"/>
      <c r="F54" s="19" t="n"/>
      <c r="G54" s="49" t="n"/>
      <c r="H54" s="19" t="n"/>
      <c r="I54" s="9" t="n"/>
    </row>
    <row r="55">
      <c r="A55" s="9" t="n"/>
      <c r="B55" s="9" t="n"/>
      <c r="C55" s="49" t="n"/>
      <c r="D55" s="19" t="n"/>
      <c r="E55" s="19" t="n"/>
      <c r="F55" s="19" t="n"/>
      <c r="G55" s="49" t="n"/>
      <c r="H55" s="19" t="n"/>
      <c r="I55" s="9" t="n"/>
    </row>
    <row r="56">
      <c r="A56" s="9" t="n"/>
      <c r="B56" s="9" t="n"/>
      <c r="C56" s="49" t="n"/>
      <c r="D56" s="19" t="n"/>
      <c r="E56" s="19" t="n"/>
      <c r="F56" s="19" t="n"/>
      <c r="G56" s="49" t="n"/>
      <c r="H56" s="19" t="n"/>
      <c r="I56" s="9" t="n"/>
    </row>
    <row r="57">
      <c r="A57" s="9" t="n"/>
      <c r="B57" s="9" t="n"/>
      <c r="C57" s="49" t="n"/>
      <c r="D57" s="19" t="n"/>
      <c r="E57" s="19" t="n"/>
      <c r="F57" s="19" t="n"/>
      <c r="G57" s="49" t="n"/>
      <c r="H57" s="19" t="n"/>
      <c r="I57" s="9" t="n"/>
    </row>
    <row r="58">
      <c r="A58" s="9" t="n"/>
      <c r="B58" s="9" t="n"/>
      <c r="C58" s="49" t="n"/>
      <c r="D58" s="19" t="n"/>
      <c r="E58" s="19" t="n"/>
      <c r="F58" s="19" t="n"/>
      <c r="G58" s="49" t="n"/>
      <c r="H58" s="19" t="n"/>
      <c r="I58" s="9" t="n"/>
    </row>
    <row r="59">
      <c r="A59" s="9" t="n"/>
      <c r="B59" s="9" t="n"/>
      <c r="C59" s="49" t="n"/>
      <c r="D59" s="19" t="n"/>
      <c r="E59" s="19" t="n"/>
      <c r="F59" s="19" t="n"/>
      <c r="G59" s="49" t="n"/>
      <c r="H59" s="19" t="n"/>
      <c r="I59" s="9" t="n"/>
    </row>
    <row r="60">
      <c r="A60" s="9" t="n"/>
      <c r="B60" s="9" t="n"/>
      <c r="C60" s="49" t="n"/>
      <c r="D60" s="19" t="n"/>
      <c r="E60" s="19" t="n"/>
      <c r="F60" s="19" t="n"/>
      <c r="G60" s="49" t="n"/>
      <c r="H60" s="19" t="n"/>
      <c r="I60" s="9" t="n"/>
    </row>
    <row r="61">
      <c r="A61" s="9" t="n"/>
      <c r="B61" s="9" t="n"/>
      <c r="C61" s="49" t="n"/>
      <c r="D61" s="19" t="n"/>
      <c r="E61" s="19" t="n"/>
      <c r="F61" s="19" t="n"/>
      <c r="G61" s="49" t="n"/>
      <c r="H61" s="19" t="n"/>
      <c r="I61" s="9" t="n"/>
    </row>
    <row r="62">
      <c r="A62" s="9" t="n"/>
      <c r="B62" s="9" t="n"/>
      <c r="C62" s="49" t="n"/>
      <c r="D62" s="19" t="n"/>
      <c r="E62" s="19" t="n"/>
      <c r="F62" s="19" t="n"/>
      <c r="G62" s="49" t="n"/>
      <c r="H62" s="19" t="n"/>
      <c r="I62" s="9" t="n"/>
    </row>
    <row r="63">
      <c r="A63" s="9" t="n"/>
      <c r="B63" s="9" t="n"/>
      <c r="C63" s="49" t="n"/>
      <c r="D63" s="19" t="n"/>
      <c r="E63" s="19" t="n"/>
      <c r="F63" s="19" t="n"/>
      <c r="G63" s="49" t="n"/>
      <c r="H63" s="19" t="n"/>
      <c r="I63" s="9" t="n"/>
    </row>
    <row r="64">
      <c r="A64" s="9" t="n"/>
      <c r="B64" s="9" t="n"/>
      <c r="C64" s="49" t="n"/>
      <c r="D64" s="19" t="n"/>
      <c r="E64" s="19" t="n"/>
      <c r="F64" s="19" t="n"/>
      <c r="G64" s="49" t="n"/>
      <c r="H64" s="19" t="n"/>
      <c r="I64" s="9" t="n"/>
    </row>
    <row r="65">
      <c r="A65" s="9" t="n"/>
      <c r="B65" s="9" t="n"/>
      <c r="C65" s="49" t="n"/>
      <c r="D65" s="19" t="n"/>
      <c r="E65" s="19" t="n"/>
      <c r="F65" s="19" t="n"/>
      <c r="G65" s="49" t="n"/>
      <c r="H65" s="19" t="n"/>
      <c r="I65" s="9" t="n"/>
    </row>
    <row r="66">
      <c r="A66" s="9" t="n"/>
      <c r="B66" s="9" t="n"/>
      <c r="C66" s="49" t="n"/>
      <c r="D66" s="19" t="n"/>
      <c r="E66" s="19" t="n"/>
      <c r="F66" s="19" t="n"/>
      <c r="G66" s="49" t="n"/>
      <c r="H66" s="19" t="n"/>
      <c r="I66" s="9" t="n"/>
    </row>
    <row r="67">
      <c r="A67" s="9" t="n"/>
      <c r="B67" s="9" t="n"/>
      <c r="C67" s="49" t="n"/>
      <c r="D67" s="19" t="n"/>
      <c r="E67" s="19" t="n"/>
      <c r="F67" s="19" t="n"/>
      <c r="G67" s="49" t="n"/>
      <c r="H67" s="19" t="n"/>
      <c r="I67" s="9" t="n"/>
    </row>
    <row r="68">
      <c r="A68" s="9" t="n"/>
      <c r="B68" s="9" t="n"/>
      <c r="C68" s="49" t="n"/>
      <c r="D68" s="19" t="n"/>
      <c r="E68" s="19" t="n"/>
      <c r="F68" s="19" t="n"/>
      <c r="G68" s="49" t="n"/>
      <c r="H68" s="19" t="n"/>
      <c r="I68" s="9" t="n"/>
    </row>
    <row r="69">
      <c r="A69" s="9" t="n"/>
      <c r="B69" s="9" t="n"/>
      <c r="C69" s="49" t="n"/>
      <c r="D69" s="19" t="n"/>
      <c r="E69" s="19" t="n"/>
      <c r="F69" s="19" t="n"/>
      <c r="G69" s="49" t="n"/>
      <c r="H69" s="19" t="n"/>
      <c r="I69" s="9" t="n"/>
    </row>
    <row r="70">
      <c r="A70" s="9" t="n"/>
      <c r="B70" s="9" t="n"/>
      <c r="C70" s="49" t="n"/>
      <c r="D70" s="19" t="n"/>
      <c r="E70" s="19" t="n"/>
      <c r="F70" s="19" t="n"/>
      <c r="G70" s="49" t="n"/>
      <c r="H70" s="19" t="n"/>
      <c r="I70" s="9" t="n"/>
    </row>
    <row r="71">
      <c r="A71" s="9" t="n"/>
      <c r="B71" s="9" t="n"/>
      <c r="C71" s="49" t="n"/>
      <c r="D71" s="19" t="n"/>
      <c r="E71" s="19" t="n"/>
      <c r="F71" s="19" t="n"/>
      <c r="G71" s="49" t="n"/>
      <c r="H71" s="19" t="n"/>
      <c r="I71" s="9" t="n"/>
    </row>
    <row r="72">
      <c r="A72" s="9" t="n"/>
      <c r="B72" s="9" t="n"/>
      <c r="C72" s="49" t="n"/>
      <c r="D72" s="19" t="n"/>
      <c r="E72" s="19" t="n"/>
      <c r="F72" s="19" t="n"/>
      <c r="G72" s="49" t="n"/>
      <c r="H72" s="19" t="n"/>
      <c r="I72" s="9" t="n"/>
    </row>
    <row r="73">
      <c r="A73" s="9" t="n"/>
      <c r="B73" s="9" t="n"/>
      <c r="C73" s="49" t="n"/>
      <c r="D73" s="19" t="n"/>
      <c r="E73" s="19" t="n"/>
      <c r="F73" s="19" t="n"/>
      <c r="G73" s="49" t="n"/>
      <c r="H73" s="19" t="n"/>
      <c r="I73" s="9" t="n"/>
    </row>
    <row r="74">
      <c r="A74" s="9" t="n"/>
      <c r="B74" s="9" t="n"/>
      <c r="C74" s="49" t="n"/>
      <c r="D74" s="19" t="n"/>
      <c r="E74" s="19" t="n"/>
      <c r="F74" s="19" t="n"/>
      <c r="G74" s="49" t="n"/>
      <c r="H74" s="19" t="n"/>
      <c r="I74" s="9" t="n"/>
    </row>
    <row r="75">
      <c r="A75" s="9" t="n"/>
      <c r="B75" s="9" t="n"/>
      <c r="C75" s="49" t="n"/>
      <c r="D75" s="19" t="n"/>
      <c r="E75" s="19" t="n"/>
      <c r="F75" s="19" t="n"/>
      <c r="G75" s="49" t="n"/>
      <c r="H75" s="19" t="n"/>
      <c r="I75" s="9" t="n"/>
    </row>
    <row r="76">
      <c r="A76" s="9" t="n"/>
      <c r="B76" s="9" t="n"/>
      <c r="C76" s="49" t="n"/>
      <c r="D76" s="19" t="n"/>
      <c r="E76" s="19" t="n"/>
      <c r="F76" s="19" t="n"/>
      <c r="G76" s="49" t="n"/>
      <c r="H76" s="19" t="n"/>
      <c r="I76" s="9" t="n"/>
    </row>
    <row r="77">
      <c r="A77" s="9" t="n"/>
      <c r="B77" s="9" t="n"/>
      <c r="C77" s="49" t="n"/>
      <c r="D77" s="19" t="n"/>
      <c r="E77" s="19" t="n"/>
      <c r="F77" s="19" t="n"/>
      <c r="G77" s="49" t="n"/>
      <c r="H77" s="19" t="n"/>
      <c r="I77" s="9" t="n"/>
    </row>
    <row r="78">
      <c r="A78" s="9" t="n"/>
      <c r="B78" s="9" t="n"/>
      <c r="C78" s="49" t="n"/>
      <c r="D78" s="19" t="n"/>
      <c r="E78" s="19" t="n"/>
      <c r="F78" s="19" t="n"/>
      <c r="G78" s="49" t="n"/>
      <c r="H78" s="19" t="n"/>
      <c r="I78" s="9" t="n"/>
    </row>
    <row r="79">
      <c r="A79" s="9" t="n"/>
      <c r="B79" s="9" t="n"/>
      <c r="C79" s="49" t="n"/>
      <c r="D79" s="19" t="n"/>
      <c r="E79" s="19" t="n"/>
      <c r="F79" s="19" t="n"/>
      <c r="G79" s="49" t="n"/>
      <c r="H79" s="19" t="n"/>
      <c r="I79" s="9" t="n"/>
    </row>
    <row r="80">
      <c r="A80" s="9" t="n"/>
      <c r="B80" s="9" t="n"/>
      <c r="C80" s="49" t="n"/>
      <c r="D80" s="19" t="n"/>
      <c r="E80" s="19" t="n"/>
      <c r="F80" s="19" t="n"/>
      <c r="G80" s="49" t="n"/>
      <c r="H80" s="19" t="n"/>
      <c r="I80" s="9" t="n"/>
    </row>
    <row r="81">
      <c r="A81" s="9" t="n"/>
      <c r="B81" s="9" t="n"/>
      <c r="C81" s="49" t="n"/>
      <c r="D81" s="19" t="n"/>
      <c r="E81" s="19" t="n"/>
      <c r="F81" s="19" t="n"/>
      <c r="G81" s="49" t="n"/>
      <c r="H81" s="19" t="n"/>
      <c r="I81" s="9" t="n"/>
    </row>
    <row r="82">
      <c r="A82" s="9" t="n"/>
      <c r="B82" s="9" t="n"/>
      <c r="C82" s="49" t="n"/>
      <c r="D82" s="19" t="n"/>
      <c r="E82" s="19" t="n"/>
      <c r="F82" s="19" t="n"/>
      <c r="G82" s="49" t="n"/>
      <c r="H82" s="19" t="n"/>
      <c r="I82" s="9" t="n"/>
    </row>
    <row r="83">
      <c r="A83" s="9" t="n"/>
      <c r="B83" s="9" t="n"/>
      <c r="C83" s="49" t="n"/>
      <c r="D83" s="19" t="n"/>
      <c r="E83" s="19" t="n"/>
      <c r="F83" s="19" t="n"/>
      <c r="G83" s="49" t="n"/>
      <c r="H83" s="19" t="n"/>
      <c r="I83" s="9" t="n"/>
    </row>
    <row r="84">
      <c r="A84" s="9" t="n"/>
      <c r="B84" s="9" t="n"/>
      <c r="C84" s="49" t="n"/>
      <c r="D84" s="19" t="n"/>
      <c r="E84" s="19" t="n"/>
      <c r="F84" s="19" t="n"/>
      <c r="G84" s="49" t="n"/>
      <c r="H84" s="19" t="n"/>
      <c r="I84" s="9" t="n"/>
    </row>
    <row r="85">
      <c r="A85" s="9" t="n"/>
      <c r="B85" s="9" t="n"/>
      <c r="C85" s="49" t="n"/>
      <c r="D85" s="19" t="n"/>
      <c r="E85" s="19" t="n"/>
      <c r="F85" s="19" t="n"/>
      <c r="G85" s="49" t="n"/>
      <c r="H85" s="19" t="n"/>
      <c r="I85" s="9" t="n"/>
    </row>
    <row r="86">
      <c r="A86" s="9" t="n"/>
      <c r="B86" s="9" t="n"/>
      <c r="C86" s="49" t="n"/>
      <c r="D86" s="19" t="n"/>
      <c r="E86" s="19" t="n"/>
      <c r="F86" s="19" t="n"/>
      <c r="G86" s="49" t="n"/>
      <c r="H86" s="19" t="n"/>
      <c r="I86" s="9" t="n"/>
    </row>
    <row r="87">
      <c r="A87" s="9" t="n"/>
      <c r="B87" s="9" t="n"/>
      <c r="C87" s="49" t="n"/>
      <c r="D87" s="19" t="n"/>
      <c r="E87" s="19" t="n"/>
      <c r="F87" s="19" t="n"/>
      <c r="G87" s="49" t="n"/>
      <c r="H87" s="19" t="n"/>
      <c r="I87" s="9" t="n"/>
    </row>
    <row r="88">
      <c r="A88" s="9" t="n"/>
      <c r="B88" s="9" t="n"/>
      <c r="C88" s="49" t="n"/>
      <c r="D88" s="19" t="n"/>
      <c r="E88" s="19" t="n"/>
      <c r="F88" s="19" t="n"/>
      <c r="G88" s="49" t="n"/>
      <c r="H88" s="19" t="n"/>
      <c r="I88" s="9" t="n"/>
    </row>
    <row r="89">
      <c r="A89" s="9" t="n"/>
      <c r="B89" s="9" t="n"/>
      <c r="C89" s="49" t="n"/>
      <c r="D89" s="19" t="n"/>
      <c r="E89" s="19" t="n"/>
      <c r="F89" s="19" t="n"/>
      <c r="G89" s="49" t="n"/>
      <c r="H89" s="19" t="n"/>
      <c r="I89" s="9" t="n"/>
    </row>
    <row r="90">
      <c r="A90" s="9" t="n"/>
      <c r="B90" s="9" t="n"/>
      <c r="C90" s="49" t="n"/>
      <c r="D90" s="19" t="n"/>
      <c r="E90" s="19" t="n"/>
      <c r="F90" s="19" t="n"/>
      <c r="G90" s="49" t="n"/>
      <c r="H90" s="19" t="n"/>
      <c r="I90" s="9" t="n"/>
    </row>
    <row r="91">
      <c r="A91" s="9" t="n"/>
      <c r="B91" s="9" t="n"/>
      <c r="C91" s="49" t="n"/>
      <c r="D91" s="19" t="n"/>
      <c r="E91" s="19" t="n"/>
      <c r="F91" s="19" t="n"/>
      <c r="G91" s="49" t="n"/>
      <c r="H91" s="19" t="n"/>
      <c r="I91" s="9" t="n"/>
    </row>
    <row r="92">
      <c r="A92" s="9" t="n"/>
      <c r="B92" s="9" t="n"/>
      <c r="C92" s="49" t="n"/>
      <c r="D92" s="19" t="n"/>
      <c r="E92" s="19" t="n"/>
      <c r="F92" s="19" t="n"/>
      <c r="G92" s="49" t="n"/>
      <c r="H92" s="19" t="n"/>
      <c r="I92" s="9" t="n"/>
    </row>
    <row r="93">
      <c r="A93" s="9" t="n"/>
      <c r="B93" s="9" t="n"/>
      <c r="C93" s="49" t="n"/>
      <c r="D93" s="19" t="n"/>
      <c r="E93" s="19" t="n"/>
      <c r="F93" s="19" t="n"/>
      <c r="G93" s="49" t="n"/>
      <c r="H93" s="19" t="n"/>
      <c r="I93" s="9" t="n"/>
    </row>
    <row r="94">
      <c r="A94" s="9" t="n"/>
      <c r="B94" s="9" t="n"/>
      <c r="C94" s="49" t="n"/>
      <c r="D94" s="19" t="n"/>
      <c r="E94" s="19" t="n"/>
      <c r="F94" s="19" t="n"/>
      <c r="G94" s="49" t="n"/>
      <c r="H94" s="19" t="n"/>
      <c r="I94" s="9" t="n"/>
    </row>
    <row r="95">
      <c r="A95" s="9" t="n"/>
      <c r="B95" s="9" t="n"/>
      <c r="C95" s="49" t="n"/>
      <c r="D95" s="19" t="n"/>
      <c r="E95" s="19" t="n"/>
      <c r="F95" s="19" t="n"/>
      <c r="G95" s="49" t="n"/>
      <c r="H95" s="19" t="n"/>
      <c r="I95" s="9" t="n"/>
    </row>
    <row r="96">
      <c r="A96" s="9" t="n"/>
      <c r="B96" s="9" t="n"/>
      <c r="C96" s="49" t="n"/>
      <c r="D96" s="19" t="n"/>
      <c r="E96" s="19" t="n"/>
      <c r="F96" s="19" t="n"/>
      <c r="G96" s="49" t="n"/>
      <c r="H96" s="19" t="n"/>
      <c r="I96" s="9" t="n"/>
    </row>
    <row r="97">
      <c r="A97" s="9" t="n"/>
      <c r="B97" s="9" t="n"/>
      <c r="C97" s="49" t="n"/>
      <c r="D97" s="19" t="n"/>
      <c r="E97" s="19" t="n"/>
      <c r="F97" s="19" t="n"/>
      <c r="G97" s="49" t="n"/>
      <c r="H97" s="19" t="n"/>
      <c r="I97" s="9" t="n"/>
    </row>
    <row r="98">
      <c r="A98" s="9" t="n"/>
      <c r="B98" s="9" t="n"/>
      <c r="C98" s="49" t="n"/>
      <c r="D98" s="19" t="n"/>
      <c r="E98" s="19" t="n"/>
      <c r="F98" s="19" t="n"/>
      <c r="G98" s="49" t="n"/>
      <c r="H98" s="19" t="n"/>
      <c r="I98" s="9" t="n"/>
    </row>
    <row r="99">
      <c r="A99" s="9" t="n"/>
      <c r="B99" s="9" t="n"/>
      <c r="C99" s="49" t="n"/>
      <c r="D99" s="19" t="n"/>
      <c r="E99" s="19" t="n"/>
      <c r="F99" s="19" t="n"/>
      <c r="G99" s="49" t="n"/>
      <c r="H99" s="19" t="n"/>
      <c r="I99" s="9" t="n"/>
    </row>
    <row r="100">
      <c r="A100" s="9" t="n"/>
      <c r="B100" s="9" t="n"/>
      <c r="C100" s="49" t="n"/>
      <c r="D100" s="19" t="n"/>
      <c r="E100" s="19" t="n"/>
      <c r="F100" s="19" t="n"/>
      <c r="G100" s="49" t="n"/>
      <c r="H100" s="19" t="n"/>
      <c r="I100" s="9" t="n"/>
    </row>
    <row r="101">
      <c r="A101" s="9" t="n"/>
      <c r="B101" s="9" t="n"/>
      <c r="C101" s="49" t="n"/>
      <c r="D101" s="19" t="n"/>
      <c r="E101" s="19" t="n"/>
      <c r="F101" s="19" t="n"/>
      <c r="G101" s="49" t="n"/>
      <c r="H101" s="19" t="n"/>
      <c r="I101" s="9" t="n"/>
    </row>
    <row r="102">
      <c r="A102" s="9" t="n"/>
      <c r="B102" s="9" t="n"/>
      <c r="C102" s="49" t="n"/>
      <c r="D102" s="19" t="n"/>
      <c r="E102" s="19" t="n"/>
      <c r="F102" s="19" t="n"/>
      <c r="G102" s="49" t="n"/>
      <c r="H102" s="19" t="n"/>
      <c r="I102" s="9" t="n"/>
    </row>
    <row r="103">
      <c r="A103" s="9" t="n"/>
      <c r="B103" s="9" t="n"/>
      <c r="C103" s="49" t="n"/>
      <c r="D103" s="19" t="n"/>
      <c r="E103" s="19" t="n"/>
      <c r="F103" s="19" t="n"/>
      <c r="G103" s="49" t="n"/>
      <c r="H103" s="19" t="n"/>
      <c r="I103" s="9" t="n"/>
    </row>
    <row r="104">
      <c r="A104" s="9" t="n"/>
      <c r="B104" s="9" t="n"/>
      <c r="C104" s="49" t="n"/>
      <c r="D104" s="19" t="n"/>
      <c r="E104" s="19" t="n"/>
      <c r="F104" s="19" t="n"/>
      <c r="G104" s="49" t="n"/>
      <c r="H104" s="19" t="n"/>
      <c r="I104" s="9" t="n"/>
    </row>
    <row r="105">
      <c r="A105" s="9" t="n"/>
      <c r="B105" s="9" t="n"/>
      <c r="C105" s="49" t="n"/>
      <c r="D105" s="19" t="n"/>
      <c r="E105" s="19" t="n"/>
      <c r="F105" s="19" t="n"/>
      <c r="G105" s="49" t="n"/>
      <c r="H105" s="19" t="n"/>
      <c r="I105" s="9" t="n"/>
    </row>
    <row r="106">
      <c r="A106" s="9" t="n"/>
      <c r="B106" s="9" t="n"/>
      <c r="C106" s="49" t="n"/>
      <c r="D106" s="19" t="n"/>
      <c r="E106" s="19" t="n"/>
      <c r="F106" s="19" t="n"/>
      <c r="G106" s="49" t="n"/>
      <c r="H106" s="19" t="n"/>
      <c r="I106" s="9" t="n"/>
    </row>
    <row r="107">
      <c r="A107" s="9" t="n"/>
      <c r="B107" s="9" t="n"/>
      <c r="C107" s="49" t="n"/>
      <c r="D107" s="19" t="n"/>
      <c r="E107" s="19" t="n"/>
      <c r="F107" s="19" t="n"/>
      <c r="G107" s="49" t="n"/>
      <c r="H107" s="19" t="n"/>
      <c r="I107" s="9" t="n"/>
    </row>
    <row r="108">
      <c r="A108" s="9" t="n"/>
      <c r="B108" s="9" t="n"/>
      <c r="C108" s="49" t="n"/>
      <c r="D108" s="19" t="n"/>
      <c r="E108" s="19" t="n"/>
      <c r="F108" s="19" t="n"/>
      <c r="G108" s="49" t="n"/>
      <c r="H108" s="19" t="n"/>
      <c r="I108" s="9" t="n"/>
    </row>
    <row r="109">
      <c r="A109" s="9" t="n"/>
      <c r="B109" s="9" t="n"/>
      <c r="C109" s="49" t="n"/>
      <c r="D109" s="19" t="n"/>
      <c r="E109" s="19" t="n"/>
      <c r="F109" s="19" t="n"/>
      <c r="G109" s="49" t="n"/>
      <c r="H109" s="19" t="n"/>
      <c r="I109" s="9" t="n"/>
    </row>
    <row r="110">
      <c r="A110" s="9" t="n"/>
      <c r="B110" s="9" t="n"/>
      <c r="C110" s="49" t="n"/>
      <c r="D110" s="19" t="n"/>
      <c r="E110" s="19" t="n"/>
      <c r="F110" s="19" t="n"/>
      <c r="G110" s="49" t="n"/>
      <c r="H110" s="19" t="n"/>
      <c r="I110" s="9" t="n"/>
    </row>
    <row r="111">
      <c r="A111" s="9" t="n"/>
      <c r="B111" s="9" t="n"/>
      <c r="C111" s="49" t="n"/>
      <c r="D111" s="19" t="n"/>
      <c r="E111" s="19" t="n"/>
      <c r="F111" s="19" t="n"/>
      <c r="G111" s="49" t="n"/>
      <c r="H111" s="19" t="n"/>
      <c r="I111" s="9" t="n"/>
    </row>
    <row r="112">
      <c r="A112" s="9" t="n"/>
      <c r="B112" s="9" t="n"/>
      <c r="C112" s="49" t="n"/>
      <c r="D112" s="19" t="n"/>
      <c r="E112" s="19" t="n"/>
      <c r="F112" s="19" t="n"/>
      <c r="G112" s="49" t="n"/>
      <c r="H112" s="19" t="n"/>
      <c r="I112" s="9" t="n"/>
    </row>
    <row r="113">
      <c r="A113" s="9" t="n"/>
      <c r="B113" s="9" t="n"/>
      <c r="C113" s="49" t="n"/>
      <c r="D113" s="19" t="n"/>
      <c r="E113" s="19" t="n"/>
      <c r="F113" s="19" t="n"/>
      <c r="G113" s="49" t="n"/>
      <c r="H113" s="19" t="n"/>
      <c r="I113" s="9" t="n"/>
    </row>
    <row r="114">
      <c r="A114" s="9" t="n"/>
      <c r="B114" s="9" t="n"/>
      <c r="C114" s="49" t="n"/>
      <c r="D114" s="19" t="n"/>
      <c r="E114" s="19" t="n"/>
      <c r="F114" s="19" t="n"/>
      <c r="G114" s="49" t="n"/>
      <c r="H114" s="19" t="n"/>
      <c r="I114" s="9" t="n"/>
    </row>
    <row r="115">
      <c r="A115" s="9" t="n"/>
      <c r="B115" s="9" t="n"/>
      <c r="C115" s="49" t="n"/>
      <c r="D115" s="19" t="n"/>
      <c r="E115" s="19" t="n"/>
      <c r="F115" s="19" t="n"/>
      <c r="G115" s="49" t="n"/>
      <c r="H115" s="19" t="n"/>
      <c r="I115" s="9" t="n"/>
    </row>
    <row r="116">
      <c r="A116" s="9" t="n"/>
      <c r="B116" s="9" t="n"/>
      <c r="C116" s="49" t="n"/>
      <c r="D116" s="19" t="n"/>
      <c r="E116" s="19" t="n"/>
      <c r="F116" s="19" t="n"/>
      <c r="G116" s="49" t="n"/>
      <c r="H116" s="19" t="n"/>
      <c r="I116" s="9" t="n"/>
    </row>
    <row r="117">
      <c r="A117" s="9" t="n"/>
      <c r="B117" s="9" t="n"/>
      <c r="C117" s="49" t="n"/>
      <c r="D117" s="19" t="n"/>
      <c r="E117" s="19" t="n"/>
      <c r="F117" s="19" t="n"/>
      <c r="G117" s="49" t="n"/>
      <c r="H117" s="19" t="n"/>
      <c r="I117" s="9" t="n"/>
    </row>
    <row r="118">
      <c r="A118" s="9" t="n"/>
      <c r="B118" s="9" t="n"/>
      <c r="C118" s="49" t="n"/>
      <c r="D118" s="19" t="n"/>
      <c r="E118" s="19" t="n"/>
      <c r="F118" s="19" t="n"/>
      <c r="G118" s="49" t="n"/>
      <c r="H118" s="19" t="n"/>
      <c r="I118" s="9" t="n"/>
    </row>
    <row r="119">
      <c r="A119" s="9" t="n"/>
      <c r="B119" s="9" t="n"/>
      <c r="C119" s="49" t="n"/>
      <c r="D119" s="19" t="n"/>
      <c r="E119" s="19" t="n"/>
      <c r="F119" s="19" t="n"/>
      <c r="G119" s="49" t="n"/>
      <c r="H119" s="19" t="n"/>
      <c r="I119" s="9" t="n"/>
    </row>
    <row r="120">
      <c r="A120" s="9" t="n"/>
      <c r="B120" s="9" t="n"/>
      <c r="C120" s="49" t="n"/>
      <c r="D120" s="19" t="n"/>
      <c r="E120" s="19" t="n"/>
      <c r="F120" s="19" t="n"/>
      <c r="G120" s="49" t="n"/>
      <c r="H120" s="19" t="n"/>
      <c r="I120" s="9" t="n"/>
    </row>
    <row r="121">
      <c r="A121" s="9" t="n"/>
      <c r="B121" s="9" t="n"/>
      <c r="C121" s="49" t="n"/>
      <c r="D121" s="19" t="n"/>
      <c r="E121" s="19" t="n"/>
      <c r="F121" s="19" t="n"/>
      <c r="G121" s="49" t="n"/>
      <c r="H121" s="19" t="n"/>
      <c r="I121" s="9" t="n"/>
    </row>
    <row r="122">
      <c r="A122" s="9" t="n"/>
      <c r="B122" s="9" t="n"/>
      <c r="C122" s="49" t="n"/>
      <c r="D122" s="19" t="n"/>
      <c r="E122" s="19" t="n"/>
      <c r="F122" s="19" t="n"/>
      <c r="G122" s="49" t="n"/>
      <c r="H122" s="19" t="n"/>
      <c r="I122" s="9" t="n"/>
    </row>
    <row r="123">
      <c r="A123" s="9" t="n"/>
      <c r="B123" s="9" t="n"/>
      <c r="C123" s="49" t="n"/>
      <c r="D123" s="19" t="n"/>
      <c r="E123" s="19" t="n"/>
      <c r="F123" s="19" t="n"/>
      <c r="G123" s="49" t="n"/>
      <c r="H123" s="19" t="n"/>
      <c r="I123" s="9" t="n"/>
    </row>
    <row r="124">
      <c r="A124" s="9" t="n"/>
      <c r="B124" s="9" t="n"/>
      <c r="C124" s="49" t="n"/>
      <c r="D124" s="19" t="n"/>
      <c r="E124" s="19" t="n"/>
      <c r="F124" s="19" t="n"/>
      <c r="G124" s="49" t="n"/>
      <c r="H124" s="19" t="n"/>
      <c r="I124" s="9" t="n"/>
    </row>
    <row r="125">
      <c r="A125" s="9" t="n"/>
      <c r="B125" s="9" t="n"/>
      <c r="C125" s="49" t="n"/>
      <c r="D125" s="19" t="n"/>
      <c r="E125" s="19" t="n"/>
      <c r="F125" s="19" t="n"/>
      <c r="G125" s="49" t="n"/>
      <c r="H125" s="19" t="n"/>
      <c r="I125" s="9" t="n"/>
    </row>
    <row r="126">
      <c r="A126" s="9" t="n"/>
      <c r="B126" s="9" t="n"/>
      <c r="C126" s="49" t="n"/>
      <c r="D126" s="19" t="n"/>
      <c r="E126" s="19" t="n"/>
      <c r="F126" s="19" t="n"/>
      <c r="G126" s="49" t="n"/>
      <c r="H126" s="19" t="n"/>
      <c r="I126" s="9" t="n"/>
    </row>
    <row r="127">
      <c r="A127" s="9" t="n"/>
      <c r="B127" s="9" t="n"/>
      <c r="C127" s="49" t="n"/>
      <c r="D127" s="19" t="n"/>
      <c r="E127" s="19" t="n"/>
      <c r="F127" s="19" t="n"/>
      <c r="G127" s="49" t="n"/>
      <c r="H127" s="19" t="n"/>
      <c r="I127" s="9" t="n"/>
    </row>
    <row r="128">
      <c r="A128" s="9" t="n"/>
      <c r="B128" s="9" t="n"/>
      <c r="C128" s="49" t="n"/>
      <c r="D128" s="19" t="n"/>
      <c r="E128" s="19" t="n"/>
      <c r="F128" s="19" t="n"/>
      <c r="G128" s="49" t="n"/>
      <c r="H128" s="19" t="n"/>
      <c r="I128" s="9" t="n"/>
    </row>
    <row r="129">
      <c r="A129" s="9" t="n"/>
      <c r="B129" s="9" t="n"/>
      <c r="C129" s="49" t="n"/>
      <c r="D129" s="19" t="n"/>
      <c r="E129" s="19" t="n"/>
      <c r="F129" s="19" t="n"/>
      <c r="G129" s="49" t="n"/>
      <c r="H129" s="19" t="n"/>
      <c r="I129" s="9" t="n"/>
    </row>
    <row r="130">
      <c r="A130" s="9" t="n"/>
      <c r="B130" s="9" t="n"/>
      <c r="C130" s="49" t="n"/>
      <c r="D130" s="19" t="n"/>
      <c r="E130" s="19" t="n"/>
      <c r="F130" s="19" t="n"/>
      <c r="G130" s="49" t="n"/>
      <c r="H130" s="19" t="n"/>
      <c r="I130" s="9" t="n"/>
    </row>
    <row r="131">
      <c r="A131" s="9" t="n"/>
      <c r="B131" s="9" t="n"/>
      <c r="C131" s="49" t="n"/>
      <c r="D131" s="19" t="n"/>
      <c r="E131" s="19" t="n"/>
      <c r="F131" s="19" t="n"/>
      <c r="G131" s="49" t="n"/>
      <c r="H131" s="19" t="n"/>
      <c r="I131" s="9" t="n"/>
    </row>
    <row r="132">
      <c r="A132" s="9" t="n"/>
      <c r="B132" s="9" t="n"/>
      <c r="C132" s="49" t="n"/>
      <c r="D132" s="19" t="n"/>
      <c r="E132" s="19" t="n"/>
      <c r="F132" s="19" t="n"/>
      <c r="G132" s="49" t="n"/>
      <c r="H132" s="19" t="n"/>
      <c r="I132" s="9" t="n"/>
    </row>
    <row r="133">
      <c r="A133" s="9" t="n"/>
      <c r="B133" s="9" t="n"/>
      <c r="C133" s="49" t="n"/>
      <c r="D133" s="19" t="n"/>
      <c r="E133" s="19" t="n"/>
      <c r="F133" s="19" t="n"/>
      <c r="G133" s="49" t="n"/>
      <c r="H133" s="19" t="n"/>
      <c r="I133" s="9" t="n"/>
    </row>
    <row r="134">
      <c r="A134" s="9" t="n"/>
      <c r="B134" s="9" t="n"/>
      <c r="C134" s="49" t="n"/>
      <c r="D134" s="19" t="n"/>
      <c r="E134" s="19" t="n"/>
      <c r="F134" s="19" t="n"/>
      <c r="G134" s="49" t="n"/>
      <c r="H134" s="19" t="n"/>
      <c r="I134" s="9" t="n"/>
    </row>
    <row r="135">
      <c r="A135" s="9" t="n"/>
      <c r="B135" s="9" t="n"/>
      <c r="C135" s="49" t="n"/>
      <c r="D135" s="19" t="n"/>
      <c r="E135" s="19" t="n"/>
      <c r="F135" s="19" t="n"/>
      <c r="G135" s="49" t="n"/>
      <c r="H135" s="19" t="n"/>
      <c r="I135" s="9" t="n"/>
    </row>
    <row r="136">
      <c r="A136" s="9" t="n"/>
      <c r="B136" s="9" t="n"/>
      <c r="C136" s="49" t="n"/>
      <c r="D136" s="19" t="n"/>
      <c r="E136" s="19" t="n"/>
      <c r="F136" s="19" t="n"/>
      <c r="G136" s="49" t="n"/>
      <c r="H136" s="19" t="n"/>
      <c r="I136" s="9" t="n"/>
    </row>
    <row r="137">
      <c r="A137" s="9" t="n"/>
      <c r="B137" s="9" t="n"/>
      <c r="C137" s="49" t="n"/>
      <c r="D137" s="19" t="n"/>
      <c r="E137" s="19" t="n"/>
      <c r="F137" s="19" t="n"/>
      <c r="G137" s="49" t="n"/>
      <c r="H137" s="19" t="n"/>
      <c r="I137" s="9" t="n"/>
    </row>
    <row r="138">
      <c r="A138" s="9" t="n"/>
      <c r="B138" s="9" t="n"/>
      <c r="C138" s="49" t="n"/>
      <c r="D138" s="19" t="n"/>
      <c r="E138" s="19" t="n"/>
      <c r="F138" s="19" t="n"/>
      <c r="G138" s="49" t="n"/>
      <c r="H138" s="19" t="n"/>
      <c r="I138" s="9" t="n"/>
    </row>
    <row r="139">
      <c r="A139" s="9" t="n"/>
      <c r="B139" s="9" t="n"/>
      <c r="C139" s="49" t="n"/>
      <c r="D139" s="19" t="n"/>
      <c r="E139" s="19" t="n"/>
      <c r="F139" s="19" t="n"/>
      <c r="G139" s="49" t="n"/>
      <c r="H139" s="19" t="n"/>
      <c r="I139" s="9" t="n"/>
    </row>
    <row r="140">
      <c r="A140" s="9" t="n"/>
      <c r="B140" s="9" t="n"/>
      <c r="C140" s="49" t="n"/>
      <c r="D140" s="19" t="n"/>
      <c r="E140" s="19" t="n"/>
      <c r="F140" s="19" t="n"/>
      <c r="G140" s="49" t="n"/>
      <c r="H140" s="19" t="n"/>
      <c r="I140" s="9" t="n"/>
    </row>
    <row r="141">
      <c r="A141" s="9" t="n"/>
      <c r="B141" s="9" t="n"/>
      <c r="C141" s="49" t="n"/>
      <c r="D141" s="19" t="n"/>
      <c r="E141" s="19" t="n"/>
      <c r="F141" s="19" t="n"/>
      <c r="G141" s="49" t="n"/>
      <c r="H141" s="19" t="n"/>
      <c r="I141" s="9" t="n"/>
    </row>
    <row r="142">
      <c r="A142" s="9" t="n"/>
      <c r="B142" s="9" t="n"/>
      <c r="C142" s="49" t="n"/>
      <c r="D142" s="19" t="n"/>
      <c r="E142" s="19" t="n"/>
      <c r="F142" s="19" t="n"/>
      <c r="G142" s="49" t="n"/>
      <c r="H142" s="19" t="n"/>
      <c r="I142" s="9" t="n"/>
    </row>
    <row r="143">
      <c r="A143" s="9" t="n"/>
      <c r="B143" s="9" t="n"/>
      <c r="C143" s="49" t="n"/>
      <c r="D143" s="19" t="n"/>
      <c r="E143" s="19" t="n"/>
      <c r="F143" s="19" t="n"/>
      <c r="G143" s="49" t="n"/>
      <c r="H143" s="19" t="n"/>
      <c r="I143" s="9" t="n"/>
    </row>
    <row r="144">
      <c r="A144" s="9" t="n"/>
      <c r="B144" s="9" t="n"/>
      <c r="C144" s="49" t="n"/>
      <c r="D144" s="19" t="n"/>
      <c r="E144" s="19" t="n"/>
      <c r="F144" s="19" t="n"/>
      <c r="G144" s="49" t="n"/>
      <c r="H144" s="19" t="n"/>
      <c r="I144" s="9" t="n"/>
    </row>
    <row r="145">
      <c r="A145" s="9" t="n"/>
      <c r="B145" s="9" t="n"/>
      <c r="C145" s="49" t="n"/>
      <c r="D145" s="19" t="n"/>
      <c r="E145" s="19" t="n"/>
      <c r="F145" s="19" t="n"/>
      <c r="G145" s="49" t="n"/>
      <c r="H145" s="19" t="n"/>
      <c r="I145" s="9" t="n"/>
    </row>
    <row r="146">
      <c r="A146" s="9" t="n"/>
      <c r="B146" s="9" t="n"/>
      <c r="C146" s="49" t="n"/>
      <c r="D146" s="19" t="n"/>
      <c r="E146" s="19" t="n"/>
      <c r="F146" s="19" t="n"/>
      <c r="G146" s="49" t="n"/>
      <c r="H146" s="19" t="n"/>
      <c r="I146" s="9" t="n"/>
    </row>
    <row r="147">
      <c r="A147" s="9" t="n"/>
      <c r="B147" s="9" t="n"/>
      <c r="C147" s="49" t="n"/>
      <c r="D147" s="19" t="n"/>
      <c r="E147" s="19" t="n"/>
      <c r="F147" s="19" t="n"/>
      <c r="G147" s="49" t="n"/>
      <c r="H147" s="19" t="n"/>
      <c r="I147" s="9" t="n"/>
    </row>
    <row r="148">
      <c r="A148" s="9" t="n"/>
      <c r="B148" s="9" t="n"/>
      <c r="C148" s="49" t="n"/>
      <c r="D148" s="19" t="n"/>
      <c r="E148" s="19" t="n"/>
      <c r="F148" s="19" t="n"/>
      <c r="G148" s="49" t="n"/>
      <c r="H148" s="19" t="n"/>
      <c r="I148" s="9" t="n"/>
    </row>
    <row r="149">
      <c r="A149" s="9" t="n"/>
      <c r="B149" s="9" t="n"/>
      <c r="C149" s="49" t="n"/>
      <c r="D149" s="19" t="n"/>
      <c r="E149" s="19" t="n"/>
      <c r="F149" s="19" t="n"/>
      <c r="G149" s="49" t="n"/>
      <c r="H149" s="19" t="n"/>
      <c r="I149" s="9" t="n"/>
    </row>
    <row r="150">
      <c r="A150" s="9" t="n"/>
      <c r="B150" s="9" t="n"/>
      <c r="C150" s="49" t="n"/>
      <c r="D150" s="19" t="n"/>
      <c r="E150" s="19" t="n"/>
      <c r="F150" s="19" t="n"/>
      <c r="G150" s="49" t="n"/>
      <c r="H150" s="19" t="n"/>
      <c r="I150" s="9" t="n"/>
    </row>
    <row r="151">
      <c r="A151" s="9" t="n"/>
      <c r="B151" s="9" t="n"/>
      <c r="C151" s="49" t="n"/>
      <c r="D151" s="19" t="n"/>
      <c r="E151" s="19" t="n"/>
      <c r="F151" s="19" t="n"/>
      <c r="G151" s="49" t="n"/>
      <c r="H151" s="19" t="n"/>
      <c r="I151" s="9" t="n"/>
    </row>
    <row r="152">
      <c r="A152" s="9" t="n"/>
      <c r="B152" s="9" t="n"/>
      <c r="C152" s="49" t="n"/>
      <c r="D152" s="19" t="n"/>
      <c r="E152" s="19" t="n"/>
      <c r="F152" s="19" t="n"/>
      <c r="G152" s="49" t="n"/>
      <c r="H152" s="19" t="n"/>
      <c r="I152" s="9" t="n"/>
    </row>
    <row r="153">
      <c r="A153" s="9" t="n"/>
      <c r="B153" s="9" t="n"/>
      <c r="C153" s="49" t="n"/>
      <c r="D153" s="19" t="n"/>
      <c r="E153" s="19" t="n"/>
      <c r="F153" s="19" t="n"/>
      <c r="G153" s="49" t="n"/>
      <c r="H153" s="19" t="n"/>
      <c r="I153" s="9" t="n"/>
    </row>
    <row r="154">
      <c r="A154" s="9" t="n"/>
      <c r="B154" s="9" t="n"/>
      <c r="C154" s="49" t="n"/>
      <c r="D154" s="19" t="n"/>
      <c r="E154" s="19" t="n"/>
      <c r="F154" s="19" t="n"/>
      <c r="G154" s="49" t="n"/>
      <c r="H154" s="19" t="n"/>
      <c r="I154" s="9" t="n"/>
    </row>
    <row r="155">
      <c r="A155" s="9" t="n"/>
      <c r="B155" s="9" t="n"/>
      <c r="C155" s="49" t="n"/>
      <c r="D155" s="19" t="n"/>
      <c r="E155" s="19" t="n"/>
      <c r="F155" s="19" t="n"/>
      <c r="G155" s="49" t="n"/>
      <c r="H155" s="19" t="n"/>
      <c r="I155" s="9" t="n"/>
    </row>
    <row r="156">
      <c r="A156" s="9" t="n"/>
      <c r="B156" s="9" t="n"/>
      <c r="C156" s="49" t="n"/>
      <c r="D156" s="19" t="n"/>
      <c r="E156" s="19" t="n"/>
      <c r="F156" s="19" t="n"/>
      <c r="G156" s="49" t="n"/>
      <c r="H156" s="19" t="n"/>
      <c r="I156" s="9" t="n"/>
    </row>
    <row r="157">
      <c r="A157" s="9" t="n"/>
      <c r="B157" s="9" t="n"/>
      <c r="C157" s="49" t="n"/>
      <c r="D157" s="19" t="n"/>
      <c r="E157" s="19" t="n"/>
      <c r="F157" s="19" t="n"/>
      <c r="G157" s="49" t="n"/>
      <c r="H157" s="19" t="n"/>
      <c r="I157" s="9" t="n"/>
    </row>
    <row r="158">
      <c r="A158" s="9" t="n"/>
      <c r="B158" s="9" t="n"/>
      <c r="C158" s="49" t="n"/>
      <c r="D158" s="19" t="n"/>
      <c r="E158" s="19" t="n"/>
      <c r="F158" s="19" t="n"/>
      <c r="G158" s="49" t="n"/>
      <c r="H158" s="19" t="n"/>
      <c r="I158" s="9" t="n"/>
    </row>
    <row r="159">
      <c r="A159" s="9" t="n"/>
      <c r="B159" s="9" t="n"/>
      <c r="C159" s="49" t="n"/>
      <c r="D159" s="19" t="n"/>
      <c r="E159" s="19" t="n"/>
      <c r="F159" s="19" t="n"/>
      <c r="G159" s="49" t="n"/>
      <c r="H159" s="19" t="n"/>
      <c r="I159" s="9" t="n"/>
    </row>
    <row r="160">
      <c r="A160" s="9" t="n"/>
      <c r="B160" s="9" t="n"/>
      <c r="C160" s="49" t="n"/>
      <c r="D160" s="19" t="n"/>
      <c r="E160" s="19" t="n"/>
      <c r="F160" s="19" t="n"/>
      <c r="G160" s="49" t="n"/>
      <c r="H160" s="19" t="n"/>
      <c r="I160" s="9" t="n"/>
    </row>
    <row r="161">
      <c r="A161" s="9" t="n"/>
      <c r="B161" s="9" t="n"/>
      <c r="C161" s="49" t="n"/>
      <c r="D161" s="19" t="n"/>
      <c r="E161" s="19" t="n"/>
      <c r="F161" s="19" t="n"/>
      <c r="G161" s="49" t="n"/>
      <c r="H161" s="19" t="n"/>
      <c r="I161" s="9" t="n"/>
    </row>
    <row r="162">
      <c r="A162" s="9" t="n"/>
      <c r="B162" s="9" t="n"/>
      <c r="C162" s="49" t="n"/>
      <c r="D162" s="19" t="n"/>
      <c r="E162" s="19" t="n"/>
      <c r="F162" s="19" t="n"/>
      <c r="G162" s="49" t="n"/>
      <c r="H162" s="19" t="n"/>
      <c r="I162" s="9" t="n"/>
    </row>
    <row r="163">
      <c r="A163" s="9" t="n"/>
      <c r="B163" s="9" t="n"/>
      <c r="C163" s="49" t="n"/>
      <c r="D163" s="19" t="n"/>
      <c r="E163" s="19" t="n"/>
      <c r="F163" s="19" t="n"/>
      <c r="G163" s="49" t="n"/>
      <c r="H163" s="19" t="n"/>
      <c r="I163" s="9" t="n"/>
    </row>
    <row r="164">
      <c r="A164" s="9" t="n"/>
      <c r="B164" s="9" t="n"/>
      <c r="C164" s="49" t="n"/>
      <c r="D164" s="19" t="n"/>
      <c r="E164" s="19" t="n"/>
      <c r="F164" s="19" t="n"/>
      <c r="G164" s="49" t="n"/>
      <c r="H164" s="19" t="n"/>
      <c r="I164" s="9" t="n"/>
    </row>
    <row r="165">
      <c r="A165" s="9" t="n"/>
      <c r="B165" s="9" t="n"/>
      <c r="C165" s="49" t="n"/>
      <c r="D165" s="19" t="n"/>
      <c r="E165" s="19" t="n"/>
      <c r="F165" s="19" t="n"/>
      <c r="G165" s="49" t="n"/>
      <c r="H165" s="19" t="n"/>
      <c r="I165" s="9" t="n"/>
    </row>
    <row r="166">
      <c r="A166" s="9" t="n"/>
      <c r="B166" s="9" t="n"/>
      <c r="C166" s="49" t="n"/>
      <c r="D166" s="19" t="n"/>
      <c r="E166" s="19" t="n"/>
      <c r="F166" s="19" t="n"/>
      <c r="G166" s="49" t="n"/>
      <c r="H166" s="19" t="n"/>
      <c r="I166" s="9" t="n"/>
    </row>
    <row r="167">
      <c r="A167" s="9" t="n"/>
      <c r="B167" s="9" t="n"/>
      <c r="C167" s="49" t="n"/>
      <c r="D167" s="19" t="n"/>
      <c r="E167" s="19" t="n"/>
      <c r="F167" s="19" t="n"/>
      <c r="G167" s="49" t="n"/>
      <c r="H167" s="19" t="n"/>
      <c r="I167" s="9" t="n"/>
    </row>
    <row r="168">
      <c r="A168" s="9" t="n"/>
      <c r="B168" s="9" t="n"/>
      <c r="C168" s="49" t="n"/>
      <c r="D168" s="19" t="n"/>
      <c r="E168" s="19" t="n"/>
      <c r="F168" s="19" t="n"/>
      <c r="G168" s="49" t="n"/>
      <c r="H168" s="19" t="n"/>
      <c r="I168" s="9" t="n"/>
    </row>
    <row r="169">
      <c r="A169" s="9" t="n"/>
      <c r="B169" s="9" t="n"/>
      <c r="C169" s="49" t="n"/>
      <c r="D169" s="19" t="n"/>
      <c r="E169" s="19" t="n"/>
      <c r="F169" s="19" t="n"/>
      <c r="G169" s="49" t="n"/>
      <c r="H169" s="19" t="n"/>
      <c r="I169" s="9" t="n"/>
    </row>
    <row r="170">
      <c r="A170" s="9" t="n"/>
      <c r="B170" s="9" t="n"/>
      <c r="C170" s="49" t="n"/>
      <c r="D170" s="19" t="n"/>
      <c r="E170" s="19" t="n"/>
      <c r="F170" s="19" t="n"/>
      <c r="G170" s="49" t="n"/>
      <c r="H170" s="19" t="n"/>
      <c r="I170" s="9" t="n"/>
    </row>
    <row r="171">
      <c r="A171" s="9" t="n"/>
      <c r="B171" s="9" t="n"/>
      <c r="C171" s="49" t="n"/>
      <c r="D171" s="19" t="n"/>
      <c r="E171" s="19" t="n"/>
      <c r="F171" s="19" t="n"/>
      <c r="G171" s="49" t="n"/>
      <c r="H171" s="19" t="n"/>
      <c r="I171" s="9" t="n"/>
    </row>
    <row r="172">
      <c r="A172" s="9" t="n"/>
      <c r="B172" s="9" t="n"/>
      <c r="C172" s="49" t="n"/>
      <c r="D172" s="19" t="n"/>
      <c r="E172" s="19" t="n"/>
      <c r="F172" s="19" t="n"/>
      <c r="G172" s="49" t="n"/>
      <c r="H172" s="19" t="n"/>
      <c r="I172" s="9" t="n"/>
    </row>
    <row r="173">
      <c r="A173" s="9" t="n"/>
      <c r="B173" s="9" t="n"/>
      <c r="C173" s="49" t="n"/>
      <c r="D173" s="19" t="n"/>
      <c r="E173" s="19" t="n"/>
      <c r="F173" s="19" t="n"/>
      <c r="G173" s="49" t="n"/>
      <c r="H173" s="19" t="n"/>
      <c r="I173" s="9" t="n"/>
    </row>
    <row r="174">
      <c r="A174" s="9" t="n"/>
      <c r="B174" s="9" t="n"/>
      <c r="C174" s="49" t="n"/>
      <c r="D174" s="19" t="n"/>
      <c r="E174" s="19" t="n"/>
      <c r="F174" s="19" t="n"/>
      <c r="G174" s="49" t="n"/>
      <c r="H174" s="19" t="n"/>
      <c r="I174" s="9" t="n"/>
    </row>
    <row r="175">
      <c r="A175" s="9" t="n"/>
      <c r="B175" s="9" t="n"/>
      <c r="C175" s="49" t="n"/>
      <c r="D175" s="19" t="n"/>
      <c r="E175" s="19" t="n"/>
      <c r="F175" s="19" t="n"/>
      <c r="G175" s="49" t="n"/>
      <c r="H175" s="19" t="n"/>
      <c r="I175" s="9" t="n"/>
    </row>
    <row r="176">
      <c r="A176" s="9" t="n"/>
      <c r="B176" s="9" t="n"/>
      <c r="C176" s="49" t="n"/>
      <c r="D176" s="19" t="n"/>
      <c r="E176" s="19" t="n"/>
      <c r="F176" s="19" t="n"/>
      <c r="G176" s="49" t="n"/>
      <c r="H176" s="19" t="n"/>
      <c r="I176" s="9" t="n"/>
    </row>
    <row r="177">
      <c r="A177" s="9" t="n"/>
      <c r="B177" s="9" t="n"/>
      <c r="C177" s="49" t="n"/>
      <c r="D177" s="19" t="n"/>
      <c r="E177" s="19" t="n"/>
      <c r="F177" s="19" t="n"/>
      <c r="G177" s="49" t="n"/>
      <c r="H177" s="19" t="n"/>
      <c r="I177" s="9" t="n"/>
    </row>
    <row r="178">
      <c r="A178" s="9" t="n"/>
      <c r="B178" s="9" t="n"/>
      <c r="C178" s="49" t="n"/>
      <c r="D178" s="19" t="n"/>
      <c r="E178" s="19" t="n"/>
      <c r="F178" s="19" t="n"/>
      <c r="G178" s="49" t="n"/>
      <c r="H178" s="19" t="n"/>
      <c r="I178" s="9" t="n"/>
    </row>
    <row r="179">
      <c r="A179" s="9" t="n"/>
      <c r="B179" s="9" t="n"/>
      <c r="C179" s="49" t="n"/>
      <c r="D179" s="19" t="n"/>
      <c r="E179" s="19" t="n"/>
      <c r="F179" s="19" t="n"/>
      <c r="G179" s="49" t="n"/>
      <c r="H179" s="19" t="n"/>
      <c r="I179" s="9" t="n"/>
    </row>
    <row r="180">
      <c r="A180" s="9" t="n"/>
      <c r="B180" s="9" t="n"/>
      <c r="C180" s="49" t="n"/>
      <c r="D180" s="19" t="n"/>
      <c r="E180" s="19" t="n"/>
      <c r="F180" s="19" t="n"/>
      <c r="G180" s="49" t="n"/>
      <c r="H180" s="19" t="n"/>
      <c r="I180" s="9" t="n"/>
    </row>
    <row r="181">
      <c r="A181" s="9" t="n"/>
      <c r="B181" s="9" t="n"/>
      <c r="C181" s="49" t="n"/>
      <c r="D181" s="19" t="n"/>
      <c r="E181" s="19" t="n"/>
      <c r="F181" s="19" t="n"/>
      <c r="G181" s="49" t="n"/>
      <c r="H181" s="19" t="n"/>
      <c r="I181" s="9" t="n"/>
    </row>
    <row r="182">
      <c r="A182" s="9" t="n"/>
      <c r="B182" s="9" t="n"/>
      <c r="C182" s="49" t="n"/>
      <c r="D182" s="19" t="n"/>
      <c r="E182" s="19" t="n"/>
      <c r="F182" s="19" t="n"/>
      <c r="G182" s="49" t="n"/>
      <c r="H182" s="19" t="n"/>
      <c r="I182" s="9" t="n"/>
    </row>
    <row r="183">
      <c r="A183" s="9" t="n"/>
      <c r="B183" s="9" t="n"/>
      <c r="C183" s="49" t="n"/>
      <c r="D183" s="19" t="n"/>
      <c r="E183" s="19" t="n"/>
      <c r="F183" s="19" t="n"/>
      <c r="G183" s="49" t="n"/>
      <c r="H183" s="19" t="n"/>
      <c r="I183" s="9" t="n"/>
    </row>
    <row r="184">
      <c r="A184" s="9" t="n"/>
      <c r="B184" s="9" t="n"/>
      <c r="C184" s="49" t="n"/>
      <c r="D184" s="19" t="n"/>
      <c r="E184" s="19" t="n"/>
      <c r="F184" s="19" t="n"/>
      <c r="G184" s="49" t="n"/>
      <c r="H184" s="19" t="n"/>
      <c r="I184" s="9" t="n"/>
    </row>
    <row r="185">
      <c r="A185" s="9" t="n"/>
      <c r="B185" s="9" t="n"/>
      <c r="C185" s="49" t="n"/>
      <c r="D185" s="19" t="n"/>
      <c r="E185" s="19" t="n"/>
      <c r="F185" s="19" t="n"/>
      <c r="G185" s="49" t="n"/>
      <c r="H185" s="19" t="n"/>
      <c r="I185" s="9" t="n"/>
    </row>
    <row r="186">
      <c r="A186" s="9" t="n"/>
      <c r="B186" s="9" t="n"/>
      <c r="C186" s="49" t="n"/>
      <c r="D186" s="19" t="n"/>
      <c r="E186" s="19" t="n"/>
      <c r="F186" s="19" t="n"/>
      <c r="G186" s="49" t="n"/>
      <c r="H186" s="19" t="n"/>
      <c r="I186" s="9" t="n"/>
    </row>
    <row r="187">
      <c r="A187" s="9" t="n"/>
      <c r="B187" s="9" t="n"/>
      <c r="C187" s="49" t="n"/>
      <c r="D187" s="19" t="n"/>
      <c r="E187" s="19" t="n"/>
      <c r="F187" s="19" t="n"/>
      <c r="G187" s="49" t="n"/>
      <c r="H187" s="19" t="n"/>
      <c r="I187" s="9" t="n"/>
    </row>
    <row r="188">
      <c r="A188" s="9" t="n"/>
      <c r="B188" s="9" t="n"/>
      <c r="C188" s="49" t="n"/>
      <c r="D188" s="19" t="n"/>
      <c r="E188" s="19" t="n"/>
      <c r="F188" s="19" t="n"/>
      <c r="G188" s="49" t="n"/>
      <c r="H188" s="19" t="n"/>
      <c r="I188" s="9" t="n"/>
    </row>
    <row r="189">
      <c r="A189" s="9" t="n"/>
      <c r="B189" s="9" t="n"/>
      <c r="C189" s="49" t="n"/>
      <c r="D189" s="19" t="n"/>
      <c r="E189" s="19" t="n"/>
      <c r="F189" s="19" t="n"/>
      <c r="G189" s="49" t="n"/>
      <c r="H189" s="19" t="n"/>
      <c r="I189" s="9" t="n"/>
    </row>
    <row r="190">
      <c r="A190" s="9" t="n"/>
      <c r="B190" s="9" t="n"/>
      <c r="C190" s="49" t="n"/>
      <c r="D190" s="19" t="n"/>
      <c r="E190" s="19" t="n"/>
      <c r="F190" s="19" t="n"/>
      <c r="G190" s="49" t="n"/>
      <c r="H190" s="19" t="n"/>
      <c r="I190" s="9" t="n"/>
    </row>
    <row r="191">
      <c r="A191" s="9" t="n"/>
      <c r="B191" s="9" t="n"/>
      <c r="C191" s="49" t="n"/>
      <c r="D191" s="19" t="n"/>
      <c r="E191" s="19" t="n"/>
      <c r="F191" s="19" t="n"/>
      <c r="G191" s="49" t="n"/>
      <c r="H191" s="19" t="n"/>
      <c r="I191" s="9" t="n"/>
    </row>
    <row r="192">
      <c r="A192" s="9" t="n"/>
      <c r="B192" s="9" t="n"/>
      <c r="C192" s="49" t="n"/>
      <c r="D192" s="19" t="n"/>
      <c r="E192" s="19" t="n"/>
      <c r="F192" s="19" t="n"/>
      <c r="G192" s="49" t="n"/>
      <c r="H192" s="19" t="n"/>
      <c r="I192" s="9" t="n"/>
    </row>
    <row r="193">
      <c r="A193" s="9" t="n"/>
      <c r="B193" s="9" t="n"/>
      <c r="C193" s="49" t="n"/>
      <c r="D193" s="19" t="n"/>
      <c r="E193" s="19" t="n"/>
      <c r="F193" s="19" t="n"/>
      <c r="G193" s="49" t="n"/>
      <c r="H193" s="19" t="n"/>
      <c r="I193" s="9" t="n"/>
    </row>
    <row r="194">
      <c r="A194" s="9" t="n"/>
      <c r="B194" s="9" t="n"/>
      <c r="C194" s="49" t="n"/>
      <c r="D194" s="19" t="n"/>
      <c r="E194" s="19" t="n"/>
      <c r="F194" s="19" t="n"/>
      <c r="G194" s="49" t="n"/>
      <c r="H194" s="19" t="n"/>
      <c r="I194" s="9" t="n"/>
    </row>
    <row r="195">
      <c r="A195" s="9" t="n"/>
      <c r="B195" s="9" t="n"/>
      <c r="C195" s="49" t="n"/>
      <c r="D195" s="19" t="n"/>
      <c r="E195" s="19" t="n"/>
      <c r="F195" s="19" t="n"/>
      <c r="G195" s="49" t="n"/>
      <c r="H195" s="19" t="n"/>
      <c r="I195" s="9" t="n"/>
    </row>
    <row r="196">
      <c r="A196" s="9" t="n"/>
      <c r="B196" s="9" t="n"/>
      <c r="C196" s="49" t="n"/>
      <c r="D196" s="19" t="n"/>
      <c r="E196" s="19" t="n"/>
      <c r="F196" s="19" t="n"/>
      <c r="G196" s="49" t="n"/>
      <c r="H196" s="19" t="n"/>
      <c r="I196" s="9" t="n"/>
    </row>
    <row r="197">
      <c r="A197" s="9" t="n"/>
      <c r="B197" s="9" t="n"/>
      <c r="C197" s="49" t="n"/>
      <c r="D197" s="19" t="n"/>
      <c r="E197" s="19" t="n"/>
      <c r="F197" s="19" t="n"/>
      <c r="G197" s="49" t="n"/>
      <c r="H197" s="19" t="n"/>
      <c r="I197" s="9" t="n"/>
    </row>
    <row r="198">
      <c r="A198" s="9" t="n"/>
      <c r="B198" s="9" t="n"/>
      <c r="C198" s="49" t="n"/>
      <c r="D198" s="19" t="n"/>
      <c r="E198" s="19" t="n"/>
      <c r="F198" s="19" t="n"/>
      <c r="G198" s="49" t="n"/>
      <c r="H198" s="19" t="n"/>
      <c r="I198" s="9" t="n"/>
    </row>
    <row r="199">
      <c r="A199" s="9" t="n"/>
      <c r="B199" s="9" t="n"/>
      <c r="C199" s="49" t="n"/>
      <c r="D199" s="19" t="n"/>
      <c r="E199" s="19" t="n"/>
      <c r="F199" s="19" t="n"/>
      <c r="G199" s="49" t="n"/>
      <c r="H199" s="19" t="n"/>
      <c r="I199" s="9" t="n"/>
    </row>
    <row r="200">
      <c r="A200" s="9" t="n"/>
      <c r="B200" s="9" t="n"/>
      <c r="C200" s="49" t="n"/>
      <c r="D200" s="19" t="n"/>
      <c r="E200" s="19" t="n"/>
      <c r="F200" s="19" t="n"/>
      <c r="G200" s="49" t="n"/>
      <c r="H200" s="19" t="n"/>
      <c r="I200" s="9" t="n"/>
    </row>
    <row r="201">
      <c r="A201" s="9" t="n"/>
      <c r="B201" s="9" t="n"/>
      <c r="C201" s="49" t="n"/>
      <c r="D201" s="19" t="n"/>
      <c r="E201" s="19" t="n"/>
      <c r="F201" s="19" t="n"/>
      <c r="G201" s="49" t="n"/>
      <c r="H201" s="19" t="n"/>
      <c r="I201" s="9" t="n"/>
    </row>
    <row r="202">
      <c r="A202" s="9" t="n"/>
      <c r="B202" s="9" t="n"/>
      <c r="C202" s="49" t="n"/>
      <c r="D202" s="19" t="n"/>
      <c r="E202" s="19" t="n"/>
      <c r="F202" s="19" t="n"/>
      <c r="G202" s="49" t="n"/>
      <c r="H202" s="19" t="n"/>
      <c r="I202" s="9" t="n"/>
    </row>
    <row r="203">
      <c r="A203" s="9" t="n"/>
      <c r="B203" s="9" t="n"/>
      <c r="C203" s="49" t="n"/>
      <c r="D203" s="19" t="n"/>
      <c r="E203" s="19" t="n"/>
      <c r="F203" s="19" t="n"/>
      <c r="G203" s="49" t="n"/>
      <c r="H203" s="19" t="n"/>
      <c r="I203" s="9" t="n"/>
    </row>
    <row r="204">
      <c r="A204" s="9" t="n"/>
      <c r="B204" s="9" t="n"/>
      <c r="C204" s="49" t="n"/>
      <c r="D204" s="19" t="n"/>
      <c r="E204" s="19" t="n"/>
      <c r="F204" s="19" t="n"/>
      <c r="G204" s="49" t="n"/>
      <c r="H204" s="19" t="n"/>
      <c r="I204" s="9" t="n"/>
    </row>
    <row r="205">
      <c r="A205" s="9" t="n"/>
      <c r="B205" s="9" t="n"/>
      <c r="C205" s="49" t="n"/>
      <c r="D205" s="19" t="n"/>
      <c r="E205" s="19" t="n"/>
      <c r="F205" s="19" t="n"/>
      <c r="G205" s="49" t="n"/>
      <c r="H205" s="19" t="n"/>
      <c r="I205" s="9" t="n"/>
    </row>
    <row r="206">
      <c r="A206" s="9" t="n"/>
      <c r="B206" s="9" t="n"/>
      <c r="C206" s="49" t="n"/>
      <c r="D206" s="19" t="n"/>
      <c r="E206" s="19" t="n"/>
      <c r="F206" s="19" t="n"/>
      <c r="G206" s="49" t="n"/>
      <c r="H206" s="19" t="n"/>
      <c r="I206" s="9" t="n"/>
    </row>
    <row r="207">
      <c r="A207" s="9" t="n"/>
      <c r="B207" s="9" t="n"/>
      <c r="C207" s="49" t="n"/>
      <c r="D207" s="19" t="n"/>
      <c r="E207" s="19" t="n"/>
      <c r="F207" s="19" t="n"/>
      <c r="G207" s="49" t="n"/>
      <c r="H207" s="19" t="n"/>
      <c r="I207" s="9" t="n"/>
    </row>
    <row r="208">
      <c r="A208" s="9" t="n"/>
      <c r="B208" s="9" t="n"/>
      <c r="C208" s="49" t="n"/>
      <c r="D208" s="19" t="n"/>
      <c r="E208" s="19" t="n"/>
      <c r="F208" s="19" t="n"/>
      <c r="G208" s="49" t="n"/>
      <c r="H208" s="19" t="n"/>
      <c r="I208" s="9" t="n"/>
    </row>
    <row r="209">
      <c r="A209" s="9" t="n"/>
      <c r="B209" s="9" t="n"/>
      <c r="C209" s="49" t="n"/>
      <c r="D209" s="19" t="n"/>
      <c r="E209" s="19" t="n"/>
      <c r="F209" s="19" t="n"/>
      <c r="G209" s="49" t="n"/>
      <c r="H209" s="19" t="n"/>
      <c r="I209" s="9" t="n"/>
    </row>
    <row r="210">
      <c r="A210" s="9" t="n"/>
      <c r="B210" s="9" t="n"/>
      <c r="C210" s="49" t="n"/>
      <c r="D210" s="19" t="n"/>
      <c r="E210" s="19" t="n"/>
      <c r="F210" s="19" t="n"/>
      <c r="G210" s="49" t="n"/>
      <c r="H210" s="19" t="n"/>
      <c r="I210" s="9" t="n"/>
    </row>
    <row r="211">
      <c r="A211" s="9" t="n"/>
      <c r="B211" s="9" t="n"/>
      <c r="C211" s="49" t="n"/>
      <c r="D211" s="19" t="n"/>
      <c r="E211" s="19" t="n"/>
      <c r="F211" s="19" t="n"/>
      <c r="G211" s="49" t="n"/>
      <c r="H211" s="19" t="n"/>
      <c r="I211" s="9" t="n"/>
    </row>
    <row r="212">
      <c r="A212" s="9" t="n"/>
      <c r="B212" s="9" t="n"/>
      <c r="C212" s="49" t="n"/>
      <c r="D212" s="19" t="n"/>
      <c r="E212" s="19" t="n"/>
      <c r="F212" s="19" t="n"/>
      <c r="G212" s="49" t="n"/>
      <c r="H212" s="19" t="n"/>
      <c r="I212" s="9" t="n"/>
    </row>
    <row r="213">
      <c r="A213" s="9" t="n"/>
      <c r="B213" s="9" t="n"/>
      <c r="C213" s="49" t="n"/>
      <c r="D213" s="19" t="n"/>
      <c r="E213" s="19" t="n"/>
      <c r="F213" s="19" t="n"/>
      <c r="G213" s="49" t="n"/>
      <c r="H213" s="19" t="n"/>
      <c r="I213" s="9" t="n"/>
    </row>
    <row r="214">
      <c r="A214" s="9" t="n"/>
      <c r="B214" s="9" t="n"/>
      <c r="C214" s="49" t="n"/>
      <c r="D214" s="19" t="n"/>
      <c r="E214" s="19" t="n"/>
      <c r="F214" s="19" t="n"/>
      <c r="G214" s="49" t="n"/>
      <c r="H214" s="19" t="n"/>
      <c r="I214" s="9" t="n"/>
    </row>
    <row r="215">
      <c r="A215" s="9" t="n"/>
      <c r="B215" s="9" t="n"/>
      <c r="C215" s="49" t="n"/>
      <c r="D215" s="19" t="n"/>
      <c r="E215" s="19" t="n"/>
      <c r="F215" s="19" t="n"/>
      <c r="G215" s="49" t="n"/>
      <c r="H215" s="19" t="n"/>
      <c r="I215" s="9" t="n"/>
    </row>
    <row r="216">
      <c r="A216" s="9" t="n"/>
      <c r="B216" s="9" t="n"/>
      <c r="C216" s="49" t="n"/>
      <c r="D216" s="19" t="n"/>
      <c r="E216" s="19" t="n"/>
      <c r="F216" s="19" t="n"/>
      <c r="G216" s="49" t="n"/>
      <c r="H216" s="19" t="n"/>
      <c r="I216" s="9" t="n"/>
    </row>
    <row r="217">
      <c r="A217" s="9" t="n"/>
      <c r="B217" s="9" t="n"/>
      <c r="C217" s="49" t="n"/>
      <c r="D217" s="19" t="n"/>
      <c r="E217" s="19" t="n"/>
      <c r="F217" s="19" t="n"/>
      <c r="G217" s="49" t="n"/>
      <c r="H217" s="19" t="n"/>
      <c r="I217" s="9" t="n"/>
    </row>
    <row r="218">
      <c r="A218" s="9" t="n"/>
      <c r="B218" s="9" t="n"/>
      <c r="C218" s="49" t="n"/>
      <c r="D218" s="19" t="n"/>
      <c r="E218" s="19" t="n"/>
      <c r="F218" s="19" t="n"/>
      <c r="G218" s="49" t="n"/>
      <c r="H218" s="19" t="n"/>
      <c r="I218" s="9" t="n"/>
    </row>
    <row r="219">
      <c r="A219" s="9" t="n"/>
      <c r="B219" s="9" t="n"/>
      <c r="C219" s="49" t="n"/>
      <c r="D219" s="19" t="n"/>
      <c r="E219" s="19" t="n"/>
      <c r="F219" s="19" t="n"/>
      <c r="G219" s="49" t="n"/>
      <c r="H219" s="19" t="n"/>
      <c r="I219" s="9" t="n"/>
    </row>
    <row r="220">
      <c r="A220" s="9" t="n"/>
      <c r="B220" s="9" t="n"/>
      <c r="C220" s="49" t="n"/>
      <c r="D220" s="19" t="n"/>
      <c r="E220" s="19" t="n"/>
      <c r="F220" s="19" t="n"/>
      <c r="G220" s="49" t="n"/>
      <c r="H220" s="19" t="n"/>
      <c r="I220" s="9" t="n"/>
    </row>
    <row r="221">
      <c r="A221" s="9" t="n"/>
      <c r="B221" s="9" t="n"/>
      <c r="C221" s="49" t="n"/>
      <c r="D221" s="19" t="n"/>
      <c r="E221" s="19" t="n"/>
      <c r="F221" s="19" t="n"/>
      <c r="G221" s="49" t="n"/>
      <c r="H221" s="19" t="n"/>
      <c r="I221" s="9" t="n"/>
    </row>
    <row r="222">
      <c r="A222" s="9" t="n"/>
      <c r="B222" s="9" t="n"/>
      <c r="C222" s="49" t="n"/>
      <c r="D222" s="19" t="n"/>
      <c r="E222" s="19" t="n"/>
      <c r="F222" s="19" t="n"/>
      <c r="G222" s="49" t="n"/>
      <c r="H222" s="19" t="n"/>
      <c r="I222" s="9" t="n"/>
    </row>
    <row r="223">
      <c r="A223" s="9" t="n"/>
      <c r="B223" s="9" t="n"/>
      <c r="C223" s="49" t="n"/>
      <c r="D223" s="19" t="n"/>
      <c r="E223" s="19" t="n"/>
      <c r="F223" s="19" t="n"/>
      <c r="G223" s="49" t="n"/>
      <c r="H223" s="19" t="n"/>
      <c r="I223" s="9" t="n"/>
    </row>
    <row r="224">
      <c r="A224" s="9" t="n"/>
      <c r="B224" s="9" t="n"/>
      <c r="C224" s="49" t="n"/>
      <c r="D224" s="19" t="n"/>
      <c r="E224" s="19" t="n"/>
      <c r="F224" s="19" t="n"/>
      <c r="G224" s="49" t="n"/>
      <c r="H224" s="19" t="n"/>
      <c r="I224" s="9" t="n"/>
    </row>
    <row r="225">
      <c r="A225" s="9" t="n"/>
      <c r="B225" s="9" t="n"/>
      <c r="C225" s="49" t="n"/>
      <c r="D225" s="19" t="n"/>
      <c r="E225" s="19" t="n"/>
      <c r="F225" s="19" t="n"/>
      <c r="G225" s="49" t="n"/>
      <c r="H225" s="19" t="n"/>
      <c r="I225" s="9" t="n"/>
    </row>
    <row r="226">
      <c r="A226" s="9" t="n"/>
      <c r="B226" s="9" t="n"/>
      <c r="C226" s="49" t="n"/>
      <c r="D226" s="19" t="n"/>
      <c r="E226" s="19" t="n"/>
      <c r="F226" s="19" t="n"/>
      <c r="G226" s="49" t="n"/>
      <c r="H226" s="19" t="n"/>
      <c r="I226" s="9" t="n"/>
    </row>
    <row r="227">
      <c r="A227" s="9" t="n"/>
      <c r="B227" s="9" t="n"/>
      <c r="C227" s="49" t="n"/>
      <c r="D227" s="19" t="n"/>
      <c r="E227" s="19" t="n"/>
      <c r="F227" s="19" t="n"/>
      <c r="G227" s="49" t="n"/>
      <c r="H227" s="19" t="n"/>
      <c r="I227" s="9" t="n"/>
    </row>
    <row r="228">
      <c r="A228" s="9" t="n"/>
      <c r="B228" s="9" t="n"/>
      <c r="C228" s="49" t="n"/>
      <c r="D228" s="19" t="n"/>
      <c r="E228" s="19" t="n"/>
      <c r="F228" s="19" t="n"/>
      <c r="G228" s="49" t="n"/>
      <c r="H228" s="19" t="n"/>
      <c r="I228" s="9" t="n"/>
    </row>
    <row r="229">
      <c r="A229" s="9" t="n"/>
      <c r="B229" s="9" t="n"/>
      <c r="C229" s="49" t="n"/>
      <c r="D229" s="19" t="n"/>
      <c r="E229" s="19" t="n"/>
      <c r="F229" s="19" t="n"/>
      <c r="G229" s="49" t="n"/>
      <c r="H229" s="19" t="n"/>
      <c r="I229" s="9" t="n"/>
    </row>
    <row r="230">
      <c r="A230" s="9" t="n"/>
      <c r="B230" s="9" t="n"/>
      <c r="C230" s="49" t="n"/>
      <c r="D230" s="19" t="n"/>
      <c r="E230" s="19" t="n"/>
      <c r="F230" s="19" t="n"/>
      <c r="G230" s="49" t="n"/>
      <c r="H230" s="19" t="n"/>
      <c r="I230" s="9" t="n"/>
    </row>
    <row r="231">
      <c r="A231" s="9" t="n"/>
      <c r="B231" s="9" t="n"/>
      <c r="C231" s="49" t="n"/>
      <c r="D231" s="19" t="n"/>
      <c r="E231" s="19" t="n"/>
      <c r="F231" s="19" t="n"/>
      <c r="G231" s="49" t="n"/>
      <c r="H231" s="19" t="n"/>
      <c r="I231" s="9" t="n"/>
    </row>
    <row r="232">
      <c r="A232" s="9" t="n"/>
      <c r="B232" s="9" t="n"/>
      <c r="C232" s="49" t="n"/>
      <c r="D232" s="19" t="n"/>
      <c r="E232" s="19" t="n"/>
      <c r="F232" s="19" t="n"/>
      <c r="G232" s="49" t="n"/>
      <c r="H232" s="19" t="n"/>
      <c r="I232" s="9" t="n"/>
    </row>
    <row r="233">
      <c r="A233" s="9" t="n"/>
      <c r="B233" s="9" t="n"/>
      <c r="C233" s="49" t="n"/>
      <c r="D233" s="19" t="n"/>
      <c r="E233" s="19" t="n"/>
      <c r="F233" s="19" t="n"/>
      <c r="G233" s="49" t="n"/>
      <c r="H233" s="19" t="n"/>
      <c r="I233" s="9" t="n"/>
    </row>
    <row r="234">
      <c r="A234" s="9" t="n"/>
      <c r="B234" s="9" t="n"/>
      <c r="C234" s="49" t="n"/>
      <c r="D234" s="19" t="n"/>
      <c r="E234" s="19" t="n"/>
      <c r="F234" s="19" t="n"/>
      <c r="G234" s="49" t="n"/>
      <c r="H234" s="19" t="n"/>
      <c r="I234" s="9" t="n"/>
    </row>
    <row r="235">
      <c r="A235" s="9" t="n"/>
      <c r="B235" s="9" t="n"/>
      <c r="C235" s="49" t="n"/>
      <c r="D235" s="19" t="n"/>
      <c r="E235" s="19" t="n"/>
      <c r="F235" s="19" t="n"/>
      <c r="G235" s="49" t="n"/>
      <c r="H235" s="19" t="n"/>
      <c r="I235" s="9" t="n"/>
    </row>
    <row r="236">
      <c r="A236" s="9" t="n"/>
      <c r="B236" s="9" t="n"/>
      <c r="C236" s="49" t="n"/>
      <c r="D236" s="19" t="n"/>
      <c r="E236" s="19" t="n"/>
      <c r="F236" s="19" t="n"/>
      <c r="G236" s="49" t="n"/>
      <c r="H236" s="19" t="n"/>
      <c r="I236" s="9" t="n"/>
    </row>
    <row r="237">
      <c r="A237" s="9" t="n"/>
      <c r="B237" s="9" t="n"/>
      <c r="C237" s="49" t="n"/>
      <c r="D237" s="19" t="n"/>
      <c r="E237" s="19" t="n"/>
      <c r="F237" s="19" t="n"/>
      <c r="G237" s="49" t="n"/>
      <c r="H237" s="19" t="n"/>
      <c r="I237" s="9" t="n"/>
    </row>
    <row r="238">
      <c r="A238" s="9" t="n"/>
      <c r="B238" s="9" t="n"/>
      <c r="C238" s="49" t="n"/>
      <c r="D238" s="19" t="n"/>
      <c r="E238" s="19" t="n"/>
      <c r="F238" s="19" t="n"/>
      <c r="G238" s="49" t="n"/>
      <c r="H238" s="19" t="n"/>
      <c r="I238" s="9" t="n"/>
    </row>
    <row r="239">
      <c r="A239" s="9" t="n"/>
      <c r="B239" s="9" t="n"/>
      <c r="C239" s="49" t="n"/>
      <c r="D239" s="19" t="n"/>
      <c r="E239" s="19" t="n"/>
      <c r="F239" s="19" t="n"/>
      <c r="G239" s="49" t="n"/>
      <c r="H239" s="19" t="n"/>
      <c r="I239" s="9" t="n"/>
    </row>
    <row r="240">
      <c r="A240" s="9" t="n"/>
      <c r="B240" s="9" t="n"/>
      <c r="C240" s="49" t="n"/>
      <c r="D240" s="19" t="n"/>
      <c r="E240" s="19" t="n"/>
      <c r="F240" s="19" t="n"/>
      <c r="G240" s="49" t="n"/>
      <c r="H240" s="19" t="n"/>
      <c r="I240" s="9" t="n"/>
    </row>
    <row r="241">
      <c r="A241" s="9" t="n"/>
      <c r="B241" s="9" t="n"/>
      <c r="C241" s="49" t="n"/>
      <c r="D241" s="19" t="n"/>
      <c r="E241" s="19" t="n"/>
      <c r="F241" s="19" t="n"/>
      <c r="G241" s="49" t="n"/>
      <c r="H241" s="19" t="n"/>
      <c r="I241" s="9" t="n"/>
    </row>
    <row r="242">
      <c r="A242" s="9" t="n"/>
      <c r="B242" s="9" t="n"/>
      <c r="C242" s="49" t="n"/>
      <c r="D242" s="19" t="n"/>
      <c r="E242" s="19" t="n"/>
      <c r="F242" s="19" t="n"/>
      <c r="G242" s="49" t="n"/>
      <c r="H242" s="19" t="n"/>
      <c r="I242" s="9" t="n"/>
    </row>
    <row r="243">
      <c r="A243" s="9" t="n"/>
      <c r="B243" s="9" t="n"/>
      <c r="C243" s="49" t="n"/>
      <c r="D243" s="19" t="n"/>
      <c r="E243" s="19" t="n"/>
      <c r="F243" s="19" t="n"/>
      <c r="G243" s="49" t="n"/>
      <c r="H243" s="19" t="n"/>
      <c r="I243" s="9" t="n"/>
    </row>
    <row r="244">
      <c r="A244" s="9" t="n"/>
      <c r="B244" s="9" t="n"/>
      <c r="C244" s="49" t="n"/>
      <c r="D244" s="19" t="n"/>
      <c r="E244" s="19" t="n"/>
      <c r="F244" s="19" t="n"/>
      <c r="G244" s="49" t="n"/>
      <c r="H244" s="19" t="n"/>
      <c r="I244" s="9" t="n"/>
    </row>
    <row r="245">
      <c r="A245" s="9" t="n"/>
      <c r="B245" s="9" t="n"/>
      <c r="C245" s="49" t="n"/>
      <c r="D245" s="19" t="n"/>
      <c r="E245" s="19" t="n"/>
      <c r="F245" s="19" t="n"/>
      <c r="G245" s="49" t="n"/>
      <c r="H245" s="19" t="n"/>
      <c r="I245" s="9" t="n"/>
    </row>
    <row r="246">
      <c r="A246" s="9" t="n"/>
      <c r="B246" s="9" t="n"/>
      <c r="C246" s="49" t="n"/>
      <c r="D246" s="19" t="n"/>
      <c r="E246" s="19" t="n"/>
      <c r="F246" s="19" t="n"/>
      <c r="G246" s="49" t="n"/>
      <c r="H246" s="19" t="n"/>
      <c r="I246" s="9" t="n"/>
    </row>
    <row r="247">
      <c r="A247" s="9" t="n"/>
      <c r="B247" s="9" t="n"/>
      <c r="C247" s="49" t="n"/>
      <c r="D247" s="19" t="n"/>
      <c r="E247" s="19" t="n"/>
      <c r="F247" s="19" t="n"/>
      <c r="G247" s="49" t="n"/>
      <c r="H247" s="19" t="n"/>
      <c r="I247" s="9" t="n"/>
    </row>
    <row r="248">
      <c r="A248" s="9" t="n"/>
      <c r="B248" s="9" t="n"/>
      <c r="C248" s="49" t="n"/>
      <c r="D248" s="19" t="n"/>
      <c r="E248" s="19" t="n"/>
      <c r="F248" s="19" t="n"/>
      <c r="G248" s="49" t="n"/>
      <c r="H248" s="19" t="n"/>
      <c r="I248" s="9" t="n"/>
    </row>
    <row r="249">
      <c r="A249" s="9" t="n"/>
      <c r="B249" s="9" t="n"/>
      <c r="C249" s="49" t="n"/>
      <c r="D249" s="19" t="n"/>
      <c r="E249" s="19" t="n"/>
      <c r="F249" s="19" t="n"/>
      <c r="G249" s="49" t="n"/>
      <c r="H249" s="19" t="n"/>
      <c r="I249" s="9" t="n"/>
    </row>
    <row r="250">
      <c r="A250" s="9" t="n"/>
      <c r="B250" s="9" t="n"/>
      <c r="C250" s="49" t="n"/>
      <c r="D250" s="19" t="n"/>
      <c r="E250" s="19" t="n"/>
      <c r="F250" s="19" t="n"/>
      <c r="G250" s="49" t="n"/>
      <c r="H250" s="19" t="n"/>
      <c r="I250" s="9" t="n"/>
    </row>
    <row r="251">
      <c r="A251" s="9" t="n"/>
      <c r="B251" s="9" t="n"/>
      <c r="C251" s="49" t="n"/>
      <c r="D251" s="19" t="n"/>
      <c r="E251" s="19" t="n"/>
      <c r="F251" s="19" t="n"/>
      <c r="G251" s="49" t="n"/>
      <c r="H251" s="19" t="n"/>
      <c r="I251" s="9" t="n"/>
    </row>
    <row r="252">
      <c r="A252" s="9" t="n"/>
      <c r="B252" s="9" t="n"/>
      <c r="C252" s="49" t="n"/>
      <c r="D252" s="19" t="n"/>
      <c r="E252" s="19" t="n"/>
      <c r="F252" s="19" t="n"/>
      <c r="G252" s="49" t="n"/>
      <c r="H252" s="19" t="n"/>
      <c r="I252" s="9" t="n"/>
    </row>
    <row r="253">
      <c r="A253" s="9" t="n"/>
      <c r="B253" s="9" t="n"/>
      <c r="C253" s="49" t="n"/>
      <c r="D253" s="19" t="n"/>
      <c r="E253" s="19" t="n"/>
      <c r="F253" s="19" t="n"/>
      <c r="G253" s="49" t="n"/>
      <c r="H253" s="19" t="n"/>
      <c r="I253" s="9" t="n"/>
    </row>
    <row r="254">
      <c r="A254" s="9" t="n"/>
      <c r="B254" s="9" t="n"/>
      <c r="C254" s="49" t="n"/>
      <c r="D254" s="19" t="n"/>
      <c r="E254" s="19" t="n"/>
      <c r="F254" s="19" t="n"/>
      <c r="G254" s="49" t="n"/>
      <c r="H254" s="19" t="n"/>
      <c r="I254" s="9" t="n"/>
    </row>
    <row r="255">
      <c r="A255" s="9" t="n"/>
      <c r="B255" s="9" t="n"/>
      <c r="C255" s="49" t="n"/>
      <c r="D255" s="19" t="n"/>
      <c r="E255" s="19" t="n"/>
      <c r="F255" s="19" t="n"/>
      <c r="G255" s="49" t="n"/>
      <c r="H255" s="19" t="n"/>
      <c r="I255" s="9" t="n"/>
    </row>
    <row r="256">
      <c r="A256" s="9" t="n"/>
      <c r="B256" s="9" t="n"/>
      <c r="C256" s="49" t="n"/>
      <c r="D256" s="19" t="n"/>
      <c r="E256" s="19" t="n"/>
      <c r="F256" s="19" t="n"/>
      <c r="G256" s="49" t="n"/>
      <c r="H256" s="19" t="n"/>
      <c r="I256" s="9" t="n"/>
    </row>
    <row r="257">
      <c r="A257" s="9" t="n"/>
      <c r="B257" s="9" t="n"/>
      <c r="C257" s="49" t="n"/>
      <c r="D257" s="19" t="n"/>
      <c r="E257" s="19" t="n"/>
      <c r="F257" s="19" t="n"/>
      <c r="G257" s="49" t="n"/>
      <c r="H257" s="19" t="n"/>
      <c r="I257" s="9" t="n"/>
    </row>
    <row r="258">
      <c r="A258" s="9" t="n"/>
      <c r="B258" s="9" t="n"/>
      <c r="C258" s="49" t="n"/>
      <c r="D258" s="19" t="n"/>
      <c r="E258" s="19" t="n"/>
      <c r="F258" s="19" t="n"/>
      <c r="G258" s="49" t="n"/>
      <c r="H258" s="19" t="n"/>
      <c r="I258" s="9" t="n"/>
    </row>
    <row r="259">
      <c r="A259" s="9" t="n"/>
      <c r="B259" s="9" t="n"/>
      <c r="C259" s="49" t="n"/>
      <c r="D259" s="19" t="n"/>
      <c r="E259" s="19" t="n"/>
      <c r="F259" s="19" t="n"/>
      <c r="G259" s="49" t="n"/>
      <c r="H259" s="19" t="n"/>
      <c r="I259" s="9" t="n"/>
    </row>
    <row r="260">
      <c r="A260" s="9" t="n"/>
      <c r="B260" s="9" t="n"/>
      <c r="C260" s="49" t="n"/>
      <c r="D260" s="19" t="n"/>
      <c r="E260" s="19" t="n"/>
      <c r="F260" s="19" t="n"/>
      <c r="G260" s="49" t="n"/>
      <c r="H260" s="19" t="n"/>
      <c r="I260" s="9" t="n"/>
    </row>
    <row r="261">
      <c r="A261" s="9" t="n"/>
      <c r="B261" s="9" t="n"/>
      <c r="C261" s="49" t="n"/>
      <c r="D261" s="19" t="n"/>
      <c r="E261" s="19" t="n"/>
      <c r="F261" s="19" t="n"/>
      <c r="G261" s="49" t="n"/>
      <c r="H261" s="19" t="n"/>
      <c r="I261" s="9" t="n"/>
    </row>
    <row r="262">
      <c r="A262" s="9" t="n"/>
      <c r="B262" s="9" t="n"/>
      <c r="C262" s="49" t="n"/>
      <c r="D262" s="19" t="n"/>
      <c r="E262" s="19" t="n"/>
      <c r="F262" s="19" t="n"/>
      <c r="G262" s="49" t="n"/>
      <c r="H262" s="19" t="n"/>
      <c r="I262" s="9" t="n"/>
    </row>
    <row r="263">
      <c r="A263" s="9" t="n"/>
      <c r="B263" s="9" t="n"/>
      <c r="C263" s="49" t="n"/>
      <c r="D263" s="19" t="n"/>
      <c r="E263" s="19" t="n"/>
      <c r="F263" s="19" t="n"/>
      <c r="G263" s="49" t="n"/>
      <c r="H263" s="19" t="n"/>
      <c r="I263" s="9" t="n"/>
    </row>
    <row r="264">
      <c r="A264" s="9" t="n"/>
      <c r="B264" s="9" t="n"/>
      <c r="C264" s="49" t="n"/>
      <c r="D264" s="19" t="n"/>
      <c r="E264" s="19" t="n"/>
      <c r="F264" s="19" t="n"/>
      <c r="G264" s="49" t="n"/>
      <c r="H264" s="19" t="n"/>
      <c r="I264" s="9" t="n"/>
    </row>
    <row r="265">
      <c r="A265" s="9" t="n"/>
      <c r="B265" s="9" t="n"/>
      <c r="C265" s="49" t="n"/>
      <c r="D265" s="19" t="n"/>
      <c r="E265" s="19" t="n"/>
      <c r="F265" s="19" t="n"/>
      <c r="G265" s="49" t="n"/>
      <c r="H265" s="19" t="n"/>
      <c r="I265" s="9" t="n"/>
    </row>
    <row r="266">
      <c r="A266" s="9" t="n"/>
      <c r="B266" s="9" t="n"/>
      <c r="C266" s="49" t="n"/>
      <c r="D266" s="19" t="n"/>
      <c r="E266" s="19" t="n"/>
      <c r="F266" s="19" t="n"/>
      <c r="G266" s="49" t="n"/>
      <c r="H266" s="19" t="n"/>
      <c r="I266" s="9" t="n"/>
    </row>
    <row r="267">
      <c r="A267" s="9" t="n"/>
      <c r="B267" s="9" t="n"/>
      <c r="C267" s="49" t="n"/>
      <c r="D267" s="19" t="n"/>
      <c r="E267" s="19" t="n"/>
      <c r="F267" s="19" t="n"/>
      <c r="G267" s="49" t="n"/>
      <c r="H267" s="19" t="n"/>
      <c r="I267" s="9" t="n"/>
    </row>
    <row r="268">
      <c r="A268" s="9" t="n"/>
      <c r="B268" s="9" t="n"/>
      <c r="C268" s="49" t="n"/>
      <c r="D268" s="19" t="n"/>
      <c r="E268" s="19" t="n"/>
      <c r="F268" s="19" t="n"/>
      <c r="G268" s="49" t="n"/>
      <c r="H268" s="19" t="n"/>
      <c r="I268" s="9" t="n"/>
    </row>
    <row r="269">
      <c r="A269" s="9" t="n"/>
      <c r="B269" s="9" t="n"/>
      <c r="C269" s="49" t="n"/>
      <c r="D269" s="19" t="n"/>
      <c r="E269" s="19" t="n"/>
      <c r="F269" s="19" t="n"/>
      <c r="G269" s="49" t="n"/>
      <c r="H269" s="19" t="n"/>
      <c r="I269" s="9" t="n"/>
    </row>
    <row r="270">
      <c r="A270" s="9" t="n"/>
      <c r="B270" s="9" t="n"/>
      <c r="C270" s="49" t="n"/>
      <c r="D270" s="19" t="n"/>
      <c r="E270" s="19" t="n"/>
      <c r="F270" s="19" t="n"/>
      <c r="G270" s="49" t="n"/>
      <c r="H270" s="19" t="n"/>
      <c r="I270" s="9" t="n"/>
    </row>
    <row r="271">
      <c r="A271" s="9" t="n"/>
      <c r="B271" s="9" t="n"/>
      <c r="C271" s="49" t="n"/>
      <c r="D271" s="19" t="n"/>
      <c r="E271" s="19" t="n"/>
      <c r="F271" s="19" t="n"/>
      <c r="G271" s="49" t="n"/>
      <c r="H271" s="19" t="n"/>
      <c r="I271" s="9" t="n"/>
    </row>
    <row r="272">
      <c r="A272" s="9" t="n"/>
      <c r="B272" s="9" t="n"/>
      <c r="C272" s="49" t="n"/>
      <c r="D272" s="19" t="n"/>
      <c r="E272" s="19" t="n"/>
      <c r="F272" s="19" t="n"/>
      <c r="G272" s="49" t="n"/>
      <c r="H272" s="19" t="n"/>
      <c r="I272" s="9" t="n"/>
    </row>
    <row r="273">
      <c r="A273" s="9" t="n"/>
      <c r="B273" s="9" t="n"/>
      <c r="C273" s="49" t="n"/>
      <c r="D273" s="19" t="n"/>
      <c r="E273" s="19" t="n"/>
      <c r="F273" s="19" t="n"/>
      <c r="G273" s="49" t="n"/>
      <c r="H273" s="19" t="n"/>
      <c r="I273" s="9" t="n"/>
    </row>
    <row r="274">
      <c r="A274" s="9" t="n"/>
      <c r="B274" s="9" t="n"/>
      <c r="C274" s="49" t="n"/>
      <c r="D274" s="19" t="n"/>
      <c r="E274" s="19" t="n"/>
      <c r="F274" s="19" t="n"/>
      <c r="G274" s="49" t="n"/>
      <c r="H274" s="19" t="n"/>
      <c r="I274" s="9" t="n"/>
    </row>
    <row r="275">
      <c r="A275" s="9" t="n"/>
      <c r="B275" s="9" t="n"/>
      <c r="C275" s="49" t="n"/>
      <c r="D275" s="19" t="n"/>
      <c r="E275" s="19" t="n"/>
      <c r="F275" s="19" t="n"/>
      <c r="G275" s="49" t="n"/>
      <c r="H275" s="19" t="n"/>
      <c r="I275" s="9" t="n"/>
    </row>
    <row r="276">
      <c r="A276" s="9" t="n"/>
      <c r="B276" s="9" t="n"/>
      <c r="C276" s="49" t="n"/>
      <c r="D276" s="19" t="n"/>
      <c r="E276" s="19" t="n"/>
      <c r="F276" s="19" t="n"/>
      <c r="G276" s="49" t="n"/>
      <c r="H276" s="19" t="n"/>
      <c r="I276" s="9" t="n"/>
    </row>
    <row r="277">
      <c r="A277" s="9" t="n"/>
      <c r="B277" s="9" t="n"/>
      <c r="C277" s="49" t="n"/>
      <c r="D277" s="19" t="n"/>
      <c r="E277" s="19" t="n"/>
      <c r="F277" s="19" t="n"/>
      <c r="G277" s="49" t="n"/>
      <c r="H277" s="19" t="n"/>
      <c r="I277" s="9" t="n"/>
    </row>
    <row r="278">
      <c r="A278" s="9" t="n"/>
      <c r="B278" s="9" t="n"/>
      <c r="C278" s="49" t="n"/>
      <c r="D278" s="19" t="n"/>
      <c r="E278" s="19" t="n"/>
      <c r="F278" s="19" t="n"/>
      <c r="G278" s="49" t="n"/>
      <c r="H278" s="19" t="n"/>
      <c r="I278" s="9" t="n"/>
    </row>
    <row r="279">
      <c r="A279" s="9" t="n"/>
      <c r="B279" s="9" t="n"/>
      <c r="C279" s="49" t="n"/>
      <c r="D279" s="19" t="n"/>
      <c r="E279" s="19" t="n"/>
      <c r="F279" s="19" t="n"/>
      <c r="G279" s="49" t="n"/>
      <c r="H279" s="19" t="n"/>
      <c r="I279" s="9" t="n"/>
    </row>
    <row r="280">
      <c r="A280" s="9" t="n"/>
      <c r="B280" s="9" t="n"/>
      <c r="C280" s="49" t="n"/>
      <c r="D280" s="19" t="n"/>
      <c r="E280" s="19" t="n"/>
      <c r="F280" s="19" t="n"/>
      <c r="G280" s="49" t="n"/>
      <c r="H280" s="19" t="n"/>
      <c r="I280" s="9" t="n"/>
    </row>
    <row r="281">
      <c r="A281" s="9" t="n"/>
      <c r="B281" s="9" t="n"/>
      <c r="C281" s="49" t="n"/>
      <c r="D281" s="19" t="n"/>
      <c r="E281" s="19" t="n"/>
      <c r="F281" s="19" t="n"/>
      <c r="G281" s="49" t="n"/>
      <c r="H281" s="19" t="n"/>
      <c r="I281" s="9" t="n"/>
    </row>
    <row r="282">
      <c r="A282" s="9" t="n"/>
      <c r="B282" s="9" t="n"/>
      <c r="C282" s="49" t="n"/>
      <c r="D282" s="19" t="n"/>
      <c r="E282" s="19" t="n"/>
      <c r="F282" s="19" t="n"/>
      <c r="G282" s="49" t="n"/>
      <c r="H282" s="19" t="n"/>
      <c r="I282" s="9" t="n"/>
    </row>
    <row r="283">
      <c r="A283" s="9" t="n"/>
      <c r="B283" s="9" t="n"/>
      <c r="C283" s="49" t="n"/>
      <c r="D283" s="19" t="n"/>
      <c r="E283" s="19" t="n"/>
      <c r="F283" s="19" t="n"/>
      <c r="G283" s="49" t="n"/>
      <c r="H283" s="19" t="n"/>
      <c r="I283" s="9" t="n"/>
    </row>
    <row r="284">
      <c r="A284" s="9" t="n"/>
      <c r="B284" s="9" t="n"/>
      <c r="C284" s="49" t="n"/>
      <c r="D284" s="19" t="n"/>
      <c r="E284" s="19" t="n"/>
      <c r="F284" s="19" t="n"/>
      <c r="G284" s="49" t="n"/>
      <c r="H284" s="19" t="n"/>
      <c r="I284" s="9" t="n"/>
    </row>
    <row r="285">
      <c r="A285" s="9" t="n"/>
      <c r="B285" s="9" t="n"/>
      <c r="C285" s="49" t="n"/>
      <c r="D285" s="19" t="n"/>
      <c r="E285" s="19" t="n"/>
      <c r="F285" s="19" t="n"/>
      <c r="G285" s="49" t="n"/>
      <c r="H285" s="19" t="n"/>
      <c r="I285" s="9" t="n"/>
    </row>
    <row r="286">
      <c r="A286" s="9" t="n"/>
      <c r="B286" s="9" t="n"/>
      <c r="C286" s="49" t="n"/>
      <c r="D286" s="19" t="n"/>
      <c r="E286" s="19" t="n"/>
      <c r="F286" s="19" t="n"/>
      <c r="G286" s="49" t="n"/>
      <c r="H286" s="19" t="n"/>
      <c r="I286" s="9" t="n"/>
    </row>
    <row r="287">
      <c r="A287" s="9" t="n"/>
      <c r="B287" s="9" t="n"/>
      <c r="C287" s="49" t="n"/>
      <c r="D287" s="19" t="n"/>
      <c r="E287" s="19" t="n"/>
      <c r="F287" s="19" t="n"/>
      <c r="G287" s="49" t="n"/>
      <c r="H287" s="19" t="n"/>
      <c r="I287" s="9" t="n"/>
    </row>
    <row r="288">
      <c r="A288" s="9" t="n"/>
      <c r="B288" s="9" t="n"/>
      <c r="C288" s="49" t="n"/>
      <c r="D288" s="19" t="n"/>
      <c r="E288" s="19" t="n"/>
      <c r="F288" s="19" t="n"/>
      <c r="G288" s="49" t="n"/>
      <c r="H288" s="19" t="n"/>
      <c r="I288" s="9" t="n"/>
    </row>
    <row r="289">
      <c r="A289" s="9" t="n"/>
      <c r="B289" s="9" t="n"/>
      <c r="C289" s="49" t="n"/>
      <c r="D289" s="19" t="n"/>
      <c r="E289" s="19" t="n"/>
      <c r="F289" s="19" t="n"/>
      <c r="G289" s="49" t="n"/>
      <c r="H289" s="19" t="n"/>
      <c r="I289" s="9" t="n"/>
    </row>
    <row r="290">
      <c r="A290" s="9" t="n"/>
      <c r="B290" s="9" t="n"/>
      <c r="C290" s="49" t="n"/>
      <c r="D290" s="19" t="n"/>
      <c r="E290" s="19" t="n"/>
      <c r="F290" s="19" t="n"/>
      <c r="G290" s="49" t="n"/>
      <c r="H290" s="19" t="n"/>
      <c r="I290" s="9" t="n"/>
    </row>
    <row r="291">
      <c r="A291" s="9" t="n"/>
      <c r="B291" s="9" t="n"/>
      <c r="C291" s="49" t="n"/>
      <c r="D291" s="19" t="n"/>
      <c r="E291" s="19" t="n"/>
      <c r="F291" s="19" t="n"/>
      <c r="G291" s="49" t="n"/>
      <c r="H291" s="19" t="n"/>
      <c r="I291" s="9" t="n"/>
    </row>
    <row r="292">
      <c r="A292" s="9" t="n"/>
      <c r="B292" s="9" t="n"/>
      <c r="C292" s="49" t="n"/>
      <c r="D292" s="19" t="n"/>
      <c r="E292" s="19" t="n"/>
      <c r="F292" s="19" t="n"/>
      <c r="G292" s="49" t="n"/>
      <c r="H292" s="19" t="n"/>
      <c r="I292" s="9" t="n"/>
    </row>
    <row r="293">
      <c r="A293" s="9" t="n"/>
      <c r="B293" s="9" t="n"/>
      <c r="C293" s="49" t="n"/>
      <c r="D293" s="19" t="n"/>
      <c r="E293" s="19" t="n"/>
      <c r="F293" s="19" t="n"/>
      <c r="G293" s="49" t="n"/>
      <c r="H293" s="19" t="n"/>
      <c r="I293" s="9" t="n"/>
    </row>
    <row r="294">
      <c r="A294" s="9" t="n"/>
      <c r="B294" s="9" t="n"/>
      <c r="C294" s="49" t="n"/>
      <c r="D294" s="19" t="n"/>
      <c r="E294" s="19" t="n"/>
      <c r="F294" s="19" t="n"/>
      <c r="G294" s="49" t="n"/>
      <c r="H294" s="19" t="n"/>
      <c r="I294" s="9" t="n"/>
    </row>
    <row r="295">
      <c r="A295" s="9" t="n"/>
      <c r="B295" s="9" t="n"/>
      <c r="C295" s="49" t="n"/>
      <c r="D295" s="19" t="n"/>
      <c r="E295" s="19" t="n"/>
      <c r="F295" s="19" t="n"/>
      <c r="G295" s="49" t="n"/>
      <c r="H295" s="19" t="n"/>
      <c r="I295" s="9" t="n"/>
    </row>
    <row r="296">
      <c r="A296" s="9" t="n"/>
      <c r="B296" s="9" t="n"/>
      <c r="C296" s="49" t="n"/>
      <c r="D296" s="19" t="n"/>
      <c r="E296" s="19" t="n"/>
      <c r="F296" s="19" t="n"/>
      <c r="G296" s="49" t="n"/>
      <c r="H296" s="19" t="n"/>
      <c r="I296" s="9" t="n"/>
    </row>
    <row r="297">
      <c r="A297" s="9" t="n"/>
      <c r="B297" s="9" t="n"/>
      <c r="C297" s="49" t="n"/>
      <c r="D297" s="19" t="n"/>
      <c r="E297" s="19" t="n"/>
      <c r="F297" s="19" t="n"/>
      <c r="G297" s="49" t="n"/>
      <c r="H297" s="19" t="n"/>
      <c r="I297" s="9" t="n"/>
    </row>
    <row r="298">
      <c r="A298" s="9" t="n"/>
      <c r="B298" s="9" t="n"/>
      <c r="C298" s="49" t="n"/>
      <c r="D298" s="19" t="n"/>
      <c r="E298" s="19" t="n"/>
      <c r="F298" s="19" t="n"/>
      <c r="G298" s="49" t="n"/>
      <c r="H298" s="19" t="n"/>
      <c r="I298" s="9" t="n"/>
    </row>
    <row r="299">
      <c r="A299" s="9" t="n"/>
      <c r="B299" s="9" t="n"/>
      <c r="C299" s="49" t="n"/>
      <c r="D299" s="19" t="n"/>
      <c r="E299" s="19" t="n"/>
      <c r="F299" s="19" t="n"/>
      <c r="G299" s="49" t="n"/>
      <c r="H299" s="19" t="n"/>
      <c r="I299" s="9" t="n"/>
    </row>
    <row r="300">
      <c r="A300" s="9" t="n"/>
      <c r="B300" s="9" t="n"/>
      <c r="C300" s="49" t="n"/>
      <c r="D300" s="19" t="n"/>
      <c r="E300" s="19" t="n"/>
      <c r="F300" s="19" t="n"/>
      <c r="G300" s="49" t="n"/>
      <c r="H300" s="19" t="n"/>
      <c r="I300" s="9" t="n"/>
    </row>
    <row r="301">
      <c r="A301" s="9" t="n"/>
      <c r="B301" s="9" t="n"/>
      <c r="C301" s="49" t="n"/>
      <c r="D301" s="19" t="n"/>
      <c r="E301" s="19" t="n"/>
      <c r="F301" s="19" t="n"/>
      <c r="G301" s="49" t="n"/>
      <c r="H301" s="19" t="n"/>
      <c r="I301" s="9" t="n"/>
    </row>
    <row r="302">
      <c r="A302" s="9" t="n"/>
      <c r="B302" s="9" t="n"/>
      <c r="C302" s="49" t="n"/>
      <c r="D302" s="19" t="n"/>
      <c r="E302" s="19" t="n"/>
      <c r="F302" s="19" t="n"/>
      <c r="G302" s="49" t="n"/>
      <c r="H302" s="19" t="n"/>
      <c r="I302" s="9" t="n"/>
    </row>
    <row r="303">
      <c r="A303" s="9" t="n"/>
      <c r="B303" s="9" t="n"/>
      <c r="C303" s="49" t="n"/>
      <c r="D303" s="19" t="n"/>
      <c r="E303" s="19" t="n"/>
      <c r="F303" s="19" t="n"/>
      <c r="G303" s="49" t="n"/>
      <c r="H303" s="19" t="n"/>
      <c r="I303" s="9" t="n"/>
    </row>
    <row r="304">
      <c r="A304" s="9" t="n"/>
      <c r="B304" s="9" t="n"/>
      <c r="C304" s="49" t="n"/>
      <c r="D304" s="19" t="n"/>
      <c r="E304" s="19" t="n"/>
      <c r="F304" s="19" t="n"/>
      <c r="G304" s="49" t="n"/>
      <c r="H304" s="19"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7.xml><?xml version="1.0" encoding="utf-8"?>
<worksheet xmlns="http://schemas.openxmlformats.org/spreadsheetml/2006/main">
  <sheetPr codeName="Tabelle17">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2" t="inlineStr">
        <is>
          <t>Gewinde</t>
        </is>
      </c>
      <c r="B4" s="22" t="inlineStr">
        <is>
          <t>Kernloch Ø [mm]</t>
        </is>
      </c>
      <c r="C4" s="22" t="inlineStr">
        <is>
          <t>Zeit je Gewinde [s]</t>
        </is>
      </c>
      <c r="D4" s="22" t="inlineStr">
        <is>
          <t>Bemerkung</t>
        </is>
      </c>
    </row>
    <row r="5">
      <c r="A5" s="9" t="inlineStr">
        <is>
          <t>M3</t>
        </is>
      </c>
      <c r="B5" s="49" t="n">
        <v>2.5</v>
      </c>
      <c r="C5" s="24" t="n"/>
      <c r="D5" s="9" t="inlineStr">
        <is>
          <t>Zeit je Gewinde für Kalkulation in Schritt 4</t>
        </is>
      </c>
    </row>
    <row r="6">
      <c r="A6" s="9" t="inlineStr">
        <is>
          <t>M4</t>
        </is>
      </c>
      <c r="B6" s="49" t="n">
        <v>3.3</v>
      </c>
      <c r="C6" s="24" t="n"/>
      <c r="D6" s="9" t="n"/>
    </row>
    <row r="7">
      <c r="A7" s="9" t="inlineStr">
        <is>
          <t>M5</t>
        </is>
      </c>
      <c r="B7" s="49" t="n">
        <v>4.2</v>
      </c>
      <c r="C7" s="24" t="n"/>
      <c r="D7" s="9" t="n"/>
    </row>
    <row r="8">
      <c r="A8" s="9" t="inlineStr">
        <is>
          <t>M6</t>
        </is>
      </c>
      <c r="B8" s="49" t="n">
        <v>5</v>
      </c>
      <c r="C8" s="24" t="n"/>
      <c r="D8" s="9" t="n"/>
    </row>
    <row r="9">
      <c r="A9" s="9" t="inlineStr">
        <is>
          <t>M8</t>
        </is>
      </c>
      <c r="B9" s="49" t="n">
        <v>6.8</v>
      </c>
      <c r="C9" s="24" t="n"/>
      <c r="D9" s="9" t="n"/>
    </row>
    <row r="10">
      <c r="A10" s="9" t="inlineStr">
        <is>
          <t>M10</t>
        </is>
      </c>
      <c r="B10" s="49" t="n">
        <v>8.5</v>
      </c>
      <c r="C10" s="24" t="n"/>
      <c r="D10" s="9" t="n"/>
    </row>
    <row r="11">
      <c r="A11" s="9" t="inlineStr">
        <is>
          <t>M12</t>
        </is>
      </c>
      <c r="B11" s="49" t="n">
        <v>10.2</v>
      </c>
      <c r="C11" s="24" t="n"/>
      <c r="D11" s="9" t="n"/>
    </row>
    <row r="12">
      <c r="A12" s="9" t="inlineStr">
        <is>
          <t>M14</t>
        </is>
      </c>
      <c r="B12" s="49" t="n">
        <v>12</v>
      </c>
      <c r="C12" s="24" t="n"/>
      <c r="D12" s="9" t="n"/>
    </row>
    <row r="13">
      <c r="A13" s="9" t="inlineStr">
        <is>
          <t>M16</t>
        </is>
      </c>
      <c r="B13" s="49" t="n">
        <v>14</v>
      </c>
      <c r="C13" s="24" t="n"/>
      <c r="D13" s="9" t="n"/>
    </row>
    <row r="14">
      <c r="A14" s="9" t="inlineStr">
        <is>
          <t>M20</t>
        </is>
      </c>
      <c r="B14" s="49" t="n">
        <v>17.5</v>
      </c>
      <c r="C14" s="24" t="n"/>
      <c r="D14" s="9" t="n"/>
    </row>
    <row r="15">
      <c r="A15" s="9" t="n"/>
      <c r="B15" s="49" t="n"/>
      <c r="C15" s="24" t="n"/>
      <c r="D15" s="9" t="n"/>
    </row>
    <row r="16">
      <c r="A16" s="9" t="n"/>
      <c r="B16" s="49" t="n"/>
      <c r="C16" s="24" t="n"/>
      <c r="D16" s="9" t="n"/>
    </row>
    <row r="17">
      <c r="A17" s="9" t="n"/>
      <c r="B17" s="49" t="n"/>
      <c r="C17" s="24" t="n"/>
      <c r="D17" s="9" t="n"/>
    </row>
    <row r="18">
      <c r="A18" s="9" t="n"/>
      <c r="B18" s="49" t="n"/>
      <c r="C18" s="24" t="n"/>
      <c r="D18" s="9" t="n"/>
    </row>
    <row r="19">
      <c r="A19" s="9" t="n"/>
      <c r="B19" s="49" t="n"/>
      <c r="C19" s="24" t="n"/>
      <c r="D19" s="9" t="n"/>
    </row>
    <row r="20">
      <c r="A20" s="9" t="n"/>
      <c r="B20" s="49" t="n"/>
      <c r="C20" s="24" t="n"/>
      <c r="D20" s="9" t="n"/>
    </row>
    <row r="21">
      <c r="A21" s="9" t="n"/>
      <c r="B21" s="49" t="n"/>
      <c r="C21" s="24" t="n"/>
      <c r="D21" s="9" t="n"/>
    </row>
    <row r="22">
      <c r="A22" s="9" t="n"/>
      <c r="B22" s="49" t="n"/>
      <c r="C22" s="24" t="n"/>
      <c r="D22" s="9" t="n"/>
    </row>
    <row r="23">
      <c r="A23" s="9" t="n"/>
      <c r="B23" s="49" t="n"/>
      <c r="C23" s="24" t="n"/>
      <c r="D23" s="9" t="n"/>
    </row>
    <row r="24">
      <c r="A24" s="9" t="n"/>
      <c r="B24" s="49" t="n"/>
      <c r="C24" s="24" t="n"/>
      <c r="D24" s="9" t="n"/>
    </row>
    <row r="25">
      <c r="A25" s="9" t="n"/>
      <c r="B25" s="49" t="n"/>
      <c r="C25" s="24" t="n"/>
      <c r="D25" s="9" t="n"/>
    </row>
    <row r="26">
      <c r="A26" s="9" t="n"/>
      <c r="B26" s="49" t="n"/>
      <c r="C26" s="24" t="n"/>
      <c r="D26" s="9" t="n"/>
    </row>
    <row r="27">
      <c r="A27" s="9" t="n"/>
      <c r="B27" s="49" t="n"/>
      <c r="C27" s="24" t="n"/>
      <c r="D27" s="9" t="n"/>
    </row>
    <row r="28">
      <c r="A28" s="9" t="n"/>
      <c r="B28" s="49" t="n"/>
      <c r="C28" s="24" t="n"/>
      <c r="D28" s="9" t="n"/>
    </row>
    <row r="29">
      <c r="A29" s="9" t="n"/>
      <c r="B29" s="49" t="n"/>
      <c r="C29" s="24" t="n"/>
      <c r="D29" s="9" t="n"/>
    </row>
    <row r="30">
      <c r="A30" s="9" t="n"/>
      <c r="B30" s="49" t="n"/>
      <c r="C30" s="24" t="n"/>
      <c r="D30" s="9" t="n"/>
    </row>
    <row r="31">
      <c r="A31" s="9" t="n"/>
      <c r="B31" s="49" t="n"/>
      <c r="C31" s="24" t="n"/>
      <c r="D31" s="9" t="n"/>
    </row>
    <row r="32">
      <c r="A32" s="9" t="n"/>
      <c r="B32" s="49" t="n"/>
      <c r="C32" s="24" t="n"/>
      <c r="D32" s="9" t="n"/>
    </row>
    <row r="33">
      <c r="A33" s="9" t="n"/>
      <c r="B33" s="49" t="n"/>
      <c r="C33" s="24" t="n"/>
      <c r="D33" s="9" t="n"/>
    </row>
    <row r="34">
      <c r="A34" s="9" t="n"/>
      <c r="B34" s="49" t="n"/>
      <c r="C34" s="24" t="n"/>
      <c r="D34" s="9" t="n"/>
    </row>
    <row r="35">
      <c r="A35" s="9" t="n"/>
      <c r="B35" s="49" t="n"/>
      <c r="C35" s="24" t="n"/>
      <c r="D35" s="9" t="n"/>
    </row>
    <row r="36">
      <c r="A36" s="9" t="n"/>
      <c r="B36" s="49" t="n"/>
      <c r="C36" s="24" t="n"/>
      <c r="D36" s="9" t="n"/>
    </row>
    <row r="37">
      <c r="A37" s="9" t="n"/>
      <c r="B37" s="49" t="n"/>
      <c r="C37" s="24" t="n"/>
      <c r="D37" s="9" t="n"/>
    </row>
    <row r="38">
      <c r="A38" s="9" t="n"/>
      <c r="B38" s="49" t="n"/>
      <c r="C38" s="24" t="n"/>
      <c r="D38" s="9" t="n"/>
    </row>
    <row r="39">
      <c r="A39" s="9" t="n"/>
      <c r="B39" s="49" t="n"/>
      <c r="C39" s="24" t="n"/>
      <c r="D39" s="9" t="n"/>
    </row>
    <row r="40">
      <c r="A40" s="9" t="n"/>
      <c r="B40" s="49" t="n"/>
      <c r="C40" s="24" t="n"/>
      <c r="D40" s="9" t="n"/>
    </row>
    <row r="41">
      <c r="A41" s="9" t="n"/>
      <c r="B41" s="49" t="n"/>
      <c r="C41" s="24" t="n"/>
      <c r="D41" s="9" t="n"/>
    </row>
    <row r="42">
      <c r="A42" s="9" t="n"/>
      <c r="B42" s="49" t="n"/>
      <c r="C42" s="24" t="n"/>
      <c r="D42" s="9" t="n"/>
    </row>
    <row r="43">
      <c r="A43" s="9" t="n"/>
      <c r="B43" s="49" t="n"/>
      <c r="C43" s="24" t="n"/>
      <c r="D43" s="9" t="n"/>
    </row>
    <row r="44">
      <c r="A44" s="9" t="n"/>
      <c r="B44" s="49" t="n"/>
      <c r="C44" s="24" t="n"/>
      <c r="D44" s="9" t="n"/>
    </row>
    <row r="45">
      <c r="A45" s="9" t="n"/>
      <c r="B45" s="49" t="n"/>
      <c r="C45" s="24" t="n"/>
      <c r="D45" s="9" t="n"/>
    </row>
    <row r="46">
      <c r="A46" s="9" t="n"/>
      <c r="B46" s="49" t="n"/>
      <c r="C46" s="24" t="n"/>
      <c r="D46" s="9" t="n"/>
    </row>
    <row r="47">
      <c r="A47" s="9" t="n"/>
      <c r="B47" s="49" t="n"/>
      <c r="C47" s="24" t="n"/>
      <c r="D47" s="9" t="n"/>
    </row>
    <row r="48">
      <c r="A48" s="9" t="n"/>
      <c r="B48" s="49" t="n"/>
      <c r="C48" s="24" t="n"/>
      <c r="D48" s="9" t="n"/>
    </row>
    <row r="49">
      <c r="A49" s="9" t="n"/>
      <c r="B49" s="49" t="n"/>
      <c r="C49" s="24" t="n"/>
      <c r="D49" s="9" t="n"/>
    </row>
    <row r="50">
      <c r="A50" s="9" t="n"/>
      <c r="B50" s="49" t="n"/>
      <c r="C50" s="24" t="n"/>
      <c r="D50" s="9" t="n"/>
    </row>
    <row r="51">
      <c r="A51" s="9" t="n"/>
      <c r="B51" s="49" t="n"/>
      <c r="C51" s="24" t="n"/>
      <c r="D51" s="9" t="n"/>
    </row>
    <row r="52">
      <c r="A52" s="9" t="n"/>
      <c r="B52" s="49" t="n"/>
      <c r="C52" s="24" t="n"/>
      <c r="D52" s="9" t="n"/>
    </row>
    <row r="53">
      <c r="A53" s="9" t="n"/>
      <c r="B53" s="49" t="n"/>
      <c r="C53" s="24" t="n"/>
      <c r="D53" s="9" t="n"/>
    </row>
    <row r="54">
      <c r="A54" s="9" t="n"/>
      <c r="B54" s="49" t="n"/>
      <c r="C54" s="24"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8.xml><?xml version="1.0" encoding="utf-8"?>
<worksheet xmlns="http://schemas.openxmlformats.org/spreadsheetml/2006/main">
  <sheetPr codeName="Tabelle18">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6" t="inlineStr">
        <is>
          <t>Zeitpunkt</t>
        </is>
      </c>
      <c r="B4" s="46" t="inlineStr">
        <is>
          <t>Datei</t>
        </is>
      </c>
      <c r="C4" s="46" t="inlineStr">
        <is>
          <t>Körper</t>
        </is>
      </c>
      <c r="D4" s="46" t="inlineStr">
        <is>
          <t>Profilform</t>
        </is>
      </c>
      <c r="E4" s="46" t="inlineStr">
        <is>
          <t>Abm. A [mm]</t>
        </is>
      </c>
      <c r="F4" s="46" t="inlineStr">
        <is>
          <t>Abm. B [mm]</t>
        </is>
      </c>
      <c r="G4" s="46" t="inlineStr">
        <is>
          <t>Wandstärke [mm]</t>
        </is>
      </c>
      <c r="H4" s="46" t="inlineStr">
        <is>
          <t>Querschnitt [mm²]</t>
        </is>
      </c>
      <c r="I4" s="46" t="inlineStr">
        <is>
          <t>Länge [mm]</t>
        </is>
      </c>
      <c r="J4" s="46" t="inlineStr">
        <is>
          <t>Schneidweg ohne Gravur [mm]</t>
        </is>
      </c>
      <c r="K4" s="46" t="inlineStr">
        <is>
          <t>Einstiche</t>
        </is>
      </c>
      <c r="L4" s="46" t="inlineStr">
        <is>
          <t>Anfangsschnitt gerade</t>
        </is>
      </c>
      <c r="M4" s="46" t="inlineStr">
        <is>
          <t>Anfangsschnitt [mm]</t>
        </is>
      </c>
      <c r="N4" s="46" t="inlineStr">
        <is>
          <t>Endschnitt gerade</t>
        </is>
      </c>
      <c r="O4" s="46" t="inlineStr">
        <is>
          <t>Endschnitt [mm]</t>
        </is>
      </c>
      <c r="P4" s="46" t="inlineStr">
        <is>
          <t>Innenkonturen [mm]</t>
        </is>
      </c>
      <c r="Q4" s="46" t="inlineStr">
        <is>
          <t>Innenkonturen [Stk]</t>
        </is>
      </c>
      <c r="R4" s="46" t="inlineStr">
        <is>
          <t>Gravur [mm]</t>
        </is>
      </c>
      <c r="S4" s="46" t="inlineStr">
        <is>
          <t>Gravur [Stk]</t>
        </is>
      </c>
      <c r="T4" s="46" t="inlineStr">
        <is>
          <t>Bohrungen</t>
        </is>
      </c>
      <c r="U4" s="46" t="inlineStr">
        <is>
          <t>Gewinde-Vorschlag</t>
        </is>
      </c>
      <c r="V4" s="46" t="inlineStr">
        <is>
          <t>Kontur klein [Stk]</t>
        </is>
      </c>
      <c r="W4" s="46" t="inlineStr">
        <is>
          <t>Kontur klein [mm]</t>
        </is>
      </c>
      <c r="X4" s="46" t="inlineStr">
        <is>
          <t>Kontur mittel [Stk]</t>
        </is>
      </c>
      <c r="Y4" s="46" t="inlineStr">
        <is>
          <t>Kontur mittel [mm]</t>
        </is>
      </c>
      <c r="Z4" s="46" t="inlineStr">
        <is>
          <t>Kontur groß [Stk]</t>
        </is>
      </c>
      <c r="AA4" s="46" t="inlineStr">
        <is>
          <t>Kontur groß [mm]</t>
        </is>
      </c>
      <c r="AB4" s="46" t="inlineStr">
        <is>
          <t>Profil-ID</t>
        </is>
      </c>
      <c r="AC4" s="46" t="inlineStr">
        <is>
          <t>Zeile Auftrag</t>
        </is>
      </c>
      <c r="AD4" s="46"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und Auswertung."/>
        </group>
        <group id="grp2" label="Ausgabe (PDF)">
          <button id="btn2_1" label="Werkstattpapiere" imageMso="FilePrint" size="large" onAction="RbWerkstattpapiere" screentip="Werkstattpapiere" supertip="Materialliste und Schnittplan je Stange mit den Teilen in Schnittreihenfolge."/>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Staffeln">
          <button id="btn3_1" label="Staffelpreise rechnen" imageMso="TableInsertDialog" size="large" onAction="RbStaffelpreise" screentip="Staffelpreise rechnen" supertip="Jede Mengenstufe aus dem Blatt 'Staffeln' komplett neu rechnen und im Blatt 'Staffelpreise' eintragen."/>
        </group>
        <group id="grp4" label="Ablage">
          <button id="btn4_1" label="Auftrag speichern als" imageMso="FileSaveAs" size="large" onAction="RbSpeichern" screentip="Auftrag speichern als" supertip="Kopie der Mappe als &lt;Auftragsnummer&gt; &lt;Kunde&gt;.xlsm im Ordner Aufträge neben der Mappe speichern."/>
          <button id="btn4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2026-10-18T10:58:24Z</dcterms:created>
  <dcterms:modified xmlns:dcterms="http://purl.org/dc/terms/" xmlns:xsi="http://www.w3.org/2001/XMLSchema-instance" xsi:type="dcterms:W3CDTF">2026-10-18T10:58:25Z</dcterms:modified>
</cp:coreProperties>
</file>