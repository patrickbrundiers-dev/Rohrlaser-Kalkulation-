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Auftrag" sheetId="2" state="visible" r:id="rId4"/>
    <sheet name="Listen" sheetId="3" state="visible" r:id="rId5"/>
    <sheet name="Profile" sheetId="4" state="visible" r:id="rId6"/>
    <sheet name="Werkstoffe" sheetId="5" state="visible" r:id="rId7"/>
    <sheet name="Preise" sheetId="6" state="visible" r:id="rId8"/>
    <sheet name="Maschinen" sheetId="7" state="visible" r:id="rId9"/>
    <sheet name="Schneiddaten" sheetId="8" state="visible" r:id="rId10"/>
    <sheet name="Gewinde" sheetId="9" state="visible" r:id="rId11"/>
  </sheets>
  <definedNames>
    <definedName function="false" hidden="true" localSheetId="1" name="_xlnm._FilterDatabase" vbProcedure="false">Auftrag!$A$12:$AM$512</definedName>
    <definedName function="false" hidden="false" name="lst_JaNein" vbProcedure="false">Listen!$C$5:$C$6</definedName>
    <definedName function="false" hidden="false" name="lst_Maschine" vbProcedure="false">Maschinen!$A$5:$A$304</definedName>
    <definedName function="false" hidden="false" name="lst_Preisbasis" vbProcedure="false">Listen!$B$5:$B$6</definedName>
    <definedName function="false" hidden="false" name="lst_Profil" vbProcedure="false">Profile!$A$5:$A$304</definedName>
    <definedName function="false" hidden="false" name="lst_Profilform" vbProcedure="false">Listen!$A$5:$A$20</definedName>
    <definedName function="false" hidden="false" name="lst_Werkstoff" vbProcedure="false">Werkstoffe!$A$5:$A$304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2" authorId="0">
      <text>
        <r>
          <rPr>
            <sz val="10"/>
            <rFont val="Arial"/>
            <family val="2"/>
          </rPr>
          <t xml:space="preserve">Wird in Schritt 2 automatisch aus der STEP-Datei gefüllt; bis dahin manuell.</t>
        </r>
      </text>
    </comment>
    <comment ref="J12" authorId="0">
      <text>
        <r>
          <rPr>
            <sz val="10"/>
            <rFont val="Arial"/>
            <family val="2"/>
          </rPr>
          <t xml:space="preserve">Leer = Standard-Stangenlänge aus C9.</t>
        </r>
      </text>
    </comment>
    <comment ref="Y12" authorId="0">
      <text>
        <r>
          <rPr>
            <sz val="10"/>
            <rFont val="Arial"/>
            <family val="2"/>
          </rPr>
          <t xml:space="preserve">Gerade = Schnitt senkrecht zur Rohrachse. Zwei benachbarte gerade Enden teilen sich in der Optimierung einen Schnitt.</t>
        </r>
      </text>
    </comment>
    <comment ref="AF12" authorId="0">
      <text>
        <r>
          <rPr>
            <sz val="10"/>
            <rFont val="Arial"/>
            <family val="2"/>
          </rPr>
          <t xml:space="preserve">Nur Vorschlag aus dem Kernlochdurchmesser (Blatt 'Gewinde'). Wird nicht gerechnet.</t>
        </r>
      </text>
    </comment>
    <comment ref="AG12" authorId="0">
      <text>
        <r>
          <rPr>
            <sz val="10"/>
            <rFont val="Arial"/>
            <family val="2"/>
          </rPr>
          <t xml:space="preserve">Nach manueller Prüfung eintragen, z. B. 4xM6; 2xM8. Nur dieser Wert wird gerechnet.</t>
        </r>
      </text>
    </comment>
    <comment ref="AH12" authorId="0">
      <text>
        <r>
          <rPr>
            <sz val="10"/>
            <rFont val="Arial"/>
            <family val="2"/>
          </rPr>
          <t xml:space="preserve">Innenkonturen nach größtem Hüllmaß; Grenzen je Maschine im Blatt 'Maschinen' (Spalten H/I).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Herstellerwert eintragen, wenn exaktes Gewicht nötig (Eckradien) oder bei Sonderprofil.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Innenkontur gilt als klein, wenn ihr größtes Hüllmaß ≤ diesem Wert ist.</t>
        </r>
      </text>
    </comment>
    <comment ref="I4" authorId="0">
      <text>
        <r>
          <rPr>
            <sz val="10"/>
            <rFont val="Arial"/>
            <family val="2"/>
          </rPr>
          <t xml:space="preserve">Bis zu diesem Hüllmaß mittel, darüber groß.</t>
        </r>
      </text>
    </comment>
  </commentList>
</comments>
</file>

<file path=xl/sharedStrings.xml><?xml version="1.0" encoding="utf-8"?>
<sst xmlns="http://schemas.openxmlformats.org/spreadsheetml/2006/main" count="334" uniqueCount="226">
  <si>
    <t xml:space="preserve">Kalkulation Rohrlaserteile – Version 0.1 (Schritt 1: Grundstruktur)</t>
  </si>
  <si>
    <t xml:space="preserve">Erstellt 15.10.2026. Optimierung (VBA), STEP-Import und Kostenrechnung folgen in Schritt 2–4.</t>
  </si>
  <si>
    <t xml:space="preserve">Farblegende</t>
  </si>
  <si>
    <t xml:space="preserve">Gelb / blaue Schrift</t>
  </si>
  <si>
    <t xml:space="preserve">Eingabefeld. Nur hier Werte eintragen.</t>
  </si>
  <si>
    <t xml:space="preserve">Grau / schwarze Schrift</t>
  </si>
  <si>
    <t xml:space="preserve">Berechnet (Formel). Nicht überschreiben.</t>
  </si>
  <si>
    <t xml:space="preserve">Grau / grüne Schrift</t>
  </si>
  <si>
    <t xml:space="preserve">Aus anderem Blatt nachgeschlagen (Formel). Nicht überschreiben.</t>
  </si>
  <si>
    <t xml:space="preserve">Blätter</t>
  </si>
  <si>
    <t xml:space="preserve">Auftrag</t>
  </si>
  <si>
    <t xml:space="preserve">Auftragskopf (Auftrag, Kunde, Maschine, Standard-Stangenlänge) und bis zu 500 Positionen. Spalte W zeigt je Zeile den Prüfstatus.</t>
  </si>
  <si>
    <t xml:space="preserve">Profile</t>
  </si>
  <si>
    <t xml:space="preserve">Profil-Stammdaten: Form, Abmessungen, Wandstärke, Querschnitt; optional profilspezifischer Endbeschnitt/Greiferrest.</t>
  </si>
  <si>
    <t xml:space="preserve">Werkstoffe</t>
  </si>
  <si>
    <t xml:space="preserve">Werkstoff/Materialqualität mit Dichte.</t>
  </si>
  <si>
    <t xml:space="preserve">Preise</t>
  </si>
  <si>
    <t xml:space="preserve">Materialpreis je Profil + Werkstoff, wahlweise €/kg oder €/Stange.</t>
  </si>
  <si>
    <t xml:space="preserve">Maschinen</t>
  </si>
  <si>
    <t xml:space="preserve">Maschinenparameter: Endbeschnitt, Greiferrest, Schnittverlust, max. Stangenlänge, Stundensatz.</t>
  </si>
  <si>
    <t xml:space="preserve">Schneiddaten</t>
  </si>
  <si>
    <t xml:space="preserve">Vorschub und Einstechzeit je Maschine, Werkstoff und Wandstärke (für Laserzeit in Schritt 4).</t>
  </si>
  <si>
    <t xml:space="preserve">Gewinde</t>
  </si>
  <si>
    <t xml:space="preserve">Kernlochdurchmesser je Gewinde. Der STEP-Import schlägt anhand dieser Tabelle Gewinde vor.</t>
  </si>
  <si>
    <t xml:space="preserve">STEP-Import</t>
  </si>
  <si>
    <t xml:space="preserve">Wird beim ersten STEP-Import angelegt: Protokoll aller Messwerte je Teil.</t>
  </si>
  <si>
    <t xml:space="preserve">Listen</t>
  </si>
  <si>
    <t xml:space="preserve">Auswahllisten (Profilform, Preisbasis).</t>
  </si>
  <si>
    <t xml:space="preserve">Arbeitsablauf</t>
  </si>
  <si>
    <t xml:space="preserve">1.</t>
  </si>
  <si>
    <t xml:space="preserve">Stammdaten pflegen (Profile, Werkstoffe, Preise, Maschinen, Schneiddaten). Die vorhandenen Zeilen sind BEISPIELWERTE und müssen durch eigene Daten ersetzt werden.</t>
  </si>
  <si>
    <t xml:space="preserve">2.</t>
  </si>
  <si>
    <t xml:space="preserve">Auftragskopf ausfüllen, Maschine wählen, Standard-Stangenlänge prüfen (Vorgabe 6.000 mm).</t>
  </si>
  <si>
    <t xml:space="preserve">3.</t>
  </si>
  <si>
    <t xml:space="preserve">Positionen eintragen (Profil und Werkstoff per Auswahlliste). Schneidweg später automatisch per STEP-Import (Schritt 2).</t>
  </si>
  <si>
    <t xml:space="preserve">4.</t>
  </si>
  <si>
    <t xml:space="preserve">Status-Spalte prüfen: FEHLER muss behoben werden, WARNUNG/HINWEIS sollte geprüft werden.</t>
  </si>
  <si>
    <t xml:space="preserve">Annahmen</t>
  </si>
  <si>
    <t xml:space="preserve">A1</t>
  </si>
  <si>
    <t xml:space="preserve">Microsoft 365 / Excel 2019 oder neuer. Diese Version ist .xlsx ohne Makros; ab Schritt 3 wird sie zu .xlsm (Makros erforderlich).</t>
  </si>
  <si>
    <t xml:space="preserve">A2</t>
  </si>
  <si>
    <t xml:space="preserve">Ein Auftrag je Blatt 'Auftrag'. Alle Positionen laufen auf der im Kopf gewählten Maschine.</t>
  </si>
  <si>
    <t xml:space="preserve">A3</t>
  </si>
  <si>
    <t xml:space="preserve">Stangenlänge: Standard aus dem Auftragskopf, je Position abweichend überschreibbar (Spalte J).</t>
  </si>
  <si>
    <t xml:space="preserve">A4</t>
  </si>
  <si>
    <t xml:space="preserve">Endbeschnitt und Greiferrest kommen von der Maschine; ist am Profil ein abweichender Wert eingetragen, gilt der Profilwert.</t>
  </si>
  <si>
    <t xml:space="preserve">A5</t>
  </si>
  <si>
    <t xml:space="preserve">Nutzlänge je Stange = Stangenlänge − Endbeschnitt − Greiferrest. Ein Teil passt nur, wenn Teilelänge + Schnittverlust ≤ Nutzlänge (konservativ, genaue Regel folgt mit der Optimierung).</t>
  </si>
  <si>
    <t xml:space="preserve">A6</t>
  </si>
  <si>
    <t xml:space="preserve">Querschnitt berechnet ohne Eckradien (Quadrat-/Rechteckrohr ca. 1–4 % zu schwer). Für exakte Gewichte den Herstellerwert in 'Fläche manuell' eintragen; Sonderprofile benötigen immer 'Fläche manuell'.</t>
  </si>
  <si>
    <t xml:space="preserve">A7</t>
  </si>
  <si>
    <t xml:space="preserve">Metergewicht [kg/m] = Querschnitt [mm²] × Dichte [kg/dm³] / 1000.</t>
  </si>
  <si>
    <t xml:space="preserve">A8</t>
  </si>
  <si>
    <t xml:space="preserve">Keine Restlagerverwaltung: Reststücke werden nur als Verschnitt ausgewiesen (Entscheidung vom 15.10.2026).</t>
  </si>
  <si>
    <t xml:space="preserve">A9</t>
  </si>
  <si>
    <t xml:space="preserve">Kapazität: 300 Zeilen je Stammdatenblatt, 500 Auftragspositionen. Erweiterbar, indem Formelzeilen nach unten kopiert und die Namen in Formeln &gt; Namens-Manager angepasst werden.</t>
  </si>
  <si>
    <t xml:space="preserve">A10</t>
  </si>
  <si>
    <t xml:space="preserve">Einheiten: Längen in mm, Gewicht in kg, Preise in € netto.</t>
  </si>
  <si>
    <t xml:space="preserve">A11</t>
  </si>
  <si>
    <t xml:space="preserve">Gemeinsamer Trennschnitt: Liegen zwei Teile auf der Stange nebeneinander und sind beide zugewandten Enden gerade (senkrecht), wird nur ein Schnitt gerechnet, sonst zwei. Dafür stehen je Teil Anfangs- und Endschnitt (gerade ja/nein, Schnittlänge) in Spalten Y–AB; Spalte H enthält immer beide Enden voll. Die Verrechnung erfolgt in der Optimierung (Schritt 3). Beim gemeinsamen Schnitt zählt auch der Schnittverlust nur einmal.</t>
  </si>
  <si>
    <t xml:space="preserve">A12</t>
  </si>
  <si>
    <t xml:space="preserve">Schneidweg (Spalte H) = Anfangsschnitt + Endschnitt + Innenkonturen (AC). Gravuren (nicht durchgehende Konturen) stehen separat in AD und sind nicht im Schneidweg enthalten.</t>
  </si>
  <si>
    <t xml:space="preserve">A13</t>
  </si>
  <si>
    <t xml:space="preserve">Gewinde: Der STEP-Import erkennt durchgehende Rundbohrungen (AE) und schlägt bei passendem Kernloch ein Gewinde vor (AF). Gerechnet wird nur, was nach manueller Prüfung in AG eingetragen ist (Format z. B. 4xM6; 2xM8). Solange AF gefüllt und AG leer ist, zeigt der Status einen Hinweis.</t>
  </si>
  <si>
    <t xml:space="preserve">A14</t>
  </si>
  <si>
    <t xml:space="preserve">Konturgröße: Innenkonturen werden nach ihrem größten Hüllmaß in klein / mittel / groß eingeteilt (AH–AM). Die Grenzen stehen je Maschine im Blatt 'Maschinen' (Vorgabe: klein ≤ 10 mm, mittel ≤ 50 mm, darüber groß). Anfangs- und Endschnitt werden nicht eingeteilt. Beim Import gilt die im Auftragskopf gewählte Maschine.</t>
  </si>
  <si>
    <t xml:space="preserve">Auftrag – Eingabe</t>
  </si>
  <si>
    <t xml:space="preserve">Kopf ausfüllen, dann Positionen ab Zeile 13. Status in Spalte W beachten. Beispielpositionen vor Gebrauch löschen (nur gelbe Zellen).</t>
  </si>
  <si>
    <t xml:space="preserve">Maschinenwerte (aus Blatt 'Maschinen')</t>
  </si>
  <si>
    <t xml:space="preserve">Übersicht</t>
  </si>
  <si>
    <t xml:space="preserve">Auftragsnummer</t>
  </si>
  <si>
    <t xml:space="preserve">A-2026-0001</t>
  </si>
  <si>
    <t xml:space="preserve">Endbeschnitt [mm]</t>
  </si>
  <si>
    <t xml:space="preserve">Positionen</t>
  </si>
  <si>
    <t xml:space="preserve">Kundennummer</t>
  </si>
  <si>
    <t xml:space="preserve">K-10045</t>
  </si>
  <si>
    <t xml:space="preserve">Greiferrest [mm]</t>
  </si>
  <si>
    <t xml:space="preserve">davon FEHLER</t>
  </si>
  <si>
    <t xml:space="preserve">Kundenname</t>
  </si>
  <si>
    <t xml:space="preserve">Beispiel GmbH</t>
  </si>
  <si>
    <t xml:space="preserve">Schnittverlust [mm]</t>
  </si>
  <si>
    <t xml:space="preserve">davon WARNUNG/HINWEIS</t>
  </si>
  <si>
    <t xml:space="preserve">Datum</t>
  </si>
  <si>
    <t xml:space="preserve">Max. Stangenlänge [mm]</t>
  </si>
  <si>
    <t xml:space="preserve">Teile gesamt [Stk]</t>
  </si>
  <si>
    <t xml:space="preserve">Maschine</t>
  </si>
  <si>
    <t xml:space="preserve">RL-1</t>
  </si>
  <si>
    <t xml:space="preserve">Stundensatz [€/h]</t>
  </si>
  <si>
    <t xml:space="preserve">Teilelänge gesamt [m]</t>
  </si>
  <si>
    <t xml:space="preserve">Standard-Stangenlänge [mm]</t>
  </si>
  <si>
    <t xml:space="preserve">Teilegewicht gesamt [kg]</t>
  </si>
  <si>
    <t xml:space="preserve">Pos.</t>
  </si>
  <si>
    <t xml:space="preserve">Artikelnummer</t>
  </si>
  <si>
    <t xml:space="preserve">Bezeichnung</t>
  </si>
  <si>
    <t xml:space="preserve">Profil-ID</t>
  </si>
  <si>
    <t xml:space="preserve">Werkstoff-ID</t>
  </si>
  <si>
    <t xml:space="preserve">Teilelänge [mm]</t>
  </si>
  <si>
    <t xml:space="preserve">Stückzahl</t>
  </si>
  <si>
    <t xml:space="preserve">Schneidweg je Teil ohne Gravur [mm] (STEP)</t>
  </si>
  <si>
    <t xml:space="preserve">Einstiche je Teil (STEP)</t>
  </si>
  <si>
    <t xml:space="preserve">Stangenlänge abweichend [mm]</t>
  </si>
  <si>
    <t xml:space="preserve">Profilform</t>
  </si>
  <si>
    <t xml:space="preserve">Querschnitt [mm²]</t>
  </si>
  <si>
    <t xml:space="preserve">Wandstärke [mm]</t>
  </si>
  <si>
    <t xml:space="preserve">Metergewicht [kg/m]</t>
  </si>
  <si>
    <t xml:space="preserve">Gewicht je Teil [kg]</t>
  </si>
  <si>
    <t xml:space="preserve">Länge gesamt [mm]</t>
  </si>
  <si>
    <t xml:space="preserve">Stangenlänge wirksam [mm]</t>
  </si>
  <si>
    <t xml:space="preserve">Endbeschnitt wirksam [mm]</t>
  </si>
  <si>
    <t xml:space="preserve">Greiferrest wirksam [mm]</t>
  </si>
  <si>
    <t xml:space="preserve">Nutzlänge Stange [mm]</t>
  </si>
  <si>
    <t xml:space="preserve">Preis hinterlegt</t>
  </si>
  <si>
    <t xml:space="preserve">Vorschub [mm/min]</t>
  </si>
  <si>
    <t xml:space="preserve">Status</t>
  </si>
  <si>
    <t xml:space="preserve">Gewicht Position [kg]</t>
  </si>
  <si>
    <t xml:space="preserve">Anfangsschnitt gerade (STEP)</t>
  </si>
  <si>
    <t xml:space="preserve">Anfangsschnitt [mm] (STEP)</t>
  </si>
  <si>
    <t xml:space="preserve">Endschnitt gerade (STEP)</t>
  </si>
  <si>
    <t xml:space="preserve">Endschnitt [mm] (STEP)</t>
  </si>
  <si>
    <t xml:space="preserve">Innenkonturen [mm] (STEP)</t>
  </si>
  <si>
    <t xml:space="preserve">Gravur [mm] (STEP)</t>
  </si>
  <si>
    <t xml:space="preserve">Bohrungen (STEP)</t>
  </si>
  <si>
    <t xml:space="preserve">Gewinde-Vorschlag (STEP)</t>
  </si>
  <si>
    <t xml:space="preserve">Gewinde geprüft (manuell)</t>
  </si>
  <si>
    <t xml:space="preserve">Kontur klein [Stk] (STEP)</t>
  </si>
  <si>
    <t xml:space="preserve">Kontur klein [mm] (STEP)</t>
  </si>
  <si>
    <t xml:space="preserve">Kontur mittel [Stk] (STEP)</t>
  </si>
  <si>
    <t xml:space="preserve">Kontur mittel [mm] (STEP)</t>
  </si>
  <si>
    <t xml:space="preserve">Kontur groß [Stk] (STEP)</t>
  </si>
  <si>
    <t xml:space="preserve">Kontur groß [mm] (STEP)</t>
  </si>
  <si>
    <t xml:space="preserve">4711-001</t>
  </si>
  <si>
    <t xml:space="preserve">Holm links</t>
  </si>
  <si>
    <t xml:space="preserve">RR 42,4x2,0</t>
  </si>
  <si>
    <t xml:space="preserve">S235-10219</t>
  </si>
  <si>
    <t xml:space="preserve">4711-002</t>
  </si>
  <si>
    <t xml:space="preserve">Querstrebe</t>
  </si>
  <si>
    <t xml:space="preserve">4711-003</t>
  </si>
  <si>
    <t xml:space="preserve">Rahmen oben</t>
  </si>
  <si>
    <t xml:space="preserve">QR 40x40x3</t>
  </si>
  <si>
    <t xml:space="preserve">4711-004</t>
  </si>
  <si>
    <t xml:space="preserve">Stütze</t>
  </si>
  <si>
    <t xml:space="preserve">RE 60x40x3</t>
  </si>
  <si>
    <t xml:space="preserve">S355-10219</t>
  </si>
  <si>
    <t xml:space="preserve">4711-005</t>
  </si>
  <si>
    <t xml:space="preserve">Anschlag</t>
  </si>
  <si>
    <t xml:space="preserve">RR 48,3x2,6</t>
  </si>
  <si>
    <t xml:space="preserve">Auswahllisten</t>
  </si>
  <si>
    <t xml:space="preserve">Werte für Dropdowns. Ergänzungen hier eintragen.</t>
  </si>
  <si>
    <t xml:space="preserve">Preisbasis</t>
  </si>
  <si>
    <t xml:space="preserve">Ja/Nein</t>
  </si>
  <si>
    <t xml:space="preserve">Rundrohr</t>
  </si>
  <si>
    <t xml:space="preserve">€/kg</t>
  </si>
  <si>
    <t xml:space="preserve">ja</t>
  </si>
  <si>
    <t xml:space="preserve">Quadratrohr</t>
  </si>
  <si>
    <t xml:space="preserve">€/Stange</t>
  </si>
  <si>
    <t xml:space="preserve">nein</t>
  </si>
  <si>
    <t xml:space="preserve">Rechteckrohr</t>
  </si>
  <si>
    <t xml:space="preserve">Sonderprofil</t>
  </si>
  <si>
    <t xml:space="preserve">Profile / Abmessungen</t>
  </si>
  <si>
    <t xml:space="preserve">Abmessung A = Ø (Rundrohr) bzw. Breite; Abmessung B = Höhe (nur Rechteckrohr). Endbeschnitt/Greiferrest nur eintragen, wenn vom Maschinenwert abweichend.</t>
  </si>
  <si>
    <t xml:space="preserve">Abmessung A [mm]</t>
  </si>
  <si>
    <t xml:space="preserve">Abmessung B [mm]</t>
  </si>
  <si>
    <t xml:space="preserve">Fläche manuell [mm²] (optional)</t>
  </si>
  <si>
    <t xml:space="preserve">Endbeschnitt abweichend [mm]</t>
  </si>
  <si>
    <t xml:space="preserve">Greiferrest abweichend [mm]</t>
  </si>
  <si>
    <t xml:space="preserve">Bemerkung</t>
  </si>
  <si>
    <t xml:space="preserve">Fläche berechnet [mm²]</t>
  </si>
  <si>
    <t xml:space="preserve">Fläche wirksam [mm²]</t>
  </si>
  <si>
    <t xml:space="preserve">Beispiel</t>
  </si>
  <si>
    <t xml:space="preserve">RE 120x60x4</t>
  </si>
  <si>
    <t xml:space="preserve">Beispiel: profilspezifischer Endbeschnitt/Greiferrest</t>
  </si>
  <si>
    <t xml:space="preserve">Werkstoffe / Materialqualität</t>
  </si>
  <si>
    <t xml:space="preserve">Werkstoff-ID ist der Schlüssel für Preise, Schneiddaten und Auftrag. Beispielwerte ersetzen.</t>
  </si>
  <si>
    <t xml:space="preserve">Werkstoff</t>
  </si>
  <si>
    <t xml:space="preserve">Werkstoff-Nr.</t>
  </si>
  <si>
    <t xml:space="preserve">Norm / Qualität</t>
  </si>
  <si>
    <t xml:space="preserve">Dichte [kg/dm³]</t>
  </si>
  <si>
    <t xml:space="preserve">S235JRH</t>
  </si>
  <si>
    <t xml:space="preserve">1.0039</t>
  </si>
  <si>
    <t xml:space="preserve">EN 10219 kaltgefertigt, geschweißt</t>
  </si>
  <si>
    <t xml:space="preserve">S355J2H</t>
  </si>
  <si>
    <t xml:space="preserve">1.0576</t>
  </si>
  <si>
    <t xml:space="preserve">1.4301</t>
  </si>
  <si>
    <t xml:space="preserve">X5CrNi18-10</t>
  </si>
  <si>
    <t xml:space="preserve">EN 10217-7 / ASTM A554</t>
  </si>
  <si>
    <t xml:space="preserve">AW6060-T66</t>
  </si>
  <si>
    <t xml:space="preserve">EN AW-6060 T66</t>
  </si>
  <si>
    <t xml:space="preserve">3.3206</t>
  </si>
  <si>
    <t xml:space="preserve">EN 755-2</t>
  </si>
  <si>
    <t xml:space="preserve">Materialpreise</t>
  </si>
  <si>
    <t xml:space="preserve">Je Kombination Profil + Werkstoff genau eine Zeile. Preisbasis €/kg oder €/Stange (bezogen auf die Liefer-Stangenlänge).</t>
  </si>
  <si>
    <t xml:space="preserve">Preis [€]</t>
  </si>
  <si>
    <t xml:space="preserve">Liefer-Stangenlänge [mm]</t>
  </si>
  <si>
    <t xml:space="preserve">Gültig ab</t>
  </si>
  <si>
    <t xml:space="preserve">Lieferant</t>
  </si>
  <si>
    <t xml:space="preserve">Prüfung</t>
  </si>
  <si>
    <t xml:space="preserve">Beispiel-Lieferant</t>
  </si>
  <si>
    <t xml:space="preserve">Maschinenparameter</t>
  </si>
  <si>
    <t xml:space="preserve">Endbeschnitt = Anschnitt am Stangenanfang; Greiferrest = nicht nutzbares Ende im Greifer; Schnittverlust = Materialverlust je Trennschnitt.</t>
  </si>
  <si>
    <t xml:space="preserve">Maschinen-ID</t>
  </si>
  <si>
    <t xml:space="preserve">Schnittverlust je Schnitt [mm]</t>
  </si>
  <si>
    <t xml:space="preserve">Kontur klein bis [mm]</t>
  </si>
  <si>
    <t xml:space="preserve">Kontur mittel bis [mm]</t>
  </si>
  <si>
    <t xml:space="preserve">Rohrlaser 1 (Beispiel)</t>
  </si>
  <si>
    <t xml:space="preserve">Beispielwerte</t>
  </si>
  <si>
    <t xml:space="preserve">RL-2</t>
  </si>
  <si>
    <t xml:space="preserve">Rohrlaser 2 (Beispiel)</t>
  </si>
  <si>
    <t xml:space="preserve">Schneiddaten (Laserzeit)</t>
  </si>
  <si>
    <t xml:space="preserve">Je Maschine + Werkstoff gestaffelt nach Wandstärke: es gilt die Zeile mit der kleinsten 'Wandstärke bis', die ≥ der Profilwandstärke ist.</t>
  </si>
  <si>
    <t xml:space="preserve">Wandstärke bis [mm]</t>
  </si>
  <si>
    <t xml:space="preserve">Einstechzeit [s]</t>
  </si>
  <si>
    <t xml:space="preserve">Gewinde / Kernlöcher</t>
  </si>
  <si>
    <t xml:space="preserve">ISO-Regelgewinde, Kernloch nach DIN 336. Der STEP-Import vergleicht Bohrungsdurchmesser mit dieser Tabelle (±0,05 mm).</t>
  </si>
  <si>
    <t xml:space="preserve">Kernloch Ø [mm]</t>
  </si>
  <si>
    <t xml:space="preserve">Zeit je Gewinde [s]</t>
  </si>
  <si>
    <t xml:space="preserve">M3</t>
  </si>
  <si>
    <t xml:space="preserve">Zeit je Gewinde für Kalkulation in Schritt 4</t>
  </si>
  <si>
    <t xml:space="preserve">M4</t>
  </si>
  <si>
    <t xml:space="preserve">M5</t>
  </si>
  <si>
    <t xml:space="preserve">M6</t>
  </si>
  <si>
    <t xml:space="preserve">M8</t>
  </si>
  <si>
    <t xml:space="preserve">M10</t>
  </si>
  <si>
    <t xml:space="preserve">M12</t>
  </si>
  <si>
    <t xml:space="preserve">M14</t>
  </si>
  <si>
    <t xml:space="preserve">M16</t>
  </si>
  <si>
    <t xml:space="preserve">M20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</si>
</sst>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"/>
    <numFmt numFmtId="167" formatCode="dd\.mm\.yyyy"/>
    <numFmt numFmtId="168" formatCode="#,##0"/>
    <numFmt numFmtId="169" formatCode="#,##0.00"/>
    <numFmt numFmtId="170" formatCode="#,##0.0"/>
    <numFmt numFmtId="171" formatCode="0.00"/>
    <numFmt numFmtId="172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D96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6" t="s">
        <v>5</v>
      </c>
      <c r="B6" s="5" t="s">
        <v>6</v>
      </c>
    </row>
    <row r="7" customFormat="false" ht="15" hidden="false" customHeight="false" outlineLevel="0" collapsed="false">
      <c r="A7" s="7" t="s">
        <v>7</v>
      </c>
      <c r="B7" s="5" t="s">
        <v>8</v>
      </c>
    </row>
    <row r="8" customFormat="false" ht="15" hidden="false" customHeight="false" outlineLevel="0" collapsed="false">
      <c r="A8" s="8"/>
      <c r="B8" s="5"/>
    </row>
    <row r="9" customFormat="false" ht="15" hidden="false" customHeight="false" outlineLevel="0" collapsed="false">
      <c r="A9" s="3" t="s">
        <v>9</v>
      </c>
    </row>
    <row r="10" customFormat="false" ht="26.85" hidden="false" customHeight="false" outlineLevel="0" collapsed="false">
      <c r="A10" s="8" t="s">
        <v>10</v>
      </c>
      <c r="B10" s="5" t="s">
        <v>11</v>
      </c>
    </row>
    <row r="11" customFormat="false" ht="26.85" hidden="false" customHeight="false" outlineLevel="0" collapsed="false">
      <c r="A11" s="8" t="s">
        <v>12</v>
      </c>
      <c r="B11" s="5" t="s">
        <v>13</v>
      </c>
    </row>
    <row r="12" customFormat="false" ht="15" hidden="false" customHeight="false" outlineLevel="0" collapsed="false">
      <c r="A12" s="8" t="s">
        <v>14</v>
      </c>
      <c r="B12" s="5" t="s">
        <v>15</v>
      </c>
    </row>
    <row r="13" customFormat="false" ht="15" hidden="false" customHeight="false" outlineLevel="0" collapsed="false">
      <c r="A13" s="8" t="s">
        <v>16</v>
      </c>
      <c r="B13" s="5" t="s">
        <v>17</v>
      </c>
    </row>
    <row r="14" customFormat="false" ht="15" hidden="false" customHeight="false" outlineLevel="0" collapsed="false">
      <c r="A14" s="8" t="s">
        <v>18</v>
      </c>
      <c r="B14" s="5" t="s">
        <v>19</v>
      </c>
    </row>
    <row r="15" customFormat="false" ht="15" hidden="false" customHeight="false" outlineLevel="0" collapsed="false">
      <c r="A15" s="8" t="s">
        <v>20</v>
      </c>
      <c r="B15" s="5" t="s">
        <v>21</v>
      </c>
    </row>
    <row r="16" customFormat="false" ht="15" hidden="false" customHeight="false" outlineLevel="0" collapsed="false">
      <c r="A16" s="8" t="s">
        <v>22</v>
      </c>
      <c r="B16" s="5" t="s">
        <v>23</v>
      </c>
    </row>
    <row r="17" customFormat="false" ht="15" hidden="false" customHeight="false" outlineLevel="0" collapsed="false">
      <c r="A17" s="8" t="s">
        <v>24</v>
      </c>
      <c r="B17" s="5" t="s">
        <v>25</v>
      </c>
    </row>
    <row r="18" customFormat="false" ht="15" hidden="false" customHeight="false" outlineLevel="0" collapsed="false">
      <c r="A18" s="8" t="s">
        <v>26</v>
      </c>
      <c r="B18" s="5" t="s">
        <v>27</v>
      </c>
    </row>
    <row r="19" customFormat="false" ht="15" hidden="false" customHeight="false" outlineLevel="0" collapsed="false">
      <c r="A19" s="8"/>
      <c r="B19" s="5"/>
    </row>
    <row r="20" customFormat="false" ht="15" hidden="false" customHeight="false" outlineLevel="0" collapsed="false">
      <c r="A20" s="3" t="s">
        <v>28</v>
      </c>
    </row>
    <row r="21" customFormat="false" ht="26.85" hidden="false" customHeight="false" outlineLevel="0" collapsed="false">
      <c r="A21" s="8" t="s">
        <v>29</v>
      </c>
      <c r="B21" s="5" t="s">
        <v>30</v>
      </c>
    </row>
    <row r="22" customFormat="false" ht="15" hidden="false" customHeight="false" outlineLevel="0" collapsed="false">
      <c r="A22" s="8" t="s">
        <v>31</v>
      </c>
      <c r="B22" s="5" t="s">
        <v>32</v>
      </c>
    </row>
    <row r="23" customFormat="false" ht="26.85" hidden="false" customHeight="false" outlineLevel="0" collapsed="false">
      <c r="A23" s="8" t="s">
        <v>33</v>
      </c>
      <c r="B23" s="5" t="s">
        <v>34</v>
      </c>
    </row>
    <row r="24" customFormat="false" ht="15" hidden="false" customHeight="false" outlineLevel="0" collapsed="false">
      <c r="A24" s="8" t="s">
        <v>35</v>
      </c>
      <c r="B24" s="5" t="s">
        <v>36</v>
      </c>
    </row>
    <row r="25" customFormat="false" ht="15" hidden="false" customHeight="false" outlineLevel="0" collapsed="false">
      <c r="A25" s="8"/>
      <c r="B25" s="5"/>
    </row>
    <row r="26" customFormat="false" ht="15" hidden="false" customHeight="false" outlineLevel="0" collapsed="false">
      <c r="A26" s="3" t="s">
        <v>37</v>
      </c>
    </row>
    <row r="27" customFormat="false" ht="26.85" hidden="false" customHeight="false" outlineLevel="0" collapsed="false">
      <c r="A27" s="8" t="s">
        <v>38</v>
      </c>
      <c r="B27" s="5" t="s">
        <v>39</v>
      </c>
    </row>
    <row r="28" customFormat="false" ht="15" hidden="false" customHeight="false" outlineLevel="0" collapsed="false">
      <c r="A28" s="8" t="s">
        <v>40</v>
      </c>
      <c r="B28" s="5" t="s">
        <v>41</v>
      </c>
    </row>
    <row r="29" customFormat="false" ht="15" hidden="false" customHeight="false" outlineLevel="0" collapsed="false">
      <c r="A29" s="8" t="s">
        <v>42</v>
      </c>
      <c r="B29" s="5" t="s">
        <v>43</v>
      </c>
    </row>
    <row r="30" customFormat="false" ht="26.85" hidden="false" customHeight="false" outlineLevel="0" collapsed="false">
      <c r="A30" s="8" t="s">
        <v>44</v>
      </c>
      <c r="B30" s="5" t="s">
        <v>45</v>
      </c>
    </row>
    <row r="31" customFormat="false" ht="26.85" hidden="false" customHeight="false" outlineLevel="0" collapsed="false">
      <c r="A31" s="8" t="s">
        <v>46</v>
      </c>
      <c r="B31" s="5" t="s">
        <v>47</v>
      </c>
    </row>
    <row r="32" customFormat="false" ht="26.85" hidden="false" customHeight="false" outlineLevel="0" collapsed="false">
      <c r="A32" s="8" t="s">
        <v>48</v>
      </c>
      <c r="B32" s="5" t="s">
        <v>49</v>
      </c>
    </row>
    <row r="33" customFormat="false" ht="15" hidden="false" customHeight="false" outlineLevel="0" collapsed="false">
      <c r="A33" s="8" t="s">
        <v>50</v>
      </c>
      <c r="B33" s="5" t="s">
        <v>51</v>
      </c>
    </row>
    <row r="34" customFormat="false" ht="26.85" hidden="false" customHeight="false" outlineLevel="0" collapsed="false">
      <c r="A34" s="8" t="s">
        <v>52</v>
      </c>
      <c r="B34" s="5" t="s">
        <v>53</v>
      </c>
    </row>
    <row r="35" customFormat="false" ht="26.85" hidden="false" customHeight="false" outlineLevel="0" collapsed="false">
      <c r="A35" s="8" t="s">
        <v>54</v>
      </c>
      <c r="B35" s="5" t="s">
        <v>55</v>
      </c>
    </row>
    <row r="36" customFormat="false" ht="15" hidden="false" customHeight="false" outlineLevel="0" collapsed="false">
      <c r="A36" s="8" t="s">
        <v>56</v>
      </c>
      <c r="B36" s="5" t="s">
        <v>57</v>
      </c>
    </row>
    <row r="37" customFormat="false" ht="64.9" hidden="false" customHeight="false" outlineLevel="0" collapsed="false">
      <c r="A37" s="8" t="s">
        <v>58</v>
      </c>
      <c r="B37" s="5" t="s">
        <v>59</v>
      </c>
    </row>
    <row r="38" customFormat="false" ht="26.85" hidden="false" customHeight="false" outlineLevel="0" collapsed="false">
      <c r="A38" s="8" t="s">
        <v>60</v>
      </c>
      <c r="B38" s="5" t="s">
        <v>61</v>
      </c>
    </row>
    <row r="39" customFormat="false" ht="39.55" hidden="false" customHeight="false" outlineLevel="0" collapsed="false">
      <c r="A39" s="8" t="s">
        <v>62</v>
      </c>
      <c r="B39" s="5" t="s">
        <v>63</v>
      </c>
    </row>
    <row r="40" customFormat="false" ht="52.2" hidden="false" customHeight="false" outlineLevel="0" collapsed="false">
      <c r="A40" s="8" t="s">
        <v>64</v>
      </c>
      <c r="B40" s="5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5" min="12" style="0" width="10"/>
    <col collapsed="false" customWidth="true" hidden="false" outlineLevel="0" max="17" min="16" style="0" width="11"/>
    <col collapsed="false" customWidth="true" hidden="false" outlineLevel="0" max="19" min="18" style="0" width="10"/>
    <col collapsed="false" customWidth="true" hidden="false" outlineLevel="0" max="20" min="20" style="0" width="11"/>
    <col collapsed="false" customWidth="true" hidden="false" outlineLevel="0" max="21" min="21" style="0" width="9"/>
    <col collapsed="false" customWidth="true" hidden="false" outlineLevel="0" max="22" min="22" style="0" width="10"/>
    <col collapsed="false" customWidth="true" hidden="false" outlineLevel="0" max="23" min="23" style="0" width="34"/>
    <col collapsed="false" customWidth="true" hidden="false" outlineLevel="0" max="24" min="24" style="0" width="11"/>
    <col collapsed="false" customWidth="true" hidden="false" outlineLevel="0" max="25" min="25" style="0" width="10"/>
    <col collapsed="false" customWidth="true" hidden="false" outlineLevel="0" max="26" min="26" style="0" width="11"/>
    <col collapsed="false" customWidth="true" hidden="false" outlineLevel="0" max="27" min="27" style="0" width="10"/>
    <col collapsed="false" customWidth="true" hidden="false" outlineLevel="0" max="29" min="28" style="0" width="11"/>
    <col collapsed="false" customWidth="true" hidden="false" outlineLevel="0" max="30" min="30" style="0" width="10"/>
    <col collapsed="false" customWidth="true" hidden="false" outlineLevel="0" max="31" min="31" style="0" width="16"/>
    <col collapsed="false" customWidth="true" hidden="false" outlineLevel="0" max="32" min="32" style="0" width="18"/>
    <col collapsed="false" customWidth="true" hidden="false" outlineLevel="0" max="33" min="33" style="0" width="16"/>
    <col collapsed="false" customWidth="true" hidden="false" outlineLevel="0" max="34" min="34" style="0" width="9"/>
    <col collapsed="false" customWidth="true" hidden="false" outlineLevel="0" max="35" min="35" style="0" width="10"/>
    <col collapsed="false" customWidth="true" hidden="false" outlineLevel="0" max="36" min="36" style="0" width="9"/>
    <col collapsed="false" customWidth="true" hidden="false" outlineLevel="0" max="37" min="37" style="0" width="10"/>
    <col collapsed="false" customWidth="true" hidden="false" outlineLevel="0" max="38" min="38" style="0" width="9"/>
    <col collapsed="false" customWidth="true" hidden="false" outlineLevel="0" max="39" min="39" style="0" width="10"/>
  </cols>
  <sheetData>
    <row r="1" customFormat="false" ht="17.35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67</v>
      </c>
    </row>
    <row r="3" customFormat="false" ht="15" hidden="false" customHeight="false" outlineLevel="0" collapsed="false">
      <c r="F3" s="2" t="s">
        <v>68</v>
      </c>
      <c r="J3" s="2" t="s">
        <v>69</v>
      </c>
    </row>
    <row r="4" customFormat="false" ht="15" hidden="false" customHeight="false" outlineLevel="0" collapsed="false">
      <c r="A4" s="9" t="s">
        <v>70</v>
      </c>
      <c r="B4" s="9"/>
      <c r="C4" s="10" t="s">
        <v>71</v>
      </c>
      <c r="D4" s="10"/>
      <c r="F4" s="9" t="s">
        <v>72</v>
      </c>
      <c r="G4" s="9"/>
      <c r="H4" s="11" t="n">
        <f aca="false">IF($C$8="","",IFERROR(INDEX(Maschinen!$C$5:$C$304,MATCH($C$8,lst_Maschine,0)),"?"))</f>
        <v>20</v>
      </c>
      <c r="J4" s="9" t="s">
        <v>73</v>
      </c>
      <c r="K4" s="9"/>
      <c r="L4" s="9"/>
      <c r="M4" s="12" t="n">
        <f aca="false">COUNTIF($W$13:$W$512,"?*")</f>
        <v>5</v>
      </c>
    </row>
    <row r="5" customFormat="false" ht="15" hidden="false" customHeight="false" outlineLevel="0" collapsed="false">
      <c r="A5" s="9" t="s">
        <v>74</v>
      </c>
      <c r="B5" s="9"/>
      <c r="C5" s="10" t="s">
        <v>75</v>
      </c>
      <c r="D5" s="10"/>
      <c r="F5" s="9" t="s">
        <v>76</v>
      </c>
      <c r="G5" s="9"/>
      <c r="H5" s="11" t="n">
        <f aca="false">IF($C$8="","",IFERROR(INDEX(Maschinen!$D$5:$D$304,MATCH($C$8,lst_Maschine,0)),"?"))</f>
        <v>80</v>
      </c>
      <c r="J5" s="9" t="s">
        <v>77</v>
      </c>
      <c r="K5" s="9"/>
      <c r="L5" s="9"/>
      <c r="M5" s="12" t="n">
        <f aca="false">COUNTIF($W$13:$W$512,"FEHLER*")</f>
        <v>0</v>
      </c>
    </row>
    <row r="6" customFormat="false" ht="15" hidden="false" customHeight="false" outlineLevel="0" collapsed="false">
      <c r="A6" s="9" t="s">
        <v>78</v>
      </c>
      <c r="B6" s="9"/>
      <c r="C6" s="10" t="s">
        <v>79</v>
      </c>
      <c r="D6" s="10"/>
      <c r="F6" s="9" t="s">
        <v>80</v>
      </c>
      <c r="G6" s="9"/>
      <c r="H6" s="13" t="n">
        <f aca="false">IF($C$8="","",IFERROR(INDEX(Maschinen!$E$5:$E$304,MATCH($C$8,lst_Maschine,0)),"?"))</f>
        <v>0.3</v>
      </c>
      <c r="J6" s="9" t="s">
        <v>81</v>
      </c>
      <c r="K6" s="9"/>
      <c r="L6" s="9"/>
      <c r="M6" s="12" t="n">
        <f aca="false">COUNTIF($W$13:$W$512,"WARNUNG*")+COUNTIF($W$13:$W$512,"HINWEIS*")</f>
        <v>0</v>
      </c>
    </row>
    <row r="7" customFormat="false" ht="15" hidden="false" customHeight="false" outlineLevel="0" collapsed="false">
      <c r="A7" s="9" t="s">
        <v>82</v>
      </c>
      <c r="B7" s="9"/>
      <c r="C7" s="14" t="n">
        <v>46310</v>
      </c>
      <c r="D7" s="14"/>
      <c r="F7" s="9" t="s">
        <v>83</v>
      </c>
      <c r="G7" s="9"/>
      <c r="H7" s="15" t="n">
        <f aca="false">IF($C$8="","",IFERROR(INDEX(Maschinen!$F$5:$F$304,MATCH($C$8,lst_Maschine,0)),"?"))</f>
        <v>6500</v>
      </c>
      <c r="J7" s="9" t="s">
        <v>84</v>
      </c>
      <c r="K7" s="9"/>
      <c r="L7" s="9"/>
      <c r="M7" s="16" t="n">
        <f aca="false">SUM($G$13:$G$512)</f>
        <v>152</v>
      </c>
    </row>
    <row r="8" customFormat="false" ht="15" hidden="false" customHeight="false" outlineLevel="0" collapsed="false">
      <c r="A8" s="9" t="s">
        <v>85</v>
      </c>
      <c r="B8" s="9"/>
      <c r="C8" s="10" t="s">
        <v>86</v>
      </c>
      <c r="D8" s="10"/>
      <c r="F8" s="9" t="s">
        <v>87</v>
      </c>
      <c r="G8" s="9"/>
      <c r="H8" s="17" t="n">
        <f aca="false">IF($C$8="","",IFERROR(INDEX(Maschinen!$G$5:$G$304,MATCH($C$8,lst_Maschine,0)),"?"))</f>
        <v>120</v>
      </c>
      <c r="J8" s="9" t="s">
        <v>88</v>
      </c>
      <c r="K8" s="9"/>
      <c r="L8" s="9"/>
      <c r="M8" s="18" t="n">
        <f aca="false">SUM($P$13:$P$512)/1000</f>
        <v>139.628</v>
      </c>
    </row>
    <row r="9" customFormat="false" ht="15" hidden="false" customHeight="false" outlineLevel="0" collapsed="false">
      <c r="A9" s="9" t="s">
        <v>89</v>
      </c>
      <c r="B9" s="9"/>
      <c r="C9" s="19" t="n">
        <v>6000</v>
      </c>
      <c r="D9" s="19"/>
      <c r="J9" s="9" t="s">
        <v>90</v>
      </c>
      <c r="K9" s="9"/>
      <c r="L9" s="9"/>
      <c r="M9" s="18" t="n">
        <f aca="false">SUM($X$13:$X$512)</f>
        <v>406.097077741219</v>
      </c>
    </row>
    <row r="12" customFormat="false" ht="60" hidden="false" customHeight="true" outlineLevel="0" collapsed="false">
      <c r="A12" s="20" t="s">
        <v>91</v>
      </c>
      <c r="B12" s="20" t="s">
        <v>92</v>
      </c>
      <c r="C12" s="20" t="s">
        <v>93</v>
      </c>
      <c r="D12" s="20" t="s">
        <v>94</v>
      </c>
      <c r="E12" s="20" t="s">
        <v>95</v>
      </c>
      <c r="F12" s="20" t="s">
        <v>96</v>
      </c>
      <c r="G12" s="20" t="s">
        <v>97</v>
      </c>
      <c r="H12" s="20" t="s">
        <v>98</v>
      </c>
      <c r="I12" s="20" t="s">
        <v>99</v>
      </c>
      <c r="J12" s="20" t="s">
        <v>100</v>
      </c>
      <c r="K12" s="20" t="s">
        <v>101</v>
      </c>
      <c r="L12" s="20" t="s">
        <v>102</v>
      </c>
      <c r="M12" s="20" t="s">
        <v>103</v>
      </c>
      <c r="N12" s="20" t="s">
        <v>104</v>
      </c>
      <c r="O12" s="20" t="s">
        <v>105</v>
      </c>
      <c r="P12" s="20" t="s">
        <v>106</v>
      </c>
      <c r="Q12" s="20" t="s">
        <v>107</v>
      </c>
      <c r="R12" s="20" t="s">
        <v>108</v>
      </c>
      <c r="S12" s="20" t="s">
        <v>109</v>
      </c>
      <c r="T12" s="20" t="s">
        <v>110</v>
      </c>
      <c r="U12" s="20" t="s">
        <v>111</v>
      </c>
      <c r="V12" s="20" t="s">
        <v>112</v>
      </c>
      <c r="W12" s="20" t="s">
        <v>113</v>
      </c>
      <c r="X12" s="20" t="s">
        <v>114</v>
      </c>
      <c r="Y12" s="20" t="s">
        <v>115</v>
      </c>
      <c r="Z12" s="20" t="s">
        <v>116</v>
      </c>
      <c r="AA12" s="20" t="s">
        <v>117</v>
      </c>
      <c r="AB12" s="20" t="s">
        <v>118</v>
      </c>
      <c r="AC12" s="20" t="s">
        <v>119</v>
      </c>
      <c r="AD12" s="20" t="s">
        <v>120</v>
      </c>
      <c r="AE12" s="20" t="s">
        <v>121</v>
      </c>
      <c r="AF12" s="20" t="s">
        <v>122</v>
      </c>
      <c r="AG12" s="20" t="s">
        <v>123</v>
      </c>
      <c r="AH12" s="20" t="s">
        <v>124</v>
      </c>
      <c r="AI12" s="20" t="s">
        <v>125</v>
      </c>
      <c r="AJ12" s="20" t="s">
        <v>126</v>
      </c>
      <c r="AK12" s="20" t="s">
        <v>127</v>
      </c>
      <c r="AL12" s="20" t="s">
        <v>128</v>
      </c>
      <c r="AM12" s="20" t="s">
        <v>129</v>
      </c>
    </row>
    <row r="13" customFormat="false" ht="15" hidden="false" customHeight="false" outlineLevel="0" collapsed="false">
      <c r="A13" s="10" t="n">
        <v>10</v>
      </c>
      <c r="B13" s="10" t="s">
        <v>130</v>
      </c>
      <c r="C13" s="10" t="s">
        <v>131</v>
      </c>
      <c r="D13" s="10" t="s">
        <v>132</v>
      </c>
      <c r="E13" s="10" t="s">
        <v>133</v>
      </c>
      <c r="F13" s="21" t="n">
        <v>1250</v>
      </c>
      <c r="G13" s="19" t="n">
        <v>24</v>
      </c>
      <c r="H13" s="21" t="n">
        <v>410.5</v>
      </c>
      <c r="I13" s="22" t="n">
        <v>4</v>
      </c>
      <c r="J13" s="19"/>
      <c r="K13" s="23" t="str">
        <f aca="false">IF($D13="","",IFERROR(INDEX(Profile!$B$5:$B$304,MATCH($D13,lst_Profil,0)),""))</f>
        <v>Rundrohr</v>
      </c>
      <c r="L13" s="13" t="n">
        <f aca="false">IF($D13="","",IFERROR(INDEX(Profile!$K$5:$K$304,MATCH($D13,lst_Profil,0))+0,""))</f>
        <v>253.840686410055</v>
      </c>
      <c r="M13" s="24" t="n">
        <f aca="false">IF($D13="","",IFERROR(INDEX(Profile!$E$5:$E$304,MATCH($D13,lst_Profil,0))+0,""))</f>
        <v>2</v>
      </c>
      <c r="N13" s="25" t="n">
        <f aca="false">IF(OR(L13="",$E13=""),"",IFERROR(L13*INDEX(Werkstoffe!$E$5:$E$304,MATCH($E13,lst_Werkstoff,0))/1000,""))</f>
        <v>1.99264938831893</v>
      </c>
      <c r="O13" s="25" t="n">
        <f aca="false">IF(OR(N13="",$F13=""),"",N13*$F13/1000)</f>
        <v>2.49081173539867</v>
      </c>
      <c r="P13" s="16" t="n">
        <f aca="false">IF(OR($F13="",$G13=""),"",$F13*$G13)</f>
        <v>30000</v>
      </c>
      <c r="Q13" s="16" t="n">
        <f aca="false">IF($D13="","",IF($J13&lt;&gt;"",$J13,$C$9))</f>
        <v>6000</v>
      </c>
      <c r="R13" s="12" t="n">
        <f aca="false">IF($D13="","",IFERROR(IF(INDEX(Profile!$G$5:$G$304,MATCH($D13,lst_Profil,0))&lt;&gt;"",INDEX(Profile!$G$5:$G$304,MATCH($D13,lst_Profil,0)),$H$4),$H$4))</f>
        <v>20</v>
      </c>
      <c r="S13" s="12" t="n">
        <f aca="false">IF($D13="","",IFERROR(IF(INDEX(Profile!$H$5:$H$304,MATCH($D13,lst_Profil,0))&lt;&gt;"",INDEX(Profile!$H$5:$H$304,MATCH($D13,lst_Profil,0)),$H$5),$H$5))</f>
        <v>80</v>
      </c>
      <c r="T13" s="16" t="n">
        <f aca="false">IF(OR(Q13="",NOT(ISNUMBER(R13)),NOT(ISNUMBER(S13))),"",Q13-R13-S13)</f>
        <v>5900</v>
      </c>
      <c r="U13" s="26" t="str">
        <f aca="false">IF(OR($D13="",$E13=""),"",IF(COUNTIFS(Preise!$A$5:$A$304,$D13,Preise!$B$5:$B$304,$E13,Preise!$I$5:$I$304,"OK")&gt;0,"ja","nein"))</f>
        <v>ja</v>
      </c>
      <c r="V13" s="15" t="n">
        <f aca="false">IF(OR(M13="",$E13="",$C$8=""),"",IF(_xlfn.MINIFS(Schneiddaten!$C$5:$C$304,Schneiddaten!$A$5:$A$304,$C$8,Schneiddaten!$B$5:$B$304,$E13,Schneiddaten!$C$5:$C$304,"&gt;="&amp;M13)=0,"",SUMIFS(Schneiddaten!$D$5:$D$304,Schneiddaten!$A$5:$A$304,$C$8,Schneiddaten!$B$5:$B$304,$E13,Schneiddaten!$C$5:$C$304,_xlfn.MINIFS(Schneiddaten!$C$5:$C$304,Schneiddaten!$A$5:$A$304,$C$8,Schneiddaten!$B$5:$B$304,$E13,Schneiddaten!$C$5:$C$304,"&gt;="&amp;M13))))</f>
        <v>6000</v>
      </c>
      <c r="W13" s="26" t="str">
        <f aca="false">IF(AND($D13="",$E13="",$F13="",$G13=""),"",IF(ISNA(MATCH($D13,lst_Profil,0)),"FEHLER: Profil unbekannt",IF(ISNA(MATCH($E13,lst_Werkstoff,0)),"FEHLER: Werkstoff unbekannt",IF(NOT(ISNUMBER(L13)),"FEHLER: Querschnitt fehlt (Profil)",IF(OR($F13="",$F13&lt;=0),"FEHLER: Teilelänge fehlt",IF(OR($G13="",$G13&lt;1),"FEHLER: Stückzahl fehlt",IF(NOT(ISNUMBER($H$4)),"FEHLER: Maschine fehlt/unbekannt",IF(Q13&gt;$H$7,"FEHLER: Stange länger als Maschine zulässt",IF($F13+$H$6&gt;T13,"FEHLER: Teil länger als Nutzlänge",IF(U13="nein","WARNUNG: kein gültiger Materialpreis",IF($H13="","HINWEIS: Schneidweg fehlt",IF(V13="","HINWEIS: keine Schneiddaten",IF(AND($AF13&lt;&gt;"",$AG13=""),"HINWEIS: Gewinde-Vorschlag prüfen","OK")))))))))))))</f>
        <v>OK</v>
      </c>
      <c r="X13" s="18" t="n">
        <f aca="false">IF(OR(O13="",$G13=""),"",O13*$G13)</f>
        <v>59.779481649568</v>
      </c>
      <c r="Y13" s="10"/>
      <c r="Z13" s="21"/>
      <c r="AA13" s="10"/>
      <c r="AB13" s="21"/>
      <c r="AC13" s="21"/>
      <c r="AD13" s="21"/>
      <c r="AE13" s="10"/>
      <c r="AF13" s="10"/>
      <c r="AG13" s="10"/>
      <c r="AH13" s="22"/>
      <c r="AI13" s="21"/>
      <c r="AJ13" s="22"/>
      <c r="AK13" s="21"/>
      <c r="AL13" s="22"/>
      <c r="AM13" s="21"/>
    </row>
    <row r="14" customFormat="false" ht="15" hidden="false" customHeight="false" outlineLevel="0" collapsed="false">
      <c r="A14" s="10" t="n">
        <v>20</v>
      </c>
      <c r="B14" s="10" t="s">
        <v>134</v>
      </c>
      <c r="C14" s="10" t="s">
        <v>135</v>
      </c>
      <c r="D14" s="10" t="s">
        <v>132</v>
      </c>
      <c r="E14" s="10" t="s">
        <v>133</v>
      </c>
      <c r="F14" s="21" t="n">
        <v>860</v>
      </c>
      <c r="G14" s="19" t="n">
        <v>40</v>
      </c>
      <c r="H14" s="21" t="n">
        <v>302</v>
      </c>
      <c r="I14" s="22" t="n">
        <v>2</v>
      </c>
      <c r="J14" s="19"/>
      <c r="K14" s="23" t="str">
        <f aca="false">IF($D14="","",IFERROR(INDEX(Profile!$B$5:$B$304,MATCH($D14,lst_Profil,0)),""))</f>
        <v>Rundrohr</v>
      </c>
      <c r="L14" s="13" t="n">
        <f aca="false">IF($D14="","",IFERROR(INDEX(Profile!$K$5:$K$304,MATCH($D14,lst_Profil,0))+0,""))</f>
        <v>253.840686410055</v>
      </c>
      <c r="M14" s="24" t="n">
        <f aca="false">IF($D14="","",IFERROR(INDEX(Profile!$E$5:$E$304,MATCH($D14,lst_Profil,0))+0,""))</f>
        <v>2</v>
      </c>
      <c r="N14" s="25" t="n">
        <f aca="false">IF(OR(L14="",$E14=""),"",IFERROR(L14*INDEX(Werkstoffe!$E$5:$E$304,MATCH($E14,lst_Werkstoff,0))/1000,""))</f>
        <v>1.99264938831893</v>
      </c>
      <c r="O14" s="25" t="n">
        <f aca="false">IF(OR(N14="",$F14=""),"",N14*$F14/1000)</f>
        <v>1.71367847395428</v>
      </c>
      <c r="P14" s="16" t="n">
        <f aca="false">IF(OR($F14="",$G14=""),"",$F14*$G14)</f>
        <v>34400</v>
      </c>
      <c r="Q14" s="16" t="n">
        <f aca="false">IF($D14="","",IF($J14&lt;&gt;"",$J14,$C$9))</f>
        <v>6000</v>
      </c>
      <c r="R14" s="12" t="n">
        <f aca="false">IF($D14="","",IFERROR(IF(INDEX(Profile!$G$5:$G$304,MATCH($D14,lst_Profil,0))&lt;&gt;"",INDEX(Profile!$G$5:$G$304,MATCH($D14,lst_Profil,0)),$H$4),$H$4))</f>
        <v>20</v>
      </c>
      <c r="S14" s="12" t="n">
        <f aca="false">IF($D14="","",IFERROR(IF(INDEX(Profile!$H$5:$H$304,MATCH($D14,lst_Profil,0))&lt;&gt;"",INDEX(Profile!$H$5:$H$304,MATCH($D14,lst_Profil,0)),$H$5),$H$5))</f>
        <v>80</v>
      </c>
      <c r="T14" s="16" t="n">
        <f aca="false">IF(OR(Q14="",NOT(ISNUMBER(R14)),NOT(ISNUMBER(S14))),"",Q14-R14-S14)</f>
        <v>5900</v>
      </c>
      <c r="U14" s="26" t="str">
        <f aca="false">IF(OR($D14="",$E14=""),"",IF(COUNTIFS(Preise!$A$5:$A$304,$D14,Preise!$B$5:$B$304,$E14,Preise!$I$5:$I$304,"OK")&gt;0,"ja","nein"))</f>
        <v>ja</v>
      </c>
      <c r="V14" s="15" t="n">
        <f aca="false">IF(OR(M14="",$E14="",$C$8=""),"",IF(_xlfn.MINIFS(Schneiddaten!$C$5:$C$304,Schneiddaten!$A$5:$A$304,$C$8,Schneiddaten!$B$5:$B$304,$E14,Schneiddaten!$C$5:$C$304,"&gt;="&amp;M14)=0,"",SUMIFS(Schneiddaten!$D$5:$D$304,Schneiddaten!$A$5:$A$304,$C$8,Schneiddaten!$B$5:$B$304,$E14,Schneiddaten!$C$5:$C$304,_xlfn.MINIFS(Schneiddaten!$C$5:$C$304,Schneiddaten!$A$5:$A$304,$C$8,Schneiddaten!$B$5:$B$304,$E14,Schneiddaten!$C$5:$C$304,"&gt;="&amp;M14))))</f>
        <v>6000</v>
      </c>
      <c r="W14" s="26" t="str">
        <f aca="false">IF(AND($D14="",$E14="",$F14="",$G14=""),"",IF(ISNA(MATCH($D14,lst_Profil,0)),"FEHLER: Profil unbekannt",IF(ISNA(MATCH($E14,lst_Werkstoff,0)),"FEHLER: Werkstoff unbekannt",IF(NOT(ISNUMBER(L14)),"FEHLER: Querschnitt fehlt (Profil)",IF(OR($F14="",$F14&lt;=0),"FEHLER: Teilelänge fehlt",IF(OR($G14="",$G14&lt;1),"FEHLER: Stückzahl fehlt",IF(NOT(ISNUMBER($H$4)),"FEHLER: Maschine fehlt/unbekannt",IF(Q14&gt;$H$7,"FEHLER: Stange länger als Maschine zulässt",IF($F14+$H$6&gt;T14,"FEHLER: Teil länger als Nutzlänge",IF(U14="nein","WARNUNG: kein gültiger Materialpreis",IF($H14="","HINWEIS: Schneidweg fehlt",IF(V14="","HINWEIS: keine Schneiddaten",IF(AND($AF14&lt;&gt;"",$AG14=""),"HINWEIS: Gewinde-Vorschlag prüfen","OK")))))))))))))</f>
        <v>OK</v>
      </c>
      <c r="X14" s="18" t="n">
        <f aca="false">IF(OR(O14="",$G14=""),"",O14*$G14)</f>
        <v>68.5471389581713</v>
      </c>
      <c r="Y14" s="10"/>
      <c r="Z14" s="21"/>
      <c r="AA14" s="10"/>
      <c r="AB14" s="21"/>
      <c r="AC14" s="21"/>
      <c r="AD14" s="21"/>
      <c r="AE14" s="10"/>
      <c r="AF14" s="10"/>
      <c r="AG14" s="10"/>
      <c r="AH14" s="22"/>
      <c r="AI14" s="21"/>
      <c r="AJ14" s="22"/>
      <c r="AK14" s="21"/>
      <c r="AL14" s="22"/>
      <c r="AM14" s="21"/>
    </row>
    <row r="15" customFormat="false" ht="15" hidden="false" customHeight="false" outlineLevel="0" collapsed="false">
      <c r="A15" s="10" t="n">
        <v>30</v>
      </c>
      <c r="B15" s="10" t="s">
        <v>136</v>
      </c>
      <c r="C15" s="10" t="s">
        <v>137</v>
      </c>
      <c r="D15" s="10" t="s">
        <v>138</v>
      </c>
      <c r="E15" s="10" t="s">
        <v>133</v>
      </c>
      <c r="F15" s="21" t="n">
        <v>2150</v>
      </c>
      <c r="G15" s="19" t="n">
        <v>12</v>
      </c>
      <c r="H15" s="21" t="n">
        <v>520</v>
      </c>
      <c r="I15" s="22" t="n">
        <v>3</v>
      </c>
      <c r="J15" s="19"/>
      <c r="K15" s="23" t="str">
        <f aca="false">IF($D15="","",IFERROR(INDEX(Profile!$B$5:$B$304,MATCH($D15,lst_Profil,0)),""))</f>
        <v>Quadratrohr</v>
      </c>
      <c r="L15" s="13" t="n">
        <f aca="false">IF($D15="","",IFERROR(INDEX(Profile!$K$5:$K$304,MATCH($D15,lst_Profil,0))+0,""))</f>
        <v>444</v>
      </c>
      <c r="M15" s="24" t="n">
        <f aca="false">IF($D15="","",IFERROR(INDEX(Profile!$E$5:$E$304,MATCH($D15,lst_Profil,0))+0,""))</f>
        <v>3</v>
      </c>
      <c r="N15" s="25" t="n">
        <f aca="false">IF(OR(L15="",$E15=""),"",IFERROR(L15*INDEX(Werkstoffe!$E$5:$E$304,MATCH($E15,lst_Werkstoff,0))/1000,""))</f>
        <v>3.4854</v>
      </c>
      <c r="O15" s="25" t="n">
        <f aca="false">IF(OR(N15="",$F15=""),"",N15*$F15/1000)</f>
        <v>7.49361</v>
      </c>
      <c r="P15" s="16" t="n">
        <f aca="false">IF(OR($F15="",$G15=""),"",$F15*$G15)</f>
        <v>25800</v>
      </c>
      <c r="Q15" s="16" t="n">
        <f aca="false">IF($D15="","",IF($J15&lt;&gt;"",$J15,$C$9))</f>
        <v>6000</v>
      </c>
      <c r="R15" s="12" t="n">
        <f aca="false">IF($D15="","",IFERROR(IF(INDEX(Profile!$G$5:$G$304,MATCH($D15,lst_Profil,0))&lt;&gt;"",INDEX(Profile!$G$5:$G$304,MATCH($D15,lst_Profil,0)),$H$4),$H$4))</f>
        <v>20</v>
      </c>
      <c r="S15" s="12" t="n">
        <f aca="false">IF($D15="","",IFERROR(IF(INDEX(Profile!$H$5:$H$304,MATCH($D15,lst_Profil,0))&lt;&gt;"",INDEX(Profile!$H$5:$H$304,MATCH($D15,lst_Profil,0)),$H$5),$H$5))</f>
        <v>80</v>
      </c>
      <c r="T15" s="16" t="n">
        <f aca="false">IF(OR(Q15="",NOT(ISNUMBER(R15)),NOT(ISNUMBER(S15))),"",Q15-R15-S15)</f>
        <v>5900</v>
      </c>
      <c r="U15" s="26" t="str">
        <f aca="false">IF(OR($D15="",$E15=""),"",IF(COUNTIFS(Preise!$A$5:$A$304,$D15,Preise!$B$5:$B$304,$E15,Preise!$I$5:$I$304,"OK")&gt;0,"ja","nein"))</f>
        <v>ja</v>
      </c>
      <c r="V15" s="15" t="n">
        <f aca="false">IF(OR(M15="",$E15="",$C$8=""),"",IF(_xlfn.MINIFS(Schneiddaten!$C$5:$C$304,Schneiddaten!$A$5:$A$304,$C$8,Schneiddaten!$B$5:$B$304,$E15,Schneiddaten!$C$5:$C$304,"&gt;="&amp;M15)=0,"",SUMIFS(Schneiddaten!$D$5:$D$304,Schneiddaten!$A$5:$A$304,$C$8,Schneiddaten!$B$5:$B$304,$E15,Schneiddaten!$C$5:$C$304,_xlfn.MINIFS(Schneiddaten!$C$5:$C$304,Schneiddaten!$A$5:$A$304,$C$8,Schneiddaten!$B$5:$B$304,$E15,Schneiddaten!$C$5:$C$304,"&gt;="&amp;M15))))</f>
        <v>4500</v>
      </c>
      <c r="W15" s="26" t="str">
        <f aca="false">IF(AND($D15="",$E15="",$F15="",$G15=""),"",IF(ISNA(MATCH($D15,lst_Profil,0)),"FEHLER: Profil unbekannt",IF(ISNA(MATCH($E15,lst_Werkstoff,0)),"FEHLER: Werkstoff unbekannt",IF(NOT(ISNUMBER(L15)),"FEHLER: Querschnitt fehlt (Profil)",IF(OR($F15="",$F15&lt;=0),"FEHLER: Teilelänge fehlt",IF(OR($G15="",$G15&lt;1),"FEHLER: Stückzahl fehlt",IF(NOT(ISNUMBER($H$4)),"FEHLER: Maschine fehlt/unbekannt",IF(Q15&gt;$H$7,"FEHLER: Stange länger als Maschine zulässt",IF($F15+$H$6&gt;T15,"FEHLER: Teil länger als Nutzlänge",IF(U15="nein","WARNUNG: kein gültiger Materialpreis",IF($H15="","HINWEIS: Schneidweg fehlt",IF(V15="","HINWEIS: keine Schneiddaten",IF(AND($AF15&lt;&gt;"",$AG15=""),"HINWEIS: Gewinde-Vorschlag prüfen","OK")))))))))))))</f>
        <v>OK</v>
      </c>
      <c r="X15" s="18" t="n">
        <f aca="false">IF(OR(O15="",$G15=""),"",O15*$G15)</f>
        <v>89.92332</v>
      </c>
      <c r="Y15" s="10"/>
      <c r="Z15" s="21"/>
      <c r="AA15" s="10"/>
      <c r="AB15" s="21"/>
      <c r="AC15" s="21"/>
      <c r="AD15" s="21"/>
      <c r="AE15" s="10"/>
      <c r="AF15" s="10"/>
      <c r="AG15" s="10"/>
      <c r="AH15" s="22"/>
      <c r="AI15" s="21"/>
      <c r="AJ15" s="22"/>
      <c r="AK15" s="21"/>
      <c r="AL15" s="22"/>
      <c r="AM15" s="21"/>
    </row>
    <row r="16" customFormat="false" ht="15" hidden="false" customHeight="false" outlineLevel="0" collapsed="false">
      <c r="A16" s="10" t="n">
        <v>40</v>
      </c>
      <c r="B16" s="10" t="s">
        <v>139</v>
      </c>
      <c r="C16" s="10" t="s">
        <v>140</v>
      </c>
      <c r="D16" s="10" t="s">
        <v>141</v>
      </c>
      <c r="E16" s="10" t="s">
        <v>142</v>
      </c>
      <c r="F16" s="21" t="n">
        <v>1795.5</v>
      </c>
      <c r="G16" s="19" t="n">
        <v>16</v>
      </c>
      <c r="H16" s="21" t="n">
        <v>618.2</v>
      </c>
      <c r="I16" s="22" t="n">
        <v>4</v>
      </c>
      <c r="J16" s="19"/>
      <c r="K16" s="23" t="str">
        <f aca="false">IF($D16="","",IFERROR(INDEX(Profile!$B$5:$B$304,MATCH($D16,lst_Profil,0)),""))</f>
        <v>Rechteckrohr</v>
      </c>
      <c r="L16" s="13" t="n">
        <f aca="false">IF($D16="","",IFERROR(INDEX(Profile!$K$5:$K$304,MATCH($D16,lst_Profil,0))+0,""))</f>
        <v>564</v>
      </c>
      <c r="M16" s="24" t="n">
        <f aca="false">IF($D16="","",IFERROR(INDEX(Profile!$E$5:$E$304,MATCH($D16,lst_Profil,0))+0,""))</f>
        <v>3</v>
      </c>
      <c r="N16" s="25" t="n">
        <f aca="false">IF(OR(L16="",$E16=""),"",IFERROR(L16*INDEX(Werkstoffe!$E$5:$E$304,MATCH($E16,lst_Werkstoff,0))/1000,""))</f>
        <v>4.4274</v>
      </c>
      <c r="O16" s="25" t="n">
        <f aca="false">IF(OR(N16="",$F16=""),"",N16*$F16/1000)</f>
        <v>7.9493967</v>
      </c>
      <c r="P16" s="16" t="n">
        <f aca="false">IF(OR($F16="",$G16=""),"",$F16*$G16)</f>
        <v>28728</v>
      </c>
      <c r="Q16" s="16" t="n">
        <f aca="false">IF($D16="","",IF($J16&lt;&gt;"",$J16,$C$9))</f>
        <v>6000</v>
      </c>
      <c r="R16" s="12" t="n">
        <f aca="false">IF($D16="","",IFERROR(IF(INDEX(Profile!$G$5:$G$304,MATCH($D16,lst_Profil,0))&lt;&gt;"",INDEX(Profile!$G$5:$G$304,MATCH($D16,lst_Profil,0)),$H$4),$H$4))</f>
        <v>20</v>
      </c>
      <c r="S16" s="12" t="n">
        <f aca="false">IF($D16="","",IFERROR(IF(INDEX(Profile!$H$5:$H$304,MATCH($D16,lst_Profil,0))&lt;&gt;"",INDEX(Profile!$H$5:$H$304,MATCH($D16,lst_Profil,0)),$H$5),$H$5))</f>
        <v>80</v>
      </c>
      <c r="T16" s="16" t="n">
        <f aca="false">IF(OR(Q16="",NOT(ISNUMBER(R16)),NOT(ISNUMBER(S16))),"",Q16-R16-S16)</f>
        <v>5900</v>
      </c>
      <c r="U16" s="26" t="str">
        <f aca="false">IF(OR($D16="",$E16=""),"",IF(COUNTIFS(Preise!$A$5:$A$304,$D16,Preise!$B$5:$B$304,$E16,Preise!$I$5:$I$304,"OK")&gt;0,"ja","nein"))</f>
        <v>ja</v>
      </c>
      <c r="V16" s="15" t="n">
        <f aca="false">IF(OR(M16="",$E16="",$C$8=""),"",IF(_xlfn.MINIFS(Schneiddaten!$C$5:$C$304,Schneiddaten!$A$5:$A$304,$C$8,Schneiddaten!$B$5:$B$304,$E16,Schneiddaten!$C$5:$C$304,"&gt;="&amp;M16)=0,"",SUMIFS(Schneiddaten!$D$5:$D$304,Schneiddaten!$A$5:$A$304,$C$8,Schneiddaten!$B$5:$B$304,$E16,Schneiddaten!$C$5:$C$304,_xlfn.MINIFS(Schneiddaten!$C$5:$C$304,Schneiddaten!$A$5:$A$304,$C$8,Schneiddaten!$B$5:$B$304,$E16,Schneiddaten!$C$5:$C$304,"&gt;="&amp;M16))))</f>
        <v>4300</v>
      </c>
      <c r="W16" s="26" t="str">
        <f aca="false">IF(AND($D16="",$E16="",$F16="",$G16=""),"",IF(ISNA(MATCH($D16,lst_Profil,0)),"FEHLER: Profil unbekannt",IF(ISNA(MATCH($E16,lst_Werkstoff,0)),"FEHLER: Werkstoff unbekannt",IF(NOT(ISNUMBER(L16)),"FEHLER: Querschnitt fehlt (Profil)",IF(OR($F16="",$F16&lt;=0),"FEHLER: Teilelänge fehlt",IF(OR($G16="",$G16&lt;1),"FEHLER: Stückzahl fehlt",IF(NOT(ISNUMBER($H$4)),"FEHLER: Maschine fehlt/unbekannt",IF(Q16&gt;$H$7,"FEHLER: Stange länger als Maschine zulässt",IF($F16+$H$6&gt;T16,"FEHLER: Teil länger als Nutzlänge",IF(U16="nein","WARNUNG: kein gültiger Materialpreis",IF($H16="","HINWEIS: Schneidweg fehlt",IF(V16="","HINWEIS: keine Schneiddaten",IF(AND($AF16&lt;&gt;"",$AG16=""),"HINWEIS: Gewinde-Vorschlag prüfen","OK")))))))))))))</f>
        <v>OK</v>
      </c>
      <c r="X16" s="18" t="n">
        <f aca="false">IF(OR(O16="",$G16=""),"",O16*$G16)</f>
        <v>127.1903472</v>
      </c>
      <c r="Y16" s="10"/>
      <c r="Z16" s="21"/>
      <c r="AA16" s="10"/>
      <c r="AB16" s="21"/>
      <c r="AC16" s="21"/>
      <c r="AD16" s="21"/>
      <c r="AE16" s="10"/>
      <c r="AF16" s="10"/>
      <c r="AG16" s="10"/>
      <c r="AH16" s="22"/>
      <c r="AI16" s="21"/>
      <c r="AJ16" s="22"/>
      <c r="AK16" s="21"/>
      <c r="AL16" s="22"/>
      <c r="AM16" s="21"/>
    </row>
    <row r="17" customFormat="false" ht="15" hidden="false" customHeight="false" outlineLevel="0" collapsed="false">
      <c r="A17" s="10" t="n">
        <v>50</v>
      </c>
      <c r="B17" s="10" t="s">
        <v>143</v>
      </c>
      <c r="C17" s="10" t="s">
        <v>144</v>
      </c>
      <c r="D17" s="10" t="s">
        <v>145</v>
      </c>
      <c r="E17" s="10" t="s">
        <v>133</v>
      </c>
      <c r="F17" s="21" t="n">
        <v>345</v>
      </c>
      <c r="G17" s="19" t="n">
        <v>60</v>
      </c>
      <c r="H17" s="21" t="n">
        <v>255</v>
      </c>
      <c r="I17" s="22" t="n">
        <v>2</v>
      </c>
      <c r="J17" s="19"/>
      <c r="K17" s="23" t="str">
        <f aca="false">IF($D17="","",IFERROR(INDEX(Profile!$B$5:$B$304,MATCH($D17,lst_Profil,0)),""))</f>
        <v>Rundrohr</v>
      </c>
      <c r="L17" s="13" t="n">
        <f aca="false">IF($D17="","",IFERROR(INDEX(Profile!$K$5:$K$304,MATCH($D17,lst_Profil,0))+0,""))</f>
        <v>373.28403909954</v>
      </c>
      <c r="M17" s="24" t="n">
        <f aca="false">IF($D17="","",IFERROR(INDEX(Profile!$E$5:$E$304,MATCH($D17,lst_Profil,0))+0,""))</f>
        <v>2.6</v>
      </c>
      <c r="N17" s="25" t="n">
        <f aca="false">IF(OR(L17="",$E17=""),"",IFERROR(L17*INDEX(Werkstoffe!$E$5:$E$304,MATCH($E17,lst_Werkstoff,0))/1000,""))</f>
        <v>2.93027970693139</v>
      </c>
      <c r="O17" s="25" t="n">
        <f aca="false">IF(OR(N17="",$F17=""),"",N17*$F17/1000)</f>
        <v>1.01094649889133</v>
      </c>
      <c r="P17" s="16" t="n">
        <f aca="false">IF(OR($F17="",$G17=""),"",$F17*$G17)</f>
        <v>20700</v>
      </c>
      <c r="Q17" s="16" t="n">
        <f aca="false">IF($D17="","",IF($J17&lt;&gt;"",$J17,$C$9))</f>
        <v>6000</v>
      </c>
      <c r="R17" s="12" t="n">
        <f aca="false">IF($D17="","",IFERROR(IF(INDEX(Profile!$G$5:$G$304,MATCH($D17,lst_Profil,0))&lt;&gt;"",INDEX(Profile!$G$5:$G$304,MATCH($D17,lst_Profil,0)),$H$4),$H$4))</f>
        <v>20</v>
      </c>
      <c r="S17" s="12" t="n">
        <f aca="false">IF($D17="","",IFERROR(IF(INDEX(Profile!$H$5:$H$304,MATCH($D17,lst_Profil,0))&lt;&gt;"",INDEX(Profile!$H$5:$H$304,MATCH($D17,lst_Profil,0)),$H$5),$H$5))</f>
        <v>80</v>
      </c>
      <c r="T17" s="16" t="n">
        <f aca="false">IF(OR(Q17="",NOT(ISNUMBER(R17)),NOT(ISNUMBER(S17))),"",Q17-R17-S17)</f>
        <v>5900</v>
      </c>
      <c r="U17" s="26" t="str">
        <f aca="false">IF(OR($D17="",$E17=""),"",IF(COUNTIFS(Preise!$A$5:$A$304,$D17,Preise!$B$5:$B$304,$E17,Preise!$I$5:$I$304,"OK")&gt;0,"ja","nein"))</f>
        <v>ja</v>
      </c>
      <c r="V17" s="15" t="n">
        <f aca="false">IF(OR(M17="",$E17="",$C$8=""),"",IF(_xlfn.MINIFS(Schneiddaten!$C$5:$C$304,Schneiddaten!$A$5:$A$304,$C$8,Schneiddaten!$B$5:$B$304,$E17,Schneiddaten!$C$5:$C$304,"&gt;="&amp;M17)=0,"",SUMIFS(Schneiddaten!$D$5:$D$304,Schneiddaten!$A$5:$A$304,$C$8,Schneiddaten!$B$5:$B$304,$E17,Schneiddaten!$C$5:$C$304,_xlfn.MINIFS(Schneiddaten!$C$5:$C$304,Schneiddaten!$A$5:$A$304,$C$8,Schneiddaten!$B$5:$B$304,$E17,Schneiddaten!$C$5:$C$304,"&gt;="&amp;M17))))</f>
        <v>4500</v>
      </c>
      <c r="W17" s="26" t="str">
        <f aca="false">IF(AND($D17="",$E17="",$F17="",$G17=""),"",IF(ISNA(MATCH($D17,lst_Profil,0)),"FEHLER: Profil unbekannt",IF(ISNA(MATCH($E17,lst_Werkstoff,0)),"FEHLER: Werkstoff unbekannt",IF(NOT(ISNUMBER(L17)),"FEHLER: Querschnitt fehlt (Profil)",IF(OR($F17="",$F17&lt;=0),"FEHLER: Teilelänge fehlt",IF(OR($G17="",$G17&lt;1),"FEHLER: Stückzahl fehlt",IF(NOT(ISNUMBER($H$4)),"FEHLER: Maschine fehlt/unbekannt",IF(Q17&gt;$H$7,"FEHLER: Stange länger als Maschine zulässt",IF($F17+$H$6&gt;T17,"FEHLER: Teil länger als Nutzlänge",IF(U17="nein","WARNUNG: kein gültiger Materialpreis",IF($H17="","HINWEIS: Schneidweg fehlt",IF(V17="","HINWEIS: keine Schneiddaten",IF(AND($AF17&lt;&gt;"",$AG17=""),"HINWEIS: Gewinde-Vorschlag prüfen","OK")))))))))))))</f>
        <v>OK</v>
      </c>
      <c r="X17" s="18" t="n">
        <f aca="false">IF(OR(O17="",$G17=""),"",O17*$G17)</f>
        <v>60.6567899334797</v>
      </c>
      <c r="Y17" s="10"/>
      <c r="Z17" s="21"/>
      <c r="AA17" s="10"/>
      <c r="AB17" s="21"/>
      <c r="AC17" s="21"/>
      <c r="AD17" s="21"/>
      <c r="AE17" s="10"/>
      <c r="AF17" s="10"/>
      <c r="AG17" s="10"/>
      <c r="AH17" s="22"/>
      <c r="AI17" s="21"/>
      <c r="AJ17" s="22"/>
      <c r="AK17" s="21"/>
      <c r="AL17" s="22"/>
      <c r="AM17" s="21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21"/>
      <c r="G18" s="19"/>
      <c r="H18" s="21"/>
      <c r="I18" s="22"/>
      <c r="J18" s="19"/>
      <c r="K18" s="23" t="str">
        <f aca="false">IF($D18="","",IFERROR(INDEX(Profile!$B$5:$B$304,MATCH($D18,lst_Profil,0)),""))</f>
        <v/>
      </c>
      <c r="L18" s="13" t="str">
        <f aca="false">IF($D18="","",IFERROR(INDEX(Profile!$K$5:$K$304,MATCH($D18,lst_Profil,0))+0,""))</f>
        <v/>
      </c>
      <c r="M18" s="24" t="str">
        <f aca="false">IF($D18="","",IFERROR(INDEX(Profile!$E$5:$E$304,MATCH($D18,lst_Profil,0))+0,""))</f>
        <v/>
      </c>
      <c r="N18" s="25" t="str">
        <f aca="false">IF(OR(L18="",$E18=""),"",IFERROR(L18*INDEX(Werkstoffe!$E$5:$E$304,MATCH($E18,lst_Werkstoff,0))/1000,""))</f>
        <v/>
      </c>
      <c r="O18" s="25" t="str">
        <f aca="false">IF(OR(N18="",$F18=""),"",N18*$F18/1000)</f>
        <v/>
      </c>
      <c r="P18" s="16" t="str">
        <f aca="false">IF(OR($F18="",$G18=""),"",$F18*$G18)</f>
        <v/>
      </c>
      <c r="Q18" s="16" t="str">
        <f aca="false">IF($D18="","",IF($J18&lt;&gt;"",$J18,$C$9))</f>
        <v/>
      </c>
      <c r="R18" s="12" t="str">
        <f aca="false">IF($D18="","",IFERROR(IF(INDEX(Profile!$G$5:$G$304,MATCH($D18,lst_Profil,0))&lt;&gt;"",INDEX(Profile!$G$5:$G$304,MATCH($D18,lst_Profil,0)),$H$4),$H$4))</f>
        <v/>
      </c>
      <c r="S18" s="12" t="str">
        <f aca="false">IF($D18="","",IFERROR(IF(INDEX(Profile!$H$5:$H$304,MATCH($D18,lst_Profil,0))&lt;&gt;"",INDEX(Profile!$H$5:$H$304,MATCH($D18,lst_Profil,0)),$H$5),$H$5))</f>
        <v/>
      </c>
      <c r="T18" s="16" t="str">
        <f aca="false">IF(OR(Q18="",NOT(ISNUMBER(R18)),NOT(ISNUMBER(S18))),"",Q18-R18-S18)</f>
        <v/>
      </c>
      <c r="U18" s="26" t="str">
        <f aca="false">IF(OR($D18="",$E18=""),"",IF(COUNTIFS(Preise!$A$5:$A$304,$D18,Preise!$B$5:$B$304,$E18,Preise!$I$5:$I$304,"OK")&gt;0,"ja","nein"))</f>
        <v/>
      </c>
      <c r="V18" s="15" t="str">
        <f aca="false">IF(OR(M18="",$E18="",$C$8=""),"",IF(_xlfn.MINIFS(Schneiddaten!$C$5:$C$304,Schneiddaten!$A$5:$A$304,$C$8,Schneiddaten!$B$5:$B$304,$E18,Schneiddaten!$C$5:$C$304,"&gt;="&amp;M18)=0,"",SUMIFS(Schneiddaten!$D$5:$D$304,Schneiddaten!$A$5:$A$304,$C$8,Schneiddaten!$B$5:$B$304,$E18,Schneiddaten!$C$5:$C$304,_xlfn.MINIFS(Schneiddaten!$C$5:$C$304,Schneiddaten!$A$5:$A$304,$C$8,Schneiddaten!$B$5:$B$304,$E18,Schneiddaten!$C$5:$C$304,"&gt;="&amp;M18))))</f>
        <v/>
      </c>
      <c r="W18" s="26" t="str">
        <f aca="false">IF(AND($D18="",$E18="",$F18="",$G18=""),"",IF(ISNA(MATCH($D18,lst_Profil,0)),"FEHLER: Profil unbekannt",IF(ISNA(MATCH($E18,lst_Werkstoff,0)),"FEHLER: Werkstoff unbekannt",IF(NOT(ISNUMBER(L18)),"FEHLER: Querschnitt fehlt (Profil)",IF(OR($F18="",$F18&lt;=0),"FEHLER: Teilelänge fehlt",IF(OR($G18="",$G18&lt;1),"FEHLER: Stückzahl fehlt",IF(NOT(ISNUMBER($H$4)),"FEHLER: Maschine fehlt/unbekannt",IF(Q18&gt;$H$7,"FEHLER: Stange länger als Maschine zulässt",IF($F18+$H$6&gt;T18,"FEHLER: Teil länger als Nutzlänge",IF(U18="nein","WARNUNG: kein gültiger Materialpreis",IF($H18="","HINWEIS: Schneidweg fehlt",IF(V18="","HINWEIS: keine Schneiddaten",IF(AND($AF18&lt;&gt;"",$AG18=""),"HINWEIS: Gewinde-Vorschlag prüfen","OK")))))))))))))</f>
        <v/>
      </c>
      <c r="X18" s="18" t="str">
        <f aca="false">IF(OR(O18="",$G18=""),"",O18*$G18)</f>
        <v/>
      </c>
      <c r="Y18" s="10"/>
      <c r="Z18" s="21"/>
      <c r="AA18" s="10"/>
      <c r="AB18" s="21"/>
      <c r="AC18" s="21"/>
      <c r="AD18" s="21"/>
      <c r="AE18" s="10"/>
      <c r="AF18" s="10"/>
      <c r="AG18" s="10"/>
      <c r="AH18" s="22"/>
      <c r="AI18" s="21"/>
      <c r="AJ18" s="22"/>
      <c r="AK18" s="21"/>
      <c r="AL18" s="22"/>
      <c r="AM18" s="21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21"/>
      <c r="G19" s="19"/>
      <c r="H19" s="21"/>
      <c r="I19" s="22"/>
      <c r="J19" s="19"/>
      <c r="K19" s="23" t="str">
        <f aca="false">IF($D19="","",IFERROR(INDEX(Profile!$B$5:$B$304,MATCH($D19,lst_Profil,0)),""))</f>
        <v/>
      </c>
      <c r="L19" s="13" t="str">
        <f aca="false">IF($D19="","",IFERROR(INDEX(Profile!$K$5:$K$304,MATCH($D19,lst_Profil,0))+0,""))</f>
        <v/>
      </c>
      <c r="M19" s="24" t="str">
        <f aca="false">IF($D19="","",IFERROR(INDEX(Profile!$E$5:$E$304,MATCH($D19,lst_Profil,0))+0,""))</f>
        <v/>
      </c>
      <c r="N19" s="25" t="str">
        <f aca="false">IF(OR(L19="",$E19=""),"",IFERROR(L19*INDEX(Werkstoffe!$E$5:$E$304,MATCH($E19,lst_Werkstoff,0))/1000,""))</f>
        <v/>
      </c>
      <c r="O19" s="25" t="str">
        <f aca="false">IF(OR(N19="",$F19=""),"",N19*$F19/1000)</f>
        <v/>
      </c>
      <c r="P19" s="16" t="str">
        <f aca="false">IF(OR($F19="",$G19=""),"",$F19*$G19)</f>
        <v/>
      </c>
      <c r="Q19" s="16" t="str">
        <f aca="false">IF($D19="","",IF($J19&lt;&gt;"",$J19,$C$9))</f>
        <v/>
      </c>
      <c r="R19" s="12" t="str">
        <f aca="false">IF($D19="","",IFERROR(IF(INDEX(Profile!$G$5:$G$304,MATCH($D19,lst_Profil,0))&lt;&gt;"",INDEX(Profile!$G$5:$G$304,MATCH($D19,lst_Profil,0)),$H$4),$H$4))</f>
        <v/>
      </c>
      <c r="S19" s="12" t="str">
        <f aca="false">IF($D19="","",IFERROR(IF(INDEX(Profile!$H$5:$H$304,MATCH($D19,lst_Profil,0))&lt;&gt;"",INDEX(Profile!$H$5:$H$304,MATCH($D19,lst_Profil,0)),$H$5),$H$5))</f>
        <v/>
      </c>
      <c r="T19" s="16" t="str">
        <f aca="false">IF(OR(Q19="",NOT(ISNUMBER(R19)),NOT(ISNUMBER(S19))),"",Q19-R19-S19)</f>
        <v/>
      </c>
      <c r="U19" s="26" t="str">
        <f aca="false">IF(OR($D19="",$E19=""),"",IF(COUNTIFS(Preise!$A$5:$A$304,$D19,Preise!$B$5:$B$304,$E19,Preise!$I$5:$I$304,"OK")&gt;0,"ja","nein"))</f>
        <v/>
      </c>
      <c r="V19" s="15" t="str">
        <f aca="false">IF(OR(M19="",$E19="",$C$8=""),"",IF(_xlfn.MINIFS(Schneiddaten!$C$5:$C$304,Schneiddaten!$A$5:$A$304,$C$8,Schneiddaten!$B$5:$B$304,$E19,Schneiddaten!$C$5:$C$304,"&gt;="&amp;M19)=0,"",SUMIFS(Schneiddaten!$D$5:$D$304,Schneiddaten!$A$5:$A$304,$C$8,Schneiddaten!$B$5:$B$304,$E19,Schneiddaten!$C$5:$C$304,_xlfn.MINIFS(Schneiddaten!$C$5:$C$304,Schneiddaten!$A$5:$A$304,$C$8,Schneiddaten!$B$5:$B$304,$E19,Schneiddaten!$C$5:$C$304,"&gt;="&amp;M19))))</f>
        <v/>
      </c>
      <c r="W19" s="26" t="str">
        <f aca="false">IF(AND($D19="",$E19="",$F19="",$G19=""),"",IF(ISNA(MATCH($D19,lst_Profil,0)),"FEHLER: Profil unbekannt",IF(ISNA(MATCH($E19,lst_Werkstoff,0)),"FEHLER: Werkstoff unbekannt",IF(NOT(ISNUMBER(L19)),"FEHLER: Querschnitt fehlt (Profil)",IF(OR($F19="",$F19&lt;=0),"FEHLER: Teilelänge fehlt",IF(OR($G19="",$G19&lt;1),"FEHLER: Stückzahl fehlt",IF(NOT(ISNUMBER($H$4)),"FEHLER: Maschine fehlt/unbekannt",IF(Q19&gt;$H$7,"FEHLER: Stange länger als Maschine zulässt",IF($F19+$H$6&gt;T19,"FEHLER: Teil länger als Nutzlänge",IF(U19="nein","WARNUNG: kein gültiger Materialpreis",IF($H19="","HINWEIS: Schneidweg fehlt",IF(V19="","HINWEIS: keine Schneiddaten",IF(AND($AF19&lt;&gt;"",$AG19=""),"HINWEIS: Gewinde-Vorschlag prüfen","OK")))))))))))))</f>
        <v/>
      </c>
      <c r="X19" s="18" t="str">
        <f aca="false">IF(OR(O19="",$G19=""),"",O19*$G19)</f>
        <v/>
      </c>
      <c r="Y19" s="10"/>
      <c r="Z19" s="21"/>
      <c r="AA19" s="10"/>
      <c r="AB19" s="21"/>
      <c r="AC19" s="21"/>
      <c r="AD19" s="21"/>
      <c r="AE19" s="10"/>
      <c r="AF19" s="10"/>
      <c r="AG19" s="10"/>
      <c r="AH19" s="22"/>
      <c r="AI19" s="21"/>
      <c r="AJ19" s="22"/>
      <c r="AK19" s="21"/>
      <c r="AL19" s="22"/>
      <c r="AM19" s="21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21"/>
      <c r="G20" s="19"/>
      <c r="H20" s="21"/>
      <c r="I20" s="22"/>
      <c r="J20" s="19"/>
      <c r="K20" s="23" t="str">
        <f aca="false">IF($D20="","",IFERROR(INDEX(Profile!$B$5:$B$304,MATCH($D20,lst_Profil,0)),""))</f>
        <v/>
      </c>
      <c r="L20" s="13" t="str">
        <f aca="false">IF($D20="","",IFERROR(INDEX(Profile!$K$5:$K$304,MATCH($D20,lst_Profil,0))+0,""))</f>
        <v/>
      </c>
      <c r="M20" s="24" t="str">
        <f aca="false">IF($D20="","",IFERROR(INDEX(Profile!$E$5:$E$304,MATCH($D20,lst_Profil,0))+0,""))</f>
        <v/>
      </c>
      <c r="N20" s="25" t="str">
        <f aca="false">IF(OR(L20="",$E20=""),"",IFERROR(L20*INDEX(Werkstoffe!$E$5:$E$304,MATCH($E20,lst_Werkstoff,0))/1000,""))</f>
        <v/>
      </c>
      <c r="O20" s="25" t="str">
        <f aca="false">IF(OR(N20="",$F20=""),"",N20*$F20/1000)</f>
        <v/>
      </c>
      <c r="P20" s="16" t="str">
        <f aca="false">IF(OR($F20="",$G20=""),"",$F20*$G20)</f>
        <v/>
      </c>
      <c r="Q20" s="16" t="str">
        <f aca="false">IF($D20="","",IF($J20&lt;&gt;"",$J20,$C$9))</f>
        <v/>
      </c>
      <c r="R20" s="12" t="str">
        <f aca="false">IF($D20="","",IFERROR(IF(INDEX(Profile!$G$5:$G$304,MATCH($D20,lst_Profil,0))&lt;&gt;"",INDEX(Profile!$G$5:$G$304,MATCH($D20,lst_Profil,0)),$H$4),$H$4))</f>
        <v/>
      </c>
      <c r="S20" s="12" t="str">
        <f aca="false">IF($D20="","",IFERROR(IF(INDEX(Profile!$H$5:$H$304,MATCH($D20,lst_Profil,0))&lt;&gt;"",INDEX(Profile!$H$5:$H$304,MATCH($D20,lst_Profil,0)),$H$5),$H$5))</f>
        <v/>
      </c>
      <c r="T20" s="16" t="str">
        <f aca="false">IF(OR(Q20="",NOT(ISNUMBER(R20)),NOT(ISNUMBER(S20))),"",Q20-R20-S20)</f>
        <v/>
      </c>
      <c r="U20" s="26" t="str">
        <f aca="false">IF(OR($D20="",$E20=""),"",IF(COUNTIFS(Preise!$A$5:$A$304,$D20,Preise!$B$5:$B$304,$E20,Preise!$I$5:$I$304,"OK")&gt;0,"ja","nein"))</f>
        <v/>
      </c>
      <c r="V20" s="15" t="str">
        <f aca="false">IF(OR(M20="",$E20="",$C$8=""),"",IF(_xlfn.MINIFS(Schneiddaten!$C$5:$C$304,Schneiddaten!$A$5:$A$304,$C$8,Schneiddaten!$B$5:$B$304,$E20,Schneiddaten!$C$5:$C$304,"&gt;="&amp;M20)=0,"",SUMIFS(Schneiddaten!$D$5:$D$304,Schneiddaten!$A$5:$A$304,$C$8,Schneiddaten!$B$5:$B$304,$E20,Schneiddaten!$C$5:$C$304,_xlfn.MINIFS(Schneiddaten!$C$5:$C$304,Schneiddaten!$A$5:$A$304,$C$8,Schneiddaten!$B$5:$B$304,$E20,Schneiddaten!$C$5:$C$304,"&gt;="&amp;M20))))</f>
        <v/>
      </c>
      <c r="W20" s="26" t="str">
        <f aca="false">IF(AND($D20="",$E20="",$F20="",$G20=""),"",IF(ISNA(MATCH($D20,lst_Profil,0)),"FEHLER: Profil unbekannt",IF(ISNA(MATCH($E20,lst_Werkstoff,0)),"FEHLER: Werkstoff unbekannt",IF(NOT(ISNUMBER(L20)),"FEHLER: Querschnitt fehlt (Profil)",IF(OR($F20="",$F20&lt;=0),"FEHLER: Teilelänge fehlt",IF(OR($G20="",$G20&lt;1),"FEHLER: Stückzahl fehlt",IF(NOT(ISNUMBER($H$4)),"FEHLER: Maschine fehlt/unbekannt",IF(Q20&gt;$H$7,"FEHLER: Stange länger als Maschine zulässt",IF($F20+$H$6&gt;T20,"FEHLER: Teil länger als Nutzlänge",IF(U20="nein","WARNUNG: kein gültiger Materialpreis",IF($H20="","HINWEIS: Schneidweg fehlt",IF(V20="","HINWEIS: keine Schneiddaten",IF(AND($AF20&lt;&gt;"",$AG20=""),"HINWEIS: Gewinde-Vorschlag prüfen","OK")))))))))))))</f>
        <v/>
      </c>
      <c r="X20" s="18" t="str">
        <f aca="false">IF(OR(O20="",$G20=""),"",O20*$G20)</f>
        <v/>
      </c>
      <c r="Y20" s="10"/>
      <c r="Z20" s="21"/>
      <c r="AA20" s="10"/>
      <c r="AB20" s="21"/>
      <c r="AC20" s="21"/>
      <c r="AD20" s="21"/>
      <c r="AE20" s="10"/>
      <c r="AF20" s="10"/>
      <c r="AG20" s="10"/>
      <c r="AH20" s="22"/>
      <c r="AI20" s="21"/>
      <c r="AJ20" s="22"/>
      <c r="AK20" s="21"/>
      <c r="AL20" s="22"/>
      <c r="AM20" s="21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21"/>
      <c r="G21" s="19"/>
      <c r="H21" s="21"/>
      <c r="I21" s="22"/>
      <c r="J21" s="19"/>
      <c r="K21" s="23" t="str">
        <f aca="false">IF($D21="","",IFERROR(INDEX(Profile!$B$5:$B$304,MATCH($D21,lst_Profil,0)),""))</f>
        <v/>
      </c>
      <c r="L21" s="13" t="str">
        <f aca="false">IF($D21="","",IFERROR(INDEX(Profile!$K$5:$K$304,MATCH($D21,lst_Profil,0))+0,""))</f>
        <v/>
      </c>
      <c r="M21" s="24" t="str">
        <f aca="false">IF($D21="","",IFERROR(INDEX(Profile!$E$5:$E$304,MATCH($D21,lst_Profil,0))+0,""))</f>
        <v/>
      </c>
      <c r="N21" s="25" t="str">
        <f aca="false">IF(OR(L21="",$E21=""),"",IFERROR(L21*INDEX(Werkstoffe!$E$5:$E$304,MATCH($E21,lst_Werkstoff,0))/1000,""))</f>
        <v/>
      </c>
      <c r="O21" s="25" t="str">
        <f aca="false">IF(OR(N21="",$F21=""),"",N21*$F21/1000)</f>
        <v/>
      </c>
      <c r="P21" s="16" t="str">
        <f aca="false">IF(OR($F21="",$G21=""),"",$F21*$G21)</f>
        <v/>
      </c>
      <c r="Q21" s="16" t="str">
        <f aca="false">IF($D21="","",IF($J21&lt;&gt;"",$J21,$C$9))</f>
        <v/>
      </c>
      <c r="R21" s="12" t="str">
        <f aca="false">IF($D21="","",IFERROR(IF(INDEX(Profile!$G$5:$G$304,MATCH($D21,lst_Profil,0))&lt;&gt;"",INDEX(Profile!$G$5:$G$304,MATCH($D21,lst_Profil,0)),$H$4),$H$4))</f>
        <v/>
      </c>
      <c r="S21" s="12" t="str">
        <f aca="false">IF($D21="","",IFERROR(IF(INDEX(Profile!$H$5:$H$304,MATCH($D21,lst_Profil,0))&lt;&gt;"",INDEX(Profile!$H$5:$H$304,MATCH($D21,lst_Profil,0)),$H$5),$H$5))</f>
        <v/>
      </c>
      <c r="T21" s="16" t="str">
        <f aca="false">IF(OR(Q21="",NOT(ISNUMBER(R21)),NOT(ISNUMBER(S21))),"",Q21-R21-S21)</f>
        <v/>
      </c>
      <c r="U21" s="26" t="str">
        <f aca="false">IF(OR($D21="",$E21=""),"",IF(COUNTIFS(Preise!$A$5:$A$304,$D21,Preise!$B$5:$B$304,$E21,Preise!$I$5:$I$304,"OK")&gt;0,"ja","nein"))</f>
        <v/>
      </c>
      <c r="V21" s="15" t="str">
        <f aca="false">IF(OR(M21="",$E21="",$C$8=""),"",IF(_xlfn.MINIFS(Schneiddaten!$C$5:$C$304,Schneiddaten!$A$5:$A$304,$C$8,Schneiddaten!$B$5:$B$304,$E21,Schneiddaten!$C$5:$C$304,"&gt;="&amp;M21)=0,"",SUMIFS(Schneiddaten!$D$5:$D$304,Schneiddaten!$A$5:$A$304,$C$8,Schneiddaten!$B$5:$B$304,$E21,Schneiddaten!$C$5:$C$304,_xlfn.MINIFS(Schneiddaten!$C$5:$C$304,Schneiddaten!$A$5:$A$304,$C$8,Schneiddaten!$B$5:$B$304,$E21,Schneiddaten!$C$5:$C$304,"&gt;="&amp;M21))))</f>
        <v/>
      </c>
      <c r="W21" s="26" t="str">
        <f aca="false">IF(AND($D21="",$E21="",$F21="",$G21=""),"",IF(ISNA(MATCH($D21,lst_Profil,0)),"FEHLER: Profil unbekannt",IF(ISNA(MATCH($E21,lst_Werkstoff,0)),"FEHLER: Werkstoff unbekannt",IF(NOT(ISNUMBER(L21)),"FEHLER: Querschnitt fehlt (Profil)",IF(OR($F21="",$F21&lt;=0),"FEHLER: Teilelänge fehlt",IF(OR($G21="",$G21&lt;1),"FEHLER: Stückzahl fehlt",IF(NOT(ISNUMBER($H$4)),"FEHLER: Maschine fehlt/unbekannt",IF(Q21&gt;$H$7,"FEHLER: Stange länger als Maschine zulässt",IF($F21+$H$6&gt;T21,"FEHLER: Teil länger als Nutzlänge",IF(U21="nein","WARNUNG: kein gültiger Materialpreis",IF($H21="","HINWEIS: Schneidweg fehlt",IF(V21="","HINWEIS: keine Schneiddaten",IF(AND($AF21&lt;&gt;"",$AG21=""),"HINWEIS: Gewinde-Vorschlag prüfen","OK")))))))))))))</f>
        <v/>
      </c>
      <c r="X21" s="18" t="str">
        <f aca="false">IF(OR(O21="",$G21=""),"",O21*$G21)</f>
        <v/>
      </c>
      <c r="Y21" s="10"/>
      <c r="Z21" s="21"/>
      <c r="AA21" s="10"/>
      <c r="AB21" s="21"/>
      <c r="AC21" s="21"/>
      <c r="AD21" s="21"/>
      <c r="AE21" s="10"/>
      <c r="AF21" s="10"/>
      <c r="AG21" s="10"/>
      <c r="AH21" s="22"/>
      <c r="AI21" s="21"/>
      <c r="AJ21" s="22"/>
      <c r="AK21" s="21"/>
      <c r="AL21" s="22"/>
      <c r="AM21" s="21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21"/>
      <c r="G22" s="19"/>
      <c r="H22" s="21"/>
      <c r="I22" s="22"/>
      <c r="J22" s="19"/>
      <c r="K22" s="23" t="str">
        <f aca="false">IF($D22="","",IFERROR(INDEX(Profile!$B$5:$B$304,MATCH($D22,lst_Profil,0)),""))</f>
        <v/>
      </c>
      <c r="L22" s="13" t="str">
        <f aca="false">IF($D22="","",IFERROR(INDEX(Profile!$K$5:$K$304,MATCH($D22,lst_Profil,0))+0,""))</f>
        <v/>
      </c>
      <c r="M22" s="24" t="str">
        <f aca="false">IF($D22="","",IFERROR(INDEX(Profile!$E$5:$E$304,MATCH($D22,lst_Profil,0))+0,""))</f>
        <v/>
      </c>
      <c r="N22" s="25" t="str">
        <f aca="false">IF(OR(L22="",$E22=""),"",IFERROR(L22*INDEX(Werkstoffe!$E$5:$E$304,MATCH($E22,lst_Werkstoff,0))/1000,""))</f>
        <v/>
      </c>
      <c r="O22" s="25" t="str">
        <f aca="false">IF(OR(N22="",$F22=""),"",N22*$F22/1000)</f>
        <v/>
      </c>
      <c r="P22" s="16" t="str">
        <f aca="false">IF(OR($F22="",$G22=""),"",$F22*$G22)</f>
        <v/>
      </c>
      <c r="Q22" s="16" t="str">
        <f aca="false">IF($D22="","",IF($J22&lt;&gt;"",$J22,$C$9))</f>
        <v/>
      </c>
      <c r="R22" s="12" t="str">
        <f aca="false">IF($D22="","",IFERROR(IF(INDEX(Profile!$G$5:$G$304,MATCH($D22,lst_Profil,0))&lt;&gt;"",INDEX(Profile!$G$5:$G$304,MATCH($D22,lst_Profil,0)),$H$4),$H$4))</f>
        <v/>
      </c>
      <c r="S22" s="12" t="str">
        <f aca="false">IF($D22="","",IFERROR(IF(INDEX(Profile!$H$5:$H$304,MATCH($D22,lst_Profil,0))&lt;&gt;"",INDEX(Profile!$H$5:$H$304,MATCH($D22,lst_Profil,0)),$H$5),$H$5))</f>
        <v/>
      </c>
      <c r="T22" s="16" t="str">
        <f aca="false">IF(OR(Q22="",NOT(ISNUMBER(R22)),NOT(ISNUMBER(S22))),"",Q22-R22-S22)</f>
        <v/>
      </c>
      <c r="U22" s="26" t="str">
        <f aca="false">IF(OR($D22="",$E22=""),"",IF(COUNTIFS(Preise!$A$5:$A$304,$D22,Preise!$B$5:$B$304,$E22,Preise!$I$5:$I$304,"OK")&gt;0,"ja","nein"))</f>
        <v/>
      </c>
      <c r="V22" s="15" t="str">
        <f aca="false">IF(OR(M22="",$E22="",$C$8=""),"",IF(_xlfn.MINIFS(Schneiddaten!$C$5:$C$304,Schneiddaten!$A$5:$A$304,$C$8,Schneiddaten!$B$5:$B$304,$E22,Schneiddaten!$C$5:$C$304,"&gt;="&amp;M22)=0,"",SUMIFS(Schneiddaten!$D$5:$D$304,Schneiddaten!$A$5:$A$304,$C$8,Schneiddaten!$B$5:$B$304,$E22,Schneiddaten!$C$5:$C$304,_xlfn.MINIFS(Schneiddaten!$C$5:$C$304,Schneiddaten!$A$5:$A$304,$C$8,Schneiddaten!$B$5:$B$304,$E22,Schneiddaten!$C$5:$C$304,"&gt;="&amp;M22))))</f>
        <v/>
      </c>
      <c r="W22" s="26" t="str">
        <f aca="false">IF(AND($D22="",$E22="",$F22="",$G22=""),"",IF(ISNA(MATCH($D22,lst_Profil,0)),"FEHLER: Profil unbekannt",IF(ISNA(MATCH($E22,lst_Werkstoff,0)),"FEHLER: Werkstoff unbekannt",IF(NOT(ISNUMBER(L22)),"FEHLER: Querschnitt fehlt (Profil)",IF(OR($F22="",$F22&lt;=0),"FEHLER: Teilelänge fehlt",IF(OR($G22="",$G22&lt;1),"FEHLER: Stückzahl fehlt",IF(NOT(ISNUMBER($H$4)),"FEHLER: Maschine fehlt/unbekannt",IF(Q22&gt;$H$7,"FEHLER: Stange länger als Maschine zulässt",IF($F22+$H$6&gt;T22,"FEHLER: Teil länger als Nutzlänge",IF(U22="nein","WARNUNG: kein gültiger Materialpreis",IF($H22="","HINWEIS: Schneidweg fehlt",IF(V22="","HINWEIS: keine Schneiddaten",IF(AND($AF22&lt;&gt;"",$AG22=""),"HINWEIS: Gewinde-Vorschlag prüfen","OK")))))))))))))</f>
        <v/>
      </c>
      <c r="X22" s="18" t="str">
        <f aca="false">IF(OR(O22="",$G22=""),"",O22*$G22)</f>
        <v/>
      </c>
      <c r="Y22" s="10"/>
      <c r="Z22" s="21"/>
      <c r="AA22" s="10"/>
      <c r="AB22" s="21"/>
      <c r="AC22" s="21"/>
      <c r="AD22" s="21"/>
      <c r="AE22" s="10"/>
      <c r="AF22" s="10"/>
      <c r="AG22" s="10"/>
      <c r="AH22" s="22"/>
      <c r="AI22" s="21"/>
      <c r="AJ22" s="22"/>
      <c r="AK22" s="21"/>
      <c r="AL22" s="22"/>
      <c r="AM22" s="21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21"/>
      <c r="G23" s="19"/>
      <c r="H23" s="21"/>
      <c r="I23" s="22"/>
      <c r="J23" s="19"/>
      <c r="K23" s="23" t="str">
        <f aca="false">IF($D23="","",IFERROR(INDEX(Profile!$B$5:$B$304,MATCH($D23,lst_Profil,0)),""))</f>
        <v/>
      </c>
      <c r="L23" s="13" t="str">
        <f aca="false">IF($D23="","",IFERROR(INDEX(Profile!$K$5:$K$304,MATCH($D23,lst_Profil,0))+0,""))</f>
        <v/>
      </c>
      <c r="M23" s="24" t="str">
        <f aca="false">IF($D23="","",IFERROR(INDEX(Profile!$E$5:$E$304,MATCH($D23,lst_Profil,0))+0,""))</f>
        <v/>
      </c>
      <c r="N23" s="25" t="str">
        <f aca="false">IF(OR(L23="",$E23=""),"",IFERROR(L23*INDEX(Werkstoffe!$E$5:$E$304,MATCH($E23,lst_Werkstoff,0))/1000,""))</f>
        <v/>
      </c>
      <c r="O23" s="25" t="str">
        <f aca="false">IF(OR(N23="",$F23=""),"",N23*$F23/1000)</f>
        <v/>
      </c>
      <c r="P23" s="16" t="str">
        <f aca="false">IF(OR($F23="",$G23=""),"",$F23*$G23)</f>
        <v/>
      </c>
      <c r="Q23" s="16" t="str">
        <f aca="false">IF($D23="","",IF($J23&lt;&gt;"",$J23,$C$9))</f>
        <v/>
      </c>
      <c r="R23" s="12" t="str">
        <f aca="false">IF($D23="","",IFERROR(IF(INDEX(Profile!$G$5:$G$304,MATCH($D23,lst_Profil,0))&lt;&gt;"",INDEX(Profile!$G$5:$G$304,MATCH($D23,lst_Profil,0)),$H$4),$H$4))</f>
        <v/>
      </c>
      <c r="S23" s="12" t="str">
        <f aca="false">IF($D23="","",IFERROR(IF(INDEX(Profile!$H$5:$H$304,MATCH($D23,lst_Profil,0))&lt;&gt;"",INDEX(Profile!$H$5:$H$304,MATCH($D23,lst_Profil,0)),$H$5),$H$5))</f>
        <v/>
      </c>
      <c r="T23" s="16" t="str">
        <f aca="false">IF(OR(Q23="",NOT(ISNUMBER(R23)),NOT(ISNUMBER(S23))),"",Q23-R23-S23)</f>
        <v/>
      </c>
      <c r="U23" s="26" t="str">
        <f aca="false">IF(OR($D23="",$E23=""),"",IF(COUNTIFS(Preise!$A$5:$A$304,$D23,Preise!$B$5:$B$304,$E23,Preise!$I$5:$I$304,"OK")&gt;0,"ja","nein"))</f>
        <v/>
      </c>
      <c r="V23" s="15" t="str">
        <f aca="false">IF(OR(M23="",$E23="",$C$8=""),"",IF(_xlfn.MINIFS(Schneiddaten!$C$5:$C$304,Schneiddaten!$A$5:$A$304,$C$8,Schneiddaten!$B$5:$B$304,$E23,Schneiddaten!$C$5:$C$304,"&gt;="&amp;M23)=0,"",SUMIFS(Schneiddaten!$D$5:$D$304,Schneiddaten!$A$5:$A$304,$C$8,Schneiddaten!$B$5:$B$304,$E23,Schneiddaten!$C$5:$C$304,_xlfn.MINIFS(Schneiddaten!$C$5:$C$304,Schneiddaten!$A$5:$A$304,$C$8,Schneiddaten!$B$5:$B$304,$E23,Schneiddaten!$C$5:$C$304,"&gt;="&amp;M23))))</f>
        <v/>
      </c>
      <c r="W23" s="26" t="str">
        <f aca="false">IF(AND($D23="",$E23="",$F23="",$G23=""),"",IF(ISNA(MATCH($D23,lst_Profil,0)),"FEHLER: Profil unbekannt",IF(ISNA(MATCH($E23,lst_Werkstoff,0)),"FEHLER: Werkstoff unbekannt",IF(NOT(ISNUMBER(L23)),"FEHLER: Querschnitt fehlt (Profil)",IF(OR($F23="",$F23&lt;=0),"FEHLER: Teilelänge fehlt",IF(OR($G23="",$G23&lt;1),"FEHLER: Stückzahl fehlt",IF(NOT(ISNUMBER($H$4)),"FEHLER: Maschine fehlt/unbekannt",IF(Q23&gt;$H$7,"FEHLER: Stange länger als Maschine zulässt",IF($F23+$H$6&gt;T23,"FEHLER: Teil länger als Nutzlänge",IF(U23="nein","WARNUNG: kein gültiger Materialpreis",IF($H23="","HINWEIS: Schneidweg fehlt",IF(V23="","HINWEIS: keine Schneiddaten",IF(AND($AF23&lt;&gt;"",$AG23=""),"HINWEIS: Gewinde-Vorschlag prüfen","OK")))))))))))))</f>
        <v/>
      </c>
      <c r="X23" s="18" t="str">
        <f aca="false">IF(OR(O23="",$G23=""),"",O23*$G23)</f>
        <v/>
      </c>
      <c r="Y23" s="10"/>
      <c r="Z23" s="21"/>
      <c r="AA23" s="10"/>
      <c r="AB23" s="21"/>
      <c r="AC23" s="21"/>
      <c r="AD23" s="21"/>
      <c r="AE23" s="10"/>
      <c r="AF23" s="10"/>
      <c r="AG23" s="10"/>
      <c r="AH23" s="22"/>
      <c r="AI23" s="21"/>
      <c r="AJ23" s="22"/>
      <c r="AK23" s="21"/>
      <c r="AL23" s="22"/>
      <c r="AM23" s="21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21"/>
      <c r="G24" s="19"/>
      <c r="H24" s="21"/>
      <c r="I24" s="22"/>
      <c r="J24" s="19"/>
      <c r="K24" s="23" t="str">
        <f aca="false">IF($D24="","",IFERROR(INDEX(Profile!$B$5:$B$304,MATCH($D24,lst_Profil,0)),""))</f>
        <v/>
      </c>
      <c r="L24" s="13" t="str">
        <f aca="false">IF($D24="","",IFERROR(INDEX(Profile!$K$5:$K$304,MATCH($D24,lst_Profil,0))+0,""))</f>
        <v/>
      </c>
      <c r="M24" s="24" t="str">
        <f aca="false">IF($D24="","",IFERROR(INDEX(Profile!$E$5:$E$304,MATCH($D24,lst_Profil,0))+0,""))</f>
        <v/>
      </c>
      <c r="N24" s="25" t="str">
        <f aca="false">IF(OR(L24="",$E24=""),"",IFERROR(L24*INDEX(Werkstoffe!$E$5:$E$304,MATCH($E24,lst_Werkstoff,0))/1000,""))</f>
        <v/>
      </c>
      <c r="O24" s="25" t="str">
        <f aca="false">IF(OR(N24="",$F24=""),"",N24*$F24/1000)</f>
        <v/>
      </c>
      <c r="P24" s="16" t="str">
        <f aca="false">IF(OR($F24="",$G24=""),"",$F24*$G24)</f>
        <v/>
      </c>
      <c r="Q24" s="16" t="str">
        <f aca="false">IF($D24="","",IF($J24&lt;&gt;"",$J24,$C$9))</f>
        <v/>
      </c>
      <c r="R24" s="12" t="str">
        <f aca="false">IF($D24="","",IFERROR(IF(INDEX(Profile!$G$5:$G$304,MATCH($D24,lst_Profil,0))&lt;&gt;"",INDEX(Profile!$G$5:$G$304,MATCH($D24,lst_Profil,0)),$H$4),$H$4))</f>
        <v/>
      </c>
      <c r="S24" s="12" t="str">
        <f aca="false">IF($D24="","",IFERROR(IF(INDEX(Profile!$H$5:$H$304,MATCH($D24,lst_Profil,0))&lt;&gt;"",INDEX(Profile!$H$5:$H$304,MATCH($D24,lst_Profil,0)),$H$5),$H$5))</f>
        <v/>
      </c>
      <c r="T24" s="16" t="str">
        <f aca="false">IF(OR(Q24="",NOT(ISNUMBER(R24)),NOT(ISNUMBER(S24))),"",Q24-R24-S24)</f>
        <v/>
      </c>
      <c r="U24" s="26" t="str">
        <f aca="false">IF(OR($D24="",$E24=""),"",IF(COUNTIFS(Preise!$A$5:$A$304,$D24,Preise!$B$5:$B$304,$E24,Preise!$I$5:$I$304,"OK")&gt;0,"ja","nein"))</f>
        <v/>
      </c>
      <c r="V24" s="15" t="str">
        <f aca="false">IF(OR(M24="",$E24="",$C$8=""),"",IF(_xlfn.MINIFS(Schneiddaten!$C$5:$C$304,Schneiddaten!$A$5:$A$304,$C$8,Schneiddaten!$B$5:$B$304,$E24,Schneiddaten!$C$5:$C$304,"&gt;="&amp;M24)=0,"",SUMIFS(Schneiddaten!$D$5:$D$304,Schneiddaten!$A$5:$A$304,$C$8,Schneiddaten!$B$5:$B$304,$E24,Schneiddaten!$C$5:$C$304,_xlfn.MINIFS(Schneiddaten!$C$5:$C$304,Schneiddaten!$A$5:$A$304,$C$8,Schneiddaten!$B$5:$B$304,$E24,Schneiddaten!$C$5:$C$304,"&gt;="&amp;M24))))</f>
        <v/>
      </c>
      <c r="W24" s="26" t="str">
        <f aca="false">IF(AND($D24="",$E24="",$F24="",$G24=""),"",IF(ISNA(MATCH($D24,lst_Profil,0)),"FEHLER: Profil unbekannt",IF(ISNA(MATCH($E24,lst_Werkstoff,0)),"FEHLER: Werkstoff unbekannt",IF(NOT(ISNUMBER(L24)),"FEHLER: Querschnitt fehlt (Profil)",IF(OR($F24="",$F24&lt;=0),"FEHLER: Teilelänge fehlt",IF(OR($G24="",$G24&lt;1),"FEHLER: Stückzahl fehlt",IF(NOT(ISNUMBER($H$4)),"FEHLER: Maschine fehlt/unbekannt",IF(Q24&gt;$H$7,"FEHLER: Stange länger als Maschine zulässt",IF($F24+$H$6&gt;T24,"FEHLER: Teil länger als Nutzlänge",IF(U24="nein","WARNUNG: kein gültiger Materialpreis",IF($H24="","HINWEIS: Schneidweg fehlt",IF(V24="","HINWEIS: keine Schneiddaten",IF(AND($AF24&lt;&gt;"",$AG24=""),"HINWEIS: Gewinde-Vorschlag prüfen","OK")))))))))))))</f>
        <v/>
      </c>
      <c r="X24" s="18" t="str">
        <f aca="false">IF(OR(O24="",$G24=""),"",O24*$G24)</f>
        <v/>
      </c>
      <c r="Y24" s="10"/>
      <c r="Z24" s="21"/>
      <c r="AA24" s="10"/>
      <c r="AB24" s="21"/>
      <c r="AC24" s="21"/>
      <c r="AD24" s="21"/>
      <c r="AE24" s="10"/>
      <c r="AF24" s="10"/>
      <c r="AG24" s="10"/>
      <c r="AH24" s="22"/>
      <c r="AI24" s="21"/>
      <c r="AJ24" s="22"/>
      <c r="AK24" s="21"/>
      <c r="AL24" s="22"/>
      <c r="AM24" s="21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21"/>
      <c r="G25" s="19"/>
      <c r="H25" s="21"/>
      <c r="I25" s="22"/>
      <c r="J25" s="19"/>
      <c r="K25" s="23" t="str">
        <f aca="false">IF($D25="","",IFERROR(INDEX(Profile!$B$5:$B$304,MATCH($D25,lst_Profil,0)),""))</f>
        <v/>
      </c>
      <c r="L25" s="13" t="str">
        <f aca="false">IF($D25="","",IFERROR(INDEX(Profile!$K$5:$K$304,MATCH($D25,lst_Profil,0))+0,""))</f>
        <v/>
      </c>
      <c r="M25" s="24" t="str">
        <f aca="false">IF($D25="","",IFERROR(INDEX(Profile!$E$5:$E$304,MATCH($D25,lst_Profil,0))+0,""))</f>
        <v/>
      </c>
      <c r="N25" s="25" t="str">
        <f aca="false">IF(OR(L25="",$E25=""),"",IFERROR(L25*INDEX(Werkstoffe!$E$5:$E$304,MATCH($E25,lst_Werkstoff,0))/1000,""))</f>
        <v/>
      </c>
      <c r="O25" s="25" t="str">
        <f aca="false">IF(OR(N25="",$F25=""),"",N25*$F25/1000)</f>
        <v/>
      </c>
      <c r="P25" s="16" t="str">
        <f aca="false">IF(OR($F25="",$G25=""),"",$F25*$G25)</f>
        <v/>
      </c>
      <c r="Q25" s="16" t="str">
        <f aca="false">IF($D25="","",IF($J25&lt;&gt;"",$J25,$C$9))</f>
        <v/>
      </c>
      <c r="R25" s="12" t="str">
        <f aca="false">IF($D25="","",IFERROR(IF(INDEX(Profile!$G$5:$G$304,MATCH($D25,lst_Profil,0))&lt;&gt;"",INDEX(Profile!$G$5:$G$304,MATCH($D25,lst_Profil,0)),$H$4),$H$4))</f>
        <v/>
      </c>
      <c r="S25" s="12" t="str">
        <f aca="false">IF($D25="","",IFERROR(IF(INDEX(Profile!$H$5:$H$304,MATCH($D25,lst_Profil,0))&lt;&gt;"",INDEX(Profile!$H$5:$H$304,MATCH($D25,lst_Profil,0)),$H$5),$H$5))</f>
        <v/>
      </c>
      <c r="T25" s="16" t="str">
        <f aca="false">IF(OR(Q25="",NOT(ISNUMBER(R25)),NOT(ISNUMBER(S25))),"",Q25-R25-S25)</f>
        <v/>
      </c>
      <c r="U25" s="26" t="str">
        <f aca="false">IF(OR($D25="",$E25=""),"",IF(COUNTIFS(Preise!$A$5:$A$304,$D25,Preise!$B$5:$B$304,$E25,Preise!$I$5:$I$304,"OK")&gt;0,"ja","nein"))</f>
        <v/>
      </c>
      <c r="V25" s="15" t="str">
        <f aca="false">IF(OR(M25="",$E25="",$C$8=""),"",IF(_xlfn.MINIFS(Schneiddaten!$C$5:$C$304,Schneiddaten!$A$5:$A$304,$C$8,Schneiddaten!$B$5:$B$304,$E25,Schneiddaten!$C$5:$C$304,"&gt;="&amp;M25)=0,"",SUMIFS(Schneiddaten!$D$5:$D$304,Schneiddaten!$A$5:$A$304,$C$8,Schneiddaten!$B$5:$B$304,$E25,Schneiddaten!$C$5:$C$304,_xlfn.MINIFS(Schneiddaten!$C$5:$C$304,Schneiddaten!$A$5:$A$304,$C$8,Schneiddaten!$B$5:$B$304,$E25,Schneiddaten!$C$5:$C$304,"&gt;="&amp;M25))))</f>
        <v/>
      </c>
      <c r="W25" s="26" t="str">
        <f aca="false">IF(AND($D25="",$E25="",$F25="",$G25=""),"",IF(ISNA(MATCH($D25,lst_Profil,0)),"FEHLER: Profil unbekannt",IF(ISNA(MATCH($E25,lst_Werkstoff,0)),"FEHLER: Werkstoff unbekannt",IF(NOT(ISNUMBER(L25)),"FEHLER: Querschnitt fehlt (Profil)",IF(OR($F25="",$F25&lt;=0),"FEHLER: Teilelänge fehlt",IF(OR($G25="",$G25&lt;1),"FEHLER: Stückzahl fehlt",IF(NOT(ISNUMBER($H$4)),"FEHLER: Maschine fehlt/unbekannt",IF(Q25&gt;$H$7,"FEHLER: Stange länger als Maschine zulässt",IF($F25+$H$6&gt;T25,"FEHLER: Teil länger als Nutzlänge",IF(U25="nein","WARNUNG: kein gültiger Materialpreis",IF($H25="","HINWEIS: Schneidweg fehlt",IF(V25="","HINWEIS: keine Schneiddaten",IF(AND($AF25&lt;&gt;"",$AG25=""),"HINWEIS: Gewinde-Vorschlag prüfen","OK")))))))))))))</f>
        <v/>
      </c>
      <c r="X25" s="18" t="str">
        <f aca="false">IF(OR(O25="",$G25=""),"",O25*$G25)</f>
        <v/>
      </c>
      <c r="Y25" s="10"/>
      <c r="Z25" s="21"/>
      <c r="AA25" s="10"/>
      <c r="AB25" s="21"/>
      <c r="AC25" s="21"/>
      <c r="AD25" s="21"/>
      <c r="AE25" s="10"/>
      <c r="AF25" s="10"/>
      <c r="AG25" s="10"/>
      <c r="AH25" s="22"/>
      <c r="AI25" s="21"/>
      <c r="AJ25" s="22"/>
      <c r="AK25" s="21"/>
      <c r="AL25" s="22"/>
      <c r="AM25" s="21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21"/>
      <c r="G26" s="19"/>
      <c r="H26" s="21"/>
      <c r="I26" s="22"/>
      <c r="J26" s="19"/>
      <c r="K26" s="23" t="str">
        <f aca="false">IF($D26="","",IFERROR(INDEX(Profile!$B$5:$B$304,MATCH($D26,lst_Profil,0)),""))</f>
        <v/>
      </c>
      <c r="L26" s="13" t="str">
        <f aca="false">IF($D26="","",IFERROR(INDEX(Profile!$K$5:$K$304,MATCH($D26,lst_Profil,0))+0,""))</f>
        <v/>
      </c>
      <c r="M26" s="24" t="str">
        <f aca="false">IF($D26="","",IFERROR(INDEX(Profile!$E$5:$E$304,MATCH($D26,lst_Profil,0))+0,""))</f>
        <v/>
      </c>
      <c r="N26" s="25" t="str">
        <f aca="false">IF(OR(L26="",$E26=""),"",IFERROR(L26*INDEX(Werkstoffe!$E$5:$E$304,MATCH($E26,lst_Werkstoff,0))/1000,""))</f>
        <v/>
      </c>
      <c r="O26" s="25" t="str">
        <f aca="false">IF(OR(N26="",$F26=""),"",N26*$F26/1000)</f>
        <v/>
      </c>
      <c r="P26" s="16" t="str">
        <f aca="false">IF(OR($F26="",$G26=""),"",$F26*$G26)</f>
        <v/>
      </c>
      <c r="Q26" s="16" t="str">
        <f aca="false">IF($D26="","",IF($J26&lt;&gt;"",$J26,$C$9))</f>
        <v/>
      </c>
      <c r="R26" s="12" t="str">
        <f aca="false">IF($D26="","",IFERROR(IF(INDEX(Profile!$G$5:$G$304,MATCH($D26,lst_Profil,0))&lt;&gt;"",INDEX(Profile!$G$5:$G$304,MATCH($D26,lst_Profil,0)),$H$4),$H$4))</f>
        <v/>
      </c>
      <c r="S26" s="12" t="str">
        <f aca="false">IF($D26="","",IFERROR(IF(INDEX(Profile!$H$5:$H$304,MATCH($D26,lst_Profil,0))&lt;&gt;"",INDEX(Profile!$H$5:$H$304,MATCH($D26,lst_Profil,0)),$H$5),$H$5))</f>
        <v/>
      </c>
      <c r="T26" s="16" t="str">
        <f aca="false">IF(OR(Q26="",NOT(ISNUMBER(R26)),NOT(ISNUMBER(S26))),"",Q26-R26-S26)</f>
        <v/>
      </c>
      <c r="U26" s="26" t="str">
        <f aca="false">IF(OR($D26="",$E26=""),"",IF(COUNTIFS(Preise!$A$5:$A$304,$D26,Preise!$B$5:$B$304,$E26,Preise!$I$5:$I$304,"OK")&gt;0,"ja","nein"))</f>
        <v/>
      </c>
      <c r="V26" s="15" t="str">
        <f aca="false">IF(OR(M26="",$E26="",$C$8=""),"",IF(_xlfn.MINIFS(Schneiddaten!$C$5:$C$304,Schneiddaten!$A$5:$A$304,$C$8,Schneiddaten!$B$5:$B$304,$E26,Schneiddaten!$C$5:$C$304,"&gt;="&amp;M26)=0,"",SUMIFS(Schneiddaten!$D$5:$D$304,Schneiddaten!$A$5:$A$304,$C$8,Schneiddaten!$B$5:$B$304,$E26,Schneiddaten!$C$5:$C$304,_xlfn.MINIFS(Schneiddaten!$C$5:$C$304,Schneiddaten!$A$5:$A$304,$C$8,Schneiddaten!$B$5:$B$304,$E26,Schneiddaten!$C$5:$C$304,"&gt;="&amp;M26))))</f>
        <v/>
      </c>
      <c r="W26" s="26" t="str">
        <f aca="false">IF(AND($D26="",$E26="",$F26="",$G26=""),"",IF(ISNA(MATCH($D26,lst_Profil,0)),"FEHLER: Profil unbekannt",IF(ISNA(MATCH($E26,lst_Werkstoff,0)),"FEHLER: Werkstoff unbekannt",IF(NOT(ISNUMBER(L26)),"FEHLER: Querschnitt fehlt (Profil)",IF(OR($F26="",$F26&lt;=0),"FEHLER: Teilelänge fehlt",IF(OR($G26="",$G26&lt;1),"FEHLER: Stückzahl fehlt",IF(NOT(ISNUMBER($H$4)),"FEHLER: Maschine fehlt/unbekannt",IF(Q26&gt;$H$7,"FEHLER: Stange länger als Maschine zulässt",IF($F26+$H$6&gt;T26,"FEHLER: Teil länger als Nutzlänge",IF(U26="nein","WARNUNG: kein gültiger Materialpreis",IF($H26="","HINWEIS: Schneidweg fehlt",IF(V26="","HINWEIS: keine Schneiddaten",IF(AND($AF26&lt;&gt;"",$AG26=""),"HINWEIS: Gewinde-Vorschlag prüfen","OK")))))))))))))</f>
        <v/>
      </c>
      <c r="X26" s="18" t="str">
        <f aca="false">IF(OR(O26="",$G26=""),"",O26*$G26)</f>
        <v/>
      </c>
      <c r="Y26" s="10"/>
      <c r="Z26" s="21"/>
      <c r="AA26" s="10"/>
      <c r="AB26" s="21"/>
      <c r="AC26" s="21"/>
      <c r="AD26" s="21"/>
      <c r="AE26" s="10"/>
      <c r="AF26" s="10"/>
      <c r="AG26" s="10"/>
      <c r="AH26" s="22"/>
      <c r="AI26" s="21"/>
      <c r="AJ26" s="22"/>
      <c r="AK26" s="21"/>
      <c r="AL26" s="22"/>
      <c r="AM26" s="21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21"/>
      <c r="G27" s="19"/>
      <c r="H27" s="21"/>
      <c r="I27" s="22"/>
      <c r="J27" s="19"/>
      <c r="K27" s="23" t="str">
        <f aca="false">IF($D27="","",IFERROR(INDEX(Profile!$B$5:$B$304,MATCH($D27,lst_Profil,0)),""))</f>
        <v/>
      </c>
      <c r="L27" s="13" t="str">
        <f aca="false">IF($D27="","",IFERROR(INDEX(Profile!$K$5:$K$304,MATCH($D27,lst_Profil,0))+0,""))</f>
        <v/>
      </c>
      <c r="M27" s="24" t="str">
        <f aca="false">IF($D27="","",IFERROR(INDEX(Profile!$E$5:$E$304,MATCH($D27,lst_Profil,0))+0,""))</f>
        <v/>
      </c>
      <c r="N27" s="25" t="str">
        <f aca="false">IF(OR(L27="",$E27=""),"",IFERROR(L27*INDEX(Werkstoffe!$E$5:$E$304,MATCH($E27,lst_Werkstoff,0))/1000,""))</f>
        <v/>
      </c>
      <c r="O27" s="25" t="str">
        <f aca="false">IF(OR(N27="",$F27=""),"",N27*$F27/1000)</f>
        <v/>
      </c>
      <c r="P27" s="16" t="str">
        <f aca="false">IF(OR($F27="",$G27=""),"",$F27*$G27)</f>
        <v/>
      </c>
      <c r="Q27" s="16" t="str">
        <f aca="false">IF($D27="","",IF($J27&lt;&gt;"",$J27,$C$9))</f>
        <v/>
      </c>
      <c r="R27" s="12" t="str">
        <f aca="false">IF($D27="","",IFERROR(IF(INDEX(Profile!$G$5:$G$304,MATCH($D27,lst_Profil,0))&lt;&gt;"",INDEX(Profile!$G$5:$G$304,MATCH($D27,lst_Profil,0)),$H$4),$H$4))</f>
        <v/>
      </c>
      <c r="S27" s="12" t="str">
        <f aca="false">IF($D27="","",IFERROR(IF(INDEX(Profile!$H$5:$H$304,MATCH($D27,lst_Profil,0))&lt;&gt;"",INDEX(Profile!$H$5:$H$304,MATCH($D27,lst_Profil,0)),$H$5),$H$5))</f>
        <v/>
      </c>
      <c r="T27" s="16" t="str">
        <f aca="false">IF(OR(Q27="",NOT(ISNUMBER(R27)),NOT(ISNUMBER(S27))),"",Q27-R27-S27)</f>
        <v/>
      </c>
      <c r="U27" s="26" t="str">
        <f aca="false">IF(OR($D27="",$E27=""),"",IF(COUNTIFS(Preise!$A$5:$A$304,$D27,Preise!$B$5:$B$304,$E27,Preise!$I$5:$I$304,"OK")&gt;0,"ja","nein"))</f>
        <v/>
      </c>
      <c r="V27" s="15" t="str">
        <f aca="false">IF(OR(M27="",$E27="",$C$8=""),"",IF(_xlfn.MINIFS(Schneiddaten!$C$5:$C$304,Schneiddaten!$A$5:$A$304,$C$8,Schneiddaten!$B$5:$B$304,$E27,Schneiddaten!$C$5:$C$304,"&gt;="&amp;M27)=0,"",SUMIFS(Schneiddaten!$D$5:$D$304,Schneiddaten!$A$5:$A$304,$C$8,Schneiddaten!$B$5:$B$304,$E27,Schneiddaten!$C$5:$C$304,_xlfn.MINIFS(Schneiddaten!$C$5:$C$304,Schneiddaten!$A$5:$A$304,$C$8,Schneiddaten!$B$5:$B$304,$E27,Schneiddaten!$C$5:$C$304,"&gt;="&amp;M27))))</f>
        <v/>
      </c>
      <c r="W27" s="26" t="str">
        <f aca="false">IF(AND($D27="",$E27="",$F27="",$G27=""),"",IF(ISNA(MATCH($D27,lst_Profil,0)),"FEHLER: Profil unbekannt",IF(ISNA(MATCH($E27,lst_Werkstoff,0)),"FEHLER: Werkstoff unbekannt",IF(NOT(ISNUMBER(L27)),"FEHLER: Querschnitt fehlt (Profil)",IF(OR($F27="",$F27&lt;=0),"FEHLER: Teilelänge fehlt",IF(OR($G27="",$G27&lt;1),"FEHLER: Stückzahl fehlt",IF(NOT(ISNUMBER($H$4)),"FEHLER: Maschine fehlt/unbekannt",IF(Q27&gt;$H$7,"FEHLER: Stange länger als Maschine zulässt",IF($F27+$H$6&gt;T27,"FEHLER: Teil länger als Nutzlänge",IF(U27="nein","WARNUNG: kein gültiger Materialpreis",IF($H27="","HINWEIS: Schneidweg fehlt",IF(V27="","HINWEIS: keine Schneiddaten",IF(AND($AF27&lt;&gt;"",$AG27=""),"HINWEIS: Gewinde-Vorschlag prüfen","OK")))))))))))))</f>
        <v/>
      </c>
      <c r="X27" s="18" t="str">
        <f aca="false">IF(OR(O27="",$G27=""),"",O27*$G27)</f>
        <v/>
      </c>
      <c r="Y27" s="10"/>
      <c r="Z27" s="21"/>
      <c r="AA27" s="10"/>
      <c r="AB27" s="21"/>
      <c r="AC27" s="21"/>
      <c r="AD27" s="21"/>
      <c r="AE27" s="10"/>
      <c r="AF27" s="10"/>
      <c r="AG27" s="10"/>
      <c r="AH27" s="22"/>
      <c r="AI27" s="21"/>
      <c r="AJ27" s="22"/>
      <c r="AK27" s="21"/>
      <c r="AL27" s="22"/>
      <c r="AM27" s="21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21"/>
      <c r="G28" s="19"/>
      <c r="H28" s="21"/>
      <c r="I28" s="22"/>
      <c r="J28" s="19"/>
      <c r="K28" s="23" t="str">
        <f aca="false">IF($D28="","",IFERROR(INDEX(Profile!$B$5:$B$304,MATCH($D28,lst_Profil,0)),""))</f>
        <v/>
      </c>
      <c r="L28" s="13" t="str">
        <f aca="false">IF($D28="","",IFERROR(INDEX(Profile!$K$5:$K$304,MATCH($D28,lst_Profil,0))+0,""))</f>
        <v/>
      </c>
      <c r="M28" s="24" t="str">
        <f aca="false">IF($D28="","",IFERROR(INDEX(Profile!$E$5:$E$304,MATCH($D28,lst_Profil,0))+0,""))</f>
        <v/>
      </c>
      <c r="N28" s="25" t="str">
        <f aca="false">IF(OR(L28="",$E28=""),"",IFERROR(L28*INDEX(Werkstoffe!$E$5:$E$304,MATCH($E28,lst_Werkstoff,0))/1000,""))</f>
        <v/>
      </c>
      <c r="O28" s="25" t="str">
        <f aca="false">IF(OR(N28="",$F28=""),"",N28*$F28/1000)</f>
        <v/>
      </c>
      <c r="P28" s="16" t="str">
        <f aca="false">IF(OR($F28="",$G28=""),"",$F28*$G28)</f>
        <v/>
      </c>
      <c r="Q28" s="16" t="str">
        <f aca="false">IF($D28="","",IF($J28&lt;&gt;"",$J28,$C$9))</f>
        <v/>
      </c>
      <c r="R28" s="12" t="str">
        <f aca="false">IF($D28="","",IFERROR(IF(INDEX(Profile!$G$5:$G$304,MATCH($D28,lst_Profil,0))&lt;&gt;"",INDEX(Profile!$G$5:$G$304,MATCH($D28,lst_Profil,0)),$H$4),$H$4))</f>
        <v/>
      </c>
      <c r="S28" s="12" t="str">
        <f aca="false">IF($D28="","",IFERROR(IF(INDEX(Profile!$H$5:$H$304,MATCH($D28,lst_Profil,0))&lt;&gt;"",INDEX(Profile!$H$5:$H$304,MATCH($D28,lst_Profil,0)),$H$5),$H$5))</f>
        <v/>
      </c>
      <c r="T28" s="16" t="str">
        <f aca="false">IF(OR(Q28="",NOT(ISNUMBER(R28)),NOT(ISNUMBER(S28))),"",Q28-R28-S28)</f>
        <v/>
      </c>
      <c r="U28" s="26" t="str">
        <f aca="false">IF(OR($D28="",$E28=""),"",IF(COUNTIFS(Preise!$A$5:$A$304,$D28,Preise!$B$5:$B$304,$E28,Preise!$I$5:$I$304,"OK")&gt;0,"ja","nein"))</f>
        <v/>
      </c>
      <c r="V28" s="15" t="str">
        <f aca="false">IF(OR(M28="",$E28="",$C$8=""),"",IF(_xlfn.MINIFS(Schneiddaten!$C$5:$C$304,Schneiddaten!$A$5:$A$304,$C$8,Schneiddaten!$B$5:$B$304,$E28,Schneiddaten!$C$5:$C$304,"&gt;="&amp;M28)=0,"",SUMIFS(Schneiddaten!$D$5:$D$304,Schneiddaten!$A$5:$A$304,$C$8,Schneiddaten!$B$5:$B$304,$E28,Schneiddaten!$C$5:$C$304,_xlfn.MINIFS(Schneiddaten!$C$5:$C$304,Schneiddaten!$A$5:$A$304,$C$8,Schneiddaten!$B$5:$B$304,$E28,Schneiddaten!$C$5:$C$304,"&gt;="&amp;M28))))</f>
        <v/>
      </c>
      <c r="W28" s="26" t="str">
        <f aca="false">IF(AND($D28="",$E28="",$F28="",$G28=""),"",IF(ISNA(MATCH($D28,lst_Profil,0)),"FEHLER: Profil unbekannt",IF(ISNA(MATCH($E28,lst_Werkstoff,0)),"FEHLER: Werkstoff unbekannt",IF(NOT(ISNUMBER(L28)),"FEHLER: Querschnitt fehlt (Profil)",IF(OR($F28="",$F28&lt;=0),"FEHLER: Teilelänge fehlt",IF(OR($G28="",$G28&lt;1),"FEHLER: Stückzahl fehlt",IF(NOT(ISNUMBER($H$4)),"FEHLER: Maschine fehlt/unbekannt",IF(Q28&gt;$H$7,"FEHLER: Stange länger als Maschine zulässt",IF($F28+$H$6&gt;T28,"FEHLER: Teil länger als Nutzlänge",IF(U28="nein","WARNUNG: kein gültiger Materialpreis",IF($H28="","HINWEIS: Schneidweg fehlt",IF(V28="","HINWEIS: keine Schneiddaten",IF(AND($AF28&lt;&gt;"",$AG28=""),"HINWEIS: Gewinde-Vorschlag prüfen","OK")))))))))))))</f>
        <v/>
      </c>
      <c r="X28" s="18" t="str">
        <f aca="false">IF(OR(O28="",$G28=""),"",O28*$G28)</f>
        <v/>
      </c>
      <c r="Y28" s="10"/>
      <c r="Z28" s="21"/>
      <c r="AA28" s="10"/>
      <c r="AB28" s="21"/>
      <c r="AC28" s="21"/>
      <c r="AD28" s="21"/>
      <c r="AE28" s="10"/>
      <c r="AF28" s="10"/>
      <c r="AG28" s="10"/>
      <c r="AH28" s="22"/>
      <c r="AI28" s="21"/>
      <c r="AJ28" s="22"/>
      <c r="AK28" s="21"/>
      <c r="AL28" s="22"/>
      <c r="AM28" s="21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21"/>
      <c r="G29" s="19"/>
      <c r="H29" s="21"/>
      <c r="I29" s="22"/>
      <c r="J29" s="19"/>
      <c r="K29" s="23" t="str">
        <f aca="false">IF($D29="","",IFERROR(INDEX(Profile!$B$5:$B$304,MATCH($D29,lst_Profil,0)),""))</f>
        <v/>
      </c>
      <c r="L29" s="13" t="str">
        <f aca="false">IF($D29="","",IFERROR(INDEX(Profile!$K$5:$K$304,MATCH($D29,lst_Profil,0))+0,""))</f>
        <v/>
      </c>
      <c r="M29" s="24" t="str">
        <f aca="false">IF($D29="","",IFERROR(INDEX(Profile!$E$5:$E$304,MATCH($D29,lst_Profil,0))+0,""))</f>
        <v/>
      </c>
      <c r="N29" s="25" t="str">
        <f aca="false">IF(OR(L29="",$E29=""),"",IFERROR(L29*INDEX(Werkstoffe!$E$5:$E$304,MATCH($E29,lst_Werkstoff,0))/1000,""))</f>
        <v/>
      </c>
      <c r="O29" s="25" t="str">
        <f aca="false">IF(OR(N29="",$F29=""),"",N29*$F29/1000)</f>
        <v/>
      </c>
      <c r="P29" s="16" t="str">
        <f aca="false">IF(OR($F29="",$G29=""),"",$F29*$G29)</f>
        <v/>
      </c>
      <c r="Q29" s="16" t="str">
        <f aca="false">IF($D29="","",IF($J29&lt;&gt;"",$J29,$C$9))</f>
        <v/>
      </c>
      <c r="R29" s="12" t="str">
        <f aca="false">IF($D29="","",IFERROR(IF(INDEX(Profile!$G$5:$G$304,MATCH($D29,lst_Profil,0))&lt;&gt;"",INDEX(Profile!$G$5:$G$304,MATCH($D29,lst_Profil,0)),$H$4),$H$4))</f>
        <v/>
      </c>
      <c r="S29" s="12" t="str">
        <f aca="false">IF($D29="","",IFERROR(IF(INDEX(Profile!$H$5:$H$304,MATCH($D29,lst_Profil,0))&lt;&gt;"",INDEX(Profile!$H$5:$H$304,MATCH($D29,lst_Profil,0)),$H$5),$H$5))</f>
        <v/>
      </c>
      <c r="T29" s="16" t="str">
        <f aca="false">IF(OR(Q29="",NOT(ISNUMBER(R29)),NOT(ISNUMBER(S29))),"",Q29-R29-S29)</f>
        <v/>
      </c>
      <c r="U29" s="26" t="str">
        <f aca="false">IF(OR($D29="",$E29=""),"",IF(COUNTIFS(Preise!$A$5:$A$304,$D29,Preise!$B$5:$B$304,$E29,Preise!$I$5:$I$304,"OK")&gt;0,"ja","nein"))</f>
        <v/>
      </c>
      <c r="V29" s="15" t="str">
        <f aca="false">IF(OR(M29="",$E29="",$C$8=""),"",IF(_xlfn.MINIFS(Schneiddaten!$C$5:$C$304,Schneiddaten!$A$5:$A$304,$C$8,Schneiddaten!$B$5:$B$304,$E29,Schneiddaten!$C$5:$C$304,"&gt;="&amp;M29)=0,"",SUMIFS(Schneiddaten!$D$5:$D$304,Schneiddaten!$A$5:$A$304,$C$8,Schneiddaten!$B$5:$B$304,$E29,Schneiddaten!$C$5:$C$304,_xlfn.MINIFS(Schneiddaten!$C$5:$C$304,Schneiddaten!$A$5:$A$304,$C$8,Schneiddaten!$B$5:$B$304,$E29,Schneiddaten!$C$5:$C$304,"&gt;="&amp;M29))))</f>
        <v/>
      </c>
      <c r="W29" s="26" t="str">
        <f aca="false">IF(AND($D29="",$E29="",$F29="",$G29=""),"",IF(ISNA(MATCH($D29,lst_Profil,0)),"FEHLER: Profil unbekannt",IF(ISNA(MATCH($E29,lst_Werkstoff,0)),"FEHLER: Werkstoff unbekannt",IF(NOT(ISNUMBER(L29)),"FEHLER: Querschnitt fehlt (Profil)",IF(OR($F29="",$F29&lt;=0),"FEHLER: Teilelänge fehlt",IF(OR($G29="",$G29&lt;1),"FEHLER: Stückzahl fehlt",IF(NOT(ISNUMBER($H$4)),"FEHLER: Maschine fehlt/unbekannt",IF(Q29&gt;$H$7,"FEHLER: Stange länger als Maschine zulässt",IF($F29+$H$6&gt;T29,"FEHLER: Teil länger als Nutzlänge",IF(U29="nein","WARNUNG: kein gültiger Materialpreis",IF($H29="","HINWEIS: Schneidweg fehlt",IF(V29="","HINWEIS: keine Schneiddaten",IF(AND($AF29&lt;&gt;"",$AG29=""),"HINWEIS: Gewinde-Vorschlag prüfen","OK")))))))))))))</f>
        <v/>
      </c>
      <c r="X29" s="18" t="str">
        <f aca="false">IF(OR(O29="",$G29=""),"",O29*$G29)</f>
        <v/>
      </c>
      <c r="Y29" s="10"/>
      <c r="Z29" s="21"/>
      <c r="AA29" s="10"/>
      <c r="AB29" s="21"/>
      <c r="AC29" s="21"/>
      <c r="AD29" s="21"/>
      <c r="AE29" s="10"/>
      <c r="AF29" s="10"/>
      <c r="AG29" s="10"/>
      <c r="AH29" s="22"/>
      <c r="AI29" s="21"/>
      <c r="AJ29" s="22"/>
      <c r="AK29" s="21"/>
      <c r="AL29" s="22"/>
      <c r="AM29" s="21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21"/>
      <c r="G30" s="19"/>
      <c r="H30" s="21"/>
      <c r="I30" s="22"/>
      <c r="J30" s="19"/>
      <c r="K30" s="23" t="str">
        <f aca="false">IF($D30="","",IFERROR(INDEX(Profile!$B$5:$B$304,MATCH($D30,lst_Profil,0)),""))</f>
        <v/>
      </c>
      <c r="L30" s="13" t="str">
        <f aca="false">IF($D30="","",IFERROR(INDEX(Profile!$K$5:$K$304,MATCH($D30,lst_Profil,0))+0,""))</f>
        <v/>
      </c>
      <c r="M30" s="24" t="str">
        <f aca="false">IF($D30="","",IFERROR(INDEX(Profile!$E$5:$E$304,MATCH($D30,lst_Profil,0))+0,""))</f>
        <v/>
      </c>
      <c r="N30" s="25" t="str">
        <f aca="false">IF(OR(L30="",$E30=""),"",IFERROR(L30*INDEX(Werkstoffe!$E$5:$E$304,MATCH($E30,lst_Werkstoff,0))/1000,""))</f>
        <v/>
      </c>
      <c r="O30" s="25" t="str">
        <f aca="false">IF(OR(N30="",$F30=""),"",N30*$F30/1000)</f>
        <v/>
      </c>
      <c r="P30" s="16" t="str">
        <f aca="false">IF(OR($F30="",$G30=""),"",$F30*$G30)</f>
        <v/>
      </c>
      <c r="Q30" s="16" t="str">
        <f aca="false">IF($D30="","",IF($J30&lt;&gt;"",$J30,$C$9))</f>
        <v/>
      </c>
      <c r="R30" s="12" t="str">
        <f aca="false">IF($D30="","",IFERROR(IF(INDEX(Profile!$G$5:$G$304,MATCH($D30,lst_Profil,0))&lt;&gt;"",INDEX(Profile!$G$5:$G$304,MATCH($D30,lst_Profil,0)),$H$4),$H$4))</f>
        <v/>
      </c>
      <c r="S30" s="12" t="str">
        <f aca="false">IF($D30="","",IFERROR(IF(INDEX(Profile!$H$5:$H$304,MATCH($D30,lst_Profil,0))&lt;&gt;"",INDEX(Profile!$H$5:$H$304,MATCH($D30,lst_Profil,0)),$H$5),$H$5))</f>
        <v/>
      </c>
      <c r="T30" s="16" t="str">
        <f aca="false">IF(OR(Q30="",NOT(ISNUMBER(R30)),NOT(ISNUMBER(S30))),"",Q30-R30-S30)</f>
        <v/>
      </c>
      <c r="U30" s="26" t="str">
        <f aca="false">IF(OR($D30="",$E30=""),"",IF(COUNTIFS(Preise!$A$5:$A$304,$D30,Preise!$B$5:$B$304,$E30,Preise!$I$5:$I$304,"OK")&gt;0,"ja","nein"))</f>
        <v/>
      </c>
      <c r="V30" s="15" t="str">
        <f aca="false">IF(OR(M30="",$E30="",$C$8=""),"",IF(_xlfn.MINIFS(Schneiddaten!$C$5:$C$304,Schneiddaten!$A$5:$A$304,$C$8,Schneiddaten!$B$5:$B$304,$E30,Schneiddaten!$C$5:$C$304,"&gt;="&amp;M30)=0,"",SUMIFS(Schneiddaten!$D$5:$D$304,Schneiddaten!$A$5:$A$304,$C$8,Schneiddaten!$B$5:$B$304,$E30,Schneiddaten!$C$5:$C$304,_xlfn.MINIFS(Schneiddaten!$C$5:$C$304,Schneiddaten!$A$5:$A$304,$C$8,Schneiddaten!$B$5:$B$304,$E30,Schneiddaten!$C$5:$C$304,"&gt;="&amp;M30))))</f>
        <v/>
      </c>
      <c r="W30" s="26" t="str">
        <f aca="false">IF(AND($D30="",$E30="",$F30="",$G30=""),"",IF(ISNA(MATCH($D30,lst_Profil,0)),"FEHLER: Profil unbekannt",IF(ISNA(MATCH($E30,lst_Werkstoff,0)),"FEHLER: Werkstoff unbekannt",IF(NOT(ISNUMBER(L30)),"FEHLER: Querschnitt fehlt (Profil)",IF(OR($F30="",$F30&lt;=0),"FEHLER: Teilelänge fehlt",IF(OR($G30="",$G30&lt;1),"FEHLER: Stückzahl fehlt",IF(NOT(ISNUMBER($H$4)),"FEHLER: Maschine fehlt/unbekannt",IF(Q30&gt;$H$7,"FEHLER: Stange länger als Maschine zulässt",IF($F30+$H$6&gt;T30,"FEHLER: Teil länger als Nutzlänge",IF(U30="nein","WARNUNG: kein gültiger Materialpreis",IF($H30="","HINWEIS: Schneidweg fehlt",IF(V30="","HINWEIS: keine Schneiddaten",IF(AND($AF30&lt;&gt;"",$AG30=""),"HINWEIS: Gewinde-Vorschlag prüfen","OK")))))))))))))</f>
        <v/>
      </c>
      <c r="X30" s="18" t="str">
        <f aca="false">IF(OR(O30="",$G30=""),"",O30*$G30)</f>
        <v/>
      </c>
      <c r="Y30" s="10"/>
      <c r="Z30" s="21"/>
      <c r="AA30" s="10"/>
      <c r="AB30" s="21"/>
      <c r="AC30" s="21"/>
      <c r="AD30" s="21"/>
      <c r="AE30" s="10"/>
      <c r="AF30" s="10"/>
      <c r="AG30" s="10"/>
      <c r="AH30" s="22"/>
      <c r="AI30" s="21"/>
      <c r="AJ30" s="22"/>
      <c r="AK30" s="21"/>
      <c r="AL30" s="22"/>
      <c r="AM30" s="21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21"/>
      <c r="G31" s="19"/>
      <c r="H31" s="21"/>
      <c r="I31" s="22"/>
      <c r="J31" s="19"/>
      <c r="K31" s="23" t="str">
        <f aca="false">IF($D31="","",IFERROR(INDEX(Profile!$B$5:$B$304,MATCH($D31,lst_Profil,0)),""))</f>
        <v/>
      </c>
      <c r="L31" s="13" t="str">
        <f aca="false">IF($D31="","",IFERROR(INDEX(Profile!$K$5:$K$304,MATCH($D31,lst_Profil,0))+0,""))</f>
        <v/>
      </c>
      <c r="M31" s="24" t="str">
        <f aca="false">IF($D31="","",IFERROR(INDEX(Profile!$E$5:$E$304,MATCH($D31,lst_Profil,0))+0,""))</f>
        <v/>
      </c>
      <c r="N31" s="25" t="str">
        <f aca="false">IF(OR(L31="",$E31=""),"",IFERROR(L31*INDEX(Werkstoffe!$E$5:$E$304,MATCH($E31,lst_Werkstoff,0))/1000,""))</f>
        <v/>
      </c>
      <c r="O31" s="25" t="str">
        <f aca="false">IF(OR(N31="",$F31=""),"",N31*$F31/1000)</f>
        <v/>
      </c>
      <c r="P31" s="16" t="str">
        <f aca="false">IF(OR($F31="",$G31=""),"",$F31*$G31)</f>
        <v/>
      </c>
      <c r="Q31" s="16" t="str">
        <f aca="false">IF($D31="","",IF($J31&lt;&gt;"",$J31,$C$9))</f>
        <v/>
      </c>
      <c r="R31" s="12" t="str">
        <f aca="false">IF($D31="","",IFERROR(IF(INDEX(Profile!$G$5:$G$304,MATCH($D31,lst_Profil,0))&lt;&gt;"",INDEX(Profile!$G$5:$G$304,MATCH($D31,lst_Profil,0)),$H$4),$H$4))</f>
        <v/>
      </c>
      <c r="S31" s="12" t="str">
        <f aca="false">IF($D31="","",IFERROR(IF(INDEX(Profile!$H$5:$H$304,MATCH($D31,lst_Profil,0))&lt;&gt;"",INDEX(Profile!$H$5:$H$304,MATCH($D31,lst_Profil,0)),$H$5),$H$5))</f>
        <v/>
      </c>
      <c r="T31" s="16" t="str">
        <f aca="false">IF(OR(Q31="",NOT(ISNUMBER(R31)),NOT(ISNUMBER(S31))),"",Q31-R31-S31)</f>
        <v/>
      </c>
      <c r="U31" s="26" t="str">
        <f aca="false">IF(OR($D31="",$E31=""),"",IF(COUNTIFS(Preise!$A$5:$A$304,$D31,Preise!$B$5:$B$304,$E31,Preise!$I$5:$I$304,"OK")&gt;0,"ja","nein"))</f>
        <v/>
      </c>
      <c r="V31" s="15" t="str">
        <f aca="false">IF(OR(M31="",$E31="",$C$8=""),"",IF(_xlfn.MINIFS(Schneiddaten!$C$5:$C$304,Schneiddaten!$A$5:$A$304,$C$8,Schneiddaten!$B$5:$B$304,$E31,Schneiddaten!$C$5:$C$304,"&gt;="&amp;M31)=0,"",SUMIFS(Schneiddaten!$D$5:$D$304,Schneiddaten!$A$5:$A$304,$C$8,Schneiddaten!$B$5:$B$304,$E31,Schneiddaten!$C$5:$C$304,_xlfn.MINIFS(Schneiddaten!$C$5:$C$304,Schneiddaten!$A$5:$A$304,$C$8,Schneiddaten!$B$5:$B$304,$E31,Schneiddaten!$C$5:$C$304,"&gt;="&amp;M31))))</f>
        <v/>
      </c>
      <c r="W31" s="26" t="str">
        <f aca="false">IF(AND($D31="",$E31="",$F31="",$G31=""),"",IF(ISNA(MATCH($D31,lst_Profil,0)),"FEHLER: Profil unbekannt",IF(ISNA(MATCH($E31,lst_Werkstoff,0)),"FEHLER: Werkstoff unbekannt",IF(NOT(ISNUMBER(L31)),"FEHLER: Querschnitt fehlt (Profil)",IF(OR($F31="",$F31&lt;=0),"FEHLER: Teilelänge fehlt",IF(OR($G31="",$G31&lt;1),"FEHLER: Stückzahl fehlt",IF(NOT(ISNUMBER($H$4)),"FEHLER: Maschine fehlt/unbekannt",IF(Q31&gt;$H$7,"FEHLER: Stange länger als Maschine zulässt",IF($F31+$H$6&gt;T31,"FEHLER: Teil länger als Nutzlänge",IF(U31="nein","WARNUNG: kein gültiger Materialpreis",IF($H31="","HINWEIS: Schneidweg fehlt",IF(V31="","HINWEIS: keine Schneiddaten",IF(AND($AF31&lt;&gt;"",$AG31=""),"HINWEIS: Gewinde-Vorschlag prüfen","OK")))))))))))))</f>
        <v/>
      </c>
      <c r="X31" s="18" t="str">
        <f aca="false">IF(OR(O31="",$G31=""),"",O31*$G31)</f>
        <v/>
      </c>
      <c r="Y31" s="10"/>
      <c r="Z31" s="21"/>
      <c r="AA31" s="10"/>
      <c r="AB31" s="21"/>
      <c r="AC31" s="21"/>
      <c r="AD31" s="21"/>
      <c r="AE31" s="10"/>
      <c r="AF31" s="10"/>
      <c r="AG31" s="10"/>
      <c r="AH31" s="22"/>
      <c r="AI31" s="21"/>
      <c r="AJ31" s="22"/>
      <c r="AK31" s="21"/>
      <c r="AL31" s="22"/>
      <c r="AM31" s="21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21"/>
      <c r="G32" s="19"/>
      <c r="H32" s="21"/>
      <c r="I32" s="22"/>
      <c r="J32" s="19"/>
      <c r="K32" s="23" t="str">
        <f aca="false">IF($D32="","",IFERROR(INDEX(Profile!$B$5:$B$304,MATCH($D32,lst_Profil,0)),""))</f>
        <v/>
      </c>
      <c r="L32" s="13" t="str">
        <f aca="false">IF($D32="","",IFERROR(INDEX(Profile!$K$5:$K$304,MATCH($D32,lst_Profil,0))+0,""))</f>
        <v/>
      </c>
      <c r="M32" s="24" t="str">
        <f aca="false">IF($D32="","",IFERROR(INDEX(Profile!$E$5:$E$304,MATCH($D32,lst_Profil,0))+0,""))</f>
        <v/>
      </c>
      <c r="N32" s="25" t="str">
        <f aca="false">IF(OR(L32="",$E32=""),"",IFERROR(L32*INDEX(Werkstoffe!$E$5:$E$304,MATCH($E32,lst_Werkstoff,0))/1000,""))</f>
        <v/>
      </c>
      <c r="O32" s="25" t="str">
        <f aca="false">IF(OR(N32="",$F32=""),"",N32*$F32/1000)</f>
        <v/>
      </c>
      <c r="P32" s="16" t="str">
        <f aca="false">IF(OR($F32="",$G32=""),"",$F32*$G32)</f>
        <v/>
      </c>
      <c r="Q32" s="16" t="str">
        <f aca="false">IF($D32="","",IF($J32&lt;&gt;"",$J32,$C$9))</f>
        <v/>
      </c>
      <c r="R32" s="12" t="str">
        <f aca="false">IF($D32="","",IFERROR(IF(INDEX(Profile!$G$5:$G$304,MATCH($D32,lst_Profil,0))&lt;&gt;"",INDEX(Profile!$G$5:$G$304,MATCH($D32,lst_Profil,0)),$H$4),$H$4))</f>
        <v/>
      </c>
      <c r="S32" s="12" t="str">
        <f aca="false">IF($D32="","",IFERROR(IF(INDEX(Profile!$H$5:$H$304,MATCH($D32,lst_Profil,0))&lt;&gt;"",INDEX(Profile!$H$5:$H$304,MATCH($D32,lst_Profil,0)),$H$5),$H$5))</f>
        <v/>
      </c>
      <c r="T32" s="16" t="str">
        <f aca="false">IF(OR(Q32="",NOT(ISNUMBER(R32)),NOT(ISNUMBER(S32))),"",Q32-R32-S32)</f>
        <v/>
      </c>
      <c r="U32" s="26" t="str">
        <f aca="false">IF(OR($D32="",$E32=""),"",IF(COUNTIFS(Preise!$A$5:$A$304,$D32,Preise!$B$5:$B$304,$E32,Preise!$I$5:$I$304,"OK")&gt;0,"ja","nein"))</f>
        <v/>
      </c>
      <c r="V32" s="15" t="str">
        <f aca="false">IF(OR(M32="",$E32="",$C$8=""),"",IF(_xlfn.MINIFS(Schneiddaten!$C$5:$C$304,Schneiddaten!$A$5:$A$304,$C$8,Schneiddaten!$B$5:$B$304,$E32,Schneiddaten!$C$5:$C$304,"&gt;="&amp;M32)=0,"",SUMIFS(Schneiddaten!$D$5:$D$304,Schneiddaten!$A$5:$A$304,$C$8,Schneiddaten!$B$5:$B$304,$E32,Schneiddaten!$C$5:$C$304,_xlfn.MINIFS(Schneiddaten!$C$5:$C$304,Schneiddaten!$A$5:$A$304,$C$8,Schneiddaten!$B$5:$B$304,$E32,Schneiddaten!$C$5:$C$304,"&gt;="&amp;M32))))</f>
        <v/>
      </c>
      <c r="W32" s="26" t="str">
        <f aca="false">IF(AND($D32="",$E32="",$F32="",$G32=""),"",IF(ISNA(MATCH($D32,lst_Profil,0)),"FEHLER: Profil unbekannt",IF(ISNA(MATCH($E32,lst_Werkstoff,0)),"FEHLER: Werkstoff unbekannt",IF(NOT(ISNUMBER(L32)),"FEHLER: Querschnitt fehlt (Profil)",IF(OR($F32="",$F32&lt;=0),"FEHLER: Teilelänge fehlt",IF(OR($G32="",$G32&lt;1),"FEHLER: Stückzahl fehlt",IF(NOT(ISNUMBER($H$4)),"FEHLER: Maschine fehlt/unbekannt",IF(Q32&gt;$H$7,"FEHLER: Stange länger als Maschine zulässt",IF($F32+$H$6&gt;T32,"FEHLER: Teil länger als Nutzlänge",IF(U32="nein","WARNUNG: kein gültiger Materialpreis",IF($H32="","HINWEIS: Schneidweg fehlt",IF(V32="","HINWEIS: keine Schneiddaten",IF(AND($AF32&lt;&gt;"",$AG32=""),"HINWEIS: Gewinde-Vorschlag prüfen","OK")))))))))))))</f>
        <v/>
      </c>
      <c r="X32" s="18" t="str">
        <f aca="false">IF(OR(O32="",$G32=""),"",O32*$G32)</f>
        <v/>
      </c>
      <c r="Y32" s="10"/>
      <c r="Z32" s="21"/>
      <c r="AA32" s="10"/>
      <c r="AB32" s="21"/>
      <c r="AC32" s="21"/>
      <c r="AD32" s="21"/>
      <c r="AE32" s="10"/>
      <c r="AF32" s="10"/>
      <c r="AG32" s="10"/>
      <c r="AH32" s="22"/>
      <c r="AI32" s="21"/>
      <c r="AJ32" s="22"/>
      <c r="AK32" s="21"/>
      <c r="AL32" s="22"/>
      <c r="AM32" s="21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21"/>
      <c r="G33" s="19"/>
      <c r="H33" s="21"/>
      <c r="I33" s="22"/>
      <c r="J33" s="19"/>
      <c r="K33" s="23" t="str">
        <f aca="false">IF($D33="","",IFERROR(INDEX(Profile!$B$5:$B$304,MATCH($D33,lst_Profil,0)),""))</f>
        <v/>
      </c>
      <c r="L33" s="13" t="str">
        <f aca="false">IF($D33="","",IFERROR(INDEX(Profile!$K$5:$K$304,MATCH($D33,lst_Profil,0))+0,""))</f>
        <v/>
      </c>
      <c r="M33" s="24" t="str">
        <f aca="false">IF($D33="","",IFERROR(INDEX(Profile!$E$5:$E$304,MATCH($D33,lst_Profil,0))+0,""))</f>
        <v/>
      </c>
      <c r="N33" s="25" t="str">
        <f aca="false">IF(OR(L33="",$E33=""),"",IFERROR(L33*INDEX(Werkstoffe!$E$5:$E$304,MATCH($E33,lst_Werkstoff,0))/1000,""))</f>
        <v/>
      </c>
      <c r="O33" s="25" t="str">
        <f aca="false">IF(OR(N33="",$F33=""),"",N33*$F33/1000)</f>
        <v/>
      </c>
      <c r="P33" s="16" t="str">
        <f aca="false">IF(OR($F33="",$G33=""),"",$F33*$G33)</f>
        <v/>
      </c>
      <c r="Q33" s="16" t="str">
        <f aca="false">IF($D33="","",IF($J33&lt;&gt;"",$J33,$C$9))</f>
        <v/>
      </c>
      <c r="R33" s="12" t="str">
        <f aca="false">IF($D33="","",IFERROR(IF(INDEX(Profile!$G$5:$G$304,MATCH($D33,lst_Profil,0))&lt;&gt;"",INDEX(Profile!$G$5:$G$304,MATCH($D33,lst_Profil,0)),$H$4),$H$4))</f>
        <v/>
      </c>
      <c r="S33" s="12" t="str">
        <f aca="false">IF($D33="","",IFERROR(IF(INDEX(Profile!$H$5:$H$304,MATCH($D33,lst_Profil,0))&lt;&gt;"",INDEX(Profile!$H$5:$H$304,MATCH($D33,lst_Profil,0)),$H$5),$H$5))</f>
        <v/>
      </c>
      <c r="T33" s="16" t="str">
        <f aca="false">IF(OR(Q33="",NOT(ISNUMBER(R33)),NOT(ISNUMBER(S33))),"",Q33-R33-S33)</f>
        <v/>
      </c>
      <c r="U33" s="26" t="str">
        <f aca="false">IF(OR($D33="",$E33=""),"",IF(COUNTIFS(Preise!$A$5:$A$304,$D33,Preise!$B$5:$B$304,$E33,Preise!$I$5:$I$304,"OK")&gt;0,"ja","nein"))</f>
        <v/>
      </c>
      <c r="V33" s="15" t="str">
        <f aca="false">IF(OR(M33="",$E33="",$C$8=""),"",IF(_xlfn.MINIFS(Schneiddaten!$C$5:$C$304,Schneiddaten!$A$5:$A$304,$C$8,Schneiddaten!$B$5:$B$304,$E33,Schneiddaten!$C$5:$C$304,"&gt;="&amp;M33)=0,"",SUMIFS(Schneiddaten!$D$5:$D$304,Schneiddaten!$A$5:$A$304,$C$8,Schneiddaten!$B$5:$B$304,$E33,Schneiddaten!$C$5:$C$304,_xlfn.MINIFS(Schneiddaten!$C$5:$C$304,Schneiddaten!$A$5:$A$304,$C$8,Schneiddaten!$B$5:$B$304,$E33,Schneiddaten!$C$5:$C$304,"&gt;="&amp;M33))))</f>
        <v/>
      </c>
      <c r="W33" s="26" t="str">
        <f aca="false">IF(AND($D33="",$E33="",$F33="",$G33=""),"",IF(ISNA(MATCH($D33,lst_Profil,0)),"FEHLER: Profil unbekannt",IF(ISNA(MATCH($E33,lst_Werkstoff,0)),"FEHLER: Werkstoff unbekannt",IF(NOT(ISNUMBER(L33)),"FEHLER: Querschnitt fehlt (Profil)",IF(OR($F33="",$F33&lt;=0),"FEHLER: Teilelänge fehlt",IF(OR($G33="",$G33&lt;1),"FEHLER: Stückzahl fehlt",IF(NOT(ISNUMBER($H$4)),"FEHLER: Maschine fehlt/unbekannt",IF(Q33&gt;$H$7,"FEHLER: Stange länger als Maschine zulässt",IF($F33+$H$6&gt;T33,"FEHLER: Teil länger als Nutzlänge",IF(U33="nein","WARNUNG: kein gültiger Materialpreis",IF($H33="","HINWEIS: Schneidweg fehlt",IF(V33="","HINWEIS: keine Schneiddaten",IF(AND($AF33&lt;&gt;"",$AG33=""),"HINWEIS: Gewinde-Vorschlag prüfen","OK")))))))))))))</f>
        <v/>
      </c>
      <c r="X33" s="18" t="str">
        <f aca="false">IF(OR(O33="",$G33=""),"",O33*$G33)</f>
        <v/>
      </c>
      <c r="Y33" s="10"/>
      <c r="Z33" s="21"/>
      <c r="AA33" s="10"/>
      <c r="AB33" s="21"/>
      <c r="AC33" s="21"/>
      <c r="AD33" s="21"/>
      <c r="AE33" s="10"/>
      <c r="AF33" s="10"/>
      <c r="AG33" s="10"/>
      <c r="AH33" s="22"/>
      <c r="AI33" s="21"/>
      <c r="AJ33" s="22"/>
      <c r="AK33" s="21"/>
      <c r="AL33" s="22"/>
      <c r="AM33" s="21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21"/>
      <c r="G34" s="19"/>
      <c r="H34" s="21"/>
      <c r="I34" s="22"/>
      <c r="J34" s="19"/>
      <c r="K34" s="23" t="str">
        <f aca="false">IF($D34="","",IFERROR(INDEX(Profile!$B$5:$B$304,MATCH($D34,lst_Profil,0)),""))</f>
        <v/>
      </c>
      <c r="L34" s="13" t="str">
        <f aca="false">IF($D34="","",IFERROR(INDEX(Profile!$K$5:$K$304,MATCH($D34,lst_Profil,0))+0,""))</f>
        <v/>
      </c>
      <c r="M34" s="24" t="str">
        <f aca="false">IF($D34="","",IFERROR(INDEX(Profile!$E$5:$E$304,MATCH($D34,lst_Profil,0))+0,""))</f>
        <v/>
      </c>
      <c r="N34" s="25" t="str">
        <f aca="false">IF(OR(L34="",$E34=""),"",IFERROR(L34*INDEX(Werkstoffe!$E$5:$E$304,MATCH($E34,lst_Werkstoff,0))/1000,""))</f>
        <v/>
      </c>
      <c r="O34" s="25" t="str">
        <f aca="false">IF(OR(N34="",$F34=""),"",N34*$F34/1000)</f>
        <v/>
      </c>
      <c r="P34" s="16" t="str">
        <f aca="false">IF(OR($F34="",$G34=""),"",$F34*$G34)</f>
        <v/>
      </c>
      <c r="Q34" s="16" t="str">
        <f aca="false">IF($D34="","",IF($J34&lt;&gt;"",$J34,$C$9))</f>
        <v/>
      </c>
      <c r="R34" s="12" t="str">
        <f aca="false">IF($D34="","",IFERROR(IF(INDEX(Profile!$G$5:$G$304,MATCH($D34,lst_Profil,0))&lt;&gt;"",INDEX(Profile!$G$5:$G$304,MATCH($D34,lst_Profil,0)),$H$4),$H$4))</f>
        <v/>
      </c>
      <c r="S34" s="12" t="str">
        <f aca="false">IF($D34="","",IFERROR(IF(INDEX(Profile!$H$5:$H$304,MATCH($D34,lst_Profil,0))&lt;&gt;"",INDEX(Profile!$H$5:$H$304,MATCH($D34,lst_Profil,0)),$H$5),$H$5))</f>
        <v/>
      </c>
      <c r="T34" s="16" t="str">
        <f aca="false">IF(OR(Q34="",NOT(ISNUMBER(R34)),NOT(ISNUMBER(S34))),"",Q34-R34-S34)</f>
        <v/>
      </c>
      <c r="U34" s="26" t="str">
        <f aca="false">IF(OR($D34="",$E34=""),"",IF(COUNTIFS(Preise!$A$5:$A$304,$D34,Preise!$B$5:$B$304,$E34,Preise!$I$5:$I$304,"OK")&gt;0,"ja","nein"))</f>
        <v/>
      </c>
      <c r="V34" s="15" t="str">
        <f aca="false">IF(OR(M34="",$E34="",$C$8=""),"",IF(_xlfn.MINIFS(Schneiddaten!$C$5:$C$304,Schneiddaten!$A$5:$A$304,$C$8,Schneiddaten!$B$5:$B$304,$E34,Schneiddaten!$C$5:$C$304,"&gt;="&amp;M34)=0,"",SUMIFS(Schneiddaten!$D$5:$D$304,Schneiddaten!$A$5:$A$304,$C$8,Schneiddaten!$B$5:$B$304,$E34,Schneiddaten!$C$5:$C$304,_xlfn.MINIFS(Schneiddaten!$C$5:$C$304,Schneiddaten!$A$5:$A$304,$C$8,Schneiddaten!$B$5:$B$304,$E34,Schneiddaten!$C$5:$C$304,"&gt;="&amp;M34))))</f>
        <v/>
      </c>
      <c r="W34" s="26" t="str">
        <f aca="false">IF(AND($D34="",$E34="",$F34="",$G34=""),"",IF(ISNA(MATCH($D34,lst_Profil,0)),"FEHLER: Profil unbekannt",IF(ISNA(MATCH($E34,lst_Werkstoff,0)),"FEHLER: Werkstoff unbekannt",IF(NOT(ISNUMBER(L34)),"FEHLER: Querschnitt fehlt (Profil)",IF(OR($F34="",$F34&lt;=0),"FEHLER: Teilelänge fehlt",IF(OR($G34="",$G34&lt;1),"FEHLER: Stückzahl fehlt",IF(NOT(ISNUMBER($H$4)),"FEHLER: Maschine fehlt/unbekannt",IF(Q34&gt;$H$7,"FEHLER: Stange länger als Maschine zulässt",IF($F34+$H$6&gt;T34,"FEHLER: Teil länger als Nutzlänge",IF(U34="nein","WARNUNG: kein gültiger Materialpreis",IF($H34="","HINWEIS: Schneidweg fehlt",IF(V34="","HINWEIS: keine Schneiddaten",IF(AND($AF34&lt;&gt;"",$AG34=""),"HINWEIS: Gewinde-Vorschlag prüfen","OK")))))))))))))</f>
        <v/>
      </c>
      <c r="X34" s="18" t="str">
        <f aca="false">IF(OR(O34="",$G34=""),"",O34*$G34)</f>
        <v/>
      </c>
      <c r="Y34" s="10"/>
      <c r="Z34" s="21"/>
      <c r="AA34" s="10"/>
      <c r="AB34" s="21"/>
      <c r="AC34" s="21"/>
      <c r="AD34" s="21"/>
      <c r="AE34" s="10"/>
      <c r="AF34" s="10"/>
      <c r="AG34" s="10"/>
      <c r="AH34" s="22"/>
      <c r="AI34" s="21"/>
      <c r="AJ34" s="22"/>
      <c r="AK34" s="21"/>
      <c r="AL34" s="22"/>
      <c r="AM34" s="21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21"/>
      <c r="G35" s="19"/>
      <c r="H35" s="21"/>
      <c r="I35" s="22"/>
      <c r="J35" s="19"/>
      <c r="K35" s="23" t="str">
        <f aca="false">IF($D35="","",IFERROR(INDEX(Profile!$B$5:$B$304,MATCH($D35,lst_Profil,0)),""))</f>
        <v/>
      </c>
      <c r="L35" s="13" t="str">
        <f aca="false">IF($D35="","",IFERROR(INDEX(Profile!$K$5:$K$304,MATCH($D35,lst_Profil,0))+0,""))</f>
        <v/>
      </c>
      <c r="M35" s="24" t="str">
        <f aca="false">IF($D35="","",IFERROR(INDEX(Profile!$E$5:$E$304,MATCH($D35,lst_Profil,0))+0,""))</f>
        <v/>
      </c>
      <c r="N35" s="25" t="str">
        <f aca="false">IF(OR(L35="",$E35=""),"",IFERROR(L35*INDEX(Werkstoffe!$E$5:$E$304,MATCH($E35,lst_Werkstoff,0))/1000,""))</f>
        <v/>
      </c>
      <c r="O35" s="25" t="str">
        <f aca="false">IF(OR(N35="",$F35=""),"",N35*$F35/1000)</f>
        <v/>
      </c>
      <c r="P35" s="16" t="str">
        <f aca="false">IF(OR($F35="",$G35=""),"",$F35*$G35)</f>
        <v/>
      </c>
      <c r="Q35" s="16" t="str">
        <f aca="false">IF($D35="","",IF($J35&lt;&gt;"",$J35,$C$9))</f>
        <v/>
      </c>
      <c r="R35" s="12" t="str">
        <f aca="false">IF($D35="","",IFERROR(IF(INDEX(Profile!$G$5:$G$304,MATCH($D35,lst_Profil,0))&lt;&gt;"",INDEX(Profile!$G$5:$G$304,MATCH($D35,lst_Profil,0)),$H$4),$H$4))</f>
        <v/>
      </c>
      <c r="S35" s="12" t="str">
        <f aca="false">IF($D35="","",IFERROR(IF(INDEX(Profile!$H$5:$H$304,MATCH($D35,lst_Profil,0))&lt;&gt;"",INDEX(Profile!$H$5:$H$304,MATCH($D35,lst_Profil,0)),$H$5),$H$5))</f>
        <v/>
      </c>
      <c r="T35" s="16" t="str">
        <f aca="false">IF(OR(Q35="",NOT(ISNUMBER(R35)),NOT(ISNUMBER(S35))),"",Q35-R35-S35)</f>
        <v/>
      </c>
      <c r="U35" s="26" t="str">
        <f aca="false">IF(OR($D35="",$E35=""),"",IF(COUNTIFS(Preise!$A$5:$A$304,$D35,Preise!$B$5:$B$304,$E35,Preise!$I$5:$I$304,"OK")&gt;0,"ja","nein"))</f>
        <v/>
      </c>
      <c r="V35" s="15" t="str">
        <f aca="false">IF(OR(M35="",$E35="",$C$8=""),"",IF(_xlfn.MINIFS(Schneiddaten!$C$5:$C$304,Schneiddaten!$A$5:$A$304,$C$8,Schneiddaten!$B$5:$B$304,$E35,Schneiddaten!$C$5:$C$304,"&gt;="&amp;M35)=0,"",SUMIFS(Schneiddaten!$D$5:$D$304,Schneiddaten!$A$5:$A$304,$C$8,Schneiddaten!$B$5:$B$304,$E35,Schneiddaten!$C$5:$C$304,_xlfn.MINIFS(Schneiddaten!$C$5:$C$304,Schneiddaten!$A$5:$A$304,$C$8,Schneiddaten!$B$5:$B$304,$E35,Schneiddaten!$C$5:$C$304,"&gt;="&amp;M35))))</f>
        <v/>
      </c>
      <c r="W35" s="26" t="str">
        <f aca="false">IF(AND($D35="",$E35="",$F35="",$G35=""),"",IF(ISNA(MATCH($D35,lst_Profil,0)),"FEHLER: Profil unbekannt",IF(ISNA(MATCH($E35,lst_Werkstoff,0)),"FEHLER: Werkstoff unbekannt",IF(NOT(ISNUMBER(L35)),"FEHLER: Querschnitt fehlt (Profil)",IF(OR($F35="",$F35&lt;=0),"FEHLER: Teilelänge fehlt",IF(OR($G35="",$G35&lt;1),"FEHLER: Stückzahl fehlt",IF(NOT(ISNUMBER($H$4)),"FEHLER: Maschine fehlt/unbekannt",IF(Q35&gt;$H$7,"FEHLER: Stange länger als Maschine zulässt",IF($F35+$H$6&gt;T35,"FEHLER: Teil länger als Nutzlänge",IF(U35="nein","WARNUNG: kein gültiger Materialpreis",IF($H35="","HINWEIS: Schneidweg fehlt",IF(V35="","HINWEIS: keine Schneiddaten",IF(AND($AF35&lt;&gt;"",$AG35=""),"HINWEIS: Gewinde-Vorschlag prüfen","OK")))))))))))))</f>
        <v/>
      </c>
      <c r="X35" s="18" t="str">
        <f aca="false">IF(OR(O35="",$G35=""),"",O35*$G35)</f>
        <v/>
      </c>
      <c r="Y35" s="10"/>
      <c r="Z35" s="21"/>
      <c r="AA35" s="10"/>
      <c r="AB35" s="21"/>
      <c r="AC35" s="21"/>
      <c r="AD35" s="21"/>
      <c r="AE35" s="10"/>
      <c r="AF35" s="10"/>
      <c r="AG35" s="10"/>
      <c r="AH35" s="22"/>
      <c r="AI35" s="21"/>
      <c r="AJ35" s="22"/>
      <c r="AK35" s="21"/>
      <c r="AL35" s="22"/>
      <c r="AM35" s="21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21"/>
      <c r="G36" s="19"/>
      <c r="H36" s="21"/>
      <c r="I36" s="22"/>
      <c r="J36" s="19"/>
      <c r="K36" s="23" t="str">
        <f aca="false">IF($D36="","",IFERROR(INDEX(Profile!$B$5:$B$304,MATCH($D36,lst_Profil,0)),""))</f>
        <v/>
      </c>
      <c r="L36" s="13" t="str">
        <f aca="false">IF($D36="","",IFERROR(INDEX(Profile!$K$5:$K$304,MATCH($D36,lst_Profil,0))+0,""))</f>
        <v/>
      </c>
      <c r="M36" s="24" t="str">
        <f aca="false">IF($D36="","",IFERROR(INDEX(Profile!$E$5:$E$304,MATCH($D36,lst_Profil,0))+0,""))</f>
        <v/>
      </c>
      <c r="N36" s="25" t="str">
        <f aca="false">IF(OR(L36="",$E36=""),"",IFERROR(L36*INDEX(Werkstoffe!$E$5:$E$304,MATCH($E36,lst_Werkstoff,0))/1000,""))</f>
        <v/>
      </c>
      <c r="O36" s="25" t="str">
        <f aca="false">IF(OR(N36="",$F36=""),"",N36*$F36/1000)</f>
        <v/>
      </c>
      <c r="P36" s="16" t="str">
        <f aca="false">IF(OR($F36="",$G36=""),"",$F36*$G36)</f>
        <v/>
      </c>
      <c r="Q36" s="16" t="str">
        <f aca="false">IF($D36="","",IF($J36&lt;&gt;"",$J36,$C$9))</f>
        <v/>
      </c>
      <c r="R36" s="12" t="str">
        <f aca="false">IF($D36="","",IFERROR(IF(INDEX(Profile!$G$5:$G$304,MATCH($D36,lst_Profil,0))&lt;&gt;"",INDEX(Profile!$G$5:$G$304,MATCH($D36,lst_Profil,0)),$H$4),$H$4))</f>
        <v/>
      </c>
      <c r="S36" s="12" t="str">
        <f aca="false">IF($D36="","",IFERROR(IF(INDEX(Profile!$H$5:$H$304,MATCH($D36,lst_Profil,0))&lt;&gt;"",INDEX(Profile!$H$5:$H$304,MATCH($D36,lst_Profil,0)),$H$5),$H$5))</f>
        <v/>
      </c>
      <c r="T36" s="16" t="str">
        <f aca="false">IF(OR(Q36="",NOT(ISNUMBER(R36)),NOT(ISNUMBER(S36))),"",Q36-R36-S36)</f>
        <v/>
      </c>
      <c r="U36" s="26" t="str">
        <f aca="false">IF(OR($D36="",$E36=""),"",IF(COUNTIFS(Preise!$A$5:$A$304,$D36,Preise!$B$5:$B$304,$E36,Preise!$I$5:$I$304,"OK")&gt;0,"ja","nein"))</f>
        <v/>
      </c>
      <c r="V36" s="15" t="str">
        <f aca="false">IF(OR(M36="",$E36="",$C$8=""),"",IF(_xlfn.MINIFS(Schneiddaten!$C$5:$C$304,Schneiddaten!$A$5:$A$304,$C$8,Schneiddaten!$B$5:$B$304,$E36,Schneiddaten!$C$5:$C$304,"&gt;="&amp;M36)=0,"",SUMIFS(Schneiddaten!$D$5:$D$304,Schneiddaten!$A$5:$A$304,$C$8,Schneiddaten!$B$5:$B$304,$E36,Schneiddaten!$C$5:$C$304,_xlfn.MINIFS(Schneiddaten!$C$5:$C$304,Schneiddaten!$A$5:$A$304,$C$8,Schneiddaten!$B$5:$B$304,$E36,Schneiddaten!$C$5:$C$304,"&gt;="&amp;M36))))</f>
        <v/>
      </c>
      <c r="W36" s="26" t="str">
        <f aca="false">IF(AND($D36="",$E36="",$F36="",$G36=""),"",IF(ISNA(MATCH($D36,lst_Profil,0)),"FEHLER: Profil unbekannt",IF(ISNA(MATCH($E36,lst_Werkstoff,0)),"FEHLER: Werkstoff unbekannt",IF(NOT(ISNUMBER(L36)),"FEHLER: Querschnitt fehlt (Profil)",IF(OR($F36="",$F36&lt;=0),"FEHLER: Teilelänge fehlt",IF(OR($G36="",$G36&lt;1),"FEHLER: Stückzahl fehlt",IF(NOT(ISNUMBER($H$4)),"FEHLER: Maschine fehlt/unbekannt",IF(Q36&gt;$H$7,"FEHLER: Stange länger als Maschine zulässt",IF($F36+$H$6&gt;T36,"FEHLER: Teil länger als Nutzlänge",IF(U36="nein","WARNUNG: kein gültiger Materialpreis",IF($H36="","HINWEIS: Schneidweg fehlt",IF(V36="","HINWEIS: keine Schneiddaten",IF(AND($AF36&lt;&gt;"",$AG36=""),"HINWEIS: Gewinde-Vorschlag prüfen","OK")))))))))))))</f>
        <v/>
      </c>
      <c r="X36" s="18" t="str">
        <f aca="false">IF(OR(O36="",$G36=""),"",O36*$G36)</f>
        <v/>
      </c>
      <c r="Y36" s="10"/>
      <c r="Z36" s="21"/>
      <c r="AA36" s="10"/>
      <c r="AB36" s="21"/>
      <c r="AC36" s="21"/>
      <c r="AD36" s="21"/>
      <c r="AE36" s="10"/>
      <c r="AF36" s="10"/>
      <c r="AG36" s="10"/>
      <c r="AH36" s="22"/>
      <c r="AI36" s="21"/>
      <c r="AJ36" s="22"/>
      <c r="AK36" s="21"/>
      <c r="AL36" s="22"/>
      <c r="AM36" s="21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21"/>
      <c r="G37" s="19"/>
      <c r="H37" s="21"/>
      <c r="I37" s="22"/>
      <c r="J37" s="19"/>
      <c r="K37" s="23" t="str">
        <f aca="false">IF($D37="","",IFERROR(INDEX(Profile!$B$5:$B$304,MATCH($D37,lst_Profil,0)),""))</f>
        <v/>
      </c>
      <c r="L37" s="13" t="str">
        <f aca="false">IF($D37="","",IFERROR(INDEX(Profile!$K$5:$K$304,MATCH($D37,lst_Profil,0))+0,""))</f>
        <v/>
      </c>
      <c r="M37" s="24" t="str">
        <f aca="false">IF($D37="","",IFERROR(INDEX(Profile!$E$5:$E$304,MATCH($D37,lst_Profil,0))+0,""))</f>
        <v/>
      </c>
      <c r="N37" s="25" t="str">
        <f aca="false">IF(OR(L37="",$E37=""),"",IFERROR(L37*INDEX(Werkstoffe!$E$5:$E$304,MATCH($E37,lst_Werkstoff,0))/1000,""))</f>
        <v/>
      </c>
      <c r="O37" s="25" t="str">
        <f aca="false">IF(OR(N37="",$F37=""),"",N37*$F37/1000)</f>
        <v/>
      </c>
      <c r="P37" s="16" t="str">
        <f aca="false">IF(OR($F37="",$G37=""),"",$F37*$G37)</f>
        <v/>
      </c>
      <c r="Q37" s="16" t="str">
        <f aca="false">IF($D37="","",IF($J37&lt;&gt;"",$J37,$C$9))</f>
        <v/>
      </c>
      <c r="R37" s="12" t="str">
        <f aca="false">IF($D37="","",IFERROR(IF(INDEX(Profile!$G$5:$G$304,MATCH($D37,lst_Profil,0))&lt;&gt;"",INDEX(Profile!$G$5:$G$304,MATCH($D37,lst_Profil,0)),$H$4),$H$4))</f>
        <v/>
      </c>
      <c r="S37" s="12" t="str">
        <f aca="false">IF($D37="","",IFERROR(IF(INDEX(Profile!$H$5:$H$304,MATCH($D37,lst_Profil,0))&lt;&gt;"",INDEX(Profile!$H$5:$H$304,MATCH($D37,lst_Profil,0)),$H$5),$H$5))</f>
        <v/>
      </c>
      <c r="T37" s="16" t="str">
        <f aca="false">IF(OR(Q37="",NOT(ISNUMBER(R37)),NOT(ISNUMBER(S37))),"",Q37-R37-S37)</f>
        <v/>
      </c>
      <c r="U37" s="26" t="str">
        <f aca="false">IF(OR($D37="",$E37=""),"",IF(COUNTIFS(Preise!$A$5:$A$304,$D37,Preise!$B$5:$B$304,$E37,Preise!$I$5:$I$304,"OK")&gt;0,"ja","nein"))</f>
        <v/>
      </c>
      <c r="V37" s="15" t="str">
        <f aca="false">IF(OR(M37="",$E37="",$C$8=""),"",IF(_xlfn.MINIFS(Schneiddaten!$C$5:$C$304,Schneiddaten!$A$5:$A$304,$C$8,Schneiddaten!$B$5:$B$304,$E37,Schneiddaten!$C$5:$C$304,"&gt;="&amp;M37)=0,"",SUMIFS(Schneiddaten!$D$5:$D$304,Schneiddaten!$A$5:$A$304,$C$8,Schneiddaten!$B$5:$B$304,$E37,Schneiddaten!$C$5:$C$304,_xlfn.MINIFS(Schneiddaten!$C$5:$C$304,Schneiddaten!$A$5:$A$304,$C$8,Schneiddaten!$B$5:$B$304,$E37,Schneiddaten!$C$5:$C$304,"&gt;="&amp;M37))))</f>
        <v/>
      </c>
      <c r="W37" s="26" t="str">
        <f aca="false">IF(AND($D37="",$E37="",$F37="",$G37=""),"",IF(ISNA(MATCH($D37,lst_Profil,0)),"FEHLER: Profil unbekannt",IF(ISNA(MATCH($E37,lst_Werkstoff,0)),"FEHLER: Werkstoff unbekannt",IF(NOT(ISNUMBER(L37)),"FEHLER: Querschnitt fehlt (Profil)",IF(OR($F37="",$F37&lt;=0),"FEHLER: Teilelänge fehlt",IF(OR($G37="",$G37&lt;1),"FEHLER: Stückzahl fehlt",IF(NOT(ISNUMBER($H$4)),"FEHLER: Maschine fehlt/unbekannt",IF(Q37&gt;$H$7,"FEHLER: Stange länger als Maschine zulässt",IF($F37+$H$6&gt;T37,"FEHLER: Teil länger als Nutzlänge",IF(U37="nein","WARNUNG: kein gültiger Materialpreis",IF($H37="","HINWEIS: Schneidweg fehlt",IF(V37="","HINWEIS: keine Schneiddaten",IF(AND($AF37&lt;&gt;"",$AG37=""),"HINWEIS: Gewinde-Vorschlag prüfen","OK")))))))))))))</f>
        <v/>
      </c>
      <c r="X37" s="18" t="str">
        <f aca="false">IF(OR(O37="",$G37=""),"",O37*$G37)</f>
        <v/>
      </c>
      <c r="Y37" s="10"/>
      <c r="Z37" s="21"/>
      <c r="AA37" s="10"/>
      <c r="AB37" s="21"/>
      <c r="AC37" s="21"/>
      <c r="AD37" s="21"/>
      <c r="AE37" s="10"/>
      <c r="AF37" s="10"/>
      <c r="AG37" s="10"/>
      <c r="AH37" s="22"/>
      <c r="AI37" s="21"/>
      <c r="AJ37" s="22"/>
      <c r="AK37" s="21"/>
      <c r="AL37" s="22"/>
      <c r="AM37" s="21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21"/>
      <c r="G38" s="19"/>
      <c r="H38" s="21"/>
      <c r="I38" s="22"/>
      <c r="J38" s="19"/>
      <c r="K38" s="23" t="str">
        <f aca="false">IF($D38="","",IFERROR(INDEX(Profile!$B$5:$B$304,MATCH($D38,lst_Profil,0)),""))</f>
        <v/>
      </c>
      <c r="L38" s="13" t="str">
        <f aca="false">IF($D38="","",IFERROR(INDEX(Profile!$K$5:$K$304,MATCH($D38,lst_Profil,0))+0,""))</f>
        <v/>
      </c>
      <c r="M38" s="24" t="str">
        <f aca="false">IF($D38="","",IFERROR(INDEX(Profile!$E$5:$E$304,MATCH($D38,lst_Profil,0))+0,""))</f>
        <v/>
      </c>
      <c r="N38" s="25" t="str">
        <f aca="false">IF(OR(L38="",$E38=""),"",IFERROR(L38*INDEX(Werkstoffe!$E$5:$E$304,MATCH($E38,lst_Werkstoff,0))/1000,""))</f>
        <v/>
      </c>
      <c r="O38" s="25" t="str">
        <f aca="false">IF(OR(N38="",$F38=""),"",N38*$F38/1000)</f>
        <v/>
      </c>
      <c r="P38" s="16" t="str">
        <f aca="false">IF(OR($F38="",$G38=""),"",$F38*$G38)</f>
        <v/>
      </c>
      <c r="Q38" s="16" t="str">
        <f aca="false">IF($D38="","",IF($J38&lt;&gt;"",$J38,$C$9))</f>
        <v/>
      </c>
      <c r="R38" s="12" t="str">
        <f aca="false">IF($D38="","",IFERROR(IF(INDEX(Profile!$G$5:$G$304,MATCH($D38,lst_Profil,0))&lt;&gt;"",INDEX(Profile!$G$5:$G$304,MATCH($D38,lst_Profil,0)),$H$4),$H$4))</f>
        <v/>
      </c>
      <c r="S38" s="12" t="str">
        <f aca="false">IF($D38="","",IFERROR(IF(INDEX(Profile!$H$5:$H$304,MATCH($D38,lst_Profil,0))&lt;&gt;"",INDEX(Profile!$H$5:$H$304,MATCH($D38,lst_Profil,0)),$H$5),$H$5))</f>
        <v/>
      </c>
      <c r="T38" s="16" t="str">
        <f aca="false">IF(OR(Q38="",NOT(ISNUMBER(R38)),NOT(ISNUMBER(S38))),"",Q38-R38-S38)</f>
        <v/>
      </c>
      <c r="U38" s="26" t="str">
        <f aca="false">IF(OR($D38="",$E38=""),"",IF(COUNTIFS(Preise!$A$5:$A$304,$D38,Preise!$B$5:$B$304,$E38,Preise!$I$5:$I$304,"OK")&gt;0,"ja","nein"))</f>
        <v/>
      </c>
      <c r="V38" s="15" t="str">
        <f aca="false">IF(OR(M38="",$E38="",$C$8=""),"",IF(_xlfn.MINIFS(Schneiddaten!$C$5:$C$304,Schneiddaten!$A$5:$A$304,$C$8,Schneiddaten!$B$5:$B$304,$E38,Schneiddaten!$C$5:$C$304,"&gt;="&amp;M38)=0,"",SUMIFS(Schneiddaten!$D$5:$D$304,Schneiddaten!$A$5:$A$304,$C$8,Schneiddaten!$B$5:$B$304,$E38,Schneiddaten!$C$5:$C$304,_xlfn.MINIFS(Schneiddaten!$C$5:$C$304,Schneiddaten!$A$5:$A$304,$C$8,Schneiddaten!$B$5:$B$304,$E38,Schneiddaten!$C$5:$C$304,"&gt;="&amp;M38))))</f>
        <v/>
      </c>
      <c r="W38" s="26" t="str">
        <f aca="false">IF(AND($D38="",$E38="",$F38="",$G38=""),"",IF(ISNA(MATCH($D38,lst_Profil,0)),"FEHLER: Profil unbekannt",IF(ISNA(MATCH($E38,lst_Werkstoff,0)),"FEHLER: Werkstoff unbekannt",IF(NOT(ISNUMBER(L38)),"FEHLER: Querschnitt fehlt (Profil)",IF(OR($F38="",$F38&lt;=0),"FEHLER: Teilelänge fehlt",IF(OR($G38="",$G38&lt;1),"FEHLER: Stückzahl fehlt",IF(NOT(ISNUMBER($H$4)),"FEHLER: Maschine fehlt/unbekannt",IF(Q38&gt;$H$7,"FEHLER: Stange länger als Maschine zulässt",IF($F38+$H$6&gt;T38,"FEHLER: Teil länger als Nutzlänge",IF(U38="nein","WARNUNG: kein gültiger Materialpreis",IF($H38="","HINWEIS: Schneidweg fehlt",IF(V38="","HINWEIS: keine Schneiddaten",IF(AND($AF38&lt;&gt;"",$AG38=""),"HINWEIS: Gewinde-Vorschlag prüfen","OK")))))))))))))</f>
        <v/>
      </c>
      <c r="X38" s="18" t="str">
        <f aca="false">IF(OR(O38="",$G38=""),"",O38*$G38)</f>
        <v/>
      </c>
      <c r="Y38" s="10"/>
      <c r="Z38" s="21"/>
      <c r="AA38" s="10"/>
      <c r="AB38" s="21"/>
      <c r="AC38" s="21"/>
      <c r="AD38" s="21"/>
      <c r="AE38" s="10"/>
      <c r="AF38" s="10"/>
      <c r="AG38" s="10"/>
      <c r="AH38" s="22"/>
      <c r="AI38" s="21"/>
      <c r="AJ38" s="22"/>
      <c r="AK38" s="21"/>
      <c r="AL38" s="22"/>
      <c r="AM38" s="21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21"/>
      <c r="G39" s="19"/>
      <c r="H39" s="21"/>
      <c r="I39" s="22"/>
      <c r="J39" s="19"/>
      <c r="K39" s="23" t="str">
        <f aca="false">IF($D39="","",IFERROR(INDEX(Profile!$B$5:$B$304,MATCH($D39,lst_Profil,0)),""))</f>
        <v/>
      </c>
      <c r="L39" s="13" t="str">
        <f aca="false">IF($D39="","",IFERROR(INDEX(Profile!$K$5:$K$304,MATCH($D39,lst_Profil,0))+0,""))</f>
        <v/>
      </c>
      <c r="M39" s="24" t="str">
        <f aca="false">IF($D39="","",IFERROR(INDEX(Profile!$E$5:$E$304,MATCH($D39,lst_Profil,0))+0,""))</f>
        <v/>
      </c>
      <c r="N39" s="25" t="str">
        <f aca="false">IF(OR(L39="",$E39=""),"",IFERROR(L39*INDEX(Werkstoffe!$E$5:$E$304,MATCH($E39,lst_Werkstoff,0))/1000,""))</f>
        <v/>
      </c>
      <c r="O39" s="25" t="str">
        <f aca="false">IF(OR(N39="",$F39=""),"",N39*$F39/1000)</f>
        <v/>
      </c>
      <c r="P39" s="16" t="str">
        <f aca="false">IF(OR($F39="",$G39=""),"",$F39*$G39)</f>
        <v/>
      </c>
      <c r="Q39" s="16" t="str">
        <f aca="false">IF($D39="","",IF($J39&lt;&gt;"",$J39,$C$9))</f>
        <v/>
      </c>
      <c r="R39" s="12" t="str">
        <f aca="false">IF($D39="","",IFERROR(IF(INDEX(Profile!$G$5:$G$304,MATCH($D39,lst_Profil,0))&lt;&gt;"",INDEX(Profile!$G$5:$G$304,MATCH($D39,lst_Profil,0)),$H$4),$H$4))</f>
        <v/>
      </c>
      <c r="S39" s="12" t="str">
        <f aca="false">IF($D39="","",IFERROR(IF(INDEX(Profile!$H$5:$H$304,MATCH($D39,lst_Profil,0))&lt;&gt;"",INDEX(Profile!$H$5:$H$304,MATCH($D39,lst_Profil,0)),$H$5),$H$5))</f>
        <v/>
      </c>
      <c r="T39" s="16" t="str">
        <f aca="false">IF(OR(Q39="",NOT(ISNUMBER(R39)),NOT(ISNUMBER(S39))),"",Q39-R39-S39)</f>
        <v/>
      </c>
      <c r="U39" s="26" t="str">
        <f aca="false">IF(OR($D39="",$E39=""),"",IF(COUNTIFS(Preise!$A$5:$A$304,$D39,Preise!$B$5:$B$304,$E39,Preise!$I$5:$I$304,"OK")&gt;0,"ja","nein"))</f>
        <v/>
      </c>
      <c r="V39" s="15" t="str">
        <f aca="false">IF(OR(M39="",$E39="",$C$8=""),"",IF(_xlfn.MINIFS(Schneiddaten!$C$5:$C$304,Schneiddaten!$A$5:$A$304,$C$8,Schneiddaten!$B$5:$B$304,$E39,Schneiddaten!$C$5:$C$304,"&gt;="&amp;M39)=0,"",SUMIFS(Schneiddaten!$D$5:$D$304,Schneiddaten!$A$5:$A$304,$C$8,Schneiddaten!$B$5:$B$304,$E39,Schneiddaten!$C$5:$C$304,_xlfn.MINIFS(Schneiddaten!$C$5:$C$304,Schneiddaten!$A$5:$A$304,$C$8,Schneiddaten!$B$5:$B$304,$E39,Schneiddaten!$C$5:$C$304,"&gt;="&amp;M39))))</f>
        <v/>
      </c>
      <c r="W39" s="26" t="str">
        <f aca="false">IF(AND($D39="",$E39="",$F39="",$G39=""),"",IF(ISNA(MATCH($D39,lst_Profil,0)),"FEHLER: Profil unbekannt",IF(ISNA(MATCH($E39,lst_Werkstoff,0)),"FEHLER: Werkstoff unbekannt",IF(NOT(ISNUMBER(L39)),"FEHLER: Querschnitt fehlt (Profil)",IF(OR($F39="",$F39&lt;=0),"FEHLER: Teilelänge fehlt",IF(OR($G39="",$G39&lt;1),"FEHLER: Stückzahl fehlt",IF(NOT(ISNUMBER($H$4)),"FEHLER: Maschine fehlt/unbekannt",IF(Q39&gt;$H$7,"FEHLER: Stange länger als Maschine zulässt",IF($F39+$H$6&gt;T39,"FEHLER: Teil länger als Nutzlänge",IF(U39="nein","WARNUNG: kein gültiger Materialpreis",IF($H39="","HINWEIS: Schneidweg fehlt",IF(V39="","HINWEIS: keine Schneiddaten",IF(AND($AF39&lt;&gt;"",$AG39=""),"HINWEIS: Gewinde-Vorschlag prüfen","OK")))))))))))))</f>
        <v/>
      </c>
      <c r="X39" s="18" t="str">
        <f aca="false">IF(OR(O39="",$G39=""),"",O39*$G39)</f>
        <v/>
      </c>
      <c r="Y39" s="10"/>
      <c r="Z39" s="21"/>
      <c r="AA39" s="10"/>
      <c r="AB39" s="21"/>
      <c r="AC39" s="21"/>
      <c r="AD39" s="21"/>
      <c r="AE39" s="10"/>
      <c r="AF39" s="10"/>
      <c r="AG39" s="10"/>
      <c r="AH39" s="22"/>
      <c r="AI39" s="21"/>
      <c r="AJ39" s="22"/>
      <c r="AK39" s="21"/>
      <c r="AL39" s="22"/>
      <c r="AM39" s="21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21"/>
      <c r="G40" s="19"/>
      <c r="H40" s="21"/>
      <c r="I40" s="22"/>
      <c r="J40" s="19"/>
      <c r="K40" s="23" t="str">
        <f aca="false">IF($D40="","",IFERROR(INDEX(Profile!$B$5:$B$304,MATCH($D40,lst_Profil,0)),""))</f>
        <v/>
      </c>
      <c r="L40" s="13" t="str">
        <f aca="false">IF($D40="","",IFERROR(INDEX(Profile!$K$5:$K$304,MATCH($D40,lst_Profil,0))+0,""))</f>
        <v/>
      </c>
      <c r="M40" s="24" t="str">
        <f aca="false">IF($D40="","",IFERROR(INDEX(Profile!$E$5:$E$304,MATCH($D40,lst_Profil,0))+0,""))</f>
        <v/>
      </c>
      <c r="N40" s="25" t="str">
        <f aca="false">IF(OR(L40="",$E40=""),"",IFERROR(L40*INDEX(Werkstoffe!$E$5:$E$304,MATCH($E40,lst_Werkstoff,0))/1000,""))</f>
        <v/>
      </c>
      <c r="O40" s="25" t="str">
        <f aca="false">IF(OR(N40="",$F40=""),"",N40*$F40/1000)</f>
        <v/>
      </c>
      <c r="P40" s="16" t="str">
        <f aca="false">IF(OR($F40="",$G40=""),"",$F40*$G40)</f>
        <v/>
      </c>
      <c r="Q40" s="16" t="str">
        <f aca="false">IF($D40="","",IF($J40&lt;&gt;"",$J40,$C$9))</f>
        <v/>
      </c>
      <c r="R40" s="12" t="str">
        <f aca="false">IF($D40="","",IFERROR(IF(INDEX(Profile!$G$5:$G$304,MATCH($D40,lst_Profil,0))&lt;&gt;"",INDEX(Profile!$G$5:$G$304,MATCH($D40,lst_Profil,0)),$H$4),$H$4))</f>
        <v/>
      </c>
      <c r="S40" s="12" t="str">
        <f aca="false">IF($D40="","",IFERROR(IF(INDEX(Profile!$H$5:$H$304,MATCH($D40,lst_Profil,0))&lt;&gt;"",INDEX(Profile!$H$5:$H$304,MATCH($D40,lst_Profil,0)),$H$5),$H$5))</f>
        <v/>
      </c>
      <c r="T40" s="16" t="str">
        <f aca="false">IF(OR(Q40="",NOT(ISNUMBER(R40)),NOT(ISNUMBER(S40))),"",Q40-R40-S40)</f>
        <v/>
      </c>
      <c r="U40" s="26" t="str">
        <f aca="false">IF(OR($D40="",$E40=""),"",IF(COUNTIFS(Preise!$A$5:$A$304,$D40,Preise!$B$5:$B$304,$E40,Preise!$I$5:$I$304,"OK")&gt;0,"ja","nein"))</f>
        <v/>
      </c>
      <c r="V40" s="15" t="str">
        <f aca="false">IF(OR(M40="",$E40="",$C$8=""),"",IF(_xlfn.MINIFS(Schneiddaten!$C$5:$C$304,Schneiddaten!$A$5:$A$304,$C$8,Schneiddaten!$B$5:$B$304,$E40,Schneiddaten!$C$5:$C$304,"&gt;="&amp;M40)=0,"",SUMIFS(Schneiddaten!$D$5:$D$304,Schneiddaten!$A$5:$A$304,$C$8,Schneiddaten!$B$5:$B$304,$E40,Schneiddaten!$C$5:$C$304,_xlfn.MINIFS(Schneiddaten!$C$5:$C$304,Schneiddaten!$A$5:$A$304,$C$8,Schneiddaten!$B$5:$B$304,$E40,Schneiddaten!$C$5:$C$304,"&gt;="&amp;M40))))</f>
        <v/>
      </c>
      <c r="W40" s="26" t="str">
        <f aca="false">IF(AND($D40="",$E40="",$F40="",$G40=""),"",IF(ISNA(MATCH($D40,lst_Profil,0)),"FEHLER: Profil unbekannt",IF(ISNA(MATCH($E40,lst_Werkstoff,0)),"FEHLER: Werkstoff unbekannt",IF(NOT(ISNUMBER(L40)),"FEHLER: Querschnitt fehlt (Profil)",IF(OR($F40="",$F40&lt;=0),"FEHLER: Teilelänge fehlt",IF(OR($G40="",$G40&lt;1),"FEHLER: Stückzahl fehlt",IF(NOT(ISNUMBER($H$4)),"FEHLER: Maschine fehlt/unbekannt",IF(Q40&gt;$H$7,"FEHLER: Stange länger als Maschine zulässt",IF($F40+$H$6&gt;T40,"FEHLER: Teil länger als Nutzlänge",IF(U40="nein","WARNUNG: kein gültiger Materialpreis",IF($H40="","HINWEIS: Schneidweg fehlt",IF(V40="","HINWEIS: keine Schneiddaten",IF(AND($AF40&lt;&gt;"",$AG40=""),"HINWEIS: Gewinde-Vorschlag prüfen","OK")))))))))))))</f>
        <v/>
      </c>
      <c r="X40" s="18" t="str">
        <f aca="false">IF(OR(O40="",$G40=""),"",O40*$G40)</f>
        <v/>
      </c>
      <c r="Y40" s="10"/>
      <c r="Z40" s="21"/>
      <c r="AA40" s="10"/>
      <c r="AB40" s="21"/>
      <c r="AC40" s="21"/>
      <c r="AD40" s="21"/>
      <c r="AE40" s="10"/>
      <c r="AF40" s="10"/>
      <c r="AG40" s="10"/>
      <c r="AH40" s="22"/>
      <c r="AI40" s="21"/>
      <c r="AJ40" s="22"/>
      <c r="AK40" s="21"/>
      <c r="AL40" s="22"/>
      <c r="AM40" s="21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21"/>
      <c r="G41" s="19"/>
      <c r="H41" s="21"/>
      <c r="I41" s="22"/>
      <c r="J41" s="19"/>
      <c r="K41" s="23" t="str">
        <f aca="false">IF($D41="","",IFERROR(INDEX(Profile!$B$5:$B$304,MATCH($D41,lst_Profil,0)),""))</f>
        <v/>
      </c>
      <c r="L41" s="13" t="str">
        <f aca="false">IF($D41="","",IFERROR(INDEX(Profile!$K$5:$K$304,MATCH($D41,lst_Profil,0))+0,""))</f>
        <v/>
      </c>
      <c r="M41" s="24" t="str">
        <f aca="false">IF($D41="","",IFERROR(INDEX(Profile!$E$5:$E$304,MATCH($D41,lst_Profil,0))+0,""))</f>
        <v/>
      </c>
      <c r="N41" s="25" t="str">
        <f aca="false">IF(OR(L41="",$E41=""),"",IFERROR(L41*INDEX(Werkstoffe!$E$5:$E$304,MATCH($E41,lst_Werkstoff,0))/1000,""))</f>
        <v/>
      </c>
      <c r="O41" s="25" t="str">
        <f aca="false">IF(OR(N41="",$F41=""),"",N41*$F41/1000)</f>
        <v/>
      </c>
      <c r="P41" s="16" t="str">
        <f aca="false">IF(OR($F41="",$G41=""),"",$F41*$G41)</f>
        <v/>
      </c>
      <c r="Q41" s="16" t="str">
        <f aca="false">IF($D41="","",IF($J41&lt;&gt;"",$J41,$C$9))</f>
        <v/>
      </c>
      <c r="R41" s="12" t="str">
        <f aca="false">IF($D41="","",IFERROR(IF(INDEX(Profile!$G$5:$G$304,MATCH($D41,lst_Profil,0))&lt;&gt;"",INDEX(Profile!$G$5:$G$304,MATCH($D41,lst_Profil,0)),$H$4),$H$4))</f>
        <v/>
      </c>
      <c r="S41" s="12" t="str">
        <f aca="false">IF($D41="","",IFERROR(IF(INDEX(Profile!$H$5:$H$304,MATCH($D41,lst_Profil,0))&lt;&gt;"",INDEX(Profile!$H$5:$H$304,MATCH($D41,lst_Profil,0)),$H$5),$H$5))</f>
        <v/>
      </c>
      <c r="T41" s="16" t="str">
        <f aca="false">IF(OR(Q41="",NOT(ISNUMBER(R41)),NOT(ISNUMBER(S41))),"",Q41-R41-S41)</f>
        <v/>
      </c>
      <c r="U41" s="26" t="str">
        <f aca="false">IF(OR($D41="",$E41=""),"",IF(COUNTIFS(Preise!$A$5:$A$304,$D41,Preise!$B$5:$B$304,$E41,Preise!$I$5:$I$304,"OK")&gt;0,"ja","nein"))</f>
        <v/>
      </c>
      <c r="V41" s="15" t="str">
        <f aca="false">IF(OR(M41="",$E41="",$C$8=""),"",IF(_xlfn.MINIFS(Schneiddaten!$C$5:$C$304,Schneiddaten!$A$5:$A$304,$C$8,Schneiddaten!$B$5:$B$304,$E41,Schneiddaten!$C$5:$C$304,"&gt;="&amp;M41)=0,"",SUMIFS(Schneiddaten!$D$5:$D$304,Schneiddaten!$A$5:$A$304,$C$8,Schneiddaten!$B$5:$B$304,$E41,Schneiddaten!$C$5:$C$304,_xlfn.MINIFS(Schneiddaten!$C$5:$C$304,Schneiddaten!$A$5:$A$304,$C$8,Schneiddaten!$B$5:$B$304,$E41,Schneiddaten!$C$5:$C$304,"&gt;="&amp;M41))))</f>
        <v/>
      </c>
      <c r="W41" s="26" t="str">
        <f aca="false">IF(AND($D41="",$E41="",$F41="",$G41=""),"",IF(ISNA(MATCH($D41,lst_Profil,0)),"FEHLER: Profil unbekannt",IF(ISNA(MATCH($E41,lst_Werkstoff,0)),"FEHLER: Werkstoff unbekannt",IF(NOT(ISNUMBER(L41)),"FEHLER: Querschnitt fehlt (Profil)",IF(OR($F41="",$F41&lt;=0),"FEHLER: Teilelänge fehlt",IF(OR($G41="",$G41&lt;1),"FEHLER: Stückzahl fehlt",IF(NOT(ISNUMBER($H$4)),"FEHLER: Maschine fehlt/unbekannt",IF(Q41&gt;$H$7,"FEHLER: Stange länger als Maschine zulässt",IF($F41+$H$6&gt;T41,"FEHLER: Teil länger als Nutzlänge",IF(U41="nein","WARNUNG: kein gültiger Materialpreis",IF($H41="","HINWEIS: Schneidweg fehlt",IF(V41="","HINWEIS: keine Schneiddaten",IF(AND($AF41&lt;&gt;"",$AG41=""),"HINWEIS: Gewinde-Vorschlag prüfen","OK")))))))))))))</f>
        <v/>
      </c>
      <c r="X41" s="18" t="str">
        <f aca="false">IF(OR(O41="",$G41=""),"",O41*$G41)</f>
        <v/>
      </c>
      <c r="Y41" s="10"/>
      <c r="Z41" s="21"/>
      <c r="AA41" s="10"/>
      <c r="AB41" s="21"/>
      <c r="AC41" s="21"/>
      <c r="AD41" s="21"/>
      <c r="AE41" s="10"/>
      <c r="AF41" s="10"/>
      <c r="AG41" s="10"/>
      <c r="AH41" s="22"/>
      <c r="AI41" s="21"/>
      <c r="AJ41" s="22"/>
      <c r="AK41" s="21"/>
      <c r="AL41" s="22"/>
      <c r="AM41" s="21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21"/>
      <c r="G42" s="19"/>
      <c r="H42" s="21"/>
      <c r="I42" s="22"/>
      <c r="J42" s="19"/>
      <c r="K42" s="23" t="str">
        <f aca="false">IF($D42="","",IFERROR(INDEX(Profile!$B$5:$B$304,MATCH($D42,lst_Profil,0)),""))</f>
        <v/>
      </c>
      <c r="L42" s="13" t="str">
        <f aca="false">IF($D42="","",IFERROR(INDEX(Profile!$K$5:$K$304,MATCH($D42,lst_Profil,0))+0,""))</f>
        <v/>
      </c>
      <c r="M42" s="24" t="str">
        <f aca="false">IF($D42="","",IFERROR(INDEX(Profile!$E$5:$E$304,MATCH($D42,lst_Profil,0))+0,""))</f>
        <v/>
      </c>
      <c r="N42" s="25" t="str">
        <f aca="false">IF(OR(L42="",$E42=""),"",IFERROR(L42*INDEX(Werkstoffe!$E$5:$E$304,MATCH($E42,lst_Werkstoff,0))/1000,""))</f>
        <v/>
      </c>
      <c r="O42" s="25" t="str">
        <f aca="false">IF(OR(N42="",$F42=""),"",N42*$F42/1000)</f>
        <v/>
      </c>
      <c r="P42" s="16" t="str">
        <f aca="false">IF(OR($F42="",$G42=""),"",$F42*$G42)</f>
        <v/>
      </c>
      <c r="Q42" s="16" t="str">
        <f aca="false">IF($D42="","",IF($J42&lt;&gt;"",$J42,$C$9))</f>
        <v/>
      </c>
      <c r="R42" s="12" t="str">
        <f aca="false">IF($D42="","",IFERROR(IF(INDEX(Profile!$G$5:$G$304,MATCH($D42,lst_Profil,0))&lt;&gt;"",INDEX(Profile!$G$5:$G$304,MATCH($D42,lst_Profil,0)),$H$4),$H$4))</f>
        <v/>
      </c>
      <c r="S42" s="12" t="str">
        <f aca="false">IF($D42="","",IFERROR(IF(INDEX(Profile!$H$5:$H$304,MATCH($D42,lst_Profil,0))&lt;&gt;"",INDEX(Profile!$H$5:$H$304,MATCH($D42,lst_Profil,0)),$H$5),$H$5))</f>
        <v/>
      </c>
      <c r="T42" s="16" t="str">
        <f aca="false">IF(OR(Q42="",NOT(ISNUMBER(R42)),NOT(ISNUMBER(S42))),"",Q42-R42-S42)</f>
        <v/>
      </c>
      <c r="U42" s="26" t="str">
        <f aca="false">IF(OR($D42="",$E42=""),"",IF(COUNTIFS(Preise!$A$5:$A$304,$D42,Preise!$B$5:$B$304,$E42,Preise!$I$5:$I$304,"OK")&gt;0,"ja","nein"))</f>
        <v/>
      </c>
      <c r="V42" s="15" t="str">
        <f aca="false">IF(OR(M42="",$E42="",$C$8=""),"",IF(_xlfn.MINIFS(Schneiddaten!$C$5:$C$304,Schneiddaten!$A$5:$A$304,$C$8,Schneiddaten!$B$5:$B$304,$E42,Schneiddaten!$C$5:$C$304,"&gt;="&amp;M42)=0,"",SUMIFS(Schneiddaten!$D$5:$D$304,Schneiddaten!$A$5:$A$304,$C$8,Schneiddaten!$B$5:$B$304,$E42,Schneiddaten!$C$5:$C$304,_xlfn.MINIFS(Schneiddaten!$C$5:$C$304,Schneiddaten!$A$5:$A$304,$C$8,Schneiddaten!$B$5:$B$304,$E42,Schneiddaten!$C$5:$C$304,"&gt;="&amp;M42))))</f>
        <v/>
      </c>
      <c r="W42" s="26" t="str">
        <f aca="false">IF(AND($D42="",$E42="",$F42="",$G42=""),"",IF(ISNA(MATCH($D42,lst_Profil,0)),"FEHLER: Profil unbekannt",IF(ISNA(MATCH($E42,lst_Werkstoff,0)),"FEHLER: Werkstoff unbekannt",IF(NOT(ISNUMBER(L42)),"FEHLER: Querschnitt fehlt (Profil)",IF(OR($F42="",$F42&lt;=0),"FEHLER: Teilelänge fehlt",IF(OR($G42="",$G42&lt;1),"FEHLER: Stückzahl fehlt",IF(NOT(ISNUMBER($H$4)),"FEHLER: Maschine fehlt/unbekannt",IF(Q42&gt;$H$7,"FEHLER: Stange länger als Maschine zulässt",IF($F42+$H$6&gt;T42,"FEHLER: Teil länger als Nutzlänge",IF(U42="nein","WARNUNG: kein gültiger Materialpreis",IF($H42="","HINWEIS: Schneidweg fehlt",IF(V42="","HINWEIS: keine Schneiddaten",IF(AND($AF42&lt;&gt;"",$AG42=""),"HINWEIS: Gewinde-Vorschlag prüfen","OK")))))))))))))</f>
        <v/>
      </c>
      <c r="X42" s="18" t="str">
        <f aca="false">IF(OR(O42="",$G42=""),"",O42*$G42)</f>
        <v/>
      </c>
      <c r="Y42" s="10"/>
      <c r="Z42" s="21"/>
      <c r="AA42" s="10"/>
      <c r="AB42" s="21"/>
      <c r="AC42" s="21"/>
      <c r="AD42" s="21"/>
      <c r="AE42" s="10"/>
      <c r="AF42" s="10"/>
      <c r="AG42" s="10"/>
      <c r="AH42" s="22"/>
      <c r="AI42" s="21"/>
      <c r="AJ42" s="22"/>
      <c r="AK42" s="21"/>
      <c r="AL42" s="22"/>
      <c r="AM42" s="21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21"/>
      <c r="G43" s="19"/>
      <c r="H43" s="21"/>
      <c r="I43" s="22"/>
      <c r="J43" s="19"/>
      <c r="K43" s="23" t="str">
        <f aca="false">IF($D43="","",IFERROR(INDEX(Profile!$B$5:$B$304,MATCH($D43,lst_Profil,0)),""))</f>
        <v/>
      </c>
      <c r="L43" s="13" t="str">
        <f aca="false">IF($D43="","",IFERROR(INDEX(Profile!$K$5:$K$304,MATCH($D43,lst_Profil,0))+0,""))</f>
        <v/>
      </c>
      <c r="M43" s="24" t="str">
        <f aca="false">IF($D43="","",IFERROR(INDEX(Profile!$E$5:$E$304,MATCH($D43,lst_Profil,0))+0,""))</f>
        <v/>
      </c>
      <c r="N43" s="25" t="str">
        <f aca="false">IF(OR(L43="",$E43=""),"",IFERROR(L43*INDEX(Werkstoffe!$E$5:$E$304,MATCH($E43,lst_Werkstoff,0))/1000,""))</f>
        <v/>
      </c>
      <c r="O43" s="25" t="str">
        <f aca="false">IF(OR(N43="",$F43=""),"",N43*$F43/1000)</f>
        <v/>
      </c>
      <c r="P43" s="16" t="str">
        <f aca="false">IF(OR($F43="",$G43=""),"",$F43*$G43)</f>
        <v/>
      </c>
      <c r="Q43" s="16" t="str">
        <f aca="false">IF($D43="","",IF($J43&lt;&gt;"",$J43,$C$9))</f>
        <v/>
      </c>
      <c r="R43" s="12" t="str">
        <f aca="false">IF($D43="","",IFERROR(IF(INDEX(Profile!$G$5:$G$304,MATCH($D43,lst_Profil,0))&lt;&gt;"",INDEX(Profile!$G$5:$G$304,MATCH($D43,lst_Profil,0)),$H$4),$H$4))</f>
        <v/>
      </c>
      <c r="S43" s="12" t="str">
        <f aca="false">IF($D43="","",IFERROR(IF(INDEX(Profile!$H$5:$H$304,MATCH($D43,lst_Profil,0))&lt;&gt;"",INDEX(Profile!$H$5:$H$304,MATCH($D43,lst_Profil,0)),$H$5),$H$5))</f>
        <v/>
      </c>
      <c r="T43" s="16" t="str">
        <f aca="false">IF(OR(Q43="",NOT(ISNUMBER(R43)),NOT(ISNUMBER(S43))),"",Q43-R43-S43)</f>
        <v/>
      </c>
      <c r="U43" s="26" t="str">
        <f aca="false">IF(OR($D43="",$E43=""),"",IF(COUNTIFS(Preise!$A$5:$A$304,$D43,Preise!$B$5:$B$304,$E43,Preise!$I$5:$I$304,"OK")&gt;0,"ja","nein"))</f>
        <v/>
      </c>
      <c r="V43" s="15" t="str">
        <f aca="false">IF(OR(M43="",$E43="",$C$8=""),"",IF(_xlfn.MINIFS(Schneiddaten!$C$5:$C$304,Schneiddaten!$A$5:$A$304,$C$8,Schneiddaten!$B$5:$B$304,$E43,Schneiddaten!$C$5:$C$304,"&gt;="&amp;M43)=0,"",SUMIFS(Schneiddaten!$D$5:$D$304,Schneiddaten!$A$5:$A$304,$C$8,Schneiddaten!$B$5:$B$304,$E43,Schneiddaten!$C$5:$C$304,_xlfn.MINIFS(Schneiddaten!$C$5:$C$304,Schneiddaten!$A$5:$A$304,$C$8,Schneiddaten!$B$5:$B$304,$E43,Schneiddaten!$C$5:$C$304,"&gt;="&amp;M43))))</f>
        <v/>
      </c>
      <c r="W43" s="26" t="str">
        <f aca="false">IF(AND($D43="",$E43="",$F43="",$G43=""),"",IF(ISNA(MATCH($D43,lst_Profil,0)),"FEHLER: Profil unbekannt",IF(ISNA(MATCH($E43,lst_Werkstoff,0)),"FEHLER: Werkstoff unbekannt",IF(NOT(ISNUMBER(L43)),"FEHLER: Querschnitt fehlt (Profil)",IF(OR($F43="",$F43&lt;=0),"FEHLER: Teilelänge fehlt",IF(OR($G43="",$G43&lt;1),"FEHLER: Stückzahl fehlt",IF(NOT(ISNUMBER($H$4)),"FEHLER: Maschine fehlt/unbekannt",IF(Q43&gt;$H$7,"FEHLER: Stange länger als Maschine zulässt",IF($F43+$H$6&gt;T43,"FEHLER: Teil länger als Nutzlänge",IF(U43="nein","WARNUNG: kein gültiger Materialpreis",IF($H43="","HINWEIS: Schneidweg fehlt",IF(V43="","HINWEIS: keine Schneiddaten",IF(AND($AF43&lt;&gt;"",$AG43=""),"HINWEIS: Gewinde-Vorschlag prüfen","OK")))))))))))))</f>
        <v/>
      </c>
      <c r="X43" s="18" t="str">
        <f aca="false">IF(OR(O43="",$G43=""),"",O43*$G43)</f>
        <v/>
      </c>
      <c r="Y43" s="10"/>
      <c r="Z43" s="21"/>
      <c r="AA43" s="10"/>
      <c r="AB43" s="21"/>
      <c r="AC43" s="21"/>
      <c r="AD43" s="21"/>
      <c r="AE43" s="10"/>
      <c r="AF43" s="10"/>
      <c r="AG43" s="10"/>
      <c r="AH43" s="22"/>
      <c r="AI43" s="21"/>
      <c r="AJ43" s="22"/>
      <c r="AK43" s="21"/>
      <c r="AL43" s="22"/>
      <c r="AM43" s="21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21"/>
      <c r="G44" s="19"/>
      <c r="H44" s="21"/>
      <c r="I44" s="22"/>
      <c r="J44" s="19"/>
      <c r="K44" s="23" t="str">
        <f aca="false">IF($D44="","",IFERROR(INDEX(Profile!$B$5:$B$304,MATCH($D44,lst_Profil,0)),""))</f>
        <v/>
      </c>
      <c r="L44" s="13" t="str">
        <f aca="false">IF($D44="","",IFERROR(INDEX(Profile!$K$5:$K$304,MATCH($D44,lst_Profil,0))+0,""))</f>
        <v/>
      </c>
      <c r="M44" s="24" t="str">
        <f aca="false">IF($D44="","",IFERROR(INDEX(Profile!$E$5:$E$304,MATCH($D44,lst_Profil,0))+0,""))</f>
        <v/>
      </c>
      <c r="N44" s="25" t="str">
        <f aca="false">IF(OR(L44="",$E44=""),"",IFERROR(L44*INDEX(Werkstoffe!$E$5:$E$304,MATCH($E44,lst_Werkstoff,0))/1000,""))</f>
        <v/>
      </c>
      <c r="O44" s="25" t="str">
        <f aca="false">IF(OR(N44="",$F44=""),"",N44*$F44/1000)</f>
        <v/>
      </c>
      <c r="P44" s="16" t="str">
        <f aca="false">IF(OR($F44="",$G44=""),"",$F44*$G44)</f>
        <v/>
      </c>
      <c r="Q44" s="16" t="str">
        <f aca="false">IF($D44="","",IF($J44&lt;&gt;"",$J44,$C$9))</f>
        <v/>
      </c>
      <c r="R44" s="12" t="str">
        <f aca="false">IF($D44="","",IFERROR(IF(INDEX(Profile!$G$5:$G$304,MATCH($D44,lst_Profil,0))&lt;&gt;"",INDEX(Profile!$G$5:$G$304,MATCH($D44,lst_Profil,0)),$H$4),$H$4))</f>
        <v/>
      </c>
      <c r="S44" s="12" t="str">
        <f aca="false">IF($D44="","",IFERROR(IF(INDEX(Profile!$H$5:$H$304,MATCH($D44,lst_Profil,0))&lt;&gt;"",INDEX(Profile!$H$5:$H$304,MATCH($D44,lst_Profil,0)),$H$5),$H$5))</f>
        <v/>
      </c>
      <c r="T44" s="16" t="str">
        <f aca="false">IF(OR(Q44="",NOT(ISNUMBER(R44)),NOT(ISNUMBER(S44))),"",Q44-R44-S44)</f>
        <v/>
      </c>
      <c r="U44" s="26" t="str">
        <f aca="false">IF(OR($D44="",$E44=""),"",IF(COUNTIFS(Preise!$A$5:$A$304,$D44,Preise!$B$5:$B$304,$E44,Preise!$I$5:$I$304,"OK")&gt;0,"ja","nein"))</f>
        <v/>
      </c>
      <c r="V44" s="15" t="str">
        <f aca="false">IF(OR(M44="",$E44="",$C$8=""),"",IF(_xlfn.MINIFS(Schneiddaten!$C$5:$C$304,Schneiddaten!$A$5:$A$304,$C$8,Schneiddaten!$B$5:$B$304,$E44,Schneiddaten!$C$5:$C$304,"&gt;="&amp;M44)=0,"",SUMIFS(Schneiddaten!$D$5:$D$304,Schneiddaten!$A$5:$A$304,$C$8,Schneiddaten!$B$5:$B$304,$E44,Schneiddaten!$C$5:$C$304,_xlfn.MINIFS(Schneiddaten!$C$5:$C$304,Schneiddaten!$A$5:$A$304,$C$8,Schneiddaten!$B$5:$B$304,$E44,Schneiddaten!$C$5:$C$304,"&gt;="&amp;M44))))</f>
        <v/>
      </c>
      <c r="W44" s="26" t="str">
        <f aca="false">IF(AND($D44="",$E44="",$F44="",$G44=""),"",IF(ISNA(MATCH($D44,lst_Profil,0)),"FEHLER: Profil unbekannt",IF(ISNA(MATCH($E44,lst_Werkstoff,0)),"FEHLER: Werkstoff unbekannt",IF(NOT(ISNUMBER(L44)),"FEHLER: Querschnitt fehlt (Profil)",IF(OR($F44="",$F44&lt;=0),"FEHLER: Teilelänge fehlt",IF(OR($G44="",$G44&lt;1),"FEHLER: Stückzahl fehlt",IF(NOT(ISNUMBER($H$4)),"FEHLER: Maschine fehlt/unbekannt",IF(Q44&gt;$H$7,"FEHLER: Stange länger als Maschine zulässt",IF($F44+$H$6&gt;T44,"FEHLER: Teil länger als Nutzlänge",IF(U44="nein","WARNUNG: kein gültiger Materialpreis",IF($H44="","HINWEIS: Schneidweg fehlt",IF(V44="","HINWEIS: keine Schneiddaten",IF(AND($AF44&lt;&gt;"",$AG44=""),"HINWEIS: Gewinde-Vorschlag prüfen","OK")))))))))))))</f>
        <v/>
      </c>
      <c r="X44" s="18" t="str">
        <f aca="false">IF(OR(O44="",$G44=""),"",O44*$G44)</f>
        <v/>
      </c>
      <c r="Y44" s="10"/>
      <c r="Z44" s="21"/>
      <c r="AA44" s="10"/>
      <c r="AB44" s="21"/>
      <c r="AC44" s="21"/>
      <c r="AD44" s="21"/>
      <c r="AE44" s="10"/>
      <c r="AF44" s="10"/>
      <c r="AG44" s="10"/>
      <c r="AH44" s="22"/>
      <c r="AI44" s="21"/>
      <c r="AJ44" s="22"/>
      <c r="AK44" s="21"/>
      <c r="AL44" s="22"/>
      <c r="AM44" s="21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21"/>
      <c r="G45" s="19"/>
      <c r="H45" s="21"/>
      <c r="I45" s="22"/>
      <c r="J45" s="19"/>
      <c r="K45" s="23" t="str">
        <f aca="false">IF($D45="","",IFERROR(INDEX(Profile!$B$5:$B$304,MATCH($D45,lst_Profil,0)),""))</f>
        <v/>
      </c>
      <c r="L45" s="13" t="str">
        <f aca="false">IF($D45="","",IFERROR(INDEX(Profile!$K$5:$K$304,MATCH($D45,lst_Profil,0))+0,""))</f>
        <v/>
      </c>
      <c r="M45" s="24" t="str">
        <f aca="false">IF($D45="","",IFERROR(INDEX(Profile!$E$5:$E$304,MATCH($D45,lst_Profil,0))+0,""))</f>
        <v/>
      </c>
      <c r="N45" s="25" t="str">
        <f aca="false">IF(OR(L45="",$E45=""),"",IFERROR(L45*INDEX(Werkstoffe!$E$5:$E$304,MATCH($E45,lst_Werkstoff,0))/1000,""))</f>
        <v/>
      </c>
      <c r="O45" s="25" t="str">
        <f aca="false">IF(OR(N45="",$F45=""),"",N45*$F45/1000)</f>
        <v/>
      </c>
      <c r="P45" s="16" t="str">
        <f aca="false">IF(OR($F45="",$G45=""),"",$F45*$G45)</f>
        <v/>
      </c>
      <c r="Q45" s="16" t="str">
        <f aca="false">IF($D45="","",IF($J45&lt;&gt;"",$J45,$C$9))</f>
        <v/>
      </c>
      <c r="R45" s="12" t="str">
        <f aca="false">IF($D45="","",IFERROR(IF(INDEX(Profile!$G$5:$G$304,MATCH($D45,lst_Profil,0))&lt;&gt;"",INDEX(Profile!$G$5:$G$304,MATCH($D45,lst_Profil,0)),$H$4),$H$4))</f>
        <v/>
      </c>
      <c r="S45" s="12" t="str">
        <f aca="false">IF($D45="","",IFERROR(IF(INDEX(Profile!$H$5:$H$304,MATCH($D45,lst_Profil,0))&lt;&gt;"",INDEX(Profile!$H$5:$H$304,MATCH($D45,lst_Profil,0)),$H$5),$H$5))</f>
        <v/>
      </c>
      <c r="T45" s="16" t="str">
        <f aca="false">IF(OR(Q45="",NOT(ISNUMBER(R45)),NOT(ISNUMBER(S45))),"",Q45-R45-S45)</f>
        <v/>
      </c>
      <c r="U45" s="26" t="str">
        <f aca="false">IF(OR($D45="",$E45=""),"",IF(COUNTIFS(Preise!$A$5:$A$304,$D45,Preise!$B$5:$B$304,$E45,Preise!$I$5:$I$304,"OK")&gt;0,"ja","nein"))</f>
        <v/>
      </c>
      <c r="V45" s="15" t="str">
        <f aca="false">IF(OR(M45="",$E45="",$C$8=""),"",IF(_xlfn.MINIFS(Schneiddaten!$C$5:$C$304,Schneiddaten!$A$5:$A$304,$C$8,Schneiddaten!$B$5:$B$304,$E45,Schneiddaten!$C$5:$C$304,"&gt;="&amp;M45)=0,"",SUMIFS(Schneiddaten!$D$5:$D$304,Schneiddaten!$A$5:$A$304,$C$8,Schneiddaten!$B$5:$B$304,$E45,Schneiddaten!$C$5:$C$304,_xlfn.MINIFS(Schneiddaten!$C$5:$C$304,Schneiddaten!$A$5:$A$304,$C$8,Schneiddaten!$B$5:$B$304,$E45,Schneiddaten!$C$5:$C$304,"&gt;="&amp;M45))))</f>
        <v/>
      </c>
      <c r="W45" s="26" t="str">
        <f aca="false">IF(AND($D45="",$E45="",$F45="",$G45=""),"",IF(ISNA(MATCH($D45,lst_Profil,0)),"FEHLER: Profil unbekannt",IF(ISNA(MATCH($E45,lst_Werkstoff,0)),"FEHLER: Werkstoff unbekannt",IF(NOT(ISNUMBER(L45)),"FEHLER: Querschnitt fehlt (Profil)",IF(OR($F45="",$F45&lt;=0),"FEHLER: Teilelänge fehlt",IF(OR($G45="",$G45&lt;1),"FEHLER: Stückzahl fehlt",IF(NOT(ISNUMBER($H$4)),"FEHLER: Maschine fehlt/unbekannt",IF(Q45&gt;$H$7,"FEHLER: Stange länger als Maschine zulässt",IF($F45+$H$6&gt;T45,"FEHLER: Teil länger als Nutzlänge",IF(U45="nein","WARNUNG: kein gültiger Materialpreis",IF($H45="","HINWEIS: Schneidweg fehlt",IF(V45="","HINWEIS: keine Schneiddaten",IF(AND($AF45&lt;&gt;"",$AG45=""),"HINWEIS: Gewinde-Vorschlag prüfen","OK")))))))))))))</f>
        <v/>
      </c>
      <c r="X45" s="18" t="str">
        <f aca="false">IF(OR(O45="",$G45=""),"",O45*$G45)</f>
        <v/>
      </c>
      <c r="Y45" s="10"/>
      <c r="Z45" s="21"/>
      <c r="AA45" s="10"/>
      <c r="AB45" s="21"/>
      <c r="AC45" s="21"/>
      <c r="AD45" s="21"/>
      <c r="AE45" s="10"/>
      <c r="AF45" s="10"/>
      <c r="AG45" s="10"/>
      <c r="AH45" s="22"/>
      <c r="AI45" s="21"/>
      <c r="AJ45" s="22"/>
      <c r="AK45" s="21"/>
      <c r="AL45" s="22"/>
      <c r="AM45" s="21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21"/>
      <c r="G46" s="19"/>
      <c r="H46" s="21"/>
      <c r="I46" s="22"/>
      <c r="J46" s="19"/>
      <c r="K46" s="23" t="str">
        <f aca="false">IF($D46="","",IFERROR(INDEX(Profile!$B$5:$B$304,MATCH($D46,lst_Profil,0)),""))</f>
        <v/>
      </c>
      <c r="L46" s="13" t="str">
        <f aca="false">IF($D46="","",IFERROR(INDEX(Profile!$K$5:$K$304,MATCH($D46,lst_Profil,0))+0,""))</f>
        <v/>
      </c>
      <c r="M46" s="24" t="str">
        <f aca="false">IF($D46="","",IFERROR(INDEX(Profile!$E$5:$E$304,MATCH($D46,lst_Profil,0))+0,""))</f>
        <v/>
      </c>
      <c r="N46" s="25" t="str">
        <f aca="false">IF(OR(L46="",$E46=""),"",IFERROR(L46*INDEX(Werkstoffe!$E$5:$E$304,MATCH($E46,lst_Werkstoff,0))/1000,""))</f>
        <v/>
      </c>
      <c r="O46" s="25" t="str">
        <f aca="false">IF(OR(N46="",$F46=""),"",N46*$F46/1000)</f>
        <v/>
      </c>
      <c r="P46" s="16" t="str">
        <f aca="false">IF(OR($F46="",$G46=""),"",$F46*$G46)</f>
        <v/>
      </c>
      <c r="Q46" s="16" t="str">
        <f aca="false">IF($D46="","",IF($J46&lt;&gt;"",$J46,$C$9))</f>
        <v/>
      </c>
      <c r="R46" s="12" t="str">
        <f aca="false">IF($D46="","",IFERROR(IF(INDEX(Profile!$G$5:$G$304,MATCH($D46,lst_Profil,0))&lt;&gt;"",INDEX(Profile!$G$5:$G$304,MATCH($D46,lst_Profil,0)),$H$4),$H$4))</f>
        <v/>
      </c>
      <c r="S46" s="12" t="str">
        <f aca="false">IF($D46="","",IFERROR(IF(INDEX(Profile!$H$5:$H$304,MATCH($D46,lst_Profil,0))&lt;&gt;"",INDEX(Profile!$H$5:$H$304,MATCH($D46,lst_Profil,0)),$H$5),$H$5))</f>
        <v/>
      </c>
      <c r="T46" s="16" t="str">
        <f aca="false">IF(OR(Q46="",NOT(ISNUMBER(R46)),NOT(ISNUMBER(S46))),"",Q46-R46-S46)</f>
        <v/>
      </c>
      <c r="U46" s="26" t="str">
        <f aca="false">IF(OR($D46="",$E46=""),"",IF(COUNTIFS(Preise!$A$5:$A$304,$D46,Preise!$B$5:$B$304,$E46,Preise!$I$5:$I$304,"OK")&gt;0,"ja","nein"))</f>
        <v/>
      </c>
      <c r="V46" s="15" t="str">
        <f aca="false">IF(OR(M46="",$E46="",$C$8=""),"",IF(_xlfn.MINIFS(Schneiddaten!$C$5:$C$304,Schneiddaten!$A$5:$A$304,$C$8,Schneiddaten!$B$5:$B$304,$E46,Schneiddaten!$C$5:$C$304,"&gt;="&amp;M46)=0,"",SUMIFS(Schneiddaten!$D$5:$D$304,Schneiddaten!$A$5:$A$304,$C$8,Schneiddaten!$B$5:$B$304,$E46,Schneiddaten!$C$5:$C$304,_xlfn.MINIFS(Schneiddaten!$C$5:$C$304,Schneiddaten!$A$5:$A$304,$C$8,Schneiddaten!$B$5:$B$304,$E46,Schneiddaten!$C$5:$C$304,"&gt;="&amp;M46))))</f>
        <v/>
      </c>
      <c r="W46" s="26" t="str">
        <f aca="false">IF(AND($D46="",$E46="",$F46="",$G46=""),"",IF(ISNA(MATCH($D46,lst_Profil,0)),"FEHLER: Profil unbekannt",IF(ISNA(MATCH($E46,lst_Werkstoff,0)),"FEHLER: Werkstoff unbekannt",IF(NOT(ISNUMBER(L46)),"FEHLER: Querschnitt fehlt (Profil)",IF(OR($F46="",$F46&lt;=0),"FEHLER: Teilelänge fehlt",IF(OR($G46="",$G46&lt;1),"FEHLER: Stückzahl fehlt",IF(NOT(ISNUMBER($H$4)),"FEHLER: Maschine fehlt/unbekannt",IF(Q46&gt;$H$7,"FEHLER: Stange länger als Maschine zulässt",IF($F46+$H$6&gt;T46,"FEHLER: Teil länger als Nutzlänge",IF(U46="nein","WARNUNG: kein gültiger Materialpreis",IF($H46="","HINWEIS: Schneidweg fehlt",IF(V46="","HINWEIS: keine Schneiddaten",IF(AND($AF46&lt;&gt;"",$AG46=""),"HINWEIS: Gewinde-Vorschlag prüfen","OK")))))))))))))</f>
        <v/>
      </c>
      <c r="X46" s="18" t="str">
        <f aca="false">IF(OR(O46="",$G46=""),"",O46*$G46)</f>
        <v/>
      </c>
      <c r="Y46" s="10"/>
      <c r="Z46" s="21"/>
      <c r="AA46" s="10"/>
      <c r="AB46" s="21"/>
      <c r="AC46" s="21"/>
      <c r="AD46" s="21"/>
      <c r="AE46" s="10"/>
      <c r="AF46" s="10"/>
      <c r="AG46" s="10"/>
      <c r="AH46" s="22"/>
      <c r="AI46" s="21"/>
      <c r="AJ46" s="22"/>
      <c r="AK46" s="21"/>
      <c r="AL46" s="22"/>
      <c r="AM46" s="21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21"/>
      <c r="G47" s="19"/>
      <c r="H47" s="21"/>
      <c r="I47" s="22"/>
      <c r="J47" s="19"/>
      <c r="K47" s="23" t="str">
        <f aca="false">IF($D47="","",IFERROR(INDEX(Profile!$B$5:$B$304,MATCH($D47,lst_Profil,0)),""))</f>
        <v/>
      </c>
      <c r="L47" s="13" t="str">
        <f aca="false">IF($D47="","",IFERROR(INDEX(Profile!$K$5:$K$304,MATCH($D47,lst_Profil,0))+0,""))</f>
        <v/>
      </c>
      <c r="M47" s="24" t="str">
        <f aca="false">IF($D47="","",IFERROR(INDEX(Profile!$E$5:$E$304,MATCH($D47,lst_Profil,0))+0,""))</f>
        <v/>
      </c>
      <c r="N47" s="25" t="str">
        <f aca="false">IF(OR(L47="",$E47=""),"",IFERROR(L47*INDEX(Werkstoffe!$E$5:$E$304,MATCH($E47,lst_Werkstoff,0))/1000,""))</f>
        <v/>
      </c>
      <c r="O47" s="25" t="str">
        <f aca="false">IF(OR(N47="",$F47=""),"",N47*$F47/1000)</f>
        <v/>
      </c>
      <c r="P47" s="16" t="str">
        <f aca="false">IF(OR($F47="",$G47=""),"",$F47*$G47)</f>
        <v/>
      </c>
      <c r="Q47" s="16" t="str">
        <f aca="false">IF($D47="","",IF($J47&lt;&gt;"",$J47,$C$9))</f>
        <v/>
      </c>
      <c r="R47" s="12" t="str">
        <f aca="false">IF($D47="","",IFERROR(IF(INDEX(Profile!$G$5:$G$304,MATCH($D47,lst_Profil,0))&lt;&gt;"",INDEX(Profile!$G$5:$G$304,MATCH($D47,lst_Profil,0)),$H$4),$H$4))</f>
        <v/>
      </c>
      <c r="S47" s="12" t="str">
        <f aca="false">IF($D47="","",IFERROR(IF(INDEX(Profile!$H$5:$H$304,MATCH($D47,lst_Profil,0))&lt;&gt;"",INDEX(Profile!$H$5:$H$304,MATCH($D47,lst_Profil,0)),$H$5),$H$5))</f>
        <v/>
      </c>
      <c r="T47" s="16" t="str">
        <f aca="false">IF(OR(Q47="",NOT(ISNUMBER(R47)),NOT(ISNUMBER(S47))),"",Q47-R47-S47)</f>
        <v/>
      </c>
      <c r="U47" s="26" t="str">
        <f aca="false">IF(OR($D47="",$E47=""),"",IF(COUNTIFS(Preise!$A$5:$A$304,$D47,Preise!$B$5:$B$304,$E47,Preise!$I$5:$I$304,"OK")&gt;0,"ja","nein"))</f>
        <v/>
      </c>
      <c r="V47" s="15" t="str">
        <f aca="false">IF(OR(M47="",$E47="",$C$8=""),"",IF(_xlfn.MINIFS(Schneiddaten!$C$5:$C$304,Schneiddaten!$A$5:$A$304,$C$8,Schneiddaten!$B$5:$B$304,$E47,Schneiddaten!$C$5:$C$304,"&gt;="&amp;M47)=0,"",SUMIFS(Schneiddaten!$D$5:$D$304,Schneiddaten!$A$5:$A$304,$C$8,Schneiddaten!$B$5:$B$304,$E47,Schneiddaten!$C$5:$C$304,_xlfn.MINIFS(Schneiddaten!$C$5:$C$304,Schneiddaten!$A$5:$A$304,$C$8,Schneiddaten!$B$5:$B$304,$E47,Schneiddaten!$C$5:$C$304,"&gt;="&amp;M47))))</f>
        <v/>
      </c>
      <c r="W47" s="26" t="str">
        <f aca="false">IF(AND($D47="",$E47="",$F47="",$G47=""),"",IF(ISNA(MATCH($D47,lst_Profil,0)),"FEHLER: Profil unbekannt",IF(ISNA(MATCH($E47,lst_Werkstoff,0)),"FEHLER: Werkstoff unbekannt",IF(NOT(ISNUMBER(L47)),"FEHLER: Querschnitt fehlt (Profil)",IF(OR($F47="",$F47&lt;=0),"FEHLER: Teilelänge fehlt",IF(OR($G47="",$G47&lt;1),"FEHLER: Stückzahl fehlt",IF(NOT(ISNUMBER($H$4)),"FEHLER: Maschine fehlt/unbekannt",IF(Q47&gt;$H$7,"FEHLER: Stange länger als Maschine zulässt",IF($F47+$H$6&gt;T47,"FEHLER: Teil länger als Nutzlänge",IF(U47="nein","WARNUNG: kein gültiger Materialpreis",IF($H47="","HINWEIS: Schneidweg fehlt",IF(V47="","HINWEIS: keine Schneiddaten",IF(AND($AF47&lt;&gt;"",$AG47=""),"HINWEIS: Gewinde-Vorschlag prüfen","OK")))))))))))))</f>
        <v/>
      </c>
      <c r="X47" s="18" t="str">
        <f aca="false">IF(OR(O47="",$G47=""),"",O47*$G47)</f>
        <v/>
      </c>
      <c r="Y47" s="10"/>
      <c r="Z47" s="21"/>
      <c r="AA47" s="10"/>
      <c r="AB47" s="21"/>
      <c r="AC47" s="21"/>
      <c r="AD47" s="21"/>
      <c r="AE47" s="10"/>
      <c r="AF47" s="10"/>
      <c r="AG47" s="10"/>
      <c r="AH47" s="22"/>
      <c r="AI47" s="21"/>
      <c r="AJ47" s="22"/>
      <c r="AK47" s="21"/>
      <c r="AL47" s="22"/>
      <c r="AM47" s="21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21"/>
      <c r="G48" s="19"/>
      <c r="H48" s="21"/>
      <c r="I48" s="22"/>
      <c r="J48" s="19"/>
      <c r="K48" s="23" t="str">
        <f aca="false">IF($D48="","",IFERROR(INDEX(Profile!$B$5:$B$304,MATCH($D48,lst_Profil,0)),""))</f>
        <v/>
      </c>
      <c r="L48" s="13" t="str">
        <f aca="false">IF($D48="","",IFERROR(INDEX(Profile!$K$5:$K$304,MATCH($D48,lst_Profil,0))+0,""))</f>
        <v/>
      </c>
      <c r="M48" s="24" t="str">
        <f aca="false">IF($D48="","",IFERROR(INDEX(Profile!$E$5:$E$304,MATCH($D48,lst_Profil,0))+0,""))</f>
        <v/>
      </c>
      <c r="N48" s="25" t="str">
        <f aca="false">IF(OR(L48="",$E48=""),"",IFERROR(L48*INDEX(Werkstoffe!$E$5:$E$304,MATCH($E48,lst_Werkstoff,0))/1000,""))</f>
        <v/>
      </c>
      <c r="O48" s="25" t="str">
        <f aca="false">IF(OR(N48="",$F48=""),"",N48*$F48/1000)</f>
        <v/>
      </c>
      <c r="P48" s="16" t="str">
        <f aca="false">IF(OR($F48="",$G48=""),"",$F48*$G48)</f>
        <v/>
      </c>
      <c r="Q48" s="16" t="str">
        <f aca="false">IF($D48="","",IF($J48&lt;&gt;"",$J48,$C$9))</f>
        <v/>
      </c>
      <c r="R48" s="12" t="str">
        <f aca="false">IF($D48="","",IFERROR(IF(INDEX(Profile!$G$5:$G$304,MATCH($D48,lst_Profil,0))&lt;&gt;"",INDEX(Profile!$G$5:$G$304,MATCH($D48,lst_Profil,0)),$H$4),$H$4))</f>
        <v/>
      </c>
      <c r="S48" s="12" t="str">
        <f aca="false">IF($D48="","",IFERROR(IF(INDEX(Profile!$H$5:$H$304,MATCH($D48,lst_Profil,0))&lt;&gt;"",INDEX(Profile!$H$5:$H$304,MATCH($D48,lst_Profil,0)),$H$5),$H$5))</f>
        <v/>
      </c>
      <c r="T48" s="16" t="str">
        <f aca="false">IF(OR(Q48="",NOT(ISNUMBER(R48)),NOT(ISNUMBER(S48))),"",Q48-R48-S48)</f>
        <v/>
      </c>
      <c r="U48" s="26" t="str">
        <f aca="false">IF(OR($D48="",$E48=""),"",IF(COUNTIFS(Preise!$A$5:$A$304,$D48,Preise!$B$5:$B$304,$E48,Preise!$I$5:$I$304,"OK")&gt;0,"ja","nein"))</f>
        <v/>
      </c>
      <c r="V48" s="15" t="str">
        <f aca="false">IF(OR(M48="",$E48="",$C$8=""),"",IF(_xlfn.MINIFS(Schneiddaten!$C$5:$C$304,Schneiddaten!$A$5:$A$304,$C$8,Schneiddaten!$B$5:$B$304,$E48,Schneiddaten!$C$5:$C$304,"&gt;="&amp;M48)=0,"",SUMIFS(Schneiddaten!$D$5:$D$304,Schneiddaten!$A$5:$A$304,$C$8,Schneiddaten!$B$5:$B$304,$E48,Schneiddaten!$C$5:$C$304,_xlfn.MINIFS(Schneiddaten!$C$5:$C$304,Schneiddaten!$A$5:$A$304,$C$8,Schneiddaten!$B$5:$B$304,$E48,Schneiddaten!$C$5:$C$304,"&gt;="&amp;M48))))</f>
        <v/>
      </c>
      <c r="W48" s="26" t="str">
        <f aca="false">IF(AND($D48="",$E48="",$F48="",$G48=""),"",IF(ISNA(MATCH($D48,lst_Profil,0)),"FEHLER: Profil unbekannt",IF(ISNA(MATCH($E48,lst_Werkstoff,0)),"FEHLER: Werkstoff unbekannt",IF(NOT(ISNUMBER(L48)),"FEHLER: Querschnitt fehlt (Profil)",IF(OR($F48="",$F48&lt;=0),"FEHLER: Teilelänge fehlt",IF(OR($G48="",$G48&lt;1),"FEHLER: Stückzahl fehlt",IF(NOT(ISNUMBER($H$4)),"FEHLER: Maschine fehlt/unbekannt",IF(Q48&gt;$H$7,"FEHLER: Stange länger als Maschine zulässt",IF($F48+$H$6&gt;T48,"FEHLER: Teil länger als Nutzlänge",IF(U48="nein","WARNUNG: kein gültiger Materialpreis",IF($H48="","HINWEIS: Schneidweg fehlt",IF(V48="","HINWEIS: keine Schneiddaten",IF(AND($AF48&lt;&gt;"",$AG48=""),"HINWEIS: Gewinde-Vorschlag prüfen","OK")))))))))))))</f>
        <v/>
      </c>
      <c r="X48" s="18" t="str">
        <f aca="false">IF(OR(O48="",$G48=""),"",O48*$G48)</f>
        <v/>
      </c>
      <c r="Y48" s="10"/>
      <c r="Z48" s="21"/>
      <c r="AA48" s="10"/>
      <c r="AB48" s="21"/>
      <c r="AC48" s="21"/>
      <c r="AD48" s="21"/>
      <c r="AE48" s="10"/>
      <c r="AF48" s="10"/>
      <c r="AG48" s="10"/>
      <c r="AH48" s="22"/>
      <c r="AI48" s="21"/>
      <c r="AJ48" s="22"/>
      <c r="AK48" s="21"/>
      <c r="AL48" s="22"/>
      <c r="AM48" s="21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21"/>
      <c r="G49" s="19"/>
      <c r="H49" s="21"/>
      <c r="I49" s="22"/>
      <c r="J49" s="19"/>
      <c r="K49" s="23" t="str">
        <f aca="false">IF($D49="","",IFERROR(INDEX(Profile!$B$5:$B$304,MATCH($D49,lst_Profil,0)),""))</f>
        <v/>
      </c>
      <c r="L49" s="13" t="str">
        <f aca="false">IF($D49="","",IFERROR(INDEX(Profile!$K$5:$K$304,MATCH($D49,lst_Profil,0))+0,""))</f>
        <v/>
      </c>
      <c r="M49" s="24" t="str">
        <f aca="false">IF($D49="","",IFERROR(INDEX(Profile!$E$5:$E$304,MATCH($D49,lst_Profil,0))+0,""))</f>
        <v/>
      </c>
      <c r="N49" s="25" t="str">
        <f aca="false">IF(OR(L49="",$E49=""),"",IFERROR(L49*INDEX(Werkstoffe!$E$5:$E$304,MATCH($E49,lst_Werkstoff,0))/1000,""))</f>
        <v/>
      </c>
      <c r="O49" s="25" t="str">
        <f aca="false">IF(OR(N49="",$F49=""),"",N49*$F49/1000)</f>
        <v/>
      </c>
      <c r="P49" s="16" t="str">
        <f aca="false">IF(OR($F49="",$G49=""),"",$F49*$G49)</f>
        <v/>
      </c>
      <c r="Q49" s="16" t="str">
        <f aca="false">IF($D49="","",IF($J49&lt;&gt;"",$J49,$C$9))</f>
        <v/>
      </c>
      <c r="R49" s="12" t="str">
        <f aca="false">IF($D49="","",IFERROR(IF(INDEX(Profile!$G$5:$G$304,MATCH($D49,lst_Profil,0))&lt;&gt;"",INDEX(Profile!$G$5:$G$304,MATCH($D49,lst_Profil,0)),$H$4),$H$4))</f>
        <v/>
      </c>
      <c r="S49" s="12" t="str">
        <f aca="false">IF($D49="","",IFERROR(IF(INDEX(Profile!$H$5:$H$304,MATCH($D49,lst_Profil,0))&lt;&gt;"",INDEX(Profile!$H$5:$H$304,MATCH($D49,lst_Profil,0)),$H$5),$H$5))</f>
        <v/>
      </c>
      <c r="T49" s="16" t="str">
        <f aca="false">IF(OR(Q49="",NOT(ISNUMBER(R49)),NOT(ISNUMBER(S49))),"",Q49-R49-S49)</f>
        <v/>
      </c>
      <c r="U49" s="26" t="str">
        <f aca="false">IF(OR($D49="",$E49=""),"",IF(COUNTIFS(Preise!$A$5:$A$304,$D49,Preise!$B$5:$B$304,$E49,Preise!$I$5:$I$304,"OK")&gt;0,"ja","nein"))</f>
        <v/>
      </c>
      <c r="V49" s="15" t="str">
        <f aca="false">IF(OR(M49="",$E49="",$C$8=""),"",IF(_xlfn.MINIFS(Schneiddaten!$C$5:$C$304,Schneiddaten!$A$5:$A$304,$C$8,Schneiddaten!$B$5:$B$304,$E49,Schneiddaten!$C$5:$C$304,"&gt;="&amp;M49)=0,"",SUMIFS(Schneiddaten!$D$5:$D$304,Schneiddaten!$A$5:$A$304,$C$8,Schneiddaten!$B$5:$B$304,$E49,Schneiddaten!$C$5:$C$304,_xlfn.MINIFS(Schneiddaten!$C$5:$C$304,Schneiddaten!$A$5:$A$304,$C$8,Schneiddaten!$B$5:$B$304,$E49,Schneiddaten!$C$5:$C$304,"&gt;="&amp;M49))))</f>
        <v/>
      </c>
      <c r="W49" s="26" t="str">
        <f aca="false">IF(AND($D49="",$E49="",$F49="",$G49=""),"",IF(ISNA(MATCH($D49,lst_Profil,0)),"FEHLER: Profil unbekannt",IF(ISNA(MATCH($E49,lst_Werkstoff,0)),"FEHLER: Werkstoff unbekannt",IF(NOT(ISNUMBER(L49)),"FEHLER: Querschnitt fehlt (Profil)",IF(OR($F49="",$F49&lt;=0),"FEHLER: Teilelänge fehlt",IF(OR($G49="",$G49&lt;1),"FEHLER: Stückzahl fehlt",IF(NOT(ISNUMBER($H$4)),"FEHLER: Maschine fehlt/unbekannt",IF(Q49&gt;$H$7,"FEHLER: Stange länger als Maschine zulässt",IF($F49+$H$6&gt;T49,"FEHLER: Teil länger als Nutzlänge",IF(U49="nein","WARNUNG: kein gültiger Materialpreis",IF($H49="","HINWEIS: Schneidweg fehlt",IF(V49="","HINWEIS: keine Schneiddaten",IF(AND($AF49&lt;&gt;"",$AG49=""),"HINWEIS: Gewinde-Vorschlag prüfen","OK")))))))))))))</f>
        <v/>
      </c>
      <c r="X49" s="18" t="str">
        <f aca="false">IF(OR(O49="",$G49=""),"",O49*$G49)</f>
        <v/>
      </c>
      <c r="Y49" s="10"/>
      <c r="Z49" s="21"/>
      <c r="AA49" s="10"/>
      <c r="AB49" s="21"/>
      <c r="AC49" s="21"/>
      <c r="AD49" s="21"/>
      <c r="AE49" s="10"/>
      <c r="AF49" s="10"/>
      <c r="AG49" s="10"/>
      <c r="AH49" s="22"/>
      <c r="AI49" s="21"/>
      <c r="AJ49" s="22"/>
      <c r="AK49" s="21"/>
      <c r="AL49" s="22"/>
      <c r="AM49" s="21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21"/>
      <c r="G50" s="19"/>
      <c r="H50" s="21"/>
      <c r="I50" s="22"/>
      <c r="J50" s="19"/>
      <c r="K50" s="23" t="str">
        <f aca="false">IF($D50="","",IFERROR(INDEX(Profile!$B$5:$B$304,MATCH($D50,lst_Profil,0)),""))</f>
        <v/>
      </c>
      <c r="L50" s="13" t="str">
        <f aca="false">IF($D50="","",IFERROR(INDEX(Profile!$K$5:$K$304,MATCH($D50,lst_Profil,0))+0,""))</f>
        <v/>
      </c>
      <c r="M50" s="24" t="str">
        <f aca="false">IF($D50="","",IFERROR(INDEX(Profile!$E$5:$E$304,MATCH($D50,lst_Profil,0))+0,""))</f>
        <v/>
      </c>
      <c r="N50" s="25" t="str">
        <f aca="false">IF(OR(L50="",$E50=""),"",IFERROR(L50*INDEX(Werkstoffe!$E$5:$E$304,MATCH($E50,lst_Werkstoff,0))/1000,""))</f>
        <v/>
      </c>
      <c r="O50" s="25" t="str">
        <f aca="false">IF(OR(N50="",$F50=""),"",N50*$F50/1000)</f>
        <v/>
      </c>
      <c r="P50" s="16" t="str">
        <f aca="false">IF(OR($F50="",$G50=""),"",$F50*$G50)</f>
        <v/>
      </c>
      <c r="Q50" s="16" t="str">
        <f aca="false">IF($D50="","",IF($J50&lt;&gt;"",$J50,$C$9))</f>
        <v/>
      </c>
      <c r="R50" s="12" t="str">
        <f aca="false">IF($D50="","",IFERROR(IF(INDEX(Profile!$G$5:$G$304,MATCH($D50,lst_Profil,0))&lt;&gt;"",INDEX(Profile!$G$5:$G$304,MATCH($D50,lst_Profil,0)),$H$4),$H$4))</f>
        <v/>
      </c>
      <c r="S50" s="12" t="str">
        <f aca="false">IF($D50="","",IFERROR(IF(INDEX(Profile!$H$5:$H$304,MATCH($D50,lst_Profil,0))&lt;&gt;"",INDEX(Profile!$H$5:$H$304,MATCH($D50,lst_Profil,0)),$H$5),$H$5))</f>
        <v/>
      </c>
      <c r="T50" s="16" t="str">
        <f aca="false">IF(OR(Q50="",NOT(ISNUMBER(R50)),NOT(ISNUMBER(S50))),"",Q50-R50-S50)</f>
        <v/>
      </c>
      <c r="U50" s="26" t="str">
        <f aca="false">IF(OR($D50="",$E50=""),"",IF(COUNTIFS(Preise!$A$5:$A$304,$D50,Preise!$B$5:$B$304,$E50,Preise!$I$5:$I$304,"OK")&gt;0,"ja","nein"))</f>
        <v/>
      </c>
      <c r="V50" s="15" t="str">
        <f aca="false">IF(OR(M50="",$E50="",$C$8=""),"",IF(_xlfn.MINIFS(Schneiddaten!$C$5:$C$304,Schneiddaten!$A$5:$A$304,$C$8,Schneiddaten!$B$5:$B$304,$E50,Schneiddaten!$C$5:$C$304,"&gt;="&amp;M50)=0,"",SUMIFS(Schneiddaten!$D$5:$D$304,Schneiddaten!$A$5:$A$304,$C$8,Schneiddaten!$B$5:$B$304,$E50,Schneiddaten!$C$5:$C$304,_xlfn.MINIFS(Schneiddaten!$C$5:$C$304,Schneiddaten!$A$5:$A$304,$C$8,Schneiddaten!$B$5:$B$304,$E50,Schneiddaten!$C$5:$C$304,"&gt;="&amp;M50))))</f>
        <v/>
      </c>
      <c r="W50" s="26" t="str">
        <f aca="false">IF(AND($D50="",$E50="",$F50="",$G50=""),"",IF(ISNA(MATCH($D50,lst_Profil,0)),"FEHLER: Profil unbekannt",IF(ISNA(MATCH($E50,lst_Werkstoff,0)),"FEHLER: Werkstoff unbekannt",IF(NOT(ISNUMBER(L50)),"FEHLER: Querschnitt fehlt (Profil)",IF(OR($F50="",$F50&lt;=0),"FEHLER: Teilelänge fehlt",IF(OR($G50="",$G50&lt;1),"FEHLER: Stückzahl fehlt",IF(NOT(ISNUMBER($H$4)),"FEHLER: Maschine fehlt/unbekannt",IF(Q50&gt;$H$7,"FEHLER: Stange länger als Maschine zulässt",IF($F50+$H$6&gt;T50,"FEHLER: Teil länger als Nutzlänge",IF(U50="nein","WARNUNG: kein gültiger Materialpreis",IF($H50="","HINWEIS: Schneidweg fehlt",IF(V50="","HINWEIS: keine Schneiddaten",IF(AND($AF50&lt;&gt;"",$AG50=""),"HINWEIS: Gewinde-Vorschlag prüfen","OK")))))))))))))</f>
        <v/>
      </c>
      <c r="X50" s="18" t="str">
        <f aca="false">IF(OR(O50="",$G50=""),"",O50*$G50)</f>
        <v/>
      </c>
      <c r="Y50" s="10"/>
      <c r="Z50" s="21"/>
      <c r="AA50" s="10"/>
      <c r="AB50" s="21"/>
      <c r="AC50" s="21"/>
      <c r="AD50" s="21"/>
      <c r="AE50" s="10"/>
      <c r="AF50" s="10"/>
      <c r="AG50" s="10"/>
      <c r="AH50" s="22"/>
      <c r="AI50" s="21"/>
      <c r="AJ50" s="22"/>
      <c r="AK50" s="21"/>
      <c r="AL50" s="22"/>
      <c r="AM50" s="21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21"/>
      <c r="G51" s="19"/>
      <c r="H51" s="21"/>
      <c r="I51" s="22"/>
      <c r="J51" s="19"/>
      <c r="K51" s="23" t="str">
        <f aca="false">IF($D51="","",IFERROR(INDEX(Profile!$B$5:$B$304,MATCH($D51,lst_Profil,0)),""))</f>
        <v/>
      </c>
      <c r="L51" s="13" t="str">
        <f aca="false">IF($D51="","",IFERROR(INDEX(Profile!$K$5:$K$304,MATCH($D51,lst_Profil,0))+0,""))</f>
        <v/>
      </c>
      <c r="M51" s="24" t="str">
        <f aca="false">IF($D51="","",IFERROR(INDEX(Profile!$E$5:$E$304,MATCH($D51,lst_Profil,0))+0,""))</f>
        <v/>
      </c>
      <c r="N51" s="25" t="str">
        <f aca="false">IF(OR(L51="",$E51=""),"",IFERROR(L51*INDEX(Werkstoffe!$E$5:$E$304,MATCH($E51,lst_Werkstoff,0))/1000,""))</f>
        <v/>
      </c>
      <c r="O51" s="25" t="str">
        <f aca="false">IF(OR(N51="",$F51=""),"",N51*$F51/1000)</f>
        <v/>
      </c>
      <c r="P51" s="16" t="str">
        <f aca="false">IF(OR($F51="",$G51=""),"",$F51*$G51)</f>
        <v/>
      </c>
      <c r="Q51" s="16" t="str">
        <f aca="false">IF($D51="","",IF($J51&lt;&gt;"",$J51,$C$9))</f>
        <v/>
      </c>
      <c r="R51" s="12" t="str">
        <f aca="false">IF($D51="","",IFERROR(IF(INDEX(Profile!$G$5:$G$304,MATCH($D51,lst_Profil,0))&lt;&gt;"",INDEX(Profile!$G$5:$G$304,MATCH($D51,lst_Profil,0)),$H$4),$H$4))</f>
        <v/>
      </c>
      <c r="S51" s="12" t="str">
        <f aca="false">IF($D51="","",IFERROR(IF(INDEX(Profile!$H$5:$H$304,MATCH($D51,lst_Profil,0))&lt;&gt;"",INDEX(Profile!$H$5:$H$304,MATCH($D51,lst_Profil,0)),$H$5),$H$5))</f>
        <v/>
      </c>
      <c r="T51" s="16" t="str">
        <f aca="false">IF(OR(Q51="",NOT(ISNUMBER(R51)),NOT(ISNUMBER(S51))),"",Q51-R51-S51)</f>
        <v/>
      </c>
      <c r="U51" s="26" t="str">
        <f aca="false">IF(OR($D51="",$E51=""),"",IF(COUNTIFS(Preise!$A$5:$A$304,$D51,Preise!$B$5:$B$304,$E51,Preise!$I$5:$I$304,"OK")&gt;0,"ja","nein"))</f>
        <v/>
      </c>
      <c r="V51" s="15" t="str">
        <f aca="false">IF(OR(M51="",$E51="",$C$8=""),"",IF(_xlfn.MINIFS(Schneiddaten!$C$5:$C$304,Schneiddaten!$A$5:$A$304,$C$8,Schneiddaten!$B$5:$B$304,$E51,Schneiddaten!$C$5:$C$304,"&gt;="&amp;M51)=0,"",SUMIFS(Schneiddaten!$D$5:$D$304,Schneiddaten!$A$5:$A$304,$C$8,Schneiddaten!$B$5:$B$304,$E51,Schneiddaten!$C$5:$C$304,_xlfn.MINIFS(Schneiddaten!$C$5:$C$304,Schneiddaten!$A$5:$A$304,$C$8,Schneiddaten!$B$5:$B$304,$E51,Schneiddaten!$C$5:$C$304,"&gt;="&amp;M51))))</f>
        <v/>
      </c>
      <c r="W51" s="26" t="str">
        <f aca="false">IF(AND($D51="",$E51="",$F51="",$G51=""),"",IF(ISNA(MATCH($D51,lst_Profil,0)),"FEHLER: Profil unbekannt",IF(ISNA(MATCH($E51,lst_Werkstoff,0)),"FEHLER: Werkstoff unbekannt",IF(NOT(ISNUMBER(L51)),"FEHLER: Querschnitt fehlt (Profil)",IF(OR($F51="",$F51&lt;=0),"FEHLER: Teilelänge fehlt",IF(OR($G51="",$G51&lt;1),"FEHLER: Stückzahl fehlt",IF(NOT(ISNUMBER($H$4)),"FEHLER: Maschine fehlt/unbekannt",IF(Q51&gt;$H$7,"FEHLER: Stange länger als Maschine zulässt",IF($F51+$H$6&gt;T51,"FEHLER: Teil länger als Nutzlänge",IF(U51="nein","WARNUNG: kein gültiger Materialpreis",IF($H51="","HINWEIS: Schneidweg fehlt",IF(V51="","HINWEIS: keine Schneiddaten",IF(AND($AF51&lt;&gt;"",$AG51=""),"HINWEIS: Gewinde-Vorschlag prüfen","OK")))))))))))))</f>
        <v/>
      </c>
      <c r="X51" s="18" t="str">
        <f aca="false">IF(OR(O51="",$G51=""),"",O51*$G51)</f>
        <v/>
      </c>
      <c r="Y51" s="10"/>
      <c r="Z51" s="21"/>
      <c r="AA51" s="10"/>
      <c r="AB51" s="21"/>
      <c r="AC51" s="21"/>
      <c r="AD51" s="21"/>
      <c r="AE51" s="10"/>
      <c r="AF51" s="10"/>
      <c r="AG51" s="10"/>
      <c r="AH51" s="22"/>
      <c r="AI51" s="21"/>
      <c r="AJ51" s="22"/>
      <c r="AK51" s="21"/>
      <c r="AL51" s="22"/>
      <c r="AM51" s="21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21"/>
      <c r="G52" s="19"/>
      <c r="H52" s="21"/>
      <c r="I52" s="22"/>
      <c r="J52" s="19"/>
      <c r="K52" s="23" t="str">
        <f aca="false">IF($D52="","",IFERROR(INDEX(Profile!$B$5:$B$304,MATCH($D52,lst_Profil,0)),""))</f>
        <v/>
      </c>
      <c r="L52" s="13" t="str">
        <f aca="false">IF($D52="","",IFERROR(INDEX(Profile!$K$5:$K$304,MATCH($D52,lst_Profil,0))+0,""))</f>
        <v/>
      </c>
      <c r="M52" s="24" t="str">
        <f aca="false">IF($D52="","",IFERROR(INDEX(Profile!$E$5:$E$304,MATCH($D52,lst_Profil,0))+0,""))</f>
        <v/>
      </c>
      <c r="N52" s="25" t="str">
        <f aca="false">IF(OR(L52="",$E52=""),"",IFERROR(L52*INDEX(Werkstoffe!$E$5:$E$304,MATCH($E52,lst_Werkstoff,0))/1000,""))</f>
        <v/>
      </c>
      <c r="O52" s="25" t="str">
        <f aca="false">IF(OR(N52="",$F52=""),"",N52*$F52/1000)</f>
        <v/>
      </c>
      <c r="P52" s="16" t="str">
        <f aca="false">IF(OR($F52="",$G52=""),"",$F52*$G52)</f>
        <v/>
      </c>
      <c r="Q52" s="16" t="str">
        <f aca="false">IF($D52="","",IF($J52&lt;&gt;"",$J52,$C$9))</f>
        <v/>
      </c>
      <c r="R52" s="12" t="str">
        <f aca="false">IF($D52="","",IFERROR(IF(INDEX(Profile!$G$5:$G$304,MATCH($D52,lst_Profil,0))&lt;&gt;"",INDEX(Profile!$G$5:$G$304,MATCH($D52,lst_Profil,0)),$H$4),$H$4))</f>
        <v/>
      </c>
      <c r="S52" s="12" t="str">
        <f aca="false">IF($D52="","",IFERROR(IF(INDEX(Profile!$H$5:$H$304,MATCH($D52,lst_Profil,0))&lt;&gt;"",INDEX(Profile!$H$5:$H$304,MATCH($D52,lst_Profil,0)),$H$5),$H$5))</f>
        <v/>
      </c>
      <c r="T52" s="16" t="str">
        <f aca="false">IF(OR(Q52="",NOT(ISNUMBER(R52)),NOT(ISNUMBER(S52))),"",Q52-R52-S52)</f>
        <v/>
      </c>
      <c r="U52" s="26" t="str">
        <f aca="false">IF(OR($D52="",$E52=""),"",IF(COUNTIFS(Preise!$A$5:$A$304,$D52,Preise!$B$5:$B$304,$E52,Preise!$I$5:$I$304,"OK")&gt;0,"ja","nein"))</f>
        <v/>
      </c>
      <c r="V52" s="15" t="str">
        <f aca="false">IF(OR(M52="",$E52="",$C$8=""),"",IF(_xlfn.MINIFS(Schneiddaten!$C$5:$C$304,Schneiddaten!$A$5:$A$304,$C$8,Schneiddaten!$B$5:$B$304,$E52,Schneiddaten!$C$5:$C$304,"&gt;="&amp;M52)=0,"",SUMIFS(Schneiddaten!$D$5:$D$304,Schneiddaten!$A$5:$A$304,$C$8,Schneiddaten!$B$5:$B$304,$E52,Schneiddaten!$C$5:$C$304,_xlfn.MINIFS(Schneiddaten!$C$5:$C$304,Schneiddaten!$A$5:$A$304,$C$8,Schneiddaten!$B$5:$B$304,$E52,Schneiddaten!$C$5:$C$304,"&gt;="&amp;M52))))</f>
        <v/>
      </c>
      <c r="W52" s="26" t="str">
        <f aca="false">IF(AND($D52="",$E52="",$F52="",$G52=""),"",IF(ISNA(MATCH($D52,lst_Profil,0)),"FEHLER: Profil unbekannt",IF(ISNA(MATCH($E52,lst_Werkstoff,0)),"FEHLER: Werkstoff unbekannt",IF(NOT(ISNUMBER(L52)),"FEHLER: Querschnitt fehlt (Profil)",IF(OR($F52="",$F52&lt;=0),"FEHLER: Teilelänge fehlt",IF(OR($G52="",$G52&lt;1),"FEHLER: Stückzahl fehlt",IF(NOT(ISNUMBER($H$4)),"FEHLER: Maschine fehlt/unbekannt",IF(Q52&gt;$H$7,"FEHLER: Stange länger als Maschine zulässt",IF($F52+$H$6&gt;T52,"FEHLER: Teil länger als Nutzlänge",IF(U52="nein","WARNUNG: kein gültiger Materialpreis",IF($H52="","HINWEIS: Schneidweg fehlt",IF(V52="","HINWEIS: keine Schneiddaten",IF(AND($AF52&lt;&gt;"",$AG52=""),"HINWEIS: Gewinde-Vorschlag prüfen","OK")))))))))))))</f>
        <v/>
      </c>
      <c r="X52" s="18" t="str">
        <f aca="false">IF(OR(O52="",$G52=""),"",O52*$G52)</f>
        <v/>
      </c>
      <c r="Y52" s="10"/>
      <c r="Z52" s="21"/>
      <c r="AA52" s="10"/>
      <c r="AB52" s="21"/>
      <c r="AC52" s="21"/>
      <c r="AD52" s="21"/>
      <c r="AE52" s="10"/>
      <c r="AF52" s="10"/>
      <c r="AG52" s="10"/>
      <c r="AH52" s="22"/>
      <c r="AI52" s="21"/>
      <c r="AJ52" s="22"/>
      <c r="AK52" s="21"/>
      <c r="AL52" s="22"/>
      <c r="AM52" s="21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21"/>
      <c r="G53" s="19"/>
      <c r="H53" s="21"/>
      <c r="I53" s="22"/>
      <c r="J53" s="19"/>
      <c r="K53" s="23" t="str">
        <f aca="false">IF($D53="","",IFERROR(INDEX(Profile!$B$5:$B$304,MATCH($D53,lst_Profil,0)),""))</f>
        <v/>
      </c>
      <c r="L53" s="13" t="str">
        <f aca="false">IF($D53="","",IFERROR(INDEX(Profile!$K$5:$K$304,MATCH($D53,lst_Profil,0))+0,""))</f>
        <v/>
      </c>
      <c r="M53" s="24" t="str">
        <f aca="false">IF($D53="","",IFERROR(INDEX(Profile!$E$5:$E$304,MATCH($D53,lst_Profil,0))+0,""))</f>
        <v/>
      </c>
      <c r="N53" s="25" t="str">
        <f aca="false">IF(OR(L53="",$E53=""),"",IFERROR(L53*INDEX(Werkstoffe!$E$5:$E$304,MATCH($E53,lst_Werkstoff,0))/1000,""))</f>
        <v/>
      </c>
      <c r="O53" s="25" t="str">
        <f aca="false">IF(OR(N53="",$F53=""),"",N53*$F53/1000)</f>
        <v/>
      </c>
      <c r="P53" s="16" t="str">
        <f aca="false">IF(OR($F53="",$G53=""),"",$F53*$G53)</f>
        <v/>
      </c>
      <c r="Q53" s="16" t="str">
        <f aca="false">IF($D53="","",IF($J53&lt;&gt;"",$J53,$C$9))</f>
        <v/>
      </c>
      <c r="R53" s="12" t="str">
        <f aca="false">IF($D53="","",IFERROR(IF(INDEX(Profile!$G$5:$G$304,MATCH($D53,lst_Profil,0))&lt;&gt;"",INDEX(Profile!$G$5:$G$304,MATCH($D53,lst_Profil,0)),$H$4),$H$4))</f>
        <v/>
      </c>
      <c r="S53" s="12" t="str">
        <f aca="false">IF($D53="","",IFERROR(IF(INDEX(Profile!$H$5:$H$304,MATCH($D53,lst_Profil,0))&lt;&gt;"",INDEX(Profile!$H$5:$H$304,MATCH($D53,lst_Profil,0)),$H$5),$H$5))</f>
        <v/>
      </c>
      <c r="T53" s="16" t="str">
        <f aca="false">IF(OR(Q53="",NOT(ISNUMBER(R53)),NOT(ISNUMBER(S53))),"",Q53-R53-S53)</f>
        <v/>
      </c>
      <c r="U53" s="26" t="str">
        <f aca="false">IF(OR($D53="",$E53=""),"",IF(COUNTIFS(Preise!$A$5:$A$304,$D53,Preise!$B$5:$B$304,$E53,Preise!$I$5:$I$304,"OK")&gt;0,"ja","nein"))</f>
        <v/>
      </c>
      <c r="V53" s="15" t="str">
        <f aca="false">IF(OR(M53="",$E53="",$C$8=""),"",IF(_xlfn.MINIFS(Schneiddaten!$C$5:$C$304,Schneiddaten!$A$5:$A$304,$C$8,Schneiddaten!$B$5:$B$304,$E53,Schneiddaten!$C$5:$C$304,"&gt;="&amp;M53)=0,"",SUMIFS(Schneiddaten!$D$5:$D$304,Schneiddaten!$A$5:$A$304,$C$8,Schneiddaten!$B$5:$B$304,$E53,Schneiddaten!$C$5:$C$304,_xlfn.MINIFS(Schneiddaten!$C$5:$C$304,Schneiddaten!$A$5:$A$304,$C$8,Schneiddaten!$B$5:$B$304,$E53,Schneiddaten!$C$5:$C$304,"&gt;="&amp;M53))))</f>
        <v/>
      </c>
      <c r="W53" s="26" t="str">
        <f aca="false">IF(AND($D53="",$E53="",$F53="",$G53=""),"",IF(ISNA(MATCH($D53,lst_Profil,0)),"FEHLER: Profil unbekannt",IF(ISNA(MATCH($E53,lst_Werkstoff,0)),"FEHLER: Werkstoff unbekannt",IF(NOT(ISNUMBER(L53)),"FEHLER: Querschnitt fehlt (Profil)",IF(OR($F53="",$F53&lt;=0),"FEHLER: Teilelänge fehlt",IF(OR($G53="",$G53&lt;1),"FEHLER: Stückzahl fehlt",IF(NOT(ISNUMBER($H$4)),"FEHLER: Maschine fehlt/unbekannt",IF(Q53&gt;$H$7,"FEHLER: Stange länger als Maschine zulässt",IF($F53+$H$6&gt;T53,"FEHLER: Teil länger als Nutzlänge",IF(U53="nein","WARNUNG: kein gültiger Materialpreis",IF($H53="","HINWEIS: Schneidweg fehlt",IF(V53="","HINWEIS: keine Schneiddaten",IF(AND($AF53&lt;&gt;"",$AG53=""),"HINWEIS: Gewinde-Vorschlag prüfen","OK")))))))))))))</f>
        <v/>
      </c>
      <c r="X53" s="18" t="str">
        <f aca="false">IF(OR(O53="",$G53=""),"",O53*$G53)</f>
        <v/>
      </c>
      <c r="Y53" s="10"/>
      <c r="Z53" s="21"/>
      <c r="AA53" s="10"/>
      <c r="AB53" s="21"/>
      <c r="AC53" s="21"/>
      <c r="AD53" s="21"/>
      <c r="AE53" s="10"/>
      <c r="AF53" s="10"/>
      <c r="AG53" s="10"/>
      <c r="AH53" s="22"/>
      <c r="AI53" s="21"/>
      <c r="AJ53" s="22"/>
      <c r="AK53" s="21"/>
      <c r="AL53" s="22"/>
      <c r="AM53" s="21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21"/>
      <c r="G54" s="19"/>
      <c r="H54" s="21"/>
      <c r="I54" s="22"/>
      <c r="J54" s="19"/>
      <c r="K54" s="23" t="str">
        <f aca="false">IF($D54="","",IFERROR(INDEX(Profile!$B$5:$B$304,MATCH($D54,lst_Profil,0)),""))</f>
        <v/>
      </c>
      <c r="L54" s="13" t="str">
        <f aca="false">IF($D54="","",IFERROR(INDEX(Profile!$K$5:$K$304,MATCH($D54,lst_Profil,0))+0,""))</f>
        <v/>
      </c>
      <c r="M54" s="24" t="str">
        <f aca="false">IF($D54="","",IFERROR(INDEX(Profile!$E$5:$E$304,MATCH($D54,lst_Profil,0))+0,""))</f>
        <v/>
      </c>
      <c r="N54" s="25" t="str">
        <f aca="false">IF(OR(L54="",$E54=""),"",IFERROR(L54*INDEX(Werkstoffe!$E$5:$E$304,MATCH($E54,lst_Werkstoff,0))/1000,""))</f>
        <v/>
      </c>
      <c r="O54" s="25" t="str">
        <f aca="false">IF(OR(N54="",$F54=""),"",N54*$F54/1000)</f>
        <v/>
      </c>
      <c r="P54" s="16" t="str">
        <f aca="false">IF(OR($F54="",$G54=""),"",$F54*$G54)</f>
        <v/>
      </c>
      <c r="Q54" s="16" t="str">
        <f aca="false">IF($D54="","",IF($J54&lt;&gt;"",$J54,$C$9))</f>
        <v/>
      </c>
      <c r="R54" s="12" t="str">
        <f aca="false">IF($D54="","",IFERROR(IF(INDEX(Profile!$G$5:$G$304,MATCH($D54,lst_Profil,0))&lt;&gt;"",INDEX(Profile!$G$5:$G$304,MATCH($D54,lst_Profil,0)),$H$4),$H$4))</f>
        <v/>
      </c>
      <c r="S54" s="12" t="str">
        <f aca="false">IF($D54="","",IFERROR(IF(INDEX(Profile!$H$5:$H$304,MATCH($D54,lst_Profil,0))&lt;&gt;"",INDEX(Profile!$H$5:$H$304,MATCH($D54,lst_Profil,0)),$H$5),$H$5))</f>
        <v/>
      </c>
      <c r="T54" s="16" t="str">
        <f aca="false">IF(OR(Q54="",NOT(ISNUMBER(R54)),NOT(ISNUMBER(S54))),"",Q54-R54-S54)</f>
        <v/>
      </c>
      <c r="U54" s="26" t="str">
        <f aca="false">IF(OR($D54="",$E54=""),"",IF(COUNTIFS(Preise!$A$5:$A$304,$D54,Preise!$B$5:$B$304,$E54,Preise!$I$5:$I$304,"OK")&gt;0,"ja","nein"))</f>
        <v/>
      </c>
      <c r="V54" s="15" t="str">
        <f aca="false">IF(OR(M54="",$E54="",$C$8=""),"",IF(_xlfn.MINIFS(Schneiddaten!$C$5:$C$304,Schneiddaten!$A$5:$A$304,$C$8,Schneiddaten!$B$5:$B$304,$E54,Schneiddaten!$C$5:$C$304,"&gt;="&amp;M54)=0,"",SUMIFS(Schneiddaten!$D$5:$D$304,Schneiddaten!$A$5:$A$304,$C$8,Schneiddaten!$B$5:$B$304,$E54,Schneiddaten!$C$5:$C$304,_xlfn.MINIFS(Schneiddaten!$C$5:$C$304,Schneiddaten!$A$5:$A$304,$C$8,Schneiddaten!$B$5:$B$304,$E54,Schneiddaten!$C$5:$C$304,"&gt;="&amp;M54))))</f>
        <v/>
      </c>
      <c r="W54" s="26" t="str">
        <f aca="false">IF(AND($D54="",$E54="",$F54="",$G54=""),"",IF(ISNA(MATCH($D54,lst_Profil,0)),"FEHLER: Profil unbekannt",IF(ISNA(MATCH($E54,lst_Werkstoff,0)),"FEHLER: Werkstoff unbekannt",IF(NOT(ISNUMBER(L54)),"FEHLER: Querschnitt fehlt (Profil)",IF(OR($F54="",$F54&lt;=0),"FEHLER: Teilelänge fehlt",IF(OR($G54="",$G54&lt;1),"FEHLER: Stückzahl fehlt",IF(NOT(ISNUMBER($H$4)),"FEHLER: Maschine fehlt/unbekannt",IF(Q54&gt;$H$7,"FEHLER: Stange länger als Maschine zulässt",IF($F54+$H$6&gt;T54,"FEHLER: Teil länger als Nutzlänge",IF(U54="nein","WARNUNG: kein gültiger Materialpreis",IF($H54="","HINWEIS: Schneidweg fehlt",IF(V54="","HINWEIS: keine Schneiddaten",IF(AND($AF54&lt;&gt;"",$AG54=""),"HINWEIS: Gewinde-Vorschlag prüfen","OK")))))))))))))</f>
        <v/>
      </c>
      <c r="X54" s="18" t="str">
        <f aca="false">IF(OR(O54="",$G54=""),"",O54*$G54)</f>
        <v/>
      </c>
      <c r="Y54" s="10"/>
      <c r="Z54" s="21"/>
      <c r="AA54" s="10"/>
      <c r="AB54" s="21"/>
      <c r="AC54" s="21"/>
      <c r="AD54" s="21"/>
      <c r="AE54" s="10"/>
      <c r="AF54" s="10"/>
      <c r="AG54" s="10"/>
      <c r="AH54" s="22"/>
      <c r="AI54" s="21"/>
      <c r="AJ54" s="22"/>
      <c r="AK54" s="21"/>
      <c r="AL54" s="22"/>
      <c r="AM54" s="21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21"/>
      <c r="G55" s="19"/>
      <c r="H55" s="21"/>
      <c r="I55" s="22"/>
      <c r="J55" s="19"/>
      <c r="K55" s="23" t="str">
        <f aca="false">IF($D55="","",IFERROR(INDEX(Profile!$B$5:$B$304,MATCH($D55,lst_Profil,0)),""))</f>
        <v/>
      </c>
      <c r="L55" s="13" t="str">
        <f aca="false">IF($D55="","",IFERROR(INDEX(Profile!$K$5:$K$304,MATCH($D55,lst_Profil,0))+0,""))</f>
        <v/>
      </c>
      <c r="M55" s="24" t="str">
        <f aca="false">IF($D55="","",IFERROR(INDEX(Profile!$E$5:$E$304,MATCH($D55,lst_Profil,0))+0,""))</f>
        <v/>
      </c>
      <c r="N55" s="25" t="str">
        <f aca="false">IF(OR(L55="",$E55=""),"",IFERROR(L55*INDEX(Werkstoffe!$E$5:$E$304,MATCH($E55,lst_Werkstoff,0))/1000,""))</f>
        <v/>
      </c>
      <c r="O55" s="25" t="str">
        <f aca="false">IF(OR(N55="",$F55=""),"",N55*$F55/1000)</f>
        <v/>
      </c>
      <c r="P55" s="16" t="str">
        <f aca="false">IF(OR($F55="",$G55=""),"",$F55*$G55)</f>
        <v/>
      </c>
      <c r="Q55" s="16" t="str">
        <f aca="false">IF($D55="","",IF($J55&lt;&gt;"",$J55,$C$9))</f>
        <v/>
      </c>
      <c r="R55" s="12" t="str">
        <f aca="false">IF($D55="","",IFERROR(IF(INDEX(Profile!$G$5:$G$304,MATCH($D55,lst_Profil,0))&lt;&gt;"",INDEX(Profile!$G$5:$G$304,MATCH($D55,lst_Profil,0)),$H$4),$H$4))</f>
        <v/>
      </c>
      <c r="S55" s="12" t="str">
        <f aca="false">IF($D55="","",IFERROR(IF(INDEX(Profile!$H$5:$H$304,MATCH($D55,lst_Profil,0))&lt;&gt;"",INDEX(Profile!$H$5:$H$304,MATCH($D55,lst_Profil,0)),$H$5),$H$5))</f>
        <v/>
      </c>
      <c r="T55" s="16" t="str">
        <f aca="false">IF(OR(Q55="",NOT(ISNUMBER(R55)),NOT(ISNUMBER(S55))),"",Q55-R55-S55)</f>
        <v/>
      </c>
      <c r="U55" s="26" t="str">
        <f aca="false">IF(OR($D55="",$E55=""),"",IF(COUNTIFS(Preise!$A$5:$A$304,$D55,Preise!$B$5:$B$304,$E55,Preise!$I$5:$I$304,"OK")&gt;0,"ja","nein"))</f>
        <v/>
      </c>
      <c r="V55" s="15" t="str">
        <f aca="false">IF(OR(M55="",$E55="",$C$8=""),"",IF(_xlfn.MINIFS(Schneiddaten!$C$5:$C$304,Schneiddaten!$A$5:$A$304,$C$8,Schneiddaten!$B$5:$B$304,$E55,Schneiddaten!$C$5:$C$304,"&gt;="&amp;M55)=0,"",SUMIFS(Schneiddaten!$D$5:$D$304,Schneiddaten!$A$5:$A$304,$C$8,Schneiddaten!$B$5:$B$304,$E55,Schneiddaten!$C$5:$C$304,_xlfn.MINIFS(Schneiddaten!$C$5:$C$304,Schneiddaten!$A$5:$A$304,$C$8,Schneiddaten!$B$5:$B$304,$E55,Schneiddaten!$C$5:$C$304,"&gt;="&amp;M55))))</f>
        <v/>
      </c>
      <c r="W55" s="26" t="str">
        <f aca="false">IF(AND($D55="",$E55="",$F55="",$G55=""),"",IF(ISNA(MATCH($D55,lst_Profil,0)),"FEHLER: Profil unbekannt",IF(ISNA(MATCH($E55,lst_Werkstoff,0)),"FEHLER: Werkstoff unbekannt",IF(NOT(ISNUMBER(L55)),"FEHLER: Querschnitt fehlt (Profil)",IF(OR($F55="",$F55&lt;=0),"FEHLER: Teilelänge fehlt",IF(OR($G55="",$G55&lt;1),"FEHLER: Stückzahl fehlt",IF(NOT(ISNUMBER($H$4)),"FEHLER: Maschine fehlt/unbekannt",IF(Q55&gt;$H$7,"FEHLER: Stange länger als Maschine zulässt",IF($F55+$H$6&gt;T55,"FEHLER: Teil länger als Nutzlänge",IF(U55="nein","WARNUNG: kein gültiger Materialpreis",IF($H55="","HINWEIS: Schneidweg fehlt",IF(V55="","HINWEIS: keine Schneiddaten",IF(AND($AF55&lt;&gt;"",$AG55=""),"HINWEIS: Gewinde-Vorschlag prüfen","OK")))))))))))))</f>
        <v/>
      </c>
      <c r="X55" s="18" t="str">
        <f aca="false">IF(OR(O55="",$G55=""),"",O55*$G55)</f>
        <v/>
      </c>
      <c r="Y55" s="10"/>
      <c r="Z55" s="21"/>
      <c r="AA55" s="10"/>
      <c r="AB55" s="21"/>
      <c r="AC55" s="21"/>
      <c r="AD55" s="21"/>
      <c r="AE55" s="10"/>
      <c r="AF55" s="10"/>
      <c r="AG55" s="10"/>
      <c r="AH55" s="22"/>
      <c r="AI55" s="21"/>
      <c r="AJ55" s="22"/>
      <c r="AK55" s="21"/>
      <c r="AL55" s="22"/>
      <c r="AM55" s="21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21"/>
      <c r="G56" s="19"/>
      <c r="H56" s="21"/>
      <c r="I56" s="22"/>
      <c r="J56" s="19"/>
      <c r="K56" s="23" t="str">
        <f aca="false">IF($D56="","",IFERROR(INDEX(Profile!$B$5:$B$304,MATCH($D56,lst_Profil,0)),""))</f>
        <v/>
      </c>
      <c r="L56" s="13" t="str">
        <f aca="false">IF($D56="","",IFERROR(INDEX(Profile!$K$5:$K$304,MATCH($D56,lst_Profil,0))+0,""))</f>
        <v/>
      </c>
      <c r="M56" s="24" t="str">
        <f aca="false">IF($D56="","",IFERROR(INDEX(Profile!$E$5:$E$304,MATCH($D56,lst_Profil,0))+0,""))</f>
        <v/>
      </c>
      <c r="N56" s="25" t="str">
        <f aca="false">IF(OR(L56="",$E56=""),"",IFERROR(L56*INDEX(Werkstoffe!$E$5:$E$304,MATCH($E56,lst_Werkstoff,0))/1000,""))</f>
        <v/>
      </c>
      <c r="O56" s="25" t="str">
        <f aca="false">IF(OR(N56="",$F56=""),"",N56*$F56/1000)</f>
        <v/>
      </c>
      <c r="P56" s="16" t="str">
        <f aca="false">IF(OR($F56="",$G56=""),"",$F56*$G56)</f>
        <v/>
      </c>
      <c r="Q56" s="16" t="str">
        <f aca="false">IF($D56="","",IF($J56&lt;&gt;"",$J56,$C$9))</f>
        <v/>
      </c>
      <c r="R56" s="12" t="str">
        <f aca="false">IF($D56="","",IFERROR(IF(INDEX(Profile!$G$5:$G$304,MATCH($D56,lst_Profil,0))&lt;&gt;"",INDEX(Profile!$G$5:$G$304,MATCH($D56,lst_Profil,0)),$H$4),$H$4))</f>
        <v/>
      </c>
      <c r="S56" s="12" t="str">
        <f aca="false">IF($D56="","",IFERROR(IF(INDEX(Profile!$H$5:$H$304,MATCH($D56,lst_Profil,0))&lt;&gt;"",INDEX(Profile!$H$5:$H$304,MATCH($D56,lst_Profil,0)),$H$5),$H$5))</f>
        <v/>
      </c>
      <c r="T56" s="16" t="str">
        <f aca="false">IF(OR(Q56="",NOT(ISNUMBER(R56)),NOT(ISNUMBER(S56))),"",Q56-R56-S56)</f>
        <v/>
      </c>
      <c r="U56" s="26" t="str">
        <f aca="false">IF(OR($D56="",$E56=""),"",IF(COUNTIFS(Preise!$A$5:$A$304,$D56,Preise!$B$5:$B$304,$E56,Preise!$I$5:$I$304,"OK")&gt;0,"ja","nein"))</f>
        <v/>
      </c>
      <c r="V56" s="15" t="str">
        <f aca="false">IF(OR(M56="",$E56="",$C$8=""),"",IF(_xlfn.MINIFS(Schneiddaten!$C$5:$C$304,Schneiddaten!$A$5:$A$304,$C$8,Schneiddaten!$B$5:$B$304,$E56,Schneiddaten!$C$5:$C$304,"&gt;="&amp;M56)=0,"",SUMIFS(Schneiddaten!$D$5:$D$304,Schneiddaten!$A$5:$A$304,$C$8,Schneiddaten!$B$5:$B$304,$E56,Schneiddaten!$C$5:$C$304,_xlfn.MINIFS(Schneiddaten!$C$5:$C$304,Schneiddaten!$A$5:$A$304,$C$8,Schneiddaten!$B$5:$B$304,$E56,Schneiddaten!$C$5:$C$304,"&gt;="&amp;M56))))</f>
        <v/>
      </c>
      <c r="W56" s="26" t="str">
        <f aca="false">IF(AND($D56="",$E56="",$F56="",$G56=""),"",IF(ISNA(MATCH($D56,lst_Profil,0)),"FEHLER: Profil unbekannt",IF(ISNA(MATCH($E56,lst_Werkstoff,0)),"FEHLER: Werkstoff unbekannt",IF(NOT(ISNUMBER(L56)),"FEHLER: Querschnitt fehlt (Profil)",IF(OR($F56="",$F56&lt;=0),"FEHLER: Teilelänge fehlt",IF(OR($G56="",$G56&lt;1),"FEHLER: Stückzahl fehlt",IF(NOT(ISNUMBER($H$4)),"FEHLER: Maschine fehlt/unbekannt",IF(Q56&gt;$H$7,"FEHLER: Stange länger als Maschine zulässt",IF($F56+$H$6&gt;T56,"FEHLER: Teil länger als Nutzlänge",IF(U56="nein","WARNUNG: kein gültiger Materialpreis",IF($H56="","HINWEIS: Schneidweg fehlt",IF(V56="","HINWEIS: keine Schneiddaten",IF(AND($AF56&lt;&gt;"",$AG56=""),"HINWEIS: Gewinde-Vorschlag prüfen","OK")))))))))))))</f>
        <v/>
      </c>
      <c r="X56" s="18" t="str">
        <f aca="false">IF(OR(O56="",$G56=""),"",O56*$G56)</f>
        <v/>
      </c>
      <c r="Y56" s="10"/>
      <c r="Z56" s="21"/>
      <c r="AA56" s="10"/>
      <c r="AB56" s="21"/>
      <c r="AC56" s="21"/>
      <c r="AD56" s="21"/>
      <c r="AE56" s="10"/>
      <c r="AF56" s="10"/>
      <c r="AG56" s="10"/>
      <c r="AH56" s="22"/>
      <c r="AI56" s="21"/>
      <c r="AJ56" s="22"/>
      <c r="AK56" s="21"/>
      <c r="AL56" s="22"/>
      <c r="AM56" s="21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21"/>
      <c r="G57" s="19"/>
      <c r="H57" s="21"/>
      <c r="I57" s="22"/>
      <c r="J57" s="19"/>
      <c r="K57" s="23" t="str">
        <f aca="false">IF($D57="","",IFERROR(INDEX(Profile!$B$5:$B$304,MATCH($D57,lst_Profil,0)),""))</f>
        <v/>
      </c>
      <c r="L57" s="13" t="str">
        <f aca="false">IF($D57="","",IFERROR(INDEX(Profile!$K$5:$K$304,MATCH($D57,lst_Profil,0))+0,""))</f>
        <v/>
      </c>
      <c r="M57" s="24" t="str">
        <f aca="false">IF($D57="","",IFERROR(INDEX(Profile!$E$5:$E$304,MATCH($D57,lst_Profil,0))+0,""))</f>
        <v/>
      </c>
      <c r="N57" s="25" t="str">
        <f aca="false">IF(OR(L57="",$E57=""),"",IFERROR(L57*INDEX(Werkstoffe!$E$5:$E$304,MATCH($E57,lst_Werkstoff,0))/1000,""))</f>
        <v/>
      </c>
      <c r="O57" s="25" t="str">
        <f aca="false">IF(OR(N57="",$F57=""),"",N57*$F57/1000)</f>
        <v/>
      </c>
      <c r="P57" s="16" t="str">
        <f aca="false">IF(OR($F57="",$G57=""),"",$F57*$G57)</f>
        <v/>
      </c>
      <c r="Q57" s="16" t="str">
        <f aca="false">IF($D57="","",IF($J57&lt;&gt;"",$J57,$C$9))</f>
        <v/>
      </c>
      <c r="R57" s="12" t="str">
        <f aca="false">IF($D57="","",IFERROR(IF(INDEX(Profile!$G$5:$G$304,MATCH($D57,lst_Profil,0))&lt;&gt;"",INDEX(Profile!$G$5:$G$304,MATCH($D57,lst_Profil,0)),$H$4),$H$4))</f>
        <v/>
      </c>
      <c r="S57" s="12" t="str">
        <f aca="false">IF($D57="","",IFERROR(IF(INDEX(Profile!$H$5:$H$304,MATCH($D57,lst_Profil,0))&lt;&gt;"",INDEX(Profile!$H$5:$H$304,MATCH($D57,lst_Profil,0)),$H$5),$H$5))</f>
        <v/>
      </c>
      <c r="T57" s="16" t="str">
        <f aca="false">IF(OR(Q57="",NOT(ISNUMBER(R57)),NOT(ISNUMBER(S57))),"",Q57-R57-S57)</f>
        <v/>
      </c>
      <c r="U57" s="26" t="str">
        <f aca="false">IF(OR($D57="",$E57=""),"",IF(COUNTIFS(Preise!$A$5:$A$304,$D57,Preise!$B$5:$B$304,$E57,Preise!$I$5:$I$304,"OK")&gt;0,"ja","nein"))</f>
        <v/>
      </c>
      <c r="V57" s="15" t="str">
        <f aca="false">IF(OR(M57="",$E57="",$C$8=""),"",IF(_xlfn.MINIFS(Schneiddaten!$C$5:$C$304,Schneiddaten!$A$5:$A$304,$C$8,Schneiddaten!$B$5:$B$304,$E57,Schneiddaten!$C$5:$C$304,"&gt;="&amp;M57)=0,"",SUMIFS(Schneiddaten!$D$5:$D$304,Schneiddaten!$A$5:$A$304,$C$8,Schneiddaten!$B$5:$B$304,$E57,Schneiddaten!$C$5:$C$304,_xlfn.MINIFS(Schneiddaten!$C$5:$C$304,Schneiddaten!$A$5:$A$304,$C$8,Schneiddaten!$B$5:$B$304,$E57,Schneiddaten!$C$5:$C$304,"&gt;="&amp;M57))))</f>
        <v/>
      </c>
      <c r="W57" s="26" t="str">
        <f aca="false">IF(AND($D57="",$E57="",$F57="",$G57=""),"",IF(ISNA(MATCH($D57,lst_Profil,0)),"FEHLER: Profil unbekannt",IF(ISNA(MATCH($E57,lst_Werkstoff,0)),"FEHLER: Werkstoff unbekannt",IF(NOT(ISNUMBER(L57)),"FEHLER: Querschnitt fehlt (Profil)",IF(OR($F57="",$F57&lt;=0),"FEHLER: Teilelänge fehlt",IF(OR($G57="",$G57&lt;1),"FEHLER: Stückzahl fehlt",IF(NOT(ISNUMBER($H$4)),"FEHLER: Maschine fehlt/unbekannt",IF(Q57&gt;$H$7,"FEHLER: Stange länger als Maschine zulässt",IF($F57+$H$6&gt;T57,"FEHLER: Teil länger als Nutzlänge",IF(U57="nein","WARNUNG: kein gültiger Materialpreis",IF($H57="","HINWEIS: Schneidweg fehlt",IF(V57="","HINWEIS: keine Schneiddaten",IF(AND($AF57&lt;&gt;"",$AG57=""),"HINWEIS: Gewinde-Vorschlag prüfen","OK")))))))))))))</f>
        <v/>
      </c>
      <c r="X57" s="18" t="str">
        <f aca="false">IF(OR(O57="",$G57=""),"",O57*$G57)</f>
        <v/>
      </c>
      <c r="Y57" s="10"/>
      <c r="Z57" s="21"/>
      <c r="AA57" s="10"/>
      <c r="AB57" s="21"/>
      <c r="AC57" s="21"/>
      <c r="AD57" s="21"/>
      <c r="AE57" s="10"/>
      <c r="AF57" s="10"/>
      <c r="AG57" s="10"/>
      <c r="AH57" s="22"/>
      <c r="AI57" s="21"/>
      <c r="AJ57" s="22"/>
      <c r="AK57" s="21"/>
      <c r="AL57" s="22"/>
      <c r="AM57" s="21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21"/>
      <c r="G58" s="19"/>
      <c r="H58" s="21"/>
      <c r="I58" s="22"/>
      <c r="J58" s="19"/>
      <c r="K58" s="23" t="str">
        <f aca="false">IF($D58="","",IFERROR(INDEX(Profile!$B$5:$B$304,MATCH($D58,lst_Profil,0)),""))</f>
        <v/>
      </c>
      <c r="L58" s="13" t="str">
        <f aca="false">IF($D58="","",IFERROR(INDEX(Profile!$K$5:$K$304,MATCH($D58,lst_Profil,0))+0,""))</f>
        <v/>
      </c>
      <c r="M58" s="24" t="str">
        <f aca="false">IF($D58="","",IFERROR(INDEX(Profile!$E$5:$E$304,MATCH($D58,lst_Profil,0))+0,""))</f>
        <v/>
      </c>
      <c r="N58" s="25" t="str">
        <f aca="false">IF(OR(L58="",$E58=""),"",IFERROR(L58*INDEX(Werkstoffe!$E$5:$E$304,MATCH($E58,lst_Werkstoff,0))/1000,""))</f>
        <v/>
      </c>
      <c r="O58" s="25" t="str">
        <f aca="false">IF(OR(N58="",$F58=""),"",N58*$F58/1000)</f>
        <v/>
      </c>
      <c r="P58" s="16" t="str">
        <f aca="false">IF(OR($F58="",$G58=""),"",$F58*$G58)</f>
        <v/>
      </c>
      <c r="Q58" s="16" t="str">
        <f aca="false">IF($D58="","",IF($J58&lt;&gt;"",$J58,$C$9))</f>
        <v/>
      </c>
      <c r="R58" s="12" t="str">
        <f aca="false">IF($D58="","",IFERROR(IF(INDEX(Profile!$G$5:$G$304,MATCH($D58,lst_Profil,0))&lt;&gt;"",INDEX(Profile!$G$5:$G$304,MATCH($D58,lst_Profil,0)),$H$4),$H$4))</f>
        <v/>
      </c>
      <c r="S58" s="12" t="str">
        <f aca="false">IF($D58="","",IFERROR(IF(INDEX(Profile!$H$5:$H$304,MATCH($D58,lst_Profil,0))&lt;&gt;"",INDEX(Profile!$H$5:$H$304,MATCH($D58,lst_Profil,0)),$H$5),$H$5))</f>
        <v/>
      </c>
      <c r="T58" s="16" t="str">
        <f aca="false">IF(OR(Q58="",NOT(ISNUMBER(R58)),NOT(ISNUMBER(S58))),"",Q58-R58-S58)</f>
        <v/>
      </c>
      <c r="U58" s="26" t="str">
        <f aca="false">IF(OR($D58="",$E58=""),"",IF(COUNTIFS(Preise!$A$5:$A$304,$D58,Preise!$B$5:$B$304,$E58,Preise!$I$5:$I$304,"OK")&gt;0,"ja","nein"))</f>
        <v/>
      </c>
      <c r="V58" s="15" t="str">
        <f aca="false">IF(OR(M58="",$E58="",$C$8=""),"",IF(_xlfn.MINIFS(Schneiddaten!$C$5:$C$304,Schneiddaten!$A$5:$A$304,$C$8,Schneiddaten!$B$5:$B$304,$E58,Schneiddaten!$C$5:$C$304,"&gt;="&amp;M58)=0,"",SUMIFS(Schneiddaten!$D$5:$D$304,Schneiddaten!$A$5:$A$304,$C$8,Schneiddaten!$B$5:$B$304,$E58,Schneiddaten!$C$5:$C$304,_xlfn.MINIFS(Schneiddaten!$C$5:$C$304,Schneiddaten!$A$5:$A$304,$C$8,Schneiddaten!$B$5:$B$304,$E58,Schneiddaten!$C$5:$C$304,"&gt;="&amp;M58))))</f>
        <v/>
      </c>
      <c r="W58" s="26" t="str">
        <f aca="false">IF(AND($D58="",$E58="",$F58="",$G58=""),"",IF(ISNA(MATCH($D58,lst_Profil,0)),"FEHLER: Profil unbekannt",IF(ISNA(MATCH($E58,lst_Werkstoff,0)),"FEHLER: Werkstoff unbekannt",IF(NOT(ISNUMBER(L58)),"FEHLER: Querschnitt fehlt (Profil)",IF(OR($F58="",$F58&lt;=0),"FEHLER: Teilelänge fehlt",IF(OR($G58="",$G58&lt;1),"FEHLER: Stückzahl fehlt",IF(NOT(ISNUMBER($H$4)),"FEHLER: Maschine fehlt/unbekannt",IF(Q58&gt;$H$7,"FEHLER: Stange länger als Maschine zulässt",IF($F58+$H$6&gt;T58,"FEHLER: Teil länger als Nutzlänge",IF(U58="nein","WARNUNG: kein gültiger Materialpreis",IF($H58="","HINWEIS: Schneidweg fehlt",IF(V58="","HINWEIS: keine Schneiddaten",IF(AND($AF58&lt;&gt;"",$AG58=""),"HINWEIS: Gewinde-Vorschlag prüfen","OK")))))))))))))</f>
        <v/>
      </c>
      <c r="X58" s="18" t="str">
        <f aca="false">IF(OR(O58="",$G58=""),"",O58*$G58)</f>
        <v/>
      </c>
      <c r="Y58" s="10"/>
      <c r="Z58" s="21"/>
      <c r="AA58" s="10"/>
      <c r="AB58" s="21"/>
      <c r="AC58" s="21"/>
      <c r="AD58" s="21"/>
      <c r="AE58" s="10"/>
      <c r="AF58" s="10"/>
      <c r="AG58" s="10"/>
      <c r="AH58" s="22"/>
      <c r="AI58" s="21"/>
      <c r="AJ58" s="22"/>
      <c r="AK58" s="21"/>
      <c r="AL58" s="22"/>
      <c r="AM58" s="21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21"/>
      <c r="G59" s="19"/>
      <c r="H59" s="21"/>
      <c r="I59" s="22"/>
      <c r="J59" s="19"/>
      <c r="K59" s="23" t="str">
        <f aca="false">IF($D59="","",IFERROR(INDEX(Profile!$B$5:$B$304,MATCH($D59,lst_Profil,0)),""))</f>
        <v/>
      </c>
      <c r="L59" s="13" t="str">
        <f aca="false">IF($D59="","",IFERROR(INDEX(Profile!$K$5:$K$304,MATCH($D59,lst_Profil,0))+0,""))</f>
        <v/>
      </c>
      <c r="M59" s="24" t="str">
        <f aca="false">IF($D59="","",IFERROR(INDEX(Profile!$E$5:$E$304,MATCH($D59,lst_Profil,0))+0,""))</f>
        <v/>
      </c>
      <c r="N59" s="25" t="str">
        <f aca="false">IF(OR(L59="",$E59=""),"",IFERROR(L59*INDEX(Werkstoffe!$E$5:$E$304,MATCH($E59,lst_Werkstoff,0))/1000,""))</f>
        <v/>
      </c>
      <c r="O59" s="25" t="str">
        <f aca="false">IF(OR(N59="",$F59=""),"",N59*$F59/1000)</f>
        <v/>
      </c>
      <c r="P59" s="16" t="str">
        <f aca="false">IF(OR($F59="",$G59=""),"",$F59*$G59)</f>
        <v/>
      </c>
      <c r="Q59" s="16" t="str">
        <f aca="false">IF($D59="","",IF($J59&lt;&gt;"",$J59,$C$9))</f>
        <v/>
      </c>
      <c r="R59" s="12" t="str">
        <f aca="false">IF($D59="","",IFERROR(IF(INDEX(Profile!$G$5:$G$304,MATCH($D59,lst_Profil,0))&lt;&gt;"",INDEX(Profile!$G$5:$G$304,MATCH($D59,lst_Profil,0)),$H$4),$H$4))</f>
        <v/>
      </c>
      <c r="S59" s="12" t="str">
        <f aca="false">IF($D59="","",IFERROR(IF(INDEX(Profile!$H$5:$H$304,MATCH($D59,lst_Profil,0))&lt;&gt;"",INDEX(Profile!$H$5:$H$304,MATCH($D59,lst_Profil,0)),$H$5),$H$5))</f>
        <v/>
      </c>
      <c r="T59" s="16" t="str">
        <f aca="false">IF(OR(Q59="",NOT(ISNUMBER(R59)),NOT(ISNUMBER(S59))),"",Q59-R59-S59)</f>
        <v/>
      </c>
      <c r="U59" s="26" t="str">
        <f aca="false">IF(OR($D59="",$E59=""),"",IF(COUNTIFS(Preise!$A$5:$A$304,$D59,Preise!$B$5:$B$304,$E59,Preise!$I$5:$I$304,"OK")&gt;0,"ja","nein"))</f>
        <v/>
      </c>
      <c r="V59" s="15" t="str">
        <f aca="false">IF(OR(M59="",$E59="",$C$8=""),"",IF(_xlfn.MINIFS(Schneiddaten!$C$5:$C$304,Schneiddaten!$A$5:$A$304,$C$8,Schneiddaten!$B$5:$B$304,$E59,Schneiddaten!$C$5:$C$304,"&gt;="&amp;M59)=0,"",SUMIFS(Schneiddaten!$D$5:$D$304,Schneiddaten!$A$5:$A$304,$C$8,Schneiddaten!$B$5:$B$304,$E59,Schneiddaten!$C$5:$C$304,_xlfn.MINIFS(Schneiddaten!$C$5:$C$304,Schneiddaten!$A$5:$A$304,$C$8,Schneiddaten!$B$5:$B$304,$E59,Schneiddaten!$C$5:$C$304,"&gt;="&amp;M59))))</f>
        <v/>
      </c>
      <c r="W59" s="26" t="str">
        <f aca="false">IF(AND($D59="",$E59="",$F59="",$G59=""),"",IF(ISNA(MATCH($D59,lst_Profil,0)),"FEHLER: Profil unbekannt",IF(ISNA(MATCH($E59,lst_Werkstoff,0)),"FEHLER: Werkstoff unbekannt",IF(NOT(ISNUMBER(L59)),"FEHLER: Querschnitt fehlt (Profil)",IF(OR($F59="",$F59&lt;=0),"FEHLER: Teilelänge fehlt",IF(OR($G59="",$G59&lt;1),"FEHLER: Stückzahl fehlt",IF(NOT(ISNUMBER($H$4)),"FEHLER: Maschine fehlt/unbekannt",IF(Q59&gt;$H$7,"FEHLER: Stange länger als Maschine zulässt",IF($F59+$H$6&gt;T59,"FEHLER: Teil länger als Nutzlänge",IF(U59="nein","WARNUNG: kein gültiger Materialpreis",IF($H59="","HINWEIS: Schneidweg fehlt",IF(V59="","HINWEIS: keine Schneiddaten",IF(AND($AF59&lt;&gt;"",$AG59=""),"HINWEIS: Gewinde-Vorschlag prüfen","OK")))))))))))))</f>
        <v/>
      </c>
      <c r="X59" s="18" t="str">
        <f aca="false">IF(OR(O59="",$G59=""),"",O59*$G59)</f>
        <v/>
      </c>
      <c r="Y59" s="10"/>
      <c r="Z59" s="21"/>
      <c r="AA59" s="10"/>
      <c r="AB59" s="21"/>
      <c r="AC59" s="21"/>
      <c r="AD59" s="21"/>
      <c r="AE59" s="10"/>
      <c r="AF59" s="10"/>
      <c r="AG59" s="10"/>
      <c r="AH59" s="22"/>
      <c r="AI59" s="21"/>
      <c r="AJ59" s="22"/>
      <c r="AK59" s="21"/>
      <c r="AL59" s="22"/>
      <c r="AM59" s="21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21"/>
      <c r="G60" s="19"/>
      <c r="H60" s="21"/>
      <c r="I60" s="22"/>
      <c r="J60" s="19"/>
      <c r="K60" s="23" t="str">
        <f aca="false">IF($D60="","",IFERROR(INDEX(Profile!$B$5:$B$304,MATCH($D60,lst_Profil,0)),""))</f>
        <v/>
      </c>
      <c r="L60" s="13" t="str">
        <f aca="false">IF($D60="","",IFERROR(INDEX(Profile!$K$5:$K$304,MATCH($D60,lst_Profil,0))+0,""))</f>
        <v/>
      </c>
      <c r="M60" s="24" t="str">
        <f aca="false">IF($D60="","",IFERROR(INDEX(Profile!$E$5:$E$304,MATCH($D60,lst_Profil,0))+0,""))</f>
        <v/>
      </c>
      <c r="N60" s="25" t="str">
        <f aca="false">IF(OR(L60="",$E60=""),"",IFERROR(L60*INDEX(Werkstoffe!$E$5:$E$304,MATCH($E60,lst_Werkstoff,0))/1000,""))</f>
        <v/>
      </c>
      <c r="O60" s="25" t="str">
        <f aca="false">IF(OR(N60="",$F60=""),"",N60*$F60/1000)</f>
        <v/>
      </c>
      <c r="P60" s="16" t="str">
        <f aca="false">IF(OR($F60="",$G60=""),"",$F60*$G60)</f>
        <v/>
      </c>
      <c r="Q60" s="16" t="str">
        <f aca="false">IF($D60="","",IF($J60&lt;&gt;"",$J60,$C$9))</f>
        <v/>
      </c>
      <c r="R60" s="12" t="str">
        <f aca="false">IF($D60="","",IFERROR(IF(INDEX(Profile!$G$5:$G$304,MATCH($D60,lst_Profil,0))&lt;&gt;"",INDEX(Profile!$G$5:$G$304,MATCH($D60,lst_Profil,0)),$H$4),$H$4))</f>
        <v/>
      </c>
      <c r="S60" s="12" t="str">
        <f aca="false">IF($D60="","",IFERROR(IF(INDEX(Profile!$H$5:$H$304,MATCH($D60,lst_Profil,0))&lt;&gt;"",INDEX(Profile!$H$5:$H$304,MATCH($D60,lst_Profil,0)),$H$5),$H$5))</f>
        <v/>
      </c>
      <c r="T60" s="16" t="str">
        <f aca="false">IF(OR(Q60="",NOT(ISNUMBER(R60)),NOT(ISNUMBER(S60))),"",Q60-R60-S60)</f>
        <v/>
      </c>
      <c r="U60" s="26" t="str">
        <f aca="false">IF(OR($D60="",$E60=""),"",IF(COUNTIFS(Preise!$A$5:$A$304,$D60,Preise!$B$5:$B$304,$E60,Preise!$I$5:$I$304,"OK")&gt;0,"ja","nein"))</f>
        <v/>
      </c>
      <c r="V60" s="15" t="str">
        <f aca="false">IF(OR(M60="",$E60="",$C$8=""),"",IF(_xlfn.MINIFS(Schneiddaten!$C$5:$C$304,Schneiddaten!$A$5:$A$304,$C$8,Schneiddaten!$B$5:$B$304,$E60,Schneiddaten!$C$5:$C$304,"&gt;="&amp;M60)=0,"",SUMIFS(Schneiddaten!$D$5:$D$304,Schneiddaten!$A$5:$A$304,$C$8,Schneiddaten!$B$5:$B$304,$E60,Schneiddaten!$C$5:$C$304,_xlfn.MINIFS(Schneiddaten!$C$5:$C$304,Schneiddaten!$A$5:$A$304,$C$8,Schneiddaten!$B$5:$B$304,$E60,Schneiddaten!$C$5:$C$304,"&gt;="&amp;M60))))</f>
        <v/>
      </c>
      <c r="W60" s="26" t="str">
        <f aca="false">IF(AND($D60="",$E60="",$F60="",$G60=""),"",IF(ISNA(MATCH($D60,lst_Profil,0)),"FEHLER: Profil unbekannt",IF(ISNA(MATCH($E60,lst_Werkstoff,0)),"FEHLER: Werkstoff unbekannt",IF(NOT(ISNUMBER(L60)),"FEHLER: Querschnitt fehlt (Profil)",IF(OR($F60="",$F60&lt;=0),"FEHLER: Teilelänge fehlt",IF(OR($G60="",$G60&lt;1),"FEHLER: Stückzahl fehlt",IF(NOT(ISNUMBER($H$4)),"FEHLER: Maschine fehlt/unbekannt",IF(Q60&gt;$H$7,"FEHLER: Stange länger als Maschine zulässt",IF($F60+$H$6&gt;T60,"FEHLER: Teil länger als Nutzlänge",IF(U60="nein","WARNUNG: kein gültiger Materialpreis",IF($H60="","HINWEIS: Schneidweg fehlt",IF(V60="","HINWEIS: keine Schneiddaten",IF(AND($AF60&lt;&gt;"",$AG60=""),"HINWEIS: Gewinde-Vorschlag prüfen","OK")))))))))))))</f>
        <v/>
      </c>
      <c r="X60" s="18" t="str">
        <f aca="false">IF(OR(O60="",$G60=""),"",O60*$G60)</f>
        <v/>
      </c>
      <c r="Y60" s="10"/>
      <c r="Z60" s="21"/>
      <c r="AA60" s="10"/>
      <c r="AB60" s="21"/>
      <c r="AC60" s="21"/>
      <c r="AD60" s="21"/>
      <c r="AE60" s="10"/>
      <c r="AF60" s="10"/>
      <c r="AG60" s="10"/>
      <c r="AH60" s="22"/>
      <c r="AI60" s="21"/>
      <c r="AJ60" s="22"/>
      <c r="AK60" s="21"/>
      <c r="AL60" s="22"/>
      <c r="AM60" s="21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21"/>
      <c r="G61" s="19"/>
      <c r="H61" s="21"/>
      <c r="I61" s="22"/>
      <c r="J61" s="19"/>
      <c r="K61" s="23" t="str">
        <f aca="false">IF($D61="","",IFERROR(INDEX(Profile!$B$5:$B$304,MATCH($D61,lst_Profil,0)),""))</f>
        <v/>
      </c>
      <c r="L61" s="13" t="str">
        <f aca="false">IF($D61="","",IFERROR(INDEX(Profile!$K$5:$K$304,MATCH($D61,lst_Profil,0))+0,""))</f>
        <v/>
      </c>
      <c r="M61" s="24" t="str">
        <f aca="false">IF($D61="","",IFERROR(INDEX(Profile!$E$5:$E$304,MATCH($D61,lst_Profil,0))+0,""))</f>
        <v/>
      </c>
      <c r="N61" s="25" t="str">
        <f aca="false">IF(OR(L61="",$E61=""),"",IFERROR(L61*INDEX(Werkstoffe!$E$5:$E$304,MATCH($E61,lst_Werkstoff,0))/1000,""))</f>
        <v/>
      </c>
      <c r="O61" s="25" t="str">
        <f aca="false">IF(OR(N61="",$F61=""),"",N61*$F61/1000)</f>
        <v/>
      </c>
      <c r="P61" s="16" t="str">
        <f aca="false">IF(OR($F61="",$G61=""),"",$F61*$G61)</f>
        <v/>
      </c>
      <c r="Q61" s="16" t="str">
        <f aca="false">IF($D61="","",IF($J61&lt;&gt;"",$J61,$C$9))</f>
        <v/>
      </c>
      <c r="R61" s="12" t="str">
        <f aca="false">IF($D61="","",IFERROR(IF(INDEX(Profile!$G$5:$G$304,MATCH($D61,lst_Profil,0))&lt;&gt;"",INDEX(Profile!$G$5:$G$304,MATCH($D61,lst_Profil,0)),$H$4),$H$4))</f>
        <v/>
      </c>
      <c r="S61" s="12" t="str">
        <f aca="false">IF($D61="","",IFERROR(IF(INDEX(Profile!$H$5:$H$304,MATCH($D61,lst_Profil,0))&lt;&gt;"",INDEX(Profile!$H$5:$H$304,MATCH($D61,lst_Profil,0)),$H$5),$H$5))</f>
        <v/>
      </c>
      <c r="T61" s="16" t="str">
        <f aca="false">IF(OR(Q61="",NOT(ISNUMBER(R61)),NOT(ISNUMBER(S61))),"",Q61-R61-S61)</f>
        <v/>
      </c>
      <c r="U61" s="26" t="str">
        <f aca="false">IF(OR($D61="",$E61=""),"",IF(COUNTIFS(Preise!$A$5:$A$304,$D61,Preise!$B$5:$B$304,$E61,Preise!$I$5:$I$304,"OK")&gt;0,"ja","nein"))</f>
        <v/>
      </c>
      <c r="V61" s="15" t="str">
        <f aca="false">IF(OR(M61="",$E61="",$C$8=""),"",IF(_xlfn.MINIFS(Schneiddaten!$C$5:$C$304,Schneiddaten!$A$5:$A$304,$C$8,Schneiddaten!$B$5:$B$304,$E61,Schneiddaten!$C$5:$C$304,"&gt;="&amp;M61)=0,"",SUMIFS(Schneiddaten!$D$5:$D$304,Schneiddaten!$A$5:$A$304,$C$8,Schneiddaten!$B$5:$B$304,$E61,Schneiddaten!$C$5:$C$304,_xlfn.MINIFS(Schneiddaten!$C$5:$C$304,Schneiddaten!$A$5:$A$304,$C$8,Schneiddaten!$B$5:$B$304,$E61,Schneiddaten!$C$5:$C$304,"&gt;="&amp;M61))))</f>
        <v/>
      </c>
      <c r="W61" s="26" t="str">
        <f aca="false">IF(AND($D61="",$E61="",$F61="",$G61=""),"",IF(ISNA(MATCH($D61,lst_Profil,0)),"FEHLER: Profil unbekannt",IF(ISNA(MATCH($E61,lst_Werkstoff,0)),"FEHLER: Werkstoff unbekannt",IF(NOT(ISNUMBER(L61)),"FEHLER: Querschnitt fehlt (Profil)",IF(OR($F61="",$F61&lt;=0),"FEHLER: Teilelänge fehlt",IF(OR($G61="",$G61&lt;1),"FEHLER: Stückzahl fehlt",IF(NOT(ISNUMBER($H$4)),"FEHLER: Maschine fehlt/unbekannt",IF(Q61&gt;$H$7,"FEHLER: Stange länger als Maschine zulässt",IF($F61+$H$6&gt;T61,"FEHLER: Teil länger als Nutzlänge",IF(U61="nein","WARNUNG: kein gültiger Materialpreis",IF($H61="","HINWEIS: Schneidweg fehlt",IF(V61="","HINWEIS: keine Schneiddaten",IF(AND($AF61&lt;&gt;"",$AG61=""),"HINWEIS: Gewinde-Vorschlag prüfen","OK")))))))))))))</f>
        <v/>
      </c>
      <c r="X61" s="18" t="str">
        <f aca="false">IF(OR(O61="",$G61=""),"",O61*$G61)</f>
        <v/>
      </c>
      <c r="Y61" s="10"/>
      <c r="Z61" s="21"/>
      <c r="AA61" s="10"/>
      <c r="AB61" s="21"/>
      <c r="AC61" s="21"/>
      <c r="AD61" s="21"/>
      <c r="AE61" s="10"/>
      <c r="AF61" s="10"/>
      <c r="AG61" s="10"/>
      <c r="AH61" s="22"/>
      <c r="AI61" s="21"/>
      <c r="AJ61" s="22"/>
      <c r="AK61" s="21"/>
      <c r="AL61" s="22"/>
      <c r="AM61" s="21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21"/>
      <c r="G62" s="19"/>
      <c r="H62" s="21"/>
      <c r="I62" s="22"/>
      <c r="J62" s="19"/>
      <c r="K62" s="23" t="str">
        <f aca="false">IF($D62="","",IFERROR(INDEX(Profile!$B$5:$B$304,MATCH($D62,lst_Profil,0)),""))</f>
        <v/>
      </c>
      <c r="L62" s="13" t="str">
        <f aca="false">IF($D62="","",IFERROR(INDEX(Profile!$K$5:$K$304,MATCH($D62,lst_Profil,0))+0,""))</f>
        <v/>
      </c>
      <c r="M62" s="24" t="str">
        <f aca="false">IF($D62="","",IFERROR(INDEX(Profile!$E$5:$E$304,MATCH($D62,lst_Profil,0))+0,""))</f>
        <v/>
      </c>
      <c r="N62" s="25" t="str">
        <f aca="false">IF(OR(L62="",$E62=""),"",IFERROR(L62*INDEX(Werkstoffe!$E$5:$E$304,MATCH($E62,lst_Werkstoff,0))/1000,""))</f>
        <v/>
      </c>
      <c r="O62" s="25" t="str">
        <f aca="false">IF(OR(N62="",$F62=""),"",N62*$F62/1000)</f>
        <v/>
      </c>
      <c r="P62" s="16" t="str">
        <f aca="false">IF(OR($F62="",$G62=""),"",$F62*$G62)</f>
        <v/>
      </c>
      <c r="Q62" s="16" t="str">
        <f aca="false">IF($D62="","",IF($J62&lt;&gt;"",$J62,$C$9))</f>
        <v/>
      </c>
      <c r="R62" s="12" t="str">
        <f aca="false">IF($D62="","",IFERROR(IF(INDEX(Profile!$G$5:$G$304,MATCH($D62,lst_Profil,0))&lt;&gt;"",INDEX(Profile!$G$5:$G$304,MATCH($D62,lst_Profil,0)),$H$4),$H$4))</f>
        <v/>
      </c>
      <c r="S62" s="12" t="str">
        <f aca="false">IF($D62="","",IFERROR(IF(INDEX(Profile!$H$5:$H$304,MATCH($D62,lst_Profil,0))&lt;&gt;"",INDEX(Profile!$H$5:$H$304,MATCH($D62,lst_Profil,0)),$H$5),$H$5))</f>
        <v/>
      </c>
      <c r="T62" s="16" t="str">
        <f aca="false">IF(OR(Q62="",NOT(ISNUMBER(R62)),NOT(ISNUMBER(S62))),"",Q62-R62-S62)</f>
        <v/>
      </c>
      <c r="U62" s="26" t="str">
        <f aca="false">IF(OR($D62="",$E62=""),"",IF(COUNTIFS(Preise!$A$5:$A$304,$D62,Preise!$B$5:$B$304,$E62,Preise!$I$5:$I$304,"OK")&gt;0,"ja","nein"))</f>
        <v/>
      </c>
      <c r="V62" s="15" t="str">
        <f aca="false">IF(OR(M62="",$E62="",$C$8=""),"",IF(_xlfn.MINIFS(Schneiddaten!$C$5:$C$304,Schneiddaten!$A$5:$A$304,$C$8,Schneiddaten!$B$5:$B$304,$E62,Schneiddaten!$C$5:$C$304,"&gt;="&amp;M62)=0,"",SUMIFS(Schneiddaten!$D$5:$D$304,Schneiddaten!$A$5:$A$304,$C$8,Schneiddaten!$B$5:$B$304,$E62,Schneiddaten!$C$5:$C$304,_xlfn.MINIFS(Schneiddaten!$C$5:$C$304,Schneiddaten!$A$5:$A$304,$C$8,Schneiddaten!$B$5:$B$304,$E62,Schneiddaten!$C$5:$C$304,"&gt;="&amp;M62))))</f>
        <v/>
      </c>
      <c r="W62" s="26" t="str">
        <f aca="false">IF(AND($D62="",$E62="",$F62="",$G62=""),"",IF(ISNA(MATCH($D62,lst_Profil,0)),"FEHLER: Profil unbekannt",IF(ISNA(MATCH($E62,lst_Werkstoff,0)),"FEHLER: Werkstoff unbekannt",IF(NOT(ISNUMBER(L62)),"FEHLER: Querschnitt fehlt (Profil)",IF(OR($F62="",$F62&lt;=0),"FEHLER: Teilelänge fehlt",IF(OR($G62="",$G62&lt;1),"FEHLER: Stückzahl fehlt",IF(NOT(ISNUMBER($H$4)),"FEHLER: Maschine fehlt/unbekannt",IF(Q62&gt;$H$7,"FEHLER: Stange länger als Maschine zulässt",IF($F62+$H$6&gt;T62,"FEHLER: Teil länger als Nutzlänge",IF(U62="nein","WARNUNG: kein gültiger Materialpreis",IF($H62="","HINWEIS: Schneidweg fehlt",IF(V62="","HINWEIS: keine Schneiddaten",IF(AND($AF62&lt;&gt;"",$AG62=""),"HINWEIS: Gewinde-Vorschlag prüfen","OK")))))))))))))</f>
        <v/>
      </c>
      <c r="X62" s="18" t="str">
        <f aca="false">IF(OR(O62="",$G62=""),"",O62*$G62)</f>
        <v/>
      </c>
      <c r="Y62" s="10"/>
      <c r="Z62" s="21"/>
      <c r="AA62" s="10"/>
      <c r="AB62" s="21"/>
      <c r="AC62" s="21"/>
      <c r="AD62" s="21"/>
      <c r="AE62" s="10"/>
      <c r="AF62" s="10"/>
      <c r="AG62" s="10"/>
      <c r="AH62" s="22"/>
      <c r="AI62" s="21"/>
      <c r="AJ62" s="22"/>
      <c r="AK62" s="21"/>
      <c r="AL62" s="22"/>
      <c r="AM62" s="21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21"/>
      <c r="G63" s="19"/>
      <c r="H63" s="21"/>
      <c r="I63" s="22"/>
      <c r="J63" s="19"/>
      <c r="K63" s="23" t="str">
        <f aca="false">IF($D63="","",IFERROR(INDEX(Profile!$B$5:$B$304,MATCH($D63,lst_Profil,0)),""))</f>
        <v/>
      </c>
      <c r="L63" s="13" t="str">
        <f aca="false">IF($D63="","",IFERROR(INDEX(Profile!$K$5:$K$304,MATCH($D63,lst_Profil,0))+0,""))</f>
        <v/>
      </c>
      <c r="M63" s="24" t="str">
        <f aca="false">IF($D63="","",IFERROR(INDEX(Profile!$E$5:$E$304,MATCH($D63,lst_Profil,0))+0,""))</f>
        <v/>
      </c>
      <c r="N63" s="25" t="str">
        <f aca="false">IF(OR(L63="",$E63=""),"",IFERROR(L63*INDEX(Werkstoffe!$E$5:$E$304,MATCH($E63,lst_Werkstoff,0))/1000,""))</f>
        <v/>
      </c>
      <c r="O63" s="25" t="str">
        <f aca="false">IF(OR(N63="",$F63=""),"",N63*$F63/1000)</f>
        <v/>
      </c>
      <c r="P63" s="16" t="str">
        <f aca="false">IF(OR($F63="",$G63=""),"",$F63*$G63)</f>
        <v/>
      </c>
      <c r="Q63" s="16" t="str">
        <f aca="false">IF($D63="","",IF($J63&lt;&gt;"",$J63,$C$9))</f>
        <v/>
      </c>
      <c r="R63" s="12" t="str">
        <f aca="false">IF($D63="","",IFERROR(IF(INDEX(Profile!$G$5:$G$304,MATCH($D63,lst_Profil,0))&lt;&gt;"",INDEX(Profile!$G$5:$G$304,MATCH($D63,lst_Profil,0)),$H$4),$H$4))</f>
        <v/>
      </c>
      <c r="S63" s="12" t="str">
        <f aca="false">IF($D63="","",IFERROR(IF(INDEX(Profile!$H$5:$H$304,MATCH($D63,lst_Profil,0))&lt;&gt;"",INDEX(Profile!$H$5:$H$304,MATCH($D63,lst_Profil,0)),$H$5),$H$5))</f>
        <v/>
      </c>
      <c r="T63" s="16" t="str">
        <f aca="false">IF(OR(Q63="",NOT(ISNUMBER(R63)),NOT(ISNUMBER(S63))),"",Q63-R63-S63)</f>
        <v/>
      </c>
      <c r="U63" s="26" t="str">
        <f aca="false">IF(OR($D63="",$E63=""),"",IF(COUNTIFS(Preise!$A$5:$A$304,$D63,Preise!$B$5:$B$304,$E63,Preise!$I$5:$I$304,"OK")&gt;0,"ja","nein"))</f>
        <v/>
      </c>
      <c r="V63" s="15" t="str">
        <f aca="false">IF(OR(M63="",$E63="",$C$8=""),"",IF(_xlfn.MINIFS(Schneiddaten!$C$5:$C$304,Schneiddaten!$A$5:$A$304,$C$8,Schneiddaten!$B$5:$B$304,$E63,Schneiddaten!$C$5:$C$304,"&gt;="&amp;M63)=0,"",SUMIFS(Schneiddaten!$D$5:$D$304,Schneiddaten!$A$5:$A$304,$C$8,Schneiddaten!$B$5:$B$304,$E63,Schneiddaten!$C$5:$C$304,_xlfn.MINIFS(Schneiddaten!$C$5:$C$304,Schneiddaten!$A$5:$A$304,$C$8,Schneiddaten!$B$5:$B$304,$E63,Schneiddaten!$C$5:$C$304,"&gt;="&amp;M63))))</f>
        <v/>
      </c>
      <c r="W63" s="26" t="str">
        <f aca="false">IF(AND($D63="",$E63="",$F63="",$G63=""),"",IF(ISNA(MATCH($D63,lst_Profil,0)),"FEHLER: Profil unbekannt",IF(ISNA(MATCH($E63,lst_Werkstoff,0)),"FEHLER: Werkstoff unbekannt",IF(NOT(ISNUMBER(L63)),"FEHLER: Querschnitt fehlt (Profil)",IF(OR($F63="",$F63&lt;=0),"FEHLER: Teilelänge fehlt",IF(OR($G63="",$G63&lt;1),"FEHLER: Stückzahl fehlt",IF(NOT(ISNUMBER($H$4)),"FEHLER: Maschine fehlt/unbekannt",IF(Q63&gt;$H$7,"FEHLER: Stange länger als Maschine zulässt",IF($F63+$H$6&gt;T63,"FEHLER: Teil länger als Nutzlänge",IF(U63="nein","WARNUNG: kein gültiger Materialpreis",IF($H63="","HINWEIS: Schneidweg fehlt",IF(V63="","HINWEIS: keine Schneiddaten",IF(AND($AF63&lt;&gt;"",$AG63=""),"HINWEIS: Gewinde-Vorschlag prüfen","OK")))))))))))))</f>
        <v/>
      </c>
      <c r="X63" s="18" t="str">
        <f aca="false">IF(OR(O63="",$G63=""),"",O63*$G63)</f>
        <v/>
      </c>
      <c r="Y63" s="10"/>
      <c r="Z63" s="21"/>
      <c r="AA63" s="10"/>
      <c r="AB63" s="21"/>
      <c r="AC63" s="21"/>
      <c r="AD63" s="21"/>
      <c r="AE63" s="10"/>
      <c r="AF63" s="10"/>
      <c r="AG63" s="10"/>
      <c r="AH63" s="22"/>
      <c r="AI63" s="21"/>
      <c r="AJ63" s="22"/>
      <c r="AK63" s="21"/>
      <c r="AL63" s="22"/>
      <c r="AM63" s="21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21"/>
      <c r="G64" s="19"/>
      <c r="H64" s="21"/>
      <c r="I64" s="22"/>
      <c r="J64" s="19"/>
      <c r="K64" s="23" t="str">
        <f aca="false">IF($D64="","",IFERROR(INDEX(Profile!$B$5:$B$304,MATCH($D64,lst_Profil,0)),""))</f>
        <v/>
      </c>
      <c r="L64" s="13" t="str">
        <f aca="false">IF($D64="","",IFERROR(INDEX(Profile!$K$5:$K$304,MATCH($D64,lst_Profil,0))+0,""))</f>
        <v/>
      </c>
      <c r="M64" s="24" t="str">
        <f aca="false">IF($D64="","",IFERROR(INDEX(Profile!$E$5:$E$304,MATCH($D64,lst_Profil,0))+0,""))</f>
        <v/>
      </c>
      <c r="N64" s="25" t="str">
        <f aca="false">IF(OR(L64="",$E64=""),"",IFERROR(L64*INDEX(Werkstoffe!$E$5:$E$304,MATCH($E64,lst_Werkstoff,0))/1000,""))</f>
        <v/>
      </c>
      <c r="O64" s="25" t="str">
        <f aca="false">IF(OR(N64="",$F64=""),"",N64*$F64/1000)</f>
        <v/>
      </c>
      <c r="P64" s="16" t="str">
        <f aca="false">IF(OR($F64="",$G64=""),"",$F64*$G64)</f>
        <v/>
      </c>
      <c r="Q64" s="16" t="str">
        <f aca="false">IF($D64="","",IF($J64&lt;&gt;"",$J64,$C$9))</f>
        <v/>
      </c>
      <c r="R64" s="12" t="str">
        <f aca="false">IF($D64="","",IFERROR(IF(INDEX(Profile!$G$5:$G$304,MATCH($D64,lst_Profil,0))&lt;&gt;"",INDEX(Profile!$G$5:$G$304,MATCH($D64,lst_Profil,0)),$H$4),$H$4))</f>
        <v/>
      </c>
      <c r="S64" s="12" t="str">
        <f aca="false">IF($D64="","",IFERROR(IF(INDEX(Profile!$H$5:$H$304,MATCH($D64,lst_Profil,0))&lt;&gt;"",INDEX(Profile!$H$5:$H$304,MATCH($D64,lst_Profil,0)),$H$5),$H$5))</f>
        <v/>
      </c>
      <c r="T64" s="16" t="str">
        <f aca="false">IF(OR(Q64="",NOT(ISNUMBER(R64)),NOT(ISNUMBER(S64))),"",Q64-R64-S64)</f>
        <v/>
      </c>
      <c r="U64" s="26" t="str">
        <f aca="false">IF(OR($D64="",$E64=""),"",IF(COUNTIFS(Preise!$A$5:$A$304,$D64,Preise!$B$5:$B$304,$E64,Preise!$I$5:$I$304,"OK")&gt;0,"ja","nein"))</f>
        <v/>
      </c>
      <c r="V64" s="15" t="str">
        <f aca="false">IF(OR(M64="",$E64="",$C$8=""),"",IF(_xlfn.MINIFS(Schneiddaten!$C$5:$C$304,Schneiddaten!$A$5:$A$304,$C$8,Schneiddaten!$B$5:$B$304,$E64,Schneiddaten!$C$5:$C$304,"&gt;="&amp;M64)=0,"",SUMIFS(Schneiddaten!$D$5:$D$304,Schneiddaten!$A$5:$A$304,$C$8,Schneiddaten!$B$5:$B$304,$E64,Schneiddaten!$C$5:$C$304,_xlfn.MINIFS(Schneiddaten!$C$5:$C$304,Schneiddaten!$A$5:$A$304,$C$8,Schneiddaten!$B$5:$B$304,$E64,Schneiddaten!$C$5:$C$304,"&gt;="&amp;M64))))</f>
        <v/>
      </c>
      <c r="W64" s="26" t="str">
        <f aca="false">IF(AND($D64="",$E64="",$F64="",$G64=""),"",IF(ISNA(MATCH($D64,lst_Profil,0)),"FEHLER: Profil unbekannt",IF(ISNA(MATCH($E64,lst_Werkstoff,0)),"FEHLER: Werkstoff unbekannt",IF(NOT(ISNUMBER(L64)),"FEHLER: Querschnitt fehlt (Profil)",IF(OR($F64="",$F64&lt;=0),"FEHLER: Teilelänge fehlt",IF(OR($G64="",$G64&lt;1),"FEHLER: Stückzahl fehlt",IF(NOT(ISNUMBER($H$4)),"FEHLER: Maschine fehlt/unbekannt",IF(Q64&gt;$H$7,"FEHLER: Stange länger als Maschine zulässt",IF($F64+$H$6&gt;T64,"FEHLER: Teil länger als Nutzlänge",IF(U64="nein","WARNUNG: kein gültiger Materialpreis",IF($H64="","HINWEIS: Schneidweg fehlt",IF(V64="","HINWEIS: keine Schneiddaten",IF(AND($AF64&lt;&gt;"",$AG64=""),"HINWEIS: Gewinde-Vorschlag prüfen","OK")))))))))))))</f>
        <v/>
      </c>
      <c r="X64" s="18" t="str">
        <f aca="false">IF(OR(O64="",$G64=""),"",O64*$G64)</f>
        <v/>
      </c>
      <c r="Y64" s="10"/>
      <c r="Z64" s="21"/>
      <c r="AA64" s="10"/>
      <c r="AB64" s="21"/>
      <c r="AC64" s="21"/>
      <c r="AD64" s="21"/>
      <c r="AE64" s="10"/>
      <c r="AF64" s="10"/>
      <c r="AG64" s="10"/>
      <c r="AH64" s="22"/>
      <c r="AI64" s="21"/>
      <c r="AJ64" s="22"/>
      <c r="AK64" s="21"/>
      <c r="AL64" s="22"/>
      <c r="AM64" s="21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21"/>
      <c r="G65" s="19"/>
      <c r="H65" s="21"/>
      <c r="I65" s="22"/>
      <c r="J65" s="19"/>
      <c r="K65" s="23" t="str">
        <f aca="false">IF($D65="","",IFERROR(INDEX(Profile!$B$5:$B$304,MATCH($D65,lst_Profil,0)),""))</f>
        <v/>
      </c>
      <c r="L65" s="13" t="str">
        <f aca="false">IF($D65="","",IFERROR(INDEX(Profile!$K$5:$K$304,MATCH($D65,lst_Profil,0))+0,""))</f>
        <v/>
      </c>
      <c r="M65" s="24" t="str">
        <f aca="false">IF($D65="","",IFERROR(INDEX(Profile!$E$5:$E$304,MATCH($D65,lst_Profil,0))+0,""))</f>
        <v/>
      </c>
      <c r="N65" s="25" t="str">
        <f aca="false">IF(OR(L65="",$E65=""),"",IFERROR(L65*INDEX(Werkstoffe!$E$5:$E$304,MATCH($E65,lst_Werkstoff,0))/1000,""))</f>
        <v/>
      </c>
      <c r="O65" s="25" t="str">
        <f aca="false">IF(OR(N65="",$F65=""),"",N65*$F65/1000)</f>
        <v/>
      </c>
      <c r="P65" s="16" t="str">
        <f aca="false">IF(OR($F65="",$G65=""),"",$F65*$G65)</f>
        <v/>
      </c>
      <c r="Q65" s="16" t="str">
        <f aca="false">IF($D65="","",IF($J65&lt;&gt;"",$J65,$C$9))</f>
        <v/>
      </c>
      <c r="R65" s="12" t="str">
        <f aca="false">IF($D65="","",IFERROR(IF(INDEX(Profile!$G$5:$G$304,MATCH($D65,lst_Profil,0))&lt;&gt;"",INDEX(Profile!$G$5:$G$304,MATCH($D65,lst_Profil,0)),$H$4),$H$4))</f>
        <v/>
      </c>
      <c r="S65" s="12" t="str">
        <f aca="false">IF($D65="","",IFERROR(IF(INDEX(Profile!$H$5:$H$304,MATCH($D65,lst_Profil,0))&lt;&gt;"",INDEX(Profile!$H$5:$H$304,MATCH($D65,lst_Profil,0)),$H$5),$H$5))</f>
        <v/>
      </c>
      <c r="T65" s="16" t="str">
        <f aca="false">IF(OR(Q65="",NOT(ISNUMBER(R65)),NOT(ISNUMBER(S65))),"",Q65-R65-S65)</f>
        <v/>
      </c>
      <c r="U65" s="26" t="str">
        <f aca="false">IF(OR($D65="",$E65=""),"",IF(COUNTIFS(Preise!$A$5:$A$304,$D65,Preise!$B$5:$B$304,$E65,Preise!$I$5:$I$304,"OK")&gt;0,"ja","nein"))</f>
        <v/>
      </c>
      <c r="V65" s="15" t="str">
        <f aca="false">IF(OR(M65="",$E65="",$C$8=""),"",IF(_xlfn.MINIFS(Schneiddaten!$C$5:$C$304,Schneiddaten!$A$5:$A$304,$C$8,Schneiddaten!$B$5:$B$304,$E65,Schneiddaten!$C$5:$C$304,"&gt;="&amp;M65)=0,"",SUMIFS(Schneiddaten!$D$5:$D$304,Schneiddaten!$A$5:$A$304,$C$8,Schneiddaten!$B$5:$B$304,$E65,Schneiddaten!$C$5:$C$304,_xlfn.MINIFS(Schneiddaten!$C$5:$C$304,Schneiddaten!$A$5:$A$304,$C$8,Schneiddaten!$B$5:$B$304,$E65,Schneiddaten!$C$5:$C$304,"&gt;="&amp;M65))))</f>
        <v/>
      </c>
      <c r="W65" s="26" t="str">
        <f aca="false">IF(AND($D65="",$E65="",$F65="",$G65=""),"",IF(ISNA(MATCH($D65,lst_Profil,0)),"FEHLER: Profil unbekannt",IF(ISNA(MATCH($E65,lst_Werkstoff,0)),"FEHLER: Werkstoff unbekannt",IF(NOT(ISNUMBER(L65)),"FEHLER: Querschnitt fehlt (Profil)",IF(OR($F65="",$F65&lt;=0),"FEHLER: Teilelänge fehlt",IF(OR($G65="",$G65&lt;1),"FEHLER: Stückzahl fehlt",IF(NOT(ISNUMBER($H$4)),"FEHLER: Maschine fehlt/unbekannt",IF(Q65&gt;$H$7,"FEHLER: Stange länger als Maschine zulässt",IF($F65+$H$6&gt;T65,"FEHLER: Teil länger als Nutzlänge",IF(U65="nein","WARNUNG: kein gültiger Materialpreis",IF($H65="","HINWEIS: Schneidweg fehlt",IF(V65="","HINWEIS: keine Schneiddaten",IF(AND($AF65&lt;&gt;"",$AG65=""),"HINWEIS: Gewinde-Vorschlag prüfen","OK")))))))))))))</f>
        <v/>
      </c>
      <c r="X65" s="18" t="str">
        <f aca="false">IF(OR(O65="",$G65=""),"",O65*$G65)</f>
        <v/>
      </c>
      <c r="Y65" s="10"/>
      <c r="Z65" s="21"/>
      <c r="AA65" s="10"/>
      <c r="AB65" s="21"/>
      <c r="AC65" s="21"/>
      <c r="AD65" s="21"/>
      <c r="AE65" s="10"/>
      <c r="AF65" s="10"/>
      <c r="AG65" s="10"/>
      <c r="AH65" s="22"/>
      <c r="AI65" s="21"/>
      <c r="AJ65" s="22"/>
      <c r="AK65" s="21"/>
      <c r="AL65" s="22"/>
      <c r="AM65" s="21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21"/>
      <c r="G66" s="19"/>
      <c r="H66" s="21"/>
      <c r="I66" s="22"/>
      <c r="J66" s="19"/>
      <c r="K66" s="23" t="str">
        <f aca="false">IF($D66="","",IFERROR(INDEX(Profile!$B$5:$B$304,MATCH($D66,lst_Profil,0)),""))</f>
        <v/>
      </c>
      <c r="L66" s="13" t="str">
        <f aca="false">IF($D66="","",IFERROR(INDEX(Profile!$K$5:$K$304,MATCH($D66,lst_Profil,0))+0,""))</f>
        <v/>
      </c>
      <c r="M66" s="24" t="str">
        <f aca="false">IF($D66="","",IFERROR(INDEX(Profile!$E$5:$E$304,MATCH($D66,lst_Profil,0))+0,""))</f>
        <v/>
      </c>
      <c r="N66" s="25" t="str">
        <f aca="false">IF(OR(L66="",$E66=""),"",IFERROR(L66*INDEX(Werkstoffe!$E$5:$E$304,MATCH($E66,lst_Werkstoff,0))/1000,""))</f>
        <v/>
      </c>
      <c r="O66" s="25" t="str">
        <f aca="false">IF(OR(N66="",$F66=""),"",N66*$F66/1000)</f>
        <v/>
      </c>
      <c r="P66" s="16" t="str">
        <f aca="false">IF(OR($F66="",$G66=""),"",$F66*$G66)</f>
        <v/>
      </c>
      <c r="Q66" s="16" t="str">
        <f aca="false">IF($D66="","",IF($J66&lt;&gt;"",$J66,$C$9))</f>
        <v/>
      </c>
      <c r="R66" s="12" t="str">
        <f aca="false">IF($D66="","",IFERROR(IF(INDEX(Profile!$G$5:$G$304,MATCH($D66,lst_Profil,0))&lt;&gt;"",INDEX(Profile!$G$5:$G$304,MATCH($D66,lst_Profil,0)),$H$4),$H$4))</f>
        <v/>
      </c>
      <c r="S66" s="12" t="str">
        <f aca="false">IF($D66="","",IFERROR(IF(INDEX(Profile!$H$5:$H$304,MATCH($D66,lst_Profil,0))&lt;&gt;"",INDEX(Profile!$H$5:$H$304,MATCH($D66,lst_Profil,0)),$H$5),$H$5))</f>
        <v/>
      </c>
      <c r="T66" s="16" t="str">
        <f aca="false">IF(OR(Q66="",NOT(ISNUMBER(R66)),NOT(ISNUMBER(S66))),"",Q66-R66-S66)</f>
        <v/>
      </c>
      <c r="U66" s="26" t="str">
        <f aca="false">IF(OR($D66="",$E66=""),"",IF(COUNTIFS(Preise!$A$5:$A$304,$D66,Preise!$B$5:$B$304,$E66,Preise!$I$5:$I$304,"OK")&gt;0,"ja","nein"))</f>
        <v/>
      </c>
      <c r="V66" s="15" t="str">
        <f aca="false">IF(OR(M66="",$E66="",$C$8=""),"",IF(_xlfn.MINIFS(Schneiddaten!$C$5:$C$304,Schneiddaten!$A$5:$A$304,$C$8,Schneiddaten!$B$5:$B$304,$E66,Schneiddaten!$C$5:$C$304,"&gt;="&amp;M66)=0,"",SUMIFS(Schneiddaten!$D$5:$D$304,Schneiddaten!$A$5:$A$304,$C$8,Schneiddaten!$B$5:$B$304,$E66,Schneiddaten!$C$5:$C$304,_xlfn.MINIFS(Schneiddaten!$C$5:$C$304,Schneiddaten!$A$5:$A$304,$C$8,Schneiddaten!$B$5:$B$304,$E66,Schneiddaten!$C$5:$C$304,"&gt;="&amp;M66))))</f>
        <v/>
      </c>
      <c r="W66" s="26" t="str">
        <f aca="false">IF(AND($D66="",$E66="",$F66="",$G66=""),"",IF(ISNA(MATCH($D66,lst_Profil,0)),"FEHLER: Profil unbekannt",IF(ISNA(MATCH($E66,lst_Werkstoff,0)),"FEHLER: Werkstoff unbekannt",IF(NOT(ISNUMBER(L66)),"FEHLER: Querschnitt fehlt (Profil)",IF(OR($F66="",$F66&lt;=0),"FEHLER: Teilelänge fehlt",IF(OR($G66="",$G66&lt;1),"FEHLER: Stückzahl fehlt",IF(NOT(ISNUMBER($H$4)),"FEHLER: Maschine fehlt/unbekannt",IF(Q66&gt;$H$7,"FEHLER: Stange länger als Maschine zulässt",IF($F66+$H$6&gt;T66,"FEHLER: Teil länger als Nutzlänge",IF(U66="nein","WARNUNG: kein gültiger Materialpreis",IF($H66="","HINWEIS: Schneidweg fehlt",IF(V66="","HINWEIS: keine Schneiddaten",IF(AND($AF66&lt;&gt;"",$AG66=""),"HINWEIS: Gewinde-Vorschlag prüfen","OK")))))))))))))</f>
        <v/>
      </c>
      <c r="X66" s="18" t="str">
        <f aca="false">IF(OR(O66="",$G66=""),"",O66*$G66)</f>
        <v/>
      </c>
      <c r="Y66" s="10"/>
      <c r="Z66" s="21"/>
      <c r="AA66" s="10"/>
      <c r="AB66" s="21"/>
      <c r="AC66" s="21"/>
      <c r="AD66" s="21"/>
      <c r="AE66" s="10"/>
      <c r="AF66" s="10"/>
      <c r="AG66" s="10"/>
      <c r="AH66" s="22"/>
      <c r="AI66" s="21"/>
      <c r="AJ66" s="22"/>
      <c r="AK66" s="21"/>
      <c r="AL66" s="22"/>
      <c r="AM66" s="21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21"/>
      <c r="G67" s="19"/>
      <c r="H67" s="21"/>
      <c r="I67" s="22"/>
      <c r="J67" s="19"/>
      <c r="K67" s="23" t="str">
        <f aca="false">IF($D67="","",IFERROR(INDEX(Profile!$B$5:$B$304,MATCH($D67,lst_Profil,0)),""))</f>
        <v/>
      </c>
      <c r="L67" s="13" t="str">
        <f aca="false">IF($D67="","",IFERROR(INDEX(Profile!$K$5:$K$304,MATCH($D67,lst_Profil,0))+0,""))</f>
        <v/>
      </c>
      <c r="M67" s="24" t="str">
        <f aca="false">IF($D67="","",IFERROR(INDEX(Profile!$E$5:$E$304,MATCH($D67,lst_Profil,0))+0,""))</f>
        <v/>
      </c>
      <c r="N67" s="25" t="str">
        <f aca="false">IF(OR(L67="",$E67=""),"",IFERROR(L67*INDEX(Werkstoffe!$E$5:$E$304,MATCH($E67,lst_Werkstoff,0))/1000,""))</f>
        <v/>
      </c>
      <c r="O67" s="25" t="str">
        <f aca="false">IF(OR(N67="",$F67=""),"",N67*$F67/1000)</f>
        <v/>
      </c>
      <c r="P67" s="16" t="str">
        <f aca="false">IF(OR($F67="",$G67=""),"",$F67*$G67)</f>
        <v/>
      </c>
      <c r="Q67" s="16" t="str">
        <f aca="false">IF($D67="","",IF($J67&lt;&gt;"",$J67,$C$9))</f>
        <v/>
      </c>
      <c r="R67" s="12" t="str">
        <f aca="false">IF($D67="","",IFERROR(IF(INDEX(Profile!$G$5:$G$304,MATCH($D67,lst_Profil,0))&lt;&gt;"",INDEX(Profile!$G$5:$G$304,MATCH($D67,lst_Profil,0)),$H$4),$H$4))</f>
        <v/>
      </c>
      <c r="S67" s="12" t="str">
        <f aca="false">IF($D67="","",IFERROR(IF(INDEX(Profile!$H$5:$H$304,MATCH($D67,lst_Profil,0))&lt;&gt;"",INDEX(Profile!$H$5:$H$304,MATCH($D67,lst_Profil,0)),$H$5),$H$5))</f>
        <v/>
      </c>
      <c r="T67" s="16" t="str">
        <f aca="false">IF(OR(Q67="",NOT(ISNUMBER(R67)),NOT(ISNUMBER(S67))),"",Q67-R67-S67)</f>
        <v/>
      </c>
      <c r="U67" s="26" t="str">
        <f aca="false">IF(OR($D67="",$E67=""),"",IF(COUNTIFS(Preise!$A$5:$A$304,$D67,Preise!$B$5:$B$304,$E67,Preise!$I$5:$I$304,"OK")&gt;0,"ja","nein"))</f>
        <v/>
      </c>
      <c r="V67" s="15" t="str">
        <f aca="false">IF(OR(M67="",$E67="",$C$8=""),"",IF(_xlfn.MINIFS(Schneiddaten!$C$5:$C$304,Schneiddaten!$A$5:$A$304,$C$8,Schneiddaten!$B$5:$B$304,$E67,Schneiddaten!$C$5:$C$304,"&gt;="&amp;M67)=0,"",SUMIFS(Schneiddaten!$D$5:$D$304,Schneiddaten!$A$5:$A$304,$C$8,Schneiddaten!$B$5:$B$304,$E67,Schneiddaten!$C$5:$C$304,_xlfn.MINIFS(Schneiddaten!$C$5:$C$304,Schneiddaten!$A$5:$A$304,$C$8,Schneiddaten!$B$5:$B$304,$E67,Schneiddaten!$C$5:$C$304,"&gt;="&amp;M67))))</f>
        <v/>
      </c>
      <c r="W67" s="26" t="str">
        <f aca="false">IF(AND($D67="",$E67="",$F67="",$G67=""),"",IF(ISNA(MATCH($D67,lst_Profil,0)),"FEHLER: Profil unbekannt",IF(ISNA(MATCH($E67,lst_Werkstoff,0)),"FEHLER: Werkstoff unbekannt",IF(NOT(ISNUMBER(L67)),"FEHLER: Querschnitt fehlt (Profil)",IF(OR($F67="",$F67&lt;=0),"FEHLER: Teilelänge fehlt",IF(OR($G67="",$G67&lt;1),"FEHLER: Stückzahl fehlt",IF(NOT(ISNUMBER($H$4)),"FEHLER: Maschine fehlt/unbekannt",IF(Q67&gt;$H$7,"FEHLER: Stange länger als Maschine zulässt",IF($F67+$H$6&gt;T67,"FEHLER: Teil länger als Nutzlänge",IF(U67="nein","WARNUNG: kein gültiger Materialpreis",IF($H67="","HINWEIS: Schneidweg fehlt",IF(V67="","HINWEIS: keine Schneiddaten",IF(AND($AF67&lt;&gt;"",$AG67=""),"HINWEIS: Gewinde-Vorschlag prüfen","OK")))))))))))))</f>
        <v/>
      </c>
      <c r="X67" s="18" t="str">
        <f aca="false">IF(OR(O67="",$G67=""),"",O67*$G67)</f>
        <v/>
      </c>
      <c r="Y67" s="10"/>
      <c r="Z67" s="21"/>
      <c r="AA67" s="10"/>
      <c r="AB67" s="21"/>
      <c r="AC67" s="21"/>
      <c r="AD67" s="21"/>
      <c r="AE67" s="10"/>
      <c r="AF67" s="10"/>
      <c r="AG67" s="10"/>
      <c r="AH67" s="22"/>
      <c r="AI67" s="21"/>
      <c r="AJ67" s="22"/>
      <c r="AK67" s="21"/>
      <c r="AL67" s="22"/>
      <c r="AM67" s="21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21"/>
      <c r="G68" s="19"/>
      <c r="H68" s="21"/>
      <c r="I68" s="22"/>
      <c r="J68" s="19"/>
      <c r="K68" s="23" t="str">
        <f aca="false">IF($D68="","",IFERROR(INDEX(Profile!$B$5:$B$304,MATCH($D68,lst_Profil,0)),""))</f>
        <v/>
      </c>
      <c r="L68" s="13" t="str">
        <f aca="false">IF($D68="","",IFERROR(INDEX(Profile!$K$5:$K$304,MATCH($D68,lst_Profil,0))+0,""))</f>
        <v/>
      </c>
      <c r="M68" s="24" t="str">
        <f aca="false">IF($D68="","",IFERROR(INDEX(Profile!$E$5:$E$304,MATCH($D68,lst_Profil,0))+0,""))</f>
        <v/>
      </c>
      <c r="N68" s="25" t="str">
        <f aca="false">IF(OR(L68="",$E68=""),"",IFERROR(L68*INDEX(Werkstoffe!$E$5:$E$304,MATCH($E68,lst_Werkstoff,0))/1000,""))</f>
        <v/>
      </c>
      <c r="O68" s="25" t="str">
        <f aca="false">IF(OR(N68="",$F68=""),"",N68*$F68/1000)</f>
        <v/>
      </c>
      <c r="P68" s="16" t="str">
        <f aca="false">IF(OR($F68="",$G68=""),"",$F68*$G68)</f>
        <v/>
      </c>
      <c r="Q68" s="16" t="str">
        <f aca="false">IF($D68="","",IF($J68&lt;&gt;"",$J68,$C$9))</f>
        <v/>
      </c>
      <c r="R68" s="12" t="str">
        <f aca="false">IF($D68="","",IFERROR(IF(INDEX(Profile!$G$5:$G$304,MATCH($D68,lst_Profil,0))&lt;&gt;"",INDEX(Profile!$G$5:$G$304,MATCH($D68,lst_Profil,0)),$H$4),$H$4))</f>
        <v/>
      </c>
      <c r="S68" s="12" t="str">
        <f aca="false">IF($D68="","",IFERROR(IF(INDEX(Profile!$H$5:$H$304,MATCH($D68,lst_Profil,0))&lt;&gt;"",INDEX(Profile!$H$5:$H$304,MATCH($D68,lst_Profil,0)),$H$5),$H$5))</f>
        <v/>
      </c>
      <c r="T68" s="16" t="str">
        <f aca="false">IF(OR(Q68="",NOT(ISNUMBER(R68)),NOT(ISNUMBER(S68))),"",Q68-R68-S68)</f>
        <v/>
      </c>
      <c r="U68" s="26" t="str">
        <f aca="false">IF(OR($D68="",$E68=""),"",IF(COUNTIFS(Preise!$A$5:$A$304,$D68,Preise!$B$5:$B$304,$E68,Preise!$I$5:$I$304,"OK")&gt;0,"ja","nein"))</f>
        <v/>
      </c>
      <c r="V68" s="15" t="str">
        <f aca="false">IF(OR(M68="",$E68="",$C$8=""),"",IF(_xlfn.MINIFS(Schneiddaten!$C$5:$C$304,Schneiddaten!$A$5:$A$304,$C$8,Schneiddaten!$B$5:$B$304,$E68,Schneiddaten!$C$5:$C$304,"&gt;="&amp;M68)=0,"",SUMIFS(Schneiddaten!$D$5:$D$304,Schneiddaten!$A$5:$A$304,$C$8,Schneiddaten!$B$5:$B$304,$E68,Schneiddaten!$C$5:$C$304,_xlfn.MINIFS(Schneiddaten!$C$5:$C$304,Schneiddaten!$A$5:$A$304,$C$8,Schneiddaten!$B$5:$B$304,$E68,Schneiddaten!$C$5:$C$304,"&gt;="&amp;M68))))</f>
        <v/>
      </c>
      <c r="W68" s="26" t="str">
        <f aca="false">IF(AND($D68="",$E68="",$F68="",$G68=""),"",IF(ISNA(MATCH($D68,lst_Profil,0)),"FEHLER: Profil unbekannt",IF(ISNA(MATCH($E68,lst_Werkstoff,0)),"FEHLER: Werkstoff unbekannt",IF(NOT(ISNUMBER(L68)),"FEHLER: Querschnitt fehlt (Profil)",IF(OR($F68="",$F68&lt;=0),"FEHLER: Teilelänge fehlt",IF(OR($G68="",$G68&lt;1),"FEHLER: Stückzahl fehlt",IF(NOT(ISNUMBER($H$4)),"FEHLER: Maschine fehlt/unbekannt",IF(Q68&gt;$H$7,"FEHLER: Stange länger als Maschine zulässt",IF($F68+$H$6&gt;T68,"FEHLER: Teil länger als Nutzlänge",IF(U68="nein","WARNUNG: kein gültiger Materialpreis",IF($H68="","HINWEIS: Schneidweg fehlt",IF(V68="","HINWEIS: keine Schneiddaten",IF(AND($AF68&lt;&gt;"",$AG68=""),"HINWEIS: Gewinde-Vorschlag prüfen","OK")))))))))))))</f>
        <v/>
      </c>
      <c r="X68" s="18" t="str">
        <f aca="false">IF(OR(O68="",$G68=""),"",O68*$G68)</f>
        <v/>
      </c>
      <c r="Y68" s="10"/>
      <c r="Z68" s="21"/>
      <c r="AA68" s="10"/>
      <c r="AB68" s="21"/>
      <c r="AC68" s="21"/>
      <c r="AD68" s="21"/>
      <c r="AE68" s="10"/>
      <c r="AF68" s="10"/>
      <c r="AG68" s="10"/>
      <c r="AH68" s="22"/>
      <c r="AI68" s="21"/>
      <c r="AJ68" s="22"/>
      <c r="AK68" s="21"/>
      <c r="AL68" s="22"/>
      <c r="AM68" s="21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21"/>
      <c r="G69" s="19"/>
      <c r="H69" s="21"/>
      <c r="I69" s="22"/>
      <c r="J69" s="19"/>
      <c r="K69" s="23" t="str">
        <f aca="false">IF($D69="","",IFERROR(INDEX(Profile!$B$5:$B$304,MATCH($D69,lst_Profil,0)),""))</f>
        <v/>
      </c>
      <c r="L69" s="13" t="str">
        <f aca="false">IF($D69="","",IFERROR(INDEX(Profile!$K$5:$K$304,MATCH($D69,lst_Profil,0))+0,""))</f>
        <v/>
      </c>
      <c r="M69" s="24" t="str">
        <f aca="false">IF($D69="","",IFERROR(INDEX(Profile!$E$5:$E$304,MATCH($D69,lst_Profil,0))+0,""))</f>
        <v/>
      </c>
      <c r="N69" s="25" t="str">
        <f aca="false">IF(OR(L69="",$E69=""),"",IFERROR(L69*INDEX(Werkstoffe!$E$5:$E$304,MATCH($E69,lst_Werkstoff,0))/1000,""))</f>
        <v/>
      </c>
      <c r="O69" s="25" t="str">
        <f aca="false">IF(OR(N69="",$F69=""),"",N69*$F69/1000)</f>
        <v/>
      </c>
      <c r="P69" s="16" t="str">
        <f aca="false">IF(OR($F69="",$G69=""),"",$F69*$G69)</f>
        <v/>
      </c>
      <c r="Q69" s="16" t="str">
        <f aca="false">IF($D69="","",IF($J69&lt;&gt;"",$J69,$C$9))</f>
        <v/>
      </c>
      <c r="R69" s="12" t="str">
        <f aca="false">IF($D69="","",IFERROR(IF(INDEX(Profile!$G$5:$G$304,MATCH($D69,lst_Profil,0))&lt;&gt;"",INDEX(Profile!$G$5:$G$304,MATCH($D69,lst_Profil,0)),$H$4),$H$4))</f>
        <v/>
      </c>
      <c r="S69" s="12" t="str">
        <f aca="false">IF($D69="","",IFERROR(IF(INDEX(Profile!$H$5:$H$304,MATCH($D69,lst_Profil,0))&lt;&gt;"",INDEX(Profile!$H$5:$H$304,MATCH($D69,lst_Profil,0)),$H$5),$H$5))</f>
        <v/>
      </c>
      <c r="T69" s="16" t="str">
        <f aca="false">IF(OR(Q69="",NOT(ISNUMBER(R69)),NOT(ISNUMBER(S69))),"",Q69-R69-S69)</f>
        <v/>
      </c>
      <c r="U69" s="26" t="str">
        <f aca="false">IF(OR($D69="",$E69=""),"",IF(COUNTIFS(Preise!$A$5:$A$304,$D69,Preise!$B$5:$B$304,$E69,Preise!$I$5:$I$304,"OK")&gt;0,"ja","nein"))</f>
        <v/>
      </c>
      <c r="V69" s="15" t="str">
        <f aca="false">IF(OR(M69="",$E69="",$C$8=""),"",IF(_xlfn.MINIFS(Schneiddaten!$C$5:$C$304,Schneiddaten!$A$5:$A$304,$C$8,Schneiddaten!$B$5:$B$304,$E69,Schneiddaten!$C$5:$C$304,"&gt;="&amp;M69)=0,"",SUMIFS(Schneiddaten!$D$5:$D$304,Schneiddaten!$A$5:$A$304,$C$8,Schneiddaten!$B$5:$B$304,$E69,Schneiddaten!$C$5:$C$304,_xlfn.MINIFS(Schneiddaten!$C$5:$C$304,Schneiddaten!$A$5:$A$304,$C$8,Schneiddaten!$B$5:$B$304,$E69,Schneiddaten!$C$5:$C$304,"&gt;="&amp;M69))))</f>
        <v/>
      </c>
      <c r="W69" s="26" t="str">
        <f aca="false">IF(AND($D69="",$E69="",$F69="",$G69=""),"",IF(ISNA(MATCH($D69,lst_Profil,0)),"FEHLER: Profil unbekannt",IF(ISNA(MATCH($E69,lst_Werkstoff,0)),"FEHLER: Werkstoff unbekannt",IF(NOT(ISNUMBER(L69)),"FEHLER: Querschnitt fehlt (Profil)",IF(OR($F69="",$F69&lt;=0),"FEHLER: Teilelänge fehlt",IF(OR($G69="",$G69&lt;1),"FEHLER: Stückzahl fehlt",IF(NOT(ISNUMBER($H$4)),"FEHLER: Maschine fehlt/unbekannt",IF(Q69&gt;$H$7,"FEHLER: Stange länger als Maschine zulässt",IF($F69+$H$6&gt;T69,"FEHLER: Teil länger als Nutzlänge",IF(U69="nein","WARNUNG: kein gültiger Materialpreis",IF($H69="","HINWEIS: Schneidweg fehlt",IF(V69="","HINWEIS: keine Schneiddaten",IF(AND($AF69&lt;&gt;"",$AG69=""),"HINWEIS: Gewinde-Vorschlag prüfen","OK")))))))))))))</f>
        <v/>
      </c>
      <c r="X69" s="18" t="str">
        <f aca="false">IF(OR(O69="",$G69=""),"",O69*$G69)</f>
        <v/>
      </c>
      <c r="Y69" s="10"/>
      <c r="Z69" s="21"/>
      <c r="AA69" s="10"/>
      <c r="AB69" s="21"/>
      <c r="AC69" s="21"/>
      <c r="AD69" s="21"/>
      <c r="AE69" s="10"/>
      <c r="AF69" s="10"/>
      <c r="AG69" s="10"/>
      <c r="AH69" s="22"/>
      <c r="AI69" s="21"/>
      <c r="AJ69" s="22"/>
      <c r="AK69" s="21"/>
      <c r="AL69" s="22"/>
      <c r="AM69" s="21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21"/>
      <c r="G70" s="19"/>
      <c r="H70" s="21"/>
      <c r="I70" s="22"/>
      <c r="J70" s="19"/>
      <c r="K70" s="23" t="str">
        <f aca="false">IF($D70="","",IFERROR(INDEX(Profile!$B$5:$B$304,MATCH($D70,lst_Profil,0)),""))</f>
        <v/>
      </c>
      <c r="L70" s="13" t="str">
        <f aca="false">IF($D70="","",IFERROR(INDEX(Profile!$K$5:$K$304,MATCH($D70,lst_Profil,0))+0,""))</f>
        <v/>
      </c>
      <c r="M70" s="24" t="str">
        <f aca="false">IF($D70="","",IFERROR(INDEX(Profile!$E$5:$E$304,MATCH($D70,lst_Profil,0))+0,""))</f>
        <v/>
      </c>
      <c r="N70" s="25" t="str">
        <f aca="false">IF(OR(L70="",$E70=""),"",IFERROR(L70*INDEX(Werkstoffe!$E$5:$E$304,MATCH($E70,lst_Werkstoff,0))/1000,""))</f>
        <v/>
      </c>
      <c r="O70" s="25" t="str">
        <f aca="false">IF(OR(N70="",$F70=""),"",N70*$F70/1000)</f>
        <v/>
      </c>
      <c r="P70" s="16" t="str">
        <f aca="false">IF(OR($F70="",$G70=""),"",$F70*$G70)</f>
        <v/>
      </c>
      <c r="Q70" s="16" t="str">
        <f aca="false">IF($D70="","",IF($J70&lt;&gt;"",$J70,$C$9))</f>
        <v/>
      </c>
      <c r="R70" s="12" t="str">
        <f aca="false">IF($D70="","",IFERROR(IF(INDEX(Profile!$G$5:$G$304,MATCH($D70,lst_Profil,0))&lt;&gt;"",INDEX(Profile!$G$5:$G$304,MATCH($D70,lst_Profil,0)),$H$4),$H$4))</f>
        <v/>
      </c>
      <c r="S70" s="12" t="str">
        <f aca="false">IF($D70="","",IFERROR(IF(INDEX(Profile!$H$5:$H$304,MATCH($D70,lst_Profil,0))&lt;&gt;"",INDEX(Profile!$H$5:$H$304,MATCH($D70,lst_Profil,0)),$H$5),$H$5))</f>
        <v/>
      </c>
      <c r="T70" s="16" t="str">
        <f aca="false">IF(OR(Q70="",NOT(ISNUMBER(R70)),NOT(ISNUMBER(S70))),"",Q70-R70-S70)</f>
        <v/>
      </c>
      <c r="U70" s="26" t="str">
        <f aca="false">IF(OR($D70="",$E70=""),"",IF(COUNTIFS(Preise!$A$5:$A$304,$D70,Preise!$B$5:$B$304,$E70,Preise!$I$5:$I$304,"OK")&gt;0,"ja","nein"))</f>
        <v/>
      </c>
      <c r="V70" s="15" t="str">
        <f aca="false">IF(OR(M70="",$E70="",$C$8=""),"",IF(_xlfn.MINIFS(Schneiddaten!$C$5:$C$304,Schneiddaten!$A$5:$A$304,$C$8,Schneiddaten!$B$5:$B$304,$E70,Schneiddaten!$C$5:$C$304,"&gt;="&amp;M70)=0,"",SUMIFS(Schneiddaten!$D$5:$D$304,Schneiddaten!$A$5:$A$304,$C$8,Schneiddaten!$B$5:$B$304,$E70,Schneiddaten!$C$5:$C$304,_xlfn.MINIFS(Schneiddaten!$C$5:$C$304,Schneiddaten!$A$5:$A$304,$C$8,Schneiddaten!$B$5:$B$304,$E70,Schneiddaten!$C$5:$C$304,"&gt;="&amp;M70))))</f>
        <v/>
      </c>
      <c r="W70" s="26" t="str">
        <f aca="false">IF(AND($D70="",$E70="",$F70="",$G70=""),"",IF(ISNA(MATCH($D70,lst_Profil,0)),"FEHLER: Profil unbekannt",IF(ISNA(MATCH($E70,lst_Werkstoff,0)),"FEHLER: Werkstoff unbekannt",IF(NOT(ISNUMBER(L70)),"FEHLER: Querschnitt fehlt (Profil)",IF(OR($F70="",$F70&lt;=0),"FEHLER: Teilelänge fehlt",IF(OR($G70="",$G70&lt;1),"FEHLER: Stückzahl fehlt",IF(NOT(ISNUMBER($H$4)),"FEHLER: Maschine fehlt/unbekannt",IF(Q70&gt;$H$7,"FEHLER: Stange länger als Maschine zulässt",IF($F70+$H$6&gt;T70,"FEHLER: Teil länger als Nutzlänge",IF(U70="nein","WARNUNG: kein gültiger Materialpreis",IF($H70="","HINWEIS: Schneidweg fehlt",IF(V70="","HINWEIS: keine Schneiddaten",IF(AND($AF70&lt;&gt;"",$AG70=""),"HINWEIS: Gewinde-Vorschlag prüfen","OK")))))))))))))</f>
        <v/>
      </c>
      <c r="X70" s="18" t="str">
        <f aca="false">IF(OR(O70="",$G70=""),"",O70*$G70)</f>
        <v/>
      </c>
      <c r="Y70" s="10"/>
      <c r="Z70" s="21"/>
      <c r="AA70" s="10"/>
      <c r="AB70" s="21"/>
      <c r="AC70" s="21"/>
      <c r="AD70" s="21"/>
      <c r="AE70" s="10"/>
      <c r="AF70" s="10"/>
      <c r="AG70" s="10"/>
      <c r="AH70" s="22"/>
      <c r="AI70" s="21"/>
      <c r="AJ70" s="22"/>
      <c r="AK70" s="21"/>
      <c r="AL70" s="22"/>
      <c r="AM70" s="21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21"/>
      <c r="G71" s="19"/>
      <c r="H71" s="21"/>
      <c r="I71" s="22"/>
      <c r="J71" s="19"/>
      <c r="K71" s="23" t="str">
        <f aca="false">IF($D71="","",IFERROR(INDEX(Profile!$B$5:$B$304,MATCH($D71,lst_Profil,0)),""))</f>
        <v/>
      </c>
      <c r="L71" s="13" t="str">
        <f aca="false">IF($D71="","",IFERROR(INDEX(Profile!$K$5:$K$304,MATCH($D71,lst_Profil,0))+0,""))</f>
        <v/>
      </c>
      <c r="M71" s="24" t="str">
        <f aca="false">IF($D71="","",IFERROR(INDEX(Profile!$E$5:$E$304,MATCH($D71,lst_Profil,0))+0,""))</f>
        <v/>
      </c>
      <c r="N71" s="25" t="str">
        <f aca="false">IF(OR(L71="",$E71=""),"",IFERROR(L71*INDEX(Werkstoffe!$E$5:$E$304,MATCH($E71,lst_Werkstoff,0))/1000,""))</f>
        <v/>
      </c>
      <c r="O71" s="25" t="str">
        <f aca="false">IF(OR(N71="",$F71=""),"",N71*$F71/1000)</f>
        <v/>
      </c>
      <c r="P71" s="16" t="str">
        <f aca="false">IF(OR($F71="",$G71=""),"",$F71*$G71)</f>
        <v/>
      </c>
      <c r="Q71" s="16" t="str">
        <f aca="false">IF($D71="","",IF($J71&lt;&gt;"",$J71,$C$9))</f>
        <v/>
      </c>
      <c r="R71" s="12" t="str">
        <f aca="false">IF($D71="","",IFERROR(IF(INDEX(Profile!$G$5:$G$304,MATCH($D71,lst_Profil,0))&lt;&gt;"",INDEX(Profile!$G$5:$G$304,MATCH($D71,lst_Profil,0)),$H$4),$H$4))</f>
        <v/>
      </c>
      <c r="S71" s="12" t="str">
        <f aca="false">IF($D71="","",IFERROR(IF(INDEX(Profile!$H$5:$H$304,MATCH($D71,lst_Profil,0))&lt;&gt;"",INDEX(Profile!$H$5:$H$304,MATCH($D71,lst_Profil,0)),$H$5),$H$5))</f>
        <v/>
      </c>
      <c r="T71" s="16" t="str">
        <f aca="false">IF(OR(Q71="",NOT(ISNUMBER(R71)),NOT(ISNUMBER(S71))),"",Q71-R71-S71)</f>
        <v/>
      </c>
      <c r="U71" s="26" t="str">
        <f aca="false">IF(OR($D71="",$E71=""),"",IF(COUNTIFS(Preise!$A$5:$A$304,$D71,Preise!$B$5:$B$304,$E71,Preise!$I$5:$I$304,"OK")&gt;0,"ja","nein"))</f>
        <v/>
      </c>
      <c r="V71" s="15" t="str">
        <f aca="false">IF(OR(M71="",$E71="",$C$8=""),"",IF(_xlfn.MINIFS(Schneiddaten!$C$5:$C$304,Schneiddaten!$A$5:$A$304,$C$8,Schneiddaten!$B$5:$B$304,$E71,Schneiddaten!$C$5:$C$304,"&gt;="&amp;M71)=0,"",SUMIFS(Schneiddaten!$D$5:$D$304,Schneiddaten!$A$5:$A$304,$C$8,Schneiddaten!$B$5:$B$304,$E71,Schneiddaten!$C$5:$C$304,_xlfn.MINIFS(Schneiddaten!$C$5:$C$304,Schneiddaten!$A$5:$A$304,$C$8,Schneiddaten!$B$5:$B$304,$E71,Schneiddaten!$C$5:$C$304,"&gt;="&amp;M71))))</f>
        <v/>
      </c>
      <c r="W71" s="26" t="str">
        <f aca="false">IF(AND($D71="",$E71="",$F71="",$G71=""),"",IF(ISNA(MATCH($D71,lst_Profil,0)),"FEHLER: Profil unbekannt",IF(ISNA(MATCH($E71,lst_Werkstoff,0)),"FEHLER: Werkstoff unbekannt",IF(NOT(ISNUMBER(L71)),"FEHLER: Querschnitt fehlt (Profil)",IF(OR($F71="",$F71&lt;=0),"FEHLER: Teilelänge fehlt",IF(OR($G71="",$G71&lt;1),"FEHLER: Stückzahl fehlt",IF(NOT(ISNUMBER($H$4)),"FEHLER: Maschine fehlt/unbekannt",IF(Q71&gt;$H$7,"FEHLER: Stange länger als Maschine zulässt",IF($F71+$H$6&gt;T71,"FEHLER: Teil länger als Nutzlänge",IF(U71="nein","WARNUNG: kein gültiger Materialpreis",IF($H71="","HINWEIS: Schneidweg fehlt",IF(V71="","HINWEIS: keine Schneiddaten",IF(AND($AF71&lt;&gt;"",$AG71=""),"HINWEIS: Gewinde-Vorschlag prüfen","OK")))))))))))))</f>
        <v/>
      </c>
      <c r="X71" s="18" t="str">
        <f aca="false">IF(OR(O71="",$G71=""),"",O71*$G71)</f>
        <v/>
      </c>
      <c r="Y71" s="10"/>
      <c r="Z71" s="21"/>
      <c r="AA71" s="10"/>
      <c r="AB71" s="21"/>
      <c r="AC71" s="21"/>
      <c r="AD71" s="21"/>
      <c r="AE71" s="10"/>
      <c r="AF71" s="10"/>
      <c r="AG71" s="10"/>
      <c r="AH71" s="22"/>
      <c r="AI71" s="21"/>
      <c r="AJ71" s="22"/>
      <c r="AK71" s="21"/>
      <c r="AL71" s="22"/>
      <c r="AM71" s="21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21"/>
      <c r="G72" s="19"/>
      <c r="H72" s="21"/>
      <c r="I72" s="22"/>
      <c r="J72" s="19"/>
      <c r="K72" s="23" t="str">
        <f aca="false">IF($D72="","",IFERROR(INDEX(Profile!$B$5:$B$304,MATCH($D72,lst_Profil,0)),""))</f>
        <v/>
      </c>
      <c r="L72" s="13" t="str">
        <f aca="false">IF($D72="","",IFERROR(INDEX(Profile!$K$5:$K$304,MATCH($D72,lst_Profil,0))+0,""))</f>
        <v/>
      </c>
      <c r="M72" s="24" t="str">
        <f aca="false">IF($D72="","",IFERROR(INDEX(Profile!$E$5:$E$304,MATCH($D72,lst_Profil,0))+0,""))</f>
        <v/>
      </c>
      <c r="N72" s="25" t="str">
        <f aca="false">IF(OR(L72="",$E72=""),"",IFERROR(L72*INDEX(Werkstoffe!$E$5:$E$304,MATCH($E72,lst_Werkstoff,0))/1000,""))</f>
        <v/>
      </c>
      <c r="O72" s="25" t="str">
        <f aca="false">IF(OR(N72="",$F72=""),"",N72*$F72/1000)</f>
        <v/>
      </c>
      <c r="P72" s="16" t="str">
        <f aca="false">IF(OR($F72="",$G72=""),"",$F72*$G72)</f>
        <v/>
      </c>
      <c r="Q72" s="16" t="str">
        <f aca="false">IF($D72="","",IF($J72&lt;&gt;"",$J72,$C$9))</f>
        <v/>
      </c>
      <c r="R72" s="12" t="str">
        <f aca="false">IF($D72="","",IFERROR(IF(INDEX(Profile!$G$5:$G$304,MATCH($D72,lst_Profil,0))&lt;&gt;"",INDEX(Profile!$G$5:$G$304,MATCH($D72,lst_Profil,0)),$H$4),$H$4))</f>
        <v/>
      </c>
      <c r="S72" s="12" t="str">
        <f aca="false">IF($D72="","",IFERROR(IF(INDEX(Profile!$H$5:$H$304,MATCH($D72,lst_Profil,0))&lt;&gt;"",INDEX(Profile!$H$5:$H$304,MATCH($D72,lst_Profil,0)),$H$5),$H$5))</f>
        <v/>
      </c>
      <c r="T72" s="16" t="str">
        <f aca="false">IF(OR(Q72="",NOT(ISNUMBER(R72)),NOT(ISNUMBER(S72))),"",Q72-R72-S72)</f>
        <v/>
      </c>
      <c r="U72" s="26" t="str">
        <f aca="false">IF(OR($D72="",$E72=""),"",IF(COUNTIFS(Preise!$A$5:$A$304,$D72,Preise!$B$5:$B$304,$E72,Preise!$I$5:$I$304,"OK")&gt;0,"ja","nein"))</f>
        <v/>
      </c>
      <c r="V72" s="15" t="str">
        <f aca="false">IF(OR(M72="",$E72="",$C$8=""),"",IF(_xlfn.MINIFS(Schneiddaten!$C$5:$C$304,Schneiddaten!$A$5:$A$304,$C$8,Schneiddaten!$B$5:$B$304,$E72,Schneiddaten!$C$5:$C$304,"&gt;="&amp;M72)=0,"",SUMIFS(Schneiddaten!$D$5:$D$304,Schneiddaten!$A$5:$A$304,$C$8,Schneiddaten!$B$5:$B$304,$E72,Schneiddaten!$C$5:$C$304,_xlfn.MINIFS(Schneiddaten!$C$5:$C$304,Schneiddaten!$A$5:$A$304,$C$8,Schneiddaten!$B$5:$B$304,$E72,Schneiddaten!$C$5:$C$304,"&gt;="&amp;M72))))</f>
        <v/>
      </c>
      <c r="W72" s="26" t="str">
        <f aca="false">IF(AND($D72="",$E72="",$F72="",$G72=""),"",IF(ISNA(MATCH($D72,lst_Profil,0)),"FEHLER: Profil unbekannt",IF(ISNA(MATCH($E72,lst_Werkstoff,0)),"FEHLER: Werkstoff unbekannt",IF(NOT(ISNUMBER(L72)),"FEHLER: Querschnitt fehlt (Profil)",IF(OR($F72="",$F72&lt;=0),"FEHLER: Teilelänge fehlt",IF(OR($G72="",$G72&lt;1),"FEHLER: Stückzahl fehlt",IF(NOT(ISNUMBER($H$4)),"FEHLER: Maschine fehlt/unbekannt",IF(Q72&gt;$H$7,"FEHLER: Stange länger als Maschine zulässt",IF($F72+$H$6&gt;T72,"FEHLER: Teil länger als Nutzlänge",IF(U72="nein","WARNUNG: kein gültiger Materialpreis",IF($H72="","HINWEIS: Schneidweg fehlt",IF(V72="","HINWEIS: keine Schneiddaten",IF(AND($AF72&lt;&gt;"",$AG72=""),"HINWEIS: Gewinde-Vorschlag prüfen","OK")))))))))))))</f>
        <v/>
      </c>
      <c r="X72" s="18" t="str">
        <f aca="false">IF(OR(O72="",$G72=""),"",O72*$G72)</f>
        <v/>
      </c>
      <c r="Y72" s="10"/>
      <c r="Z72" s="21"/>
      <c r="AA72" s="10"/>
      <c r="AB72" s="21"/>
      <c r="AC72" s="21"/>
      <c r="AD72" s="21"/>
      <c r="AE72" s="10"/>
      <c r="AF72" s="10"/>
      <c r="AG72" s="10"/>
      <c r="AH72" s="22"/>
      <c r="AI72" s="21"/>
      <c r="AJ72" s="22"/>
      <c r="AK72" s="21"/>
      <c r="AL72" s="22"/>
      <c r="AM72" s="21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21"/>
      <c r="G73" s="19"/>
      <c r="H73" s="21"/>
      <c r="I73" s="22"/>
      <c r="J73" s="19"/>
      <c r="K73" s="23" t="str">
        <f aca="false">IF($D73="","",IFERROR(INDEX(Profile!$B$5:$B$304,MATCH($D73,lst_Profil,0)),""))</f>
        <v/>
      </c>
      <c r="L73" s="13" t="str">
        <f aca="false">IF($D73="","",IFERROR(INDEX(Profile!$K$5:$K$304,MATCH($D73,lst_Profil,0))+0,""))</f>
        <v/>
      </c>
      <c r="M73" s="24" t="str">
        <f aca="false">IF($D73="","",IFERROR(INDEX(Profile!$E$5:$E$304,MATCH($D73,lst_Profil,0))+0,""))</f>
        <v/>
      </c>
      <c r="N73" s="25" t="str">
        <f aca="false">IF(OR(L73="",$E73=""),"",IFERROR(L73*INDEX(Werkstoffe!$E$5:$E$304,MATCH($E73,lst_Werkstoff,0))/1000,""))</f>
        <v/>
      </c>
      <c r="O73" s="25" t="str">
        <f aca="false">IF(OR(N73="",$F73=""),"",N73*$F73/1000)</f>
        <v/>
      </c>
      <c r="P73" s="16" t="str">
        <f aca="false">IF(OR($F73="",$G73=""),"",$F73*$G73)</f>
        <v/>
      </c>
      <c r="Q73" s="16" t="str">
        <f aca="false">IF($D73="","",IF($J73&lt;&gt;"",$J73,$C$9))</f>
        <v/>
      </c>
      <c r="R73" s="12" t="str">
        <f aca="false">IF($D73="","",IFERROR(IF(INDEX(Profile!$G$5:$G$304,MATCH($D73,lst_Profil,0))&lt;&gt;"",INDEX(Profile!$G$5:$G$304,MATCH($D73,lst_Profil,0)),$H$4),$H$4))</f>
        <v/>
      </c>
      <c r="S73" s="12" t="str">
        <f aca="false">IF($D73="","",IFERROR(IF(INDEX(Profile!$H$5:$H$304,MATCH($D73,lst_Profil,0))&lt;&gt;"",INDEX(Profile!$H$5:$H$304,MATCH($D73,lst_Profil,0)),$H$5),$H$5))</f>
        <v/>
      </c>
      <c r="T73" s="16" t="str">
        <f aca="false">IF(OR(Q73="",NOT(ISNUMBER(R73)),NOT(ISNUMBER(S73))),"",Q73-R73-S73)</f>
        <v/>
      </c>
      <c r="U73" s="26" t="str">
        <f aca="false">IF(OR($D73="",$E73=""),"",IF(COUNTIFS(Preise!$A$5:$A$304,$D73,Preise!$B$5:$B$304,$E73,Preise!$I$5:$I$304,"OK")&gt;0,"ja","nein"))</f>
        <v/>
      </c>
      <c r="V73" s="15" t="str">
        <f aca="false">IF(OR(M73="",$E73="",$C$8=""),"",IF(_xlfn.MINIFS(Schneiddaten!$C$5:$C$304,Schneiddaten!$A$5:$A$304,$C$8,Schneiddaten!$B$5:$B$304,$E73,Schneiddaten!$C$5:$C$304,"&gt;="&amp;M73)=0,"",SUMIFS(Schneiddaten!$D$5:$D$304,Schneiddaten!$A$5:$A$304,$C$8,Schneiddaten!$B$5:$B$304,$E73,Schneiddaten!$C$5:$C$304,_xlfn.MINIFS(Schneiddaten!$C$5:$C$304,Schneiddaten!$A$5:$A$304,$C$8,Schneiddaten!$B$5:$B$304,$E73,Schneiddaten!$C$5:$C$304,"&gt;="&amp;M73))))</f>
        <v/>
      </c>
      <c r="W73" s="26" t="str">
        <f aca="false">IF(AND($D73="",$E73="",$F73="",$G73=""),"",IF(ISNA(MATCH($D73,lst_Profil,0)),"FEHLER: Profil unbekannt",IF(ISNA(MATCH($E73,lst_Werkstoff,0)),"FEHLER: Werkstoff unbekannt",IF(NOT(ISNUMBER(L73)),"FEHLER: Querschnitt fehlt (Profil)",IF(OR($F73="",$F73&lt;=0),"FEHLER: Teilelänge fehlt",IF(OR($G73="",$G73&lt;1),"FEHLER: Stückzahl fehlt",IF(NOT(ISNUMBER($H$4)),"FEHLER: Maschine fehlt/unbekannt",IF(Q73&gt;$H$7,"FEHLER: Stange länger als Maschine zulässt",IF($F73+$H$6&gt;T73,"FEHLER: Teil länger als Nutzlänge",IF(U73="nein","WARNUNG: kein gültiger Materialpreis",IF($H73="","HINWEIS: Schneidweg fehlt",IF(V73="","HINWEIS: keine Schneiddaten",IF(AND($AF73&lt;&gt;"",$AG73=""),"HINWEIS: Gewinde-Vorschlag prüfen","OK")))))))))))))</f>
        <v/>
      </c>
      <c r="X73" s="18" t="str">
        <f aca="false">IF(OR(O73="",$G73=""),"",O73*$G73)</f>
        <v/>
      </c>
      <c r="Y73" s="10"/>
      <c r="Z73" s="21"/>
      <c r="AA73" s="10"/>
      <c r="AB73" s="21"/>
      <c r="AC73" s="21"/>
      <c r="AD73" s="21"/>
      <c r="AE73" s="10"/>
      <c r="AF73" s="10"/>
      <c r="AG73" s="10"/>
      <c r="AH73" s="22"/>
      <c r="AI73" s="21"/>
      <c r="AJ73" s="22"/>
      <c r="AK73" s="21"/>
      <c r="AL73" s="22"/>
      <c r="AM73" s="21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21"/>
      <c r="G74" s="19"/>
      <c r="H74" s="21"/>
      <c r="I74" s="22"/>
      <c r="J74" s="19"/>
      <c r="K74" s="23" t="str">
        <f aca="false">IF($D74="","",IFERROR(INDEX(Profile!$B$5:$B$304,MATCH($D74,lst_Profil,0)),""))</f>
        <v/>
      </c>
      <c r="L74" s="13" t="str">
        <f aca="false">IF($D74="","",IFERROR(INDEX(Profile!$K$5:$K$304,MATCH($D74,lst_Profil,0))+0,""))</f>
        <v/>
      </c>
      <c r="M74" s="24" t="str">
        <f aca="false">IF($D74="","",IFERROR(INDEX(Profile!$E$5:$E$304,MATCH($D74,lst_Profil,0))+0,""))</f>
        <v/>
      </c>
      <c r="N74" s="25" t="str">
        <f aca="false">IF(OR(L74="",$E74=""),"",IFERROR(L74*INDEX(Werkstoffe!$E$5:$E$304,MATCH($E74,lst_Werkstoff,0))/1000,""))</f>
        <v/>
      </c>
      <c r="O74" s="25" t="str">
        <f aca="false">IF(OR(N74="",$F74=""),"",N74*$F74/1000)</f>
        <v/>
      </c>
      <c r="P74" s="16" t="str">
        <f aca="false">IF(OR($F74="",$G74=""),"",$F74*$G74)</f>
        <v/>
      </c>
      <c r="Q74" s="16" t="str">
        <f aca="false">IF($D74="","",IF($J74&lt;&gt;"",$J74,$C$9))</f>
        <v/>
      </c>
      <c r="R74" s="12" t="str">
        <f aca="false">IF($D74="","",IFERROR(IF(INDEX(Profile!$G$5:$G$304,MATCH($D74,lst_Profil,0))&lt;&gt;"",INDEX(Profile!$G$5:$G$304,MATCH($D74,lst_Profil,0)),$H$4),$H$4))</f>
        <v/>
      </c>
      <c r="S74" s="12" t="str">
        <f aca="false">IF($D74="","",IFERROR(IF(INDEX(Profile!$H$5:$H$304,MATCH($D74,lst_Profil,0))&lt;&gt;"",INDEX(Profile!$H$5:$H$304,MATCH($D74,lst_Profil,0)),$H$5),$H$5))</f>
        <v/>
      </c>
      <c r="T74" s="16" t="str">
        <f aca="false">IF(OR(Q74="",NOT(ISNUMBER(R74)),NOT(ISNUMBER(S74))),"",Q74-R74-S74)</f>
        <v/>
      </c>
      <c r="U74" s="26" t="str">
        <f aca="false">IF(OR($D74="",$E74=""),"",IF(COUNTIFS(Preise!$A$5:$A$304,$D74,Preise!$B$5:$B$304,$E74,Preise!$I$5:$I$304,"OK")&gt;0,"ja","nein"))</f>
        <v/>
      </c>
      <c r="V74" s="15" t="str">
        <f aca="false">IF(OR(M74="",$E74="",$C$8=""),"",IF(_xlfn.MINIFS(Schneiddaten!$C$5:$C$304,Schneiddaten!$A$5:$A$304,$C$8,Schneiddaten!$B$5:$B$304,$E74,Schneiddaten!$C$5:$C$304,"&gt;="&amp;M74)=0,"",SUMIFS(Schneiddaten!$D$5:$D$304,Schneiddaten!$A$5:$A$304,$C$8,Schneiddaten!$B$5:$B$304,$E74,Schneiddaten!$C$5:$C$304,_xlfn.MINIFS(Schneiddaten!$C$5:$C$304,Schneiddaten!$A$5:$A$304,$C$8,Schneiddaten!$B$5:$B$304,$E74,Schneiddaten!$C$5:$C$304,"&gt;="&amp;M74))))</f>
        <v/>
      </c>
      <c r="W74" s="26" t="str">
        <f aca="false">IF(AND($D74="",$E74="",$F74="",$G74=""),"",IF(ISNA(MATCH($D74,lst_Profil,0)),"FEHLER: Profil unbekannt",IF(ISNA(MATCH($E74,lst_Werkstoff,0)),"FEHLER: Werkstoff unbekannt",IF(NOT(ISNUMBER(L74)),"FEHLER: Querschnitt fehlt (Profil)",IF(OR($F74="",$F74&lt;=0),"FEHLER: Teilelänge fehlt",IF(OR($G74="",$G74&lt;1),"FEHLER: Stückzahl fehlt",IF(NOT(ISNUMBER($H$4)),"FEHLER: Maschine fehlt/unbekannt",IF(Q74&gt;$H$7,"FEHLER: Stange länger als Maschine zulässt",IF($F74+$H$6&gt;T74,"FEHLER: Teil länger als Nutzlänge",IF(U74="nein","WARNUNG: kein gültiger Materialpreis",IF($H74="","HINWEIS: Schneidweg fehlt",IF(V74="","HINWEIS: keine Schneiddaten",IF(AND($AF74&lt;&gt;"",$AG74=""),"HINWEIS: Gewinde-Vorschlag prüfen","OK")))))))))))))</f>
        <v/>
      </c>
      <c r="X74" s="18" t="str">
        <f aca="false">IF(OR(O74="",$G74=""),"",O74*$G74)</f>
        <v/>
      </c>
      <c r="Y74" s="10"/>
      <c r="Z74" s="21"/>
      <c r="AA74" s="10"/>
      <c r="AB74" s="21"/>
      <c r="AC74" s="21"/>
      <c r="AD74" s="21"/>
      <c r="AE74" s="10"/>
      <c r="AF74" s="10"/>
      <c r="AG74" s="10"/>
      <c r="AH74" s="22"/>
      <c r="AI74" s="21"/>
      <c r="AJ74" s="22"/>
      <c r="AK74" s="21"/>
      <c r="AL74" s="22"/>
      <c r="AM74" s="21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21"/>
      <c r="G75" s="19"/>
      <c r="H75" s="21"/>
      <c r="I75" s="22"/>
      <c r="J75" s="19"/>
      <c r="K75" s="23" t="str">
        <f aca="false">IF($D75="","",IFERROR(INDEX(Profile!$B$5:$B$304,MATCH($D75,lst_Profil,0)),""))</f>
        <v/>
      </c>
      <c r="L75" s="13" t="str">
        <f aca="false">IF($D75="","",IFERROR(INDEX(Profile!$K$5:$K$304,MATCH($D75,lst_Profil,0))+0,""))</f>
        <v/>
      </c>
      <c r="M75" s="24" t="str">
        <f aca="false">IF($D75="","",IFERROR(INDEX(Profile!$E$5:$E$304,MATCH($D75,lst_Profil,0))+0,""))</f>
        <v/>
      </c>
      <c r="N75" s="25" t="str">
        <f aca="false">IF(OR(L75="",$E75=""),"",IFERROR(L75*INDEX(Werkstoffe!$E$5:$E$304,MATCH($E75,lst_Werkstoff,0))/1000,""))</f>
        <v/>
      </c>
      <c r="O75" s="25" t="str">
        <f aca="false">IF(OR(N75="",$F75=""),"",N75*$F75/1000)</f>
        <v/>
      </c>
      <c r="P75" s="16" t="str">
        <f aca="false">IF(OR($F75="",$G75=""),"",$F75*$G75)</f>
        <v/>
      </c>
      <c r="Q75" s="16" t="str">
        <f aca="false">IF($D75="","",IF($J75&lt;&gt;"",$J75,$C$9))</f>
        <v/>
      </c>
      <c r="R75" s="12" t="str">
        <f aca="false">IF($D75="","",IFERROR(IF(INDEX(Profile!$G$5:$G$304,MATCH($D75,lst_Profil,0))&lt;&gt;"",INDEX(Profile!$G$5:$G$304,MATCH($D75,lst_Profil,0)),$H$4),$H$4))</f>
        <v/>
      </c>
      <c r="S75" s="12" t="str">
        <f aca="false">IF($D75="","",IFERROR(IF(INDEX(Profile!$H$5:$H$304,MATCH($D75,lst_Profil,0))&lt;&gt;"",INDEX(Profile!$H$5:$H$304,MATCH($D75,lst_Profil,0)),$H$5),$H$5))</f>
        <v/>
      </c>
      <c r="T75" s="16" t="str">
        <f aca="false">IF(OR(Q75="",NOT(ISNUMBER(R75)),NOT(ISNUMBER(S75))),"",Q75-R75-S75)</f>
        <v/>
      </c>
      <c r="U75" s="26" t="str">
        <f aca="false">IF(OR($D75="",$E75=""),"",IF(COUNTIFS(Preise!$A$5:$A$304,$D75,Preise!$B$5:$B$304,$E75,Preise!$I$5:$I$304,"OK")&gt;0,"ja","nein"))</f>
        <v/>
      </c>
      <c r="V75" s="15" t="str">
        <f aca="false">IF(OR(M75="",$E75="",$C$8=""),"",IF(_xlfn.MINIFS(Schneiddaten!$C$5:$C$304,Schneiddaten!$A$5:$A$304,$C$8,Schneiddaten!$B$5:$B$304,$E75,Schneiddaten!$C$5:$C$304,"&gt;="&amp;M75)=0,"",SUMIFS(Schneiddaten!$D$5:$D$304,Schneiddaten!$A$5:$A$304,$C$8,Schneiddaten!$B$5:$B$304,$E75,Schneiddaten!$C$5:$C$304,_xlfn.MINIFS(Schneiddaten!$C$5:$C$304,Schneiddaten!$A$5:$A$304,$C$8,Schneiddaten!$B$5:$B$304,$E75,Schneiddaten!$C$5:$C$304,"&gt;="&amp;M75))))</f>
        <v/>
      </c>
      <c r="W75" s="26" t="str">
        <f aca="false">IF(AND($D75="",$E75="",$F75="",$G75=""),"",IF(ISNA(MATCH($D75,lst_Profil,0)),"FEHLER: Profil unbekannt",IF(ISNA(MATCH($E75,lst_Werkstoff,0)),"FEHLER: Werkstoff unbekannt",IF(NOT(ISNUMBER(L75)),"FEHLER: Querschnitt fehlt (Profil)",IF(OR($F75="",$F75&lt;=0),"FEHLER: Teilelänge fehlt",IF(OR($G75="",$G75&lt;1),"FEHLER: Stückzahl fehlt",IF(NOT(ISNUMBER($H$4)),"FEHLER: Maschine fehlt/unbekannt",IF(Q75&gt;$H$7,"FEHLER: Stange länger als Maschine zulässt",IF($F75+$H$6&gt;T75,"FEHLER: Teil länger als Nutzlänge",IF(U75="nein","WARNUNG: kein gültiger Materialpreis",IF($H75="","HINWEIS: Schneidweg fehlt",IF(V75="","HINWEIS: keine Schneiddaten",IF(AND($AF75&lt;&gt;"",$AG75=""),"HINWEIS: Gewinde-Vorschlag prüfen","OK")))))))))))))</f>
        <v/>
      </c>
      <c r="X75" s="18" t="str">
        <f aca="false">IF(OR(O75="",$G75=""),"",O75*$G75)</f>
        <v/>
      </c>
      <c r="Y75" s="10"/>
      <c r="Z75" s="21"/>
      <c r="AA75" s="10"/>
      <c r="AB75" s="21"/>
      <c r="AC75" s="21"/>
      <c r="AD75" s="21"/>
      <c r="AE75" s="10"/>
      <c r="AF75" s="10"/>
      <c r="AG75" s="10"/>
      <c r="AH75" s="22"/>
      <c r="AI75" s="21"/>
      <c r="AJ75" s="22"/>
      <c r="AK75" s="21"/>
      <c r="AL75" s="22"/>
      <c r="AM75" s="21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21"/>
      <c r="G76" s="19"/>
      <c r="H76" s="21"/>
      <c r="I76" s="22"/>
      <c r="J76" s="19"/>
      <c r="K76" s="23" t="str">
        <f aca="false">IF($D76="","",IFERROR(INDEX(Profile!$B$5:$B$304,MATCH($D76,lst_Profil,0)),""))</f>
        <v/>
      </c>
      <c r="L76" s="13" t="str">
        <f aca="false">IF($D76="","",IFERROR(INDEX(Profile!$K$5:$K$304,MATCH($D76,lst_Profil,0))+0,""))</f>
        <v/>
      </c>
      <c r="M76" s="24" t="str">
        <f aca="false">IF($D76="","",IFERROR(INDEX(Profile!$E$5:$E$304,MATCH($D76,lst_Profil,0))+0,""))</f>
        <v/>
      </c>
      <c r="N76" s="25" t="str">
        <f aca="false">IF(OR(L76="",$E76=""),"",IFERROR(L76*INDEX(Werkstoffe!$E$5:$E$304,MATCH($E76,lst_Werkstoff,0))/1000,""))</f>
        <v/>
      </c>
      <c r="O76" s="25" t="str">
        <f aca="false">IF(OR(N76="",$F76=""),"",N76*$F76/1000)</f>
        <v/>
      </c>
      <c r="P76" s="16" t="str">
        <f aca="false">IF(OR($F76="",$G76=""),"",$F76*$G76)</f>
        <v/>
      </c>
      <c r="Q76" s="16" t="str">
        <f aca="false">IF($D76="","",IF($J76&lt;&gt;"",$J76,$C$9))</f>
        <v/>
      </c>
      <c r="R76" s="12" t="str">
        <f aca="false">IF($D76="","",IFERROR(IF(INDEX(Profile!$G$5:$G$304,MATCH($D76,lst_Profil,0))&lt;&gt;"",INDEX(Profile!$G$5:$G$304,MATCH($D76,lst_Profil,0)),$H$4),$H$4))</f>
        <v/>
      </c>
      <c r="S76" s="12" t="str">
        <f aca="false">IF($D76="","",IFERROR(IF(INDEX(Profile!$H$5:$H$304,MATCH($D76,lst_Profil,0))&lt;&gt;"",INDEX(Profile!$H$5:$H$304,MATCH($D76,lst_Profil,0)),$H$5),$H$5))</f>
        <v/>
      </c>
      <c r="T76" s="16" t="str">
        <f aca="false">IF(OR(Q76="",NOT(ISNUMBER(R76)),NOT(ISNUMBER(S76))),"",Q76-R76-S76)</f>
        <v/>
      </c>
      <c r="U76" s="26" t="str">
        <f aca="false">IF(OR($D76="",$E76=""),"",IF(COUNTIFS(Preise!$A$5:$A$304,$D76,Preise!$B$5:$B$304,$E76,Preise!$I$5:$I$304,"OK")&gt;0,"ja","nein"))</f>
        <v/>
      </c>
      <c r="V76" s="15" t="str">
        <f aca="false">IF(OR(M76="",$E76="",$C$8=""),"",IF(_xlfn.MINIFS(Schneiddaten!$C$5:$C$304,Schneiddaten!$A$5:$A$304,$C$8,Schneiddaten!$B$5:$B$304,$E76,Schneiddaten!$C$5:$C$304,"&gt;="&amp;M76)=0,"",SUMIFS(Schneiddaten!$D$5:$D$304,Schneiddaten!$A$5:$A$304,$C$8,Schneiddaten!$B$5:$B$304,$E76,Schneiddaten!$C$5:$C$304,_xlfn.MINIFS(Schneiddaten!$C$5:$C$304,Schneiddaten!$A$5:$A$304,$C$8,Schneiddaten!$B$5:$B$304,$E76,Schneiddaten!$C$5:$C$304,"&gt;="&amp;M76))))</f>
        <v/>
      </c>
      <c r="W76" s="26" t="str">
        <f aca="false">IF(AND($D76="",$E76="",$F76="",$G76=""),"",IF(ISNA(MATCH($D76,lst_Profil,0)),"FEHLER: Profil unbekannt",IF(ISNA(MATCH($E76,lst_Werkstoff,0)),"FEHLER: Werkstoff unbekannt",IF(NOT(ISNUMBER(L76)),"FEHLER: Querschnitt fehlt (Profil)",IF(OR($F76="",$F76&lt;=0),"FEHLER: Teilelänge fehlt",IF(OR($G76="",$G76&lt;1),"FEHLER: Stückzahl fehlt",IF(NOT(ISNUMBER($H$4)),"FEHLER: Maschine fehlt/unbekannt",IF(Q76&gt;$H$7,"FEHLER: Stange länger als Maschine zulässt",IF($F76+$H$6&gt;T76,"FEHLER: Teil länger als Nutzlänge",IF(U76="nein","WARNUNG: kein gültiger Materialpreis",IF($H76="","HINWEIS: Schneidweg fehlt",IF(V76="","HINWEIS: keine Schneiddaten",IF(AND($AF76&lt;&gt;"",$AG76=""),"HINWEIS: Gewinde-Vorschlag prüfen","OK")))))))))))))</f>
        <v/>
      </c>
      <c r="X76" s="18" t="str">
        <f aca="false">IF(OR(O76="",$G76=""),"",O76*$G76)</f>
        <v/>
      </c>
      <c r="Y76" s="10"/>
      <c r="Z76" s="21"/>
      <c r="AA76" s="10"/>
      <c r="AB76" s="21"/>
      <c r="AC76" s="21"/>
      <c r="AD76" s="21"/>
      <c r="AE76" s="10"/>
      <c r="AF76" s="10"/>
      <c r="AG76" s="10"/>
      <c r="AH76" s="22"/>
      <c r="AI76" s="21"/>
      <c r="AJ76" s="22"/>
      <c r="AK76" s="21"/>
      <c r="AL76" s="22"/>
      <c r="AM76" s="21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21"/>
      <c r="G77" s="19"/>
      <c r="H77" s="21"/>
      <c r="I77" s="22"/>
      <c r="J77" s="19"/>
      <c r="K77" s="23" t="str">
        <f aca="false">IF($D77="","",IFERROR(INDEX(Profile!$B$5:$B$304,MATCH($D77,lst_Profil,0)),""))</f>
        <v/>
      </c>
      <c r="L77" s="13" t="str">
        <f aca="false">IF($D77="","",IFERROR(INDEX(Profile!$K$5:$K$304,MATCH($D77,lst_Profil,0))+0,""))</f>
        <v/>
      </c>
      <c r="M77" s="24" t="str">
        <f aca="false">IF($D77="","",IFERROR(INDEX(Profile!$E$5:$E$304,MATCH($D77,lst_Profil,0))+0,""))</f>
        <v/>
      </c>
      <c r="N77" s="25" t="str">
        <f aca="false">IF(OR(L77="",$E77=""),"",IFERROR(L77*INDEX(Werkstoffe!$E$5:$E$304,MATCH($E77,lst_Werkstoff,0))/1000,""))</f>
        <v/>
      </c>
      <c r="O77" s="25" t="str">
        <f aca="false">IF(OR(N77="",$F77=""),"",N77*$F77/1000)</f>
        <v/>
      </c>
      <c r="P77" s="16" t="str">
        <f aca="false">IF(OR($F77="",$G77=""),"",$F77*$G77)</f>
        <v/>
      </c>
      <c r="Q77" s="16" t="str">
        <f aca="false">IF($D77="","",IF($J77&lt;&gt;"",$J77,$C$9))</f>
        <v/>
      </c>
      <c r="R77" s="12" t="str">
        <f aca="false">IF($D77="","",IFERROR(IF(INDEX(Profile!$G$5:$G$304,MATCH($D77,lst_Profil,0))&lt;&gt;"",INDEX(Profile!$G$5:$G$304,MATCH($D77,lst_Profil,0)),$H$4),$H$4))</f>
        <v/>
      </c>
      <c r="S77" s="12" t="str">
        <f aca="false">IF($D77="","",IFERROR(IF(INDEX(Profile!$H$5:$H$304,MATCH($D77,lst_Profil,0))&lt;&gt;"",INDEX(Profile!$H$5:$H$304,MATCH($D77,lst_Profil,0)),$H$5),$H$5))</f>
        <v/>
      </c>
      <c r="T77" s="16" t="str">
        <f aca="false">IF(OR(Q77="",NOT(ISNUMBER(R77)),NOT(ISNUMBER(S77))),"",Q77-R77-S77)</f>
        <v/>
      </c>
      <c r="U77" s="26" t="str">
        <f aca="false">IF(OR($D77="",$E77=""),"",IF(COUNTIFS(Preise!$A$5:$A$304,$D77,Preise!$B$5:$B$304,$E77,Preise!$I$5:$I$304,"OK")&gt;0,"ja","nein"))</f>
        <v/>
      </c>
      <c r="V77" s="15" t="str">
        <f aca="false">IF(OR(M77="",$E77="",$C$8=""),"",IF(_xlfn.MINIFS(Schneiddaten!$C$5:$C$304,Schneiddaten!$A$5:$A$304,$C$8,Schneiddaten!$B$5:$B$304,$E77,Schneiddaten!$C$5:$C$304,"&gt;="&amp;M77)=0,"",SUMIFS(Schneiddaten!$D$5:$D$304,Schneiddaten!$A$5:$A$304,$C$8,Schneiddaten!$B$5:$B$304,$E77,Schneiddaten!$C$5:$C$304,_xlfn.MINIFS(Schneiddaten!$C$5:$C$304,Schneiddaten!$A$5:$A$304,$C$8,Schneiddaten!$B$5:$B$304,$E77,Schneiddaten!$C$5:$C$304,"&gt;="&amp;M77))))</f>
        <v/>
      </c>
      <c r="W77" s="26" t="str">
        <f aca="false">IF(AND($D77="",$E77="",$F77="",$G77=""),"",IF(ISNA(MATCH($D77,lst_Profil,0)),"FEHLER: Profil unbekannt",IF(ISNA(MATCH($E77,lst_Werkstoff,0)),"FEHLER: Werkstoff unbekannt",IF(NOT(ISNUMBER(L77)),"FEHLER: Querschnitt fehlt (Profil)",IF(OR($F77="",$F77&lt;=0),"FEHLER: Teilelänge fehlt",IF(OR($G77="",$G77&lt;1),"FEHLER: Stückzahl fehlt",IF(NOT(ISNUMBER($H$4)),"FEHLER: Maschine fehlt/unbekannt",IF(Q77&gt;$H$7,"FEHLER: Stange länger als Maschine zulässt",IF($F77+$H$6&gt;T77,"FEHLER: Teil länger als Nutzlänge",IF(U77="nein","WARNUNG: kein gültiger Materialpreis",IF($H77="","HINWEIS: Schneidweg fehlt",IF(V77="","HINWEIS: keine Schneiddaten",IF(AND($AF77&lt;&gt;"",$AG77=""),"HINWEIS: Gewinde-Vorschlag prüfen","OK")))))))))))))</f>
        <v/>
      </c>
      <c r="X77" s="18" t="str">
        <f aca="false">IF(OR(O77="",$G77=""),"",O77*$G77)</f>
        <v/>
      </c>
      <c r="Y77" s="10"/>
      <c r="Z77" s="21"/>
      <c r="AA77" s="10"/>
      <c r="AB77" s="21"/>
      <c r="AC77" s="21"/>
      <c r="AD77" s="21"/>
      <c r="AE77" s="10"/>
      <c r="AF77" s="10"/>
      <c r="AG77" s="10"/>
      <c r="AH77" s="22"/>
      <c r="AI77" s="21"/>
      <c r="AJ77" s="22"/>
      <c r="AK77" s="21"/>
      <c r="AL77" s="22"/>
      <c r="AM77" s="21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21"/>
      <c r="G78" s="19"/>
      <c r="H78" s="21"/>
      <c r="I78" s="22"/>
      <c r="J78" s="19"/>
      <c r="K78" s="23" t="str">
        <f aca="false">IF($D78="","",IFERROR(INDEX(Profile!$B$5:$B$304,MATCH($D78,lst_Profil,0)),""))</f>
        <v/>
      </c>
      <c r="L78" s="13" t="str">
        <f aca="false">IF($D78="","",IFERROR(INDEX(Profile!$K$5:$K$304,MATCH($D78,lst_Profil,0))+0,""))</f>
        <v/>
      </c>
      <c r="M78" s="24" t="str">
        <f aca="false">IF($D78="","",IFERROR(INDEX(Profile!$E$5:$E$304,MATCH($D78,lst_Profil,0))+0,""))</f>
        <v/>
      </c>
      <c r="N78" s="25" t="str">
        <f aca="false">IF(OR(L78="",$E78=""),"",IFERROR(L78*INDEX(Werkstoffe!$E$5:$E$304,MATCH($E78,lst_Werkstoff,0))/1000,""))</f>
        <v/>
      </c>
      <c r="O78" s="25" t="str">
        <f aca="false">IF(OR(N78="",$F78=""),"",N78*$F78/1000)</f>
        <v/>
      </c>
      <c r="P78" s="16" t="str">
        <f aca="false">IF(OR($F78="",$G78=""),"",$F78*$G78)</f>
        <v/>
      </c>
      <c r="Q78" s="16" t="str">
        <f aca="false">IF($D78="","",IF($J78&lt;&gt;"",$J78,$C$9))</f>
        <v/>
      </c>
      <c r="R78" s="12" t="str">
        <f aca="false">IF($D78="","",IFERROR(IF(INDEX(Profile!$G$5:$G$304,MATCH($D78,lst_Profil,0))&lt;&gt;"",INDEX(Profile!$G$5:$G$304,MATCH($D78,lst_Profil,0)),$H$4),$H$4))</f>
        <v/>
      </c>
      <c r="S78" s="12" t="str">
        <f aca="false">IF($D78="","",IFERROR(IF(INDEX(Profile!$H$5:$H$304,MATCH($D78,lst_Profil,0))&lt;&gt;"",INDEX(Profile!$H$5:$H$304,MATCH($D78,lst_Profil,0)),$H$5),$H$5))</f>
        <v/>
      </c>
      <c r="T78" s="16" t="str">
        <f aca="false">IF(OR(Q78="",NOT(ISNUMBER(R78)),NOT(ISNUMBER(S78))),"",Q78-R78-S78)</f>
        <v/>
      </c>
      <c r="U78" s="26" t="str">
        <f aca="false">IF(OR($D78="",$E78=""),"",IF(COUNTIFS(Preise!$A$5:$A$304,$D78,Preise!$B$5:$B$304,$E78,Preise!$I$5:$I$304,"OK")&gt;0,"ja","nein"))</f>
        <v/>
      </c>
      <c r="V78" s="15" t="str">
        <f aca="false">IF(OR(M78="",$E78="",$C$8=""),"",IF(_xlfn.MINIFS(Schneiddaten!$C$5:$C$304,Schneiddaten!$A$5:$A$304,$C$8,Schneiddaten!$B$5:$B$304,$E78,Schneiddaten!$C$5:$C$304,"&gt;="&amp;M78)=0,"",SUMIFS(Schneiddaten!$D$5:$D$304,Schneiddaten!$A$5:$A$304,$C$8,Schneiddaten!$B$5:$B$304,$E78,Schneiddaten!$C$5:$C$304,_xlfn.MINIFS(Schneiddaten!$C$5:$C$304,Schneiddaten!$A$5:$A$304,$C$8,Schneiddaten!$B$5:$B$304,$E78,Schneiddaten!$C$5:$C$304,"&gt;="&amp;M78))))</f>
        <v/>
      </c>
      <c r="W78" s="26" t="str">
        <f aca="false">IF(AND($D78="",$E78="",$F78="",$G78=""),"",IF(ISNA(MATCH($D78,lst_Profil,0)),"FEHLER: Profil unbekannt",IF(ISNA(MATCH($E78,lst_Werkstoff,0)),"FEHLER: Werkstoff unbekannt",IF(NOT(ISNUMBER(L78)),"FEHLER: Querschnitt fehlt (Profil)",IF(OR($F78="",$F78&lt;=0),"FEHLER: Teilelänge fehlt",IF(OR($G78="",$G78&lt;1),"FEHLER: Stückzahl fehlt",IF(NOT(ISNUMBER($H$4)),"FEHLER: Maschine fehlt/unbekannt",IF(Q78&gt;$H$7,"FEHLER: Stange länger als Maschine zulässt",IF($F78+$H$6&gt;T78,"FEHLER: Teil länger als Nutzlänge",IF(U78="nein","WARNUNG: kein gültiger Materialpreis",IF($H78="","HINWEIS: Schneidweg fehlt",IF(V78="","HINWEIS: keine Schneiddaten",IF(AND($AF78&lt;&gt;"",$AG78=""),"HINWEIS: Gewinde-Vorschlag prüfen","OK")))))))))))))</f>
        <v/>
      </c>
      <c r="X78" s="18" t="str">
        <f aca="false">IF(OR(O78="",$G78=""),"",O78*$G78)</f>
        <v/>
      </c>
      <c r="Y78" s="10"/>
      <c r="Z78" s="21"/>
      <c r="AA78" s="10"/>
      <c r="AB78" s="21"/>
      <c r="AC78" s="21"/>
      <c r="AD78" s="21"/>
      <c r="AE78" s="10"/>
      <c r="AF78" s="10"/>
      <c r="AG78" s="10"/>
      <c r="AH78" s="22"/>
      <c r="AI78" s="21"/>
      <c r="AJ78" s="22"/>
      <c r="AK78" s="21"/>
      <c r="AL78" s="22"/>
      <c r="AM78" s="21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21"/>
      <c r="G79" s="19"/>
      <c r="H79" s="21"/>
      <c r="I79" s="22"/>
      <c r="J79" s="19"/>
      <c r="K79" s="23" t="str">
        <f aca="false">IF($D79="","",IFERROR(INDEX(Profile!$B$5:$B$304,MATCH($D79,lst_Profil,0)),""))</f>
        <v/>
      </c>
      <c r="L79" s="13" t="str">
        <f aca="false">IF($D79="","",IFERROR(INDEX(Profile!$K$5:$K$304,MATCH($D79,lst_Profil,0))+0,""))</f>
        <v/>
      </c>
      <c r="M79" s="24" t="str">
        <f aca="false">IF($D79="","",IFERROR(INDEX(Profile!$E$5:$E$304,MATCH($D79,lst_Profil,0))+0,""))</f>
        <v/>
      </c>
      <c r="N79" s="25" t="str">
        <f aca="false">IF(OR(L79="",$E79=""),"",IFERROR(L79*INDEX(Werkstoffe!$E$5:$E$304,MATCH($E79,lst_Werkstoff,0))/1000,""))</f>
        <v/>
      </c>
      <c r="O79" s="25" t="str">
        <f aca="false">IF(OR(N79="",$F79=""),"",N79*$F79/1000)</f>
        <v/>
      </c>
      <c r="P79" s="16" t="str">
        <f aca="false">IF(OR($F79="",$G79=""),"",$F79*$G79)</f>
        <v/>
      </c>
      <c r="Q79" s="16" t="str">
        <f aca="false">IF($D79="","",IF($J79&lt;&gt;"",$J79,$C$9))</f>
        <v/>
      </c>
      <c r="R79" s="12" t="str">
        <f aca="false">IF($D79="","",IFERROR(IF(INDEX(Profile!$G$5:$G$304,MATCH($D79,lst_Profil,0))&lt;&gt;"",INDEX(Profile!$G$5:$G$304,MATCH($D79,lst_Profil,0)),$H$4),$H$4))</f>
        <v/>
      </c>
      <c r="S79" s="12" t="str">
        <f aca="false">IF($D79="","",IFERROR(IF(INDEX(Profile!$H$5:$H$304,MATCH($D79,lst_Profil,0))&lt;&gt;"",INDEX(Profile!$H$5:$H$304,MATCH($D79,lst_Profil,0)),$H$5),$H$5))</f>
        <v/>
      </c>
      <c r="T79" s="16" t="str">
        <f aca="false">IF(OR(Q79="",NOT(ISNUMBER(R79)),NOT(ISNUMBER(S79))),"",Q79-R79-S79)</f>
        <v/>
      </c>
      <c r="U79" s="26" t="str">
        <f aca="false">IF(OR($D79="",$E79=""),"",IF(COUNTIFS(Preise!$A$5:$A$304,$D79,Preise!$B$5:$B$304,$E79,Preise!$I$5:$I$304,"OK")&gt;0,"ja","nein"))</f>
        <v/>
      </c>
      <c r="V79" s="15" t="str">
        <f aca="false">IF(OR(M79="",$E79="",$C$8=""),"",IF(_xlfn.MINIFS(Schneiddaten!$C$5:$C$304,Schneiddaten!$A$5:$A$304,$C$8,Schneiddaten!$B$5:$B$304,$E79,Schneiddaten!$C$5:$C$304,"&gt;="&amp;M79)=0,"",SUMIFS(Schneiddaten!$D$5:$D$304,Schneiddaten!$A$5:$A$304,$C$8,Schneiddaten!$B$5:$B$304,$E79,Schneiddaten!$C$5:$C$304,_xlfn.MINIFS(Schneiddaten!$C$5:$C$304,Schneiddaten!$A$5:$A$304,$C$8,Schneiddaten!$B$5:$B$304,$E79,Schneiddaten!$C$5:$C$304,"&gt;="&amp;M79))))</f>
        <v/>
      </c>
      <c r="W79" s="26" t="str">
        <f aca="false">IF(AND($D79="",$E79="",$F79="",$G79=""),"",IF(ISNA(MATCH($D79,lst_Profil,0)),"FEHLER: Profil unbekannt",IF(ISNA(MATCH($E79,lst_Werkstoff,0)),"FEHLER: Werkstoff unbekannt",IF(NOT(ISNUMBER(L79)),"FEHLER: Querschnitt fehlt (Profil)",IF(OR($F79="",$F79&lt;=0),"FEHLER: Teilelänge fehlt",IF(OR($G79="",$G79&lt;1),"FEHLER: Stückzahl fehlt",IF(NOT(ISNUMBER($H$4)),"FEHLER: Maschine fehlt/unbekannt",IF(Q79&gt;$H$7,"FEHLER: Stange länger als Maschine zulässt",IF($F79+$H$6&gt;T79,"FEHLER: Teil länger als Nutzlänge",IF(U79="nein","WARNUNG: kein gültiger Materialpreis",IF($H79="","HINWEIS: Schneidweg fehlt",IF(V79="","HINWEIS: keine Schneiddaten",IF(AND($AF79&lt;&gt;"",$AG79=""),"HINWEIS: Gewinde-Vorschlag prüfen","OK")))))))))))))</f>
        <v/>
      </c>
      <c r="X79" s="18" t="str">
        <f aca="false">IF(OR(O79="",$G79=""),"",O79*$G79)</f>
        <v/>
      </c>
      <c r="Y79" s="10"/>
      <c r="Z79" s="21"/>
      <c r="AA79" s="10"/>
      <c r="AB79" s="21"/>
      <c r="AC79" s="21"/>
      <c r="AD79" s="21"/>
      <c r="AE79" s="10"/>
      <c r="AF79" s="10"/>
      <c r="AG79" s="10"/>
      <c r="AH79" s="22"/>
      <c r="AI79" s="21"/>
      <c r="AJ79" s="22"/>
      <c r="AK79" s="21"/>
      <c r="AL79" s="22"/>
      <c r="AM79" s="21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21"/>
      <c r="G80" s="19"/>
      <c r="H80" s="21"/>
      <c r="I80" s="22"/>
      <c r="J80" s="19"/>
      <c r="K80" s="23" t="str">
        <f aca="false">IF($D80="","",IFERROR(INDEX(Profile!$B$5:$B$304,MATCH($D80,lst_Profil,0)),""))</f>
        <v/>
      </c>
      <c r="L80" s="13" t="str">
        <f aca="false">IF($D80="","",IFERROR(INDEX(Profile!$K$5:$K$304,MATCH($D80,lst_Profil,0))+0,""))</f>
        <v/>
      </c>
      <c r="M80" s="24" t="str">
        <f aca="false">IF($D80="","",IFERROR(INDEX(Profile!$E$5:$E$304,MATCH($D80,lst_Profil,0))+0,""))</f>
        <v/>
      </c>
      <c r="N80" s="25" t="str">
        <f aca="false">IF(OR(L80="",$E80=""),"",IFERROR(L80*INDEX(Werkstoffe!$E$5:$E$304,MATCH($E80,lst_Werkstoff,0))/1000,""))</f>
        <v/>
      </c>
      <c r="O80" s="25" t="str">
        <f aca="false">IF(OR(N80="",$F80=""),"",N80*$F80/1000)</f>
        <v/>
      </c>
      <c r="P80" s="16" t="str">
        <f aca="false">IF(OR($F80="",$G80=""),"",$F80*$G80)</f>
        <v/>
      </c>
      <c r="Q80" s="16" t="str">
        <f aca="false">IF($D80="","",IF($J80&lt;&gt;"",$J80,$C$9))</f>
        <v/>
      </c>
      <c r="R80" s="12" t="str">
        <f aca="false">IF($D80="","",IFERROR(IF(INDEX(Profile!$G$5:$G$304,MATCH($D80,lst_Profil,0))&lt;&gt;"",INDEX(Profile!$G$5:$G$304,MATCH($D80,lst_Profil,0)),$H$4),$H$4))</f>
        <v/>
      </c>
      <c r="S80" s="12" t="str">
        <f aca="false">IF($D80="","",IFERROR(IF(INDEX(Profile!$H$5:$H$304,MATCH($D80,lst_Profil,0))&lt;&gt;"",INDEX(Profile!$H$5:$H$304,MATCH($D80,lst_Profil,0)),$H$5),$H$5))</f>
        <v/>
      </c>
      <c r="T80" s="16" t="str">
        <f aca="false">IF(OR(Q80="",NOT(ISNUMBER(R80)),NOT(ISNUMBER(S80))),"",Q80-R80-S80)</f>
        <v/>
      </c>
      <c r="U80" s="26" t="str">
        <f aca="false">IF(OR($D80="",$E80=""),"",IF(COUNTIFS(Preise!$A$5:$A$304,$D80,Preise!$B$5:$B$304,$E80,Preise!$I$5:$I$304,"OK")&gt;0,"ja","nein"))</f>
        <v/>
      </c>
      <c r="V80" s="15" t="str">
        <f aca="false">IF(OR(M80="",$E80="",$C$8=""),"",IF(_xlfn.MINIFS(Schneiddaten!$C$5:$C$304,Schneiddaten!$A$5:$A$304,$C$8,Schneiddaten!$B$5:$B$304,$E80,Schneiddaten!$C$5:$C$304,"&gt;="&amp;M80)=0,"",SUMIFS(Schneiddaten!$D$5:$D$304,Schneiddaten!$A$5:$A$304,$C$8,Schneiddaten!$B$5:$B$304,$E80,Schneiddaten!$C$5:$C$304,_xlfn.MINIFS(Schneiddaten!$C$5:$C$304,Schneiddaten!$A$5:$A$304,$C$8,Schneiddaten!$B$5:$B$304,$E80,Schneiddaten!$C$5:$C$304,"&gt;="&amp;M80))))</f>
        <v/>
      </c>
      <c r="W80" s="26" t="str">
        <f aca="false">IF(AND($D80="",$E80="",$F80="",$G80=""),"",IF(ISNA(MATCH($D80,lst_Profil,0)),"FEHLER: Profil unbekannt",IF(ISNA(MATCH($E80,lst_Werkstoff,0)),"FEHLER: Werkstoff unbekannt",IF(NOT(ISNUMBER(L80)),"FEHLER: Querschnitt fehlt (Profil)",IF(OR($F80="",$F80&lt;=0),"FEHLER: Teilelänge fehlt",IF(OR($G80="",$G80&lt;1),"FEHLER: Stückzahl fehlt",IF(NOT(ISNUMBER($H$4)),"FEHLER: Maschine fehlt/unbekannt",IF(Q80&gt;$H$7,"FEHLER: Stange länger als Maschine zulässt",IF($F80+$H$6&gt;T80,"FEHLER: Teil länger als Nutzlänge",IF(U80="nein","WARNUNG: kein gültiger Materialpreis",IF($H80="","HINWEIS: Schneidweg fehlt",IF(V80="","HINWEIS: keine Schneiddaten",IF(AND($AF80&lt;&gt;"",$AG80=""),"HINWEIS: Gewinde-Vorschlag prüfen","OK")))))))))))))</f>
        <v/>
      </c>
      <c r="X80" s="18" t="str">
        <f aca="false">IF(OR(O80="",$G80=""),"",O80*$G80)</f>
        <v/>
      </c>
      <c r="Y80" s="10"/>
      <c r="Z80" s="21"/>
      <c r="AA80" s="10"/>
      <c r="AB80" s="21"/>
      <c r="AC80" s="21"/>
      <c r="AD80" s="21"/>
      <c r="AE80" s="10"/>
      <c r="AF80" s="10"/>
      <c r="AG80" s="10"/>
      <c r="AH80" s="22"/>
      <c r="AI80" s="21"/>
      <c r="AJ80" s="22"/>
      <c r="AK80" s="21"/>
      <c r="AL80" s="22"/>
      <c r="AM80" s="21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21"/>
      <c r="G81" s="19"/>
      <c r="H81" s="21"/>
      <c r="I81" s="22"/>
      <c r="J81" s="19"/>
      <c r="K81" s="23" t="str">
        <f aca="false">IF($D81="","",IFERROR(INDEX(Profile!$B$5:$B$304,MATCH($D81,lst_Profil,0)),""))</f>
        <v/>
      </c>
      <c r="L81" s="13" t="str">
        <f aca="false">IF($D81="","",IFERROR(INDEX(Profile!$K$5:$K$304,MATCH($D81,lst_Profil,0))+0,""))</f>
        <v/>
      </c>
      <c r="M81" s="24" t="str">
        <f aca="false">IF($D81="","",IFERROR(INDEX(Profile!$E$5:$E$304,MATCH($D81,lst_Profil,0))+0,""))</f>
        <v/>
      </c>
      <c r="N81" s="25" t="str">
        <f aca="false">IF(OR(L81="",$E81=""),"",IFERROR(L81*INDEX(Werkstoffe!$E$5:$E$304,MATCH($E81,lst_Werkstoff,0))/1000,""))</f>
        <v/>
      </c>
      <c r="O81" s="25" t="str">
        <f aca="false">IF(OR(N81="",$F81=""),"",N81*$F81/1000)</f>
        <v/>
      </c>
      <c r="P81" s="16" t="str">
        <f aca="false">IF(OR($F81="",$G81=""),"",$F81*$G81)</f>
        <v/>
      </c>
      <c r="Q81" s="16" t="str">
        <f aca="false">IF($D81="","",IF($J81&lt;&gt;"",$J81,$C$9))</f>
        <v/>
      </c>
      <c r="R81" s="12" t="str">
        <f aca="false">IF($D81="","",IFERROR(IF(INDEX(Profile!$G$5:$G$304,MATCH($D81,lst_Profil,0))&lt;&gt;"",INDEX(Profile!$G$5:$G$304,MATCH($D81,lst_Profil,0)),$H$4),$H$4))</f>
        <v/>
      </c>
      <c r="S81" s="12" t="str">
        <f aca="false">IF($D81="","",IFERROR(IF(INDEX(Profile!$H$5:$H$304,MATCH($D81,lst_Profil,0))&lt;&gt;"",INDEX(Profile!$H$5:$H$304,MATCH($D81,lst_Profil,0)),$H$5),$H$5))</f>
        <v/>
      </c>
      <c r="T81" s="16" t="str">
        <f aca="false">IF(OR(Q81="",NOT(ISNUMBER(R81)),NOT(ISNUMBER(S81))),"",Q81-R81-S81)</f>
        <v/>
      </c>
      <c r="U81" s="26" t="str">
        <f aca="false">IF(OR($D81="",$E81=""),"",IF(COUNTIFS(Preise!$A$5:$A$304,$D81,Preise!$B$5:$B$304,$E81,Preise!$I$5:$I$304,"OK")&gt;0,"ja","nein"))</f>
        <v/>
      </c>
      <c r="V81" s="15" t="str">
        <f aca="false">IF(OR(M81="",$E81="",$C$8=""),"",IF(_xlfn.MINIFS(Schneiddaten!$C$5:$C$304,Schneiddaten!$A$5:$A$304,$C$8,Schneiddaten!$B$5:$B$304,$E81,Schneiddaten!$C$5:$C$304,"&gt;="&amp;M81)=0,"",SUMIFS(Schneiddaten!$D$5:$D$304,Schneiddaten!$A$5:$A$304,$C$8,Schneiddaten!$B$5:$B$304,$E81,Schneiddaten!$C$5:$C$304,_xlfn.MINIFS(Schneiddaten!$C$5:$C$304,Schneiddaten!$A$5:$A$304,$C$8,Schneiddaten!$B$5:$B$304,$E81,Schneiddaten!$C$5:$C$304,"&gt;="&amp;M81))))</f>
        <v/>
      </c>
      <c r="W81" s="26" t="str">
        <f aca="false">IF(AND($D81="",$E81="",$F81="",$G81=""),"",IF(ISNA(MATCH($D81,lst_Profil,0)),"FEHLER: Profil unbekannt",IF(ISNA(MATCH($E81,lst_Werkstoff,0)),"FEHLER: Werkstoff unbekannt",IF(NOT(ISNUMBER(L81)),"FEHLER: Querschnitt fehlt (Profil)",IF(OR($F81="",$F81&lt;=0),"FEHLER: Teilelänge fehlt",IF(OR($G81="",$G81&lt;1),"FEHLER: Stückzahl fehlt",IF(NOT(ISNUMBER($H$4)),"FEHLER: Maschine fehlt/unbekannt",IF(Q81&gt;$H$7,"FEHLER: Stange länger als Maschine zulässt",IF($F81+$H$6&gt;T81,"FEHLER: Teil länger als Nutzlänge",IF(U81="nein","WARNUNG: kein gültiger Materialpreis",IF($H81="","HINWEIS: Schneidweg fehlt",IF(V81="","HINWEIS: keine Schneiddaten",IF(AND($AF81&lt;&gt;"",$AG81=""),"HINWEIS: Gewinde-Vorschlag prüfen","OK")))))))))))))</f>
        <v/>
      </c>
      <c r="X81" s="18" t="str">
        <f aca="false">IF(OR(O81="",$G81=""),"",O81*$G81)</f>
        <v/>
      </c>
      <c r="Y81" s="10"/>
      <c r="Z81" s="21"/>
      <c r="AA81" s="10"/>
      <c r="AB81" s="21"/>
      <c r="AC81" s="21"/>
      <c r="AD81" s="21"/>
      <c r="AE81" s="10"/>
      <c r="AF81" s="10"/>
      <c r="AG81" s="10"/>
      <c r="AH81" s="22"/>
      <c r="AI81" s="21"/>
      <c r="AJ81" s="22"/>
      <c r="AK81" s="21"/>
      <c r="AL81" s="22"/>
      <c r="AM81" s="21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21"/>
      <c r="G82" s="19"/>
      <c r="H82" s="21"/>
      <c r="I82" s="22"/>
      <c r="J82" s="19"/>
      <c r="K82" s="23" t="str">
        <f aca="false">IF($D82="","",IFERROR(INDEX(Profile!$B$5:$B$304,MATCH($D82,lst_Profil,0)),""))</f>
        <v/>
      </c>
      <c r="L82" s="13" t="str">
        <f aca="false">IF($D82="","",IFERROR(INDEX(Profile!$K$5:$K$304,MATCH($D82,lst_Profil,0))+0,""))</f>
        <v/>
      </c>
      <c r="M82" s="24" t="str">
        <f aca="false">IF($D82="","",IFERROR(INDEX(Profile!$E$5:$E$304,MATCH($D82,lst_Profil,0))+0,""))</f>
        <v/>
      </c>
      <c r="N82" s="25" t="str">
        <f aca="false">IF(OR(L82="",$E82=""),"",IFERROR(L82*INDEX(Werkstoffe!$E$5:$E$304,MATCH($E82,lst_Werkstoff,0))/1000,""))</f>
        <v/>
      </c>
      <c r="O82" s="25" t="str">
        <f aca="false">IF(OR(N82="",$F82=""),"",N82*$F82/1000)</f>
        <v/>
      </c>
      <c r="P82" s="16" t="str">
        <f aca="false">IF(OR($F82="",$G82=""),"",$F82*$G82)</f>
        <v/>
      </c>
      <c r="Q82" s="16" t="str">
        <f aca="false">IF($D82="","",IF($J82&lt;&gt;"",$J82,$C$9))</f>
        <v/>
      </c>
      <c r="R82" s="12" t="str">
        <f aca="false">IF($D82="","",IFERROR(IF(INDEX(Profile!$G$5:$G$304,MATCH($D82,lst_Profil,0))&lt;&gt;"",INDEX(Profile!$G$5:$G$304,MATCH($D82,lst_Profil,0)),$H$4),$H$4))</f>
        <v/>
      </c>
      <c r="S82" s="12" t="str">
        <f aca="false">IF($D82="","",IFERROR(IF(INDEX(Profile!$H$5:$H$304,MATCH($D82,lst_Profil,0))&lt;&gt;"",INDEX(Profile!$H$5:$H$304,MATCH($D82,lst_Profil,0)),$H$5),$H$5))</f>
        <v/>
      </c>
      <c r="T82" s="16" t="str">
        <f aca="false">IF(OR(Q82="",NOT(ISNUMBER(R82)),NOT(ISNUMBER(S82))),"",Q82-R82-S82)</f>
        <v/>
      </c>
      <c r="U82" s="26" t="str">
        <f aca="false">IF(OR($D82="",$E82=""),"",IF(COUNTIFS(Preise!$A$5:$A$304,$D82,Preise!$B$5:$B$304,$E82,Preise!$I$5:$I$304,"OK")&gt;0,"ja","nein"))</f>
        <v/>
      </c>
      <c r="V82" s="15" t="str">
        <f aca="false">IF(OR(M82="",$E82="",$C$8=""),"",IF(_xlfn.MINIFS(Schneiddaten!$C$5:$C$304,Schneiddaten!$A$5:$A$304,$C$8,Schneiddaten!$B$5:$B$304,$E82,Schneiddaten!$C$5:$C$304,"&gt;="&amp;M82)=0,"",SUMIFS(Schneiddaten!$D$5:$D$304,Schneiddaten!$A$5:$A$304,$C$8,Schneiddaten!$B$5:$B$304,$E82,Schneiddaten!$C$5:$C$304,_xlfn.MINIFS(Schneiddaten!$C$5:$C$304,Schneiddaten!$A$5:$A$304,$C$8,Schneiddaten!$B$5:$B$304,$E82,Schneiddaten!$C$5:$C$304,"&gt;="&amp;M82))))</f>
        <v/>
      </c>
      <c r="W82" s="26" t="str">
        <f aca="false">IF(AND($D82="",$E82="",$F82="",$G82=""),"",IF(ISNA(MATCH($D82,lst_Profil,0)),"FEHLER: Profil unbekannt",IF(ISNA(MATCH($E82,lst_Werkstoff,0)),"FEHLER: Werkstoff unbekannt",IF(NOT(ISNUMBER(L82)),"FEHLER: Querschnitt fehlt (Profil)",IF(OR($F82="",$F82&lt;=0),"FEHLER: Teilelänge fehlt",IF(OR($G82="",$G82&lt;1),"FEHLER: Stückzahl fehlt",IF(NOT(ISNUMBER($H$4)),"FEHLER: Maschine fehlt/unbekannt",IF(Q82&gt;$H$7,"FEHLER: Stange länger als Maschine zulässt",IF($F82+$H$6&gt;T82,"FEHLER: Teil länger als Nutzlänge",IF(U82="nein","WARNUNG: kein gültiger Materialpreis",IF($H82="","HINWEIS: Schneidweg fehlt",IF(V82="","HINWEIS: keine Schneiddaten",IF(AND($AF82&lt;&gt;"",$AG82=""),"HINWEIS: Gewinde-Vorschlag prüfen","OK")))))))))))))</f>
        <v/>
      </c>
      <c r="X82" s="18" t="str">
        <f aca="false">IF(OR(O82="",$G82=""),"",O82*$G82)</f>
        <v/>
      </c>
      <c r="Y82" s="10"/>
      <c r="Z82" s="21"/>
      <c r="AA82" s="10"/>
      <c r="AB82" s="21"/>
      <c r="AC82" s="21"/>
      <c r="AD82" s="21"/>
      <c r="AE82" s="10"/>
      <c r="AF82" s="10"/>
      <c r="AG82" s="10"/>
      <c r="AH82" s="22"/>
      <c r="AI82" s="21"/>
      <c r="AJ82" s="22"/>
      <c r="AK82" s="21"/>
      <c r="AL82" s="22"/>
      <c r="AM82" s="21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21"/>
      <c r="G83" s="19"/>
      <c r="H83" s="21"/>
      <c r="I83" s="22"/>
      <c r="J83" s="19"/>
      <c r="K83" s="23" t="str">
        <f aca="false">IF($D83="","",IFERROR(INDEX(Profile!$B$5:$B$304,MATCH($D83,lst_Profil,0)),""))</f>
        <v/>
      </c>
      <c r="L83" s="13" t="str">
        <f aca="false">IF($D83="","",IFERROR(INDEX(Profile!$K$5:$K$304,MATCH($D83,lst_Profil,0))+0,""))</f>
        <v/>
      </c>
      <c r="M83" s="24" t="str">
        <f aca="false">IF($D83="","",IFERROR(INDEX(Profile!$E$5:$E$304,MATCH($D83,lst_Profil,0))+0,""))</f>
        <v/>
      </c>
      <c r="N83" s="25" t="str">
        <f aca="false">IF(OR(L83="",$E83=""),"",IFERROR(L83*INDEX(Werkstoffe!$E$5:$E$304,MATCH($E83,lst_Werkstoff,0))/1000,""))</f>
        <v/>
      </c>
      <c r="O83" s="25" t="str">
        <f aca="false">IF(OR(N83="",$F83=""),"",N83*$F83/1000)</f>
        <v/>
      </c>
      <c r="P83" s="16" t="str">
        <f aca="false">IF(OR($F83="",$G83=""),"",$F83*$G83)</f>
        <v/>
      </c>
      <c r="Q83" s="16" t="str">
        <f aca="false">IF($D83="","",IF($J83&lt;&gt;"",$J83,$C$9))</f>
        <v/>
      </c>
      <c r="R83" s="12" t="str">
        <f aca="false">IF($D83="","",IFERROR(IF(INDEX(Profile!$G$5:$G$304,MATCH($D83,lst_Profil,0))&lt;&gt;"",INDEX(Profile!$G$5:$G$304,MATCH($D83,lst_Profil,0)),$H$4),$H$4))</f>
        <v/>
      </c>
      <c r="S83" s="12" t="str">
        <f aca="false">IF($D83="","",IFERROR(IF(INDEX(Profile!$H$5:$H$304,MATCH($D83,lst_Profil,0))&lt;&gt;"",INDEX(Profile!$H$5:$H$304,MATCH($D83,lst_Profil,0)),$H$5),$H$5))</f>
        <v/>
      </c>
      <c r="T83" s="16" t="str">
        <f aca="false">IF(OR(Q83="",NOT(ISNUMBER(R83)),NOT(ISNUMBER(S83))),"",Q83-R83-S83)</f>
        <v/>
      </c>
      <c r="U83" s="26" t="str">
        <f aca="false">IF(OR($D83="",$E83=""),"",IF(COUNTIFS(Preise!$A$5:$A$304,$D83,Preise!$B$5:$B$304,$E83,Preise!$I$5:$I$304,"OK")&gt;0,"ja","nein"))</f>
        <v/>
      </c>
      <c r="V83" s="15" t="str">
        <f aca="false">IF(OR(M83="",$E83="",$C$8=""),"",IF(_xlfn.MINIFS(Schneiddaten!$C$5:$C$304,Schneiddaten!$A$5:$A$304,$C$8,Schneiddaten!$B$5:$B$304,$E83,Schneiddaten!$C$5:$C$304,"&gt;="&amp;M83)=0,"",SUMIFS(Schneiddaten!$D$5:$D$304,Schneiddaten!$A$5:$A$304,$C$8,Schneiddaten!$B$5:$B$304,$E83,Schneiddaten!$C$5:$C$304,_xlfn.MINIFS(Schneiddaten!$C$5:$C$304,Schneiddaten!$A$5:$A$304,$C$8,Schneiddaten!$B$5:$B$304,$E83,Schneiddaten!$C$5:$C$304,"&gt;="&amp;M83))))</f>
        <v/>
      </c>
      <c r="W83" s="26" t="str">
        <f aca="false">IF(AND($D83="",$E83="",$F83="",$G83=""),"",IF(ISNA(MATCH($D83,lst_Profil,0)),"FEHLER: Profil unbekannt",IF(ISNA(MATCH($E83,lst_Werkstoff,0)),"FEHLER: Werkstoff unbekannt",IF(NOT(ISNUMBER(L83)),"FEHLER: Querschnitt fehlt (Profil)",IF(OR($F83="",$F83&lt;=0),"FEHLER: Teilelänge fehlt",IF(OR($G83="",$G83&lt;1),"FEHLER: Stückzahl fehlt",IF(NOT(ISNUMBER($H$4)),"FEHLER: Maschine fehlt/unbekannt",IF(Q83&gt;$H$7,"FEHLER: Stange länger als Maschine zulässt",IF($F83+$H$6&gt;T83,"FEHLER: Teil länger als Nutzlänge",IF(U83="nein","WARNUNG: kein gültiger Materialpreis",IF($H83="","HINWEIS: Schneidweg fehlt",IF(V83="","HINWEIS: keine Schneiddaten",IF(AND($AF83&lt;&gt;"",$AG83=""),"HINWEIS: Gewinde-Vorschlag prüfen","OK")))))))))))))</f>
        <v/>
      </c>
      <c r="X83" s="18" t="str">
        <f aca="false">IF(OR(O83="",$G83=""),"",O83*$G83)</f>
        <v/>
      </c>
      <c r="Y83" s="10"/>
      <c r="Z83" s="21"/>
      <c r="AA83" s="10"/>
      <c r="AB83" s="21"/>
      <c r="AC83" s="21"/>
      <c r="AD83" s="21"/>
      <c r="AE83" s="10"/>
      <c r="AF83" s="10"/>
      <c r="AG83" s="10"/>
      <c r="AH83" s="22"/>
      <c r="AI83" s="21"/>
      <c r="AJ83" s="22"/>
      <c r="AK83" s="21"/>
      <c r="AL83" s="22"/>
      <c r="AM83" s="21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21"/>
      <c r="G84" s="19"/>
      <c r="H84" s="21"/>
      <c r="I84" s="22"/>
      <c r="J84" s="19"/>
      <c r="K84" s="23" t="str">
        <f aca="false">IF($D84="","",IFERROR(INDEX(Profile!$B$5:$B$304,MATCH($D84,lst_Profil,0)),""))</f>
        <v/>
      </c>
      <c r="L84" s="13" t="str">
        <f aca="false">IF($D84="","",IFERROR(INDEX(Profile!$K$5:$K$304,MATCH($D84,lst_Profil,0))+0,""))</f>
        <v/>
      </c>
      <c r="M84" s="24" t="str">
        <f aca="false">IF($D84="","",IFERROR(INDEX(Profile!$E$5:$E$304,MATCH($D84,lst_Profil,0))+0,""))</f>
        <v/>
      </c>
      <c r="N84" s="25" t="str">
        <f aca="false">IF(OR(L84="",$E84=""),"",IFERROR(L84*INDEX(Werkstoffe!$E$5:$E$304,MATCH($E84,lst_Werkstoff,0))/1000,""))</f>
        <v/>
      </c>
      <c r="O84" s="25" t="str">
        <f aca="false">IF(OR(N84="",$F84=""),"",N84*$F84/1000)</f>
        <v/>
      </c>
      <c r="P84" s="16" t="str">
        <f aca="false">IF(OR($F84="",$G84=""),"",$F84*$G84)</f>
        <v/>
      </c>
      <c r="Q84" s="16" t="str">
        <f aca="false">IF($D84="","",IF($J84&lt;&gt;"",$J84,$C$9))</f>
        <v/>
      </c>
      <c r="R84" s="12" t="str">
        <f aca="false">IF($D84="","",IFERROR(IF(INDEX(Profile!$G$5:$G$304,MATCH($D84,lst_Profil,0))&lt;&gt;"",INDEX(Profile!$G$5:$G$304,MATCH($D84,lst_Profil,0)),$H$4),$H$4))</f>
        <v/>
      </c>
      <c r="S84" s="12" t="str">
        <f aca="false">IF($D84="","",IFERROR(IF(INDEX(Profile!$H$5:$H$304,MATCH($D84,lst_Profil,0))&lt;&gt;"",INDEX(Profile!$H$5:$H$304,MATCH($D84,lst_Profil,0)),$H$5),$H$5))</f>
        <v/>
      </c>
      <c r="T84" s="16" t="str">
        <f aca="false">IF(OR(Q84="",NOT(ISNUMBER(R84)),NOT(ISNUMBER(S84))),"",Q84-R84-S84)</f>
        <v/>
      </c>
      <c r="U84" s="26" t="str">
        <f aca="false">IF(OR($D84="",$E84=""),"",IF(COUNTIFS(Preise!$A$5:$A$304,$D84,Preise!$B$5:$B$304,$E84,Preise!$I$5:$I$304,"OK")&gt;0,"ja","nein"))</f>
        <v/>
      </c>
      <c r="V84" s="15" t="str">
        <f aca="false">IF(OR(M84="",$E84="",$C$8=""),"",IF(_xlfn.MINIFS(Schneiddaten!$C$5:$C$304,Schneiddaten!$A$5:$A$304,$C$8,Schneiddaten!$B$5:$B$304,$E84,Schneiddaten!$C$5:$C$304,"&gt;="&amp;M84)=0,"",SUMIFS(Schneiddaten!$D$5:$D$304,Schneiddaten!$A$5:$A$304,$C$8,Schneiddaten!$B$5:$B$304,$E84,Schneiddaten!$C$5:$C$304,_xlfn.MINIFS(Schneiddaten!$C$5:$C$304,Schneiddaten!$A$5:$A$304,$C$8,Schneiddaten!$B$5:$B$304,$E84,Schneiddaten!$C$5:$C$304,"&gt;="&amp;M84))))</f>
        <v/>
      </c>
      <c r="W84" s="26" t="str">
        <f aca="false">IF(AND($D84="",$E84="",$F84="",$G84=""),"",IF(ISNA(MATCH($D84,lst_Profil,0)),"FEHLER: Profil unbekannt",IF(ISNA(MATCH($E84,lst_Werkstoff,0)),"FEHLER: Werkstoff unbekannt",IF(NOT(ISNUMBER(L84)),"FEHLER: Querschnitt fehlt (Profil)",IF(OR($F84="",$F84&lt;=0),"FEHLER: Teilelänge fehlt",IF(OR($G84="",$G84&lt;1),"FEHLER: Stückzahl fehlt",IF(NOT(ISNUMBER($H$4)),"FEHLER: Maschine fehlt/unbekannt",IF(Q84&gt;$H$7,"FEHLER: Stange länger als Maschine zulässt",IF($F84+$H$6&gt;T84,"FEHLER: Teil länger als Nutzlänge",IF(U84="nein","WARNUNG: kein gültiger Materialpreis",IF($H84="","HINWEIS: Schneidweg fehlt",IF(V84="","HINWEIS: keine Schneiddaten",IF(AND($AF84&lt;&gt;"",$AG84=""),"HINWEIS: Gewinde-Vorschlag prüfen","OK")))))))))))))</f>
        <v/>
      </c>
      <c r="X84" s="18" t="str">
        <f aca="false">IF(OR(O84="",$G84=""),"",O84*$G84)</f>
        <v/>
      </c>
      <c r="Y84" s="10"/>
      <c r="Z84" s="21"/>
      <c r="AA84" s="10"/>
      <c r="AB84" s="21"/>
      <c r="AC84" s="21"/>
      <c r="AD84" s="21"/>
      <c r="AE84" s="10"/>
      <c r="AF84" s="10"/>
      <c r="AG84" s="10"/>
      <c r="AH84" s="22"/>
      <c r="AI84" s="21"/>
      <c r="AJ84" s="22"/>
      <c r="AK84" s="21"/>
      <c r="AL84" s="22"/>
      <c r="AM84" s="21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21"/>
      <c r="G85" s="19"/>
      <c r="H85" s="21"/>
      <c r="I85" s="22"/>
      <c r="J85" s="19"/>
      <c r="K85" s="23" t="str">
        <f aca="false">IF($D85="","",IFERROR(INDEX(Profile!$B$5:$B$304,MATCH($D85,lst_Profil,0)),""))</f>
        <v/>
      </c>
      <c r="L85" s="13" t="str">
        <f aca="false">IF($D85="","",IFERROR(INDEX(Profile!$K$5:$K$304,MATCH($D85,lst_Profil,0))+0,""))</f>
        <v/>
      </c>
      <c r="M85" s="24" t="str">
        <f aca="false">IF($D85="","",IFERROR(INDEX(Profile!$E$5:$E$304,MATCH($D85,lst_Profil,0))+0,""))</f>
        <v/>
      </c>
      <c r="N85" s="25" t="str">
        <f aca="false">IF(OR(L85="",$E85=""),"",IFERROR(L85*INDEX(Werkstoffe!$E$5:$E$304,MATCH($E85,lst_Werkstoff,0))/1000,""))</f>
        <v/>
      </c>
      <c r="O85" s="25" t="str">
        <f aca="false">IF(OR(N85="",$F85=""),"",N85*$F85/1000)</f>
        <v/>
      </c>
      <c r="P85" s="16" t="str">
        <f aca="false">IF(OR($F85="",$G85=""),"",$F85*$G85)</f>
        <v/>
      </c>
      <c r="Q85" s="16" t="str">
        <f aca="false">IF($D85="","",IF($J85&lt;&gt;"",$J85,$C$9))</f>
        <v/>
      </c>
      <c r="R85" s="12" t="str">
        <f aca="false">IF($D85="","",IFERROR(IF(INDEX(Profile!$G$5:$G$304,MATCH($D85,lst_Profil,0))&lt;&gt;"",INDEX(Profile!$G$5:$G$304,MATCH($D85,lst_Profil,0)),$H$4),$H$4))</f>
        <v/>
      </c>
      <c r="S85" s="12" t="str">
        <f aca="false">IF($D85="","",IFERROR(IF(INDEX(Profile!$H$5:$H$304,MATCH($D85,lst_Profil,0))&lt;&gt;"",INDEX(Profile!$H$5:$H$304,MATCH($D85,lst_Profil,0)),$H$5),$H$5))</f>
        <v/>
      </c>
      <c r="T85" s="16" t="str">
        <f aca="false">IF(OR(Q85="",NOT(ISNUMBER(R85)),NOT(ISNUMBER(S85))),"",Q85-R85-S85)</f>
        <v/>
      </c>
      <c r="U85" s="26" t="str">
        <f aca="false">IF(OR($D85="",$E85=""),"",IF(COUNTIFS(Preise!$A$5:$A$304,$D85,Preise!$B$5:$B$304,$E85,Preise!$I$5:$I$304,"OK")&gt;0,"ja","nein"))</f>
        <v/>
      </c>
      <c r="V85" s="15" t="str">
        <f aca="false">IF(OR(M85="",$E85="",$C$8=""),"",IF(_xlfn.MINIFS(Schneiddaten!$C$5:$C$304,Schneiddaten!$A$5:$A$304,$C$8,Schneiddaten!$B$5:$B$304,$E85,Schneiddaten!$C$5:$C$304,"&gt;="&amp;M85)=0,"",SUMIFS(Schneiddaten!$D$5:$D$304,Schneiddaten!$A$5:$A$304,$C$8,Schneiddaten!$B$5:$B$304,$E85,Schneiddaten!$C$5:$C$304,_xlfn.MINIFS(Schneiddaten!$C$5:$C$304,Schneiddaten!$A$5:$A$304,$C$8,Schneiddaten!$B$5:$B$304,$E85,Schneiddaten!$C$5:$C$304,"&gt;="&amp;M85))))</f>
        <v/>
      </c>
      <c r="W85" s="26" t="str">
        <f aca="false">IF(AND($D85="",$E85="",$F85="",$G85=""),"",IF(ISNA(MATCH($D85,lst_Profil,0)),"FEHLER: Profil unbekannt",IF(ISNA(MATCH($E85,lst_Werkstoff,0)),"FEHLER: Werkstoff unbekannt",IF(NOT(ISNUMBER(L85)),"FEHLER: Querschnitt fehlt (Profil)",IF(OR($F85="",$F85&lt;=0),"FEHLER: Teilelänge fehlt",IF(OR($G85="",$G85&lt;1),"FEHLER: Stückzahl fehlt",IF(NOT(ISNUMBER($H$4)),"FEHLER: Maschine fehlt/unbekannt",IF(Q85&gt;$H$7,"FEHLER: Stange länger als Maschine zulässt",IF($F85+$H$6&gt;T85,"FEHLER: Teil länger als Nutzlänge",IF(U85="nein","WARNUNG: kein gültiger Materialpreis",IF($H85="","HINWEIS: Schneidweg fehlt",IF(V85="","HINWEIS: keine Schneiddaten",IF(AND($AF85&lt;&gt;"",$AG85=""),"HINWEIS: Gewinde-Vorschlag prüfen","OK")))))))))))))</f>
        <v/>
      </c>
      <c r="X85" s="18" t="str">
        <f aca="false">IF(OR(O85="",$G85=""),"",O85*$G85)</f>
        <v/>
      </c>
      <c r="Y85" s="10"/>
      <c r="Z85" s="21"/>
      <c r="AA85" s="10"/>
      <c r="AB85" s="21"/>
      <c r="AC85" s="21"/>
      <c r="AD85" s="21"/>
      <c r="AE85" s="10"/>
      <c r="AF85" s="10"/>
      <c r="AG85" s="10"/>
      <c r="AH85" s="22"/>
      <c r="AI85" s="21"/>
      <c r="AJ85" s="22"/>
      <c r="AK85" s="21"/>
      <c r="AL85" s="22"/>
      <c r="AM85" s="21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21"/>
      <c r="G86" s="19"/>
      <c r="H86" s="21"/>
      <c r="I86" s="22"/>
      <c r="J86" s="19"/>
      <c r="K86" s="23" t="str">
        <f aca="false">IF($D86="","",IFERROR(INDEX(Profile!$B$5:$B$304,MATCH($D86,lst_Profil,0)),""))</f>
        <v/>
      </c>
      <c r="L86" s="13" t="str">
        <f aca="false">IF($D86="","",IFERROR(INDEX(Profile!$K$5:$K$304,MATCH($D86,lst_Profil,0))+0,""))</f>
        <v/>
      </c>
      <c r="M86" s="24" t="str">
        <f aca="false">IF($D86="","",IFERROR(INDEX(Profile!$E$5:$E$304,MATCH($D86,lst_Profil,0))+0,""))</f>
        <v/>
      </c>
      <c r="N86" s="25" t="str">
        <f aca="false">IF(OR(L86="",$E86=""),"",IFERROR(L86*INDEX(Werkstoffe!$E$5:$E$304,MATCH($E86,lst_Werkstoff,0))/1000,""))</f>
        <v/>
      </c>
      <c r="O86" s="25" t="str">
        <f aca="false">IF(OR(N86="",$F86=""),"",N86*$F86/1000)</f>
        <v/>
      </c>
      <c r="P86" s="16" t="str">
        <f aca="false">IF(OR($F86="",$G86=""),"",$F86*$G86)</f>
        <v/>
      </c>
      <c r="Q86" s="16" t="str">
        <f aca="false">IF($D86="","",IF($J86&lt;&gt;"",$J86,$C$9))</f>
        <v/>
      </c>
      <c r="R86" s="12" t="str">
        <f aca="false">IF($D86="","",IFERROR(IF(INDEX(Profile!$G$5:$G$304,MATCH($D86,lst_Profil,0))&lt;&gt;"",INDEX(Profile!$G$5:$G$304,MATCH($D86,lst_Profil,0)),$H$4),$H$4))</f>
        <v/>
      </c>
      <c r="S86" s="12" t="str">
        <f aca="false">IF($D86="","",IFERROR(IF(INDEX(Profile!$H$5:$H$304,MATCH($D86,lst_Profil,0))&lt;&gt;"",INDEX(Profile!$H$5:$H$304,MATCH($D86,lst_Profil,0)),$H$5),$H$5))</f>
        <v/>
      </c>
      <c r="T86" s="16" t="str">
        <f aca="false">IF(OR(Q86="",NOT(ISNUMBER(R86)),NOT(ISNUMBER(S86))),"",Q86-R86-S86)</f>
        <v/>
      </c>
      <c r="U86" s="26" t="str">
        <f aca="false">IF(OR($D86="",$E86=""),"",IF(COUNTIFS(Preise!$A$5:$A$304,$D86,Preise!$B$5:$B$304,$E86,Preise!$I$5:$I$304,"OK")&gt;0,"ja","nein"))</f>
        <v/>
      </c>
      <c r="V86" s="15" t="str">
        <f aca="false">IF(OR(M86="",$E86="",$C$8=""),"",IF(_xlfn.MINIFS(Schneiddaten!$C$5:$C$304,Schneiddaten!$A$5:$A$304,$C$8,Schneiddaten!$B$5:$B$304,$E86,Schneiddaten!$C$5:$C$304,"&gt;="&amp;M86)=0,"",SUMIFS(Schneiddaten!$D$5:$D$304,Schneiddaten!$A$5:$A$304,$C$8,Schneiddaten!$B$5:$B$304,$E86,Schneiddaten!$C$5:$C$304,_xlfn.MINIFS(Schneiddaten!$C$5:$C$304,Schneiddaten!$A$5:$A$304,$C$8,Schneiddaten!$B$5:$B$304,$E86,Schneiddaten!$C$5:$C$304,"&gt;="&amp;M86))))</f>
        <v/>
      </c>
      <c r="W86" s="26" t="str">
        <f aca="false">IF(AND($D86="",$E86="",$F86="",$G86=""),"",IF(ISNA(MATCH($D86,lst_Profil,0)),"FEHLER: Profil unbekannt",IF(ISNA(MATCH($E86,lst_Werkstoff,0)),"FEHLER: Werkstoff unbekannt",IF(NOT(ISNUMBER(L86)),"FEHLER: Querschnitt fehlt (Profil)",IF(OR($F86="",$F86&lt;=0),"FEHLER: Teilelänge fehlt",IF(OR($G86="",$G86&lt;1),"FEHLER: Stückzahl fehlt",IF(NOT(ISNUMBER($H$4)),"FEHLER: Maschine fehlt/unbekannt",IF(Q86&gt;$H$7,"FEHLER: Stange länger als Maschine zulässt",IF($F86+$H$6&gt;T86,"FEHLER: Teil länger als Nutzlänge",IF(U86="nein","WARNUNG: kein gültiger Materialpreis",IF($H86="","HINWEIS: Schneidweg fehlt",IF(V86="","HINWEIS: keine Schneiddaten",IF(AND($AF86&lt;&gt;"",$AG86=""),"HINWEIS: Gewinde-Vorschlag prüfen","OK")))))))))))))</f>
        <v/>
      </c>
      <c r="X86" s="18" t="str">
        <f aca="false">IF(OR(O86="",$G86=""),"",O86*$G86)</f>
        <v/>
      </c>
      <c r="Y86" s="10"/>
      <c r="Z86" s="21"/>
      <c r="AA86" s="10"/>
      <c r="AB86" s="21"/>
      <c r="AC86" s="21"/>
      <c r="AD86" s="21"/>
      <c r="AE86" s="10"/>
      <c r="AF86" s="10"/>
      <c r="AG86" s="10"/>
      <c r="AH86" s="22"/>
      <c r="AI86" s="21"/>
      <c r="AJ86" s="22"/>
      <c r="AK86" s="21"/>
      <c r="AL86" s="22"/>
      <c r="AM86" s="21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21"/>
      <c r="G87" s="19"/>
      <c r="H87" s="21"/>
      <c r="I87" s="22"/>
      <c r="J87" s="19"/>
      <c r="K87" s="23" t="str">
        <f aca="false">IF($D87="","",IFERROR(INDEX(Profile!$B$5:$B$304,MATCH($D87,lst_Profil,0)),""))</f>
        <v/>
      </c>
      <c r="L87" s="13" t="str">
        <f aca="false">IF($D87="","",IFERROR(INDEX(Profile!$K$5:$K$304,MATCH($D87,lst_Profil,0))+0,""))</f>
        <v/>
      </c>
      <c r="M87" s="24" t="str">
        <f aca="false">IF($D87="","",IFERROR(INDEX(Profile!$E$5:$E$304,MATCH($D87,lst_Profil,0))+0,""))</f>
        <v/>
      </c>
      <c r="N87" s="25" t="str">
        <f aca="false">IF(OR(L87="",$E87=""),"",IFERROR(L87*INDEX(Werkstoffe!$E$5:$E$304,MATCH($E87,lst_Werkstoff,0))/1000,""))</f>
        <v/>
      </c>
      <c r="O87" s="25" t="str">
        <f aca="false">IF(OR(N87="",$F87=""),"",N87*$F87/1000)</f>
        <v/>
      </c>
      <c r="P87" s="16" t="str">
        <f aca="false">IF(OR($F87="",$G87=""),"",$F87*$G87)</f>
        <v/>
      </c>
      <c r="Q87" s="16" t="str">
        <f aca="false">IF($D87="","",IF($J87&lt;&gt;"",$J87,$C$9))</f>
        <v/>
      </c>
      <c r="R87" s="12" t="str">
        <f aca="false">IF($D87="","",IFERROR(IF(INDEX(Profile!$G$5:$G$304,MATCH($D87,lst_Profil,0))&lt;&gt;"",INDEX(Profile!$G$5:$G$304,MATCH($D87,lst_Profil,0)),$H$4),$H$4))</f>
        <v/>
      </c>
      <c r="S87" s="12" t="str">
        <f aca="false">IF($D87="","",IFERROR(IF(INDEX(Profile!$H$5:$H$304,MATCH($D87,lst_Profil,0))&lt;&gt;"",INDEX(Profile!$H$5:$H$304,MATCH($D87,lst_Profil,0)),$H$5),$H$5))</f>
        <v/>
      </c>
      <c r="T87" s="16" t="str">
        <f aca="false">IF(OR(Q87="",NOT(ISNUMBER(R87)),NOT(ISNUMBER(S87))),"",Q87-R87-S87)</f>
        <v/>
      </c>
      <c r="U87" s="26" t="str">
        <f aca="false">IF(OR($D87="",$E87=""),"",IF(COUNTIFS(Preise!$A$5:$A$304,$D87,Preise!$B$5:$B$304,$E87,Preise!$I$5:$I$304,"OK")&gt;0,"ja","nein"))</f>
        <v/>
      </c>
      <c r="V87" s="15" t="str">
        <f aca="false">IF(OR(M87="",$E87="",$C$8=""),"",IF(_xlfn.MINIFS(Schneiddaten!$C$5:$C$304,Schneiddaten!$A$5:$A$304,$C$8,Schneiddaten!$B$5:$B$304,$E87,Schneiddaten!$C$5:$C$304,"&gt;="&amp;M87)=0,"",SUMIFS(Schneiddaten!$D$5:$D$304,Schneiddaten!$A$5:$A$304,$C$8,Schneiddaten!$B$5:$B$304,$E87,Schneiddaten!$C$5:$C$304,_xlfn.MINIFS(Schneiddaten!$C$5:$C$304,Schneiddaten!$A$5:$A$304,$C$8,Schneiddaten!$B$5:$B$304,$E87,Schneiddaten!$C$5:$C$304,"&gt;="&amp;M87))))</f>
        <v/>
      </c>
      <c r="W87" s="26" t="str">
        <f aca="false">IF(AND($D87="",$E87="",$F87="",$G87=""),"",IF(ISNA(MATCH($D87,lst_Profil,0)),"FEHLER: Profil unbekannt",IF(ISNA(MATCH($E87,lst_Werkstoff,0)),"FEHLER: Werkstoff unbekannt",IF(NOT(ISNUMBER(L87)),"FEHLER: Querschnitt fehlt (Profil)",IF(OR($F87="",$F87&lt;=0),"FEHLER: Teilelänge fehlt",IF(OR($G87="",$G87&lt;1),"FEHLER: Stückzahl fehlt",IF(NOT(ISNUMBER($H$4)),"FEHLER: Maschine fehlt/unbekannt",IF(Q87&gt;$H$7,"FEHLER: Stange länger als Maschine zulässt",IF($F87+$H$6&gt;T87,"FEHLER: Teil länger als Nutzlänge",IF(U87="nein","WARNUNG: kein gültiger Materialpreis",IF($H87="","HINWEIS: Schneidweg fehlt",IF(V87="","HINWEIS: keine Schneiddaten",IF(AND($AF87&lt;&gt;"",$AG87=""),"HINWEIS: Gewinde-Vorschlag prüfen","OK")))))))))))))</f>
        <v/>
      </c>
      <c r="X87" s="18" t="str">
        <f aca="false">IF(OR(O87="",$G87=""),"",O87*$G87)</f>
        <v/>
      </c>
      <c r="Y87" s="10"/>
      <c r="Z87" s="21"/>
      <c r="AA87" s="10"/>
      <c r="AB87" s="21"/>
      <c r="AC87" s="21"/>
      <c r="AD87" s="21"/>
      <c r="AE87" s="10"/>
      <c r="AF87" s="10"/>
      <c r="AG87" s="10"/>
      <c r="AH87" s="22"/>
      <c r="AI87" s="21"/>
      <c r="AJ87" s="22"/>
      <c r="AK87" s="21"/>
      <c r="AL87" s="22"/>
      <c r="AM87" s="21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21"/>
      <c r="G88" s="19"/>
      <c r="H88" s="21"/>
      <c r="I88" s="22"/>
      <c r="J88" s="19"/>
      <c r="K88" s="23" t="str">
        <f aca="false">IF($D88="","",IFERROR(INDEX(Profile!$B$5:$B$304,MATCH($D88,lst_Profil,0)),""))</f>
        <v/>
      </c>
      <c r="L88" s="13" t="str">
        <f aca="false">IF($D88="","",IFERROR(INDEX(Profile!$K$5:$K$304,MATCH($D88,lst_Profil,0))+0,""))</f>
        <v/>
      </c>
      <c r="M88" s="24" t="str">
        <f aca="false">IF($D88="","",IFERROR(INDEX(Profile!$E$5:$E$304,MATCH($D88,lst_Profil,0))+0,""))</f>
        <v/>
      </c>
      <c r="N88" s="25" t="str">
        <f aca="false">IF(OR(L88="",$E88=""),"",IFERROR(L88*INDEX(Werkstoffe!$E$5:$E$304,MATCH($E88,lst_Werkstoff,0))/1000,""))</f>
        <v/>
      </c>
      <c r="O88" s="25" t="str">
        <f aca="false">IF(OR(N88="",$F88=""),"",N88*$F88/1000)</f>
        <v/>
      </c>
      <c r="P88" s="16" t="str">
        <f aca="false">IF(OR($F88="",$G88=""),"",$F88*$G88)</f>
        <v/>
      </c>
      <c r="Q88" s="16" t="str">
        <f aca="false">IF($D88="","",IF($J88&lt;&gt;"",$J88,$C$9))</f>
        <v/>
      </c>
      <c r="R88" s="12" t="str">
        <f aca="false">IF($D88="","",IFERROR(IF(INDEX(Profile!$G$5:$G$304,MATCH($D88,lst_Profil,0))&lt;&gt;"",INDEX(Profile!$G$5:$G$304,MATCH($D88,lst_Profil,0)),$H$4),$H$4))</f>
        <v/>
      </c>
      <c r="S88" s="12" t="str">
        <f aca="false">IF($D88="","",IFERROR(IF(INDEX(Profile!$H$5:$H$304,MATCH($D88,lst_Profil,0))&lt;&gt;"",INDEX(Profile!$H$5:$H$304,MATCH($D88,lst_Profil,0)),$H$5),$H$5))</f>
        <v/>
      </c>
      <c r="T88" s="16" t="str">
        <f aca="false">IF(OR(Q88="",NOT(ISNUMBER(R88)),NOT(ISNUMBER(S88))),"",Q88-R88-S88)</f>
        <v/>
      </c>
      <c r="U88" s="26" t="str">
        <f aca="false">IF(OR($D88="",$E88=""),"",IF(COUNTIFS(Preise!$A$5:$A$304,$D88,Preise!$B$5:$B$304,$E88,Preise!$I$5:$I$304,"OK")&gt;0,"ja","nein"))</f>
        <v/>
      </c>
      <c r="V88" s="15" t="str">
        <f aca="false">IF(OR(M88="",$E88="",$C$8=""),"",IF(_xlfn.MINIFS(Schneiddaten!$C$5:$C$304,Schneiddaten!$A$5:$A$304,$C$8,Schneiddaten!$B$5:$B$304,$E88,Schneiddaten!$C$5:$C$304,"&gt;="&amp;M88)=0,"",SUMIFS(Schneiddaten!$D$5:$D$304,Schneiddaten!$A$5:$A$304,$C$8,Schneiddaten!$B$5:$B$304,$E88,Schneiddaten!$C$5:$C$304,_xlfn.MINIFS(Schneiddaten!$C$5:$C$304,Schneiddaten!$A$5:$A$304,$C$8,Schneiddaten!$B$5:$B$304,$E88,Schneiddaten!$C$5:$C$304,"&gt;="&amp;M88))))</f>
        <v/>
      </c>
      <c r="W88" s="26" t="str">
        <f aca="false">IF(AND($D88="",$E88="",$F88="",$G88=""),"",IF(ISNA(MATCH($D88,lst_Profil,0)),"FEHLER: Profil unbekannt",IF(ISNA(MATCH($E88,lst_Werkstoff,0)),"FEHLER: Werkstoff unbekannt",IF(NOT(ISNUMBER(L88)),"FEHLER: Querschnitt fehlt (Profil)",IF(OR($F88="",$F88&lt;=0),"FEHLER: Teilelänge fehlt",IF(OR($G88="",$G88&lt;1),"FEHLER: Stückzahl fehlt",IF(NOT(ISNUMBER($H$4)),"FEHLER: Maschine fehlt/unbekannt",IF(Q88&gt;$H$7,"FEHLER: Stange länger als Maschine zulässt",IF($F88+$H$6&gt;T88,"FEHLER: Teil länger als Nutzlänge",IF(U88="nein","WARNUNG: kein gültiger Materialpreis",IF($H88="","HINWEIS: Schneidweg fehlt",IF(V88="","HINWEIS: keine Schneiddaten",IF(AND($AF88&lt;&gt;"",$AG88=""),"HINWEIS: Gewinde-Vorschlag prüfen","OK")))))))))))))</f>
        <v/>
      </c>
      <c r="X88" s="18" t="str">
        <f aca="false">IF(OR(O88="",$G88=""),"",O88*$G88)</f>
        <v/>
      </c>
      <c r="Y88" s="10"/>
      <c r="Z88" s="21"/>
      <c r="AA88" s="10"/>
      <c r="AB88" s="21"/>
      <c r="AC88" s="21"/>
      <c r="AD88" s="21"/>
      <c r="AE88" s="10"/>
      <c r="AF88" s="10"/>
      <c r="AG88" s="10"/>
      <c r="AH88" s="22"/>
      <c r="AI88" s="21"/>
      <c r="AJ88" s="22"/>
      <c r="AK88" s="21"/>
      <c r="AL88" s="22"/>
      <c r="AM88" s="21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21"/>
      <c r="G89" s="19"/>
      <c r="H89" s="21"/>
      <c r="I89" s="22"/>
      <c r="J89" s="19"/>
      <c r="K89" s="23" t="str">
        <f aca="false">IF($D89="","",IFERROR(INDEX(Profile!$B$5:$B$304,MATCH($D89,lst_Profil,0)),""))</f>
        <v/>
      </c>
      <c r="L89" s="13" t="str">
        <f aca="false">IF($D89="","",IFERROR(INDEX(Profile!$K$5:$K$304,MATCH($D89,lst_Profil,0))+0,""))</f>
        <v/>
      </c>
      <c r="M89" s="24" t="str">
        <f aca="false">IF($D89="","",IFERROR(INDEX(Profile!$E$5:$E$304,MATCH($D89,lst_Profil,0))+0,""))</f>
        <v/>
      </c>
      <c r="N89" s="25" t="str">
        <f aca="false">IF(OR(L89="",$E89=""),"",IFERROR(L89*INDEX(Werkstoffe!$E$5:$E$304,MATCH($E89,lst_Werkstoff,0))/1000,""))</f>
        <v/>
      </c>
      <c r="O89" s="25" t="str">
        <f aca="false">IF(OR(N89="",$F89=""),"",N89*$F89/1000)</f>
        <v/>
      </c>
      <c r="P89" s="16" t="str">
        <f aca="false">IF(OR($F89="",$G89=""),"",$F89*$G89)</f>
        <v/>
      </c>
      <c r="Q89" s="16" t="str">
        <f aca="false">IF($D89="","",IF($J89&lt;&gt;"",$J89,$C$9))</f>
        <v/>
      </c>
      <c r="R89" s="12" t="str">
        <f aca="false">IF($D89="","",IFERROR(IF(INDEX(Profile!$G$5:$G$304,MATCH($D89,lst_Profil,0))&lt;&gt;"",INDEX(Profile!$G$5:$G$304,MATCH($D89,lst_Profil,0)),$H$4),$H$4))</f>
        <v/>
      </c>
      <c r="S89" s="12" t="str">
        <f aca="false">IF($D89="","",IFERROR(IF(INDEX(Profile!$H$5:$H$304,MATCH($D89,lst_Profil,0))&lt;&gt;"",INDEX(Profile!$H$5:$H$304,MATCH($D89,lst_Profil,0)),$H$5),$H$5))</f>
        <v/>
      </c>
      <c r="T89" s="16" t="str">
        <f aca="false">IF(OR(Q89="",NOT(ISNUMBER(R89)),NOT(ISNUMBER(S89))),"",Q89-R89-S89)</f>
        <v/>
      </c>
      <c r="U89" s="26" t="str">
        <f aca="false">IF(OR($D89="",$E89=""),"",IF(COUNTIFS(Preise!$A$5:$A$304,$D89,Preise!$B$5:$B$304,$E89,Preise!$I$5:$I$304,"OK")&gt;0,"ja","nein"))</f>
        <v/>
      </c>
      <c r="V89" s="15" t="str">
        <f aca="false">IF(OR(M89="",$E89="",$C$8=""),"",IF(_xlfn.MINIFS(Schneiddaten!$C$5:$C$304,Schneiddaten!$A$5:$A$304,$C$8,Schneiddaten!$B$5:$B$304,$E89,Schneiddaten!$C$5:$C$304,"&gt;="&amp;M89)=0,"",SUMIFS(Schneiddaten!$D$5:$D$304,Schneiddaten!$A$5:$A$304,$C$8,Schneiddaten!$B$5:$B$304,$E89,Schneiddaten!$C$5:$C$304,_xlfn.MINIFS(Schneiddaten!$C$5:$C$304,Schneiddaten!$A$5:$A$304,$C$8,Schneiddaten!$B$5:$B$304,$E89,Schneiddaten!$C$5:$C$304,"&gt;="&amp;M89))))</f>
        <v/>
      </c>
      <c r="W89" s="26" t="str">
        <f aca="false">IF(AND($D89="",$E89="",$F89="",$G89=""),"",IF(ISNA(MATCH($D89,lst_Profil,0)),"FEHLER: Profil unbekannt",IF(ISNA(MATCH($E89,lst_Werkstoff,0)),"FEHLER: Werkstoff unbekannt",IF(NOT(ISNUMBER(L89)),"FEHLER: Querschnitt fehlt (Profil)",IF(OR($F89="",$F89&lt;=0),"FEHLER: Teilelänge fehlt",IF(OR($G89="",$G89&lt;1),"FEHLER: Stückzahl fehlt",IF(NOT(ISNUMBER($H$4)),"FEHLER: Maschine fehlt/unbekannt",IF(Q89&gt;$H$7,"FEHLER: Stange länger als Maschine zulässt",IF($F89+$H$6&gt;T89,"FEHLER: Teil länger als Nutzlänge",IF(U89="nein","WARNUNG: kein gültiger Materialpreis",IF($H89="","HINWEIS: Schneidweg fehlt",IF(V89="","HINWEIS: keine Schneiddaten",IF(AND($AF89&lt;&gt;"",$AG89=""),"HINWEIS: Gewinde-Vorschlag prüfen","OK")))))))))))))</f>
        <v/>
      </c>
      <c r="X89" s="18" t="str">
        <f aca="false">IF(OR(O89="",$G89=""),"",O89*$G89)</f>
        <v/>
      </c>
      <c r="Y89" s="10"/>
      <c r="Z89" s="21"/>
      <c r="AA89" s="10"/>
      <c r="AB89" s="21"/>
      <c r="AC89" s="21"/>
      <c r="AD89" s="21"/>
      <c r="AE89" s="10"/>
      <c r="AF89" s="10"/>
      <c r="AG89" s="10"/>
      <c r="AH89" s="22"/>
      <c r="AI89" s="21"/>
      <c r="AJ89" s="22"/>
      <c r="AK89" s="21"/>
      <c r="AL89" s="22"/>
      <c r="AM89" s="21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21"/>
      <c r="G90" s="19"/>
      <c r="H90" s="21"/>
      <c r="I90" s="22"/>
      <c r="J90" s="19"/>
      <c r="K90" s="23" t="str">
        <f aca="false">IF($D90="","",IFERROR(INDEX(Profile!$B$5:$B$304,MATCH($D90,lst_Profil,0)),""))</f>
        <v/>
      </c>
      <c r="L90" s="13" t="str">
        <f aca="false">IF($D90="","",IFERROR(INDEX(Profile!$K$5:$K$304,MATCH($D90,lst_Profil,0))+0,""))</f>
        <v/>
      </c>
      <c r="M90" s="24" t="str">
        <f aca="false">IF($D90="","",IFERROR(INDEX(Profile!$E$5:$E$304,MATCH($D90,lst_Profil,0))+0,""))</f>
        <v/>
      </c>
      <c r="N90" s="25" t="str">
        <f aca="false">IF(OR(L90="",$E90=""),"",IFERROR(L90*INDEX(Werkstoffe!$E$5:$E$304,MATCH($E90,lst_Werkstoff,0))/1000,""))</f>
        <v/>
      </c>
      <c r="O90" s="25" t="str">
        <f aca="false">IF(OR(N90="",$F90=""),"",N90*$F90/1000)</f>
        <v/>
      </c>
      <c r="P90" s="16" t="str">
        <f aca="false">IF(OR($F90="",$G90=""),"",$F90*$G90)</f>
        <v/>
      </c>
      <c r="Q90" s="16" t="str">
        <f aca="false">IF($D90="","",IF($J90&lt;&gt;"",$J90,$C$9))</f>
        <v/>
      </c>
      <c r="R90" s="12" t="str">
        <f aca="false">IF($D90="","",IFERROR(IF(INDEX(Profile!$G$5:$G$304,MATCH($D90,lst_Profil,0))&lt;&gt;"",INDEX(Profile!$G$5:$G$304,MATCH($D90,lst_Profil,0)),$H$4),$H$4))</f>
        <v/>
      </c>
      <c r="S90" s="12" t="str">
        <f aca="false">IF($D90="","",IFERROR(IF(INDEX(Profile!$H$5:$H$304,MATCH($D90,lst_Profil,0))&lt;&gt;"",INDEX(Profile!$H$5:$H$304,MATCH($D90,lst_Profil,0)),$H$5),$H$5))</f>
        <v/>
      </c>
      <c r="T90" s="16" t="str">
        <f aca="false">IF(OR(Q90="",NOT(ISNUMBER(R90)),NOT(ISNUMBER(S90))),"",Q90-R90-S90)</f>
        <v/>
      </c>
      <c r="U90" s="26" t="str">
        <f aca="false">IF(OR($D90="",$E90=""),"",IF(COUNTIFS(Preise!$A$5:$A$304,$D90,Preise!$B$5:$B$304,$E90,Preise!$I$5:$I$304,"OK")&gt;0,"ja","nein"))</f>
        <v/>
      </c>
      <c r="V90" s="15" t="str">
        <f aca="false">IF(OR(M90="",$E90="",$C$8=""),"",IF(_xlfn.MINIFS(Schneiddaten!$C$5:$C$304,Schneiddaten!$A$5:$A$304,$C$8,Schneiddaten!$B$5:$B$304,$E90,Schneiddaten!$C$5:$C$304,"&gt;="&amp;M90)=0,"",SUMIFS(Schneiddaten!$D$5:$D$304,Schneiddaten!$A$5:$A$304,$C$8,Schneiddaten!$B$5:$B$304,$E90,Schneiddaten!$C$5:$C$304,_xlfn.MINIFS(Schneiddaten!$C$5:$C$304,Schneiddaten!$A$5:$A$304,$C$8,Schneiddaten!$B$5:$B$304,$E90,Schneiddaten!$C$5:$C$304,"&gt;="&amp;M90))))</f>
        <v/>
      </c>
      <c r="W90" s="26" t="str">
        <f aca="false">IF(AND($D90="",$E90="",$F90="",$G90=""),"",IF(ISNA(MATCH($D90,lst_Profil,0)),"FEHLER: Profil unbekannt",IF(ISNA(MATCH($E90,lst_Werkstoff,0)),"FEHLER: Werkstoff unbekannt",IF(NOT(ISNUMBER(L90)),"FEHLER: Querschnitt fehlt (Profil)",IF(OR($F90="",$F90&lt;=0),"FEHLER: Teilelänge fehlt",IF(OR($G90="",$G90&lt;1),"FEHLER: Stückzahl fehlt",IF(NOT(ISNUMBER($H$4)),"FEHLER: Maschine fehlt/unbekannt",IF(Q90&gt;$H$7,"FEHLER: Stange länger als Maschine zulässt",IF($F90+$H$6&gt;T90,"FEHLER: Teil länger als Nutzlänge",IF(U90="nein","WARNUNG: kein gültiger Materialpreis",IF($H90="","HINWEIS: Schneidweg fehlt",IF(V90="","HINWEIS: keine Schneiddaten",IF(AND($AF90&lt;&gt;"",$AG90=""),"HINWEIS: Gewinde-Vorschlag prüfen","OK")))))))))))))</f>
        <v/>
      </c>
      <c r="X90" s="18" t="str">
        <f aca="false">IF(OR(O90="",$G90=""),"",O90*$G90)</f>
        <v/>
      </c>
      <c r="Y90" s="10"/>
      <c r="Z90" s="21"/>
      <c r="AA90" s="10"/>
      <c r="AB90" s="21"/>
      <c r="AC90" s="21"/>
      <c r="AD90" s="21"/>
      <c r="AE90" s="10"/>
      <c r="AF90" s="10"/>
      <c r="AG90" s="10"/>
      <c r="AH90" s="22"/>
      <c r="AI90" s="21"/>
      <c r="AJ90" s="22"/>
      <c r="AK90" s="21"/>
      <c r="AL90" s="22"/>
      <c r="AM90" s="21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21"/>
      <c r="G91" s="19"/>
      <c r="H91" s="21"/>
      <c r="I91" s="22"/>
      <c r="J91" s="19"/>
      <c r="K91" s="23" t="str">
        <f aca="false">IF($D91="","",IFERROR(INDEX(Profile!$B$5:$B$304,MATCH($D91,lst_Profil,0)),""))</f>
        <v/>
      </c>
      <c r="L91" s="13" t="str">
        <f aca="false">IF($D91="","",IFERROR(INDEX(Profile!$K$5:$K$304,MATCH($D91,lst_Profil,0))+0,""))</f>
        <v/>
      </c>
      <c r="M91" s="24" t="str">
        <f aca="false">IF($D91="","",IFERROR(INDEX(Profile!$E$5:$E$304,MATCH($D91,lst_Profil,0))+0,""))</f>
        <v/>
      </c>
      <c r="N91" s="25" t="str">
        <f aca="false">IF(OR(L91="",$E91=""),"",IFERROR(L91*INDEX(Werkstoffe!$E$5:$E$304,MATCH($E91,lst_Werkstoff,0))/1000,""))</f>
        <v/>
      </c>
      <c r="O91" s="25" t="str">
        <f aca="false">IF(OR(N91="",$F91=""),"",N91*$F91/1000)</f>
        <v/>
      </c>
      <c r="P91" s="16" t="str">
        <f aca="false">IF(OR($F91="",$G91=""),"",$F91*$G91)</f>
        <v/>
      </c>
      <c r="Q91" s="16" t="str">
        <f aca="false">IF($D91="","",IF($J91&lt;&gt;"",$J91,$C$9))</f>
        <v/>
      </c>
      <c r="R91" s="12" t="str">
        <f aca="false">IF($D91="","",IFERROR(IF(INDEX(Profile!$G$5:$G$304,MATCH($D91,lst_Profil,0))&lt;&gt;"",INDEX(Profile!$G$5:$G$304,MATCH($D91,lst_Profil,0)),$H$4),$H$4))</f>
        <v/>
      </c>
      <c r="S91" s="12" t="str">
        <f aca="false">IF($D91="","",IFERROR(IF(INDEX(Profile!$H$5:$H$304,MATCH($D91,lst_Profil,0))&lt;&gt;"",INDEX(Profile!$H$5:$H$304,MATCH($D91,lst_Profil,0)),$H$5),$H$5))</f>
        <v/>
      </c>
      <c r="T91" s="16" t="str">
        <f aca="false">IF(OR(Q91="",NOT(ISNUMBER(R91)),NOT(ISNUMBER(S91))),"",Q91-R91-S91)</f>
        <v/>
      </c>
      <c r="U91" s="26" t="str">
        <f aca="false">IF(OR($D91="",$E91=""),"",IF(COUNTIFS(Preise!$A$5:$A$304,$D91,Preise!$B$5:$B$304,$E91,Preise!$I$5:$I$304,"OK")&gt;0,"ja","nein"))</f>
        <v/>
      </c>
      <c r="V91" s="15" t="str">
        <f aca="false">IF(OR(M91="",$E91="",$C$8=""),"",IF(_xlfn.MINIFS(Schneiddaten!$C$5:$C$304,Schneiddaten!$A$5:$A$304,$C$8,Schneiddaten!$B$5:$B$304,$E91,Schneiddaten!$C$5:$C$304,"&gt;="&amp;M91)=0,"",SUMIFS(Schneiddaten!$D$5:$D$304,Schneiddaten!$A$5:$A$304,$C$8,Schneiddaten!$B$5:$B$304,$E91,Schneiddaten!$C$5:$C$304,_xlfn.MINIFS(Schneiddaten!$C$5:$C$304,Schneiddaten!$A$5:$A$304,$C$8,Schneiddaten!$B$5:$B$304,$E91,Schneiddaten!$C$5:$C$304,"&gt;="&amp;M91))))</f>
        <v/>
      </c>
      <c r="W91" s="26" t="str">
        <f aca="false">IF(AND($D91="",$E91="",$F91="",$G91=""),"",IF(ISNA(MATCH($D91,lst_Profil,0)),"FEHLER: Profil unbekannt",IF(ISNA(MATCH($E91,lst_Werkstoff,0)),"FEHLER: Werkstoff unbekannt",IF(NOT(ISNUMBER(L91)),"FEHLER: Querschnitt fehlt (Profil)",IF(OR($F91="",$F91&lt;=0),"FEHLER: Teilelänge fehlt",IF(OR($G91="",$G91&lt;1),"FEHLER: Stückzahl fehlt",IF(NOT(ISNUMBER($H$4)),"FEHLER: Maschine fehlt/unbekannt",IF(Q91&gt;$H$7,"FEHLER: Stange länger als Maschine zulässt",IF($F91+$H$6&gt;T91,"FEHLER: Teil länger als Nutzlänge",IF(U91="nein","WARNUNG: kein gültiger Materialpreis",IF($H91="","HINWEIS: Schneidweg fehlt",IF(V91="","HINWEIS: keine Schneiddaten",IF(AND($AF91&lt;&gt;"",$AG91=""),"HINWEIS: Gewinde-Vorschlag prüfen","OK")))))))))))))</f>
        <v/>
      </c>
      <c r="X91" s="18" t="str">
        <f aca="false">IF(OR(O91="",$G91=""),"",O91*$G91)</f>
        <v/>
      </c>
      <c r="Y91" s="10"/>
      <c r="Z91" s="21"/>
      <c r="AA91" s="10"/>
      <c r="AB91" s="21"/>
      <c r="AC91" s="21"/>
      <c r="AD91" s="21"/>
      <c r="AE91" s="10"/>
      <c r="AF91" s="10"/>
      <c r="AG91" s="10"/>
      <c r="AH91" s="22"/>
      <c r="AI91" s="21"/>
      <c r="AJ91" s="22"/>
      <c r="AK91" s="21"/>
      <c r="AL91" s="22"/>
      <c r="AM91" s="21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21"/>
      <c r="G92" s="19"/>
      <c r="H92" s="21"/>
      <c r="I92" s="22"/>
      <c r="J92" s="19"/>
      <c r="K92" s="23" t="str">
        <f aca="false">IF($D92="","",IFERROR(INDEX(Profile!$B$5:$B$304,MATCH($D92,lst_Profil,0)),""))</f>
        <v/>
      </c>
      <c r="L92" s="13" t="str">
        <f aca="false">IF($D92="","",IFERROR(INDEX(Profile!$K$5:$K$304,MATCH($D92,lst_Profil,0))+0,""))</f>
        <v/>
      </c>
      <c r="M92" s="24" t="str">
        <f aca="false">IF($D92="","",IFERROR(INDEX(Profile!$E$5:$E$304,MATCH($D92,lst_Profil,0))+0,""))</f>
        <v/>
      </c>
      <c r="N92" s="25" t="str">
        <f aca="false">IF(OR(L92="",$E92=""),"",IFERROR(L92*INDEX(Werkstoffe!$E$5:$E$304,MATCH($E92,lst_Werkstoff,0))/1000,""))</f>
        <v/>
      </c>
      <c r="O92" s="25" t="str">
        <f aca="false">IF(OR(N92="",$F92=""),"",N92*$F92/1000)</f>
        <v/>
      </c>
      <c r="P92" s="16" t="str">
        <f aca="false">IF(OR($F92="",$G92=""),"",$F92*$G92)</f>
        <v/>
      </c>
      <c r="Q92" s="16" t="str">
        <f aca="false">IF($D92="","",IF($J92&lt;&gt;"",$J92,$C$9))</f>
        <v/>
      </c>
      <c r="R92" s="12" t="str">
        <f aca="false">IF($D92="","",IFERROR(IF(INDEX(Profile!$G$5:$G$304,MATCH($D92,lst_Profil,0))&lt;&gt;"",INDEX(Profile!$G$5:$G$304,MATCH($D92,lst_Profil,0)),$H$4),$H$4))</f>
        <v/>
      </c>
      <c r="S92" s="12" t="str">
        <f aca="false">IF($D92="","",IFERROR(IF(INDEX(Profile!$H$5:$H$304,MATCH($D92,lst_Profil,0))&lt;&gt;"",INDEX(Profile!$H$5:$H$304,MATCH($D92,lst_Profil,0)),$H$5),$H$5))</f>
        <v/>
      </c>
      <c r="T92" s="16" t="str">
        <f aca="false">IF(OR(Q92="",NOT(ISNUMBER(R92)),NOT(ISNUMBER(S92))),"",Q92-R92-S92)</f>
        <v/>
      </c>
      <c r="U92" s="26" t="str">
        <f aca="false">IF(OR($D92="",$E92=""),"",IF(COUNTIFS(Preise!$A$5:$A$304,$D92,Preise!$B$5:$B$304,$E92,Preise!$I$5:$I$304,"OK")&gt;0,"ja","nein"))</f>
        <v/>
      </c>
      <c r="V92" s="15" t="str">
        <f aca="false">IF(OR(M92="",$E92="",$C$8=""),"",IF(_xlfn.MINIFS(Schneiddaten!$C$5:$C$304,Schneiddaten!$A$5:$A$304,$C$8,Schneiddaten!$B$5:$B$304,$E92,Schneiddaten!$C$5:$C$304,"&gt;="&amp;M92)=0,"",SUMIFS(Schneiddaten!$D$5:$D$304,Schneiddaten!$A$5:$A$304,$C$8,Schneiddaten!$B$5:$B$304,$E92,Schneiddaten!$C$5:$C$304,_xlfn.MINIFS(Schneiddaten!$C$5:$C$304,Schneiddaten!$A$5:$A$304,$C$8,Schneiddaten!$B$5:$B$304,$E92,Schneiddaten!$C$5:$C$304,"&gt;="&amp;M92))))</f>
        <v/>
      </c>
      <c r="W92" s="26" t="str">
        <f aca="false">IF(AND($D92="",$E92="",$F92="",$G92=""),"",IF(ISNA(MATCH($D92,lst_Profil,0)),"FEHLER: Profil unbekannt",IF(ISNA(MATCH($E92,lst_Werkstoff,0)),"FEHLER: Werkstoff unbekannt",IF(NOT(ISNUMBER(L92)),"FEHLER: Querschnitt fehlt (Profil)",IF(OR($F92="",$F92&lt;=0),"FEHLER: Teilelänge fehlt",IF(OR($G92="",$G92&lt;1),"FEHLER: Stückzahl fehlt",IF(NOT(ISNUMBER($H$4)),"FEHLER: Maschine fehlt/unbekannt",IF(Q92&gt;$H$7,"FEHLER: Stange länger als Maschine zulässt",IF($F92+$H$6&gt;T92,"FEHLER: Teil länger als Nutzlänge",IF(U92="nein","WARNUNG: kein gültiger Materialpreis",IF($H92="","HINWEIS: Schneidweg fehlt",IF(V92="","HINWEIS: keine Schneiddaten",IF(AND($AF92&lt;&gt;"",$AG92=""),"HINWEIS: Gewinde-Vorschlag prüfen","OK")))))))))))))</f>
        <v/>
      </c>
      <c r="X92" s="18" t="str">
        <f aca="false">IF(OR(O92="",$G92=""),"",O92*$G92)</f>
        <v/>
      </c>
      <c r="Y92" s="10"/>
      <c r="Z92" s="21"/>
      <c r="AA92" s="10"/>
      <c r="AB92" s="21"/>
      <c r="AC92" s="21"/>
      <c r="AD92" s="21"/>
      <c r="AE92" s="10"/>
      <c r="AF92" s="10"/>
      <c r="AG92" s="10"/>
      <c r="AH92" s="22"/>
      <c r="AI92" s="21"/>
      <c r="AJ92" s="22"/>
      <c r="AK92" s="21"/>
      <c r="AL92" s="22"/>
      <c r="AM92" s="21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21"/>
      <c r="G93" s="19"/>
      <c r="H93" s="21"/>
      <c r="I93" s="22"/>
      <c r="J93" s="19"/>
      <c r="K93" s="23" t="str">
        <f aca="false">IF($D93="","",IFERROR(INDEX(Profile!$B$5:$B$304,MATCH($D93,lst_Profil,0)),""))</f>
        <v/>
      </c>
      <c r="L93" s="13" t="str">
        <f aca="false">IF($D93="","",IFERROR(INDEX(Profile!$K$5:$K$304,MATCH($D93,lst_Profil,0))+0,""))</f>
        <v/>
      </c>
      <c r="M93" s="24" t="str">
        <f aca="false">IF($D93="","",IFERROR(INDEX(Profile!$E$5:$E$304,MATCH($D93,lst_Profil,0))+0,""))</f>
        <v/>
      </c>
      <c r="N93" s="25" t="str">
        <f aca="false">IF(OR(L93="",$E93=""),"",IFERROR(L93*INDEX(Werkstoffe!$E$5:$E$304,MATCH($E93,lst_Werkstoff,0))/1000,""))</f>
        <v/>
      </c>
      <c r="O93" s="25" t="str">
        <f aca="false">IF(OR(N93="",$F93=""),"",N93*$F93/1000)</f>
        <v/>
      </c>
      <c r="P93" s="16" t="str">
        <f aca="false">IF(OR($F93="",$G93=""),"",$F93*$G93)</f>
        <v/>
      </c>
      <c r="Q93" s="16" t="str">
        <f aca="false">IF($D93="","",IF($J93&lt;&gt;"",$J93,$C$9))</f>
        <v/>
      </c>
      <c r="R93" s="12" t="str">
        <f aca="false">IF($D93="","",IFERROR(IF(INDEX(Profile!$G$5:$G$304,MATCH($D93,lst_Profil,0))&lt;&gt;"",INDEX(Profile!$G$5:$G$304,MATCH($D93,lst_Profil,0)),$H$4),$H$4))</f>
        <v/>
      </c>
      <c r="S93" s="12" t="str">
        <f aca="false">IF($D93="","",IFERROR(IF(INDEX(Profile!$H$5:$H$304,MATCH($D93,lst_Profil,0))&lt;&gt;"",INDEX(Profile!$H$5:$H$304,MATCH($D93,lst_Profil,0)),$H$5),$H$5))</f>
        <v/>
      </c>
      <c r="T93" s="16" t="str">
        <f aca="false">IF(OR(Q93="",NOT(ISNUMBER(R93)),NOT(ISNUMBER(S93))),"",Q93-R93-S93)</f>
        <v/>
      </c>
      <c r="U93" s="26" t="str">
        <f aca="false">IF(OR($D93="",$E93=""),"",IF(COUNTIFS(Preise!$A$5:$A$304,$D93,Preise!$B$5:$B$304,$E93,Preise!$I$5:$I$304,"OK")&gt;0,"ja","nein"))</f>
        <v/>
      </c>
      <c r="V93" s="15" t="str">
        <f aca="false">IF(OR(M93="",$E93="",$C$8=""),"",IF(_xlfn.MINIFS(Schneiddaten!$C$5:$C$304,Schneiddaten!$A$5:$A$304,$C$8,Schneiddaten!$B$5:$B$304,$E93,Schneiddaten!$C$5:$C$304,"&gt;="&amp;M93)=0,"",SUMIFS(Schneiddaten!$D$5:$D$304,Schneiddaten!$A$5:$A$304,$C$8,Schneiddaten!$B$5:$B$304,$E93,Schneiddaten!$C$5:$C$304,_xlfn.MINIFS(Schneiddaten!$C$5:$C$304,Schneiddaten!$A$5:$A$304,$C$8,Schneiddaten!$B$5:$B$304,$E93,Schneiddaten!$C$5:$C$304,"&gt;="&amp;M93))))</f>
        <v/>
      </c>
      <c r="W93" s="26" t="str">
        <f aca="false">IF(AND($D93="",$E93="",$F93="",$G93=""),"",IF(ISNA(MATCH($D93,lst_Profil,0)),"FEHLER: Profil unbekannt",IF(ISNA(MATCH($E93,lst_Werkstoff,0)),"FEHLER: Werkstoff unbekannt",IF(NOT(ISNUMBER(L93)),"FEHLER: Querschnitt fehlt (Profil)",IF(OR($F93="",$F93&lt;=0),"FEHLER: Teilelänge fehlt",IF(OR($G93="",$G93&lt;1),"FEHLER: Stückzahl fehlt",IF(NOT(ISNUMBER($H$4)),"FEHLER: Maschine fehlt/unbekannt",IF(Q93&gt;$H$7,"FEHLER: Stange länger als Maschine zulässt",IF($F93+$H$6&gt;T93,"FEHLER: Teil länger als Nutzlänge",IF(U93="nein","WARNUNG: kein gültiger Materialpreis",IF($H93="","HINWEIS: Schneidweg fehlt",IF(V93="","HINWEIS: keine Schneiddaten",IF(AND($AF93&lt;&gt;"",$AG93=""),"HINWEIS: Gewinde-Vorschlag prüfen","OK")))))))))))))</f>
        <v/>
      </c>
      <c r="X93" s="18" t="str">
        <f aca="false">IF(OR(O93="",$G93=""),"",O93*$G93)</f>
        <v/>
      </c>
      <c r="Y93" s="10"/>
      <c r="Z93" s="21"/>
      <c r="AA93" s="10"/>
      <c r="AB93" s="21"/>
      <c r="AC93" s="21"/>
      <c r="AD93" s="21"/>
      <c r="AE93" s="10"/>
      <c r="AF93" s="10"/>
      <c r="AG93" s="10"/>
      <c r="AH93" s="22"/>
      <c r="AI93" s="21"/>
      <c r="AJ93" s="22"/>
      <c r="AK93" s="21"/>
      <c r="AL93" s="22"/>
      <c r="AM93" s="21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21"/>
      <c r="G94" s="19"/>
      <c r="H94" s="21"/>
      <c r="I94" s="22"/>
      <c r="J94" s="19"/>
      <c r="K94" s="23" t="str">
        <f aca="false">IF($D94="","",IFERROR(INDEX(Profile!$B$5:$B$304,MATCH($D94,lst_Profil,0)),""))</f>
        <v/>
      </c>
      <c r="L94" s="13" t="str">
        <f aca="false">IF($D94="","",IFERROR(INDEX(Profile!$K$5:$K$304,MATCH($D94,lst_Profil,0))+0,""))</f>
        <v/>
      </c>
      <c r="M94" s="24" t="str">
        <f aca="false">IF($D94="","",IFERROR(INDEX(Profile!$E$5:$E$304,MATCH($D94,lst_Profil,0))+0,""))</f>
        <v/>
      </c>
      <c r="N94" s="25" t="str">
        <f aca="false">IF(OR(L94="",$E94=""),"",IFERROR(L94*INDEX(Werkstoffe!$E$5:$E$304,MATCH($E94,lst_Werkstoff,0))/1000,""))</f>
        <v/>
      </c>
      <c r="O94" s="25" t="str">
        <f aca="false">IF(OR(N94="",$F94=""),"",N94*$F94/1000)</f>
        <v/>
      </c>
      <c r="P94" s="16" t="str">
        <f aca="false">IF(OR($F94="",$G94=""),"",$F94*$G94)</f>
        <v/>
      </c>
      <c r="Q94" s="16" t="str">
        <f aca="false">IF($D94="","",IF($J94&lt;&gt;"",$J94,$C$9))</f>
        <v/>
      </c>
      <c r="R94" s="12" t="str">
        <f aca="false">IF($D94="","",IFERROR(IF(INDEX(Profile!$G$5:$G$304,MATCH($D94,lst_Profil,0))&lt;&gt;"",INDEX(Profile!$G$5:$G$304,MATCH($D94,lst_Profil,0)),$H$4),$H$4))</f>
        <v/>
      </c>
      <c r="S94" s="12" t="str">
        <f aca="false">IF($D94="","",IFERROR(IF(INDEX(Profile!$H$5:$H$304,MATCH($D94,lst_Profil,0))&lt;&gt;"",INDEX(Profile!$H$5:$H$304,MATCH($D94,lst_Profil,0)),$H$5),$H$5))</f>
        <v/>
      </c>
      <c r="T94" s="16" t="str">
        <f aca="false">IF(OR(Q94="",NOT(ISNUMBER(R94)),NOT(ISNUMBER(S94))),"",Q94-R94-S94)</f>
        <v/>
      </c>
      <c r="U94" s="26" t="str">
        <f aca="false">IF(OR($D94="",$E94=""),"",IF(COUNTIFS(Preise!$A$5:$A$304,$D94,Preise!$B$5:$B$304,$E94,Preise!$I$5:$I$304,"OK")&gt;0,"ja","nein"))</f>
        <v/>
      </c>
      <c r="V94" s="15" t="str">
        <f aca="false">IF(OR(M94="",$E94="",$C$8=""),"",IF(_xlfn.MINIFS(Schneiddaten!$C$5:$C$304,Schneiddaten!$A$5:$A$304,$C$8,Schneiddaten!$B$5:$B$304,$E94,Schneiddaten!$C$5:$C$304,"&gt;="&amp;M94)=0,"",SUMIFS(Schneiddaten!$D$5:$D$304,Schneiddaten!$A$5:$A$304,$C$8,Schneiddaten!$B$5:$B$304,$E94,Schneiddaten!$C$5:$C$304,_xlfn.MINIFS(Schneiddaten!$C$5:$C$304,Schneiddaten!$A$5:$A$304,$C$8,Schneiddaten!$B$5:$B$304,$E94,Schneiddaten!$C$5:$C$304,"&gt;="&amp;M94))))</f>
        <v/>
      </c>
      <c r="W94" s="26" t="str">
        <f aca="false">IF(AND($D94="",$E94="",$F94="",$G94=""),"",IF(ISNA(MATCH($D94,lst_Profil,0)),"FEHLER: Profil unbekannt",IF(ISNA(MATCH($E94,lst_Werkstoff,0)),"FEHLER: Werkstoff unbekannt",IF(NOT(ISNUMBER(L94)),"FEHLER: Querschnitt fehlt (Profil)",IF(OR($F94="",$F94&lt;=0),"FEHLER: Teilelänge fehlt",IF(OR($G94="",$G94&lt;1),"FEHLER: Stückzahl fehlt",IF(NOT(ISNUMBER($H$4)),"FEHLER: Maschine fehlt/unbekannt",IF(Q94&gt;$H$7,"FEHLER: Stange länger als Maschine zulässt",IF($F94+$H$6&gt;T94,"FEHLER: Teil länger als Nutzlänge",IF(U94="nein","WARNUNG: kein gültiger Materialpreis",IF($H94="","HINWEIS: Schneidweg fehlt",IF(V94="","HINWEIS: keine Schneiddaten",IF(AND($AF94&lt;&gt;"",$AG94=""),"HINWEIS: Gewinde-Vorschlag prüfen","OK")))))))))))))</f>
        <v/>
      </c>
      <c r="X94" s="18" t="str">
        <f aca="false">IF(OR(O94="",$G94=""),"",O94*$G94)</f>
        <v/>
      </c>
      <c r="Y94" s="10"/>
      <c r="Z94" s="21"/>
      <c r="AA94" s="10"/>
      <c r="AB94" s="21"/>
      <c r="AC94" s="21"/>
      <c r="AD94" s="21"/>
      <c r="AE94" s="10"/>
      <c r="AF94" s="10"/>
      <c r="AG94" s="10"/>
      <c r="AH94" s="22"/>
      <c r="AI94" s="21"/>
      <c r="AJ94" s="22"/>
      <c r="AK94" s="21"/>
      <c r="AL94" s="22"/>
      <c r="AM94" s="21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21"/>
      <c r="G95" s="19"/>
      <c r="H95" s="21"/>
      <c r="I95" s="22"/>
      <c r="J95" s="19"/>
      <c r="K95" s="23" t="str">
        <f aca="false">IF($D95="","",IFERROR(INDEX(Profile!$B$5:$B$304,MATCH($D95,lst_Profil,0)),""))</f>
        <v/>
      </c>
      <c r="L95" s="13" t="str">
        <f aca="false">IF($D95="","",IFERROR(INDEX(Profile!$K$5:$K$304,MATCH($D95,lst_Profil,0))+0,""))</f>
        <v/>
      </c>
      <c r="M95" s="24" t="str">
        <f aca="false">IF($D95="","",IFERROR(INDEX(Profile!$E$5:$E$304,MATCH($D95,lst_Profil,0))+0,""))</f>
        <v/>
      </c>
      <c r="N95" s="25" t="str">
        <f aca="false">IF(OR(L95="",$E95=""),"",IFERROR(L95*INDEX(Werkstoffe!$E$5:$E$304,MATCH($E95,lst_Werkstoff,0))/1000,""))</f>
        <v/>
      </c>
      <c r="O95" s="25" t="str">
        <f aca="false">IF(OR(N95="",$F95=""),"",N95*$F95/1000)</f>
        <v/>
      </c>
      <c r="P95" s="16" t="str">
        <f aca="false">IF(OR($F95="",$G95=""),"",$F95*$G95)</f>
        <v/>
      </c>
      <c r="Q95" s="16" t="str">
        <f aca="false">IF($D95="","",IF($J95&lt;&gt;"",$J95,$C$9))</f>
        <v/>
      </c>
      <c r="R95" s="12" t="str">
        <f aca="false">IF($D95="","",IFERROR(IF(INDEX(Profile!$G$5:$G$304,MATCH($D95,lst_Profil,0))&lt;&gt;"",INDEX(Profile!$G$5:$G$304,MATCH($D95,lst_Profil,0)),$H$4),$H$4))</f>
        <v/>
      </c>
      <c r="S95" s="12" t="str">
        <f aca="false">IF($D95="","",IFERROR(IF(INDEX(Profile!$H$5:$H$304,MATCH($D95,lst_Profil,0))&lt;&gt;"",INDEX(Profile!$H$5:$H$304,MATCH($D95,lst_Profil,0)),$H$5),$H$5))</f>
        <v/>
      </c>
      <c r="T95" s="16" t="str">
        <f aca="false">IF(OR(Q95="",NOT(ISNUMBER(R95)),NOT(ISNUMBER(S95))),"",Q95-R95-S95)</f>
        <v/>
      </c>
      <c r="U95" s="26" t="str">
        <f aca="false">IF(OR($D95="",$E95=""),"",IF(COUNTIFS(Preise!$A$5:$A$304,$D95,Preise!$B$5:$B$304,$E95,Preise!$I$5:$I$304,"OK")&gt;0,"ja","nein"))</f>
        <v/>
      </c>
      <c r="V95" s="15" t="str">
        <f aca="false">IF(OR(M95="",$E95="",$C$8=""),"",IF(_xlfn.MINIFS(Schneiddaten!$C$5:$C$304,Schneiddaten!$A$5:$A$304,$C$8,Schneiddaten!$B$5:$B$304,$E95,Schneiddaten!$C$5:$C$304,"&gt;="&amp;M95)=0,"",SUMIFS(Schneiddaten!$D$5:$D$304,Schneiddaten!$A$5:$A$304,$C$8,Schneiddaten!$B$5:$B$304,$E95,Schneiddaten!$C$5:$C$304,_xlfn.MINIFS(Schneiddaten!$C$5:$C$304,Schneiddaten!$A$5:$A$304,$C$8,Schneiddaten!$B$5:$B$304,$E95,Schneiddaten!$C$5:$C$304,"&gt;="&amp;M95))))</f>
        <v/>
      </c>
      <c r="W95" s="26" t="str">
        <f aca="false">IF(AND($D95="",$E95="",$F95="",$G95=""),"",IF(ISNA(MATCH($D95,lst_Profil,0)),"FEHLER: Profil unbekannt",IF(ISNA(MATCH($E95,lst_Werkstoff,0)),"FEHLER: Werkstoff unbekannt",IF(NOT(ISNUMBER(L95)),"FEHLER: Querschnitt fehlt (Profil)",IF(OR($F95="",$F95&lt;=0),"FEHLER: Teilelänge fehlt",IF(OR($G95="",$G95&lt;1),"FEHLER: Stückzahl fehlt",IF(NOT(ISNUMBER($H$4)),"FEHLER: Maschine fehlt/unbekannt",IF(Q95&gt;$H$7,"FEHLER: Stange länger als Maschine zulässt",IF($F95+$H$6&gt;T95,"FEHLER: Teil länger als Nutzlänge",IF(U95="nein","WARNUNG: kein gültiger Materialpreis",IF($H95="","HINWEIS: Schneidweg fehlt",IF(V95="","HINWEIS: keine Schneiddaten",IF(AND($AF95&lt;&gt;"",$AG95=""),"HINWEIS: Gewinde-Vorschlag prüfen","OK")))))))))))))</f>
        <v/>
      </c>
      <c r="X95" s="18" t="str">
        <f aca="false">IF(OR(O95="",$G95=""),"",O95*$G95)</f>
        <v/>
      </c>
      <c r="Y95" s="10"/>
      <c r="Z95" s="21"/>
      <c r="AA95" s="10"/>
      <c r="AB95" s="21"/>
      <c r="AC95" s="21"/>
      <c r="AD95" s="21"/>
      <c r="AE95" s="10"/>
      <c r="AF95" s="10"/>
      <c r="AG95" s="10"/>
      <c r="AH95" s="22"/>
      <c r="AI95" s="21"/>
      <c r="AJ95" s="22"/>
      <c r="AK95" s="21"/>
      <c r="AL95" s="22"/>
      <c r="AM95" s="21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21"/>
      <c r="G96" s="19"/>
      <c r="H96" s="21"/>
      <c r="I96" s="22"/>
      <c r="J96" s="19"/>
      <c r="K96" s="23" t="str">
        <f aca="false">IF($D96="","",IFERROR(INDEX(Profile!$B$5:$B$304,MATCH($D96,lst_Profil,0)),""))</f>
        <v/>
      </c>
      <c r="L96" s="13" t="str">
        <f aca="false">IF($D96="","",IFERROR(INDEX(Profile!$K$5:$K$304,MATCH($D96,lst_Profil,0))+0,""))</f>
        <v/>
      </c>
      <c r="M96" s="24" t="str">
        <f aca="false">IF($D96="","",IFERROR(INDEX(Profile!$E$5:$E$304,MATCH($D96,lst_Profil,0))+0,""))</f>
        <v/>
      </c>
      <c r="N96" s="25" t="str">
        <f aca="false">IF(OR(L96="",$E96=""),"",IFERROR(L96*INDEX(Werkstoffe!$E$5:$E$304,MATCH($E96,lst_Werkstoff,0))/1000,""))</f>
        <v/>
      </c>
      <c r="O96" s="25" t="str">
        <f aca="false">IF(OR(N96="",$F96=""),"",N96*$F96/1000)</f>
        <v/>
      </c>
      <c r="P96" s="16" t="str">
        <f aca="false">IF(OR($F96="",$G96=""),"",$F96*$G96)</f>
        <v/>
      </c>
      <c r="Q96" s="16" t="str">
        <f aca="false">IF($D96="","",IF($J96&lt;&gt;"",$J96,$C$9))</f>
        <v/>
      </c>
      <c r="R96" s="12" t="str">
        <f aca="false">IF($D96="","",IFERROR(IF(INDEX(Profile!$G$5:$G$304,MATCH($D96,lst_Profil,0))&lt;&gt;"",INDEX(Profile!$G$5:$G$304,MATCH($D96,lst_Profil,0)),$H$4),$H$4))</f>
        <v/>
      </c>
      <c r="S96" s="12" t="str">
        <f aca="false">IF($D96="","",IFERROR(IF(INDEX(Profile!$H$5:$H$304,MATCH($D96,lst_Profil,0))&lt;&gt;"",INDEX(Profile!$H$5:$H$304,MATCH($D96,lst_Profil,0)),$H$5),$H$5))</f>
        <v/>
      </c>
      <c r="T96" s="16" t="str">
        <f aca="false">IF(OR(Q96="",NOT(ISNUMBER(R96)),NOT(ISNUMBER(S96))),"",Q96-R96-S96)</f>
        <v/>
      </c>
      <c r="U96" s="26" t="str">
        <f aca="false">IF(OR($D96="",$E96=""),"",IF(COUNTIFS(Preise!$A$5:$A$304,$D96,Preise!$B$5:$B$304,$E96,Preise!$I$5:$I$304,"OK")&gt;0,"ja","nein"))</f>
        <v/>
      </c>
      <c r="V96" s="15" t="str">
        <f aca="false">IF(OR(M96="",$E96="",$C$8=""),"",IF(_xlfn.MINIFS(Schneiddaten!$C$5:$C$304,Schneiddaten!$A$5:$A$304,$C$8,Schneiddaten!$B$5:$B$304,$E96,Schneiddaten!$C$5:$C$304,"&gt;="&amp;M96)=0,"",SUMIFS(Schneiddaten!$D$5:$D$304,Schneiddaten!$A$5:$A$304,$C$8,Schneiddaten!$B$5:$B$304,$E96,Schneiddaten!$C$5:$C$304,_xlfn.MINIFS(Schneiddaten!$C$5:$C$304,Schneiddaten!$A$5:$A$304,$C$8,Schneiddaten!$B$5:$B$304,$E96,Schneiddaten!$C$5:$C$304,"&gt;="&amp;M96))))</f>
        <v/>
      </c>
      <c r="W96" s="26" t="str">
        <f aca="false">IF(AND($D96="",$E96="",$F96="",$G96=""),"",IF(ISNA(MATCH($D96,lst_Profil,0)),"FEHLER: Profil unbekannt",IF(ISNA(MATCH($E96,lst_Werkstoff,0)),"FEHLER: Werkstoff unbekannt",IF(NOT(ISNUMBER(L96)),"FEHLER: Querschnitt fehlt (Profil)",IF(OR($F96="",$F96&lt;=0),"FEHLER: Teilelänge fehlt",IF(OR($G96="",$G96&lt;1),"FEHLER: Stückzahl fehlt",IF(NOT(ISNUMBER($H$4)),"FEHLER: Maschine fehlt/unbekannt",IF(Q96&gt;$H$7,"FEHLER: Stange länger als Maschine zulässt",IF($F96+$H$6&gt;T96,"FEHLER: Teil länger als Nutzlänge",IF(U96="nein","WARNUNG: kein gültiger Materialpreis",IF($H96="","HINWEIS: Schneidweg fehlt",IF(V96="","HINWEIS: keine Schneiddaten",IF(AND($AF96&lt;&gt;"",$AG96=""),"HINWEIS: Gewinde-Vorschlag prüfen","OK")))))))))))))</f>
        <v/>
      </c>
      <c r="X96" s="18" t="str">
        <f aca="false">IF(OR(O96="",$G96=""),"",O96*$G96)</f>
        <v/>
      </c>
      <c r="Y96" s="10"/>
      <c r="Z96" s="21"/>
      <c r="AA96" s="10"/>
      <c r="AB96" s="21"/>
      <c r="AC96" s="21"/>
      <c r="AD96" s="21"/>
      <c r="AE96" s="10"/>
      <c r="AF96" s="10"/>
      <c r="AG96" s="10"/>
      <c r="AH96" s="22"/>
      <c r="AI96" s="21"/>
      <c r="AJ96" s="22"/>
      <c r="AK96" s="21"/>
      <c r="AL96" s="22"/>
      <c r="AM96" s="21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21"/>
      <c r="G97" s="19"/>
      <c r="H97" s="21"/>
      <c r="I97" s="22"/>
      <c r="J97" s="19"/>
      <c r="K97" s="23" t="str">
        <f aca="false">IF($D97="","",IFERROR(INDEX(Profile!$B$5:$B$304,MATCH($D97,lst_Profil,0)),""))</f>
        <v/>
      </c>
      <c r="L97" s="13" t="str">
        <f aca="false">IF($D97="","",IFERROR(INDEX(Profile!$K$5:$K$304,MATCH($D97,lst_Profil,0))+0,""))</f>
        <v/>
      </c>
      <c r="M97" s="24" t="str">
        <f aca="false">IF($D97="","",IFERROR(INDEX(Profile!$E$5:$E$304,MATCH($D97,lst_Profil,0))+0,""))</f>
        <v/>
      </c>
      <c r="N97" s="25" t="str">
        <f aca="false">IF(OR(L97="",$E97=""),"",IFERROR(L97*INDEX(Werkstoffe!$E$5:$E$304,MATCH($E97,lst_Werkstoff,0))/1000,""))</f>
        <v/>
      </c>
      <c r="O97" s="25" t="str">
        <f aca="false">IF(OR(N97="",$F97=""),"",N97*$F97/1000)</f>
        <v/>
      </c>
      <c r="P97" s="16" t="str">
        <f aca="false">IF(OR($F97="",$G97=""),"",$F97*$G97)</f>
        <v/>
      </c>
      <c r="Q97" s="16" t="str">
        <f aca="false">IF($D97="","",IF($J97&lt;&gt;"",$J97,$C$9))</f>
        <v/>
      </c>
      <c r="R97" s="12" t="str">
        <f aca="false">IF($D97="","",IFERROR(IF(INDEX(Profile!$G$5:$G$304,MATCH($D97,lst_Profil,0))&lt;&gt;"",INDEX(Profile!$G$5:$G$304,MATCH($D97,lst_Profil,0)),$H$4),$H$4))</f>
        <v/>
      </c>
      <c r="S97" s="12" t="str">
        <f aca="false">IF($D97="","",IFERROR(IF(INDEX(Profile!$H$5:$H$304,MATCH($D97,lst_Profil,0))&lt;&gt;"",INDEX(Profile!$H$5:$H$304,MATCH($D97,lst_Profil,0)),$H$5),$H$5))</f>
        <v/>
      </c>
      <c r="T97" s="16" t="str">
        <f aca="false">IF(OR(Q97="",NOT(ISNUMBER(R97)),NOT(ISNUMBER(S97))),"",Q97-R97-S97)</f>
        <v/>
      </c>
      <c r="U97" s="26" t="str">
        <f aca="false">IF(OR($D97="",$E97=""),"",IF(COUNTIFS(Preise!$A$5:$A$304,$D97,Preise!$B$5:$B$304,$E97,Preise!$I$5:$I$304,"OK")&gt;0,"ja","nein"))</f>
        <v/>
      </c>
      <c r="V97" s="15" t="str">
        <f aca="false">IF(OR(M97="",$E97="",$C$8=""),"",IF(_xlfn.MINIFS(Schneiddaten!$C$5:$C$304,Schneiddaten!$A$5:$A$304,$C$8,Schneiddaten!$B$5:$B$304,$E97,Schneiddaten!$C$5:$C$304,"&gt;="&amp;M97)=0,"",SUMIFS(Schneiddaten!$D$5:$D$304,Schneiddaten!$A$5:$A$304,$C$8,Schneiddaten!$B$5:$B$304,$E97,Schneiddaten!$C$5:$C$304,_xlfn.MINIFS(Schneiddaten!$C$5:$C$304,Schneiddaten!$A$5:$A$304,$C$8,Schneiddaten!$B$5:$B$304,$E97,Schneiddaten!$C$5:$C$304,"&gt;="&amp;M97))))</f>
        <v/>
      </c>
      <c r="W97" s="26" t="str">
        <f aca="false">IF(AND($D97="",$E97="",$F97="",$G97=""),"",IF(ISNA(MATCH($D97,lst_Profil,0)),"FEHLER: Profil unbekannt",IF(ISNA(MATCH($E97,lst_Werkstoff,0)),"FEHLER: Werkstoff unbekannt",IF(NOT(ISNUMBER(L97)),"FEHLER: Querschnitt fehlt (Profil)",IF(OR($F97="",$F97&lt;=0),"FEHLER: Teilelänge fehlt",IF(OR($G97="",$G97&lt;1),"FEHLER: Stückzahl fehlt",IF(NOT(ISNUMBER($H$4)),"FEHLER: Maschine fehlt/unbekannt",IF(Q97&gt;$H$7,"FEHLER: Stange länger als Maschine zulässt",IF($F97+$H$6&gt;T97,"FEHLER: Teil länger als Nutzlänge",IF(U97="nein","WARNUNG: kein gültiger Materialpreis",IF($H97="","HINWEIS: Schneidweg fehlt",IF(V97="","HINWEIS: keine Schneiddaten",IF(AND($AF97&lt;&gt;"",$AG97=""),"HINWEIS: Gewinde-Vorschlag prüfen","OK")))))))))))))</f>
        <v/>
      </c>
      <c r="X97" s="18" t="str">
        <f aca="false">IF(OR(O97="",$G97=""),"",O97*$G97)</f>
        <v/>
      </c>
      <c r="Y97" s="10"/>
      <c r="Z97" s="21"/>
      <c r="AA97" s="10"/>
      <c r="AB97" s="21"/>
      <c r="AC97" s="21"/>
      <c r="AD97" s="21"/>
      <c r="AE97" s="10"/>
      <c r="AF97" s="10"/>
      <c r="AG97" s="10"/>
      <c r="AH97" s="22"/>
      <c r="AI97" s="21"/>
      <c r="AJ97" s="22"/>
      <c r="AK97" s="21"/>
      <c r="AL97" s="22"/>
      <c r="AM97" s="21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21"/>
      <c r="G98" s="19"/>
      <c r="H98" s="21"/>
      <c r="I98" s="22"/>
      <c r="J98" s="19"/>
      <c r="K98" s="23" t="str">
        <f aca="false">IF($D98="","",IFERROR(INDEX(Profile!$B$5:$B$304,MATCH($D98,lst_Profil,0)),""))</f>
        <v/>
      </c>
      <c r="L98" s="13" t="str">
        <f aca="false">IF($D98="","",IFERROR(INDEX(Profile!$K$5:$K$304,MATCH($D98,lst_Profil,0))+0,""))</f>
        <v/>
      </c>
      <c r="M98" s="24" t="str">
        <f aca="false">IF($D98="","",IFERROR(INDEX(Profile!$E$5:$E$304,MATCH($D98,lst_Profil,0))+0,""))</f>
        <v/>
      </c>
      <c r="N98" s="25" t="str">
        <f aca="false">IF(OR(L98="",$E98=""),"",IFERROR(L98*INDEX(Werkstoffe!$E$5:$E$304,MATCH($E98,lst_Werkstoff,0))/1000,""))</f>
        <v/>
      </c>
      <c r="O98" s="25" t="str">
        <f aca="false">IF(OR(N98="",$F98=""),"",N98*$F98/1000)</f>
        <v/>
      </c>
      <c r="P98" s="16" t="str">
        <f aca="false">IF(OR($F98="",$G98=""),"",$F98*$G98)</f>
        <v/>
      </c>
      <c r="Q98" s="16" t="str">
        <f aca="false">IF($D98="","",IF($J98&lt;&gt;"",$J98,$C$9))</f>
        <v/>
      </c>
      <c r="R98" s="12" t="str">
        <f aca="false">IF($D98="","",IFERROR(IF(INDEX(Profile!$G$5:$G$304,MATCH($D98,lst_Profil,0))&lt;&gt;"",INDEX(Profile!$G$5:$G$304,MATCH($D98,lst_Profil,0)),$H$4),$H$4))</f>
        <v/>
      </c>
      <c r="S98" s="12" t="str">
        <f aca="false">IF($D98="","",IFERROR(IF(INDEX(Profile!$H$5:$H$304,MATCH($D98,lst_Profil,0))&lt;&gt;"",INDEX(Profile!$H$5:$H$304,MATCH($D98,lst_Profil,0)),$H$5),$H$5))</f>
        <v/>
      </c>
      <c r="T98" s="16" t="str">
        <f aca="false">IF(OR(Q98="",NOT(ISNUMBER(R98)),NOT(ISNUMBER(S98))),"",Q98-R98-S98)</f>
        <v/>
      </c>
      <c r="U98" s="26" t="str">
        <f aca="false">IF(OR($D98="",$E98=""),"",IF(COUNTIFS(Preise!$A$5:$A$304,$D98,Preise!$B$5:$B$304,$E98,Preise!$I$5:$I$304,"OK")&gt;0,"ja","nein"))</f>
        <v/>
      </c>
      <c r="V98" s="15" t="str">
        <f aca="false">IF(OR(M98="",$E98="",$C$8=""),"",IF(_xlfn.MINIFS(Schneiddaten!$C$5:$C$304,Schneiddaten!$A$5:$A$304,$C$8,Schneiddaten!$B$5:$B$304,$E98,Schneiddaten!$C$5:$C$304,"&gt;="&amp;M98)=0,"",SUMIFS(Schneiddaten!$D$5:$D$304,Schneiddaten!$A$5:$A$304,$C$8,Schneiddaten!$B$5:$B$304,$E98,Schneiddaten!$C$5:$C$304,_xlfn.MINIFS(Schneiddaten!$C$5:$C$304,Schneiddaten!$A$5:$A$304,$C$8,Schneiddaten!$B$5:$B$304,$E98,Schneiddaten!$C$5:$C$304,"&gt;="&amp;M98))))</f>
        <v/>
      </c>
      <c r="W98" s="26" t="str">
        <f aca="false">IF(AND($D98="",$E98="",$F98="",$G98=""),"",IF(ISNA(MATCH($D98,lst_Profil,0)),"FEHLER: Profil unbekannt",IF(ISNA(MATCH($E98,lst_Werkstoff,0)),"FEHLER: Werkstoff unbekannt",IF(NOT(ISNUMBER(L98)),"FEHLER: Querschnitt fehlt (Profil)",IF(OR($F98="",$F98&lt;=0),"FEHLER: Teilelänge fehlt",IF(OR($G98="",$G98&lt;1),"FEHLER: Stückzahl fehlt",IF(NOT(ISNUMBER($H$4)),"FEHLER: Maschine fehlt/unbekannt",IF(Q98&gt;$H$7,"FEHLER: Stange länger als Maschine zulässt",IF($F98+$H$6&gt;T98,"FEHLER: Teil länger als Nutzlänge",IF(U98="nein","WARNUNG: kein gültiger Materialpreis",IF($H98="","HINWEIS: Schneidweg fehlt",IF(V98="","HINWEIS: keine Schneiddaten",IF(AND($AF98&lt;&gt;"",$AG98=""),"HINWEIS: Gewinde-Vorschlag prüfen","OK")))))))))))))</f>
        <v/>
      </c>
      <c r="X98" s="18" t="str">
        <f aca="false">IF(OR(O98="",$G98=""),"",O98*$G98)</f>
        <v/>
      </c>
      <c r="Y98" s="10"/>
      <c r="Z98" s="21"/>
      <c r="AA98" s="10"/>
      <c r="AB98" s="21"/>
      <c r="AC98" s="21"/>
      <c r="AD98" s="21"/>
      <c r="AE98" s="10"/>
      <c r="AF98" s="10"/>
      <c r="AG98" s="10"/>
      <c r="AH98" s="22"/>
      <c r="AI98" s="21"/>
      <c r="AJ98" s="22"/>
      <c r="AK98" s="21"/>
      <c r="AL98" s="22"/>
      <c r="AM98" s="21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21"/>
      <c r="G99" s="19"/>
      <c r="H99" s="21"/>
      <c r="I99" s="22"/>
      <c r="J99" s="19"/>
      <c r="K99" s="23" t="str">
        <f aca="false">IF($D99="","",IFERROR(INDEX(Profile!$B$5:$B$304,MATCH($D99,lst_Profil,0)),""))</f>
        <v/>
      </c>
      <c r="L99" s="13" t="str">
        <f aca="false">IF($D99="","",IFERROR(INDEX(Profile!$K$5:$K$304,MATCH($D99,lst_Profil,0))+0,""))</f>
        <v/>
      </c>
      <c r="M99" s="24" t="str">
        <f aca="false">IF($D99="","",IFERROR(INDEX(Profile!$E$5:$E$304,MATCH($D99,lst_Profil,0))+0,""))</f>
        <v/>
      </c>
      <c r="N99" s="25" t="str">
        <f aca="false">IF(OR(L99="",$E99=""),"",IFERROR(L99*INDEX(Werkstoffe!$E$5:$E$304,MATCH($E99,lst_Werkstoff,0))/1000,""))</f>
        <v/>
      </c>
      <c r="O99" s="25" t="str">
        <f aca="false">IF(OR(N99="",$F99=""),"",N99*$F99/1000)</f>
        <v/>
      </c>
      <c r="P99" s="16" t="str">
        <f aca="false">IF(OR($F99="",$G99=""),"",$F99*$G99)</f>
        <v/>
      </c>
      <c r="Q99" s="16" t="str">
        <f aca="false">IF($D99="","",IF($J99&lt;&gt;"",$J99,$C$9))</f>
        <v/>
      </c>
      <c r="R99" s="12" t="str">
        <f aca="false">IF($D99="","",IFERROR(IF(INDEX(Profile!$G$5:$G$304,MATCH($D99,lst_Profil,0))&lt;&gt;"",INDEX(Profile!$G$5:$G$304,MATCH($D99,lst_Profil,0)),$H$4),$H$4))</f>
        <v/>
      </c>
      <c r="S99" s="12" t="str">
        <f aca="false">IF($D99="","",IFERROR(IF(INDEX(Profile!$H$5:$H$304,MATCH($D99,lst_Profil,0))&lt;&gt;"",INDEX(Profile!$H$5:$H$304,MATCH($D99,lst_Profil,0)),$H$5),$H$5))</f>
        <v/>
      </c>
      <c r="T99" s="16" t="str">
        <f aca="false">IF(OR(Q99="",NOT(ISNUMBER(R99)),NOT(ISNUMBER(S99))),"",Q99-R99-S99)</f>
        <v/>
      </c>
      <c r="U99" s="26" t="str">
        <f aca="false">IF(OR($D99="",$E99=""),"",IF(COUNTIFS(Preise!$A$5:$A$304,$D99,Preise!$B$5:$B$304,$E99,Preise!$I$5:$I$304,"OK")&gt;0,"ja","nein"))</f>
        <v/>
      </c>
      <c r="V99" s="15" t="str">
        <f aca="false">IF(OR(M99="",$E99="",$C$8=""),"",IF(_xlfn.MINIFS(Schneiddaten!$C$5:$C$304,Schneiddaten!$A$5:$A$304,$C$8,Schneiddaten!$B$5:$B$304,$E99,Schneiddaten!$C$5:$C$304,"&gt;="&amp;M99)=0,"",SUMIFS(Schneiddaten!$D$5:$D$304,Schneiddaten!$A$5:$A$304,$C$8,Schneiddaten!$B$5:$B$304,$E99,Schneiddaten!$C$5:$C$304,_xlfn.MINIFS(Schneiddaten!$C$5:$C$304,Schneiddaten!$A$5:$A$304,$C$8,Schneiddaten!$B$5:$B$304,$E99,Schneiddaten!$C$5:$C$304,"&gt;="&amp;M99))))</f>
        <v/>
      </c>
      <c r="W99" s="26" t="str">
        <f aca="false">IF(AND($D99="",$E99="",$F99="",$G99=""),"",IF(ISNA(MATCH($D99,lst_Profil,0)),"FEHLER: Profil unbekannt",IF(ISNA(MATCH($E99,lst_Werkstoff,0)),"FEHLER: Werkstoff unbekannt",IF(NOT(ISNUMBER(L99)),"FEHLER: Querschnitt fehlt (Profil)",IF(OR($F99="",$F99&lt;=0),"FEHLER: Teilelänge fehlt",IF(OR($G99="",$G99&lt;1),"FEHLER: Stückzahl fehlt",IF(NOT(ISNUMBER($H$4)),"FEHLER: Maschine fehlt/unbekannt",IF(Q99&gt;$H$7,"FEHLER: Stange länger als Maschine zulässt",IF($F99+$H$6&gt;T99,"FEHLER: Teil länger als Nutzlänge",IF(U99="nein","WARNUNG: kein gültiger Materialpreis",IF($H99="","HINWEIS: Schneidweg fehlt",IF(V99="","HINWEIS: keine Schneiddaten",IF(AND($AF99&lt;&gt;"",$AG99=""),"HINWEIS: Gewinde-Vorschlag prüfen","OK")))))))))))))</f>
        <v/>
      </c>
      <c r="X99" s="18" t="str">
        <f aca="false">IF(OR(O99="",$G99=""),"",O99*$G99)</f>
        <v/>
      </c>
      <c r="Y99" s="10"/>
      <c r="Z99" s="21"/>
      <c r="AA99" s="10"/>
      <c r="AB99" s="21"/>
      <c r="AC99" s="21"/>
      <c r="AD99" s="21"/>
      <c r="AE99" s="10"/>
      <c r="AF99" s="10"/>
      <c r="AG99" s="10"/>
      <c r="AH99" s="22"/>
      <c r="AI99" s="21"/>
      <c r="AJ99" s="22"/>
      <c r="AK99" s="21"/>
      <c r="AL99" s="22"/>
      <c r="AM99" s="21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21"/>
      <c r="G100" s="19"/>
      <c r="H100" s="21"/>
      <c r="I100" s="22"/>
      <c r="J100" s="19"/>
      <c r="K100" s="23" t="str">
        <f aca="false">IF($D100="","",IFERROR(INDEX(Profile!$B$5:$B$304,MATCH($D100,lst_Profil,0)),""))</f>
        <v/>
      </c>
      <c r="L100" s="13" t="str">
        <f aca="false">IF($D100="","",IFERROR(INDEX(Profile!$K$5:$K$304,MATCH($D100,lst_Profil,0))+0,""))</f>
        <v/>
      </c>
      <c r="M100" s="24" t="str">
        <f aca="false">IF($D100="","",IFERROR(INDEX(Profile!$E$5:$E$304,MATCH($D100,lst_Profil,0))+0,""))</f>
        <v/>
      </c>
      <c r="N100" s="25" t="str">
        <f aca="false">IF(OR(L100="",$E100=""),"",IFERROR(L100*INDEX(Werkstoffe!$E$5:$E$304,MATCH($E100,lst_Werkstoff,0))/1000,""))</f>
        <v/>
      </c>
      <c r="O100" s="25" t="str">
        <f aca="false">IF(OR(N100="",$F100=""),"",N100*$F100/1000)</f>
        <v/>
      </c>
      <c r="P100" s="16" t="str">
        <f aca="false">IF(OR($F100="",$G100=""),"",$F100*$G100)</f>
        <v/>
      </c>
      <c r="Q100" s="16" t="str">
        <f aca="false">IF($D100="","",IF($J100&lt;&gt;"",$J100,$C$9))</f>
        <v/>
      </c>
      <c r="R100" s="12" t="str">
        <f aca="false">IF($D100="","",IFERROR(IF(INDEX(Profile!$G$5:$G$304,MATCH($D100,lst_Profil,0))&lt;&gt;"",INDEX(Profile!$G$5:$G$304,MATCH($D100,lst_Profil,0)),$H$4),$H$4))</f>
        <v/>
      </c>
      <c r="S100" s="12" t="str">
        <f aca="false">IF($D100="","",IFERROR(IF(INDEX(Profile!$H$5:$H$304,MATCH($D100,lst_Profil,0))&lt;&gt;"",INDEX(Profile!$H$5:$H$304,MATCH($D100,lst_Profil,0)),$H$5),$H$5))</f>
        <v/>
      </c>
      <c r="T100" s="16" t="str">
        <f aca="false">IF(OR(Q100="",NOT(ISNUMBER(R100)),NOT(ISNUMBER(S100))),"",Q100-R100-S100)</f>
        <v/>
      </c>
      <c r="U100" s="26" t="str">
        <f aca="false">IF(OR($D100="",$E100=""),"",IF(COUNTIFS(Preise!$A$5:$A$304,$D100,Preise!$B$5:$B$304,$E100,Preise!$I$5:$I$304,"OK")&gt;0,"ja","nein"))</f>
        <v/>
      </c>
      <c r="V100" s="15" t="str">
        <f aca="false">IF(OR(M100="",$E100="",$C$8=""),"",IF(_xlfn.MINIFS(Schneiddaten!$C$5:$C$304,Schneiddaten!$A$5:$A$304,$C$8,Schneiddaten!$B$5:$B$304,$E100,Schneiddaten!$C$5:$C$304,"&gt;="&amp;M100)=0,"",SUMIFS(Schneiddaten!$D$5:$D$304,Schneiddaten!$A$5:$A$304,$C$8,Schneiddaten!$B$5:$B$304,$E100,Schneiddaten!$C$5:$C$304,_xlfn.MINIFS(Schneiddaten!$C$5:$C$304,Schneiddaten!$A$5:$A$304,$C$8,Schneiddaten!$B$5:$B$304,$E100,Schneiddaten!$C$5:$C$304,"&gt;="&amp;M100))))</f>
        <v/>
      </c>
      <c r="W100" s="26" t="str">
        <f aca="false">IF(AND($D100="",$E100="",$F100="",$G100=""),"",IF(ISNA(MATCH($D100,lst_Profil,0)),"FEHLER: Profil unbekannt",IF(ISNA(MATCH($E100,lst_Werkstoff,0)),"FEHLER: Werkstoff unbekannt",IF(NOT(ISNUMBER(L100)),"FEHLER: Querschnitt fehlt (Profil)",IF(OR($F100="",$F100&lt;=0),"FEHLER: Teilelänge fehlt",IF(OR($G100="",$G100&lt;1),"FEHLER: Stückzahl fehlt",IF(NOT(ISNUMBER($H$4)),"FEHLER: Maschine fehlt/unbekannt",IF(Q100&gt;$H$7,"FEHLER: Stange länger als Maschine zulässt",IF($F100+$H$6&gt;T100,"FEHLER: Teil länger als Nutzlänge",IF(U100="nein","WARNUNG: kein gültiger Materialpreis",IF($H100="","HINWEIS: Schneidweg fehlt",IF(V100="","HINWEIS: keine Schneiddaten",IF(AND($AF100&lt;&gt;"",$AG100=""),"HINWEIS: Gewinde-Vorschlag prüfen","OK")))))))))))))</f>
        <v/>
      </c>
      <c r="X100" s="18" t="str">
        <f aca="false">IF(OR(O100="",$G100=""),"",O100*$G100)</f>
        <v/>
      </c>
      <c r="Y100" s="10"/>
      <c r="Z100" s="21"/>
      <c r="AA100" s="10"/>
      <c r="AB100" s="21"/>
      <c r="AC100" s="21"/>
      <c r="AD100" s="21"/>
      <c r="AE100" s="10"/>
      <c r="AF100" s="10"/>
      <c r="AG100" s="10"/>
      <c r="AH100" s="22"/>
      <c r="AI100" s="21"/>
      <c r="AJ100" s="22"/>
      <c r="AK100" s="21"/>
      <c r="AL100" s="22"/>
      <c r="AM100" s="21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21"/>
      <c r="G101" s="19"/>
      <c r="H101" s="21"/>
      <c r="I101" s="22"/>
      <c r="J101" s="19"/>
      <c r="K101" s="23" t="str">
        <f aca="false">IF($D101="","",IFERROR(INDEX(Profile!$B$5:$B$304,MATCH($D101,lst_Profil,0)),""))</f>
        <v/>
      </c>
      <c r="L101" s="13" t="str">
        <f aca="false">IF($D101="","",IFERROR(INDEX(Profile!$K$5:$K$304,MATCH($D101,lst_Profil,0))+0,""))</f>
        <v/>
      </c>
      <c r="M101" s="24" t="str">
        <f aca="false">IF($D101="","",IFERROR(INDEX(Profile!$E$5:$E$304,MATCH($D101,lst_Profil,0))+0,""))</f>
        <v/>
      </c>
      <c r="N101" s="25" t="str">
        <f aca="false">IF(OR(L101="",$E101=""),"",IFERROR(L101*INDEX(Werkstoffe!$E$5:$E$304,MATCH($E101,lst_Werkstoff,0))/1000,""))</f>
        <v/>
      </c>
      <c r="O101" s="25" t="str">
        <f aca="false">IF(OR(N101="",$F101=""),"",N101*$F101/1000)</f>
        <v/>
      </c>
      <c r="P101" s="16" t="str">
        <f aca="false">IF(OR($F101="",$G101=""),"",$F101*$G101)</f>
        <v/>
      </c>
      <c r="Q101" s="16" t="str">
        <f aca="false">IF($D101="","",IF($J101&lt;&gt;"",$J101,$C$9))</f>
        <v/>
      </c>
      <c r="R101" s="12" t="str">
        <f aca="false">IF($D101="","",IFERROR(IF(INDEX(Profile!$G$5:$G$304,MATCH($D101,lst_Profil,0))&lt;&gt;"",INDEX(Profile!$G$5:$G$304,MATCH($D101,lst_Profil,0)),$H$4),$H$4))</f>
        <v/>
      </c>
      <c r="S101" s="12" t="str">
        <f aca="false">IF($D101="","",IFERROR(IF(INDEX(Profile!$H$5:$H$304,MATCH($D101,lst_Profil,0))&lt;&gt;"",INDEX(Profile!$H$5:$H$304,MATCH($D101,lst_Profil,0)),$H$5),$H$5))</f>
        <v/>
      </c>
      <c r="T101" s="16" t="str">
        <f aca="false">IF(OR(Q101="",NOT(ISNUMBER(R101)),NOT(ISNUMBER(S101))),"",Q101-R101-S101)</f>
        <v/>
      </c>
      <c r="U101" s="26" t="str">
        <f aca="false">IF(OR($D101="",$E101=""),"",IF(COUNTIFS(Preise!$A$5:$A$304,$D101,Preise!$B$5:$B$304,$E101,Preise!$I$5:$I$304,"OK")&gt;0,"ja","nein"))</f>
        <v/>
      </c>
      <c r="V101" s="15" t="str">
        <f aca="false">IF(OR(M101="",$E101="",$C$8=""),"",IF(_xlfn.MINIFS(Schneiddaten!$C$5:$C$304,Schneiddaten!$A$5:$A$304,$C$8,Schneiddaten!$B$5:$B$304,$E101,Schneiddaten!$C$5:$C$304,"&gt;="&amp;M101)=0,"",SUMIFS(Schneiddaten!$D$5:$D$304,Schneiddaten!$A$5:$A$304,$C$8,Schneiddaten!$B$5:$B$304,$E101,Schneiddaten!$C$5:$C$304,_xlfn.MINIFS(Schneiddaten!$C$5:$C$304,Schneiddaten!$A$5:$A$304,$C$8,Schneiddaten!$B$5:$B$304,$E101,Schneiddaten!$C$5:$C$304,"&gt;="&amp;M101))))</f>
        <v/>
      </c>
      <c r="W101" s="26" t="str">
        <f aca="false">IF(AND($D101="",$E101="",$F101="",$G101=""),"",IF(ISNA(MATCH($D101,lst_Profil,0)),"FEHLER: Profil unbekannt",IF(ISNA(MATCH($E101,lst_Werkstoff,0)),"FEHLER: Werkstoff unbekannt",IF(NOT(ISNUMBER(L101)),"FEHLER: Querschnitt fehlt (Profil)",IF(OR($F101="",$F101&lt;=0),"FEHLER: Teilelänge fehlt",IF(OR($G101="",$G101&lt;1),"FEHLER: Stückzahl fehlt",IF(NOT(ISNUMBER($H$4)),"FEHLER: Maschine fehlt/unbekannt",IF(Q101&gt;$H$7,"FEHLER: Stange länger als Maschine zulässt",IF($F101+$H$6&gt;T101,"FEHLER: Teil länger als Nutzlänge",IF(U101="nein","WARNUNG: kein gültiger Materialpreis",IF($H101="","HINWEIS: Schneidweg fehlt",IF(V101="","HINWEIS: keine Schneiddaten",IF(AND($AF101&lt;&gt;"",$AG101=""),"HINWEIS: Gewinde-Vorschlag prüfen","OK")))))))))))))</f>
        <v/>
      </c>
      <c r="X101" s="18" t="str">
        <f aca="false">IF(OR(O101="",$G101=""),"",O101*$G101)</f>
        <v/>
      </c>
      <c r="Y101" s="10"/>
      <c r="Z101" s="21"/>
      <c r="AA101" s="10"/>
      <c r="AB101" s="21"/>
      <c r="AC101" s="21"/>
      <c r="AD101" s="21"/>
      <c r="AE101" s="10"/>
      <c r="AF101" s="10"/>
      <c r="AG101" s="10"/>
      <c r="AH101" s="22"/>
      <c r="AI101" s="21"/>
      <c r="AJ101" s="22"/>
      <c r="AK101" s="21"/>
      <c r="AL101" s="22"/>
      <c r="AM101" s="21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21"/>
      <c r="G102" s="19"/>
      <c r="H102" s="21"/>
      <c r="I102" s="22"/>
      <c r="J102" s="19"/>
      <c r="K102" s="23" t="str">
        <f aca="false">IF($D102="","",IFERROR(INDEX(Profile!$B$5:$B$304,MATCH($D102,lst_Profil,0)),""))</f>
        <v/>
      </c>
      <c r="L102" s="13" t="str">
        <f aca="false">IF($D102="","",IFERROR(INDEX(Profile!$K$5:$K$304,MATCH($D102,lst_Profil,0))+0,""))</f>
        <v/>
      </c>
      <c r="M102" s="24" t="str">
        <f aca="false">IF($D102="","",IFERROR(INDEX(Profile!$E$5:$E$304,MATCH($D102,lst_Profil,0))+0,""))</f>
        <v/>
      </c>
      <c r="N102" s="25" t="str">
        <f aca="false">IF(OR(L102="",$E102=""),"",IFERROR(L102*INDEX(Werkstoffe!$E$5:$E$304,MATCH($E102,lst_Werkstoff,0))/1000,""))</f>
        <v/>
      </c>
      <c r="O102" s="25" t="str">
        <f aca="false">IF(OR(N102="",$F102=""),"",N102*$F102/1000)</f>
        <v/>
      </c>
      <c r="P102" s="16" t="str">
        <f aca="false">IF(OR($F102="",$G102=""),"",$F102*$G102)</f>
        <v/>
      </c>
      <c r="Q102" s="16" t="str">
        <f aca="false">IF($D102="","",IF($J102&lt;&gt;"",$J102,$C$9))</f>
        <v/>
      </c>
      <c r="R102" s="12" t="str">
        <f aca="false">IF($D102="","",IFERROR(IF(INDEX(Profile!$G$5:$G$304,MATCH($D102,lst_Profil,0))&lt;&gt;"",INDEX(Profile!$G$5:$G$304,MATCH($D102,lst_Profil,0)),$H$4),$H$4))</f>
        <v/>
      </c>
      <c r="S102" s="12" t="str">
        <f aca="false">IF($D102="","",IFERROR(IF(INDEX(Profile!$H$5:$H$304,MATCH($D102,lst_Profil,0))&lt;&gt;"",INDEX(Profile!$H$5:$H$304,MATCH($D102,lst_Profil,0)),$H$5),$H$5))</f>
        <v/>
      </c>
      <c r="T102" s="16" t="str">
        <f aca="false">IF(OR(Q102="",NOT(ISNUMBER(R102)),NOT(ISNUMBER(S102))),"",Q102-R102-S102)</f>
        <v/>
      </c>
      <c r="U102" s="26" t="str">
        <f aca="false">IF(OR($D102="",$E102=""),"",IF(COUNTIFS(Preise!$A$5:$A$304,$D102,Preise!$B$5:$B$304,$E102,Preise!$I$5:$I$304,"OK")&gt;0,"ja","nein"))</f>
        <v/>
      </c>
      <c r="V102" s="15" t="str">
        <f aca="false">IF(OR(M102="",$E102="",$C$8=""),"",IF(_xlfn.MINIFS(Schneiddaten!$C$5:$C$304,Schneiddaten!$A$5:$A$304,$C$8,Schneiddaten!$B$5:$B$304,$E102,Schneiddaten!$C$5:$C$304,"&gt;="&amp;M102)=0,"",SUMIFS(Schneiddaten!$D$5:$D$304,Schneiddaten!$A$5:$A$304,$C$8,Schneiddaten!$B$5:$B$304,$E102,Schneiddaten!$C$5:$C$304,_xlfn.MINIFS(Schneiddaten!$C$5:$C$304,Schneiddaten!$A$5:$A$304,$C$8,Schneiddaten!$B$5:$B$304,$E102,Schneiddaten!$C$5:$C$304,"&gt;="&amp;M102))))</f>
        <v/>
      </c>
      <c r="W102" s="26" t="str">
        <f aca="false">IF(AND($D102="",$E102="",$F102="",$G102=""),"",IF(ISNA(MATCH($D102,lst_Profil,0)),"FEHLER: Profil unbekannt",IF(ISNA(MATCH($E102,lst_Werkstoff,0)),"FEHLER: Werkstoff unbekannt",IF(NOT(ISNUMBER(L102)),"FEHLER: Querschnitt fehlt (Profil)",IF(OR($F102="",$F102&lt;=0),"FEHLER: Teilelänge fehlt",IF(OR($G102="",$G102&lt;1),"FEHLER: Stückzahl fehlt",IF(NOT(ISNUMBER($H$4)),"FEHLER: Maschine fehlt/unbekannt",IF(Q102&gt;$H$7,"FEHLER: Stange länger als Maschine zulässt",IF($F102+$H$6&gt;T102,"FEHLER: Teil länger als Nutzlänge",IF(U102="nein","WARNUNG: kein gültiger Materialpreis",IF($H102="","HINWEIS: Schneidweg fehlt",IF(V102="","HINWEIS: keine Schneiddaten",IF(AND($AF102&lt;&gt;"",$AG102=""),"HINWEIS: Gewinde-Vorschlag prüfen","OK")))))))))))))</f>
        <v/>
      </c>
      <c r="X102" s="18" t="str">
        <f aca="false">IF(OR(O102="",$G102=""),"",O102*$G102)</f>
        <v/>
      </c>
      <c r="Y102" s="10"/>
      <c r="Z102" s="21"/>
      <c r="AA102" s="10"/>
      <c r="AB102" s="21"/>
      <c r="AC102" s="21"/>
      <c r="AD102" s="21"/>
      <c r="AE102" s="10"/>
      <c r="AF102" s="10"/>
      <c r="AG102" s="10"/>
      <c r="AH102" s="22"/>
      <c r="AI102" s="21"/>
      <c r="AJ102" s="22"/>
      <c r="AK102" s="21"/>
      <c r="AL102" s="22"/>
      <c r="AM102" s="21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21"/>
      <c r="G103" s="19"/>
      <c r="H103" s="21"/>
      <c r="I103" s="22"/>
      <c r="J103" s="19"/>
      <c r="K103" s="23" t="str">
        <f aca="false">IF($D103="","",IFERROR(INDEX(Profile!$B$5:$B$304,MATCH($D103,lst_Profil,0)),""))</f>
        <v/>
      </c>
      <c r="L103" s="13" t="str">
        <f aca="false">IF($D103="","",IFERROR(INDEX(Profile!$K$5:$K$304,MATCH($D103,lst_Profil,0))+0,""))</f>
        <v/>
      </c>
      <c r="M103" s="24" t="str">
        <f aca="false">IF($D103="","",IFERROR(INDEX(Profile!$E$5:$E$304,MATCH($D103,lst_Profil,0))+0,""))</f>
        <v/>
      </c>
      <c r="N103" s="25" t="str">
        <f aca="false">IF(OR(L103="",$E103=""),"",IFERROR(L103*INDEX(Werkstoffe!$E$5:$E$304,MATCH($E103,lst_Werkstoff,0))/1000,""))</f>
        <v/>
      </c>
      <c r="O103" s="25" t="str">
        <f aca="false">IF(OR(N103="",$F103=""),"",N103*$F103/1000)</f>
        <v/>
      </c>
      <c r="P103" s="16" t="str">
        <f aca="false">IF(OR($F103="",$G103=""),"",$F103*$G103)</f>
        <v/>
      </c>
      <c r="Q103" s="16" t="str">
        <f aca="false">IF($D103="","",IF($J103&lt;&gt;"",$J103,$C$9))</f>
        <v/>
      </c>
      <c r="R103" s="12" t="str">
        <f aca="false">IF($D103="","",IFERROR(IF(INDEX(Profile!$G$5:$G$304,MATCH($D103,lst_Profil,0))&lt;&gt;"",INDEX(Profile!$G$5:$G$304,MATCH($D103,lst_Profil,0)),$H$4),$H$4))</f>
        <v/>
      </c>
      <c r="S103" s="12" t="str">
        <f aca="false">IF($D103="","",IFERROR(IF(INDEX(Profile!$H$5:$H$304,MATCH($D103,lst_Profil,0))&lt;&gt;"",INDEX(Profile!$H$5:$H$304,MATCH($D103,lst_Profil,0)),$H$5),$H$5))</f>
        <v/>
      </c>
      <c r="T103" s="16" t="str">
        <f aca="false">IF(OR(Q103="",NOT(ISNUMBER(R103)),NOT(ISNUMBER(S103))),"",Q103-R103-S103)</f>
        <v/>
      </c>
      <c r="U103" s="26" t="str">
        <f aca="false">IF(OR($D103="",$E103=""),"",IF(COUNTIFS(Preise!$A$5:$A$304,$D103,Preise!$B$5:$B$304,$E103,Preise!$I$5:$I$304,"OK")&gt;0,"ja","nein"))</f>
        <v/>
      </c>
      <c r="V103" s="15" t="str">
        <f aca="false">IF(OR(M103="",$E103="",$C$8=""),"",IF(_xlfn.MINIFS(Schneiddaten!$C$5:$C$304,Schneiddaten!$A$5:$A$304,$C$8,Schneiddaten!$B$5:$B$304,$E103,Schneiddaten!$C$5:$C$304,"&gt;="&amp;M103)=0,"",SUMIFS(Schneiddaten!$D$5:$D$304,Schneiddaten!$A$5:$A$304,$C$8,Schneiddaten!$B$5:$B$304,$E103,Schneiddaten!$C$5:$C$304,_xlfn.MINIFS(Schneiddaten!$C$5:$C$304,Schneiddaten!$A$5:$A$304,$C$8,Schneiddaten!$B$5:$B$304,$E103,Schneiddaten!$C$5:$C$304,"&gt;="&amp;M103))))</f>
        <v/>
      </c>
      <c r="W103" s="26" t="str">
        <f aca="false">IF(AND($D103="",$E103="",$F103="",$G103=""),"",IF(ISNA(MATCH($D103,lst_Profil,0)),"FEHLER: Profil unbekannt",IF(ISNA(MATCH($E103,lst_Werkstoff,0)),"FEHLER: Werkstoff unbekannt",IF(NOT(ISNUMBER(L103)),"FEHLER: Querschnitt fehlt (Profil)",IF(OR($F103="",$F103&lt;=0),"FEHLER: Teilelänge fehlt",IF(OR($G103="",$G103&lt;1),"FEHLER: Stückzahl fehlt",IF(NOT(ISNUMBER($H$4)),"FEHLER: Maschine fehlt/unbekannt",IF(Q103&gt;$H$7,"FEHLER: Stange länger als Maschine zulässt",IF($F103+$H$6&gt;T103,"FEHLER: Teil länger als Nutzlänge",IF(U103="nein","WARNUNG: kein gültiger Materialpreis",IF($H103="","HINWEIS: Schneidweg fehlt",IF(V103="","HINWEIS: keine Schneiddaten",IF(AND($AF103&lt;&gt;"",$AG103=""),"HINWEIS: Gewinde-Vorschlag prüfen","OK")))))))))))))</f>
        <v/>
      </c>
      <c r="X103" s="18" t="str">
        <f aca="false">IF(OR(O103="",$G103=""),"",O103*$G103)</f>
        <v/>
      </c>
      <c r="Y103" s="10"/>
      <c r="Z103" s="21"/>
      <c r="AA103" s="10"/>
      <c r="AB103" s="21"/>
      <c r="AC103" s="21"/>
      <c r="AD103" s="21"/>
      <c r="AE103" s="10"/>
      <c r="AF103" s="10"/>
      <c r="AG103" s="10"/>
      <c r="AH103" s="22"/>
      <c r="AI103" s="21"/>
      <c r="AJ103" s="22"/>
      <c r="AK103" s="21"/>
      <c r="AL103" s="22"/>
      <c r="AM103" s="21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21"/>
      <c r="G104" s="19"/>
      <c r="H104" s="21"/>
      <c r="I104" s="22"/>
      <c r="J104" s="19"/>
      <c r="K104" s="23" t="str">
        <f aca="false">IF($D104="","",IFERROR(INDEX(Profile!$B$5:$B$304,MATCH($D104,lst_Profil,0)),""))</f>
        <v/>
      </c>
      <c r="L104" s="13" t="str">
        <f aca="false">IF($D104="","",IFERROR(INDEX(Profile!$K$5:$K$304,MATCH($D104,lst_Profil,0))+0,""))</f>
        <v/>
      </c>
      <c r="M104" s="24" t="str">
        <f aca="false">IF($D104="","",IFERROR(INDEX(Profile!$E$5:$E$304,MATCH($D104,lst_Profil,0))+0,""))</f>
        <v/>
      </c>
      <c r="N104" s="25" t="str">
        <f aca="false">IF(OR(L104="",$E104=""),"",IFERROR(L104*INDEX(Werkstoffe!$E$5:$E$304,MATCH($E104,lst_Werkstoff,0))/1000,""))</f>
        <v/>
      </c>
      <c r="O104" s="25" t="str">
        <f aca="false">IF(OR(N104="",$F104=""),"",N104*$F104/1000)</f>
        <v/>
      </c>
      <c r="P104" s="16" t="str">
        <f aca="false">IF(OR($F104="",$G104=""),"",$F104*$G104)</f>
        <v/>
      </c>
      <c r="Q104" s="16" t="str">
        <f aca="false">IF($D104="","",IF($J104&lt;&gt;"",$J104,$C$9))</f>
        <v/>
      </c>
      <c r="R104" s="12" t="str">
        <f aca="false">IF($D104="","",IFERROR(IF(INDEX(Profile!$G$5:$G$304,MATCH($D104,lst_Profil,0))&lt;&gt;"",INDEX(Profile!$G$5:$G$304,MATCH($D104,lst_Profil,0)),$H$4),$H$4))</f>
        <v/>
      </c>
      <c r="S104" s="12" t="str">
        <f aca="false">IF($D104="","",IFERROR(IF(INDEX(Profile!$H$5:$H$304,MATCH($D104,lst_Profil,0))&lt;&gt;"",INDEX(Profile!$H$5:$H$304,MATCH($D104,lst_Profil,0)),$H$5),$H$5))</f>
        <v/>
      </c>
      <c r="T104" s="16" t="str">
        <f aca="false">IF(OR(Q104="",NOT(ISNUMBER(R104)),NOT(ISNUMBER(S104))),"",Q104-R104-S104)</f>
        <v/>
      </c>
      <c r="U104" s="26" t="str">
        <f aca="false">IF(OR($D104="",$E104=""),"",IF(COUNTIFS(Preise!$A$5:$A$304,$D104,Preise!$B$5:$B$304,$E104,Preise!$I$5:$I$304,"OK")&gt;0,"ja","nein"))</f>
        <v/>
      </c>
      <c r="V104" s="15" t="str">
        <f aca="false">IF(OR(M104="",$E104="",$C$8=""),"",IF(_xlfn.MINIFS(Schneiddaten!$C$5:$C$304,Schneiddaten!$A$5:$A$304,$C$8,Schneiddaten!$B$5:$B$304,$E104,Schneiddaten!$C$5:$C$304,"&gt;="&amp;M104)=0,"",SUMIFS(Schneiddaten!$D$5:$D$304,Schneiddaten!$A$5:$A$304,$C$8,Schneiddaten!$B$5:$B$304,$E104,Schneiddaten!$C$5:$C$304,_xlfn.MINIFS(Schneiddaten!$C$5:$C$304,Schneiddaten!$A$5:$A$304,$C$8,Schneiddaten!$B$5:$B$304,$E104,Schneiddaten!$C$5:$C$304,"&gt;="&amp;M104))))</f>
        <v/>
      </c>
      <c r="W104" s="26" t="str">
        <f aca="false">IF(AND($D104="",$E104="",$F104="",$G104=""),"",IF(ISNA(MATCH($D104,lst_Profil,0)),"FEHLER: Profil unbekannt",IF(ISNA(MATCH($E104,lst_Werkstoff,0)),"FEHLER: Werkstoff unbekannt",IF(NOT(ISNUMBER(L104)),"FEHLER: Querschnitt fehlt (Profil)",IF(OR($F104="",$F104&lt;=0),"FEHLER: Teilelänge fehlt",IF(OR($G104="",$G104&lt;1),"FEHLER: Stückzahl fehlt",IF(NOT(ISNUMBER($H$4)),"FEHLER: Maschine fehlt/unbekannt",IF(Q104&gt;$H$7,"FEHLER: Stange länger als Maschine zulässt",IF($F104+$H$6&gt;T104,"FEHLER: Teil länger als Nutzlänge",IF(U104="nein","WARNUNG: kein gültiger Materialpreis",IF($H104="","HINWEIS: Schneidweg fehlt",IF(V104="","HINWEIS: keine Schneiddaten",IF(AND($AF104&lt;&gt;"",$AG104=""),"HINWEIS: Gewinde-Vorschlag prüfen","OK")))))))))))))</f>
        <v/>
      </c>
      <c r="X104" s="18" t="str">
        <f aca="false">IF(OR(O104="",$G104=""),"",O104*$G104)</f>
        <v/>
      </c>
      <c r="Y104" s="10"/>
      <c r="Z104" s="21"/>
      <c r="AA104" s="10"/>
      <c r="AB104" s="21"/>
      <c r="AC104" s="21"/>
      <c r="AD104" s="21"/>
      <c r="AE104" s="10"/>
      <c r="AF104" s="10"/>
      <c r="AG104" s="10"/>
      <c r="AH104" s="22"/>
      <c r="AI104" s="21"/>
      <c r="AJ104" s="22"/>
      <c r="AK104" s="21"/>
      <c r="AL104" s="22"/>
      <c r="AM104" s="21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21"/>
      <c r="G105" s="19"/>
      <c r="H105" s="21"/>
      <c r="I105" s="22"/>
      <c r="J105" s="19"/>
      <c r="K105" s="23" t="str">
        <f aca="false">IF($D105="","",IFERROR(INDEX(Profile!$B$5:$B$304,MATCH($D105,lst_Profil,0)),""))</f>
        <v/>
      </c>
      <c r="L105" s="13" t="str">
        <f aca="false">IF($D105="","",IFERROR(INDEX(Profile!$K$5:$K$304,MATCH($D105,lst_Profil,0))+0,""))</f>
        <v/>
      </c>
      <c r="M105" s="24" t="str">
        <f aca="false">IF($D105="","",IFERROR(INDEX(Profile!$E$5:$E$304,MATCH($D105,lst_Profil,0))+0,""))</f>
        <v/>
      </c>
      <c r="N105" s="25" t="str">
        <f aca="false">IF(OR(L105="",$E105=""),"",IFERROR(L105*INDEX(Werkstoffe!$E$5:$E$304,MATCH($E105,lst_Werkstoff,0))/1000,""))</f>
        <v/>
      </c>
      <c r="O105" s="25" t="str">
        <f aca="false">IF(OR(N105="",$F105=""),"",N105*$F105/1000)</f>
        <v/>
      </c>
      <c r="P105" s="16" t="str">
        <f aca="false">IF(OR($F105="",$G105=""),"",$F105*$G105)</f>
        <v/>
      </c>
      <c r="Q105" s="16" t="str">
        <f aca="false">IF($D105="","",IF($J105&lt;&gt;"",$J105,$C$9))</f>
        <v/>
      </c>
      <c r="R105" s="12" t="str">
        <f aca="false">IF($D105="","",IFERROR(IF(INDEX(Profile!$G$5:$G$304,MATCH($D105,lst_Profil,0))&lt;&gt;"",INDEX(Profile!$G$5:$G$304,MATCH($D105,lst_Profil,0)),$H$4),$H$4))</f>
        <v/>
      </c>
      <c r="S105" s="12" t="str">
        <f aca="false">IF($D105="","",IFERROR(IF(INDEX(Profile!$H$5:$H$304,MATCH($D105,lst_Profil,0))&lt;&gt;"",INDEX(Profile!$H$5:$H$304,MATCH($D105,lst_Profil,0)),$H$5),$H$5))</f>
        <v/>
      </c>
      <c r="T105" s="16" t="str">
        <f aca="false">IF(OR(Q105="",NOT(ISNUMBER(R105)),NOT(ISNUMBER(S105))),"",Q105-R105-S105)</f>
        <v/>
      </c>
      <c r="U105" s="26" t="str">
        <f aca="false">IF(OR($D105="",$E105=""),"",IF(COUNTIFS(Preise!$A$5:$A$304,$D105,Preise!$B$5:$B$304,$E105,Preise!$I$5:$I$304,"OK")&gt;0,"ja","nein"))</f>
        <v/>
      </c>
      <c r="V105" s="15" t="str">
        <f aca="false">IF(OR(M105="",$E105="",$C$8=""),"",IF(_xlfn.MINIFS(Schneiddaten!$C$5:$C$304,Schneiddaten!$A$5:$A$304,$C$8,Schneiddaten!$B$5:$B$304,$E105,Schneiddaten!$C$5:$C$304,"&gt;="&amp;M105)=0,"",SUMIFS(Schneiddaten!$D$5:$D$304,Schneiddaten!$A$5:$A$304,$C$8,Schneiddaten!$B$5:$B$304,$E105,Schneiddaten!$C$5:$C$304,_xlfn.MINIFS(Schneiddaten!$C$5:$C$304,Schneiddaten!$A$5:$A$304,$C$8,Schneiddaten!$B$5:$B$304,$E105,Schneiddaten!$C$5:$C$304,"&gt;="&amp;M105))))</f>
        <v/>
      </c>
      <c r="W105" s="26" t="str">
        <f aca="false">IF(AND($D105="",$E105="",$F105="",$G105=""),"",IF(ISNA(MATCH($D105,lst_Profil,0)),"FEHLER: Profil unbekannt",IF(ISNA(MATCH($E105,lst_Werkstoff,0)),"FEHLER: Werkstoff unbekannt",IF(NOT(ISNUMBER(L105)),"FEHLER: Querschnitt fehlt (Profil)",IF(OR($F105="",$F105&lt;=0),"FEHLER: Teilelänge fehlt",IF(OR($G105="",$G105&lt;1),"FEHLER: Stückzahl fehlt",IF(NOT(ISNUMBER($H$4)),"FEHLER: Maschine fehlt/unbekannt",IF(Q105&gt;$H$7,"FEHLER: Stange länger als Maschine zulässt",IF($F105+$H$6&gt;T105,"FEHLER: Teil länger als Nutzlänge",IF(U105="nein","WARNUNG: kein gültiger Materialpreis",IF($H105="","HINWEIS: Schneidweg fehlt",IF(V105="","HINWEIS: keine Schneiddaten",IF(AND($AF105&lt;&gt;"",$AG105=""),"HINWEIS: Gewinde-Vorschlag prüfen","OK")))))))))))))</f>
        <v/>
      </c>
      <c r="X105" s="18" t="str">
        <f aca="false">IF(OR(O105="",$G105=""),"",O105*$G105)</f>
        <v/>
      </c>
      <c r="Y105" s="10"/>
      <c r="Z105" s="21"/>
      <c r="AA105" s="10"/>
      <c r="AB105" s="21"/>
      <c r="AC105" s="21"/>
      <c r="AD105" s="21"/>
      <c r="AE105" s="10"/>
      <c r="AF105" s="10"/>
      <c r="AG105" s="10"/>
      <c r="AH105" s="22"/>
      <c r="AI105" s="21"/>
      <c r="AJ105" s="22"/>
      <c r="AK105" s="21"/>
      <c r="AL105" s="22"/>
      <c r="AM105" s="21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21"/>
      <c r="G106" s="19"/>
      <c r="H106" s="21"/>
      <c r="I106" s="22"/>
      <c r="J106" s="19"/>
      <c r="K106" s="23" t="str">
        <f aca="false">IF($D106="","",IFERROR(INDEX(Profile!$B$5:$B$304,MATCH($D106,lst_Profil,0)),""))</f>
        <v/>
      </c>
      <c r="L106" s="13" t="str">
        <f aca="false">IF($D106="","",IFERROR(INDEX(Profile!$K$5:$K$304,MATCH($D106,lst_Profil,0))+0,""))</f>
        <v/>
      </c>
      <c r="M106" s="24" t="str">
        <f aca="false">IF($D106="","",IFERROR(INDEX(Profile!$E$5:$E$304,MATCH($D106,lst_Profil,0))+0,""))</f>
        <v/>
      </c>
      <c r="N106" s="25" t="str">
        <f aca="false">IF(OR(L106="",$E106=""),"",IFERROR(L106*INDEX(Werkstoffe!$E$5:$E$304,MATCH($E106,lst_Werkstoff,0))/1000,""))</f>
        <v/>
      </c>
      <c r="O106" s="25" t="str">
        <f aca="false">IF(OR(N106="",$F106=""),"",N106*$F106/1000)</f>
        <v/>
      </c>
      <c r="P106" s="16" t="str">
        <f aca="false">IF(OR($F106="",$G106=""),"",$F106*$G106)</f>
        <v/>
      </c>
      <c r="Q106" s="16" t="str">
        <f aca="false">IF($D106="","",IF($J106&lt;&gt;"",$J106,$C$9))</f>
        <v/>
      </c>
      <c r="R106" s="12" t="str">
        <f aca="false">IF($D106="","",IFERROR(IF(INDEX(Profile!$G$5:$G$304,MATCH($D106,lst_Profil,0))&lt;&gt;"",INDEX(Profile!$G$5:$G$304,MATCH($D106,lst_Profil,0)),$H$4),$H$4))</f>
        <v/>
      </c>
      <c r="S106" s="12" t="str">
        <f aca="false">IF($D106="","",IFERROR(IF(INDEX(Profile!$H$5:$H$304,MATCH($D106,lst_Profil,0))&lt;&gt;"",INDEX(Profile!$H$5:$H$304,MATCH($D106,lst_Profil,0)),$H$5),$H$5))</f>
        <v/>
      </c>
      <c r="T106" s="16" t="str">
        <f aca="false">IF(OR(Q106="",NOT(ISNUMBER(R106)),NOT(ISNUMBER(S106))),"",Q106-R106-S106)</f>
        <v/>
      </c>
      <c r="U106" s="26" t="str">
        <f aca="false">IF(OR($D106="",$E106=""),"",IF(COUNTIFS(Preise!$A$5:$A$304,$D106,Preise!$B$5:$B$304,$E106,Preise!$I$5:$I$304,"OK")&gt;0,"ja","nein"))</f>
        <v/>
      </c>
      <c r="V106" s="15" t="str">
        <f aca="false">IF(OR(M106="",$E106="",$C$8=""),"",IF(_xlfn.MINIFS(Schneiddaten!$C$5:$C$304,Schneiddaten!$A$5:$A$304,$C$8,Schneiddaten!$B$5:$B$304,$E106,Schneiddaten!$C$5:$C$304,"&gt;="&amp;M106)=0,"",SUMIFS(Schneiddaten!$D$5:$D$304,Schneiddaten!$A$5:$A$304,$C$8,Schneiddaten!$B$5:$B$304,$E106,Schneiddaten!$C$5:$C$304,_xlfn.MINIFS(Schneiddaten!$C$5:$C$304,Schneiddaten!$A$5:$A$304,$C$8,Schneiddaten!$B$5:$B$304,$E106,Schneiddaten!$C$5:$C$304,"&gt;="&amp;M106))))</f>
        <v/>
      </c>
      <c r="W106" s="26" t="str">
        <f aca="false">IF(AND($D106="",$E106="",$F106="",$G106=""),"",IF(ISNA(MATCH($D106,lst_Profil,0)),"FEHLER: Profil unbekannt",IF(ISNA(MATCH($E106,lst_Werkstoff,0)),"FEHLER: Werkstoff unbekannt",IF(NOT(ISNUMBER(L106)),"FEHLER: Querschnitt fehlt (Profil)",IF(OR($F106="",$F106&lt;=0),"FEHLER: Teilelänge fehlt",IF(OR($G106="",$G106&lt;1),"FEHLER: Stückzahl fehlt",IF(NOT(ISNUMBER($H$4)),"FEHLER: Maschine fehlt/unbekannt",IF(Q106&gt;$H$7,"FEHLER: Stange länger als Maschine zulässt",IF($F106+$H$6&gt;T106,"FEHLER: Teil länger als Nutzlänge",IF(U106="nein","WARNUNG: kein gültiger Materialpreis",IF($H106="","HINWEIS: Schneidweg fehlt",IF(V106="","HINWEIS: keine Schneiddaten",IF(AND($AF106&lt;&gt;"",$AG106=""),"HINWEIS: Gewinde-Vorschlag prüfen","OK")))))))))))))</f>
        <v/>
      </c>
      <c r="X106" s="18" t="str">
        <f aca="false">IF(OR(O106="",$G106=""),"",O106*$G106)</f>
        <v/>
      </c>
      <c r="Y106" s="10"/>
      <c r="Z106" s="21"/>
      <c r="AA106" s="10"/>
      <c r="AB106" s="21"/>
      <c r="AC106" s="21"/>
      <c r="AD106" s="21"/>
      <c r="AE106" s="10"/>
      <c r="AF106" s="10"/>
      <c r="AG106" s="10"/>
      <c r="AH106" s="22"/>
      <c r="AI106" s="21"/>
      <c r="AJ106" s="22"/>
      <c r="AK106" s="21"/>
      <c r="AL106" s="22"/>
      <c r="AM106" s="21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21"/>
      <c r="G107" s="19"/>
      <c r="H107" s="21"/>
      <c r="I107" s="22"/>
      <c r="J107" s="19"/>
      <c r="K107" s="23" t="str">
        <f aca="false">IF($D107="","",IFERROR(INDEX(Profile!$B$5:$B$304,MATCH($D107,lst_Profil,0)),""))</f>
        <v/>
      </c>
      <c r="L107" s="13" t="str">
        <f aca="false">IF($D107="","",IFERROR(INDEX(Profile!$K$5:$K$304,MATCH($D107,lst_Profil,0))+0,""))</f>
        <v/>
      </c>
      <c r="M107" s="24" t="str">
        <f aca="false">IF($D107="","",IFERROR(INDEX(Profile!$E$5:$E$304,MATCH($D107,lst_Profil,0))+0,""))</f>
        <v/>
      </c>
      <c r="N107" s="25" t="str">
        <f aca="false">IF(OR(L107="",$E107=""),"",IFERROR(L107*INDEX(Werkstoffe!$E$5:$E$304,MATCH($E107,lst_Werkstoff,0))/1000,""))</f>
        <v/>
      </c>
      <c r="O107" s="25" t="str">
        <f aca="false">IF(OR(N107="",$F107=""),"",N107*$F107/1000)</f>
        <v/>
      </c>
      <c r="P107" s="16" t="str">
        <f aca="false">IF(OR($F107="",$G107=""),"",$F107*$G107)</f>
        <v/>
      </c>
      <c r="Q107" s="16" t="str">
        <f aca="false">IF($D107="","",IF($J107&lt;&gt;"",$J107,$C$9))</f>
        <v/>
      </c>
      <c r="R107" s="12" t="str">
        <f aca="false">IF($D107="","",IFERROR(IF(INDEX(Profile!$G$5:$G$304,MATCH($D107,lst_Profil,0))&lt;&gt;"",INDEX(Profile!$G$5:$G$304,MATCH($D107,lst_Profil,0)),$H$4),$H$4))</f>
        <v/>
      </c>
      <c r="S107" s="12" t="str">
        <f aca="false">IF($D107="","",IFERROR(IF(INDEX(Profile!$H$5:$H$304,MATCH($D107,lst_Profil,0))&lt;&gt;"",INDEX(Profile!$H$5:$H$304,MATCH($D107,lst_Profil,0)),$H$5),$H$5))</f>
        <v/>
      </c>
      <c r="T107" s="16" t="str">
        <f aca="false">IF(OR(Q107="",NOT(ISNUMBER(R107)),NOT(ISNUMBER(S107))),"",Q107-R107-S107)</f>
        <v/>
      </c>
      <c r="U107" s="26" t="str">
        <f aca="false">IF(OR($D107="",$E107=""),"",IF(COUNTIFS(Preise!$A$5:$A$304,$D107,Preise!$B$5:$B$304,$E107,Preise!$I$5:$I$304,"OK")&gt;0,"ja","nein"))</f>
        <v/>
      </c>
      <c r="V107" s="15" t="str">
        <f aca="false">IF(OR(M107="",$E107="",$C$8=""),"",IF(_xlfn.MINIFS(Schneiddaten!$C$5:$C$304,Schneiddaten!$A$5:$A$304,$C$8,Schneiddaten!$B$5:$B$304,$E107,Schneiddaten!$C$5:$C$304,"&gt;="&amp;M107)=0,"",SUMIFS(Schneiddaten!$D$5:$D$304,Schneiddaten!$A$5:$A$304,$C$8,Schneiddaten!$B$5:$B$304,$E107,Schneiddaten!$C$5:$C$304,_xlfn.MINIFS(Schneiddaten!$C$5:$C$304,Schneiddaten!$A$5:$A$304,$C$8,Schneiddaten!$B$5:$B$304,$E107,Schneiddaten!$C$5:$C$304,"&gt;="&amp;M107))))</f>
        <v/>
      </c>
      <c r="W107" s="26" t="str">
        <f aca="false">IF(AND($D107="",$E107="",$F107="",$G107=""),"",IF(ISNA(MATCH($D107,lst_Profil,0)),"FEHLER: Profil unbekannt",IF(ISNA(MATCH($E107,lst_Werkstoff,0)),"FEHLER: Werkstoff unbekannt",IF(NOT(ISNUMBER(L107)),"FEHLER: Querschnitt fehlt (Profil)",IF(OR($F107="",$F107&lt;=0),"FEHLER: Teilelänge fehlt",IF(OR($G107="",$G107&lt;1),"FEHLER: Stückzahl fehlt",IF(NOT(ISNUMBER($H$4)),"FEHLER: Maschine fehlt/unbekannt",IF(Q107&gt;$H$7,"FEHLER: Stange länger als Maschine zulässt",IF($F107+$H$6&gt;T107,"FEHLER: Teil länger als Nutzlänge",IF(U107="nein","WARNUNG: kein gültiger Materialpreis",IF($H107="","HINWEIS: Schneidweg fehlt",IF(V107="","HINWEIS: keine Schneiddaten",IF(AND($AF107&lt;&gt;"",$AG107=""),"HINWEIS: Gewinde-Vorschlag prüfen","OK")))))))))))))</f>
        <v/>
      </c>
      <c r="X107" s="18" t="str">
        <f aca="false">IF(OR(O107="",$G107=""),"",O107*$G107)</f>
        <v/>
      </c>
      <c r="Y107" s="10"/>
      <c r="Z107" s="21"/>
      <c r="AA107" s="10"/>
      <c r="AB107" s="21"/>
      <c r="AC107" s="21"/>
      <c r="AD107" s="21"/>
      <c r="AE107" s="10"/>
      <c r="AF107" s="10"/>
      <c r="AG107" s="10"/>
      <c r="AH107" s="22"/>
      <c r="AI107" s="21"/>
      <c r="AJ107" s="22"/>
      <c r="AK107" s="21"/>
      <c r="AL107" s="22"/>
      <c r="AM107" s="21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21"/>
      <c r="G108" s="19"/>
      <c r="H108" s="21"/>
      <c r="I108" s="22"/>
      <c r="J108" s="19"/>
      <c r="K108" s="23" t="str">
        <f aca="false">IF($D108="","",IFERROR(INDEX(Profile!$B$5:$B$304,MATCH($D108,lst_Profil,0)),""))</f>
        <v/>
      </c>
      <c r="L108" s="13" t="str">
        <f aca="false">IF($D108="","",IFERROR(INDEX(Profile!$K$5:$K$304,MATCH($D108,lst_Profil,0))+0,""))</f>
        <v/>
      </c>
      <c r="M108" s="24" t="str">
        <f aca="false">IF($D108="","",IFERROR(INDEX(Profile!$E$5:$E$304,MATCH($D108,lst_Profil,0))+0,""))</f>
        <v/>
      </c>
      <c r="N108" s="25" t="str">
        <f aca="false">IF(OR(L108="",$E108=""),"",IFERROR(L108*INDEX(Werkstoffe!$E$5:$E$304,MATCH($E108,lst_Werkstoff,0))/1000,""))</f>
        <v/>
      </c>
      <c r="O108" s="25" t="str">
        <f aca="false">IF(OR(N108="",$F108=""),"",N108*$F108/1000)</f>
        <v/>
      </c>
      <c r="P108" s="16" t="str">
        <f aca="false">IF(OR($F108="",$G108=""),"",$F108*$G108)</f>
        <v/>
      </c>
      <c r="Q108" s="16" t="str">
        <f aca="false">IF($D108="","",IF($J108&lt;&gt;"",$J108,$C$9))</f>
        <v/>
      </c>
      <c r="R108" s="12" t="str">
        <f aca="false">IF($D108="","",IFERROR(IF(INDEX(Profile!$G$5:$G$304,MATCH($D108,lst_Profil,0))&lt;&gt;"",INDEX(Profile!$G$5:$G$304,MATCH($D108,lst_Profil,0)),$H$4),$H$4))</f>
        <v/>
      </c>
      <c r="S108" s="12" t="str">
        <f aca="false">IF($D108="","",IFERROR(IF(INDEX(Profile!$H$5:$H$304,MATCH($D108,lst_Profil,0))&lt;&gt;"",INDEX(Profile!$H$5:$H$304,MATCH($D108,lst_Profil,0)),$H$5),$H$5))</f>
        <v/>
      </c>
      <c r="T108" s="16" t="str">
        <f aca="false">IF(OR(Q108="",NOT(ISNUMBER(R108)),NOT(ISNUMBER(S108))),"",Q108-R108-S108)</f>
        <v/>
      </c>
      <c r="U108" s="26" t="str">
        <f aca="false">IF(OR($D108="",$E108=""),"",IF(COUNTIFS(Preise!$A$5:$A$304,$D108,Preise!$B$5:$B$304,$E108,Preise!$I$5:$I$304,"OK")&gt;0,"ja","nein"))</f>
        <v/>
      </c>
      <c r="V108" s="15" t="str">
        <f aca="false">IF(OR(M108="",$E108="",$C$8=""),"",IF(_xlfn.MINIFS(Schneiddaten!$C$5:$C$304,Schneiddaten!$A$5:$A$304,$C$8,Schneiddaten!$B$5:$B$304,$E108,Schneiddaten!$C$5:$C$304,"&gt;="&amp;M108)=0,"",SUMIFS(Schneiddaten!$D$5:$D$304,Schneiddaten!$A$5:$A$304,$C$8,Schneiddaten!$B$5:$B$304,$E108,Schneiddaten!$C$5:$C$304,_xlfn.MINIFS(Schneiddaten!$C$5:$C$304,Schneiddaten!$A$5:$A$304,$C$8,Schneiddaten!$B$5:$B$304,$E108,Schneiddaten!$C$5:$C$304,"&gt;="&amp;M108))))</f>
        <v/>
      </c>
      <c r="W108" s="26" t="str">
        <f aca="false">IF(AND($D108="",$E108="",$F108="",$G108=""),"",IF(ISNA(MATCH($D108,lst_Profil,0)),"FEHLER: Profil unbekannt",IF(ISNA(MATCH($E108,lst_Werkstoff,0)),"FEHLER: Werkstoff unbekannt",IF(NOT(ISNUMBER(L108)),"FEHLER: Querschnitt fehlt (Profil)",IF(OR($F108="",$F108&lt;=0),"FEHLER: Teilelänge fehlt",IF(OR($G108="",$G108&lt;1),"FEHLER: Stückzahl fehlt",IF(NOT(ISNUMBER($H$4)),"FEHLER: Maschine fehlt/unbekannt",IF(Q108&gt;$H$7,"FEHLER: Stange länger als Maschine zulässt",IF($F108+$H$6&gt;T108,"FEHLER: Teil länger als Nutzlänge",IF(U108="nein","WARNUNG: kein gültiger Materialpreis",IF($H108="","HINWEIS: Schneidweg fehlt",IF(V108="","HINWEIS: keine Schneiddaten",IF(AND($AF108&lt;&gt;"",$AG108=""),"HINWEIS: Gewinde-Vorschlag prüfen","OK")))))))))))))</f>
        <v/>
      </c>
      <c r="X108" s="18" t="str">
        <f aca="false">IF(OR(O108="",$G108=""),"",O108*$G108)</f>
        <v/>
      </c>
      <c r="Y108" s="10"/>
      <c r="Z108" s="21"/>
      <c r="AA108" s="10"/>
      <c r="AB108" s="21"/>
      <c r="AC108" s="21"/>
      <c r="AD108" s="21"/>
      <c r="AE108" s="10"/>
      <c r="AF108" s="10"/>
      <c r="AG108" s="10"/>
      <c r="AH108" s="22"/>
      <c r="AI108" s="21"/>
      <c r="AJ108" s="22"/>
      <c r="AK108" s="21"/>
      <c r="AL108" s="22"/>
      <c r="AM108" s="21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21"/>
      <c r="G109" s="19"/>
      <c r="H109" s="21"/>
      <c r="I109" s="22"/>
      <c r="J109" s="19"/>
      <c r="K109" s="23" t="str">
        <f aca="false">IF($D109="","",IFERROR(INDEX(Profile!$B$5:$B$304,MATCH($D109,lst_Profil,0)),""))</f>
        <v/>
      </c>
      <c r="L109" s="13" t="str">
        <f aca="false">IF($D109="","",IFERROR(INDEX(Profile!$K$5:$K$304,MATCH($D109,lst_Profil,0))+0,""))</f>
        <v/>
      </c>
      <c r="M109" s="24" t="str">
        <f aca="false">IF($D109="","",IFERROR(INDEX(Profile!$E$5:$E$304,MATCH($D109,lst_Profil,0))+0,""))</f>
        <v/>
      </c>
      <c r="N109" s="25" t="str">
        <f aca="false">IF(OR(L109="",$E109=""),"",IFERROR(L109*INDEX(Werkstoffe!$E$5:$E$304,MATCH($E109,lst_Werkstoff,0))/1000,""))</f>
        <v/>
      </c>
      <c r="O109" s="25" t="str">
        <f aca="false">IF(OR(N109="",$F109=""),"",N109*$F109/1000)</f>
        <v/>
      </c>
      <c r="P109" s="16" t="str">
        <f aca="false">IF(OR($F109="",$G109=""),"",$F109*$G109)</f>
        <v/>
      </c>
      <c r="Q109" s="16" t="str">
        <f aca="false">IF($D109="","",IF($J109&lt;&gt;"",$J109,$C$9))</f>
        <v/>
      </c>
      <c r="R109" s="12" t="str">
        <f aca="false">IF($D109="","",IFERROR(IF(INDEX(Profile!$G$5:$G$304,MATCH($D109,lst_Profil,0))&lt;&gt;"",INDEX(Profile!$G$5:$G$304,MATCH($D109,lst_Profil,0)),$H$4),$H$4))</f>
        <v/>
      </c>
      <c r="S109" s="12" t="str">
        <f aca="false">IF($D109="","",IFERROR(IF(INDEX(Profile!$H$5:$H$304,MATCH($D109,lst_Profil,0))&lt;&gt;"",INDEX(Profile!$H$5:$H$304,MATCH($D109,lst_Profil,0)),$H$5),$H$5))</f>
        <v/>
      </c>
      <c r="T109" s="16" t="str">
        <f aca="false">IF(OR(Q109="",NOT(ISNUMBER(R109)),NOT(ISNUMBER(S109))),"",Q109-R109-S109)</f>
        <v/>
      </c>
      <c r="U109" s="26" t="str">
        <f aca="false">IF(OR($D109="",$E109=""),"",IF(COUNTIFS(Preise!$A$5:$A$304,$D109,Preise!$B$5:$B$304,$E109,Preise!$I$5:$I$304,"OK")&gt;0,"ja","nein"))</f>
        <v/>
      </c>
      <c r="V109" s="15" t="str">
        <f aca="false">IF(OR(M109="",$E109="",$C$8=""),"",IF(_xlfn.MINIFS(Schneiddaten!$C$5:$C$304,Schneiddaten!$A$5:$A$304,$C$8,Schneiddaten!$B$5:$B$304,$E109,Schneiddaten!$C$5:$C$304,"&gt;="&amp;M109)=0,"",SUMIFS(Schneiddaten!$D$5:$D$304,Schneiddaten!$A$5:$A$304,$C$8,Schneiddaten!$B$5:$B$304,$E109,Schneiddaten!$C$5:$C$304,_xlfn.MINIFS(Schneiddaten!$C$5:$C$304,Schneiddaten!$A$5:$A$304,$C$8,Schneiddaten!$B$5:$B$304,$E109,Schneiddaten!$C$5:$C$304,"&gt;="&amp;M109))))</f>
        <v/>
      </c>
      <c r="W109" s="26" t="str">
        <f aca="false">IF(AND($D109="",$E109="",$F109="",$G109=""),"",IF(ISNA(MATCH($D109,lst_Profil,0)),"FEHLER: Profil unbekannt",IF(ISNA(MATCH($E109,lst_Werkstoff,0)),"FEHLER: Werkstoff unbekannt",IF(NOT(ISNUMBER(L109)),"FEHLER: Querschnitt fehlt (Profil)",IF(OR($F109="",$F109&lt;=0),"FEHLER: Teilelänge fehlt",IF(OR($G109="",$G109&lt;1),"FEHLER: Stückzahl fehlt",IF(NOT(ISNUMBER($H$4)),"FEHLER: Maschine fehlt/unbekannt",IF(Q109&gt;$H$7,"FEHLER: Stange länger als Maschine zulässt",IF($F109+$H$6&gt;T109,"FEHLER: Teil länger als Nutzlänge",IF(U109="nein","WARNUNG: kein gültiger Materialpreis",IF($H109="","HINWEIS: Schneidweg fehlt",IF(V109="","HINWEIS: keine Schneiddaten",IF(AND($AF109&lt;&gt;"",$AG109=""),"HINWEIS: Gewinde-Vorschlag prüfen","OK")))))))))))))</f>
        <v/>
      </c>
      <c r="X109" s="18" t="str">
        <f aca="false">IF(OR(O109="",$G109=""),"",O109*$G109)</f>
        <v/>
      </c>
      <c r="Y109" s="10"/>
      <c r="Z109" s="21"/>
      <c r="AA109" s="10"/>
      <c r="AB109" s="21"/>
      <c r="AC109" s="21"/>
      <c r="AD109" s="21"/>
      <c r="AE109" s="10"/>
      <c r="AF109" s="10"/>
      <c r="AG109" s="10"/>
      <c r="AH109" s="22"/>
      <c r="AI109" s="21"/>
      <c r="AJ109" s="22"/>
      <c r="AK109" s="21"/>
      <c r="AL109" s="22"/>
      <c r="AM109" s="21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21"/>
      <c r="G110" s="19"/>
      <c r="H110" s="21"/>
      <c r="I110" s="22"/>
      <c r="J110" s="19"/>
      <c r="K110" s="23" t="str">
        <f aca="false">IF($D110="","",IFERROR(INDEX(Profile!$B$5:$B$304,MATCH($D110,lst_Profil,0)),""))</f>
        <v/>
      </c>
      <c r="L110" s="13" t="str">
        <f aca="false">IF($D110="","",IFERROR(INDEX(Profile!$K$5:$K$304,MATCH($D110,lst_Profil,0))+0,""))</f>
        <v/>
      </c>
      <c r="M110" s="24" t="str">
        <f aca="false">IF($D110="","",IFERROR(INDEX(Profile!$E$5:$E$304,MATCH($D110,lst_Profil,0))+0,""))</f>
        <v/>
      </c>
      <c r="N110" s="25" t="str">
        <f aca="false">IF(OR(L110="",$E110=""),"",IFERROR(L110*INDEX(Werkstoffe!$E$5:$E$304,MATCH($E110,lst_Werkstoff,0))/1000,""))</f>
        <v/>
      </c>
      <c r="O110" s="25" t="str">
        <f aca="false">IF(OR(N110="",$F110=""),"",N110*$F110/1000)</f>
        <v/>
      </c>
      <c r="P110" s="16" t="str">
        <f aca="false">IF(OR($F110="",$G110=""),"",$F110*$G110)</f>
        <v/>
      </c>
      <c r="Q110" s="16" t="str">
        <f aca="false">IF($D110="","",IF($J110&lt;&gt;"",$J110,$C$9))</f>
        <v/>
      </c>
      <c r="R110" s="12" t="str">
        <f aca="false">IF($D110="","",IFERROR(IF(INDEX(Profile!$G$5:$G$304,MATCH($D110,lst_Profil,0))&lt;&gt;"",INDEX(Profile!$G$5:$G$304,MATCH($D110,lst_Profil,0)),$H$4),$H$4))</f>
        <v/>
      </c>
      <c r="S110" s="12" t="str">
        <f aca="false">IF($D110="","",IFERROR(IF(INDEX(Profile!$H$5:$H$304,MATCH($D110,lst_Profil,0))&lt;&gt;"",INDEX(Profile!$H$5:$H$304,MATCH($D110,lst_Profil,0)),$H$5),$H$5))</f>
        <v/>
      </c>
      <c r="T110" s="16" t="str">
        <f aca="false">IF(OR(Q110="",NOT(ISNUMBER(R110)),NOT(ISNUMBER(S110))),"",Q110-R110-S110)</f>
        <v/>
      </c>
      <c r="U110" s="26" t="str">
        <f aca="false">IF(OR($D110="",$E110=""),"",IF(COUNTIFS(Preise!$A$5:$A$304,$D110,Preise!$B$5:$B$304,$E110,Preise!$I$5:$I$304,"OK")&gt;0,"ja","nein"))</f>
        <v/>
      </c>
      <c r="V110" s="15" t="str">
        <f aca="false">IF(OR(M110="",$E110="",$C$8=""),"",IF(_xlfn.MINIFS(Schneiddaten!$C$5:$C$304,Schneiddaten!$A$5:$A$304,$C$8,Schneiddaten!$B$5:$B$304,$E110,Schneiddaten!$C$5:$C$304,"&gt;="&amp;M110)=0,"",SUMIFS(Schneiddaten!$D$5:$D$304,Schneiddaten!$A$5:$A$304,$C$8,Schneiddaten!$B$5:$B$304,$E110,Schneiddaten!$C$5:$C$304,_xlfn.MINIFS(Schneiddaten!$C$5:$C$304,Schneiddaten!$A$5:$A$304,$C$8,Schneiddaten!$B$5:$B$304,$E110,Schneiddaten!$C$5:$C$304,"&gt;="&amp;M110))))</f>
        <v/>
      </c>
      <c r="W110" s="26" t="str">
        <f aca="false">IF(AND($D110="",$E110="",$F110="",$G110=""),"",IF(ISNA(MATCH($D110,lst_Profil,0)),"FEHLER: Profil unbekannt",IF(ISNA(MATCH($E110,lst_Werkstoff,0)),"FEHLER: Werkstoff unbekannt",IF(NOT(ISNUMBER(L110)),"FEHLER: Querschnitt fehlt (Profil)",IF(OR($F110="",$F110&lt;=0),"FEHLER: Teilelänge fehlt",IF(OR($G110="",$G110&lt;1),"FEHLER: Stückzahl fehlt",IF(NOT(ISNUMBER($H$4)),"FEHLER: Maschine fehlt/unbekannt",IF(Q110&gt;$H$7,"FEHLER: Stange länger als Maschine zulässt",IF($F110+$H$6&gt;T110,"FEHLER: Teil länger als Nutzlänge",IF(U110="nein","WARNUNG: kein gültiger Materialpreis",IF($H110="","HINWEIS: Schneidweg fehlt",IF(V110="","HINWEIS: keine Schneiddaten",IF(AND($AF110&lt;&gt;"",$AG110=""),"HINWEIS: Gewinde-Vorschlag prüfen","OK")))))))))))))</f>
        <v/>
      </c>
      <c r="X110" s="18" t="str">
        <f aca="false">IF(OR(O110="",$G110=""),"",O110*$G110)</f>
        <v/>
      </c>
      <c r="Y110" s="10"/>
      <c r="Z110" s="21"/>
      <c r="AA110" s="10"/>
      <c r="AB110" s="21"/>
      <c r="AC110" s="21"/>
      <c r="AD110" s="21"/>
      <c r="AE110" s="10"/>
      <c r="AF110" s="10"/>
      <c r="AG110" s="10"/>
      <c r="AH110" s="22"/>
      <c r="AI110" s="21"/>
      <c r="AJ110" s="22"/>
      <c r="AK110" s="21"/>
      <c r="AL110" s="22"/>
      <c r="AM110" s="21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21"/>
      <c r="G111" s="19"/>
      <c r="H111" s="21"/>
      <c r="I111" s="22"/>
      <c r="J111" s="19"/>
      <c r="K111" s="23" t="str">
        <f aca="false">IF($D111="","",IFERROR(INDEX(Profile!$B$5:$B$304,MATCH($D111,lst_Profil,0)),""))</f>
        <v/>
      </c>
      <c r="L111" s="13" t="str">
        <f aca="false">IF($D111="","",IFERROR(INDEX(Profile!$K$5:$K$304,MATCH($D111,lst_Profil,0))+0,""))</f>
        <v/>
      </c>
      <c r="M111" s="24" t="str">
        <f aca="false">IF($D111="","",IFERROR(INDEX(Profile!$E$5:$E$304,MATCH($D111,lst_Profil,0))+0,""))</f>
        <v/>
      </c>
      <c r="N111" s="25" t="str">
        <f aca="false">IF(OR(L111="",$E111=""),"",IFERROR(L111*INDEX(Werkstoffe!$E$5:$E$304,MATCH($E111,lst_Werkstoff,0))/1000,""))</f>
        <v/>
      </c>
      <c r="O111" s="25" t="str">
        <f aca="false">IF(OR(N111="",$F111=""),"",N111*$F111/1000)</f>
        <v/>
      </c>
      <c r="P111" s="16" t="str">
        <f aca="false">IF(OR($F111="",$G111=""),"",$F111*$G111)</f>
        <v/>
      </c>
      <c r="Q111" s="16" t="str">
        <f aca="false">IF($D111="","",IF($J111&lt;&gt;"",$J111,$C$9))</f>
        <v/>
      </c>
      <c r="R111" s="12" t="str">
        <f aca="false">IF($D111="","",IFERROR(IF(INDEX(Profile!$G$5:$G$304,MATCH($D111,lst_Profil,0))&lt;&gt;"",INDEX(Profile!$G$5:$G$304,MATCH($D111,lst_Profil,0)),$H$4),$H$4))</f>
        <v/>
      </c>
      <c r="S111" s="12" t="str">
        <f aca="false">IF($D111="","",IFERROR(IF(INDEX(Profile!$H$5:$H$304,MATCH($D111,lst_Profil,0))&lt;&gt;"",INDEX(Profile!$H$5:$H$304,MATCH($D111,lst_Profil,0)),$H$5),$H$5))</f>
        <v/>
      </c>
      <c r="T111" s="16" t="str">
        <f aca="false">IF(OR(Q111="",NOT(ISNUMBER(R111)),NOT(ISNUMBER(S111))),"",Q111-R111-S111)</f>
        <v/>
      </c>
      <c r="U111" s="26" t="str">
        <f aca="false">IF(OR($D111="",$E111=""),"",IF(COUNTIFS(Preise!$A$5:$A$304,$D111,Preise!$B$5:$B$304,$E111,Preise!$I$5:$I$304,"OK")&gt;0,"ja","nein"))</f>
        <v/>
      </c>
      <c r="V111" s="15" t="str">
        <f aca="false">IF(OR(M111="",$E111="",$C$8=""),"",IF(_xlfn.MINIFS(Schneiddaten!$C$5:$C$304,Schneiddaten!$A$5:$A$304,$C$8,Schneiddaten!$B$5:$B$304,$E111,Schneiddaten!$C$5:$C$304,"&gt;="&amp;M111)=0,"",SUMIFS(Schneiddaten!$D$5:$D$304,Schneiddaten!$A$5:$A$304,$C$8,Schneiddaten!$B$5:$B$304,$E111,Schneiddaten!$C$5:$C$304,_xlfn.MINIFS(Schneiddaten!$C$5:$C$304,Schneiddaten!$A$5:$A$304,$C$8,Schneiddaten!$B$5:$B$304,$E111,Schneiddaten!$C$5:$C$304,"&gt;="&amp;M111))))</f>
        <v/>
      </c>
      <c r="W111" s="26" t="str">
        <f aca="false">IF(AND($D111="",$E111="",$F111="",$G111=""),"",IF(ISNA(MATCH($D111,lst_Profil,0)),"FEHLER: Profil unbekannt",IF(ISNA(MATCH($E111,lst_Werkstoff,0)),"FEHLER: Werkstoff unbekannt",IF(NOT(ISNUMBER(L111)),"FEHLER: Querschnitt fehlt (Profil)",IF(OR($F111="",$F111&lt;=0),"FEHLER: Teilelänge fehlt",IF(OR($G111="",$G111&lt;1),"FEHLER: Stückzahl fehlt",IF(NOT(ISNUMBER($H$4)),"FEHLER: Maschine fehlt/unbekannt",IF(Q111&gt;$H$7,"FEHLER: Stange länger als Maschine zulässt",IF($F111+$H$6&gt;T111,"FEHLER: Teil länger als Nutzlänge",IF(U111="nein","WARNUNG: kein gültiger Materialpreis",IF($H111="","HINWEIS: Schneidweg fehlt",IF(V111="","HINWEIS: keine Schneiddaten",IF(AND($AF111&lt;&gt;"",$AG111=""),"HINWEIS: Gewinde-Vorschlag prüfen","OK")))))))))))))</f>
        <v/>
      </c>
      <c r="X111" s="18" t="str">
        <f aca="false">IF(OR(O111="",$G111=""),"",O111*$G111)</f>
        <v/>
      </c>
      <c r="Y111" s="10"/>
      <c r="Z111" s="21"/>
      <c r="AA111" s="10"/>
      <c r="AB111" s="21"/>
      <c r="AC111" s="21"/>
      <c r="AD111" s="21"/>
      <c r="AE111" s="10"/>
      <c r="AF111" s="10"/>
      <c r="AG111" s="10"/>
      <c r="AH111" s="22"/>
      <c r="AI111" s="21"/>
      <c r="AJ111" s="22"/>
      <c r="AK111" s="21"/>
      <c r="AL111" s="22"/>
      <c r="AM111" s="21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21"/>
      <c r="G112" s="19"/>
      <c r="H112" s="21"/>
      <c r="I112" s="22"/>
      <c r="J112" s="19"/>
      <c r="K112" s="23" t="str">
        <f aca="false">IF($D112="","",IFERROR(INDEX(Profile!$B$5:$B$304,MATCH($D112,lst_Profil,0)),""))</f>
        <v/>
      </c>
      <c r="L112" s="13" t="str">
        <f aca="false">IF($D112="","",IFERROR(INDEX(Profile!$K$5:$K$304,MATCH($D112,lst_Profil,0))+0,""))</f>
        <v/>
      </c>
      <c r="M112" s="24" t="str">
        <f aca="false">IF($D112="","",IFERROR(INDEX(Profile!$E$5:$E$304,MATCH($D112,lst_Profil,0))+0,""))</f>
        <v/>
      </c>
      <c r="N112" s="25" t="str">
        <f aca="false">IF(OR(L112="",$E112=""),"",IFERROR(L112*INDEX(Werkstoffe!$E$5:$E$304,MATCH($E112,lst_Werkstoff,0))/1000,""))</f>
        <v/>
      </c>
      <c r="O112" s="25" t="str">
        <f aca="false">IF(OR(N112="",$F112=""),"",N112*$F112/1000)</f>
        <v/>
      </c>
      <c r="P112" s="16" t="str">
        <f aca="false">IF(OR($F112="",$G112=""),"",$F112*$G112)</f>
        <v/>
      </c>
      <c r="Q112" s="16" t="str">
        <f aca="false">IF($D112="","",IF($J112&lt;&gt;"",$J112,$C$9))</f>
        <v/>
      </c>
      <c r="R112" s="12" t="str">
        <f aca="false">IF($D112="","",IFERROR(IF(INDEX(Profile!$G$5:$G$304,MATCH($D112,lst_Profil,0))&lt;&gt;"",INDEX(Profile!$G$5:$G$304,MATCH($D112,lst_Profil,0)),$H$4),$H$4))</f>
        <v/>
      </c>
      <c r="S112" s="12" t="str">
        <f aca="false">IF($D112="","",IFERROR(IF(INDEX(Profile!$H$5:$H$304,MATCH($D112,lst_Profil,0))&lt;&gt;"",INDEX(Profile!$H$5:$H$304,MATCH($D112,lst_Profil,0)),$H$5),$H$5))</f>
        <v/>
      </c>
      <c r="T112" s="16" t="str">
        <f aca="false">IF(OR(Q112="",NOT(ISNUMBER(R112)),NOT(ISNUMBER(S112))),"",Q112-R112-S112)</f>
        <v/>
      </c>
      <c r="U112" s="26" t="str">
        <f aca="false">IF(OR($D112="",$E112=""),"",IF(COUNTIFS(Preise!$A$5:$A$304,$D112,Preise!$B$5:$B$304,$E112,Preise!$I$5:$I$304,"OK")&gt;0,"ja","nein"))</f>
        <v/>
      </c>
      <c r="V112" s="15" t="str">
        <f aca="false">IF(OR(M112="",$E112="",$C$8=""),"",IF(_xlfn.MINIFS(Schneiddaten!$C$5:$C$304,Schneiddaten!$A$5:$A$304,$C$8,Schneiddaten!$B$5:$B$304,$E112,Schneiddaten!$C$5:$C$304,"&gt;="&amp;M112)=0,"",SUMIFS(Schneiddaten!$D$5:$D$304,Schneiddaten!$A$5:$A$304,$C$8,Schneiddaten!$B$5:$B$304,$E112,Schneiddaten!$C$5:$C$304,_xlfn.MINIFS(Schneiddaten!$C$5:$C$304,Schneiddaten!$A$5:$A$304,$C$8,Schneiddaten!$B$5:$B$304,$E112,Schneiddaten!$C$5:$C$304,"&gt;="&amp;M112))))</f>
        <v/>
      </c>
      <c r="W112" s="26" t="str">
        <f aca="false">IF(AND($D112="",$E112="",$F112="",$G112=""),"",IF(ISNA(MATCH($D112,lst_Profil,0)),"FEHLER: Profil unbekannt",IF(ISNA(MATCH($E112,lst_Werkstoff,0)),"FEHLER: Werkstoff unbekannt",IF(NOT(ISNUMBER(L112)),"FEHLER: Querschnitt fehlt (Profil)",IF(OR($F112="",$F112&lt;=0),"FEHLER: Teilelänge fehlt",IF(OR($G112="",$G112&lt;1),"FEHLER: Stückzahl fehlt",IF(NOT(ISNUMBER($H$4)),"FEHLER: Maschine fehlt/unbekannt",IF(Q112&gt;$H$7,"FEHLER: Stange länger als Maschine zulässt",IF($F112+$H$6&gt;T112,"FEHLER: Teil länger als Nutzlänge",IF(U112="nein","WARNUNG: kein gültiger Materialpreis",IF($H112="","HINWEIS: Schneidweg fehlt",IF(V112="","HINWEIS: keine Schneiddaten",IF(AND($AF112&lt;&gt;"",$AG112=""),"HINWEIS: Gewinde-Vorschlag prüfen","OK")))))))))))))</f>
        <v/>
      </c>
      <c r="X112" s="18" t="str">
        <f aca="false">IF(OR(O112="",$G112=""),"",O112*$G112)</f>
        <v/>
      </c>
      <c r="Y112" s="10"/>
      <c r="Z112" s="21"/>
      <c r="AA112" s="10"/>
      <c r="AB112" s="21"/>
      <c r="AC112" s="21"/>
      <c r="AD112" s="21"/>
      <c r="AE112" s="10"/>
      <c r="AF112" s="10"/>
      <c r="AG112" s="10"/>
      <c r="AH112" s="22"/>
      <c r="AI112" s="21"/>
      <c r="AJ112" s="22"/>
      <c r="AK112" s="21"/>
      <c r="AL112" s="22"/>
      <c r="AM112" s="21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21"/>
      <c r="G113" s="19"/>
      <c r="H113" s="21"/>
      <c r="I113" s="22"/>
      <c r="J113" s="19"/>
      <c r="K113" s="23" t="str">
        <f aca="false">IF($D113="","",IFERROR(INDEX(Profile!$B$5:$B$304,MATCH($D113,lst_Profil,0)),""))</f>
        <v/>
      </c>
      <c r="L113" s="13" t="str">
        <f aca="false">IF($D113="","",IFERROR(INDEX(Profile!$K$5:$K$304,MATCH($D113,lst_Profil,0))+0,""))</f>
        <v/>
      </c>
      <c r="M113" s="24" t="str">
        <f aca="false">IF($D113="","",IFERROR(INDEX(Profile!$E$5:$E$304,MATCH($D113,lst_Profil,0))+0,""))</f>
        <v/>
      </c>
      <c r="N113" s="25" t="str">
        <f aca="false">IF(OR(L113="",$E113=""),"",IFERROR(L113*INDEX(Werkstoffe!$E$5:$E$304,MATCH($E113,lst_Werkstoff,0))/1000,""))</f>
        <v/>
      </c>
      <c r="O113" s="25" t="str">
        <f aca="false">IF(OR(N113="",$F113=""),"",N113*$F113/1000)</f>
        <v/>
      </c>
      <c r="P113" s="16" t="str">
        <f aca="false">IF(OR($F113="",$G113=""),"",$F113*$G113)</f>
        <v/>
      </c>
      <c r="Q113" s="16" t="str">
        <f aca="false">IF($D113="","",IF($J113&lt;&gt;"",$J113,$C$9))</f>
        <v/>
      </c>
      <c r="R113" s="12" t="str">
        <f aca="false">IF($D113="","",IFERROR(IF(INDEX(Profile!$G$5:$G$304,MATCH($D113,lst_Profil,0))&lt;&gt;"",INDEX(Profile!$G$5:$G$304,MATCH($D113,lst_Profil,0)),$H$4),$H$4))</f>
        <v/>
      </c>
      <c r="S113" s="12" t="str">
        <f aca="false">IF($D113="","",IFERROR(IF(INDEX(Profile!$H$5:$H$304,MATCH($D113,lst_Profil,0))&lt;&gt;"",INDEX(Profile!$H$5:$H$304,MATCH($D113,lst_Profil,0)),$H$5),$H$5))</f>
        <v/>
      </c>
      <c r="T113" s="16" t="str">
        <f aca="false">IF(OR(Q113="",NOT(ISNUMBER(R113)),NOT(ISNUMBER(S113))),"",Q113-R113-S113)</f>
        <v/>
      </c>
      <c r="U113" s="26" t="str">
        <f aca="false">IF(OR($D113="",$E113=""),"",IF(COUNTIFS(Preise!$A$5:$A$304,$D113,Preise!$B$5:$B$304,$E113,Preise!$I$5:$I$304,"OK")&gt;0,"ja","nein"))</f>
        <v/>
      </c>
      <c r="V113" s="15" t="str">
        <f aca="false">IF(OR(M113="",$E113="",$C$8=""),"",IF(_xlfn.MINIFS(Schneiddaten!$C$5:$C$304,Schneiddaten!$A$5:$A$304,$C$8,Schneiddaten!$B$5:$B$304,$E113,Schneiddaten!$C$5:$C$304,"&gt;="&amp;M113)=0,"",SUMIFS(Schneiddaten!$D$5:$D$304,Schneiddaten!$A$5:$A$304,$C$8,Schneiddaten!$B$5:$B$304,$E113,Schneiddaten!$C$5:$C$304,_xlfn.MINIFS(Schneiddaten!$C$5:$C$304,Schneiddaten!$A$5:$A$304,$C$8,Schneiddaten!$B$5:$B$304,$E113,Schneiddaten!$C$5:$C$304,"&gt;="&amp;M113))))</f>
        <v/>
      </c>
      <c r="W113" s="26" t="str">
        <f aca="false">IF(AND($D113="",$E113="",$F113="",$G113=""),"",IF(ISNA(MATCH($D113,lst_Profil,0)),"FEHLER: Profil unbekannt",IF(ISNA(MATCH($E113,lst_Werkstoff,0)),"FEHLER: Werkstoff unbekannt",IF(NOT(ISNUMBER(L113)),"FEHLER: Querschnitt fehlt (Profil)",IF(OR($F113="",$F113&lt;=0),"FEHLER: Teilelänge fehlt",IF(OR($G113="",$G113&lt;1),"FEHLER: Stückzahl fehlt",IF(NOT(ISNUMBER($H$4)),"FEHLER: Maschine fehlt/unbekannt",IF(Q113&gt;$H$7,"FEHLER: Stange länger als Maschine zulässt",IF($F113+$H$6&gt;T113,"FEHLER: Teil länger als Nutzlänge",IF(U113="nein","WARNUNG: kein gültiger Materialpreis",IF($H113="","HINWEIS: Schneidweg fehlt",IF(V113="","HINWEIS: keine Schneiddaten",IF(AND($AF113&lt;&gt;"",$AG113=""),"HINWEIS: Gewinde-Vorschlag prüfen","OK")))))))))))))</f>
        <v/>
      </c>
      <c r="X113" s="18" t="str">
        <f aca="false">IF(OR(O113="",$G113=""),"",O113*$G113)</f>
        <v/>
      </c>
      <c r="Y113" s="10"/>
      <c r="Z113" s="21"/>
      <c r="AA113" s="10"/>
      <c r="AB113" s="21"/>
      <c r="AC113" s="21"/>
      <c r="AD113" s="21"/>
      <c r="AE113" s="10"/>
      <c r="AF113" s="10"/>
      <c r="AG113" s="10"/>
      <c r="AH113" s="22"/>
      <c r="AI113" s="21"/>
      <c r="AJ113" s="22"/>
      <c r="AK113" s="21"/>
      <c r="AL113" s="22"/>
      <c r="AM113" s="21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21"/>
      <c r="G114" s="19"/>
      <c r="H114" s="21"/>
      <c r="I114" s="22"/>
      <c r="J114" s="19"/>
      <c r="K114" s="23" t="str">
        <f aca="false">IF($D114="","",IFERROR(INDEX(Profile!$B$5:$B$304,MATCH($D114,lst_Profil,0)),""))</f>
        <v/>
      </c>
      <c r="L114" s="13" t="str">
        <f aca="false">IF($D114="","",IFERROR(INDEX(Profile!$K$5:$K$304,MATCH($D114,lst_Profil,0))+0,""))</f>
        <v/>
      </c>
      <c r="M114" s="24" t="str">
        <f aca="false">IF($D114="","",IFERROR(INDEX(Profile!$E$5:$E$304,MATCH($D114,lst_Profil,0))+0,""))</f>
        <v/>
      </c>
      <c r="N114" s="25" t="str">
        <f aca="false">IF(OR(L114="",$E114=""),"",IFERROR(L114*INDEX(Werkstoffe!$E$5:$E$304,MATCH($E114,lst_Werkstoff,0))/1000,""))</f>
        <v/>
      </c>
      <c r="O114" s="25" t="str">
        <f aca="false">IF(OR(N114="",$F114=""),"",N114*$F114/1000)</f>
        <v/>
      </c>
      <c r="P114" s="16" t="str">
        <f aca="false">IF(OR($F114="",$G114=""),"",$F114*$G114)</f>
        <v/>
      </c>
      <c r="Q114" s="16" t="str">
        <f aca="false">IF($D114="","",IF($J114&lt;&gt;"",$J114,$C$9))</f>
        <v/>
      </c>
      <c r="R114" s="12" t="str">
        <f aca="false">IF($D114="","",IFERROR(IF(INDEX(Profile!$G$5:$G$304,MATCH($D114,lst_Profil,0))&lt;&gt;"",INDEX(Profile!$G$5:$G$304,MATCH($D114,lst_Profil,0)),$H$4),$H$4))</f>
        <v/>
      </c>
      <c r="S114" s="12" t="str">
        <f aca="false">IF($D114="","",IFERROR(IF(INDEX(Profile!$H$5:$H$304,MATCH($D114,lst_Profil,0))&lt;&gt;"",INDEX(Profile!$H$5:$H$304,MATCH($D114,lst_Profil,0)),$H$5),$H$5))</f>
        <v/>
      </c>
      <c r="T114" s="16" t="str">
        <f aca="false">IF(OR(Q114="",NOT(ISNUMBER(R114)),NOT(ISNUMBER(S114))),"",Q114-R114-S114)</f>
        <v/>
      </c>
      <c r="U114" s="26" t="str">
        <f aca="false">IF(OR($D114="",$E114=""),"",IF(COUNTIFS(Preise!$A$5:$A$304,$D114,Preise!$B$5:$B$304,$E114,Preise!$I$5:$I$304,"OK")&gt;0,"ja","nein"))</f>
        <v/>
      </c>
      <c r="V114" s="15" t="str">
        <f aca="false">IF(OR(M114="",$E114="",$C$8=""),"",IF(_xlfn.MINIFS(Schneiddaten!$C$5:$C$304,Schneiddaten!$A$5:$A$304,$C$8,Schneiddaten!$B$5:$B$304,$E114,Schneiddaten!$C$5:$C$304,"&gt;="&amp;M114)=0,"",SUMIFS(Schneiddaten!$D$5:$D$304,Schneiddaten!$A$5:$A$304,$C$8,Schneiddaten!$B$5:$B$304,$E114,Schneiddaten!$C$5:$C$304,_xlfn.MINIFS(Schneiddaten!$C$5:$C$304,Schneiddaten!$A$5:$A$304,$C$8,Schneiddaten!$B$5:$B$304,$E114,Schneiddaten!$C$5:$C$304,"&gt;="&amp;M114))))</f>
        <v/>
      </c>
      <c r="W114" s="26" t="str">
        <f aca="false">IF(AND($D114="",$E114="",$F114="",$G114=""),"",IF(ISNA(MATCH($D114,lst_Profil,0)),"FEHLER: Profil unbekannt",IF(ISNA(MATCH($E114,lst_Werkstoff,0)),"FEHLER: Werkstoff unbekannt",IF(NOT(ISNUMBER(L114)),"FEHLER: Querschnitt fehlt (Profil)",IF(OR($F114="",$F114&lt;=0),"FEHLER: Teilelänge fehlt",IF(OR($G114="",$G114&lt;1),"FEHLER: Stückzahl fehlt",IF(NOT(ISNUMBER($H$4)),"FEHLER: Maschine fehlt/unbekannt",IF(Q114&gt;$H$7,"FEHLER: Stange länger als Maschine zulässt",IF($F114+$H$6&gt;T114,"FEHLER: Teil länger als Nutzlänge",IF(U114="nein","WARNUNG: kein gültiger Materialpreis",IF($H114="","HINWEIS: Schneidweg fehlt",IF(V114="","HINWEIS: keine Schneiddaten",IF(AND($AF114&lt;&gt;"",$AG114=""),"HINWEIS: Gewinde-Vorschlag prüfen","OK")))))))))))))</f>
        <v/>
      </c>
      <c r="X114" s="18" t="str">
        <f aca="false">IF(OR(O114="",$G114=""),"",O114*$G114)</f>
        <v/>
      </c>
      <c r="Y114" s="10"/>
      <c r="Z114" s="21"/>
      <c r="AA114" s="10"/>
      <c r="AB114" s="21"/>
      <c r="AC114" s="21"/>
      <c r="AD114" s="21"/>
      <c r="AE114" s="10"/>
      <c r="AF114" s="10"/>
      <c r="AG114" s="10"/>
      <c r="AH114" s="22"/>
      <c r="AI114" s="21"/>
      <c r="AJ114" s="22"/>
      <c r="AK114" s="21"/>
      <c r="AL114" s="22"/>
      <c r="AM114" s="21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21"/>
      <c r="G115" s="19"/>
      <c r="H115" s="21"/>
      <c r="I115" s="22"/>
      <c r="J115" s="19"/>
      <c r="K115" s="23" t="str">
        <f aca="false">IF($D115="","",IFERROR(INDEX(Profile!$B$5:$B$304,MATCH($D115,lst_Profil,0)),""))</f>
        <v/>
      </c>
      <c r="L115" s="13" t="str">
        <f aca="false">IF($D115="","",IFERROR(INDEX(Profile!$K$5:$K$304,MATCH($D115,lst_Profil,0))+0,""))</f>
        <v/>
      </c>
      <c r="M115" s="24" t="str">
        <f aca="false">IF($D115="","",IFERROR(INDEX(Profile!$E$5:$E$304,MATCH($D115,lst_Profil,0))+0,""))</f>
        <v/>
      </c>
      <c r="N115" s="25" t="str">
        <f aca="false">IF(OR(L115="",$E115=""),"",IFERROR(L115*INDEX(Werkstoffe!$E$5:$E$304,MATCH($E115,lst_Werkstoff,0))/1000,""))</f>
        <v/>
      </c>
      <c r="O115" s="25" t="str">
        <f aca="false">IF(OR(N115="",$F115=""),"",N115*$F115/1000)</f>
        <v/>
      </c>
      <c r="P115" s="16" t="str">
        <f aca="false">IF(OR($F115="",$G115=""),"",$F115*$G115)</f>
        <v/>
      </c>
      <c r="Q115" s="16" t="str">
        <f aca="false">IF($D115="","",IF($J115&lt;&gt;"",$J115,$C$9))</f>
        <v/>
      </c>
      <c r="R115" s="12" t="str">
        <f aca="false">IF($D115="","",IFERROR(IF(INDEX(Profile!$G$5:$G$304,MATCH($D115,lst_Profil,0))&lt;&gt;"",INDEX(Profile!$G$5:$G$304,MATCH($D115,lst_Profil,0)),$H$4),$H$4))</f>
        <v/>
      </c>
      <c r="S115" s="12" t="str">
        <f aca="false">IF($D115="","",IFERROR(IF(INDEX(Profile!$H$5:$H$304,MATCH($D115,lst_Profil,0))&lt;&gt;"",INDEX(Profile!$H$5:$H$304,MATCH($D115,lst_Profil,0)),$H$5),$H$5))</f>
        <v/>
      </c>
      <c r="T115" s="16" t="str">
        <f aca="false">IF(OR(Q115="",NOT(ISNUMBER(R115)),NOT(ISNUMBER(S115))),"",Q115-R115-S115)</f>
        <v/>
      </c>
      <c r="U115" s="26" t="str">
        <f aca="false">IF(OR($D115="",$E115=""),"",IF(COUNTIFS(Preise!$A$5:$A$304,$D115,Preise!$B$5:$B$304,$E115,Preise!$I$5:$I$304,"OK")&gt;0,"ja","nein"))</f>
        <v/>
      </c>
      <c r="V115" s="15" t="str">
        <f aca="false">IF(OR(M115="",$E115="",$C$8=""),"",IF(_xlfn.MINIFS(Schneiddaten!$C$5:$C$304,Schneiddaten!$A$5:$A$304,$C$8,Schneiddaten!$B$5:$B$304,$E115,Schneiddaten!$C$5:$C$304,"&gt;="&amp;M115)=0,"",SUMIFS(Schneiddaten!$D$5:$D$304,Schneiddaten!$A$5:$A$304,$C$8,Schneiddaten!$B$5:$B$304,$E115,Schneiddaten!$C$5:$C$304,_xlfn.MINIFS(Schneiddaten!$C$5:$C$304,Schneiddaten!$A$5:$A$304,$C$8,Schneiddaten!$B$5:$B$304,$E115,Schneiddaten!$C$5:$C$304,"&gt;="&amp;M115))))</f>
        <v/>
      </c>
      <c r="W115" s="26" t="str">
        <f aca="false">IF(AND($D115="",$E115="",$F115="",$G115=""),"",IF(ISNA(MATCH($D115,lst_Profil,0)),"FEHLER: Profil unbekannt",IF(ISNA(MATCH($E115,lst_Werkstoff,0)),"FEHLER: Werkstoff unbekannt",IF(NOT(ISNUMBER(L115)),"FEHLER: Querschnitt fehlt (Profil)",IF(OR($F115="",$F115&lt;=0),"FEHLER: Teilelänge fehlt",IF(OR($G115="",$G115&lt;1),"FEHLER: Stückzahl fehlt",IF(NOT(ISNUMBER($H$4)),"FEHLER: Maschine fehlt/unbekannt",IF(Q115&gt;$H$7,"FEHLER: Stange länger als Maschine zulässt",IF($F115+$H$6&gt;T115,"FEHLER: Teil länger als Nutzlänge",IF(U115="nein","WARNUNG: kein gültiger Materialpreis",IF($H115="","HINWEIS: Schneidweg fehlt",IF(V115="","HINWEIS: keine Schneiddaten",IF(AND($AF115&lt;&gt;"",$AG115=""),"HINWEIS: Gewinde-Vorschlag prüfen","OK")))))))))))))</f>
        <v/>
      </c>
      <c r="X115" s="18" t="str">
        <f aca="false">IF(OR(O115="",$G115=""),"",O115*$G115)</f>
        <v/>
      </c>
      <c r="Y115" s="10"/>
      <c r="Z115" s="21"/>
      <c r="AA115" s="10"/>
      <c r="AB115" s="21"/>
      <c r="AC115" s="21"/>
      <c r="AD115" s="21"/>
      <c r="AE115" s="10"/>
      <c r="AF115" s="10"/>
      <c r="AG115" s="10"/>
      <c r="AH115" s="22"/>
      <c r="AI115" s="21"/>
      <c r="AJ115" s="22"/>
      <c r="AK115" s="21"/>
      <c r="AL115" s="22"/>
      <c r="AM115" s="21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21"/>
      <c r="G116" s="19"/>
      <c r="H116" s="21"/>
      <c r="I116" s="22"/>
      <c r="J116" s="19"/>
      <c r="K116" s="23" t="str">
        <f aca="false">IF($D116="","",IFERROR(INDEX(Profile!$B$5:$B$304,MATCH($D116,lst_Profil,0)),""))</f>
        <v/>
      </c>
      <c r="L116" s="13" t="str">
        <f aca="false">IF($D116="","",IFERROR(INDEX(Profile!$K$5:$K$304,MATCH($D116,lst_Profil,0))+0,""))</f>
        <v/>
      </c>
      <c r="M116" s="24" t="str">
        <f aca="false">IF($D116="","",IFERROR(INDEX(Profile!$E$5:$E$304,MATCH($D116,lst_Profil,0))+0,""))</f>
        <v/>
      </c>
      <c r="N116" s="25" t="str">
        <f aca="false">IF(OR(L116="",$E116=""),"",IFERROR(L116*INDEX(Werkstoffe!$E$5:$E$304,MATCH($E116,lst_Werkstoff,0))/1000,""))</f>
        <v/>
      </c>
      <c r="O116" s="25" t="str">
        <f aca="false">IF(OR(N116="",$F116=""),"",N116*$F116/1000)</f>
        <v/>
      </c>
      <c r="P116" s="16" t="str">
        <f aca="false">IF(OR($F116="",$G116=""),"",$F116*$G116)</f>
        <v/>
      </c>
      <c r="Q116" s="16" t="str">
        <f aca="false">IF($D116="","",IF($J116&lt;&gt;"",$J116,$C$9))</f>
        <v/>
      </c>
      <c r="R116" s="12" t="str">
        <f aca="false">IF($D116="","",IFERROR(IF(INDEX(Profile!$G$5:$G$304,MATCH($D116,lst_Profil,0))&lt;&gt;"",INDEX(Profile!$G$5:$G$304,MATCH($D116,lst_Profil,0)),$H$4),$H$4))</f>
        <v/>
      </c>
      <c r="S116" s="12" t="str">
        <f aca="false">IF($D116="","",IFERROR(IF(INDEX(Profile!$H$5:$H$304,MATCH($D116,lst_Profil,0))&lt;&gt;"",INDEX(Profile!$H$5:$H$304,MATCH($D116,lst_Profil,0)),$H$5),$H$5))</f>
        <v/>
      </c>
      <c r="T116" s="16" t="str">
        <f aca="false">IF(OR(Q116="",NOT(ISNUMBER(R116)),NOT(ISNUMBER(S116))),"",Q116-R116-S116)</f>
        <v/>
      </c>
      <c r="U116" s="26" t="str">
        <f aca="false">IF(OR($D116="",$E116=""),"",IF(COUNTIFS(Preise!$A$5:$A$304,$D116,Preise!$B$5:$B$304,$E116,Preise!$I$5:$I$304,"OK")&gt;0,"ja","nein"))</f>
        <v/>
      </c>
      <c r="V116" s="15" t="str">
        <f aca="false">IF(OR(M116="",$E116="",$C$8=""),"",IF(_xlfn.MINIFS(Schneiddaten!$C$5:$C$304,Schneiddaten!$A$5:$A$304,$C$8,Schneiddaten!$B$5:$B$304,$E116,Schneiddaten!$C$5:$C$304,"&gt;="&amp;M116)=0,"",SUMIFS(Schneiddaten!$D$5:$D$304,Schneiddaten!$A$5:$A$304,$C$8,Schneiddaten!$B$5:$B$304,$E116,Schneiddaten!$C$5:$C$304,_xlfn.MINIFS(Schneiddaten!$C$5:$C$304,Schneiddaten!$A$5:$A$304,$C$8,Schneiddaten!$B$5:$B$304,$E116,Schneiddaten!$C$5:$C$304,"&gt;="&amp;M116))))</f>
        <v/>
      </c>
      <c r="W116" s="26" t="str">
        <f aca="false">IF(AND($D116="",$E116="",$F116="",$G116=""),"",IF(ISNA(MATCH($D116,lst_Profil,0)),"FEHLER: Profil unbekannt",IF(ISNA(MATCH($E116,lst_Werkstoff,0)),"FEHLER: Werkstoff unbekannt",IF(NOT(ISNUMBER(L116)),"FEHLER: Querschnitt fehlt (Profil)",IF(OR($F116="",$F116&lt;=0),"FEHLER: Teilelänge fehlt",IF(OR($G116="",$G116&lt;1),"FEHLER: Stückzahl fehlt",IF(NOT(ISNUMBER($H$4)),"FEHLER: Maschine fehlt/unbekannt",IF(Q116&gt;$H$7,"FEHLER: Stange länger als Maschine zulässt",IF($F116+$H$6&gt;T116,"FEHLER: Teil länger als Nutzlänge",IF(U116="nein","WARNUNG: kein gültiger Materialpreis",IF($H116="","HINWEIS: Schneidweg fehlt",IF(V116="","HINWEIS: keine Schneiddaten",IF(AND($AF116&lt;&gt;"",$AG116=""),"HINWEIS: Gewinde-Vorschlag prüfen","OK")))))))))))))</f>
        <v/>
      </c>
      <c r="X116" s="18" t="str">
        <f aca="false">IF(OR(O116="",$G116=""),"",O116*$G116)</f>
        <v/>
      </c>
      <c r="Y116" s="10"/>
      <c r="Z116" s="21"/>
      <c r="AA116" s="10"/>
      <c r="AB116" s="21"/>
      <c r="AC116" s="21"/>
      <c r="AD116" s="21"/>
      <c r="AE116" s="10"/>
      <c r="AF116" s="10"/>
      <c r="AG116" s="10"/>
      <c r="AH116" s="22"/>
      <c r="AI116" s="21"/>
      <c r="AJ116" s="22"/>
      <c r="AK116" s="21"/>
      <c r="AL116" s="22"/>
      <c r="AM116" s="21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21"/>
      <c r="G117" s="19"/>
      <c r="H117" s="21"/>
      <c r="I117" s="22"/>
      <c r="J117" s="19"/>
      <c r="K117" s="23" t="str">
        <f aca="false">IF($D117="","",IFERROR(INDEX(Profile!$B$5:$B$304,MATCH($D117,lst_Profil,0)),""))</f>
        <v/>
      </c>
      <c r="L117" s="13" t="str">
        <f aca="false">IF($D117="","",IFERROR(INDEX(Profile!$K$5:$K$304,MATCH($D117,lst_Profil,0))+0,""))</f>
        <v/>
      </c>
      <c r="M117" s="24" t="str">
        <f aca="false">IF($D117="","",IFERROR(INDEX(Profile!$E$5:$E$304,MATCH($D117,lst_Profil,0))+0,""))</f>
        <v/>
      </c>
      <c r="N117" s="25" t="str">
        <f aca="false">IF(OR(L117="",$E117=""),"",IFERROR(L117*INDEX(Werkstoffe!$E$5:$E$304,MATCH($E117,lst_Werkstoff,0))/1000,""))</f>
        <v/>
      </c>
      <c r="O117" s="25" t="str">
        <f aca="false">IF(OR(N117="",$F117=""),"",N117*$F117/1000)</f>
        <v/>
      </c>
      <c r="P117" s="16" t="str">
        <f aca="false">IF(OR($F117="",$G117=""),"",$F117*$G117)</f>
        <v/>
      </c>
      <c r="Q117" s="16" t="str">
        <f aca="false">IF($D117="","",IF($J117&lt;&gt;"",$J117,$C$9))</f>
        <v/>
      </c>
      <c r="R117" s="12" t="str">
        <f aca="false">IF($D117="","",IFERROR(IF(INDEX(Profile!$G$5:$G$304,MATCH($D117,lst_Profil,0))&lt;&gt;"",INDEX(Profile!$G$5:$G$304,MATCH($D117,lst_Profil,0)),$H$4),$H$4))</f>
        <v/>
      </c>
      <c r="S117" s="12" t="str">
        <f aca="false">IF($D117="","",IFERROR(IF(INDEX(Profile!$H$5:$H$304,MATCH($D117,lst_Profil,0))&lt;&gt;"",INDEX(Profile!$H$5:$H$304,MATCH($D117,lst_Profil,0)),$H$5),$H$5))</f>
        <v/>
      </c>
      <c r="T117" s="16" t="str">
        <f aca="false">IF(OR(Q117="",NOT(ISNUMBER(R117)),NOT(ISNUMBER(S117))),"",Q117-R117-S117)</f>
        <v/>
      </c>
      <c r="U117" s="26" t="str">
        <f aca="false">IF(OR($D117="",$E117=""),"",IF(COUNTIFS(Preise!$A$5:$A$304,$D117,Preise!$B$5:$B$304,$E117,Preise!$I$5:$I$304,"OK")&gt;0,"ja","nein"))</f>
        <v/>
      </c>
      <c r="V117" s="15" t="str">
        <f aca="false">IF(OR(M117="",$E117="",$C$8=""),"",IF(_xlfn.MINIFS(Schneiddaten!$C$5:$C$304,Schneiddaten!$A$5:$A$304,$C$8,Schneiddaten!$B$5:$B$304,$E117,Schneiddaten!$C$5:$C$304,"&gt;="&amp;M117)=0,"",SUMIFS(Schneiddaten!$D$5:$D$304,Schneiddaten!$A$5:$A$304,$C$8,Schneiddaten!$B$5:$B$304,$E117,Schneiddaten!$C$5:$C$304,_xlfn.MINIFS(Schneiddaten!$C$5:$C$304,Schneiddaten!$A$5:$A$304,$C$8,Schneiddaten!$B$5:$B$304,$E117,Schneiddaten!$C$5:$C$304,"&gt;="&amp;M117))))</f>
        <v/>
      </c>
      <c r="W117" s="26" t="str">
        <f aca="false">IF(AND($D117="",$E117="",$F117="",$G117=""),"",IF(ISNA(MATCH($D117,lst_Profil,0)),"FEHLER: Profil unbekannt",IF(ISNA(MATCH($E117,lst_Werkstoff,0)),"FEHLER: Werkstoff unbekannt",IF(NOT(ISNUMBER(L117)),"FEHLER: Querschnitt fehlt (Profil)",IF(OR($F117="",$F117&lt;=0),"FEHLER: Teilelänge fehlt",IF(OR($G117="",$G117&lt;1),"FEHLER: Stückzahl fehlt",IF(NOT(ISNUMBER($H$4)),"FEHLER: Maschine fehlt/unbekannt",IF(Q117&gt;$H$7,"FEHLER: Stange länger als Maschine zulässt",IF($F117+$H$6&gt;T117,"FEHLER: Teil länger als Nutzlänge",IF(U117="nein","WARNUNG: kein gültiger Materialpreis",IF($H117="","HINWEIS: Schneidweg fehlt",IF(V117="","HINWEIS: keine Schneiddaten",IF(AND($AF117&lt;&gt;"",$AG117=""),"HINWEIS: Gewinde-Vorschlag prüfen","OK")))))))))))))</f>
        <v/>
      </c>
      <c r="X117" s="18" t="str">
        <f aca="false">IF(OR(O117="",$G117=""),"",O117*$G117)</f>
        <v/>
      </c>
      <c r="Y117" s="10"/>
      <c r="Z117" s="21"/>
      <c r="AA117" s="10"/>
      <c r="AB117" s="21"/>
      <c r="AC117" s="21"/>
      <c r="AD117" s="21"/>
      <c r="AE117" s="10"/>
      <c r="AF117" s="10"/>
      <c r="AG117" s="10"/>
      <c r="AH117" s="22"/>
      <c r="AI117" s="21"/>
      <c r="AJ117" s="22"/>
      <c r="AK117" s="21"/>
      <c r="AL117" s="22"/>
      <c r="AM117" s="21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21"/>
      <c r="G118" s="19"/>
      <c r="H118" s="21"/>
      <c r="I118" s="22"/>
      <c r="J118" s="19"/>
      <c r="K118" s="23" t="str">
        <f aca="false">IF($D118="","",IFERROR(INDEX(Profile!$B$5:$B$304,MATCH($D118,lst_Profil,0)),""))</f>
        <v/>
      </c>
      <c r="L118" s="13" t="str">
        <f aca="false">IF($D118="","",IFERROR(INDEX(Profile!$K$5:$K$304,MATCH($D118,lst_Profil,0))+0,""))</f>
        <v/>
      </c>
      <c r="M118" s="24" t="str">
        <f aca="false">IF($D118="","",IFERROR(INDEX(Profile!$E$5:$E$304,MATCH($D118,lst_Profil,0))+0,""))</f>
        <v/>
      </c>
      <c r="N118" s="25" t="str">
        <f aca="false">IF(OR(L118="",$E118=""),"",IFERROR(L118*INDEX(Werkstoffe!$E$5:$E$304,MATCH($E118,lst_Werkstoff,0))/1000,""))</f>
        <v/>
      </c>
      <c r="O118" s="25" t="str">
        <f aca="false">IF(OR(N118="",$F118=""),"",N118*$F118/1000)</f>
        <v/>
      </c>
      <c r="P118" s="16" t="str">
        <f aca="false">IF(OR($F118="",$G118=""),"",$F118*$G118)</f>
        <v/>
      </c>
      <c r="Q118" s="16" t="str">
        <f aca="false">IF($D118="","",IF($J118&lt;&gt;"",$J118,$C$9))</f>
        <v/>
      </c>
      <c r="R118" s="12" t="str">
        <f aca="false">IF($D118="","",IFERROR(IF(INDEX(Profile!$G$5:$G$304,MATCH($D118,lst_Profil,0))&lt;&gt;"",INDEX(Profile!$G$5:$G$304,MATCH($D118,lst_Profil,0)),$H$4),$H$4))</f>
        <v/>
      </c>
      <c r="S118" s="12" t="str">
        <f aca="false">IF($D118="","",IFERROR(IF(INDEX(Profile!$H$5:$H$304,MATCH($D118,lst_Profil,0))&lt;&gt;"",INDEX(Profile!$H$5:$H$304,MATCH($D118,lst_Profil,0)),$H$5),$H$5))</f>
        <v/>
      </c>
      <c r="T118" s="16" t="str">
        <f aca="false">IF(OR(Q118="",NOT(ISNUMBER(R118)),NOT(ISNUMBER(S118))),"",Q118-R118-S118)</f>
        <v/>
      </c>
      <c r="U118" s="26" t="str">
        <f aca="false">IF(OR($D118="",$E118=""),"",IF(COUNTIFS(Preise!$A$5:$A$304,$D118,Preise!$B$5:$B$304,$E118,Preise!$I$5:$I$304,"OK")&gt;0,"ja","nein"))</f>
        <v/>
      </c>
      <c r="V118" s="15" t="str">
        <f aca="false">IF(OR(M118="",$E118="",$C$8=""),"",IF(_xlfn.MINIFS(Schneiddaten!$C$5:$C$304,Schneiddaten!$A$5:$A$304,$C$8,Schneiddaten!$B$5:$B$304,$E118,Schneiddaten!$C$5:$C$304,"&gt;="&amp;M118)=0,"",SUMIFS(Schneiddaten!$D$5:$D$304,Schneiddaten!$A$5:$A$304,$C$8,Schneiddaten!$B$5:$B$304,$E118,Schneiddaten!$C$5:$C$304,_xlfn.MINIFS(Schneiddaten!$C$5:$C$304,Schneiddaten!$A$5:$A$304,$C$8,Schneiddaten!$B$5:$B$304,$E118,Schneiddaten!$C$5:$C$304,"&gt;="&amp;M118))))</f>
        <v/>
      </c>
      <c r="W118" s="26" t="str">
        <f aca="false">IF(AND($D118="",$E118="",$F118="",$G118=""),"",IF(ISNA(MATCH($D118,lst_Profil,0)),"FEHLER: Profil unbekannt",IF(ISNA(MATCH($E118,lst_Werkstoff,0)),"FEHLER: Werkstoff unbekannt",IF(NOT(ISNUMBER(L118)),"FEHLER: Querschnitt fehlt (Profil)",IF(OR($F118="",$F118&lt;=0),"FEHLER: Teilelänge fehlt",IF(OR($G118="",$G118&lt;1),"FEHLER: Stückzahl fehlt",IF(NOT(ISNUMBER($H$4)),"FEHLER: Maschine fehlt/unbekannt",IF(Q118&gt;$H$7,"FEHLER: Stange länger als Maschine zulässt",IF($F118+$H$6&gt;T118,"FEHLER: Teil länger als Nutzlänge",IF(U118="nein","WARNUNG: kein gültiger Materialpreis",IF($H118="","HINWEIS: Schneidweg fehlt",IF(V118="","HINWEIS: keine Schneiddaten",IF(AND($AF118&lt;&gt;"",$AG118=""),"HINWEIS: Gewinde-Vorschlag prüfen","OK")))))))))))))</f>
        <v/>
      </c>
      <c r="X118" s="18" t="str">
        <f aca="false">IF(OR(O118="",$G118=""),"",O118*$G118)</f>
        <v/>
      </c>
      <c r="Y118" s="10"/>
      <c r="Z118" s="21"/>
      <c r="AA118" s="10"/>
      <c r="AB118" s="21"/>
      <c r="AC118" s="21"/>
      <c r="AD118" s="21"/>
      <c r="AE118" s="10"/>
      <c r="AF118" s="10"/>
      <c r="AG118" s="10"/>
      <c r="AH118" s="22"/>
      <c r="AI118" s="21"/>
      <c r="AJ118" s="22"/>
      <c r="AK118" s="21"/>
      <c r="AL118" s="22"/>
      <c r="AM118" s="21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21"/>
      <c r="G119" s="19"/>
      <c r="H119" s="21"/>
      <c r="I119" s="22"/>
      <c r="J119" s="19"/>
      <c r="K119" s="23" t="str">
        <f aca="false">IF($D119="","",IFERROR(INDEX(Profile!$B$5:$B$304,MATCH($D119,lst_Profil,0)),""))</f>
        <v/>
      </c>
      <c r="L119" s="13" t="str">
        <f aca="false">IF($D119="","",IFERROR(INDEX(Profile!$K$5:$K$304,MATCH($D119,lst_Profil,0))+0,""))</f>
        <v/>
      </c>
      <c r="M119" s="24" t="str">
        <f aca="false">IF($D119="","",IFERROR(INDEX(Profile!$E$5:$E$304,MATCH($D119,lst_Profil,0))+0,""))</f>
        <v/>
      </c>
      <c r="N119" s="25" t="str">
        <f aca="false">IF(OR(L119="",$E119=""),"",IFERROR(L119*INDEX(Werkstoffe!$E$5:$E$304,MATCH($E119,lst_Werkstoff,0))/1000,""))</f>
        <v/>
      </c>
      <c r="O119" s="25" t="str">
        <f aca="false">IF(OR(N119="",$F119=""),"",N119*$F119/1000)</f>
        <v/>
      </c>
      <c r="P119" s="16" t="str">
        <f aca="false">IF(OR($F119="",$G119=""),"",$F119*$G119)</f>
        <v/>
      </c>
      <c r="Q119" s="16" t="str">
        <f aca="false">IF($D119="","",IF($J119&lt;&gt;"",$J119,$C$9))</f>
        <v/>
      </c>
      <c r="R119" s="12" t="str">
        <f aca="false">IF($D119="","",IFERROR(IF(INDEX(Profile!$G$5:$G$304,MATCH($D119,lst_Profil,0))&lt;&gt;"",INDEX(Profile!$G$5:$G$304,MATCH($D119,lst_Profil,0)),$H$4),$H$4))</f>
        <v/>
      </c>
      <c r="S119" s="12" t="str">
        <f aca="false">IF($D119="","",IFERROR(IF(INDEX(Profile!$H$5:$H$304,MATCH($D119,lst_Profil,0))&lt;&gt;"",INDEX(Profile!$H$5:$H$304,MATCH($D119,lst_Profil,0)),$H$5),$H$5))</f>
        <v/>
      </c>
      <c r="T119" s="16" t="str">
        <f aca="false">IF(OR(Q119="",NOT(ISNUMBER(R119)),NOT(ISNUMBER(S119))),"",Q119-R119-S119)</f>
        <v/>
      </c>
      <c r="U119" s="26" t="str">
        <f aca="false">IF(OR($D119="",$E119=""),"",IF(COUNTIFS(Preise!$A$5:$A$304,$D119,Preise!$B$5:$B$304,$E119,Preise!$I$5:$I$304,"OK")&gt;0,"ja","nein"))</f>
        <v/>
      </c>
      <c r="V119" s="15" t="str">
        <f aca="false">IF(OR(M119="",$E119="",$C$8=""),"",IF(_xlfn.MINIFS(Schneiddaten!$C$5:$C$304,Schneiddaten!$A$5:$A$304,$C$8,Schneiddaten!$B$5:$B$304,$E119,Schneiddaten!$C$5:$C$304,"&gt;="&amp;M119)=0,"",SUMIFS(Schneiddaten!$D$5:$D$304,Schneiddaten!$A$5:$A$304,$C$8,Schneiddaten!$B$5:$B$304,$E119,Schneiddaten!$C$5:$C$304,_xlfn.MINIFS(Schneiddaten!$C$5:$C$304,Schneiddaten!$A$5:$A$304,$C$8,Schneiddaten!$B$5:$B$304,$E119,Schneiddaten!$C$5:$C$304,"&gt;="&amp;M119))))</f>
        <v/>
      </c>
      <c r="W119" s="26" t="str">
        <f aca="false">IF(AND($D119="",$E119="",$F119="",$G119=""),"",IF(ISNA(MATCH($D119,lst_Profil,0)),"FEHLER: Profil unbekannt",IF(ISNA(MATCH($E119,lst_Werkstoff,0)),"FEHLER: Werkstoff unbekannt",IF(NOT(ISNUMBER(L119)),"FEHLER: Querschnitt fehlt (Profil)",IF(OR($F119="",$F119&lt;=0),"FEHLER: Teilelänge fehlt",IF(OR($G119="",$G119&lt;1),"FEHLER: Stückzahl fehlt",IF(NOT(ISNUMBER($H$4)),"FEHLER: Maschine fehlt/unbekannt",IF(Q119&gt;$H$7,"FEHLER: Stange länger als Maschine zulässt",IF($F119+$H$6&gt;T119,"FEHLER: Teil länger als Nutzlänge",IF(U119="nein","WARNUNG: kein gültiger Materialpreis",IF($H119="","HINWEIS: Schneidweg fehlt",IF(V119="","HINWEIS: keine Schneiddaten",IF(AND($AF119&lt;&gt;"",$AG119=""),"HINWEIS: Gewinde-Vorschlag prüfen","OK")))))))))))))</f>
        <v/>
      </c>
      <c r="X119" s="18" t="str">
        <f aca="false">IF(OR(O119="",$G119=""),"",O119*$G119)</f>
        <v/>
      </c>
      <c r="Y119" s="10"/>
      <c r="Z119" s="21"/>
      <c r="AA119" s="10"/>
      <c r="AB119" s="21"/>
      <c r="AC119" s="21"/>
      <c r="AD119" s="21"/>
      <c r="AE119" s="10"/>
      <c r="AF119" s="10"/>
      <c r="AG119" s="10"/>
      <c r="AH119" s="22"/>
      <c r="AI119" s="21"/>
      <c r="AJ119" s="22"/>
      <c r="AK119" s="21"/>
      <c r="AL119" s="22"/>
      <c r="AM119" s="21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21"/>
      <c r="G120" s="19"/>
      <c r="H120" s="21"/>
      <c r="I120" s="22"/>
      <c r="J120" s="19"/>
      <c r="K120" s="23" t="str">
        <f aca="false">IF($D120="","",IFERROR(INDEX(Profile!$B$5:$B$304,MATCH($D120,lst_Profil,0)),""))</f>
        <v/>
      </c>
      <c r="L120" s="13" t="str">
        <f aca="false">IF($D120="","",IFERROR(INDEX(Profile!$K$5:$K$304,MATCH($D120,lst_Profil,0))+0,""))</f>
        <v/>
      </c>
      <c r="M120" s="24" t="str">
        <f aca="false">IF($D120="","",IFERROR(INDEX(Profile!$E$5:$E$304,MATCH($D120,lst_Profil,0))+0,""))</f>
        <v/>
      </c>
      <c r="N120" s="25" t="str">
        <f aca="false">IF(OR(L120="",$E120=""),"",IFERROR(L120*INDEX(Werkstoffe!$E$5:$E$304,MATCH($E120,lst_Werkstoff,0))/1000,""))</f>
        <v/>
      </c>
      <c r="O120" s="25" t="str">
        <f aca="false">IF(OR(N120="",$F120=""),"",N120*$F120/1000)</f>
        <v/>
      </c>
      <c r="P120" s="16" t="str">
        <f aca="false">IF(OR($F120="",$G120=""),"",$F120*$G120)</f>
        <v/>
      </c>
      <c r="Q120" s="16" t="str">
        <f aca="false">IF($D120="","",IF($J120&lt;&gt;"",$J120,$C$9))</f>
        <v/>
      </c>
      <c r="R120" s="12" t="str">
        <f aca="false">IF($D120="","",IFERROR(IF(INDEX(Profile!$G$5:$G$304,MATCH($D120,lst_Profil,0))&lt;&gt;"",INDEX(Profile!$G$5:$G$304,MATCH($D120,lst_Profil,0)),$H$4),$H$4))</f>
        <v/>
      </c>
      <c r="S120" s="12" t="str">
        <f aca="false">IF($D120="","",IFERROR(IF(INDEX(Profile!$H$5:$H$304,MATCH($D120,lst_Profil,0))&lt;&gt;"",INDEX(Profile!$H$5:$H$304,MATCH($D120,lst_Profil,0)),$H$5),$H$5))</f>
        <v/>
      </c>
      <c r="T120" s="16" t="str">
        <f aca="false">IF(OR(Q120="",NOT(ISNUMBER(R120)),NOT(ISNUMBER(S120))),"",Q120-R120-S120)</f>
        <v/>
      </c>
      <c r="U120" s="26" t="str">
        <f aca="false">IF(OR($D120="",$E120=""),"",IF(COUNTIFS(Preise!$A$5:$A$304,$D120,Preise!$B$5:$B$304,$E120,Preise!$I$5:$I$304,"OK")&gt;0,"ja","nein"))</f>
        <v/>
      </c>
      <c r="V120" s="15" t="str">
        <f aca="false">IF(OR(M120="",$E120="",$C$8=""),"",IF(_xlfn.MINIFS(Schneiddaten!$C$5:$C$304,Schneiddaten!$A$5:$A$304,$C$8,Schneiddaten!$B$5:$B$304,$E120,Schneiddaten!$C$5:$C$304,"&gt;="&amp;M120)=0,"",SUMIFS(Schneiddaten!$D$5:$D$304,Schneiddaten!$A$5:$A$304,$C$8,Schneiddaten!$B$5:$B$304,$E120,Schneiddaten!$C$5:$C$304,_xlfn.MINIFS(Schneiddaten!$C$5:$C$304,Schneiddaten!$A$5:$A$304,$C$8,Schneiddaten!$B$5:$B$304,$E120,Schneiddaten!$C$5:$C$304,"&gt;="&amp;M120))))</f>
        <v/>
      </c>
      <c r="W120" s="26" t="str">
        <f aca="false">IF(AND($D120="",$E120="",$F120="",$G120=""),"",IF(ISNA(MATCH($D120,lst_Profil,0)),"FEHLER: Profil unbekannt",IF(ISNA(MATCH($E120,lst_Werkstoff,0)),"FEHLER: Werkstoff unbekannt",IF(NOT(ISNUMBER(L120)),"FEHLER: Querschnitt fehlt (Profil)",IF(OR($F120="",$F120&lt;=0),"FEHLER: Teilelänge fehlt",IF(OR($G120="",$G120&lt;1),"FEHLER: Stückzahl fehlt",IF(NOT(ISNUMBER($H$4)),"FEHLER: Maschine fehlt/unbekannt",IF(Q120&gt;$H$7,"FEHLER: Stange länger als Maschine zulässt",IF($F120+$H$6&gt;T120,"FEHLER: Teil länger als Nutzlänge",IF(U120="nein","WARNUNG: kein gültiger Materialpreis",IF($H120="","HINWEIS: Schneidweg fehlt",IF(V120="","HINWEIS: keine Schneiddaten",IF(AND($AF120&lt;&gt;"",$AG120=""),"HINWEIS: Gewinde-Vorschlag prüfen","OK")))))))))))))</f>
        <v/>
      </c>
      <c r="X120" s="18" t="str">
        <f aca="false">IF(OR(O120="",$G120=""),"",O120*$G120)</f>
        <v/>
      </c>
      <c r="Y120" s="10"/>
      <c r="Z120" s="21"/>
      <c r="AA120" s="10"/>
      <c r="AB120" s="21"/>
      <c r="AC120" s="21"/>
      <c r="AD120" s="21"/>
      <c r="AE120" s="10"/>
      <c r="AF120" s="10"/>
      <c r="AG120" s="10"/>
      <c r="AH120" s="22"/>
      <c r="AI120" s="21"/>
      <c r="AJ120" s="22"/>
      <c r="AK120" s="21"/>
      <c r="AL120" s="22"/>
      <c r="AM120" s="21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21"/>
      <c r="G121" s="19"/>
      <c r="H121" s="21"/>
      <c r="I121" s="22"/>
      <c r="J121" s="19"/>
      <c r="K121" s="23" t="str">
        <f aca="false">IF($D121="","",IFERROR(INDEX(Profile!$B$5:$B$304,MATCH($D121,lst_Profil,0)),""))</f>
        <v/>
      </c>
      <c r="L121" s="13" t="str">
        <f aca="false">IF($D121="","",IFERROR(INDEX(Profile!$K$5:$K$304,MATCH($D121,lst_Profil,0))+0,""))</f>
        <v/>
      </c>
      <c r="M121" s="24" t="str">
        <f aca="false">IF($D121="","",IFERROR(INDEX(Profile!$E$5:$E$304,MATCH($D121,lst_Profil,0))+0,""))</f>
        <v/>
      </c>
      <c r="N121" s="25" t="str">
        <f aca="false">IF(OR(L121="",$E121=""),"",IFERROR(L121*INDEX(Werkstoffe!$E$5:$E$304,MATCH($E121,lst_Werkstoff,0))/1000,""))</f>
        <v/>
      </c>
      <c r="O121" s="25" t="str">
        <f aca="false">IF(OR(N121="",$F121=""),"",N121*$F121/1000)</f>
        <v/>
      </c>
      <c r="P121" s="16" t="str">
        <f aca="false">IF(OR($F121="",$G121=""),"",$F121*$G121)</f>
        <v/>
      </c>
      <c r="Q121" s="16" t="str">
        <f aca="false">IF($D121="","",IF($J121&lt;&gt;"",$J121,$C$9))</f>
        <v/>
      </c>
      <c r="R121" s="12" t="str">
        <f aca="false">IF($D121="","",IFERROR(IF(INDEX(Profile!$G$5:$G$304,MATCH($D121,lst_Profil,0))&lt;&gt;"",INDEX(Profile!$G$5:$G$304,MATCH($D121,lst_Profil,0)),$H$4),$H$4))</f>
        <v/>
      </c>
      <c r="S121" s="12" t="str">
        <f aca="false">IF($D121="","",IFERROR(IF(INDEX(Profile!$H$5:$H$304,MATCH($D121,lst_Profil,0))&lt;&gt;"",INDEX(Profile!$H$5:$H$304,MATCH($D121,lst_Profil,0)),$H$5),$H$5))</f>
        <v/>
      </c>
      <c r="T121" s="16" t="str">
        <f aca="false">IF(OR(Q121="",NOT(ISNUMBER(R121)),NOT(ISNUMBER(S121))),"",Q121-R121-S121)</f>
        <v/>
      </c>
      <c r="U121" s="26" t="str">
        <f aca="false">IF(OR($D121="",$E121=""),"",IF(COUNTIFS(Preise!$A$5:$A$304,$D121,Preise!$B$5:$B$304,$E121,Preise!$I$5:$I$304,"OK")&gt;0,"ja","nein"))</f>
        <v/>
      </c>
      <c r="V121" s="15" t="str">
        <f aca="false">IF(OR(M121="",$E121="",$C$8=""),"",IF(_xlfn.MINIFS(Schneiddaten!$C$5:$C$304,Schneiddaten!$A$5:$A$304,$C$8,Schneiddaten!$B$5:$B$304,$E121,Schneiddaten!$C$5:$C$304,"&gt;="&amp;M121)=0,"",SUMIFS(Schneiddaten!$D$5:$D$304,Schneiddaten!$A$5:$A$304,$C$8,Schneiddaten!$B$5:$B$304,$E121,Schneiddaten!$C$5:$C$304,_xlfn.MINIFS(Schneiddaten!$C$5:$C$304,Schneiddaten!$A$5:$A$304,$C$8,Schneiddaten!$B$5:$B$304,$E121,Schneiddaten!$C$5:$C$304,"&gt;="&amp;M121))))</f>
        <v/>
      </c>
      <c r="W121" s="26" t="str">
        <f aca="false">IF(AND($D121="",$E121="",$F121="",$G121=""),"",IF(ISNA(MATCH($D121,lst_Profil,0)),"FEHLER: Profil unbekannt",IF(ISNA(MATCH($E121,lst_Werkstoff,0)),"FEHLER: Werkstoff unbekannt",IF(NOT(ISNUMBER(L121)),"FEHLER: Querschnitt fehlt (Profil)",IF(OR($F121="",$F121&lt;=0),"FEHLER: Teilelänge fehlt",IF(OR($G121="",$G121&lt;1),"FEHLER: Stückzahl fehlt",IF(NOT(ISNUMBER($H$4)),"FEHLER: Maschine fehlt/unbekannt",IF(Q121&gt;$H$7,"FEHLER: Stange länger als Maschine zulässt",IF($F121+$H$6&gt;T121,"FEHLER: Teil länger als Nutzlänge",IF(U121="nein","WARNUNG: kein gültiger Materialpreis",IF($H121="","HINWEIS: Schneidweg fehlt",IF(V121="","HINWEIS: keine Schneiddaten",IF(AND($AF121&lt;&gt;"",$AG121=""),"HINWEIS: Gewinde-Vorschlag prüfen","OK")))))))))))))</f>
        <v/>
      </c>
      <c r="X121" s="18" t="str">
        <f aca="false">IF(OR(O121="",$G121=""),"",O121*$G121)</f>
        <v/>
      </c>
      <c r="Y121" s="10"/>
      <c r="Z121" s="21"/>
      <c r="AA121" s="10"/>
      <c r="AB121" s="21"/>
      <c r="AC121" s="21"/>
      <c r="AD121" s="21"/>
      <c r="AE121" s="10"/>
      <c r="AF121" s="10"/>
      <c r="AG121" s="10"/>
      <c r="AH121" s="22"/>
      <c r="AI121" s="21"/>
      <c r="AJ121" s="22"/>
      <c r="AK121" s="21"/>
      <c r="AL121" s="22"/>
      <c r="AM121" s="21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21"/>
      <c r="G122" s="19"/>
      <c r="H122" s="21"/>
      <c r="I122" s="22"/>
      <c r="J122" s="19"/>
      <c r="K122" s="23" t="str">
        <f aca="false">IF($D122="","",IFERROR(INDEX(Profile!$B$5:$B$304,MATCH($D122,lst_Profil,0)),""))</f>
        <v/>
      </c>
      <c r="L122" s="13" t="str">
        <f aca="false">IF($D122="","",IFERROR(INDEX(Profile!$K$5:$K$304,MATCH($D122,lst_Profil,0))+0,""))</f>
        <v/>
      </c>
      <c r="M122" s="24" t="str">
        <f aca="false">IF($D122="","",IFERROR(INDEX(Profile!$E$5:$E$304,MATCH($D122,lst_Profil,0))+0,""))</f>
        <v/>
      </c>
      <c r="N122" s="25" t="str">
        <f aca="false">IF(OR(L122="",$E122=""),"",IFERROR(L122*INDEX(Werkstoffe!$E$5:$E$304,MATCH($E122,lst_Werkstoff,0))/1000,""))</f>
        <v/>
      </c>
      <c r="O122" s="25" t="str">
        <f aca="false">IF(OR(N122="",$F122=""),"",N122*$F122/1000)</f>
        <v/>
      </c>
      <c r="P122" s="16" t="str">
        <f aca="false">IF(OR($F122="",$G122=""),"",$F122*$G122)</f>
        <v/>
      </c>
      <c r="Q122" s="16" t="str">
        <f aca="false">IF($D122="","",IF($J122&lt;&gt;"",$J122,$C$9))</f>
        <v/>
      </c>
      <c r="R122" s="12" t="str">
        <f aca="false">IF($D122="","",IFERROR(IF(INDEX(Profile!$G$5:$G$304,MATCH($D122,lst_Profil,0))&lt;&gt;"",INDEX(Profile!$G$5:$G$304,MATCH($D122,lst_Profil,0)),$H$4),$H$4))</f>
        <v/>
      </c>
      <c r="S122" s="12" t="str">
        <f aca="false">IF($D122="","",IFERROR(IF(INDEX(Profile!$H$5:$H$304,MATCH($D122,lst_Profil,0))&lt;&gt;"",INDEX(Profile!$H$5:$H$304,MATCH($D122,lst_Profil,0)),$H$5),$H$5))</f>
        <v/>
      </c>
      <c r="T122" s="16" t="str">
        <f aca="false">IF(OR(Q122="",NOT(ISNUMBER(R122)),NOT(ISNUMBER(S122))),"",Q122-R122-S122)</f>
        <v/>
      </c>
      <c r="U122" s="26" t="str">
        <f aca="false">IF(OR($D122="",$E122=""),"",IF(COUNTIFS(Preise!$A$5:$A$304,$D122,Preise!$B$5:$B$304,$E122,Preise!$I$5:$I$304,"OK")&gt;0,"ja","nein"))</f>
        <v/>
      </c>
      <c r="V122" s="15" t="str">
        <f aca="false">IF(OR(M122="",$E122="",$C$8=""),"",IF(_xlfn.MINIFS(Schneiddaten!$C$5:$C$304,Schneiddaten!$A$5:$A$304,$C$8,Schneiddaten!$B$5:$B$304,$E122,Schneiddaten!$C$5:$C$304,"&gt;="&amp;M122)=0,"",SUMIFS(Schneiddaten!$D$5:$D$304,Schneiddaten!$A$5:$A$304,$C$8,Schneiddaten!$B$5:$B$304,$E122,Schneiddaten!$C$5:$C$304,_xlfn.MINIFS(Schneiddaten!$C$5:$C$304,Schneiddaten!$A$5:$A$304,$C$8,Schneiddaten!$B$5:$B$304,$E122,Schneiddaten!$C$5:$C$304,"&gt;="&amp;M122))))</f>
        <v/>
      </c>
      <c r="W122" s="26" t="str">
        <f aca="false">IF(AND($D122="",$E122="",$F122="",$G122=""),"",IF(ISNA(MATCH($D122,lst_Profil,0)),"FEHLER: Profil unbekannt",IF(ISNA(MATCH($E122,lst_Werkstoff,0)),"FEHLER: Werkstoff unbekannt",IF(NOT(ISNUMBER(L122)),"FEHLER: Querschnitt fehlt (Profil)",IF(OR($F122="",$F122&lt;=0),"FEHLER: Teilelänge fehlt",IF(OR($G122="",$G122&lt;1),"FEHLER: Stückzahl fehlt",IF(NOT(ISNUMBER($H$4)),"FEHLER: Maschine fehlt/unbekannt",IF(Q122&gt;$H$7,"FEHLER: Stange länger als Maschine zulässt",IF($F122+$H$6&gt;T122,"FEHLER: Teil länger als Nutzlänge",IF(U122="nein","WARNUNG: kein gültiger Materialpreis",IF($H122="","HINWEIS: Schneidweg fehlt",IF(V122="","HINWEIS: keine Schneiddaten",IF(AND($AF122&lt;&gt;"",$AG122=""),"HINWEIS: Gewinde-Vorschlag prüfen","OK")))))))))))))</f>
        <v/>
      </c>
      <c r="X122" s="18" t="str">
        <f aca="false">IF(OR(O122="",$G122=""),"",O122*$G122)</f>
        <v/>
      </c>
      <c r="Y122" s="10"/>
      <c r="Z122" s="21"/>
      <c r="AA122" s="10"/>
      <c r="AB122" s="21"/>
      <c r="AC122" s="21"/>
      <c r="AD122" s="21"/>
      <c r="AE122" s="10"/>
      <c r="AF122" s="10"/>
      <c r="AG122" s="10"/>
      <c r="AH122" s="22"/>
      <c r="AI122" s="21"/>
      <c r="AJ122" s="22"/>
      <c r="AK122" s="21"/>
      <c r="AL122" s="22"/>
      <c r="AM122" s="21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21"/>
      <c r="G123" s="19"/>
      <c r="H123" s="21"/>
      <c r="I123" s="22"/>
      <c r="J123" s="19"/>
      <c r="K123" s="23" t="str">
        <f aca="false">IF($D123="","",IFERROR(INDEX(Profile!$B$5:$B$304,MATCH($D123,lst_Profil,0)),""))</f>
        <v/>
      </c>
      <c r="L123" s="13" t="str">
        <f aca="false">IF($D123="","",IFERROR(INDEX(Profile!$K$5:$K$304,MATCH($D123,lst_Profil,0))+0,""))</f>
        <v/>
      </c>
      <c r="M123" s="24" t="str">
        <f aca="false">IF($D123="","",IFERROR(INDEX(Profile!$E$5:$E$304,MATCH($D123,lst_Profil,0))+0,""))</f>
        <v/>
      </c>
      <c r="N123" s="25" t="str">
        <f aca="false">IF(OR(L123="",$E123=""),"",IFERROR(L123*INDEX(Werkstoffe!$E$5:$E$304,MATCH($E123,lst_Werkstoff,0))/1000,""))</f>
        <v/>
      </c>
      <c r="O123" s="25" t="str">
        <f aca="false">IF(OR(N123="",$F123=""),"",N123*$F123/1000)</f>
        <v/>
      </c>
      <c r="P123" s="16" t="str">
        <f aca="false">IF(OR($F123="",$G123=""),"",$F123*$G123)</f>
        <v/>
      </c>
      <c r="Q123" s="16" t="str">
        <f aca="false">IF($D123="","",IF($J123&lt;&gt;"",$J123,$C$9))</f>
        <v/>
      </c>
      <c r="R123" s="12" t="str">
        <f aca="false">IF($D123="","",IFERROR(IF(INDEX(Profile!$G$5:$G$304,MATCH($D123,lst_Profil,0))&lt;&gt;"",INDEX(Profile!$G$5:$G$304,MATCH($D123,lst_Profil,0)),$H$4),$H$4))</f>
        <v/>
      </c>
      <c r="S123" s="12" t="str">
        <f aca="false">IF($D123="","",IFERROR(IF(INDEX(Profile!$H$5:$H$304,MATCH($D123,lst_Profil,0))&lt;&gt;"",INDEX(Profile!$H$5:$H$304,MATCH($D123,lst_Profil,0)),$H$5),$H$5))</f>
        <v/>
      </c>
      <c r="T123" s="16" t="str">
        <f aca="false">IF(OR(Q123="",NOT(ISNUMBER(R123)),NOT(ISNUMBER(S123))),"",Q123-R123-S123)</f>
        <v/>
      </c>
      <c r="U123" s="26" t="str">
        <f aca="false">IF(OR($D123="",$E123=""),"",IF(COUNTIFS(Preise!$A$5:$A$304,$D123,Preise!$B$5:$B$304,$E123,Preise!$I$5:$I$304,"OK")&gt;0,"ja","nein"))</f>
        <v/>
      </c>
      <c r="V123" s="15" t="str">
        <f aca="false">IF(OR(M123="",$E123="",$C$8=""),"",IF(_xlfn.MINIFS(Schneiddaten!$C$5:$C$304,Schneiddaten!$A$5:$A$304,$C$8,Schneiddaten!$B$5:$B$304,$E123,Schneiddaten!$C$5:$C$304,"&gt;="&amp;M123)=0,"",SUMIFS(Schneiddaten!$D$5:$D$304,Schneiddaten!$A$5:$A$304,$C$8,Schneiddaten!$B$5:$B$304,$E123,Schneiddaten!$C$5:$C$304,_xlfn.MINIFS(Schneiddaten!$C$5:$C$304,Schneiddaten!$A$5:$A$304,$C$8,Schneiddaten!$B$5:$B$304,$E123,Schneiddaten!$C$5:$C$304,"&gt;="&amp;M123))))</f>
        <v/>
      </c>
      <c r="W123" s="26" t="str">
        <f aca="false">IF(AND($D123="",$E123="",$F123="",$G123=""),"",IF(ISNA(MATCH($D123,lst_Profil,0)),"FEHLER: Profil unbekannt",IF(ISNA(MATCH($E123,lst_Werkstoff,0)),"FEHLER: Werkstoff unbekannt",IF(NOT(ISNUMBER(L123)),"FEHLER: Querschnitt fehlt (Profil)",IF(OR($F123="",$F123&lt;=0),"FEHLER: Teilelänge fehlt",IF(OR($G123="",$G123&lt;1),"FEHLER: Stückzahl fehlt",IF(NOT(ISNUMBER($H$4)),"FEHLER: Maschine fehlt/unbekannt",IF(Q123&gt;$H$7,"FEHLER: Stange länger als Maschine zulässt",IF($F123+$H$6&gt;T123,"FEHLER: Teil länger als Nutzlänge",IF(U123="nein","WARNUNG: kein gültiger Materialpreis",IF($H123="","HINWEIS: Schneidweg fehlt",IF(V123="","HINWEIS: keine Schneiddaten",IF(AND($AF123&lt;&gt;"",$AG123=""),"HINWEIS: Gewinde-Vorschlag prüfen","OK")))))))))))))</f>
        <v/>
      </c>
      <c r="X123" s="18" t="str">
        <f aca="false">IF(OR(O123="",$G123=""),"",O123*$G123)</f>
        <v/>
      </c>
      <c r="Y123" s="10"/>
      <c r="Z123" s="21"/>
      <c r="AA123" s="10"/>
      <c r="AB123" s="21"/>
      <c r="AC123" s="21"/>
      <c r="AD123" s="21"/>
      <c r="AE123" s="10"/>
      <c r="AF123" s="10"/>
      <c r="AG123" s="10"/>
      <c r="AH123" s="22"/>
      <c r="AI123" s="21"/>
      <c r="AJ123" s="22"/>
      <c r="AK123" s="21"/>
      <c r="AL123" s="22"/>
      <c r="AM123" s="21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21"/>
      <c r="G124" s="19"/>
      <c r="H124" s="21"/>
      <c r="I124" s="22"/>
      <c r="J124" s="19"/>
      <c r="K124" s="23" t="str">
        <f aca="false">IF($D124="","",IFERROR(INDEX(Profile!$B$5:$B$304,MATCH($D124,lst_Profil,0)),""))</f>
        <v/>
      </c>
      <c r="L124" s="13" t="str">
        <f aca="false">IF($D124="","",IFERROR(INDEX(Profile!$K$5:$K$304,MATCH($D124,lst_Profil,0))+0,""))</f>
        <v/>
      </c>
      <c r="M124" s="24" t="str">
        <f aca="false">IF($D124="","",IFERROR(INDEX(Profile!$E$5:$E$304,MATCH($D124,lst_Profil,0))+0,""))</f>
        <v/>
      </c>
      <c r="N124" s="25" t="str">
        <f aca="false">IF(OR(L124="",$E124=""),"",IFERROR(L124*INDEX(Werkstoffe!$E$5:$E$304,MATCH($E124,lst_Werkstoff,0))/1000,""))</f>
        <v/>
      </c>
      <c r="O124" s="25" t="str">
        <f aca="false">IF(OR(N124="",$F124=""),"",N124*$F124/1000)</f>
        <v/>
      </c>
      <c r="P124" s="16" t="str">
        <f aca="false">IF(OR($F124="",$G124=""),"",$F124*$G124)</f>
        <v/>
      </c>
      <c r="Q124" s="16" t="str">
        <f aca="false">IF($D124="","",IF($J124&lt;&gt;"",$J124,$C$9))</f>
        <v/>
      </c>
      <c r="R124" s="12" t="str">
        <f aca="false">IF($D124="","",IFERROR(IF(INDEX(Profile!$G$5:$G$304,MATCH($D124,lst_Profil,0))&lt;&gt;"",INDEX(Profile!$G$5:$G$304,MATCH($D124,lst_Profil,0)),$H$4),$H$4))</f>
        <v/>
      </c>
      <c r="S124" s="12" t="str">
        <f aca="false">IF($D124="","",IFERROR(IF(INDEX(Profile!$H$5:$H$304,MATCH($D124,lst_Profil,0))&lt;&gt;"",INDEX(Profile!$H$5:$H$304,MATCH($D124,lst_Profil,0)),$H$5),$H$5))</f>
        <v/>
      </c>
      <c r="T124" s="16" t="str">
        <f aca="false">IF(OR(Q124="",NOT(ISNUMBER(R124)),NOT(ISNUMBER(S124))),"",Q124-R124-S124)</f>
        <v/>
      </c>
      <c r="U124" s="26" t="str">
        <f aca="false">IF(OR($D124="",$E124=""),"",IF(COUNTIFS(Preise!$A$5:$A$304,$D124,Preise!$B$5:$B$304,$E124,Preise!$I$5:$I$304,"OK")&gt;0,"ja","nein"))</f>
        <v/>
      </c>
      <c r="V124" s="15" t="str">
        <f aca="false">IF(OR(M124="",$E124="",$C$8=""),"",IF(_xlfn.MINIFS(Schneiddaten!$C$5:$C$304,Schneiddaten!$A$5:$A$304,$C$8,Schneiddaten!$B$5:$B$304,$E124,Schneiddaten!$C$5:$C$304,"&gt;="&amp;M124)=0,"",SUMIFS(Schneiddaten!$D$5:$D$304,Schneiddaten!$A$5:$A$304,$C$8,Schneiddaten!$B$5:$B$304,$E124,Schneiddaten!$C$5:$C$304,_xlfn.MINIFS(Schneiddaten!$C$5:$C$304,Schneiddaten!$A$5:$A$304,$C$8,Schneiddaten!$B$5:$B$304,$E124,Schneiddaten!$C$5:$C$304,"&gt;="&amp;M124))))</f>
        <v/>
      </c>
      <c r="W124" s="26" t="str">
        <f aca="false">IF(AND($D124="",$E124="",$F124="",$G124=""),"",IF(ISNA(MATCH($D124,lst_Profil,0)),"FEHLER: Profil unbekannt",IF(ISNA(MATCH($E124,lst_Werkstoff,0)),"FEHLER: Werkstoff unbekannt",IF(NOT(ISNUMBER(L124)),"FEHLER: Querschnitt fehlt (Profil)",IF(OR($F124="",$F124&lt;=0),"FEHLER: Teilelänge fehlt",IF(OR($G124="",$G124&lt;1),"FEHLER: Stückzahl fehlt",IF(NOT(ISNUMBER($H$4)),"FEHLER: Maschine fehlt/unbekannt",IF(Q124&gt;$H$7,"FEHLER: Stange länger als Maschine zulässt",IF($F124+$H$6&gt;T124,"FEHLER: Teil länger als Nutzlänge",IF(U124="nein","WARNUNG: kein gültiger Materialpreis",IF($H124="","HINWEIS: Schneidweg fehlt",IF(V124="","HINWEIS: keine Schneiddaten",IF(AND($AF124&lt;&gt;"",$AG124=""),"HINWEIS: Gewinde-Vorschlag prüfen","OK")))))))))))))</f>
        <v/>
      </c>
      <c r="X124" s="18" t="str">
        <f aca="false">IF(OR(O124="",$G124=""),"",O124*$G124)</f>
        <v/>
      </c>
      <c r="Y124" s="10"/>
      <c r="Z124" s="21"/>
      <c r="AA124" s="10"/>
      <c r="AB124" s="21"/>
      <c r="AC124" s="21"/>
      <c r="AD124" s="21"/>
      <c r="AE124" s="10"/>
      <c r="AF124" s="10"/>
      <c r="AG124" s="10"/>
      <c r="AH124" s="22"/>
      <c r="AI124" s="21"/>
      <c r="AJ124" s="22"/>
      <c r="AK124" s="21"/>
      <c r="AL124" s="22"/>
      <c r="AM124" s="21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21"/>
      <c r="G125" s="19"/>
      <c r="H125" s="21"/>
      <c r="I125" s="22"/>
      <c r="J125" s="19"/>
      <c r="K125" s="23" t="str">
        <f aca="false">IF($D125="","",IFERROR(INDEX(Profile!$B$5:$B$304,MATCH($D125,lst_Profil,0)),""))</f>
        <v/>
      </c>
      <c r="L125" s="13" t="str">
        <f aca="false">IF($D125="","",IFERROR(INDEX(Profile!$K$5:$K$304,MATCH($D125,lst_Profil,0))+0,""))</f>
        <v/>
      </c>
      <c r="M125" s="24" t="str">
        <f aca="false">IF($D125="","",IFERROR(INDEX(Profile!$E$5:$E$304,MATCH($D125,lst_Profil,0))+0,""))</f>
        <v/>
      </c>
      <c r="N125" s="25" t="str">
        <f aca="false">IF(OR(L125="",$E125=""),"",IFERROR(L125*INDEX(Werkstoffe!$E$5:$E$304,MATCH($E125,lst_Werkstoff,0))/1000,""))</f>
        <v/>
      </c>
      <c r="O125" s="25" t="str">
        <f aca="false">IF(OR(N125="",$F125=""),"",N125*$F125/1000)</f>
        <v/>
      </c>
      <c r="P125" s="16" t="str">
        <f aca="false">IF(OR($F125="",$G125=""),"",$F125*$G125)</f>
        <v/>
      </c>
      <c r="Q125" s="16" t="str">
        <f aca="false">IF($D125="","",IF($J125&lt;&gt;"",$J125,$C$9))</f>
        <v/>
      </c>
      <c r="R125" s="12" t="str">
        <f aca="false">IF($D125="","",IFERROR(IF(INDEX(Profile!$G$5:$G$304,MATCH($D125,lst_Profil,0))&lt;&gt;"",INDEX(Profile!$G$5:$G$304,MATCH($D125,lst_Profil,0)),$H$4),$H$4))</f>
        <v/>
      </c>
      <c r="S125" s="12" t="str">
        <f aca="false">IF($D125="","",IFERROR(IF(INDEX(Profile!$H$5:$H$304,MATCH($D125,lst_Profil,0))&lt;&gt;"",INDEX(Profile!$H$5:$H$304,MATCH($D125,lst_Profil,0)),$H$5),$H$5))</f>
        <v/>
      </c>
      <c r="T125" s="16" t="str">
        <f aca="false">IF(OR(Q125="",NOT(ISNUMBER(R125)),NOT(ISNUMBER(S125))),"",Q125-R125-S125)</f>
        <v/>
      </c>
      <c r="U125" s="26" t="str">
        <f aca="false">IF(OR($D125="",$E125=""),"",IF(COUNTIFS(Preise!$A$5:$A$304,$D125,Preise!$B$5:$B$304,$E125,Preise!$I$5:$I$304,"OK")&gt;0,"ja","nein"))</f>
        <v/>
      </c>
      <c r="V125" s="15" t="str">
        <f aca="false">IF(OR(M125="",$E125="",$C$8=""),"",IF(_xlfn.MINIFS(Schneiddaten!$C$5:$C$304,Schneiddaten!$A$5:$A$304,$C$8,Schneiddaten!$B$5:$B$304,$E125,Schneiddaten!$C$5:$C$304,"&gt;="&amp;M125)=0,"",SUMIFS(Schneiddaten!$D$5:$D$304,Schneiddaten!$A$5:$A$304,$C$8,Schneiddaten!$B$5:$B$304,$E125,Schneiddaten!$C$5:$C$304,_xlfn.MINIFS(Schneiddaten!$C$5:$C$304,Schneiddaten!$A$5:$A$304,$C$8,Schneiddaten!$B$5:$B$304,$E125,Schneiddaten!$C$5:$C$304,"&gt;="&amp;M125))))</f>
        <v/>
      </c>
      <c r="W125" s="26" t="str">
        <f aca="false">IF(AND($D125="",$E125="",$F125="",$G125=""),"",IF(ISNA(MATCH($D125,lst_Profil,0)),"FEHLER: Profil unbekannt",IF(ISNA(MATCH($E125,lst_Werkstoff,0)),"FEHLER: Werkstoff unbekannt",IF(NOT(ISNUMBER(L125)),"FEHLER: Querschnitt fehlt (Profil)",IF(OR($F125="",$F125&lt;=0),"FEHLER: Teilelänge fehlt",IF(OR($G125="",$G125&lt;1),"FEHLER: Stückzahl fehlt",IF(NOT(ISNUMBER($H$4)),"FEHLER: Maschine fehlt/unbekannt",IF(Q125&gt;$H$7,"FEHLER: Stange länger als Maschine zulässt",IF($F125+$H$6&gt;T125,"FEHLER: Teil länger als Nutzlänge",IF(U125="nein","WARNUNG: kein gültiger Materialpreis",IF($H125="","HINWEIS: Schneidweg fehlt",IF(V125="","HINWEIS: keine Schneiddaten",IF(AND($AF125&lt;&gt;"",$AG125=""),"HINWEIS: Gewinde-Vorschlag prüfen","OK")))))))))))))</f>
        <v/>
      </c>
      <c r="X125" s="18" t="str">
        <f aca="false">IF(OR(O125="",$G125=""),"",O125*$G125)</f>
        <v/>
      </c>
      <c r="Y125" s="10"/>
      <c r="Z125" s="21"/>
      <c r="AA125" s="10"/>
      <c r="AB125" s="21"/>
      <c r="AC125" s="21"/>
      <c r="AD125" s="21"/>
      <c r="AE125" s="10"/>
      <c r="AF125" s="10"/>
      <c r="AG125" s="10"/>
      <c r="AH125" s="22"/>
      <c r="AI125" s="21"/>
      <c r="AJ125" s="22"/>
      <c r="AK125" s="21"/>
      <c r="AL125" s="22"/>
      <c r="AM125" s="21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21"/>
      <c r="G126" s="19"/>
      <c r="H126" s="21"/>
      <c r="I126" s="22"/>
      <c r="J126" s="19"/>
      <c r="K126" s="23" t="str">
        <f aca="false">IF($D126="","",IFERROR(INDEX(Profile!$B$5:$B$304,MATCH($D126,lst_Profil,0)),""))</f>
        <v/>
      </c>
      <c r="L126" s="13" t="str">
        <f aca="false">IF($D126="","",IFERROR(INDEX(Profile!$K$5:$K$304,MATCH($D126,lst_Profil,0))+0,""))</f>
        <v/>
      </c>
      <c r="M126" s="24" t="str">
        <f aca="false">IF($D126="","",IFERROR(INDEX(Profile!$E$5:$E$304,MATCH($D126,lst_Profil,0))+0,""))</f>
        <v/>
      </c>
      <c r="N126" s="25" t="str">
        <f aca="false">IF(OR(L126="",$E126=""),"",IFERROR(L126*INDEX(Werkstoffe!$E$5:$E$304,MATCH($E126,lst_Werkstoff,0))/1000,""))</f>
        <v/>
      </c>
      <c r="O126" s="25" t="str">
        <f aca="false">IF(OR(N126="",$F126=""),"",N126*$F126/1000)</f>
        <v/>
      </c>
      <c r="P126" s="16" t="str">
        <f aca="false">IF(OR($F126="",$G126=""),"",$F126*$G126)</f>
        <v/>
      </c>
      <c r="Q126" s="16" t="str">
        <f aca="false">IF($D126="","",IF($J126&lt;&gt;"",$J126,$C$9))</f>
        <v/>
      </c>
      <c r="R126" s="12" t="str">
        <f aca="false">IF($D126="","",IFERROR(IF(INDEX(Profile!$G$5:$G$304,MATCH($D126,lst_Profil,0))&lt;&gt;"",INDEX(Profile!$G$5:$G$304,MATCH($D126,lst_Profil,0)),$H$4),$H$4))</f>
        <v/>
      </c>
      <c r="S126" s="12" t="str">
        <f aca="false">IF($D126="","",IFERROR(IF(INDEX(Profile!$H$5:$H$304,MATCH($D126,lst_Profil,0))&lt;&gt;"",INDEX(Profile!$H$5:$H$304,MATCH($D126,lst_Profil,0)),$H$5),$H$5))</f>
        <v/>
      </c>
      <c r="T126" s="16" t="str">
        <f aca="false">IF(OR(Q126="",NOT(ISNUMBER(R126)),NOT(ISNUMBER(S126))),"",Q126-R126-S126)</f>
        <v/>
      </c>
      <c r="U126" s="26" t="str">
        <f aca="false">IF(OR($D126="",$E126=""),"",IF(COUNTIFS(Preise!$A$5:$A$304,$D126,Preise!$B$5:$B$304,$E126,Preise!$I$5:$I$304,"OK")&gt;0,"ja","nein"))</f>
        <v/>
      </c>
      <c r="V126" s="15" t="str">
        <f aca="false">IF(OR(M126="",$E126="",$C$8=""),"",IF(_xlfn.MINIFS(Schneiddaten!$C$5:$C$304,Schneiddaten!$A$5:$A$304,$C$8,Schneiddaten!$B$5:$B$304,$E126,Schneiddaten!$C$5:$C$304,"&gt;="&amp;M126)=0,"",SUMIFS(Schneiddaten!$D$5:$D$304,Schneiddaten!$A$5:$A$304,$C$8,Schneiddaten!$B$5:$B$304,$E126,Schneiddaten!$C$5:$C$304,_xlfn.MINIFS(Schneiddaten!$C$5:$C$304,Schneiddaten!$A$5:$A$304,$C$8,Schneiddaten!$B$5:$B$304,$E126,Schneiddaten!$C$5:$C$304,"&gt;="&amp;M126))))</f>
        <v/>
      </c>
      <c r="W126" s="26" t="str">
        <f aca="false">IF(AND($D126="",$E126="",$F126="",$G126=""),"",IF(ISNA(MATCH($D126,lst_Profil,0)),"FEHLER: Profil unbekannt",IF(ISNA(MATCH($E126,lst_Werkstoff,0)),"FEHLER: Werkstoff unbekannt",IF(NOT(ISNUMBER(L126)),"FEHLER: Querschnitt fehlt (Profil)",IF(OR($F126="",$F126&lt;=0),"FEHLER: Teilelänge fehlt",IF(OR($G126="",$G126&lt;1),"FEHLER: Stückzahl fehlt",IF(NOT(ISNUMBER($H$4)),"FEHLER: Maschine fehlt/unbekannt",IF(Q126&gt;$H$7,"FEHLER: Stange länger als Maschine zulässt",IF($F126+$H$6&gt;T126,"FEHLER: Teil länger als Nutzlänge",IF(U126="nein","WARNUNG: kein gültiger Materialpreis",IF($H126="","HINWEIS: Schneidweg fehlt",IF(V126="","HINWEIS: keine Schneiddaten",IF(AND($AF126&lt;&gt;"",$AG126=""),"HINWEIS: Gewinde-Vorschlag prüfen","OK")))))))))))))</f>
        <v/>
      </c>
      <c r="X126" s="18" t="str">
        <f aca="false">IF(OR(O126="",$G126=""),"",O126*$G126)</f>
        <v/>
      </c>
      <c r="Y126" s="10"/>
      <c r="Z126" s="21"/>
      <c r="AA126" s="10"/>
      <c r="AB126" s="21"/>
      <c r="AC126" s="21"/>
      <c r="AD126" s="21"/>
      <c r="AE126" s="10"/>
      <c r="AF126" s="10"/>
      <c r="AG126" s="10"/>
      <c r="AH126" s="22"/>
      <c r="AI126" s="21"/>
      <c r="AJ126" s="22"/>
      <c r="AK126" s="21"/>
      <c r="AL126" s="22"/>
      <c r="AM126" s="21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21"/>
      <c r="G127" s="19"/>
      <c r="H127" s="21"/>
      <c r="I127" s="22"/>
      <c r="J127" s="19"/>
      <c r="K127" s="23" t="str">
        <f aca="false">IF($D127="","",IFERROR(INDEX(Profile!$B$5:$B$304,MATCH($D127,lst_Profil,0)),""))</f>
        <v/>
      </c>
      <c r="L127" s="13" t="str">
        <f aca="false">IF($D127="","",IFERROR(INDEX(Profile!$K$5:$K$304,MATCH($D127,lst_Profil,0))+0,""))</f>
        <v/>
      </c>
      <c r="M127" s="24" t="str">
        <f aca="false">IF($D127="","",IFERROR(INDEX(Profile!$E$5:$E$304,MATCH($D127,lst_Profil,0))+0,""))</f>
        <v/>
      </c>
      <c r="N127" s="25" t="str">
        <f aca="false">IF(OR(L127="",$E127=""),"",IFERROR(L127*INDEX(Werkstoffe!$E$5:$E$304,MATCH($E127,lst_Werkstoff,0))/1000,""))</f>
        <v/>
      </c>
      <c r="O127" s="25" t="str">
        <f aca="false">IF(OR(N127="",$F127=""),"",N127*$F127/1000)</f>
        <v/>
      </c>
      <c r="P127" s="16" t="str">
        <f aca="false">IF(OR($F127="",$G127=""),"",$F127*$G127)</f>
        <v/>
      </c>
      <c r="Q127" s="16" t="str">
        <f aca="false">IF($D127="","",IF($J127&lt;&gt;"",$J127,$C$9))</f>
        <v/>
      </c>
      <c r="R127" s="12" t="str">
        <f aca="false">IF($D127="","",IFERROR(IF(INDEX(Profile!$G$5:$G$304,MATCH($D127,lst_Profil,0))&lt;&gt;"",INDEX(Profile!$G$5:$G$304,MATCH($D127,lst_Profil,0)),$H$4),$H$4))</f>
        <v/>
      </c>
      <c r="S127" s="12" t="str">
        <f aca="false">IF($D127="","",IFERROR(IF(INDEX(Profile!$H$5:$H$304,MATCH($D127,lst_Profil,0))&lt;&gt;"",INDEX(Profile!$H$5:$H$304,MATCH($D127,lst_Profil,0)),$H$5),$H$5))</f>
        <v/>
      </c>
      <c r="T127" s="16" t="str">
        <f aca="false">IF(OR(Q127="",NOT(ISNUMBER(R127)),NOT(ISNUMBER(S127))),"",Q127-R127-S127)</f>
        <v/>
      </c>
      <c r="U127" s="26" t="str">
        <f aca="false">IF(OR($D127="",$E127=""),"",IF(COUNTIFS(Preise!$A$5:$A$304,$D127,Preise!$B$5:$B$304,$E127,Preise!$I$5:$I$304,"OK")&gt;0,"ja","nein"))</f>
        <v/>
      </c>
      <c r="V127" s="15" t="str">
        <f aca="false">IF(OR(M127="",$E127="",$C$8=""),"",IF(_xlfn.MINIFS(Schneiddaten!$C$5:$C$304,Schneiddaten!$A$5:$A$304,$C$8,Schneiddaten!$B$5:$B$304,$E127,Schneiddaten!$C$5:$C$304,"&gt;="&amp;M127)=0,"",SUMIFS(Schneiddaten!$D$5:$D$304,Schneiddaten!$A$5:$A$304,$C$8,Schneiddaten!$B$5:$B$304,$E127,Schneiddaten!$C$5:$C$304,_xlfn.MINIFS(Schneiddaten!$C$5:$C$304,Schneiddaten!$A$5:$A$304,$C$8,Schneiddaten!$B$5:$B$304,$E127,Schneiddaten!$C$5:$C$304,"&gt;="&amp;M127))))</f>
        <v/>
      </c>
      <c r="W127" s="26" t="str">
        <f aca="false">IF(AND($D127="",$E127="",$F127="",$G127=""),"",IF(ISNA(MATCH($D127,lst_Profil,0)),"FEHLER: Profil unbekannt",IF(ISNA(MATCH($E127,lst_Werkstoff,0)),"FEHLER: Werkstoff unbekannt",IF(NOT(ISNUMBER(L127)),"FEHLER: Querschnitt fehlt (Profil)",IF(OR($F127="",$F127&lt;=0),"FEHLER: Teilelänge fehlt",IF(OR($G127="",$G127&lt;1),"FEHLER: Stückzahl fehlt",IF(NOT(ISNUMBER($H$4)),"FEHLER: Maschine fehlt/unbekannt",IF(Q127&gt;$H$7,"FEHLER: Stange länger als Maschine zulässt",IF($F127+$H$6&gt;T127,"FEHLER: Teil länger als Nutzlänge",IF(U127="nein","WARNUNG: kein gültiger Materialpreis",IF($H127="","HINWEIS: Schneidweg fehlt",IF(V127="","HINWEIS: keine Schneiddaten",IF(AND($AF127&lt;&gt;"",$AG127=""),"HINWEIS: Gewinde-Vorschlag prüfen","OK")))))))))))))</f>
        <v/>
      </c>
      <c r="X127" s="18" t="str">
        <f aca="false">IF(OR(O127="",$G127=""),"",O127*$G127)</f>
        <v/>
      </c>
      <c r="Y127" s="10"/>
      <c r="Z127" s="21"/>
      <c r="AA127" s="10"/>
      <c r="AB127" s="21"/>
      <c r="AC127" s="21"/>
      <c r="AD127" s="21"/>
      <c r="AE127" s="10"/>
      <c r="AF127" s="10"/>
      <c r="AG127" s="10"/>
      <c r="AH127" s="22"/>
      <c r="AI127" s="21"/>
      <c r="AJ127" s="22"/>
      <c r="AK127" s="21"/>
      <c r="AL127" s="22"/>
      <c r="AM127" s="21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21"/>
      <c r="G128" s="19"/>
      <c r="H128" s="21"/>
      <c r="I128" s="22"/>
      <c r="J128" s="19"/>
      <c r="K128" s="23" t="str">
        <f aca="false">IF($D128="","",IFERROR(INDEX(Profile!$B$5:$B$304,MATCH($D128,lst_Profil,0)),""))</f>
        <v/>
      </c>
      <c r="L128" s="13" t="str">
        <f aca="false">IF($D128="","",IFERROR(INDEX(Profile!$K$5:$K$304,MATCH($D128,lst_Profil,0))+0,""))</f>
        <v/>
      </c>
      <c r="M128" s="24" t="str">
        <f aca="false">IF($D128="","",IFERROR(INDEX(Profile!$E$5:$E$304,MATCH($D128,lst_Profil,0))+0,""))</f>
        <v/>
      </c>
      <c r="N128" s="25" t="str">
        <f aca="false">IF(OR(L128="",$E128=""),"",IFERROR(L128*INDEX(Werkstoffe!$E$5:$E$304,MATCH($E128,lst_Werkstoff,0))/1000,""))</f>
        <v/>
      </c>
      <c r="O128" s="25" t="str">
        <f aca="false">IF(OR(N128="",$F128=""),"",N128*$F128/1000)</f>
        <v/>
      </c>
      <c r="P128" s="16" t="str">
        <f aca="false">IF(OR($F128="",$G128=""),"",$F128*$G128)</f>
        <v/>
      </c>
      <c r="Q128" s="16" t="str">
        <f aca="false">IF($D128="","",IF($J128&lt;&gt;"",$J128,$C$9))</f>
        <v/>
      </c>
      <c r="R128" s="12" t="str">
        <f aca="false">IF($D128="","",IFERROR(IF(INDEX(Profile!$G$5:$G$304,MATCH($D128,lst_Profil,0))&lt;&gt;"",INDEX(Profile!$G$5:$G$304,MATCH($D128,lst_Profil,0)),$H$4),$H$4))</f>
        <v/>
      </c>
      <c r="S128" s="12" t="str">
        <f aca="false">IF($D128="","",IFERROR(IF(INDEX(Profile!$H$5:$H$304,MATCH($D128,lst_Profil,0))&lt;&gt;"",INDEX(Profile!$H$5:$H$304,MATCH($D128,lst_Profil,0)),$H$5),$H$5))</f>
        <v/>
      </c>
      <c r="T128" s="16" t="str">
        <f aca="false">IF(OR(Q128="",NOT(ISNUMBER(R128)),NOT(ISNUMBER(S128))),"",Q128-R128-S128)</f>
        <v/>
      </c>
      <c r="U128" s="26" t="str">
        <f aca="false">IF(OR($D128="",$E128=""),"",IF(COUNTIFS(Preise!$A$5:$A$304,$D128,Preise!$B$5:$B$304,$E128,Preise!$I$5:$I$304,"OK")&gt;0,"ja","nein"))</f>
        <v/>
      </c>
      <c r="V128" s="15" t="str">
        <f aca="false">IF(OR(M128="",$E128="",$C$8=""),"",IF(_xlfn.MINIFS(Schneiddaten!$C$5:$C$304,Schneiddaten!$A$5:$A$304,$C$8,Schneiddaten!$B$5:$B$304,$E128,Schneiddaten!$C$5:$C$304,"&gt;="&amp;M128)=0,"",SUMIFS(Schneiddaten!$D$5:$D$304,Schneiddaten!$A$5:$A$304,$C$8,Schneiddaten!$B$5:$B$304,$E128,Schneiddaten!$C$5:$C$304,_xlfn.MINIFS(Schneiddaten!$C$5:$C$304,Schneiddaten!$A$5:$A$304,$C$8,Schneiddaten!$B$5:$B$304,$E128,Schneiddaten!$C$5:$C$304,"&gt;="&amp;M128))))</f>
        <v/>
      </c>
      <c r="W128" s="26" t="str">
        <f aca="false">IF(AND($D128="",$E128="",$F128="",$G128=""),"",IF(ISNA(MATCH($D128,lst_Profil,0)),"FEHLER: Profil unbekannt",IF(ISNA(MATCH($E128,lst_Werkstoff,0)),"FEHLER: Werkstoff unbekannt",IF(NOT(ISNUMBER(L128)),"FEHLER: Querschnitt fehlt (Profil)",IF(OR($F128="",$F128&lt;=0),"FEHLER: Teilelänge fehlt",IF(OR($G128="",$G128&lt;1),"FEHLER: Stückzahl fehlt",IF(NOT(ISNUMBER($H$4)),"FEHLER: Maschine fehlt/unbekannt",IF(Q128&gt;$H$7,"FEHLER: Stange länger als Maschine zulässt",IF($F128+$H$6&gt;T128,"FEHLER: Teil länger als Nutzlänge",IF(U128="nein","WARNUNG: kein gültiger Materialpreis",IF($H128="","HINWEIS: Schneidweg fehlt",IF(V128="","HINWEIS: keine Schneiddaten",IF(AND($AF128&lt;&gt;"",$AG128=""),"HINWEIS: Gewinde-Vorschlag prüfen","OK")))))))))))))</f>
        <v/>
      </c>
      <c r="X128" s="18" t="str">
        <f aca="false">IF(OR(O128="",$G128=""),"",O128*$G128)</f>
        <v/>
      </c>
      <c r="Y128" s="10"/>
      <c r="Z128" s="21"/>
      <c r="AA128" s="10"/>
      <c r="AB128" s="21"/>
      <c r="AC128" s="21"/>
      <c r="AD128" s="21"/>
      <c r="AE128" s="10"/>
      <c r="AF128" s="10"/>
      <c r="AG128" s="10"/>
      <c r="AH128" s="22"/>
      <c r="AI128" s="21"/>
      <c r="AJ128" s="22"/>
      <c r="AK128" s="21"/>
      <c r="AL128" s="22"/>
      <c r="AM128" s="21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21"/>
      <c r="G129" s="19"/>
      <c r="H129" s="21"/>
      <c r="I129" s="22"/>
      <c r="J129" s="19"/>
      <c r="K129" s="23" t="str">
        <f aca="false">IF($D129="","",IFERROR(INDEX(Profile!$B$5:$B$304,MATCH($D129,lst_Profil,0)),""))</f>
        <v/>
      </c>
      <c r="L129" s="13" t="str">
        <f aca="false">IF($D129="","",IFERROR(INDEX(Profile!$K$5:$K$304,MATCH($D129,lst_Profil,0))+0,""))</f>
        <v/>
      </c>
      <c r="M129" s="24" t="str">
        <f aca="false">IF($D129="","",IFERROR(INDEX(Profile!$E$5:$E$304,MATCH($D129,lst_Profil,0))+0,""))</f>
        <v/>
      </c>
      <c r="N129" s="25" t="str">
        <f aca="false">IF(OR(L129="",$E129=""),"",IFERROR(L129*INDEX(Werkstoffe!$E$5:$E$304,MATCH($E129,lst_Werkstoff,0))/1000,""))</f>
        <v/>
      </c>
      <c r="O129" s="25" t="str">
        <f aca="false">IF(OR(N129="",$F129=""),"",N129*$F129/1000)</f>
        <v/>
      </c>
      <c r="P129" s="16" t="str">
        <f aca="false">IF(OR($F129="",$G129=""),"",$F129*$G129)</f>
        <v/>
      </c>
      <c r="Q129" s="16" t="str">
        <f aca="false">IF($D129="","",IF($J129&lt;&gt;"",$J129,$C$9))</f>
        <v/>
      </c>
      <c r="R129" s="12" t="str">
        <f aca="false">IF($D129="","",IFERROR(IF(INDEX(Profile!$G$5:$G$304,MATCH($D129,lst_Profil,0))&lt;&gt;"",INDEX(Profile!$G$5:$G$304,MATCH($D129,lst_Profil,0)),$H$4),$H$4))</f>
        <v/>
      </c>
      <c r="S129" s="12" t="str">
        <f aca="false">IF($D129="","",IFERROR(IF(INDEX(Profile!$H$5:$H$304,MATCH($D129,lst_Profil,0))&lt;&gt;"",INDEX(Profile!$H$5:$H$304,MATCH($D129,lst_Profil,0)),$H$5),$H$5))</f>
        <v/>
      </c>
      <c r="T129" s="16" t="str">
        <f aca="false">IF(OR(Q129="",NOT(ISNUMBER(R129)),NOT(ISNUMBER(S129))),"",Q129-R129-S129)</f>
        <v/>
      </c>
      <c r="U129" s="26" t="str">
        <f aca="false">IF(OR($D129="",$E129=""),"",IF(COUNTIFS(Preise!$A$5:$A$304,$D129,Preise!$B$5:$B$304,$E129,Preise!$I$5:$I$304,"OK")&gt;0,"ja","nein"))</f>
        <v/>
      </c>
      <c r="V129" s="15" t="str">
        <f aca="false">IF(OR(M129="",$E129="",$C$8=""),"",IF(_xlfn.MINIFS(Schneiddaten!$C$5:$C$304,Schneiddaten!$A$5:$A$304,$C$8,Schneiddaten!$B$5:$B$304,$E129,Schneiddaten!$C$5:$C$304,"&gt;="&amp;M129)=0,"",SUMIFS(Schneiddaten!$D$5:$D$304,Schneiddaten!$A$5:$A$304,$C$8,Schneiddaten!$B$5:$B$304,$E129,Schneiddaten!$C$5:$C$304,_xlfn.MINIFS(Schneiddaten!$C$5:$C$304,Schneiddaten!$A$5:$A$304,$C$8,Schneiddaten!$B$5:$B$304,$E129,Schneiddaten!$C$5:$C$304,"&gt;="&amp;M129))))</f>
        <v/>
      </c>
      <c r="W129" s="26" t="str">
        <f aca="false">IF(AND($D129="",$E129="",$F129="",$G129=""),"",IF(ISNA(MATCH($D129,lst_Profil,0)),"FEHLER: Profil unbekannt",IF(ISNA(MATCH($E129,lst_Werkstoff,0)),"FEHLER: Werkstoff unbekannt",IF(NOT(ISNUMBER(L129)),"FEHLER: Querschnitt fehlt (Profil)",IF(OR($F129="",$F129&lt;=0),"FEHLER: Teilelänge fehlt",IF(OR($G129="",$G129&lt;1),"FEHLER: Stückzahl fehlt",IF(NOT(ISNUMBER($H$4)),"FEHLER: Maschine fehlt/unbekannt",IF(Q129&gt;$H$7,"FEHLER: Stange länger als Maschine zulässt",IF($F129+$H$6&gt;T129,"FEHLER: Teil länger als Nutzlänge",IF(U129="nein","WARNUNG: kein gültiger Materialpreis",IF($H129="","HINWEIS: Schneidweg fehlt",IF(V129="","HINWEIS: keine Schneiddaten",IF(AND($AF129&lt;&gt;"",$AG129=""),"HINWEIS: Gewinde-Vorschlag prüfen","OK")))))))))))))</f>
        <v/>
      </c>
      <c r="X129" s="18" t="str">
        <f aca="false">IF(OR(O129="",$G129=""),"",O129*$G129)</f>
        <v/>
      </c>
      <c r="Y129" s="10"/>
      <c r="Z129" s="21"/>
      <c r="AA129" s="10"/>
      <c r="AB129" s="21"/>
      <c r="AC129" s="21"/>
      <c r="AD129" s="21"/>
      <c r="AE129" s="10"/>
      <c r="AF129" s="10"/>
      <c r="AG129" s="10"/>
      <c r="AH129" s="22"/>
      <c r="AI129" s="21"/>
      <c r="AJ129" s="22"/>
      <c r="AK129" s="21"/>
      <c r="AL129" s="22"/>
      <c r="AM129" s="21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21"/>
      <c r="G130" s="19"/>
      <c r="H130" s="21"/>
      <c r="I130" s="22"/>
      <c r="J130" s="19"/>
      <c r="K130" s="23" t="str">
        <f aca="false">IF($D130="","",IFERROR(INDEX(Profile!$B$5:$B$304,MATCH($D130,lst_Profil,0)),""))</f>
        <v/>
      </c>
      <c r="L130" s="13" t="str">
        <f aca="false">IF($D130="","",IFERROR(INDEX(Profile!$K$5:$K$304,MATCH($D130,lst_Profil,0))+0,""))</f>
        <v/>
      </c>
      <c r="M130" s="24" t="str">
        <f aca="false">IF($D130="","",IFERROR(INDEX(Profile!$E$5:$E$304,MATCH($D130,lst_Profil,0))+0,""))</f>
        <v/>
      </c>
      <c r="N130" s="25" t="str">
        <f aca="false">IF(OR(L130="",$E130=""),"",IFERROR(L130*INDEX(Werkstoffe!$E$5:$E$304,MATCH($E130,lst_Werkstoff,0))/1000,""))</f>
        <v/>
      </c>
      <c r="O130" s="25" t="str">
        <f aca="false">IF(OR(N130="",$F130=""),"",N130*$F130/1000)</f>
        <v/>
      </c>
      <c r="P130" s="16" t="str">
        <f aca="false">IF(OR($F130="",$G130=""),"",$F130*$G130)</f>
        <v/>
      </c>
      <c r="Q130" s="16" t="str">
        <f aca="false">IF($D130="","",IF($J130&lt;&gt;"",$J130,$C$9))</f>
        <v/>
      </c>
      <c r="R130" s="12" t="str">
        <f aca="false">IF($D130="","",IFERROR(IF(INDEX(Profile!$G$5:$G$304,MATCH($D130,lst_Profil,0))&lt;&gt;"",INDEX(Profile!$G$5:$G$304,MATCH($D130,lst_Profil,0)),$H$4),$H$4))</f>
        <v/>
      </c>
      <c r="S130" s="12" t="str">
        <f aca="false">IF($D130="","",IFERROR(IF(INDEX(Profile!$H$5:$H$304,MATCH($D130,lst_Profil,0))&lt;&gt;"",INDEX(Profile!$H$5:$H$304,MATCH($D130,lst_Profil,0)),$H$5),$H$5))</f>
        <v/>
      </c>
      <c r="T130" s="16" t="str">
        <f aca="false">IF(OR(Q130="",NOT(ISNUMBER(R130)),NOT(ISNUMBER(S130))),"",Q130-R130-S130)</f>
        <v/>
      </c>
      <c r="U130" s="26" t="str">
        <f aca="false">IF(OR($D130="",$E130=""),"",IF(COUNTIFS(Preise!$A$5:$A$304,$D130,Preise!$B$5:$B$304,$E130,Preise!$I$5:$I$304,"OK")&gt;0,"ja","nein"))</f>
        <v/>
      </c>
      <c r="V130" s="15" t="str">
        <f aca="false">IF(OR(M130="",$E130="",$C$8=""),"",IF(_xlfn.MINIFS(Schneiddaten!$C$5:$C$304,Schneiddaten!$A$5:$A$304,$C$8,Schneiddaten!$B$5:$B$304,$E130,Schneiddaten!$C$5:$C$304,"&gt;="&amp;M130)=0,"",SUMIFS(Schneiddaten!$D$5:$D$304,Schneiddaten!$A$5:$A$304,$C$8,Schneiddaten!$B$5:$B$304,$E130,Schneiddaten!$C$5:$C$304,_xlfn.MINIFS(Schneiddaten!$C$5:$C$304,Schneiddaten!$A$5:$A$304,$C$8,Schneiddaten!$B$5:$B$304,$E130,Schneiddaten!$C$5:$C$304,"&gt;="&amp;M130))))</f>
        <v/>
      </c>
      <c r="W130" s="26" t="str">
        <f aca="false">IF(AND($D130="",$E130="",$F130="",$G130=""),"",IF(ISNA(MATCH($D130,lst_Profil,0)),"FEHLER: Profil unbekannt",IF(ISNA(MATCH($E130,lst_Werkstoff,0)),"FEHLER: Werkstoff unbekannt",IF(NOT(ISNUMBER(L130)),"FEHLER: Querschnitt fehlt (Profil)",IF(OR($F130="",$F130&lt;=0),"FEHLER: Teilelänge fehlt",IF(OR($G130="",$G130&lt;1),"FEHLER: Stückzahl fehlt",IF(NOT(ISNUMBER($H$4)),"FEHLER: Maschine fehlt/unbekannt",IF(Q130&gt;$H$7,"FEHLER: Stange länger als Maschine zulässt",IF($F130+$H$6&gt;T130,"FEHLER: Teil länger als Nutzlänge",IF(U130="nein","WARNUNG: kein gültiger Materialpreis",IF($H130="","HINWEIS: Schneidweg fehlt",IF(V130="","HINWEIS: keine Schneiddaten",IF(AND($AF130&lt;&gt;"",$AG130=""),"HINWEIS: Gewinde-Vorschlag prüfen","OK")))))))))))))</f>
        <v/>
      </c>
      <c r="X130" s="18" t="str">
        <f aca="false">IF(OR(O130="",$G130=""),"",O130*$G130)</f>
        <v/>
      </c>
      <c r="Y130" s="10"/>
      <c r="Z130" s="21"/>
      <c r="AA130" s="10"/>
      <c r="AB130" s="21"/>
      <c r="AC130" s="21"/>
      <c r="AD130" s="21"/>
      <c r="AE130" s="10"/>
      <c r="AF130" s="10"/>
      <c r="AG130" s="10"/>
      <c r="AH130" s="22"/>
      <c r="AI130" s="21"/>
      <c r="AJ130" s="22"/>
      <c r="AK130" s="21"/>
      <c r="AL130" s="22"/>
      <c r="AM130" s="21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21"/>
      <c r="G131" s="19"/>
      <c r="H131" s="21"/>
      <c r="I131" s="22"/>
      <c r="J131" s="19"/>
      <c r="K131" s="23" t="str">
        <f aca="false">IF($D131="","",IFERROR(INDEX(Profile!$B$5:$B$304,MATCH($D131,lst_Profil,0)),""))</f>
        <v/>
      </c>
      <c r="L131" s="13" t="str">
        <f aca="false">IF($D131="","",IFERROR(INDEX(Profile!$K$5:$K$304,MATCH($D131,lst_Profil,0))+0,""))</f>
        <v/>
      </c>
      <c r="M131" s="24" t="str">
        <f aca="false">IF($D131="","",IFERROR(INDEX(Profile!$E$5:$E$304,MATCH($D131,lst_Profil,0))+0,""))</f>
        <v/>
      </c>
      <c r="N131" s="25" t="str">
        <f aca="false">IF(OR(L131="",$E131=""),"",IFERROR(L131*INDEX(Werkstoffe!$E$5:$E$304,MATCH($E131,lst_Werkstoff,0))/1000,""))</f>
        <v/>
      </c>
      <c r="O131" s="25" t="str">
        <f aca="false">IF(OR(N131="",$F131=""),"",N131*$F131/1000)</f>
        <v/>
      </c>
      <c r="P131" s="16" t="str">
        <f aca="false">IF(OR($F131="",$G131=""),"",$F131*$G131)</f>
        <v/>
      </c>
      <c r="Q131" s="16" t="str">
        <f aca="false">IF($D131="","",IF($J131&lt;&gt;"",$J131,$C$9))</f>
        <v/>
      </c>
      <c r="R131" s="12" t="str">
        <f aca="false">IF($D131="","",IFERROR(IF(INDEX(Profile!$G$5:$G$304,MATCH($D131,lst_Profil,0))&lt;&gt;"",INDEX(Profile!$G$5:$G$304,MATCH($D131,lst_Profil,0)),$H$4),$H$4))</f>
        <v/>
      </c>
      <c r="S131" s="12" t="str">
        <f aca="false">IF($D131="","",IFERROR(IF(INDEX(Profile!$H$5:$H$304,MATCH($D131,lst_Profil,0))&lt;&gt;"",INDEX(Profile!$H$5:$H$304,MATCH($D131,lst_Profil,0)),$H$5),$H$5))</f>
        <v/>
      </c>
      <c r="T131" s="16" t="str">
        <f aca="false">IF(OR(Q131="",NOT(ISNUMBER(R131)),NOT(ISNUMBER(S131))),"",Q131-R131-S131)</f>
        <v/>
      </c>
      <c r="U131" s="26" t="str">
        <f aca="false">IF(OR($D131="",$E131=""),"",IF(COUNTIFS(Preise!$A$5:$A$304,$D131,Preise!$B$5:$B$304,$E131,Preise!$I$5:$I$304,"OK")&gt;0,"ja","nein"))</f>
        <v/>
      </c>
      <c r="V131" s="15" t="str">
        <f aca="false">IF(OR(M131="",$E131="",$C$8=""),"",IF(_xlfn.MINIFS(Schneiddaten!$C$5:$C$304,Schneiddaten!$A$5:$A$304,$C$8,Schneiddaten!$B$5:$B$304,$E131,Schneiddaten!$C$5:$C$304,"&gt;="&amp;M131)=0,"",SUMIFS(Schneiddaten!$D$5:$D$304,Schneiddaten!$A$5:$A$304,$C$8,Schneiddaten!$B$5:$B$304,$E131,Schneiddaten!$C$5:$C$304,_xlfn.MINIFS(Schneiddaten!$C$5:$C$304,Schneiddaten!$A$5:$A$304,$C$8,Schneiddaten!$B$5:$B$304,$E131,Schneiddaten!$C$5:$C$304,"&gt;="&amp;M131))))</f>
        <v/>
      </c>
      <c r="W131" s="26" t="str">
        <f aca="false">IF(AND($D131="",$E131="",$F131="",$G131=""),"",IF(ISNA(MATCH($D131,lst_Profil,0)),"FEHLER: Profil unbekannt",IF(ISNA(MATCH($E131,lst_Werkstoff,0)),"FEHLER: Werkstoff unbekannt",IF(NOT(ISNUMBER(L131)),"FEHLER: Querschnitt fehlt (Profil)",IF(OR($F131="",$F131&lt;=0),"FEHLER: Teilelänge fehlt",IF(OR($G131="",$G131&lt;1),"FEHLER: Stückzahl fehlt",IF(NOT(ISNUMBER($H$4)),"FEHLER: Maschine fehlt/unbekannt",IF(Q131&gt;$H$7,"FEHLER: Stange länger als Maschine zulässt",IF($F131+$H$6&gt;T131,"FEHLER: Teil länger als Nutzlänge",IF(U131="nein","WARNUNG: kein gültiger Materialpreis",IF($H131="","HINWEIS: Schneidweg fehlt",IF(V131="","HINWEIS: keine Schneiddaten",IF(AND($AF131&lt;&gt;"",$AG131=""),"HINWEIS: Gewinde-Vorschlag prüfen","OK")))))))))))))</f>
        <v/>
      </c>
      <c r="X131" s="18" t="str">
        <f aca="false">IF(OR(O131="",$G131=""),"",O131*$G131)</f>
        <v/>
      </c>
      <c r="Y131" s="10"/>
      <c r="Z131" s="21"/>
      <c r="AA131" s="10"/>
      <c r="AB131" s="21"/>
      <c r="AC131" s="21"/>
      <c r="AD131" s="21"/>
      <c r="AE131" s="10"/>
      <c r="AF131" s="10"/>
      <c r="AG131" s="10"/>
      <c r="AH131" s="22"/>
      <c r="AI131" s="21"/>
      <c r="AJ131" s="22"/>
      <c r="AK131" s="21"/>
      <c r="AL131" s="22"/>
      <c r="AM131" s="21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21"/>
      <c r="G132" s="19"/>
      <c r="H132" s="21"/>
      <c r="I132" s="22"/>
      <c r="J132" s="19"/>
      <c r="K132" s="23" t="str">
        <f aca="false">IF($D132="","",IFERROR(INDEX(Profile!$B$5:$B$304,MATCH($D132,lst_Profil,0)),""))</f>
        <v/>
      </c>
      <c r="L132" s="13" t="str">
        <f aca="false">IF($D132="","",IFERROR(INDEX(Profile!$K$5:$K$304,MATCH($D132,lst_Profil,0))+0,""))</f>
        <v/>
      </c>
      <c r="M132" s="24" t="str">
        <f aca="false">IF($D132="","",IFERROR(INDEX(Profile!$E$5:$E$304,MATCH($D132,lst_Profil,0))+0,""))</f>
        <v/>
      </c>
      <c r="N132" s="25" t="str">
        <f aca="false">IF(OR(L132="",$E132=""),"",IFERROR(L132*INDEX(Werkstoffe!$E$5:$E$304,MATCH($E132,lst_Werkstoff,0))/1000,""))</f>
        <v/>
      </c>
      <c r="O132" s="25" t="str">
        <f aca="false">IF(OR(N132="",$F132=""),"",N132*$F132/1000)</f>
        <v/>
      </c>
      <c r="P132" s="16" t="str">
        <f aca="false">IF(OR($F132="",$G132=""),"",$F132*$G132)</f>
        <v/>
      </c>
      <c r="Q132" s="16" t="str">
        <f aca="false">IF($D132="","",IF($J132&lt;&gt;"",$J132,$C$9))</f>
        <v/>
      </c>
      <c r="R132" s="12" t="str">
        <f aca="false">IF($D132="","",IFERROR(IF(INDEX(Profile!$G$5:$G$304,MATCH($D132,lst_Profil,0))&lt;&gt;"",INDEX(Profile!$G$5:$G$304,MATCH($D132,lst_Profil,0)),$H$4),$H$4))</f>
        <v/>
      </c>
      <c r="S132" s="12" t="str">
        <f aca="false">IF($D132="","",IFERROR(IF(INDEX(Profile!$H$5:$H$304,MATCH($D132,lst_Profil,0))&lt;&gt;"",INDEX(Profile!$H$5:$H$304,MATCH($D132,lst_Profil,0)),$H$5),$H$5))</f>
        <v/>
      </c>
      <c r="T132" s="16" t="str">
        <f aca="false">IF(OR(Q132="",NOT(ISNUMBER(R132)),NOT(ISNUMBER(S132))),"",Q132-R132-S132)</f>
        <v/>
      </c>
      <c r="U132" s="26" t="str">
        <f aca="false">IF(OR($D132="",$E132=""),"",IF(COUNTIFS(Preise!$A$5:$A$304,$D132,Preise!$B$5:$B$304,$E132,Preise!$I$5:$I$304,"OK")&gt;0,"ja","nein"))</f>
        <v/>
      </c>
      <c r="V132" s="15" t="str">
        <f aca="false">IF(OR(M132="",$E132="",$C$8=""),"",IF(_xlfn.MINIFS(Schneiddaten!$C$5:$C$304,Schneiddaten!$A$5:$A$304,$C$8,Schneiddaten!$B$5:$B$304,$E132,Schneiddaten!$C$5:$C$304,"&gt;="&amp;M132)=0,"",SUMIFS(Schneiddaten!$D$5:$D$304,Schneiddaten!$A$5:$A$304,$C$8,Schneiddaten!$B$5:$B$304,$E132,Schneiddaten!$C$5:$C$304,_xlfn.MINIFS(Schneiddaten!$C$5:$C$304,Schneiddaten!$A$5:$A$304,$C$8,Schneiddaten!$B$5:$B$304,$E132,Schneiddaten!$C$5:$C$304,"&gt;="&amp;M132))))</f>
        <v/>
      </c>
      <c r="W132" s="26" t="str">
        <f aca="false">IF(AND($D132="",$E132="",$F132="",$G132=""),"",IF(ISNA(MATCH($D132,lst_Profil,0)),"FEHLER: Profil unbekannt",IF(ISNA(MATCH($E132,lst_Werkstoff,0)),"FEHLER: Werkstoff unbekannt",IF(NOT(ISNUMBER(L132)),"FEHLER: Querschnitt fehlt (Profil)",IF(OR($F132="",$F132&lt;=0),"FEHLER: Teilelänge fehlt",IF(OR($G132="",$G132&lt;1),"FEHLER: Stückzahl fehlt",IF(NOT(ISNUMBER($H$4)),"FEHLER: Maschine fehlt/unbekannt",IF(Q132&gt;$H$7,"FEHLER: Stange länger als Maschine zulässt",IF($F132+$H$6&gt;T132,"FEHLER: Teil länger als Nutzlänge",IF(U132="nein","WARNUNG: kein gültiger Materialpreis",IF($H132="","HINWEIS: Schneidweg fehlt",IF(V132="","HINWEIS: keine Schneiddaten",IF(AND($AF132&lt;&gt;"",$AG132=""),"HINWEIS: Gewinde-Vorschlag prüfen","OK")))))))))))))</f>
        <v/>
      </c>
      <c r="X132" s="18" t="str">
        <f aca="false">IF(OR(O132="",$G132=""),"",O132*$G132)</f>
        <v/>
      </c>
      <c r="Y132" s="10"/>
      <c r="Z132" s="21"/>
      <c r="AA132" s="10"/>
      <c r="AB132" s="21"/>
      <c r="AC132" s="21"/>
      <c r="AD132" s="21"/>
      <c r="AE132" s="10"/>
      <c r="AF132" s="10"/>
      <c r="AG132" s="10"/>
      <c r="AH132" s="22"/>
      <c r="AI132" s="21"/>
      <c r="AJ132" s="22"/>
      <c r="AK132" s="21"/>
      <c r="AL132" s="22"/>
      <c r="AM132" s="21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21"/>
      <c r="G133" s="19"/>
      <c r="H133" s="21"/>
      <c r="I133" s="22"/>
      <c r="J133" s="19"/>
      <c r="K133" s="23" t="str">
        <f aca="false">IF($D133="","",IFERROR(INDEX(Profile!$B$5:$B$304,MATCH($D133,lst_Profil,0)),""))</f>
        <v/>
      </c>
      <c r="L133" s="13" t="str">
        <f aca="false">IF($D133="","",IFERROR(INDEX(Profile!$K$5:$K$304,MATCH($D133,lst_Profil,0))+0,""))</f>
        <v/>
      </c>
      <c r="M133" s="24" t="str">
        <f aca="false">IF($D133="","",IFERROR(INDEX(Profile!$E$5:$E$304,MATCH($D133,lst_Profil,0))+0,""))</f>
        <v/>
      </c>
      <c r="N133" s="25" t="str">
        <f aca="false">IF(OR(L133="",$E133=""),"",IFERROR(L133*INDEX(Werkstoffe!$E$5:$E$304,MATCH($E133,lst_Werkstoff,0))/1000,""))</f>
        <v/>
      </c>
      <c r="O133" s="25" t="str">
        <f aca="false">IF(OR(N133="",$F133=""),"",N133*$F133/1000)</f>
        <v/>
      </c>
      <c r="P133" s="16" t="str">
        <f aca="false">IF(OR($F133="",$G133=""),"",$F133*$G133)</f>
        <v/>
      </c>
      <c r="Q133" s="16" t="str">
        <f aca="false">IF($D133="","",IF($J133&lt;&gt;"",$J133,$C$9))</f>
        <v/>
      </c>
      <c r="R133" s="12" t="str">
        <f aca="false">IF($D133="","",IFERROR(IF(INDEX(Profile!$G$5:$G$304,MATCH($D133,lst_Profil,0))&lt;&gt;"",INDEX(Profile!$G$5:$G$304,MATCH($D133,lst_Profil,0)),$H$4),$H$4))</f>
        <v/>
      </c>
      <c r="S133" s="12" t="str">
        <f aca="false">IF($D133="","",IFERROR(IF(INDEX(Profile!$H$5:$H$304,MATCH($D133,lst_Profil,0))&lt;&gt;"",INDEX(Profile!$H$5:$H$304,MATCH($D133,lst_Profil,0)),$H$5),$H$5))</f>
        <v/>
      </c>
      <c r="T133" s="16" t="str">
        <f aca="false">IF(OR(Q133="",NOT(ISNUMBER(R133)),NOT(ISNUMBER(S133))),"",Q133-R133-S133)</f>
        <v/>
      </c>
      <c r="U133" s="26" t="str">
        <f aca="false">IF(OR($D133="",$E133=""),"",IF(COUNTIFS(Preise!$A$5:$A$304,$D133,Preise!$B$5:$B$304,$E133,Preise!$I$5:$I$304,"OK")&gt;0,"ja","nein"))</f>
        <v/>
      </c>
      <c r="V133" s="15" t="str">
        <f aca="false">IF(OR(M133="",$E133="",$C$8=""),"",IF(_xlfn.MINIFS(Schneiddaten!$C$5:$C$304,Schneiddaten!$A$5:$A$304,$C$8,Schneiddaten!$B$5:$B$304,$E133,Schneiddaten!$C$5:$C$304,"&gt;="&amp;M133)=0,"",SUMIFS(Schneiddaten!$D$5:$D$304,Schneiddaten!$A$5:$A$304,$C$8,Schneiddaten!$B$5:$B$304,$E133,Schneiddaten!$C$5:$C$304,_xlfn.MINIFS(Schneiddaten!$C$5:$C$304,Schneiddaten!$A$5:$A$304,$C$8,Schneiddaten!$B$5:$B$304,$E133,Schneiddaten!$C$5:$C$304,"&gt;="&amp;M133))))</f>
        <v/>
      </c>
      <c r="W133" s="26" t="str">
        <f aca="false">IF(AND($D133="",$E133="",$F133="",$G133=""),"",IF(ISNA(MATCH($D133,lst_Profil,0)),"FEHLER: Profil unbekannt",IF(ISNA(MATCH($E133,lst_Werkstoff,0)),"FEHLER: Werkstoff unbekannt",IF(NOT(ISNUMBER(L133)),"FEHLER: Querschnitt fehlt (Profil)",IF(OR($F133="",$F133&lt;=0),"FEHLER: Teilelänge fehlt",IF(OR($G133="",$G133&lt;1),"FEHLER: Stückzahl fehlt",IF(NOT(ISNUMBER($H$4)),"FEHLER: Maschine fehlt/unbekannt",IF(Q133&gt;$H$7,"FEHLER: Stange länger als Maschine zulässt",IF($F133+$H$6&gt;T133,"FEHLER: Teil länger als Nutzlänge",IF(U133="nein","WARNUNG: kein gültiger Materialpreis",IF($H133="","HINWEIS: Schneidweg fehlt",IF(V133="","HINWEIS: keine Schneiddaten",IF(AND($AF133&lt;&gt;"",$AG133=""),"HINWEIS: Gewinde-Vorschlag prüfen","OK")))))))))))))</f>
        <v/>
      </c>
      <c r="X133" s="18" t="str">
        <f aca="false">IF(OR(O133="",$G133=""),"",O133*$G133)</f>
        <v/>
      </c>
      <c r="Y133" s="10"/>
      <c r="Z133" s="21"/>
      <c r="AA133" s="10"/>
      <c r="AB133" s="21"/>
      <c r="AC133" s="21"/>
      <c r="AD133" s="21"/>
      <c r="AE133" s="10"/>
      <c r="AF133" s="10"/>
      <c r="AG133" s="10"/>
      <c r="AH133" s="22"/>
      <c r="AI133" s="21"/>
      <c r="AJ133" s="22"/>
      <c r="AK133" s="21"/>
      <c r="AL133" s="22"/>
      <c r="AM133" s="21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21"/>
      <c r="G134" s="19"/>
      <c r="H134" s="21"/>
      <c r="I134" s="22"/>
      <c r="J134" s="19"/>
      <c r="K134" s="23" t="str">
        <f aca="false">IF($D134="","",IFERROR(INDEX(Profile!$B$5:$B$304,MATCH($D134,lst_Profil,0)),""))</f>
        <v/>
      </c>
      <c r="L134" s="13" t="str">
        <f aca="false">IF($D134="","",IFERROR(INDEX(Profile!$K$5:$K$304,MATCH($D134,lst_Profil,0))+0,""))</f>
        <v/>
      </c>
      <c r="M134" s="24" t="str">
        <f aca="false">IF($D134="","",IFERROR(INDEX(Profile!$E$5:$E$304,MATCH($D134,lst_Profil,0))+0,""))</f>
        <v/>
      </c>
      <c r="N134" s="25" t="str">
        <f aca="false">IF(OR(L134="",$E134=""),"",IFERROR(L134*INDEX(Werkstoffe!$E$5:$E$304,MATCH($E134,lst_Werkstoff,0))/1000,""))</f>
        <v/>
      </c>
      <c r="O134" s="25" t="str">
        <f aca="false">IF(OR(N134="",$F134=""),"",N134*$F134/1000)</f>
        <v/>
      </c>
      <c r="P134" s="16" t="str">
        <f aca="false">IF(OR($F134="",$G134=""),"",$F134*$G134)</f>
        <v/>
      </c>
      <c r="Q134" s="16" t="str">
        <f aca="false">IF($D134="","",IF($J134&lt;&gt;"",$J134,$C$9))</f>
        <v/>
      </c>
      <c r="R134" s="12" t="str">
        <f aca="false">IF($D134="","",IFERROR(IF(INDEX(Profile!$G$5:$G$304,MATCH($D134,lst_Profil,0))&lt;&gt;"",INDEX(Profile!$G$5:$G$304,MATCH($D134,lst_Profil,0)),$H$4),$H$4))</f>
        <v/>
      </c>
      <c r="S134" s="12" t="str">
        <f aca="false">IF($D134="","",IFERROR(IF(INDEX(Profile!$H$5:$H$304,MATCH($D134,lst_Profil,0))&lt;&gt;"",INDEX(Profile!$H$5:$H$304,MATCH($D134,lst_Profil,0)),$H$5),$H$5))</f>
        <v/>
      </c>
      <c r="T134" s="16" t="str">
        <f aca="false">IF(OR(Q134="",NOT(ISNUMBER(R134)),NOT(ISNUMBER(S134))),"",Q134-R134-S134)</f>
        <v/>
      </c>
      <c r="U134" s="26" t="str">
        <f aca="false">IF(OR($D134="",$E134=""),"",IF(COUNTIFS(Preise!$A$5:$A$304,$D134,Preise!$B$5:$B$304,$E134,Preise!$I$5:$I$304,"OK")&gt;0,"ja","nein"))</f>
        <v/>
      </c>
      <c r="V134" s="15" t="str">
        <f aca="false">IF(OR(M134="",$E134="",$C$8=""),"",IF(_xlfn.MINIFS(Schneiddaten!$C$5:$C$304,Schneiddaten!$A$5:$A$304,$C$8,Schneiddaten!$B$5:$B$304,$E134,Schneiddaten!$C$5:$C$304,"&gt;="&amp;M134)=0,"",SUMIFS(Schneiddaten!$D$5:$D$304,Schneiddaten!$A$5:$A$304,$C$8,Schneiddaten!$B$5:$B$304,$E134,Schneiddaten!$C$5:$C$304,_xlfn.MINIFS(Schneiddaten!$C$5:$C$304,Schneiddaten!$A$5:$A$304,$C$8,Schneiddaten!$B$5:$B$304,$E134,Schneiddaten!$C$5:$C$304,"&gt;="&amp;M134))))</f>
        <v/>
      </c>
      <c r="W134" s="26" t="str">
        <f aca="false">IF(AND($D134="",$E134="",$F134="",$G134=""),"",IF(ISNA(MATCH($D134,lst_Profil,0)),"FEHLER: Profil unbekannt",IF(ISNA(MATCH($E134,lst_Werkstoff,0)),"FEHLER: Werkstoff unbekannt",IF(NOT(ISNUMBER(L134)),"FEHLER: Querschnitt fehlt (Profil)",IF(OR($F134="",$F134&lt;=0),"FEHLER: Teilelänge fehlt",IF(OR($G134="",$G134&lt;1),"FEHLER: Stückzahl fehlt",IF(NOT(ISNUMBER($H$4)),"FEHLER: Maschine fehlt/unbekannt",IF(Q134&gt;$H$7,"FEHLER: Stange länger als Maschine zulässt",IF($F134+$H$6&gt;T134,"FEHLER: Teil länger als Nutzlänge",IF(U134="nein","WARNUNG: kein gültiger Materialpreis",IF($H134="","HINWEIS: Schneidweg fehlt",IF(V134="","HINWEIS: keine Schneiddaten",IF(AND($AF134&lt;&gt;"",$AG134=""),"HINWEIS: Gewinde-Vorschlag prüfen","OK")))))))))))))</f>
        <v/>
      </c>
      <c r="X134" s="18" t="str">
        <f aca="false">IF(OR(O134="",$G134=""),"",O134*$G134)</f>
        <v/>
      </c>
      <c r="Y134" s="10"/>
      <c r="Z134" s="21"/>
      <c r="AA134" s="10"/>
      <c r="AB134" s="21"/>
      <c r="AC134" s="21"/>
      <c r="AD134" s="21"/>
      <c r="AE134" s="10"/>
      <c r="AF134" s="10"/>
      <c r="AG134" s="10"/>
      <c r="AH134" s="22"/>
      <c r="AI134" s="21"/>
      <c r="AJ134" s="22"/>
      <c r="AK134" s="21"/>
      <c r="AL134" s="22"/>
      <c r="AM134" s="21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21"/>
      <c r="G135" s="19"/>
      <c r="H135" s="21"/>
      <c r="I135" s="22"/>
      <c r="J135" s="19"/>
      <c r="K135" s="23" t="str">
        <f aca="false">IF($D135="","",IFERROR(INDEX(Profile!$B$5:$B$304,MATCH($D135,lst_Profil,0)),""))</f>
        <v/>
      </c>
      <c r="L135" s="13" t="str">
        <f aca="false">IF($D135="","",IFERROR(INDEX(Profile!$K$5:$K$304,MATCH($D135,lst_Profil,0))+0,""))</f>
        <v/>
      </c>
      <c r="M135" s="24" t="str">
        <f aca="false">IF($D135="","",IFERROR(INDEX(Profile!$E$5:$E$304,MATCH($D135,lst_Profil,0))+0,""))</f>
        <v/>
      </c>
      <c r="N135" s="25" t="str">
        <f aca="false">IF(OR(L135="",$E135=""),"",IFERROR(L135*INDEX(Werkstoffe!$E$5:$E$304,MATCH($E135,lst_Werkstoff,0))/1000,""))</f>
        <v/>
      </c>
      <c r="O135" s="25" t="str">
        <f aca="false">IF(OR(N135="",$F135=""),"",N135*$F135/1000)</f>
        <v/>
      </c>
      <c r="P135" s="16" t="str">
        <f aca="false">IF(OR($F135="",$G135=""),"",$F135*$G135)</f>
        <v/>
      </c>
      <c r="Q135" s="16" t="str">
        <f aca="false">IF($D135="","",IF($J135&lt;&gt;"",$J135,$C$9))</f>
        <v/>
      </c>
      <c r="R135" s="12" t="str">
        <f aca="false">IF($D135="","",IFERROR(IF(INDEX(Profile!$G$5:$G$304,MATCH($D135,lst_Profil,0))&lt;&gt;"",INDEX(Profile!$G$5:$G$304,MATCH($D135,lst_Profil,0)),$H$4),$H$4))</f>
        <v/>
      </c>
      <c r="S135" s="12" t="str">
        <f aca="false">IF($D135="","",IFERROR(IF(INDEX(Profile!$H$5:$H$304,MATCH($D135,lst_Profil,0))&lt;&gt;"",INDEX(Profile!$H$5:$H$304,MATCH($D135,lst_Profil,0)),$H$5),$H$5))</f>
        <v/>
      </c>
      <c r="T135" s="16" t="str">
        <f aca="false">IF(OR(Q135="",NOT(ISNUMBER(R135)),NOT(ISNUMBER(S135))),"",Q135-R135-S135)</f>
        <v/>
      </c>
      <c r="U135" s="26" t="str">
        <f aca="false">IF(OR($D135="",$E135=""),"",IF(COUNTIFS(Preise!$A$5:$A$304,$D135,Preise!$B$5:$B$304,$E135,Preise!$I$5:$I$304,"OK")&gt;0,"ja","nein"))</f>
        <v/>
      </c>
      <c r="V135" s="15" t="str">
        <f aca="false">IF(OR(M135="",$E135="",$C$8=""),"",IF(_xlfn.MINIFS(Schneiddaten!$C$5:$C$304,Schneiddaten!$A$5:$A$304,$C$8,Schneiddaten!$B$5:$B$304,$E135,Schneiddaten!$C$5:$C$304,"&gt;="&amp;M135)=0,"",SUMIFS(Schneiddaten!$D$5:$D$304,Schneiddaten!$A$5:$A$304,$C$8,Schneiddaten!$B$5:$B$304,$E135,Schneiddaten!$C$5:$C$304,_xlfn.MINIFS(Schneiddaten!$C$5:$C$304,Schneiddaten!$A$5:$A$304,$C$8,Schneiddaten!$B$5:$B$304,$E135,Schneiddaten!$C$5:$C$304,"&gt;="&amp;M135))))</f>
        <v/>
      </c>
      <c r="W135" s="26" t="str">
        <f aca="false">IF(AND($D135="",$E135="",$F135="",$G135=""),"",IF(ISNA(MATCH($D135,lst_Profil,0)),"FEHLER: Profil unbekannt",IF(ISNA(MATCH($E135,lst_Werkstoff,0)),"FEHLER: Werkstoff unbekannt",IF(NOT(ISNUMBER(L135)),"FEHLER: Querschnitt fehlt (Profil)",IF(OR($F135="",$F135&lt;=0),"FEHLER: Teilelänge fehlt",IF(OR($G135="",$G135&lt;1),"FEHLER: Stückzahl fehlt",IF(NOT(ISNUMBER($H$4)),"FEHLER: Maschine fehlt/unbekannt",IF(Q135&gt;$H$7,"FEHLER: Stange länger als Maschine zulässt",IF($F135+$H$6&gt;T135,"FEHLER: Teil länger als Nutzlänge",IF(U135="nein","WARNUNG: kein gültiger Materialpreis",IF($H135="","HINWEIS: Schneidweg fehlt",IF(V135="","HINWEIS: keine Schneiddaten",IF(AND($AF135&lt;&gt;"",$AG135=""),"HINWEIS: Gewinde-Vorschlag prüfen","OK")))))))))))))</f>
        <v/>
      </c>
      <c r="X135" s="18" t="str">
        <f aca="false">IF(OR(O135="",$G135=""),"",O135*$G135)</f>
        <v/>
      </c>
      <c r="Y135" s="10"/>
      <c r="Z135" s="21"/>
      <c r="AA135" s="10"/>
      <c r="AB135" s="21"/>
      <c r="AC135" s="21"/>
      <c r="AD135" s="21"/>
      <c r="AE135" s="10"/>
      <c r="AF135" s="10"/>
      <c r="AG135" s="10"/>
      <c r="AH135" s="22"/>
      <c r="AI135" s="21"/>
      <c r="AJ135" s="22"/>
      <c r="AK135" s="21"/>
      <c r="AL135" s="22"/>
      <c r="AM135" s="21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21"/>
      <c r="G136" s="19"/>
      <c r="H136" s="21"/>
      <c r="I136" s="22"/>
      <c r="J136" s="19"/>
      <c r="K136" s="23" t="str">
        <f aca="false">IF($D136="","",IFERROR(INDEX(Profile!$B$5:$B$304,MATCH($D136,lst_Profil,0)),""))</f>
        <v/>
      </c>
      <c r="L136" s="13" t="str">
        <f aca="false">IF($D136="","",IFERROR(INDEX(Profile!$K$5:$K$304,MATCH($D136,lst_Profil,0))+0,""))</f>
        <v/>
      </c>
      <c r="M136" s="24" t="str">
        <f aca="false">IF($D136="","",IFERROR(INDEX(Profile!$E$5:$E$304,MATCH($D136,lst_Profil,0))+0,""))</f>
        <v/>
      </c>
      <c r="N136" s="25" t="str">
        <f aca="false">IF(OR(L136="",$E136=""),"",IFERROR(L136*INDEX(Werkstoffe!$E$5:$E$304,MATCH($E136,lst_Werkstoff,0))/1000,""))</f>
        <v/>
      </c>
      <c r="O136" s="25" t="str">
        <f aca="false">IF(OR(N136="",$F136=""),"",N136*$F136/1000)</f>
        <v/>
      </c>
      <c r="P136" s="16" t="str">
        <f aca="false">IF(OR($F136="",$G136=""),"",$F136*$G136)</f>
        <v/>
      </c>
      <c r="Q136" s="16" t="str">
        <f aca="false">IF($D136="","",IF($J136&lt;&gt;"",$J136,$C$9))</f>
        <v/>
      </c>
      <c r="R136" s="12" t="str">
        <f aca="false">IF($D136="","",IFERROR(IF(INDEX(Profile!$G$5:$G$304,MATCH($D136,lst_Profil,0))&lt;&gt;"",INDEX(Profile!$G$5:$G$304,MATCH($D136,lst_Profil,0)),$H$4),$H$4))</f>
        <v/>
      </c>
      <c r="S136" s="12" t="str">
        <f aca="false">IF($D136="","",IFERROR(IF(INDEX(Profile!$H$5:$H$304,MATCH($D136,lst_Profil,0))&lt;&gt;"",INDEX(Profile!$H$5:$H$304,MATCH($D136,lst_Profil,0)),$H$5),$H$5))</f>
        <v/>
      </c>
      <c r="T136" s="16" t="str">
        <f aca="false">IF(OR(Q136="",NOT(ISNUMBER(R136)),NOT(ISNUMBER(S136))),"",Q136-R136-S136)</f>
        <v/>
      </c>
      <c r="U136" s="26" t="str">
        <f aca="false">IF(OR($D136="",$E136=""),"",IF(COUNTIFS(Preise!$A$5:$A$304,$D136,Preise!$B$5:$B$304,$E136,Preise!$I$5:$I$304,"OK")&gt;0,"ja","nein"))</f>
        <v/>
      </c>
      <c r="V136" s="15" t="str">
        <f aca="false">IF(OR(M136="",$E136="",$C$8=""),"",IF(_xlfn.MINIFS(Schneiddaten!$C$5:$C$304,Schneiddaten!$A$5:$A$304,$C$8,Schneiddaten!$B$5:$B$304,$E136,Schneiddaten!$C$5:$C$304,"&gt;="&amp;M136)=0,"",SUMIFS(Schneiddaten!$D$5:$D$304,Schneiddaten!$A$5:$A$304,$C$8,Schneiddaten!$B$5:$B$304,$E136,Schneiddaten!$C$5:$C$304,_xlfn.MINIFS(Schneiddaten!$C$5:$C$304,Schneiddaten!$A$5:$A$304,$C$8,Schneiddaten!$B$5:$B$304,$E136,Schneiddaten!$C$5:$C$304,"&gt;="&amp;M136))))</f>
        <v/>
      </c>
      <c r="W136" s="26" t="str">
        <f aca="false">IF(AND($D136="",$E136="",$F136="",$G136=""),"",IF(ISNA(MATCH($D136,lst_Profil,0)),"FEHLER: Profil unbekannt",IF(ISNA(MATCH($E136,lst_Werkstoff,0)),"FEHLER: Werkstoff unbekannt",IF(NOT(ISNUMBER(L136)),"FEHLER: Querschnitt fehlt (Profil)",IF(OR($F136="",$F136&lt;=0),"FEHLER: Teilelänge fehlt",IF(OR($G136="",$G136&lt;1),"FEHLER: Stückzahl fehlt",IF(NOT(ISNUMBER($H$4)),"FEHLER: Maschine fehlt/unbekannt",IF(Q136&gt;$H$7,"FEHLER: Stange länger als Maschine zulässt",IF($F136+$H$6&gt;T136,"FEHLER: Teil länger als Nutzlänge",IF(U136="nein","WARNUNG: kein gültiger Materialpreis",IF($H136="","HINWEIS: Schneidweg fehlt",IF(V136="","HINWEIS: keine Schneiddaten",IF(AND($AF136&lt;&gt;"",$AG136=""),"HINWEIS: Gewinde-Vorschlag prüfen","OK")))))))))))))</f>
        <v/>
      </c>
      <c r="X136" s="18" t="str">
        <f aca="false">IF(OR(O136="",$G136=""),"",O136*$G136)</f>
        <v/>
      </c>
      <c r="Y136" s="10"/>
      <c r="Z136" s="21"/>
      <c r="AA136" s="10"/>
      <c r="AB136" s="21"/>
      <c r="AC136" s="21"/>
      <c r="AD136" s="21"/>
      <c r="AE136" s="10"/>
      <c r="AF136" s="10"/>
      <c r="AG136" s="10"/>
      <c r="AH136" s="22"/>
      <c r="AI136" s="21"/>
      <c r="AJ136" s="22"/>
      <c r="AK136" s="21"/>
      <c r="AL136" s="22"/>
      <c r="AM136" s="21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21"/>
      <c r="G137" s="19"/>
      <c r="H137" s="21"/>
      <c r="I137" s="22"/>
      <c r="J137" s="19"/>
      <c r="K137" s="23" t="str">
        <f aca="false">IF($D137="","",IFERROR(INDEX(Profile!$B$5:$B$304,MATCH($D137,lst_Profil,0)),""))</f>
        <v/>
      </c>
      <c r="L137" s="13" t="str">
        <f aca="false">IF($D137="","",IFERROR(INDEX(Profile!$K$5:$K$304,MATCH($D137,lst_Profil,0))+0,""))</f>
        <v/>
      </c>
      <c r="M137" s="24" t="str">
        <f aca="false">IF($D137="","",IFERROR(INDEX(Profile!$E$5:$E$304,MATCH($D137,lst_Profil,0))+0,""))</f>
        <v/>
      </c>
      <c r="N137" s="25" t="str">
        <f aca="false">IF(OR(L137="",$E137=""),"",IFERROR(L137*INDEX(Werkstoffe!$E$5:$E$304,MATCH($E137,lst_Werkstoff,0))/1000,""))</f>
        <v/>
      </c>
      <c r="O137" s="25" t="str">
        <f aca="false">IF(OR(N137="",$F137=""),"",N137*$F137/1000)</f>
        <v/>
      </c>
      <c r="P137" s="16" t="str">
        <f aca="false">IF(OR($F137="",$G137=""),"",$F137*$G137)</f>
        <v/>
      </c>
      <c r="Q137" s="16" t="str">
        <f aca="false">IF($D137="","",IF($J137&lt;&gt;"",$J137,$C$9))</f>
        <v/>
      </c>
      <c r="R137" s="12" t="str">
        <f aca="false">IF($D137="","",IFERROR(IF(INDEX(Profile!$G$5:$G$304,MATCH($D137,lst_Profil,0))&lt;&gt;"",INDEX(Profile!$G$5:$G$304,MATCH($D137,lst_Profil,0)),$H$4),$H$4))</f>
        <v/>
      </c>
      <c r="S137" s="12" t="str">
        <f aca="false">IF($D137="","",IFERROR(IF(INDEX(Profile!$H$5:$H$304,MATCH($D137,lst_Profil,0))&lt;&gt;"",INDEX(Profile!$H$5:$H$304,MATCH($D137,lst_Profil,0)),$H$5),$H$5))</f>
        <v/>
      </c>
      <c r="T137" s="16" t="str">
        <f aca="false">IF(OR(Q137="",NOT(ISNUMBER(R137)),NOT(ISNUMBER(S137))),"",Q137-R137-S137)</f>
        <v/>
      </c>
      <c r="U137" s="26" t="str">
        <f aca="false">IF(OR($D137="",$E137=""),"",IF(COUNTIFS(Preise!$A$5:$A$304,$D137,Preise!$B$5:$B$304,$E137,Preise!$I$5:$I$304,"OK")&gt;0,"ja","nein"))</f>
        <v/>
      </c>
      <c r="V137" s="15" t="str">
        <f aca="false">IF(OR(M137="",$E137="",$C$8=""),"",IF(_xlfn.MINIFS(Schneiddaten!$C$5:$C$304,Schneiddaten!$A$5:$A$304,$C$8,Schneiddaten!$B$5:$B$304,$E137,Schneiddaten!$C$5:$C$304,"&gt;="&amp;M137)=0,"",SUMIFS(Schneiddaten!$D$5:$D$304,Schneiddaten!$A$5:$A$304,$C$8,Schneiddaten!$B$5:$B$304,$E137,Schneiddaten!$C$5:$C$304,_xlfn.MINIFS(Schneiddaten!$C$5:$C$304,Schneiddaten!$A$5:$A$304,$C$8,Schneiddaten!$B$5:$B$304,$E137,Schneiddaten!$C$5:$C$304,"&gt;="&amp;M137))))</f>
        <v/>
      </c>
      <c r="W137" s="26" t="str">
        <f aca="false">IF(AND($D137="",$E137="",$F137="",$G137=""),"",IF(ISNA(MATCH($D137,lst_Profil,0)),"FEHLER: Profil unbekannt",IF(ISNA(MATCH($E137,lst_Werkstoff,0)),"FEHLER: Werkstoff unbekannt",IF(NOT(ISNUMBER(L137)),"FEHLER: Querschnitt fehlt (Profil)",IF(OR($F137="",$F137&lt;=0),"FEHLER: Teilelänge fehlt",IF(OR($G137="",$G137&lt;1),"FEHLER: Stückzahl fehlt",IF(NOT(ISNUMBER($H$4)),"FEHLER: Maschine fehlt/unbekannt",IF(Q137&gt;$H$7,"FEHLER: Stange länger als Maschine zulässt",IF($F137+$H$6&gt;T137,"FEHLER: Teil länger als Nutzlänge",IF(U137="nein","WARNUNG: kein gültiger Materialpreis",IF($H137="","HINWEIS: Schneidweg fehlt",IF(V137="","HINWEIS: keine Schneiddaten",IF(AND($AF137&lt;&gt;"",$AG137=""),"HINWEIS: Gewinde-Vorschlag prüfen","OK")))))))))))))</f>
        <v/>
      </c>
      <c r="X137" s="18" t="str">
        <f aca="false">IF(OR(O137="",$G137=""),"",O137*$G137)</f>
        <v/>
      </c>
      <c r="Y137" s="10"/>
      <c r="Z137" s="21"/>
      <c r="AA137" s="10"/>
      <c r="AB137" s="21"/>
      <c r="AC137" s="21"/>
      <c r="AD137" s="21"/>
      <c r="AE137" s="10"/>
      <c r="AF137" s="10"/>
      <c r="AG137" s="10"/>
      <c r="AH137" s="22"/>
      <c r="AI137" s="21"/>
      <c r="AJ137" s="22"/>
      <c r="AK137" s="21"/>
      <c r="AL137" s="22"/>
      <c r="AM137" s="21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21"/>
      <c r="G138" s="19"/>
      <c r="H138" s="21"/>
      <c r="I138" s="22"/>
      <c r="J138" s="19"/>
      <c r="K138" s="23" t="str">
        <f aca="false">IF($D138="","",IFERROR(INDEX(Profile!$B$5:$B$304,MATCH($D138,lst_Profil,0)),""))</f>
        <v/>
      </c>
      <c r="L138" s="13" t="str">
        <f aca="false">IF($D138="","",IFERROR(INDEX(Profile!$K$5:$K$304,MATCH($D138,lst_Profil,0))+0,""))</f>
        <v/>
      </c>
      <c r="M138" s="24" t="str">
        <f aca="false">IF($D138="","",IFERROR(INDEX(Profile!$E$5:$E$304,MATCH($D138,lst_Profil,0))+0,""))</f>
        <v/>
      </c>
      <c r="N138" s="25" t="str">
        <f aca="false">IF(OR(L138="",$E138=""),"",IFERROR(L138*INDEX(Werkstoffe!$E$5:$E$304,MATCH($E138,lst_Werkstoff,0))/1000,""))</f>
        <v/>
      </c>
      <c r="O138" s="25" t="str">
        <f aca="false">IF(OR(N138="",$F138=""),"",N138*$F138/1000)</f>
        <v/>
      </c>
      <c r="P138" s="16" t="str">
        <f aca="false">IF(OR($F138="",$G138=""),"",$F138*$G138)</f>
        <v/>
      </c>
      <c r="Q138" s="16" t="str">
        <f aca="false">IF($D138="","",IF($J138&lt;&gt;"",$J138,$C$9))</f>
        <v/>
      </c>
      <c r="R138" s="12" t="str">
        <f aca="false">IF($D138="","",IFERROR(IF(INDEX(Profile!$G$5:$G$304,MATCH($D138,lst_Profil,0))&lt;&gt;"",INDEX(Profile!$G$5:$G$304,MATCH($D138,lst_Profil,0)),$H$4),$H$4))</f>
        <v/>
      </c>
      <c r="S138" s="12" t="str">
        <f aca="false">IF($D138="","",IFERROR(IF(INDEX(Profile!$H$5:$H$304,MATCH($D138,lst_Profil,0))&lt;&gt;"",INDEX(Profile!$H$5:$H$304,MATCH($D138,lst_Profil,0)),$H$5),$H$5))</f>
        <v/>
      </c>
      <c r="T138" s="16" t="str">
        <f aca="false">IF(OR(Q138="",NOT(ISNUMBER(R138)),NOT(ISNUMBER(S138))),"",Q138-R138-S138)</f>
        <v/>
      </c>
      <c r="U138" s="26" t="str">
        <f aca="false">IF(OR($D138="",$E138=""),"",IF(COUNTIFS(Preise!$A$5:$A$304,$D138,Preise!$B$5:$B$304,$E138,Preise!$I$5:$I$304,"OK")&gt;0,"ja","nein"))</f>
        <v/>
      </c>
      <c r="V138" s="15" t="str">
        <f aca="false">IF(OR(M138="",$E138="",$C$8=""),"",IF(_xlfn.MINIFS(Schneiddaten!$C$5:$C$304,Schneiddaten!$A$5:$A$304,$C$8,Schneiddaten!$B$5:$B$304,$E138,Schneiddaten!$C$5:$C$304,"&gt;="&amp;M138)=0,"",SUMIFS(Schneiddaten!$D$5:$D$304,Schneiddaten!$A$5:$A$304,$C$8,Schneiddaten!$B$5:$B$304,$E138,Schneiddaten!$C$5:$C$304,_xlfn.MINIFS(Schneiddaten!$C$5:$C$304,Schneiddaten!$A$5:$A$304,$C$8,Schneiddaten!$B$5:$B$304,$E138,Schneiddaten!$C$5:$C$304,"&gt;="&amp;M138))))</f>
        <v/>
      </c>
      <c r="W138" s="26" t="str">
        <f aca="false">IF(AND($D138="",$E138="",$F138="",$G138=""),"",IF(ISNA(MATCH($D138,lst_Profil,0)),"FEHLER: Profil unbekannt",IF(ISNA(MATCH($E138,lst_Werkstoff,0)),"FEHLER: Werkstoff unbekannt",IF(NOT(ISNUMBER(L138)),"FEHLER: Querschnitt fehlt (Profil)",IF(OR($F138="",$F138&lt;=0),"FEHLER: Teilelänge fehlt",IF(OR($G138="",$G138&lt;1),"FEHLER: Stückzahl fehlt",IF(NOT(ISNUMBER($H$4)),"FEHLER: Maschine fehlt/unbekannt",IF(Q138&gt;$H$7,"FEHLER: Stange länger als Maschine zulässt",IF($F138+$H$6&gt;T138,"FEHLER: Teil länger als Nutzlänge",IF(U138="nein","WARNUNG: kein gültiger Materialpreis",IF($H138="","HINWEIS: Schneidweg fehlt",IF(V138="","HINWEIS: keine Schneiddaten",IF(AND($AF138&lt;&gt;"",$AG138=""),"HINWEIS: Gewinde-Vorschlag prüfen","OK")))))))))))))</f>
        <v/>
      </c>
      <c r="X138" s="18" t="str">
        <f aca="false">IF(OR(O138="",$G138=""),"",O138*$G138)</f>
        <v/>
      </c>
      <c r="Y138" s="10"/>
      <c r="Z138" s="21"/>
      <c r="AA138" s="10"/>
      <c r="AB138" s="21"/>
      <c r="AC138" s="21"/>
      <c r="AD138" s="21"/>
      <c r="AE138" s="10"/>
      <c r="AF138" s="10"/>
      <c r="AG138" s="10"/>
      <c r="AH138" s="22"/>
      <c r="AI138" s="21"/>
      <c r="AJ138" s="22"/>
      <c r="AK138" s="21"/>
      <c r="AL138" s="22"/>
      <c r="AM138" s="21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21"/>
      <c r="G139" s="19"/>
      <c r="H139" s="21"/>
      <c r="I139" s="22"/>
      <c r="J139" s="19"/>
      <c r="K139" s="23" t="str">
        <f aca="false">IF($D139="","",IFERROR(INDEX(Profile!$B$5:$B$304,MATCH($D139,lst_Profil,0)),""))</f>
        <v/>
      </c>
      <c r="L139" s="13" t="str">
        <f aca="false">IF($D139="","",IFERROR(INDEX(Profile!$K$5:$K$304,MATCH($D139,lst_Profil,0))+0,""))</f>
        <v/>
      </c>
      <c r="M139" s="24" t="str">
        <f aca="false">IF($D139="","",IFERROR(INDEX(Profile!$E$5:$E$304,MATCH($D139,lst_Profil,0))+0,""))</f>
        <v/>
      </c>
      <c r="N139" s="25" t="str">
        <f aca="false">IF(OR(L139="",$E139=""),"",IFERROR(L139*INDEX(Werkstoffe!$E$5:$E$304,MATCH($E139,lst_Werkstoff,0))/1000,""))</f>
        <v/>
      </c>
      <c r="O139" s="25" t="str">
        <f aca="false">IF(OR(N139="",$F139=""),"",N139*$F139/1000)</f>
        <v/>
      </c>
      <c r="P139" s="16" t="str">
        <f aca="false">IF(OR($F139="",$G139=""),"",$F139*$G139)</f>
        <v/>
      </c>
      <c r="Q139" s="16" t="str">
        <f aca="false">IF($D139="","",IF($J139&lt;&gt;"",$J139,$C$9))</f>
        <v/>
      </c>
      <c r="R139" s="12" t="str">
        <f aca="false">IF($D139="","",IFERROR(IF(INDEX(Profile!$G$5:$G$304,MATCH($D139,lst_Profil,0))&lt;&gt;"",INDEX(Profile!$G$5:$G$304,MATCH($D139,lst_Profil,0)),$H$4),$H$4))</f>
        <v/>
      </c>
      <c r="S139" s="12" t="str">
        <f aca="false">IF($D139="","",IFERROR(IF(INDEX(Profile!$H$5:$H$304,MATCH($D139,lst_Profil,0))&lt;&gt;"",INDEX(Profile!$H$5:$H$304,MATCH($D139,lst_Profil,0)),$H$5),$H$5))</f>
        <v/>
      </c>
      <c r="T139" s="16" t="str">
        <f aca="false">IF(OR(Q139="",NOT(ISNUMBER(R139)),NOT(ISNUMBER(S139))),"",Q139-R139-S139)</f>
        <v/>
      </c>
      <c r="U139" s="26" t="str">
        <f aca="false">IF(OR($D139="",$E139=""),"",IF(COUNTIFS(Preise!$A$5:$A$304,$D139,Preise!$B$5:$B$304,$E139,Preise!$I$5:$I$304,"OK")&gt;0,"ja","nein"))</f>
        <v/>
      </c>
      <c r="V139" s="15" t="str">
        <f aca="false">IF(OR(M139="",$E139="",$C$8=""),"",IF(_xlfn.MINIFS(Schneiddaten!$C$5:$C$304,Schneiddaten!$A$5:$A$304,$C$8,Schneiddaten!$B$5:$B$304,$E139,Schneiddaten!$C$5:$C$304,"&gt;="&amp;M139)=0,"",SUMIFS(Schneiddaten!$D$5:$D$304,Schneiddaten!$A$5:$A$304,$C$8,Schneiddaten!$B$5:$B$304,$E139,Schneiddaten!$C$5:$C$304,_xlfn.MINIFS(Schneiddaten!$C$5:$C$304,Schneiddaten!$A$5:$A$304,$C$8,Schneiddaten!$B$5:$B$304,$E139,Schneiddaten!$C$5:$C$304,"&gt;="&amp;M139))))</f>
        <v/>
      </c>
      <c r="W139" s="26" t="str">
        <f aca="false">IF(AND($D139="",$E139="",$F139="",$G139=""),"",IF(ISNA(MATCH($D139,lst_Profil,0)),"FEHLER: Profil unbekannt",IF(ISNA(MATCH($E139,lst_Werkstoff,0)),"FEHLER: Werkstoff unbekannt",IF(NOT(ISNUMBER(L139)),"FEHLER: Querschnitt fehlt (Profil)",IF(OR($F139="",$F139&lt;=0),"FEHLER: Teilelänge fehlt",IF(OR($G139="",$G139&lt;1),"FEHLER: Stückzahl fehlt",IF(NOT(ISNUMBER($H$4)),"FEHLER: Maschine fehlt/unbekannt",IF(Q139&gt;$H$7,"FEHLER: Stange länger als Maschine zulässt",IF($F139+$H$6&gt;T139,"FEHLER: Teil länger als Nutzlänge",IF(U139="nein","WARNUNG: kein gültiger Materialpreis",IF($H139="","HINWEIS: Schneidweg fehlt",IF(V139="","HINWEIS: keine Schneiddaten",IF(AND($AF139&lt;&gt;"",$AG139=""),"HINWEIS: Gewinde-Vorschlag prüfen","OK")))))))))))))</f>
        <v/>
      </c>
      <c r="X139" s="18" t="str">
        <f aca="false">IF(OR(O139="",$G139=""),"",O139*$G139)</f>
        <v/>
      </c>
      <c r="Y139" s="10"/>
      <c r="Z139" s="21"/>
      <c r="AA139" s="10"/>
      <c r="AB139" s="21"/>
      <c r="AC139" s="21"/>
      <c r="AD139" s="21"/>
      <c r="AE139" s="10"/>
      <c r="AF139" s="10"/>
      <c r="AG139" s="10"/>
      <c r="AH139" s="22"/>
      <c r="AI139" s="21"/>
      <c r="AJ139" s="22"/>
      <c r="AK139" s="21"/>
      <c r="AL139" s="22"/>
      <c r="AM139" s="21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21"/>
      <c r="G140" s="19"/>
      <c r="H140" s="21"/>
      <c r="I140" s="22"/>
      <c r="J140" s="19"/>
      <c r="K140" s="23" t="str">
        <f aca="false">IF($D140="","",IFERROR(INDEX(Profile!$B$5:$B$304,MATCH($D140,lst_Profil,0)),""))</f>
        <v/>
      </c>
      <c r="L140" s="13" t="str">
        <f aca="false">IF($D140="","",IFERROR(INDEX(Profile!$K$5:$K$304,MATCH($D140,lst_Profil,0))+0,""))</f>
        <v/>
      </c>
      <c r="M140" s="24" t="str">
        <f aca="false">IF($D140="","",IFERROR(INDEX(Profile!$E$5:$E$304,MATCH($D140,lst_Profil,0))+0,""))</f>
        <v/>
      </c>
      <c r="N140" s="25" t="str">
        <f aca="false">IF(OR(L140="",$E140=""),"",IFERROR(L140*INDEX(Werkstoffe!$E$5:$E$304,MATCH($E140,lst_Werkstoff,0))/1000,""))</f>
        <v/>
      </c>
      <c r="O140" s="25" t="str">
        <f aca="false">IF(OR(N140="",$F140=""),"",N140*$F140/1000)</f>
        <v/>
      </c>
      <c r="P140" s="16" t="str">
        <f aca="false">IF(OR($F140="",$G140=""),"",$F140*$G140)</f>
        <v/>
      </c>
      <c r="Q140" s="16" t="str">
        <f aca="false">IF($D140="","",IF($J140&lt;&gt;"",$J140,$C$9))</f>
        <v/>
      </c>
      <c r="R140" s="12" t="str">
        <f aca="false">IF($D140="","",IFERROR(IF(INDEX(Profile!$G$5:$G$304,MATCH($D140,lst_Profil,0))&lt;&gt;"",INDEX(Profile!$G$5:$G$304,MATCH($D140,lst_Profil,0)),$H$4),$H$4))</f>
        <v/>
      </c>
      <c r="S140" s="12" t="str">
        <f aca="false">IF($D140="","",IFERROR(IF(INDEX(Profile!$H$5:$H$304,MATCH($D140,lst_Profil,0))&lt;&gt;"",INDEX(Profile!$H$5:$H$304,MATCH($D140,lst_Profil,0)),$H$5),$H$5))</f>
        <v/>
      </c>
      <c r="T140" s="16" t="str">
        <f aca="false">IF(OR(Q140="",NOT(ISNUMBER(R140)),NOT(ISNUMBER(S140))),"",Q140-R140-S140)</f>
        <v/>
      </c>
      <c r="U140" s="26" t="str">
        <f aca="false">IF(OR($D140="",$E140=""),"",IF(COUNTIFS(Preise!$A$5:$A$304,$D140,Preise!$B$5:$B$304,$E140,Preise!$I$5:$I$304,"OK")&gt;0,"ja","nein"))</f>
        <v/>
      </c>
      <c r="V140" s="15" t="str">
        <f aca="false">IF(OR(M140="",$E140="",$C$8=""),"",IF(_xlfn.MINIFS(Schneiddaten!$C$5:$C$304,Schneiddaten!$A$5:$A$304,$C$8,Schneiddaten!$B$5:$B$304,$E140,Schneiddaten!$C$5:$C$304,"&gt;="&amp;M140)=0,"",SUMIFS(Schneiddaten!$D$5:$D$304,Schneiddaten!$A$5:$A$304,$C$8,Schneiddaten!$B$5:$B$304,$E140,Schneiddaten!$C$5:$C$304,_xlfn.MINIFS(Schneiddaten!$C$5:$C$304,Schneiddaten!$A$5:$A$304,$C$8,Schneiddaten!$B$5:$B$304,$E140,Schneiddaten!$C$5:$C$304,"&gt;="&amp;M140))))</f>
        <v/>
      </c>
      <c r="W140" s="26" t="str">
        <f aca="false">IF(AND($D140="",$E140="",$F140="",$G140=""),"",IF(ISNA(MATCH($D140,lst_Profil,0)),"FEHLER: Profil unbekannt",IF(ISNA(MATCH($E140,lst_Werkstoff,0)),"FEHLER: Werkstoff unbekannt",IF(NOT(ISNUMBER(L140)),"FEHLER: Querschnitt fehlt (Profil)",IF(OR($F140="",$F140&lt;=0),"FEHLER: Teilelänge fehlt",IF(OR($G140="",$G140&lt;1),"FEHLER: Stückzahl fehlt",IF(NOT(ISNUMBER($H$4)),"FEHLER: Maschine fehlt/unbekannt",IF(Q140&gt;$H$7,"FEHLER: Stange länger als Maschine zulässt",IF($F140+$H$6&gt;T140,"FEHLER: Teil länger als Nutzlänge",IF(U140="nein","WARNUNG: kein gültiger Materialpreis",IF($H140="","HINWEIS: Schneidweg fehlt",IF(V140="","HINWEIS: keine Schneiddaten",IF(AND($AF140&lt;&gt;"",$AG140=""),"HINWEIS: Gewinde-Vorschlag prüfen","OK")))))))))))))</f>
        <v/>
      </c>
      <c r="X140" s="18" t="str">
        <f aca="false">IF(OR(O140="",$G140=""),"",O140*$G140)</f>
        <v/>
      </c>
      <c r="Y140" s="10"/>
      <c r="Z140" s="21"/>
      <c r="AA140" s="10"/>
      <c r="AB140" s="21"/>
      <c r="AC140" s="21"/>
      <c r="AD140" s="21"/>
      <c r="AE140" s="10"/>
      <c r="AF140" s="10"/>
      <c r="AG140" s="10"/>
      <c r="AH140" s="22"/>
      <c r="AI140" s="21"/>
      <c r="AJ140" s="22"/>
      <c r="AK140" s="21"/>
      <c r="AL140" s="22"/>
      <c r="AM140" s="21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21"/>
      <c r="G141" s="19"/>
      <c r="H141" s="21"/>
      <c r="I141" s="22"/>
      <c r="J141" s="19"/>
      <c r="K141" s="23" t="str">
        <f aca="false">IF($D141="","",IFERROR(INDEX(Profile!$B$5:$B$304,MATCH($D141,lst_Profil,0)),""))</f>
        <v/>
      </c>
      <c r="L141" s="13" t="str">
        <f aca="false">IF($D141="","",IFERROR(INDEX(Profile!$K$5:$K$304,MATCH($D141,lst_Profil,0))+0,""))</f>
        <v/>
      </c>
      <c r="M141" s="24" t="str">
        <f aca="false">IF($D141="","",IFERROR(INDEX(Profile!$E$5:$E$304,MATCH($D141,lst_Profil,0))+0,""))</f>
        <v/>
      </c>
      <c r="N141" s="25" t="str">
        <f aca="false">IF(OR(L141="",$E141=""),"",IFERROR(L141*INDEX(Werkstoffe!$E$5:$E$304,MATCH($E141,lst_Werkstoff,0))/1000,""))</f>
        <v/>
      </c>
      <c r="O141" s="25" t="str">
        <f aca="false">IF(OR(N141="",$F141=""),"",N141*$F141/1000)</f>
        <v/>
      </c>
      <c r="P141" s="16" t="str">
        <f aca="false">IF(OR($F141="",$G141=""),"",$F141*$G141)</f>
        <v/>
      </c>
      <c r="Q141" s="16" t="str">
        <f aca="false">IF($D141="","",IF($J141&lt;&gt;"",$J141,$C$9))</f>
        <v/>
      </c>
      <c r="R141" s="12" t="str">
        <f aca="false">IF($D141="","",IFERROR(IF(INDEX(Profile!$G$5:$G$304,MATCH($D141,lst_Profil,0))&lt;&gt;"",INDEX(Profile!$G$5:$G$304,MATCH($D141,lst_Profil,0)),$H$4),$H$4))</f>
        <v/>
      </c>
      <c r="S141" s="12" t="str">
        <f aca="false">IF($D141="","",IFERROR(IF(INDEX(Profile!$H$5:$H$304,MATCH($D141,lst_Profil,0))&lt;&gt;"",INDEX(Profile!$H$5:$H$304,MATCH($D141,lst_Profil,0)),$H$5),$H$5))</f>
        <v/>
      </c>
      <c r="T141" s="16" t="str">
        <f aca="false">IF(OR(Q141="",NOT(ISNUMBER(R141)),NOT(ISNUMBER(S141))),"",Q141-R141-S141)</f>
        <v/>
      </c>
      <c r="U141" s="26" t="str">
        <f aca="false">IF(OR($D141="",$E141=""),"",IF(COUNTIFS(Preise!$A$5:$A$304,$D141,Preise!$B$5:$B$304,$E141,Preise!$I$5:$I$304,"OK")&gt;0,"ja","nein"))</f>
        <v/>
      </c>
      <c r="V141" s="15" t="str">
        <f aca="false">IF(OR(M141="",$E141="",$C$8=""),"",IF(_xlfn.MINIFS(Schneiddaten!$C$5:$C$304,Schneiddaten!$A$5:$A$304,$C$8,Schneiddaten!$B$5:$B$304,$E141,Schneiddaten!$C$5:$C$304,"&gt;="&amp;M141)=0,"",SUMIFS(Schneiddaten!$D$5:$D$304,Schneiddaten!$A$5:$A$304,$C$8,Schneiddaten!$B$5:$B$304,$E141,Schneiddaten!$C$5:$C$304,_xlfn.MINIFS(Schneiddaten!$C$5:$C$304,Schneiddaten!$A$5:$A$304,$C$8,Schneiddaten!$B$5:$B$304,$E141,Schneiddaten!$C$5:$C$304,"&gt;="&amp;M141))))</f>
        <v/>
      </c>
      <c r="W141" s="26" t="str">
        <f aca="false">IF(AND($D141="",$E141="",$F141="",$G141=""),"",IF(ISNA(MATCH($D141,lst_Profil,0)),"FEHLER: Profil unbekannt",IF(ISNA(MATCH($E141,lst_Werkstoff,0)),"FEHLER: Werkstoff unbekannt",IF(NOT(ISNUMBER(L141)),"FEHLER: Querschnitt fehlt (Profil)",IF(OR($F141="",$F141&lt;=0),"FEHLER: Teilelänge fehlt",IF(OR($G141="",$G141&lt;1),"FEHLER: Stückzahl fehlt",IF(NOT(ISNUMBER($H$4)),"FEHLER: Maschine fehlt/unbekannt",IF(Q141&gt;$H$7,"FEHLER: Stange länger als Maschine zulässt",IF($F141+$H$6&gt;T141,"FEHLER: Teil länger als Nutzlänge",IF(U141="nein","WARNUNG: kein gültiger Materialpreis",IF($H141="","HINWEIS: Schneidweg fehlt",IF(V141="","HINWEIS: keine Schneiddaten",IF(AND($AF141&lt;&gt;"",$AG141=""),"HINWEIS: Gewinde-Vorschlag prüfen","OK")))))))))))))</f>
        <v/>
      </c>
      <c r="X141" s="18" t="str">
        <f aca="false">IF(OR(O141="",$G141=""),"",O141*$G141)</f>
        <v/>
      </c>
      <c r="Y141" s="10"/>
      <c r="Z141" s="21"/>
      <c r="AA141" s="10"/>
      <c r="AB141" s="21"/>
      <c r="AC141" s="21"/>
      <c r="AD141" s="21"/>
      <c r="AE141" s="10"/>
      <c r="AF141" s="10"/>
      <c r="AG141" s="10"/>
      <c r="AH141" s="22"/>
      <c r="AI141" s="21"/>
      <c r="AJ141" s="22"/>
      <c r="AK141" s="21"/>
      <c r="AL141" s="22"/>
      <c r="AM141" s="21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21"/>
      <c r="G142" s="19"/>
      <c r="H142" s="21"/>
      <c r="I142" s="22"/>
      <c r="J142" s="19"/>
      <c r="K142" s="23" t="str">
        <f aca="false">IF($D142="","",IFERROR(INDEX(Profile!$B$5:$B$304,MATCH($D142,lst_Profil,0)),""))</f>
        <v/>
      </c>
      <c r="L142" s="13" t="str">
        <f aca="false">IF($D142="","",IFERROR(INDEX(Profile!$K$5:$K$304,MATCH($D142,lst_Profil,0))+0,""))</f>
        <v/>
      </c>
      <c r="M142" s="24" t="str">
        <f aca="false">IF($D142="","",IFERROR(INDEX(Profile!$E$5:$E$304,MATCH($D142,lst_Profil,0))+0,""))</f>
        <v/>
      </c>
      <c r="N142" s="25" t="str">
        <f aca="false">IF(OR(L142="",$E142=""),"",IFERROR(L142*INDEX(Werkstoffe!$E$5:$E$304,MATCH($E142,lst_Werkstoff,0))/1000,""))</f>
        <v/>
      </c>
      <c r="O142" s="25" t="str">
        <f aca="false">IF(OR(N142="",$F142=""),"",N142*$F142/1000)</f>
        <v/>
      </c>
      <c r="P142" s="16" t="str">
        <f aca="false">IF(OR($F142="",$G142=""),"",$F142*$G142)</f>
        <v/>
      </c>
      <c r="Q142" s="16" t="str">
        <f aca="false">IF($D142="","",IF($J142&lt;&gt;"",$J142,$C$9))</f>
        <v/>
      </c>
      <c r="R142" s="12" t="str">
        <f aca="false">IF($D142="","",IFERROR(IF(INDEX(Profile!$G$5:$G$304,MATCH($D142,lst_Profil,0))&lt;&gt;"",INDEX(Profile!$G$5:$G$304,MATCH($D142,lst_Profil,0)),$H$4),$H$4))</f>
        <v/>
      </c>
      <c r="S142" s="12" t="str">
        <f aca="false">IF($D142="","",IFERROR(IF(INDEX(Profile!$H$5:$H$304,MATCH($D142,lst_Profil,0))&lt;&gt;"",INDEX(Profile!$H$5:$H$304,MATCH($D142,lst_Profil,0)),$H$5),$H$5))</f>
        <v/>
      </c>
      <c r="T142" s="16" t="str">
        <f aca="false">IF(OR(Q142="",NOT(ISNUMBER(R142)),NOT(ISNUMBER(S142))),"",Q142-R142-S142)</f>
        <v/>
      </c>
      <c r="U142" s="26" t="str">
        <f aca="false">IF(OR($D142="",$E142=""),"",IF(COUNTIFS(Preise!$A$5:$A$304,$D142,Preise!$B$5:$B$304,$E142,Preise!$I$5:$I$304,"OK")&gt;0,"ja","nein"))</f>
        <v/>
      </c>
      <c r="V142" s="15" t="str">
        <f aca="false">IF(OR(M142="",$E142="",$C$8=""),"",IF(_xlfn.MINIFS(Schneiddaten!$C$5:$C$304,Schneiddaten!$A$5:$A$304,$C$8,Schneiddaten!$B$5:$B$304,$E142,Schneiddaten!$C$5:$C$304,"&gt;="&amp;M142)=0,"",SUMIFS(Schneiddaten!$D$5:$D$304,Schneiddaten!$A$5:$A$304,$C$8,Schneiddaten!$B$5:$B$304,$E142,Schneiddaten!$C$5:$C$304,_xlfn.MINIFS(Schneiddaten!$C$5:$C$304,Schneiddaten!$A$5:$A$304,$C$8,Schneiddaten!$B$5:$B$304,$E142,Schneiddaten!$C$5:$C$304,"&gt;="&amp;M142))))</f>
        <v/>
      </c>
      <c r="W142" s="26" t="str">
        <f aca="false">IF(AND($D142="",$E142="",$F142="",$G142=""),"",IF(ISNA(MATCH($D142,lst_Profil,0)),"FEHLER: Profil unbekannt",IF(ISNA(MATCH($E142,lst_Werkstoff,0)),"FEHLER: Werkstoff unbekannt",IF(NOT(ISNUMBER(L142)),"FEHLER: Querschnitt fehlt (Profil)",IF(OR($F142="",$F142&lt;=0),"FEHLER: Teilelänge fehlt",IF(OR($G142="",$G142&lt;1),"FEHLER: Stückzahl fehlt",IF(NOT(ISNUMBER($H$4)),"FEHLER: Maschine fehlt/unbekannt",IF(Q142&gt;$H$7,"FEHLER: Stange länger als Maschine zulässt",IF($F142+$H$6&gt;T142,"FEHLER: Teil länger als Nutzlänge",IF(U142="nein","WARNUNG: kein gültiger Materialpreis",IF($H142="","HINWEIS: Schneidweg fehlt",IF(V142="","HINWEIS: keine Schneiddaten",IF(AND($AF142&lt;&gt;"",$AG142=""),"HINWEIS: Gewinde-Vorschlag prüfen","OK")))))))))))))</f>
        <v/>
      </c>
      <c r="X142" s="18" t="str">
        <f aca="false">IF(OR(O142="",$G142=""),"",O142*$G142)</f>
        <v/>
      </c>
      <c r="Y142" s="10"/>
      <c r="Z142" s="21"/>
      <c r="AA142" s="10"/>
      <c r="AB142" s="21"/>
      <c r="AC142" s="21"/>
      <c r="AD142" s="21"/>
      <c r="AE142" s="10"/>
      <c r="AF142" s="10"/>
      <c r="AG142" s="10"/>
      <c r="AH142" s="22"/>
      <c r="AI142" s="21"/>
      <c r="AJ142" s="22"/>
      <c r="AK142" s="21"/>
      <c r="AL142" s="22"/>
      <c r="AM142" s="21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21"/>
      <c r="G143" s="19"/>
      <c r="H143" s="21"/>
      <c r="I143" s="22"/>
      <c r="J143" s="19"/>
      <c r="K143" s="23" t="str">
        <f aca="false">IF($D143="","",IFERROR(INDEX(Profile!$B$5:$B$304,MATCH($D143,lst_Profil,0)),""))</f>
        <v/>
      </c>
      <c r="L143" s="13" t="str">
        <f aca="false">IF($D143="","",IFERROR(INDEX(Profile!$K$5:$K$304,MATCH($D143,lst_Profil,0))+0,""))</f>
        <v/>
      </c>
      <c r="M143" s="24" t="str">
        <f aca="false">IF($D143="","",IFERROR(INDEX(Profile!$E$5:$E$304,MATCH($D143,lst_Profil,0))+0,""))</f>
        <v/>
      </c>
      <c r="N143" s="25" t="str">
        <f aca="false">IF(OR(L143="",$E143=""),"",IFERROR(L143*INDEX(Werkstoffe!$E$5:$E$304,MATCH($E143,lst_Werkstoff,0))/1000,""))</f>
        <v/>
      </c>
      <c r="O143" s="25" t="str">
        <f aca="false">IF(OR(N143="",$F143=""),"",N143*$F143/1000)</f>
        <v/>
      </c>
      <c r="P143" s="16" t="str">
        <f aca="false">IF(OR($F143="",$G143=""),"",$F143*$G143)</f>
        <v/>
      </c>
      <c r="Q143" s="16" t="str">
        <f aca="false">IF($D143="","",IF($J143&lt;&gt;"",$J143,$C$9))</f>
        <v/>
      </c>
      <c r="R143" s="12" t="str">
        <f aca="false">IF($D143="","",IFERROR(IF(INDEX(Profile!$G$5:$G$304,MATCH($D143,lst_Profil,0))&lt;&gt;"",INDEX(Profile!$G$5:$G$304,MATCH($D143,lst_Profil,0)),$H$4),$H$4))</f>
        <v/>
      </c>
      <c r="S143" s="12" t="str">
        <f aca="false">IF($D143="","",IFERROR(IF(INDEX(Profile!$H$5:$H$304,MATCH($D143,lst_Profil,0))&lt;&gt;"",INDEX(Profile!$H$5:$H$304,MATCH($D143,lst_Profil,0)),$H$5),$H$5))</f>
        <v/>
      </c>
      <c r="T143" s="16" t="str">
        <f aca="false">IF(OR(Q143="",NOT(ISNUMBER(R143)),NOT(ISNUMBER(S143))),"",Q143-R143-S143)</f>
        <v/>
      </c>
      <c r="U143" s="26" t="str">
        <f aca="false">IF(OR($D143="",$E143=""),"",IF(COUNTIFS(Preise!$A$5:$A$304,$D143,Preise!$B$5:$B$304,$E143,Preise!$I$5:$I$304,"OK")&gt;0,"ja","nein"))</f>
        <v/>
      </c>
      <c r="V143" s="15" t="str">
        <f aca="false">IF(OR(M143="",$E143="",$C$8=""),"",IF(_xlfn.MINIFS(Schneiddaten!$C$5:$C$304,Schneiddaten!$A$5:$A$304,$C$8,Schneiddaten!$B$5:$B$304,$E143,Schneiddaten!$C$5:$C$304,"&gt;="&amp;M143)=0,"",SUMIFS(Schneiddaten!$D$5:$D$304,Schneiddaten!$A$5:$A$304,$C$8,Schneiddaten!$B$5:$B$304,$E143,Schneiddaten!$C$5:$C$304,_xlfn.MINIFS(Schneiddaten!$C$5:$C$304,Schneiddaten!$A$5:$A$304,$C$8,Schneiddaten!$B$5:$B$304,$E143,Schneiddaten!$C$5:$C$304,"&gt;="&amp;M143))))</f>
        <v/>
      </c>
      <c r="W143" s="26" t="str">
        <f aca="false">IF(AND($D143="",$E143="",$F143="",$G143=""),"",IF(ISNA(MATCH($D143,lst_Profil,0)),"FEHLER: Profil unbekannt",IF(ISNA(MATCH($E143,lst_Werkstoff,0)),"FEHLER: Werkstoff unbekannt",IF(NOT(ISNUMBER(L143)),"FEHLER: Querschnitt fehlt (Profil)",IF(OR($F143="",$F143&lt;=0),"FEHLER: Teilelänge fehlt",IF(OR($G143="",$G143&lt;1),"FEHLER: Stückzahl fehlt",IF(NOT(ISNUMBER($H$4)),"FEHLER: Maschine fehlt/unbekannt",IF(Q143&gt;$H$7,"FEHLER: Stange länger als Maschine zulässt",IF($F143+$H$6&gt;T143,"FEHLER: Teil länger als Nutzlänge",IF(U143="nein","WARNUNG: kein gültiger Materialpreis",IF($H143="","HINWEIS: Schneidweg fehlt",IF(V143="","HINWEIS: keine Schneiddaten",IF(AND($AF143&lt;&gt;"",$AG143=""),"HINWEIS: Gewinde-Vorschlag prüfen","OK")))))))))))))</f>
        <v/>
      </c>
      <c r="X143" s="18" t="str">
        <f aca="false">IF(OR(O143="",$G143=""),"",O143*$G143)</f>
        <v/>
      </c>
      <c r="Y143" s="10"/>
      <c r="Z143" s="21"/>
      <c r="AA143" s="10"/>
      <c r="AB143" s="21"/>
      <c r="AC143" s="21"/>
      <c r="AD143" s="21"/>
      <c r="AE143" s="10"/>
      <c r="AF143" s="10"/>
      <c r="AG143" s="10"/>
      <c r="AH143" s="22"/>
      <c r="AI143" s="21"/>
      <c r="AJ143" s="22"/>
      <c r="AK143" s="21"/>
      <c r="AL143" s="22"/>
      <c r="AM143" s="21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21"/>
      <c r="G144" s="19"/>
      <c r="H144" s="21"/>
      <c r="I144" s="22"/>
      <c r="J144" s="19"/>
      <c r="K144" s="23" t="str">
        <f aca="false">IF($D144="","",IFERROR(INDEX(Profile!$B$5:$B$304,MATCH($D144,lst_Profil,0)),""))</f>
        <v/>
      </c>
      <c r="L144" s="13" t="str">
        <f aca="false">IF($D144="","",IFERROR(INDEX(Profile!$K$5:$K$304,MATCH($D144,lst_Profil,0))+0,""))</f>
        <v/>
      </c>
      <c r="M144" s="24" t="str">
        <f aca="false">IF($D144="","",IFERROR(INDEX(Profile!$E$5:$E$304,MATCH($D144,lst_Profil,0))+0,""))</f>
        <v/>
      </c>
      <c r="N144" s="25" t="str">
        <f aca="false">IF(OR(L144="",$E144=""),"",IFERROR(L144*INDEX(Werkstoffe!$E$5:$E$304,MATCH($E144,lst_Werkstoff,0))/1000,""))</f>
        <v/>
      </c>
      <c r="O144" s="25" t="str">
        <f aca="false">IF(OR(N144="",$F144=""),"",N144*$F144/1000)</f>
        <v/>
      </c>
      <c r="P144" s="16" t="str">
        <f aca="false">IF(OR($F144="",$G144=""),"",$F144*$G144)</f>
        <v/>
      </c>
      <c r="Q144" s="16" t="str">
        <f aca="false">IF($D144="","",IF($J144&lt;&gt;"",$J144,$C$9))</f>
        <v/>
      </c>
      <c r="R144" s="12" t="str">
        <f aca="false">IF($D144="","",IFERROR(IF(INDEX(Profile!$G$5:$G$304,MATCH($D144,lst_Profil,0))&lt;&gt;"",INDEX(Profile!$G$5:$G$304,MATCH($D144,lst_Profil,0)),$H$4),$H$4))</f>
        <v/>
      </c>
      <c r="S144" s="12" t="str">
        <f aca="false">IF($D144="","",IFERROR(IF(INDEX(Profile!$H$5:$H$304,MATCH($D144,lst_Profil,0))&lt;&gt;"",INDEX(Profile!$H$5:$H$304,MATCH($D144,lst_Profil,0)),$H$5),$H$5))</f>
        <v/>
      </c>
      <c r="T144" s="16" t="str">
        <f aca="false">IF(OR(Q144="",NOT(ISNUMBER(R144)),NOT(ISNUMBER(S144))),"",Q144-R144-S144)</f>
        <v/>
      </c>
      <c r="U144" s="26" t="str">
        <f aca="false">IF(OR($D144="",$E144=""),"",IF(COUNTIFS(Preise!$A$5:$A$304,$D144,Preise!$B$5:$B$304,$E144,Preise!$I$5:$I$304,"OK")&gt;0,"ja","nein"))</f>
        <v/>
      </c>
      <c r="V144" s="15" t="str">
        <f aca="false">IF(OR(M144="",$E144="",$C$8=""),"",IF(_xlfn.MINIFS(Schneiddaten!$C$5:$C$304,Schneiddaten!$A$5:$A$304,$C$8,Schneiddaten!$B$5:$B$304,$E144,Schneiddaten!$C$5:$C$304,"&gt;="&amp;M144)=0,"",SUMIFS(Schneiddaten!$D$5:$D$304,Schneiddaten!$A$5:$A$304,$C$8,Schneiddaten!$B$5:$B$304,$E144,Schneiddaten!$C$5:$C$304,_xlfn.MINIFS(Schneiddaten!$C$5:$C$304,Schneiddaten!$A$5:$A$304,$C$8,Schneiddaten!$B$5:$B$304,$E144,Schneiddaten!$C$5:$C$304,"&gt;="&amp;M144))))</f>
        <v/>
      </c>
      <c r="W144" s="26" t="str">
        <f aca="false">IF(AND($D144="",$E144="",$F144="",$G144=""),"",IF(ISNA(MATCH($D144,lst_Profil,0)),"FEHLER: Profil unbekannt",IF(ISNA(MATCH($E144,lst_Werkstoff,0)),"FEHLER: Werkstoff unbekannt",IF(NOT(ISNUMBER(L144)),"FEHLER: Querschnitt fehlt (Profil)",IF(OR($F144="",$F144&lt;=0),"FEHLER: Teilelänge fehlt",IF(OR($G144="",$G144&lt;1),"FEHLER: Stückzahl fehlt",IF(NOT(ISNUMBER($H$4)),"FEHLER: Maschine fehlt/unbekannt",IF(Q144&gt;$H$7,"FEHLER: Stange länger als Maschine zulässt",IF($F144+$H$6&gt;T144,"FEHLER: Teil länger als Nutzlänge",IF(U144="nein","WARNUNG: kein gültiger Materialpreis",IF($H144="","HINWEIS: Schneidweg fehlt",IF(V144="","HINWEIS: keine Schneiddaten",IF(AND($AF144&lt;&gt;"",$AG144=""),"HINWEIS: Gewinde-Vorschlag prüfen","OK")))))))))))))</f>
        <v/>
      </c>
      <c r="X144" s="18" t="str">
        <f aca="false">IF(OR(O144="",$G144=""),"",O144*$G144)</f>
        <v/>
      </c>
      <c r="Y144" s="10"/>
      <c r="Z144" s="21"/>
      <c r="AA144" s="10"/>
      <c r="AB144" s="21"/>
      <c r="AC144" s="21"/>
      <c r="AD144" s="21"/>
      <c r="AE144" s="10"/>
      <c r="AF144" s="10"/>
      <c r="AG144" s="10"/>
      <c r="AH144" s="22"/>
      <c r="AI144" s="21"/>
      <c r="AJ144" s="22"/>
      <c r="AK144" s="21"/>
      <c r="AL144" s="22"/>
      <c r="AM144" s="21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21"/>
      <c r="G145" s="19"/>
      <c r="H145" s="21"/>
      <c r="I145" s="22"/>
      <c r="J145" s="19"/>
      <c r="K145" s="23" t="str">
        <f aca="false">IF($D145="","",IFERROR(INDEX(Profile!$B$5:$B$304,MATCH($D145,lst_Profil,0)),""))</f>
        <v/>
      </c>
      <c r="L145" s="13" t="str">
        <f aca="false">IF($D145="","",IFERROR(INDEX(Profile!$K$5:$K$304,MATCH($D145,lst_Profil,0))+0,""))</f>
        <v/>
      </c>
      <c r="M145" s="24" t="str">
        <f aca="false">IF($D145="","",IFERROR(INDEX(Profile!$E$5:$E$304,MATCH($D145,lst_Profil,0))+0,""))</f>
        <v/>
      </c>
      <c r="N145" s="25" t="str">
        <f aca="false">IF(OR(L145="",$E145=""),"",IFERROR(L145*INDEX(Werkstoffe!$E$5:$E$304,MATCH($E145,lst_Werkstoff,0))/1000,""))</f>
        <v/>
      </c>
      <c r="O145" s="25" t="str">
        <f aca="false">IF(OR(N145="",$F145=""),"",N145*$F145/1000)</f>
        <v/>
      </c>
      <c r="P145" s="16" t="str">
        <f aca="false">IF(OR($F145="",$G145=""),"",$F145*$G145)</f>
        <v/>
      </c>
      <c r="Q145" s="16" t="str">
        <f aca="false">IF($D145="","",IF($J145&lt;&gt;"",$J145,$C$9))</f>
        <v/>
      </c>
      <c r="R145" s="12" t="str">
        <f aca="false">IF($D145="","",IFERROR(IF(INDEX(Profile!$G$5:$G$304,MATCH($D145,lst_Profil,0))&lt;&gt;"",INDEX(Profile!$G$5:$G$304,MATCH($D145,lst_Profil,0)),$H$4),$H$4))</f>
        <v/>
      </c>
      <c r="S145" s="12" t="str">
        <f aca="false">IF($D145="","",IFERROR(IF(INDEX(Profile!$H$5:$H$304,MATCH($D145,lst_Profil,0))&lt;&gt;"",INDEX(Profile!$H$5:$H$304,MATCH($D145,lst_Profil,0)),$H$5),$H$5))</f>
        <v/>
      </c>
      <c r="T145" s="16" t="str">
        <f aca="false">IF(OR(Q145="",NOT(ISNUMBER(R145)),NOT(ISNUMBER(S145))),"",Q145-R145-S145)</f>
        <v/>
      </c>
      <c r="U145" s="26" t="str">
        <f aca="false">IF(OR($D145="",$E145=""),"",IF(COUNTIFS(Preise!$A$5:$A$304,$D145,Preise!$B$5:$B$304,$E145,Preise!$I$5:$I$304,"OK")&gt;0,"ja","nein"))</f>
        <v/>
      </c>
      <c r="V145" s="15" t="str">
        <f aca="false">IF(OR(M145="",$E145="",$C$8=""),"",IF(_xlfn.MINIFS(Schneiddaten!$C$5:$C$304,Schneiddaten!$A$5:$A$304,$C$8,Schneiddaten!$B$5:$B$304,$E145,Schneiddaten!$C$5:$C$304,"&gt;="&amp;M145)=0,"",SUMIFS(Schneiddaten!$D$5:$D$304,Schneiddaten!$A$5:$A$304,$C$8,Schneiddaten!$B$5:$B$304,$E145,Schneiddaten!$C$5:$C$304,_xlfn.MINIFS(Schneiddaten!$C$5:$C$304,Schneiddaten!$A$5:$A$304,$C$8,Schneiddaten!$B$5:$B$304,$E145,Schneiddaten!$C$5:$C$304,"&gt;="&amp;M145))))</f>
        <v/>
      </c>
      <c r="W145" s="26" t="str">
        <f aca="false">IF(AND($D145="",$E145="",$F145="",$G145=""),"",IF(ISNA(MATCH($D145,lst_Profil,0)),"FEHLER: Profil unbekannt",IF(ISNA(MATCH($E145,lst_Werkstoff,0)),"FEHLER: Werkstoff unbekannt",IF(NOT(ISNUMBER(L145)),"FEHLER: Querschnitt fehlt (Profil)",IF(OR($F145="",$F145&lt;=0),"FEHLER: Teilelänge fehlt",IF(OR($G145="",$G145&lt;1),"FEHLER: Stückzahl fehlt",IF(NOT(ISNUMBER($H$4)),"FEHLER: Maschine fehlt/unbekannt",IF(Q145&gt;$H$7,"FEHLER: Stange länger als Maschine zulässt",IF($F145+$H$6&gt;T145,"FEHLER: Teil länger als Nutzlänge",IF(U145="nein","WARNUNG: kein gültiger Materialpreis",IF($H145="","HINWEIS: Schneidweg fehlt",IF(V145="","HINWEIS: keine Schneiddaten",IF(AND($AF145&lt;&gt;"",$AG145=""),"HINWEIS: Gewinde-Vorschlag prüfen","OK")))))))))))))</f>
        <v/>
      </c>
      <c r="X145" s="18" t="str">
        <f aca="false">IF(OR(O145="",$G145=""),"",O145*$G145)</f>
        <v/>
      </c>
      <c r="Y145" s="10"/>
      <c r="Z145" s="21"/>
      <c r="AA145" s="10"/>
      <c r="AB145" s="21"/>
      <c r="AC145" s="21"/>
      <c r="AD145" s="21"/>
      <c r="AE145" s="10"/>
      <c r="AF145" s="10"/>
      <c r="AG145" s="10"/>
      <c r="AH145" s="22"/>
      <c r="AI145" s="21"/>
      <c r="AJ145" s="22"/>
      <c r="AK145" s="21"/>
      <c r="AL145" s="22"/>
      <c r="AM145" s="21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21"/>
      <c r="G146" s="19"/>
      <c r="H146" s="21"/>
      <c r="I146" s="22"/>
      <c r="J146" s="19"/>
      <c r="K146" s="23" t="str">
        <f aca="false">IF($D146="","",IFERROR(INDEX(Profile!$B$5:$B$304,MATCH($D146,lst_Profil,0)),""))</f>
        <v/>
      </c>
      <c r="L146" s="13" t="str">
        <f aca="false">IF($D146="","",IFERROR(INDEX(Profile!$K$5:$K$304,MATCH($D146,lst_Profil,0))+0,""))</f>
        <v/>
      </c>
      <c r="M146" s="24" t="str">
        <f aca="false">IF($D146="","",IFERROR(INDEX(Profile!$E$5:$E$304,MATCH($D146,lst_Profil,0))+0,""))</f>
        <v/>
      </c>
      <c r="N146" s="25" t="str">
        <f aca="false">IF(OR(L146="",$E146=""),"",IFERROR(L146*INDEX(Werkstoffe!$E$5:$E$304,MATCH($E146,lst_Werkstoff,0))/1000,""))</f>
        <v/>
      </c>
      <c r="O146" s="25" t="str">
        <f aca="false">IF(OR(N146="",$F146=""),"",N146*$F146/1000)</f>
        <v/>
      </c>
      <c r="P146" s="16" t="str">
        <f aca="false">IF(OR($F146="",$G146=""),"",$F146*$G146)</f>
        <v/>
      </c>
      <c r="Q146" s="16" t="str">
        <f aca="false">IF($D146="","",IF($J146&lt;&gt;"",$J146,$C$9))</f>
        <v/>
      </c>
      <c r="R146" s="12" t="str">
        <f aca="false">IF($D146="","",IFERROR(IF(INDEX(Profile!$G$5:$G$304,MATCH($D146,lst_Profil,0))&lt;&gt;"",INDEX(Profile!$G$5:$G$304,MATCH($D146,lst_Profil,0)),$H$4),$H$4))</f>
        <v/>
      </c>
      <c r="S146" s="12" t="str">
        <f aca="false">IF($D146="","",IFERROR(IF(INDEX(Profile!$H$5:$H$304,MATCH($D146,lst_Profil,0))&lt;&gt;"",INDEX(Profile!$H$5:$H$304,MATCH($D146,lst_Profil,0)),$H$5),$H$5))</f>
        <v/>
      </c>
      <c r="T146" s="16" t="str">
        <f aca="false">IF(OR(Q146="",NOT(ISNUMBER(R146)),NOT(ISNUMBER(S146))),"",Q146-R146-S146)</f>
        <v/>
      </c>
      <c r="U146" s="26" t="str">
        <f aca="false">IF(OR($D146="",$E146=""),"",IF(COUNTIFS(Preise!$A$5:$A$304,$D146,Preise!$B$5:$B$304,$E146,Preise!$I$5:$I$304,"OK")&gt;0,"ja","nein"))</f>
        <v/>
      </c>
      <c r="V146" s="15" t="str">
        <f aca="false">IF(OR(M146="",$E146="",$C$8=""),"",IF(_xlfn.MINIFS(Schneiddaten!$C$5:$C$304,Schneiddaten!$A$5:$A$304,$C$8,Schneiddaten!$B$5:$B$304,$E146,Schneiddaten!$C$5:$C$304,"&gt;="&amp;M146)=0,"",SUMIFS(Schneiddaten!$D$5:$D$304,Schneiddaten!$A$5:$A$304,$C$8,Schneiddaten!$B$5:$B$304,$E146,Schneiddaten!$C$5:$C$304,_xlfn.MINIFS(Schneiddaten!$C$5:$C$304,Schneiddaten!$A$5:$A$304,$C$8,Schneiddaten!$B$5:$B$304,$E146,Schneiddaten!$C$5:$C$304,"&gt;="&amp;M146))))</f>
        <v/>
      </c>
      <c r="W146" s="26" t="str">
        <f aca="false">IF(AND($D146="",$E146="",$F146="",$G146=""),"",IF(ISNA(MATCH($D146,lst_Profil,0)),"FEHLER: Profil unbekannt",IF(ISNA(MATCH($E146,lst_Werkstoff,0)),"FEHLER: Werkstoff unbekannt",IF(NOT(ISNUMBER(L146)),"FEHLER: Querschnitt fehlt (Profil)",IF(OR($F146="",$F146&lt;=0),"FEHLER: Teilelänge fehlt",IF(OR($G146="",$G146&lt;1),"FEHLER: Stückzahl fehlt",IF(NOT(ISNUMBER($H$4)),"FEHLER: Maschine fehlt/unbekannt",IF(Q146&gt;$H$7,"FEHLER: Stange länger als Maschine zulässt",IF($F146+$H$6&gt;T146,"FEHLER: Teil länger als Nutzlänge",IF(U146="nein","WARNUNG: kein gültiger Materialpreis",IF($H146="","HINWEIS: Schneidweg fehlt",IF(V146="","HINWEIS: keine Schneiddaten",IF(AND($AF146&lt;&gt;"",$AG146=""),"HINWEIS: Gewinde-Vorschlag prüfen","OK")))))))))))))</f>
        <v/>
      </c>
      <c r="X146" s="18" t="str">
        <f aca="false">IF(OR(O146="",$G146=""),"",O146*$G146)</f>
        <v/>
      </c>
      <c r="Y146" s="10"/>
      <c r="Z146" s="21"/>
      <c r="AA146" s="10"/>
      <c r="AB146" s="21"/>
      <c r="AC146" s="21"/>
      <c r="AD146" s="21"/>
      <c r="AE146" s="10"/>
      <c r="AF146" s="10"/>
      <c r="AG146" s="10"/>
      <c r="AH146" s="22"/>
      <c r="AI146" s="21"/>
      <c r="AJ146" s="22"/>
      <c r="AK146" s="21"/>
      <c r="AL146" s="22"/>
      <c r="AM146" s="21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21"/>
      <c r="G147" s="19"/>
      <c r="H147" s="21"/>
      <c r="I147" s="22"/>
      <c r="J147" s="19"/>
      <c r="K147" s="23" t="str">
        <f aca="false">IF($D147="","",IFERROR(INDEX(Profile!$B$5:$B$304,MATCH($D147,lst_Profil,0)),""))</f>
        <v/>
      </c>
      <c r="L147" s="13" t="str">
        <f aca="false">IF($D147="","",IFERROR(INDEX(Profile!$K$5:$K$304,MATCH($D147,lst_Profil,0))+0,""))</f>
        <v/>
      </c>
      <c r="M147" s="24" t="str">
        <f aca="false">IF($D147="","",IFERROR(INDEX(Profile!$E$5:$E$304,MATCH($D147,lst_Profil,0))+0,""))</f>
        <v/>
      </c>
      <c r="N147" s="25" t="str">
        <f aca="false">IF(OR(L147="",$E147=""),"",IFERROR(L147*INDEX(Werkstoffe!$E$5:$E$304,MATCH($E147,lst_Werkstoff,0))/1000,""))</f>
        <v/>
      </c>
      <c r="O147" s="25" t="str">
        <f aca="false">IF(OR(N147="",$F147=""),"",N147*$F147/1000)</f>
        <v/>
      </c>
      <c r="P147" s="16" t="str">
        <f aca="false">IF(OR($F147="",$G147=""),"",$F147*$G147)</f>
        <v/>
      </c>
      <c r="Q147" s="16" t="str">
        <f aca="false">IF($D147="","",IF($J147&lt;&gt;"",$J147,$C$9))</f>
        <v/>
      </c>
      <c r="R147" s="12" t="str">
        <f aca="false">IF($D147="","",IFERROR(IF(INDEX(Profile!$G$5:$G$304,MATCH($D147,lst_Profil,0))&lt;&gt;"",INDEX(Profile!$G$5:$G$304,MATCH($D147,lst_Profil,0)),$H$4),$H$4))</f>
        <v/>
      </c>
      <c r="S147" s="12" t="str">
        <f aca="false">IF($D147="","",IFERROR(IF(INDEX(Profile!$H$5:$H$304,MATCH($D147,lst_Profil,0))&lt;&gt;"",INDEX(Profile!$H$5:$H$304,MATCH($D147,lst_Profil,0)),$H$5),$H$5))</f>
        <v/>
      </c>
      <c r="T147" s="16" t="str">
        <f aca="false">IF(OR(Q147="",NOT(ISNUMBER(R147)),NOT(ISNUMBER(S147))),"",Q147-R147-S147)</f>
        <v/>
      </c>
      <c r="U147" s="26" t="str">
        <f aca="false">IF(OR($D147="",$E147=""),"",IF(COUNTIFS(Preise!$A$5:$A$304,$D147,Preise!$B$5:$B$304,$E147,Preise!$I$5:$I$304,"OK")&gt;0,"ja","nein"))</f>
        <v/>
      </c>
      <c r="V147" s="15" t="str">
        <f aca="false">IF(OR(M147="",$E147="",$C$8=""),"",IF(_xlfn.MINIFS(Schneiddaten!$C$5:$C$304,Schneiddaten!$A$5:$A$304,$C$8,Schneiddaten!$B$5:$B$304,$E147,Schneiddaten!$C$5:$C$304,"&gt;="&amp;M147)=0,"",SUMIFS(Schneiddaten!$D$5:$D$304,Schneiddaten!$A$5:$A$304,$C$8,Schneiddaten!$B$5:$B$304,$E147,Schneiddaten!$C$5:$C$304,_xlfn.MINIFS(Schneiddaten!$C$5:$C$304,Schneiddaten!$A$5:$A$304,$C$8,Schneiddaten!$B$5:$B$304,$E147,Schneiddaten!$C$5:$C$304,"&gt;="&amp;M147))))</f>
        <v/>
      </c>
      <c r="W147" s="26" t="str">
        <f aca="false">IF(AND($D147="",$E147="",$F147="",$G147=""),"",IF(ISNA(MATCH($D147,lst_Profil,0)),"FEHLER: Profil unbekannt",IF(ISNA(MATCH($E147,lst_Werkstoff,0)),"FEHLER: Werkstoff unbekannt",IF(NOT(ISNUMBER(L147)),"FEHLER: Querschnitt fehlt (Profil)",IF(OR($F147="",$F147&lt;=0),"FEHLER: Teilelänge fehlt",IF(OR($G147="",$G147&lt;1),"FEHLER: Stückzahl fehlt",IF(NOT(ISNUMBER($H$4)),"FEHLER: Maschine fehlt/unbekannt",IF(Q147&gt;$H$7,"FEHLER: Stange länger als Maschine zulässt",IF($F147+$H$6&gt;T147,"FEHLER: Teil länger als Nutzlänge",IF(U147="nein","WARNUNG: kein gültiger Materialpreis",IF($H147="","HINWEIS: Schneidweg fehlt",IF(V147="","HINWEIS: keine Schneiddaten",IF(AND($AF147&lt;&gt;"",$AG147=""),"HINWEIS: Gewinde-Vorschlag prüfen","OK")))))))))))))</f>
        <v/>
      </c>
      <c r="X147" s="18" t="str">
        <f aca="false">IF(OR(O147="",$G147=""),"",O147*$G147)</f>
        <v/>
      </c>
      <c r="Y147" s="10"/>
      <c r="Z147" s="21"/>
      <c r="AA147" s="10"/>
      <c r="AB147" s="21"/>
      <c r="AC147" s="21"/>
      <c r="AD147" s="21"/>
      <c r="AE147" s="10"/>
      <c r="AF147" s="10"/>
      <c r="AG147" s="10"/>
      <c r="AH147" s="22"/>
      <c r="AI147" s="21"/>
      <c r="AJ147" s="22"/>
      <c r="AK147" s="21"/>
      <c r="AL147" s="22"/>
      <c r="AM147" s="21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21"/>
      <c r="G148" s="19"/>
      <c r="H148" s="21"/>
      <c r="I148" s="22"/>
      <c r="J148" s="19"/>
      <c r="K148" s="23" t="str">
        <f aca="false">IF($D148="","",IFERROR(INDEX(Profile!$B$5:$B$304,MATCH($D148,lst_Profil,0)),""))</f>
        <v/>
      </c>
      <c r="L148" s="13" t="str">
        <f aca="false">IF($D148="","",IFERROR(INDEX(Profile!$K$5:$K$304,MATCH($D148,lst_Profil,0))+0,""))</f>
        <v/>
      </c>
      <c r="M148" s="24" t="str">
        <f aca="false">IF($D148="","",IFERROR(INDEX(Profile!$E$5:$E$304,MATCH($D148,lst_Profil,0))+0,""))</f>
        <v/>
      </c>
      <c r="N148" s="25" t="str">
        <f aca="false">IF(OR(L148="",$E148=""),"",IFERROR(L148*INDEX(Werkstoffe!$E$5:$E$304,MATCH($E148,lst_Werkstoff,0))/1000,""))</f>
        <v/>
      </c>
      <c r="O148" s="25" t="str">
        <f aca="false">IF(OR(N148="",$F148=""),"",N148*$F148/1000)</f>
        <v/>
      </c>
      <c r="P148" s="16" t="str">
        <f aca="false">IF(OR($F148="",$G148=""),"",$F148*$G148)</f>
        <v/>
      </c>
      <c r="Q148" s="16" t="str">
        <f aca="false">IF($D148="","",IF($J148&lt;&gt;"",$J148,$C$9))</f>
        <v/>
      </c>
      <c r="R148" s="12" t="str">
        <f aca="false">IF($D148="","",IFERROR(IF(INDEX(Profile!$G$5:$G$304,MATCH($D148,lst_Profil,0))&lt;&gt;"",INDEX(Profile!$G$5:$G$304,MATCH($D148,lst_Profil,0)),$H$4),$H$4))</f>
        <v/>
      </c>
      <c r="S148" s="12" t="str">
        <f aca="false">IF($D148="","",IFERROR(IF(INDEX(Profile!$H$5:$H$304,MATCH($D148,lst_Profil,0))&lt;&gt;"",INDEX(Profile!$H$5:$H$304,MATCH($D148,lst_Profil,0)),$H$5),$H$5))</f>
        <v/>
      </c>
      <c r="T148" s="16" t="str">
        <f aca="false">IF(OR(Q148="",NOT(ISNUMBER(R148)),NOT(ISNUMBER(S148))),"",Q148-R148-S148)</f>
        <v/>
      </c>
      <c r="U148" s="26" t="str">
        <f aca="false">IF(OR($D148="",$E148=""),"",IF(COUNTIFS(Preise!$A$5:$A$304,$D148,Preise!$B$5:$B$304,$E148,Preise!$I$5:$I$304,"OK")&gt;0,"ja","nein"))</f>
        <v/>
      </c>
      <c r="V148" s="15" t="str">
        <f aca="false">IF(OR(M148="",$E148="",$C$8=""),"",IF(_xlfn.MINIFS(Schneiddaten!$C$5:$C$304,Schneiddaten!$A$5:$A$304,$C$8,Schneiddaten!$B$5:$B$304,$E148,Schneiddaten!$C$5:$C$304,"&gt;="&amp;M148)=0,"",SUMIFS(Schneiddaten!$D$5:$D$304,Schneiddaten!$A$5:$A$304,$C$8,Schneiddaten!$B$5:$B$304,$E148,Schneiddaten!$C$5:$C$304,_xlfn.MINIFS(Schneiddaten!$C$5:$C$304,Schneiddaten!$A$5:$A$304,$C$8,Schneiddaten!$B$5:$B$304,$E148,Schneiddaten!$C$5:$C$304,"&gt;="&amp;M148))))</f>
        <v/>
      </c>
      <c r="W148" s="26" t="str">
        <f aca="false">IF(AND($D148="",$E148="",$F148="",$G148=""),"",IF(ISNA(MATCH($D148,lst_Profil,0)),"FEHLER: Profil unbekannt",IF(ISNA(MATCH($E148,lst_Werkstoff,0)),"FEHLER: Werkstoff unbekannt",IF(NOT(ISNUMBER(L148)),"FEHLER: Querschnitt fehlt (Profil)",IF(OR($F148="",$F148&lt;=0),"FEHLER: Teilelänge fehlt",IF(OR($G148="",$G148&lt;1),"FEHLER: Stückzahl fehlt",IF(NOT(ISNUMBER($H$4)),"FEHLER: Maschine fehlt/unbekannt",IF(Q148&gt;$H$7,"FEHLER: Stange länger als Maschine zulässt",IF($F148+$H$6&gt;T148,"FEHLER: Teil länger als Nutzlänge",IF(U148="nein","WARNUNG: kein gültiger Materialpreis",IF($H148="","HINWEIS: Schneidweg fehlt",IF(V148="","HINWEIS: keine Schneiddaten",IF(AND($AF148&lt;&gt;"",$AG148=""),"HINWEIS: Gewinde-Vorschlag prüfen","OK")))))))))))))</f>
        <v/>
      </c>
      <c r="X148" s="18" t="str">
        <f aca="false">IF(OR(O148="",$G148=""),"",O148*$G148)</f>
        <v/>
      </c>
      <c r="Y148" s="10"/>
      <c r="Z148" s="21"/>
      <c r="AA148" s="10"/>
      <c r="AB148" s="21"/>
      <c r="AC148" s="21"/>
      <c r="AD148" s="21"/>
      <c r="AE148" s="10"/>
      <c r="AF148" s="10"/>
      <c r="AG148" s="10"/>
      <c r="AH148" s="22"/>
      <c r="AI148" s="21"/>
      <c r="AJ148" s="22"/>
      <c r="AK148" s="21"/>
      <c r="AL148" s="22"/>
      <c r="AM148" s="21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21"/>
      <c r="G149" s="19"/>
      <c r="H149" s="21"/>
      <c r="I149" s="22"/>
      <c r="J149" s="19"/>
      <c r="K149" s="23" t="str">
        <f aca="false">IF($D149="","",IFERROR(INDEX(Profile!$B$5:$B$304,MATCH($D149,lst_Profil,0)),""))</f>
        <v/>
      </c>
      <c r="L149" s="13" t="str">
        <f aca="false">IF($D149="","",IFERROR(INDEX(Profile!$K$5:$K$304,MATCH($D149,lst_Profil,0))+0,""))</f>
        <v/>
      </c>
      <c r="M149" s="24" t="str">
        <f aca="false">IF($D149="","",IFERROR(INDEX(Profile!$E$5:$E$304,MATCH($D149,lst_Profil,0))+0,""))</f>
        <v/>
      </c>
      <c r="N149" s="25" t="str">
        <f aca="false">IF(OR(L149="",$E149=""),"",IFERROR(L149*INDEX(Werkstoffe!$E$5:$E$304,MATCH($E149,lst_Werkstoff,0))/1000,""))</f>
        <v/>
      </c>
      <c r="O149" s="25" t="str">
        <f aca="false">IF(OR(N149="",$F149=""),"",N149*$F149/1000)</f>
        <v/>
      </c>
      <c r="P149" s="16" t="str">
        <f aca="false">IF(OR($F149="",$G149=""),"",$F149*$G149)</f>
        <v/>
      </c>
      <c r="Q149" s="16" t="str">
        <f aca="false">IF($D149="","",IF($J149&lt;&gt;"",$J149,$C$9))</f>
        <v/>
      </c>
      <c r="R149" s="12" t="str">
        <f aca="false">IF($D149="","",IFERROR(IF(INDEX(Profile!$G$5:$G$304,MATCH($D149,lst_Profil,0))&lt;&gt;"",INDEX(Profile!$G$5:$G$304,MATCH($D149,lst_Profil,0)),$H$4),$H$4))</f>
        <v/>
      </c>
      <c r="S149" s="12" t="str">
        <f aca="false">IF($D149="","",IFERROR(IF(INDEX(Profile!$H$5:$H$304,MATCH($D149,lst_Profil,0))&lt;&gt;"",INDEX(Profile!$H$5:$H$304,MATCH($D149,lst_Profil,0)),$H$5),$H$5))</f>
        <v/>
      </c>
      <c r="T149" s="16" t="str">
        <f aca="false">IF(OR(Q149="",NOT(ISNUMBER(R149)),NOT(ISNUMBER(S149))),"",Q149-R149-S149)</f>
        <v/>
      </c>
      <c r="U149" s="26" t="str">
        <f aca="false">IF(OR($D149="",$E149=""),"",IF(COUNTIFS(Preise!$A$5:$A$304,$D149,Preise!$B$5:$B$304,$E149,Preise!$I$5:$I$304,"OK")&gt;0,"ja","nein"))</f>
        <v/>
      </c>
      <c r="V149" s="15" t="str">
        <f aca="false">IF(OR(M149="",$E149="",$C$8=""),"",IF(_xlfn.MINIFS(Schneiddaten!$C$5:$C$304,Schneiddaten!$A$5:$A$304,$C$8,Schneiddaten!$B$5:$B$304,$E149,Schneiddaten!$C$5:$C$304,"&gt;="&amp;M149)=0,"",SUMIFS(Schneiddaten!$D$5:$D$304,Schneiddaten!$A$5:$A$304,$C$8,Schneiddaten!$B$5:$B$304,$E149,Schneiddaten!$C$5:$C$304,_xlfn.MINIFS(Schneiddaten!$C$5:$C$304,Schneiddaten!$A$5:$A$304,$C$8,Schneiddaten!$B$5:$B$304,$E149,Schneiddaten!$C$5:$C$304,"&gt;="&amp;M149))))</f>
        <v/>
      </c>
      <c r="W149" s="26" t="str">
        <f aca="false">IF(AND($D149="",$E149="",$F149="",$G149=""),"",IF(ISNA(MATCH($D149,lst_Profil,0)),"FEHLER: Profil unbekannt",IF(ISNA(MATCH($E149,lst_Werkstoff,0)),"FEHLER: Werkstoff unbekannt",IF(NOT(ISNUMBER(L149)),"FEHLER: Querschnitt fehlt (Profil)",IF(OR($F149="",$F149&lt;=0),"FEHLER: Teilelänge fehlt",IF(OR($G149="",$G149&lt;1),"FEHLER: Stückzahl fehlt",IF(NOT(ISNUMBER($H$4)),"FEHLER: Maschine fehlt/unbekannt",IF(Q149&gt;$H$7,"FEHLER: Stange länger als Maschine zulässt",IF($F149+$H$6&gt;T149,"FEHLER: Teil länger als Nutzlänge",IF(U149="nein","WARNUNG: kein gültiger Materialpreis",IF($H149="","HINWEIS: Schneidweg fehlt",IF(V149="","HINWEIS: keine Schneiddaten",IF(AND($AF149&lt;&gt;"",$AG149=""),"HINWEIS: Gewinde-Vorschlag prüfen","OK")))))))))))))</f>
        <v/>
      </c>
      <c r="X149" s="18" t="str">
        <f aca="false">IF(OR(O149="",$G149=""),"",O149*$G149)</f>
        <v/>
      </c>
      <c r="Y149" s="10"/>
      <c r="Z149" s="21"/>
      <c r="AA149" s="10"/>
      <c r="AB149" s="21"/>
      <c r="AC149" s="21"/>
      <c r="AD149" s="21"/>
      <c r="AE149" s="10"/>
      <c r="AF149" s="10"/>
      <c r="AG149" s="10"/>
      <c r="AH149" s="22"/>
      <c r="AI149" s="21"/>
      <c r="AJ149" s="22"/>
      <c r="AK149" s="21"/>
      <c r="AL149" s="22"/>
      <c r="AM149" s="21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21"/>
      <c r="G150" s="19"/>
      <c r="H150" s="21"/>
      <c r="I150" s="22"/>
      <c r="J150" s="19"/>
      <c r="K150" s="23" t="str">
        <f aca="false">IF($D150="","",IFERROR(INDEX(Profile!$B$5:$B$304,MATCH($D150,lst_Profil,0)),""))</f>
        <v/>
      </c>
      <c r="L150" s="13" t="str">
        <f aca="false">IF($D150="","",IFERROR(INDEX(Profile!$K$5:$K$304,MATCH($D150,lst_Profil,0))+0,""))</f>
        <v/>
      </c>
      <c r="M150" s="24" t="str">
        <f aca="false">IF($D150="","",IFERROR(INDEX(Profile!$E$5:$E$304,MATCH($D150,lst_Profil,0))+0,""))</f>
        <v/>
      </c>
      <c r="N150" s="25" t="str">
        <f aca="false">IF(OR(L150="",$E150=""),"",IFERROR(L150*INDEX(Werkstoffe!$E$5:$E$304,MATCH($E150,lst_Werkstoff,0))/1000,""))</f>
        <v/>
      </c>
      <c r="O150" s="25" t="str">
        <f aca="false">IF(OR(N150="",$F150=""),"",N150*$F150/1000)</f>
        <v/>
      </c>
      <c r="P150" s="16" t="str">
        <f aca="false">IF(OR($F150="",$G150=""),"",$F150*$G150)</f>
        <v/>
      </c>
      <c r="Q150" s="16" t="str">
        <f aca="false">IF($D150="","",IF($J150&lt;&gt;"",$J150,$C$9))</f>
        <v/>
      </c>
      <c r="R150" s="12" t="str">
        <f aca="false">IF($D150="","",IFERROR(IF(INDEX(Profile!$G$5:$G$304,MATCH($D150,lst_Profil,0))&lt;&gt;"",INDEX(Profile!$G$5:$G$304,MATCH($D150,lst_Profil,0)),$H$4),$H$4))</f>
        <v/>
      </c>
      <c r="S150" s="12" t="str">
        <f aca="false">IF($D150="","",IFERROR(IF(INDEX(Profile!$H$5:$H$304,MATCH($D150,lst_Profil,0))&lt;&gt;"",INDEX(Profile!$H$5:$H$304,MATCH($D150,lst_Profil,0)),$H$5),$H$5))</f>
        <v/>
      </c>
      <c r="T150" s="16" t="str">
        <f aca="false">IF(OR(Q150="",NOT(ISNUMBER(R150)),NOT(ISNUMBER(S150))),"",Q150-R150-S150)</f>
        <v/>
      </c>
      <c r="U150" s="26" t="str">
        <f aca="false">IF(OR($D150="",$E150=""),"",IF(COUNTIFS(Preise!$A$5:$A$304,$D150,Preise!$B$5:$B$304,$E150,Preise!$I$5:$I$304,"OK")&gt;0,"ja","nein"))</f>
        <v/>
      </c>
      <c r="V150" s="15" t="str">
        <f aca="false">IF(OR(M150="",$E150="",$C$8=""),"",IF(_xlfn.MINIFS(Schneiddaten!$C$5:$C$304,Schneiddaten!$A$5:$A$304,$C$8,Schneiddaten!$B$5:$B$304,$E150,Schneiddaten!$C$5:$C$304,"&gt;="&amp;M150)=0,"",SUMIFS(Schneiddaten!$D$5:$D$304,Schneiddaten!$A$5:$A$304,$C$8,Schneiddaten!$B$5:$B$304,$E150,Schneiddaten!$C$5:$C$304,_xlfn.MINIFS(Schneiddaten!$C$5:$C$304,Schneiddaten!$A$5:$A$304,$C$8,Schneiddaten!$B$5:$B$304,$E150,Schneiddaten!$C$5:$C$304,"&gt;="&amp;M150))))</f>
        <v/>
      </c>
      <c r="W150" s="26" t="str">
        <f aca="false">IF(AND($D150="",$E150="",$F150="",$G150=""),"",IF(ISNA(MATCH($D150,lst_Profil,0)),"FEHLER: Profil unbekannt",IF(ISNA(MATCH($E150,lst_Werkstoff,0)),"FEHLER: Werkstoff unbekannt",IF(NOT(ISNUMBER(L150)),"FEHLER: Querschnitt fehlt (Profil)",IF(OR($F150="",$F150&lt;=0),"FEHLER: Teilelänge fehlt",IF(OR($G150="",$G150&lt;1),"FEHLER: Stückzahl fehlt",IF(NOT(ISNUMBER($H$4)),"FEHLER: Maschine fehlt/unbekannt",IF(Q150&gt;$H$7,"FEHLER: Stange länger als Maschine zulässt",IF($F150+$H$6&gt;T150,"FEHLER: Teil länger als Nutzlänge",IF(U150="nein","WARNUNG: kein gültiger Materialpreis",IF($H150="","HINWEIS: Schneidweg fehlt",IF(V150="","HINWEIS: keine Schneiddaten",IF(AND($AF150&lt;&gt;"",$AG150=""),"HINWEIS: Gewinde-Vorschlag prüfen","OK")))))))))))))</f>
        <v/>
      </c>
      <c r="X150" s="18" t="str">
        <f aca="false">IF(OR(O150="",$G150=""),"",O150*$G150)</f>
        <v/>
      </c>
      <c r="Y150" s="10"/>
      <c r="Z150" s="21"/>
      <c r="AA150" s="10"/>
      <c r="AB150" s="21"/>
      <c r="AC150" s="21"/>
      <c r="AD150" s="21"/>
      <c r="AE150" s="10"/>
      <c r="AF150" s="10"/>
      <c r="AG150" s="10"/>
      <c r="AH150" s="22"/>
      <c r="AI150" s="21"/>
      <c r="AJ150" s="22"/>
      <c r="AK150" s="21"/>
      <c r="AL150" s="22"/>
      <c r="AM150" s="21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21"/>
      <c r="G151" s="19"/>
      <c r="H151" s="21"/>
      <c r="I151" s="22"/>
      <c r="J151" s="19"/>
      <c r="K151" s="23" t="str">
        <f aca="false">IF($D151="","",IFERROR(INDEX(Profile!$B$5:$B$304,MATCH($D151,lst_Profil,0)),""))</f>
        <v/>
      </c>
      <c r="L151" s="13" t="str">
        <f aca="false">IF($D151="","",IFERROR(INDEX(Profile!$K$5:$K$304,MATCH($D151,lst_Profil,0))+0,""))</f>
        <v/>
      </c>
      <c r="M151" s="24" t="str">
        <f aca="false">IF($D151="","",IFERROR(INDEX(Profile!$E$5:$E$304,MATCH($D151,lst_Profil,0))+0,""))</f>
        <v/>
      </c>
      <c r="N151" s="25" t="str">
        <f aca="false">IF(OR(L151="",$E151=""),"",IFERROR(L151*INDEX(Werkstoffe!$E$5:$E$304,MATCH($E151,lst_Werkstoff,0))/1000,""))</f>
        <v/>
      </c>
      <c r="O151" s="25" t="str">
        <f aca="false">IF(OR(N151="",$F151=""),"",N151*$F151/1000)</f>
        <v/>
      </c>
      <c r="P151" s="16" t="str">
        <f aca="false">IF(OR($F151="",$G151=""),"",$F151*$G151)</f>
        <v/>
      </c>
      <c r="Q151" s="16" t="str">
        <f aca="false">IF($D151="","",IF($J151&lt;&gt;"",$J151,$C$9))</f>
        <v/>
      </c>
      <c r="R151" s="12" t="str">
        <f aca="false">IF($D151="","",IFERROR(IF(INDEX(Profile!$G$5:$G$304,MATCH($D151,lst_Profil,0))&lt;&gt;"",INDEX(Profile!$G$5:$G$304,MATCH($D151,lst_Profil,0)),$H$4),$H$4))</f>
        <v/>
      </c>
      <c r="S151" s="12" t="str">
        <f aca="false">IF($D151="","",IFERROR(IF(INDEX(Profile!$H$5:$H$304,MATCH($D151,lst_Profil,0))&lt;&gt;"",INDEX(Profile!$H$5:$H$304,MATCH($D151,lst_Profil,0)),$H$5),$H$5))</f>
        <v/>
      </c>
      <c r="T151" s="16" t="str">
        <f aca="false">IF(OR(Q151="",NOT(ISNUMBER(R151)),NOT(ISNUMBER(S151))),"",Q151-R151-S151)</f>
        <v/>
      </c>
      <c r="U151" s="26" t="str">
        <f aca="false">IF(OR($D151="",$E151=""),"",IF(COUNTIFS(Preise!$A$5:$A$304,$D151,Preise!$B$5:$B$304,$E151,Preise!$I$5:$I$304,"OK")&gt;0,"ja","nein"))</f>
        <v/>
      </c>
      <c r="V151" s="15" t="str">
        <f aca="false">IF(OR(M151="",$E151="",$C$8=""),"",IF(_xlfn.MINIFS(Schneiddaten!$C$5:$C$304,Schneiddaten!$A$5:$A$304,$C$8,Schneiddaten!$B$5:$B$304,$E151,Schneiddaten!$C$5:$C$304,"&gt;="&amp;M151)=0,"",SUMIFS(Schneiddaten!$D$5:$D$304,Schneiddaten!$A$5:$A$304,$C$8,Schneiddaten!$B$5:$B$304,$E151,Schneiddaten!$C$5:$C$304,_xlfn.MINIFS(Schneiddaten!$C$5:$C$304,Schneiddaten!$A$5:$A$304,$C$8,Schneiddaten!$B$5:$B$304,$E151,Schneiddaten!$C$5:$C$304,"&gt;="&amp;M151))))</f>
        <v/>
      </c>
      <c r="W151" s="26" t="str">
        <f aca="false">IF(AND($D151="",$E151="",$F151="",$G151=""),"",IF(ISNA(MATCH($D151,lst_Profil,0)),"FEHLER: Profil unbekannt",IF(ISNA(MATCH($E151,lst_Werkstoff,0)),"FEHLER: Werkstoff unbekannt",IF(NOT(ISNUMBER(L151)),"FEHLER: Querschnitt fehlt (Profil)",IF(OR($F151="",$F151&lt;=0),"FEHLER: Teilelänge fehlt",IF(OR($G151="",$G151&lt;1),"FEHLER: Stückzahl fehlt",IF(NOT(ISNUMBER($H$4)),"FEHLER: Maschine fehlt/unbekannt",IF(Q151&gt;$H$7,"FEHLER: Stange länger als Maschine zulässt",IF($F151+$H$6&gt;T151,"FEHLER: Teil länger als Nutzlänge",IF(U151="nein","WARNUNG: kein gültiger Materialpreis",IF($H151="","HINWEIS: Schneidweg fehlt",IF(V151="","HINWEIS: keine Schneiddaten",IF(AND($AF151&lt;&gt;"",$AG151=""),"HINWEIS: Gewinde-Vorschlag prüfen","OK")))))))))))))</f>
        <v/>
      </c>
      <c r="X151" s="18" t="str">
        <f aca="false">IF(OR(O151="",$G151=""),"",O151*$G151)</f>
        <v/>
      </c>
      <c r="Y151" s="10"/>
      <c r="Z151" s="21"/>
      <c r="AA151" s="10"/>
      <c r="AB151" s="21"/>
      <c r="AC151" s="21"/>
      <c r="AD151" s="21"/>
      <c r="AE151" s="10"/>
      <c r="AF151" s="10"/>
      <c r="AG151" s="10"/>
      <c r="AH151" s="22"/>
      <c r="AI151" s="21"/>
      <c r="AJ151" s="22"/>
      <c r="AK151" s="21"/>
      <c r="AL151" s="22"/>
      <c r="AM151" s="21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21"/>
      <c r="G152" s="19"/>
      <c r="H152" s="21"/>
      <c r="I152" s="22"/>
      <c r="J152" s="19"/>
      <c r="K152" s="23" t="str">
        <f aca="false">IF($D152="","",IFERROR(INDEX(Profile!$B$5:$B$304,MATCH($D152,lst_Profil,0)),""))</f>
        <v/>
      </c>
      <c r="L152" s="13" t="str">
        <f aca="false">IF($D152="","",IFERROR(INDEX(Profile!$K$5:$K$304,MATCH($D152,lst_Profil,0))+0,""))</f>
        <v/>
      </c>
      <c r="M152" s="24" t="str">
        <f aca="false">IF($D152="","",IFERROR(INDEX(Profile!$E$5:$E$304,MATCH($D152,lst_Profil,0))+0,""))</f>
        <v/>
      </c>
      <c r="N152" s="25" t="str">
        <f aca="false">IF(OR(L152="",$E152=""),"",IFERROR(L152*INDEX(Werkstoffe!$E$5:$E$304,MATCH($E152,lst_Werkstoff,0))/1000,""))</f>
        <v/>
      </c>
      <c r="O152" s="25" t="str">
        <f aca="false">IF(OR(N152="",$F152=""),"",N152*$F152/1000)</f>
        <v/>
      </c>
      <c r="P152" s="16" t="str">
        <f aca="false">IF(OR($F152="",$G152=""),"",$F152*$G152)</f>
        <v/>
      </c>
      <c r="Q152" s="16" t="str">
        <f aca="false">IF($D152="","",IF($J152&lt;&gt;"",$J152,$C$9))</f>
        <v/>
      </c>
      <c r="R152" s="12" t="str">
        <f aca="false">IF($D152="","",IFERROR(IF(INDEX(Profile!$G$5:$G$304,MATCH($D152,lst_Profil,0))&lt;&gt;"",INDEX(Profile!$G$5:$G$304,MATCH($D152,lst_Profil,0)),$H$4),$H$4))</f>
        <v/>
      </c>
      <c r="S152" s="12" t="str">
        <f aca="false">IF($D152="","",IFERROR(IF(INDEX(Profile!$H$5:$H$304,MATCH($D152,lst_Profil,0))&lt;&gt;"",INDEX(Profile!$H$5:$H$304,MATCH($D152,lst_Profil,0)),$H$5),$H$5))</f>
        <v/>
      </c>
      <c r="T152" s="16" t="str">
        <f aca="false">IF(OR(Q152="",NOT(ISNUMBER(R152)),NOT(ISNUMBER(S152))),"",Q152-R152-S152)</f>
        <v/>
      </c>
      <c r="U152" s="26" t="str">
        <f aca="false">IF(OR($D152="",$E152=""),"",IF(COUNTIFS(Preise!$A$5:$A$304,$D152,Preise!$B$5:$B$304,$E152,Preise!$I$5:$I$304,"OK")&gt;0,"ja","nein"))</f>
        <v/>
      </c>
      <c r="V152" s="15" t="str">
        <f aca="false">IF(OR(M152="",$E152="",$C$8=""),"",IF(_xlfn.MINIFS(Schneiddaten!$C$5:$C$304,Schneiddaten!$A$5:$A$304,$C$8,Schneiddaten!$B$5:$B$304,$E152,Schneiddaten!$C$5:$C$304,"&gt;="&amp;M152)=0,"",SUMIFS(Schneiddaten!$D$5:$D$304,Schneiddaten!$A$5:$A$304,$C$8,Schneiddaten!$B$5:$B$304,$E152,Schneiddaten!$C$5:$C$304,_xlfn.MINIFS(Schneiddaten!$C$5:$C$304,Schneiddaten!$A$5:$A$304,$C$8,Schneiddaten!$B$5:$B$304,$E152,Schneiddaten!$C$5:$C$304,"&gt;="&amp;M152))))</f>
        <v/>
      </c>
      <c r="W152" s="26" t="str">
        <f aca="false">IF(AND($D152="",$E152="",$F152="",$G152=""),"",IF(ISNA(MATCH($D152,lst_Profil,0)),"FEHLER: Profil unbekannt",IF(ISNA(MATCH($E152,lst_Werkstoff,0)),"FEHLER: Werkstoff unbekannt",IF(NOT(ISNUMBER(L152)),"FEHLER: Querschnitt fehlt (Profil)",IF(OR($F152="",$F152&lt;=0),"FEHLER: Teilelänge fehlt",IF(OR($G152="",$G152&lt;1),"FEHLER: Stückzahl fehlt",IF(NOT(ISNUMBER($H$4)),"FEHLER: Maschine fehlt/unbekannt",IF(Q152&gt;$H$7,"FEHLER: Stange länger als Maschine zulässt",IF($F152+$H$6&gt;T152,"FEHLER: Teil länger als Nutzlänge",IF(U152="nein","WARNUNG: kein gültiger Materialpreis",IF($H152="","HINWEIS: Schneidweg fehlt",IF(V152="","HINWEIS: keine Schneiddaten",IF(AND($AF152&lt;&gt;"",$AG152=""),"HINWEIS: Gewinde-Vorschlag prüfen","OK")))))))))))))</f>
        <v/>
      </c>
      <c r="X152" s="18" t="str">
        <f aca="false">IF(OR(O152="",$G152=""),"",O152*$G152)</f>
        <v/>
      </c>
      <c r="Y152" s="10"/>
      <c r="Z152" s="21"/>
      <c r="AA152" s="10"/>
      <c r="AB152" s="21"/>
      <c r="AC152" s="21"/>
      <c r="AD152" s="21"/>
      <c r="AE152" s="10"/>
      <c r="AF152" s="10"/>
      <c r="AG152" s="10"/>
      <c r="AH152" s="22"/>
      <c r="AI152" s="21"/>
      <c r="AJ152" s="22"/>
      <c r="AK152" s="21"/>
      <c r="AL152" s="22"/>
      <c r="AM152" s="21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21"/>
      <c r="G153" s="19"/>
      <c r="H153" s="21"/>
      <c r="I153" s="22"/>
      <c r="J153" s="19"/>
      <c r="K153" s="23" t="str">
        <f aca="false">IF($D153="","",IFERROR(INDEX(Profile!$B$5:$B$304,MATCH($D153,lst_Profil,0)),""))</f>
        <v/>
      </c>
      <c r="L153" s="13" t="str">
        <f aca="false">IF($D153="","",IFERROR(INDEX(Profile!$K$5:$K$304,MATCH($D153,lst_Profil,0))+0,""))</f>
        <v/>
      </c>
      <c r="M153" s="24" t="str">
        <f aca="false">IF($D153="","",IFERROR(INDEX(Profile!$E$5:$E$304,MATCH($D153,lst_Profil,0))+0,""))</f>
        <v/>
      </c>
      <c r="N153" s="25" t="str">
        <f aca="false">IF(OR(L153="",$E153=""),"",IFERROR(L153*INDEX(Werkstoffe!$E$5:$E$304,MATCH($E153,lst_Werkstoff,0))/1000,""))</f>
        <v/>
      </c>
      <c r="O153" s="25" t="str">
        <f aca="false">IF(OR(N153="",$F153=""),"",N153*$F153/1000)</f>
        <v/>
      </c>
      <c r="P153" s="16" t="str">
        <f aca="false">IF(OR($F153="",$G153=""),"",$F153*$G153)</f>
        <v/>
      </c>
      <c r="Q153" s="16" t="str">
        <f aca="false">IF($D153="","",IF($J153&lt;&gt;"",$J153,$C$9))</f>
        <v/>
      </c>
      <c r="R153" s="12" t="str">
        <f aca="false">IF($D153="","",IFERROR(IF(INDEX(Profile!$G$5:$G$304,MATCH($D153,lst_Profil,0))&lt;&gt;"",INDEX(Profile!$G$5:$G$304,MATCH($D153,lst_Profil,0)),$H$4),$H$4))</f>
        <v/>
      </c>
      <c r="S153" s="12" t="str">
        <f aca="false">IF($D153="","",IFERROR(IF(INDEX(Profile!$H$5:$H$304,MATCH($D153,lst_Profil,0))&lt;&gt;"",INDEX(Profile!$H$5:$H$304,MATCH($D153,lst_Profil,0)),$H$5),$H$5))</f>
        <v/>
      </c>
      <c r="T153" s="16" t="str">
        <f aca="false">IF(OR(Q153="",NOT(ISNUMBER(R153)),NOT(ISNUMBER(S153))),"",Q153-R153-S153)</f>
        <v/>
      </c>
      <c r="U153" s="26" t="str">
        <f aca="false">IF(OR($D153="",$E153=""),"",IF(COUNTIFS(Preise!$A$5:$A$304,$D153,Preise!$B$5:$B$304,$E153,Preise!$I$5:$I$304,"OK")&gt;0,"ja","nein"))</f>
        <v/>
      </c>
      <c r="V153" s="15" t="str">
        <f aca="false">IF(OR(M153="",$E153="",$C$8=""),"",IF(_xlfn.MINIFS(Schneiddaten!$C$5:$C$304,Schneiddaten!$A$5:$A$304,$C$8,Schneiddaten!$B$5:$B$304,$E153,Schneiddaten!$C$5:$C$304,"&gt;="&amp;M153)=0,"",SUMIFS(Schneiddaten!$D$5:$D$304,Schneiddaten!$A$5:$A$304,$C$8,Schneiddaten!$B$5:$B$304,$E153,Schneiddaten!$C$5:$C$304,_xlfn.MINIFS(Schneiddaten!$C$5:$C$304,Schneiddaten!$A$5:$A$304,$C$8,Schneiddaten!$B$5:$B$304,$E153,Schneiddaten!$C$5:$C$304,"&gt;="&amp;M153))))</f>
        <v/>
      </c>
      <c r="W153" s="26" t="str">
        <f aca="false">IF(AND($D153="",$E153="",$F153="",$G153=""),"",IF(ISNA(MATCH($D153,lst_Profil,0)),"FEHLER: Profil unbekannt",IF(ISNA(MATCH($E153,lst_Werkstoff,0)),"FEHLER: Werkstoff unbekannt",IF(NOT(ISNUMBER(L153)),"FEHLER: Querschnitt fehlt (Profil)",IF(OR($F153="",$F153&lt;=0),"FEHLER: Teilelänge fehlt",IF(OR($G153="",$G153&lt;1),"FEHLER: Stückzahl fehlt",IF(NOT(ISNUMBER($H$4)),"FEHLER: Maschine fehlt/unbekannt",IF(Q153&gt;$H$7,"FEHLER: Stange länger als Maschine zulässt",IF($F153+$H$6&gt;T153,"FEHLER: Teil länger als Nutzlänge",IF(U153="nein","WARNUNG: kein gültiger Materialpreis",IF($H153="","HINWEIS: Schneidweg fehlt",IF(V153="","HINWEIS: keine Schneiddaten",IF(AND($AF153&lt;&gt;"",$AG153=""),"HINWEIS: Gewinde-Vorschlag prüfen","OK")))))))))))))</f>
        <v/>
      </c>
      <c r="X153" s="18" t="str">
        <f aca="false">IF(OR(O153="",$G153=""),"",O153*$G153)</f>
        <v/>
      </c>
      <c r="Y153" s="10"/>
      <c r="Z153" s="21"/>
      <c r="AA153" s="10"/>
      <c r="AB153" s="21"/>
      <c r="AC153" s="21"/>
      <c r="AD153" s="21"/>
      <c r="AE153" s="10"/>
      <c r="AF153" s="10"/>
      <c r="AG153" s="10"/>
      <c r="AH153" s="22"/>
      <c r="AI153" s="21"/>
      <c r="AJ153" s="22"/>
      <c r="AK153" s="21"/>
      <c r="AL153" s="22"/>
      <c r="AM153" s="21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21"/>
      <c r="G154" s="19"/>
      <c r="H154" s="21"/>
      <c r="I154" s="22"/>
      <c r="J154" s="19"/>
      <c r="K154" s="23" t="str">
        <f aca="false">IF($D154="","",IFERROR(INDEX(Profile!$B$5:$B$304,MATCH($D154,lst_Profil,0)),""))</f>
        <v/>
      </c>
      <c r="L154" s="13" t="str">
        <f aca="false">IF($D154="","",IFERROR(INDEX(Profile!$K$5:$K$304,MATCH($D154,lst_Profil,0))+0,""))</f>
        <v/>
      </c>
      <c r="M154" s="24" t="str">
        <f aca="false">IF($D154="","",IFERROR(INDEX(Profile!$E$5:$E$304,MATCH($D154,lst_Profil,0))+0,""))</f>
        <v/>
      </c>
      <c r="N154" s="25" t="str">
        <f aca="false">IF(OR(L154="",$E154=""),"",IFERROR(L154*INDEX(Werkstoffe!$E$5:$E$304,MATCH($E154,lst_Werkstoff,0))/1000,""))</f>
        <v/>
      </c>
      <c r="O154" s="25" t="str">
        <f aca="false">IF(OR(N154="",$F154=""),"",N154*$F154/1000)</f>
        <v/>
      </c>
      <c r="P154" s="16" t="str">
        <f aca="false">IF(OR($F154="",$G154=""),"",$F154*$G154)</f>
        <v/>
      </c>
      <c r="Q154" s="16" t="str">
        <f aca="false">IF($D154="","",IF($J154&lt;&gt;"",$J154,$C$9))</f>
        <v/>
      </c>
      <c r="R154" s="12" t="str">
        <f aca="false">IF($D154="","",IFERROR(IF(INDEX(Profile!$G$5:$G$304,MATCH($D154,lst_Profil,0))&lt;&gt;"",INDEX(Profile!$G$5:$G$304,MATCH($D154,lst_Profil,0)),$H$4),$H$4))</f>
        <v/>
      </c>
      <c r="S154" s="12" t="str">
        <f aca="false">IF($D154="","",IFERROR(IF(INDEX(Profile!$H$5:$H$304,MATCH($D154,lst_Profil,0))&lt;&gt;"",INDEX(Profile!$H$5:$H$304,MATCH($D154,lst_Profil,0)),$H$5),$H$5))</f>
        <v/>
      </c>
      <c r="T154" s="16" t="str">
        <f aca="false">IF(OR(Q154="",NOT(ISNUMBER(R154)),NOT(ISNUMBER(S154))),"",Q154-R154-S154)</f>
        <v/>
      </c>
      <c r="U154" s="26" t="str">
        <f aca="false">IF(OR($D154="",$E154=""),"",IF(COUNTIFS(Preise!$A$5:$A$304,$D154,Preise!$B$5:$B$304,$E154,Preise!$I$5:$I$304,"OK")&gt;0,"ja","nein"))</f>
        <v/>
      </c>
      <c r="V154" s="15" t="str">
        <f aca="false">IF(OR(M154="",$E154="",$C$8=""),"",IF(_xlfn.MINIFS(Schneiddaten!$C$5:$C$304,Schneiddaten!$A$5:$A$304,$C$8,Schneiddaten!$B$5:$B$304,$E154,Schneiddaten!$C$5:$C$304,"&gt;="&amp;M154)=0,"",SUMIFS(Schneiddaten!$D$5:$D$304,Schneiddaten!$A$5:$A$304,$C$8,Schneiddaten!$B$5:$B$304,$E154,Schneiddaten!$C$5:$C$304,_xlfn.MINIFS(Schneiddaten!$C$5:$C$304,Schneiddaten!$A$5:$A$304,$C$8,Schneiddaten!$B$5:$B$304,$E154,Schneiddaten!$C$5:$C$304,"&gt;="&amp;M154))))</f>
        <v/>
      </c>
      <c r="W154" s="26" t="str">
        <f aca="false">IF(AND($D154="",$E154="",$F154="",$G154=""),"",IF(ISNA(MATCH($D154,lst_Profil,0)),"FEHLER: Profil unbekannt",IF(ISNA(MATCH($E154,lst_Werkstoff,0)),"FEHLER: Werkstoff unbekannt",IF(NOT(ISNUMBER(L154)),"FEHLER: Querschnitt fehlt (Profil)",IF(OR($F154="",$F154&lt;=0),"FEHLER: Teilelänge fehlt",IF(OR($G154="",$G154&lt;1),"FEHLER: Stückzahl fehlt",IF(NOT(ISNUMBER($H$4)),"FEHLER: Maschine fehlt/unbekannt",IF(Q154&gt;$H$7,"FEHLER: Stange länger als Maschine zulässt",IF($F154+$H$6&gt;T154,"FEHLER: Teil länger als Nutzlänge",IF(U154="nein","WARNUNG: kein gültiger Materialpreis",IF($H154="","HINWEIS: Schneidweg fehlt",IF(V154="","HINWEIS: keine Schneiddaten",IF(AND($AF154&lt;&gt;"",$AG154=""),"HINWEIS: Gewinde-Vorschlag prüfen","OK")))))))))))))</f>
        <v/>
      </c>
      <c r="X154" s="18" t="str">
        <f aca="false">IF(OR(O154="",$G154=""),"",O154*$G154)</f>
        <v/>
      </c>
      <c r="Y154" s="10"/>
      <c r="Z154" s="21"/>
      <c r="AA154" s="10"/>
      <c r="AB154" s="21"/>
      <c r="AC154" s="21"/>
      <c r="AD154" s="21"/>
      <c r="AE154" s="10"/>
      <c r="AF154" s="10"/>
      <c r="AG154" s="10"/>
      <c r="AH154" s="22"/>
      <c r="AI154" s="21"/>
      <c r="AJ154" s="22"/>
      <c r="AK154" s="21"/>
      <c r="AL154" s="22"/>
      <c r="AM154" s="21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21"/>
      <c r="G155" s="19"/>
      <c r="H155" s="21"/>
      <c r="I155" s="22"/>
      <c r="J155" s="19"/>
      <c r="K155" s="23" t="str">
        <f aca="false">IF($D155="","",IFERROR(INDEX(Profile!$B$5:$B$304,MATCH($D155,lst_Profil,0)),""))</f>
        <v/>
      </c>
      <c r="L155" s="13" t="str">
        <f aca="false">IF($D155="","",IFERROR(INDEX(Profile!$K$5:$K$304,MATCH($D155,lst_Profil,0))+0,""))</f>
        <v/>
      </c>
      <c r="M155" s="24" t="str">
        <f aca="false">IF($D155="","",IFERROR(INDEX(Profile!$E$5:$E$304,MATCH($D155,lst_Profil,0))+0,""))</f>
        <v/>
      </c>
      <c r="N155" s="25" t="str">
        <f aca="false">IF(OR(L155="",$E155=""),"",IFERROR(L155*INDEX(Werkstoffe!$E$5:$E$304,MATCH($E155,lst_Werkstoff,0))/1000,""))</f>
        <v/>
      </c>
      <c r="O155" s="25" t="str">
        <f aca="false">IF(OR(N155="",$F155=""),"",N155*$F155/1000)</f>
        <v/>
      </c>
      <c r="P155" s="16" t="str">
        <f aca="false">IF(OR($F155="",$G155=""),"",$F155*$G155)</f>
        <v/>
      </c>
      <c r="Q155" s="16" t="str">
        <f aca="false">IF($D155="","",IF($J155&lt;&gt;"",$J155,$C$9))</f>
        <v/>
      </c>
      <c r="R155" s="12" t="str">
        <f aca="false">IF($D155="","",IFERROR(IF(INDEX(Profile!$G$5:$G$304,MATCH($D155,lst_Profil,0))&lt;&gt;"",INDEX(Profile!$G$5:$G$304,MATCH($D155,lst_Profil,0)),$H$4),$H$4))</f>
        <v/>
      </c>
      <c r="S155" s="12" t="str">
        <f aca="false">IF($D155="","",IFERROR(IF(INDEX(Profile!$H$5:$H$304,MATCH($D155,lst_Profil,0))&lt;&gt;"",INDEX(Profile!$H$5:$H$304,MATCH($D155,lst_Profil,0)),$H$5),$H$5))</f>
        <v/>
      </c>
      <c r="T155" s="16" t="str">
        <f aca="false">IF(OR(Q155="",NOT(ISNUMBER(R155)),NOT(ISNUMBER(S155))),"",Q155-R155-S155)</f>
        <v/>
      </c>
      <c r="U155" s="26" t="str">
        <f aca="false">IF(OR($D155="",$E155=""),"",IF(COUNTIFS(Preise!$A$5:$A$304,$D155,Preise!$B$5:$B$304,$E155,Preise!$I$5:$I$304,"OK")&gt;0,"ja","nein"))</f>
        <v/>
      </c>
      <c r="V155" s="15" t="str">
        <f aca="false">IF(OR(M155="",$E155="",$C$8=""),"",IF(_xlfn.MINIFS(Schneiddaten!$C$5:$C$304,Schneiddaten!$A$5:$A$304,$C$8,Schneiddaten!$B$5:$B$304,$E155,Schneiddaten!$C$5:$C$304,"&gt;="&amp;M155)=0,"",SUMIFS(Schneiddaten!$D$5:$D$304,Schneiddaten!$A$5:$A$304,$C$8,Schneiddaten!$B$5:$B$304,$E155,Schneiddaten!$C$5:$C$304,_xlfn.MINIFS(Schneiddaten!$C$5:$C$304,Schneiddaten!$A$5:$A$304,$C$8,Schneiddaten!$B$5:$B$304,$E155,Schneiddaten!$C$5:$C$304,"&gt;="&amp;M155))))</f>
        <v/>
      </c>
      <c r="W155" s="26" t="str">
        <f aca="false">IF(AND($D155="",$E155="",$F155="",$G155=""),"",IF(ISNA(MATCH($D155,lst_Profil,0)),"FEHLER: Profil unbekannt",IF(ISNA(MATCH($E155,lst_Werkstoff,0)),"FEHLER: Werkstoff unbekannt",IF(NOT(ISNUMBER(L155)),"FEHLER: Querschnitt fehlt (Profil)",IF(OR($F155="",$F155&lt;=0),"FEHLER: Teilelänge fehlt",IF(OR($G155="",$G155&lt;1),"FEHLER: Stückzahl fehlt",IF(NOT(ISNUMBER($H$4)),"FEHLER: Maschine fehlt/unbekannt",IF(Q155&gt;$H$7,"FEHLER: Stange länger als Maschine zulässt",IF($F155+$H$6&gt;T155,"FEHLER: Teil länger als Nutzlänge",IF(U155="nein","WARNUNG: kein gültiger Materialpreis",IF($H155="","HINWEIS: Schneidweg fehlt",IF(V155="","HINWEIS: keine Schneiddaten",IF(AND($AF155&lt;&gt;"",$AG155=""),"HINWEIS: Gewinde-Vorschlag prüfen","OK")))))))))))))</f>
        <v/>
      </c>
      <c r="X155" s="18" t="str">
        <f aca="false">IF(OR(O155="",$G155=""),"",O155*$G155)</f>
        <v/>
      </c>
      <c r="Y155" s="10"/>
      <c r="Z155" s="21"/>
      <c r="AA155" s="10"/>
      <c r="AB155" s="21"/>
      <c r="AC155" s="21"/>
      <c r="AD155" s="21"/>
      <c r="AE155" s="10"/>
      <c r="AF155" s="10"/>
      <c r="AG155" s="10"/>
      <c r="AH155" s="22"/>
      <c r="AI155" s="21"/>
      <c r="AJ155" s="22"/>
      <c r="AK155" s="21"/>
      <c r="AL155" s="22"/>
      <c r="AM155" s="21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21"/>
      <c r="G156" s="19"/>
      <c r="H156" s="21"/>
      <c r="I156" s="22"/>
      <c r="J156" s="19"/>
      <c r="K156" s="23" t="str">
        <f aca="false">IF($D156="","",IFERROR(INDEX(Profile!$B$5:$B$304,MATCH($D156,lst_Profil,0)),""))</f>
        <v/>
      </c>
      <c r="L156" s="13" t="str">
        <f aca="false">IF($D156="","",IFERROR(INDEX(Profile!$K$5:$K$304,MATCH($D156,lst_Profil,0))+0,""))</f>
        <v/>
      </c>
      <c r="M156" s="24" t="str">
        <f aca="false">IF($D156="","",IFERROR(INDEX(Profile!$E$5:$E$304,MATCH($D156,lst_Profil,0))+0,""))</f>
        <v/>
      </c>
      <c r="N156" s="25" t="str">
        <f aca="false">IF(OR(L156="",$E156=""),"",IFERROR(L156*INDEX(Werkstoffe!$E$5:$E$304,MATCH($E156,lst_Werkstoff,0))/1000,""))</f>
        <v/>
      </c>
      <c r="O156" s="25" t="str">
        <f aca="false">IF(OR(N156="",$F156=""),"",N156*$F156/1000)</f>
        <v/>
      </c>
      <c r="P156" s="16" t="str">
        <f aca="false">IF(OR($F156="",$G156=""),"",$F156*$G156)</f>
        <v/>
      </c>
      <c r="Q156" s="16" t="str">
        <f aca="false">IF($D156="","",IF($J156&lt;&gt;"",$J156,$C$9))</f>
        <v/>
      </c>
      <c r="R156" s="12" t="str">
        <f aca="false">IF($D156="","",IFERROR(IF(INDEX(Profile!$G$5:$G$304,MATCH($D156,lst_Profil,0))&lt;&gt;"",INDEX(Profile!$G$5:$G$304,MATCH($D156,lst_Profil,0)),$H$4),$H$4))</f>
        <v/>
      </c>
      <c r="S156" s="12" t="str">
        <f aca="false">IF($D156="","",IFERROR(IF(INDEX(Profile!$H$5:$H$304,MATCH($D156,lst_Profil,0))&lt;&gt;"",INDEX(Profile!$H$5:$H$304,MATCH($D156,lst_Profil,0)),$H$5),$H$5))</f>
        <v/>
      </c>
      <c r="T156" s="16" t="str">
        <f aca="false">IF(OR(Q156="",NOT(ISNUMBER(R156)),NOT(ISNUMBER(S156))),"",Q156-R156-S156)</f>
        <v/>
      </c>
      <c r="U156" s="26" t="str">
        <f aca="false">IF(OR($D156="",$E156=""),"",IF(COUNTIFS(Preise!$A$5:$A$304,$D156,Preise!$B$5:$B$304,$E156,Preise!$I$5:$I$304,"OK")&gt;0,"ja","nein"))</f>
        <v/>
      </c>
      <c r="V156" s="15" t="str">
        <f aca="false">IF(OR(M156="",$E156="",$C$8=""),"",IF(_xlfn.MINIFS(Schneiddaten!$C$5:$C$304,Schneiddaten!$A$5:$A$304,$C$8,Schneiddaten!$B$5:$B$304,$E156,Schneiddaten!$C$5:$C$304,"&gt;="&amp;M156)=0,"",SUMIFS(Schneiddaten!$D$5:$D$304,Schneiddaten!$A$5:$A$304,$C$8,Schneiddaten!$B$5:$B$304,$E156,Schneiddaten!$C$5:$C$304,_xlfn.MINIFS(Schneiddaten!$C$5:$C$304,Schneiddaten!$A$5:$A$304,$C$8,Schneiddaten!$B$5:$B$304,$E156,Schneiddaten!$C$5:$C$304,"&gt;="&amp;M156))))</f>
        <v/>
      </c>
      <c r="W156" s="26" t="str">
        <f aca="false">IF(AND($D156="",$E156="",$F156="",$G156=""),"",IF(ISNA(MATCH($D156,lst_Profil,0)),"FEHLER: Profil unbekannt",IF(ISNA(MATCH($E156,lst_Werkstoff,0)),"FEHLER: Werkstoff unbekannt",IF(NOT(ISNUMBER(L156)),"FEHLER: Querschnitt fehlt (Profil)",IF(OR($F156="",$F156&lt;=0),"FEHLER: Teilelänge fehlt",IF(OR($G156="",$G156&lt;1),"FEHLER: Stückzahl fehlt",IF(NOT(ISNUMBER($H$4)),"FEHLER: Maschine fehlt/unbekannt",IF(Q156&gt;$H$7,"FEHLER: Stange länger als Maschine zulässt",IF($F156+$H$6&gt;T156,"FEHLER: Teil länger als Nutzlänge",IF(U156="nein","WARNUNG: kein gültiger Materialpreis",IF($H156="","HINWEIS: Schneidweg fehlt",IF(V156="","HINWEIS: keine Schneiddaten",IF(AND($AF156&lt;&gt;"",$AG156=""),"HINWEIS: Gewinde-Vorschlag prüfen","OK")))))))))))))</f>
        <v/>
      </c>
      <c r="X156" s="18" t="str">
        <f aca="false">IF(OR(O156="",$G156=""),"",O156*$G156)</f>
        <v/>
      </c>
      <c r="Y156" s="10"/>
      <c r="Z156" s="21"/>
      <c r="AA156" s="10"/>
      <c r="AB156" s="21"/>
      <c r="AC156" s="21"/>
      <c r="AD156" s="21"/>
      <c r="AE156" s="10"/>
      <c r="AF156" s="10"/>
      <c r="AG156" s="10"/>
      <c r="AH156" s="22"/>
      <c r="AI156" s="21"/>
      <c r="AJ156" s="22"/>
      <c r="AK156" s="21"/>
      <c r="AL156" s="22"/>
      <c r="AM156" s="21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21"/>
      <c r="G157" s="19"/>
      <c r="H157" s="21"/>
      <c r="I157" s="22"/>
      <c r="J157" s="19"/>
      <c r="K157" s="23" t="str">
        <f aca="false">IF($D157="","",IFERROR(INDEX(Profile!$B$5:$B$304,MATCH($D157,lst_Profil,0)),""))</f>
        <v/>
      </c>
      <c r="L157" s="13" t="str">
        <f aca="false">IF($D157="","",IFERROR(INDEX(Profile!$K$5:$K$304,MATCH($D157,lst_Profil,0))+0,""))</f>
        <v/>
      </c>
      <c r="M157" s="24" t="str">
        <f aca="false">IF($D157="","",IFERROR(INDEX(Profile!$E$5:$E$304,MATCH($D157,lst_Profil,0))+0,""))</f>
        <v/>
      </c>
      <c r="N157" s="25" t="str">
        <f aca="false">IF(OR(L157="",$E157=""),"",IFERROR(L157*INDEX(Werkstoffe!$E$5:$E$304,MATCH($E157,lst_Werkstoff,0))/1000,""))</f>
        <v/>
      </c>
      <c r="O157" s="25" t="str">
        <f aca="false">IF(OR(N157="",$F157=""),"",N157*$F157/1000)</f>
        <v/>
      </c>
      <c r="P157" s="16" t="str">
        <f aca="false">IF(OR($F157="",$G157=""),"",$F157*$G157)</f>
        <v/>
      </c>
      <c r="Q157" s="16" t="str">
        <f aca="false">IF($D157="","",IF($J157&lt;&gt;"",$J157,$C$9))</f>
        <v/>
      </c>
      <c r="R157" s="12" t="str">
        <f aca="false">IF($D157="","",IFERROR(IF(INDEX(Profile!$G$5:$G$304,MATCH($D157,lst_Profil,0))&lt;&gt;"",INDEX(Profile!$G$5:$G$304,MATCH($D157,lst_Profil,0)),$H$4),$H$4))</f>
        <v/>
      </c>
      <c r="S157" s="12" t="str">
        <f aca="false">IF($D157="","",IFERROR(IF(INDEX(Profile!$H$5:$H$304,MATCH($D157,lst_Profil,0))&lt;&gt;"",INDEX(Profile!$H$5:$H$304,MATCH($D157,lst_Profil,0)),$H$5),$H$5))</f>
        <v/>
      </c>
      <c r="T157" s="16" t="str">
        <f aca="false">IF(OR(Q157="",NOT(ISNUMBER(R157)),NOT(ISNUMBER(S157))),"",Q157-R157-S157)</f>
        <v/>
      </c>
      <c r="U157" s="26" t="str">
        <f aca="false">IF(OR($D157="",$E157=""),"",IF(COUNTIFS(Preise!$A$5:$A$304,$D157,Preise!$B$5:$B$304,$E157,Preise!$I$5:$I$304,"OK")&gt;0,"ja","nein"))</f>
        <v/>
      </c>
      <c r="V157" s="15" t="str">
        <f aca="false">IF(OR(M157="",$E157="",$C$8=""),"",IF(_xlfn.MINIFS(Schneiddaten!$C$5:$C$304,Schneiddaten!$A$5:$A$304,$C$8,Schneiddaten!$B$5:$B$304,$E157,Schneiddaten!$C$5:$C$304,"&gt;="&amp;M157)=0,"",SUMIFS(Schneiddaten!$D$5:$D$304,Schneiddaten!$A$5:$A$304,$C$8,Schneiddaten!$B$5:$B$304,$E157,Schneiddaten!$C$5:$C$304,_xlfn.MINIFS(Schneiddaten!$C$5:$C$304,Schneiddaten!$A$5:$A$304,$C$8,Schneiddaten!$B$5:$B$304,$E157,Schneiddaten!$C$5:$C$304,"&gt;="&amp;M157))))</f>
        <v/>
      </c>
      <c r="W157" s="26" t="str">
        <f aca="false">IF(AND($D157="",$E157="",$F157="",$G157=""),"",IF(ISNA(MATCH($D157,lst_Profil,0)),"FEHLER: Profil unbekannt",IF(ISNA(MATCH($E157,lst_Werkstoff,0)),"FEHLER: Werkstoff unbekannt",IF(NOT(ISNUMBER(L157)),"FEHLER: Querschnitt fehlt (Profil)",IF(OR($F157="",$F157&lt;=0),"FEHLER: Teilelänge fehlt",IF(OR($G157="",$G157&lt;1),"FEHLER: Stückzahl fehlt",IF(NOT(ISNUMBER($H$4)),"FEHLER: Maschine fehlt/unbekannt",IF(Q157&gt;$H$7,"FEHLER: Stange länger als Maschine zulässt",IF($F157+$H$6&gt;T157,"FEHLER: Teil länger als Nutzlänge",IF(U157="nein","WARNUNG: kein gültiger Materialpreis",IF($H157="","HINWEIS: Schneidweg fehlt",IF(V157="","HINWEIS: keine Schneiddaten",IF(AND($AF157&lt;&gt;"",$AG157=""),"HINWEIS: Gewinde-Vorschlag prüfen","OK")))))))))))))</f>
        <v/>
      </c>
      <c r="X157" s="18" t="str">
        <f aca="false">IF(OR(O157="",$G157=""),"",O157*$G157)</f>
        <v/>
      </c>
      <c r="Y157" s="10"/>
      <c r="Z157" s="21"/>
      <c r="AA157" s="10"/>
      <c r="AB157" s="21"/>
      <c r="AC157" s="21"/>
      <c r="AD157" s="21"/>
      <c r="AE157" s="10"/>
      <c r="AF157" s="10"/>
      <c r="AG157" s="10"/>
      <c r="AH157" s="22"/>
      <c r="AI157" s="21"/>
      <c r="AJ157" s="22"/>
      <c r="AK157" s="21"/>
      <c r="AL157" s="22"/>
      <c r="AM157" s="21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21"/>
      <c r="G158" s="19"/>
      <c r="H158" s="21"/>
      <c r="I158" s="22"/>
      <c r="J158" s="19"/>
      <c r="K158" s="23" t="str">
        <f aca="false">IF($D158="","",IFERROR(INDEX(Profile!$B$5:$B$304,MATCH($D158,lst_Profil,0)),""))</f>
        <v/>
      </c>
      <c r="L158" s="13" t="str">
        <f aca="false">IF($D158="","",IFERROR(INDEX(Profile!$K$5:$K$304,MATCH($D158,lst_Profil,0))+0,""))</f>
        <v/>
      </c>
      <c r="M158" s="24" t="str">
        <f aca="false">IF($D158="","",IFERROR(INDEX(Profile!$E$5:$E$304,MATCH($D158,lst_Profil,0))+0,""))</f>
        <v/>
      </c>
      <c r="N158" s="25" t="str">
        <f aca="false">IF(OR(L158="",$E158=""),"",IFERROR(L158*INDEX(Werkstoffe!$E$5:$E$304,MATCH($E158,lst_Werkstoff,0))/1000,""))</f>
        <v/>
      </c>
      <c r="O158" s="25" t="str">
        <f aca="false">IF(OR(N158="",$F158=""),"",N158*$F158/1000)</f>
        <v/>
      </c>
      <c r="P158" s="16" t="str">
        <f aca="false">IF(OR($F158="",$G158=""),"",$F158*$G158)</f>
        <v/>
      </c>
      <c r="Q158" s="16" t="str">
        <f aca="false">IF($D158="","",IF($J158&lt;&gt;"",$J158,$C$9))</f>
        <v/>
      </c>
      <c r="R158" s="12" t="str">
        <f aca="false">IF($D158="","",IFERROR(IF(INDEX(Profile!$G$5:$G$304,MATCH($D158,lst_Profil,0))&lt;&gt;"",INDEX(Profile!$G$5:$G$304,MATCH($D158,lst_Profil,0)),$H$4),$H$4))</f>
        <v/>
      </c>
      <c r="S158" s="12" t="str">
        <f aca="false">IF($D158="","",IFERROR(IF(INDEX(Profile!$H$5:$H$304,MATCH($D158,lst_Profil,0))&lt;&gt;"",INDEX(Profile!$H$5:$H$304,MATCH($D158,lst_Profil,0)),$H$5),$H$5))</f>
        <v/>
      </c>
      <c r="T158" s="16" t="str">
        <f aca="false">IF(OR(Q158="",NOT(ISNUMBER(R158)),NOT(ISNUMBER(S158))),"",Q158-R158-S158)</f>
        <v/>
      </c>
      <c r="U158" s="26" t="str">
        <f aca="false">IF(OR($D158="",$E158=""),"",IF(COUNTIFS(Preise!$A$5:$A$304,$D158,Preise!$B$5:$B$304,$E158,Preise!$I$5:$I$304,"OK")&gt;0,"ja","nein"))</f>
        <v/>
      </c>
      <c r="V158" s="15" t="str">
        <f aca="false">IF(OR(M158="",$E158="",$C$8=""),"",IF(_xlfn.MINIFS(Schneiddaten!$C$5:$C$304,Schneiddaten!$A$5:$A$304,$C$8,Schneiddaten!$B$5:$B$304,$E158,Schneiddaten!$C$5:$C$304,"&gt;="&amp;M158)=0,"",SUMIFS(Schneiddaten!$D$5:$D$304,Schneiddaten!$A$5:$A$304,$C$8,Schneiddaten!$B$5:$B$304,$E158,Schneiddaten!$C$5:$C$304,_xlfn.MINIFS(Schneiddaten!$C$5:$C$304,Schneiddaten!$A$5:$A$304,$C$8,Schneiddaten!$B$5:$B$304,$E158,Schneiddaten!$C$5:$C$304,"&gt;="&amp;M158))))</f>
        <v/>
      </c>
      <c r="W158" s="26" t="str">
        <f aca="false">IF(AND($D158="",$E158="",$F158="",$G158=""),"",IF(ISNA(MATCH($D158,lst_Profil,0)),"FEHLER: Profil unbekannt",IF(ISNA(MATCH($E158,lst_Werkstoff,0)),"FEHLER: Werkstoff unbekannt",IF(NOT(ISNUMBER(L158)),"FEHLER: Querschnitt fehlt (Profil)",IF(OR($F158="",$F158&lt;=0),"FEHLER: Teilelänge fehlt",IF(OR($G158="",$G158&lt;1),"FEHLER: Stückzahl fehlt",IF(NOT(ISNUMBER($H$4)),"FEHLER: Maschine fehlt/unbekannt",IF(Q158&gt;$H$7,"FEHLER: Stange länger als Maschine zulässt",IF($F158+$H$6&gt;T158,"FEHLER: Teil länger als Nutzlänge",IF(U158="nein","WARNUNG: kein gültiger Materialpreis",IF($H158="","HINWEIS: Schneidweg fehlt",IF(V158="","HINWEIS: keine Schneiddaten",IF(AND($AF158&lt;&gt;"",$AG158=""),"HINWEIS: Gewinde-Vorschlag prüfen","OK")))))))))))))</f>
        <v/>
      </c>
      <c r="X158" s="18" t="str">
        <f aca="false">IF(OR(O158="",$G158=""),"",O158*$G158)</f>
        <v/>
      </c>
      <c r="Y158" s="10"/>
      <c r="Z158" s="21"/>
      <c r="AA158" s="10"/>
      <c r="AB158" s="21"/>
      <c r="AC158" s="21"/>
      <c r="AD158" s="21"/>
      <c r="AE158" s="10"/>
      <c r="AF158" s="10"/>
      <c r="AG158" s="10"/>
      <c r="AH158" s="22"/>
      <c r="AI158" s="21"/>
      <c r="AJ158" s="22"/>
      <c r="AK158" s="21"/>
      <c r="AL158" s="22"/>
      <c r="AM158" s="21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21"/>
      <c r="G159" s="19"/>
      <c r="H159" s="21"/>
      <c r="I159" s="22"/>
      <c r="J159" s="19"/>
      <c r="K159" s="23" t="str">
        <f aca="false">IF($D159="","",IFERROR(INDEX(Profile!$B$5:$B$304,MATCH($D159,lst_Profil,0)),""))</f>
        <v/>
      </c>
      <c r="L159" s="13" t="str">
        <f aca="false">IF($D159="","",IFERROR(INDEX(Profile!$K$5:$K$304,MATCH($D159,lst_Profil,0))+0,""))</f>
        <v/>
      </c>
      <c r="M159" s="24" t="str">
        <f aca="false">IF($D159="","",IFERROR(INDEX(Profile!$E$5:$E$304,MATCH($D159,lst_Profil,0))+0,""))</f>
        <v/>
      </c>
      <c r="N159" s="25" t="str">
        <f aca="false">IF(OR(L159="",$E159=""),"",IFERROR(L159*INDEX(Werkstoffe!$E$5:$E$304,MATCH($E159,lst_Werkstoff,0))/1000,""))</f>
        <v/>
      </c>
      <c r="O159" s="25" t="str">
        <f aca="false">IF(OR(N159="",$F159=""),"",N159*$F159/1000)</f>
        <v/>
      </c>
      <c r="P159" s="16" t="str">
        <f aca="false">IF(OR($F159="",$G159=""),"",$F159*$G159)</f>
        <v/>
      </c>
      <c r="Q159" s="16" t="str">
        <f aca="false">IF($D159="","",IF($J159&lt;&gt;"",$J159,$C$9))</f>
        <v/>
      </c>
      <c r="R159" s="12" t="str">
        <f aca="false">IF($D159="","",IFERROR(IF(INDEX(Profile!$G$5:$G$304,MATCH($D159,lst_Profil,0))&lt;&gt;"",INDEX(Profile!$G$5:$G$304,MATCH($D159,lst_Profil,0)),$H$4),$H$4))</f>
        <v/>
      </c>
      <c r="S159" s="12" t="str">
        <f aca="false">IF($D159="","",IFERROR(IF(INDEX(Profile!$H$5:$H$304,MATCH($D159,lst_Profil,0))&lt;&gt;"",INDEX(Profile!$H$5:$H$304,MATCH($D159,lst_Profil,0)),$H$5),$H$5))</f>
        <v/>
      </c>
      <c r="T159" s="16" t="str">
        <f aca="false">IF(OR(Q159="",NOT(ISNUMBER(R159)),NOT(ISNUMBER(S159))),"",Q159-R159-S159)</f>
        <v/>
      </c>
      <c r="U159" s="26" t="str">
        <f aca="false">IF(OR($D159="",$E159=""),"",IF(COUNTIFS(Preise!$A$5:$A$304,$D159,Preise!$B$5:$B$304,$E159,Preise!$I$5:$I$304,"OK")&gt;0,"ja","nein"))</f>
        <v/>
      </c>
      <c r="V159" s="15" t="str">
        <f aca="false">IF(OR(M159="",$E159="",$C$8=""),"",IF(_xlfn.MINIFS(Schneiddaten!$C$5:$C$304,Schneiddaten!$A$5:$A$304,$C$8,Schneiddaten!$B$5:$B$304,$E159,Schneiddaten!$C$5:$C$304,"&gt;="&amp;M159)=0,"",SUMIFS(Schneiddaten!$D$5:$D$304,Schneiddaten!$A$5:$A$304,$C$8,Schneiddaten!$B$5:$B$304,$E159,Schneiddaten!$C$5:$C$304,_xlfn.MINIFS(Schneiddaten!$C$5:$C$304,Schneiddaten!$A$5:$A$304,$C$8,Schneiddaten!$B$5:$B$304,$E159,Schneiddaten!$C$5:$C$304,"&gt;="&amp;M159))))</f>
        <v/>
      </c>
      <c r="W159" s="26" t="str">
        <f aca="false">IF(AND($D159="",$E159="",$F159="",$G159=""),"",IF(ISNA(MATCH($D159,lst_Profil,0)),"FEHLER: Profil unbekannt",IF(ISNA(MATCH($E159,lst_Werkstoff,0)),"FEHLER: Werkstoff unbekannt",IF(NOT(ISNUMBER(L159)),"FEHLER: Querschnitt fehlt (Profil)",IF(OR($F159="",$F159&lt;=0),"FEHLER: Teilelänge fehlt",IF(OR($G159="",$G159&lt;1),"FEHLER: Stückzahl fehlt",IF(NOT(ISNUMBER($H$4)),"FEHLER: Maschine fehlt/unbekannt",IF(Q159&gt;$H$7,"FEHLER: Stange länger als Maschine zulässt",IF($F159+$H$6&gt;T159,"FEHLER: Teil länger als Nutzlänge",IF(U159="nein","WARNUNG: kein gültiger Materialpreis",IF($H159="","HINWEIS: Schneidweg fehlt",IF(V159="","HINWEIS: keine Schneiddaten",IF(AND($AF159&lt;&gt;"",$AG159=""),"HINWEIS: Gewinde-Vorschlag prüfen","OK")))))))))))))</f>
        <v/>
      </c>
      <c r="X159" s="18" t="str">
        <f aca="false">IF(OR(O159="",$G159=""),"",O159*$G159)</f>
        <v/>
      </c>
      <c r="Y159" s="10"/>
      <c r="Z159" s="21"/>
      <c r="AA159" s="10"/>
      <c r="AB159" s="21"/>
      <c r="AC159" s="21"/>
      <c r="AD159" s="21"/>
      <c r="AE159" s="10"/>
      <c r="AF159" s="10"/>
      <c r="AG159" s="10"/>
      <c r="AH159" s="22"/>
      <c r="AI159" s="21"/>
      <c r="AJ159" s="22"/>
      <c r="AK159" s="21"/>
      <c r="AL159" s="22"/>
      <c r="AM159" s="21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21"/>
      <c r="G160" s="19"/>
      <c r="H160" s="21"/>
      <c r="I160" s="22"/>
      <c r="J160" s="19"/>
      <c r="K160" s="23" t="str">
        <f aca="false">IF($D160="","",IFERROR(INDEX(Profile!$B$5:$B$304,MATCH($D160,lst_Profil,0)),""))</f>
        <v/>
      </c>
      <c r="L160" s="13" t="str">
        <f aca="false">IF($D160="","",IFERROR(INDEX(Profile!$K$5:$K$304,MATCH($D160,lst_Profil,0))+0,""))</f>
        <v/>
      </c>
      <c r="M160" s="24" t="str">
        <f aca="false">IF($D160="","",IFERROR(INDEX(Profile!$E$5:$E$304,MATCH($D160,lst_Profil,0))+0,""))</f>
        <v/>
      </c>
      <c r="N160" s="25" t="str">
        <f aca="false">IF(OR(L160="",$E160=""),"",IFERROR(L160*INDEX(Werkstoffe!$E$5:$E$304,MATCH($E160,lst_Werkstoff,0))/1000,""))</f>
        <v/>
      </c>
      <c r="O160" s="25" t="str">
        <f aca="false">IF(OR(N160="",$F160=""),"",N160*$F160/1000)</f>
        <v/>
      </c>
      <c r="P160" s="16" t="str">
        <f aca="false">IF(OR($F160="",$G160=""),"",$F160*$G160)</f>
        <v/>
      </c>
      <c r="Q160" s="16" t="str">
        <f aca="false">IF($D160="","",IF($J160&lt;&gt;"",$J160,$C$9))</f>
        <v/>
      </c>
      <c r="R160" s="12" t="str">
        <f aca="false">IF($D160="","",IFERROR(IF(INDEX(Profile!$G$5:$G$304,MATCH($D160,lst_Profil,0))&lt;&gt;"",INDEX(Profile!$G$5:$G$304,MATCH($D160,lst_Profil,0)),$H$4),$H$4))</f>
        <v/>
      </c>
      <c r="S160" s="12" t="str">
        <f aca="false">IF($D160="","",IFERROR(IF(INDEX(Profile!$H$5:$H$304,MATCH($D160,lst_Profil,0))&lt;&gt;"",INDEX(Profile!$H$5:$H$304,MATCH($D160,lst_Profil,0)),$H$5),$H$5))</f>
        <v/>
      </c>
      <c r="T160" s="16" t="str">
        <f aca="false">IF(OR(Q160="",NOT(ISNUMBER(R160)),NOT(ISNUMBER(S160))),"",Q160-R160-S160)</f>
        <v/>
      </c>
      <c r="U160" s="26" t="str">
        <f aca="false">IF(OR($D160="",$E160=""),"",IF(COUNTIFS(Preise!$A$5:$A$304,$D160,Preise!$B$5:$B$304,$E160,Preise!$I$5:$I$304,"OK")&gt;0,"ja","nein"))</f>
        <v/>
      </c>
      <c r="V160" s="15" t="str">
        <f aca="false">IF(OR(M160="",$E160="",$C$8=""),"",IF(_xlfn.MINIFS(Schneiddaten!$C$5:$C$304,Schneiddaten!$A$5:$A$304,$C$8,Schneiddaten!$B$5:$B$304,$E160,Schneiddaten!$C$5:$C$304,"&gt;="&amp;M160)=0,"",SUMIFS(Schneiddaten!$D$5:$D$304,Schneiddaten!$A$5:$A$304,$C$8,Schneiddaten!$B$5:$B$304,$E160,Schneiddaten!$C$5:$C$304,_xlfn.MINIFS(Schneiddaten!$C$5:$C$304,Schneiddaten!$A$5:$A$304,$C$8,Schneiddaten!$B$5:$B$304,$E160,Schneiddaten!$C$5:$C$304,"&gt;="&amp;M160))))</f>
        <v/>
      </c>
      <c r="W160" s="26" t="str">
        <f aca="false">IF(AND($D160="",$E160="",$F160="",$G160=""),"",IF(ISNA(MATCH($D160,lst_Profil,0)),"FEHLER: Profil unbekannt",IF(ISNA(MATCH($E160,lst_Werkstoff,0)),"FEHLER: Werkstoff unbekannt",IF(NOT(ISNUMBER(L160)),"FEHLER: Querschnitt fehlt (Profil)",IF(OR($F160="",$F160&lt;=0),"FEHLER: Teilelänge fehlt",IF(OR($G160="",$G160&lt;1),"FEHLER: Stückzahl fehlt",IF(NOT(ISNUMBER($H$4)),"FEHLER: Maschine fehlt/unbekannt",IF(Q160&gt;$H$7,"FEHLER: Stange länger als Maschine zulässt",IF($F160+$H$6&gt;T160,"FEHLER: Teil länger als Nutzlänge",IF(U160="nein","WARNUNG: kein gültiger Materialpreis",IF($H160="","HINWEIS: Schneidweg fehlt",IF(V160="","HINWEIS: keine Schneiddaten",IF(AND($AF160&lt;&gt;"",$AG160=""),"HINWEIS: Gewinde-Vorschlag prüfen","OK")))))))))))))</f>
        <v/>
      </c>
      <c r="X160" s="18" t="str">
        <f aca="false">IF(OR(O160="",$G160=""),"",O160*$G160)</f>
        <v/>
      </c>
      <c r="Y160" s="10"/>
      <c r="Z160" s="21"/>
      <c r="AA160" s="10"/>
      <c r="AB160" s="21"/>
      <c r="AC160" s="21"/>
      <c r="AD160" s="21"/>
      <c r="AE160" s="10"/>
      <c r="AF160" s="10"/>
      <c r="AG160" s="10"/>
      <c r="AH160" s="22"/>
      <c r="AI160" s="21"/>
      <c r="AJ160" s="22"/>
      <c r="AK160" s="21"/>
      <c r="AL160" s="22"/>
      <c r="AM160" s="21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21"/>
      <c r="G161" s="19"/>
      <c r="H161" s="21"/>
      <c r="I161" s="22"/>
      <c r="J161" s="19"/>
      <c r="K161" s="23" t="str">
        <f aca="false">IF($D161="","",IFERROR(INDEX(Profile!$B$5:$B$304,MATCH($D161,lst_Profil,0)),""))</f>
        <v/>
      </c>
      <c r="L161" s="13" t="str">
        <f aca="false">IF($D161="","",IFERROR(INDEX(Profile!$K$5:$K$304,MATCH($D161,lst_Profil,0))+0,""))</f>
        <v/>
      </c>
      <c r="M161" s="24" t="str">
        <f aca="false">IF($D161="","",IFERROR(INDEX(Profile!$E$5:$E$304,MATCH($D161,lst_Profil,0))+0,""))</f>
        <v/>
      </c>
      <c r="N161" s="25" t="str">
        <f aca="false">IF(OR(L161="",$E161=""),"",IFERROR(L161*INDEX(Werkstoffe!$E$5:$E$304,MATCH($E161,lst_Werkstoff,0))/1000,""))</f>
        <v/>
      </c>
      <c r="O161" s="25" t="str">
        <f aca="false">IF(OR(N161="",$F161=""),"",N161*$F161/1000)</f>
        <v/>
      </c>
      <c r="P161" s="16" t="str">
        <f aca="false">IF(OR($F161="",$G161=""),"",$F161*$G161)</f>
        <v/>
      </c>
      <c r="Q161" s="16" t="str">
        <f aca="false">IF($D161="","",IF($J161&lt;&gt;"",$J161,$C$9))</f>
        <v/>
      </c>
      <c r="R161" s="12" t="str">
        <f aca="false">IF($D161="","",IFERROR(IF(INDEX(Profile!$G$5:$G$304,MATCH($D161,lst_Profil,0))&lt;&gt;"",INDEX(Profile!$G$5:$G$304,MATCH($D161,lst_Profil,0)),$H$4),$H$4))</f>
        <v/>
      </c>
      <c r="S161" s="12" t="str">
        <f aca="false">IF($D161="","",IFERROR(IF(INDEX(Profile!$H$5:$H$304,MATCH($D161,lst_Profil,0))&lt;&gt;"",INDEX(Profile!$H$5:$H$304,MATCH($D161,lst_Profil,0)),$H$5),$H$5))</f>
        <v/>
      </c>
      <c r="T161" s="16" t="str">
        <f aca="false">IF(OR(Q161="",NOT(ISNUMBER(R161)),NOT(ISNUMBER(S161))),"",Q161-R161-S161)</f>
        <v/>
      </c>
      <c r="U161" s="26" t="str">
        <f aca="false">IF(OR($D161="",$E161=""),"",IF(COUNTIFS(Preise!$A$5:$A$304,$D161,Preise!$B$5:$B$304,$E161,Preise!$I$5:$I$304,"OK")&gt;0,"ja","nein"))</f>
        <v/>
      </c>
      <c r="V161" s="15" t="str">
        <f aca="false">IF(OR(M161="",$E161="",$C$8=""),"",IF(_xlfn.MINIFS(Schneiddaten!$C$5:$C$304,Schneiddaten!$A$5:$A$304,$C$8,Schneiddaten!$B$5:$B$304,$E161,Schneiddaten!$C$5:$C$304,"&gt;="&amp;M161)=0,"",SUMIFS(Schneiddaten!$D$5:$D$304,Schneiddaten!$A$5:$A$304,$C$8,Schneiddaten!$B$5:$B$304,$E161,Schneiddaten!$C$5:$C$304,_xlfn.MINIFS(Schneiddaten!$C$5:$C$304,Schneiddaten!$A$5:$A$304,$C$8,Schneiddaten!$B$5:$B$304,$E161,Schneiddaten!$C$5:$C$304,"&gt;="&amp;M161))))</f>
        <v/>
      </c>
      <c r="W161" s="26" t="str">
        <f aca="false">IF(AND($D161="",$E161="",$F161="",$G161=""),"",IF(ISNA(MATCH($D161,lst_Profil,0)),"FEHLER: Profil unbekannt",IF(ISNA(MATCH($E161,lst_Werkstoff,0)),"FEHLER: Werkstoff unbekannt",IF(NOT(ISNUMBER(L161)),"FEHLER: Querschnitt fehlt (Profil)",IF(OR($F161="",$F161&lt;=0),"FEHLER: Teilelänge fehlt",IF(OR($G161="",$G161&lt;1),"FEHLER: Stückzahl fehlt",IF(NOT(ISNUMBER($H$4)),"FEHLER: Maschine fehlt/unbekannt",IF(Q161&gt;$H$7,"FEHLER: Stange länger als Maschine zulässt",IF($F161+$H$6&gt;T161,"FEHLER: Teil länger als Nutzlänge",IF(U161="nein","WARNUNG: kein gültiger Materialpreis",IF($H161="","HINWEIS: Schneidweg fehlt",IF(V161="","HINWEIS: keine Schneiddaten",IF(AND($AF161&lt;&gt;"",$AG161=""),"HINWEIS: Gewinde-Vorschlag prüfen","OK")))))))))))))</f>
        <v/>
      </c>
      <c r="X161" s="18" t="str">
        <f aca="false">IF(OR(O161="",$G161=""),"",O161*$G161)</f>
        <v/>
      </c>
      <c r="Y161" s="10"/>
      <c r="Z161" s="21"/>
      <c r="AA161" s="10"/>
      <c r="AB161" s="21"/>
      <c r="AC161" s="21"/>
      <c r="AD161" s="21"/>
      <c r="AE161" s="10"/>
      <c r="AF161" s="10"/>
      <c r="AG161" s="10"/>
      <c r="AH161" s="22"/>
      <c r="AI161" s="21"/>
      <c r="AJ161" s="22"/>
      <c r="AK161" s="21"/>
      <c r="AL161" s="22"/>
      <c r="AM161" s="21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21"/>
      <c r="G162" s="19"/>
      <c r="H162" s="21"/>
      <c r="I162" s="22"/>
      <c r="J162" s="19"/>
      <c r="K162" s="23" t="str">
        <f aca="false">IF($D162="","",IFERROR(INDEX(Profile!$B$5:$B$304,MATCH($D162,lst_Profil,0)),""))</f>
        <v/>
      </c>
      <c r="L162" s="13" t="str">
        <f aca="false">IF($D162="","",IFERROR(INDEX(Profile!$K$5:$K$304,MATCH($D162,lst_Profil,0))+0,""))</f>
        <v/>
      </c>
      <c r="M162" s="24" t="str">
        <f aca="false">IF($D162="","",IFERROR(INDEX(Profile!$E$5:$E$304,MATCH($D162,lst_Profil,0))+0,""))</f>
        <v/>
      </c>
      <c r="N162" s="25" t="str">
        <f aca="false">IF(OR(L162="",$E162=""),"",IFERROR(L162*INDEX(Werkstoffe!$E$5:$E$304,MATCH($E162,lst_Werkstoff,0))/1000,""))</f>
        <v/>
      </c>
      <c r="O162" s="25" t="str">
        <f aca="false">IF(OR(N162="",$F162=""),"",N162*$F162/1000)</f>
        <v/>
      </c>
      <c r="P162" s="16" t="str">
        <f aca="false">IF(OR($F162="",$G162=""),"",$F162*$G162)</f>
        <v/>
      </c>
      <c r="Q162" s="16" t="str">
        <f aca="false">IF($D162="","",IF($J162&lt;&gt;"",$J162,$C$9))</f>
        <v/>
      </c>
      <c r="R162" s="12" t="str">
        <f aca="false">IF($D162="","",IFERROR(IF(INDEX(Profile!$G$5:$G$304,MATCH($D162,lst_Profil,0))&lt;&gt;"",INDEX(Profile!$G$5:$G$304,MATCH($D162,lst_Profil,0)),$H$4),$H$4))</f>
        <v/>
      </c>
      <c r="S162" s="12" t="str">
        <f aca="false">IF($D162="","",IFERROR(IF(INDEX(Profile!$H$5:$H$304,MATCH($D162,lst_Profil,0))&lt;&gt;"",INDEX(Profile!$H$5:$H$304,MATCH($D162,lst_Profil,0)),$H$5),$H$5))</f>
        <v/>
      </c>
      <c r="T162" s="16" t="str">
        <f aca="false">IF(OR(Q162="",NOT(ISNUMBER(R162)),NOT(ISNUMBER(S162))),"",Q162-R162-S162)</f>
        <v/>
      </c>
      <c r="U162" s="26" t="str">
        <f aca="false">IF(OR($D162="",$E162=""),"",IF(COUNTIFS(Preise!$A$5:$A$304,$D162,Preise!$B$5:$B$304,$E162,Preise!$I$5:$I$304,"OK")&gt;0,"ja","nein"))</f>
        <v/>
      </c>
      <c r="V162" s="15" t="str">
        <f aca="false">IF(OR(M162="",$E162="",$C$8=""),"",IF(_xlfn.MINIFS(Schneiddaten!$C$5:$C$304,Schneiddaten!$A$5:$A$304,$C$8,Schneiddaten!$B$5:$B$304,$E162,Schneiddaten!$C$5:$C$304,"&gt;="&amp;M162)=0,"",SUMIFS(Schneiddaten!$D$5:$D$304,Schneiddaten!$A$5:$A$304,$C$8,Schneiddaten!$B$5:$B$304,$E162,Schneiddaten!$C$5:$C$304,_xlfn.MINIFS(Schneiddaten!$C$5:$C$304,Schneiddaten!$A$5:$A$304,$C$8,Schneiddaten!$B$5:$B$304,$E162,Schneiddaten!$C$5:$C$304,"&gt;="&amp;M162))))</f>
        <v/>
      </c>
      <c r="W162" s="26" t="str">
        <f aca="false">IF(AND($D162="",$E162="",$F162="",$G162=""),"",IF(ISNA(MATCH($D162,lst_Profil,0)),"FEHLER: Profil unbekannt",IF(ISNA(MATCH($E162,lst_Werkstoff,0)),"FEHLER: Werkstoff unbekannt",IF(NOT(ISNUMBER(L162)),"FEHLER: Querschnitt fehlt (Profil)",IF(OR($F162="",$F162&lt;=0),"FEHLER: Teilelänge fehlt",IF(OR($G162="",$G162&lt;1),"FEHLER: Stückzahl fehlt",IF(NOT(ISNUMBER($H$4)),"FEHLER: Maschine fehlt/unbekannt",IF(Q162&gt;$H$7,"FEHLER: Stange länger als Maschine zulässt",IF($F162+$H$6&gt;T162,"FEHLER: Teil länger als Nutzlänge",IF(U162="nein","WARNUNG: kein gültiger Materialpreis",IF($H162="","HINWEIS: Schneidweg fehlt",IF(V162="","HINWEIS: keine Schneiddaten",IF(AND($AF162&lt;&gt;"",$AG162=""),"HINWEIS: Gewinde-Vorschlag prüfen","OK")))))))))))))</f>
        <v/>
      </c>
      <c r="X162" s="18" t="str">
        <f aca="false">IF(OR(O162="",$G162=""),"",O162*$G162)</f>
        <v/>
      </c>
      <c r="Y162" s="10"/>
      <c r="Z162" s="21"/>
      <c r="AA162" s="10"/>
      <c r="AB162" s="21"/>
      <c r="AC162" s="21"/>
      <c r="AD162" s="21"/>
      <c r="AE162" s="10"/>
      <c r="AF162" s="10"/>
      <c r="AG162" s="10"/>
      <c r="AH162" s="22"/>
      <c r="AI162" s="21"/>
      <c r="AJ162" s="22"/>
      <c r="AK162" s="21"/>
      <c r="AL162" s="22"/>
      <c r="AM162" s="21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21"/>
      <c r="G163" s="19"/>
      <c r="H163" s="21"/>
      <c r="I163" s="22"/>
      <c r="J163" s="19"/>
      <c r="K163" s="23" t="str">
        <f aca="false">IF($D163="","",IFERROR(INDEX(Profile!$B$5:$B$304,MATCH($D163,lst_Profil,0)),""))</f>
        <v/>
      </c>
      <c r="L163" s="13" t="str">
        <f aca="false">IF($D163="","",IFERROR(INDEX(Profile!$K$5:$K$304,MATCH($D163,lst_Profil,0))+0,""))</f>
        <v/>
      </c>
      <c r="M163" s="24" t="str">
        <f aca="false">IF($D163="","",IFERROR(INDEX(Profile!$E$5:$E$304,MATCH($D163,lst_Profil,0))+0,""))</f>
        <v/>
      </c>
      <c r="N163" s="25" t="str">
        <f aca="false">IF(OR(L163="",$E163=""),"",IFERROR(L163*INDEX(Werkstoffe!$E$5:$E$304,MATCH($E163,lst_Werkstoff,0))/1000,""))</f>
        <v/>
      </c>
      <c r="O163" s="25" t="str">
        <f aca="false">IF(OR(N163="",$F163=""),"",N163*$F163/1000)</f>
        <v/>
      </c>
      <c r="P163" s="16" t="str">
        <f aca="false">IF(OR($F163="",$G163=""),"",$F163*$G163)</f>
        <v/>
      </c>
      <c r="Q163" s="16" t="str">
        <f aca="false">IF($D163="","",IF($J163&lt;&gt;"",$J163,$C$9))</f>
        <v/>
      </c>
      <c r="R163" s="12" t="str">
        <f aca="false">IF($D163="","",IFERROR(IF(INDEX(Profile!$G$5:$G$304,MATCH($D163,lst_Profil,0))&lt;&gt;"",INDEX(Profile!$G$5:$G$304,MATCH($D163,lst_Profil,0)),$H$4),$H$4))</f>
        <v/>
      </c>
      <c r="S163" s="12" t="str">
        <f aca="false">IF($D163="","",IFERROR(IF(INDEX(Profile!$H$5:$H$304,MATCH($D163,lst_Profil,0))&lt;&gt;"",INDEX(Profile!$H$5:$H$304,MATCH($D163,lst_Profil,0)),$H$5),$H$5))</f>
        <v/>
      </c>
      <c r="T163" s="16" t="str">
        <f aca="false">IF(OR(Q163="",NOT(ISNUMBER(R163)),NOT(ISNUMBER(S163))),"",Q163-R163-S163)</f>
        <v/>
      </c>
      <c r="U163" s="26" t="str">
        <f aca="false">IF(OR($D163="",$E163=""),"",IF(COUNTIFS(Preise!$A$5:$A$304,$D163,Preise!$B$5:$B$304,$E163,Preise!$I$5:$I$304,"OK")&gt;0,"ja","nein"))</f>
        <v/>
      </c>
      <c r="V163" s="15" t="str">
        <f aca="false">IF(OR(M163="",$E163="",$C$8=""),"",IF(_xlfn.MINIFS(Schneiddaten!$C$5:$C$304,Schneiddaten!$A$5:$A$304,$C$8,Schneiddaten!$B$5:$B$304,$E163,Schneiddaten!$C$5:$C$304,"&gt;="&amp;M163)=0,"",SUMIFS(Schneiddaten!$D$5:$D$304,Schneiddaten!$A$5:$A$304,$C$8,Schneiddaten!$B$5:$B$304,$E163,Schneiddaten!$C$5:$C$304,_xlfn.MINIFS(Schneiddaten!$C$5:$C$304,Schneiddaten!$A$5:$A$304,$C$8,Schneiddaten!$B$5:$B$304,$E163,Schneiddaten!$C$5:$C$304,"&gt;="&amp;M163))))</f>
        <v/>
      </c>
      <c r="W163" s="26" t="str">
        <f aca="false">IF(AND($D163="",$E163="",$F163="",$G163=""),"",IF(ISNA(MATCH($D163,lst_Profil,0)),"FEHLER: Profil unbekannt",IF(ISNA(MATCH($E163,lst_Werkstoff,0)),"FEHLER: Werkstoff unbekannt",IF(NOT(ISNUMBER(L163)),"FEHLER: Querschnitt fehlt (Profil)",IF(OR($F163="",$F163&lt;=0),"FEHLER: Teilelänge fehlt",IF(OR($G163="",$G163&lt;1),"FEHLER: Stückzahl fehlt",IF(NOT(ISNUMBER($H$4)),"FEHLER: Maschine fehlt/unbekannt",IF(Q163&gt;$H$7,"FEHLER: Stange länger als Maschine zulässt",IF($F163+$H$6&gt;T163,"FEHLER: Teil länger als Nutzlänge",IF(U163="nein","WARNUNG: kein gültiger Materialpreis",IF($H163="","HINWEIS: Schneidweg fehlt",IF(V163="","HINWEIS: keine Schneiddaten",IF(AND($AF163&lt;&gt;"",$AG163=""),"HINWEIS: Gewinde-Vorschlag prüfen","OK")))))))))))))</f>
        <v/>
      </c>
      <c r="X163" s="18" t="str">
        <f aca="false">IF(OR(O163="",$G163=""),"",O163*$G163)</f>
        <v/>
      </c>
      <c r="Y163" s="10"/>
      <c r="Z163" s="21"/>
      <c r="AA163" s="10"/>
      <c r="AB163" s="21"/>
      <c r="AC163" s="21"/>
      <c r="AD163" s="21"/>
      <c r="AE163" s="10"/>
      <c r="AF163" s="10"/>
      <c r="AG163" s="10"/>
      <c r="AH163" s="22"/>
      <c r="AI163" s="21"/>
      <c r="AJ163" s="22"/>
      <c r="AK163" s="21"/>
      <c r="AL163" s="22"/>
      <c r="AM163" s="21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21"/>
      <c r="G164" s="19"/>
      <c r="H164" s="21"/>
      <c r="I164" s="22"/>
      <c r="J164" s="19"/>
      <c r="K164" s="23" t="str">
        <f aca="false">IF($D164="","",IFERROR(INDEX(Profile!$B$5:$B$304,MATCH($D164,lst_Profil,0)),""))</f>
        <v/>
      </c>
      <c r="L164" s="13" t="str">
        <f aca="false">IF($D164="","",IFERROR(INDEX(Profile!$K$5:$K$304,MATCH($D164,lst_Profil,0))+0,""))</f>
        <v/>
      </c>
      <c r="M164" s="24" t="str">
        <f aca="false">IF($D164="","",IFERROR(INDEX(Profile!$E$5:$E$304,MATCH($D164,lst_Profil,0))+0,""))</f>
        <v/>
      </c>
      <c r="N164" s="25" t="str">
        <f aca="false">IF(OR(L164="",$E164=""),"",IFERROR(L164*INDEX(Werkstoffe!$E$5:$E$304,MATCH($E164,lst_Werkstoff,0))/1000,""))</f>
        <v/>
      </c>
      <c r="O164" s="25" t="str">
        <f aca="false">IF(OR(N164="",$F164=""),"",N164*$F164/1000)</f>
        <v/>
      </c>
      <c r="P164" s="16" t="str">
        <f aca="false">IF(OR($F164="",$G164=""),"",$F164*$G164)</f>
        <v/>
      </c>
      <c r="Q164" s="16" t="str">
        <f aca="false">IF($D164="","",IF($J164&lt;&gt;"",$J164,$C$9))</f>
        <v/>
      </c>
      <c r="R164" s="12" t="str">
        <f aca="false">IF($D164="","",IFERROR(IF(INDEX(Profile!$G$5:$G$304,MATCH($D164,lst_Profil,0))&lt;&gt;"",INDEX(Profile!$G$5:$G$304,MATCH($D164,lst_Profil,0)),$H$4),$H$4))</f>
        <v/>
      </c>
      <c r="S164" s="12" t="str">
        <f aca="false">IF($D164="","",IFERROR(IF(INDEX(Profile!$H$5:$H$304,MATCH($D164,lst_Profil,0))&lt;&gt;"",INDEX(Profile!$H$5:$H$304,MATCH($D164,lst_Profil,0)),$H$5),$H$5))</f>
        <v/>
      </c>
      <c r="T164" s="16" t="str">
        <f aca="false">IF(OR(Q164="",NOT(ISNUMBER(R164)),NOT(ISNUMBER(S164))),"",Q164-R164-S164)</f>
        <v/>
      </c>
      <c r="U164" s="26" t="str">
        <f aca="false">IF(OR($D164="",$E164=""),"",IF(COUNTIFS(Preise!$A$5:$A$304,$D164,Preise!$B$5:$B$304,$E164,Preise!$I$5:$I$304,"OK")&gt;0,"ja","nein"))</f>
        <v/>
      </c>
      <c r="V164" s="15" t="str">
        <f aca="false">IF(OR(M164="",$E164="",$C$8=""),"",IF(_xlfn.MINIFS(Schneiddaten!$C$5:$C$304,Schneiddaten!$A$5:$A$304,$C$8,Schneiddaten!$B$5:$B$304,$E164,Schneiddaten!$C$5:$C$304,"&gt;="&amp;M164)=0,"",SUMIFS(Schneiddaten!$D$5:$D$304,Schneiddaten!$A$5:$A$304,$C$8,Schneiddaten!$B$5:$B$304,$E164,Schneiddaten!$C$5:$C$304,_xlfn.MINIFS(Schneiddaten!$C$5:$C$304,Schneiddaten!$A$5:$A$304,$C$8,Schneiddaten!$B$5:$B$304,$E164,Schneiddaten!$C$5:$C$304,"&gt;="&amp;M164))))</f>
        <v/>
      </c>
      <c r="W164" s="26" t="str">
        <f aca="false">IF(AND($D164="",$E164="",$F164="",$G164=""),"",IF(ISNA(MATCH($D164,lst_Profil,0)),"FEHLER: Profil unbekannt",IF(ISNA(MATCH($E164,lst_Werkstoff,0)),"FEHLER: Werkstoff unbekannt",IF(NOT(ISNUMBER(L164)),"FEHLER: Querschnitt fehlt (Profil)",IF(OR($F164="",$F164&lt;=0),"FEHLER: Teilelänge fehlt",IF(OR($G164="",$G164&lt;1),"FEHLER: Stückzahl fehlt",IF(NOT(ISNUMBER($H$4)),"FEHLER: Maschine fehlt/unbekannt",IF(Q164&gt;$H$7,"FEHLER: Stange länger als Maschine zulässt",IF($F164+$H$6&gt;T164,"FEHLER: Teil länger als Nutzlänge",IF(U164="nein","WARNUNG: kein gültiger Materialpreis",IF($H164="","HINWEIS: Schneidweg fehlt",IF(V164="","HINWEIS: keine Schneiddaten",IF(AND($AF164&lt;&gt;"",$AG164=""),"HINWEIS: Gewinde-Vorschlag prüfen","OK")))))))))))))</f>
        <v/>
      </c>
      <c r="X164" s="18" t="str">
        <f aca="false">IF(OR(O164="",$G164=""),"",O164*$G164)</f>
        <v/>
      </c>
      <c r="Y164" s="10"/>
      <c r="Z164" s="21"/>
      <c r="AA164" s="10"/>
      <c r="AB164" s="21"/>
      <c r="AC164" s="21"/>
      <c r="AD164" s="21"/>
      <c r="AE164" s="10"/>
      <c r="AF164" s="10"/>
      <c r="AG164" s="10"/>
      <c r="AH164" s="22"/>
      <c r="AI164" s="21"/>
      <c r="AJ164" s="22"/>
      <c r="AK164" s="21"/>
      <c r="AL164" s="22"/>
      <c r="AM164" s="21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21"/>
      <c r="G165" s="19"/>
      <c r="H165" s="21"/>
      <c r="I165" s="22"/>
      <c r="J165" s="19"/>
      <c r="K165" s="23" t="str">
        <f aca="false">IF($D165="","",IFERROR(INDEX(Profile!$B$5:$B$304,MATCH($D165,lst_Profil,0)),""))</f>
        <v/>
      </c>
      <c r="L165" s="13" t="str">
        <f aca="false">IF($D165="","",IFERROR(INDEX(Profile!$K$5:$K$304,MATCH($D165,lst_Profil,0))+0,""))</f>
        <v/>
      </c>
      <c r="M165" s="24" t="str">
        <f aca="false">IF($D165="","",IFERROR(INDEX(Profile!$E$5:$E$304,MATCH($D165,lst_Profil,0))+0,""))</f>
        <v/>
      </c>
      <c r="N165" s="25" t="str">
        <f aca="false">IF(OR(L165="",$E165=""),"",IFERROR(L165*INDEX(Werkstoffe!$E$5:$E$304,MATCH($E165,lst_Werkstoff,0))/1000,""))</f>
        <v/>
      </c>
      <c r="O165" s="25" t="str">
        <f aca="false">IF(OR(N165="",$F165=""),"",N165*$F165/1000)</f>
        <v/>
      </c>
      <c r="P165" s="16" t="str">
        <f aca="false">IF(OR($F165="",$G165=""),"",$F165*$G165)</f>
        <v/>
      </c>
      <c r="Q165" s="16" t="str">
        <f aca="false">IF($D165="","",IF($J165&lt;&gt;"",$J165,$C$9))</f>
        <v/>
      </c>
      <c r="R165" s="12" t="str">
        <f aca="false">IF($D165="","",IFERROR(IF(INDEX(Profile!$G$5:$G$304,MATCH($D165,lst_Profil,0))&lt;&gt;"",INDEX(Profile!$G$5:$G$304,MATCH($D165,lst_Profil,0)),$H$4),$H$4))</f>
        <v/>
      </c>
      <c r="S165" s="12" t="str">
        <f aca="false">IF($D165="","",IFERROR(IF(INDEX(Profile!$H$5:$H$304,MATCH($D165,lst_Profil,0))&lt;&gt;"",INDEX(Profile!$H$5:$H$304,MATCH($D165,lst_Profil,0)),$H$5),$H$5))</f>
        <v/>
      </c>
      <c r="T165" s="16" t="str">
        <f aca="false">IF(OR(Q165="",NOT(ISNUMBER(R165)),NOT(ISNUMBER(S165))),"",Q165-R165-S165)</f>
        <v/>
      </c>
      <c r="U165" s="26" t="str">
        <f aca="false">IF(OR($D165="",$E165=""),"",IF(COUNTIFS(Preise!$A$5:$A$304,$D165,Preise!$B$5:$B$304,$E165,Preise!$I$5:$I$304,"OK")&gt;0,"ja","nein"))</f>
        <v/>
      </c>
      <c r="V165" s="15" t="str">
        <f aca="false">IF(OR(M165="",$E165="",$C$8=""),"",IF(_xlfn.MINIFS(Schneiddaten!$C$5:$C$304,Schneiddaten!$A$5:$A$304,$C$8,Schneiddaten!$B$5:$B$304,$E165,Schneiddaten!$C$5:$C$304,"&gt;="&amp;M165)=0,"",SUMIFS(Schneiddaten!$D$5:$D$304,Schneiddaten!$A$5:$A$304,$C$8,Schneiddaten!$B$5:$B$304,$E165,Schneiddaten!$C$5:$C$304,_xlfn.MINIFS(Schneiddaten!$C$5:$C$304,Schneiddaten!$A$5:$A$304,$C$8,Schneiddaten!$B$5:$B$304,$E165,Schneiddaten!$C$5:$C$304,"&gt;="&amp;M165))))</f>
        <v/>
      </c>
      <c r="W165" s="26" t="str">
        <f aca="false">IF(AND($D165="",$E165="",$F165="",$G165=""),"",IF(ISNA(MATCH($D165,lst_Profil,0)),"FEHLER: Profil unbekannt",IF(ISNA(MATCH($E165,lst_Werkstoff,0)),"FEHLER: Werkstoff unbekannt",IF(NOT(ISNUMBER(L165)),"FEHLER: Querschnitt fehlt (Profil)",IF(OR($F165="",$F165&lt;=0),"FEHLER: Teilelänge fehlt",IF(OR($G165="",$G165&lt;1),"FEHLER: Stückzahl fehlt",IF(NOT(ISNUMBER($H$4)),"FEHLER: Maschine fehlt/unbekannt",IF(Q165&gt;$H$7,"FEHLER: Stange länger als Maschine zulässt",IF($F165+$H$6&gt;T165,"FEHLER: Teil länger als Nutzlänge",IF(U165="nein","WARNUNG: kein gültiger Materialpreis",IF($H165="","HINWEIS: Schneidweg fehlt",IF(V165="","HINWEIS: keine Schneiddaten",IF(AND($AF165&lt;&gt;"",$AG165=""),"HINWEIS: Gewinde-Vorschlag prüfen","OK")))))))))))))</f>
        <v/>
      </c>
      <c r="X165" s="18" t="str">
        <f aca="false">IF(OR(O165="",$G165=""),"",O165*$G165)</f>
        <v/>
      </c>
      <c r="Y165" s="10"/>
      <c r="Z165" s="21"/>
      <c r="AA165" s="10"/>
      <c r="AB165" s="21"/>
      <c r="AC165" s="21"/>
      <c r="AD165" s="21"/>
      <c r="AE165" s="10"/>
      <c r="AF165" s="10"/>
      <c r="AG165" s="10"/>
      <c r="AH165" s="22"/>
      <c r="AI165" s="21"/>
      <c r="AJ165" s="22"/>
      <c r="AK165" s="21"/>
      <c r="AL165" s="22"/>
      <c r="AM165" s="21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21"/>
      <c r="G166" s="19"/>
      <c r="H166" s="21"/>
      <c r="I166" s="22"/>
      <c r="J166" s="19"/>
      <c r="K166" s="23" t="str">
        <f aca="false">IF($D166="","",IFERROR(INDEX(Profile!$B$5:$B$304,MATCH($D166,lst_Profil,0)),""))</f>
        <v/>
      </c>
      <c r="L166" s="13" t="str">
        <f aca="false">IF($D166="","",IFERROR(INDEX(Profile!$K$5:$K$304,MATCH($D166,lst_Profil,0))+0,""))</f>
        <v/>
      </c>
      <c r="M166" s="24" t="str">
        <f aca="false">IF($D166="","",IFERROR(INDEX(Profile!$E$5:$E$304,MATCH($D166,lst_Profil,0))+0,""))</f>
        <v/>
      </c>
      <c r="N166" s="25" t="str">
        <f aca="false">IF(OR(L166="",$E166=""),"",IFERROR(L166*INDEX(Werkstoffe!$E$5:$E$304,MATCH($E166,lst_Werkstoff,0))/1000,""))</f>
        <v/>
      </c>
      <c r="O166" s="25" t="str">
        <f aca="false">IF(OR(N166="",$F166=""),"",N166*$F166/1000)</f>
        <v/>
      </c>
      <c r="P166" s="16" t="str">
        <f aca="false">IF(OR($F166="",$G166=""),"",$F166*$G166)</f>
        <v/>
      </c>
      <c r="Q166" s="16" t="str">
        <f aca="false">IF($D166="","",IF($J166&lt;&gt;"",$J166,$C$9))</f>
        <v/>
      </c>
      <c r="R166" s="12" t="str">
        <f aca="false">IF($D166="","",IFERROR(IF(INDEX(Profile!$G$5:$G$304,MATCH($D166,lst_Profil,0))&lt;&gt;"",INDEX(Profile!$G$5:$G$304,MATCH($D166,lst_Profil,0)),$H$4),$H$4))</f>
        <v/>
      </c>
      <c r="S166" s="12" t="str">
        <f aca="false">IF($D166="","",IFERROR(IF(INDEX(Profile!$H$5:$H$304,MATCH($D166,lst_Profil,0))&lt;&gt;"",INDEX(Profile!$H$5:$H$304,MATCH($D166,lst_Profil,0)),$H$5),$H$5))</f>
        <v/>
      </c>
      <c r="T166" s="16" t="str">
        <f aca="false">IF(OR(Q166="",NOT(ISNUMBER(R166)),NOT(ISNUMBER(S166))),"",Q166-R166-S166)</f>
        <v/>
      </c>
      <c r="U166" s="26" t="str">
        <f aca="false">IF(OR($D166="",$E166=""),"",IF(COUNTIFS(Preise!$A$5:$A$304,$D166,Preise!$B$5:$B$304,$E166,Preise!$I$5:$I$304,"OK")&gt;0,"ja","nein"))</f>
        <v/>
      </c>
      <c r="V166" s="15" t="str">
        <f aca="false">IF(OR(M166="",$E166="",$C$8=""),"",IF(_xlfn.MINIFS(Schneiddaten!$C$5:$C$304,Schneiddaten!$A$5:$A$304,$C$8,Schneiddaten!$B$5:$B$304,$E166,Schneiddaten!$C$5:$C$304,"&gt;="&amp;M166)=0,"",SUMIFS(Schneiddaten!$D$5:$D$304,Schneiddaten!$A$5:$A$304,$C$8,Schneiddaten!$B$5:$B$304,$E166,Schneiddaten!$C$5:$C$304,_xlfn.MINIFS(Schneiddaten!$C$5:$C$304,Schneiddaten!$A$5:$A$304,$C$8,Schneiddaten!$B$5:$B$304,$E166,Schneiddaten!$C$5:$C$304,"&gt;="&amp;M166))))</f>
        <v/>
      </c>
      <c r="W166" s="26" t="str">
        <f aca="false">IF(AND($D166="",$E166="",$F166="",$G166=""),"",IF(ISNA(MATCH($D166,lst_Profil,0)),"FEHLER: Profil unbekannt",IF(ISNA(MATCH($E166,lst_Werkstoff,0)),"FEHLER: Werkstoff unbekannt",IF(NOT(ISNUMBER(L166)),"FEHLER: Querschnitt fehlt (Profil)",IF(OR($F166="",$F166&lt;=0),"FEHLER: Teilelänge fehlt",IF(OR($G166="",$G166&lt;1),"FEHLER: Stückzahl fehlt",IF(NOT(ISNUMBER($H$4)),"FEHLER: Maschine fehlt/unbekannt",IF(Q166&gt;$H$7,"FEHLER: Stange länger als Maschine zulässt",IF($F166+$H$6&gt;T166,"FEHLER: Teil länger als Nutzlänge",IF(U166="nein","WARNUNG: kein gültiger Materialpreis",IF($H166="","HINWEIS: Schneidweg fehlt",IF(V166="","HINWEIS: keine Schneiddaten",IF(AND($AF166&lt;&gt;"",$AG166=""),"HINWEIS: Gewinde-Vorschlag prüfen","OK")))))))))))))</f>
        <v/>
      </c>
      <c r="X166" s="18" t="str">
        <f aca="false">IF(OR(O166="",$G166=""),"",O166*$G166)</f>
        <v/>
      </c>
      <c r="Y166" s="10"/>
      <c r="Z166" s="21"/>
      <c r="AA166" s="10"/>
      <c r="AB166" s="21"/>
      <c r="AC166" s="21"/>
      <c r="AD166" s="21"/>
      <c r="AE166" s="10"/>
      <c r="AF166" s="10"/>
      <c r="AG166" s="10"/>
      <c r="AH166" s="22"/>
      <c r="AI166" s="21"/>
      <c r="AJ166" s="22"/>
      <c r="AK166" s="21"/>
      <c r="AL166" s="22"/>
      <c r="AM166" s="21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21"/>
      <c r="G167" s="19"/>
      <c r="H167" s="21"/>
      <c r="I167" s="22"/>
      <c r="J167" s="19"/>
      <c r="K167" s="23" t="str">
        <f aca="false">IF($D167="","",IFERROR(INDEX(Profile!$B$5:$B$304,MATCH($D167,lst_Profil,0)),""))</f>
        <v/>
      </c>
      <c r="L167" s="13" t="str">
        <f aca="false">IF($D167="","",IFERROR(INDEX(Profile!$K$5:$K$304,MATCH($D167,lst_Profil,0))+0,""))</f>
        <v/>
      </c>
      <c r="M167" s="24" t="str">
        <f aca="false">IF($D167="","",IFERROR(INDEX(Profile!$E$5:$E$304,MATCH($D167,lst_Profil,0))+0,""))</f>
        <v/>
      </c>
      <c r="N167" s="25" t="str">
        <f aca="false">IF(OR(L167="",$E167=""),"",IFERROR(L167*INDEX(Werkstoffe!$E$5:$E$304,MATCH($E167,lst_Werkstoff,0))/1000,""))</f>
        <v/>
      </c>
      <c r="O167" s="25" t="str">
        <f aca="false">IF(OR(N167="",$F167=""),"",N167*$F167/1000)</f>
        <v/>
      </c>
      <c r="P167" s="16" t="str">
        <f aca="false">IF(OR($F167="",$G167=""),"",$F167*$G167)</f>
        <v/>
      </c>
      <c r="Q167" s="16" t="str">
        <f aca="false">IF($D167="","",IF($J167&lt;&gt;"",$J167,$C$9))</f>
        <v/>
      </c>
      <c r="R167" s="12" t="str">
        <f aca="false">IF($D167="","",IFERROR(IF(INDEX(Profile!$G$5:$G$304,MATCH($D167,lst_Profil,0))&lt;&gt;"",INDEX(Profile!$G$5:$G$304,MATCH($D167,lst_Profil,0)),$H$4),$H$4))</f>
        <v/>
      </c>
      <c r="S167" s="12" t="str">
        <f aca="false">IF($D167="","",IFERROR(IF(INDEX(Profile!$H$5:$H$304,MATCH($D167,lst_Profil,0))&lt;&gt;"",INDEX(Profile!$H$5:$H$304,MATCH($D167,lst_Profil,0)),$H$5),$H$5))</f>
        <v/>
      </c>
      <c r="T167" s="16" t="str">
        <f aca="false">IF(OR(Q167="",NOT(ISNUMBER(R167)),NOT(ISNUMBER(S167))),"",Q167-R167-S167)</f>
        <v/>
      </c>
      <c r="U167" s="26" t="str">
        <f aca="false">IF(OR($D167="",$E167=""),"",IF(COUNTIFS(Preise!$A$5:$A$304,$D167,Preise!$B$5:$B$304,$E167,Preise!$I$5:$I$304,"OK")&gt;0,"ja","nein"))</f>
        <v/>
      </c>
      <c r="V167" s="15" t="str">
        <f aca="false">IF(OR(M167="",$E167="",$C$8=""),"",IF(_xlfn.MINIFS(Schneiddaten!$C$5:$C$304,Schneiddaten!$A$5:$A$304,$C$8,Schneiddaten!$B$5:$B$304,$E167,Schneiddaten!$C$5:$C$304,"&gt;="&amp;M167)=0,"",SUMIFS(Schneiddaten!$D$5:$D$304,Schneiddaten!$A$5:$A$304,$C$8,Schneiddaten!$B$5:$B$304,$E167,Schneiddaten!$C$5:$C$304,_xlfn.MINIFS(Schneiddaten!$C$5:$C$304,Schneiddaten!$A$5:$A$304,$C$8,Schneiddaten!$B$5:$B$304,$E167,Schneiddaten!$C$5:$C$304,"&gt;="&amp;M167))))</f>
        <v/>
      </c>
      <c r="W167" s="26" t="str">
        <f aca="false">IF(AND($D167="",$E167="",$F167="",$G167=""),"",IF(ISNA(MATCH($D167,lst_Profil,0)),"FEHLER: Profil unbekannt",IF(ISNA(MATCH($E167,lst_Werkstoff,0)),"FEHLER: Werkstoff unbekannt",IF(NOT(ISNUMBER(L167)),"FEHLER: Querschnitt fehlt (Profil)",IF(OR($F167="",$F167&lt;=0),"FEHLER: Teilelänge fehlt",IF(OR($G167="",$G167&lt;1),"FEHLER: Stückzahl fehlt",IF(NOT(ISNUMBER($H$4)),"FEHLER: Maschine fehlt/unbekannt",IF(Q167&gt;$H$7,"FEHLER: Stange länger als Maschine zulässt",IF($F167+$H$6&gt;T167,"FEHLER: Teil länger als Nutzlänge",IF(U167="nein","WARNUNG: kein gültiger Materialpreis",IF($H167="","HINWEIS: Schneidweg fehlt",IF(V167="","HINWEIS: keine Schneiddaten",IF(AND($AF167&lt;&gt;"",$AG167=""),"HINWEIS: Gewinde-Vorschlag prüfen","OK")))))))))))))</f>
        <v/>
      </c>
      <c r="X167" s="18" t="str">
        <f aca="false">IF(OR(O167="",$G167=""),"",O167*$G167)</f>
        <v/>
      </c>
      <c r="Y167" s="10"/>
      <c r="Z167" s="21"/>
      <c r="AA167" s="10"/>
      <c r="AB167" s="21"/>
      <c r="AC167" s="21"/>
      <c r="AD167" s="21"/>
      <c r="AE167" s="10"/>
      <c r="AF167" s="10"/>
      <c r="AG167" s="10"/>
      <c r="AH167" s="22"/>
      <c r="AI167" s="21"/>
      <c r="AJ167" s="22"/>
      <c r="AK167" s="21"/>
      <c r="AL167" s="22"/>
      <c r="AM167" s="21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21"/>
      <c r="G168" s="19"/>
      <c r="H168" s="21"/>
      <c r="I168" s="22"/>
      <c r="J168" s="19"/>
      <c r="K168" s="23" t="str">
        <f aca="false">IF($D168="","",IFERROR(INDEX(Profile!$B$5:$B$304,MATCH($D168,lst_Profil,0)),""))</f>
        <v/>
      </c>
      <c r="L168" s="13" t="str">
        <f aca="false">IF($D168="","",IFERROR(INDEX(Profile!$K$5:$K$304,MATCH($D168,lst_Profil,0))+0,""))</f>
        <v/>
      </c>
      <c r="M168" s="24" t="str">
        <f aca="false">IF($D168="","",IFERROR(INDEX(Profile!$E$5:$E$304,MATCH($D168,lst_Profil,0))+0,""))</f>
        <v/>
      </c>
      <c r="N168" s="25" t="str">
        <f aca="false">IF(OR(L168="",$E168=""),"",IFERROR(L168*INDEX(Werkstoffe!$E$5:$E$304,MATCH($E168,lst_Werkstoff,0))/1000,""))</f>
        <v/>
      </c>
      <c r="O168" s="25" t="str">
        <f aca="false">IF(OR(N168="",$F168=""),"",N168*$F168/1000)</f>
        <v/>
      </c>
      <c r="P168" s="16" t="str">
        <f aca="false">IF(OR($F168="",$G168=""),"",$F168*$G168)</f>
        <v/>
      </c>
      <c r="Q168" s="16" t="str">
        <f aca="false">IF($D168="","",IF($J168&lt;&gt;"",$J168,$C$9))</f>
        <v/>
      </c>
      <c r="R168" s="12" t="str">
        <f aca="false">IF($D168="","",IFERROR(IF(INDEX(Profile!$G$5:$G$304,MATCH($D168,lst_Profil,0))&lt;&gt;"",INDEX(Profile!$G$5:$G$304,MATCH($D168,lst_Profil,0)),$H$4),$H$4))</f>
        <v/>
      </c>
      <c r="S168" s="12" t="str">
        <f aca="false">IF($D168="","",IFERROR(IF(INDEX(Profile!$H$5:$H$304,MATCH($D168,lst_Profil,0))&lt;&gt;"",INDEX(Profile!$H$5:$H$304,MATCH($D168,lst_Profil,0)),$H$5),$H$5))</f>
        <v/>
      </c>
      <c r="T168" s="16" t="str">
        <f aca="false">IF(OR(Q168="",NOT(ISNUMBER(R168)),NOT(ISNUMBER(S168))),"",Q168-R168-S168)</f>
        <v/>
      </c>
      <c r="U168" s="26" t="str">
        <f aca="false">IF(OR($D168="",$E168=""),"",IF(COUNTIFS(Preise!$A$5:$A$304,$D168,Preise!$B$5:$B$304,$E168,Preise!$I$5:$I$304,"OK")&gt;0,"ja","nein"))</f>
        <v/>
      </c>
      <c r="V168" s="15" t="str">
        <f aca="false">IF(OR(M168="",$E168="",$C$8=""),"",IF(_xlfn.MINIFS(Schneiddaten!$C$5:$C$304,Schneiddaten!$A$5:$A$304,$C$8,Schneiddaten!$B$5:$B$304,$E168,Schneiddaten!$C$5:$C$304,"&gt;="&amp;M168)=0,"",SUMIFS(Schneiddaten!$D$5:$D$304,Schneiddaten!$A$5:$A$304,$C$8,Schneiddaten!$B$5:$B$304,$E168,Schneiddaten!$C$5:$C$304,_xlfn.MINIFS(Schneiddaten!$C$5:$C$304,Schneiddaten!$A$5:$A$304,$C$8,Schneiddaten!$B$5:$B$304,$E168,Schneiddaten!$C$5:$C$304,"&gt;="&amp;M168))))</f>
        <v/>
      </c>
      <c r="W168" s="26" t="str">
        <f aca="false">IF(AND($D168="",$E168="",$F168="",$G168=""),"",IF(ISNA(MATCH($D168,lst_Profil,0)),"FEHLER: Profil unbekannt",IF(ISNA(MATCH($E168,lst_Werkstoff,0)),"FEHLER: Werkstoff unbekannt",IF(NOT(ISNUMBER(L168)),"FEHLER: Querschnitt fehlt (Profil)",IF(OR($F168="",$F168&lt;=0),"FEHLER: Teilelänge fehlt",IF(OR($G168="",$G168&lt;1),"FEHLER: Stückzahl fehlt",IF(NOT(ISNUMBER($H$4)),"FEHLER: Maschine fehlt/unbekannt",IF(Q168&gt;$H$7,"FEHLER: Stange länger als Maschine zulässt",IF($F168+$H$6&gt;T168,"FEHLER: Teil länger als Nutzlänge",IF(U168="nein","WARNUNG: kein gültiger Materialpreis",IF($H168="","HINWEIS: Schneidweg fehlt",IF(V168="","HINWEIS: keine Schneiddaten",IF(AND($AF168&lt;&gt;"",$AG168=""),"HINWEIS: Gewinde-Vorschlag prüfen","OK")))))))))))))</f>
        <v/>
      </c>
      <c r="X168" s="18" t="str">
        <f aca="false">IF(OR(O168="",$G168=""),"",O168*$G168)</f>
        <v/>
      </c>
      <c r="Y168" s="10"/>
      <c r="Z168" s="21"/>
      <c r="AA168" s="10"/>
      <c r="AB168" s="21"/>
      <c r="AC168" s="21"/>
      <c r="AD168" s="21"/>
      <c r="AE168" s="10"/>
      <c r="AF168" s="10"/>
      <c r="AG168" s="10"/>
      <c r="AH168" s="22"/>
      <c r="AI168" s="21"/>
      <c r="AJ168" s="22"/>
      <c r="AK168" s="21"/>
      <c r="AL168" s="22"/>
      <c r="AM168" s="21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21"/>
      <c r="G169" s="19"/>
      <c r="H169" s="21"/>
      <c r="I169" s="22"/>
      <c r="J169" s="19"/>
      <c r="K169" s="23" t="str">
        <f aca="false">IF($D169="","",IFERROR(INDEX(Profile!$B$5:$B$304,MATCH($D169,lst_Profil,0)),""))</f>
        <v/>
      </c>
      <c r="L169" s="13" t="str">
        <f aca="false">IF($D169="","",IFERROR(INDEX(Profile!$K$5:$K$304,MATCH($D169,lst_Profil,0))+0,""))</f>
        <v/>
      </c>
      <c r="M169" s="24" t="str">
        <f aca="false">IF($D169="","",IFERROR(INDEX(Profile!$E$5:$E$304,MATCH($D169,lst_Profil,0))+0,""))</f>
        <v/>
      </c>
      <c r="N169" s="25" t="str">
        <f aca="false">IF(OR(L169="",$E169=""),"",IFERROR(L169*INDEX(Werkstoffe!$E$5:$E$304,MATCH($E169,lst_Werkstoff,0))/1000,""))</f>
        <v/>
      </c>
      <c r="O169" s="25" t="str">
        <f aca="false">IF(OR(N169="",$F169=""),"",N169*$F169/1000)</f>
        <v/>
      </c>
      <c r="P169" s="16" t="str">
        <f aca="false">IF(OR($F169="",$G169=""),"",$F169*$G169)</f>
        <v/>
      </c>
      <c r="Q169" s="16" t="str">
        <f aca="false">IF($D169="","",IF($J169&lt;&gt;"",$J169,$C$9))</f>
        <v/>
      </c>
      <c r="R169" s="12" t="str">
        <f aca="false">IF($D169="","",IFERROR(IF(INDEX(Profile!$G$5:$G$304,MATCH($D169,lst_Profil,0))&lt;&gt;"",INDEX(Profile!$G$5:$G$304,MATCH($D169,lst_Profil,0)),$H$4),$H$4))</f>
        <v/>
      </c>
      <c r="S169" s="12" t="str">
        <f aca="false">IF($D169="","",IFERROR(IF(INDEX(Profile!$H$5:$H$304,MATCH($D169,lst_Profil,0))&lt;&gt;"",INDEX(Profile!$H$5:$H$304,MATCH($D169,lst_Profil,0)),$H$5),$H$5))</f>
        <v/>
      </c>
      <c r="T169" s="16" t="str">
        <f aca="false">IF(OR(Q169="",NOT(ISNUMBER(R169)),NOT(ISNUMBER(S169))),"",Q169-R169-S169)</f>
        <v/>
      </c>
      <c r="U169" s="26" t="str">
        <f aca="false">IF(OR($D169="",$E169=""),"",IF(COUNTIFS(Preise!$A$5:$A$304,$D169,Preise!$B$5:$B$304,$E169,Preise!$I$5:$I$304,"OK")&gt;0,"ja","nein"))</f>
        <v/>
      </c>
      <c r="V169" s="15" t="str">
        <f aca="false">IF(OR(M169="",$E169="",$C$8=""),"",IF(_xlfn.MINIFS(Schneiddaten!$C$5:$C$304,Schneiddaten!$A$5:$A$304,$C$8,Schneiddaten!$B$5:$B$304,$E169,Schneiddaten!$C$5:$C$304,"&gt;="&amp;M169)=0,"",SUMIFS(Schneiddaten!$D$5:$D$304,Schneiddaten!$A$5:$A$304,$C$8,Schneiddaten!$B$5:$B$304,$E169,Schneiddaten!$C$5:$C$304,_xlfn.MINIFS(Schneiddaten!$C$5:$C$304,Schneiddaten!$A$5:$A$304,$C$8,Schneiddaten!$B$5:$B$304,$E169,Schneiddaten!$C$5:$C$304,"&gt;="&amp;M169))))</f>
        <v/>
      </c>
      <c r="W169" s="26" t="str">
        <f aca="false">IF(AND($D169="",$E169="",$F169="",$G169=""),"",IF(ISNA(MATCH($D169,lst_Profil,0)),"FEHLER: Profil unbekannt",IF(ISNA(MATCH($E169,lst_Werkstoff,0)),"FEHLER: Werkstoff unbekannt",IF(NOT(ISNUMBER(L169)),"FEHLER: Querschnitt fehlt (Profil)",IF(OR($F169="",$F169&lt;=0),"FEHLER: Teilelänge fehlt",IF(OR($G169="",$G169&lt;1),"FEHLER: Stückzahl fehlt",IF(NOT(ISNUMBER($H$4)),"FEHLER: Maschine fehlt/unbekannt",IF(Q169&gt;$H$7,"FEHLER: Stange länger als Maschine zulässt",IF($F169+$H$6&gt;T169,"FEHLER: Teil länger als Nutzlänge",IF(U169="nein","WARNUNG: kein gültiger Materialpreis",IF($H169="","HINWEIS: Schneidweg fehlt",IF(V169="","HINWEIS: keine Schneiddaten",IF(AND($AF169&lt;&gt;"",$AG169=""),"HINWEIS: Gewinde-Vorschlag prüfen","OK")))))))))))))</f>
        <v/>
      </c>
      <c r="X169" s="18" t="str">
        <f aca="false">IF(OR(O169="",$G169=""),"",O169*$G169)</f>
        <v/>
      </c>
      <c r="Y169" s="10"/>
      <c r="Z169" s="21"/>
      <c r="AA169" s="10"/>
      <c r="AB169" s="21"/>
      <c r="AC169" s="21"/>
      <c r="AD169" s="21"/>
      <c r="AE169" s="10"/>
      <c r="AF169" s="10"/>
      <c r="AG169" s="10"/>
      <c r="AH169" s="22"/>
      <c r="AI169" s="21"/>
      <c r="AJ169" s="22"/>
      <c r="AK169" s="21"/>
      <c r="AL169" s="22"/>
      <c r="AM169" s="21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21"/>
      <c r="G170" s="19"/>
      <c r="H170" s="21"/>
      <c r="I170" s="22"/>
      <c r="J170" s="19"/>
      <c r="K170" s="23" t="str">
        <f aca="false">IF($D170="","",IFERROR(INDEX(Profile!$B$5:$B$304,MATCH($D170,lst_Profil,0)),""))</f>
        <v/>
      </c>
      <c r="L170" s="13" t="str">
        <f aca="false">IF($D170="","",IFERROR(INDEX(Profile!$K$5:$K$304,MATCH($D170,lst_Profil,0))+0,""))</f>
        <v/>
      </c>
      <c r="M170" s="24" t="str">
        <f aca="false">IF($D170="","",IFERROR(INDEX(Profile!$E$5:$E$304,MATCH($D170,lst_Profil,0))+0,""))</f>
        <v/>
      </c>
      <c r="N170" s="25" t="str">
        <f aca="false">IF(OR(L170="",$E170=""),"",IFERROR(L170*INDEX(Werkstoffe!$E$5:$E$304,MATCH($E170,lst_Werkstoff,0))/1000,""))</f>
        <v/>
      </c>
      <c r="O170" s="25" t="str">
        <f aca="false">IF(OR(N170="",$F170=""),"",N170*$F170/1000)</f>
        <v/>
      </c>
      <c r="P170" s="16" t="str">
        <f aca="false">IF(OR($F170="",$G170=""),"",$F170*$G170)</f>
        <v/>
      </c>
      <c r="Q170" s="16" t="str">
        <f aca="false">IF($D170="","",IF($J170&lt;&gt;"",$J170,$C$9))</f>
        <v/>
      </c>
      <c r="R170" s="12" t="str">
        <f aca="false">IF($D170="","",IFERROR(IF(INDEX(Profile!$G$5:$G$304,MATCH($D170,lst_Profil,0))&lt;&gt;"",INDEX(Profile!$G$5:$G$304,MATCH($D170,lst_Profil,0)),$H$4),$H$4))</f>
        <v/>
      </c>
      <c r="S170" s="12" t="str">
        <f aca="false">IF($D170="","",IFERROR(IF(INDEX(Profile!$H$5:$H$304,MATCH($D170,lst_Profil,0))&lt;&gt;"",INDEX(Profile!$H$5:$H$304,MATCH($D170,lst_Profil,0)),$H$5),$H$5))</f>
        <v/>
      </c>
      <c r="T170" s="16" t="str">
        <f aca="false">IF(OR(Q170="",NOT(ISNUMBER(R170)),NOT(ISNUMBER(S170))),"",Q170-R170-S170)</f>
        <v/>
      </c>
      <c r="U170" s="26" t="str">
        <f aca="false">IF(OR($D170="",$E170=""),"",IF(COUNTIFS(Preise!$A$5:$A$304,$D170,Preise!$B$5:$B$304,$E170,Preise!$I$5:$I$304,"OK")&gt;0,"ja","nein"))</f>
        <v/>
      </c>
      <c r="V170" s="15" t="str">
        <f aca="false">IF(OR(M170="",$E170="",$C$8=""),"",IF(_xlfn.MINIFS(Schneiddaten!$C$5:$C$304,Schneiddaten!$A$5:$A$304,$C$8,Schneiddaten!$B$5:$B$304,$E170,Schneiddaten!$C$5:$C$304,"&gt;="&amp;M170)=0,"",SUMIFS(Schneiddaten!$D$5:$D$304,Schneiddaten!$A$5:$A$304,$C$8,Schneiddaten!$B$5:$B$304,$E170,Schneiddaten!$C$5:$C$304,_xlfn.MINIFS(Schneiddaten!$C$5:$C$304,Schneiddaten!$A$5:$A$304,$C$8,Schneiddaten!$B$5:$B$304,$E170,Schneiddaten!$C$5:$C$304,"&gt;="&amp;M170))))</f>
        <v/>
      </c>
      <c r="W170" s="26" t="str">
        <f aca="false">IF(AND($D170="",$E170="",$F170="",$G170=""),"",IF(ISNA(MATCH($D170,lst_Profil,0)),"FEHLER: Profil unbekannt",IF(ISNA(MATCH($E170,lst_Werkstoff,0)),"FEHLER: Werkstoff unbekannt",IF(NOT(ISNUMBER(L170)),"FEHLER: Querschnitt fehlt (Profil)",IF(OR($F170="",$F170&lt;=0),"FEHLER: Teilelänge fehlt",IF(OR($G170="",$G170&lt;1),"FEHLER: Stückzahl fehlt",IF(NOT(ISNUMBER($H$4)),"FEHLER: Maschine fehlt/unbekannt",IF(Q170&gt;$H$7,"FEHLER: Stange länger als Maschine zulässt",IF($F170+$H$6&gt;T170,"FEHLER: Teil länger als Nutzlänge",IF(U170="nein","WARNUNG: kein gültiger Materialpreis",IF($H170="","HINWEIS: Schneidweg fehlt",IF(V170="","HINWEIS: keine Schneiddaten",IF(AND($AF170&lt;&gt;"",$AG170=""),"HINWEIS: Gewinde-Vorschlag prüfen","OK")))))))))))))</f>
        <v/>
      </c>
      <c r="X170" s="18" t="str">
        <f aca="false">IF(OR(O170="",$G170=""),"",O170*$G170)</f>
        <v/>
      </c>
      <c r="Y170" s="10"/>
      <c r="Z170" s="21"/>
      <c r="AA170" s="10"/>
      <c r="AB170" s="21"/>
      <c r="AC170" s="21"/>
      <c r="AD170" s="21"/>
      <c r="AE170" s="10"/>
      <c r="AF170" s="10"/>
      <c r="AG170" s="10"/>
      <c r="AH170" s="22"/>
      <c r="AI170" s="21"/>
      <c r="AJ170" s="22"/>
      <c r="AK170" s="21"/>
      <c r="AL170" s="22"/>
      <c r="AM170" s="21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21"/>
      <c r="G171" s="19"/>
      <c r="H171" s="21"/>
      <c r="I171" s="22"/>
      <c r="J171" s="19"/>
      <c r="K171" s="23" t="str">
        <f aca="false">IF($D171="","",IFERROR(INDEX(Profile!$B$5:$B$304,MATCH($D171,lst_Profil,0)),""))</f>
        <v/>
      </c>
      <c r="L171" s="13" t="str">
        <f aca="false">IF($D171="","",IFERROR(INDEX(Profile!$K$5:$K$304,MATCH($D171,lst_Profil,0))+0,""))</f>
        <v/>
      </c>
      <c r="M171" s="24" t="str">
        <f aca="false">IF($D171="","",IFERROR(INDEX(Profile!$E$5:$E$304,MATCH($D171,lst_Profil,0))+0,""))</f>
        <v/>
      </c>
      <c r="N171" s="25" t="str">
        <f aca="false">IF(OR(L171="",$E171=""),"",IFERROR(L171*INDEX(Werkstoffe!$E$5:$E$304,MATCH($E171,lst_Werkstoff,0))/1000,""))</f>
        <v/>
      </c>
      <c r="O171" s="25" t="str">
        <f aca="false">IF(OR(N171="",$F171=""),"",N171*$F171/1000)</f>
        <v/>
      </c>
      <c r="P171" s="16" t="str">
        <f aca="false">IF(OR($F171="",$G171=""),"",$F171*$G171)</f>
        <v/>
      </c>
      <c r="Q171" s="16" t="str">
        <f aca="false">IF($D171="","",IF($J171&lt;&gt;"",$J171,$C$9))</f>
        <v/>
      </c>
      <c r="R171" s="12" t="str">
        <f aca="false">IF($D171="","",IFERROR(IF(INDEX(Profile!$G$5:$G$304,MATCH($D171,lst_Profil,0))&lt;&gt;"",INDEX(Profile!$G$5:$G$304,MATCH($D171,lst_Profil,0)),$H$4),$H$4))</f>
        <v/>
      </c>
      <c r="S171" s="12" t="str">
        <f aca="false">IF($D171="","",IFERROR(IF(INDEX(Profile!$H$5:$H$304,MATCH($D171,lst_Profil,0))&lt;&gt;"",INDEX(Profile!$H$5:$H$304,MATCH($D171,lst_Profil,0)),$H$5),$H$5))</f>
        <v/>
      </c>
      <c r="T171" s="16" t="str">
        <f aca="false">IF(OR(Q171="",NOT(ISNUMBER(R171)),NOT(ISNUMBER(S171))),"",Q171-R171-S171)</f>
        <v/>
      </c>
      <c r="U171" s="26" t="str">
        <f aca="false">IF(OR($D171="",$E171=""),"",IF(COUNTIFS(Preise!$A$5:$A$304,$D171,Preise!$B$5:$B$304,$E171,Preise!$I$5:$I$304,"OK")&gt;0,"ja","nein"))</f>
        <v/>
      </c>
      <c r="V171" s="15" t="str">
        <f aca="false">IF(OR(M171="",$E171="",$C$8=""),"",IF(_xlfn.MINIFS(Schneiddaten!$C$5:$C$304,Schneiddaten!$A$5:$A$304,$C$8,Schneiddaten!$B$5:$B$304,$E171,Schneiddaten!$C$5:$C$304,"&gt;="&amp;M171)=0,"",SUMIFS(Schneiddaten!$D$5:$D$304,Schneiddaten!$A$5:$A$304,$C$8,Schneiddaten!$B$5:$B$304,$E171,Schneiddaten!$C$5:$C$304,_xlfn.MINIFS(Schneiddaten!$C$5:$C$304,Schneiddaten!$A$5:$A$304,$C$8,Schneiddaten!$B$5:$B$304,$E171,Schneiddaten!$C$5:$C$304,"&gt;="&amp;M171))))</f>
        <v/>
      </c>
      <c r="W171" s="26" t="str">
        <f aca="false">IF(AND($D171="",$E171="",$F171="",$G171=""),"",IF(ISNA(MATCH($D171,lst_Profil,0)),"FEHLER: Profil unbekannt",IF(ISNA(MATCH($E171,lst_Werkstoff,0)),"FEHLER: Werkstoff unbekannt",IF(NOT(ISNUMBER(L171)),"FEHLER: Querschnitt fehlt (Profil)",IF(OR($F171="",$F171&lt;=0),"FEHLER: Teilelänge fehlt",IF(OR($G171="",$G171&lt;1),"FEHLER: Stückzahl fehlt",IF(NOT(ISNUMBER($H$4)),"FEHLER: Maschine fehlt/unbekannt",IF(Q171&gt;$H$7,"FEHLER: Stange länger als Maschine zulässt",IF($F171+$H$6&gt;T171,"FEHLER: Teil länger als Nutzlänge",IF(U171="nein","WARNUNG: kein gültiger Materialpreis",IF($H171="","HINWEIS: Schneidweg fehlt",IF(V171="","HINWEIS: keine Schneiddaten",IF(AND($AF171&lt;&gt;"",$AG171=""),"HINWEIS: Gewinde-Vorschlag prüfen","OK")))))))))))))</f>
        <v/>
      </c>
      <c r="X171" s="18" t="str">
        <f aca="false">IF(OR(O171="",$G171=""),"",O171*$G171)</f>
        <v/>
      </c>
      <c r="Y171" s="10"/>
      <c r="Z171" s="21"/>
      <c r="AA171" s="10"/>
      <c r="AB171" s="21"/>
      <c r="AC171" s="21"/>
      <c r="AD171" s="21"/>
      <c r="AE171" s="10"/>
      <c r="AF171" s="10"/>
      <c r="AG171" s="10"/>
      <c r="AH171" s="22"/>
      <c r="AI171" s="21"/>
      <c r="AJ171" s="22"/>
      <c r="AK171" s="21"/>
      <c r="AL171" s="22"/>
      <c r="AM171" s="21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21"/>
      <c r="G172" s="19"/>
      <c r="H172" s="21"/>
      <c r="I172" s="22"/>
      <c r="J172" s="19"/>
      <c r="K172" s="23" t="str">
        <f aca="false">IF($D172="","",IFERROR(INDEX(Profile!$B$5:$B$304,MATCH($D172,lst_Profil,0)),""))</f>
        <v/>
      </c>
      <c r="L172" s="13" t="str">
        <f aca="false">IF($D172="","",IFERROR(INDEX(Profile!$K$5:$K$304,MATCH($D172,lst_Profil,0))+0,""))</f>
        <v/>
      </c>
      <c r="M172" s="24" t="str">
        <f aca="false">IF($D172="","",IFERROR(INDEX(Profile!$E$5:$E$304,MATCH($D172,lst_Profil,0))+0,""))</f>
        <v/>
      </c>
      <c r="N172" s="25" t="str">
        <f aca="false">IF(OR(L172="",$E172=""),"",IFERROR(L172*INDEX(Werkstoffe!$E$5:$E$304,MATCH($E172,lst_Werkstoff,0))/1000,""))</f>
        <v/>
      </c>
      <c r="O172" s="25" t="str">
        <f aca="false">IF(OR(N172="",$F172=""),"",N172*$F172/1000)</f>
        <v/>
      </c>
      <c r="P172" s="16" t="str">
        <f aca="false">IF(OR($F172="",$G172=""),"",$F172*$G172)</f>
        <v/>
      </c>
      <c r="Q172" s="16" t="str">
        <f aca="false">IF($D172="","",IF($J172&lt;&gt;"",$J172,$C$9))</f>
        <v/>
      </c>
      <c r="R172" s="12" t="str">
        <f aca="false">IF($D172="","",IFERROR(IF(INDEX(Profile!$G$5:$G$304,MATCH($D172,lst_Profil,0))&lt;&gt;"",INDEX(Profile!$G$5:$G$304,MATCH($D172,lst_Profil,0)),$H$4),$H$4))</f>
        <v/>
      </c>
      <c r="S172" s="12" t="str">
        <f aca="false">IF($D172="","",IFERROR(IF(INDEX(Profile!$H$5:$H$304,MATCH($D172,lst_Profil,0))&lt;&gt;"",INDEX(Profile!$H$5:$H$304,MATCH($D172,lst_Profil,0)),$H$5),$H$5))</f>
        <v/>
      </c>
      <c r="T172" s="16" t="str">
        <f aca="false">IF(OR(Q172="",NOT(ISNUMBER(R172)),NOT(ISNUMBER(S172))),"",Q172-R172-S172)</f>
        <v/>
      </c>
      <c r="U172" s="26" t="str">
        <f aca="false">IF(OR($D172="",$E172=""),"",IF(COUNTIFS(Preise!$A$5:$A$304,$D172,Preise!$B$5:$B$304,$E172,Preise!$I$5:$I$304,"OK")&gt;0,"ja","nein"))</f>
        <v/>
      </c>
      <c r="V172" s="15" t="str">
        <f aca="false">IF(OR(M172="",$E172="",$C$8=""),"",IF(_xlfn.MINIFS(Schneiddaten!$C$5:$C$304,Schneiddaten!$A$5:$A$304,$C$8,Schneiddaten!$B$5:$B$304,$E172,Schneiddaten!$C$5:$C$304,"&gt;="&amp;M172)=0,"",SUMIFS(Schneiddaten!$D$5:$D$304,Schneiddaten!$A$5:$A$304,$C$8,Schneiddaten!$B$5:$B$304,$E172,Schneiddaten!$C$5:$C$304,_xlfn.MINIFS(Schneiddaten!$C$5:$C$304,Schneiddaten!$A$5:$A$304,$C$8,Schneiddaten!$B$5:$B$304,$E172,Schneiddaten!$C$5:$C$304,"&gt;="&amp;M172))))</f>
        <v/>
      </c>
      <c r="W172" s="26" t="str">
        <f aca="false">IF(AND($D172="",$E172="",$F172="",$G172=""),"",IF(ISNA(MATCH($D172,lst_Profil,0)),"FEHLER: Profil unbekannt",IF(ISNA(MATCH($E172,lst_Werkstoff,0)),"FEHLER: Werkstoff unbekannt",IF(NOT(ISNUMBER(L172)),"FEHLER: Querschnitt fehlt (Profil)",IF(OR($F172="",$F172&lt;=0),"FEHLER: Teilelänge fehlt",IF(OR($G172="",$G172&lt;1),"FEHLER: Stückzahl fehlt",IF(NOT(ISNUMBER($H$4)),"FEHLER: Maschine fehlt/unbekannt",IF(Q172&gt;$H$7,"FEHLER: Stange länger als Maschine zulässt",IF($F172+$H$6&gt;T172,"FEHLER: Teil länger als Nutzlänge",IF(U172="nein","WARNUNG: kein gültiger Materialpreis",IF($H172="","HINWEIS: Schneidweg fehlt",IF(V172="","HINWEIS: keine Schneiddaten",IF(AND($AF172&lt;&gt;"",$AG172=""),"HINWEIS: Gewinde-Vorschlag prüfen","OK")))))))))))))</f>
        <v/>
      </c>
      <c r="X172" s="18" t="str">
        <f aca="false">IF(OR(O172="",$G172=""),"",O172*$G172)</f>
        <v/>
      </c>
      <c r="Y172" s="10"/>
      <c r="Z172" s="21"/>
      <c r="AA172" s="10"/>
      <c r="AB172" s="21"/>
      <c r="AC172" s="21"/>
      <c r="AD172" s="21"/>
      <c r="AE172" s="10"/>
      <c r="AF172" s="10"/>
      <c r="AG172" s="10"/>
      <c r="AH172" s="22"/>
      <c r="AI172" s="21"/>
      <c r="AJ172" s="22"/>
      <c r="AK172" s="21"/>
      <c r="AL172" s="22"/>
      <c r="AM172" s="21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21"/>
      <c r="G173" s="19"/>
      <c r="H173" s="21"/>
      <c r="I173" s="22"/>
      <c r="J173" s="19"/>
      <c r="K173" s="23" t="str">
        <f aca="false">IF($D173="","",IFERROR(INDEX(Profile!$B$5:$B$304,MATCH($D173,lst_Profil,0)),""))</f>
        <v/>
      </c>
      <c r="L173" s="13" t="str">
        <f aca="false">IF($D173="","",IFERROR(INDEX(Profile!$K$5:$K$304,MATCH($D173,lst_Profil,0))+0,""))</f>
        <v/>
      </c>
      <c r="M173" s="24" t="str">
        <f aca="false">IF($D173="","",IFERROR(INDEX(Profile!$E$5:$E$304,MATCH($D173,lst_Profil,0))+0,""))</f>
        <v/>
      </c>
      <c r="N173" s="25" t="str">
        <f aca="false">IF(OR(L173="",$E173=""),"",IFERROR(L173*INDEX(Werkstoffe!$E$5:$E$304,MATCH($E173,lst_Werkstoff,0))/1000,""))</f>
        <v/>
      </c>
      <c r="O173" s="25" t="str">
        <f aca="false">IF(OR(N173="",$F173=""),"",N173*$F173/1000)</f>
        <v/>
      </c>
      <c r="P173" s="16" t="str">
        <f aca="false">IF(OR($F173="",$G173=""),"",$F173*$G173)</f>
        <v/>
      </c>
      <c r="Q173" s="16" t="str">
        <f aca="false">IF($D173="","",IF($J173&lt;&gt;"",$J173,$C$9))</f>
        <v/>
      </c>
      <c r="R173" s="12" t="str">
        <f aca="false">IF($D173="","",IFERROR(IF(INDEX(Profile!$G$5:$G$304,MATCH($D173,lst_Profil,0))&lt;&gt;"",INDEX(Profile!$G$5:$G$304,MATCH($D173,lst_Profil,0)),$H$4),$H$4))</f>
        <v/>
      </c>
      <c r="S173" s="12" t="str">
        <f aca="false">IF($D173="","",IFERROR(IF(INDEX(Profile!$H$5:$H$304,MATCH($D173,lst_Profil,0))&lt;&gt;"",INDEX(Profile!$H$5:$H$304,MATCH($D173,lst_Profil,0)),$H$5),$H$5))</f>
        <v/>
      </c>
      <c r="T173" s="16" t="str">
        <f aca="false">IF(OR(Q173="",NOT(ISNUMBER(R173)),NOT(ISNUMBER(S173))),"",Q173-R173-S173)</f>
        <v/>
      </c>
      <c r="U173" s="26" t="str">
        <f aca="false">IF(OR($D173="",$E173=""),"",IF(COUNTIFS(Preise!$A$5:$A$304,$D173,Preise!$B$5:$B$304,$E173,Preise!$I$5:$I$304,"OK")&gt;0,"ja","nein"))</f>
        <v/>
      </c>
      <c r="V173" s="15" t="str">
        <f aca="false">IF(OR(M173="",$E173="",$C$8=""),"",IF(_xlfn.MINIFS(Schneiddaten!$C$5:$C$304,Schneiddaten!$A$5:$A$304,$C$8,Schneiddaten!$B$5:$B$304,$E173,Schneiddaten!$C$5:$C$304,"&gt;="&amp;M173)=0,"",SUMIFS(Schneiddaten!$D$5:$D$304,Schneiddaten!$A$5:$A$304,$C$8,Schneiddaten!$B$5:$B$304,$E173,Schneiddaten!$C$5:$C$304,_xlfn.MINIFS(Schneiddaten!$C$5:$C$304,Schneiddaten!$A$5:$A$304,$C$8,Schneiddaten!$B$5:$B$304,$E173,Schneiddaten!$C$5:$C$304,"&gt;="&amp;M173))))</f>
        <v/>
      </c>
      <c r="W173" s="26" t="str">
        <f aca="false">IF(AND($D173="",$E173="",$F173="",$G173=""),"",IF(ISNA(MATCH($D173,lst_Profil,0)),"FEHLER: Profil unbekannt",IF(ISNA(MATCH($E173,lst_Werkstoff,0)),"FEHLER: Werkstoff unbekannt",IF(NOT(ISNUMBER(L173)),"FEHLER: Querschnitt fehlt (Profil)",IF(OR($F173="",$F173&lt;=0),"FEHLER: Teilelänge fehlt",IF(OR($G173="",$G173&lt;1),"FEHLER: Stückzahl fehlt",IF(NOT(ISNUMBER($H$4)),"FEHLER: Maschine fehlt/unbekannt",IF(Q173&gt;$H$7,"FEHLER: Stange länger als Maschine zulässt",IF($F173+$H$6&gt;T173,"FEHLER: Teil länger als Nutzlänge",IF(U173="nein","WARNUNG: kein gültiger Materialpreis",IF($H173="","HINWEIS: Schneidweg fehlt",IF(V173="","HINWEIS: keine Schneiddaten",IF(AND($AF173&lt;&gt;"",$AG173=""),"HINWEIS: Gewinde-Vorschlag prüfen","OK")))))))))))))</f>
        <v/>
      </c>
      <c r="X173" s="18" t="str">
        <f aca="false">IF(OR(O173="",$G173=""),"",O173*$G173)</f>
        <v/>
      </c>
      <c r="Y173" s="10"/>
      <c r="Z173" s="21"/>
      <c r="AA173" s="10"/>
      <c r="AB173" s="21"/>
      <c r="AC173" s="21"/>
      <c r="AD173" s="21"/>
      <c r="AE173" s="10"/>
      <c r="AF173" s="10"/>
      <c r="AG173" s="10"/>
      <c r="AH173" s="22"/>
      <c r="AI173" s="21"/>
      <c r="AJ173" s="22"/>
      <c r="AK173" s="21"/>
      <c r="AL173" s="22"/>
      <c r="AM173" s="21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21"/>
      <c r="G174" s="19"/>
      <c r="H174" s="21"/>
      <c r="I174" s="22"/>
      <c r="J174" s="19"/>
      <c r="K174" s="23" t="str">
        <f aca="false">IF($D174="","",IFERROR(INDEX(Profile!$B$5:$B$304,MATCH($D174,lst_Profil,0)),""))</f>
        <v/>
      </c>
      <c r="L174" s="13" t="str">
        <f aca="false">IF($D174="","",IFERROR(INDEX(Profile!$K$5:$K$304,MATCH($D174,lst_Profil,0))+0,""))</f>
        <v/>
      </c>
      <c r="M174" s="24" t="str">
        <f aca="false">IF($D174="","",IFERROR(INDEX(Profile!$E$5:$E$304,MATCH($D174,lst_Profil,0))+0,""))</f>
        <v/>
      </c>
      <c r="N174" s="25" t="str">
        <f aca="false">IF(OR(L174="",$E174=""),"",IFERROR(L174*INDEX(Werkstoffe!$E$5:$E$304,MATCH($E174,lst_Werkstoff,0))/1000,""))</f>
        <v/>
      </c>
      <c r="O174" s="25" t="str">
        <f aca="false">IF(OR(N174="",$F174=""),"",N174*$F174/1000)</f>
        <v/>
      </c>
      <c r="P174" s="16" t="str">
        <f aca="false">IF(OR($F174="",$G174=""),"",$F174*$G174)</f>
        <v/>
      </c>
      <c r="Q174" s="16" t="str">
        <f aca="false">IF($D174="","",IF($J174&lt;&gt;"",$J174,$C$9))</f>
        <v/>
      </c>
      <c r="R174" s="12" t="str">
        <f aca="false">IF($D174="","",IFERROR(IF(INDEX(Profile!$G$5:$G$304,MATCH($D174,lst_Profil,0))&lt;&gt;"",INDEX(Profile!$G$5:$G$304,MATCH($D174,lst_Profil,0)),$H$4),$H$4))</f>
        <v/>
      </c>
      <c r="S174" s="12" t="str">
        <f aca="false">IF($D174="","",IFERROR(IF(INDEX(Profile!$H$5:$H$304,MATCH($D174,lst_Profil,0))&lt;&gt;"",INDEX(Profile!$H$5:$H$304,MATCH($D174,lst_Profil,0)),$H$5),$H$5))</f>
        <v/>
      </c>
      <c r="T174" s="16" t="str">
        <f aca="false">IF(OR(Q174="",NOT(ISNUMBER(R174)),NOT(ISNUMBER(S174))),"",Q174-R174-S174)</f>
        <v/>
      </c>
      <c r="U174" s="26" t="str">
        <f aca="false">IF(OR($D174="",$E174=""),"",IF(COUNTIFS(Preise!$A$5:$A$304,$D174,Preise!$B$5:$B$304,$E174,Preise!$I$5:$I$304,"OK")&gt;0,"ja","nein"))</f>
        <v/>
      </c>
      <c r="V174" s="15" t="str">
        <f aca="false">IF(OR(M174="",$E174="",$C$8=""),"",IF(_xlfn.MINIFS(Schneiddaten!$C$5:$C$304,Schneiddaten!$A$5:$A$304,$C$8,Schneiddaten!$B$5:$B$304,$E174,Schneiddaten!$C$5:$C$304,"&gt;="&amp;M174)=0,"",SUMIFS(Schneiddaten!$D$5:$D$304,Schneiddaten!$A$5:$A$304,$C$8,Schneiddaten!$B$5:$B$304,$E174,Schneiddaten!$C$5:$C$304,_xlfn.MINIFS(Schneiddaten!$C$5:$C$304,Schneiddaten!$A$5:$A$304,$C$8,Schneiddaten!$B$5:$B$304,$E174,Schneiddaten!$C$5:$C$304,"&gt;="&amp;M174))))</f>
        <v/>
      </c>
      <c r="W174" s="26" t="str">
        <f aca="false">IF(AND($D174="",$E174="",$F174="",$G174=""),"",IF(ISNA(MATCH($D174,lst_Profil,0)),"FEHLER: Profil unbekannt",IF(ISNA(MATCH($E174,lst_Werkstoff,0)),"FEHLER: Werkstoff unbekannt",IF(NOT(ISNUMBER(L174)),"FEHLER: Querschnitt fehlt (Profil)",IF(OR($F174="",$F174&lt;=0),"FEHLER: Teilelänge fehlt",IF(OR($G174="",$G174&lt;1),"FEHLER: Stückzahl fehlt",IF(NOT(ISNUMBER($H$4)),"FEHLER: Maschine fehlt/unbekannt",IF(Q174&gt;$H$7,"FEHLER: Stange länger als Maschine zulässt",IF($F174+$H$6&gt;T174,"FEHLER: Teil länger als Nutzlänge",IF(U174="nein","WARNUNG: kein gültiger Materialpreis",IF($H174="","HINWEIS: Schneidweg fehlt",IF(V174="","HINWEIS: keine Schneiddaten",IF(AND($AF174&lt;&gt;"",$AG174=""),"HINWEIS: Gewinde-Vorschlag prüfen","OK")))))))))))))</f>
        <v/>
      </c>
      <c r="X174" s="18" t="str">
        <f aca="false">IF(OR(O174="",$G174=""),"",O174*$G174)</f>
        <v/>
      </c>
      <c r="Y174" s="10"/>
      <c r="Z174" s="21"/>
      <c r="AA174" s="10"/>
      <c r="AB174" s="21"/>
      <c r="AC174" s="21"/>
      <c r="AD174" s="21"/>
      <c r="AE174" s="10"/>
      <c r="AF174" s="10"/>
      <c r="AG174" s="10"/>
      <c r="AH174" s="22"/>
      <c r="AI174" s="21"/>
      <c r="AJ174" s="22"/>
      <c r="AK174" s="21"/>
      <c r="AL174" s="22"/>
      <c r="AM174" s="21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21"/>
      <c r="G175" s="19"/>
      <c r="H175" s="21"/>
      <c r="I175" s="22"/>
      <c r="J175" s="19"/>
      <c r="K175" s="23" t="str">
        <f aca="false">IF($D175="","",IFERROR(INDEX(Profile!$B$5:$B$304,MATCH($D175,lst_Profil,0)),""))</f>
        <v/>
      </c>
      <c r="L175" s="13" t="str">
        <f aca="false">IF($D175="","",IFERROR(INDEX(Profile!$K$5:$K$304,MATCH($D175,lst_Profil,0))+0,""))</f>
        <v/>
      </c>
      <c r="M175" s="24" t="str">
        <f aca="false">IF($D175="","",IFERROR(INDEX(Profile!$E$5:$E$304,MATCH($D175,lst_Profil,0))+0,""))</f>
        <v/>
      </c>
      <c r="N175" s="25" t="str">
        <f aca="false">IF(OR(L175="",$E175=""),"",IFERROR(L175*INDEX(Werkstoffe!$E$5:$E$304,MATCH($E175,lst_Werkstoff,0))/1000,""))</f>
        <v/>
      </c>
      <c r="O175" s="25" t="str">
        <f aca="false">IF(OR(N175="",$F175=""),"",N175*$F175/1000)</f>
        <v/>
      </c>
      <c r="P175" s="16" t="str">
        <f aca="false">IF(OR($F175="",$G175=""),"",$F175*$G175)</f>
        <v/>
      </c>
      <c r="Q175" s="16" t="str">
        <f aca="false">IF($D175="","",IF($J175&lt;&gt;"",$J175,$C$9))</f>
        <v/>
      </c>
      <c r="R175" s="12" t="str">
        <f aca="false">IF($D175="","",IFERROR(IF(INDEX(Profile!$G$5:$G$304,MATCH($D175,lst_Profil,0))&lt;&gt;"",INDEX(Profile!$G$5:$G$304,MATCH($D175,lst_Profil,0)),$H$4),$H$4))</f>
        <v/>
      </c>
      <c r="S175" s="12" t="str">
        <f aca="false">IF($D175="","",IFERROR(IF(INDEX(Profile!$H$5:$H$304,MATCH($D175,lst_Profil,0))&lt;&gt;"",INDEX(Profile!$H$5:$H$304,MATCH($D175,lst_Profil,0)),$H$5),$H$5))</f>
        <v/>
      </c>
      <c r="T175" s="16" t="str">
        <f aca="false">IF(OR(Q175="",NOT(ISNUMBER(R175)),NOT(ISNUMBER(S175))),"",Q175-R175-S175)</f>
        <v/>
      </c>
      <c r="U175" s="26" t="str">
        <f aca="false">IF(OR($D175="",$E175=""),"",IF(COUNTIFS(Preise!$A$5:$A$304,$D175,Preise!$B$5:$B$304,$E175,Preise!$I$5:$I$304,"OK")&gt;0,"ja","nein"))</f>
        <v/>
      </c>
      <c r="V175" s="15" t="str">
        <f aca="false">IF(OR(M175="",$E175="",$C$8=""),"",IF(_xlfn.MINIFS(Schneiddaten!$C$5:$C$304,Schneiddaten!$A$5:$A$304,$C$8,Schneiddaten!$B$5:$B$304,$E175,Schneiddaten!$C$5:$C$304,"&gt;="&amp;M175)=0,"",SUMIFS(Schneiddaten!$D$5:$D$304,Schneiddaten!$A$5:$A$304,$C$8,Schneiddaten!$B$5:$B$304,$E175,Schneiddaten!$C$5:$C$304,_xlfn.MINIFS(Schneiddaten!$C$5:$C$304,Schneiddaten!$A$5:$A$304,$C$8,Schneiddaten!$B$5:$B$304,$E175,Schneiddaten!$C$5:$C$304,"&gt;="&amp;M175))))</f>
        <v/>
      </c>
      <c r="W175" s="26" t="str">
        <f aca="false">IF(AND($D175="",$E175="",$F175="",$G175=""),"",IF(ISNA(MATCH($D175,lst_Profil,0)),"FEHLER: Profil unbekannt",IF(ISNA(MATCH($E175,lst_Werkstoff,0)),"FEHLER: Werkstoff unbekannt",IF(NOT(ISNUMBER(L175)),"FEHLER: Querschnitt fehlt (Profil)",IF(OR($F175="",$F175&lt;=0),"FEHLER: Teilelänge fehlt",IF(OR($G175="",$G175&lt;1),"FEHLER: Stückzahl fehlt",IF(NOT(ISNUMBER($H$4)),"FEHLER: Maschine fehlt/unbekannt",IF(Q175&gt;$H$7,"FEHLER: Stange länger als Maschine zulässt",IF($F175+$H$6&gt;T175,"FEHLER: Teil länger als Nutzlänge",IF(U175="nein","WARNUNG: kein gültiger Materialpreis",IF($H175="","HINWEIS: Schneidweg fehlt",IF(V175="","HINWEIS: keine Schneiddaten",IF(AND($AF175&lt;&gt;"",$AG175=""),"HINWEIS: Gewinde-Vorschlag prüfen","OK")))))))))))))</f>
        <v/>
      </c>
      <c r="X175" s="18" t="str">
        <f aca="false">IF(OR(O175="",$G175=""),"",O175*$G175)</f>
        <v/>
      </c>
      <c r="Y175" s="10"/>
      <c r="Z175" s="21"/>
      <c r="AA175" s="10"/>
      <c r="AB175" s="21"/>
      <c r="AC175" s="21"/>
      <c r="AD175" s="21"/>
      <c r="AE175" s="10"/>
      <c r="AF175" s="10"/>
      <c r="AG175" s="10"/>
      <c r="AH175" s="22"/>
      <c r="AI175" s="21"/>
      <c r="AJ175" s="22"/>
      <c r="AK175" s="21"/>
      <c r="AL175" s="22"/>
      <c r="AM175" s="21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21"/>
      <c r="G176" s="19"/>
      <c r="H176" s="21"/>
      <c r="I176" s="22"/>
      <c r="J176" s="19"/>
      <c r="K176" s="23" t="str">
        <f aca="false">IF($D176="","",IFERROR(INDEX(Profile!$B$5:$B$304,MATCH($D176,lst_Profil,0)),""))</f>
        <v/>
      </c>
      <c r="L176" s="13" t="str">
        <f aca="false">IF($D176="","",IFERROR(INDEX(Profile!$K$5:$K$304,MATCH($D176,lst_Profil,0))+0,""))</f>
        <v/>
      </c>
      <c r="M176" s="24" t="str">
        <f aca="false">IF($D176="","",IFERROR(INDEX(Profile!$E$5:$E$304,MATCH($D176,lst_Profil,0))+0,""))</f>
        <v/>
      </c>
      <c r="N176" s="25" t="str">
        <f aca="false">IF(OR(L176="",$E176=""),"",IFERROR(L176*INDEX(Werkstoffe!$E$5:$E$304,MATCH($E176,lst_Werkstoff,0))/1000,""))</f>
        <v/>
      </c>
      <c r="O176" s="25" t="str">
        <f aca="false">IF(OR(N176="",$F176=""),"",N176*$F176/1000)</f>
        <v/>
      </c>
      <c r="P176" s="16" t="str">
        <f aca="false">IF(OR($F176="",$G176=""),"",$F176*$G176)</f>
        <v/>
      </c>
      <c r="Q176" s="16" t="str">
        <f aca="false">IF($D176="","",IF($J176&lt;&gt;"",$J176,$C$9))</f>
        <v/>
      </c>
      <c r="R176" s="12" t="str">
        <f aca="false">IF($D176="","",IFERROR(IF(INDEX(Profile!$G$5:$G$304,MATCH($D176,lst_Profil,0))&lt;&gt;"",INDEX(Profile!$G$5:$G$304,MATCH($D176,lst_Profil,0)),$H$4),$H$4))</f>
        <v/>
      </c>
      <c r="S176" s="12" t="str">
        <f aca="false">IF($D176="","",IFERROR(IF(INDEX(Profile!$H$5:$H$304,MATCH($D176,lst_Profil,0))&lt;&gt;"",INDEX(Profile!$H$5:$H$304,MATCH($D176,lst_Profil,0)),$H$5),$H$5))</f>
        <v/>
      </c>
      <c r="T176" s="16" t="str">
        <f aca="false">IF(OR(Q176="",NOT(ISNUMBER(R176)),NOT(ISNUMBER(S176))),"",Q176-R176-S176)</f>
        <v/>
      </c>
      <c r="U176" s="26" t="str">
        <f aca="false">IF(OR($D176="",$E176=""),"",IF(COUNTIFS(Preise!$A$5:$A$304,$D176,Preise!$B$5:$B$304,$E176,Preise!$I$5:$I$304,"OK")&gt;0,"ja","nein"))</f>
        <v/>
      </c>
      <c r="V176" s="15" t="str">
        <f aca="false">IF(OR(M176="",$E176="",$C$8=""),"",IF(_xlfn.MINIFS(Schneiddaten!$C$5:$C$304,Schneiddaten!$A$5:$A$304,$C$8,Schneiddaten!$B$5:$B$304,$E176,Schneiddaten!$C$5:$C$304,"&gt;="&amp;M176)=0,"",SUMIFS(Schneiddaten!$D$5:$D$304,Schneiddaten!$A$5:$A$304,$C$8,Schneiddaten!$B$5:$B$304,$E176,Schneiddaten!$C$5:$C$304,_xlfn.MINIFS(Schneiddaten!$C$5:$C$304,Schneiddaten!$A$5:$A$304,$C$8,Schneiddaten!$B$5:$B$304,$E176,Schneiddaten!$C$5:$C$304,"&gt;="&amp;M176))))</f>
        <v/>
      </c>
      <c r="W176" s="26" t="str">
        <f aca="false">IF(AND($D176="",$E176="",$F176="",$G176=""),"",IF(ISNA(MATCH($D176,lst_Profil,0)),"FEHLER: Profil unbekannt",IF(ISNA(MATCH($E176,lst_Werkstoff,0)),"FEHLER: Werkstoff unbekannt",IF(NOT(ISNUMBER(L176)),"FEHLER: Querschnitt fehlt (Profil)",IF(OR($F176="",$F176&lt;=0),"FEHLER: Teilelänge fehlt",IF(OR($G176="",$G176&lt;1),"FEHLER: Stückzahl fehlt",IF(NOT(ISNUMBER($H$4)),"FEHLER: Maschine fehlt/unbekannt",IF(Q176&gt;$H$7,"FEHLER: Stange länger als Maschine zulässt",IF($F176+$H$6&gt;T176,"FEHLER: Teil länger als Nutzlänge",IF(U176="nein","WARNUNG: kein gültiger Materialpreis",IF($H176="","HINWEIS: Schneidweg fehlt",IF(V176="","HINWEIS: keine Schneiddaten",IF(AND($AF176&lt;&gt;"",$AG176=""),"HINWEIS: Gewinde-Vorschlag prüfen","OK")))))))))))))</f>
        <v/>
      </c>
      <c r="X176" s="18" t="str">
        <f aca="false">IF(OR(O176="",$G176=""),"",O176*$G176)</f>
        <v/>
      </c>
      <c r="Y176" s="10"/>
      <c r="Z176" s="21"/>
      <c r="AA176" s="10"/>
      <c r="AB176" s="21"/>
      <c r="AC176" s="21"/>
      <c r="AD176" s="21"/>
      <c r="AE176" s="10"/>
      <c r="AF176" s="10"/>
      <c r="AG176" s="10"/>
      <c r="AH176" s="22"/>
      <c r="AI176" s="21"/>
      <c r="AJ176" s="22"/>
      <c r="AK176" s="21"/>
      <c r="AL176" s="22"/>
      <c r="AM176" s="21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21"/>
      <c r="G177" s="19"/>
      <c r="H177" s="21"/>
      <c r="I177" s="22"/>
      <c r="J177" s="19"/>
      <c r="K177" s="23" t="str">
        <f aca="false">IF($D177="","",IFERROR(INDEX(Profile!$B$5:$B$304,MATCH($D177,lst_Profil,0)),""))</f>
        <v/>
      </c>
      <c r="L177" s="13" t="str">
        <f aca="false">IF($D177="","",IFERROR(INDEX(Profile!$K$5:$K$304,MATCH($D177,lst_Profil,0))+0,""))</f>
        <v/>
      </c>
      <c r="M177" s="24" t="str">
        <f aca="false">IF($D177="","",IFERROR(INDEX(Profile!$E$5:$E$304,MATCH($D177,lst_Profil,0))+0,""))</f>
        <v/>
      </c>
      <c r="N177" s="25" t="str">
        <f aca="false">IF(OR(L177="",$E177=""),"",IFERROR(L177*INDEX(Werkstoffe!$E$5:$E$304,MATCH($E177,lst_Werkstoff,0))/1000,""))</f>
        <v/>
      </c>
      <c r="O177" s="25" t="str">
        <f aca="false">IF(OR(N177="",$F177=""),"",N177*$F177/1000)</f>
        <v/>
      </c>
      <c r="P177" s="16" t="str">
        <f aca="false">IF(OR($F177="",$G177=""),"",$F177*$G177)</f>
        <v/>
      </c>
      <c r="Q177" s="16" t="str">
        <f aca="false">IF($D177="","",IF($J177&lt;&gt;"",$J177,$C$9))</f>
        <v/>
      </c>
      <c r="R177" s="12" t="str">
        <f aca="false">IF($D177="","",IFERROR(IF(INDEX(Profile!$G$5:$G$304,MATCH($D177,lst_Profil,0))&lt;&gt;"",INDEX(Profile!$G$5:$G$304,MATCH($D177,lst_Profil,0)),$H$4),$H$4))</f>
        <v/>
      </c>
      <c r="S177" s="12" t="str">
        <f aca="false">IF($D177="","",IFERROR(IF(INDEX(Profile!$H$5:$H$304,MATCH($D177,lst_Profil,0))&lt;&gt;"",INDEX(Profile!$H$5:$H$304,MATCH($D177,lst_Profil,0)),$H$5),$H$5))</f>
        <v/>
      </c>
      <c r="T177" s="16" t="str">
        <f aca="false">IF(OR(Q177="",NOT(ISNUMBER(R177)),NOT(ISNUMBER(S177))),"",Q177-R177-S177)</f>
        <v/>
      </c>
      <c r="U177" s="26" t="str">
        <f aca="false">IF(OR($D177="",$E177=""),"",IF(COUNTIFS(Preise!$A$5:$A$304,$D177,Preise!$B$5:$B$304,$E177,Preise!$I$5:$I$304,"OK")&gt;0,"ja","nein"))</f>
        <v/>
      </c>
      <c r="V177" s="15" t="str">
        <f aca="false">IF(OR(M177="",$E177="",$C$8=""),"",IF(_xlfn.MINIFS(Schneiddaten!$C$5:$C$304,Schneiddaten!$A$5:$A$304,$C$8,Schneiddaten!$B$5:$B$304,$E177,Schneiddaten!$C$5:$C$304,"&gt;="&amp;M177)=0,"",SUMIFS(Schneiddaten!$D$5:$D$304,Schneiddaten!$A$5:$A$304,$C$8,Schneiddaten!$B$5:$B$304,$E177,Schneiddaten!$C$5:$C$304,_xlfn.MINIFS(Schneiddaten!$C$5:$C$304,Schneiddaten!$A$5:$A$304,$C$8,Schneiddaten!$B$5:$B$304,$E177,Schneiddaten!$C$5:$C$304,"&gt;="&amp;M177))))</f>
        <v/>
      </c>
      <c r="W177" s="26" t="str">
        <f aca="false">IF(AND($D177="",$E177="",$F177="",$G177=""),"",IF(ISNA(MATCH($D177,lst_Profil,0)),"FEHLER: Profil unbekannt",IF(ISNA(MATCH($E177,lst_Werkstoff,0)),"FEHLER: Werkstoff unbekannt",IF(NOT(ISNUMBER(L177)),"FEHLER: Querschnitt fehlt (Profil)",IF(OR($F177="",$F177&lt;=0),"FEHLER: Teilelänge fehlt",IF(OR($G177="",$G177&lt;1),"FEHLER: Stückzahl fehlt",IF(NOT(ISNUMBER($H$4)),"FEHLER: Maschine fehlt/unbekannt",IF(Q177&gt;$H$7,"FEHLER: Stange länger als Maschine zulässt",IF($F177+$H$6&gt;T177,"FEHLER: Teil länger als Nutzlänge",IF(U177="nein","WARNUNG: kein gültiger Materialpreis",IF($H177="","HINWEIS: Schneidweg fehlt",IF(V177="","HINWEIS: keine Schneiddaten",IF(AND($AF177&lt;&gt;"",$AG177=""),"HINWEIS: Gewinde-Vorschlag prüfen","OK")))))))))))))</f>
        <v/>
      </c>
      <c r="X177" s="18" t="str">
        <f aca="false">IF(OR(O177="",$G177=""),"",O177*$G177)</f>
        <v/>
      </c>
      <c r="Y177" s="10"/>
      <c r="Z177" s="21"/>
      <c r="AA177" s="10"/>
      <c r="AB177" s="21"/>
      <c r="AC177" s="21"/>
      <c r="AD177" s="21"/>
      <c r="AE177" s="10"/>
      <c r="AF177" s="10"/>
      <c r="AG177" s="10"/>
      <c r="AH177" s="22"/>
      <c r="AI177" s="21"/>
      <c r="AJ177" s="22"/>
      <c r="AK177" s="21"/>
      <c r="AL177" s="22"/>
      <c r="AM177" s="21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21"/>
      <c r="G178" s="19"/>
      <c r="H178" s="21"/>
      <c r="I178" s="22"/>
      <c r="J178" s="19"/>
      <c r="K178" s="23" t="str">
        <f aca="false">IF($D178="","",IFERROR(INDEX(Profile!$B$5:$B$304,MATCH($D178,lst_Profil,0)),""))</f>
        <v/>
      </c>
      <c r="L178" s="13" t="str">
        <f aca="false">IF($D178="","",IFERROR(INDEX(Profile!$K$5:$K$304,MATCH($D178,lst_Profil,0))+0,""))</f>
        <v/>
      </c>
      <c r="M178" s="24" t="str">
        <f aca="false">IF($D178="","",IFERROR(INDEX(Profile!$E$5:$E$304,MATCH($D178,lst_Profil,0))+0,""))</f>
        <v/>
      </c>
      <c r="N178" s="25" t="str">
        <f aca="false">IF(OR(L178="",$E178=""),"",IFERROR(L178*INDEX(Werkstoffe!$E$5:$E$304,MATCH($E178,lst_Werkstoff,0))/1000,""))</f>
        <v/>
      </c>
      <c r="O178" s="25" t="str">
        <f aca="false">IF(OR(N178="",$F178=""),"",N178*$F178/1000)</f>
        <v/>
      </c>
      <c r="P178" s="16" t="str">
        <f aca="false">IF(OR($F178="",$G178=""),"",$F178*$G178)</f>
        <v/>
      </c>
      <c r="Q178" s="16" t="str">
        <f aca="false">IF($D178="","",IF($J178&lt;&gt;"",$J178,$C$9))</f>
        <v/>
      </c>
      <c r="R178" s="12" t="str">
        <f aca="false">IF($D178="","",IFERROR(IF(INDEX(Profile!$G$5:$G$304,MATCH($D178,lst_Profil,0))&lt;&gt;"",INDEX(Profile!$G$5:$G$304,MATCH($D178,lst_Profil,0)),$H$4),$H$4))</f>
        <v/>
      </c>
      <c r="S178" s="12" t="str">
        <f aca="false">IF($D178="","",IFERROR(IF(INDEX(Profile!$H$5:$H$304,MATCH($D178,lst_Profil,0))&lt;&gt;"",INDEX(Profile!$H$5:$H$304,MATCH($D178,lst_Profil,0)),$H$5),$H$5))</f>
        <v/>
      </c>
      <c r="T178" s="16" t="str">
        <f aca="false">IF(OR(Q178="",NOT(ISNUMBER(R178)),NOT(ISNUMBER(S178))),"",Q178-R178-S178)</f>
        <v/>
      </c>
      <c r="U178" s="26" t="str">
        <f aca="false">IF(OR($D178="",$E178=""),"",IF(COUNTIFS(Preise!$A$5:$A$304,$D178,Preise!$B$5:$B$304,$E178,Preise!$I$5:$I$304,"OK")&gt;0,"ja","nein"))</f>
        <v/>
      </c>
      <c r="V178" s="15" t="str">
        <f aca="false">IF(OR(M178="",$E178="",$C$8=""),"",IF(_xlfn.MINIFS(Schneiddaten!$C$5:$C$304,Schneiddaten!$A$5:$A$304,$C$8,Schneiddaten!$B$5:$B$304,$E178,Schneiddaten!$C$5:$C$304,"&gt;="&amp;M178)=0,"",SUMIFS(Schneiddaten!$D$5:$D$304,Schneiddaten!$A$5:$A$304,$C$8,Schneiddaten!$B$5:$B$304,$E178,Schneiddaten!$C$5:$C$304,_xlfn.MINIFS(Schneiddaten!$C$5:$C$304,Schneiddaten!$A$5:$A$304,$C$8,Schneiddaten!$B$5:$B$304,$E178,Schneiddaten!$C$5:$C$304,"&gt;="&amp;M178))))</f>
        <v/>
      </c>
      <c r="W178" s="26" t="str">
        <f aca="false">IF(AND($D178="",$E178="",$F178="",$G178=""),"",IF(ISNA(MATCH($D178,lst_Profil,0)),"FEHLER: Profil unbekannt",IF(ISNA(MATCH($E178,lst_Werkstoff,0)),"FEHLER: Werkstoff unbekannt",IF(NOT(ISNUMBER(L178)),"FEHLER: Querschnitt fehlt (Profil)",IF(OR($F178="",$F178&lt;=0),"FEHLER: Teilelänge fehlt",IF(OR($G178="",$G178&lt;1),"FEHLER: Stückzahl fehlt",IF(NOT(ISNUMBER($H$4)),"FEHLER: Maschine fehlt/unbekannt",IF(Q178&gt;$H$7,"FEHLER: Stange länger als Maschine zulässt",IF($F178+$H$6&gt;T178,"FEHLER: Teil länger als Nutzlänge",IF(U178="nein","WARNUNG: kein gültiger Materialpreis",IF($H178="","HINWEIS: Schneidweg fehlt",IF(V178="","HINWEIS: keine Schneiddaten",IF(AND($AF178&lt;&gt;"",$AG178=""),"HINWEIS: Gewinde-Vorschlag prüfen","OK")))))))))))))</f>
        <v/>
      </c>
      <c r="X178" s="18" t="str">
        <f aca="false">IF(OR(O178="",$G178=""),"",O178*$G178)</f>
        <v/>
      </c>
      <c r="Y178" s="10"/>
      <c r="Z178" s="21"/>
      <c r="AA178" s="10"/>
      <c r="AB178" s="21"/>
      <c r="AC178" s="21"/>
      <c r="AD178" s="21"/>
      <c r="AE178" s="10"/>
      <c r="AF178" s="10"/>
      <c r="AG178" s="10"/>
      <c r="AH178" s="22"/>
      <c r="AI178" s="21"/>
      <c r="AJ178" s="22"/>
      <c r="AK178" s="21"/>
      <c r="AL178" s="22"/>
      <c r="AM178" s="21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21"/>
      <c r="G179" s="19"/>
      <c r="H179" s="21"/>
      <c r="I179" s="22"/>
      <c r="J179" s="19"/>
      <c r="K179" s="23" t="str">
        <f aca="false">IF($D179="","",IFERROR(INDEX(Profile!$B$5:$B$304,MATCH($D179,lst_Profil,0)),""))</f>
        <v/>
      </c>
      <c r="L179" s="13" t="str">
        <f aca="false">IF($D179="","",IFERROR(INDEX(Profile!$K$5:$K$304,MATCH($D179,lst_Profil,0))+0,""))</f>
        <v/>
      </c>
      <c r="M179" s="24" t="str">
        <f aca="false">IF($D179="","",IFERROR(INDEX(Profile!$E$5:$E$304,MATCH($D179,lst_Profil,0))+0,""))</f>
        <v/>
      </c>
      <c r="N179" s="25" t="str">
        <f aca="false">IF(OR(L179="",$E179=""),"",IFERROR(L179*INDEX(Werkstoffe!$E$5:$E$304,MATCH($E179,lst_Werkstoff,0))/1000,""))</f>
        <v/>
      </c>
      <c r="O179" s="25" t="str">
        <f aca="false">IF(OR(N179="",$F179=""),"",N179*$F179/1000)</f>
        <v/>
      </c>
      <c r="P179" s="16" t="str">
        <f aca="false">IF(OR($F179="",$G179=""),"",$F179*$G179)</f>
        <v/>
      </c>
      <c r="Q179" s="16" t="str">
        <f aca="false">IF($D179="","",IF($J179&lt;&gt;"",$J179,$C$9))</f>
        <v/>
      </c>
      <c r="R179" s="12" t="str">
        <f aca="false">IF($D179="","",IFERROR(IF(INDEX(Profile!$G$5:$G$304,MATCH($D179,lst_Profil,0))&lt;&gt;"",INDEX(Profile!$G$5:$G$304,MATCH($D179,lst_Profil,0)),$H$4),$H$4))</f>
        <v/>
      </c>
      <c r="S179" s="12" t="str">
        <f aca="false">IF($D179="","",IFERROR(IF(INDEX(Profile!$H$5:$H$304,MATCH($D179,lst_Profil,0))&lt;&gt;"",INDEX(Profile!$H$5:$H$304,MATCH($D179,lst_Profil,0)),$H$5),$H$5))</f>
        <v/>
      </c>
      <c r="T179" s="16" t="str">
        <f aca="false">IF(OR(Q179="",NOT(ISNUMBER(R179)),NOT(ISNUMBER(S179))),"",Q179-R179-S179)</f>
        <v/>
      </c>
      <c r="U179" s="26" t="str">
        <f aca="false">IF(OR($D179="",$E179=""),"",IF(COUNTIFS(Preise!$A$5:$A$304,$D179,Preise!$B$5:$B$304,$E179,Preise!$I$5:$I$304,"OK")&gt;0,"ja","nein"))</f>
        <v/>
      </c>
      <c r="V179" s="15" t="str">
        <f aca="false">IF(OR(M179="",$E179="",$C$8=""),"",IF(_xlfn.MINIFS(Schneiddaten!$C$5:$C$304,Schneiddaten!$A$5:$A$304,$C$8,Schneiddaten!$B$5:$B$304,$E179,Schneiddaten!$C$5:$C$304,"&gt;="&amp;M179)=0,"",SUMIFS(Schneiddaten!$D$5:$D$304,Schneiddaten!$A$5:$A$304,$C$8,Schneiddaten!$B$5:$B$304,$E179,Schneiddaten!$C$5:$C$304,_xlfn.MINIFS(Schneiddaten!$C$5:$C$304,Schneiddaten!$A$5:$A$304,$C$8,Schneiddaten!$B$5:$B$304,$E179,Schneiddaten!$C$5:$C$304,"&gt;="&amp;M179))))</f>
        <v/>
      </c>
      <c r="W179" s="26" t="str">
        <f aca="false">IF(AND($D179="",$E179="",$F179="",$G179=""),"",IF(ISNA(MATCH($D179,lst_Profil,0)),"FEHLER: Profil unbekannt",IF(ISNA(MATCH($E179,lst_Werkstoff,0)),"FEHLER: Werkstoff unbekannt",IF(NOT(ISNUMBER(L179)),"FEHLER: Querschnitt fehlt (Profil)",IF(OR($F179="",$F179&lt;=0),"FEHLER: Teilelänge fehlt",IF(OR($G179="",$G179&lt;1),"FEHLER: Stückzahl fehlt",IF(NOT(ISNUMBER($H$4)),"FEHLER: Maschine fehlt/unbekannt",IF(Q179&gt;$H$7,"FEHLER: Stange länger als Maschine zulässt",IF($F179+$H$6&gt;T179,"FEHLER: Teil länger als Nutzlänge",IF(U179="nein","WARNUNG: kein gültiger Materialpreis",IF($H179="","HINWEIS: Schneidweg fehlt",IF(V179="","HINWEIS: keine Schneiddaten",IF(AND($AF179&lt;&gt;"",$AG179=""),"HINWEIS: Gewinde-Vorschlag prüfen","OK")))))))))))))</f>
        <v/>
      </c>
      <c r="X179" s="18" t="str">
        <f aca="false">IF(OR(O179="",$G179=""),"",O179*$G179)</f>
        <v/>
      </c>
      <c r="Y179" s="10"/>
      <c r="Z179" s="21"/>
      <c r="AA179" s="10"/>
      <c r="AB179" s="21"/>
      <c r="AC179" s="21"/>
      <c r="AD179" s="21"/>
      <c r="AE179" s="10"/>
      <c r="AF179" s="10"/>
      <c r="AG179" s="10"/>
      <c r="AH179" s="22"/>
      <c r="AI179" s="21"/>
      <c r="AJ179" s="22"/>
      <c r="AK179" s="21"/>
      <c r="AL179" s="22"/>
      <c r="AM179" s="21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21"/>
      <c r="G180" s="19"/>
      <c r="H180" s="21"/>
      <c r="I180" s="22"/>
      <c r="J180" s="19"/>
      <c r="K180" s="23" t="str">
        <f aca="false">IF($D180="","",IFERROR(INDEX(Profile!$B$5:$B$304,MATCH($D180,lst_Profil,0)),""))</f>
        <v/>
      </c>
      <c r="L180" s="13" t="str">
        <f aca="false">IF($D180="","",IFERROR(INDEX(Profile!$K$5:$K$304,MATCH($D180,lst_Profil,0))+0,""))</f>
        <v/>
      </c>
      <c r="M180" s="24" t="str">
        <f aca="false">IF($D180="","",IFERROR(INDEX(Profile!$E$5:$E$304,MATCH($D180,lst_Profil,0))+0,""))</f>
        <v/>
      </c>
      <c r="N180" s="25" t="str">
        <f aca="false">IF(OR(L180="",$E180=""),"",IFERROR(L180*INDEX(Werkstoffe!$E$5:$E$304,MATCH($E180,lst_Werkstoff,0))/1000,""))</f>
        <v/>
      </c>
      <c r="O180" s="25" t="str">
        <f aca="false">IF(OR(N180="",$F180=""),"",N180*$F180/1000)</f>
        <v/>
      </c>
      <c r="P180" s="16" t="str">
        <f aca="false">IF(OR($F180="",$G180=""),"",$F180*$G180)</f>
        <v/>
      </c>
      <c r="Q180" s="16" t="str">
        <f aca="false">IF($D180="","",IF($J180&lt;&gt;"",$J180,$C$9))</f>
        <v/>
      </c>
      <c r="R180" s="12" t="str">
        <f aca="false">IF($D180="","",IFERROR(IF(INDEX(Profile!$G$5:$G$304,MATCH($D180,lst_Profil,0))&lt;&gt;"",INDEX(Profile!$G$5:$G$304,MATCH($D180,lst_Profil,0)),$H$4),$H$4))</f>
        <v/>
      </c>
      <c r="S180" s="12" t="str">
        <f aca="false">IF($D180="","",IFERROR(IF(INDEX(Profile!$H$5:$H$304,MATCH($D180,lst_Profil,0))&lt;&gt;"",INDEX(Profile!$H$5:$H$304,MATCH($D180,lst_Profil,0)),$H$5),$H$5))</f>
        <v/>
      </c>
      <c r="T180" s="16" t="str">
        <f aca="false">IF(OR(Q180="",NOT(ISNUMBER(R180)),NOT(ISNUMBER(S180))),"",Q180-R180-S180)</f>
        <v/>
      </c>
      <c r="U180" s="26" t="str">
        <f aca="false">IF(OR($D180="",$E180=""),"",IF(COUNTIFS(Preise!$A$5:$A$304,$D180,Preise!$B$5:$B$304,$E180,Preise!$I$5:$I$304,"OK")&gt;0,"ja","nein"))</f>
        <v/>
      </c>
      <c r="V180" s="15" t="str">
        <f aca="false">IF(OR(M180="",$E180="",$C$8=""),"",IF(_xlfn.MINIFS(Schneiddaten!$C$5:$C$304,Schneiddaten!$A$5:$A$304,$C$8,Schneiddaten!$B$5:$B$304,$E180,Schneiddaten!$C$5:$C$304,"&gt;="&amp;M180)=0,"",SUMIFS(Schneiddaten!$D$5:$D$304,Schneiddaten!$A$5:$A$304,$C$8,Schneiddaten!$B$5:$B$304,$E180,Schneiddaten!$C$5:$C$304,_xlfn.MINIFS(Schneiddaten!$C$5:$C$304,Schneiddaten!$A$5:$A$304,$C$8,Schneiddaten!$B$5:$B$304,$E180,Schneiddaten!$C$5:$C$304,"&gt;="&amp;M180))))</f>
        <v/>
      </c>
      <c r="W180" s="26" t="str">
        <f aca="false">IF(AND($D180="",$E180="",$F180="",$G180=""),"",IF(ISNA(MATCH($D180,lst_Profil,0)),"FEHLER: Profil unbekannt",IF(ISNA(MATCH($E180,lst_Werkstoff,0)),"FEHLER: Werkstoff unbekannt",IF(NOT(ISNUMBER(L180)),"FEHLER: Querschnitt fehlt (Profil)",IF(OR($F180="",$F180&lt;=0),"FEHLER: Teilelänge fehlt",IF(OR($G180="",$G180&lt;1),"FEHLER: Stückzahl fehlt",IF(NOT(ISNUMBER($H$4)),"FEHLER: Maschine fehlt/unbekannt",IF(Q180&gt;$H$7,"FEHLER: Stange länger als Maschine zulässt",IF($F180+$H$6&gt;T180,"FEHLER: Teil länger als Nutzlänge",IF(U180="nein","WARNUNG: kein gültiger Materialpreis",IF($H180="","HINWEIS: Schneidweg fehlt",IF(V180="","HINWEIS: keine Schneiddaten",IF(AND($AF180&lt;&gt;"",$AG180=""),"HINWEIS: Gewinde-Vorschlag prüfen","OK")))))))))))))</f>
        <v/>
      </c>
      <c r="X180" s="18" t="str">
        <f aca="false">IF(OR(O180="",$G180=""),"",O180*$G180)</f>
        <v/>
      </c>
      <c r="Y180" s="10"/>
      <c r="Z180" s="21"/>
      <c r="AA180" s="10"/>
      <c r="AB180" s="21"/>
      <c r="AC180" s="21"/>
      <c r="AD180" s="21"/>
      <c r="AE180" s="10"/>
      <c r="AF180" s="10"/>
      <c r="AG180" s="10"/>
      <c r="AH180" s="22"/>
      <c r="AI180" s="21"/>
      <c r="AJ180" s="22"/>
      <c r="AK180" s="21"/>
      <c r="AL180" s="22"/>
      <c r="AM180" s="21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21"/>
      <c r="G181" s="19"/>
      <c r="H181" s="21"/>
      <c r="I181" s="22"/>
      <c r="J181" s="19"/>
      <c r="K181" s="23" t="str">
        <f aca="false">IF($D181="","",IFERROR(INDEX(Profile!$B$5:$B$304,MATCH($D181,lst_Profil,0)),""))</f>
        <v/>
      </c>
      <c r="L181" s="13" t="str">
        <f aca="false">IF($D181="","",IFERROR(INDEX(Profile!$K$5:$K$304,MATCH($D181,lst_Profil,0))+0,""))</f>
        <v/>
      </c>
      <c r="M181" s="24" t="str">
        <f aca="false">IF($D181="","",IFERROR(INDEX(Profile!$E$5:$E$304,MATCH($D181,lst_Profil,0))+0,""))</f>
        <v/>
      </c>
      <c r="N181" s="25" t="str">
        <f aca="false">IF(OR(L181="",$E181=""),"",IFERROR(L181*INDEX(Werkstoffe!$E$5:$E$304,MATCH($E181,lst_Werkstoff,0))/1000,""))</f>
        <v/>
      </c>
      <c r="O181" s="25" t="str">
        <f aca="false">IF(OR(N181="",$F181=""),"",N181*$F181/1000)</f>
        <v/>
      </c>
      <c r="P181" s="16" t="str">
        <f aca="false">IF(OR($F181="",$G181=""),"",$F181*$G181)</f>
        <v/>
      </c>
      <c r="Q181" s="16" t="str">
        <f aca="false">IF($D181="","",IF($J181&lt;&gt;"",$J181,$C$9))</f>
        <v/>
      </c>
      <c r="R181" s="12" t="str">
        <f aca="false">IF($D181="","",IFERROR(IF(INDEX(Profile!$G$5:$G$304,MATCH($D181,lst_Profil,0))&lt;&gt;"",INDEX(Profile!$G$5:$G$304,MATCH($D181,lst_Profil,0)),$H$4),$H$4))</f>
        <v/>
      </c>
      <c r="S181" s="12" t="str">
        <f aca="false">IF($D181="","",IFERROR(IF(INDEX(Profile!$H$5:$H$304,MATCH($D181,lst_Profil,0))&lt;&gt;"",INDEX(Profile!$H$5:$H$304,MATCH($D181,lst_Profil,0)),$H$5),$H$5))</f>
        <v/>
      </c>
      <c r="T181" s="16" t="str">
        <f aca="false">IF(OR(Q181="",NOT(ISNUMBER(R181)),NOT(ISNUMBER(S181))),"",Q181-R181-S181)</f>
        <v/>
      </c>
      <c r="U181" s="26" t="str">
        <f aca="false">IF(OR($D181="",$E181=""),"",IF(COUNTIFS(Preise!$A$5:$A$304,$D181,Preise!$B$5:$B$304,$E181,Preise!$I$5:$I$304,"OK")&gt;0,"ja","nein"))</f>
        <v/>
      </c>
      <c r="V181" s="15" t="str">
        <f aca="false">IF(OR(M181="",$E181="",$C$8=""),"",IF(_xlfn.MINIFS(Schneiddaten!$C$5:$C$304,Schneiddaten!$A$5:$A$304,$C$8,Schneiddaten!$B$5:$B$304,$E181,Schneiddaten!$C$5:$C$304,"&gt;="&amp;M181)=0,"",SUMIFS(Schneiddaten!$D$5:$D$304,Schneiddaten!$A$5:$A$304,$C$8,Schneiddaten!$B$5:$B$304,$E181,Schneiddaten!$C$5:$C$304,_xlfn.MINIFS(Schneiddaten!$C$5:$C$304,Schneiddaten!$A$5:$A$304,$C$8,Schneiddaten!$B$5:$B$304,$E181,Schneiddaten!$C$5:$C$304,"&gt;="&amp;M181))))</f>
        <v/>
      </c>
      <c r="W181" s="26" t="str">
        <f aca="false">IF(AND($D181="",$E181="",$F181="",$G181=""),"",IF(ISNA(MATCH($D181,lst_Profil,0)),"FEHLER: Profil unbekannt",IF(ISNA(MATCH($E181,lst_Werkstoff,0)),"FEHLER: Werkstoff unbekannt",IF(NOT(ISNUMBER(L181)),"FEHLER: Querschnitt fehlt (Profil)",IF(OR($F181="",$F181&lt;=0),"FEHLER: Teilelänge fehlt",IF(OR($G181="",$G181&lt;1),"FEHLER: Stückzahl fehlt",IF(NOT(ISNUMBER($H$4)),"FEHLER: Maschine fehlt/unbekannt",IF(Q181&gt;$H$7,"FEHLER: Stange länger als Maschine zulässt",IF($F181+$H$6&gt;T181,"FEHLER: Teil länger als Nutzlänge",IF(U181="nein","WARNUNG: kein gültiger Materialpreis",IF($H181="","HINWEIS: Schneidweg fehlt",IF(V181="","HINWEIS: keine Schneiddaten",IF(AND($AF181&lt;&gt;"",$AG181=""),"HINWEIS: Gewinde-Vorschlag prüfen","OK")))))))))))))</f>
        <v/>
      </c>
      <c r="X181" s="18" t="str">
        <f aca="false">IF(OR(O181="",$G181=""),"",O181*$G181)</f>
        <v/>
      </c>
      <c r="Y181" s="10"/>
      <c r="Z181" s="21"/>
      <c r="AA181" s="10"/>
      <c r="AB181" s="21"/>
      <c r="AC181" s="21"/>
      <c r="AD181" s="21"/>
      <c r="AE181" s="10"/>
      <c r="AF181" s="10"/>
      <c r="AG181" s="10"/>
      <c r="AH181" s="22"/>
      <c r="AI181" s="21"/>
      <c r="AJ181" s="22"/>
      <c r="AK181" s="21"/>
      <c r="AL181" s="22"/>
      <c r="AM181" s="21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21"/>
      <c r="G182" s="19"/>
      <c r="H182" s="21"/>
      <c r="I182" s="22"/>
      <c r="J182" s="19"/>
      <c r="K182" s="23" t="str">
        <f aca="false">IF($D182="","",IFERROR(INDEX(Profile!$B$5:$B$304,MATCH($D182,lst_Profil,0)),""))</f>
        <v/>
      </c>
      <c r="L182" s="13" t="str">
        <f aca="false">IF($D182="","",IFERROR(INDEX(Profile!$K$5:$K$304,MATCH($D182,lst_Profil,0))+0,""))</f>
        <v/>
      </c>
      <c r="M182" s="24" t="str">
        <f aca="false">IF($D182="","",IFERROR(INDEX(Profile!$E$5:$E$304,MATCH($D182,lst_Profil,0))+0,""))</f>
        <v/>
      </c>
      <c r="N182" s="25" t="str">
        <f aca="false">IF(OR(L182="",$E182=""),"",IFERROR(L182*INDEX(Werkstoffe!$E$5:$E$304,MATCH($E182,lst_Werkstoff,0))/1000,""))</f>
        <v/>
      </c>
      <c r="O182" s="25" t="str">
        <f aca="false">IF(OR(N182="",$F182=""),"",N182*$F182/1000)</f>
        <v/>
      </c>
      <c r="P182" s="16" t="str">
        <f aca="false">IF(OR($F182="",$G182=""),"",$F182*$G182)</f>
        <v/>
      </c>
      <c r="Q182" s="16" t="str">
        <f aca="false">IF($D182="","",IF($J182&lt;&gt;"",$J182,$C$9))</f>
        <v/>
      </c>
      <c r="R182" s="12" t="str">
        <f aca="false">IF($D182="","",IFERROR(IF(INDEX(Profile!$G$5:$G$304,MATCH($D182,lst_Profil,0))&lt;&gt;"",INDEX(Profile!$G$5:$G$304,MATCH($D182,lst_Profil,0)),$H$4),$H$4))</f>
        <v/>
      </c>
      <c r="S182" s="12" t="str">
        <f aca="false">IF($D182="","",IFERROR(IF(INDEX(Profile!$H$5:$H$304,MATCH($D182,lst_Profil,0))&lt;&gt;"",INDEX(Profile!$H$5:$H$304,MATCH($D182,lst_Profil,0)),$H$5),$H$5))</f>
        <v/>
      </c>
      <c r="T182" s="16" t="str">
        <f aca="false">IF(OR(Q182="",NOT(ISNUMBER(R182)),NOT(ISNUMBER(S182))),"",Q182-R182-S182)</f>
        <v/>
      </c>
      <c r="U182" s="26" t="str">
        <f aca="false">IF(OR($D182="",$E182=""),"",IF(COUNTIFS(Preise!$A$5:$A$304,$D182,Preise!$B$5:$B$304,$E182,Preise!$I$5:$I$304,"OK")&gt;0,"ja","nein"))</f>
        <v/>
      </c>
      <c r="V182" s="15" t="str">
        <f aca="false">IF(OR(M182="",$E182="",$C$8=""),"",IF(_xlfn.MINIFS(Schneiddaten!$C$5:$C$304,Schneiddaten!$A$5:$A$304,$C$8,Schneiddaten!$B$5:$B$304,$E182,Schneiddaten!$C$5:$C$304,"&gt;="&amp;M182)=0,"",SUMIFS(Schneiddaten!$D$5:$D$304,Schneiddaten!$A$5:$A$304,$C$8,Schneiddaten!$B$5:$B$304,$E182,Schneiddaten!$C$5:$C$304,_xlfn.MINIFS(Schneiddaten!$C$5:$C$304,Schneiddaten!$A$5:$A$304,$C$8,Schneiddaten!$B$5:$B$304,$E182,Schneiddaten!$C$5:$C$304,"&gt;="&amp;M182))))</f>
        <v/>
      </c>
      <c r="W182" s="26" t="str">
        <f aca="false">IF(AND($D182="",$E182="",$F182="",$G182=""),"",IF(ISNA(MATCH($D182,lst_Profil,0)),"FEHLER: Profil unbekannt",IF(ISNA(MATCH($E182,lst_Werkstoff,0)),"FEHLER: Werkstoff unbekannt",IF(NOT(ISNUMBER(L182)),"FEHLER: Querschnitt fehlt (Profil)",IF(OR($F182="",$F182&lt;=0),"FEHLER: Teilelänge fehlt",IF(OR($G182="",$G182&lt;1),"FEHLER: Stückzahl fehlt",IF(NOT(ISNUMBER($H$4)),"FEHLER: Maschine fehlt/unbekannt",IF(Q182&gt;$H$7,"FEHLER: Stange länger als Maschine zulässt",IF($F182+$H$6&gt;T182,"FEHLER: Teil länger als Nutzlänge",IF(U182="nein","WARNUNG: kein gültiger Materialpreis",IF($H182="","HINWEIS: Schneidweg fehlt",IF(V182="","HINWEIS: keine Schneiddaten",IF(AND($AF182&lt;&gt;"",$AG182=""),"HINWEIS: Gewinde-Vorschlag prüfen","OK")))))))))))))</f>
        <v/>
      </c>
      <c r="X182" s="18" t="str">
        <f aca="false">IF(OR(O182="",$G182=""),"",O182*$G182)</f>
        <v/>
      </c>
      <c r="Y182" s="10"/>
      <c r="Z182" s="21"/>
      <c r="AA182" s="10"/>
      <c r="AB182" s="21"/>
      <c r="AC182" s="21"/>
      <c r="AD182" s="21"/>
      <c r="AE182" s="10"/>
      <c r="AF182" s="10"/>
      <c r="AG182" s="10"/>
      <c r="AH182" s="22"/>
      <c r="AI182" s="21"/>
      <c r="AJ182" s="22"/>
      <c r="AK182" s="21"/>
      <c r="AL182" s="22"/>
      <c r="AM182" s="21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21"/>
      <c r="G183" s="19"/>
      <c r="H183" s="21"/>
      <c r="I183" s="22"/>
      <c r="J183" s="19"/>
      <c r="K183" s="23" t="str">
        <f aca="false">IF($D183="","",IFERROR(INDEX(Profile!$B$5:$B$304,MATCH($D183,lst_Profil,0)),""))</f>
        <v/>
      </c>
      <c r="L183" s="13" t="str">
        <f aca="false">IF($D183="","",IFERROR(INDEX(Profile!$K$5:$K$304,MATCH($D183,lst_Profil,0))+0,""))</f>
        <v/>
      </c>
      <c r="M183" s="24" t="str">
        <f aca="false">IF($D183="","",IFERROR(INDEX(Profile!$E$5:$E$304,MATCH($D183,lst_Profil,0))+0,""))</f>
        <v/>
      </c>
      <c r="N183" s="25" t="str">
        <f aca="false">IF(OR(L183="",$E183=""),"",IFERROR(L183*INDEX(Werkstoffe!$E$5:$E$304,MATCH($E183,lst_Werkstoff,0))/1000,""))</f>
        <v/>
      </c>
      <c r="O183" s="25" t="str">
        <f aca="false">IF(OR(N183="",$F183=""),"",N183*$F183/1000)</f>
        <v/>
      </c>
      <c r="P183" s="16" t="str">
        <f aca="false">IF(OR($F183="",$G183=""),"",$F183*$G183)</f>
        <v/>
      </c>
      <c r="Q183" s="16" t="str">
        <f aca="false">IF($D183="","",IF($J183&lt;&gt;"",$J183,$C$9))</f>
        <v/>
      </c>
      <c r="R183" s="12" t="str">
        <f aca="false">IF($D183="","",IFERROR(IF(INDEX(Profile!$G$5:$G$304,MATCH($D183,lst_Profil,0))&lt;&gt;"",INDEX(Profile!$G$5:$G$304,MATCH($D183,lst_Profil,0)),$H$4),$H$4))</f>
        <v/>
      </c>
      <c r="S183" s="12" t="str">
        <f aca="false">IF($D183="","",IFERROR(IF(INDEX(Profile!$H$5:$H$304,MATCH($D183,lst_Profil,0))&lt;&gt;"",INDEX(Profile!$H$5:$H$304,MATCH($D183,lst_Profil,0)),$H$5),$H$5))</f>
        <v/>
      </c>
      <c r="T183" s="16" t="str">
        <f aca="false">IF(OR(Q183="",NOT(ISNUMBER(R183)),NOT(ISNUMBER(S183))),"",Q183-R183-S183)</f>
        <v/>
      </c>
      <c r="U183" s="26" t="str">
        <f aca="false">IF(OR($D183="",$E183=""),"",IF(COUNTIFS(Preise!$A$5:$A$304,$D183,Preise!$B$5:$B$304,$E183,Preise!$I$5:$I$304,"OK")&gt;0,"ja","nein"))</f>
        <v/>
      </c>
      <c r="V183" s="15" t="str">
        <f aca="false">IF(OR(M183="",$E183="",$C$8=""),"",IF(_xlfn.MINIFS(Schneiddaten!$C$5:$C$304,Schneiddaten!$A$5:$A$304,$C$8,Schneiddaten!$B$5:$B$304,$E183,Schneiddaten!$C$5:$C$304,"&gt;="&amp;M183)=0,"",SUMIFS(Schneiddaten!$D$5:$D$304,Schneiddaten!$A$5:$A$304,$C$8,Schneiddaten!$B$5:$B$304,$E183,Schneiddaten!$C$5:$C$304,_xlfn.MINIFS(Schneiddaten!$C$5:$C$304,Schneiddaten!$A$5:$A$304,$C$8,Schneiddaten!$B$5:$B$304,$E183,Schneiddaten!$C$5:$C$304,"&gt;="&amp;M183))))</f>
        <v/>
      </c>
      <c r="W183" s="26" t="str">
        <f aca="false">IF(AND($D183="",$E183="",$F183="",$G183=""),"",IF(ISNA(MATCH($D183,lst_Profil,0)),"FEHLER: Profil unbekannt",IF(ISNA(MATCH($E183,lst_Werkstoff,0)),"FEHLER: Werkstoff unbekannt",IF(NOT(ISNUMBER(L183)),"FEHLER: Querschnitt fehlt (Profil)",IF(OR($F183="",$F183&lt;=0),"FEHLER: Teilelänge fehlt",IF(OR($G183="",$G183&lt;1),"FEHLER: Stückzahl fehlt",IF(NOT(ISNUMBER($H$4)),"FEHLER: Maschine fehlt/unbekannt",IF(Q183&gt;$H$7,"FEHLER: Stange länger als Maschine zulässt",IF($F183+$H$6&gt;T183,"FEHLER: Teil länger als Nutzlänge",IF(U183="nein","WARNUNG: kein gültiger Materialpreis",IF($H183="","HINWEIS: Schneidweg fehlt",IF(V183="","HINWEIS: keine Schneiddaten",IF(AND($AF183&lt;&gt;"",$AG183=""),"HINWEIS: Gewinde-Vorschlag prüfen","OK")))))))))))))</f>
        <v/>
      </c>
      <c r="X183" s="18" t="str">
        <f aca="false">IF(OR(O183="",$G183=""),"",O183*$G183)</f>
        <v/>
      </c>
      <c r="Y183" s="10"/>
      <c r="Z183" s="21"/>
      <c r="AA183" s="10"/>
      <c r="AB183" s="21"/>
      <c r="AC183" s="21"/>
      <c r="AD183" s="21"/>
      <c r="AE183" s="10"/>
      <c r="AF183" s="10"/>
      <c r="AG183" s="10"/>
      <c r="AH183" s="22"/>
      <c r="AI183" s="21"/>
      <c r="AJ183" s="22"/>
      <c r="AK183" s="21"/>
      <c r="AL183" s="22"/>
      <c r="AM183" s="21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21"/>
      <c r="G184" s="19"/>
      <c r="H184" s="21"/>
      <c r="I184" s="22"/>
      <c r="J184" s="19"/>
      <c r="K184" s="23" t="str">
        <f aca="false">IF($D184="","",IFERROR(INDEX(Profile!$B$5:$B$304,MATCH($D184,lst_Profil,0)),""))</f>
        <v/>
      </c>
      <c r="L184" s="13" t="str">
        <f aca="false">IF($D184="","",IFERROR(INDEX(Profile!$K$5:$K$304,MATCH($D184,lst_Profil,0))+0,""))</f>
        <v/>
      </c>
      <c r="M184" s="24" t="str">
        <f aca="false">IF($D184="","",IFERROR(INDEX(Profile!$E$5:$E$304,MATCH($D184,lst_Profil,0))+0,""))</f>
        <v/>
      </c>
      <c r="N184" s="25" t="str">
        <f aca="false">IF(OR(L184="",$E184=""),"",IFERROR(L184*INDEX(Werkstoffe!$E$5:$E$304,MATCH($E184,lst_Werkstoff,0))/1000,""))</f>
        <v/>
      </c>
      <c r="O184" s="25" t="str">
        <f aca="false">IF(OR(N184="",$F184=""),"",N184*$F184/1000)</f>
        <v/>
      </c>
      <c r="P184" s="16" t="str">
        <f aca="false">IF(OR($F184="",$G184=""),"",$F184*$G184)</f>
        <v/>
      </c>
      <c r="Q184" s="16" t="str">
        <f aca="false">IF($D184="","",IF($J184&lt;&gt;"",$J184,$C$9))</f>
        <v/>
      </c>
      <c r="R184" s="12" t="str">
        <f aca="false">IF($D184="","",IFERROR(IF(INDEX(Profile!$G$5:$G$304,MATCH($D184,lst_Profil,0))&lt;&gt;"",INDEX(Profile!$G$5:$G$304,MATCH($D184,lst_Profil,0)),$H$4),$H$4))</f>
        <v/>
      </c>
      <c r="S184" s="12" t="str">
        <f aca="false">IF($D184="","",IFERROR(IF(INDEX(Profile!$H$5:$H$304,MATCH($D184,lst_Profil,0))&lt;&gt;"",INDEX(Profile!$H$5:$H$304,MATCH($D184,lst_Profil,0)),$H$5),$H$5))</f>
        <v/>
      </c>
      <c r="T184" s="16" t="str">
        <f aca="false">IF(OR(Q184="",NOT(ISNUMBER(R184)),NOT(ISNUMBER(S184))),"",Q184-R184-S184)</f>
        <v/>
      </c>
      <c r="U184" s="26" t="str">
        <f aca="false">IF(OR($D184="",$E184=""),"",IF(COUNTIFS(Preise!$A$5:$A$304,$D184,Preise!$B$5:$B$304,$E184,Preise!$I$5:$I$304,"OK")&gt;0,"ja","nein"))</f>
        <v/>
      </c>
      <c r="V184" s="15" t="str">
        <f aca="false">IF(OR(M184="",$E184="",$C$8=""),"",IF(_xlfn.MINIFS(Schneiddaten!$C$5:$C$304,Schneiddaten!$A$5:$A$304,$C$8,Schneiddaten!$B$5:$B$304,$E184,Schneiddaten!$C$5:$C$304,"&gt;="&amp;M184)=0,"",SUMIFS(Schneiddaten!$D$5:$D$304,Schneiddaten!$A$5:$A$304,$C$8,Schneiddaten!$B$5:$B$304,$E184,Schneiddaten!$C$5:$C$304,_xlfn.MINIFS(Schneiddaten!$C$5:$C$304,Schneiddaten!$A$5:$A$304,$C$8,Schneiddaten!$B$5:$B$304,$E184,Schneiddaten!$C$5:$C$304,"&gt;="&amp;M184))))</f>
        <v/>
      </c>
      <c r="W184" s="26" t="str">
        <f aca="false">IF(AND($D184="",$E184="",$F184="",$G184=""),"",IF(ISNA(MATCH($D184,lst_Profil,0)),"FEHLER: Profil unbekannt",IF(ISNA(MATCH($E184,lst_Werkstoff,0)),"FEHLER: Werkstoff unbekannt",IF(NOT(ISNUMBER(L184)),"FEHLER: Querschnitt fehlt (Profil)",IF(OR($F184="",$F184&lt;=0),"FEHLER: Teilelänge fehlt",IF(OR($G184="",$G184&lt;1),"FEHLER: Stückzahl fehlt",IF(NOT(ISNUMBER($H$4)),"FEHLER: Maschine fehlt/unbekannt",IF(Q184&gt;$H$7,"FEHLER: Stange länger als Maschine zulässt",IF($F184+$H$6&gt;T184,"FEHLER: Teil länger als Nutzlänge",IF(U184="nein","WARNUNG: kein gültiger Materialpreis",IF($H184="","HINWEIS: Schneidweg fehlt",IF(V184="","HINWEIS: keine Schneiddaten",IF(AND($AF184&lt;&gt;"",$AG184=""),"HINWEIS: Gewinde-Vorschlag prüfen","OK")))))))))))))</f>
        <v/>
      </c>
      <c r="X184" s="18" t="str">
        <f aca="false">IF(OR(O184="",$G184=""),"",O184*$G184)</f>
        <v/>
      </c>
      <c r="Y184" s="10"/>
      <c r="Z184" s="21"/>
      <c r="AA184" s="10"/>
      <c r="AB184" s="21"/>
      <c r="AC184" s="21"/>
      <c r="AD184" s="21"/>
      <c r="AE184" s="10"/>
      <c r="AF184" s="10"/>
      <c r="AG184" s="10"/>
      <c r="AH184" s="22"/>
      <c r="AI184" s="21"/>
      <c r="AJ184" s="22"/>
      <c r="AK184" s="21"/>
      <c r="AL184" s="22"/>
      <c r="AM184" s="21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21"/>
      <c r="G185" s="19"/>
      <c r="H185" s="21"/>
      <c r="I185" s="22"/>
      <c r="J185" s="19"/>
      <c r="K185" s="23" t="str">
        <f aca="false">IF($D185="","",IFERROR(INDEX(Profile!$B$5:$B$304,MATCH($D185,lst_Profil,0)),""))</f>
        <v/>
      </c>
      <c r="L185" s="13" t="str">
        <f aca="false">IF($D185="","",IFERROR(INDEX(Profile!$K$5:$K$304,MATCH($D185,lst_Profil,0))+0,""))</f>
        <v/>
      </c>
      <c r="M185" s="24" t="str">
        <f aca="false">IF($D185="","",IFERROR(INDEX(Profile!$E$5:$E$304,MATCH($D185,lst_Profil,0))+0,""))</f>
        <v/>
      </c>
      <c r="N185" s="25" t="str">
        <f aca="false">IF(OR(L185="",$E185=""),"",IFERROR(L185*INDEX(Werkstoffe!$E$5:$E$304,MATCH($E185,lst_Werkstoff,0))/1000,""))</f>
        <v/>
      </c>
      <c r="O185" s="25" t="str">
        <f aca="false">IF(OR(N185="",$F185=""),"",N185*$F185/1000)</f>
        <v/>
      </c>
      <c r="P185" s="16" t="str">
        <f aca="false">IF(OR($F185="",$G185=""),"",$F185*$G185)</f>
        <v/>
      </c>
      <c r="Q185" s="16" t="str">
        <f aca="false">IF($D185="","",IF($J185&lt;&gt;"",$J185,$C$9))</f>
        <v/>
      </c>
      <c r="R185" s="12" t="str">
        <f aca="false">IF($D185="","",IFERROR(IF(INDEX(Profile!$G$5:$G$304,MATCH($D185,lst_Profil,0))&lt;&gt;"",INDEX(Profile!$G$5:$G$304,MATCH($D185,lst_Profil,0)),$H$4),$H$4))</f>
        <v/>
      </c>
      <c r="S185" s="12" t="str">
        <f aca="false">IF($D185="","",IFERROR(IF(INDEX(Profile!$H$5:$H$304,MATCH($D185,lst_Profil,0))&lt;&gt;"",INDEX(Profile!$H$5:$H$304,MATCH($D185,lst_Profil,0)),$H$5),$H$5))</f>
        <v/>
      </c>
      <c r="T185" s="16" t="str">
        <f aca="false">IF(OR(Q185="",NOT(ISNUMBER(R185)),NOT(ISNUMBER(S185))),"",Q185-R185-S185)</f>
        <v/>
      </c>
      <c r="U185" s="26" t="str">
        <f aca="false">IF(OR($D185="",$E185=""),"",IF(COUNTIFS(Preise!$A$5:$A$304,$D185,Preise!$B$5:$B$304,$E185,Preise!$I$5:$I$304,"OK")&gt;0,"ja","nein"))</f>
        <v/>
      </c>
      <c r="V185" s="15" t="str">
        <f aca="false">IF(OR(M185="",$E185="",$C$8=""),"",IF(_xlfn.MINIFS(Schneiddaten!$C$5:$C$304,Schneiddaten!$A$5:$A$304,$C$8,Schneiddaten!$B$5:$B$304,$E185,Schneiddaten!$C$5:$C$304,"&gt;="&amp;M185)=0,"",SUMIFS(Schneiddaten!$D$5:$D$304,Schneiddaten!$A$5:$A$304,$C$8,Schneiddaten!$B$5:$B$304,$E185,Schneiddaten!$C$5:$C$304,_xlfn.MINIFS(Schneiddaten!$C$5:$C$304,Schneiddaten!$A$5:$A$304,$C$8,Schneiddaten!$B$5:$B$304,$E185,Schneiddaten!$C$5:$C$304,"&gt;="&amp;M185))))</f>
        <v/>
      </c>
      <c r="W185" s="26" t="str">
        <f aca="false">IF(AND($D185="",$E185="",$F185="",$G185=""),"",IF(ISNA(MATCH($D185,lst_Profil,0)),"FEHLER: Profil unbekannt",IF(ISNA(MATCH($E185,lst_Werkstoff,0)),"FEHLER: Werkstoff unbekannt",IF(NOT(ISNUMBER(L185)),"FEHLER: Querschnitt fehlt (Profil)",IF(OR($F185="",$F185&lt;=0),"FEHLER: Teilelänge fehlt",IF(OR($G185="",$G185&lt;1),"FEHLER: Stückzahl fehlt",IF(NOT(ISNUMBER($H$4)),"FEHLER: Maschine fehlt/unbekannt",IF(Q185&gt;$H$7,"FEHLER: Stange länger als Maschine zulässt",IF($F185+$H$6&gt;T185,"FEHLER: Teil länger als Nutzlänge",IF(U185="nein","WARNUNG: kein gültiger Materialpreis",IF($H185="","HINWEIS: Schneidweg fehlt",IF(V185="","HINWEIS: keine Schneiddaten",IF(AND($AF185&lt;&gt;"",$AG185=""),"HINWEIS: Gewinde-Vorschlag prüfen","OK")))))))))))))</f>
        <v/>
      </c>
      <c r="X185" s="18" t="str">
        <f aca="false">IF(OR(O185="",$G185=""),"",O185*$G185)</f>
        <v/>
      </c>
      <c r="Y185" s="10"/>
      <c r="Z185" s="21"/>
      <c r="AA185" s="10"/>
      <c r="AB185" s="21"/>
      <c r="AC185" s="21"/>
      <c r="AD185" s="21"/>
      <c r="AE185" s="10"/>
      <c r="AF185" s="10"/>
      <c r="AG185" s="10"/>
      <c r="AH185" s="22"/>
      <c r="AI185" s="21"/>
      <c r="AJ185" s="22"/>
      <c r="AK185" s="21"/>
      <c r="AL185" s="22"/>
      <c r="AM185" s="21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21"/>
      <c r="G186" s="19"/>
      <c r="H186" s="21"/>
      <c r="I186" s="22"/>
      <c r="J186" s="19"/>
      <c r="K186" s="23" t="str">
        <f aca="false">IF($D186="","",IFERROR(INDEX(Profile!$B$5:$B$304,MATCH($D186,lst_Profil,0)),""))</f>
        <v/>
      </c>
      <c r="L186" s="13" t="str">
        <f aca="false">IF($D186="","",IFERROR(INDEX(Profile!$K$5:$K$304,MATCH($D186,lst_Profil,0))+0,""))</f>
        <v/>
      </c>
      <c r="M186" s="24" t="str">
        <f aca="false">IF($D186="","",IFERROR(INDEX(Profile!$E$5:$E$304,MATCH($D186,lst_Profil,0))+0,""))</f>
        <v/>
      </c>
      <c r="N186" s="25" t="str">
        <f aca="false">IF(OR(L186="",$E186=""),"",IFERROR(L186*INDEX(Werkstoffe!$E$5:$E$304,MATCH($E186,lst_Werkstoff,0))/1000,""))</f>
        <v/>
      </c>
      <c r="O186" s="25" t="str">
        <f aca="false">IF(OR(N186="",$F186=""),"",N186*$F186/1000)</f>
        <v/>
      </c>
      <c r="P186" s="16" t="str">
        <f aca="false">IF(OR($F186="",$G186=""),"",$F186*$G186)</f>
        <v/>
      </c>
      <c r="Q186" s="16" t="str">
        <f aca="false">IF($D186="","",IF($J186&lt;&gt;"",$J186,$C$9))</f>
        <v/>
      </c>
      <c r="R186" s="12" t="str">
        <f aca="false">IF($D186="","",IFERROR(IF(INDEX(Profile!$G$5:$G$304,MATCH($D186,lst_Profil,0))&lt;&gt;"",INDEX(Profile!$G$5:$G$304,MATCH($D186,lst_Profil,0)),$H$4),$H$4))</f>
        <v/>
      </c>
      <c r="S186" s="12" t="str">
        <f aca="false">IF($D186="","",IFERROR(IF(INDEX(Profile!$H$5:$H$304,MATCH($D186,lst_Profil,0))&lt;&gt;"",INDEX(Profile!$H$5:$H$304,MATCH($D186,lst_Profil,0)),$H$5),$H$5))</f>
        <v/>
      </c>
      <c r="T186" s="16" t="str">
        <f aca="false">IF(OR(Q186="",NOT(ISNUMBER(R186)),NOT(ISNUMBER(S186))),"",Q186-R186-S186)</f>
        <v/>
      </c>
      <c r="U186" s="26" t="str">
        <f aca="false">IF(OR($D186="",$E186=""),"",IF(COUNTIFS(Preise!$A$5:$A$304,$D186,Preise!$B$5:$B$304,$E186,Preise!$I$5:$I$304,"OK")&gt;0,"ja","nein"))</f>
        <v/>
      </c>
      <c r="V186" s="15" t="str">
        <f aca="false">IF(OR(M186="",$E186="",$C$8=""),"",IF(_xlfn.MINIFS(Schneiddaten!$C$5:$C$304,Schneiddaten!$A$5:$A$304,$C$8,Schneiddaten!$B$5:$B$304,$E186,Schneiddaten!$C$5:$C$304,"&gt;="&amp;M186)=0,"",SUMIFS(Schneiddaten!$D$5:$D$304,Schneiddaten!$A$5:$A$304,$C$8,Schneiddaten!$B$5:$B$304,$E186,Schneiddaten!$C$5:$C$304,_xlfn.MINIFS(Schneiddaten!$C$5:$C$304,Schneiddaten!$A$5:$A$304,$C$8,Schneiddaten!$B$5:$B$304,$E186,Schneiddaten!$C$5:$C$304,"&gt;="&amp;M186))))</f>
        <v/>
      </c>
      <c r="W186" s="26" t="str">
        <f aca="false">IF(AND($D186="",$E186="",$F186="",$G186=""),"",IF(ISNA(MATCH($D186,lst_Profil,0)),"FEHLER: Profil unbekannt",IF(ISNA(MATCH($E186,lst_Werkstoff,0)),"FEHLER: Werkstoff unbekannt",IF(NOT(ISNUMBER(L186)),"FEHLER: Querschnitt fehlt (Profil)",IF(OR($F186="",$F186&lt;=0),"FEHLER: Teilelänge fehlt",IF(OR($G186="",$G186&lt;1),"FEHLER: Stückzahl fehlt",IF(NOT(ISNUMBER($H$4)),"FEHLER: Maschine fehlt/unbekannt",IF(Q186&gt;$H$7,"FEHLER: Stange länger als Maschine zulässt",IF($F186+$H$6&gt;T186,"FEHLER: Teil länger als Nutzlänge",IF(U186="nein","WARNUNG: kein gültiger Materialpreis",IF($H186="","HINWEIS: Schneidweg fehlt",IF(V186="","HINWEIS: keine Schneiddaten",IF(AND($AF186&lt;&gt;"",$AG186=""),"HINWEIS: Gewinde-Vorschlag prüfen","OK")))))))))))))</f>
        <v/>
      </c>
      <c r="X186" s="18" t="str">
        <f aca="false">IF(OR(O186="",$G186=""),"",O186*$G186)</f>
        <v/>
      </c>
      <c r="Y186" s="10"/>
      <c r="Z186" s="21"/>
      <c r="AA186" s="10"/>
      <c r="AB186" s="21"/>
      <c r="AC186" s="21"/>
      <c r="AD186" s="21"/>
      <c r="AE186" s="10"/>
      <c r="AF186" s="10"/>
      <c r="AG186" s="10"/>
      <c r="AH186" s="22"/>
      <c r="AI186" s="21"/>
      <c r="AJ186" s="22"/>
      <c r="AK186" s="21"/>
      <c r="AL186" s="22"/>
      <c r="AM186" s="21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21"/>
      <c r="G187" s="19"/>
      <c r="H187" s="21"/>
      <c r="I187" s="22"/>
      <c r="J187" s="19"/>
      <c r="K187" s="23" t="str">
        <f aca="false">IF($D187="","",IFERROR(INDEX(Profile!$B$5:$B$304,MATCH($D187,lst_Profil,0)),""))</f>
        <v/>
      </c>
      <c r="L187" s="13" t="str">
        <f aca="false">IF($D187="","",IFERROR(INDEX(Profile!$K$5:$K$304,MATCH($D187,lst_Profil,0))+0,""))</f>
        <v/>
      </c>
      <c r="M187" s="24" t="str">
        <f aca="false">IF($D187="","",IFERROR(INDEX(Profile!$E$5:$E$304,MATCH($D187,lst_Profil,0))+0,""))</f>
        <v/>
      </c>
      <c r="N187" s="25" t="str">
        <f aca="false">IF(OR(L187="",$E187=""),"",IFERROR(L187*INDEX(Werkstoffe!$E$5:$E$304,MATCH($E187,lst_Werkstoff,0))/1000,""))</f>
        <v/>
      </c>
      <c r="O187" s="25" t="str">
        <f aca="false">IF(OR(N187="",$F187=""),"",N187*$F187/1000)</f>
        <v/>
      </c>
      <c r="P187" s="16" t="str">
        <f aca="false">IF(OR($F187="",$G187=""),"",$F187*$G187)</f>
        <v/>
      </c>
      <c r="Q187" s="16" t="str">
        <f aca="false">IF($D187="","",IF($J187&lt;&gt;"",$J187,$C$9))</f>
        <v/>
      </c>
      <c r="R187" s="12" t="str">
        <f aca="false">IF($D187="","",IFERROR(IF(INDEX(Profile!$G$5:$G$304,MATCH($D187,lst_Profil,0))&lt;&gt;"",INDEX(Profile!$G$5:$G$304,MATCH($D187,lst_Profil,0)),$H$4),$H$4))</f>
        <v/>
      </c>
      <c r="S187" s="12" t="str">
        <f aca="false">IF($D187="","",IFERROR(IF(INDEX(Profile!$H$5:$H$304,MATCH($D187,lst_Profil,0))&lt;&gt;"",INDEX(Profile!$H$5:$H$304,MATCH($D187,lst_Profil,0)),$H$5),$H$5))</f>
        <v/>
      </c>
      <c r="T187" s="16" t="str">
        <f aca="false">IF(OR(Q187="",NOT(ISNUMBER(R187)),NOT(ISNUMBER(S187))),"",Q187-R187-S187)</f>
        <v/>
      </c>
      <c r="U187" s="26" t="str">
        <f aca="false">IF(OR($D187="",$E187=""),"",IF(COUNTIFS(Preise!$A$5:$A$304,$D187,Preise!$B$5:$B$304,$E187,Preise!$I$5:$I$304,"OK")&gt;0,"ja","nein"))</f>
        <v/>
      </c>
      <c r="V187" s="15" t="str">
        <f aca="false">IF(OR(M187="",$E187="",$C$8=""),"",IF(_xlfn.MINIFS(Schneiddaten!$C$5:$C$304,Schneiddaten!$A$5:$A$304,$C$8,Schneiddaten!$B$5:$B$304,$E187,Schneiddaten!$C$5:$C$304,"&gt;="&amp;M187)=0,"",SUMIFS(Schneiddaten!$D$5:$D$304,Schneiddaten!$A$5:$A$304,$C$8,Schneiddaten!$B$5:$B$304,$E187,Schneiddaten!$C$5:$C$304,_xlfn.MINIFS(Schneiddaten!$C$5:$C$304,Schneiddaten!$A$5:$A$304,$C$8,Schneiddaten!$B$5:$B$304,$E187,Schneiddaten!$C$5:$C$304,"&gt;="&amp;M187))))</f>
        <v/>
      </c>
      <c r="W187" s="26" t="str">
        <f aca="false">IF(AND($D187="",$E187="",$F187="",$G187=""),"",IF(ISNA(MATCH($D187,lst_Profil,0)),"FEHLER: Profil unbekannt",IF(ISNA(MATCH($E187,lst_Werkstoff,0)),"FEHLER: Werkstoff unbekannt",IF(NOT(ISNUMBER(L187)),"FEHLER: Querschnitt fehlt (Profil)",IF(OR($F187="",$F187&lt;=0),"FEHLER: Teilelänge fehlt",IF(OR($G187="",$G187&lt;1),"FEHLER: Stückzahl fehlt",IF(NOT(ISNUMBER($H$4)),"FEHLER: Maschine fehlt/unbekannt",IF(Q187&gt;$H$7,"FEHLER: Stange länger als Maschine zulässt",IF($F187+$H$6&gt;T187,"FEHLER: Teil länger als Nutzlänge",IF(U187="nein","WARNUNG: kein gültiger Materialpreis",IF($H187="","HINWEIS: Schneidweg fehlt",IF(V187="","HINWEIS: keine Schneiddaten",IF(AND($AF187&lt;&gt;"",$AG187=""),"HINWEIS: Gewinde-Vorschlag prüfen","OK")))))))))))))</f>
        <v/>
      </c>
      <c r="X187" s="18" t="str">
        <f aca="false">IF(OR(O187="",$G187=""),"",O187*$G187)</f>
        <v/>
      </c>
      <c r="Y187" s="10"/>
      <c r="Z187" s="21"/>
      <c r="AA187" s="10"/>
      <c r="AB187" s="21"/>
      <c r="AC187" s="21"/>
      <c r="AD187" s="21"/>
      <c r="AE187" s="10"/>
      <c r="AF187" s="10"/>
      <c r="AG187" s="10"/>
      <c r="AH187" s="22"/>
      <c r="AI187" s="21"/>
      <c r="AJ187" s="22"/>
      <c r="AK187" s="21"/>
      <c r="AL187" s="22"/>
      <c r="AM187" s="21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21"/>
      <c r="G188" s="19"/>
      <c r="H188" s="21"/>
      <c r="I188" s="22"/>
      <c r="J188" s="19"/>
      <c r="K188" s="23" t="str">
        <f aca="false">IF($D188="","",IFERROR(INDEX(Profile!$B$5:$B$304,MATCH($D188,lst_Profil,0)),""))</f>
        <v/>
      </c>
      <c r="L188" s="13" t="str">
        <f aca="false">IF($D188="","",IFERROR(INDEX(Profile!$K$5:$K$304,MATCH($D188,lst_Profil,0))+0,""))</f>
        <v/>
      </c>
      <c r="M188" s="24" t="str">
        <f aca="false">IF($D188="","",IFERROR(INDEX(Profile!$E$5:$E$304,MATCH($D188,lst_Profil,0))+0,""))</f>
        <v/>
      </c>
      <c r="N188" s="25" t="str">
        <f aca="false">IF(OR(L188="",$E188=""),"",IFERROR(L188*INDEX(Werkstoffe!$E$5:$E$304,MATCH($E188,lst_Werkstoff,0))/1000,""))</f>
        <v/>
      </c>
      <c r="O188" s="25" t="str">
        <f aca="false">IF(OR(N188="",$F188=""),"",N188*$F188/1000)</f>
        <v/>
      </c>
      <c r="P188" s="16" t="str">
        <f aca="false">IF(OR($F188="",$G188=""),"",$F188*$G188)</f>
        <v/>
      </c>
      <c r="Q188" s="16" t="str">
        <f aca="false">IF($D188="","",IF($J188&lt;&gt;"",$J188,$C$9))</f>
        <v/>
      </c>
      <c r="R188" s="12" t="str">
        <f aca="false">IF($D188="","",IFERROR(IF(INDEX(Profile!$G$5:$G$304,MATCH($D188,lst_Profil,0))&lt;&gt;"",INDEX(Profile!$G$5:$G$304,MATCH($D188,lst_Profil,0)),$H$4),$H$4))</f>
        <v/>
      </c>
      <c r="S188" s="12" t="str">
        <f aca="false">IF($D188="","",IFERROR(IF(INDEX(Profile!$H$5:$H$304,MATCH($D188,lst_Profil,0))&lt;&gt;"",INDEX(Profile!$H$5:$H$304,MATCH($D188,lst_Profil,0)),$H$5),$H$5))</f>
        <v/>
      </c>
      <c r="T188" s="16" t="str">
        <f aca="false">IF(OR(Q188="",NOT(ISNUMBER(R188)),NOT(ISNUMBER(S188))),"",Q188-R188-S188)</f>
        <v/>
      </c>
      <c r="U188" s="26" t="str">
        <f aca="false">IF(OR($D188="",$E188=""),"",IF(COUNTIFS(Preise!$A$5:$A$304,$D188,Preise!$B$5:$B$304,$E188,Preise!$I$5:$I$304,"OK")&gt;0,"ja","nein"))</f>
        <v/>
      </c>
      <c r="V188" s="15" t="str">
        <f aca="false">IF(OR(M188="",$E188="",$C$8=""),"",IF(_xlfn.MINIFS(Schneiddaten!$C$5:$C$304,Schneiddaten!$A$5:$A$304,$C$8,Schneiddaten!$B$5:$B$304,$E188,Schneiddaten!$C$5:$C$304,"&gt;="&amp;M188)=0,"",SUMIFS(Schneiddaten!$D$5:$D$304,Schneiddaten!$A$5:$A$304,$C$8,Schneiddaten!$B$5:$B$304,$E188,Schneiddaten!$C$5:$C$304,_xlfn.MINIFS(Schneiddaten!$C$5:$C$304,Schneiddaten!$A$5:$A$304,$C$8,Schneiddaten!$B$5:$B$304,$E188,Schneiddaten!$C$5:$C$304,"&gt;="&amp;M188))))</f>
        <v/>
      </c>
      <c r="W188" s="26" t="str">
        <f aca="false">IF(AND($D188="",$E188="",$F188="",$G188=""),"",IF(ISNA(MATCH($D188,lst_Profil,0)),"FEHLER: Profil unbekannt",IF(ISNA(MATCH($E188,lst_Werkstoff,0)),"FEHLER: Werkstoff unbekannt",IF(NOT(ISNUMBER(L188)),"FEHLER: Querschnitt fehlt (Profil)",IF(OR($F188="",$F188&lt;=0),"FEHLER: Teilelänge fehlt",IF(OR($G188="",$G188&lt;1),"FEHLER: Stückzahl fehlt",IF(NOT(ISNUMBER($H$4)),"FEHLER: Maschine fehlt/unbekannt",IF(Q188&gt;$H$7,"FEHLER: Stange länger als Maschine zulässt",IF($F188+$H$6&gt;T188,"FEHLER: Teil länger als Nutzlänge",IF(U188="nein","WARNUNG: kein gültiger Materialpreis",IF($H188="","HINWEIS: Schneidweg fehlt",IF(V188="","HINWEIS: keine Schneiddaten",IF(AND($AF188&lt;&gt;"",$AG188=""),"HINWEIS: Gewinde-Vorschlag prüfen","OK")))))))))))))</f>
        <v/>
      </c>
      <c r="X188" s="18" t="str">
        <f aca="false">IF(OR(O188="",$G188=""),"",O188*$G188)</f>
        <v/>
      </c>
      <c r="Y188" s="10"/>
      <c r="Z188" s="21"/>
      <c r="AA188" s="10"/>
      <c r="AB188" s="21"/>
      <c r="AC188" s="21"/>
      <c r="AD188" s="21"/>
      <c r="AE188" s="10"/>
      <c r="AF188" s="10"/>
      <c r="AG188" s="10"/>
      <c r="AH188" s="22"/>
      <c r="AI188" s="21"/>
      <c r="AJ188" s="22"/>
      <c r="AK188" s="21"/>
      <c r="AL188" s="22"/>
      <c r="AM188" s="21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21"/>
      <c r="G189" s="19"/>
      <c r="H189" s="21"/>
      <c r="I189" s="22"/>
      <c r="J189" s="19"/>
      <c r="K189" s="23" t="str">
        <f aca="false">IF($D189="","",IFERROR(INDEX(Profile!$B$5:$B$304,MATCH($D189,lst_Profil,0)),""))</f>
        <v/>
      </c>
      <c r="L189" s="13" t="str">
        <f aca="false">IF($D189="","",IFERROR(INDEX(Profile!$K$5:$K$304,MATCH($D189,lst_Profil,0))+0,""))</f>
        <v/>
      </c>
      <c r="M189" s="24" t="str">
        <f aca="false">IF($D189="","",IFERROR(INDEX(Profile!$E$5:$E$304,MATCH($D189,lst_Profil,0))+0,""))</f>
        <v/>
      </c>
      <c r="N189" s="25" t="str">
        <f aca="false">IF(OR(L189="",$E189=""),"",IFERROR(L189*INDEX(Werkstoffe!$E$5:$E$304,MATCH($E189,lst_Werkstoff,0))/1000,""))</f>
        <v/>
      </c>
      <c r="O189" s="25" t="str">
        <f aca="false">IF(OR(N189="",$F189=""),"",N189*$F189/1000)</f>
        <v/>
      </c>
      <c r="P189" s="16" t="str">
        <f aca="false">IF(OR($F189="",$G189=""),"",$F189*$G189)</f>
        <v/>
      </c>
      <c r="Q189" s="16" t="str">
        <f aca="false">IF($D189="","",IF($J189&lt;&gt;"",$J189,$C$9))</f>
        <v/>
      </c>
      <c r="R189" s="12" t="str">
        <f aca="false">IF($D189="","",IFERROR(IF(INDEX(Profile!$G$5:$G$304,MATCH($D189,lst_Profil,0))&lt;&gt;"",INDEX(Profile!$G$5:$G$304,MATCH($D189,lst_Profil,0)),$H$4),$H$4))</f>
        <v/>
      </c>
      <c r="S189" s="12" t="str">
        <f aca="false">IF($D189="","",IFERROR(IF(INDEX(Profile!$H$5:$H$304,MATCH($D189,lst_Profil,0))&lt;&gt;"",INDEX(Profile!$H$5:$H$304,MATCH($D189,lst_Profil,0)),$H$5),$H$5))</f>
        <v/>
      </c>
      <c r="T189" s="16" t="str">
        <f aca="false">IF(OR(Q189="",NOT(ISNUMBER(R189)),NOT(ISNUMBER(S189))),"",Q189-R189-S189)</f>
        <v/>
      </c>
      <c r="U189" s="26" t="str">
        <f aca="false">IF(OR($D189="",$E189=""),"",IF(COUNTIFS(Preise!$A$5:$A$304,$D189,Preise!$B$5:$B$304,$E189,Preise!$I$5:$I$304,"OK")&gt;0,"ja","nein"))</f>
        <v/>
      </c>
      <c r="V189" s="15" t="str">
        <f aca="false">IF(OR(M189="",$E189="",$C$8=""),"",IF(_xlfn.MINIFS(Schneiddaten!$C$5:$C$304,Schneiddaten!$A$5:$A$304,$C$8,Schneiddaten!$B$5:$B$304,$E189,Schneiddaten!$C$5:$C$304,"&gt;="&amp;M189)=0,"",SUMIFS(Schneiddaten!$D$5:$D$304,Schneiddaten!$A$5:$A$304,$C$8,Schneiddaten!$B$5:$B$304,$E189,Schneiddaten!$C$5:$C$304,_xlfn.MINIFS(Schneiddaten!$C$5:$C$304,Schneiddaten!$A$5:$A$304,$C$8,Schneiddaten!$B$5:$B$304,$E189,Schneiddaten!$C$5:$C$304,"&gt;="&amp;M189))))</f>
        <v/>
      </c>
      <c r="W189" s="26" t="str">
        <f aca="false">IF(AND($D189="",$E189="",$F189="",$G189=""),"",IF(ISNA(MATCH($D189,lst_Profil,0)),"FEHLER: Profil unbekannt",IF(ISNA(MATCH($E189,lst_Werkstoff,0)),"FEHLER: Werkstoff unbekannt",IF(NOT(ISNUMBER(L189)),"FEHLER: Querschnitt fehlt (Profil)",IF(OR($F189="",$F189&lt;=0),"FEHLER: Teilelänge fehlt",IF(OR($G189="",$G189&lt;1),"FEHLER: Stückzahl fehlt",IF(NOT(ISNUMBER($H$4)),"FEHLER: Maschine fehlt/unbekannt",IF(Q189&gt;$H$7,"FEHLER: Stange länger als Maschine zulässt",IF($F189+$H$6&gt;T189,"FEHLER: Teil länger als Nutzlänge",IF(U189="nein","WARNUNG: kein gültiger Materialpreis",IF($H189="","HINWEIS: Schneidweg fehlt",IF(V189="","HINWEIS: keine Schneiddaten",IF(AND($AF189&lt;&gt;"",$AG189=""),"HINWEIS: Gewinde-Vorschlag prüfen","OK")))))))))))))</f>
        <v/>
      </c>
      <c r="X189" s="18" t="str">
        <f aca="false">IF(OR(O189="",$G189=""),"",O189*$G189)</f>
        <v/>
      </c>
      <c r="Y189" s="10"/>
      <c r="Z189" s="21"/>
      <c r="AA189" s="10"/>
      <c r="AB189" s="21"/>
      <c r="AC189" s="21"/>
      <c r="AD189" s="21"/>
      <c r="AE189" s="10"/>
      <c r="AF189" s="10"/>
      <c r="AG189" s="10"/>
      <c r="AH189" s="22"/>
      <c r="AI189" s="21"/>
      <c r="AJ189" s="22"/>
      <c r="AK189" s="21"/>
      <c r="AL189" s="22"/>
      <c r="AM189" s="21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21"/>
      <c r="G190" s="19"/>
      <c r="H190" s="21"/>
      <c r="I190" s="22"/>
      <c r="J190" s="19"/>
      <c r="K190" s="23" t="str">
        <f aca="false">IF($D190="","",IFERROR(INDEX(Profile!$B$5:$B$304,MATCH($D190,lst_Profil,0)),""))</f>
        <v/>
      </c>
      <c r="L190" s="13" t="str">
        <f aca="false">IF($D190="","",IFERROR(INDEX(Profile!$K$5:$K$304,MATCH($D190,lst_Profil,0))+0,""))</f>
        <v/>
      </c>
      <c r="M190" s="24" t="str">
        <f aca="false">IF($D190="","",IFERROR(INDEX(Profile!$E$5:$E$304,MATCH($D190,lst_Profil,0))+0,""))</f>
        <v/>
      </c>
      <c r="N190" s="25" t="str">
        <f aca="false">IF(OR(L190="",$E190=""),"",IFERROR(L190*INDEX(Werkstoffe!$E$5:$E$304,MATCH($E190,lst_Werkstoff,0))/1000,""))</f>
        <v/>
      </c>
      <c r="O190" s="25" t="str">
        <f aca="false">IF(OR(N190="",$F190=""),"",N190*$F190/1000)</f>
        <v/>
      </c>
      <c r="P190" s="16" t="str">
        <f aca="false">IF(OR($F190="",$G190=""),"",$F190*$G190)</f>
        <v/>
      </c>
      <c r="Q190" s="16" t="str">
        <f aca="false">IF($D190="","",IF($J190&lt;&gt;"",$J190,$C$9))</f>
        <v/>
      </c>
      <c r="R190" s="12" t="str">
        <f aca="false">IF($D190="","",IFERROR(IF(INDEX(Profile!$G$5:$G$304,MATCH($D190,lst_Profil,0))&lt;&gt;"",INDEX(Profile!$G$5:$G$304,MATCH($D190,lst_Profil,0)),$H$4),$H$4))</f>
        <v/>
      </c>
      <c r="S190" s="12" t="str">
        <f aca="false">IF($D190="","",IFERROR(IF(INDEX(Profile!$H$5:$H$304,MATCH($D190,lst_Profil,0))&lt;&gt;"",INDEX(Profile!$H$5:$H$304,MATCH($D190,lst_Profil,0)),$H$5),$H$5))</f>
        <v/>
      </c>
      <c r="T190" s="16" t="str">
        <f aca="false">IF(OR(Q190="",NOT(ISNUMBER(R190)),NOT(ISNUMBER(S190))),"",Q190-R190-S190)</f>
        <v/>
      </c>
      <c r="U190" s="26" t="str">
        <f aca="false">IF(OR($D190="",$E190=""),"",IF(COUNTIFS(Preise!$A$5:$A$304,$D190,Preise!$B$5:$B$304,$E190,Preise!$I$5:$I$304,"OK")&gt;0,"ja","nein"))</f>
        <v/>
      </c>
      <c r="V190" s="15" t="str">
        <f aca="false">IF(OR(M190="",$E190="",$C$8=""),"",IF(_xlfn.MINIFS(Schneiddaten!$C$5:$C$304,Schneiddaten!$A$5:$A$304,$C$8,Schneiddaten!$B$5:$B$304,$E190,Schneiddaten!$C$5:$C$304,"&gt;="&amp;M190)=0,"",SUMIFS(Schneiddaten!$D$5:$D$304,Schneiddaten!$A$5:$A$304,$C$8,Schneiddaten!$B$5:$B$304,$E190,Schneiddaten!$C$5:$C$304,_xlfn.MINIFS(Schneiddaten!$C$5:$C$304,Schneiddaten!$A$5:$A$304,$C$8,Schneiddaten!$B$5:$B$304,$E190,Schneiddaten!$C$5:$C$304,"&gt;="&amp;M190))))</f>
        <v/>
      </c>
      <c r="W190" s="26" t="str">
        <f aca="false">IF(AND($D190="",$E190="",$F190="",$G190=""),"",IF(ISNA(MATCH($D190,lst_Profil,0)),"FEHLER: Profil unbekannt",IF(ISNA(MATCH($E190,lst_Werkstoff,0)),"FEHLER: Werkstoff unbekannt",IF(NOT(ISNUMBER(L190)),"FEHLER: Querschnitt fehlt (Profil)",IF(OR($F190="",$F190&lt;=0),"FEHLER: Teilelänge fehlt",IF(OR($G190="",$G190&lt;1),"FEHLER: Stückzahl fehlt",IF(NOT(ISNUMBER($H$4)),"FEHLER: Maschine fehlt/unbekannt",IF(Q190&gt;$H$7,"FEHLER: Stange länger als Maschine zulässt",IF($F190+$H$6&gt;T190,"FEHLER: Teil länger als Nutzlänge",IF(U190="nein","WARNUNG: kein gültiger Materialpreis",IF($H190="","HINWEIS: Schneidweg fehlt",IF(V190="","HINWEIS: keine Schneiddaten",IF(AND($AF190&lt;&gt;"",$AG190=""),"HINWEIS: Gewinde-Vorschlag prüfen","OK")))))))))))))</f>
        <v/>
      </c>
      <c r="X190" s="18" t="str">
        <f aca="false">IF(OR(O190="",$G190=""),"",O190*$G190)</f>
        <v/>
      </c>
      <c r="Y190" s="10"/>
      <c r="Z190" s="21"/>
      <c r="AA190" s="10"/>
      <c r="AB190" s="21"/>
      <c r="AC190" s="21"/>
      <c r="AD190" s="21"/>
      <c r="AE190" s="10"/>
      <c r="AF190" s="10"/>
      <c r="AG190" s="10"/>
      <c r="AH190" s="22"/>
      <c r="AI190" s="21"/>
      <c r="AJ190" s="22"/>
      <c r="AK190" s="21"/>
      <c r="AL190" s="22"/>
      <c r="AM190" s="21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21"/>
      <c r="G191" s="19"/>
      <c r="H191" s="21"/>
      <c r="I191" s="22"/>
      <c r="J191" s="19"/>
      <c r="K191" s="23" t="str">
        <f aca="false">IF($D191="","",IFERROR(INDEX(Profile!$B$5:$B$304,MATCH($D191,lst_Profil,0)),""))</f>
        <v/>
      </c>
      <c r="L191" s="13" t="str">
        <f aca="false">IF($D191="","",IFERROR(INDEX(Profile!$K$5:$K$304,MATCH($D191,lst_Profil,0))+0,""))</f>
        <v/>
      </c>
      <c r="M191" s="24" t="str">
        <f aca="false">IF($D191="","",IFERROR(INDEX(Profile!$E$5:$E$304,MATCH($D191,lst_Profil,0))+0,""))</f>
        <v/>
      </c>
      <c r="N191" s="25" t="str">
        <f aca="false">IF(OR(L191="",$E191=""),"",IFERROR(L191*INDEX(Werkstoffe!$E$5:$E$304,MATCH($E191,lst_Werkstoff,0))/1000,""))</f>
        <v/>
      </c>
      <c r="O191" s="25" t="str">
        <f aca="false">IF(OR(N191="",$F191=""),"",N191*$F191/1000)</f>
        <v/>
      </c>
      <c r="P191" s="16" t="str">
        <f aca="false">IF(OR($F191="",$G191=""),"",$F191*$G191)</f>
        <v/>
      </c>
      <c r="Q191" s="16" t="str">
        <f aca="false">IF($D191="","",IF($J191&lt;&gt;"",$J191,$C$9))</f>
        <v/>
      </c>
      <c r="R191" s="12" t="str">
        <f aca="false">IF($D191="","",IFERROR(IF(INDEX(Profile!$G$5:$G$304,MATCH($D191,lst_Profil,0))&lt;&gt;"",INDEX(Profile!$G$5:$G$304,MATCH($D191,lst_Profil,0)),$H$4),$H$4))</f>
        <v/>
      </c>
      <c r="S191" s="12" t="str">
        <f aca="false">IF($D191="","",IFERROR(IF(INDEX(Profile!$H$5:$H$304,MATCH($D191,lst_Profil,0))&lt;&gt;"",INDEX(Profile!$H$5:$H$304,MATCH($D191,lst_Profil,0)),$H$5),$H$5))</f>
        <v/>
      </c>
      <c r="T191" s="16" t="str">
        <f aca="false">IF(OR(Q191="",NOT(ISNUMBER(R191)),NOT(ISNUMBER(S191))),"",Q191-R191-S191)</f>
        <v/>
      </c>
      <c r="U191" s="26" t="str">
        <f aca="false">IF(OR($D191="",$E191=""),"",IF(COUNTIFS(Preise!$A$5:$A$304,$D191,Preise!$B$5:$B$304,$E191,Preise!$I$5:$I$304,"OK")&gt;0,"ja","nein"))</f>
        <v/>
      </c>
      <c r="V191" s="15" t="str">
        <f aca="false">IF(OR(M191="",$E191="",$C$8=""),"",IF(_xlfn.MINIFS(Schneiddaten!$C$5:$C$304,Schneiddaten!$A$5:$A$304,$C$8,Schneiddaten!$B$5:$B$304,$E191,Schneiddaten!$C$5:$C$304,"&gt;="&amp;M191)=0,"",SUMIFS(Schneiddaten!$D$5:$D$304,Schneiddaten!$A$5:$A$304,$C$8,Schneiddaten!$B$5:$B$304,$E191,Schneiddaten!$C$5:$C$304,_xlfn.MINIFS(Schneiddaten!$C$5:$C$304,Schneiddaten!$A$5:$A$304,$C$8,Schneiddaten!$B$5:$B$304,$E191,Schneiddaten!$C$5:$C$304,"&gt;="&amp;M191))))</f>
        <v/>
      </c>
      <c r="W191" s="26" t="str">
        <f aca="false">IF(AND($D191="",$E191="",$F191="",$G191=""),"",IF(ISNA(MATCH($D191,lst_Profil,0)),"FEHLER: Profil unbekannt",IF(ISNA(MATCH($E191,lst_Werkstoff,0)),"FEHLER: Werkstoff unbekannt",IF(NOT(ISNUMBER(L191)),"FEHLER: Querschnitt fehlt (Profil)",IF(OR($F191="",$F191&lt;=0),"FEHLER: Teilelänge fehlt",IF(OR($G191="",$G191&lt;1),"FEHLER: Stückzahl fehlt",IF(NOT(ISNUMBER($H$4)),"FEHLER: Maschine fehlt/unbekannt",IF(Q191&gt;$H$7,"FEHLER: Stange länger als Maschine zulässt",IF($F191+$H$6&gt;T191,"FEHLER: Teil länger als Nutzlänge",IF(U191="nein","WARNUNG: kein gültiger Materialpreis",IF($H191="","HINWEIS: Schneidweg fehlt",IF(V191="","HINWEIS: keine Schneiddaten",IF(AND($AF191&lt;&gt;"",$AG191=""),"HINWEIS: Gewinde-Vorschlag prüfen","OK")))))))))))))</f>
        <v/>
      </c>
      <c r="X191" s="18" t="str">
        <f aca="false">IF(OR(O191="",$G191=""),"",O191*$G191)</f>
        <v/>
      </c>
      <c r="Y191" s="10"/>
      <c r="Z191" s="21"/>
      <c r="AA191" s="10"/>
      <c r="AB191" s="21"/>
      <c r="AC191" s="21"/>
      <c r="AD191" s="21"/>
      <c r="AE191" s="10"/>
      <c r="AF191" s="10"/>
      <c r="AG191" s="10"/>
      <c r="AH191" s="22"/>
      <c r="AI191" s="21"/>
      <c r="AJ191" s="22"/>
      <c r="AK191" s="21"/>
      <c r="AL191" s="22"/>
      <c r="AM191" s="21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21"/>
      <c r="G192" s="19"/>
      <c r="H192" s="21"/>
      <c r="I192" s="22"/>
      <c r="J192" s="19"/>
      <c r="K192" s="23" t="str">
        <f aca="false">IF($D192="","",IFERROR(INDEX(Profile!$B$5:$B$304,MATCH($D192,lst_Profil,0)),""))</f>
        <v/>
      </c>
      <c r="L192" s="13" t="str">
        <f aca="false">IF($D192="","",IFERROR(INDEX(Profile!$K$5:$K$304,MATCH($D192,lst_Profil,0))+0,""))</f>
        <v/>
      </c>
      <c r="M192" s="24" t="str">
        <f aca="false">IF($D192="","",IFERROR(INDEX(Profile!$E$5:$E$304,MATCH($D192,lst_Profil,0))+0,""))</f>
        <v/>
      </c>
      <c r="N192" s="25" t="str">
        <f aca="false">IF(OR(L192="",$E192=""),"",IFERROR(L192*INDEX(Werkstoffe!$E$5:$E$304,MATCH($E192,lst_Werkstoff,0))/1000,""))</f>
        <v/>
      </c>
      <c r="O192" s="25" t="str">
        <f aca="false">IF(OR(N192="",$F192=""),"",N192*$F192/1000)</f>
        <v/>
      </c>
      <c r="P192" s="16" t="str">
        <f aca="false">IF(OR($F192="",$G192=""),"",$F192*$G192)</f>
        <v/>
      </c>
      <c r="Q192" s="16" t="str">
        <f aca="false">IF($D192="","",IF($J192&lt;&gt;"",$J192,$C$9))</f>
        <v/>
      </c>
      <c r="R192" s="12" t="str">
        <f aca="false">IF($D192="","",IFERROR(IF(INDEX(Profile!$G$5:$G$304,MATCH($D192,lst_Profil,0))&lt;&gt;"",INDEX(Profile!$G$5:$G$304,MATCH($D192,lst_Profil,0)),$H$4),$H$4))</f>
        <v/>
      </c>
      <c r="S192" s="12" t="str">
        <f aca="false">IF($D192="","",IFERROR(IF(INDEX(Profile!$H$5:$H$304,MATCH($D192,lst_Profil,0))&lt;&gt;"",INDEX(Profile!$H$5:$H$304,MATCH($D192,lst_Profil,0)),$H$5),$H$5))</f>
        <v/>
      </c>
      <c r="T192" s="16" t="str">
        <f aca="false">IF(OR(Q192="",NOT(ISNUMBER(R192)),NOT(ISNUMBER(S192))),"",Q192-R192-S192)</f>
        <v/>
      </c>
      <c r="U192" s="26" t="str">
        <f aca="false">IF(OR($D192="",$E192=""),"",IF(COUNTIFS(Preise!$A$5:$A$304,$D192,Preise!$B$5:$B$304,$E192,Preise!$I$5:$I$304,"OK")&gt;0,"ja","nein"))</f>
        <v/>
      </c>
      <c r="V192" s="15" t="str">
        <f aca="false">IF(OR(M192="",$E192="",$C$8=""),"",IF(_xlfn.MINIFS(Schneiddaten!$C$5:$C$304,Schneiddaten!$A$5:$A$304,$C$8,Schneiddaten!$B$5:$B$304,$E192,Schneiddaten!$C$5:$C$304,"&gt;="&amp;M192)=0,"",SUMIFS(Schneiddaten!$D$5:$D$304,Schneiddaten!$A$5:$A$304,$C$8,Schneiddaten!$B$5:$B$304,$E192,Schneiddaten!$C$5:$C$304,_xlfn.MINIFS(Schneiddaten!$C$5:$C$304,Schneiddaten!$A$5:$A$304,$C$8,Schneiddaten!$B$5:$B$304,$E192,Schneiddaten!$C$5:$C$304,"&gt;="&amp;M192))))</f>
        <v/>
      </c>
      <c r="W192" s="26" t="str">
        <f aca="false">IF(AND($D192="",$E192="",$F192="",$G192=""),"",IF(ISNA(MATCH($D192,lst_Profil,0)),"FEHLER: Profil unbekannt",IF(ISNA(MATCH($E192,lst_Werkstoff,0)),"FEHLER: Werkstoff unbekannt",IF(NOT(ISNUMBER(L192)),"FEHLER: Querschnitt fehlt (Profil)",IF(OR($F192="",$F192&lt;=0),"FEHLER: Teilelänge fehlt",IF(OR($G192="",$G192&lt;1),"FEHLER: Stückzahl fehlt",IF(NOT(ISNUMBER($H$4)),"FEHLER: Maschine fehlt/unbekannt",IF(Q192&gt;$H$7,"FEHLER: Stange länger als Maschine zulässt",IF($F192+$H$6&gt;T192,"FEHLER: Teil länger als Nutzlänge",IF(U192="nein","WARNUNG: kein gültiger Materialpreis",IF($H192="","HINWEIS: Schneidweg fehlt",IF(V192="","HINWEIS: keine Schneiddaten",IF(AND($AF192&lt;&gt;"",$AG192=""),"HINWEIS: Gewinde-Vorschlag prüfen","OK")))))))))))))</f>
        <v/>
      </c>
      <c r="X192" s="18" t="str">
        <f aca="false">IF(OR(O192="",$G192=""),"",O192*$G192)</f>
        <v/>
      </c>
      <c r="Y192" s="10"/>
      <c r="Z192" s="21"/>
      <c r="AA192" s="10"/>
      <c r="AB192" s="21"/>
      <c r="AC192" s="21"/>
      <c r="AD192" s="21"/>
      <c r="AE192" s="10"/>
      <c r="AF192" s="10"/>
      <c r="AG192" s="10"/>
      <c r="AH192" s="22"/>
      <c r="AI192" s="21"/>
      <c r="AJ192" s="22"/>
      <c r="AK192" s="21"/>
      <c r="AL192" s="22"/>
      <c r="AM192" s="21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21"/>
      <c r="G193" s="19"/>
      <c r="H193" s="21"/>
      <c r="I193" s="22"/>
      <c r="J193" s="19"/>
      <c r="K193" s="23" t="str">
        <f aca="false">IF($D193="","",IFERROR(INDEX(Profile!$B$5:$B$304,MATCH($D193,lst_Profil,0)),""))</f>
        <v/>
      </c>
      <c r="L193" s="13" t="str">
        <f aca="false">IF($D193="","",IFERROR(INDEX(Profile!$K$5:$K$304,MATCH($D193,lst_Profil,0))+0,""))</f>
        <v/>
      </c>
      <c r="M193" s="24" t="str">
        <f aca="false">IF($D193="","",IFERROR(INDEX(Profile!$E$5:$E$304,MATCH($D193,lst_Profil,0))+0,""))</f>
        <v/>
      </c>
      <c r="N193" s="25" t="str">
        <f aca="false">IF(OR(L193="",$E193=""),"",IFERROR(L193*INDEX(Werkstoffe!$E$5:$E$304,MATCH($E193,lst_Werkstoff,0))/1000,""))</f>
        <v/>
      </c>
      <c r="O193" s="25" t="str">
        <f aca="false">IF(OR(N193="",$F193=""),"",N193*$F193/1000)</f>
        <v/>
      </c>
      <c r="P193" s="16" t="str">
        <f aca="false">IF(OR($F193="",$G193=""),"",$F193*$G193)</f>
        <v/>
      </c>
      <c r="Q193" s="16" t="str">
        <f aca="false">IF($D193="","",IF($J193&lt;&gt;"",$J193,$C$9))</f>
        <v/>
      </c>
      <c r="R193" s="12" t="str">
        <f aca="false">IF($D193="","",IFERROR(IF(INDEX(Profile!$G$5:$G$304,MATCH($D193,lst_Profil,0))&lt;&gt;"",INDEX(Profile!$G$5:$G$304,MATCH($D193,lst_Profil,0)),$H$4),$H$4))</f>
        <v/>
      </c>
      <c r="S193" s="12" t="str">
        <f aca="false">IF($D193="","",IFERROR(IF(INDEX(Profile!$H$5:$H$304,MATCH($D193,lst_Profil,0))&lt;&gt;"",INDEX(Profile!$H$5:$H$304,MATCH($D193,lst_Profil,0)),$H$5),$H$5))</f>
        <v/>
      </c>
      <c r="T193" s="16" t="str">
        <f aca="false">IF(OR(Q193="",NOT(ISNUMBER(R193)),NOT(ISNUMBER(S193))),"",Q193-R193-S193)</f>
        <v/>
      </c>
      <c r="U193" s="26" t="str">
        <f aca="false">IF(OR($D193="",$E193=""),"",IF(COUNTIFS(Preise!$A$5:$A$304,$D193,Preise!$B$5:$B$304,$E193,Preise!$I$5:$I$304,"OK")&gt;0,"ja","nein"))</f>
        <v/>
      </c>
      <c r="V193" s="15" t="str">
        <f aca="false">IF(OR(M193="",$E193="",$C$8=""),"",IF(_xlfn.MINIFS(Schneiddaten!$C$5:$C$304,Schneiddaten!$A$5:$A$304,$C$8,Schneiddaten!$B$5:$B$304,$E193,Schneiddaten!$C$5:$C$304,"&gt;="&amp;M193)=0,"",SUMIFS(Schneiddaten!$D$5:$D$304,Schneiddaten!$A$5:$A$304,$C$8,Schneiddaten!$B$5:$B$304,$E193,Schneiddaten!$C$5:$C$304,_xlfn.MINIFS(Schneiddaten!$C$5:$C$304,Schneiddaten!$A$5:$A$304,$C$8,Schneiddaten!$B$5:$B$304,$E193,Schneiddaten!$C$5:$C$304,"&gt;="&amp;M193))))</f>
        <v/>
      </c>
      <c r="W193" s="26" t="str">
        <f aca="false">IF(AND($D193="",$E193="",$F193="",$G193=""),"",IF(ISNA(MATCH($D193,lst_Profil,0)),"FEHLER: Profil unbekannt",IF(ISNA(MATCH($E193,lst_Werkstoff,0)),"FEHLER: Werkstoff unbekannt",IF(NOT(ISNUMBER(L193)),"FEHLER: Querschnitt fehlt (Profil)",IF(OR($F193="",$F193&lt;=0),"FEHLER: Teilelänge fehlt",IF(OR($G193="",$G193&lt;1),"FEHLER: Stückzahl fehlt",IF(NOT(ISNUMBER($H$4)),"FEHLER: Maschine fehlt/unbekannt",IF(Q193&gt;$H$7,"FEHLER: Stange länger als Maschine zulässt",IF($F193+$H$6&gt;T193,"FEHLER: Teil länger als Nutzlänge",IF(U193="nein","WARNUNG: kein gültiger Materialpreis",IF($H193="","HINWEIS: Schneidweg fehlt",IF(V193="","HINWEIS: keine Schneiddaten",IF(AND($AF193&lt;&gt;"",$AG193=""),"HINWEIS: Gewinde-Vorschlag prüfen","OK")))))))))))))</f>
        <v/>
      </c>
      <c r="X193" s="18" t="str">
        <f aca="false">IF(OR(O193="",$G193=""),"",O193*$G193)</f>
        <v/>
      </c>
      <c r="Y193" s="10"/>
      <c r="Z193" s="21"/>
      <c r="AA193" s="10"/>
      <c r="AB193" s="21"/>
      <c r="AC193" s="21"/>
      <c r="AD193" s="21"/>
      <c r="AE193" s="10"/>
      <c r="AF193" s="10"/>
      <c r="AG193" s="10"/>
      <c r="AH193" s="22"/>
      <c r="AI193" s="21"/>
      <c r="AJ193" s="22"/>
      <c r="AK193" s="21"/>
      <c r="AL193" s="22"/>
      <c r="AM193" s="21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21"/>
      <c r="G194" s="19"/>
      <c r="H194" s="21"/>
      <c r="I194" s="22"/>
      <c r="J194" s="19"/>
      <c r="K194" s="23" t="str">
        <f aca="false">IF($D194="","",IFERROR(INDEX(Profile!$B$5:$B$304,MATCH($D194,lst_Profil,0)),""))</f>
        <v/>
      </c>
      <c r="L194" s="13" t="str">
        <f aca="false">IF($D194="","",IFERROR(INDEX(Profile!$K$5:$K$304,MATCH($D194,lst_Profil,0))+0,""))</f>
        <v/>
      </c>
      <c r="M194" s="24" t="str">
        <f aca="false">IF($D194="","",IFERROR(INDEX(Profile!$E$5:$E$304,MATCH($D194,lst_Profil,0))+0,""))</f>
        <v/>
      </c>
      <c r="N194" s="25" t="str">
        <f aca="false">IF(OR(L194="",$E194=""),"",IFERROR(L194*INDEX(Werkstoffe!$E$5:$E$304,MATCH($E194,lst_Werkstoff,0))/1000,""))</f>
        <v/>
      </c>
      <c r="O194" s="25" t="str">
        <f aca="false">IF(OR(N194="",$F194=""),"",N194*$F194/1000)</f>
        <v/>
      </c>
      <c r="P194" s="16" t="str">
        <f aca="false">IF(OR($F194="",$G194=""),"",$F194*$G194)</f>
        <v/>
      </c>
      <c r="Q194" s="16" t="str">
        <f aca="false">IF($D194="","",IF($J194&lt;&gt;"",$J194,$C$9))</f>
        <v/>
      </c>
      <c r="R194" s="12" t="str">
        <f aca="false">IF($D194="","",IFERROR(IF(INDEX(Profile!$G$5:$G$304,MATCH($D194,lst_Profil,0))&lt;&gt;"",INDEX(Profile!$G$5:$G$304,MATCH($D194,lst_Profil,0)),$H$4),$H$4))</f>
        <v/>
      </c>
      <c r="S194" s="12" t="str">
        <f aca="false">IF($D194="","",IFERROR(IF(INDEX(Profile!$H$5:$H$304,MATCH($D194,lst_Profil,0))&lt;&gt;"",INDEX(Profile!$H$5:$H$304,MATCH($D194,lst_Profil,0)),$H$5),$H$5))</f>
        <v/>
      </c>
      <c r="T194" s="16" t="str">
        <f aca="false">IF(OR(Q194="",NOT(ISNUMBER(R194)),NOT(ISNUMBER(S194))),"",Q194-R194-S194)</f>
        <v/>
      </c>
      <c r="U194" s="26" t="str">
        <f aca="false">IF(OR($D194="",$E194=""),"",IF(COUNTIFS(Preise!$A$5:$A$304,$D194,Preise!$B$5:$B$304,$E194,Preise!$I$5:$I$304,"OK")&gt;0,"ja","nein"))</f>
        <v/>
      </c>
      <c r="V194" s="15" t="str">
        <f aca="false">IF(OR(M194="",$E194="",$C$8=""),"",IF(_xlfn.MINIFS(Schneiddaten!$C$5:$C$304,Schneiddaten!$A$5:$A$304,$C$8,Schneiddaten!$B$5:$B$304,$E194,Schneiddaten!$C$5:$C$304,"&gt;="&amp;M194)=0,"",SUMIFS(Schneiddaten!$D$5:$D$304,Schneiddaten!$A$5:$A$304,$C$8,Schneiddaten!$B$5:$B$304,$E194,Schneiddaten!$C$5:$C$304,_xlfn.MINIFS(Schneiddaten!$C$5:$C$304,Schneiddaten!$A$5:$A$304,$C$8,Schneiddaten!$B$5:$B$304,$E194,Schneiddaten!$C$5:$C$304,"&gt;="&amp;M194))))</f>
        <v/>
      </c>
      <c r="W194" s="26" t="str">
        <f aca="false">IF(AND($D194="",$E194="",$F194="",$G194=""),"",IF(ISNA(MATCH($D194,lst_Profil,0)),"FEHLER: Profil unbekannt",IF(ISNA(MATCH($E194,lst_Werkstoff,0)),"FEHLER: Werkstoff unbekannt",IF(NOT(ISNUMBER(L194)),"FEHLER: Querschnitt fehlt (Profil)",IF(OR($F194="",$F194&lt;=0),"FEHLER: Teilelänge fehlt",IF(OR($G194="",$G194&lt;1),"FEHLER: Stückzahl fehlt",IF(NOT(ISNUMBER($H$4)),"FEHLER: Maschine fehlt/unbekannt",IF(Q194&gt;$H$7,"FEHLER: Stange länger als Maschine zulässt",IF($F194+$H$6&gt;T194,"FEHLER: Teil länger als Nutzlänge",IF(U194="nein","WARNUNG: kein gültiger Materialpreis",IF($H194="","HINWEIS: Schneidweg fehlt",IF(V194="","HINWEIS: keine Schneiddaten",IF(AND($AF194&lt;&gt;"",$AG194=""),"HINWEIS: Gewinde-Vorschlag prüfen","OK")))))))))))))</f>
        <v/>
      </c>
      <c r="X194" s="18" t="str">
        <f aca="false">IF(OR(O194="",$G194=""),"",O194*$G194)</f>
        <v/>
      </c>
      <c r="Y194" s="10"/>
      <c r="Z194" s="21"/>
      <c r="AA194" s="10"/>
      <c r="AB194" s="21"/>
      <c r="AC194" s="21"/>
      <c r="AD194" s="21"/>
      <c r="AE194" s="10"/>
      <c r="AF194" s="10"/>
      <c r="AG194" s="10"/>
      <c r="AH194" s="22"/>
      <c r="AI194" s="21"/>
      <c r="AJ194" s="22"/>
      <c r="AK194" s="21"/>
      <c r="AL194" s="22"/>
      <c r="AM194" s="21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21"/>
      <c r="G195" s="19"/>
      <c r="H195" s="21"/>
      <c r="I195" s="22"/>
      <c r="J195" s="19"/>
      <c r="K195" s="23" t="str">
        <f aca="false">IF($D195="","",IFERROR(INDEX(Profile!$B$5:$B$304,MATCH($D195,lst_Profil,0)),""))</f>
        <v/>
      </c>
      <c r="L195" s="13" t="str">
        <f aca="false">IF($D195="","",IFERROR(INDEX(Profile!$K$5:$K$304,MATCH($D195,lst_Profil,0))+0,""))</f>
        <v/>
      </c>
      <c r="M195" s="24" t="str">
        <f aca="false">IF($D195="","",IFERROR(INDEX(Profile!$E$5:$E$304,MATCH($D195,lst_Profil,0))+0,""))</f>
        <v/>
      </c>
      <c r="N195" s="25" t="str">
        <f aca="false">IF(OR(L195="",$E195=""),"",IFERROR(L195*INDEX(Werkstoffe!$E$5:$E$304,MATCH($E195,lst_Werkstoff,0))/1000,""))</f>
        <v/>
      </c>
      <c r="O195" s="25" t="str">
        <f aca="false">IF(OR(N195="",$F195=""),"",N195*$F195/1000)</f>
        <v/>
      </c>
      <c r="P195" s="16" t="str">
        <f aca="false">IF(OR($F195="",$G195=""),"",$F195*$G195)</f>
        <v/>
      </c>
      <c r="Q195" s="16" t="str">
        <f aca="false">IF($D195="","",IF($J195&lt;&gt;"",$J195,$C$9))</f>
        <v/>
      </c>
      <c r="R195" s="12" t="str">
        <f aca="false">IF($D195="","",IFERROR(IF(INDEX(Profile!$G$5:$G$304,MATCH($D195,lst_Profil,0))&lt;&gt;"",INDEX(Profile!$G$5:$G$304,MATCH($D195,lst_Profil,0)),$H$4),$H$4))</f>
        <v/>
      </c>
      <c r="S195" s="12" t="str">
        <f aca="false">IF($D195="","",IFERROR(IF(INDEX(Profile!$H$5:$H$304,MATCH($D195,lst_Profil,0))&lt;&gt;"",INDEX(Profile!$H$5:$H$304,MATCH($D195,lst_Profil,0)),$H$5),$H$5))</f>
        <v/>
      </c>
      <c r="T195" s="16" t="str">
        <f aca="false">IF(OR(Q195="",NOT(ISNUMBER(R195)),NOT(ISNUMBER(S195))),"",Q195-R195-S195)</f>
        <v/>
      </c>
      <c r="U195" s="26" t="str">
        <f aca="false">IF(OR($D195="",$E195=""),"",IF(COUNTIFS(Preise!$A$5:$A$304,$D195,Preise!$B$5:$B$304,$E195,Preise!$I$5:$I$304,"OK")&gt;0,"ja","nein"))</f>
        <v/>
      </c>
      <c r="V195" s="15" t="str">
        <f aca="false">IF(OR(M195="",$E195="",$C$8=""),"",IF(_xlfn.MINIFS(Schneiddaten!$C$5:$C$304,Schneiddaten!$A$5:$A$304,$C$8,Schneiddaten!$B$5:$B$304,$E195,Schneiddaten!$C$5:$C$304,"&gt;="&amp;M195)=0,"",SUMIFS(Schneiddaten!$D$5:$D$304,Schneiddaten!$A$5:$A$304,$C$8,Schneiddaten!$B$5:$B$304,$E195,Schneiddaten!$C$5:$C$304,_xlfn.MINIFS(Schneiddaten!$C$5:$C$304,Schneiddaten!$A$5:$A$304,$C$8,Schneiddaten!$B$5:$B$304,$E195,Schneiddaten!$C$5:$C$304,"&gt;="&amp;M195))))</f>
        <v/>
      </c>
      <c r="W195" s="26" t="str">
        <f aca="false">IF(AND($D195="",$E195="",$F195="",$G195=""),"",IF(ISNA(MATCH($D195,lst_Profil,0)),"FEHLER: Profil unbekannt",IF(ISNA(MATCH($E195,lst_Werkstoff,0)),"FEHLER: Werkstoff unbekannt",IF(NOT(ISNUMBER(L195)),"FEHLER: Querschnitt fehlt (Profil)",IF(OR($F195="",$F195&lt;=0),"FEHLER: Teilelänge fehlt",IF(OR($G195="",$G195&lt;1),"FEHLER: Stückzahl fehlt",IF(NOT(ISNUMBER($H$4)),"FEHLER: Maschine fehlt/unbekannt",IF(Q195&gt;$H$7,"FEHLER: Stange länger als Maschine zulässt",IF($F195+$H$6&gt;T195,"FEHLER: Teil länger als Nutzlänge",IF(U195="nein","WARNUNG: kein gültiger Materialpreis",IF($H195="","HINWEIS: Schneidweg fehlt",IF(V195="","HINWEIS: keine Schneiddaten",IF(AND($AF195&lt;&gt;"",$AG195=""),"HINWEIS: Gewinde-Vorschlag prüfen","OK")))))))))))))</f>
        <v/>
      </c>
      <c r="X195" s="18" t="str">
        <f aca="false">IF(OR(O195="",$G195=""),"",O195*$G195)</f>
        <v/>
      </c>
      <c r="Y195" s="10"/>
      <c r="Z195" s="21"/>
      <c r="AA195" s="10"/>
      <c r="AB195" s="21"/>
      <c r="AC195" s="21"/>
      <c r="AD195" s="21"/>
      <c r="AE195" s="10"/>
      <c r="AF195" s="10"/>
      <c r="AG195" s="10"/>
      <c r="AH195" s="22"/>
      <c r="AI195" s="21"/>
      <c r="AJ195" s="22"/>
      <c r="AK195" s="21"/>
      <c r="AL195" s="22"/>
      <c r="AM195" s="21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21"/>
      <c r="G196" s="19"/>
      <c r="H196" s="21"/>
      <c r="I196" s="22"/>
      <c r="J196" s="19"/>
      <c r="K196" s="23" t="str">
        <f aca="false">IF($D196="","",IFERROR(INDEX(Profile!$B$5:$B$304,MATCH($D196,lst_Profil,0)),""))</f>
        <v/>
      </c>
      <c r="L196" s="13" t="str">
        <f aca="false">IF($D196="","",IFERROR(INDEX(Profile!$K$5:$K$304,MATCH($D196,lst_Profil,0))+0,""))</f>
        <v/>
      </c>
      <c r="M196" s="24" t="str">
        <f aca="false">IF($D196="","",IFERROR(INDEX(Profile!$E$5:$E$304,MATCH($D196,lst_Profil,0))+0,""))</f>
        <v/>
      </c>
      <c r="N196" s="25" t="str">
        <f aca="false">IF(OR(L196="",$E196=""),"",IFERROR(L196*INDEX(Werkstoffe!$E$5:$E$304,MATCH($E196,lst_Werkstoff,0))/1000,""))</f>
        <v/>
      </c>
      <c r="O196" s="25" t="str">
        <f aca="false">IF(OR(N196="",$F196=""),"",N196*$F196/1000)</f>
        <v/>
      </c>
      <c r="P196" s="16" t="str">
        <f aca="false">IF(OR($F196="",$G196=""),"",$F196*$G196)</f>
        <v/>
      </c>
      <c r="Q196" s="16" t="str">
        <f aca="false">IF($D196="","",IF($J196&lt;&gt;"",$J196,$C$9))</f>
        <v/>
      </c>
      <c r="R196" s="12" t="str">
        <f aca="false">IF($D196="","",IFERROR(IF(INDEX(Profile!$G$5:$G$304,MATCH($D196,lst_Profil,0))&lt;&gt;"",INDEX(Profile!$G$5:$G$304,MATCH($D196,lst_Profil,0)),$H$4),$H$4))</f>
        <v/>
      </c>
      <c r="S196" s="12" t="str">
        <f aca="false">IF($D196="","",IFERROR(IF(INDEX(Profile!$H$5:$H$304,MATCH($D196,lst_Profil,0))&lt;&gt;"",INDEX(Profile!$H$5:$H$304,MATCH($D196,lst_Profil,0)),$H$5),$H$5))</f>
        <v/>
      </c>
      <c r="T196" s="16" t="str">
        <f aca="false">IF(OR(Q196="",NOT(ISNUMBER(R196)),NOT(ISNUMBER(S196))),"",Q196-R196-S196)</f>
        <v/>
      </c>
      <c r="U196" s="26" t="str">
        <f aca="false">IF(OR($D196="",$E196=""),"",IF(COUNTIFS(Preise!$A$5:$A$304,$D196,Preise!$B$5:$B$304,$E196,Preise!$I$5:$I$304,"OK")&gt;0,"ja","nein"))</f>
        <v/>
      </c>
      <c r="V196" s="15" t="str">
        <f aca="false">IF(OR(M196="",$E196="",$C$8=""),"",IF(_xlfn.MINIFS(Schneiddaten!$C$5:$C$304,Schneiddaten!$A$5:$A$304,$C$8,Schneiddaten!$B$5:$B$304,$E196,Schneiddaten!$C$5:$C$304,"&gt;="&amp;M196)=0,"",SUMIFS(Schneiddaten!$D$5:$D$304,Schneiddaten!$A$5:$A$304,$C$8,Schneiddaten!$B$5:$B$304,$E196,Schneiddaten!$C$5:$C$304,_xlfn.MINIFS(Schneiddaten!$C$5:$C$304,Schneiddaten!$A$5:$A$304,$C$8,Schneiddaten!$B$5:$B$304,$E196,Schneiddaten!$C$5:$C$304,"&gt;="&amp;M196))))</f>
        <v/>
      </c>
      <c r="W196" s="26" t="str">
        <f aca="false">IF(AND($D196="",$E196="",$F196="",$G196=""),"",IF(ISNA(MATCH($D196,lst_Profil,0)),"FEHLER: Profil unbekannt",IF(ISNA(MATCH($E196,lst_Werkstoff,0)),"FEHLER: Werkstoff unbekannt",IF(NOT(ISNUMBER(L196)),"FEHLER: Querschnitt fehlt (Profil)",IF(OR($F196="",$F196&lt;=0),"FEHLER: Teilelänge fehlt",IF(OR($G196="",$G196&lt;1),"FEHLER: Stückzahl fehlt",IF(NOT(ISNUMBER($H$4)),"FEHLER: Maschine fehlt/unbekannt",IF(Q196&gt;$H$7,"FEHLER: Stange länger als Maschine zulässt",IF($F196+$H$6&gt;T196,"FEHLER: Teil länger als Nutzlänge",IF(U196="nein","WARNUNG: kein gültiger Materialpreis",IF($H196="","HINWEIS: Schneidweg fehlt",IF(V196="","HINWEIS: keine Schneiddaten",IF(AND($AF196&lt;&gt;"",$AG196=""),"HINWEIS: Gewinde-Vorschlag prüfen","OK")))))))))))))</f>
        <v/>
      </c>
      <c r="X196" s="18" t="str">
        <f aca="false">IF(OR(O196="",$G196=""),"",O196*$G196)</f>
        <v/>
      </c>
      <c r="Y196" s="10"/>
      <c r="Z196" s="21"/>
      <c r="AA196" s="10"/>
      <c r="AB196" s="21"/>
      <c r="AC196" s="21"/>
      <c r="AD196" s="21"/>
      <c r="AE196" s="10"/>
      <c r="AF196" s="10"/>
      <c r="AG196" s="10"/>
      <c r="AH196" s="22"/>
      <c r="AI196" s="21"/>
      <c r="AJ196" s="22"/>
      <c r="AK196" s="21"/>
      <c r="AL196" s="22"/>
      <c r="AM196" s="21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21"/>
      <c r="G197" s="19"/>
      <c r="H197" s="21"/>
      <c r="I197" s="22"/>
      <c r="J197" s="19"/>
      <c r="K197" s="23" t="str">
        <f aca="false">IF($D197="","",IFERROR(INDEX(Profile!$B$5:$B$304,MATCH($D197,lst_Profil,0)),""))</f>
        <v/>
      </c>
      <c r="L197" s="13" t="str">
        <f aca="false">IF($D197="","",IFERROR(INDEX(Profile!$K$5:$K$304,MATCH($D197,lst_Profil,0))+0,""))</f>
        <v/>
      </c>
      <c r="M197" s="24" t="str">
        <f aca="false">IF($D197="","",IFERROR(INDEX(Profile!$E$5:$E$304,MATCH($D197,lst_Profil,0))+0,""))</f>
        <v/>
      </c>
      <c r="N197" s="25" t="str">
        <f aca="false">IF(OR(L197="",$E197=""),"",IFERROR(L197*INDEX(Werkstoffe!$E$5:$E$304,MATCH($E197,lst_Werkstoff,0))/1000,""))</f>
        <v/>
      </c>
      <c r="O197" s="25" t="str">
        <f aca="false">IF(OR(N197="",$F197=""),"",N197*$F197/1000)</f>
        <v/>
      </c>
      <c r="P197" s="16" t="str">
        <f aca="false">IF(OR($F197="",$G197=""),"",$F197*$G197)</f>
        <v/>
      </c>
      <c r="Q197" s="16" t="str">
        <f aca="false">IF($D197="","",IF($J197&lt;&gt;"",$J197,$C$9))</f>
        <v/>
      </c>
      <c r="R197" s="12" t="str">
        <f aca="false">IF($D197="","",IFERROR(IF(INDEX(Profile!$G$5:$G$304,MATCH($D197,lst_Profil,0))&lt;&gt;"",INDEX(Profile!$G$5:$G$304,MATCH($D197,lst_Profil,0)),$H$4),$H$4))</f>
        <v/>
      </c>
      <c r="S197" s="12" t="str">
        <f aca="false">IF($D197="","",IFERROR(IF(INDEX(Profile!$H$5:$H$304,MATCH($D197,lst_Profil,0))&lt;&gt;"",INDEX(Profile!$H$5:$H$304,MATCH($D197,lst_Profil,0)),$H$5),$H$5))</f>
        <v/>
      </c>
      <c r="T197" s="16" t="str">
        <f aca="false">IF(OR(Q197="",NOT(ISNUMBER(R197)),NOT(ISNUMBER(S197))),"",Q197-R197-S197)</f>
        <v/>
      </c>
      <c r="U197" s="26" t="str">
        <f aca="false">IF(OR($D197="",$E197=""),"",IF(COUNTIFS(Preise!$A$5:$A$304,$D197,Preise!$B$5:$B$304,$E197,Preise!$I$5:$I$304,"OK")&gt;0,"ja","nein"))</f>
        <v/>
      </c>
      <c r="V197" s="15" t="str">
        <f aca="false">IF(OR(M197="",$E197="",$C$8=""),"",IF(_xlfn.MINIFS(Schneiddaten!$C$5:$C$304,Schneiddaten!$A$5:$A$304,$C$8,Schneiddaten!$B$5:$B$304,$E197,Schneiddaten!$C$5:$C$304,"&gt;="&amp;M197)=0,"",SUMIFS(Schneiddaten!$D$5:$D$304,Schneiddaten!$A$5:$A$304,$C$8,Schneiddaten!$B$5:$B$304,$E197,Schneiddaten!$C$5:$C$304,_xlfn.MINIFS(Schneiddaten!$C$5:$C$304,Schneiddaten!$A$5:$A$304,$C$8,Schneiddaten!$B$5:$B$304,$E197,Schneiddaten!$C$5:$C$304,"&gt;="&amp;M197))))</f>
        <v/>
      </c>
      <c r="W197" s="26" t="str">
        <f aca="false">IF(AND($D197="",$E197="",$F197="",$G197=""),"",IF(ISNA(MATCH($D197,lst_Profil,0)),"FEHLER: Profil unbekannt",IF(ISNA(MATCH($E197,lst_Werkstoff,0)),"FEHLER: Werkstoff unbekannt",IF(NOT(ISNUMBER(L197)),"FEHLER: Querschnitt fehlt (Profil)",IF(OR($F197="",$F197&lt;=0),"FEHLER: Teilelänge fehlt",IF(OR($G197="",$G197&lt;1),"FEHLER: Stückzahl fehlt",IF(NOT(ISNUMBER($H$4)),"FEHLER: Maschine fehlt/unbekannt",IF(Q197&gt;$H$7,"FEHLER: Stange länger als Maschine zulässt",IF($F197+$H$6&gt;T197,"FEHLER: Teil länger als Nutzlänge",IF(U197="nein","WARNUNG: kein gültiger Materialpreis",IF($H197="","HINWEIS: Schneidweg fehlt",IF(V197="","HINWEIS: keine Schneiddaten",IF(AND($AF197&lt;&gt;"",$AG197=""),"HINWEIS: Gewinde-Vorschlag prüfen","OK")))))))))))))</f>
        <v/>
      </c>
      <c r="X197" s="18" t="str">
        <f aca="false">IF(OR(O197="",$G197=""),"",O197*$G197)</f>
        <v/>
      </c>
      <c r="Y197" s="10"/>
      <c r="Z197" s="21"/>
      <c r="AA197" s="10"/>
      <c r="AB197" s="21"/>
      <c r="AC197" s="21"/>
      <c r="AD197" s="21"/>
      <c r="AE197" s="10"/>
      <c r="AF197" s="10"/>
      <c r="AG197" s="10"/>
      <c r="AH197" s="22"/>
      <c r="AI197" s="21"/>
      <c r="AJ197" s="22"/>
      <c r="AK197" s="21"/>
      <c r="AL197" s="22"/>
      <c r="AM197" s="21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21"/>
      <c r="G198" s="19"/>
      <c r="H198" s="21"/>
      <c r="I198" s="22"/>
      <c r="J198" s="19"/>
      <c r="K198" s="23" t="str">
        <f aca="false">IF($D198="","",IFERROR(INDEX(Profile!$B$5:$B$304,MATCH($D198,lst_Profil,0)),""))</f>
        <v/>
      </c>
      <c r="L198" s="13" t="str">
        <f aca="false">IF($D198="","",IFERROR(INDEX(Profile!$K$5:$K$304,MATCH($D198,lst_Profil,0))+0,""))</f>
        <v/>
      </c>
      <c r="M198" s="24" t="str">
        <f aca="false">IF($D198="","",IFERROR(INDEX(Profile!$E$5:$E$304,MATCH($D198,lst_Profil,0))+0,""))</f>
        <v/>
      </c>
      <c r="N198" s="25" t="str">
        <f aca="false">IF(OR(L198="",$E198=""),"",IFERROR(L198*INDEX(Werkstoffe!$E$5:$E$304,MATCH($E198,lst_Werkstoff,0))/1000,""))</f>
        <v/>
      </c>
      <c r="O198" s="25" t="str">
        <f aca="false">IF(OR(N198="",$F198=""),"",N198*$F198/1000)</f>
        <v/>
      </c>
      <c r="P198" s="16" t="str">
        <f aca="false">IF(OR($F198="",$G198=""),"",$F198*$G198)</f>
        <v/>
      </c>
      <c r="Q198" s="16" t="str">
        <f aca="false">IF($D198="","",IF($J198&lt;&gt;"",$J198,$C$9))</f>
        <v/>
      </c>
      <c r="R198" s="12" t="str">
        <f aca="false">IF($D198="","",IFERROR(IF(INDEX(Profile!$G$5:$G$304,MATCH($D198,lst_Profil,0))&lt;&gt;"",INDEX(Profile!$G$5:$G$304,MATCH($D198,lst_Profil,0)),$H$4),$H$4))</f>
        <v/>
      </c>
      <c r="S198" s="12" t="str">
        <f aca="false">IF($D198="","",IFERROR(IF(INDEX(Profile!$H$5:$H$304,MATCH($D198,lst_Profil,0))&lt;&gt;"",INDEX(Profile!$H$5:$H$304,MATCH($D198,lst_Profil,0)),$H$5),$H$5))</f>
        <v/>
      </c>
      <c r="T198" s="16" t="str">
        <f aca="false">IF(OR(Q198="",NOT(ISNUMBER(R198)),NOT(ISNUMBER(S198))),"",Q198-R198-S198)</f>
        <v/>
      </c>
      <c r="U198" s="26" t="str">
        <f aca="false">IF(OR($D198="",$E198=""),"",IF(COUNTIFS(Preise!$A$5:$A$304,$D198,Preise!$B$5:$B$304,$E198,Preise!$I$5:$I$304,"OK")&gt;0,"ja","nein"))</f>
        <v/>
      </c>
      <c r="V198" s="15" t="str">
        <f aca="false">IF(OR(M198="",$E198="",$C$8=""),"",IF(_xlfn.MINIFS(Schneiddaten!$C$5:$C$304,Schneiddaten!$A$5:$A$304,$C$8,Schneiddaten!$B$5:$B$304,$E198,Schneiddaten!$C$5:$C$304,"&gt;="&amp;M198)=0,"",SUMIFS(Schneiddaten!$D$5:$D$304,Schneiddaten!$A$5:$A$304,$C$8,Schneiddaten!$B$5:$B$304,$E198,Schneiddaten!$C$5:$C$304,_xlfn.MINIFS(Schneiddaten!$C$5:$C$304,Schneiddaten!$A$5:$A$304,$C$8,Schneiddaten!$B$5:$B$304,$E198,Schneiddaten!$C$5:$C$304,"&gt;="&amp;M198))))</f>
        <v/>
      </c>
      <c r="W198" s="26" t="str">
        <f aca="false">IF(AND($D198="",$E198="",$F198="",$G198=""),"",IF(ISNA(MATCH($D198,lst_Profil,0)),"FEHLER: Profil unbekannt",IF(ISNA(MATCH($E198,lst_Werkstoff,0)),"FEHLER: Werkstoff unbekannt",IF(NOT(ISNUMBER(L198)),"FEHLER: Querschnitt fehlt (Profil)",IF(OR($F198="",$F198&lt;=0),"FEHLER: Teilelänge fehlt",IF(OR($G198="",$G198&lt;1),"FEHLER: Stückzahl fehlt",IF(NOT(ISNUMBER($H$4)),"FEHLER: Maschine fehlt/unbekannt",IF(Q198&gt;$H$7,"FEHLER: Stange länger als Maschine zulässt",IF($F198+$H$6&gt;T198,"FEHLER: Teil länger als Nutzlänge",IF(U198="nein","WARNUNG: kein gültiger Materialpreis",IF($H198="","HINWEIS: Schneidweg fehlt",IF(V198="","HINWEIS: keine Schneiddaten",IF(AND($AF198&lt;&gt;"",$AG198=""),"HINWEIS: Gewinde-Vorschlag prüfen","OK")))))))))))))</f>
        <v/>
      </c>
      <c r="X198" s="18" t="str">
        <f aca="false">IF(OR(O198="",$G198=""),"",O198*$G198)</f>
        <v/>
      </c>
      <c r="Y198" s="10"/>
      <c r="Z198" s="21"/>
      <c r="AA198" s="10"/>
      <c r="AB198" s="21"/>
      <c r="AC198" s="21"/>
      <c r="AD198" s="21"/>
      <c r="AE198" s="10"/>
      <c r="AF198" s="10"/>
      <c r="AG198" s="10"/>
      <c r="AH198" s="22"/>
      <c r="AI198" s="21"/>
      <c r="AJ198" s="22"/>
      <c r="AK198" s="21"/>
      <c r="AL198" s="22"/>
      <c r="AM198" s="21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21"/>
      <c r="G199" s="19"/>
      <c r="H199" s="21"/>
      <c r="I199" s="22"/>
      <c r="J199" s="19"/>
      <c r="K199" s="23" t="str">
        <f aca="false">IF($D199="","",IFERROR(INDEX(Profile!$B$5:$B$304,MATCH($D199,lst_Profil,0)),""))</f>
        <v/>
      </c>
      <c r="L199" s="13" t="str">
        <f aca="false">IF($D199="","",IFERROR(INDEX(Profile!$K$5:$K$304,MATCH($D199,lst_Profil,0))+0,""))</f>
        <v/>
      </c>
      <c r="M199" s="24" t="str">
        <f aca="false">IF($D199="","",IFERROR(INDEX(Profile!$E$5:$E$304,MATCH($D199,lst_Profil,0))+0,""))</f>
        <v/>
      </c>
      <c r="N199" s="25" t="str">
        <f aca="false">IF(OR(L199="",$E199=""),"",IFERROR(L199*INDEX(Werkstoffe!$E$5:$E$304,MATCH($E199,lst_Werkstoff,0))/1000,""))</f>
        <v/>
      </c>
      <c r="O199" s="25" t="str">
        <f aca="false">IF(OR(N199="",$F199=""),"",N199*$F199/1000)</f>
        <v/>
      </c>
      <c r="P199" s="16" t="str">
        <f aca="false">IF(OR($F199="",$G199=""),"",$F199*$G199)</f>
        <v/>
      </c>
      <c r="Q199" s="16" t="str">
        <f aca="false">IF($D199="","",IF($J199&lt;&gt;"",$J199,$C$9))</f>
        <v/>
      </c>
      <c r="R199" s="12" t="str">
        <f aca="false">IF($D199="","",IFERROR(IF(INDEX(Profile!$G$5:$G$304,MATCH($D199,lst_Profil,0))&lt;&gt;"",INDEX(Profile!$G$5:$G$304,MATCH($D199,lst_Profil,0)),$H$4),$H$4))</f>
        <v/>
      </c>
      <c r="S199" s="12" t="str">
        <f aca="false">IF($D199="","",IFERROR(IF(INDEX(Profile!$H$5:$H$304,MATCH($D199,lst_Profil,0))&lt;&gt;"",INDEX(Profile!$H$5:$H$304,MATCH($D199,lst_Profil,0)),$H$5),$H$5))</f>
        <v/>
      </c>
      <c r="T199" s="16" t="str">
        <f aca="false">IF(OR(Q199="",NOT(ISNUMBER(R199)),NOT(ISNUMBER(S199))),"",Q199-R199-S199)</f>
        <v/>
      </c>
      <c r="U199" s="26" t="str">
        <f aca="false">IF(OR($D199="",$E199=""),"",IF(COUNTIFS(Preise!$A$5:$A$304,$D199,Preise!$B$5:$B$304,$E199,Preise!$I$5:$I$304,"OK")&gt;0,"ja","nein"))</f>
        <v/>
      </c>
      <c r="V199" s="15" t="str">
        <f aca="false">IF(OR(M199="",$E199="",$C$8=""),"",IF(_xlfn.MINIFS(Schneiddaten!$C$5:$C$304,Schneiddaten!$A$5:$A$304,$C$8,Schneiddaten!$B$5:$B$304,$E199,Schneiddaten!$C$5:$C$304,"&gt;="&amp;M199)=0,"",SUMIFS(Schneiddaten!$D$5:$D$304,Schneiddaten!$A$5:$A$304,$C$8,Schneiddaten!$B$5:$B$304,$E199,Schneiddaten!$C$5:$C$304,_xlfn.MINIFS(Schneiddaten!$C$5:$C$304,Schneiddaten!$A$5:$A$304,$C$8,Schneiddaten!$B$5:$B$304,$E199,Schneiddaten!$C$5:$C$304,"&gt;="&amp;M199))))</f>
        <v/>
      </c>
      <c r="W199" s="26" t="str">
        <f aca="false">IF(AND($D199="",$E199="",$F199="",$G199=""),"",IF(ISNA(MATCH($D199,lst_Profil,0)),"FEHLER: Profil unbekannt",IF(ISNA(MATCH($E199,lst_Werkstoff,0)),"FEHLER: Werkstoff unbekannt",IF(NOT(ISNUMBER(L199)),"FEHLER: Querschnitt fehlt (Profil)",IF(OR($F199="",$F199&lt;=0),"FEHLER: Teilelänge fehlt",IF(OR($G199="",$G199&lt;1),"FEHLER: Stückzahl fehlt",IF(NOT(ISNUMBER($H$4)),"FEHLER: Maschine fehlt/unbekannt",IF(Q199&gt;$H$7,"FEHLER: Stange länger als Maschine zulässt",IF($F199+$H$6&gt;T199,"FEHLER: Teil länger als Nutzlänge",IF(U199="nein","WARNUNG: kein gültiger Materialpreis",IF($H199="","HINWEIS: Schneidweg fehlt",IF(V199="","HINWEIS: keine Schneiddaten",IF(AND($AF199&lt;&gt;"",$AG199=""),"HINWEIS: Gewinde-Vorschlag prüfen","OK")))))))))))))</f>
        <v/>
      </c>
      <c r="X199" s="18" t="str">
        <f aca="false">IF(OR(O199="",$G199=""),"",O199*$G199)</f>
        <v/>
      </c>
      <c r="Y199" s="10"/>
      <c r="Z199" s="21"/>
      <c r="AA199" s="10"/>
      <c r="AB199" s="21"/>
      <c r="AC199" s="21"/>
      <c r="AD199" s="21"/>
      <c r="AE199" s="10"/>
      <c r="AF199" s="10"/>
      <c r="AG199" s="10"/>
      <c r="AH199" s="22"/>
      <c r="AI199" s="21"/>
      <c r="AJ199" s="22"/>
      <c r="AK199" s="21"/>
      <c r="AL199" s="22"/>
      <c r="AM199" s="21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21"/>
      <c r="G200" s="19"/>
      <c r="H200" s="21"/>
      <c r="I200" s="22"/>
      <c r="J200" s="19"/>
      <c r="K200" s="23" t="str">
        <f aca="false">IF($D200="","",IFERROR(INDEX(Profile!$B$5:$B$304,MATCH($D200,lst_Profil,0)),""))</f>
        <v/>
      </c>
      <c r="L200" s="13" t="str">
        <f aca="false">IF($D200="","",IFERROR(INDEX(Profile!$K$5:$K$304,MATCH($D200,lst_Profil,0))+0,""))</f>
        <v/>
      </c>
      <c r="M200" s="24" t="str">
        <f aca="false">IF($D200="","",IFERROR(INDEX(Profile!$E$5:$E$304,MATCH($D200,lst_Profil,0))+0,""))</f>
        <v/>
      </c>
      <c r="N200" s="25" t="str">
        <f aca="false">IF(OR(L200="",$E200=""),"",IFERROR(L200*INDEX(Werkstoffe!$E$5:$E$304,MATCH($E200,lst_Werkstoff,0))/1000,""))</f>
        <v/>
      </c>
      <c r="O200" s="25" t="str">
        <f aca="false">IF(OR(N200="",$F200=""),"",N200*$F200/1000)</f>
        <v/>
      </c>
      <c r="P200" s="16" t="str">
        <f aca="false">IF(OR($F200="",$G200=""),"",$F200*$G200)</f>
        <v/>
      </c>
      <c r="Q200" s="16" t="str">
        <f aca="false">IF($D200="","",IF($J200&lt;&gt;"",$J200,$C$9))</f>
        <v/>
      </c>
      <c r="R200" s="12" t="str">
        <f aca="false">IF($D200="","",IFERROR(IF(INDEX(Profile!$G$5:$G$304,MATCH($D200,lst_Profil,0))&lt;&gt;"",INDEX(Profile!$G$5:$G$304,MATCH($D200,lst_Profil,0)),$H$4),$H$4))</f>
        <v/>
      </c>
      <c r="S200" s="12" t="str">
        <f aca="false">IF($D200="","",IFERROR(IF(INDEX(Profile!$H$5:$H$304,MATCH($D200,lst_Profil,0))&lt;&gt;"",INDEX(Profile!$H$5:$H$304,MATCH($D200,lst_Profil,0)),$H$5),$H$5))</f>
        <v/>
      </c>
      <c r="T200" s="16" t="str">
        <f aca="false">IF(OR(Q200="",NOT(ISNUMBER(R200)),NOT(ISNUMBER(S200))),"",Q200-R200-S200)</f>
        <v/>
      </c>
      <c r="U200" s="26" t="str">
        <f aca="false">IF(OR($D200="",$E200=""),"",IF(COUNTIFS(Preise!$A$5:$A$304,$D200,Preise!$B$5:$B$304,$E200,Preise!$I$5:$I$304,"OK")&gt;0,"ja","nein"))</f>
        <v/>
      </c>
      <c r="V200" s="15" t="str">
        <f aca="false">IF(OR(M200="",$E200="",$C$8=""),"",IF(_xlfn.MINIFS(Schneiddaten!$C$5:$C$304,Schneiddaten!$A$5:$A$304,$C$8,Schneiddaten!$B$5:$B$304,$E200,Schneiddaten!$C$5:$C$304,"&gt;="&amp;M200)=0,"",SUMIFS(Schneiddaten!$D$5:$D$304,Schneiddaten!$A$5:$A$304,$C$8,Schneiddaten!$B$5:$B$304,$E200,Schneiddaten!$C$5:$C$304,_xlfn.MINIFS(Schneiddaten!$C$5:$C$304,Schneiddaten!$A$5:$A$304,$C$8,Schneiddaten!$B$5:$B$304,$E200,Schneiddaten!$C$5:$C$304,"&gt;="&amp;M200))))</f>
        <v/>
      </c>
      <c r="W200" s="26" t="str">
        <f aca="false">IF(AND($D200="",$E200="",$F200="",$G200=""),"",IF(ISNA(MATCH($D200,lst_Profil,0)),"FEHLER: Profil unbekannt",IF(ISNA(MATCH($E200,lst_Werkstoff,0)),"FEHLER: Werkstoff unbekannt",IF(NOT(ISNUMBER(L200)),"FEHLER: Querschnitt fehlt (Profil)",IF(OR($F200="",$F200&lt;=0),"FEHLER: Teilelänge fehlt",IF(OR($G200="",$G200&lt;1),"FEHLER: Stückzahl fehlt",IF(NOT(ISNUMBER($H$4)),"FEHLER: Maschine fehlt/unbekannt",IF(Q200&gt;$H$7,"FEHLER: Stange länger als Maschine zulässt",IF($F200+$H$6&gt;T200,"FEHLER: Teil länger als Nutzlänge",IF(U200="nein","WARNUNG: kein gültiger Materialpreis",IF($H200="","HINWEIS: Schneidweg fehlt",IF(V200="","HINWEIS: keine Schneiddaten",IF(AND($AF200&lt;&gt;"",$AG200=""),"HINWEIS: Gewinde-Vorschlag prüfen","OK")))))))))))))</f>
        <v/>
      </c>
      <c r="X200" s="18" t="str">
        <f aca="false">IF(OR(O200="",$G200=""),"",O200*$G200)</f>
        <v/>
      </c>
      <c r="Y200" s="10"/>
      <c r="Z200" s="21"/>
      <c r="AA200" s="10"/>
      <c r="AB200" s="21"/>
      <c r="AC200" s="21"/>
      <c r="AD200" s="21"/>
      <c r="AE200" s="10"/>
      <c r="AF200" s="10"/>
      <c r="AG200" s="10"/>
      <c r="AH200" s="22"/>
      <c r="AI200" s="21"/>
      <c r="AJ200" s="22"/>
      <c r="AK200" s="21"/>
      <c r="AL200" s="22"/>
      <c r="AM200" s="21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21"/>
      <c r="G201" s="19"/>
      <c r="H201" s="21"/>
      <c r="I201" s="22"/>
      <c r="J201" s="19"/>
      <c r="K201" s="23" t="str">
        <f aca="false">IF($D201="","",IFERROR(INDEX(Profile!$B$5:$B$304,MATCH($D201,lst_Profil,0)),""))</f>
        <v/>
      </c>
      <c r="L201" s="13" t="str">
        <f aca="false">IF($D201="","",IFERROR(INDEX(Profile!$K$5:$K$304,MATCH($D201,lst_Profil,0))+0,""))</f>
        <v/>
      </c>
      <c r="M201" s="24" t="str">
        <f aca="false">IF($D201="","",IFERROR(INDEX(Profile!$E$5:$E$304,MATCH($D201,lst_Profil,0))+0,""))</f>
        <v/>
      </c>
      <c r="N201" s="25" t="str">
        <f aca="false">IF(OR(L201="",$E201=""),"",IFERROR(L201*INDEX(Werkstoffe!$E$5:$E$304,MATCH($E201,lst_Werkstoff,0))/1000,""))</f>
        <v/>
      </c>
      <c r="O201" s="25" t="str">
        <f aca="false">IF(OR(N201="",$F201=""),"",N201*$F201/1000)</f>
        <v/>
      </c>
      <c r="P201" s="16" t="str">
        <f aca="false">IF(OR($F201="",$G201=""),"",$F201*$G201)</f>
        <v/>
      </c>
      <c r="Q201" s="16" t="str">
        <f aca="false">IF($D201="","",IF($J201&lt;&gt;"",$J201,$C$9))</f>
        <v/>
      </c>
      <c r="R201" s="12" t="str">
        <f aca="false">IF($D201="","",IFERROR(IF(INDEX(Profile!$G$5:$G$304,MATCH($D201,lst_Profil,0))&lt;&gt;"",INDEX(Profile!$G$5:$G$304,MATCH($D201,lst_Profil,0)),$H$4),$H$4))</f>
        <v/>
      </c>
      <c r="S201" s="12" t="str">
        <f aca="false">IF($D201="","",IFERROR(IF(INDEX(Profile!$H$5:$H$304,MATCH($D201,lst_Profil,0))&lt;&gt;"",INDEX(Profile!$H$5:$H$304,MATCH($D201,lst_Profil,0)),$H$5),$H$5))</f>
        <v/>
      </c>
      <c r="T201" s="16" t="str">
        <f aca="false">IF(OR(Q201="",NOT(ISNUMBER(R201)),NOT(ISNUMBER(S201))),"",Q201-R201-S201)</f>
        <v/>
      </c>
      <c r="U201" s="26" t="str">
        <f aca="false">IF(OR($D201="",$E201=""),"",IF(COUNTIFS(Preise!$A$5:$A$304,$D201,Preise!$B$5:$B$304,$E201,Preise!$I$5:$I$304,"OK")&gt;0,"ja","nein"))</f>
        <v/>
      </c>
      <c r="V201" s="15" t="str">
        <f aca="false">IF(OR(M201="",$E201="",$C$8=""),"",IF(_xlfn.MINIFS(Schneiddaten!$C$5:$C$304,Schneiddaten!$A$5:$A$304,$C$8,Schneiddaten!$B$5:$B$304,$E201,Schneiddaten!$C$5:$C$304,"&gt;="&amp;M201)=0,"",SUMIFS(Schneiddaten!$D$5:$D$304,Schneiddaten!$A$5:$A$304,$C$8,Schneiddaten!$B$5:$B$304,$E201,Schneiddaten!$C$5:$C$304,_xlfn.MINIFS(Schneiddaten!$C$5:$C$304,Schneiddaten!$A$5:$A$304,$C$8,Schneiddaten!$B$5:$B$304,$E201,Schneiddaten!$C$5:$C$304,"&gt;="&amp;M201))))</f>
        <v/>
      </c>
      <c r="W201" s="26" t="str">
        <f aca="false">IF(AND($D201="",$E201="",$F201="",$G201=""),"",IF(ISNA(MATCH($D201,lst_Profil,0)),"FEHLER: Profil unbekannt",IF(ISNA(MATCH($E201,lst_Werkstoff,0)),"FEHLER: Werkstoff unbekannt",IF(NOT(ISNUMBER(L201)),"FEHLER: Querschnitt fehlt (Profil)",IF(OR($F201="",$F201&lt;=0),"FEHLER: Teilelänge fehlt",IF(OR($G201="",$G201&lt;1),"FEHLER: Stückzahl fehlt",IF(NOT(ISNUMBER($H$4)),"FEHLER: Maschine fehlt/unbekannt",IF(Q201&gt;$H$7,"FEHLER: Stange länger als Maschine zulässt",IF($F201+$H$6&gt;T201,"FEHLER: Teil länger als Nutzlänge",IF(U201="nein","WARNUNG: kein gültiger Materialpreis",IF($H201="","HINWEIS: Schneidweg fehlt",IF(V201="","HINWEIS: keine Schneiddaten",IF(AND($AF201&lt;&gt;"",$AG201=""),"HINWEIS: Gewinde-Vorschlag prüfen","OK")))))))))))))</f>
        <v/>
      </c>
      <c r="X201" s="18" t="str">
        <f aca="false">IF(OR(O201="",$G201=""),"",O201*$G201)</f>
        <v/>
      </c>
      <c r="Y201" s="10"/>
      <c r="Z201" s="21"/>
      <c r="AA201" s="10"/>
      <c r="AB201" s="21"/>
      <c r="AC201" s="21"/>
      <c r="AD201" s="21"/>
      <c r="AE201" s="10"/>
      <c r="AF201" s="10"/>
      <c r="AG201" s="10"/>
      <c r="AH201" s="22"/>
      <c r="AI201" s="21"/>
      <c r="AJ201" s="22"/>
      <c r="AK201" s="21"/>
      <c r="AL201" s="22"/>
      <c r="AM201" s="21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21"/>
      <c r="G202" s="19"/>
      <c r="H202" s="21"/>
      <c r="I202" s="22"/>
      <c r="J202" s="19"/>
      <c r="K202" s="23" t="str">
        <f aca="false">IF($D202="","",IFERROR(INDEX(Profile!$B$5:$B$304,MATCH($D202,lst_Profil,0)),""))</f>
        <v/>
      </c>
      <c r="L202" s="13" t="str">
        <f aca="false">IF($D202="","",IFERROR(INDEX(Profile!$K$5:$K$304,MATCH($D202,lst_Profil,0))+0,""))</f>
        <v/>
      </c>
      <c r="M202" s="24" t="str">
        <f aca="false">IF($D202="","",IFERROR(INDEX(Profile!$E$5:$E$304,MATCH($D202,lst_Profil,0))+0,""))</f>
        <v/>
      </c>
      <c r="N202" s="25" t="str">
        <f aca="false">IF(OR(L202="",$E202=""),"",IFERROR(L202*INDEX(Werkstoffe!$E$5:$E$304,MATCH($E202,lst_Werkstoff,0))/1000,""))</f>
        <v/>
      </c>
      <c r="O202" s="25" t="str">
        <f aca="false">IF(OR(N202="",$F202=""),"",N202*$F202/1000)</f>
        <v/>
      </c>
      <c r="P202" s="16" t="str">
        <f aca="false">IF(OR($F202="",$G202=""),"",$F202*$G202)</f>
        <v/>
      </c>
      <c r="Q202" s="16" t="str">
        <f aca="false">IF($D202="","",IF($J202&lt;&gt;"",$J202,$C$9))</f>
        <v/>
      </c>
      <c r="R202" s="12" t="str">
        <f aca="false">IF($D202="","",IFERROR(IF(INDEX(Profile!$G$5:$G$304,MATCH($D202,lst_Profil,0))&lt;&gt;"",INDEX(Profile!$G$5:$G$304,MATCH($D202,lst_Profil,0)),$H$4),$H$4))</f>
        <v/>
      </c>
      <c r="S202" s="12" t="str">
        <f aca="false">IF($D202="","",IFERROR(IF(INDEX(Profile!$H$5:$H$304,MATCH($D202,lst_Profil,0))&lt;&gt;"",INDEX(Profile!$H$5:$H$304,MATCH($D202,lst_Profil,0)),$H$5),$H$5))</f>
        <v/>
      </c>
      <c r="T202" s="16" t="str">
        <f aca="false">IF(OR(Q202="",NOT(ISNUMBER(R202)),NOT(ISNUMBER(S202))),"",Q202-R202-S202)</f>
        <v/>
      </c>
      <c r="U202" s="26" t="str">
        <f aca="false">IF(OR($D202="",$E202=""),"",IF(COUNTIFS(Preise!$A$5:$A$304,$D202,Preise!$B$5:$B$304,$E202,Preise!$I$5:$I$304,"OK")&gt;0,"ja","nein"))</f>
        <v/>
      </c>
      <c r="V202" s="15" t="str">
        <f aca="false">IF(OR(M202="",$E202="",$C$8=""),"",IF(_xlfn.MINIFS(Schneiddaten!$C$5:$C$304,Schneiddaten!$A$5:$A$304,$C$8,Schneiddaten!$B$5:$B$304,$E202,Schneiddaten!$C$5:$C$304,"&gt;="&amp;M202)=0,"",SUMIFS(Schneiddaten!$D$5:$D$304,Schneiddaten!$A$5:$A$304,$C$8,Schneiddaten!$B$5:$B$304,$E202,Schneiddaten!$C$5:$C$304,_xlfn.MINIFS(Schneiddaten!$C$5:$C$304,Schneiddaten!$A$5:$A$304,$C$8,Schneiddaten!$B$5:$B$304,$E202,Schneiddaten!$C$5:$C$304,"&gt;="&amp;M202))))</f>
        <v/>
      </c>
      <c r="W202" s="26" t="str">
        <f aca="false">IF(AND($D202="",$E202="",$F202="",$G202=""),"",IF(ISNA(MATCH($D202,lst_Profil,0)),"FEHLER: Profil unbekannt",IF(ISNA(MATCH($E202,lst_Werkstoff,0)),"FEHLER: Werkstoff unbekannt",IF(NOT(ISNUMBER(L202)),"FEHLER: Querschnitt fehlt (Profil)",IF(OR($F202="",$F202&lt;=0),"FEHLER: Teilelänge fehlt",IF(OR($G202="",$G202&lt;1),"FEHLER: Stückzahl fehlt",IF(NOT(ISNUMBER($H$4)),"FEHLER: Maschine fehlt/unbekannt",IF(Q202&gt;$H$7,"FEHLER: Stange länger als Maschine zulässt",IF($F202+$H$6&gt;T202,"FEHLER: Teil länger als Nutzlänge",IF(U202="nein","WARNUNG: kein gültiger Materialpreis",IF($H202="","HINWEIS: Schneidweg fehlt",IF(V202="","HINWEIS: keine Schneiddaten",IF(AND($AF202&lt;&gt;"",$AG202=""),"HINWEIS: Gewinde-Vorschlag prüfen","OK")))))))))))))</f>
        <v/>
      </c>
      <c r="X202" s="18" t="str">
        <f aca="false">IF(OR(O202="",$G202=""),"",O202*$G202)</f>
        <v/>
      </c>
      <c r="Y202" s="10"/>
      <c r="Z202" s="21"/>
      <c r="AA202" s="10"/>
      <c r="AB202" s="21"/>
      <c r="AC202" s="21"/>
      <c r="AD202" s="21"/>
      <c r="AE202" s="10"/>
      <c r="AF202" s="10"/>
      <c r="AG202" s="10"/>
      <c r="AH202" s="22"/>
      <c r="AI202" s="21"/>
      <c r="AJ202" s="22"/>
      <c r="AK202" s="21"/>
      <c r="AL202" s="22"/>
      <c r="AM202" s="21"/>
    </row>
    <row r="203" customFormat="false" ht="15" hidden="false" customHeight="false" outlineLevel="0" collapsed="false">
      <c r="A203" s="10"/>
      <c r="B203" s="10"/>
      <c r="C203" s="10"/>
      <c r="D203" s="10"/>
      <c r="E203" s="10"/>
      <c r="F203" s="21"/>
      <c r="G203" s="19"/>
      <c r="H203" s="21"/>
      <c r="I203" s="22"/>
      <c r="J203" s="19"/>
      <c r="K203" s="23" t="str">
        <f aca="false">IF($D203="","",IFERROR(INDEX(Profile!$B$5:$B$304,MATCH($D203,lst_Profil,0)),""))</f>
        <v/>
      </c>
      <c r="L203" s="13" t="str">
        <f aca="false">IF($D203="","",IFERROR(INDEX(Profile!$K$5:$K$304,MATCH($D203,lst_Profil,0))+0,""))</f>
        <v/>
      </c>
      <c r="M203" s="24" t="str">
        <f aca="false">IF($D203="","",IFERROR(INDEX(Profile!$E$5:$E$304,MATCH($D203,lst_Profil,0))+0,""))</f>
        <v/>
      </c>
      <c r="N203" s="25" t="str">
        <f aca="false">IF(OR(L203="",$E203=""),"",IFERROR(L203*INDEX(Werkstoffe!$E$5:$E$304,MATCH($E203,lst_Werkstoff,0))/1000,""))</f>
        <v/>
      </c>
      <c r="O203" s="25" t="str">
        <f aca="false">IF(OR(N203="",$F203=""),"",N203*$F203/1000)</f>
        <v/>
      </c>
      <c r="P203" s="16" t="str">
        <f aca="false">IF(OR($F203="",$G203=""),"",$F203*$G203)</f>
        <v/>
      </c>
      <c r="Q203" s="16" t="str">
        <f aca="false">IF($D203="","",IF($J203&lt;&gt;"",$J203,$C$9))</f>
        <v/>
      </c>
      <c r="R203" s="12" t="str">
        <f aca="false">IF($D203="","",IFERROR(IF(INDEX(Profile!$G$5:$G$304,MATCH($D203,lst_Profil,0))&lt;&gt;"",INDEX(Profile!$G$5:$G$304,MATCH($D203,lst_Profil,0)),$H$4),$H$4))</f>
        <v/>
      </c>
      <c r="S203" s="12" t="str">
        <f aca="false">IF($D203="","",IFERROR(IF(INDEX(Profile!$H$5:$H$304,MATCH($D203,lst_Profil,0))&lt;&gt;"",INDEX(Profile!$H$5:$H$304,MATCH($D203,lst_Profil,0)),$H$5),$H$5))</f>
        <v/>
      </c>
      <c r="T203" s="16" t="str">
        <f aca="false">IF(OR(Q203="",NOT(ISNUMBER(R203)),NOT(ISNUMBER(S203))),"",Q203-R203-S203)</f>
        <v/>
      </c>
      <c r="U203" s="26" t="str">
        <f aca="false">IF(OR($D203="",$E203=""),"",IF(COUNTIFS(Preise!$A$5:$A$304,$D203,Preise!$B$5:$B$304,$E203,Preise!$I$5:$I$304,"OK")&gt;0,"ja","nein"))</f>
        <v/>
      </c>
      <c r="V203" s="15" t="str">
        <f aca="false">IF(OR(M203="",$E203="",$C$8=""),"",IF(_xlfn.MINIFS(Schneiddaten!$C$5:$C$304,Schneiddaten!$A$5:$A$304,$C$8,Schneiddaten!$B$5:$B$304,$E203,Schneiddaten!$C$5:$C$304,"&gt;="&amp;M203)=0,"",SUMIFS(Schneiddaten!$D$5:$D$304,Schneiddaten!$A$5:$A$304,$C$8,Schneiddaten!$B$5:$B$304,$E203,Schneiddaten!$C$5:$C$304,_xlfn.MINIFS(Schneiddaten!$C$5:$C$304,Schneiddaten!$A$5:$A$304,$C$8,Schneiddaten!$B$5:$B$304,$E203,Schneiddaten!$C$5:$C$304,"&gt;="&amp;M203))))</f>
        <v/>
      </c>
      <c r="W203" s="26" t="str">
        <f aca="false">IF(AND($D203="",$E203="",$F203="",$G203=""),"",IF(ISNA(MATCH($D203,lst_Profil,0)),"FEHLER: Profil unbekannt",IF(ISNA(MATCH($E203,lst_Werkstoff,0)),"FEHLER: Werkstoff unbekannt",IF(NOT(ISNUMBER(L203)),"FEHLER: Querschnitt fehlt (Profil)",IF(OR($F203="",$F203&lt;=0),"FEHLER: Teilelänge fehlt",IF(OR($G203="",$G203&lt;1),"FEHLER: Stückzahl fehlt",IF(NOT(ISNUMBER($H$4)),"FEHLER: Maschine fehlt/unbekannt",IF(Q203&gt;$H$7,"FEHLER: Stange länger als Maschine zulässt",IF($F203+$H$6&gt;T203,"FEHLER: Teil länger als Nutzlänge",IF(U203="nein","WARNUNG: kein gültiger Materialpreis",IF($H203="","HINWEIS: Schneidweg fehlt",IF(V203="","HINWEIS: keine Schneiddaten",IF(AND($AF203&lt;&gt;"",$AG203=""),"HINWEIS: Gewinde-Vorschlag prüfen","OK")))))))))))))</f>
        <v/>
      </c>
      <c r="X203" s="18" t="str">
        <f aca="false">IF(OR(O203="",$G203=""),"",O203*$G203)</f>
        <v/>
      </c>
      <c r="Y203" s="10"/>
      <c r="Z203" s="21"/>
      <c r="AA203" s="10"/>
      <c r="AB203" s="21"/>
      <c r="AC203" s="21"/>
      <c r="AD203" s="21"/>
      <c r="AE203" s="10"/>
      <c r="AF203" s="10"/>
      <c r="AG203" s="10"/>
      <c r="AH203" s="22"/>
      <c r="AI203" s="21"/>
      <c r="AJ203" s="22"/>
      <c r="AK203" s="21"/>
      <c r="AL203" s="22"/>
      <c r="AM203" s="21"/>
    </row>
    <row r="204" customFormat="false" ht="15" hidden="false" customHeight="false" outlineLevel="0" collapsed="false">
      <c r="A204" s="10"/>
      <c r="B204" s="10"/>
      <c r="C204" s="10"/>
      <c r="D204" s="10"/>
      <c r="E204" s="10"/>
      <c r="F204" s="21"/>
      <c r="G204" s="19"/>
      <c r="H204" s="21"/>
      <c r="I204" s="22"/>
      <c r="J204" s="19"/>
      <c r="K204" s="23" t="str">
        <f aca="false">IF($D204="","",IFERROR(INDEX(Profile!$B$5:$B$304,MATCH($D204,lst_Profil,0)),""))</f>
        <v/>
      </c>
      <c r="L204" s="13" t="str">
        <f aca="false">IF($D204="","",IFERROR(INDEX(Profile!$K$5:$K$304,MATCH($D204,lst_Profil,0))+0,""))</f>
        <v/>
      </c>
      <c r="M204" s="24" t="str">
        <f aca="false">IF($D204="","",IFERROR(INDEX(Profile!$E$5:$E$304,MATCH($D204,lst_Profil,0))+0,""))</f>
        <v/>
      </c>
      <c r="N204" s="25" t="str">
        <f aca="false">IF(OR(L204="",$E204=""),"",IFERROR(L204*INDEX(Werkstoffe!$E$5:$E$304,MATCH($E204,lst_Werkstoff,0))/1000,""))</f>
        <v/>
      </c>
      <c r="O204" s="25" t="str">
        <f aca="false">IF(OR(N204="",$F204=""),"",N204*$F204/1000)</f>
        <v/>
      </c>
      <c r="P204" s="16" t="str">
        <f aca="false">IF(OR($F204="",$G204=""),"",$F204*$G204)</f>
        <v/>
      </c>
      <c r="Q204" s="16" t="str">
        <f aca="false">IF($D204="","",IF($J204&lt;&gt;"",$J204,$C$9))</f>
        <v/>
      </c>
      <c r="R204" s="12" t="str">
        <f aca="false">IF($D204="","",IFERROR(IF(INDEX(Profile!$G$5:$G$304,MATCH($D204,lst_Profil,0))&lt;&gt;"",INDEX(Profile!$G$5:$G$304,MATCH($D204,lst_Profil,0)),$H$4),$H$4))</f>
        <v/>
      </c>
      <c r="S204" s="12" t="str">
        <f aca="false">IF($D204="","",IFERROR(IF(INDEX(Profile!$H$5:$H$304,MATCH($D204,lst_Profil,0))&lt;&gt;"",INDEX(Profile!$H$5:$H$304,MATCH($D204,lst_Profil,0)),$H$5),$H$5))</f>
        <v/>
      </c>
      <c r="T204" s="16" t="str">
        <f aca="false">IF(OR(Q204="",NOT(ISNUMBER(R204)),NOT(ISNUMBER(S204))),"",Q204-R204-S204)</f>
        <v/>
      </c>
      <c r="U204" s="26" t="str">
        <f aca="false">IF(OR($D204="",$E204=""),"",IF(COUNTIFS(Preise!$A$5:$A$304,$D204,Preise!$B$5:$B$304,$E204,Preise!$I$5:$I$304,"OK")&gt;0,"ja","nein"))</f>
        <v/>
      </c>
      <c r="V204" s="15" t="str">
        <f aca="false">IF(OR(M204="",$E204="",$C$8=""),"",IF(_xlfn.MINIFS(Schneiddaten!$C$5:$C$304,Schneiddaten!$A$5:$A$304,$C$8,Schneiddaten!$B$5:$B$304,$E204,Schneiddaten!$C$5:$C$304,"&gt;="&amp;M204)=0,"",SUMIFS(Schneiddaten!$D$5:$D$304,Schneiddaten!$A$5:$A$304,$C$8,Schneiddaten!$B$5:$B$304,$E204,Schneiddaten!$C$5:$C$304,_xlfn.MINIFS(Schneiddaten!$C$5:$C$304,Schneiddaten!$A$5:$A$304,$C$8,Schneiddaten!$B$5:$B$304,$E204,Schneiddaten!$C$5:$C$304,"&gt;="&amp;M204))))</f>
        <v/>
      </c>
      <c r="W204" s="26" t="str">
        <f aca="false">IF(AND($D204="",$E204="",$F204="",$G204=""),"",IF(ISNA(MATCH($D204,lst_Profil,0)),"FEHLER: Profil unbekannt",IF(ISNA(MATCH($E204,lst_Werkstoff,0)),"FEHLER: Werkstoff unbekannt",IF(NOT(ISNUMBER(L204)),"FEHLER: Querschnitt fehlt (Profil)",IF(OR($F204="",$F204&lt;=0),"FEHLER: Teilelänge fehlt",IF(OR($G204="",$G204&lt;1),"FEHLER: Stückzahl fehlt",IF(NOT(ISNUMBER($H$4)),"FEHLER: Maschine fehlt/unbekannt",IF(Q204&gt;$H$7,"FEHLER: Stange länger als Maschine zulässt",IF($F204+$H$6&gt;T204,"FEHLER: Teil länger als Nutzlänge",IF(U204="nein","WARNUNG: kein gültiger Materialpreis",IF($H204="","HINWEIS: Schneidweg fehlt",IF(V204="","HINWEIS: keine Schneiddaten",IF(AND($AF204&lt;&gt;"",$AG204=""),"HINWEIS: Gewinde-Vorschlag prüfen","OK")))))))))))))</f>
        <v/>
      </c>
      <c r="X204" s="18" t="str">
        <f aca="false">IF(OR(O204="",$G204=""),"",O204*$G204)</f>
        <v/>
      </c>
      <c r="Y204" s="10"/>
      <c r="Z204" s="21"/>
      <c r="AA204" s="10"/>
      <c r="AB204" s="21"/>
      <c r="AC204" s="21"/>
      <c r="AD204" s="21"/>
      <c r="AE204" s="10"/>
      <c r="AF204" s="10"/>
      <c r="AG204" s="10"/>
      <c r="AH204" s="22"/>
      <c r="AI204" s="21"/>
      <c r="AJ204" s="22"/>
      <c r="AK204" s="21"/>
      <c r="AL204" s="22"/>
      <c r="AM204" s="21"/>
    </row>
    <row r="205" customFormat="false" ht="15" hidden="false" customHeight="false" outlineLevel="0" collapsed="false">
      <c r="A205" s="10"/>
      <c r="B205" s="10"/>
      <c r="C205" s="10"/>
      <c r="D205" s="10"/>
      <c r="E205" s="10"/>
      <c r="F205" s="21"/>
      <c r="G205" s="19"/>
      <c r="H205" s="21"/>
      <c r="I205" s="22"/>
      <c r="J205" s="19"/>
      <c r="K205" s="23" t="str">
        <f aca="false">IF($D205="","",IFERROR(INDEX(Profile!$B$5:$B$304,MATCH($D205,lst_Profil,0)),""))</f>
        <v/>
      </c>
      <c r="L205" s="13" t="str">
        <f aca="false">IF($D205="","",IFERROR(INDEX(Profile!$K$5:$K$304,MATCH($D205,lst_Profil,0))+0,""))</f>
        <v/>
      </c>
      <c r="M205" s="24" t="str">
        <f aca="false">IF($D205="","",IFERROR(INDEX(Profile!$E$5:$E$304,MATCH($D205,lst_Profil,0))+0,""))</f>
        <v/>
      </c>
      <c r="N205" s="25" t="str">
        <f aca="false">IF(OR(L205="",$E205=""),"",IFERROR(L205*INDEX(Werkstoffe!$E$5:$E$304,MATCH($E205,lst_Werkstoff,0))/1000,""))</f>
        <v/>
      </c>
      <c r="O205" s="25" t="str">
        <f aca="false">IF(OR(N205="",$F205=""),"",N205*$F205/1000)</f>
        <v/>
      </c>
      <c r="P205" s="16" t="str">
        <f aca="false">IF(OR($F205="",$G205=""),"",$F205*$G205)</f>
        <v/>
      </c>
      <c r="Q205" s="16" t="str">
        <f aca="false">IF($D205="","",IF($J205&lt;&gt;"",$J205,$C$9))</f>
        <v/>
      </c>
      <c r="R205" s="12" t="str">
        <f aca="false">IF($D205="","",IFERROR(IF(INDEX(Profile!$G$5:$G$304,MATCH($D205,lst_Profil,0))&lt;&gt;"",INDEX(Profile!$G$5:$G$304,MATCH($D205,lst_Profil,0)),$H$4),$H$4))</f>
        <v/>
      </c>
      <c r="S205" s="12" t="str">
        <f aca="false">IF($D205="","",IFERROR(IF(INDEX(Profile!$H$5:$H$304,MATCH($D205,lst_Profil,0))&lt;&gt;"",INDEX(Profile!$H$5:$H$304,MATCH($D205,lst_Profil,0)),$H$5),$H$5))</f>
        <v/>
      </c>
      <c r="T205" s="16" t="str">
        <f aca="false">IF(OR(Q205="",NOT(ISNUMBER(R205)),NOT(ISNUMBER(S205))),"",Q205-R205-S205)</f>
        <v/>
      </c>
      <c r="U205" s="26" t="str">
        <f aca="false">IF(OR($D205="",$E205=""),"",IF(COUNTIFS(Preise!$A$5:$A$304,$D205,Preise!$B$5:$B$304,$E205,Preise!$I$5:$I$304,"OK")&gt;0,"ja","nein"))</f>
        <v/>
      </c>
      <c r="V205" s="15" t="str">
        <f aca="false">IF(OR(M205="",$E205="",$C$8=""),"",IF(_xlfn.MINIFS(Schneiddaten!$C$5:$C$304,Schneiddaten!$A$5:$A$304,$C$8,Schneiddaten!$B$5:$B$304,$E205,Schneiddaten!$C$5:$C$304,"&gt;="&amp;M205)=0,"",SUMIFS(Schneiddaten!$D$5:$D$304,Schneiddaten!$A$5:$A$304,$C$8,Schneiddaten!$B$5:$B$304,$E205,Schneiddaten!$C$5:$C$304,_xlfn.MINIFS(Schneiddaten!$C$5:$C$304,Schneiddaten!$A$5:$A$304,$C$8,Schneiddaten!$B$5:$B$304,$E205,Schneiddaten!$C$5:$C$304,"&gt;="&amp;M205))))</f>
        <v/>
      </c>
      <c r="W205" s="26" t="str">
        <f aca="false">IF(AND($D205="",$E205="",$F205="",$G205=""),"",IF(ISNA(MATCH($D205,lst_Profil,0)),"FEHLER: Profil unbekannt",IF(ISNA(MATCH($E205,lst_Werkstoff,0)),"FEHLER: Werkstoff unbekannt",IF(NOT(ISNUMBER(L205)),"FEHLER: Querschnitt fehlt (Profil)",IF(OR($F205="",$F205&lt;=0),"FEHLER: Teilelänge fehlt",IF(OR($G205="",$G205&lt;1),"FEHLER: Stückzahl fehlt",IF(NOT(ISNUMBER($H$4)),"FEHLER: Maschine fehlt/unbekannt",IF(Q205&gt;$H$7,"FEHLER: Stange länger als Maschine zulässt",IF($F205+$H$6&gt;T205,"FEHLER: Teil länger als Nutzlänge",IF(U205="nein","WARNUNG: kein gültiger Materialpreis",IF($H205="","HINWEIS: Schneidweg fehlt",IF(V205="","HINWEIS: keine Schneiddaten",IF(AND($AF205&lt;&gt;"",$AG205=""),"HINWEIS: Gewinde-Vorschlag prüfen","OK")))))))))))))</f>
        <v/>
      </c>
      <c r="X205" s="18" t="str">
        <f aca="false">IF(OR(O205="",$G205=""),"",O205*$G205)</f>
        <v/>
      </c>
      <c r="Y205" s="10"/>
      <c r="Z205" s="21"/>
      <c r="AA205" s="10"/>
      <c r="AB205" s="21"/>
      <c r="AC205" s="21"/>
      <c r="AD205" s="21"/>
      <c r="AE205" s="10"/>
      <c r="AF205" s="10"/>
      <c r="AG205" s="10"/>
      <c r="AH205" s="22"/>
      <c r="AI205" s="21"/>
      <c r="AJ205" s="22"/>
      <c r="AK205" s="21"/>
      <c r="AL205" s="22"/>
      <c r="AM205" s="21"/>
    </row>
    <row r="206" customFormat="false" ht="15" hidden="false" customHeight="false" outlineLevel="0" collapsed="false">
      <c r="A206" s="10"/>
      <c r="B206" s="10"/>
      <c r="C206" s="10"/>
      <c r="D206" s="10"/>
      <c r="E206" s="10"/>
      <c r="F206" s="21"/>
      <c r="G206" s="19"/>
      <c r="H206" s="21"/>
      <c r="I206" s="22"/>
      <c r="J206" s="19"/>
      <c r="K206" s="23" t="str">
        <f aca="false">IF($D206="","",IFERROR(INDEX(Profile!$B$5:$B$304,MATCH($D206,lst_Profil,0)),""))</f>
        <v/>
      </c>
      <c r="L206" s="13" t="str">
        <f aca="false">IF($D206="","",IFERROR(INDEX(Profile!$K$5:$K$304,MATCH($D206,lst_Profil,0))+0,""))</f>
        <v/>
      </c>
      <c r="M206" s="24" t="str">
        <f aca="false">IF($D206="","",IFERROR(INDEX(Profile!$E$5:$E$304,MATCH($D206,lst_Profil,0))+0,""))</f>
        <v/>
      </c>
      <c r="N206" s="25" t="str">
        <f aca="false">IF(OR(L206="",$E206=""),"",IFERROR(L206*INDEX(Werkstoffe!$E$5:$E$304,MATCH($E206,lst_Werkstoff,0))/1000,""))</f>
        <v/>
      </c>
      <c r="O206" s="25" t="str">
        <f aca="false">IF(OR(N206="",$F206=""),"",N206*$F206/1000)</f>
        <v/>
      </c>
      <c r="P206" s="16" t="str">
        <f aca="false">IF(OR($F206="",$G206=""),"",$F206*$G206)</f>
        <v/>
      </c>
      <c r="Q206" s="16" t="str">
        <f aca="false">IF($D206="","",IF($J206&lt;&gt;"",$J206,$C$9))</f>
        <v/>
      </c>
      <c r="R206" s="12" t="str">
        <f aca="false">IF($D206="","",IFERROR(IF(INDEX(Profile!$G$5:$G$304,MATCH($D206,lst_Profil,0))&lt;&gt;"",INDEX(Profile!$G$5:$G$304,MATCH($D206,lst_Profil,0)),$H$4),$H$4))</f>
        <v/>
      </c>
      <c r="S206" s="12" t="str">
        <f aca="false">IF($D206="","",IFERROR(IF(INDEX(Profile!$H$5:$H$304,MATCH($D206,lst_Profil,0))&lt;&gt;"",INDEX(Profile!$H$5:$H$304,MATCH($D206,lst_Profil,0)),$H$5),$H$5))</f>
        <v/>
      </c>
      <c r="T206" s="16" t="str">
        <f aca="false">IF(OR(Q206="",NOT(ISNUMBER(R206)),NOT(ISNUMBER(S206))),"",Q206-R206-S206)</f>
        <v/>
      </c>
      <c r="U206" s="26" t="str">
        <f aca="false">IF(OR($D206="",$E206=""),"",IF(COUNTIFS(Preise!$A$5:$A$304,$D206,Preise!$B$5:$B$304,$E206,Preise!$I$5:$I$304,"OK")&gt;0,"ja","nein"))</f>
        <v/>
      </c>
      <c r="V206" s="15" t="str">
        <f aca="false">IF(OR(M206="",$E206="",$C$8=""),"",IF(_xlfn.MINIFS(Schneiddaten!$C$5:$C$304,Schneiddaten!$A$5:$A$304,$C$8,Schneiddaten!$B$5:$B$304,$E206,Schneiddaten!$C$5:$C$304,"&gt;="&amp;M206)=0,"",SUMIFS(Schneiddaten!$D$5:$D$304,Schneiddaten!$A$5:$A$304,$C$8,Schneiddaten!$B$5:$B$304,$E206,Schneiddaten!$C$5:$C$304,_xlfn.MINIFS(Schneiddaten!$C$5:$C$304,Schneiddaten!$A$5:$A$304,$C$8,Schneiddaten!$B$5:$B$304,$E206,Schneiddaten!$C$5:$C$304,"&gt;="&amp;M206))))</f>
        <v/>
      </c>
      <c r="W206" s="26" t="str">
        <f aca="false">IF(AND($D206="",$E206="",$F206="",$G206=""),"",IF(ISNA(MATCH($D206,lst_Profil,0)),"FEHLER: Profil unbekannt",IF(ISNA(MATCH($E206,lst_Werkstoff,0)),"FEHLER: Werkstoff unbekannt",IF(NOT(ISNUMBER(L206)),"FEHLER: Querschnitt fehlt (Profil)",IF(OR($F206="",$F206&lt;=0),"FEHLER: Teilelänge fehlt",IF(OR($G206="",$G206&lt;1),"FEHLER: Stückzahl fehlt",IF(NOT(ISNUMBER($H$4)),"FEHLER: Maschine fehlt/unbekannt",IF(Q206&gt;$H$7,"FEHLER: Stange länger als Maschine zulässt",IF($F206+$H$6&gt;T206,"FEHLER: Teil länger als Nutzlänge",IF(U206="nein","WARNUNG: kein gültiger Materialpreis",IF($H206="","HINWEIS: Schneidweg fehlt",IF(V206="","HINWEIS: keine Schneiddaten",IF(AND($AF206&lt;&gt;"",$AG206=""),"HINWEIS: Gewinde-Vorschlag prüfen","OK")))))))))))))</f>
        <v/>
      </c>
      <c r="X206" s="18" t="str">
        <f aca="false">IF(OR(O206="",$G206=""),"",O206*$G206)</f>
        <v/>
      </c>
      <c r="Y206" s="10"/>
      <c r="Z206" s="21"/>
      <c r="AA206" s="10"/>
      <c r="AB206" s="21"/>
      <c r="AC206" s="21"/>
      <c r="AD206" s="21"/>
      <c r="AE206" s="10"/>
      <c r="AF206" s="10"/>
      <c r="AG206" s="10"/>
      <c r="AH206" s="22"/>
      <c r="AI206" s="21"/>
      <c r="AJ206" s="22"/>
      <c r="AK206" s="21"/>
      <c r="AL206" s="22"/>
      <c r="AM206" s="21"/>
    </row>
    <row r="207" customFormat="false" ht="15" hidden="false" customHeight="false" outlineLevel="0" collapsed="false">
      <c r="A207" s="10"/>
      <c r="B207" s="10"/>
      <c r="C207" s="10"/>
      <c r="D207" s="10"/>
      <c r="E207" s="10"/>
      <c r="F207" s="21"/>
      <c r="G207" s="19"/>
      <c r="H207" s="21"/>
      <c r="I207" s="22"/>
      <c r="J207" s="19"/>
      <c r="K207" s="23" t="str">
        <f aca="false">IF($D207="","",IFERROR(INDEX(Profile!$B$5:$B$304,MATCH($D207,lst_Profil,0)),""))</f>
        <v/>
      </c>
      <c r="L207" s="13" t="str">
        <f aca="false">IF($D207="","",IFERROR(INDEX(Profile!$K$5:$K$304,MATCH($D207,lst_Profil,0))+0,""))</f>
        <v/>
      </c>
      <c r="M207" s="24" t="str">
        <f aca="false">IF($D207="","",IFERROR(INDEX(Profile!$E$5:$E$304,MATCH($D207,lst_Profil,0))+0,""))</f>
        <v/>
      </c>
      <c r="N207" s="25" t="str">
        <f aca="false">IF(OR(L207="",$E207=""),"",IFERROR(L207*INDEX(Werkstoffe!$E$5:$E$304,MATCH($E207,lst_Werkstoff,0))/1000,""))</f>
        <v/>
      </c>
      <c r="O207" s="25" t="str">
        <f aca="false">IF(OR(N207="",$F207=""),"",N207*$F207/1000)</f>
        <v/>
      </c>
      <c r="P207" s="16" t="str">
        <f aca="false">IF(OR($F207="",$G207=""),"",$F207*$G207)</f>
        <v/>
      </c>
      <c r="Q207" s="16" t="str">
        <f aca="false">IF($D207="","",IF($J207&lt;&gt;"",$J207,$C$9))</f>
        <v/>
      </c>
      <c r="R207" s="12" t="str">
        <f aca="false">IF($D207="","",IFERROR(IF(INDEX(Profile!$G$5:$G$304,MATCH($D207,lst_Profil,0))&lt;&gt;"",INDEX(Profile!$G$5:$G$304,MATCH($D207,lst_Profil,0)),$H$4),$H$4))</f>
        <v/>
      </c>
      <c r="S207" s="12" t="str">
        <f aca="false">IF($D207="","",IFERROR(IF(INDEX(Profile!$H$5:$H$304,MATCH($D207,lst_Profil,0))&lt;&gt;"",INDEX(Profile!$H$5:$H$304,MATCH($D207,lst_Profil,0)),$H$5),$H$5))</f>
        <v/>
      </c>
      <c r="T207" s="16" t="str">
        <f aca="false">IF(OR(Q207="",NOT(ISNUMBER(R207)),NOT(ISNUMBER(S207))),"",Q207-R207-S207)</f>
        <v/>
      </c>
      <c r="U207" s="26" t="str">
        <f aca="false">IF(OR($D207="",$E207=""),"",IF(COUNTIFS(Preise!$A$5:$A$304,$D207,Preise!$B$5:$B$304,$E207,Preise!$I$5:$I$304,"OK")&gt;0,"ja","nein"))</f>
        <v/>
      </c>
      <c r="V207" s="15" t="str">
        <f aca="false">IF(OR(M207="",$E207="",$C$8=""),"",IF(_xlfn.MINIFS(Schneiddaten!$C$5:$C$304,Schneiddaten!$A$5:$A$304,$C$8,Schneiddaten!$B$5:$B$304,$E207,Schneiddaten!$C$5:$C$304,"&gt;="&amp;M207)=0,"",SUMIFS(Schneiddaten!$D$5:$D$304,Schneiddaten!$A$5:$A$304,$C$8,Schneiddaten!$B$5:$B$304,$E207,Schneiddaten!$C$5:$C$304,_xlfn.MINIFS(Schneiddaten!$C$5:$C$304,Schneiddaten!$A$5:$A$304,$C$8,Schneiddaten!$B$5:$B$304,$E207,Schneiddaten!$C$5:$C$304,"&gt;="&amp;M207))))</f>
        <v/>
      </c>
      <c r="W207" s="26" t="str">
        <f aca="false">IF(AND($D207="",$E207="",$F207="",$G207=""),"",IF(ISNA(MATCH($D207,lst_Profil,0)),"FEHLER: Profil unbekannt",IF(ISNA(MATCH($E207,lst_Werkstoff,0)),"FEHLER: Werkstoff unbekannt",IF(NOT(ISNUMBER(L207)),"FEHLER: Querschnitt fehlt (Profil)",IF(OR($F207="",$F207&lt;=0),"FEHLER: Teilelänge fehlt",IF(OR($G207="",$G207&lt;1),"FEHLER: Stückzahl fehlt",IF(NOT(ISNUMBER($H$4)),"FEHLER: Maschine fehlt/unbekannt",IF(Q207&gt;$H$7,"FEHLER: Stange länger als Maschine zulässt",IF($F207+$H$6&gt;T207,"FEHLER: Teil länger als Nutzlänge",IF(U207="nein","WARNUNG: kein gültiger Materialpreis",IF($H207="","HINWEIS: Schneidweg fehlt",IF(V207="","HINWEIS: keine Schneiddaten",IF(AND($AF207&lt;&gt;"",$AG207=""),"HINWEIS: Gewinde-Vorschlag prüfen","OK")))))))))))))</f>
        <v/>
      </c>
      <c r="X207" s="18" t="str">
        <f aca="false">IF(OR(O207="",$G207=""),"",O207*$G207)</f>
        <v/>
      </c>
      <c r="Y207" s="10"/>
      <c r="Z207" s="21"/>
      <c r="AA207" s="10"/>
      <c r="AB207" s="21"/>
      <c r="AC207" s="21"/>
      <c r="AD207" s="21"/>
      <c r="AE207" s="10"/>
      <c r="AF207" s="10"/>
      <c r="AG207" s="10"/>
      <c r="AH207" s="22"/>
      <c r="AI207" s="21"/>
      <c r="AJ207" s="22"/>
      <c r="AK207" s="21"/>
      <c r="AL207" s="22"/>
      <c r="AM207" s="21"/>
    </row>
    <row r="208" customFormat="false" ht="15" hidden="false" customHeight="false" outlineLevel="0" collapsed="false">
      <c r="A208" s="10"/>
      <c r="B208" s="10"/>
      <c r="C208" s="10"/>
      <c r="D208" s="10"/>
      <c r="E208" s="10"/>
      <c r="F208" s="21"/>
      <c r="G208" s="19"/>
      <c r="H208" s="21"/>
      <c r="I208" s="22"/>
      <c r="J208" s="19"/>
      <c r="K208" s="23" t="str">
        <f aca="false">IF($D208="","",IFERROR(INDEX(Profile!$B$5:$B$304,MATCH($D208,lst_Profil,0)),""))</f>
        <v/>
      </c>
      <c r="L208" s="13" t="str">
        <f aca="false">IF($D208="","",IFERROR(INDEX(Profile!$K$5:$K$304,MATCH($D208,lst_Profil,0))+0,""))</f>
        <v/>
      </c>
      <c r="M208" s="24" t="str">
        <f aca="false">IF($D208="","",IFERROR(INDEX(Profile!$E$5:$E$304,MATCH($D208,lst_Profil,0))+0,""))</f>
        <v/>
      </c>
      <c r="N208" s="25" t="str">
        <f aca="false">IF(OR(L208="",$E208=""),"",IFERROR(L208*INDEX(Werkstoffe!$E$5:$E$304,MATCH($E208,lst_Werkstoff,0))/1000,""))</f>
        <v/>
      </c>
      <c r="O208" s="25" t="str">
        <f aca="false">IF(OR(N208="",$F208=""),"",N208*$F208/1000)</f>
        <v/>
      </c>
      <c r="P208" s="16" t="str">
        <f aca="false">IF(OR($F208="",$G208=""),"",$F208*$G208)</f>
        <v/>
      </c>
      <c r="Q208" s="16" t="str">
        <f aca="false">IF($D208="","",IF($J208&lt;&gt;"",$J208,$C$9))</f>
        <v/>
      </c>
      <c r="R208" s="12" t="str">
        <f aca="false">IF($D208="","",IFERROR(IF(INDEX(Profile!$G$5:$G$304,MATCH($D208,lst_Profil,0))&lt;&gt;"",INDEX(Profile!$G$5:$G$304,MATCH($D208,lst_Profil,0)),$H$4),$H$4))</f>
        <v/>
      </c>
      <c r="S208" s="12" t="str">
        <f aca="false">IF($D208="","",IFERROR(IF(INDEX(Profile!$H$5:$H$304,MATCH($D208,lst_Profil,0))&lt;&gt;"",INDEX(Profile!$H$5:$H$304,MATCH($D208,lst_Profil,0)),$H$5),$H$5))</f>
        <v/>
      </c>
      <c r="T208" s="16" t="str">
        <f aca="false">IF(OR(Q208="",NOT(ISNUMBER(R208)),NOT(ISNUMBER(S208))),"",Q208-R208-S208)</f>
        <v/>
      </c>
      <c r="U208" s="26" t="str">
        <f aca="false">IF(OR($D208="",$E208=""),"",IF(COUNTIFS(Preise!$A$5:$A$304,$D208,Preise!$B$5:$B$304,$E208,Preise!$I$5:$I$304,"OK")&gt;0,"ja","nein"))</f>
        <v/>
      </c>
      <c r="V208" s="15" t="str">
        <f aca="false">IF(OR(M208="",$E208="",$C$8=""),"",IF(_xlfn.MINIFS(Schneiddaten!$C$5:$C$304,Schneiddaten!$A$5:$A$304,$C$8,Schneiddaten!$B$5:$B$304,$E208,Schneiddaten!$C$5:$C$304,"&gt;="&amp;M208)=0,"",SUMIFS(Schneiddaten!$D$5:$D$304,Schneiddaten!$A$5:$A$304,$C$8,Schneiddaten!$B$5:$B$304,$E208,Schneiddaten!$C$5:$C$304,_xlfn.MINIFS(Schneiddaten!$C$5:$C$304,Schneiddaten!$A$5:$A$304,$C$8,Schneiddaten!$B$5:$B$304,$E208,Schneiddaten!$C$5:$C$304,"&gt;="&amp;M208))))</f>
        <v/>
      </c>
      <c r="W208" s="26" t="str">
        <f aca="false">IF(AND($D208="",$E208="",$F208="",$G208=""),"",IF(ISNA(MATCH($D208,lst_Profil,0)),"FEHLER: Profil unbekannt",IF(ISNA(MATCH($E208,lst_Werkstoff,0)),"FEHLER: Werkstoff unbekannt",IF(NOT(ISNUMBER(L208)),"FEHLER: Querschnitt fehlt (Profil)",IF(OR($F208="",$F208&lt;=0),"FEHLER: Teilelänge fehlt",IF(OR($G208="",$G208&lt;1),"FEHLER: Stückzahl fehlt",IF(NOT(ISNUMBER($H$4)),"FEHLER: Maschine fehlt/unbekannt",IF(Q208&gt;$H$7,"FEHLER: Stange länger als Maschine zulässt",IF($F208+$H$6&gt;T208,"FEHLER: Teil länger als Nutzlänge",IF(U208="nein","WARNUNG: kein gültiger Materialpreis",IF($H208="","HINWEIS: Schneidweg fehlt",IF(V208="","HINWEIS: keine Schneiddaten",IF(AND($AF208&lt;&gt;"",$AG208=""),"HINWEIS: Gewinde-Vorschlag prüfen","OK")))))))))))))</f>
        <v/>
      </c>
      <c r="X208" s="18" t="str">
        <f aca="false">IF(OR(O208="",$G208=""),"",O208*$G208)</f>
        <v/>
      </c>
      <c r="Y208" s="10"/>
      <c r="Z208" s="21"/>
      <c r="AA208" s="10"/>
      <c r="AB208" s="21"/>
      <c r="AC208" s="21"/>
      <c r="AD208" s="21"/>
      <c r="AE208" s="10"/>
      <c r="AF208" s="10"/>
      <c r="AG208" s="10"/>
      <c r="AH208" s="22"/>
      <c r="AI208" s="21"/>
      <c r="AJ208" s="22"/>
      <c r="AK208" s="21"/>
      <c r="AL208" s="22"/>
      <c r="AM208" s="21"/>
    </row>
    <row r="209" customFormat="false" ht="15" hidden="false" customHeight="false" outlineLevel="0" collapsed="false">
      <c r="A209" s="10"/>
      <c r="B209" s="10"/>
      <c r="C209" s="10"/>
      <c r="D209" s="10"/>
      <c r="E209" s="10"/>
      <c r="F209" s="21"/>
      <c r="G209" s="19"/>
      <c r="H209" s="21"/>
      <c r="I209" s="22"/>
      <c r="J209" s="19"/>
      <c r="K209" s="23" t="str">
        <f aca="false">IF($D209="","",IFERROR(INDEX(Profile!$B$5:$B$304,MATCH($D209,lst_Profil,0)),""))</f>
        <v/>
      </c>
      <c r="L209" s="13" t="str">
        <f aca="false">IF($D209="","",IFERROR(INDEX(Profile!$K$5:$K$304,MATCH($D209,lst_Profil,0))+0,""))</f>
        <v/>
      </c>
      <c r="M209" s="24" t="str">
        <f aca="false">IF($D209="","",IFERROR(INDEX(Profile!$E$5:$E$304,MATCH($D209,lst_Profil,0))+0,""))</f>
        <v/>
      </c>
      <c r="N209" s="25" t="str">
        <f aca="false">IF(OR(L209="",$E209=""),"",IFERROR(L209*INDEX(Werkstoffe!$E$5:$E$304,MATCH($E209,lst_Werkstoff,0))/1000,""))</f>
        <v/>
      </c>
      <c r="O209" s="25" t="str">
        <f aca="false">IF(OR(N209="",$F209=""),"",N209*$F209/1000)</f>
        <v/>
      </c>
      <c r="P209" s="16" t="str">
        <f aca="false">IF(OR($F209="",$G209=""),"",$F209*$G209)</f>
        <v/>
      </c>
      <c r="Q209" s="16" t="str">
        <f aca="false">IF($D209="","",IF($J209&lt;&gt;"",$J209,$C$9))</f>
        <v/>
      </c>
      <c r="R209" s="12" t="str">
        <f aca="false">IF($D209="","",IFERROR(IF(INDEX(Profile!$G$5:$G$304,MATCH($D209,lst_Profil,0))&lt;&gt;"",INDEX(Profile!$G$5:$G$304,MATCH($D209,lst_Profil,0)),$H$4),$H$4))</f>
        <v/>
      </c>
      <c r="S209" s="12" t="str">
        <f aca="false">IF($D209="","",IFERROR(IF(INDEX(Profile!$H$5:$H$304,MATCH($D209,lst_Profil,0))&lt;&gt;"",INDEX(Profile!$H$5:$H$304,MATCH($D209,lst_Profil,0)),$H$5),$H$5))</f>
        <v/>
      </c>
      <c r="T209" s="16" t="str">
        <f aca="false">IF(OR(Q209="",NOT(ISNUMBER(R209)),NOT(ISNUMBER(S209))),"",Q209-R209-S209)</f>
        <v/>
      </c>
      <c r="U209" s="26" t="str">
        <f aca="false">IF(OR($D209="",$E209=""),"",IF(COUNTIFS(Preise!$A$5:$A$304,$D209,Preise!$B$5:$B$304,$E209,Preise!$I$5:$I$304,"OK")&gt;0,"ja","nein"))</f>
        <v/>
      </c>
      <c r="V209" s="15" t="str">
        <f aca="false">IF(OR(M209="",$E209="",$C$8=""),"",IF(_xlfn.MINIFS(Schneiddaten!$C$5:$C$304,Schneiddaten!$A$5:$A$304,$C$8,Schneiddaten!$B$5:$B$304,$E209,Schneiddaten!$C$5:$C$304,"&gt;="&amp;M209)=0,"",SUMIFS(Schneiddaten!$D$5:$D$304,Schneiddaten!$A$5:$A$304,$C$8,Schneiddaten!$B$5:$B$304,$E209,Schneiddaten!$C$5:$C$304,_xlfn.MINIFS(Schneiddaten!$C$5:$C$304,Schneiddaten!$A$5:$A$304,$C$8,Schneiddaten!$B$5:$B$304,$E209,Schneiddaten!$C$5:$C$304,"&gt;="&amp;M209))))</f>
        <v/>
      </c>
      <c r="W209" s="26" t="str">
        <f aca="false">IF(AND($D209="",$E209="",$F209="",$G209=""),"",IF(ISNA(MATCH($D209,lst_Profil,0)),"FEHLER: Profil unbekannt",IF(ISNA(MATCH($E209,lst_Werkstoff,0)),"FEHLER: Werkstoff unbekannt",IF(NOT(ISNUMBER(L209)),"FEHLER: Querschnitt fehlt (Profil)",IF(OR($F209="",$F209&lt;=0),"FEHLER: Teilelänge fehlt",IF(OR($G209="",$G209&lt;1),"FEHLER: Stückzahl fehlt",IF(NOT(ISNUMBER($H$4)),"FEHLER: Maschine fehlt/unbekannt",IF(Q209&gt;$H$7,"FEHLER: Stange länger als Maschine zulässt",IF($F209+$H$6&gt;T209,"FEHLER: Teil länger als Nutzlänge",IF(U209="nein","WARNUNG: kein gültiger Materialpreis",IF($H209="","HINWEIS: Schneidweg fehlt",IF(V209="","HINWEIS: keine Schneiddaten",IF(AND($AF209&lt;&gt;"",$AG209=""),"HINWEIS: Gewinde-Vorschlag prüfen","OK")))))))))))))</f>
        <v/>
      </c>
      <c r="X209" s="18" t="str">
        <f aca="false">IF(OR(O209="",$G209=""),"",O209*$G209)</f>
        <v/>
      </c>
      <c r="Y209" s="10"/>
      <c r="Z209" s="21"/>
      <c r="AA209" s="10"/>
      <c r="AB209" s="21"/>
      <c r="AC209" s="21"/>
      <c r="AD209" s="21"/>
      <c r="AE209" s="10"/>
      <c r="AF209" s="10"/>
      <c r="AG209" s="10"/>
      <c r="AH209" s="22"/>
      <c r="AI209" s="21"/>
      <c r="AJ209" s="22"/>
      <c r="AK209" s="21"/>
      <c r="AL209" s="22"/>
      <c r="AM209" s="21"/>
    </row>
    <row r="210" customFormat="false" ht="15" hidden="false" customHeight="false" outlineLevel="0" collapsed="false">
      <c r="A210" s="10"/>
      <c r="B210" s="10"/>
      <c r="C210" s="10"/>
      <c r="D210" s="10"/>
      <c r="E210" s="10"/>
      <c r="F210" s="21"/>
      <c r="G210" s="19"/>
      <c r="H210" s="21"/>
      <c r="I210" s="22"/>
      <c r="J210" s="19"/>
      <c r="K210" s="23" t="str">
        <f aca="false">IF($D210="","",IFERROR(INDEX(Profile!$B$5:$B$304,MATCH($D210,lst_Profil,0)),""))</f>
        <v/>
      </c>
      <c r="L210" s="13" t="str">
        <f aca="false">IF($D210="","",IFERROR(INDEX(Profile!$K$5:$K$304,MATCH($D210,lst_Profil,0))+0,""))</f>
        <v/>
      </c>
      <c r="M210" s="24" t="str">
        <f aca="false">IF($D210="","",IFERROR(INDEX(Profile!$E$5:$E$304,MATCH($D210,lst_Profil,0))+0,""))</f>
        <v/>
      </c>
      <c r="N210" s="25" t="str">
        <f aca="false">IF(OR(L210="",$E210=""),"",IFERROR(L210*INDEX(Werkstoffe!$E$5:$E$304,MATCH($E210,lst_Werkstoff,0))/1000,""))</f>
        <v/>
      </c>
      <c r="O210" s="25" t="str">
        <f aca="false">IF(OR(N210="",$F210=""),"",N210*$F210/1000)</f>
        <v/>
      </c>
      <c r="P210" s="16" t="str">
        <f aca="false">IF(OR($F210="",$G210=""),"",$F210*$G210)</f>
        <v/>
      </c>
      <c r="Q210" s="16" t="str">
        <f aca="false">IF($D210="","",IF($J210&lt;&gt;"",$J210,$C$9))</f>
        <v/>
      </c>
      <c r="R210" s="12" t="str">
        <f aca="false">IF($D210="","",IFERROR(IF(INDEX(Profile!$G$5:$G$304,MATCH($D210,lst_Profil,0))&lt;&gt;"",INDEX(Profile!$G$5:$G$304,MATCH($D210,lst_Profil,0)),$H$4),$H$4))</f>
        <v/>
      </c>
      <c r="S210" s="12" t="str">
        <f aca="false">IF($D210="","",IFERROR(IF(INDEX(Profile!$H$5:$H$304,MATCH($D210,lst_Profil,0))&lt;&gt;"",INDEX(Profile!$H$5:$H$304,MATCH($D210,lst_Profil,0)),$H$5),$H$5))</f>
        <v/>
      </c>
      <c r="T210" s="16" t="str">
        <f aca="false">IF(OR(Q210="",NOT(ISNUMBER(R210)),NOT(ISNUMBER(S210))),"",Q210-R210-S210)</f>
        <v/>
      </c>
      <c r="U210" s="26" t="str">
        <f aca="false">IF(OR($D210="",$E210=""),"",IF(COUNTIFS(Preise!$A$5:$A$304,$D210,Preise!$B$5:$B$304,$E210,Preise!$I$5:$I$304,"OK")&gt;0,"ja","nein"))</f>
        <v/>
      </c>
      <c r="V210" s="15" t="str">
        <f aca="false">IF(OR(M210="",$E210="",$C$8=""),"",IF(_xlfn.MINIFS(Schneiddaten!$C$5:$C$304,Schneiddaten!$A$5:$A$304,$C$8,Schneiddaten!$B$5:$B$304,$E210,Schneiddaten!$C$5:$C$304,"&gt;="&amp;M210)=0,"",SUMIFS(Schneiddaten!$D$5:$D$304,Schneiddaten!$A$5:$A$304,$C$8,Schneiddaten!$B$5:$B$304,$E210,Schneiddaten!$C$5:$C$304,_xlfn.MINIFS(Schneiddaten!$C$5:$C$304,Schneiddaten!$A$5:$A$304,$C$8,Schneiddaten!$B$5:$B$304,$E210,Schneiddaten!$C$5:$C$304,"&gt;="&amp;M210))))</f>
        <v/>
      </c>
      <c r="W210" s="26" t="str">
        <f aca="false">IF(AND($D210="",$E210="",$F210="",$G210=""),"",IF(ISNA(MATCH($D210,lst_Profil,0)),"FEHLER: Profil unbekannt",IF(ISNA(MATCH($E210,lst_Werkstoff,0)),"FEHLER: Werkstoff unbekannt",IF(NOT(ISNUMBER(L210)),"FEHLER: Querschnitt fehlt (Profil)",IF(OR($F210="",$F210&lt;=0),"FEHLER: Teilelänge fehlt",IF(OR($G210="",$G210&lt;1),"FEHLER: Stückzahl fehlt",IF(NOT(ISNUMBER($H$4)),"FEHLER: Maschine fehlt/unbekannt",IF(Q210&gt;$H$7,"FEHLER: Stange länger als Maschine zulässt",IF($F210+$H$6&gt;T210,"FEHLER: Teil länger als Nutzlänge",IF(U210="nein","WARNUNG: kein gültiger Materialpreis",IF($H210="","HINWEIS: Schneidweg fehlt",IF(V210="","HINWEIS: keine Schneiddaten",IF(AND($AF210&lt;&gt;"",$AG210=""),"HINWEIS: Gewinde-Vorschlag prüfen","OK")))))))))))))</f>
        <v/>
      </c>
      <c r="X210" s="18" t="str">
        <f aca="false">IF(OR(O210="",$G210=""),"",O210*$G210)</f>
        <v/>
      </c>
      <c r="Y210" s="10"/>
      <c r="Z210" s="21"/>
      <c r="AA210" s="10"/>
      <c r="AB210" s="21"/>
      <c r="AC210" s="21"/>
      <c r="AD210" s="21"/>
      <c r="AE210" s="10"/>
      <c r="AF210" s="10"/>
      <c r="AG210" s="10"/>
      <c r="AH210" s="22"/>
      <c r="AI210" s="21"/>
      <c r="AJ210" s="22"/>
      <c r="AK210" s="21"/>
      <c r="AL210" s="22"/>
      <c r="AM210" s="21"/>
    </row>
    <row r="211" customFormat="false" ht="15" hidden="false" customHeight="false" outlineLevel="0" collapsed="false">
      <c r="A211" s="10"/>
      <c r="B211" s="10"/>
      <c r="C211" s="10"/>
      <c r="D211" s="10"/>
      <c r="E211" s="10"/>
      <c r="F211" s="21"/>
      <c r="G211" s="19"/>
      <c r="H211" s="21"/>
      <c r="I211" s="22"/>
      <c r="J211" s="19"/>
      <c r="K211" s="23" t="str">
        <f aca="false">IF($D211="","",IFERROR(INDEX(Profile!$B$5:$B$304,MATCH($D211,lst_Profil,0)),""))</f>
        <v/>
      </c>
      <c r="L211" s="13" t="str">
        <f aca="false">IF($D211="","",IFERROR(INDEX(Profile!$K$5:$K$304,MATCH($D211,lst_Profil,0))+0,""))</f>
        <v/>
      </c>
      <c r="M211" s="24" t="str">
        <f aca="false">IF($D211="","",IFERROR(INDEX(Profile!$E$5:$E$304,MATCH($D211,lst_Profil,0))+0,""))</f>
        <v/>
      </c>
      <c r="N211" s="25" t="str">
        <f aca="false">IF(OR(L211="",$E211=""),"",IFERROR(L211*INDEX(Werkstoffe!$E$5:$E$304,MATCH($E211,lst_Werkstoff,0))/1000,""))</f>
        <v/>
      </c>
      <c r="O211" s="25" t="str">
        <f aca="false">IF(OR(N211="",$F211=""),"",N211*$F211/1000)</f>
        <v/>
      </c>
      <c r="P211" s="16" t="str">
        <f aca="false">IF(OR($F211="",$G211=""),"",$F211*$G211)</f>
        <v/>
      </c>
      <c r="Q211" s="16" t="str">
        <f aca="false">IF($D211="","",IF($J211&lt;&gt;"",$J211,$C$9))</f>
        <v/>
      </c>
      <c r="R211" s="12" t="str">
        <f aca="false">IF($D211="","",IFERROR(IF(INDEX(Profile!$G$5:$G$304,MATCH($D211,lst_Profil,0))&lt;&gt;"",INDEX(Profile!$G$5:$G$304,MATCH($D211,lst_Profil,0)),$H$4),$H$4))</f>
        <v/>
      </c>
      <c r="S211" s="12" t="str">
        <f aca="false">IF($D211="","",IFERROR(IF(INDEX(Profile!$H$5:$H$304,MATCH($D211,lst_Profil,0))&lt;&gt;"",INDEX(Profile!$H$5:$H$304,MATCH($D211,lst_Profil,0)),$H$5),$H$5))</f>
        <v/>
      </c>
      <c r="T211" s="16" t="str">
        <f aca="false">IF(OR(Q211="",NOT(ISNUMBER(R211)),NOT(ISNUMBER(S211))),"",Q211-R211-S211)</f>
        <v/>
      </c>
      <c r="U211" s="26" t="str">
        <f aca="false">IF(OR($D211="",$E211=""),"",IF(COUNTIFS(Preise!$A$5:$A$304,$D211,Preise!$B$5:$B$304,$E211,Preise!$I$5:$I$304,"OK")&gt;0,"ja","nein"))</f>
        <v/>
      </c>
      <c r="V211" s="15" t="str">
        <f aca="false">IF(OR(M211="",$E211="",$C$8=""),"",IF(_xlfn.MINIFS(Schneiddaten!$C$5:$C$304,Schneiddaten!$A$5:$A$304,$C$8,Schneiddaten!$B$5:$B$304,$E211,Schneiddaten!$C$5:$C$304,"&gt;="&amp;M211)=0,"",SUMIFS(Schneiddaten!$D$5:$D$304,Schneiddaten!$A$5:$A$304,$C$8,Schneiddaten!$B$5:$B$304,$E211,Schneiddaten!$C$5:$C$304,_xlfn.MINIFS(Schneiddaten!$C$5:$C$304,Schneiddaten!$A$5:$A$304,$C$8,Schneiddaten!$B$5:$B$304,$E211,Schneiddaten!$C$5:$C$304,"&gt;="&amp;M211))))</f>
        <v/>
      </c>
      <c r="W211" s="26" t="str">
        <f aca="false">IF(AND($D211="",$E211="",$F211="",$G211=""),"",IF(ISNA(MATCH($D211,lst_Profil,0)),"FEHLER: Profil unbekannt",IF(ISNA(MATCH($E211,lst_Werkstoff,0)),"FEHLER: Werkstoff unbekannt",IF(NOT(ISNUMBER(L211)),"FEHLER: Querschnitt fehlt (Profil)",IF(OR($F211="",$F211&lt;=0),"FEHLER: Teilelänge fehlt",IF(OR($G211="",$G211&lt;1),"FEHLER: Stückzahl fehlt",IF(NOT(ISNUMBER($H$4)),"FEHLER: Maschine fehlt/unbekannt",IF(Q211&gt;$H$7,"FEHLER: Stange länger als Maschine zulässt",IF($F211+$H$6&gt;T211,"FEHLER: Teil länger als Nutzlänge",IF(U211="nein","WARNUNG: kein gültiger Materialpreis",IF($H211="","HINWEIS: Schneidweg fehlt",IF(V211="","HINWEIS: keine Schneiddaten",IF(AND($AF211&lt;&gt;"",$AG211=""),"HINWEIS: Gewinde-Vorschlag prüfen","OK")))))))))))))</f>
        <v/>
      </c>
      <c r="X211" s="18" t="str">
        <f aca="false">IF(OR(O211="",$G211=""),"",O211*$G211)</f>
        <v/>
      </c>
      <c r="Y211" s="10"/>
      <c r="Z211" s="21"/>
      <c r="AA211" s="10"/>
      <c r="AB211" s="21"/>
      <c r="AC211" s="21"/>
      <c r="AD211" s="21"/>
      <c r="AE211" s="10"/>
      <c r="AF211" s="10"/>
      <c r="AG211" s="10"/>
      <c r="AH211" s="22"/>
      <c r="AI211" s="21"/>
      <c r="AJ211" s="22"/>
      <c r="AK211" s="21"/>
      <c r="AL211" s="22"/>
      <c r="AM211" s="21"/>
    </row>
    <row r="212" customFormat="false" ht="15" hidden="false" customHeight="false" outlineLevel="0" collapsed="false">
      <c r="A212" s="10"/>
      <c r="B212" s="10"/>
      <c r="C212" s="10"/>
      <c r="D212" s="10"/>
      <c r="E212" s="10"/>
      <c r="F212" s="21"/>
      <c r="G212" s="19"/>
      <c r="H212" s="21"/>
      <c r="I212" s="22"/>
      <c r="J212" s="19"/>
      <c r="K212" s="23" t="str">
        <f aca="false">IF($D212="","",IFERROR(INDEX(Profile!$B$5:$B$304,MATCH($D212,lst_Profil,0)),""))</f>
        <v/>
      </c>
      <c r="L212" s="13" t="str">
        <f aca="false">IF($D212="","",IFERROR(INDEX(Profile!$K$5:$K$304,MATCH($D212,lst_Profil,0))+0,""))</f>
        <v/>
      </c>
      <c r="M212" s="24" t="str">
        <f aca="false">IF($D212="","",IFERROR(INDEX(Profile!$E$5:$E$304,MATCH($D212,lst_Profil,0))+0,""))</f>
        <v/>
      </c>
      <c r="N212" s="25" t="str">
        <f aca="false">IF(OR(L212="",$E212=""),"",IFERROR(L212*INDEX(Werkstoffe!$E$5:$E$304,MATCH($E212,lst_Werkstoff,0))/1000,""))</f>
        <v/>
      </c>
      <c r="O212" s="25" t="str">
        <f aca="false">IF(OR(N212="",$F212=""),"",N212*$F212/1000)</f>
        <v/>
      </c>
      <c r="P212" s="16" t="str">
        <f aca="false">IF(OR($F212="",$G212=""),"",$F212*$G212)</f>
        <v/>
      </c>
      <c r="Q212" s="16" t="str">
        <f aca="false">IF($D212="","",IF($J212&lt;&gt;"",$J212,$C$9))</f>
        <v/>
      </c>
      <c r="R212" s="12" t="str">
        <f aca="false">IF($D212="","",IFERROR(IF(INDEX(Profile!$G$5:$G$304,MATCH($D212,lst_Profil,0))&lt;&gt;"",INDEX(Profile!$G$5:$G$304,MATCH($D212,lst_Profil,0)),$H$4),$H$4))</f>
        <v/>
      </c>
      <c r="S212" s="12" t="str">
        <f aca="false">IF($D212="","",IFERROR(IF(INDEX(Profile!$H$5:$H$304,MATCH($D212,lst_Profil,0))&lt;&gt;"",INDEX(Profile!$H$5:$H$304,MATCH($D212,lst_Profil,0)),$H$5),$H$5))</f>
        <v/>
      </c>
      <c r="T212" s="16" t="str">
        <f aca="false">IF(OR(Q212="",NOT(ISNUMBER(R212)),NOT(ISNUMBER(S212))),"",Q212-R212-S212)</f>
        <v/>
      </c>
      <c r="U212" s="26" t="str">
        <f aca="false">IF(OR($D212="",$E212=""),"",IF(COUNTIFS(Preise!$A$5:$A$304,$D212,Preise!$B$5:$B$304,$E212,Preise!$I$5:$I$304,"OK")&gt;0,"ja","nein"))</f>
        <v/>
      </c>
      <c r="V212" s="15" t="str">
        <f aca="false">IF(OR(M212="",$E212="",$C$8=""),"",IF(_xlfn.MINIFS(Schneiddaten!$C$5:$C$304,Schneiddaten!$A$5:$A$304,$C$8,Schneiddaten!$B$5:$B$304,$E212,Schneiddaten!$C$5:$C$304,"&gt;="&amp;M212)=0,"",SUMIFS(Schneiddaten!$D$5:$D$304,Schneiddaten!$A$5:$A$304,$C$8,Schneiddaten!$B$5:$B$304,$E212,Schneiddaten!$C$5:$C$304,_xlfn.MINIFS(Schneiddaten!$C$5:$C$304,Schneiddaten!$A$5:$A$304,$C$8,Schneiddaten!$B$5:$B$304,$E212,Schneiddaten!$C$5:$C$304,"&gt;="&amp;M212))))</f>
        <v/>
      </c>
      <c r="W212" s="26" t="str">
        <f aca="false">IF(AND($D212="",$E212="",$F212="",$G212=""),"",IF(ISNA(MATCH($D212,lst_Profil,0)),"FEHLER: Profil unbekannt",IF(ISNA(MATCH($E212,lst_Werkstoff,0)),"FEHLER: Werkstoff unbekannt",IF(NOT(ISNUMBER(L212)),"FEHLER: Querschnitt fehlt (Profil)",IF(OR($F212="",$F212&lt;=0),"FEHLER: Teilelänge fehlt",IF(OR($G212="",$G212&lt;1),"FEHLER: Stückzahl fehlt",IF(NOT(ISNUMBER($H$4)),"FEHLER: Maschine fehlt/unbekannt",IF(Q212&gt;$H$7,"FEHLER: Stange länger als Maschine zulässt",IF($F212+$H$6&gt;T212,"FEHLER: Teil länger als Nutzlänge",IF(U212="nein","WARNUNG: kein gültiger Materialpreis",IF($H212="","HINWEIS: Schneidweg fehlt",IF(V212="","HINWEIS: keine Schneiddaten",IF(AND($AF212&lt;&gt;"",$AG212=""),"HINWEIS: Gewinde-Vorschlag prüfen","OK")))))))))))))</f>
        <v/>
      </c>
      <c r="X212" s="18" t="str">
        <f aca="false">IF(OR(O212="",$G212=""),"",O212*$G212)</f>
        <v/>
      </c>
      <c r="Y212" s="10"/>
      <c r="Z212" s="21"/>
      <c r="AA212" s="10"/>
      <c r="AB212" s="21"/>
      <c r="AC212" s="21"/>
      <c r="AD212" s="21"/>
      <c r="AE212" s="10"/>
      <c r="AF212" s="10"/>
      <c r="AG212" s="10"/>
      <c r="AH212" s="22"/>
      <c r="AI212" s="21"/>
      <c r="AJ212" s="22"/>
      <c r="AK212" s="21"/>
      <c r="AL212" s="22"/>
      <c r="AM212" s="21"/>
    </row>
    <row r="213" customFormat="false" ht="15" hidden="false" customHeight="false" outlineLevel="0" collapsed="false">
      <c r="A213" s="10"/>
      <c r="B213" s="10"/>
      <c r="C213" s="10"/>
      <c r="D213" s="10"/>
      <c r="E213" s="10"/>
      <c r="F213" s="21"/>
      <c r="G213" s="19"/>
      <c r="H213" s="21"/>
      <c r="I213" s="22"/>
      <c r="J213" s="19"/>
      <c r="K213" s="23" t="str">
        <f aca="false">IF($D213="","",IFERROR(INDEX(Profile!$B$5:$B$304,MATCH($D213,lst_Profil,0)),""))</f>
        <v/>
      </c>
      <c r="L213" s="13" t="str">
        <f aca="false">IF($D213="","",IFERROR(INDEX(Profile!$K$5:$K$304,MATCH($D213,lst_Profil,0))+0,""))</f>
        <v/>
      </c>
      <c r="M213" s="24" t="str">
        <f aca="false">IF($D213="","",IFERROR(INDEX(Profile!$E$5:$E$304,MATCH($D213,lst_Profil,0))+0,""))</f>
        <v/>
      </c>
      <c r="N213" s="25" t="str">
        <f aca="false">IF(OR(L213="",$E213=""),"",IFERROR(L213*INDEX(Werkstoffe!$E$5:$E$304,MATCH($E213,lst_Werkstoff,0))/1000,""))</f>
        <v/>
      </c>
      <c r="O213" s="25" t="str">
        <f aca="false">IF(OR(N213="",$F213=""),"",N213*$F213/1000)</f>
        <v/>
      </c>
      <c r="P213" s="16" t="str">
        <f aca="false">IF(OR($F213="",$G213=""),"",$F213*$G213)</f>
        <v/>
      </c>
      <c r="Q213" s="16" t="str">
        <f aca="false">IF($D213="","",IF($J213&lt;&gt;"",$J213,$C$9))</f>
        <v/>
      </c>
      <c r="R213" s="12" t="str">
        <f aca="false">IF($D213="","",IFERROR(IF(INDEX(Profile!$G$5:$G$304,MATCH($D213,lst_Profil,0))&lt;&gt;"",INDEX(Profile!$G$5:$G$304,MATCH($D213,lst_Profil,0)),$H$4),$H$4))</f>
        <v/>
      </c>
      <c r="S213" s="12" t="str">
        <f aca="false">IF($D213="","",IFERROR(IF(INDEX(Profile!$H$5:$H$304,MATCH($D213,lst_Profil,0))&lt;&gt;"",INDEX(Profile!$H$5:$H$304,MATCH($D213,lst_Profil,0)),$H$5),$H$5))</f>
        <v/>
      </c>
      <c r="T213" s="16" t="str">
        <f aca="false">IF(OR(Q213="",NOT(ISNUMBER(R213)),NOT(ISNUMBER(S213))),"",Q213-R213-S213)</f>
        <v/>
      </c>
      <c r="U213" s="26" t="str">
        <f aca="false">IF(OR($D213="",$E213=""),"",IF(COUNTIFS(Preise!$A$5:$A$304,$D213,Preise!$B$5:$B$304,$E213,Preise!$I$5:$I$304,"OK")&gt;0,"ja","nein"))</f>
        <v/>
      </c>
      <c r="V213" s="15" t="str">
        <f aca="false">IF(OR(M213="",$E213="",$C$8=""),"",IF(_xlfn.MINIFS(Schneiddaten!$C$5:$C$304,Schneiddaten!$A$5:$A$304,$C$8,Schneiddaten!$B$5:$B$304,$E213,Schneiddaten!$C$5:$C$304,"&gt;="&amp;M213)=0,"",SUMIFS(Schneiddaten!$D$5:$D$304,Schneiddaten!$A$5:$A$304,$C$8,Schneiddaten!$B$5:$B$304,$E213,Schneiddaten!$C$5:$C$304,_xlfn.MINIFS(Schneiddaten!$C$5:$C$304,Schneiddaten!$A$5:$A$304,$C$8,Schneiddaten!$B$5:$B$304,$E213,Schneiddaten!$C$5:$C$304,"&gt;="&amp;M213))))</f>
        <v/>
      </c>
      <c r="W213" s="26" t="str">
        <f aca="false">IF(AND($D213="",$E213="",$F213="",$G213=""),"",IF(ISNA(MATCH($D213,lst_Profil,0)),"FEHLER: Profil unbekannt",IF(ISNA(MATCH($E213,lst_Werkstoff,0)),"FEHLER: Werkstoff unbekannt",IF(NOT(ISNUMBER(L213)),"FEHLER: Querschnitt fehlt (Profil)",IF(OR($F213="",$F213&lt;=0),"FEHLER: Teilelänge fehlt",IF(OR($G213="",$G213&lt;1),"FEHLER: Stückzahl fehlt",IF(NOT(ISNUMBER($H$4)),"FEHLER: Maschine fehlt/unbekannt",IF(Q213&gt;$H$7,"FEHLER: Stange länger als Maschine zulässt",IF($F213+$H$6&gt;T213,"FEHLER: Teil länger als Nutzlänge",IF(U213="nein","WARNUNG: kein gültiger Materialpreis",IF($H213="","HINWEIS: Schneidweg fehlt",IF(V213="","HINWEIS: keine Schneiddaten",IF(AND($AF213&lt;&gt;"",$AG213=""),"HINWEIS: Gewinde-Vorschlag prüfen","OK")))))))))))))</f>
        <v/>
      </c>
      <c r="X213" s="18" t="str">
        <f aca="false">IF(OR(O213="",$G213=""),"",O213*$G213)</f>
        <v/>
      </c>
      <c r="Y213" s="10"/>
      <c r="Z213" s="21"/>
      <c r="AA213" s="10"/>
      <c r="AB213" s="21"/>
      <c r="AC213" s="21"/>
      <c r="AD213" s="21"/>
      <c r="AE213" s="10"/>
      <c r="AF213" s="10"/>
      <c r="AG213" s="10"/>
      <c r="AH213" s="22"/>
      <c r="AI213" s="21"/>
      <c r="AJ213" s="22"/>
      <c r="AK213" s="21"/>
      <c r="AL213" s="22"/>
      <c r="AM213" s="21"/>
    </row>
    <row r="214" customFormat="false" ht="15" hidden="false" customHeight="false" outlineLevel="0" collapsed="false">
      <c r="A214" s="10"/>
      <c r="B214" s="10"/>
      <c r="C214" s="10"/>
      <c r="D214" s="10"/>
      <c r="E214" s="10"/>
      <c r="F214" s="21"/>
      <c r="G214" s="19"/>
      <c r="H214" s="21"/>
      <c r="I214" s="22"/>
      <c r="J214" s="19"/>
      <c r="K214" s="23" t="str">
        <f aca="false">IF($D214="","",IFERROR(INDEX(Profile!$B$5:$B$304,MATCH($D214,lst_Profil,0)),""))</f>
        <v/>
      </c>
      <c r="L214" s="13" t="str">
        <f aca="false">IF($D214="","",IFERROR(INDEX(Profile!$K$5:$K$304,MATCH($D214,lst_Profil,0))+0,""))</f>
        <v/>
      </c>
      <c r="M214" s="24" t="str">
        <f aca="false">IF($D214="","",IFERROR(INDEX(Profile!$E$5:$E$304,MATCH($D214,lst_Profil,0))+0,""))</f>
        <v/>
      </c>
      <c r="N214" s="25" t="str">
        <f aca="false">IF(OR(L214="",$E214=""),"",IFERROR(L214*INDEX(Werkstoffe!$E$5:$E$304,MATCH($E214,lst_Werkstoff,0))/1000,""))</f>
        <v/>
      </c>
      <c r="O214" s="25" t="str">
        <f aca="false">IF(OR(N214="",$F214=""),"",N214*$F214/1000)</f>
        <v/>
      </c>
      <c r="P214" s="16" t="str">
        <f aca="false">IF(OR($F214="",$G214=""),"",$F214*$G214)</f>
        <v/>
      </c>
      <c r="Q214" s="16" t="str">
        <f aca="false">IF($D214="","",IF($J214&lt;&gt;"",$J214,$C$9))</f>
        <v/>
      </c>
      <c r="R214" s="12" t="str">
        <f aca="false">IF($D214="","",IFERROR(IF(INDEX(Profile!$G$5:$G$304,MATCH($D214,lst_Profil,0))&lt;&gt;"",INDEX(Profile!$G$5:$G$304,MATCH($D214,lst_Profil,0)),$H$4),$H$4))</f>
        <v/>
      </c>
      <c r="S214" s="12" t="str">
        <f aca="false">IF($D214="","",IFERROR(IF(INDEX(Profile!$H$5:$H$304,MATCH($D214,lst_Profil,0))&lt;&gt;"",INDEX(Profile!$H$5:$H$304,MATCH($D214,lst_Profil,0)),$H$5),$H$5))</f>
        <v/>
      </c>
      <c r="T214" s="16" t="str">
        <f aca="false">IF(OR(Q214="",NOT(ISNUMBER(R214)),NOT(ISNUMBER(S214))),"",Q214-R214-S214)</f>
        <v/>
      </c>
      <c r="U214" s="26" t="str">
        <f aca="false">IF(OR($D214="",$E214=""),"",IF(COUNTIFS(Preise!$A$5:$A$304,$D214,Preise!$B$5:$B$304,$E214,Preise!$I$5:$I$304,"OK")&gt;0,"ja","nein"))</f>
        <v/>
      </c>
      <c r="V214" s="15" t="str">
        <f aca="false">IF(OR(M214="",$E214="",$C$8=""),"",IF(_xlfn.MINIFS(Schneiddaten!$C$5:$C$304,Schneiddaten!$A$5:$A$304,$C$8,Schneiddaten!$B$5:$B$304,$E214,Schneiddaten!$C$5:$C$304,"&gt;="&amp;M214)=0,"",SUMIFS(Schneiddaten!$D$5:$D$304,Schneiddaten!$A$5:$A$304,$C$8,Schneiddaten!$B$5:$B$304,$E214,Schneiddaten!$C$5:$C$304,_xlfn.MINIFS(Schneiddaten!$C$5:$C$304,Schneiddaten!$A$5:$A$304,$C$8,Schneiddaten!$B$5:$B$304,$E214,Schneiddaten!$C$5:$C$304,"&gt;="&amp;M214))))</f>
        <v/>
      </c>
      <c r="W214" s="26" t="str">
        <f aca="false">IF(AND($D214="",$E214="",$F214="",$G214=""),"",IF(ISNA(MATCH($D214,lst_Profil,0)),"FEHLER: Profil unbekannt",IF(ISNA(MATCH($E214,lst_Werkstoff,0)),"FEHLER: Werkstoff unbekannt",IF(NOT(ISNUMBER(L214)),"FEHLER: Querschnitt fehlt (Profil)",IF(OR($F214="",$F214&lt;=0),"FEHLER: Teilelänge fehlt",IF(OR($G214="",$G214&lt;1),"FEHLER: Stückzahl fehlt",IF(NOT(ISNUMBER($H$4)),"FEHLER: Maschine fehlt/unbekannt",IF(Q214&gt;$H$7,"FEHLER: Stange länger als Maschine zulässt",IF($F214+$H$6&gt;T214,"FEHLER: Teil länger als Nutzlänge",IF(U214="nein","WARNUNG: kein gültiger Materialpreis",IF($H214="","HINWEIS: Schneidweg fehlt",IF(V214="","HINWEIS: keine Schneiddaten",IF(AND($AF214&lt;&gt;"",$AG214=""),"HINWEIS: Gewinde-Vorschlag prüfen","OK")))))))))))))</f>
        <v/>
      </c>
      <c r="X214" s="18" t="str">
        <f aca="false">IF(OR(O214="",$G214=""),"",O214*$G214)</f>
        <v/>
      </c>
      <c r="Y214" s="10"/>
      <c r="Z214" s="21"/>
      <c r="AA214" s="10"/>
      <c r="AB214" s="21"/>
      <c r="AC214" s="21"/>
      <c r="AD214" s="21"/>
      <c r="AE214" s="10"/>
      <c r="AF214" s="10"/>
      <c r="AG214" s="10"/>
      <c r="AH214" s="22"/>
      <c r="AI214" s="21"/>
      <c r="AJ214" s="22"/>
      <c r="AK214" s="21"/>
      <c r="AL214" s="22"/>
      <c r="AM214" s="21"/>
    </row>
    <row r="215" customFormat="false" ht="15" hidden="false" customHeight="false" outlineLevel="0" collapsed="false">
      <c r="A215" s="10"/>
      <c r="B215" s="10"/>
      <c r="C215" s="10"/>
      <c r="D215" s="10"/>
      <c r="E215" s="10"/>
      <c r="F215" s="21"/>
      <c r="G215" s="19"/>
      <c r="H215" s="21"/>
      <c r="I215" s="22"/>
      <c r="J215" s="19"/>
      <c r="K215" s="23" t="str">
        <f aca="false">IF($D215="","",IFERROR(INDEX(Profile!$B$5:$B$304,MATCH($D215,lst_Profil,0)),""))</f>
        <v/>
      </c>
      <c r="L215" s="13" t="str">
        <f aca="false">IF($D215="","",IFERROR(INDEX(Profile!$K$5:$K$304,MATCH($D215,lst_Profil,0))+0,""))</f>
        <v/>
      </c>
      <c r="M215" s="24" t="str">
        <f aca="false">IF($D215="","",IFERROR(INDEX(Profile!$E$5:$E$304,MATCH($D215,lst_Profil,0))+0,""))</f>
        <v/>
      </c>
      <c r="N215" s="25" t="str">
        <f aca="false">IF(OR(L215="",$E215=""),"",IFERROR(L215*INDEX(Werkstoffe!$E$5:$E$304,MATCH($E215,lst_Werkstoff,0))/1000,""))</f>
        <v/>
      </c>
      <c r="O215" s="25" t="str">
        <f aca="false">IF(OR(N215="",$F215=""),"",N215*$F215/1000)</f>
        <v/>
      </c>
      <c r="P215" s="16" t="str">
        <f aca="false">IF(OR($F215="",$G215=""),"",$F215*$G215)</f>
        <v/>
      </c>
      <c r="Q215" s="16" t="str">
        <f aca="false">IF($D215="","",IF($J215&lt;&gt;"",$J215,$C$9))</f>
        <v/>
      </c>
      <c r="R215" s="12" t="str">
        <f aca="false">IF($D215="","",IFERROR(IF(INDEX(Profile!$G$5:$G$304,MATCH($D215,lst_Profil,0))&lt;&gt;"",INDEX(Profile!$G$5:$G$304,MATCH($D215,lst_Profil,0)),$H$4),$H$4))</f>
        <v/>
      </c>
      <c r="S215" s="12" t="str">
        <f aca="false">IF($D215="","",IFERROR(IF(INDEX(Profile!$H$5:$H$304,MATCH($D215,lst_Profil,0))&lt;&gt;"",INDEX(Profile!$H$5:$H$304,MATCH($D215,lst_Profil,0)),$H$5),$H$5))</f>
        <v/>
      </c>
      <c r="T215" s="16" t="str">
        <f aca="false">IF(OR(Q215="",NOT(ISNUMBER(R215)),NOT(ISNUMBER(S215))),"",Q215-R215-S215)</f>
        <v/>
      </c>
      <c r="U215" s="26" t="str">
        <f aca="false">IF(OR($D215="",$E215=""),"",IF(COUNTIFS(Preise!$A$5:$A$304,$D215,Preise!$B$5:$B$304,$E215,Preise!$I$5:$I$304,"OK")&gt;0,"ja","nein"))</f>
        <v/>
      </c>
      <c r="V215" s="15" t="str">
        <f aca="false">IF(OR(M215="",$E215="",$C$8=""),"",IF(_xlfn.MINIFS(Schneiddaten!$C$5:$C$304,Schneiddaten!$A$5:$A$304,$C$8,Schneiddaten!$B$5:$B$304,$E215,Schneiddaten!$C$5:$C$304,"&gt;="&amp;M215)=0,"",SUMIFS(Schneiddaten!$D$5:$D$304,Schneiddaten!$A$5:$A$304,$C$8,Schneiddaten!$B$5:$B$304,$E215,Schneiddaten!$C$5:$C$304,_xlfn.MINIFS(Schneiddaten!$C$5:$C$304,Schneiddaten!$A$5:$A$304,$C$8,Schneiddaten!$B$5:$B$304,$E215,Schneiddaten!$C$5:$C$304,"&gt;="&amp;M215))))</f>
        <v/>
      </c>
      <c r="W215" s="26" t="str">
        <f aca="false">IF(AND($D215="",$E215="",$F215="",$G215=""),"",IF(ISNA(MATCH($D215,lst_Profil,0)),"FEHLER: Profil unbekannt",IF(ISNA(MATCH($E215,lst_Werkstoff,0)),"FEHLER: Werkstoff unbekannt",IF(NOT(ISNUMBER(L215)),"FEHLER: Querschnitt fehlt (Profil)",IF(OR($F215="",$F215&lt;=0),"FEHLER: Teilelänge fehlt",IF(OR($G215="",$G215&lt;1),"FEHLER: Stückzahl fehlt",IF(NOT(ISNUMBER($H$4)),"FEHLER: Maschine fehlt/unbekannt",IF(Q215&gt;$H$7,"FEHLER: Stange länger als Maschine zulässt",IF($F215+$H$6&gt;T215,"FEHLER: Teil länger als Nutzlänge",IF(U215="nein","WARNUNG: kein gültiger Materialpreis",IF($H215="","HINWEIS: Schneidweg fehlt",IF(V215="","HINWEIS: keine Schneiddaten",IF(AND($AF215&lt;&gt;"",$AG215=""),"HINWEIS: Gewinde-Vorschlag prüfen","OK")))))))))))))</f>
        <v/>
      </c>
      <c r="X215" s="18" t="str">
        <f aca="false">IF(OR(O215="",$G215=""),"",O215*$G215)</f>
        <v/>
      </c>
      <c r="Y215" s="10"/>
      <c r="Z215" s="21"/>
      <c r="AA215" s="10"/>
      <c r="AB215" s="21"/>
      <c r="AC215" s="21"/>
      <c r="AD215" s="21"/>
      <c r="AE215" s="10"/>
      <c r="AF215" s="10"/>
      <c r="AG215" s="10"/>
      <c r="AH215" s="22"/>
      <c r="AI215" s="21"/>
      <c r="AJ215" s="22"/>
      <c r="AK215" s="21"/>
      <c r="AL215" s="22"/>
      <c r="AM215" s="21"/>
    </row>
    <row r="216" customFormat="false" ht="15" hidden="false" customHeight="false" outlineLevel="0" collapsed="false">
      <c r="A216" s="10"/>
      <c r="B216" s="10"/>
      <c r="C216" s="10"/>
      <c r="D216" s="10"/>
      <c r="E216" s="10"/>
      <c r="F216" s="21"/>
      <c r="G216" s="19"/>
      <c r="H216" s="21"/>
      <c r="I216" s="22"/>
      <c r="J216" s="19"/>
      <c r="K216" s="23" t="str">
        <f aca="false">IF($D216="","",IFERROR(INDEX(Profile!$B$5:$B$304,MATCH($D216,lst_Profil,0)),""))</f>
        <v/>
      </c>
      <c r="L216" s="13" t="str">
        <f aca="false">IF($D216="","",IFERROR(INDEX(Profile!$K$5:$K$304,MATCH($D216,lst_Profil,0))+0,""))</f>
        <v/>
      </c>
      <c r="M216" s="24" t="str">
        <f aca="false">IF($D216="","",IFERROR(INDEX(Profile!$E$5:$E$304,MATCH($D216,lst_Profil,0))+0,""))</f>
        <v/>
      </c>
      <c r="N216" s="25" t="str">
        <f aca="false">IF(OR(L216="",$E216=""),"",IFERROR(L216*INDEX(Werkstoffe!$E$5:$E$304,MATCH($E216,lst_Werkstoff,0))/1000,""))</f>
        <v/>
      </c>
      <c r="O216" s="25" t="str">
        <f aca="false">IF(OR(N216="",$F216=""),"",N216*$F216/1000)</f>
        <v/>
      </c>
      <c r="P216" s="16" t="str">
        <f aca="false">IF(OR($F216="",$G216=""),"",$F216*$G216)</f>
        <v/>
      </c>
      <c r="Q216" s="16" t="str">
        <f aca="false">IF($D216="","",IF($J216&lt;&gt;"",$J216,$C$9))</f>
        <v/>
      </c>
      <c r="R216" s="12" t="str">
        <f aca="false">IF($D216="","",IFERROR(IF(INDEX(Profile!$G$5:$G$304,MATCH($D216,lst_Profil,0))&lt;&gt;"",INDEX(Profile!$G$5:$G$304,MATCH($D216,lst_Profil,0)),$H$4),$H$4))</f>
        <v/>
      </c>
      <c r="S216" s="12" t="str">
        <f aca="false">IF($D216="","",IFERROR(IF(INDEX(Profile!$H$5:$H$304,MATCH($D216,lst_Profil,0))&lt;&gt;"",INDEX(Profile!$H$5:$H$304,MATCH($D216,lst_Profil,0)),$H$5),$H$5))</f>
        <v/>
      </c>
      <c r="T216" s="16" t="str">
        <f aca="false">IF(OR(Q216="",NOT(ISNUMBER(R216)),NOT(ISNUMBER(S216))),"",Q216-R216-S216)</f>
        <v/>
      </c>
      <c r="U216" s="26" t="str">
        <f aca="false">IF(OR($D216="",$E216=""),"",IF(COUNTIFS(Preise!$A$5:$A$304,$D216,Preise!$B$5:$B$304,$E216,Preise!$I$5:$I$304,"OK")&gt;0,"ja","nein"))</f>
        <v/>
      </c>
      <c r="V216" s="15" t="str">
        <f aca="false">IF(OR(M216="",$E216="",$C$8=""),"",IF(_xlfn.MINIFS(Schneiddaten!$C$5:$C$304,Schneiddaten!$A$5:$A$304,$C$8,Schneiddaten!$B$5:$B$304,$E216,Schneiddaten!$C$5:$C$304,"&gt;="&amp;M216)=0,"",SUMIFS(Schneiddaten!$D$5:$D$304,Schneiddaten!$A$5:$A$304,$C$8,Schneiddaten!$B$5:$B$304,$E216,Schneiddaten!$C$5:$C$304,_xlfn.MINIFS(Schneiddaten!$C$5:$C$304,Schneiddaten!$A$5:$A$304,$C$8,Schneiddaten!$B$5:$B$304,$E216,Schneiddaten!$C$5:$C$304,"&gt;="&amp;M216))))</f>
        <v/>
      </c>
      <c r="W216" s="26" t="str">
        <f aca="false">IF(AND($D216="",$E216="",$F216="",$G216=""),"",IF(ISNA(MATCH($D216,lst_Profil,0)),"FEHLER: Profil unbekannt",IF(ISNA(MATCH($E216,lst_Werkstoff,0)),"FEHLER: Werkstoff unbekannt",IF(NOT(ISNUMBER(L216)),"FEHLER: Querschnitt fehlt (Profil)",IF(OR($F216="",$F216&lt;=0),"FEHLER: Teilelänge fehlt",IF(OR($G216="",$G216&lt;1),"FEHLER: Stückzahl fehlt",IF(NOT(ISNUMBER($H$4)),"FEHLER: Maschine fehlt/unbekannt",IF(Q216&gt;$H$7,"FEHLER: Stange länger als Maschine zulässt",IF($F216+$H$6&gt;T216,"FEHLER: Teil länger als Nutzlänge",IF(U216="nein","WARNUNG: kein gültiger Materialpreis",IF($H216="","HINWEIS: Schneidweg fehlt",IF(V216="","HINWEIS: keine Schneiddaten",IF(AND($AF216&lt;&gt;"",$AG216=""),"HINWEIS: Gewinde-Vorschlag prüfen","OK")))))))))))))</f>
        <v/>
      </c>
      <c r="X216" s="18" t="str">
        <f aca="false">IF(OR(O216="",$G216=""),"",O216*$G216)</f>
        <v/>
      </c>
      <c r="Y216" s="10"/>
      <c r="Z216" s="21"/>
      <c r="AA216" s="10"/>
      <c r="AB216" s="21"/>
      <c r="AC216" s="21"/>
      <c r="AD216" s="21"/>
      <c r="AE216" s="10"/>
      <c r="AF216" s="10"/>
      <c r="AG216" s="10"/>
      <c r="AH216" s="22"/>
      <c r="AI216" s="21"/>
      <c r="AJ216" s="22"/>
      <c r="AK216" s="21"/>
      <c r="AL216" s="22"/>
      <c r="AM216" s="21"/>
    </row>
    <row r="217" customFormat="false" ht="15" hidden="false" customHeight="false" outlineLevel="0" collapsed="false">
      <c r="A217" s="10"/>
      <c r="B217" s="10"/>
      <c r="C217" s="10"/>
      <c r="D217" s="10"/>
      <c r="E217" s="10"/>
      <c r="F217" s="21"/>
      <c r="G217" s="19"/>
      <c r="H217" s="21"/>
      <c r="I217" s="22"/>
      <c r="J217" s="19"/>
      <c r="K217" s="23" t="str">
        <f aca="false">IF($D217="","",IFERROR(INDEX(Profile!$B$5:$B$304,MATCH($D217,lst_Profil,0)),""))</f>
        <v/>
      </c>
      <c r="L217" s="13" t="str">
        <f aca="false">IF($D217="","",IFERROR(INDEX(Profile!$K$5:$K$304,MATCH($D217,lst_Profil,0))+0,""))</f>
        <v/>
      </c>
      <c r="M217" s="24" t="str">
        <f aca="false">IF($D217="","",IFERROR(INDEX(Profile!$E$5:$E$304,MATCH($D217,lst_Profil,0))+0,""))</f>
        <v/>
      </c>
      <c r="N217" s="25" t="str">
        <f aca="false">IF(OR(L217="",$E217=""),"",IFERROR(L217*INDEX(Werkstoffe!$E$5:$E$304,MATCH($E217,lst_Werkstoff,0))/1000,""))</f>
        <v/>
      </c>
      <c r="O217" s="25" t="str">
        <f aca="false">IF(OR(N217="",$F217=""),"",N217*$F217/1000)</f>
        <v/>
      </c>
      <c r="P217" s="16" t="str">
        <f aca="false">IF(OR($F217="",$G217=""),"",$F217*$G217)</f>
        <v/>
      </c>
      <c r="Q217" s="16" t="str">
        <f aca="false">IF($D217="","",IF($J217&lt;&gt;"",$J217,$C$9))</f>
        <v/>
      </c>
      <c r="R217" s="12" t="str">
        <f aca="false">IF($D217="","",IFERROR(IF(INDEX(Profile!$G$5:$G$304,MATCH($D217,lst_Profil,0))&lt;&gt;"",INDEX(Profile!$G$5:$G$304,MATCH($D217,lst_Profil,0)),$H$4),$H$4))</f>
        <v/>
      </c>
      <c r="S217" s="12" t="str">
        <f aca="false">IF($D217="","",IFERROR(IF(INDEX(Profile!$H$5:$H$304,MATCH($D217,lst_Profil,0))&lt;&gt;"",INDEX(Profile!$H$5:$H$304,MATCH($D217,lst_Profil,0)),$H$5),$H$5))</f>
        <v/>
      </c>
      <c r="T217" s="16" t="str">
        <f aca="false">IF(OR(Q217="",NOT(ISNUMBER(R217)),NOT(ISNUMBER(S217))),"",Q217-R217-S217)</f>
        <v/>
      </c>
      <c r="U217" s="26" t="str">
        <f aca="false">IF(OR($D217="",$E217=""),"",IF(COUNTIFS(Preise!$A$5:$A$304,$D217,Preise!$B$5:$B$304,$E217,Preise!$I$5:$I$304,"OK")&gt;0,"ja","nein"))</f>
        <v/>
      </c>
      <c r="V217" s="15" t="str">
        <f aca="false">IF(OR(M217="",$E217="",$C$8=""),"",IF(_xlfn.MINIFS(Schneiddaten!$C$5:$C$304,Schneiddaten!$A$5:$A$304,$C$8,Schneiddaten!$B$5:$B$304,$E217,Schneiddaten!$C$5:$C$304,"&gt;="&amp;M217)=0,"",SUMIFS(Schneiddaten!$D$5:$D$304,Schneiddaten!$A$5:$A$304,$C$8,Schneiddaten!$B$5:$B$304,$E217,Schneiddaten!$C$5:$C$304,_xlfn.MINIFS(Schneiddaten!$C$5:$C$304,Schneiddaten!$A$5:$A$304,$C$8,Schneiddaten!$B$5:$B$304,$E217,Schneiddaten!$C$5:$C$304,"&gt;="&amp;M217))))</f>
        <v/>
      </c>
      <c r="W217" s="26" t="str">
        <f aca="false">IF(AND($D217="",$E217="",$F217="",$G217=""),"",IF(ISNA(MATCH($D217,lst_Profil,0)),"FEHLER: Profil unbekannt",IF(ISNA(MATCH($E217,lst_Werkstoff,0)),"FEHLER: Werkstoff unbekannt",IF(NOT(ISNUMBER(L217)),"FEHLER: Querschnitt fehlt (Profil)",IF(OR($F217="",$F217&lt;=0),"FEHLER: Teilelänge fehlt",IF(OR($G217="",$G217&lt;1),"FEHLER: Stückzahl fehlt",IF(NOT(ISNUMBER($H$4)),"FEHLER: Maschine fehlt/unbekannt",IF(Q217&gt;$H$7,"FEHLER: Stange länger als Maschine zulässt",IF($F217+$H$6&gt;T217,"FEHLER: Teil länger als Nutzlänge",IF(U217="nein","WARNUNG: kein gültiger Materialpreis",IF($H217="","HINWEIS: Schneidweg fehlt",IF(V217="","HINWEIS: keine Schneiddaten",IF(AND($AF217&lt;&gt;"",$AG217=""),"HINWEIS: Gewinde-Vorschlag prüfen","OK")))))))))))))</f>
        <v/>
      </c>
      <c r="X217" s="18" t="str">
        <f aca="false">IF(OR(O217="",$G217=""),"",O217*$G217)</f>
        <v/>
      </c>
      <c r="Y217" s="10"/>
      <c r="Z217" s="21"/>
      <c r="AA217" s="10"/>
      <c r="AB217" s="21"/>
      <c r="AC217" s="21"/>
      <c r="AD217" s="21"/>
      <c r="AE217" s="10"/>
      <c r="AF217" s="10"/>
      <c r="AG217" s="10"/>
      <c r="AH217" s="22"/>
      <c r="AI217" s="21"/>
      <c r="AJ217" s="22"/>
      <c r="AK217" s="21"/>
      <c r="AL217" s="22"/>
      <c r="AM217" s="21"/>
    </row>
    <row r="218" customFormat="false" ht="15" hidden="false" customHeight="false" outlineLevel="0" collapsed="false">
      <c r="A218" s="10"/>
      <c r="B218" s="10"/>
      <c r="C218" s="10"/>
      <c r="D218" s="10"/>
      <c r="E218" s="10"/>
      <c r="F218" s="21"/>
      <c r="G218" s="19"/>
      <c r="H218" s="21"/>
      <c r="I218" s="22"/>
      <c r="J218" s="19"/>
      <c r="K218" s="23" t="str">
        <f aca="false">IF($D218="","",IFERROR(INDEX(Profile!$B$5:$B$304,MATCH($D218,lst_Profil,0)),""))</f>
        <v/>
      </c>
      <c r="L218" s="13" t="str">
        <f aca="false">IF($D218="","",IFERROR(INDEX(Profile!$K$5:$K$304,MATCH($D218,lst_Profil,0))+0,""))</f>
        <v/>
      </c>
      <c r="M218" s="24" t="str">
        <f aca="false">IF($D218="","",IFERROR(INDEX(Profile!$E$5:$E$304,MATCH($D218,lst_Profil,0))+0,""))</f>
        <v/>
      </c>
      <c r="N218" s="25" t="str">
        <f aca="false">IF(OR(L218="",$E218=""),"",IFERROR(L218*INDEX(Werkstoffe!$E$5:$E$304,MATCH($E218,lst_Werkstoff,0))/1000,""))</f>
        <v/>
      </c>
      <c r="O218" s="25" t="str">
        <f aca="false">IF(OR(N218="",$F218=""),"",N218*$F218/1000)</f>
        <v/>
      </c>
      <c r="P218" s="16" t="str">
        <f aca="false">IF(OR($F218="",$G218=""),"",$F218*$G218)</f>
        <v/>
      </c>
      <c r="Q218" s="16" t="str">
        <f aca="false">IF($D218="","",IF($J218&lt;&gt;"",$J218,$C$9))</f>
        <v/>
      </c>
      <c r="R218" s="12" t="str">
        <f aca="false">IF($D218="","",IFERROR(IF(INDEX(Profile!$G$5:$G$304,MATCH($D218,lst_Profil,0))&lt;&gt;"",INDEX(Profile!$G$5:$G$304,MATCH($D218,lst_Profil,0)),$H$4),$H$4))</f>
        <v/>
      </c>
      <c r="S218" s="12" t="str">
        <f aca="false">IF($D218="","",IFERROR(IF(INDEX(Profile!$H$5:$H$304,MATCH($D218,lst_Profil,0))&lt;&gt;"",INDEX(Profile!$H$5:$H$304,MATCH($D218,lst_Profil,0)),$H$5),$H$5))</f>
        <v/>
      </c>
      <c r="T218" s="16" t="str">
        <f aca="false">IF(OR(Q218="",NOT(ISNUMBER(R218)),NOT(ISNUMBER(S218))),"",Q218-R218-S218)</f>
        <v/>
      </c>
      <c r="U218" s="26" t="str">
        <f aca="false">IF(OR($D218="",$E218=""),"",IF(COUNTIFS(Preise!$A$5:$A$304,$D218,Preise!$B$5:$B$304,$E218,Preise!$I$5:$I$304,"OK")&gt;0,"ja","nein"))</f>
        <v/>
      </c>
      <c r="V218" s="15" t="str">
        <f aca="false">IF(OR(M218="",$E218="",$C$8=""),"",IF(_xlfn.MINIFS(Schneiddaten!$C$5:$C$304,Schneiddaten!$A$5:$A$304,$C$8,Schneiddaten!$B$5:$B$304,$E218,Schneiddaten!$C$5:$C$304,"&gt;="&amp;M218)=0,"",SUMIFS(Schneiddaten!$D$5:$D$304,Schneiddaten!$A$5:$A$304,$C$8,Schneiddaten!$B$5:$B$304,$E218,Schneiddaten!$C$5:$C$304,_xlfn.MINIFS(Schneiddaten!$C$5:$C$304,Schneiddaten!$A$5:$A$304,$C$8,Schneiddaten!$B$5:$B$304,$E218,Schneiddaten!$C$5:$C$304,"&gt;="&amp;M218))))</f>
        <v/>
      </c>
      <c r="W218" s="26" t="str">
        <f aca="false">IF(AND($D218="",$E218="",$F218="",$G218=""),"",IF(ISNA(MATCH($D218,lst_Profil,0)),"FEHLER: Profil unbekannt",IF(ISNA(MATCH($E218,lst_Werkstoff,0)),"FEHLER: Werkstoff unbekannt",IF(NOT(ISNUMBER(L218)),"FEHLER: Querschnitt fehlt (Profil)",IF(OR($F218="",$F218&lt;=0),"FEHLER: Teilelänge fehlt",IF(OR($G218="",$G218&lt;1),"FEHLER: Stückzahl fehlt",IF(NOT(ISNUMBER($H$4)),"FEHLER: Maschine fehlt/unbekannt",IF(Q218&gt;$H$7,"FEHLER: Stange länger als Maschine zulässt",IF($F218+$H$6&gt;T218,"FEHLER: Teil länger als Nutzlänge",IF(U218="nein","WARNUNG: kein gültiger Materialpreis",IF($H218="","HINWEIS: Schneidweg fehlt",IF(V218="","HINWEIS: keine Schneiddaten",IF(AND($AF218&lt;&gt;"",$AG218=""),"HINWEIS: Gewinde-Vorschlag prüfen","OK")))))))))))))</f>
        <v/>
      </c>
      <c r="X218" s="18" t="str">
        <f aca="false">IF(OR(O218="",$G218=""),"",O218*$G218)</f>
        <v/>
      </c>
      <c r="Y218" s="10"/>
      <c r="Z218" s="21"/>
      <c r="AA218" s="10"/>
      <c r="AB218" s="21"/>
      <c r="AC218" s="21"/>
      <c r="AD218" s="21"/>
      <c r="AE218" s="10"/>
      <c r="AF218" s="10"/>
      <c r="AG218" s="10"/>
      <c r="AH218" s="22"/>
      <c r="AI218" s="21"/>
      <c r="AJ218" s="22"/>
      <c r="AK218" s="21"/>
      <c r="AL218" s="22"/>
      <c r="AM218" s="21"/>
    </row>
    <row r="219" customFormat="false" ht="15" hidden="false" customHeight="false" outlineLevel="0" collapsed="false">
      <c r="A219" s="10"/>
      <c r="B219" s="10"/>
      <c r="C219" s="10"/>
      <c r="D219" s="10"/>
      <c r="E219" s="10"/>
      <c r="F219" s="21"/>
      <c r="G219" s="19"/>
      <c r="H219" s="21"/>
      <c r="I219" s="22"/>
      <c r="J219" s="19"/>
      <c r="K219" s="23" t="str">
        <f aca="false">IF($D219="","",IFERROR(INDEX(Profile!$B$5:$B$304,MATCH($D219,lst_Profil,0)),""))</f>
        <v/>
      </c>
      <c r="L219" s="13" t="str">
        <f aca="false">IF($D219="","",IFERROR(INDEX(Profile!$K$5:$K$304,MATCH($D219,lst_Profil,0))+0,""))</f>
        <v/>
      </c>
      <c r="M219" s="24" t="str">
        <f aca="false">IF($D219="","",IFERROR(INDEX(Profile!$E$5:$E$304,MATCH($D219,lst_Profil,0))+0,""))</f>
        <v/>
      </c>
      <c r="N219" s="25" t="str">
        <f aca="false">IF(OR(L219="",$E219=""),"",IFERROR(L219*INDEX(Werkstoffe!$E$5:$E$304,MATCH($E219,lst_Werkstoff,0))/1000,""))</f>
        <v/>
      </c>
      <c r="O219" s="25" t="str">
        <f aca="false">IF(OR(N219="",$F219=""),"",N219*$F219/1000)</f>
        <v/>
      </c>
      <c r="P219" s="16" t="str">
        <f aca="false">IF(OR($F219="",$G219=""),"",$F219*$G219)</f>
        <v/>
      </c>
      <c r="Q219" s="16" t="str">
        <f aca="false">IF($D219="","",IF($J219&lt;&gt;"",$J219,$C$9))</f>
        <v/>
      </c>
      <c r="R219" s="12" t="str">
        <f aca="false">IF($D219="","",IFERROR(IF(INDEX(Profile!$G$5:$G$304,MATCH($D219,lst_Profil,0))&lt;&gt;"",INDEX(Profile!$G$5:$G$304,MATCH($D219,lst_Profil,0)),$H$4),$H$4))</f>
        <v/>
      </c>
      <c r="S219" s="12" t="str">
        <f aca="false">IF($D219="","",IFERROR(IF(INDEX(Profile!$H$5:$H$304,MATCH($D219,lst_Profil,0))&lt;&gt;"",INDEX(Profile!$H$5:$H$304,MATCH($D219,lst_Profil,0)),$H$5),$H$5))</f>
        <v/>
      </c>
      <c r="T219" s="16" t="str">
        <f aca="false">IF(OR(Q219="",NOT(ISNUMBER(R219)),NOT(ISNUMBER(S219))),"",Q219-R219-S219)</f>
        <v/>
      </c>
      <c r="U219" s="26" t="str">
        <f aca="false">IF(OR($D219="",$E219=""),"",IF(COUNTIFS(Preise!$A$5:$A$304,$D219,Preise!$B$5:$B$304,$E219,Preise!$I$5:$I$304,"OK")&gt;0,"ja","nein"))</f>
        <v/>
      </c>
      <c r="V219" s="15" t="str">
        <f aca="false">IF(OR(M219="",$E219="",$C$8=""),"",IF(_xlfn.MINIFS(Schneiddaten!$C$5:$C$304,Schneiddaten!$A$5:$A$304,$C$8,Schneiddaten!$B$5:$B$304,$E219,Schneiddaten!$C$5:$C$304,"&gt;="&amp;M219)=0,"",SUMIFS(Schneiddaten!$D$5:$D$304,Schneiddaten!$A$5:$A$304,$C$8,Schneiddaten!$B$5:$B$304,$E219,Schneiddaten!$C$5:$C$304,_xlfn.MINIFS(Schneiddaten!$C$5:$C$304,Schneiddaten!$A$5:$A$304,$C$8,Schneiddaten!$B$5:$B$304,$E219,Schneiddaten!$C$5:$C$304,"&gt;="&amp;M219))))</f>
        <v/>
      </c>
      <c r="W219" s="26" t="str">
        <f aca="false">IF(AND($D219="",$E219="",$F219="",$G219=""),"",IF(ISNA(MATCH($D219,lst_Profil,0)),"FEHLER: Profil unbekannt",IF(ISNA(MATCH($E219,lst_Werkstoff,0)),"FEHLER: Werkstoff unbekannt",IF(NOT(ISNUMBER(L219)),"FEHLER: Querschnitt fehlt (Profil)",IF(OR($F219="",$F219&lt;=0),"FEHLER: Teilelänge fehlt",IF(OR($G219="",$G219&lt;1),"FEHLER: Stückzahl fehlt",IF(NOT(ISNUMBER($H$4)),"FEHLER: Maschine fehlt/unbekannt",IF(Q219&gt;$H$7,"FEHLER: Stange länger als Maschine zulässt",IF($F219+$H$6&gt;T219,"FEHLER: Teil länger als Nutzlänge",IF(U219="nein","WARNUNG: kein gültiger Materialpreis",IF($H219="","HINWEIS: Schneidweg fehlt",IF(V219="","HINWEIS: keine Schneiddaten",IF(AND($AF219&lt;&gt;"",$AG219=""),"HINWEIS: Gewinde-Vorschlag prüfen","OK")))))))))))))</f>
        <v/>
      </c>
      <c r="X219" s="18" t="str">
        <f aca="false">IF(OR(O219="",$G219=""),"",O219*$G219)</f>
        <v/>
      </c>
      <c r="Y219" s="10"/>
      <c r="Z219" s="21"/>
      <c r="AA219" s="10"/>
      <c r="AB219" s="21"/>
      <c r="AC219" s="21"/>
      <c r="AD219" s="21"/>
      <c r="AE219" s="10"/>
      <c r="AF219" s="10"/>
      <c r="AG219" s="10"/>
      <c r="AH219" s="22"/>
      <c r="AI219" s="21"/>
      <c r="AJ219" s="22"/>
      <c r="AK219" s="21"/>
      <c r="AL219" s="22"/>
      <c r="AM219" s="21"/>
    </row>
    <row r="220" customFormat="false" ht="15" hidden="false" customHeight="false" outlineLevel="0" collapsed="false">
      <c r="A220" s="10"/>
      <c r="B220" s="10"/>
      <c r="C220" s="10"/>
      <c r="D220" s="10"/>
      <c r="E220" s="10"/>
      <c r="F220" s="21"/>
      <c r="G220" s="19"/>
      <c r="H220" s="21"/>
      <c r="I220" s="22"/>
      <c r="J220" s="19"/>
      <c r="K220" s="23" t="str">
        <f aca="false">IF($D220="","",IFERROR(INDEX(Profile!$B$5:$B$304,MATCH($D220,lst_Profil,0)),""))</f>
        <v/>
      </c>
      <c r="L220" s="13" t="str">
        <f aca="false">IF($D220="","",IFERROR(INDEX(Profile!$K$5:$K$304,MATCH($D220,lst_Profil,0))+0,""))</f>
        <v/>
      </c>
      <c r="M220" s="24" t="str">
        <f aca="false">IF($D220="","",IFERROR(INDEX(Profile!$E$5:$E$304,MATCH($D220,lst_Profil,0))+0,""))</f>
        <v/>
      </c>
      <c r="N220" s="25" t="str">
        <f aca="false">IF(OR(L220="",$E220=""),"",IFERROR(L220*INDEX(Werkstoffe!$E$5:$E$304,MATCH($E220,lst_Werkstoff,0))/1000,""))</f>
        <v/>
      </c>
      <c r="O220" s="25" t="str">
        <f aca="false">IF(OR(N220="",$F220=""),"",N220*$F220/1000)</f>
        <v/>
      </c>
      <c r="P220" s="16" t="str">
        <f aca="false">IF(OR($F220="",$G220=""),"",$F220*$G220)</f>
        <v/>
      </c>
      <c r="Q220" s="16" t="str">
        <f aca="false">IF($D220="","",IF($J220&lt;&gt;"",$J220,$C$9))</f>
        <v/>
      </c>
      <c r="R220" s="12" t="str">
        <f aca="false">IF($D220="","",IFERROR(IF(INDEX(Profile!$G$5:$G$304,MATCH($D220,lst_Profil,0))&lt;&gt;"",INDEX(Profile!$G$5:$G$304,MATCH($D220,lst_Profil,0)),$H$4),$H$4))</f>
        <v/>
      </c>
      <c r="S220" s="12" t="str">
        <f aca="false">IF($D220="","",IFERROR(IF(INDEX(Profile!$H$5:$H$304,MATCH($D220,lst_Profil,0))&lt;&gt;"",INDEX(Profile!$H$5:$H$304,MATCH($D220,lst_Profil,0)),$H$5),$H$5))</f>
        <v/>
      </c>
      <c r="T220" s="16" t="str">
        <f aca="false">IF(OR(Q220="",NOT(ISNUMBER(R220)),NOT(ISNUMBER(S220))),"",Q220-R220-S220)</f>
        <v/>
      </c>
      <c r="U220" s="26" t="str">
        <f aca="false">IF(OR($D220="",$E220=""),"",IF(COUNTIFS(Preise!$A$5:$A$304,$D220,Preise!$B$5:$B$304,$E220,Preise!$I$5:$I$304,"OK")&gt;0,"ja","nein"))</f>
        <v/>
      </c>
      <c r="V220" s="15" t="str">
        <f aca="false">IF(OR(M220="",$E220="",$C$8=""),"",IF(_xlfn.MINIFS(Schneiddaten!$C$5:$C$304,Schneiddaten!$A$5:$A$304,$C$8,Schneiddaten!$B$5:$B$304,$E220,Schneiddaten!$C$5:$C$304,"&gt;="&amp;M220)=0,"",SUMIFS(Schneiddaten!$D$5:$D$304,Schneiddaten!$A$5:$A$304,$C$8,Schneiddaten!$B$5:$B$304,$E220,Schneiddaten!$C$5:$C$304,_xlfn.MINIFS(Schneiddaten!$C$5:$C$304,Schneiddaten!$A$5:$A$304,$C$8,Schneiddaten!$B$5:$B$304,$E220,Schneiddaten!$C$5:$C$304,"&gt;="&amp;M220))))</f>
        <v/>
      </c>
      <c r="W220" s="26" t="str">
        <f aca="false">IF(AND($D220="",$E220="",$F220="",$G220=""),"",IF(ISNA(MATCH($D220,lst_Profil,0)),"FEHLER: Profil unbekannt",IF(ISNA(MATCH($E220,lst_Werkstoff,0)),"FEHLER: Werkstoff unbekannt",IF(NOT(ISNUMBER(L220)),"FEHLER: Querschnitt fehlt (Profil)",IF(OR($F220="",$F220&lt;=0),"FEHLER: Teilelänge fehlt",IF(OR($G220="",$G220&lt;1),"FEHLER: Stückzahl fehlt",IF(NOT(ISNUMBER($H$4)),"FEHLER: Maschine fehlt/unbekannt",IF(Q220&gt;$H$7,"FEHLER: Stange länger als Maschine zulässt",IF($F220+$H$6&gt;T220,"FEHLER: Teil länger als Nutzlänge",IF(U220="nein","WARNUNG: kein gültiger Materialpreis",IF($H220="","HINWEIS: Schneidweg fehlt",IF(V220="","HINWEIS: keine Schneiddaten",IF(AND($AF220&lt;&gt;"",$AG220=""),"HINWEIS: Gewinde-Vorschlag prüfen","OK")))))))))))))</f>
        <v/>
      </c>
      <c r="X220" s="18" t="str">
        <f aca="false">IF(OR(O220="",$G220=""),"",O220*$G220)</f>
        <v/>
      </c>
      <c r="Y220" s="10"/>
      <c r="Z220" s="21"/>
      <c r="AA220" s="10"/>
      <c r="AB220" s="21"/>
      <c r="AC220" s="21"/>
      <c r="AD220" s="21"/>
      <c r="AE220" s="10"/>
      <c r="AF220" s="10"/>
      <c r="AG220" s="10"/>
      <c r="AH220" s="22"/>
      <c r="AI220" s="21"/>
      <c r="AJ220" s="22"/>
      <c r="AK220" s="21"/>
      <c r="AL220" s="22"/>
      <c r="AM220" s="21"/>
    </row>
    <row r="221" customFormat="false" ht="15" hidden="false" customHeight="false" outlineLevel="0" collapsed="false">
      <c r="A221" s="10"/>
      <c r="B221" s="10"/>
      <c r="C221" s="10"/>
      <c r="D221" s="10"/>
      <c r="E221" s="10"/>
      <c r="F221" s="21"/>
      <c r="G221" s="19"/>
      <c r="H221" s="21"/>
      <c r="I221" s="22"/>
      <c r="J221" s="19"/>
      <c r="K221" s="23" t="str">
        <f aca="false">IF($D221="","",IFERROR(INDEX(Profile!$B$5:$B$304,MATCH($D221,lst_Profil,0)),""))</f>
        <v/>
      </c>
      <c r="L221" s="13" t="str">
        <f aca="false">IF($D221="","",IFERROR(INDEX(Profile!$K$5:$K$304,MATCH($D221,lst_Profil,0))+0,""))</f>
        <v/>
      </c>
      <c r="M221" s="24" t="str">
        <f aca="false">IF($D221="","",IFERROR(INDEX(Profile!$E$5:$E$304,MATCH($D221,lst_Profil,0))+0,""))</f>
        <v/>
      </c>
      <c r="N221" s="25" t="str">
        <f aca="false">IF(OR(L221="",$E221=""),"",IFERROR(L221*INDEX(Werkstoffe!$E$5:$E$304,MATCH($E221,lst_Werkstoff,0))/1000,""))</f>
        <v/>
      </c>
      <c r="O221" s="25" t="str">
        <f aca="false">IF(OR(N221="",$F221=""),"",N221*$F221/1000)</f>
        <v/>
      </c>
      <c r="P221" s="16" t="str">
        <f aca="false">IF(OR($F221="",$G221=""),"",$F221*$G221)</f>
        <v/>
      </c>
      <c r="Q221" s="16" t="str">
        <f aca="false">IF($D221="","",IF($J221&lt;&gt;"",$J221,$C$9))</f>
        <v/>
      </c>
      <c r="R221" s="12" t="str">
        <f aca="false">IF($D221="","",IFERROR(IF(INDEX(Profile!$G$5:$G$304,MATCH($D221,lst_Profil,0))&lt;&gt;"",INDEX(Profile!$G$5:$G$304,MATCH($D221,lst_Profil,0)),$H$4),$H$4))</f>
        <v/>
      </c>
      <c r="S221" s="12" t="str">
        <f aca="false">IF($D221="","",IFERROR(IF(INDEX(Profile!$H$5:$H$304,MATCH($D221,lst_Profil,0))&lt;&gt;"",INDEX(Profile!$H$5:$H$304,MATCH($D221,lst_Profil,0)),$H$5),$H$5))</f>
        <v/>
      </c>
      <c r="T221" s="16" t="str">
        <f aca="false">IF(OR(Q221="",NOT(ISNUMBER(R221)),NOT(ISNUMBER(S221))),"",Q221-R221-S221)</f>
        <v/>
      </c>
      <c r="U221" s="26" t="str">
        <f aca="false">IF(OR($D221="",$E221=""),"",IF(COUNTIFS(Preise!$A$5:$A$304,$D221,Preise!$B$5:$B$304,$E221,Preise!$I$5:$I$304,"OK")&gt;0,"ja","nein"))</f>
        <v/>
      </c>
      <c r="V221" s="15" t="str">
        <f aca="false">IF(OR(M221="",$E221="",$C$8=""),"",IF(_xlfn.MINIFS(Schneiddaten!$C$5:$C$304,Schneiddaten!$A$5:$A$304,$C$8,Schneiddaten!$B$5:$B$304,$E221,Schneiddaten!$C$5:$C$304,"&gt;="&amp;M221)=0,"",SUMIFS(Schneiddaten!$D$5:$D$304,Schneiddaten!$A$5:$A$304,$C$8,Schneiddaten!$B$5:$B$304,$E221,Schneiddaten!$C$5:$C$304,_xlfn.MINIFS(Schneiddaten!$C$5:$C$304,Schneiddaten!$A$5:$A$304,$C$8,Schneiddaten!$B$5:$B$304,$E221,Schneiddaten!$C$5:$C$304,"&gt;="&amp;M221))))</f>
        <v/>
      </c>
      <c r="W221" s="26" t="str">
        <f aca="false">IF(AND($D221="",$E221="",$F221="",$G221=""),"",IF(ISNA(MATCH($D221,lst_Profil,0)),"FEHLER: Profil unbekannt",IF(ISNA(MATCH($E221,lst_Werkstoff,0)),"FEHLER: Werkstoff unbekannt",IF(NOT(ISNUMBER(L221)),"FEHLER: Querschnitt fehlt (Profil)",IF(OR($F221="",$F221&lt;=0),"FEHLER: Teilelänge fehlt",IF(OR($G221="",$G221&lt;1),"FEHLER: Stückzahl fehlt",IF(NOT(ISNUMBER($H$4)),"FEHLER: Maschine fehlt/unbekannt",IF(Q221&gt;$H$7,"FEHLER: Stange länger als Maschine zulässt",IF($F221+$H$6&gt;T221,"FEHLER: Teil länger als Nutzlänge",IF(U221="nein","WARNUNG: kein gültiger Materialpreis",IF($H221="","HINWEIS: Schneidweg fehlt",IF(V221="","HINWEIS: keine Schneiddaten",IF(AND($AF221&lt;&gt;"",$AG221=""),"HINWEIS: Gewinde-Vorschlag prüfen","OK")))))))))))))</f>
        <v/>
      </c>
      <c r="X221" s="18" t="str">
        <f aca="false">IF(OR(O221="",$G221=""),"",O221*$G221)</f>
        <v/>
      </c>
      <c r="Y221" s="10"/>
      <c r="Z221" s="21"/>
      <c r="AA221" s="10"/>
      <c r="AB221" s="21"/>
      <c r="AC221" s="21"/>
      <c r="AD221" s="21"/>
      <c r="AE221" s="10"/>
      <c r="AF221" s="10"/>
      <c r="AG221" s="10"/>
      <c r="AH221" s="22"/>
      <c r="AI221" s="21"/>
      <c r="AJ221" s="22"/>
      <c r="AK221" s="21"/>
      <c r="AL221" s="22"/>
      <c r="AM221" s="21"/>
    </row>
    <row r="222" customFormat="false" ht="15" hidden="false" customHeight="false" outlineLevel="0" collapsed="false">
      <c r="A222" s="10"/>
      <c r="B222" s="10"/>
      <c r="C222" s="10"/>
      <c r="D222" s="10"/>
      <c r="E222" s="10"/>
      <c r="F222" s="21"/>
      <c r="G222" s="19"/>
      <c r="H222" s="21"/>
      <c r="I222" s="22"/>
      <c r="J222" s="19"/>
      <c r="K222" s="23" t="str">
        <f aca="false">IF($D222="","",IFERROR(INDEX(Profile!$B$5:$B$304,MATCH($D222,lst_Profil,0)),""))</f>
        <v/>
      </c>
      <c r="L222" s="13" t="str">
        <f aca="false">IF($D222="","",IFERROR(INDEX(Profile!$K$5:$K$304,MATCH($D222,lst_Profil,0))+0,""))</f>
        <v/>
      </c>
      <c r="M222" s="24" t="str">
        <f aca="false">IF($D222="","",IFERROR(INDEX(Profile!$E$5:$E$304,MATCH($D222,lst_Profil,0))+0,""))</f>
        <v/>
      </c>
      <c r="N222" s="25" t="str">
        <f aca="false">IF(OR(L222="",$E222=""),"",IFERROR(L222*INDEX(Werkstoffe!$E$5:$E$304,MATCH($E222,lst_Werkstoff,0))/1000,""))</f>
        <v/>
      </c>
      <c r="O222" s="25" t="str">
        <f aca="false">IF(OR(N222="",$F222=""),"",N222*$F222/1000)</f>
        <v/>
      </c>
      <c r="P222" s="16" t="str">
        <f aca="false">IF(OR($F222="",$G222=""),"",$F222*$G222)</f>
        <v/>
      </c>
      <c r="Q222" s="16" t="str">
        <f aca="false">IF($D222="","",IF($J222&lt;&gt;"",$J222,$C$9))</f>
        <v/>
      </c>
      <c r="R222" s="12" t="str">
        <f aca="false">IF($D222="","",IFERROR(IF(INDEX(Profile!$G$5:$G$304,MATCH($D222,lst_Profil,0))&lt;&gt;"",INDEX(Profile!$G$5:$G$304,MATCH($D222,lst_Profil,0)),$H$4),$H$4))</f>
        <v/>
      </c>
      <c r="S222" s="12" t="str">
        <f aca="false">IF($D222="","",IFERROR(IF(INDEX(Profile!$H$5:$H$304,MATCH($D222,lst_Profil,0))&lt;&gt;"",INDEX(Profile!$H$5:$H$304,MATCH($D222,lst_Profil,0)),$H$5),$H$5))</f>
        <v/>
      </c>
      <c r="T222" s="16" t="str">
        <f aca="false">IF(OR(Q222="",NOT(ISNUMBER(R222)),NOT(ISNUMBER(S222))),"",Q222-R222-S222)</f>
        <v/>
      </c>
      <c r="U222" s="26" t="str">
        <f aca="false">IF(OR($D222="",$E222=""),"",IF(COUNTIFS(Preise!$A$5:$A$304,$D222,Preise!$B$5:$B$304,$E222,Preise!$I$5:$I$304,"OK")&gt;0,"ja","nein"))</f>
        <v/>
      </c>
      <c r="V222" s="15" t="str">
        <f aca="false">IF(OR(M222="",$E222="",$C$8=""),"",IF(_xlfn.MINIFS(Schneiddaten!$C$5:$C$304,Schneiddaten!$A$5:$A$304,$C$8,Schneiddaten!$B$5:$B$304,$E222,Schneiddaten!$C$5:$C$304,"&gt;="&amp;M222)=0,"",SUMIFS(Schneiddaten!$D$5:$D$304,Schneiddaten!$A$5:$A$304,$C$8,Schneiddaten!$B$5:$B$304,$E222,Schneiddaten!$C$5:$C$304,_xlfn.MINIFS(Schneiddaten!$C$5:$C$304,Schneiddaten!$A$5:$A$304,$C$8,Schneiddaten!$B$5:$B$304,$E222,Schneiddaten!$C$5:$C$304,"&gt;="&amp;M222))))</f>
        <v/>
      </c>
      <c r="W222" s="26" t="str">
        <f aca="false">IF(AND($D222="",$E222="",$F222="",$G222=""),"",IF(ISNA(MATCH($D222,lst_Profil,0)),"FEHLER: Profil unbekannt",IF(ISNA(MATCH($E222,lst_Werkstoff,0)),"FEHLER: Werkstoff unbekannt",IF(NOT(ISNUMBER(L222)),"FEHLER: Querschnitt fehlt (Profil)",IF(OR($F222="",$F222&lt;=0),"FEHLER: Teilelänge fehlt",IF(OR($G222="",$G222&lt;1),"FEHLER: Stückzahl fehlt",IF(NOT(ISNUMBER($H$4)),"FEHLER: Maschine fehlt/unbekannt",IF(Q222&gt;$H$7,"FEHLER: Stange länger als Maschine zulässt",IF($F222+$H$6&gt;T222,"FEHLER: Teil länger als Nutzlänge",IF(U222="nein","WARNUNG: kein gültiger Materialpreis",IF($H222="","HINWEIS: Schneidweg fehlt",IF(V222="","HINWEIS: keine Schneiddaten",IF(AND($AF222&lt;&gt;"",$AG222=""),"HINWEIS: Gewinde-Vorschlag prüfen","OK")))))))))))))</f>
        <v/>
      </c>
      <c r="X222" s="18" t="str">
        <f aca="false">IF(OR(O222="",$G222=""),"",O222*$G222)</f>
        <v/>
      </c>
      <c r="Y222" s="10"/>
      <c r="Z222" s="21"/>
      <c r="AA222" s="10"/>
      <c r="AB222" s="21"/>
      <c r="AC222" s="21"/>
      <c r="AD222" s="21"/>
      <c r="AE222" s="10"/>
      <c r="AF222" s="10"/>
      <c r="AG222" s="10"/>
      <c r="AH222" s="22"/>
      <c r="AI222" s="21"/>
      <c r="AJ222" s="22"/>
      <c r="AK222" s="21"/>
      <c r="AL222" s="22"/>
      <c r="AM222" s="21"/>
    </row>
    <row r="223" customFormat="false" ht="15" hidden="false" customHeight="false" outlineLevel="0" collapsed="false">
      <c r="A223" s="10"/>
      <c r="B223" s="10"/>
      <c r="C223" s="10"/>
      <c r="D223" s="10"/>
      <c r="E223" s="10"/>
      <c r="F223" s="21"/>
      <c r="G223" s="19"/>
      <c r="H223" s="21"/>
      <c r="I223" s="22"/>
      <c r="J223" s="19"/>
      <c r="K223" s="23" t="str">
        <f aca="false">IF($D223="","",IFERROR(INDEX(Profile!$B$5:$B$304,MATCH($D223,lst_Profil,0)),""))</f>
        <v/>
      </c>
      <c r="L223" s="13" t="str">
        <f aca="false">IF($D223="","",IFERROR(INDEX(Profile!$K$5:$K$304,MATCH($D223,lst_Profil,0))+0,""))</f>
        <v/>
      </c>
      <c r="M223" s="24" t="str">
        <f aca="false">IF($D223="","",IFERROR(INDEX(Profile!$E$5:$E$304,MATCH($D223,lst_Profil,0))+0,""))</f>
        <v/>
      </c>
      <c r="N223" s="25" t="str">
        <f aca="false">IF(OR(L223="",$E223=""),"",IFERROR(L223*INDEX(Werkstoffe!$E$5:$E$304,MATCH($E223,lst_Werkstoff,0))/1000,""))</f>
        <v/>
      </c>
      <c r="O223" s="25" t="str">
        <f aca="false">IF(OR(N223="",$F223=""),"",N223*$F223/1000)</f>
        <v/>
      </c>
      <c r="P223" s="16" t="str">
        <f aca="false">IF(OR($F223="",$G223=""),"",$F223*$G223)</f>
        <v/>
      </c>
      <c r="Q223" s="16" t="str">
        <f aca="false">IF($D223="","",IF($J223&lt;&gt;"",$J223,$C$9))</f>
        <v/>
      </c>
      <c r="R223" s="12" t="str">
        <f aca="false">IF($D223="","",IFERROR(IF(INDEX(Profile!$G$5:$G$304,MATCH($D223,lst_Profil,0))&lt;&gt;"",INDEX(Profile!$G$5:$G$304,MATCH($D223,lst_Profil,0)),$H$4),$H$4))</f>
        <v/>
      </c>
      <c r="S223" s="12" t="str">
        <f aca="false">IF($D223="","",IFERROR(IF(INDEX(Profile!$H$5:$H$304,MATCH($D223,lst_Profil,0))&lt;&gt;"",INDEX(Profile!$H$5:$H$304,MATCH($D223,lst_Profil,0)),$H$5),$H$5))</f>
        <v/>
      </c>
      <c r="T223" s="16" t="str">
        <f aca="false">IF(OR(Q223="",NOT(ISNUMBER(R223)),NOT(ISNUMBER(S223))),"",Q223-R223-S223)</f>
        <v/>
      </c>
      <c r="U223" s="26" t="str">
        <f aca="false">IF(OR($D223="",$E223=""),"",IF(COUNTIFS(Preise!$A$5:$A$304,$D223,Preise!$B$5:$B$304,$E223,Preise!$I$5:$I$304,"OK")&gt;0,"ja","nein"))</f>
        <v/>
      </c>
      <c r="V223" s="15" t="str">
        <f aca="false">IF(OR(M223="",$E223="",$C$8=""),"",IF(_xlfn.MINIFS(Schneiddaten!$C$5:$C$304,Schneiddaten!$A$5:$A$304,$C$8,Schneiddaten!$B$5:$B$304,$E223,Schneiddaten!$C$5:$C$304,"&gt;="&amp;M223)=0,"",SUMIFS(Schneiddaten!$D$5:$D$304,Schneiddaten!$A$5:$A$304,$C$8,Schneiddaten!$B$5:$B$304,$E223,Schneiddaten!$C$5:$C$304,_xlfn.MINIFS(Schneiddaten!$C$5:$C$304,Schneiddaten!$A$5:$A$304,$C$8,Schneiddaten!$B$5:$B$304,$E223,Schneiddaten!$C$5:$C$304,"&gt;="&amp;M223))))</f>
        <v/>
      </c>
      <c r="W223" s="26" t="str">
        <f aca="false">IF(AND($D223="",$E223="",$F223="",$G223=""),"",IF(ISNA(MATCH($D223,lst_Profil,0)),"FEHLER: Profil unbekannt",IF(ISNA(MATCH($E223,lst_Werkstoff,0)),"FEHLER: Werkstoff unbekannt",IF(NOT(ISNUMBER(L223)),"FEHLER: Querschnitt fehlt (Profil)",IF(OR($F223="",$F223&lt;=0),"FEHLER: Teilelänge fehlt",IF(OR($G223="",$G223&lt;1),"FEHLER: Stückzahl fehlt",IF(NOT(ISNUMBER($H$4)),"FEHLER: Maschine fehlt/unbekannt",IF(Q223&gt;$H$7,"FEHLER: Stange länger als Maschine zulässt",IF($F223+$H$6&gt;T223,"FEHLER: Teil länger als Nutzlänge",IF(U223="nein","WARNUNG: kein gültiger Materialpreis",IF($H223="","HINWEIS: Schneidweg fehlt",IF(V223="","HINWEIS: keine Schneiddaten",IF(AND($AF223&lt;&gt;"",$AG223=""),"HINWEIS: Gewinde-Vorschlag prüfen","OK")))))))))))))</f>
        <v/>
      </c>
      <c r="X223" s="18" t="str">
        <f aca="false">IF(OR(O223="",$G223=""),"",O223*$G223)</f>
        <v/>
      </c>
      <c r="Y223" s="10"/>
      <c r="Z223" s="21"/>
      <c r="AA223" s="10"/>
      <c r="AB223" s="21"/>
      <c r="AC223" s="21"/>
      <c r="AD223" s="21"/>
      <c r="AE223" s="10"/>
      <c r="AF223" s="10"/>
      <c r="AG223" s="10"/>
      <c r="AH223" s="22"/>
      <c r="AI223" s="21"/>
      <c r="AJ223" s="22"/>
      <c r="AK223" s="21"/>
      <c r="AL223" s="22"/>
      <c r="AM223" s="21"/>
    </row>
    <row r="224" customFormat="false" ht="15" hidden="false" customHeight="false" outlineLevel="0" collapsed="false">
      <c r="A224" s="10"/>
      <c r="B224" s="10"/>
      <c r="C224" s="10"/>
      <c r="D224" s="10"/>
      <c r="E224" s="10"/>
      <c r="F224" s="21"/>
      <c r="G224" s="19"/>
      <c r="H224" s="21"/>
      <c r="I224" s="22"/>
      <c r="J224" s="19"/>
      <c r="K224" s="23" t="str">
        <f aca="false">IF($D224="","",IFERROR(INDEX(Profile!$B$5:$B$304,MATCH($D224,lst_Profil,0)),""))</f>
        <v/>
      </c>
      <c r="L224" s="13" t="str">
        <f aca="false">IF($D224="","",IFERROR(INDEX(Profile!$K$5:$K$304,MATCH($D224,lst_Profil,0))+0,""))</f>
        <v/>
      </c>
      <c r="M224" s="24" t="str">
        <f aca="false">IF($D224="","",IFERROR(INDEX(Profile!$E$5:$E$304,MATCH($D224,lst_Profil,0))+0,""))</f>
        <v/>
      </c>
      <c r="N224" s="25" t="str">
        <f aca="false">IF(OR(L224="",$E224=""),"",IFERROR(L224*INDEX(Werkstoffe!$E$5:$E$304,MATCH($E224,lst_Werkstoff,0))/1000,""))</f>
        <v/>
      </c>
      <c r="O224" s="25" t="str">
        <f aca="false">IF(OR(N224="",$F224=""),"",N224*$F224/1000)</f>
        <v/>
      </c>
      <c r="P224" s="16" t="str">
        <f aca="false">IF(OR($F224="",$G224=""),"",$F224*$G224)</f>
        <v/>
      </c>
      <c r="Q224" s="16" t="str">
        <f aca="false">IF($D224="","",IF($J224&lt;&gt;"",$J224,$C$9))</f>
        <v/>
      </c>
      <c r="R224" s="12" t="str">
        <f aca="false">IF($D224="","",IFERROR(IF(INDEX(Profile!$G$5:$G$304,MATCH($D224,lst_Profil,0))&lt;&gt;"",INDEX(Profile!$G$5:$G$304,MATCH($D224,lst_Profil,0)),$H$4),$H$4))</f>
        <v/>
      </c>
      <c r="S224" s="12" t="str">
        <f aca="false">IF($D224="","",IFERROR(IF(INDEX(Profile!$H$5:$H$304,MATCH($D224,lst_Profil,0))&lt;&gt;"",INDEX(Profile!$H$5:$H$304,MATCH($D224,lst_Profil,0)),$H$5),$H$5))</f>
        <v/>
      </c>
      <c r="T224" s="16" t="str">
        <f aca="false">IF(OR(Q224="",NOT(ISNUMBER(R224)),NOT(ISNUMBER(S224))),"",Q224-R224-S224)</f>
        <v/>
      </c>
      <c r="U224" s="26" t="str">
        <f aca="false">IF(OR($D224="",$E224=""),"",IF(COUNTIFS(Preise!$A$5:$A$304,$D224,Preise!$B$5:$B$304,$E224,Preise!$I$5:$I$304,"OK")&gt;0,"ja","nein"))</f>
        <v/>
      </c>
      <c r="V224" s="15" t="str">
        <f aca="false">IF(OR(M224="",$E224="",$C$8=""),"",IF(_xlfn.MINIFS(Schneiddaten!$C$5:$C$304,Schneiddaten!$A$5:$A$304,$C$8,Schneiddaten!$B$5:$B$304,$E224,Schneiddaten!$C$5:$C$304,"&gt;="&amp;M224)=0,"",SUMIFS(Schneiddaten!$D$5:$D$304,Schneiddaten!$A$5:$A$304,$C$8,Schneiddaten!$B$5:$B$304,$E224,Schneiddaten!$C$5:$C$304,_xlfn.MINIFS(Schneiddaten!$C$5:$C$304,Schneiddaten!$A$5:$A$304,$C$8,Schneiddaten!$B$5:$B$304,$E224,Schneiddaten!$C$5:$C$304,"&gt;="&amp;M224))))</f>
        <v/>
      </c>
      <c r="W224" s="26" t="str">
        <f aca="false">IF(AND($D224="",$E224="",$F224="",$G224=""),"",IF(ISNA(MATCH($D224,lst_Profil,0)),"FEHLER: Profil unbekannt",IF(ISNA(MATCH($E224,lst_Werkstoff,0)),"FEHLER: Werkstoff unbekannt",IF(NOT(ISNUMBER(L224)),"FEHLER: Querschnitt fehlt (Profil)",IF(OR($F224="",$F224&lt;=0),"FEHLER: Teilelänge fehlt",IF(OR($G224="",$G224&lt;1),"FEHLER: Stückzahl fehlt",IF(NOT(ISNUMBER($H$4)),"FEHLER: Maschine fehlt/unbekannt",IF(Q224&gt;$H$7,"FEHLER: Stange länger als Maschine zulässt",IF($F224+$H$6&gt;T224,"FEHLER: Teil länger als Nutzlänge",IF(U224="nein","WARNUNG: kein gültiger Materialpreis",IF($H224="","HINWEIS: Schneidweg fehlt",IF(V224="","HINWEIS: keine Schneiddaten",IF(AND($AF224&lt;&gt;"",$AG224=""),"HINWEIS: Gewinde-Vorschlag prüfen","OK")))))))))))))</f>
        <v/>
      </c>
      <c r="X224" s="18" t="str">
        <f aca="false">IF(OR(O224="",$G224=""),"",O224*$G224)</f>
        <v/>
      </c>
      <c r="Y224" s="10"/>
      <c r="Z224" s="21"/>
      <c r="AA224" s="10"/>
      <c r="AB224" s="21"/>
      <c r="AC224" s="21"/>
      <c r="AD224" s="21"/>
      <c r="AE224" s="10"/>
      <c r="AF224" s="10"/>
      <c r="AG224" s="10"/>
      <c r="AH224" s="22"/>
      <c r="AI224" s="21"/>
      <c r="AJ224" s="22"/>
      <c r="AK224" s="21"/>
      <c r="AL224" s="22"/>
      <c r="AM224" s="21"/>
    </row>
    <row r="225" customFormat="false" ht="15" hidden="false" customHeight="false" outlineLevel="0" collapsed="false">
      <c r="A225" s="10"/>
      <c r="B225" s="10"/>
      <c r="C225" s="10"/>
      <c r="D225" s="10"/>
      <c r="E225" s="10"/>
      <c r="F225" s="21"/>
      <c r="G225" s="19"/>
      <c r="H225" s="21"/>
      <c r="I225" s="22"/>
      <c r="J225" s="19"/>
      <c r="K225" s="23" t="str">
        <f aca="false">IF($D225="","",IFERROR(INDEX(Profile!$B$5:$B$304,MATCH($D225,lst_Profil,0)),""))</f>
        <v/>
      </c>
      <c r="L225" s="13" t="str">
        <f aca="false">IF($D225="","",IFERROR(INDEX(Profile!$K$5:$K$304,MATCH($D225,lst_Profil,0))+0,""))</f>
        <v/>
      </c>
      <c r="M225" s="24" t="str">
        <f aca="false">IF($D225="","",IFERROR(INDEX(Profile!$E$5:$E$304,MATCH($D225,lst_Profil,0))+0,""))</f>
        <v/>
      </c>
      <c r="N225" s="25" t="str">
        <f aca="false">IF(OR(L225="",$E225=""),"",IFERROR(L225*INDEX(Werkstoffe!$E$5:$E$304,MATCH($E225,lst_Werkstoff,0))/1000,""))</f>
        <v/>
      </c>
      <c r="O225" s="25" t="str">
        <f aca="false">IF(OR(N225="",$F225=""),"",N225*$F225/1000)</f>
        <v/>
      </c>
      <c r="P225" s="16" t="str">
        <f aca="false">IF(OR($F225="",$G225=""),"",$F225*$G225)</f>
        <v/>
      </c>
      <c r="Q225" s="16" t="str">
        <f aca="false">IF($D225="","",IF($J225&lt;&gt;"",$J225,$C$9))</f>
        <v/>
      </c>
      <c r="R225" s="12" t="str">
        <f aca="false">IF($D225="","",IFERROR(IF(INDEX(Profile!$G$5:$G$304,MATCH($D225,lst_Profil,0))&lt;&gt;"",INDEX(Profile!$G$5:$G$304,MATCH($D225,lst_Profil,0)),$H$4),$H$4))</f>
        <v/>
      </c>
      <c r="S225" s="12" t="str">
        <f aca="false">IF($D225="","",IFERROR(IF(INDEX(Profile!$H$5:$H$304,MATCH($D225,lst_Profil,0))&lt;&gt;"",INDEX(Profile!$H$5:$H$304,MATCH($D225,lst_Profil,0)),$H$5),$H$5))</f>
        <v/>
      </c>
      <c r="T225" s="16" t="str">
        <f aca="false">IF(OR(Q225="",NOT(ISNUMBER(R225)),NOT(ISNUMBER(S225))),"",Q225-R225-S225)</f>
        <v/>
      </c>
      <c r="U225" s="26" t="str">
        <f aca="false">IF(OR($D225="",$E225=""),"",IF(COUNTIFS(Preise!$A$5:$A$304,$D225,Preise!$B$5:$B$304,$E225,Preise!$I$5:$I$304,"OK")&gt;0,"ja","nein"))</f>
        <v/>
      </c>
      <c r="V225" s="15" t="str">
        <f aca="false">IF(OR(M225="",$E225="",$C$8=""),"",IF(_xlfn.MINIFS(Schneiddaten!$C$5:$C$304,Schneiddaten!$A$5:$A$304,$C$8,Schneiddaten!$B$5:$B$304,$E225,Schneiddaten!$C$5:$C$304,"&gt;="&amp;M225)=0,"",SUMIFS(Schneiddaten!$D$5:$D$304,Schneiddaten!$A$5:$A$304,$C$8,Schneiddaten!$B$5:$B$304,$E225,Schneiddaten!$C$5:$C$304,_xlfn.MINIFS(Schneiddaten!$C$5:$C$304,Schneiddaten!$A$5:$A$304,$C$8,Schneiddaten!$B$5:$B$304,$E225,Schneiddaten!$C$5:$C$304,"&gt;="&amp;M225))))</f>
        <v/>
      </c>
      <c r="W225" s="26" t="str">
        <f aca="false">IF(AND($D225="",$E225="",$F225="",$G225=""),"",IF(ISNA(MATCH($D225,lst_Profil,0)),"FEHLER: Profil unbekannt",IF(ISNA(MATCH($E225,lst_Werkstoff,0)),"FEHLER: Werkstoff unbekannt",IF(NOT(ISNUMBER(L225)),"FEHLER: Querschnitt fehlt (Profil)",IF(OR($F225="",$F225&lt;=0),"FEHLER: Teilelänge fehlt",IF(OR($G225="",$G225&lt;1),"FEHLER: Stückzahl fehlt",IF(NOT(ISNUMBER($H$4)),"FEHLER: Maschine fehlt/unbekannt",IF(Q225&gt;$H$7,"FEHLER: Stange länger als Maschine zulässt",IF($F225+$H$6&gt;T225,"FEHLER: Teil länger als Nutzlänge",IF(U225="nein","WARNUNG: kein gültiger Materialpreis",IF($H225="","HINWEIS: Schneidweg fehlt",IF(V225="","HINWEIS: keine Schneiddaten",IF(AND($AF225&lt;&gt;"",$AG225=""),"HINWEIS: Gewinde-Vorschlag prüfen","OK")))))))))))))</f>
        <v/>
      </c>
      <c r="X225" s="18" t="str">
        <f aca="false">IF(OR(O225="",$G225=""),"",O225*$G225)</f>
        <v/>
      </c>
      <c r="Y225" s="10"/>
      <c r="Z225" s="21"/>
      <c r="AA225" s="10"/>
      <c r="AB225" s="21"/>
      <c r="AC225" s="21"/>
      <c r="AD225" s="21"/>
      <c r="AE225" s="10"/>
      <c r="AF225" s="10"/>
      <c r="AG225" s="10"/>
      <c r="AH225" s="22"/>
      <c r="AI225" s="21"/>
      <c r="AJ225" s="22"/>
      <c r="AK225" s="21"/>
      <c r="AL225" s="22"/>
      <c r="AM225" s="21"/>
    </row>
    <row r="226" customFormat="false" ht="15" hidden="false" customHeight="false" outlineLevel="0" collapsed="false">
      <c r="A226" s="10"/>
      <c r="B226" s="10"/>
      <c r="C226" s="10"/>
      <c r="D226" s="10"/>
      <c r="E226" s="10"/>
      <c r="F226" s="21"/>
      <c r="G226" s="19"/>
      <c r="H226" s="21"/>
      <c r="I226" s="22"/>
      <c r="J226" s="19"/>
      <c r="K226" s="23" t="str">
        <f aca="false">IF($D226="","",IFERROR(INDEX(Profile!$B$5:$B$304,MATCH($D226,lst_Profil,0)),""))</f>
        <v/>
      </c>
      <c r="L226" s="13" t="str">
        <f aca="false">IF($D226="","",IFERROR(INDEX(Profile!$K$5:$K$304,MATCH($D226,lst_Profil,0))+0,""))</f>
        <v/>
      </c>
      <c r="M226" s="24" t="str">
        <f aca="false">IF($D226="","",IFERROR(INDEX(Profile!$E$5:$E$304,MATCH($D226,lst_Profil,0))+0,""))</f>
        <v/>
      </c>
      <c r="N226" s="25" t="str">
        <f aca="false">IF(OR(L226="",$E226=""),"",IFERROR(L226*INDEX(Werkstoffe!$E$5:$E$304,MATCH($E226,lst_Werkstoff,0))/1000,""))</f>
        <v/>
      </c>
      <c r="O226" s="25" t="str">
        <f aca="false">IF(OR(N226="",$F226=""),"",N226*$F226/1000)</f>
        <v/>
      </c>
      <c r="P226" s="16" t="str">
        <f aca="false">IF(OR($F226="",$G226=""),"",$F226*$G226)</f>
        <v/>
      </c>
      <c r="Q226" s="16" t="str">
        <f aca="false">IF($D226="","",IF($J226&lt;&gt;"",$J226,$C$9))</f>
        <v/>
      </c>
      <c r="R226" s="12" t="str">
        <f aca="false">IF($D226="","",IFERROR(IF(INDEX(Profile!$G$5:$G$304,MATCH($D226,lst_Profil,0))&lt;&gt;"",INDEX(Profile!$G$5:$G$304,MATCH($D226,lst_Profil,0)),$H$4),$H$4))</f>
        <v/>
      </c>
      <c r="S226" s="12" t="str">
        <f aca="false">IF($D226="","",IFERROR(IF(INDEX(Profile!$H$5:$H$304,MATCH($D226,lst_Profil,0))&lt;&gt;"",INDEX(Profile!$H$5:$H$304,MATCH($D226,lst_Profil,0)),$H$5),$H$5))</f>
        <v/>
      </c>
      <c r="T226" s="16" t="str">
        <f aca="false">IF(OR(Q226="",NOT(ISNUMBER(R226)),NOT(ISNUMBER(S226))),"",Q226-R226-S226)</f>
        <v/>
      </c>
      <c r="U226" s="26" t="str">
        <f aca="false">IF(OR($D226="",$E226=""),"",IF(COUNTIFS(Preise!$A$5:$A$304,$D226,Preise!$B$5:$B$304,$E226,Preise!$I$5:$I$304,"OK")&gt;0,"ja","nein"))</f>
        <v/>
      </c>
      <c r="V226" s="15" t="str">
        <f aca="false">IF(OR(M226="",$E226="",$C$8=""),"",IF(_xlfn.MINIFS(Schneiddaten!$C$5:$C$304,Schneiddaten!$A$5:$A$304,$C$8,Schneiddaten!$B$5:$B$304,$E226,Schneiddaten!$C$5:$C$304,"&gt;="&amp;M226)=0,"",SUMIFS(Schneiddaten!$D$5:$D$304,Schneiddaten!$A$5:$A$304,$C$8,Schneiddaten!$B$5:$B$304,$E226,Schneiddaten!$C$5:$C$304,_xlfn.MINIFS(Schneiddaten!$C$5:$C$304,Schneiddaten!$A$5:$A$304,$C$8,Schneiddaten!$B$5:$B$304,$E226,Schneiddaten!$C$5:$C$304,"&gt;="&amp;M226))))</f>
        <v/>
      </c>
      <c r="W226" s="26" t="str">
        <f aca="false">IF(AND($D226="",$E226="",$F226="",$G226=""),"",IF(ISNA(MATCH($D226,lst_Profil,0)),"FEHLER: Profil unbekannt",IF(ISNA(MATCH($E226,lst_Werkstoff,0)),"FEHLER: Werkstoff unbekannt",IF(NOT(ISNUMBER(L226)),"FEHLER: Querschnitt fehlt (Profil)",IF(OR($F226="",$F226&lt;=0),"FEHLER: Teilelänge fehlt",IF(OR($G226="",$G226&lt;1),"FEHLER: Stückzahl fehlt",IF(NOT(ISNUMBER($H$4)),"FEHLER: Maschine fehlt/unbekannt",IF(Q226&gt;$H$7,"FEHLER: Stange länger als Maschine zulässt",IF($F226+$H$6&gt;T226,"FEHLER: Teil länger als Nutzlänge",IF(U226="nein","WARNUNG: kein gültiger Materialpreis",IF($H226="","HINWEIS: Schneidweg fehlt",IF(V226="","HINWEIS: keine Schneiddaten",IF(AND($AF226&lt;&gt;"",$AG226=""),"HINWEIS: Gewinde-Vorschlag prüfen","OK")))))))))))))</f>
        <v/>
      </c>
      <c r="X226" s="18" t="str">
        <f aca="false">IF(OR(O226="",$G226=""),"",O226*$G226)</f>
        <v/>
      </c>
      <c r="Y226" s="10"/>
      <c r="Z226" s="21"/>
      <c r="AA226" s="10"/>
      <c r="AB226" s="21"/>
      <c r="AC226" s="21"/>
      <c r="AD226" s="21"/>
      <c r="AE226" s="10"/>
      <c r="AF226" s="10"/>
      <c r="AG226" s="10"/>
      <c r="AH226" s="22"/>
      <c r="AI226" s="21"/>
      <c r="AJ226" s="22"/>
      <c r="AK226" s="21"/>
      <c r="AL226" s="22"/>
      <c r="AM226" s="21"/>
    </row>
    <row r="227" customFormat="false" ht="15" hidden="false" customHeight="false" outlineLevel="0" collapsed="false">
      <c r="A227" s="10"/>
      <c r="B227" s="10"/>
      <c r="C227" s="10"/>
      <c r="D227" s="10"/>
      <c r="E227" s="10"/>
      <c r="F227" s="21"/>
      <c r="G227" s="19"/>
      <c r="H227" s="21"/>
      <c r="I227" s="22"/>
      <c r="J227" s="19"/>
      <c r="K227" s="23" t="str">
        <f aca="false">IF($D227="","",IFERROR(INDEX(Profile!$B$5:$B$304,MATCH($D227,lst_Profil,0)),""))</f>
        <v/>
      </c>
      <c r="L227" s="13" t="str">
        <f aca="false">IF($D227="","",IFERROR(INDEX(Profile!$K$5:$K$304,MATCH($D227,lst_Profil,0))+0,""))</f>
        <v/>
      </c>
      <c r="M227" s="24" t="str">
        <f aca="false">IF($D227="","",IFERROR(INDEX(Profile!$E$5:$E$304,MATCH($D227,lst_Profil,0))+0,""))</f>
        <v/>
      </c>
      <c r="N227" s="25" t="str">
        <f aca="false">IF(OR(L227="",$E227=""),"",IFERROR(L227*INDEX(Werkstoffe!$E$5:$E$304,MATCH($E227,lst_Werkstoff,0))/1000,""))</f>
        <v/>
      </c>
      <c r="O227" s="25" t="str">
        <f aca="false">IF(OR(N227="",$F227=""),"",N227*$F227/1000)</f>
        <v/>
      </c>
      <c r="P227" s="16" t="str">
        <f aca="false">IF(OR($F227="",$G227=""),"",$F227*$G227)</f>
        <v/>
      </c>
      <c r="Q227" s="16" t="str">
        <f aca="false">IF($D227="","",IF($J227&lt;&gt;"",$J227,$C$9))</f>
        <v/>
      </c>
      <c r="R227" s="12" t="str">
        <f aca="false">IF($D227="","",IFERROR(IF(INDEX(Profile!$G$5:$G$304,MATCH($D227,lst_Profil,0))&lt;&gt;"",INDEX(Profile!$G$5:$G$304,MATCH($D227,lst_Profil,0)),$H$4),$H$4))</f>
        <v/>
      </c>
      <c r="S227" s="12" t="str">
        <f aca="false">IF($D227="","",IFERROR(IF(INDEX(Profile!$H$5:$H$304,MATCH($D227,lst_Profil,0))&lt;&gt;"",INDEX(Profile!$H$5:$H$304,MATCH($D227,lst_Profil,0)),$H$5),$H$5))</f>
        <v/>
      </c>
      <c r="T227" s="16" t="str">
        <f aca="false">IF(OR(Q227="",NOT(ISNUMBER(R227)),NOT(ISNUMBER(S227))),"",Q227-R227-S227)</f>
        <v/>
      </c>
      <c r="U227" s="26" t="str">
        <f aca="false">IF(OR($D227="",$E227=""),"",IF(COUNTIFS(Preise!$A$5:$A$304,$D227,Preise!$B$5:$B$304,$E227,Preise!$I$5:$I$304,"OK")&gt;0,"ja","nein"))</f>
        <v/>
      </c>
      <c r="V227" s="15" t="str">
        <f aca="false">IF(OR(M227="",$E227="",$C$8=""),"",IF(_xlfn.MINIFS(Schneiddaten!$C$5:$C$304,Schneiddaten!$A$5:$A$304,$C$8,Schneiddaten!$B$5:$B$304,$E227,Schneiddaten!$C$5:$C$304,"&gt;="&amp;M227)=0,"",SUMIFS(Schneiddaten!$D$5:$D$304,Schneiddaten!$A$5:$A$304,$C$8,Schneiddaten!$B$5:$B$304,$E227,Schneiddaten!$C$5:$C$304,_xlfn.MINIFS(Schneiddaten!$C$5:$C$304,Schneiddaten!$A$5:$A$304,$C$8,Schneiddaten!$B$5:$B$304,$E227,Schneiddaten!$C$5:$C$304,"&gt;="&amp;M227))))</f>
        <v/>
      </c>
      <c r="W227" s="26" t="str">
        <f aca="false">IF(AND($D227="",$E227="",$F227="",$G227=""),"",IF(ISNA(MATCH($D227,lst_Profil,0)),"FEHLER: Profil unbekannt",IF(ISNA(MATCH($E227,lst_Werkstoff,0)),"FEHLER: Werkstoff unbekannt",IF(NOT(ISNUMBER(L227)),"FEHLER: Querschnitt fehlt (Profil)",IF(OR($F227="",$F227&lt;=0),"FEHLER: Teilelänge fehlt",IF(OR($G227="",$G227&lt;1),"FEHLER: Stückzahl fehlt",IF(NOT(ISNUMBER($H$4)),"FEHLER: Maschine fehlt/unbekannt",IF(Q227&gt;$H$7,"FEHLER: Stange länger als Maschine zulässt",IF($F227+$H$6&gt;T227,"FEHLER: Teil länger als Nutzlänge",IF(U227="nein","WARNUNG: kein gültiger Materialpreis",IF($H227="","HINWEIS: Schneidweg fehlt",IF(V227="","HINWEIS: keine Schneiddaten",IF(AND($AF227&lt;&gt;"",$AG227=""),"HINWEIS: Gewinde-Vorschlag prüfen","OK")))))))))))))</f>
        <v/>
      </c>
      <c r="X227" s="18" t="str">
        <f aca="false">IF(OR(O227="",$G227=""),"",O227*$G227)</f>
        <v/>
      </c>
      <c r="Y227" s="10"/>
      <c r="Z227" s="21"/>
      <c r="AA227" s="10"/>
      <c r="AB227" s="21"/>
      <c r="AC227" s="21"/>
      <c r="AD227" s="21"/>
      <c r="AE227" s="10"/>
      <c r="AF227" s="10"/>
      <c r="AG227" s="10"/>
      <c r="AH227" s="22"/>
      <c r="AI227" s="21"/>
      <c r="AJ227" s="22"/>
      <c r="AK227" s="21"/>
      <c r="AL227" s="22"/>
      <c r="AM227" s="21"/>
    </row>
    <row r="228" customFormat="false" ht="15" hidden="false" customHeight="false" outlineLevel="0" collapsed="false">
      <c r="A228" s="10"/>
      <c r="B228" s="10"/>
      <c r="C228" s="10"/>
      <c r="D228" s="10"/>
      <c r="E228" s="10"/>
      <c r="F228" s="21"/>
      <c r="G228" s="19"/>
      <c r="H228" s="21"/>
      <c r="I228" s="22"/>
      <c r="J228" s="19"/>
      <c r="K228" s="23" t="str">
        <f aca="false">IF($D228="","",IFERROR(INDEX(Profile!$B$5:$B$304,MATCH($D228,lst_Profil,0)),""))</f>
        <v/>
      </c>
      <c r="L228" s="13" t="str">
        <f aca="false">IF($D228="","",IFERROR(INDEX(Profile!$K$5:$K$304,MATCH($D228,lst_Profil,0))+0,""))</f>
        <v/>
      </c>
      <c r="M228" s="24" t="str">
        <f aca="false">IF($D228="","",IFERROR(INDEX(Profile!$E$5:$E$304,MATCH($D228,lst_Profil,0))+0,""))</f>
        <v/>
      </c>
      <c r="N228" s="25" t="str">
        <f aca="false">IF(OR(L228="",$E228=""),"",IFERROR(L228*INDEX(Werkstoffe!$E$5:$E$304,MATCH($E228,lst_Werkstoff,0))/1000,""))</f>
        <v/>
      </c>
      <c r="O228" s="25" t="str">
        <f aca="false">IF(OR(N228="",$F228=""),"",N228*$F228/1000)</f>
        <v/>
      </c>
      <c r="P228" s="16" t="str">
        <f aca="false">IF(OR($F228="",$G228=""),"",$F228*$G228)</f>
        <v/>
      </c>
      <c r="Q228" s="16" t="str">
        <f aca="false">IF($D228="","",IF($J228&lt;&gt;"",$J228,$C$9))</f>
        <v/>
      </c>
      <c r="R228" s="12" t="str">
        <f aca="false">IF($D228="","",IFERROR(IF(INDEX(Profile!$G$5:$G$304,MATCH($D228,lst_Profil,0))&lt;&gt;"",INDEX(Profile!$G$5:$G$304,MATCH($D228,lst_Profil,0)),$H$4),$H$4))</f>
        <v/>
      </c>
      <c r="S228" s="12" t="str">
        <f aca="false">IF($D228="","",IFERROR(IF(INDEX(Profile!$H$5:$H$304,MATCH($D228,lst_Profil,0))&lt;&gt;"",INDEX(Profile!$H$5:$H$304,MATCH($D228,lst_Profil,0)),$H$5),$H$5))</f>
        <v/>
      </c>
      <c r="T228" s="16" t="str">
        <f aca="false">IF(OR(Q228="",NOT(ISNUMBER(R228)),NOT(ISNUMBER(S228))),"",Q228-R228-S228)</f>
        <v/>
      </c>
      <c r="U228" s="26" t="str">
        <f aca="false">IF(OR($D228="",$E228=""),"",IF(COUNTIFS(Preise!$A$5:$A$304,$D228,Preise!$B$5:$B$304,$E228,Preise!$I$5:$I$304,"OK")&gt;0,"ja","nein"))</f>
        <v/>
      </c>
      <c r="V228" s="15" t="str">
        <f aca="false">IF(OR(M228="",$E228="",$C$8=""),"",IF(_xlfn.MINIFS(Schneiddaten!$C$5:$C$304,Schneiddaten!$A$5:$A$304,$C$8,Schneiddaten!$B$5:$B$304,$E228,Schneiddaten!$C$5:$C$304,"&gt;="&amp;M228)=0,"",SUMIFS(Schneiddaten!$D$5:$D$304,Schneiddaten!$A$5:$A$304,$C$8,Schneiddaten!$B$5:$B$304,$E228,Schneiddaten!$C$5:$C$304,_xlfn.MINIFS(Schneiddaten!$C$5:$C$304,Schneiddaten!$A$5:$A$304,$C$8,Schneiddaten!$B$5:$B$304,$E228,Schneiddaten!$C$5:$C$304,"&gt;="&amp;M228))))</f>
        <v/>
      </c>
      <c r="W228" s="26" t="str">
        <f aca="false">IF(AND($D228="",$E228="",$F228="",$G228=""),"",IF(ISNA(MATCH($D228,lst_Profil,0)),"FEHLER: Profil unbekannt",IF(ISNA(MATCH($E228,lst_Werkstoff,0)),"FEHLER: Werkstoff unbekannt",IF(NOT(ISNUMBER(L228)),"FEHLER: Querschnitt fehlt (Profil)",IF(OR($F228="",$F228&lt;=0),"FEHLER: Teilelänge fehlt",IF(OR($G228="",$G228&lt;1),"FEHLER: Stückzahl fehlt",IF(NOT(ISNUMBER($H$4)),"FEHLER: Maschine fehlt/unbekannt",IF(Q228&gt;$H$7,"FEHLER: Stange länger als Maschine zulässt",IF($F228+$H$6&gt;T228,"FEHLER: Teil länger als Nutzlänge",IF(U228="nein","WARNUNG: kein gültiger Materialpreis",IF($H228="","HINWEIS: Schneidweg fehlt",IF(V228="","HINWEIS: keine Schneiddaten",IF(AND($AF228&lt;&gt;"",$AG228=""),"HINWEIS: Gewinde-Vorschlag prüfen","OK")))))))))))))</f>
        <v/>
      </c>
      <c r="X228" s="18" t="str">
        <f aca="false">IF(OR(O228="",$G228=""),"",O228*$G228)</f>
        <v/>
      </c>
      <c r="Y228" s="10"/>
      <c r="Z228" s="21"/>
      <c r="AA228" s="10"/>
      <c r="AB228" s="21"/>
      <c r="AC228" s="21"/>
      <c r="AD228" s="21"/>
      <c r="AE228" s="10"/>
      <c r="AF228" s="10"/>
      <c r="AG228" s="10"/>
      <c r="AH228" s="22"/>
      <c r="AI228" s="21"/>
      <c r="AJ228" s="22"/>
      <c r="AK228" s="21"/>
      <c r="AL228" s="22"/>
      <c r="AM228" s="21"/>
    </row>
    <row r="229" customFormat="false" ht="15" hidden="false" customHeight="false" outlineLevel="0" collapsed="false">
      <c r="A229" s="10"/>
      <c r="B229" s="10"/>
      <c r="C229" s="10"/>
      <c r="D229" s="10"/>
      <c r="E229" s="10"/>
      <c r="F229" s="21"/>
      <c r="G229" s="19"/>
      <c r="H229" s="21"/>
      <c r="I229" s="22"/>
      <c r="J229" s="19"/>
      <c r="K229" s="23" t="str">
        <f aca="false">IF($D229="","",IFERROR(INDEX(Profile!$B$5:$B$304,MATCH($D229,lst_Profil,0)),""))</f>
        <v/>
      </c>
      <c r="L229" s="13" t="str">
        <f aca="false">IF($D229="","",IFERROR(INDEX(Profile!$K$5:$K$304,MATCH($D229,lst_Profil,0))+0,""))</f>
        <v/>
      </c>
      <c r="M229" s="24" t="str">
        <f aca="false">IF($D229="","",IFERROR(INDEX(Profile!$E$5:$E$304,MATCH($D229,lst_Profil,0))+0,""))</f>
        <v/>
      </c>
      <c r="N229" s="25" t="str">
        <f aca="false">IF(OR(L229="",$E229=""),"",IFERROR(L229*INDEX(Werkstoffe!$E$5:$E$304,MATCH($E229,lst_Werkstoff,0))/1000,""))</f>
        <v/>
      </c>
      <c r="O229" s="25" t="str">
        <f aca="false">IF(OR(N229="",$F229=""),"",N229*$F229/1000)</f>
        <v/>
      </c>
      <c r="P229" s="16" t="str">
        <f aca="false">IF(OR($F229="",$G229=""),"",$F229*$G229)</f>
        <v/>
      </c>
      <c r="Q229" s="16" t="str">
        <f aca="false">IF($D229="","",IF($J229&lt;&gt;"",$J229,$C$9))</f>
        <v/>
      </c>
      <c r="R229" s="12" t="str">
        <f aca="false">IF($D229="","",IFERROR(IF(INDEX(Profile!$G$5:$G$304,MATCH($D229,lst_Profil,0))&lt;&gt;"",INDEX(Profile!$G$5:$G$304,MATCH($D229,lst_Profil,0)),$H$4),$H$4))</f>
        <v/>
      </c>
      <c r="S229" s="12" t="str">
        <f aca="false">IF($D229="","",IFERROR(IF(INDEX(Profile!$H$5:$H$304,MATCH($D229,lst_Profil,0))&lt;&gt;"",INDEX(Profile!$H$5:$H$304,MATCH($D229,lst_Profil,0)),$H$5),$H$5))</f>
        <v/>
      </c>
      <c r="T229" s="16" t="str">
        <f aca="false">IF(OR(Q229="",NOT(ISNUMBER(R229)),NOT(ISNUMBER(S229))),"",Q229-R229-S229)</f>
        <v/>
      </c>
      <c r="U229" s="26" t="str">
        <f aca="false">IF(OR($D229="",$E229=""),"",IF(COUNTIFS(Preise!$A$5:$A$304,$D229,Preise!$B$5:$B$304,$E229,Preise!$I$5:$I$304,"OK")&gt;0,"ja","nein"))</f>
        <v/>
      </c>
      <c r="V229" s="15" t="str">
        <f aca="false">IF(OR(M229="",$E229="",$C$8=""),"",IF(_xlfn.MINIFS(Schneiddaten!$C$5:$C$304,Schneiddaten!$A$5:$A$304,$C$8,Schneiddaten!$B$5:$B$304,$E229,Schneiddaten!$C$5:$C$304,"&gt;="&amp;M229)=0,"",SUMIFS(Schneiddaten!$D$5:$D$304,Schneiddaten!$A$5:$A$304,$C$8,Schneiddaten!$B$5:$B$304,$E229,Schneiddaten!$C$5:$C$304,_xlfn.MINIFS(Schneiddaten!$C$5:$C$304,Schneiddaten!$A$5:$A$304,$C$8,Schneiddaten!$B$5:$B$304,$E229,Schneiddaten!$C$5:$C$304,"&gt;="&amp;M229))))</f>
        <v/>
      </c>
      <c r="W229" s="26" t="str">
        <f aca="false">IF(AND($D229="",$E229="",$F229="",$G229=""),"",IF(ISNA(MATCH($D229,lst_Profil,0)),"FEHLER: Profil unbekannt",IF(ISNA(MATCH($E229,lst_Werkstoff,0)),"FEHLER: Werkstoff unbekannt",IF(NOT(ISNUMBER(L229)),"FEHLER: Querschnitt fehlt (Profil)",IF(OR($F229="",$F229&lt;=0),"FEHLER: Teilelänge fehlt",IF(OR($G229="",$G229&lt;1),"FEHLER: Stückzahl fehlt",IF(NOT(ISNUMBER($H$4)),"FEHLER: Maschine fehlt/unbekannt",IF(Q229&gt;$H$7,"FEHLER: Stange länger als Maschine zulässt",IF($F229+$H$6&gt;T229,"FEHLER: Teil länger als Nutzlänge",IF(U229="nein","WARNUNG: kein gültiger Materialpreis",IF($H229="","HINWEIS: Schneidweg fehlt",IF(V229="","HINWEIS: keine Schneiddaten",IF(AND($AF229&lt;&gt;"",$AG229=""),"HINWEIS: Gewinde-Vorschlag prüfen","OK")))))))))))))</f>
        <v/>
      </c>
      <c r="X229" s="18" t="str">
        <f aca="false">IF(OR(O229="",$G229=""),"",O229*$G229)</f>
        <v/>
      </c>
      <c r="Y229" s="10"/>
      <c r="Z229" s="21"/>
      <c r="AA229" s="10"/>
      <c r="AB229" s="21"/>
      <c r="AC229" s="21"/>
      <c r="AD229" s="21"/>
      <c r="AE229" s="10"/>
      <c r="AF229" s="10"/>
      <c r="AG229" s="10"/>
      <c r="AH229" s="22"/>
      <c r="AI229" s="21"/>
      <c r="AJ229" s="22"/>
      <c r="AK229" s="21"/>
      <c r="AL229" s="22"/>
      <c r="AM229" s="21"/>
    </row>
    <row r="230" customFormat="false" ht="15" hidden="false" customHeight="false" outlineLevel="0" collapsed="false">
      <c r="A230" s="10"/>
      <c r="B230" s="10"/>
      <c r="C230" s="10"/>
      <c r="D230" s="10"/>
      <c r="E230" s="10"/>
      <c r="F230" s="21"/>
      <c r="G230" s="19"/>
      <c r="H230" s="21"/>
      <c r="I230" s="22"/>
      <c r="J230" s="19"/>
      <c r="K230" s="23" t="str">
        <f aca="false">IF($D230="","",IFERROR(INDEX(Profile!$B$5:$B$304,MATCH($D230,lst_Profil,0)),""))</f>
        <v/>
      </c>
      <c r="L230" s="13" t="str">
        <f aca="false">IF($D230="","",IFERROR(INDEX(Profile!$K$5:$K$304,MATCH($D230,lst_Profil,0))+0,""))</f>
        <v/>
      </c>
      <c r="M230" s="24" t="str">
        <f aca="false">IF($D230="","",IFERROR(INDEX(Profile!$E$5:$E$304,MATCH($D230,lst_Profil,0))+0,""))</f>
        <v/>
      </c>
      <c r="N230" s="25" t="str">
        <f aca="false">IF(OR(L230="",$E230=""),"",IFERROR(L230*INDEX(Werkstoffe!$E$5:$E$304,MATCH($E230,lst_Werkstoff,0))/1000,""))</f>
        <v/>
      </c>
      <c r="O230" s="25" t="str">
        <f aca="false">IF(OR(N230="",$F230=""),"",N230*$F230/1000)</f>
        <v/>
      </c>
      <c r="P230" s="16" t="str">
        <f aca="false">IF(OR($F230="",$G230=""),"",$F230*$G230)</f>
        <v/>
      </c>
      <c r="Q230" s="16" t="str">
        <f aca="false">IF($D230="","",IF($J230&lt;&gt;"",$J230,$C$9))</f>
        <v/>
      </c>
      <c r="R230" s="12" t="str">
        <f aca="false">IF($D230="","",IFERROR(IF(INDEX(Profile!$G$5:$G$304,MATCH($D230,lst_Profil,0))&lt;&gt;"",INDEX(Profile!$G$5:$G$304,MATCH($D230,lst_Profil,0)),$H$4),$H$4))</f>
        <v/>
      </c>
      <c r="S230" s="12" t="str">
        <f aca="false">IF($D230="","",IFERROR(IF(INDEX(Profile!$H$5:$H$304,MATCH($D230,lst_Profil,0))&lt;&gt;"",INDEX(Profile!$H$5:$H$304,MATCH($D230,lst_Profil,0)),$H$5),$H$5))</f>
        <v/>
      </c>
      <c r="T230" s="16" t="str">
        <f aca="false">IF(OR(Q230="",NOT(ISNUMBER(R230)),NOT(ISNUMBER(S230))),"",Q230-R230-S230)</f>
        <v/>
      </c>
      <c r="U230" s="26" t="str">
        <f aca="false">IF(OR($D230="",$E230=""),"",IF(COUNTIFS(Preise!$A$5:$A$304,$D230,Preise!$B$5:$B$304,$E230,Preise!$I$5:$I$304,"OK")&gt;0,"ja","nein"))</f>
        <v/>
      </c>
      <c r="V230" s="15" t="str">
        <f aca="false">IF(OR(M230="",$E230="",$C$8=""),"",IF(_xlfn.MINIFS(Schneiddaten!$C$5:$C$304,Schneiddaten!$A$5:$A$304,$C$8,Schneiddaten!$B$5:$B$304,$E230,Schneiddaten!$C$5:$C$304,"&gt;="&amp;M230)=0,"",SUMIFS(Schneiddaten!$D$5:$D$304,Schneiddaten!$A$5:$A$304,$C$8,Schneiddaten!$B$5:$B$304,$E230,Schneiddaten!$C$5:$C$304,_xlfn.MINIFS(Schneiddaten!$C$5:$C$304,Schneiddaten!$A$5:$A$304,$C$8,Schneiddaten!$B$5:$B$304,$E230,Schneiddaten!$C$5:$C$304,"&gt;="&amp;M230))))</f>
        <v/>
      </c>
      <c r="W230" s="26" t="str">
        <f aca="false">IF(AND($D230="",$E230="",$F230="",$G230=""),"",IF(ISNA(MATCH($D230,lst_Profil,0)),"FEHLER: Profil unbekannt",IF(ISNA(MATCH($E230,lst_Werkstoff,0)),"FEHLER: Werkstoff unbekannt",IF(NOT(ISNUMBER(L230)),"FEHLER: Querschnitt fehlt (Profil)",IF(OR($F230="",$F230&lt;=0),"FEHLER: Teilelänge fehlt",IF(OR($G230="",$G230&lt;1),"FEHLER: Stückzahl fehlt",IF(NOT(ISNUMBER($H$4)),"FEHLER: Maschine fehlt/unbekannt",IF(Q230&gt;$H$7,"FEHLER: Stange länger als Maschine zulässt",IF($F230+$H$6&gt;T230,"FEHLER: Teil länger als Nutzlänge",IF(U230="nein","WARNUNG: kein gültiger Materialpreis",IF($H230="","HINWEIS: Schneidweg fehlt",IF(V230="","HINWEIS: keine Schneiddaten",IF(AND($AF230&lt;&gt;"",$AG230=""),"HINWEIS: Gewinde-Vorschlag prüfen","OK")))))))))))))</f>
        <v/>
      </c>
      <c r="X230" s="18" t="str">
        <f aca="false">IF(OR(O230="",$G230=""),"",O230*$G230)</f>
        <v/>
      </c>
      <c r="Y230" s="10"/>
      <c r="Z230" s="21"/>
      <c r="AA230" s="10"/>
      <c r="AB230" s="21"/>
      <c r="AC230" s="21"/>
      <c r="AD230" s="21"/>
      <c r="AE230" s="10"/>
      <c r="AF230" s="10"/>
      <c r="AG230" s="10"/>
      <c r="AH230" s="22"/>
      <c r="AI230" s="21"/>
      <c r="AJ230" s="22"/>
      <c r="AK230" s="21"/>
      <c r="AL230" s="22"/>
      <c r="AM230" s="21"/>
    </row>
    <row r="231" customFormat="false" ht="15" hidden="false" customHeight="false" outlineLevel="0" collapsed="false">
      <c r="A231" s="10"/>
      <c r="B231" s="10"/>
      <c r="C231" s="10"/>
      <c r="D231" s="10"/>
      <c r="E231" s="10"/>
      <c r="F231" s="21"/>
      <c r="G231" s="19"/>
      <c r="H231" s="21"/>
      <c r="I231" s="22"/>
      <c r="J231" s="19"/>
      <c r="K231" s="23" t="str">
        <f aca="false">IF($D231="","",IFERROR(INDEX(Profile!$B$5:$B$304,MATCH($D231,lst_Profil,0)),""))</f>
        <v/>
      </c>
      <c r="L231" s="13" t="str">
        <f aca="false">IF($D231="","",IFERROR(INDEX(Profile!$K$5:$K$304,MATCH($D231,lst_Profil,0))+0,""))</f>
        <v/>
      </c>
      <c r="M231" s="24" t="str">
        <f aca="false">IF($D231="","",IFERROR(INDEX(Profile!$E$5:$E$304,MATCH($D231,lst_Profil,0))+0,""))</f>
        <v/>
      </c>
      <c r="N231" s="25" t="str">
        <f aca="false">IF(OR(L231="",$E231=""),"",IFERROR(L231*INDEX(Werkstoffe!$E$5:$E$304,MATCH($E231,lst_Werkstoff,0))/1000,""))</f>
        <v/>
      </c>
      <c r="O231" s="25" t="str">
        <f aca="false">IF(OR(N231="",$F231=""),"",N231*$F231/1000)</f>
        <v/>
      </c>
      <c r="P231" s="16" t="str">
        <f aca="false">IF(OR($F231="",$G231=""),"",$F231*$G231)</f>
        <v/>
      </c>
      <c r="Q231" s="16" t="str">
        <f aca="false">IF($D231="","",IF($J231&lt;&gt;"",$J231,$C$9))</f>
        <v/>
      </c>
      <c r="R231" s="12" t="str">
        <f aca="false">IF($D231="","",IFERROR(IF(INDEX(Profile!$G$5:$G$304,MATCH($D231,lst_Profil,0))&lt;&gt;"",INDEX(Profile!$G$5:$G$304,MATCH($D231,lst_Profil,0)),$H$4),$H$4))</f>
        <v/>
      </c>
      <c r="S231" s="12" t="str">
        <f aca="false">IF($D231="","",IFERROR(IF(INDEX(Profile!$H$5:$H$304,MATCH($D231,lst_Profil,0))&lt;&gt;"",INDEX(Profile!$H$5:$H$304,MATCH($D231,lst_Profil,0)),$H$5),$H$5))</f>
        <v/>
      </c>
      <c r="T231" s="16" t="str">
        <f aca="false">IF(OR(Q231="",NOT(ISNUMBER(R231)),NOT(ISNUMBER(S231))),"",Q231-R231-S231)</f>
        <v/>
      </c>
      <c r="U231" s="26" t="str">
        <f aca="false">IF(OR($D231="",$E231=""),"",IF(COUNTIFS(Preise!$A$5:$A$304,$D231,Preise!$B$5:$B$304,$E231,Preise!$I$5:$I$304,"OK")&gt;0,"ja","nein"))</f>
        <v/>
      </c>
      <c r="V231" s="15" t="str">
        <f aca="false">IF(OR(M231="",$E231="",$C$8=""),"",IF(_xlfn.MINIFS(Schneiddaten!$C$5:$C$304,Schneiddaten!$A$5:$A$304,$C$8,Schneiddaten!$B$5:$B$304,$E231,Schneiddaten!$C$5:$C$304,"&gt;="&amp;M231)=0,"",SUMIFS(Schneiddaten!$D$5:$D$304,Schneiddaten!$A$5:$A$304,$C$8,Schneiddaten!$B$5:$B$304,$E231,Schneiddaten!$C$5:$C$304,_xlfn.MINIFS(Schneiddaten!$C$5:$C$304,Schneiddaten!$A$5:$A$304,$C$8,Schneiddaten!$B$5:$B$304,$E231,Schneiddaten!$C$5:$C$304,"&gt;="&amp;M231))))</f>
        <v/>
      </c>
      <c r="W231" s="26" t="str">
        <f aca="false">IF(AND($D231="",$E231="",$F231="",$G231=""),"",IF(ISNA(MATCH($D231,lst_Profil,0)),"FEHLER: Profil unbekannt",IF(ISNA(MATCH($E231,lst_Werkstoff,0)),"FEHLER: Werkstoff unbekannt",IF(NOT(ISNUMBER(L231)),"FEHLER: Querschnitt fehlt (Profil)",IF(OR($F231="",$F231&lt;=0),"FEHLER: Teilelänge fehlt",IF(OR($G231="",$G231&lt;1),"FEHLER: Stückzahl fehlt",IF(NOT(ISNUMBER($H$4)),"FEHLER: Maschine fehlt/unbekannt",IF(Q231&gt;$H$7,"FEHLER: Stange länger als Maschine zulässt",IF($F231+$H$6&gt;T231,"FEHLER: Teil länger als Nutzlänge",IF(U231="nein","WARNUNG: kein gültiger Materialpreis",IF($H231="","HINWEIS: Schneidweg fehlt",IF(V231="","HINWEIS: keine Schneiddaten",IF(AND($AF231&lt;&gt;"",$AG231=""),"HINWEIS: Gewinde-Vorschlag prüfen","OK")))))))))))))</f>
        <v/>
      </c>
      <c r="X231" s="18" t="str">
        <f aca="false">IF(OR(O231="",$G231=""),"",O231*$G231)</f>
        <v/>
      </c>
      <c r="Y231" s="10"/>
      <c r="Z231" s="21"/>
      <c r="AA231" s="10"/>
      <c r="AB231" s="21"/>
      <c r="AC231" s="21"/>
      <c r="AD231" s="21"/>
      <c r="AE231" s="10"/>
      <c r="AF231" s="10"/>
      <c r="AG231" s="10"/>
      <c r="AH231" s="22"/>
      <c r="AI231" s="21"/>
      <c r="AJ231" s="22"/>
      <c r="AK231" s="21"/>
      <c r="AL231" s="22"/>
      <c r="AM231" s="21"/>
    </row>
    <row r="232" customFormat="false" ht="15" hidden="false" customHeight="false" outlineLevel="0" collapsed="false">
      <c r="A232" s="10"/>
      <c r="B232" s="10"/>
      <c r="C232" s="10"/>
      <c r="D232" s="10"/>
      <c r="E232" s="10"/>
      <c r="F232" s="21"/>
      <c r="G232" s="19"/>
      <c r="H232" s="21"/>
      <c r="I232" s="22"/>
      <c r="J232" s="19"/>
      <c r="K232" s="23" t="str">
        <f aca="false">IF($D232="","",IFERROR(INDEX(Profile!$B$5:$B$304,MATCH($D232,lst_Profil,0)),""))</f>
        <v/>
      </c>
      <c r="L232" s="13" t="str">
        <f aca="false">IF($D232="","",IFERROR(INDEX(Profile!$K$5:$K$304,MATCH($D232,lst_Profil,0))+0,""))</f>
        <v/>
      </c>
      <c r="M232" s="24" t="str">
        <f aca="false">IF($D232="","",IFERROR(INDEX(Profile!$E$5:$E$304,MATCH($D232,lst_Profil,0))+0,""))</f>
        <v/>
      </c>
      <c r="N232" s="25" t="str">
        <f aca="false">IF(OR(L232="",$E232=""),"",IFERROR(L232*INDEX(Werkstoffe!$E$5:$E$304,MATCH($E232,lst_Werkstoff,0))/1000,""))</f>
        <v/>
      </c>
      <c r="O232" s="25" t="str">
        <f aca="false">IF(OR(N232="",$F232=""),"",N232*$F232/1000)</f>
        <v/>
      </c>
      <c r="P232" s="16" t="str">
        <f aca="false">IF(OR($F232="",$G232=""),"",$F232*$G232)</f>
        <v/>
      </c>
      <c r="Q232" s="16" t="str">
        <f aca="false">IF($D232="","",IF($J232&lt;&gt;"",$J232,$C$9))</f>
        <v/>
      </c>
      <c r="R232" s="12" t="str">
        <f aca="false">IF($D232="","",IFERROR(IF(INDEX(Profile!$G$5:$G$304,MATCH($D232,lst_Profil,0))&lt;&gt;"",INDEX(Profile!$G$5:$G$304,MATCH($D232,lst_Profil,0)),$H$4),$H$4))</f>
        <v/>
      </c>
      <c r="S232" s="12" t="str">
        <f aca="false">IF($D232="","",IFERROR(IF(INDEX(Profile!$H$5:$H$304,MATCH($D232,lst_Profil,0))&lt;&gt;"",INDEX(Profile!$H$5:$H$304,MATCH($D232,lst_Profil,0)),$H$5),$H$5))</f>
        <v/>
      </c>
      <c r="T232" s="16" t="str">
        <f aca="false">IF(OR(Q232="",NOT(ISNUMBER(R232)),NOT(ISNUMBER(S232))),"",Q232-R232-S232)</f>
        <v/>
      </c>
      <c r="U232" s="26" t="str">
        <f aca="false">IF(OR($D232="",$E232=""),"",IF(COUNTIFS(Preise!$A$5:$A$304,$D232,Preise!$B$5:$B$304,$E232,Preise!$I$5:$I$304,"OK")&gt;0,"ja","nein"))</f>
        <v/>
      </c>
      <c r="V232" s="15" t="str">
        <f aca="false">IF(OR(M232="",$E232="",$C$8=""),"",IF(_xlfn.MINIFS(Schneiddaten!$C$5:$C$304,Schneiddaten!$A$5:$A$304,$C$8,Schneiddaten!$B$5:$B$304,$E232,Schneiddaten!$C$5:$C$304,"&gt;="&amp;M232)=0,"",SUMIFS(Schneiddaten!$D$5:$D$304,Schneiddaten!$A$5:$A$304,$C$8,Schneiddaten!$B$5:$B$304,$E232,Schneiddaten!$C$5:$C$304,_xlfn.MINIFS(Schneiddaten!$C$5:$C$304,Schneiddaten!$A$5:$A$304,$C$8,Schneiddaten!$B$5:$B$304,$E232,Schneiddaten!$C$5:$C$304,"&gt;="&amp;M232))))</f>
        <v/>
      </c>
      <c r="W232" s="26" t="str">
        <f aca="false">IF(AND($D232="",$E232="",$F232="",$G232=""),"",IF(ISNA(MATCH($D232,lst_Profil,0)),"FEHLER: Profil unbekannt",IF(ISNA(MATCH($E232,lst_Werkstoff,0)),"FEHLER: Werkstoff unbekannt",IF(NOT(ISNUMBER(L232)),"FEHLER: Querschnitt fehlt (Profil)",IF(OR($F232="",$F232&lt;=0),"FEHLER: Teilelänge fehlt",IF(OR($G232="",$G232&lt;1),"FEHLER: Stückzahl fehlt",IF(NOT(ISNUMBER($H$4)),"FEHLER: Maschine fehlt/unbekannt",IF(Q232&gt;$H$7,"FEHLER: Stange länger als Maschine zulässt",IF($F232+$H$6&gt;T232,"FEHLER: Teil länger als Nutzlänge",IF(U232="nein","WARNUNG: kein gültiger Materialpreis",IF($H232="","HINWEIS: Schneidweg fehlt",IF(V232="","HINWEIS: keine Schneiddaten",IF(AND($AF232&lt;&gt;"",$AG232=""),"HINWEIS: Gewinde-Vorschlag prüfen","OK")))))))))))))</f>
        <v/>
      </c>
      <c r="X232" s="18" t="str">
        <f aca="false">IF(OR(O232="",$G232=""),"",O232*$G232)</f>
        <v/>
      </c>
      <c r="Y232" s="10"/>
      <c r="Z232" s="21"/>
      <c r="AA232" s="10"/>
      <c r="AB232" s="21"/>
      <c r="AC232" s="21"/>
      <c r="AD232" s="21"/>
      <c r="AE232" s="10"/>
      <c r="AF232" s="10"/>
      <c r="AG232" s="10"/>
      <c r="AH232" s="22"/>
      <c r="AI232" s="21"/>
      <c r="AJ232" s="22"/>
      <c r="AK232" s="21"/>
      <c r="AL232" s="22"/>
      <c r="AM232" s="21"/>
    </row>
    <row r="233" customFormat="false" ht="15" hidden="false" customHeight="false" outlineLevel="0" collapsed="false">
      <c r="A233" s="10"/>
      <c r="B233" s="10"/>
      <c r="C233" s="10"/>
      <c r="D233" s="10"/>
      <c r="E233" s="10"/>
      <c r="F233" s="21"/>
      <c r="G233" s="19"/>
      <c r="H233" s="21"/>
      <c r="I233" s="22"/>
      <c r="J233" s="19"/>
      <c r="K233" s="23" t="str">
        <f aca="false">IF($D233="","",IFERROR(INDEX(Profile!$B$5:$B$304,MATCH($D233,lst_Profil,0)),""))</f>
        <v/>
      </c>
      <c r="L233" s="13" t="str">
        <f aca="false">IF($D233="","",IFERROR(INDEX(Profile!$K$5:$K$304,MATCH($D233,lst_Profil,0))+0,""))</f>
        <v/>
      </c>
      <c r="M233" s="24" t="str">
        <f aca="false">IF($D233="","",IFERROR(INDEX(Profile!$E$5:$E$304,MATCH($D233,lst_Profil,0))+0,""))</f>
        <v/>
      </c>
      <c r="N233" s="25" t="str">
        <f aca="false">IF(OR(L233="",$E233=""),"",IFERROR(L233*INDEX(Werkstoffe!$E$5:$E$304,MATCH($E233,lst_Werkstoff,0))/1000,""))</f>
        <v/>
      </c>
      <c r="O233" s="25" t="str">
        <f aca="false">IF(OR(N233="",$F233=""),"",N233*$F233/1000)</f>
        <v/>
      </c>
      <c r="P233" s="16" t="str">
        <f aca="false">IF(OR($F233="",$G233=""),"",$F233*$G233)</f>
        <v/>
      </c>
      <c r="Q233" s="16" t="str">
        <f aca="false">IF($D233="","",IF($J233&lt;&gt;"",$J233,$C$9))</f>
        <v/>
      </c>
      <c r="R233" s="12" t="str">
        <f aca="false">IF($D233="","",IFERROR(IF(INDEX(Profile!$G$5:$G$304,MATCH($D233,lst_Profil,0))&lt;&gt;"",INDEX(Profile!$G$5:$G$304,MATCH($D233,lst_Profil,0)),$H$4),$H$4))</f>
        <v/>
      </c>
      <c r="S233" s="12" t="str">
        <f aca="false">IF($D233="","",IFERROR(IF(INDEX(Profile!$H$5:$H$304,MATCH($D233,lst_Profil,0))&lt;&gt;"",INDEX(Profile!$H$5:$H$304,MATCH($D233,lst_Profil,0)),$H$5),$H$5))</f>
        <v/>
      </c>
      <c r="T233" s="16" t="str">
        <f aca="false">IF(OR(Q233="",NOT(ISNUMBER(R233)),NOT(ISNUMBER(S233))),"",Q233-R233-S233)</f>
        <v/>
      </c>
      <c r="U233" s="26" t="str">
        <f aca="false">IF(OR($D233="",$E233=""),"",IF(COUNTIFS(Preise!$A$5:$A$304,$D233,Preise!$B$5:$B$304,$E233,Preise!$I$5:$I$304,"OK")&gt;0,"ja","nein"))</f>
        <v/>
      </c>
      <c r="V233" s="15" t="str">
        <f aca="false">IF(OR(M233="",$E233="",$C$8=""),"",IF(_xlfn.MINIFS(Schneiddaten!$C$5:$C$304,Schneiddaten!$A$5:$A$304,$C$8,Schneiddaten!$B$5:$B$304,$E233,Schneiddaten!$C$5:$C$304,"&gt;="&amp;M233)=0,"",SUMIFS(Schneiddaten!$D$5:$D$304,Schneiddaten!$A$5:$A$304,$C$8,Schneiddaten!$B$5:$B$304,$E233,Schneiddaten!$C$5:$C$304,_xlfn.MINIFS(Schneiddaten!$C$5:$C$304,Schneiddaten!$A$5:$A$304,$C$8,Schneiddaten!$B$5:$B$304,$E233,Schneiddaten!$C$5:$C$304,"&gt;="&amp;M233))))</f>
        <v/>
      </c>
      <c r="W233" s="26" t="str">
        <f aca="false">IF(AND($D233="",$E233="",$F233="",$G233=""),"",IF(ISNA(MATCH($D233,lst_Profil,0)),"FEHLER: Profil unbekannt",IF(ISNA(MATCH($E233,lst_Werkstoff,0)),"FEHLER: Werkstoff unbekannt",IF(NOT(ISNUMBER(L233)),"FEHLER: Querschnitt fehlt (Profil)",IF(OR($F233="",$F233&lt;=0),"FEHLER: Teilelänge fehlt",IF(OR($G233="",$G233&lt;1),"FEHLER: Stückzahl fehlt",IF(NOT(ISNUMBER($H$4)),"FEHLER: Maschine fehlt/unbekannt",IF(Q233&gt;$H$7,"FEHLER: Stange länger als Maschine zulässt",IF($F233+$H$6&gt;T233,"FEHLER: Teil länger als Nutzlänge",IF(U233="nein","WARNUNG: kein gültiger Materialpreis",IF($H233="","HINWEIS: Schneidweg fehlt",IF(V233="","HINWEIS: keine Schneiddaten",IF(AND($AF233&lt;&gt;"",$AG233=""),"HINWEIS: Gewinde-Vorschlag prüfen","OK")))))))))))))</f>
        <v/>
      </c>
      <c r="X233" s="18" t="str">
        <f aca="false">IF(OR(O233="",$G233=""),"",O233*$G233)</f>
        <v/>
      </c>
      <c r="Y233" s="10"/>
      <c r="Z233" s="21"/>
      <c r="AA233" s="10"/>
      <c r="AB233" s="21"/>
      <c r="AC233" s="21"/>
      <c r="AD233" s="21"/>
      <c r="AE233" s="10"/>
      <c r="AF233" s="10"/>
      <c r="AG233" s="10"/>
      <c r="AH233" s="22"/>
      <c r="AI233" s="21"/>
      <c r="AJ233" s="22"/>
      <c r="AK233" s="21"/>
      <c r="AL233" s="22"/>
      <c r="AM233" s="21"/>
    </row>
    <row r="234" customFormat="false" ht="15" hidden="false" customHeight="false" outlineLevel="0" collapsed="false">
      <c r="A234" s="10"/>
      <c r="B234" s="10"/>
      <c r="C234" s="10"/>
      <c r="D234" s="10"/>
      <c r="E234" s="10"/>
      <c r="F234" s="21"/>
      <c r="G234" s="19"/>
      <c r="H234" s="21"/>
      <c r="I234" s="22"/>
      <c r="J234" s="19"/>
      <c r="K234" s="23" t="str">
        <f aca="false">IF($D234="","",IFERROR(INDEX(Profile!$B$5:$B$304,MATCH($D234,lst_Profil,0)),""))</f>
        <v/>
      </c>
      <c r="L234" s="13" t="str">
        <f aca="false">IF($D234="","",IFERROR(INDEX(Profile!$K$5:$K$304,MATCH($D234,lst_Profil,0))+0,""))</f>
        <v/>
      </c>
      <c r="M234" s="24" t="str">
        <f aca="false">IF($D234="","",IFERROR(INDEX(Profile!$E$5:$E$304,MATCH($D234,lst_Profil,0))+0,""))</f>
        <v/>
      </c>
      <c r="N234" s="25" t="str">
        <f aca="false">IF(OR(L234="",$E234=""),"",IFERROR(L234*INDEX(Werkstoffe!$E$5:$E$304,MATCH($E234,lst_Werkstoff,0))/1000,""))</f>
        <v/>
      </c>
      <c r="O234" s="25" t="str">
        <f aca="false">IF(OR(N234="",$F234=""),"",N234*$F234/1000)</f>
        <v/>
      </c>
      <c r="P234" s="16" t="str">
        <f aca="false">IF(OR($F234="",$G234=""),"",$F234*$G234)</f>
        <v/>
      </c>
      <c r="Q234" s="16" t="str">
        <f aca="false">IF($D234="","",IF($J234&lt;&gt;"",$J234,$C$9))</f>
        <v/>
      </c>
      <c r="R234" s="12" t="str">
        <f aca="false">IF($D234="","",IFERROR(IF(INDEX(Profile!$G$5:$G$304,MATCH($D234,lst_Profil,0))&lt;&gt;"",INDEX(Profile!$G$5:$G$304,MATCH($D234,lst_Profil,0)),$H$4),$H$4))</f>
        <v/>
      </c>
      <c r="S234" s="12" t="str">
        <f aca="false">IF($D234="","",IFERROR(IF(INDEX(Profile!$H$5:$H$304,MATCH($D234,lst_Profil,0))&lt;&gt;"",INDEX(Profile!$H$5:$H$304,MATCH($D234,lst_Profil,0)),$H$5),$H$5))</f>
        <v/>
      </c>
      <c r="T234" s="16" t="str">
        <f aca="false">IF(OR(Q234="",NOT(ISNUMBER(R234)),NOT(ISNUMBER(S234))),"",Q234-R234-S234)</f>
        <v/>
      </c>
      <c r="U234" s="26" t="str">
        <f aca="false">IF(OR($D234="",$E234=""),"",IF(COUNTIFS(Preise!$A$5:$A$304,$D234,Preise!$B$5:$B$304,$E234,Preise!$I$5:$I$304,"OK")&gt;0,"ja","nein"))</f>
        <v/>
      </c>
      <c r="V234" s="15" t="str">
        <f aca="false">IF(OR(M234="",$E234="",$C$8=""),"",IF(_xlfn.MINIFS(Schneiddaten!$C$5:$C$304,Schneiddaten!$A$5:$A$304,$C$8,Schneiddaten!$B$5:$B$304,$E234,Schneiddaten!$C$5:$C$304,"&gt;="&amp;M234)=0,"",SUMIFS(Schneiddaten!$D$5:$D$304,Schneiddaten!$A$5:$A$304,$C$8,Schneiddaten!$B$5:$B$304,$E234,Schneiddaten!$C$5:$C$304,_xlfn.MINIFS(Schneiddaten!$C$5:$C$304,Schneiddaten!$A$5:$A$304,$C$8,Schneiddaten!$B$5:$B$304,$E234,Schneiddaten!$C$5:$C$304,"&gt;="&amp;M234))))</f>
        <v/>
      </c>
      <c r="W234" s="26" t="str">
        <f aca="false">IF(AND($D234="",$E234="",$F234="",$G234=""),"",IF(ISNA(MATCH($D234,lst_Profil,0)),"FEHLER: Profil unbekannt",IF(ISNA(MATCH($E234,lst_Werkstoff,0)),"FEHLER: Werkstoff unbekannt",IF(NOT(ISNUMBER(L234)),"FEHLER: Querschnitt fehlt (Profil)",IF(OR($F234="",$F234&lt;=0),"FEHLER: Teilelänge fehlt",IF(OR($G234="",$G234&lt;1),"FEHLER: Stückzahl fehlt",IF(NOT(ISNUMBER($H$4)),"FEHLER: Maschine fehlt/unbekannt",IF(Q234&gt;$H$7,"FEHLER: Stange länger als Maschine zulässt",IF($F234+$H$6&gt;T234,"FEHLER: Teil länger als Nutzlänge",IF(U234="nein","WARNUNG: kein gültiger Materialpreis",IF($H234="","HINWEIS: Schneidweg fehlt",IF(V234="","HINWEIS: keine Schneiddaten",IF(AND($AF234&lt;&gt;"",$AG234=""),"HINWEIS: Gewinde-Vorschlag prüfen","OK")))))))))))))</f>
        <v/>
      </c>
      <c r="X234" s="18" t="str">
        <f aca="false">IF(OR(O234="",$G234=""),"",O234*$G234)</f>
        <v/>
      </c>
      <c r="Y234" s="10"/>
      <c r="Z234" s="21"/>
      <c r="AA234" s="10"/>
      <c r="AB234" s="21"/>
      <c r="AC234" s="21"/>
      <c r="AD234" s="21"/>
      <c r="AE234" s="10"/>
      <c r="AF234" s="10"/>
      <c r="AG234" s="10"/>
      <c r="AH234" s="22"/>
      <c r="AI234" s="21"/>
      <c r="AJ234" s="22"/>
      <c r="AK234" s="21"/>
      <c r="AL234" s="22"/>
      <c r="AM234" s="21"/>
    </row>
    <row r="235" customFormat="false" ht="15" hidden="false" customHeight="false" outlineLevel="0" collapsed="false">
      <c r="A235" s="10"/>
      <c r="B235" s="10"/>
      <c r="C235" s="10"/>
      <c r="D235" s="10"/>
      <c r="E235" s="10"/>
      <c r="F235" s="21"/>
      <c r="G235" s="19"/>
      <c r="H235" s="21"/>
      <c r="I235" s="22"/>
      <c r="J235" s="19"/>
      <c r="K235" s="23" t="str">
        <f aca="false">IF($D235="","",IFERROR(INDEX(Profile!$B$5:$B$304,MATCH($D235,lst_Profil,0)),""))</f>
        <v/>
      </c>
      <c r="L235" s="13" t="str">
        <f aca="false">IF($D235="","",IFERROR(INDEX(Profile!$K$5:$K$304,MATCH($D235,lst_Profil,0))+0,""))</f>
        <v/>
      </c>
      <c r="M235" s="24" t="str">
        <f aca="false">IF($D235="","",IFERROR(INDEX(Profile!$E$5:$E$304,MATCH($D235,lst_Profil,0))+0,""))</f>
        <v/>
      </c>
      <c r="N235" s="25" t="str">
        <f aca="false">IF(OR(L235="",$E235=""),"",IFERROR(L235*INDEX(Werkstoffe!$E$5:$E$304,MATCH($E235,lst_Werkstoff,0))/1000,""))</f>
        <v/>
      </c>
      <c r="O235" s="25" t="str">
        <f aca="false">IF(OR(N235="",$F235=""),"",N235*$F235/1000)</f>
        <v/>
      </c>
      <c r="P235" s="16" t="str">
        <f aca="false">IF(OR($F235="",$G235=""),"",$F235*$G235)</f>
        <v/>
      </c>
      <c r="Q235" s="16" t="str">
        <f aca="false">IF($D235="","",IF($J235&lt;&gt;"",$J235,$C$9))</f>
        <v/>
      </c>
      <c r="R235" s="12" t="str">
        <f aca="false">IF($D235="","",IFERROR(IF(INDEX(Profile!$G$5:$G$304,MATCH($D235,lst_Profil,0))&lt;&gt;"",INDEX(Profile!$G$5:$G$304,MATCH($D235,lst_Profil,0)),$H$4),$H$4))</f>
        <v/>
      </c>
      <c r="S235" s="12" t="str">
        <f aca="false">IF($D235="","",IFERROR(IF(INDEX(Profile!$H$5:$H$304,MATCH($D235,lst_Profil,0))&lt;&gt;"",INDEX(Profile!$H$5:$H$304,MATCH($D235,lst_Profil,0)),$H$5),$H$5))</f>
        <v/>
      </c>
      <c r="T235" s="16" t="str">
        <f aca="false">IF(OR(Q235="",NOT(ISNUMBER(R235)),NOT(ISNUMBER(S235))),"",Q235-R235-S235)</f>
        <v/>
      </c>
      <c r="U235" s="26" t="str">
        <f aca="false">IF(OR($D235="",$E235=""),"",IF(COUNTIFS(Preise!$A$5:$A$304,$D235,Preise!$B$5:$B$304,$E235,Preise!$I$5:$I$304,"OK")&gt;0,"ja","nein"))</f>
        <v/>
      </c>
      <c r="V235" s="15" t="str">
        <f aca="false">IF(OR(M235="",$E235="",$C$8=""),"",IF(_xlfn.MINIFS(Schneiddaten!$C$5:$C$304,Schneiddaten!$A$5:$A$304,$C$8,Schneiddaten!$B$5:$B$304,$E235,Schneiddaten!$C$5:$C$304,"&gt;="&amp;M235)=0,"",SUMIFS(Schneiddaten!$D$5:$D$304,Schneiddaten!$A$5:$A$304,$C$8,Schneiddaten!$B$5:$B$304,$E235,Schneiddaten!$C$5:$C$304,_xlfn.MINIFS(Schneiddaten!$C$5:$C$304,Schneiddaten!$A$5:$A$304,$C$8,Schneiddaten!$B$5:$B$304,$E235,Schneiddaten!$C$5:$C$304,"&gt;="&amp;M235))))</f>
        <v/>
      </c>
      <c r="W235" s="26" t="str">
        <f aca="false">IF(AND($D235="",$E235="",$F235="",$G235=""),"",IF(ISNA(MATCH($D235,lst_Profil,0)),"FEHLER: Profil unbekannt",IF(ISNA(MATCH($E235,lst_Werkstoff,0)),"FEHLER: Werkstoff unbekannt",IF(NOT(ISNUMBER(L235)),"FEHLER: Querschnitt fehlt (Profil)",IF(OR($F235="",$F235&lt;=0),"FEHLER: Teilelänge fehlt",IF(OR($G235="",$G235&lt;1),"FEHLER: Stückzahl fehlt",IF(NOT(ISNUMBER($H$4)),"FEHLER: Maschine fehlt/unbekannt",IF(Q235&gt;$H$7,"FEHLER: Stange länger als Maschine zulässt",IF($F235+$H$6&gt;T235,"FEHLER: Teil länger als Nutzlänge",IF(U235="nein","WARNUNG: kein gültiger Materialpreis",IF($H235="","HINWEIS: Schneidweg fehlt",IF(V235="","HINWEIS: keine Schneiddaten",IF(AND($AF235&lt;&gt;"",$AG235=""),"HINWEIS: Gewinde-Vorschlag prüfen","OK")))))))))))))</f>
        <v/>
      </c>
      <c r="X235" s="18" t="str">
        <f aca="false">IF(OR(O235="",$G235=""),"",O235*$G235)</f>
        <v/>
      </c>
      <c r="Y235" s="10"/>
      <c r="Z235" s="21"/>
      <c r="AA235" s="10"/>
      <c r="AB235" s="21"/>
      <c r="AC235" s="21"/>
      <c r="AD235" s="21"/>
      <c r="AE235" s="10"/>
      <c r="AF235" s="10"/>
      <c r="AG235" s="10"/>
      <c r="AH235" s="22"/>
      <c r="AI235" s="21"/>
      <c r="AJ235" s="22"/>
      <c r="AK235" s="21"/>
      <c r="AL235" s="22"/>
      <c r="AM235" s="21"/>
    </row>
    <row r="236" customFormat="false" ht="15" hidden="false" customHeight="false" outlineLevel="0" collapsed="false">
      <c r="A236" s="10"/>
      <c r="B236" s="10"/>
      <c r="C236" s="10"/>
      <c r="D236" s="10"/>
      <c r="E236" s="10"/>
      <c r="F236" s="21"/>
      <c r="G236" s="19"/>
      <c r="H236" s="21"/>
      <c r="I236" s="22"/>
      <c r="J236" s="19"/>
      <c r="K236" s="23" t="str">
        <f aca="false">IF($D236="","",IFERROR(INDEX(Profile!$B$5:$B$304,MATCH($D236,lst_Profil,0)),""))</f>
        <v/>
      </c>
      <c r="L236" s="13" t="str">
        <f aca="false">IF($D236="","",IFERROR(INDEX(Profile!$K$5:$K$304,MATCH($D236,lst_Profil,0))+0,""))</f>
        <v/>
      </c>
      <c r="M236" s="24" t="str">
        <f aca="false">IF($D236="","",IFERROR(INDEX(Profile!$E$5:$E$304,MATCH($D236,lst_Profil,0))+0,""))</f>
        <v/>
      </c>
      <c r="N236" s="25" t="str">
        <f aca="false">IF(OR(L236="",$E236=""),"",IFERROR(L236*INDEX(Werkstoffe!$E$5:$E$304,MATCH($E236,lst_Werkstoff,0))/1000,""))</f>
        <v/>
      </c>
      <c r="O236" s="25" t="str">
        <f aca="false">IF(OR(N236="",$F236=""),"",N236*$F236/1000)</f>
        <v/>
      </c>
      <c r="P236" s="16" t="str">
        <f aca="false">IF(OR($F236="",$G236=""),"",$F236*$G236)</f>
        <v/>
      </c>
      <c r="Q236" s="16" t="str">
        <f aca="false">IF($D236="","",IF($J236&lt;&gt;"",$J236,$C$9))</f>
        <v/>
      </c>
      <c r="R236" s="12" t="str">
        <f aca="false">IF($D236="","",IFERROR(IF(INDEX(Profile!$G$5:$G$304,MATCH($D236,lst_Profil,0))&lt;&gt;"",INDEX(Profile!$G$5:$G$304,MATCH($D236,lst_Profil,0)),$H$4),$H$4))</f>
        <v/>
      </c>
      <c r="S236" s="12" t="str">
        <f aca="false">IF($D236="","",IFERROR(IF(INDEX(Profile!$H$5:$H$304,MATCH($D236,lst_Profil,0))&lt;&gt;"",INDEX(Profile!$H$5:$H$304,MATCH($D236,lst_Profil,0)),$H$5),$H$5))</f>
        <v/>
      </c>
      <c r="T236" s="16" t="str">
        <f aca="false">IF(OR(Q236="",NOT(ISNUMBER(R236)),NOT(ISNUMBER(S236))),"",Q236-R236-S236)</f>
        <v/>
      </c>
      <c r="U236" s="26" t="str">
        <f aca="false">IF(OR($D236="",$E236=""),"",IF(COUNTIFS(Preise!$A$5:$A$304,$D236,Preise!$B$5:$B$304,$E236,Preise!$I$5:$I$304,"OK")&gt;0,"ja","nein"))</f>
        <v/>
      </c>
      <c r="V236" s="15" t="str">
        <f aca="false">IF(OR(M236="",$E236="",$C$8=""),"",IF(_xlfn.MINIFS(Schneiddaten!$C$5:$C$304,Schneiddaten!$A$5:$A$304,$C$8,Schneiddaten!$B$5:$B$304,$E236,Schneiddaten!$C$5:$C$304,"&gt;="&amp;M236)=0,"",SUMIFS(Schneiddaten!$D$5:$D$304,Schneiddaten!$A$5:$A$304,$C$8,Schneiddaten!$B$5:$B$304,$E236,Schneiddaten!$C$5:$C$304,_xlfn.MINIFS(Schneiddaten!$C$5:$C$304,Schneiddaten!$A$5:$A$304,$C$8,Schneiddaten!$B$5:$B$304,$E236,Schneiddaten!$C$5:$C$304,"&gt;="&amp;M236))))</f>
        <v/>
      </c>
      <c r="W236" s="26" t="str">
        <f aca="false">IF(AND($D236="",$E236="",$F236="",$G236=""),"",IF(ISNA(MATCH($D236,lst_Profil,0)),"FEHLER: Profil unbekannt",IF(ISNA(MATCH($E236,lst_Werkstoff,0)),"FEHLER: Werkstoff unbekannt",IF(NOT(ISNUMBER(L236)),"FEHLER: Querschnitt fehlt (Profil)",IF(OR($F236="",$F236&lt;=0),"FEHLER: Teilelänge fehlt",IF(OR($G236="",$G236&lt;1),"FEHLER: Stückzahl fehlt",IF(NOT(ISNUMBER($H$4)),"FEHLER: Maschine fehlt/unbekannt",IF(Q236&gt;$H$7,"FEHLER: Stange länger als Maschine zulässt",IF($F236+$H$6&gt;T236,"FEHLER: Teil länger als Nutzlänge",IF(U236="nein","WARNUNG: kein gültiger Materialpreis",IF($H236="","HINWEIS: Schneidweg fehlt",IF(V236="","HINWEIS: keine Schneiddaten",IF(AND($AF236&lt;&gt;"",$AG236=""),"HINWEIS: Gewinde-Vorschlag prüfen","OK")))))))))))))</f>
        <v/>
      </c>
      <c r="X236" s="18" t="str">
        <f aca="false">IF(OR(O236="",$G236=""),"",O236*$G236)</f>
        <v/>
      </c>
      <c r="Y236" s="10"/>
      <c r="Z236" s="21"/>
      <c r="AA236" s="10"/>
      <c r="AB236" s="21"/>
      <c r="AC236" s="21"/>
      <c r="AD236" s="21"/>
      <c r="AE236" s="10"/>
      <c r="AF236" s="10"/>
      <c r="AG236" s="10"/>
      <c r="AH236" s="22"/>
      <c r="AI236" s="21"/>
      <c r="AJ236" s="22"/>
      <c r="AK236" s="21"/>
      <c r="AL236" s="22"/>
      <c r="AM236" s="21"/>
    </row>
    <row r="237" customFormat="false" ht="15" hidden="false" customHeight="false" outlineLevel="0" collapsed="false">
      <c r="A237" s="10"/>
      <c r="B237" s="10"/>
      <c r="C237" s="10"/>
      <c r="D237" s="10"/>
      <c r="E237" s="10"/>
      <c r="F237" s="21"/>
      <c r="G237" s="19"/>
      <c r="H237" s="21"/>
      <c r="I237" s="22"/>
      <c r="J237" s="19"/>
      <c r="K237" s="23" t="str">
        <f aca="false">IF($D237="","",IFERROR(INDEX(Profile!$B$5:$B$304,MATCH($D237,lst_Profil,0)),""))</f>
        <v/>
      </c>
      <c r="L237" s="13" t="str">
        <f aca="false">IF($D237="","",IFERROR(INDEX(Profile!$K$5:$K$304,MATCH($D237,lst_Profil,0))+0,""))</f>
        <v/>
      </c>
      <c r="M237" s="24" t="str">
        <f aca="false">IF($D237="","",IFERROR(INDEX(Profile!$E$5:$E$304,MATCH($D237,lst_Profil,0))+0,""))</f>
        <v/>
      </c>
      <c r="N237" s="25" t="str">
        <f aca="false">IF(OR(L237="",$E237=""),"",IFERROR(L237*INDEX(Werkstoffe!$E$5:$E$304,MATCH($E237,lst_Werkstoff,0))/1000,""))</f>
        <v/>
      </c>
      <c r="O237" s="25" t="str">
        <f aca="false">IF(OR(N237="",$F237=""),"",N237*$F237/1000)</f>
        <v/>
      </c>
      <c r="P237" s="16" t="str">
        <f aca="false">IF(OR($F237="",$G237=""),"",$F237*$G237)</f>
        <v/>
      </c>
      <c r="Q237" s="16" t="str">
        <f aca="false">IF($D237="","",IF($J237&lt;&gt;"",$J237,$C$9))</f>
        <v/>
      </c>
      <c r="R237" s="12" t="str">
        <f aca="false">IF($D237="","",IFERROR(IF(INDEX(Profile!$G$5:$G$304,MATCH($D237,lst_Profil,0))&lt;&gt;"",INDEX(Profile!$G$5:$G$304,MATCH($D237,lst_Profil,0)),$H$4),$H$4))</f>
        <v/>
      </c>
      <c r="S237" s="12" t="str">
        <f aca="false">IF($D237="","",IFERROR(IF(INDEX(Profile!$H$5:$H$304,MATCH($D237,lst_Profil,0))&lt;&gt;"",INDEX(Profile!$H$5:$H$304,MATCH($D237,lst_Profil,0)),$H$5),$H$5))</f>
        <v/>
      </c>
      <c r="T237" s="16" t="str">
        <f aca="false">IF(OR(Q237="",NOT(ISNUMBER(R237)),NOT(ISNUMBER(S237))),"",Q237-R237-S237)</f>
        <v/>
      </c>
      <c r="U237" s="26" t="str">
        <f aca="false">IF(OR($D237="",$E237=""),"",IF(COUNTIFS(Preise!$A$5:$A$304,$D237,Preise!$B$5:$B$304,$E237,Preise!$I$5:$I$304,"OK")&gt;0,"ja","nein"))</f>
        <v/>
      </c>
      <c r="V237" s="15" t="str">
        <f aca="false">IF(OR(M237="",$E237="",$C$8=""),"",IF(_xlfn.MINIFS(Schneiddaten!$C$5:$C$304,Schneiddaten!$A$5:$A$304,$C$8,Schneiddaten!$B$5:$B$304,$E237,Schneiddaten!$C$5:$C$304,"&gt;="&amp;M237)=0,"",SUMIFS(Schneiddaten!$D$5:$D$304,Schneiddaten!$A$5:$A$304,$C$8,Schneiddaten!$B$5:$B$304,$E237,Schneiddaten!$C$5:$C$304,_xlfn.MINIFS(Schneiddaten!$C$5:$C$304,Schneiddaten!$A$5:$A$304,$C$8,Schneiddaten!$B$5:$B$304,$E237,Schneiddaten!$C$5:$C$304,"&gt;="&amp;M237))))</f>
        <v/>
      </c>
      <c r="W237" s="26" t="str">
        <f aca="false">IF(AND($D237="",$E237="",$F237="",$G237=""),"",IF(ISNA(MATCH($D237,lst_Profil,0)),"FEHLER: Profil unbekannt",IF(ISNA(MATCH($E237,lst_Werkstoff,0)),"FEHLER: Werkstoff unbekannt",IF(NOT(ISNUMBER(L237)),"FEHLER: Querschnitt fehlt (Profil)",IF(OR($F237="",$F237&lt;=0),"FEHLER: Teilelänge fehlt",IF(OR($G237="",$G237&lt;1),"FEHLER: Stückzahl fehlt",IF(NOT(ISNUMBER($H$4)),"FEHLER: Maschine fehlt/unbekannt",IF(Q237&gt;$H$7,"FEHLER: Stange länger als Maschine zulässt",IF($F237+$H$6&gt;T237,"FEHLER: Teil länger als Nutzlänge",IF(U237="nein","WARNUNG: kein gültiger Materialpreis",IF($H237="","HINWEIS: Schneidweg fehlt",IF(V237="","HINWEIS: keine Schneiddaten",IF(AND($AF237&lt;&gt;"",$AG237=""),"HINWEIS: Gewinde-Vorschlag prüfen","OK")))))))))))))</f>
        <v/>
      </c>
      <c r="X237" s="18" t="str">
        <f aca="false">IF(OR(O237="",$G237=""),"",O237*$G237)</f>
        <v/>
      </c>
      <c r="Y237" s="10"/>
      <c r="Z237" s="21"/>
      <c r="AA237" s="10"/>
      <c r="AB237" s="21"/>
      <c r="AC237" s="21"/>
      <c r="AD237" s="21"/>
      <c r="AE237" s="10"/>
      <c r="AF237" s="10"/>
      <c r="AG237" s="10"/>
      <c r="AH237" s="22"/>
      <c r="AI237" s="21"/>
      <c r="AJ237" s="22"/>
      <c r="AK237" s="21"/>
      <c r="AL237" s="22"/>
      <c r="AM237" s="21"/>
    </row>
    <row r="238" customFormat="false" ht="15" hidden="false" customHeight="false" outlineLevel="0" collapsed="false">
      <c r="A238" s="10"/>
      <c r="B238" s="10"/>
      <c r="C238" s="10"/>
      <c r="D238" s="10"/>
      <c r="E238" s="10"/>
      <c r="F238" s="21"/>
      <c r="G238" s="19"/>
      <c r="H238" s="21"/>
      <c r="I238" s="22"/>
      <c r="J238" s="19"/>
      <c r="K238" s="23" t="str">
        <f aca="false">IF($D238="","",IFERROR(INDEX(Profile!$B$5:$B$304,MATCH($D238,lst_Profil,0)),""))</f>
        <v/>
      </c>
      <c r="L238" s="13" t="str">
        <f aca="false">IF($D238="","",IFERROR(INDEX(Profile!$K$5:$K$304,MATCH($D238,lst_Profil,0))+0,""))</f>
        <v/>
      </c>
      <c r="M238" s="24" t="str">
        <f aca="false">IF($D238="","",IFERROR(INDEX(Profile!$E$5:$E$304,MATCH($D238,lst_Profil,0))+0,""))</f>
        <v/>
      </c>
      <c r="N238" s="25" t="str">
        <f aca="false">IF(OR(L238="",$E238=""),"",IFERROR(L238*INDEX(Werkstoffe!$E$5:$E$304,MATCH($E238,lst_Werkstoff,0))/1000,""))</f>
        <v/>
      </c>
      <c r="O238" s="25" t="str">
        <f aca="false">IF(OR(N238="",$F238=""),"",N238*$F238/1000)</f>
        <v/>
      </c>
      <c r="P238" s="16" t="str">
        <f aca="false">IF(OR($F238="",$G238=""),"",$F238*$G238)</f>
        <v/>
      </c>
      <c r="Q238" s="16" t="str">
        <f aca="false">IF($D238="","",IF($J238&lt;&gt;"",$J238,$C$9))</f>
        <v/>
      </c>
      <c r="R238" s="12" t="str">
        <f aca="false">IF($D238="","",IFERROR(IF(INDEX(Profile!$G$5:$G$304,MATCH($D238,lst_Profil,0))&lt;&gt;"",INDEX(Profile!$G$5:$G$304,MATCH($D238,lst_Profil,0)),$H$4),$H$4))</f>
        <v/>
      </c>
      <c r="S238" s="12" t="str">
        <f aca="false">IF($D238="","",IFERROR(IF(INDEX(Profile!$H$5:$H$304,MATCH($D238,lst_Profil,0))&lt;&gt;"",INDEX(Profile!$H$5:$H$304,MATCH($D238,lst_Profil,0)),$H$5),$H$5))</f>
        <v/>
      </c>
      <c r="T238" s="16" t="str">
        <f aca="false">IF(OR(Q238="",NOT(ISNUMBER(R238)),NOT(ISNUMBER(S238))),"",Q238-R238-S238)</f>
        <v/>
      </c>
      <c r="U238" s="26" t="str">
        <f aca="false">IF(OR($D238="",$E238=""),"",IF(COUNTIFS(Preise!$A$5:$A$304,$D238,Preise!$B$5:$B$304,$E238,Preise!$I$5:$I$304,"OK")&gt;0,"ja","nein"))</f>
        <v/>
      </c>
      <c r="V238" s="15" t="str">
        <f aca="false">IF(OR(M238="",$E238="",$C$8=""),"",IF(_xlfn.MINIFS(Schneiddaten!$C$5:$C$304,Schneiddaten!$A$5:$A$304,$C$8,Schneiddaten!$B$5:$B$304,$E238,Schneiddaten!$C$5:$C$304,"&gt;="&amp;M238)=0,"",SUMIFS(Schneiddaten!$D$5:$D$304,Schneiddaten!$A$5:$A$304,$C$8,Schneiddaten!$B$5:$B$304,$E238,Schneiddaten!$C$5:$C$304,_xlfn.MINIFS(Schneiddaten!$C$5:$C$304,Schneiddaten!$A$5:$A$304,$C$8,Schneiddaten!$B$5:$B$304,$E238,Schneiddaten!$C$5:$C$304,"&gt;="&amp;M238))))</f>
        <v/>
      </c>
      <c r="W238" s="26" t="str">
        <f aca="false">IF(AND($D238="",$E238="",$F238="",$G238=""),"",IF(ISNA(MATCH($D238,lst_Profil,0)),"FEHLER: Profil unbekannt",IF(ISNA(MATCH($E238,lst_Werkstoff,0)),"FEHLER: Werkstoff unbekannt",IF(NOT(ISNUMBER(L238)),"FEHLER: Querschnitt fehlt (Profil)",IF(OR($F238="",$F238&lt;=0),"FEHLER: Teilelänge fehlt",IF(OR($G238="",$G238&lt;1),"FEHLER: Stückzahl fehlt",IF(NOT(ISNUMBER($H$4)),"FEHLER: Maschine fehlt/unbekannt",IF(Q238&gt;$H$7,"FEHLER: Stange länger als Maschine zulässt",IF($F238+$H$6&gt;T238,"FEHLER: Teil länger als Nutzlänge",IF(U238="nein","WARNUNG: kein gültiger Materialpreis",IF($H238="","HINWEIS: Schneidweg fehlt",IF(V238="","HINWEIS: keine Schneiddaten",IF(AND($AF238&lt;&gt;"",$AG238=""),"HINWEIS: Gewinde-Vorschlag prüfen","OK")))))))))))))</f>
        <v/>
      </c>
      <c r="X238" s="18" t="str">
        <f aca="false">IF(OR(O238="",$G238=""),"",O238*$G238)</f>
        <v/>
      </c>
      <c r="Y238" s="10"/>
      <c r="Z238" s="21"/>
      <c r="AA238" s="10"/>
      <c r="AB238" s="21"/>
      <c r="AC238" s="21"/>
      <c r="AD238" s="21"/>
      <c r="AE238" s="10"/>
      <c r="AF238" s="10"/>
      <c r="AG238" s="10"/>
      <c r="AH238" s="22"/>
      <c r="AI238" s="21"/>
      <c r="AJ238" s="22"/>
      <c r="AK238" s="21"/>
      <c r="AL238" s="22"/>
      <c r="AM238" s="21"/>
    </row>
    <row r="239" customFormat="false" ht="15" hidden="false" customHeight="false" outlineLevel="0" collapsed="false">
      <c r="A239" s="10"/>
      <c r="B239" s="10"/>
      <c r="C239" s="10"/>
      <c r="D239" s="10"/>
      <c r="E239" s="10"/>
      <c r="F239" s="21"/>
      <c r="G239" s="19"/>
      <c r="H239" s="21"/>
      <c r="I239" s="22"/>
      <c r="J239" s="19"/>
      <c r="K239" s="23" t="str">
        <f aca="false">IF($D239="","",IFERROR(INDEX(Profile!$B$5:$B$304,MATCH($D239,lst_Profil,0)),""))</f>
        <v/>
      </c>
      <c r="L239" s="13" t="str">
        <f aca="false">IF($D239="","",IFERROR(INDEX(Profile!$K$5:$K$304,MATCH($D239,lst_Profil,0))+0,""))</f>
        <v/>
      </c>
      <c r="M239" s="24" t="str">
        <f aca="false">IF($D239="","",IFERROR(INDEX(Profile!$E$5:$E$304,MATCH($D239,lst_Profil,0))+0,""))</f>
        <v/>
      </c>
      <c r="N239" s="25" t="str">
        <f aca="false">IF(OR(L239="",$E239=""),"",IFERROR(L239*INDEX(Werkstoffe!$E$5:$E$304,MATCH($E239,lst_Werkstoff,0))/1000,""))</f>
        <v/>
      </c>
      <c r="O239" s="25" t="str">
        <f aca="false">IF(OR(N239="",$F239=""),"",N239*$F239/1000)</f>
        <v/>
      </c>
      <c r="P239" s="16" t="str">
        <f aca="false">IF(OR($F239="",$G239=""),"",$F239*$G239)</f>
        <v/>
      </c>
      <c r="Q239" s="16" t="str">
        <f aca="false">IF($D239="","",IF($J239&lt;&gt;"",$J239,$C$9))</f>
        <v/>
      </c>
      <c r="R239" s="12" t="str">
        <f aca="false">IF($D239="","",IFERROR(IF(INDEX(Profile!$G$5:$G$304,MATCH($D239,lst_Profil,0))&lt;&gt;"",INDEX(Profile!$G$5:$G$304,MATCH($D239,lst_Profil,0)),$H$4),$H$4))</f>
        <v/>
      </c>
      <c r="S239" s="12" t="str">
        <f aca="false">IF($D239="","",IFERROR(IF(INDEX(Profile!$H$5:$H$304,MATCH($D239,lst_Profil,0))&lt;&gt;"",INDEX(Profile!$H$5:$H$304,MATCH($D239,lst_Profil,0)),$H$5),$H$5))</f>
        <v/>
      </c>
      <c r="T239" s="16" t="str">
        <f aca="false">IF(OR(Q239="",NOT(ISNUMBER(R239)),NOT(ISNUMBER(S239))),"",Q239-R239-S239)</f>
        <v/>
      </c>
      <c r="U239" s="26" t="str">
        <f aca="false">IF(OR($D239="",$E239=""),"",IF(COUNTIFS(Preise!$A$5:$A$304,$D239,Preise!$B$5:$B$304,$E239,Preise!$I$5:$I$304,"OK")&gt;0,"ja","nein"))</f>
        <v/>
      </c>
      <c r="V239" s="15" t="str">
        <f aca="false">IF(OR(M239="",$E239="",$C$8=""),"",IF(_xlfn.MINIFS(Schneiddaten!$C$5:$C$304,Schneiddaten!$A$5:$A$304,$C$8,Schneiddaten!$B$5:$B$304,$E239,Schneiddaten!$C$5:$C$304,"&gt;="&amp;M239)=0,"",SUMIFS(Schneiddaten!$D$5:$D$304,Schneiddaten!$A$5:$A$304,$C$8,Schneiddaten!$B$5:$B$304,$E239,Schneiddaten!$C$5:$C$304,_xlfn.MINIFS(Schneiddaten!$C$5:$C$304,Schneiddaten!$A$5:$A$304,$C$8,Schneiddaten!$B$5:$B$304,$E239,Schneiddaten!$C$5:$C$304,"&gt;="&amp;M239))))</f>
        <v/>
      </c>
      <c r="W239" s="26" t="str">
        <f aca="false">IF(AND($D239="",$E239="",$F239="",$G239=""),"",IF(ISNA(MATCH($D239,lst_Profil,0)),"FEHLER: Profil unbekannt",IF(ISNA(MATCH($E239,lst_Werkstoff,0)),"FEHLER: Werkstoff unbekannt",IF(NOT(ISNUMBER(L239)),"FEHLER: Querschnitt fehlt (Profil)",IF(OR($F239="",$F239&lt;=0),"FEHLER: Teilelänge fehlt",IF(OR($G239="",$G239&lt;1),"FEHLER: Stückzahl fehlt",IF(NOT(ISNUMBER($H$4)),"FEHLER: Maschine fehlt/unbekannt",IF(Q239&gt;$H$7,"FEHLER: Stange länger als Maschine zulässt",IF($F239+$H$6&gt;T239,"FEHLER: Teil länger als Nutzlänge",IF(U239="nein","WARNUNG: kein gültiger Materialpreis",IF($H239="","HINWEIS: Schneidweg fehlt",IF(V239="","HINWEIS: keine Schneiddaten",IF(AND($AF239&lt;&gt;"",$AG239=""),"HINWEIS: Gewinde-Vorschlag prüfen","OK")))))))))))))</f>
        <v/>
      </c>
      <c r="X239" s="18" t="str">
        <f aca="false">IF(OR(O239="",$G239=""),"",O239*$G239)</f>
        <v/>
      </c>
      <c r="Y239" s="10"/>
      <c r="Z239" s="21"/>
      <c r="AA239" s="10"/>
      <c r="AB239" s="21"/>
      <c r="AC239" s="21"/>
      <c r="AD239" s="21"/>
      <c r="AE239" s="10"/>
      <c r="AF239" s="10"/>
      <c r="AG239" s="10"/>
      <c r="AH239" s="22"/>
      <c r="AI239" s="21"/>
      <c r="AJ239" s="22"/>
      <c r="AK239" s="21"/>
      <c r="AL239" s="22"/>
      <c r="AM239" s="21"/>
    </row>
    <row r="240" customFormat="false" ht="15" hidden="false" customHeight="false" outlineLevel="0" collapsed="false">
      <c r="A240" s="10"/>
      <c r="B240" s="10"/>
      <c r="C240" s="10"/>
      <c r="D240" s="10"/>
      <c r="E240" s="10"/>
      <c r="F240" s="21"/>
      <c r="G240" s="19"/>
      <c r="H240" s="21"/>
      <c r="I240" s="22"/>
      <c r="J240" s="19"/>
      <c r="K240" s="23" t="str">
        <f aca="false">IF($D240="","",IFERROR(INDEX(Profile!$B$5:$B$304,MATCH($D240,lst_Profil,0)),""))</f>
        <v/>
      </c>
      <c r="L240" s="13" t="str">
        <f aca="false">IF($D240="","",IFERROR(INDEX(Profile!$K$5:$K$304,MATCH($D240,lst_Profil,0))+0,""))</f>
        <v/>
      </c>
      <c r="M240" s="24" t="str">
        <f aca="false">IF($D240="","",IFERROR(INDEX(Profile!$E$5:$E$304,MATCH($D240,lst_Profil,0))+0,""))</f>
        <v/>
      </c>
      <c r="N240" s="25" t="str">
        <f aca="false">IF(OR(L240="",$E240=""),"",IFERROR(L240*INDEX(Werkstoffe!$E$5:$E$304,MATCH($E240,lst_Werkstoff,0))/1000,""))</f>
        <v/>
      </c>
      <c r="O240" s="25" t="str">
        <f aca="false">IF(OR(N240="",$F240=""),"",N240*$F240/1000)</f>
        <v/>
      </c>
      <c r="P240" s="16" t="str">
        <f aca="false">IF(OR($F240="",$G240=""),"",$F240*$G240)</f>
        <v/>
      </c>
      <c r="Q240" s="16" t="str">
        <f aca="false">IF($D240="","",IF($J240&lt;&gt;"",$J240,$C$9))</f>
        <v/>
      </c>
      <c r="R240" s="12" t="str">
        <f aca="false">IF($D240="","",IFERROR(IF(INDEX(Profile!$G$5:$G$304,MATCH($D240,lst_Profil,0))&lt;&gt;"",INDEX(Profile!$G$5:$G$304,MATCH($D240,lst_Profil,0)),$H$4),$H$4))</f>
        <v/>
      </c>
      <c r="S240" s="12" t="str">
        <f aca="false">IF($D240="","",IFERROR(IF(INDEX(Profile!$H$5:$H$304,MATCH($D240,lst_Profil,0))&lt;&gt;"",INDEX(Profile!$H$5:$H$304,MATCH($D240,lst_Profil,0)),$H$5),$H$5))</f>
        <v/>
      </c>
      <c r="T240" s="16" t="str">
        <f aca="false">IF(OR(Q240="",NOT(ISNUMBER(R240)),NOT(ISNUMBER(S240))),"",Q240-R240-S240)</f>
        <v/>
      </c>
      <c r="U240" s="26" t="str">
        <f aca="false">IF(OR($D240="",$E240=""),"",IF(COUNTIFS(Preise!$A$5:$A$304,$D240,Preise!$B$5:$B$304,$E240,Preise!$I$5:$I$304,"OK")&gt;0,"ja","nein"))</f>
        <v/>
      </c>
      <c r="V240" s="15" t="str">
        <f aca="false">IF(OR(M240="",$E240="",$C$8=""),"",IF(_xlfn.MINIFS(Schneiddaten!$C$5:$C$304,Schneiddaten!$A$5:$A$304,$C$8,Schneiddaten!$B$5:$B$304,$E240,Schneiddaten!$C$5:$C$304,"&gt;="&amp;M240)=0,"",SUMIFS(Schneiddaten!$D$5:$D$304,Schneiddaten!$A$5:$A$304,$C$8,Schneiddaten!$B$5:$B$304,$E240,Schneiddaten!$C$5:$C$304,_xlfn.MINIFS(Schneiddaten!$C$5:$C$304,Schneiddaten!$A$5:$A$304,$C$8,Schneiddaten!$B$5:$B$304,$E240,Schneiddaten!$C$5:$C$304,"&gt;="&amp;M240))))</f>
        <v/>
      </c>
      <c r="W240" s="26" t="str">
        <f aca="false">IF(AND($D240="",$E240="",$F240="",$G240=""),"",IF(ISNA(MATCH($D240,lst_Profil,0)),"FEHLER: Profil unbekannt",IF(ISNA(MATCH($E240,lst_Werkstoff,0)),"FEHLER: Werkstoff unbekannt",IF(NOT(ISNUMBER(L240)),"FEHLER: Querschnitt fehlt (Profil)",IF(OR($F240="",$F240&lt;=0),"FEHLER: Teilelänge fehlt",IF(OR($G240="",$G240&lt;1),"FEHLER: Stückzahl fehlt",IF(NOT(ISNUMBER($H$4)),"FEHLER: Maschine fehlt/unbekannt",IF(Q240&gt;$H$7,"FEHLER: Stange länger als Maschine zulässt",IF($F240+$H$6&gt;T240,"FEHLER: Teil länger als Nutzlänge",IF(U240="nein","WARNUNG: kein gültiger Materialpreis",IF($H240="","HINWEIS: Schneidweg fehlt",IF(V240="","HINWEIS: keine Schneiddaten",IF(AND($AF240&lt;&gt;"",$AG240=""),"HINWEIS: Gewinde-Vorschlag prüfen","OK")))))))))))))</f>
        <v/>
      </c>
      <c r="X240" s="18" t="str">
        <f aca="false">IF(OR(O240="",$G240=""),"",O240*$G240)</f>
        <v/>
      </c>
      <c r="Y240" s="10"/>
      <c r="Z240" s="21"/>
      <c r="AA240" s="10"/>
      <c r="AB240" s="21"/>
      <c r="AC240" s="21"/>
      <c r="AD240" s="21"/>
      <c r="AE240" s="10"/>
      <c r="AF240" s="10"/>
      <c r="AG240" s="10"/>
      <c r="AH240" s="22"/>
      <c r="AI240" s="21"/>
      <c r="AJ240" s="22"/>
      <c r="AK240" s="21"/>
      <c r="AL240" s="22"/>
      <c r="AM240" s="21"/>
    </row>
    <row r="241" customFormat="false" ht="15" hidden="false" customHeight="false" outlineLevel="0" collapsed="false">
      <c r="A241" s="10"/>
      <c r="B241" s="10"/>
      <c r="C241" s="10"/>
      <c r="D241" s="10"/>
      <c r="E241" s="10"/>
      <c r="F241" s="21"/>
      <c r="G241" s="19"/>
      <c r="H241" s="21"/>
      <c r="I241" s="22"/>
      <c r="J241" s="19"/>
      <c r="K241" s="23" t="str">
        <f aca="false">IF($D241="","",IFERROR(INDEX(Profile!$B$5:$B$304,MATCH($D241,lst_Profil,0)),""))</f>
        <v/>
      </c>
      <c r="L241" s="13" t="str">
        <f aca="false">IF($D241="","",IFERROR(INDEX(Profile!$K$5:$K$304,MATCH($D241,lst_Profil,0))+0,""))</f>
        <v/>
      </c>
      <c r="M241" s="24" t="str">
        <f aca="false">IF($D241="","",IFERROR(INDEX(Profile!$E$5:$E$304,MATCH($D241,lst_Profil,0))+0,""))</f>
        <v/>
      </c>
      <c r="N241" s="25" t="str">
        <f aca="false">IF(OR(L241="",$E241=""),"",IFERROR(L241*INDEX(Werkstoffe!$E$5:$E$304,MATCH($E241,lst_Werkstoff,0))/1000,""))</f>
        <v/>
      </c>
      <c r="O241" s="25" t="str">
        <f aca="false">IF(OR(N241="",$F241=""),"",N241*$F241/1000)</f>
        <v/>
      </c>
      <c r="P241" s="16" t="str">
        <f aca="false">IF(OR($F241="",$G241=""),"",$F241*$G241)</f>
        <v/>
      </c>
      <c r="Q241" s="16" t="str">
        <f aca="false">IF($D241="","",IF($J241&lt;&gt;"",$J241,$C$9))</f>
        <v/>
      </c>
      <c r="R241" s="12" t="str">
        <f aca="false">IF($D241="","",IFERROR(IF(INDEX(Profile!$G$5:$G$304,MATCH($D241,lst_Profil,0))&lt;&gt;"",INDEX(Profile!$G$5:$G$304,MATCH($D241,lst_Profil,0)),$H$4),$H$4))</f>
        <v/>
      </c>
      <c r="S241" s="12" t="str">
        <f aca="false">IF($D241="","",IFERROR(IF(INDEX(Profile!$H$5:$H$304,MATCH($D241,lst_Profil,0))&lt;&gt;"",INDEX(Profile!$H$5:$H$304,MATCH($D241,lst_Profil,0)),$H$5),$H$5))</f>
        <v/>
      </c>
      <c r="T241" s="16" t="str">
        <f aca="false">IF(OR(Q241="",NOT(ISNUMBER(R241)),NOT(ISNUMBER(S241))),"",Q241-R241-S241)</f>
        <v/>
      </c>
      <c r="U241" s="26" t="str">
        <f aca="false">IF(OR($D241="",$E241=""),"",IF(COUNTIFS(Preise!$A$5:$A$304,$D241,Preise!$B$5:$B$304,$E241,Preise!$I$5:$I$304,"OK")&gt;0,"ja","nein"))</f>
        <v/>
      </c>
      <c r="V241" s="15" t="str">
        <f aca="false">IF(OR(M241="",$E241="",$C$8=""),"",IF(_xlfn.MINIFS(Schneiddaten!$C$5:$C$304,Schneiddaten!$A$5:$A$304,$C$8,Schneiddaten!$B$5:$B$304,$E241,Schneiddaten!$C$5:$C$304,"&gt;="&amp;M241)=0,"",SUMIFS(Schneiddaten!$D$5:$D$304,Schneiddaten!$A$5:$A$304,$C$8,Schneiddaten!$B$5:$B$304,$E241,Schneiddaten!$C$5:$C$304,_xlfn.MINIFS(Schneiddaten!$C$5:$C$304,Schneiddaten!$A$5:$A$304,$C$8,Schneiddaten!$B$5:$B$304,$E241,Schneiddaten!$C$5:$C$304,"&gt;="&amp;M241))))</f>
        <v/>
      </c>
      <c r="W241" s="26" t="str">
        <f aca="false">IF(AND($D241="",$E241="",$F241="",$G241=""),"",IF(ISNA(MATCH($D241,lst_Profil,0)),"FEHLER: Profil unbekannt",IF(ISNA(MATCH($E241,lst_Werkstoff,0)),"FEHLER: Werkstoff unbekannt",IF(NOT(ISNUMBER(L241)),"FEHLER: Querschnitt fehlt (Profil)",IF(OR($F241="",$F241&lt;=0),"FEHLER: Teilelänge fehlt",IF(OR($G241="",$G241&lt;1),"FEHLER: Stückzahl fehlt",IF(NOT(ISNUMBER($H$4)),"FEHLER: Maschine fehlt/unbekannt",IF(Q241&gt;$H$7,"FEHLER: Stange länger als Maschine zulässt",IF($F241+$H$6&gt;T241,"FEHLER: Teil länger als Nutzlänge",IF(U241="nein","WARNUNG: kein gültiger Materialpreis",IF($H241="","HINWEIS: Schneidweg fehlt",IF(V241="","HINWEIS: keine Schneiddaten",IF(AND($AF241&lt;&gt;"",$AG241=""),"HINWEIS: Gewinde-Vorschlag prüfen","OK")))))))))))))</f>
        <v/>
      </c>
      <c r="X241" s="18" t="str">
        <f aca="false">IF(OR(O241="",$G241=""),"",O241*$G241)</f>
        <v/>
      </c>
      <c r="Y241" s="10"/>
      <c r="Z241" s="21"/>
      <c r="AA241" s="10"/>
      <c r="AB241" s="21"/>
      <c r="AC241" s="21"/>
      <c r="AD241" s="21"/>
      <c r="AE241" s="10"/>
      <c r="AF241" s="10"/>
      <c r="AG241" s="10"/>
      <c r="AH241" s="22"/>
      <c r="AI241" s="21"/>
      <c r="AJ241" s="22"/>
      <c r="AK241" s="21"/>
      <c r="AL241" s="22"/>
      <c r="AM241" s="21"/>
    </row>
    <row r="242" customFormat="false" ht="15" hidden="false" customHeight="false" outlineLevel="0" collapsed="false">
      <c r="A242" s="10"/>
      <c r="B242" s="10"/>
      <c r="C242" s="10"/>
      <c r="D242" s="10"/>
      <c r="E242" s="10"/>
      <c r="F242" s="21"/>
      <c r="G242" s="19"/>
      <c r="H242" s="21"/>
      <c r="I242" s="22"/>
      <c r="J242" s="19"/>
      <c r="K242" s="23" t="str">
        <f aca="false">IF($D242="","",IFERROR(INDEX(Profile!$B$5:$B$304,MATCH($D242,lst_Profil,0)),""))</f>
        <v/>
      </c>
      <c r="L242" s="13" t="str">
        <f aca="false">IF($D242="","",IFERROR(INDEX(Profile!$K$5:$K$304,MATCH($D242,lst_Profil,0))+0,""))</f>
        <v/>
      </c>
      <c r="M242" s="24" t="str">
        <f aca="false">IF($D242="","",IFERROR(INDEX(Profile!$E$5:$E$304,MATCH($D242,lst_Profil,0))+0,""))</f>
        <v/>
      </c>
      <c r="N242" s="25" t="str">
        <f aca="false">IF(OR(L242="",$E242=""),"",IFERROR(L242*INDEX(Werkstoffe!$E$5:$E$304,MATCH($E242,lst_Werkstoff,0))/1000,""))</f>
        <v/>
      </c>
      <c r="O242" s="25" t="str">
        <f aca="false">IF(OR(N242="",$F242=""),"",N242*$F242/1000)</f>
        <v/>
      </c>
      <c r="P242" s="16" t="str">
        <f aca="false">IF(OR($F242="",$G242=""),"",$F242*$G242)</f>
        <v/>
      </c>
      <c r="Q242" s="16" t="str">
        <f aca="false">IF($D242="","",IF($J242&lt;&gt;"",$J242,$C$9))</f>
        <v/>
      </c>
      <c r="R242" s="12" t="str">
        <f aca="false">IF($D242="","",IFERROR(IF(INDEX(Profile!$G$5:$G$304,MATCH($D242,lst_Profil,0))&lt;&gt;"",INDEX(Profile!$G$5:$G$304,MATCH($D242,lst_Profil,0)),$H$4),$H$4))</f>
        <v/>
      </c>
      <c r="S242" s="12" t="str">
        <f aca="false">IF($D242="","",IFERROR(IF(INDEX(Profile!$H$5:$H$304,MATCH($D242,lst_Profil,0))&lt;&gt;"",INDEX(Profile!$H$5:$H$304,MATCH($D242,lst_Profil,0)),$H$5),$H$5))</f>
        <v/>
      </c>
      <c r="T242" s="16" t="str">
        <f aca="false">IF(OR(Q242="",NOT(ISNUMBER(R242)),NOT(ISNUMBER(S242))),"",Q242-R242-S242)</f>
        <v/>
      </c>
      <c r="U242" s="26" t="str">
        <f aca="false">IF(OR($D242="",$E242=""),"",IF(COUNTIFS(Preise!$A$5:$A$304,$D242,Preise!$B$5:$B$304,$E242,Preise!$I$5:$I$304,"OK")&gt;0,"ja","nein"))</f>
        <v/>
      </c>
      <c r="V242" s="15" t="str">
        <f aca="false">IF(OR(M242="",$E242="",$C$8=""),"",IF(_xlfn.MINIFS(Schneiddaten!$C$5:$C$304,Schneiddaten!$A$5:$A$304,$C$8,Schneiddaten!$B$5:$B$304,$E242,Schneiddaten!$C$5:$C$304,"&gt;="&amp;M242)=0,"",SUMIFS(Schneiddaten!$D$5:$D$304,Schneiddaten!$A$5:$A$304,$C$8,Schneiddaten!$B$5:$B$304,$E242,Schneiddaten!$C$5:$C$304,_xlfn.MINIFS(Schneiddaten!$C$5:$C$304,Schneiddaten!$A$5:$A$304,$C$8,Schneiddaten!$B$5:$B$304,$E242,Schneiddaten!$C$5:$C$304,"&gt;="&amp;M242))))</f>
        <v/>
      </c>
      <c r="W242" s="26" t="str">
        <f aca="false">IF(AND($D242="",$E242="",$F242="",$G242=""),"",IF(ISNA(MATCH($D242,lst_Profil,0)),"FEHLER: Profil unbekannt",IF(ISNA(MATCH($E242,lst_Werkstoff,0)),"FEHLER: Werkstoff unbekannt",IF(NOT(ISNUMBER(L242)),"FEHLER: Querschnitt fehlt (Profil)",IF(OR($F242="",$F242&lt;=0),"FEHLER: Teilelänge fehlt",IF(OR($G242="",$G242&lt;1),"FEHLER: Stückzahl fehlt",IF(NOT(ISNUMBER($H$4)),"FEHLER: Maschine fehlt/unbekannt",IF(Q242&gt;$H$7,"FEHLER: Stange länger als Maschine zulässt",IF($F242+$H$6&gt;T242,"FEHLER: Teil länger als Nutzlänge",IF(U242="nein","WARNUNG: kein gültiger Materialpreis",IF($H242="","HINWEIS: Schneidweg fehlt",IF(V242="","HINWEIS: keine Schneiddaten",IF(AND($AF242&lt;&gt;"",$AG242=""),"HINWEIS: Gewinde-Vorschlag prüfen","OK")))))))))))))</f>
        <v/>
      </c>
      <c r="X242" s="18" t="str">
        <f aca="false">IF(OR(O242="",$G242=""),"",O242*$G242)</f>
        <v/>
      </c>
      <c r="Y242" s="10"/>
      <c r="Z242" s="21"/>
      <c r="AA242" s="10"/>
      <c r="AB242" s="21"/>
      <c r="AC242" s="21"/>
      <c r="AD242" s="21"/>
      <c r="AE242" s="10"/>
      <c r="AF242" s="10"/>
      <c r="AG242" s="10"/>
      <c r="AH242" s="22"/>
      <c r="AI242" s="21"/>
      <c r="AJ242" s="22"/>
      <c r="AK242" s="21"/>
      <c r="AL242" s="22"/>
      <c r="AM242" s="21"/>
    </row>
    <row r="243" customFormat="false" ht="15" hidden="false" customHeight="false" outlineLevel="0" collapsed="false">
      <c r="A243" s="10"/>
      <c r="B243" s="10"/>
      <c r="C243" s="10"/>
      <c r="D243" s="10"/>
      <c r="E243" s="10"/>
      <c r="F243" s="21"/>
      <c r="G243" s="19"/>
      <c r="H243" s="21"/>
      <c r="I243" s="22"/>
      <c r="J243" s="19"/>
      <c r="K243" s="23" t="str">
        <f aca="false">IF($D243="","",IFERROR(INDEX(Profile!$B$5:$B$304,MATCH($D243,lst_Profil,0)),""))</f>
        <v/>
      </c>
      <c r="L243" s="13" t="str">
        <f aca="false">IF($D243="","",IFERROR(INDEX(Profile!$K$5:$K$304,MATCH($D243,lst_Profil,0))+0,""))</f>
        <v/>
      </c>
      <c r="M243" s="24" t="str">
        <f aca="false">IF($D243="","",IFERROR(INDEX(Profile!$E$5:$E$304,MATCH($D243,lst_Profil,0))+0,""))</f>
        <v/>
      </c>
      <c r="N243" s="25" t="str">
        <f aca="false">IF(OR(L243="",$E243=""),"",IFERROR(L243*INDEX(Werkstoffe!$E$5:$E$304,MATCH($E243,lst_Werkstoff,0))/1000,""))</f>
        <v/>
      </c>
      <c r="O243" s="25" t="str">
        <f aca="false">IF(OR(N243="",$F243=""),"",N243*$F243/1000)</f>
        <v/>
      </c>
      <c r="P243" s="16" t="str">
        <f aca="false">IF(OR($F243="",$G243=""),"",$F243*$G243)</f>
        <v/>
      </c>
      <c r="Q243" s="16" t="str">
        <f aca="false">IF($D243="","",IF($J243&lt;&gt;"",$J243,$C$9))</f>
        <v/>
      </c>
      <c r="R243" s="12" t="str">
        <f aca="false">IF($D243="","",IFERROR(IF(INDEX(Profile!$G$5:$G$304,MATCH($D243,lst_Profil,0))&lt;&gt;"",INDEX(Profile!$G$5:$G$304,MATCH($D243,lst_Profil,0)),$H$4),$H$4))</f>
        <v/>
      </c>
      <c r="S243" s="12" t="str">
        <f aca="false">IF($D243="","",IFERROR(IF(INDEX(Profile!$H$5:$H$304,MATCH($D243,lst_Profil,0))&lt;&gt;"",INDEX(Profile!$H$5:$H$304,MATCH($D243,lst_Profil,0)),$H$5),$H$5))</f>
        <v/>
      </c>
      <c r="T243" s="16" t="str">
        <f aca="false">IF(OR(Q243="",NOT(ISNUMBER(R243)),NOT(ISNUMBER(S243))),"",Q243-R243-S243)</f>
        <v/>
      </c>
      <c r="U243" s="26" t="str">
        <f aca="false">IF(OR($D243="",$E243=""),"",IF(COUNTIFS(Preise!$A$5:$A$304,$D243,Preise!$B$5:$B$304,$E243,Preise!$I$5:$I$304,"OK")&gt;0,"ja","nein"))</f>
        <v/>
      </c>
      <c r="V243" s="15" t="str">
        <f aca="false">IF(OR(M243="",$E243="",$C$8=""),"",IF(_xlfn.MINIFS(Schneiddaten!$C$5:$C$304,Schneiddaten!$A$5:$A$304,$C$8,Schneiddaten!$B$5:$B$304,$E243,Schneiddaten!$C$5:$C$304,"&gt;="&amp;M243)=0,"",SUMIFS(Schneiddaten!$D$5:$D$304,Schneiddaten!$A$5:$A$304,$C$8,Schneiddaten!$B$5:$B$304,$E243,Schneiddaten!$C$5:$C$304,_xlfn.MINIFS(Schneiddaten!$C$5:$C$304,Schneiddaten!$A$5:$A$304,$C$8,Schneiddaten!$B$5:$B$304,$E243,Schneiddaten!$C$5:$C$304,"&gt;="&amp;M243))))</f>
        <v/>
      </c>
      <c r="W243" s="26" t="str">
        <f aca="false">IF(AND($D243="",$E243="",$F243="",$G243=""),"",IF(ISNA(MATCH($D243,lst_Profil,0)),"FEHLER: Profil unbekannt",IF(ISNA(MATCH($E243,lst_Werkstoff,0)),"FEHLER: Werkstoff unbekannt",IF(NOT(ISNUMBER(L243)),"FEHLER: Querschnitt fehlt (Profil)",IF(OR($F243="",$F243&lt;=0),"FEHLER: Teilelänge fehlt",IF(OR($G243="",$G243&lt;1),"FEHLER: Stückzahl fehlt",IF(NOT(ISNUMBER($H$4)),"FEHLER: Maschine fehlt/unbekannt",IF(Q243&gt;$H$7,"FEHLER: Stange länger als Maschine zulässt",IF($F243+$H$6&gt;T243,"FEHLER: Teil länger als Nutzlänge",IF(U243="nein","WARNUNG: kein gültiger Materialpreis",IF($H243="","HINWEIS: Schneidweg fehlt",IF(V243="","HINWEIS: keine Schneiddaten",IF(AND($AF243&lt;&gt;"",$AG243=""),"HINWEIS: Gewinde-Vorschlag prüfen","OK")))))))))))))</f>
        <v/>
      </c>
      <c r="X243" s="18" t="str">
        <f aca="false">IF(OR(O243="",$G243=""),"",O243*$G243)</f>
        <v/>
      </c>
      <c r="Y243" s="10"/>
      <c r="Z243" s="21"/>
      <c r="AA243" s="10"/>
      <c r="AB243" s="21"/>
      <c r="AC243" s="21"/>
      <c r="AD243" s="21"/>
      <c r="AE243" s="10"/>
      <c r="AF243" s="10"/>
      <c r="AG243" s="10"/>
      <c r="AH243" s="22"/>
      <c r="AI243" s="21"/>
      <c r="AJ243" s="22"/>
      <c r="AK243" s="21"/>
      <c r="AL243" s="22"/>
      <c r="AM243" s="21"/>
    </row>
    <row r="244" customFormat="false" ht="15" hidden="false" customHeight="false" outlineLevel="0" collapsed="false">
      <c r="A244" s="10"/>
      <c r="B244" s="10"/>
      <c r="C244" s="10"/>
      <c r="D244" s="10"/>
      <c r="E244" s="10"/>
      <c r="F244" s="21"/>
      <c r="G244" s="19"/>
      <c r="H244" s="21"/>
      <c r="I244" s="22"/>
      <c r="J244" s="19"/>
      <c r="K244" s="23" t="str">
        <f aca="false">IF($D244="","",IFERROR(INDEX(Profile!$B$5:$B$304,MATCH($D244,lst_Profil,0)),""))</f>
        <v/>
      </c>
      <c r="L244" s="13" t="str">
        <f aca="false">IF($D244="","",IFERROR(INDEX(Profile!$K$5:$K$304,MATCH($D244,lst_Profil,0))+0,""))</f>
        <v/>
      </c>
      <c r="M244" s="24" t="str">
        <f aca="false">IF($D244="","",IFERROR(INDEX(Profile!$E$5:$E$304,MATCH($D244,lst_Profil,0))+0,""))</f>
        <v/>
      </c>
      <c r="N244" s="25" t="str">
        <f aca="false">IF(OR(L244="",$E244=""),"",IFERROR(L244*INDEX(Werkstoffe!$E$5:$E$304,MATCH($E244,lst_Werkstoff,0))/1000,""))</f>
        <v/>
      </c>
      <c r="O244" s="25" t="str">
        <f aca="false">IF(OR(N244="",$F244=""),"",N244*$F244/1000)</f>
        <v/>
      </c>
      <c r="P244" s="16" t="str">
        <f aca="false">IF(OR($F244="",$G244=""),"",$F244*$G244)</f>
        <v/>
      </c>
      <c r="Q244" s="16" t="str">
        <f aca="false">IF($D244="","",IF($J244&lt;&gt;"",$J244,$C$9))</f>
        <v/>
      </c>
      <c r="R244" s="12" t="str">
        <f aca="false">IF($D244="","",IFERROR(IF(INDEX(Profile!$G$5:$G$304,MATCH($D244,lst_Profil,0))&lt;&gt;"",INDEX(Profile!$G$5:$G$304,MATCH($D244,lst_Profil,0)),$H$4),$H$4))</f>
        <v/>
      </c>
      <c r="S244" s="12" t="str">
        <f aca="false">IF($D244="","",IFERROR(IF(INDEX(Profile!$H$5:$H$304,MATCH($D244,lst_Profil,0))&lt;&gt;"",INDEX(Profile!$H$5:$H$304,MATCH($D244,lst_Profil,0)),$H$5),$H$5))</f>
        <v/>
      </c>
      <c r="T244" s="16" t="str">
        <f aca="false">IF(OR(Q244="",NOT(ISNUMBER(R244)),NOT(ISNUMBER(S244))),"",Q244-R244-S244)</f>
        <v/>
      </c>
      <c r="U244" s="26" t="str">
        <f aca="false">IF(OR($D244="",$E244=""),"",IF(COUNTIFS(Preise!$A$5:$A$304,$D244,Preise!$B$5:$B$304,$E244,Preise!$I$5:$I$304,"OK")&gt;0,"ja","nein"))</f>
        <v/>
      </c>
      <c r="V244" s="15" t="str">
        <f aca="false">IF(OR(M244="",$E244="",$C$8=""),"",IF(_xlfn.MINIFS(Schneiddaten!$C$5:$C$304,Schneiddaten!$A$5:$A$304,$C$8,Schneiddaten!$B$5:$B$304,$E244,Schneiddaten!$C$5:$C$304,"&gt;="&amp;M244)=0,"",SUMIFS(Schneiddaten!$D$5:$D$304,Schneiddaten!$A$5:$A$304,$C$8,Schneiddaten!$B$5:$B$304,$E244,Schneiddaten!$C$5:$C$304,_xlfn.MINIFS(Schneiddaten!$C$5:$C$304,Schneiddaten!$A$5:$A$304,$C$8,Schneiddaten!$B$5:$B$304,$E244,Schneiddaten!$C$5:$C$304,"&gt;="&amp;M244))))</f>
        <v/>
      </c>
      <c r="W244" s="26" t="str">
        <f aca="false">IF(AND($D244="",$E244="",$F244="",$G244=""),"",IF(ISNA(MATCH($D244,lst_Profil,0)),"FEHLER: Profil unbekannt",IF(ISNA(MATCH($E244,lst_Werkstoff,0)),"FEHLER: Werkstoff unbekannt",IF(NOT(ISNUMBER(L244)),"FEHLER: Querschnitt fehlt (Profil)",IF(OR($F244="",$F244&lt;=0),"FEHLER: Teilelänge fehlt",IF(OR($G244="",$G244&lt;1),"FEHLER: Stückzahl fehlt",IF(NOT(ISNUMBER($H$4)),"FEHLER: Maschine fehlt/unbekannt",IF(Q244&gt;$H$7,"FEHLER: Stange länger als Maschine zulässt",IF($F244+$H$6&gt;T244,"FEHLER: Teil länger als Nutzlänge",IF(U244="nein","WARNUNG: kein gültiger Materialpreis",IF($H244="","HINWEIS: Schneidweg fehlt",IF(V244="","HINWEIS: keine Schneiddaten",IF(AND($AF244&lt;&gt;"",$AG244=""),"HINWEIS: Gewinde-Vorschlag prüfen","OK")))))))))))))</f>
        <v/>
      </c>
      <c r="X244" s="18" t="str">
        <f aca="false">IF(OR(O244="",$G244=""),"",O244*$G244)</f>
        <v/>
      </c>
      <c r="Y244" s="10"/>
      <c r="Z244" s="21"/>
      <c r="AA244" s="10"/>
      <c r="AB244" s="21"/>
      <c r="AC244" s="21"/>
      <c r="AD244" s="21"/>
      <c r="AE244" s="10"/>
      <c r="AF244" s="10"/>
      <c r="AG244" s="10"/>
      <c r="AH244" s="22"/>
      <c r="AI244" s="21"/>
      <c r="AJ244" s="22"/>
      <c r="AK244" s="21"/>
      <c r="AL244" s="22"/>
      <c r="AM244" s="21"/>
    </row>
    <row r="245" customFormat="false" ht="15" hidden="false" customHeight="false" outlineLevel="0" collapsed="false">
      <c r="A245" s="10"/>
      <c r="B245" s="10"/>
      <c r="C245" s="10"/>
      <c r="D245" s="10"/>
      <c r="E245" s="10"/>
      <c r="F245" s="21"/>
      <c r="G245" s="19"/>
      <c r="H245" s="21"/>
      <c r="I245" s="22"/>
      <c r="J245" s="19"/>
      <c r="K245" s="23" t="str">
        <f aca="false">IF($D245="","",IFERROR(INDEX(Profile!$B$5:$B$304,MATCH($D245,lst_Profil,0)),""))</f>
        <v/>
      </c>
      <c r="L245" s="13" t="str">
        <f aca="false">IF($D245="","",IFERROR(INDEX(Profile!$K$5:$K$304,MATCH($D245,lst_Profil,0))+0,""))</f>
        <v/>
      </c>
      <c r="M245" s="24" t="str">
        <f aca="false">IF($D245="","",IFERROR(INDEX(Profile!$E$5:$E$304,MATCH($D245,lst_Profil,0))+0,""))</f>
        <v/>
      </c>
      <c r="N245" s="25" t="str">
        <f aca="false">IF(OR(L245="",$E245=""),"",IFERROR(L245*INDEX(Werkstoffe!$E$5:$E$304,MATCH($E245,lst_Werkstoff,0))/1000,""))</f>
        <v/>
      </c>
      <c r="O245" s="25" t="str">
        <f aca="false">IF(OR(N245="",$F245=""),"",N245*$F245/1000)</f>
        <v/>
      </c>
      <c r="P245" s="16" t="str">
        <f aca="false">IF(OR($F245="",$G245=""),"",$F245*$G245)</f>
        <v/>
      </c>
      <c r="Q245" s="16" t="str">
        <f aca="false">IF($D245="","",IF($J245&lt;&gt;"",$J245,$C$9))</f>
        <v/>
      </c>
      <c r="R245" s="12" t="str">
        <f aca="false">IF($D245="","",IFERROR(IF(INDEX(Profile!$G$5:$G$304,MATCH($D245,lst_Profil,0))&lt;&gt;"",INDEX(Profile!$G$5:$G$304,MATCH($D245,lst_Profil,0)),$H$4),$H$4))</f>
        <v/>
      </c>
      <c r="S245" s="12" t="str">
        <f aca="false">IF($D245="","",IFERROR(IF(INDEX(Profile!$H$5:$H$304,MATCH($D245,lst_Profil,0))&lt;&gt;"",INDEX(Profile!$H$5:$H$304,MATCH($D245,lst_Profil,0)),$H$5),$H$5))</f>
        <v/>
      </c>
      <c r="T245" s="16" t="str">
        <f aca="false">IF(OR(Q245="",NOT(ISNUMBER(R245)),NOT(ISNUMBER(S245))),"",Q245-R245-S245)</f>
        <v/>
      </c>
      <c r="U245" s="26" t="str">
        <f aca="false">IF(OR($D245="",$E245=""),"",IF(COUNTIFS(Preise!$A$5:$A$304,$D245,Preise!$B$5:$B$304,$E245,Preise!$I$5:$I$304,"OK")&gt;0,"ja","nein"))</f>
        <v/>
      </c>
      <c r="V245" s="15" t="str">
        <f aca="false">IF(OR(M245="",$E245="",$C$8=""),"",IF(_xlfn.MINIFS(Schneiddaten!$C$5:$C$304,Schneiddaten!$A$5:$A$304,$C$8,Schneiddaten!$B$5:$B$304,$E245,Schneiddaten!$C$5:$C$304,"&gt;="&amp;M245)=0,"",SUMIFS(Schneiddaten!$D$5:$D$304,Schneiddaten!$A$5:$A$304,$C$8,Schneiddaten!$B$5:$B$304,$E245,Schneiddaten!$C$5:$C$304,_xlfn.MINIFS(Schneiddaten!$C$5:$C$304,Schneiddaten!$A$5:$A$304,$C$8,Schneiddaten!$B$5:$B$304,$E245,Schneiddaten!$C$5:$C$304,"&gt;="&amp;M245))))</f>
        <v/>
      </c>
      <c r="W245" s="26" t="str">
        <f aca="false">IF(AND($D245="",$E245="",$F245="",$G245=""),"",IF(ISNA(MATCH($D245,lst_Profil,0)),"FEHLER: Profil unbekannt",IF(ISNA(MATCH($E245,lst_Werkstoff,0)),"FEHLER: Werkstoff unbekannt",IF(NOT(ISNUMBER(L245)),"FEHLER: Querschnitt fehlt (Profil)",IF(OR($F245="",$F245&lt;=0),"FEHLER: Teilelänge fehlt",IF(OR($G245="",$G245&lt;1),"FEHLER: Stückzahl fehlt",IF(NOT(ISNUMBER($H$4)),"FEHLER: Maschine fehlt/unbekannt",IF(Q245&gt;$H$7,"FEHLER: Stange länger als Maschine zulässt",IF($F245+$H$6&gt;T245,"FEHLER: Teil länger als Nutzlänge",IF(U245="nein","WARNUNG: kein gültiger Materialpreis",IF($H245="","HINWEIS: Schneidweg fehlt",IF(V245="","HINWEIS: keine Schneiddaten",IF(AND($AF245&lt;&gt;"",$AG245=""),"HINWEIS: Gewinde-Vorschlag prüfen","OK")))))))))))))</f>
        <v/>
      </c>
      <c r="X245" s="18" t="str">
        <f aca="false">IF(OR(O245="",$G245=""),"",O245*$G245)</f>
        <v/>
      </c>
      <c r="Y245" s="10"/>
      <c r="Z245" s="21"/>
      <c r="AA245" s="10"/>
      <c r="AB245" s="21"/>
      <c r="AC245" s="21"/>
      <c r="AD245" s="21"/>
      <c r="AE245" s="10"/>
      <c r="AF245" s="10"/>
      <c r="AG245" s="10"/>
      <c r="AH245" s="22"/>
      <c r="AI245" s="21"/>
      <c r="AJ245" s="22"/>
      <c r="AK245" s="21"/>
      <c r="AL245" s="22"/>
      <c r="AM245" s="21"/>
    </row>
    <row r="246" customFormat="false" ht="15" hidden="false" customHeight="false" outlineLevel="0" collapsed="false">
      <c r="A246" s="10"/>
      <c r="B246" s="10"/>
      <c r="C246" s="10"/>
      <c r="D246" s="10"/>
      <c r="E246" s="10"/>
      <c r="F246" s="21"/>
      <c r="G246" s="19"/>
      <c r="H246" s="21"/>
      <c r="I246" s="22"/>
      <c r="J246" s="19"/>
      <c r="K246" s="23" t="str">
        <f aca="false">IF($D246="","",IFERROR(INDEX(Profile!$B$5:$B$304,MATCH($D246,lst_Profil,0)),""))</f>
        <v/>
      </c>
      <c r="L246" s="13" t="str">
        <f aca="false">IF($D246="","",IFERROR(INDEX(Profile!$K$5:$K$304,MATCH($D246,lst_Profil,0))+0,""))</f>
        <v/>
      </c>
      <c r="M246" s="24" t="str">
        <f aca="false">IF($D246="","",IFERROR(INDEX(Profile!$E$5:$E$304,MATCH($D246,lst_Profil,0))+0,""))</f>
        <v/>
      </c>
      <c r="N246" s="25" t="str">
        <f aca="false">IF(OR(L246="",$E246=""),"",IFERROR(L246*INDEX(Werkstoffe!$E$5:$E$304,MATCH($E246,lst_Werkstoff,0))/1000,""))</f>
        <v/>
      </c>
      <c r="O246" s="25" t="str">
        <f aca="false">IF(OR(N246="",$F246=""),"",N246*$F246/1000)</f>
        <v/>
      </c>
      <c r="P246" s="16" t="str">
        <f aca="false">IF(OR($F246="",$G246=""),"",$F246*$G246)</f>
        <v/>
      </c>
      <c r="Q246" s="16" t="str">
        <f aca="false">IF($D246="","",IF($J246&lt;&gt;"",$J246,$C$9))</f>
        <v/>
      </c>
      <c r="R246" s="12" t="str">
        <f aca="false">IF($D246="","",IFERROR(IF(INDEX(Profile!$G$5:$G$304,MATCH($D246,lst_Profil,0))&lt;&gt;"",INDEX(Profile!$G$5:$G$304,MATCH($D246,lst_Profil,0)),$H$4),$H$4))</f>
        <v/>
      </c>
      <c r="S246" s="12" t="str">
        <f aca="false">IF($D246="","",IFERROR(IF(INDEX(Profile!$H$5:$H$304,MATCH($D246,lst_Profil,0))&lt;&gt;"",INDEX(Profile!$H$5:$H$304,MATCH($D246,lst_Profil,0)),$H$5),$H$5))</f>
        <v/>
      </c>
      <c r="T246" s="16" t="str">
        <f aca="false">IF(OR(Q246="",NOT(ISNUMBER(R246)),NOT(ISNUMBER(S246))),"",Q246-R246-S246)</f>
        <v/>
      </c>
      <c r="U246" s="26" t="str">
        <f aca="false">IF(OR($D246="",$E246=""),"",IF(COUNTIFS(Preise!$A$5:$A$304,$D246,Preise!$B$5:$B$304,$E246,Preise!$I$5:$I$304,"OK")&gt;0,"ja","nein"))</f>
        <v/>
      </c>
      <c r="V246" s="15" t="str">
        <f aca="false">IF(OR(M246="",$E246="",$C$8=""),"",IF(_xlfn.MINIFS(Schneiddaten!$C$5:$C$304,Schneiddaten!$A$5:$A$304,$C$8,Schneiddaten!$B$5:$B$304,$E246,Schneiddaten!$C$5:$C$304,"&gt;="&amp;M246)=0,"",SUMIFS(Schneiddaten!$D$5:$D$304,Schneiddaten!$A$5:$A$304,$C$8,Schneiddaten!$B$5:$B$304,$E246,Schneiddaten!$C$5:$C$304,_xlfn.MINIFS(Schneiddaten!$C$5:$C$304,Schneiddaten!$A$5:$A$304,$C$8,Schneiddaten!$B$5:$B$304,$E246,Schneiddaten!$C$5:$C$304,"&gt;="&amp;M246))))</f>
        <v/>
      </c>
      <c r="W246" s="26" t="str">
        <f aca="false">IF(AND($D246="",$E246="",$F246="",$G246=""),"",IF(ISNA(MATCH($D246,lst_Profil,0)),"FEHLER: Profil unbekannt",IF(ISNA(MATCH($E246,lst_Werkstoff,0)),"FEHLER: Werkstoff unbekannt",IF(NOT(ISNUMBER(L246)),"FEHLER: Querschnitt fehlt (Profil)",IF(OR($F246="",$F246&lt;=0),"FEHLER: Teilelänge fehlt",IF(OR($G246="",$G246&lt;1),"FEHLER: Stückzahl fehlt",IF(NOT(ISNUMBER($H$4)),"FEHLER: Maschine fehlt/unbekannt",IF(Q246&gt;$H$7,"FEHLER: Stange länger als Maschine zulässt",IF($F246+$H$6&gt;T246,"FEHLER: Teil länger als Nutzlänge",IF(U246="nein","WARNUNG: kein gültiger Materialpreis",IF($H246="","HINWEIS: Schneidweg fehlt",IF(V246="","HINWEIS: keine Schneiddaten",IF(AND($AF246&lt;&gt;"",$AG246=""),"HINWEIS: Gewinde-Vorschlag prüfen","OK")))))))))))))</f>
        <v/>
      </c>
      <c r="X246" s="18" t="str">
        <f aca="false">IF(OR(O246="",$G246=""),"",O246*$G246)</f>
        <v/>
      </c>
      <c r="Y246" s="10"/>
      <c r="Z246" s="21"/>
      <c r="AA246" s="10"/>
      <c r="AB246" s="21"/>
      <c r="AC246" s="21"/>
      <c r="AD246" s="21"/>
      <c r="AE246" s="10"/>
      <c r="AF246" s="10"/>
      <c r="AG246" s="10"/>
      <c r="AH246" s="22"/>
      <c r="AI246" s="21"/>
      <c r="AJ246" s="22"/>
      <c r="AK246" s="21"/>
      <c r="AL246" s="22"/>
      <c r="AM246" s="21"/>
    </row>
    <row r="247" customFormat="false" ht="15" hidden="false" customHeight="false" outlineLevel="0" collapsed="false">
      <c r="A247" s="10"/>
      <c r="B247" s="10"/>
      <c r="C247" s="10"/>
      <c r="D247" s="10"/>
      <c r="E247" s="10"/>
      <c r="F247" s="21"/>
      <c r="G247" s="19"/>
      <c r="H247" s="21"/>
      <c r="I247" s="22"/>
      <c r="J247" s="19"/>
      <c r="K247" s="23" t="str">
        <f aca="false">IF($D247="","",IFERROR(INDEX(Profile!$B$5:$B$304,MATCH($D247,lst_Profil,0)),""))</f>
        <v/>
      </c>
      <c r="L247" s="13" t="str">
        <f aca="false">IF($D247="","",IFERROR(INDEX(Profile!$K$5:$K$304,MATCH($D247,lst_Profil,0))+0,""))</f>
        <v/>
      </c>
      <c r="M247" s="24" t="str">
        <f aca="false">IF($D247="","",IFERROR(INDEX(Profile!$E$5:$E$304,MATCH($D247,lst_Profil,0))+0,""))</f>
        <v/>
      </c>
      <c r="N247" s="25" t="str">
        <f aca="false">IF(OR(L247="",$E247=""),"",IFERROR(L247*INDEX(Werkstoffe!$E$5:$E$304,MATCH($E247,lst_Werkstoff,0))/1000,""))</f>
        <v/>
      </c>
      <c r="O247" s="25" t="str">
        <f aca="false">IF(OR(N247="",$F247=""),"",N247*$F247/1000)</f>
        <v/>
      </c>
      <c r="P247" s="16" t="str">
        <f aca="false">IF(OR($F247="",$G247=""),"",$F247*$G247)</f>
        <v/>
      </c>
      <c r="Q247" s="16" t="str">
        <f aca="false">IF($D247="","",IF($J247&lt;&gt;"",$J247,$C$9))</f>
        <v/>
      </c>
      <c r="R247" s="12" t="str">
        <f aca="false">IF($D247="","",IFERROR(IF(INDEX(Profile!$G$5:$G$304,MATCH($D247,lst_Profil,0))&lt;&gt;"",INDEX(Profile!$G$5:$G$304,MATCH($D247,lst_Profil,0)),$H$4),$H$4))</f>
        <v/>
      </c>
      <c r="S247" s="12" t="str">
        <f aca="false">IF($D247="","",IFERROR(IF(INDEX(Profile!$H$5:$H$304,MATCH($D247,lst_Profil,0))&lt;&gt;"",INDEX(Profile!$H$5:$H$304,MATCH($D247,lst_Profil,0)),$H$5),$H$5))</f>
        <v/>
      </c>
      <c r="T247" s="16" t="str">
        <f aca="false">IF(OR(Q247="",NOT(ISNUMBER(R247)),NOT(ISNUMBER(S247))),"",Q247-R247-S247)</f>
        <v/>
      </c>
      <c r="U247" s="26" t="str">
        <f aca="false">IF(OR($D247="",$E247=""),"",IF(COUNTIFS(Preise!$A$5:$A$304,$D247,Preise!$B$5:$B$304,$E247,Preise!$I$5:$I$304,"OK")&gt;0,"ja","nein"))</f>
        <v/>
      </c>
      <c r="V247" s="15" t="str">
        <f aca="false">IF(OR(M247="",$E247="",$C$8=""),"",IF(_xlfn.MINIFS(Schneiddaten!$C$5:$C$304,Schneiddaten!$A$5:$A$304,$C$8,Schneiddaten!$B$5:$B$304,$E247,Schneiddaten!$C$5:$C$304,"&gt;="&amp;M247)=0,"",SUMIFS(Schneiddaten!$D$5:$D$304,Schneiddaten!$A$5:$A$304,$C$8,Schneiddaten!$B$5:$B$304,$E247,Schneiddaten!$C$5:$C$304,_xlfn.MINIFS(Schneiddaten!$C$5:$C$304,Schneiddaten!$A$5:$A$304,$C$8,Schneiddaten!$B$5:$B$304,$E247,Schneiddaten!$C$5:$C$304,"&gt;="&amp;M247))))</f>
        <v/>
      </c>
      <c r="W247" s="26" t="str">
        <f aca="false">IF(AND($D247="",$E247="",$F247="",$G247=""),"",IF(ISNA(MATCH($D247,lst_Profil,0)),"FEHLER: Profil unbekannt",IF(ISNA(MATCH($E247,lst_Werkstoff,0)),"FEHLER: Werkstoff unbekannt",IF(NOT(ISNUMBER(L247)),"FEHLER: Querschnitt fehlt (Profil)",IF(OR($F247="",$F247&lt;=0),"FEHLER: Teilelänge fehlt",IF(OR($G247="",$G247&lt;1),"FEHLER: Stückzahl fehlt",IF(NOT(ISNUMBER($H$4)),"FEHLER: Maschine fehlt/unbekannt",IF(Q247&gt;$H$7,"FEHLER: Stange länger als Maschine zulässt",IF($F247+$H$6&gt;T247,"FEHLER: Teil länger als Nutzlänge",IF(U247="nein","WARNUNG: kein gültiger Materialpreis",IF($H247="","HINWEIS: Schneidweg fehlt",IF(V247="","HINWEIS: keine Schneiddaten",IF(AND($AF247&lt;&gt;"",$AG247=""),"HINWEIS: Gewinde-Vorschlag prüfen","OK")))))))))))))</f>
        <v/>
      </c>
      <c r="X247" s="18" t="str">
        <f aca="false">IF(OR(O247="",$G247=""),"",O247*$G247)</f>
        <v/>
      </c>
      <c r="Y247" s="10"/>
      <c r="Z247" s="21"/>
      <c r="AA247" s="10"/>
      <c r="AB247" s="21"/>
      <c r="AC247" s="21"/>
      <c r="AD247" s="21"/>
      <c r="AE247" s="10"/>
      <c r="AF247" s="10"/>
      <c r="AG247" s="10"/>
      <c r="AH247" s="22"/>
      <c r="AI247" s="21"/>
      <c r="AJ247" s="22"/>
      <c r="AK247" s="21"/>
      <c r="AL247" s="22"/>
      <c r="AM247" s="21"/>
    </row>
    <row r="248" customFormat="false" ht="15" hidden="false" customHeight="false" outlineLevel="0" collapsed="false">
      <c r="A248" s="10"/>
      <c r="B248" s="10"/>
      <c r="C248" s="10"/>
      <c r="D248" s="10"/>
      <c r="E248" s="10"/>
      <c r="F248" s="21"/>
      <c r="G248" s="19"/>
      <c r="H248" s="21"/>
      <c r="I248" s="22"/>
      <c r="J248" s="19"/>
      <c r="K248" s="23" t="str">
        <f aca="false">IF($D248="","",IFERROR(INDEX(Profile!$B$5:$B$304,MATCH($D248,lst_Profil,0)),""))</f>
        <v/>
      </c>
      <c r="L248" s="13" t="str">
        <f aca="false">IF($D248="","",IFERROR(INDEX(Profile!$K$5:$K$304,MATCH($D248,lst_Profil,0))+0,""))</f>
        <v/>
      </c>
      <c r="M248" s="24" t="str">
        <f aca="false">IF($D248="","",IFERROR(INDEX(Profile!$E$5:$E$304,MATCH($D248,lst_Profil,0))+0,""))</f>
        <v/>
      </c>
      <c r="N248" s="25" t="str">
        <f aca="false">IF(OR(L248="",$E248=""),"",IFERROR(L248*INDEX(Werkstoffe!$E$5:$E$304,MATCH($E248,lst_Werkstoff,0))/1000,""))</f>
        <v/>
      </c>
      <c r="O248" s="25" t="str">
        <f aca="false">IF(OR(N248="",$F248=""),"",N248*$F248/1000)</f>
        <v/>
      </c>
      <c r="P248" s="16" t="str">
        <f aca="false">IF(OR($F248="",$G248=""),"",$F248*$G248)</f>
        <v/>
      </c>
      <c r="Q248" s="16" t="str">
        <f aca="false">IF($D248="","",IF($J248&lt;&gt;"",$J248,$C$9))</f>
        <v/>
      </c>
      <c r="R248" s="12" t="str">
        <f aca="false">IF($D248="","",IFERROR(IF(INDEX(Profile!$G$5:$G$304,MATCH($D248,lst_Profil,0))&lt;&gt;"",INDEX(Profile!$G$5:$G$304,MATCH($D248,lst_Profil,0)),$H$4),$H$4))</f>
        <v/>
      </c>
      <c r="S248" s="12" t="str">
        <f aca="false">IF($D248="","",IFERROR(IF(INDEX(Profile!$H$5:$H$304,MATCH($D248,lst_Profil,0))&lt;&gt;"",INDEX(Profile!$H$5:$H$304,MATCH($D248,lst_Profil,0)),$H$5),$H$5))</f>
        <v/>
      </c>
      <c r="T248" s="16" t="str">
        <f aca="false">IF(OR(Q248="",NOT(ISNUMBER(R248)),NOT(ISNUMBER(S248))),"",Q248-R248-S248)</f>
        <v/>
      </c>
      <c r="U248" s="26" t="str">
        <f aca="false">IF(OR($D248="",$E248=""),"",IF(COUNTIFS(Preise!$A$5:$A$304,$D248,Preise!$B$5:$B$304,$E248,Preise!$I$5:$I$304,"OK")&gt;0,"ja","nein"))</f>
        <v/>
      </c>
      <c r="V248" s="15" t="str">
        <f aca="false">IF(OR(M248="",$E248="",$C$8=""),"",IF(_xlfn.MINIFS(Schneiddaten!$C$5:$C$304,Schneiddaten!$A$5:$A$304,$C$8,Schneiddaten!$B$5:$B$304,$E248,Schneiddaten!$C$5:$C$304,"&gt;="&amp;M248)=0,"",SUMIFS(Schneiddaten!$D$5:$D$304,Schneiddaten!$A$5:$A$304,$C$8,Schneiddaten!$B$5:$B$304,$E248,Schneiddaten!$C$5:$C$304,_xlfn.MINIFS(Schneiddaten!$C$5:$C$304,Schneiddaten!$A$5:$A$304,$C$8,Schneiddaten!$B$5:$B$304,$E248,Schneiddaten!$C$5:$C$304,"&gt;="&amp;M248))))</f>
        <v/>
      </c>
      <c r="W248" s="26" t="str">
        <f aca="false">IF(AND($D248="",$E248="",$F248="",$G248=""),"",IF(ISNA(MATCH($D248,lst_Profil,0)),"FEHLER: Profil unbekannt",IF(ISNA(MATCH($E248,lst_Werkstoff,0)),"FEHLER: Werkstoff unbekannt",IF(NOT(ISNUMBER(L248)),"FEHLER: Querschnitt fehlt (Profil)",IF(OR($F248="",$F248&lt;=0),"FEHLER: Teilelänge fehlt",IF(OR($G248="",$G248&lt;1),"FEHLER: Stückzahl fehlt",IF(NOT(ISNUMBER($H$4)),"FEHLER: Maschine fehlt/unbekannt",IF(Q248&gt;$H$7,"FEHLER: Stange länger als Maschine zulässt",IF($F248+$H$6&gt;T248,"FEHLER: Teil länger als Nutzlänge",IF(U248="nein","WARNUNG: kein gültiger Materialpreis",IF($H248="","HINWEIS: Schneidweg fehlt",IF(V248="","HINWEIS: keine Schneiddaten",IF(AND($AF248&lt;&gt;"",$AG248=""),"HINWEIS: Gewinde-Vorschlag prüfen","OK")))))))))))))</f>
        <v/>
      </c>
      <c r="X248" s="18" t="str">
        <f aca="false">IF(OR(O248="",$G248=""),"",O248*$G248)</f>
        <v/>
      </c>
      <c r="Y248" s="10"/>
      <c r="Z248" s="21"/>
      <c r="AA248" s="10"/>
      <c r="AB248" s="21"/>
      <c r="AC248" s="21"/>
      <c r="AD248" s="21"/>
      <c r="AE248" s="10"/>
      <c r="AF248" s="10"/>
      <c r="AG248" s="10"/>
      <c r="AH248" s="22"/>
      <c r="AI248" s="21"/>
      <c r="AJ248" s="22"/>
      <c r="AK248" s="21"/>
      <c r="AL248" s="22"/>
      <c r="AM248" s="21"/>
    </row>
    <row r="249" customFormat="false" ht="15" hidden="false" customHeight="false" outlineLevel="0" collapsed="false">
      <c r="A249" s="10"/>
      <c r="B249" s="10"/>
      <c r="C249" s="10"/>
      <c r="D249" s="10"/>
      <c r="E249" s="10"/>
      <c r="F249" s="21"/>
      <c r="G249" s="19"/>
      <c r="H249" s="21"/>
      <c r="I249" s="22"/>
      <c r="J249" s="19"/>
      <c r="K249" s="23" t="str">
        <f aca="false">IF($D249="","",IFERROR(INDEX(Profile!$B$5:$B$304,MATCH($D249,lst_Profil,0)),""))</f>
        <v/>
      </c>
      <c r="L249" s="13" t="str">
        <f aca="false">IF($D249="","",IFERROR(INDEX(Profile!$K$5:$K$304,MATCH($D249,lst_Profil,0))+0,""))</f>
        <v/>
      </c>
      <c r="M249" s="24" t="str">
        <f aca="false">IF($D249="","",IFERROR(INDEX(Profile!$E$5:$E$304,MATCH($D249,lst_Profil,0))+0,""))</f>
        <v/>
      </c>
      <c r="N249" s="25" t="str">
        <f aca="false">IF(OR(L249="",$E249=""),"",IFERROR(L249*INDEX(Werkstoffe!$E$5:$E$304,MATCH($E249,lst_Werkstoff,0))/1000,""))</f>
        <v/>
      </c>
      <c r="O249" s="25" t="str">
        <f aca="false">IF(OR(N249="",$F249=""),"",N249*$F249/1000)</f>
        <v/>
      </c>
      <c r="P249" s="16" t="str">
        <f aca="false">IF(OR($F249="",$G249=""),"",$F249*$G249)</f>
        <v/>
      </c>
      <c r="Q249" s="16" t="str">
        <f aca="false">IF($D249="","",IF($J249&lt;&gt;"",$J249,$C$9))</f>
        <v/>
      </c>
      <c r="R249" s="12" t="str">
        <f aca="false">IF($D249="","",IFERROR(IF(INDEX(Profile!$G$5:$G$304,MATCH($D249,lst_Profil,0))&lt;&gt;"",INDEX(Profile!$G$5:$G$304,MATCH($D249,lst_Profil,0)),$H$4),$H$4))</f>
        <v/>
      </c>
      <c r="S249" s="12" t="str">
        <f aca="false">IF($D249="","",IFERROR(IF(INDEX(Profile!$H$5:$H$304,MATCH($D249,lst_Profil,0))&lt;&gt;"",INDEX(Profile!$H$5:$H$304,MATCH($D249,lst_Profil,0)),$H$5),$H$5))</f>
        <v/>
      </c>
      <c r="T249" s="16" t="str">
        <f aca="false">IF(OR(Q249="",NOT(ISNUMBER(R249)),NOT(ISNUMBER(S249))),"",Q249-R249-S249)</f>
        <v/>
      </c>
      <c r="U249" s="26" t="str">
        <f aca="false">IF(OR($D249="",$E249=""),"",IF(COUNTIFS(Preise!$A$5:$A$304,$D249,Preise!$B$5:$B$304,$E249,Preise!$I$5:$I$304,"OK")&gt;0,"ja","nein"))</f>
        <v/>
      </c>
      <c r="V249" s="15" t="str">
        <f aca="false">IF(OR(M249="",$E249="",$C$8=""),"",IF(_xlfn.MINIFS(Schneiddaten!$C$5:$C$304,Schneiddaten!$A$5:$A$304,$C$8,Schneiddaten!$B$5:$B$304,$E249,Schneiddaten!$C$5:$C$304,"&gt;="&amp;M249)=0,"",SUMIFS(Schneiddaten!$D$5:$D$304,Schneiddaten!$A$5:$A$304,$C$8,Schneiddaten!$B$5:$B$304,$E249,Schneiddaten!$C$5:$C$304,_xlfn.MINIFS(Schneiddaten!$C$5:$C$304,Schneiddaten!$A$5:$A$304,$C$8,Schneiddaten!$B$5:$B$304,$E249,Schneiddaten!$C$5:$C$304,"&gt;="&amp;M249))))</f>
        <v/>
      </c>
      <c r="W249" s="26" t="str">
        <f aca="false">IF(AND($D249="",$E249="",$F249="",$G249=""),"",IF(ISNA(MATCH($D249,lst_Profil,0)),"FEHLER: Profil unbekannt",IF(ISNA(MATCH($E249,lst_Werkstoff,0)),"FEHLER: Werkstoff unbekannt",IF(NOT(ISNUMBER(L249)),"FEHLER: Querschnitt fehlt (Profil)",IF(OR($F249="",$F249&lt;=0),"FEHLER: Teilelänge fehlt",IF(OR($G249="",$G249&lt;1),"FEHLER: Stückzahl fehlt",IF(NOT(ISNUMBER($H$4)),"FEHLER: Maschine fehlt/unbekannt",IF(Q249&gt;$H$7,"FEHLER: Stange länger als Maschine zulässt",IF($F249+$H$6&gt;T249,"FEHLER: Teil länger als Nutzlänge",IF(U249="nein","WARNUNG: kein gültiger Materialpreis",IF($H249="","HINWEIS: Schneidweg fehlt",IF(V249="","HINWEIS: keine Schneiddaten",IF(AND($AF249&lt;&gt;"",$AG249=""),"HINWEIS: Gewinde-Vorschlag prüfen","OK")))))))))))))</f>
        <v/>
      </c>
      <c r="X249" s="18" t="str">
        <f aca="false">IF(OR(O249="",$G249=""),"",O249*$G249)</f>
        <v/>
      </c>
      <c r="Y249" s="10"/>
      <c r="Z249" s="21"/>
      <c r="AA249" s="10"/>
      <c r="AB249" s="21"/>
      <c r="AC249" s="21"/>
      <c r="AD249" s="21"/>
      <c r="AE249" s="10"/>
      <c r="AF249" s="10"/>
      <c r="AG249" s="10"/>
      <c r="AH249" s="22"/>
      <c r="AI249" s="21"/>
      <c r="AJ249" s="22"/>
      <c r="AK249" s="21"/>
      <c r="AL249" s="22"/>
      <c r="AM249" s="21"/>
    </row>
    <row r="250" customFormat="false" ht="15" hidden="false" customHeight="false" outlineLevel="0" collapsed="false">
      <c r="A250" s="10"/>
      <c r="B250" s="10"/>
      <c r="C250" s="10"/>
      <c r="D250" s="10"/>
      <c r="E250" s="10"/>
      <c r="F250" s="21"/>
      <c r="G250" s="19"/>
      <c r="H250" s="21"/>
      <c r="I250" s="22"/>
      <c r="J250" s="19"/>
      <c r="K250" s="23" t="str">
        <f aca="false">IF($D250="","",IFERROR(INDEX(Profile!$B$5:$B$304,MATCH($D250,lst_Profil,0)),""))</f>
        <v/>
      </c>
      <c r="L250" s="13" t="str">
        <f aca="false">IF($D250="","",IFERROR(INDEX(Profile!$K$5:$K$304,MATCH($D250,lst_Profil,0))+0,""))</f>
        <v/>
      </c>
      <c r="M250" s="24" t="str">
        <f aca="false">IF($D250="","",IFERROR(INDEX(Profile!$E$5:$E$304,MATCH($D250,lst_Profil,0))+0,""))</f>
        <v/>
      </c>
      <c r="N250" s="25" t="str">
        <f aca="false">IF(OR(L250="",$E250=""),"",IFERROR(L250*INDEX(Werkstoffe!$E$5:$E$304,MATCH($E250,lst_Werkstoff,0))/1000,""))</f>
        <v/>
      </c>
      <c r="O250" s="25" t="str">
        <f aca="false">IF(OR(N250="",$F250=""),"",N250*$F250/1000)</f>
        <v/>
      </c>
      <c r="P250" s="16" t="str">
        <f aca="false">IF(OR($F250="",$G250=""),"",$F250*$G250)</f>
        <v/>
      </c>
      <c r="Q250" s="16" t="str">
        <f aca="false">IF($D250="","",IF($J250&lt;&gt;"",$J250,$C$9))</f>
        <v/>
      </c>
      <c r="R250" s="12" t="str">
        <f aca="false">IF($D250="","",IFERROR(IF(INDEX(Profile!$G$5:$G$304,MATCH($D250,lst_Profil,0))&lt;&gt;"",INDEX(Profile!$G$5:$G$304,MATCH($D250,lst_Profil,0)),$H$4),$H$4))</f>
        <v/>
      </c>
      <c r="S250" s="12" t="str">
        <f aca="false">IF($D250="","",IFERROR(IF(INDEX(Profile!$H$5:$H$304,MATCH($D250,lst_Profil,0))&lt;&gt;"",INDEX(Profile!$H$5:$H$304,MATCH($D250,lst_Profil,0)),$H$5),$H$5))</f>
        <v/>
      </c>
      <c r="T250" s="16" t="str">
        <f aca="false">IF(OR(Q250="",NOT(ISNUMBER(R250)),NOT(ISNUMBER(S250))),"",Q250-R250-S250)</f>
        <v/>
      </c>
      <c r="U250" s="26" t="str">
        <f aca="false">IF(OR($D250="",$E250=""),"",IF(COUNTIFS(Preise!$A$5:$A$304,$D250,Preise!$B$5:$B$304,$E250,Preise!$I$5:$I$304,"OK")&gt;0,"ja","nein"))</f>
        <v/>
      </c>
      <c r="V250" s="15" t="str">
        <f aca="false">IF(OR(M250="",$E250="",$C$8=""),"",IF(_xlfn.MINIFS(Schneiddaten!$C$5:$C$304,Schneiddaten!$A$5:$A$304,$C$8,Schneiddaten!$B$5:$B$304,$E250,Schneiddaten!$C$5:$C$304,"&gt;="&amp;M250)=0,"",SUMIFS(Schneiddaten!$D$5:$D$304,Schneiddaten!$A$5:$A$304,$C$8,Schneiddaten!$B$5:$B$304,$E250,Schneiddaten!$C$5:$C$304,_xlfn.MINIFS(Schneiddaten!$C$5:$C$304,Schneiddaten!$A$5:$A$304,$C$8,Schneiddaten!$B$5:$B$304,$E250,Schneiddaten!$C$5:$C$304,"&gt;="&amp;M250))))</f>
        <v/>
      </c>
      <c r="W250" s="26" t="str">
        <f aca="false">IF(AND($D250="",$E250="",$F250="",$G250=""),"",IF(ISNA(MATCH($D250,lst_Profil,0)),"FEHLER: Profil unbekannt",IF(ISNA(MATCH($E250,lst_Werkstoff,0)),"FEHLER: Werkstoff unbekannt",IF(NOT(ISNUMBER(L250)),"FEHLER: Querschnitt fehlt (Profil)",IF(OR($F250="",$F250&lt;=0),"FEHLER: Teilelänge fehlt",IF(OR($G250="",$G250&lt;1),"FEHLER: Stückzahl fehlt",IF(NOT(ISNUMBER($H$4)),"FEHLER: Maschine fehlt/unbekannt",IF(Q250&gt;$H$7,"FEHLER: Stange länger als Maschine zulässt",IF($F250+$H$6&gt;T250,"FEHLER: Teil länger als Nutzlänge",IF(U250="nein","WARNUNG: kein gültiger Materialpreis",IF($H250="","HINWEIS: Schneidweg fehlt",IF(V250="","HINWEIS: keine Schneiddaten",IF(AND($AF250&lt;&gt;"",$AG250=""),"HINWEIS: Gewinde-Vorschlag prüfen","OK")))))))))))))</f>
        <v/>
      </c>
      <c r="X250" s="18" t="str">
        <f aca="false">IF(OR(O250="",$G250=""),"",O250*$G250)</f>
        <v/>
      </c>
      <c r="Y250" s="10"/>
      <c r="Z250" s="21"/>
      <c r="AA250" s="10"/>
      <c r="AB250" s="21"/>
      <c r="AC250" s="21"/>
      <c r="AD250" s="21"/>
      <c r="AE250" s="10"/>
      <c r="AF250" s="10"/>
      <c r="AG250" s="10"/>
      <c r="AH250" s="22"/>
      <c r="AI250" s="21"/>
      <c r="AJ250" s="22"/>
      <c r="AK250" s="21"/>
      <c r="AL250" s="22"/>
      <c r="AM250" s="21"/>
    </row>
    <row r="251" customFormat="false" ht="15" hidden="false" customHeight="false" outlineLevel="0" collapsed="false">
      <c r="A251" s="10"/>
      <c r="B251" s="10"/>
      <c r="C251" s="10"/>
      <c r="D251" s="10"/>
      <c r="E251" s="10"/>
      <c r="F251" s="21"/>
      <c r="G251" s="19"/>
      <c r="H251" s="21"/>
      <c r="I251" s="22"/>
      <c r="J251" s="19"/>
      <c r="K251" s="23" t="str">
        <f aca="false">IF($D251="","",IFERROR(INDEX(Profile!$B$5:$B$304,MATCH($D251,lst_Profil,0)),""))</f>
        <v/>
      </c>
      <c r="L251" s="13" t="str">
        <f aca="false">IF($D251="","",IFERROR(INDEX(Profile!$K$5:$K$304,MATCH($D251,lst_Profil,0))+0,""))</f>
        <v/>
      </c>
      <c r="M251" s="24" t="str">
        <f aca="false">IF($D251="","",IFERROR(INDEX(Profile!$E$5:$E$304,MATCH($D251,lst_Profil,0))+0,""))</f>
        <v/>
      </c>
      <c r="N251" s="25" t="str">
        <f aca="false">IF(OR(L251="",$E251=""),"",IFERROR(L251*INDEX(Werkstoffe!$E$5:$E$304,MATCH($E251,lst_Werkstoff,0))/1000,""))</f>
        <v/>
      </c>
      <c r="O251" s="25" t="str">
        <f aca="false">IF(OR(N251="",$F251=""),"",N251*$F251/1000)</f>
        <v/>
      </c>
      <c r="P251" s="16" t="str">
        <f aca="false">IF(OR($F251="",$G251=""),"",$F251*$G251)</f>
        <v/>
      </c>
      <c r="Q251" s="16" t="str">
        <f aca="false">IF($D251="","",IF($J251&lt;&gt;"",$J251,$C$9))</f>
        <v/>
      </c>
      <c r="R251" s="12" t="str">
        <f aca="false">IF($D251="","",IFERROR(IF(INDEX(Profile!$G$5:$G$304,MATCH($D251,lst_Profil,0))&lt;&gt;"",INDEX(Profile!$G$5:$G$304,MATCH($D251,lst_Profil,0)),$H$4),$H$4))</f>
        <v/>
      </c>
      <c r="S251" s="12" t="str">
        <f aca="false">IF($D251="","",IFERROR(IF(INDEX(Profile!$H$5:$H$304,MATCH($D251,lst_Profil,0))&lt;&gt;"",INDEX(Profile!$H$5:$H$304,MATCH($D251,lst_Profil,0)),$H$5),$H$5))</f>
        <v/>
      </c>
      <c r="T251" s="16" t="str">
        <f aca="false">IF(OR(Q251="",NOT(ISNUMBER(R251)),NOT(ISNUMBER(S251))),"",Q251-R251-S251)</f>
        <v/>
      </c>
      <c r="U251" s="26" t="str">
        <f aca="false">IF(OR($D251="",$E251=""),"",IF(COUNTIFS(Preise!$A$5:$A$304,$D251,Preise!$B$5:$B$304,$E251,Preise!$I$5:$I$304,"OK")&gt;0,"ja","nein"))</f>
        <v/>
      </c>
      <c r="V251" s="15" t="str">
        <f aca="false">IF(OR(M251="",$E251="",$C$8=""),"",IF(_xlfn.MINIFS(Schneiddaten!$C$5:$C$304,Schneiddaten!$A$5:$A$304,$C$8,Schneiddaten!$B$5:$B$304,$E251,Schneiddaten!$C$5:$C$304,"&gt;="&amp;M251)=0,"",SUMIFS(Schneiddaten!$D$5:$D$304,Schneiddaten!$A$5:$A$304,$C$8,Schneiddaten!$B$5:$B$304,$E251,Schneiddaten!$C$5:$C$304,_xlfn.MINIFS(Schneiddaten!$C$5:$C$304,Schneiddaten!$A$5:$A$304,$C$8,Schneiddaten!$B$5:$B$304,$E251,Schneiddaten!$C$5:$C$304,"&gt;="&amp;M251))))</f>
        <v/>
      </c>
      <c r="W251" s="26" t="str">
        <f aca="false">IF(AND($D251="",$E251="",$F251="",$G251=""),"",IF(ISNA(MATCH($D251,lst_Profil,0)),"FEHLER: Profil unbekannt",IF(ISNA(MATCH($E251,lst_Werkstoff,0)),"FEHLER: Werkstoff unbekannt",IF(NOT(ISNUMBER(L251)),"FEHLER: Querschnitt fehlt (Profil)",IF(OR($F251="",$F251&lt;=0),"FEHLER: Teilelänge fehlt",IF(OR($G251="",$G251&lt;1),"FEHLER: Stückzahl fehlt",IF(NOT(ISNUMBER($H$4)),"FEHLER: Maschine fehlt/unbekannt",IF(Q251&gt;$H$7,"FEHLER: Stange länger als Maschine zulässt",IF($F251+$H$6&gt;T251,"FEHLER: Teil länger als Nutzlänge",IF(U251="nein","WARNUNG: kein gültiger Materialpreis",IF($H251="","HINWEIS: Schneidweg fehlt",IF(V251="","HINWEIS: keine Schneiddaten",IF(AND($AF251&lt;&gt;"",$AG251=""),"HINWEIS: Gewinde-Vorschlag prüfen","OK")))))))))))))</f>
        <v/>
      </c>
      <c r="X251" s="18" t="str">
        <f aca="false">IF(OR(O251="",$G251=""),"",O251*$G251)</f>
        <v/>
      </c>
      <c r="Y251" s="10"/>
      <c r="Z251" s="21"/>
      <c r="AA251" s="10"/>
      <c r="AB251" s="21"/>
      <c r="AC251" s="21"/>
      <c r="AD251" s="21"/>
      <c r="AE251" s="10"/>
      <c r="AF251" s="10"/>
      <c r="AG251" s="10"/>
      <c r="AH251" s="22"/>
      <c r="AI251" s="21"/>
      <c r="AJ251" s="22"/>
      <c r="AK251" s="21"/>
      <c r="AL251" s="22"/>
      <c r="AM251" s="21"/>
    </row>
    <row r="252" customFormat="false" ht="15" hidden="false" customHeight="false" outlineLevel="0" collapsed="false">
      <c r="A252" s="10"/>
      <c r="B252" s="10"/>
      <c r="C252" s="10"/>
      <c r="D252" s="10"/>
      <c r="E252" s="10"/>
      <c r="F252" s="21"/>
      <c r="G252" s="19"/>
      <c r="H252" s="21"/>
      <c r="I252" s="22"/>
      <c r="J252" s="19"/>
      <c r="K252" s="23" t="str">
        <f aca="false">IF($D252="","",IFERROR(INDEX(Profile!$B$5:$B$304,MATCH($D252,lst_Profil,0)),""))</f>
        <v/>
      </c>
      <c r="L252" s="13" t="str">
        <f aca="false">IF($D252="","",IFERROR(INDEX(Profile!$K$5:$K$304,MATCH($D252,lst_Profil,0))+0,""))</f>
        <v/>
      </c>
      <c r="M252" s="24" t="str">
        <f aca="false">IF($D252="","",IFERROR(INDEX(Profile!$E$5:$E$304,MATCH($D252,lst_Profil,0))+0,""))</f>
        <v/>
      </c>
      <c r="N252" s="25" t="str">
        <f aca="false">IF(OR(L252="",$E252=""),"",IFERROR(L252*INDEX(Werkstoffe!$E$5:$E$304,MATCH($E252,lst_Werkstoff,0))/1000,""))</f>
        <v/>
      </c>
      <c r="O252" s="25" t="str">
        <f aca="false">IF(OR(N252="",$F252=""),"",N252*$F252/1000)</f>
        <v/>
      </c>
      <c r="P252" s="16" t="str">
        <f aca="false">IF(OR($F252="",$G252=""),"",$F252*$G252)</f>
        <v/>
      </c>
      <c r="Q252" s="16" t="str">
        <f aca="false">IF($D252="","",IF($J252&lt;&gt;"",$J252,$C$9))</f>
        <v/>
      </c>
      <c r="R252" s="12" t="str">
        <f aca="false">IF($D252="","",IFERROR(IF(INDEX(Profile!$G$5:$G$304,MATCH($D252,lst_Profil,0))&lt;&gt;"",INDEX(Profile!$G$5:$G$304,MATCH($D252,lst_Profil,0)),$H$4),$H$4))</f>
        <v/>
      </c>
      <c r="S252" s="12" t="str">
        <f aca="false">IF($D252="","",IFERROR(IF(INDEX(Profile!$H$5:$H$304,MATCH($D252,lst_Profil,0))&lt;&gt;"",INDEX(Profile!$H$5:$H$304,MATCH($D252,lst_Profil,0)),$H$5),$H$5))</f>
        <v/>
      </c>
      <c r="T252" s="16" t="str">
        <f aca="false">IF(OR(Q252="",NOT(ISNUMBER(R252)),NOT(ISNUMBER(S252))),"",Q252-R252-S252)</f>
        <v/>
      </c>
      <c r="U252" s="26" t="str">
        <f aca="false">IF(OR($D252="",$E252=""),"",IF(COUNTIFS(Preise!$A$5:$A$304,$D252,Preise!$B$5:$B$304,$E252,Preise!$I$5:$I$304,"OK")&gt;0,"ja","nein"))</f>
        <v/>
      </c>
      <c r="V252" s="15" t="str">
        <f aca="false">IF(OR(M252="",$E252="",$C$8=""),"",IF(_xlfn.MINIFS(Schneiddaten!$C$5:$C$304,Schneiddaten!$A$5:$A$304,$C$8,Schneiddaten!$B$5:$B$304,$E252,Schneiddaten!$C$5:$C$304,"&gt;="&amp;M252)=0,"",SUMIFS(Schneiddaten!$D$5:$D$304,Schneiddaten!$A$5:$A$304,$C$8,Schneiddaten!$B$5:$B$304,$E252,Schneiddaten!$C$5:$C$304,_xlfn.MINIFS(Schneiddaten!$C$5:$C$304,Schneiddaten!$A$5:$A$304,$C$8,Schneiddaten!$B$5:$B$304,$E252,Schneiddaten!$C$5:$C$304,"&gt;="&amp;M252))))</f>
        <v/>
      </c>
      <c r="W252" s="26" t="str">
        <f aca="false">IF(AND($D252="",$E252="",$F252="",$G252=""),"",IF(ISNA(MATCH($D252,lst_Profil,0)),"FEHLER: Profil unbekannt",IF(ISNA(MATCH($E252,lst_Werkstoff,0)),"FEHLER: Werkstoff unbekannt",IF(NOT(ISNUMBER(L252)),"FEHLER: Querschnitt fehlt (Profil)",IF(OR($F252="",$F252&lt;=0),"FEHLER: Teilelänge fehlt",IF(OR($G252="",$G252&lt;1),"FEHLER: Stückzahl fehlt",IF(NOT(ISNUMBER($H$4)),"FEHLER: Maschine fehlt/unbekannt",IF(Q252&gt;$H$7,"FEHLER: Stange länger als Maschine zulässt",IF($F252+$H$6&gt;T252,"FEHLER: Teil länger als Nutzlänge",IF(U252="nein","WARNUNG: kein gültiger Materialpreis",IF($H252="","HINWEIS: Schneidweg fehlt",IF(V252="","HINWEIS: keine Schneiddaten",IF(AND($AF252&lt;&gt;"",$AG252=""),"HINWEIS: Gewinde-Vorschlag prüfen","OK")))))))))))))</f>
        <v/>
      </c>
      <c r="X252" s="18" t="str">
        <f aca="false">IF(OR(O252="",$G252=""),"",O252*$G252)</f>
        <v/>
      </c>
      <c r="Y252" s="10"/>
      <c r="Z252" s="21"/>
      <c r="AA252" s="10"/>
      <c r="AB252" s="21"/>
      <c r="AC252" s="21"/>
      <c r="AD252" s="21"/>
      <c r="AE252" s="10"/>
      <c r="AF252" s="10"/>
      <c r="AG252" s="10"/>
      <c r="AH252" s="22"/>
      <c r="AI252" s="21"/>
      <c r="AJ252" s="22"/>
      <c r="AK252" s="21"/>
      <c r="AL252" s="22"/>
      <c r="AM252" s="21"/>
    </row>
    <row r="253" customFormat="false" ht="15" hidden="false" customHeight="false" outlineLevel="0" collapsed="false">
      <c r="A253" s="10"/>
      <c r="B253" s="10"/>
      <c r="C253" s="10"/>
      <c r="D253" s="10"/>
      <c r="E253" s="10"/>
      <c r="F253" s="21"/>
      <c r="G253" s="19"/>
      <c r="H253" s="21"/>
      <c r="I253" s="22"/>
      <c r="J253" s="19"/>
      <c r="K253" s="23" t="str">
        <f aca="false">IF($D253="","",IFERROR(INDEX(Profile!$B$5:$B$304,MATCH($D253,lst_Profil,0)),""))</f>
        <v/>
      </c>
      <c r="L253" s="13" t="str">
        <f aca="false">IF($D253="","",IFERROR(INDEX(Profile!$K$5:$K$304,MATCH($D253,lst_Profil,0))+0,""))</f>
        <v/>
      </c>
      <c r="M253" s="24" t="str">
        <f aca="false">IF($D253="","",IFERROR(INDEX(Profile!$E$5:$E$304,MATCH($D253,lst_Profil,0))+0,""))</f>
        <v/>
      </c>
      <c r="N253" s="25" t="str">
        <f aca="false">IF(OR(L253="",$E253=""),"",IFERROR(L253*INDEX(Werkstoffe!$E$5:$E$304,MATCH($E253,lst_Werkstoff,0))/1000,""))</f>
        <v/>
      </c>
      <c r="O253" s="25" t="str">
        <f aca="false">IF(OR(N253="",$F253=""),"",N253*$F253/1000)</f>
        <v/>
      </c>
      <c r="P253" s="16" t="str">
        <f aca="false">IF(OR($F253="",$G253=""),"",$F253*$G253)</f>
        <v/>
      </c>
      <c r="Q253" s="16" t="str">
        <f aca="false">IF($D253="","",IF($J253&lt;&gt;"",$J253,$C$9))</f>
        <v/>
      </c>
      <c r="R253" s="12" t="str">
        <f aca="false">IF($D253="","",IFERROR(IF(INDEX(Profile!$G$5:$G$304,MATCH($D253,lst_Profil,0))&lt;&gt;"",INDEX(Profile!$G$5:$G$304,MATCH($D253,lst_Profil,0)),$H$4),$H$4))</f>
        <v/>
      </c>
      <c r="S253" s="12" t="str">
        <f aca="false">IF($D253="","",IFERROR(IF(INDEX(Profile!$H$5:$H$304,MATCH($D253,lst_Profil,0))&lt;&gt;"",INDEX(Profile!$H$5:$H$304,MATCH($D253,lst_Profil,0)),$H$5),$H$5))</f>
        <v/>
      </c>
      <c r="T253" s="16" t="str">
        <f aca="false">IF(OR(Q253="",NOT(ISNUMBER(R253)),NOT(ISNUMBER(S253))),"",Q253-R253-S253)</f>
        <v/>
      </c>
      <c r="U253" s="26" t="str">
        <f aca="false">IF(OR($D253="",$E253=""),"",IF(COUNTIFS(Preise!$A$5:$A$304,$D253,Preise!$B$5:$B$304,$E253,Preise!$I$5:$I$304,"OK")&gt;0,"ja","nein"))</f>
        <v/>
      </c>
      <c r="V253" s="15" t="str">
        <f aca="false">IF(OR(M253="",$E253="",$C$8=""),"",IF(_xlfn.MINIFS(Schneiddaten!$C$5:$C$304,Schneiddaten!$A$5:$A$304,$C$8,Schneiddaten!$B$5:$B$304,$E253,Schneiddaten!$C$5:$C$304,"&gt;="&amp;M253)=0,"",SUMIFS(Schneiddaten!$D$5:$D$304,Schneiddaten!$A$5:$A$304,$C$8,Schneiddaten!$B$5:$B$304,$E253,Schneiddaten!$C$5:$C$304,_xlfn.MINIFS(Schneiddaten!$C$5:$C$304,Schneiddaten!$A$5:$A$304,$C$8,Schneiddaten!$B$5:$B$304,$E253,Schneiddaten!$C$5:$C$304,"&gt;="&amp;M253))))</f>
        <v/>
      </c>
      <c r="W253" s="26" t="str">
        <f aca="false">IF(AND($D253="",$E253="",$F253="",$G253=""),"",IF(ISNA(MATCH($D253,lst_Profil,0)),"FEHLER: Profil unbekannt",IF(ISNA(MATCH($E253,lst_Werkstoff,0)),"FEHLER: Werkstoff unbekannt",IF(NOT(ISNUMBER(L253)),"FEHLER: Querschnitt fehlt (Profil)",IF(OR($F253="",$F253&lt;=0),"FEHLER: Teilelänge fehlt",IF(OR($G253="",$G253&lt;1),"FEHLER: Stückzahl fehlt",IF(NOT(ISNUMBER($H$4)),"FEHLER: Maschine fehlt/unbekannt",IF(Q253&gt;$H$7,"FEHLER: Stange länger als Maschine zulässt",IF($F253+$H$6&gt;T253,"FEHLER: Teil länger als Nutzlänge",IF(U253="nein","WARNUNG: kein gültiger Materialpreis",IF($H253="","HINWEIS: Schneidweg fehlt",IF(V253="","HINWEIS: keine Schneiddaten",IF(AND($AF253&lt;&gt;"",$AG253=""),"HINWEIS: Gewinde-Vorschlag prüfen","OK")))))))))))))</f>
        <v/>
      </c>
      <c r="X253" s="18" t="str">
        <f aca="false">IF(OR(O253="",$G253=""),"",O253*$G253)</f>
        <v/>
      </c>
      <c r="Y253" s="10"/>
      <c r="Z253" s="21"/>
      <c r="AA253" s="10"/>
      <c r="AB253" s="21"/>
      <c r="AC253" s="21"/>
      <c r="AD253" s="21"/>
      <c r="AE253" s="10"/>
      <c r="AF253" s="10"/>
      <c r="AG253" s="10"/>
      <c r="AH253" s="22"/>
      <c r="AI253" s="21"/>
      <c r="AJ253" s="22"/>
      <c r="AK253" s="21"/>
      <c r="AL253" s="22"/>
      <c r="AM253" s="21"/>
    </row>
    <row r="254" customFormat="false" ht="15" hidden="false" customHeight="false" outlineLevel="0" collapsed="false">
      <c r="A254" s="10"/>
      <c r="B254" s="10"/>
      <c r="C254" s="10"/>
      <c r="D254" s="10"/>
      <c r="E254" s="10"/>
      <c r="F254" s="21"/>
      <c r="G254" s="19"/>
      <c r="H254" s="21"/>
      <c r="I254" s="22"/>
      <c r="J254" s="19"/>
      <c r="K254" s="23" t="str">
        <f aca="false">IF($D254="","",IFERROR(INDEX(Profile!$B$5:$B$304,MATCH($D254,lst_Profil,0)),""))</f>
        <v/>
      </c>
      <c r="L254" s="13" t="str">
        <f aca="false">IF($D254="","",IFERROR(INDEX(Profile!$K$5:$K$304,MATCH($D254,lst_Profil,0))+0,""))</f>
        <v/>
      </c>
      <c r="M254" s="24" t="str">
        <f aca="false">IF($D254="","",IFERROR(INDEX(Profile!$E$5:$E$304,MATCH($D254,lst_Profil,0))+0,""))</f>
        <v/>
      </c>
      <c r="N254" s="25" t="str">
        <f aca="false">IF(OR(L254="",$E254=""),"",IFERROR(L254*INDEX(Werkstoffe!$E$5:$E$304,MATCH($E254,lst_Werkstoff,0))/1000,""))</f>
        <v/>
      </c>
      <c r="O254" s="25" t="str">
        <f aca="false">IF(OR(N254="",$F254=""),"",N254*$F254/1000)</f>
        <v/>
      </c>
      <c r="P254" s="16" t="str">
        <f aca="false">IF(OR($F254="",$G254=""),"",$F254*$G254)</f>
        <v/>
      </c>
      <c r="Q254" s="16" t="str">
        <f aca="false">IF($D254="","",IF($J254&lt;&gt;"",$J254,$C$9))</f>
        <v/>
      </c>
      <c r="R254" s="12" t="str">
        <f aca="false">IF($D254="","",IFERROR(IF(INDEX(Profile!$G$5:$G$304,MATCH($D254,lst_Profil,0))&lt;&gt;"",INDEX(Profile!$G$5:$G$304,MATCH($D254,lst_Profil,0)),$H$4),$H$4))</f>
        <v/>
      </c>
      <c r="S254" s="12" t="str">
        <f aca="false">IF($D254="","",IFERROR(IF(INDEX(Profile!$H$5:$H$304,MATCH($D254,lst_Profil,0))&lt;&gt;"",INDEX(Profile!$H$5:$H$304,MATCH($D254,lst_Profil,0)),$H$5),$H$5))</f>
        <v/>
      </c>
      <c r="T254" s="16" t="str">
        <f aca="false">IF(OR(Q254="",NOT(ISNUMBER(R254)),NOT(ISNUMBER(S254))),"",Q254-R254-S254)</f>
        <v/>
      </c>
      <c r="U254" s="26" t="str">
        <f aca="false">IF(OR($D254="",$E254=""),"",IF(COUNTIFS(Preise!$A$5:$A$304,$D254,Preise!$B$5:$B$304,$E254,Preise!$I$5:$I$304,"OK")&gt;0,"ja","nein"))</f>
        <v/>
      </c>
      <c r="V254" s="15" t="str">
        <f aca="false">IF(OR(M254="",$E254="",$C$8=""),"",IF(_xlfn.MINIFS(Schneiddaten!$C$5:$C$304,Schneiddaten!$A$5:$A$304,$C$8,Schneiddaten!$B$5:$B$304,$E254,Schneiddaten!$C$5:$C$304,"&gt;="&amp;M254)=0,"",SUMIFS(Schneiddaten!$D$5:$D$304,Schneiddaten!$A$5:$A$304,$C$8,Schneiddaten!$B$5:$B$304,$E254,Schneiddaten!$C$5:$C$304,_xlfn.MINIFS(Schneiddaten!$C$5:$C$304,Schneiddaten!$A$5:$A$304,$C$8,Schneiddaten!$B$5:$B$304,$E254,Schneiddaten!$C$5:$C$304,"&gt;="&amp;M254))))</f>
        <v/>
      </c>
      <c r="W254" s="26" t="str">
        <f aca="false">IF(AND($D254="",$E254="",$F254="",$G254=""),"",IF(ISNA(MATCH($D254,lst_Profil,0)),"FEHLER: Profil unbekannt",IF(ISNA(MATCH($E254,lst_Werkstoff,0)),"FEHLER: Werkstoff unbekannt",IF(NOT(ISNUMBER(L254)),"FEHLER: Querschnitt fehlt (Profil)",IF(OR($F254="",$F254&lt;=0),"FEHLER: Teilelänge fehlt",IF(OR($G254="",$G254&lt;1),"FEHLER: Stückzahl fehlt",IF(NOT(ISNUMBER($H$4)),"FEHLER: Maschine fehlt/unbekannt",IF(Q254&gt;$H$7,"FEHLER: Stange länger als Maschine zulässt",IF($F254+$H$6&gt;T254,"FEHLER: Teil länger als Nutzlänge",IF(U254="nein","WARNUNG: kein gültiger Materialpreis",IF($H254="","HINWEIS: Schneidweg fehlt",IF(V254="","HINWEIS: keine Schneiddaten",IF(AND($AF254&lt;&gt;"",$AG254=""),"HINWEIS: Gewinde-Vorschlag prüfen","OK")))))))))))))</f>
        <v/>
      </c>
      <c r="X254" s="18" t="str">
        <f aca="false">IF(OR(O254="",$G254=""),"",O254*$G254)</f>
        <v/>
      </c>
      <c r="Y254" s="10"/>
      <c r="Z254" s="21"/>
      <c r="AA254" s="10"/>
      <c r="AB254" s="21"/>
      <c r="AC254" s="21"/>
      <c r="AD254" s="21"/>
      <c r="AE254" s="10"/>
      <c r="AF254" s="10"/>
      <c r="AG254" s="10"/>
      <c r="AH254" s="22"/>
      <c r="AI254" s="21"/>
      <c r="AJ254" s="22"/>
      <c r="AK254" s="21"/>
      <c r="AL254" s="22"/>
      <c r="AM254" s="21"/>
    </row>
    <row r="255" customFormat="false" ht="15" hidden="false" customHeight="false" outlineLevel="0" collapsed="false">
      <c r="A255" s="10"/>
      <c r="B255" s="10"/>
      <c r="C255" s="10"/>
      <c r="D255" s="10"/>
      <c r="E255" s="10"/>
      <c r="F255" s="21"/>
      <c r="G255" s="19"/>
      <c r="H255" s="21"/>
      <c r="I255" s="22"/>
      <c r="J255" s="19"/>
      <c r="K255" s="23" t="str">
        <f aca="false">IF($D255="","",IFERROR(INDEX(Profile!$B$5:$B$304,MATCH($D255,lst_Profil,0)),""))</f>
        <v/>
      </c>
      <c r="L255" s="13" t="str">
        <f aca="false">IF($D255="","",IFERROR(INDEX(Profile!$K$5:$K$304,MATCH($D255,lst_Profil,0))+0,""))</f>
        <v/>
      </c>
      <c r="M255" s="24" t="str">
        <f aca="false">IF($D255="","",IFERROR(INDEX(Profile!$E$5:$E$304,MATCH($D255,lst_Profil,0))+0,""))</f>
        <v/>
      </c>
      <c r="N255" s="25" t="str">
        <f aca="false">IF(OR(L255="",$E255=""),"",IFERROR(L255*INDEX(Werkstoffe!$E$5:$E$304,MATCH($E255,lst_Werkstoff,0))/1000,""))</f>
        <v/>
      </c>
      <c r="O255" s="25" t="str">
        <f aca="false">IF(OR(N255="",$F255=""),"",N255*$F255/1000)</f>
        <v/>
      </c>
      <c r="P255" s="16" t="str">
        <f aca="false">IF(OR($F255="",$G255=""),"",$F255*$G255)</f>
        <v/>
      </c>
      <c r="Q255" s="16" t="str">
        <f aca="false">IF($D255="","",IF($J255&lt;&gt;"",$J255,$C$9))</f>
        <v/>
      </c>
      <c r="R255" s="12" t="str">
        <f aca="false">IF($D255="","",IFERROR(IF(INDEX(Profile!$G$5:$G$304,MATCH($D255,lst_Profil,0))&lt;&gt;"",INDEX(Profile!$G$5:$G$304,MATCH($D255,lst_Profil,0)),$H$4),$H$4))</f>
        <v/>
      </c>
      <c r="S255" s="12" t="str">
        <f aca="false">IF($D255="","",IFERROR(IF(INDEX(Profile!$H$5:$H$304,MATCH($D255,lst_Profil,0))&lt;&gt;"",INDEX(Profile!$H$5:$H$304,MATCH($D255,lst_Profil,0)),$H$5),$H$5))</f>
        <v/>
      </c>
      <c r="T255" s="16" t="str">
        <f aca="false">IF(OR(Q255="",NOT(ISNUMBER(R255)),NOT(ISNUMBER(S255))),"",Q255-R255-S255)</f>
        <v/>
      </c>
      <c r="U255" s="26" t="str">
        <f aca="false">IF(OR($D255="",$E255=""),"",IF(COUNTIFS(Preise!$A$5:$A$304,$D255,Preise!$B$5:$B$304,$E255,Preise!$I$5:$I$304,"OK")&gt;0,"ja","nein"))</f>
        <v/>
      </c>
      <c r="V255" s="15" t="str">
        <f aca="false">IF(OR(M255="",$E255="",$C$8=""),"",IF(_xlfn.MINIFS(Schneiddaten!$C$5:$C$304,Schneiddaten!$A$5:$A$304,$C$8,Schneiddaten!$B$5:$B$304,$E255,Schneiddaten!$C$5:$C$304,"&gt;="&amp;M255)=0,"",SUMIFS(Schneiddaten!$D$5:$D$304,Schneiddaten!$A$5:$A$304,$C$8,Schneiddaten!$B$5:$B$304,$E255,Schneiddaten!$C$5:$C$304,_xlfn.MINIFS(Schneiddaten!$C$5:$C$304,Schneiddaten!$A$5:$A$304,$C$8,Schneiddaten!$B$5:$B$304,$E255,Schneiddaten!$C$5:$C$304,"&gt;="&amp;M255))))</f>
        <v/>
      </c>
      <c r="W255" s="26" t="str">
        <f aca="false">IF(AND($D255="",$E255="",$F255="",$G255=""),"",IF(ISNA(MATCH($D255,lst_Profil,0)),"FEHLER: Profil unbekannt",IF(ISNA(MATCH($E255,lst_Werkstoff,0)),"FEHLER: Werkstoff unbekannt",IF(NOT(ISNUMBER(L255)),"FEHLER: Querschnitt fehlt (Profil)",IF(OR($F255="",$F255&lt;=0),"FEHLER: Teilelänge fehlt",IF(OR($G255="",$G255&lt;1),"FEHLER: Stückzahl fehlt",IF(NOT(ISNUMBER($H$4)),"FEHLER: Maschine fehlt/unbekannt",IF(Q255&gt;$H$7,"FEHLER: Stange länger als Maschine zulässt",IF($F255+$H$6&gt;T255,"FEHLER: Teil länger als Nutzlänge",IF(U255="nein","WARNUNG: kein gültiger Materialpreis",IF($H255="","HINWEIS: Schneidweg fehlt",IF(V255="","HINWEIS: keine Schneiddaten",IF(AND($AF255&lt;&gt;"",$AG255=""),"HINWEIS: Gewinde-Vorschlag prüfen","OK")))))))))))))</f>
        <v/>
      </c>
      <c r="X255" s="18" t="str">
        <f aca="false">IF(OR(O255="",$G255=""),"",O255*$G255)</f>
        <v/>
      </c>
      <c r="Y255" s="10"/>
      <c r="Z255" s="21"/>
      <c r="AA255" s="10"/>
      <c r="AB255" s="21"/>
      <c r="AC255" s="21"/>
      <c r="AD255" s="21"/>
      <c r="AE255" s="10"/>
      <c r="AF255" s="10"/>
      <c r="AG255" s="10"/>
      <c r="AH255" s="22"/>
      <c r="AI255" s="21"/>
      <c r="AJ255" s="22"/>
      <c r="AK255" s="21"/>
      <c r="AL255" s="22"/>
      <c r="AM255" s="21"/>
    </row>
    <row r="256" customFormat="false" ht="15" hidden="false" customHeight="false" outlineLevel="0" collapsed="false">
      <c r="A256" s="10"/>
      <c r="B256" s="10"/>
      <c r="C256" s="10"/>
      <c r="D256" s="10"/>
      <c r="E256" s="10"/>
      <c r="F256" s="21"/>
      <c r="G256" s="19"/>
      <c r="H256" s="21"/>
      <c r="I256" s="22"/>
      <c r="J256" s="19"/>
      <c r="K256" s="23" t="str">
        <f aca="false">IF($D256="","",IFERROR(INDEX(Profile!$B$5:$B$304,MATCH($D256,lst_Profil,0)),""))</f>
        <v/>
      </c>
      <c r="L256" s="13" t="str">
        <f aca="false">IF($D256="","",IFERROR(INDEX(Profile!$K$5:$K$304,MATCH($D256,lst_Profil,0))+0,""))</f>
        <v/>
      </c>
      <c r="M256" s="24" t="str">
        <f aca="false">IF($D256="","",IFERROR(INDEX(Profile!$E$5:$E$304,MATCH($D256,lst_Profil,0))+0,""))</f>
        <v/>
      </c>
      <c r="N256" s="25" t="str">
        <f aca="false">IF(OR(L256="",$E256=""),"",IFERROR(L256*INDEX(Werkstoffe!$E$5:$E$304,MATCH($E256,lst_Werkstoff,0))/1000,""))</f>
        <v/>
      </c>
      <c r="O256" s="25" t="str">
        <f aca="false">IF(OR(N256="",$F256=""),"",N256*$F256/1000)</f>
        <v/>
      </c>
      <c r="P256" s="16" t="str">
        <f aca="false">IF(OR($F256="",$G256=""),"",$F256*$G256)</f>
        <v/>
      </c>
      <c r="Q256" s="16" t="str">
        <f aca="false">IF($D256="","",IF($J256&lt;&gt;"",$J256,$C$9))</f>
        <v/>
      </c>
      <c r="R256" s="12" t="str">
        <f aca="false">IF($D256="","",IFERROR(IF(INDEX(Profile!$G$5:$G$304,MATCH($D256,lst_Profil,0))&lt;&gt;"",INDEX(Profile!$G$5:$G$304,MATCH($D256,lst_Profil,0)),$H$4),$H$4))</f>
        <v/>
      </c>
      <c r="S256" s="12" t="str">
        <f aca="false">IF($D256="","",IFERROR(IF(INDEX(Profile!$H$5:$H$304,MATCH($D256,lst_Profil,0))&lt;&gt;"",INDEX(Profile!$H$5:$H$304,MATCH($D256,lst_Profil,0)),$H$5),$H$5))</f>
        <v/>
      </c>
      <c r="T256" s="16" t="str">
        <f aca="false">IF(OR(Q256="",NOT(ISNUMBER(R256)),NOT(ISNUMBER(S256))),"",Q256-R256-S256)</f>
        <v/>
      </c>
      <c r="U256" s="26" t="str">
        <f aca="false">IF(OR($D256="",$E256=""),"",IF(COUNTIFS(Preise!$A$5:$A$304,$D256,Preise!$B$5:$B$304,$E256,Preise!$I$5:$I$304,"OK")&gt;0,"ja","nein"))</f>
        <v/>
      </c>
      <c r="V256" s="15" t="str">
        <f aca="false">IF(OR(M256="",$E256="",$C$8=""),"",IF(_xlfn.MINIFS(Schneiddaten!$C$5:$C$304,Schneiddaten!$A$5:$A$304,$C$8,Schneiddaten!$B$5:$B$304,$E256,Schneiddaten!$C$5:$C$304,"&gt;="&amp;M256)=0,"",SUMIFS(Schneiddaten!$D$5:$D$304,Schneiddaten!$A$5:$A$304,$C$8,Schneiddaten!$B$5:$B$304,$E256,Schneiddaten!$C$5:$C$304,_xlfn.MINIFS(Schneiddaten!$C$5:$C$304,Schneiddaten!$A$5:$A$304,$C$8,Schneiddaten!$B$5:$B$304,$E256,Schneiddaten!$C$5:$C$304,"&gt;="&amp;M256))))</f>
        <v/>
      </c>
      <c r="W256" s="26" t="str">
        <f aca="false">IF(AND($D256="",$E256="",$F256="",$G256=""),"",IF(ISNA(MATCH($D256,lst_Profil,0)),"FEHLER: Profil unbekannt",IF(ISNA(MATCH($E256,lst_Werkstoff,0)),"FEHLER: Werkstoff unbekannt",IF(NOT(ISNUMBER(L256)),"FEHLER: Querschnitt fehlt (Profil)",IF(OR($F256="",$F256&lt;=0),"FEHLER: Teilelänge fehlt",IF(OR($G256="",$G256&lt;1),"FEHLER: Stückzahl fehlt",IF(NOT(ISNUMBER($H$4)),"FEHLER: Maschine fehlt/unbekannt",IF(Q256&gt;$H$7,"FEHLER: Stange länger als Maschine zulässt",IF($F256+$H$6&gt;T256,"FEHLER: Teil länger als Nutzlänge",IF(U256="nein","WARNUNG: kein gültiger Materialpreis",IF($H256="","HINWEIS: Schneidweg fehlt",IF(V256="","HINWEIS: keine Schneiddaten",IF(AND($AF256&lt;&gt;"",$AG256=""),"HINWEIS: Gewinde-Vorschlag prüfen","OK")))))))))))))</f>
        <v/>
      </c>
      <c r="X256" s="18" t="str">
        <f aca="false">IF(OR(O256="",$G256=""),"",O256*$G256)</f>
        <v/>
      </c>
      <c r="Y256" s="10"/>
      <c r="Z256" s="21"/>
      <c r="AA256" s="10"/>
      <c r="AB256" s="21"/>
      <c r="AC256" s="21"/>
      <c r="AD256" s="21"/>
      <c r="AE256" s="10"/>
      <c r="AF256" s="10"/>
      <c r="AG256" s="10"/>
      <c r="AH256" s="22"/>
      <c r="AI256" s="21"/>
      <c r="AJ256" s="22"/>
      <c r="AK256" s="21"/>
      <c r="AL256" s="22"/>
      <c r="AM256" s="21"/>
    </row>
    <row r="257" customFormat="false" ht="15" hidden="false" customHeight="false" outlineLevel="0" collapsed="false">
      <c r="A257" s="10"/>
      <c r="B257" s="10"/>
      <c r="C257" s="10"/>
      <c r="D257" s="10"/>
      <c r="E257" s="10"/>
      <c r="F257" s="21"/>
      <c r="G257" s="19"/>
      <c r="H257" s="21"/>
      <c r="I257" s="22"/>
      <c r="J257" s="19"/>
      <c r="K257" s="23" t="str">
        <f aca="false">IF($D257="","",IFERROR(INDEX(Profile!$B$5:$B$304,MATCH($D257,lst_Profil,0)),""))</f>
        <v/>
      </c>
      <c r="L257" s="13" t="str">
        <f aca="false">IF($D257="","",IFERROR(INDEX(Profile!$K$5:$K$304,MATCH($D257,lst_Profil,0))+0,""))</f>
        <v/>
      </c>
      <c r="M257" s="24" t="str">
        <f aca="false">IF($D257="","",IFERROR(INDEX(Profile!$E$5:$E$304,MATCH($D257,lst_Profil,0))+0,""))</f>
        <v/>
      </c>
      <c r="N257" s="25" t="str">
        <f aca="false">IF(OR(L257="",$E257=""),"",IFERROR(L257*INDEX(Werkstoffe!$E$5:$E$304,MATCH($E257,lst_Werkstoff,0))/1000,""))</f>
        <v/>
      </c>
      <c r="O257" s="25" t="str">
        <f aca="false">IF(OR(N257="",$F257=""),"",N257*$F257/1000)</f>
        <v/>
      </c>
      <c r="P257" s="16" t="str">
        <f aca="false">IF(OR($F257="",$G257=""),"",$F257*$G257)</f>
        <v/>
      </c>
      <c r="Q257" s="16" t="str">
        <f aca="false">IF($D257="","",IF($J257&lt;&gt;"",$J257,$C$9))</f>
        <v/>
      </c>
      <c r="R257" s="12" t="str">
        <f aca="false">IF($D257="","",IFERROR(IF(INDEX(Profile!$G$5:$G$304,MATCH($D257,lst_Profil,0))&lt;&gt;"",INDEX(Profile!$G$5:$G$304,MATCH($D257,lst_Profil,0)),$H$4),$H$4))</f>
        <v/>
      </c>
      <c r="S257" s="12" t="str">
        <f aca="false">IF($D257="","",IFERROR(IF(INDEX(Profile!$H$5:$H$304,MATCH($D257,lst_Profil,0))&lt;&gt;"",INDEX(Profile!$H$5:$H$304,MATCH($D257,lst_Profil,0)),$H$5),$H$5))</f>
        <v/>
      </c>
      <c r="T257" s="16" t="str">
        <f aca="false">IF(OR(Q257="",NOT(ISNUMBER(R257)),NOT(ISNUMBER(S257))),"",Q257-R257-S257)</f>
        <v/>
      </c>
      <c r="U257" s="26" t="str">
        <f aca="false">IF(OR($D257="",$E257=""),"",IF(COUNTIFS(Preise!$A$5:$A$304,$D257,Preise!$B$5:$B$304,$E257,Preise!$I$5:$I$304,"OK")&gt;0,"ja","nein"))</f>
        <v/>
      </c>
      <c r="V257" s="15" t="str">
        <f aca="false">IF(OR(M257="",$E257="",$C$8=""),"",IF(_xlfn.MINIFS(Schneiddaten!$C$5:$C$304,Schneiddaten!$A$5:$A$304,$C$8,Schneiddaten!$B$5:$B$304,$E257,Schneiddaten!$C$5:$C$304,"&gt;="&amp;M257)=0,"",SUMIFS(Schneiddaten!$D$5:$D$304,Schneiddaten!$A$5:$A$304,$C$8,Schneiddaten!$B$5:$B$304,$E257,Schneiddaten!$C$5:$C$304,_xlfn.MINIFS(Schneiddaten!$C$5:$C$304,Schneiddaten!$A$5:$A$304,$C$8,Schneiddaten!$B$5:$B$304,$E257,Schneiddaten!$C$5:$C$304,"&gt;="&amp;M257))))</f>
        <v/>
      </c>
      <c r="W257" s="26" t="str">
        <f aca="false">IF(AND($D257="",$E257="",$F257="",$G257=""),"",IF(ISNA(MATCH($D257,lst_Profil,0)),"FEHLER: Profil unbekannt",IF(ISNA(MATCH($E257,lst_Werkstoff,0)),"FEHLER: Werkstoff unbekannt",IF(NOT(ISNUMBER(L257)),"FEHLER: Querschnitt fehlt (Profil)",IF(OR($F257="",$F257&lt;=0),"FEHLER: Teilelänge fehlt",IF(OR($G257="",$G257&lt;1),"FEHLER: Stückzahl fehlt",IF(NOT(ISNUMBER($H$4)),"FEHLER: Maschine fehlt/unbekannt",IF(Q257&gt;$H$7,"FEHLER: Stange länger als Maschine zulässt",IF($F257+$H$6&gt;T257,"FEHLER: Teil länger als Nutzlänge",IF(U257="nein","WARNUNG: kein gültiger Materialpreis",IF($H257="","HINWEIS: Schneidweg fehlt",IF(V257="","HINWEIS: keine Schneiddaten",IF(AND($AF257&lt;&gt;"",$AG257=""),"HINWEIS: Gewinde-Vorschlag prüfen","OK")))))))))))))</f>
        <v/>
      </c>
      <c r="X257" s="18" t="str">
        <f aca="false">IF(OR(O257="",$G257=""),"",O257*$G257)</f>
        <v/>
      </c>
      <c r="Y257" s="10"/>
      <c r="Z257" s="21"/>
      <c r="AA257" s="10"/>
      <c r="AB257" s="21"/>
      <c r="AC257" s="21"/>
      <c r="AD257" s="21"/>
      <c r="AE257" s="10"/>
      <c r="AF257" s="10"/>
      <c r="AG257" s="10"/>
      <c r="AH257" s="22"/>
      <c r="AI257" s="21"/>
      <c r="AJ257" s="22"/>
      <c r="AK257" s="21"/>
      <c r="AL257" s="22"/>
      <c r="AM257" s="21"/>
    </row>
    <row r="258" customFormat="false" ht="15" hidden="false" customHeight="false" outlineLevel="0" collapsed="false">
      <c r="A258" s="10"/>
      <c r="B258" s="10"/>
      <c r="C258" s="10"/>
      <c r="D258" s="10"/>
      <c r="E258" s="10"/>
      <c r="F258" s="21"/>
      <c r="G258" s="19"/>
      <c r="H258" s="21"/>
      <c r="I258" s="22"/>
      <c r="J258" s="19"/>
      <c r="K258" s="23" t="str">
        <f aca="false">IF($D258="","",IFERROR(INDEX(Profile!$B$5:$B$304,MATCH($D258,lst_Profil,0)),""))</f>
        <v/>
      </c>
      <c r="L258" s="13" t="str">
        <f aca="false">IF($D258="","",IFERROR(INDEX(Profile!$K$5:$K$304,MATCH($D258,lst_Profil,0))+0,""))</f>
        <v/>
      </c>
      <c r="M258" s="24" t="str">
        <f aca="false">IF($D258="","",IFERROR(INDEX(Profile!$E$5:$E$304,MATCH($D258,lst_Profil,0))+0,""))</f>
        <v/>
      </c>
      <c r="N258" s="25" t="str">
        <f aca="false">IF(OR(L258="",$E258=""),"",IFERROR(L258*INDEX(Werkstoffe!$E$5:$E$304,MATCH($E258,lst_Werkstoff,0))/1000,""))</f>
        <v/>
      </c>
      <c r="O258" s="25" t="str">
        <f aca="false">IF(OR(N258="",$F258=""),"",N258*$F258/1000)</f>
        <v/>
      </c>
      <c r="P258" s="16" t="str">
        <f aca="false">IF(OR($F258="",$G258=""),"",$F258*$G258)</f>
        <v/>
      </c>
      <c r="Q258" s="16" t="str">
        <f aca="false">IF($D258="","",IF($J258&lt;&gt;"",$J258,$C$9))</f>
        <v/>
      </c>
      <c r="R258" s="12" t="str">
        <f aca="false">IF($D258="","",IFERROR(IF(INDEX(Profile!$G$5:$G$304,MATCH($D258,lst_Profil,0))&lt;&gt;"",INDEX(Profile!$G$5:$G$304,MATCH($D258,lst_Profil,0)),$H$4),$H$4))</f>
        <v/>
      </c>
      <c r="S258" s="12" t="str">
        <f aca="false">IF($D258="","",IFERROR(IF(INDEX(Profile!$H$5:$H$304,MATCH($D258,lst_Profil,0))&lt;&gt;"",INDEX(Profile!$H$5:$H$304,MATCH($D258,lst_Profil,0)),$H$5),$H$5))</f>
        <v/>
      </c>
      <c r="T258" s="16" t="str">
        <f aca="false">IF(OR(Q258="",NOT(ISNUMBER(R258)),NOT(ISNUMBER(S258))),"",Q258-R258-S258)</f>
        <v/>
      </c>
      <c r="U258" s="26" t="str">
        <f aca="false">IF(OR($D258="",$E258=""),"",IF(COUNTIFS(Preise!$A$5:$A$304,$D258,Preise!$B$5:$B$304,$E258,Preise!$I$5:$I$304,"OK")&gt;0,"ja","nein"))</f>
        <v/>
      </c>
      <c r="V258" s="15" t="str">
        <f aca="false">IF(OR(M258="",$E258="",$C$8=""),"",IF(_xlfn.MINIFS(Schneiddaten!$C$5:$C$304,Schneiddaten!$A$5:$A$304,$C$8,Schneiddaten!$B$5:$B$304,$E258,Schneiddaten!$C$5:$C$304,"&gt;="&amp;M258)=0,"",SUMIFS(Schneiddaten!$D$5:$D$304,Schneiddaten!$A$5:$A$304,$C$8,Schneiddaten!$B$5:$B$304,$E258,Schneiddaten!$C$5:$C$304,_xlfn.MINIFS(Schneiddaten!$C$5:$C$304,Schneiddaten!$A$5:$A$304,$C$8,Schneiddaten!$B$5:$B$304,$E258,Schneiddaten!$C$5:$C$304,"&gt;="&amp;M258))))</f>
        <v/>
      </c>
      <c r="W258" s="26" t="str">
        <f aca="false">IF(AND($D258="",$E258="",$F258="",$G258=""),"",IF(ISNA(MATCH($D258,lst_Profil,0)),"FEHLER: Profil unbekannt",IF(ISNA(MATCH($E258,lst_Werkstoff,0)),"FEHLER: Werkstoff unbekannt",IF(NOT(ISNUMBER(L258)),"FEHLER: Querschnitt fehlt (Profil)",IF(OR($F258="",$F258&lt;=0),"FEHLER: Teilelänge fehlt",IF(OR($G258="",$G258&lt;1),"FEHLER: Stückzahl fehlt",IF(NOT(ISNUMBER($H$4)),"FEHLER: Maschine fehlt/unbekannt",IF(Q258&gt;$H$7,"FEHLER: Stange länger als Maschine zulässt",IF($F258+$H$6&gt;T258,"FEHLER: Teil länger als Nutzlänge",IF(U258="nein","WARNUNG: kein gültiger Materialpreis",IF($H258="","HINWEIS: Schneidweg fehlt",IF(V258="","HINWEIS: keine Schneiddaten",IF(AND($AF258&lt;&gt;"",$AG258=""),"HINWEIS: Gewinde-Vorschlag prüfen","OK")))))))))))))</f>
        <v/>
      </c>
      <c r="X258" s="18" t="str">
        <f aca="false">IF(OR(O258="",$G258=""),"",O258*$G258)</f>
        <v/>
      </c>
      <c r="Y258" s="10"/>
      <c r="Z258" s="21"/>
      <c r="AA258" s="10"/>
      <c r="AB258" s="21"/>
      <c r="AC258" s="21"/>
      <c r="AD258" s="21"/>
      <c r="AE258" s="10"/>
      <c r="AF258" s="10"/>
      <c r="AG258" s="10"/>
      <c r="AH258" s="22"/>
      <c r="AI258" s="21"/>
      <c r="AJ258" s="22"/>
      <c r="AK258" s="21"/>
      <c r="AL258" s="22"/>
      <c r="AM258" s="21"/>
    </row>
    <row r="259" customFormat="false" ht="15" hidden="false" customHeight="false" outlineLevel="0" collapsed="false">
      <c r="A259" s="10"/>
      <c r="B259" s="10"/>
      <c r="C259" s="10"/>
      <c r="D259" s="10"/>
      <c r="E259" s="10"/>
      <c r="F259" s="21"/>
      <c r="G259" s="19"/>
      <c r="H259" s="21"/>
      <c r="I259" s="22"/>
      <c r="J259" s="19"/>
      <c r="K259" s="23" t="str">
        <f aca="false">IF($D259="","",IFERROR(INDEX(Profile!$B$5:$B$304,MATCH($D259,lst_Profil,0)),""))</f>
        <v/>
      </c>
      <c r="L259" s="13" t="str">
        <f aca="false">IF($D259="","",IFERROR(INDEX(Profile!$K$5:$K$304,MATCH($D259,lst_Profil,0))+0,""))</f>
        <v/>
      </c>
      <c r="M259" s="24" t="str">
        <f aca="false">IF($D259="","",IFERROR(INDEX(Profile!$E$5:$E$304,MATCH($D259,lst_Profil,0))+0,""))</f>
        <v/>
      </c>
      <c r="N259" s="25" t="str">
        <f aca="false">IF(OR(L259="",$E259=""),"",IFERROR(L259*INDEX(Werkstoffe!$E$5:$E$304,MATCH($E259,lst_Werkstoff,0))/1000,""))</f>
        <v/>
      </c>
      <c r="O259" s="25" t="str">
        <f aca="false">IF(OR(N259="",$F259=""),"",N259*$F259/1000)</f>
        <v/>
      </c>
      <c r="P259" s="16" t="str">
        <f aca="false">IF(OR($F259="",$G259=""),"",$F259*$G259)</f>
        <v/>
      </c>
      <c r="Q259" s="16" t="str">
        <f aca="false">IF($D259="","",IF($J259&lt;&gt;"",$J259,$C$9))</f>
        <v/>
      </c>
      <c r="R259" s="12" t="str">
        <f aca="false">IF($D259="","",IFERROR(IF(INDEX(Profile!$G$5:$G$304,MATCH($D259,lst_Profil,0))&lt;&gt;"",INDEX(Profile!$G$5:$G$304,MATCH($D259,lst_Profil,0)),$H$4),$H$4))</f>
        <v/>
      </c>
      <c r="S259" s="12" t="str">
        <f aca="false">IF($D259="","",IFERROR(IF(INDEX(Profile!$H$5:$H$304,MATCH($D259,lst_Profil,0))&lt;&gt;"",INDEX(Profile!$H$5:$H$304,MATCH($D259,lst_Profil,0)),$H$5),$H$5))</f>
        <v/>
      </c>
      <c r="T259" s="16" t="str">
        <f aca="false">IF(OR(Q259="",NOT(ISNUMBER(R259)),NOT(ISNUMBER(S259))),"",Q259-R259-S259)</f>
        <v/>
      </c>
      <c r="U259" s="26" t="str">
        <f aca="false">IF(OR($D259="",$E259=""),"",IF(COUNTIFS(Preise!$A$5:$A$304,$D259,Preise!$B$5:$B$304,$E259,Preise!$I$5:$I$304,"OK")&gt;0,"ja","nein"))</f>
        <v/>
      </c>
      <c r="V259" s="15" t="str">
        <f aca="false">IF(OR(M259="",$E259="",$C$8=""),"",IF(_xlfn.MINIFS(Schneiddaten!$C$5:$C$304,Schneiddaten!$A$5:$A$304,$C$8,Schneiddaten!$B$5:$B$304,$E259,Schneiddaten!$C$5:$C$304,"&gt;="&amp;M259)=0,"",SUMIFS(Schneiddaten!$D$5:$D$304,Schneiddaten!$A$5:$A$304,$C$8,Schneiddaten!$B$5:$B$304,$E259,Schneiddaten!$C$5:$C$304,_xlfn.MINIFS(Schneiddaten!$C$5:$C$304,Schneiddaten!$A$5:$A$304,$C$8,Schneiddaten!$B$5:$B$304,$E259,Schneiddaten!$C$5:$C$304,"&gt;="&amp;M259))))</f>
        <v/>
      </c>
      <c r="W259" s="26" t="str">
        <f aca="false">IF(AND($D259="",$E259="",$F259="",$G259=""),"",IF(ISNA(MATCH($D259,lst_Profil,0)),"FEHLER: Profil unbekannt",IF(ISNA(MATCH($E259,lst_Werkstoff,0)),"FEHLER: Werkstoff unbekannt",IF(NOT(ISNUMBER(L259)),"FEHLER: Querschnitt fehlt (Profil)",IF(OR($F259="",$F259&lt;=0),"FEHLER: Teilelänge fehlt",IF(OR($G259="",$G259&lt;1),"FEHLER: Stückzahl fehlt",IF(NOT(ISNUMBER($H$4)),"FEHLER: Maschine fehlt/unbekannt",IF(Q259&gt;$H$7,"FEHLER: Stange länger als Maschine zulässt",IF($F259+$H$6&gt;T259,"FEHLER: Teil länger als Nutzlänge",IF(U259="nein","WARNUNG: kein gültiger Materialpreis",IF($H259="","HINWEIS: Schneidweg fehlt",IF(V259="","HINWEIS: keine Schneiddaten",IF(AND($AF259&lt;&gt;"",$AG259=""),"HINWEIS: Gewinde-Vorschlag prüfen","OK")))))))))))))</f>
        <v/>
      </c>
      <c r="X259" s="18" t="str">
        <f aca="false">IF(OR(O259="",$G259=""),"",O259*$G259)</f>
        <v/>
      </c>
      <c r="Y259" s="10"/>
      <c r="Z259" s="21"/>
      <c r="AA259" s="10"/>
      <c r="AB259" s="21"/>
      <c r="AC259" s="21"/>
      <c r="AD259" s="21"/>
      <c r="AE259" s="10"/>
      <c r="AF259" s="10"/>
      <c r="AG259" s="10"/>
      <c r="AH259" s="22"/>
      <c r="AI259" s="21"/>
      <c r="AJ259" s="22"/>
      <c r="AK259" s="21"/>
      <c r="AL259" s="22"/>
      <c r="AM259" s="21"/>
    </row>
    <row r="260" customFormat="false" ht="15" hidden="false" customHeight="false" outlineLevel="0" collapsed="false">
      <c r="A260" s="10"/>
      <c r="B260" s="10"/>
      <c r="C260" s="10"/>
      <c r="D260" s="10"/>
      <c r="E260" s="10"/>
      <c r="F260" s="21"/>
      <c r="G260" s="19"/>
      <c r="H260" s="21"/>
      <c r="I260" s="22"/>
      <c r="J260" s="19"/>
      <c r="K260" s="23" t="str">
        <f aca="false">IF($D260="","",IFERROR(INDEX(Profile!$B$5:$B$304,MATCH($D260,lst_Profil,0)),""))</f>
        <v/>
      </c>
      <c r="L260" s="13" t="str">
        <f aca="false">IF($D260="","",IFERROR(INDEX(Profile!$K$5:$K$304,MATCH($D260,lst_Profil,0))+0,""))</f>
        <v/>
      </c>
      <c r="M260" s="24" t="str">
        <f aca="false">IF($D260="","",IFERROR(INDEX(Profile!$E$5:$E$304,MATCH($D260,lst_Profil,0))+0,""))</f>
        <v/>
      </c>
      <c r="N260" s="25" t="str">
        <f aca="false">IF(OR(L260="",$E260=""),"",IFERROR(L260*INDEX(Werkstoffe!$E$5:$E$304,MATCH($E260,lst_Werkstoff,0))/1000,""))</f>
        <v/>
      </c>
      <c r="O260" s="25" t="str">
        <f aca="false">IF(OR(N260="",$F260=""),"",N260*$F260/1000)</f>
        <v/>
      </c>
      <c r="P260" s="16" t="str">
        <f aca="false">IF(OR($F260="",$G260=""),"",$F260*$G260)</f>
        <v/>
      </c>
      <c r="Q260" s="16" t="str">
        <f aca="false">IF($D260="","",IF($J260&lt;&gt;"",$J260,$C$9))</f>
        <v/>
      </c>
      <c r="R260" s="12" t="str">
        <f aca="false">IF($D260="","",IFERROR(IF(INDEX(Profile!$G$5:$G$304,MATCH($D260,lst_Profil,0))&lt;&gt;"",INDEX(Profile!$G$5:$G$304,MATCH($D260,lst_Profil,0)),$H$4),$H$4))</f>
        <v/>
      </c>
      <c r="S260" s="12" t="str">
        <f aca="false">IF($D260="","",IFERROR(IF(INDEX(Profile!$H$5:$H$304,MATCH($D260,lst_Profil,0))&lt;&gt;"",INDEX(Profile!$H$5:$H$304,MATCH($D260,lst_Profil,0)),$H$5),$H$5))</f>
        <v/>
      </c>
      <c r="T260" s="16" t="str">
        <f aca="false">IF(OR(Q260="",NOT(ISNUMBER(R260)),NOT(ISNUMBER(S260))),"",Q260-R260-S260)</f>
        <v/>
      </c>
      <c r="U260" s="26" t="str">
        <f aca="false">IF(OR($D260="",$E260=""),"",IF(COUNTIFS(Preise!$A$5:$A$304,$D260,Preise!$B$5:$B$304,$E260,Preise!$I$5:$I$304,"OK")&gt;0,"ja","nein"))</f>
        <v/>
      </c>
      <c r="V260" s="15" t="str">
        <f aca="false">IF(OR(M260="",$E260="",$C$8=""),"",IF(_xlfn.MINIFS(Schneiddaten!$C$5:$C$304,Schneiddaten!$A$5:$A$304,$C$8,Schneiddaten!$B$5:$B$304,$E260,Schneiddaten!$C$5:$C$304,"&gt;="&amp;M260)=0,"",SUMIFS(Schneiddaten!$D$5:$D$304,Schneiddaten!$A$5:$A$304,$C$8,Schneiddaten!$B$5:$B$304,$E260,Schneiddaten!$C$5:$C$304,_xlfn.MINIFS(Schneiddaten!$C$5:$C$304,Schneiddaten!$A$5:$A$304,$C$8,Schneiddaten!$B$5:$B$304,$E260,Schneiddaten!$C$5:$C$304,"&gt;="&amp;M260))))</f>
        <v/>
      </c>
      <c r="W260" s="26" t="str">
        <f aca="false">IF(AND($D260="",$E260="",$F260="",$G260=""),"",IF(ISNA(MATCH($D260,lst_Profil,0)),"FEHLER: Profil unbekannt",IF(ISNA(MATCH($E260,lst_Werkstoff,0)),"FEHLER: Werkstoff unbekannt",IF(NOT(ISNUMBER(L260)),"FEHLER: Querschnitt fehlt (Profil)",IF(OR($F260="",$F260&lt;=0),"FEHLER: Teilelänge fehlt",IF(OR($G260="",$G260&lt;1),"FEHLER: Stückzahl fehlt",IF(NOT(ISNUMBER($H$4)),"FEHLER: Maschine fehlt/unbekannt",IF(Q260&gt;$H$7,"FEHLER: Stange länger als Maschine zulässt",IF($F260+$H$6&gt;T260,"FEHLER: Teil länger als Nutzlänge",IF(U260="nein","WARNUNG: kein gültiger Materialpreis",IF($H260="","HINWEIS: Schneidweg fehlt",IF(V260="","HINWEIS: keine Schneiddaten",IF(AND($AF260&lt;&gt;"",$AG260=""),"HINWEIS: Gewinde-Vorschlag prüfen","OK")))))))))))))</f>
        <v/>
      </c>
      <c r="X260" s="18" t="str">
        <f aca="false">IF(OR(O260="",$G260=""),"",O260*$G260)</f>
        <v/>
      </c>
      <c r="Y260" s="10"/>
      <c r="Z260" s="21"/>
      <c r="AA260" s="10"/>
      <c r="AB260" s="21"/>
      <c r="AC260" s="21"/>
      <c r="AD260" s="21"/>
      <c r="AE260" s="10"/>
      <c r="AF260" s="10"/>
      <c r="AG260" s="10"/>
      <c r="AH260" s="22"/>
      <c r="AI260" s="21"/>
      <c r="AJ260" s="22"/>
      <c r="AK260" s="21"/>
      <c r="AL260" s="22"/>
      <c r="AM260" s="21"/>
    </row>
    <row r="261" customFormat="false" ht="15" hidden="false" customHeight="false" outlineLevel="0" collapsed="false">
      <c r="A261" s="10"/>
      <c r="B261" s="10"/>
      <c r="C261" s="10"/>
      <c r="D261" s="10"/>
      <c r="E261" s="10"/>
      <c r="F261" s="21"/>
      <c r="G261" s="19"/>
      <c r="H261" s="21"/>
      <c r="I261" s="22"/>
      <c r="J261" s="19"/>
      <c r="K261" s="23" t="str">
        <f aca="false">IF($D261="","",IFERROR(INDEX(Profile!$B$5:$B$304,MATCH($D261,lst_Profil,0)),""))</f>
        <v/>
      </c>
      <c r="L261" s="13" t="str">
        <f aca="false">IF($D261="","",IFERROR(INDEX(Profile!$K$5:$K$304,MATCH($D261,lst_Profil,0))+0,""))</f>
        <v/>
      </c>
      <c r="M261" s="24" t="str">
        <f aca="false">IF($D261="","",IFERROR(INDEX(Profile!$E$5:$E$304,MATCH($D261,lst_Profil,0))+0,""))</f>
        <v/>
      </c>
      <c r="N261" s="25" t="str">
        <f aca="false">IF(OR(L261="",$E261=""),"",IFERROR(L261*INDEX(Werkstoffe!$E$5:$E$304,MATCH($E261,lst_Werkstoff,0))/1000,""))</f>
        <v/>
      </c>
      <c r="O261" s="25" t="str">
        <f aca="false">IF(OR(N261="",$F261=""),"",N261*$F261/1000)</f>
        <v/>
      </c>
      <c r="P261" s="16" t="str">
        <f aca="false">IF(OR($F261="",$G261=""),"",$F261*$G261)</f>
        <v/>
      </c>
      <c r="Q261" s="16" t="str">
        <f aca="false">IF($D261="","",IF($J261&lt;&gt;"",$J261,$C$9))</f>
        <v/>
      </c>
      <c r="R261" s="12" t="str">
        <f aca="false">IF($D261="","",IFERROR(IF(INDEX(Profile!$G$5:$G$304,MATCH($D261,lst_Profil,0))&lt;&gt;"",INDEX(Profile!$G$5:$G$304,MATCH($D261,lst_Profil,0)),$H$4),$H$4))</f>
        <v/>
      </c>
      <c r="S261" s="12" t="str">
        <f aca="false">IF($D261="","",IFERROR(IF(INDEX(Profile!$H$5:$H$304,MATCH($D261,lst_Profil,0))&lt;&gt;"",INDEX(Profile!$H$5:$H$304,MATCH($D261,lst_Profil,0)),$H$5),$H$5))</f>
        <v/>
      </c>
      <c r="T261" s="16" t="str">
        <f aca="false">IF(OR(Q261="",NOT(ISNUMBER(R261)),NOT(ISNUMBER(S261))),"",Q261-R261-S261)</f>
        <v/>
      </c>
      <c r="U261" s="26" t="str">
        <f aca="false">IF(OR($D261="",$E261=""),"",IF(COUNTIFS(Preise!$A$5:$A$304,$D261,Preise!$B$5:$B$304,$E261,Preise!$I$5:$I$304,"OK")&gt;0,"ja","nein"))</f>
        <v/>
      </c>
      <c r="V261" s="15" t="str">
        <f aca="false">IF(OR(M261="",$E261="",$C$8=""),"",IF(_xlfn.MINIFS(Schneiddaten!$C$5:$C$304,Schneiddaten!$A$5:$A$304,$C$8,Schneiddaten!$B$5:$B$304,$E261,Schneiddaten!$C$5:$C$304,"&gt;="&amp;M261)=0,"",SUMIFS(Schneiddaten!$D$5:$D$304,Schneiddaten!$A$5:$A$304,$C$8,Schneiddaten!$B$5:$B$304,$E261,Schneiddaten!$C$5:$C$304,_xlfn.MINIFS(Schneiddaten!$C$5:$C$304,Schneiddaten!$A$5:$A$304,$C$8,Schneiddaten!$B$5:$B$304,$E261,Schneiddaten!$C$5:$C$304,"&gt;="&amp;M261))))</f>
        <v/>
      </c>
      <c r="W261" s="26" t="str">
        <f aca="false">IF(AND($D261="",$E261="",$F261="",$G261=""),"",IF(ISNA(MATCH($D261,lst_Profil,0)),"FEHLER: Profil unbekannt",IF(ISNA(MATCH($E261,lst_Werkstoff,0)),"FEHLER: Werkstoff unbekannt",IF(NOT(ISNUMBER(L261)),"FEHLER: Querschnitt fehlt (Profil)",IF(OR($F261="",$F261&lt;=0),"FEHLER: Teilelänge fehlt",IF(OR($G261="",$G261&lt;1),"FEHLER: Stückzahl fehlt",IF(NOT(ISNUMBER($H$4)),"FEHLER: Maschine fehlt/unbekannt",IF(Q261&gt;$H$7,"FEHLER: Stange länger als Maschine zulässt",IF($F261+$H$6&gt;T261,"FEHLER: Teil länger als Nutzlänge",IF(U261="nein","WARNUNG: kein gültiger Materialpreis",IF($H261="","HINWEIS: Schneidweg fehlt",IF(V261="","HINWEIS: keine Schneiddaten",IF(AND($AF261&lt;&gt;"",$AG261=""),"HINWEIS: Gewinde-Vorschlag prüfen","OK")))))))))))))</f>
        <v/>
      </c>
      <c r="X261" s="18" t="str">
        <f aca="false">IF(OR(O261="",$G261=""),"",O261*$G261)</f>
        <v/>
      </c>
      <c r="Y261" s="10"/>
      <c r="Z261" s="21"/>
      <c r="AA261" s="10"/>
      <c r="AB261" s="21"/>
      <c r="AC261" s="21"/>
      <c r="AD261" s="21"/>
      <c r="AE261" s="10"/>
      <c r="AF261" s="10"/>
      <c r="AG261" s="10"/>
      <c r="AH261" s="22"/>
      <c r="AI261" s="21"/>
      <c r="AJ261" s="22"/>
      <c r="AK261" s="21"/>
      <c r="AL261" s="22"/>
      <c r="AM261" s="21"/>
    </row>
    <row r="262" customFormat="false" ht="15" hidden="false" customHeight="false" outlineLevel="0" collapsed="false">
      <c r="A262" s="10"/>
      <c r="B262" s="10"/>
      <c r="C262" s="10"/>
      <c r="D262" s="10"/>
      <c r="E262" s="10"/>
      <c r="F262" s="21"/>
      <c r="G262" s="19"/>
      <c r="H262" s="21"/>
      <c r="I262" s="22"/>
      <c r="J262" s="19"/>
      <c r="K262" s="23" t="str">
        <f aca="false">IF($D262="","",IFERROR(INDEX(Profile!$B$5:$B$304,MATCH($D262,lst_Profil,0)),""))</f>
        <v/>
      </c>
      <c r="L262" s="13" t="str">
        <f aca="false">IF($D262="","",IFERROR(INDEX(Profile!$K$5:$K$304,MATCH($D262,lst_Profil,0))+0,""))</f>
        <v/>
      </c>
      <c r="M262" s="24" t="str">
        <f aca="false">IF($D262="","",IFERROR(INDEX(Profile!$E$5:$E$304,MATCH($D262,lst_Profil,0))+0,""))</f>
        <v/>
      </c>
      <c r="N262" s="25" t="str">
        <f aca="false">IF(OR(L262="",$E262=""),"",IFERROR(L262*INDEX(Werkstoffe!$E$5:$E$304,MATCH($E262,lst_Werkstoff,0))/1000,""))</f>
        <v/>
      </c>
      <c r="O262" s="25" t="str">
        <f aca="false">IF(OR(N262="",$F262=""),"",N262*$F262/1000)</f>
        <v/>
      </c>
      <c r="P262" s="16" t="str">
        <f aca="false">IF(OR($F262="",$G262=""),"",$F262*$G262)</f>
        <v/>
      </c>
      <c r="Q262" s="16" t="str">
        <f aca="false">IF($D262="","",IF($J262&lt;&gt;"",$J262,$C$9))</f>
        <v/>
      </c>
      <c r="R262" s="12" t="str">
        <f aca="false">IF($D262="","",IFERROR(IF(INDEX(Profile!$G$5:$G$304,MATCH($D262,lst_Profil,0))&lt;&gt;"",INDEX(Profile!$G$5:$G$304,MATCH($D262,lst_Profil,0)),$H$4),$H$4))</f>
        <v/>
      </c>
      <c r="S262" s="12" t="str">
        <f aca="false">IF($D262="","",IFERROR(IF(INDEX(Profile!$H$5:$H$304,MATCH($D262,lst_Profil,0))&lt;&gt;"",INDEX(Profile!$H$5:$H$304,MATCH($D262,lst_Profil,0)),$H$5),$H$5))</f>
        <v/>
      </c>
      <c r="T262" s="16" t="str">
        <f aca="false">IF(OR(Q262="",NOT(ISNUMBER(R262)),NOT(ISNUMBER(S262))),"",Q262-R262-S262)</f>
        <v/>
      </c>
      <c r="U262" s="26" t="str">
        <f aca="false">IF(OR($D262="",$E262=""),"",IF(COUNTIFS(Preise!$A$5:$A$304,$D262,Preise!$B$5:$B$304,$E262,Preise!$I$5:$I$304,"OK")&gt;0,"ja","nein"))</f>
        <v/>
      </c>
      <c r="V262" s="15" t="str">
        <f aca="false">IF(OR(M262="",$E262="",$C$8=""),"",IF(_xlfn.MINIFS(Schneiddaten!$C$5:$C$304,Schneiddaten!$A$5:$A$304,$C$8,Schneiddaten!$B$5:$B$304,$E262,Schneiddaten!$C$5:$C$304,"&gt;="&amp;M262)=0,"",SUMIFS(Schneiddaten!$D$5:$D$304,Schneiddaten!$A$5:$A$304,$C$8,Schneiddaten!$B$5:$B$304,$E262,Schneiddaten!$C$5:$C$304,_xlfn.MINIFS(Schneiddaten!$C$5:$C$304,Schneiddaten!$A$5:$A$304,$C$8,Schneiddaten!$B$5:$B$304,$E262,Schneiddaten!$C$5:$C$304,"&gt;="&amp;M262))))</f>
        <v/>
      </c>
      <c r="W262" s="26" t="str">
        <f aca="false">IF(AND($D262="",$E262="",$F262="",$G262=""),"",IF(ISNA(MATCH($D262,lst_Profil,0)),"FEHLER: Profil unbekannt",IF(ISNA(MATCH($E262,lst_Werkstoff,0)),"FEHLER: Werkstoff unbekannt",IF(NOT(ISNUMBER(L262)),"FEHLER: Querschnitt fehlt (Profil)",IF(OR($F262="",$F262&lt;=0),"FEHLER: Teilelänge fehlt",IF(OR($G262="",$G262&lt;1),"FEHLER: Stückzahl fehlt",IF(NOT(ISNUMBER($H$4)),"FEHLER: Maschine fehlt/unbekannt",IF(Q262&gt;$H$7,"FEHLER: Stange länger als Maschine zulässt",IF($F262+$H$6&gt;T262,"FEHLER: Teil länger als Nutzlänge",IF(U262="nein","WARNUNG: kein gültiger Materialpreis",IF($H262="","HINWEIS: Schneidweg fehlt",IF(V262="","HINWEIS: keine Schneiddaten",IF(AND($AF262&lt;&gt;"",$AG262=""),"HINWEIS: Gewinde-Vorschlag prüfen","OK")))))))))))))</f>
        <v/>
      </c>
      <c r="X262" s="18" t="str">
        <f aca="false">IF(OR(O262="",$G262=""),"",O262*$G262)</f>
        <v/>
      </c>
      <c r="Y262" s="10"/>
      <c r="Z262" s="21"/>
      <c r="AA262" s="10"/>
      <c r="AB262" s="21"/>
      <c r="AC262" s="21"/>
      <c r="AD262" s="21"/>
      <c r="AE262" s="10"/>
      <c r="AF262" s="10"/>
      <c r="AG262" s="10"/>
      <c r="AH262" s="22"/>
      <c r="AI262" s="21"/>
      <c r="AJ262" s="22"/>
      <c r="AK262" s="21"/>
      <c r="AL262" s="22"/>
      <c r="AM262" s="21"/>
    </row>
    <row r="263" customFormat="false" ht="15" hidden="false" customHeight="false" outlineLevel="0" collapsed="false">
      <c r="A263" s="10"/>
      <c r="B263" s="10"/>
      <c r="C263" s="10"/>
      <c r="D263" s="10"/>
      <c r="E263" s="10"/>
      <c r="F263" s="21"/>
      <c r="G263" s="19"/>
      <c r="H263" s="21"/>
      <c r="I263" s="22"/>
      <c r="J263" s="19"/>
      <c r="K263" s="23" t="str">
        <f aca="false">IF($D263="","",IFERROR(INDEX(Profile!$B$5:$B$304,MATCH($D263,lst_Profil,0)),""))</f>
        <v/>
      </c>
      <c r="L263" s="13" t="str">
        <f aca="false">IF($D263="","",IFERROR(INDEX(Profile!$K$5:$K$304,MATCH($D263,lst_Profil,0))+0,""))</f>
        <v/>
      </c>
      <c r="M263" s="24" t="str">
        <f aca="false">IF($D263="","",IFERROR(INDEX(Profile!$E$5:$E$304,MATCH($D263,lst_Profil,0))+0,""))</f>
        <v/>
      </c>
      <c r="N263" s="25" t="str">
        <f aca="false">IF(OR(L263="",$E263=""),"",IFERROR(L263*INDEX(Werkstoffe!$E$5:$E$304,MATCH($E263,lst_Werkstoff,0))/1000,""))</f>
        <v/>
      </c>
      <c r="O263" s="25" t="str">
        <f aca="false">IF(OR(N263="",$F263=""),"",N263*$F263/1000)</f>
        <v/>
      </c>
      <c r="P263" s="16" t="str">
        <f aca="false">IF(OR($F263="",$G263=""),"",$F263*$G263)</f>
        <v/>
      </c>
      <c r="Q263" s="16" t="str">
        <f aca="false">IF($D263="","",IF($J263&lt;&gt;"",$J263,$C$9))</f>
        <v/>
      </c>
      <c r="R263" s="12" t="str">
        <f aca="false">IF($D263="","",IFERROR(IF(INDEX(Profile!$G$5:$G$304,MATCH($D263,lst_Profil,0))&lt;&gt;"",INDEX(Profile!$G$5:$G$304,MATCH($D263,lst_Profil,0)),$H$4),$H$4))</f>
        <v/>
      </c>
      <c r="S263" s="12" t="str">
        <f aca="false">IF($D263="","",IFERROR(IF(INDEX(Profile!$H$5:$H$304,MATCH($D263,lst_Profil,0))&lt;&gt;"",INDEX(Profile!$H$5:$H$304,MATCH($D263,lst_Profil,0)),$H$5),$H$5))</f>
        <v/>
      </c>
      <c r="T263" s="16" t="str">
        <f aca="false">IF(OR(Q263="",NOT(ISNUMBER(R263)),NOT(ISNUMBER(S263))),"",Q263-R263-S263)</f>
        <v/>
      </c>
      <c r="U263" s="26" t="str">
        <f aca="false">IF(OR($D263="",$E263=""),"",IF(COUNTIFS(Preise!$A$5:$A$304,$D263,Preise!$B$5:$B$304,$E263,Preise!$I$5:$I$304,"OK")&gt;0,"ja","nein"))</f>
        <v/>
      </c>
      <c r="V263" s="15" t="str">
        <f aca="false">IF(OR(M263="",$E263="",$C$8=""),"",IF(_xlfn.MINIFS(Schneiddaten!$C$5:$C$304,Schneiddaten!$A$5:$A$304,$C$8,Schneiddaten!$B$5:$B$304,$E263,Schneiddaten!$C$5:$C$304,"&gt;="&amp;M263)=0,"",SUMIFS(Schneiddaten!$D$5:$D$304,Schneiddaten!$A$5:$A$304,$C$8,Schneiddaten!$B$5:$B$304,$E263,Schneiddaten!$C$5:$C$304,_xlfn.MINIFS(Schneiddaten!$C$5:$C$304,Schneiddaten!$A$5:$A$304,$C$8,Schneiddaten!$B$5:$B$304,$E263,Schneiddaten!$C$5:$C$304,"&gt;="&amp;M263))))</f>
        <v/>
      </c>
      <c r="W263" s="26" t="str">
        <f aca="false">IF(AND($D263="",$E263="",$F263="",$G263=""),"",IF(ISNA(MATCH($D263,lst_Profil,0)),"FEHLER: Profil unbekannt",IF(ISNA(MATCH($E263,lst_Werkstoff,0)),"FEHLER: Werkstoff unbekannt",IF(NOT(ISNUMBER(L263)),"FEHLER: Querschnitt fehlt (Profil)",IF(OR($F263="",$F263&lt;=0),"FEHLER: Teilelänge fehlt",IF(OR($G263="",$G263&lt;1),"FEHLER: Stückzahl fehlt",IF(NOT(ISNUMBER($H$4)),"FEHLER: Maschine fehlt/unbekannt",IF(Q263&gt;$H$7,"FEHLER: Stange länger als Maschine zulässt",IF($F263+$H$6&gt;T263,"FEHLER: Teil länger als Nutzlänge",IF(U263="nein","WARNUNG: kein gültiger Materialpreis",IF($H263="","HINWEIS: Schneidweg fehlt",IF(V263="","HINWEIS: keine Schneiddaten",IF(AND($AF263&lt;&gt;"",$AG263=""),"HINWEIS: Gewinde-Vorschlag prüfen","OK")))))))))))))</f>
        <v/>
      </c>
      <c r="X263" s="18" t="str">
        <f aca="false">IF(OR(O263="",$G263=""),"",O263*$G263)</f>
        <v/>
      </c>
      <c r="Y263" s="10"/>
      <c r="Z263" s="21"/>
      <c r="AA263" s="10"/>
      <c r="AB263" s="21"/>
      <c r="AC263" s="21"/>
      <c r="AD263" s="21"/>
      <c r="AE263" s="10"/>
      <c r="AF263" s="10"/>
      <c r="AG263" s="10"/>
      <c r="AH263" s="22"/>
      <c r="AI263" s="21"/>
      <c r="AJ263" s="22"/>
      <c r="AK263" s="21"/>
      <c r="AL263" s="22"/>
      <c r="AM263" s="21"/>
    </row>
    <row r="264" customFormat="false" ht="15" hidden="false" customHeight="false" outlineLevel="0" collapsed="false">
      <c r="A264" s="10"/>
      <c r="B264" s="10"/>
      <c r="C264" s="10"/>
      <c r="D264" s="10"/>
      <c r="E264" s="10"/>
      <c r="F264" s="21"/>
      <c r="G264" s="19"/>
      <c r="H264" s="21"/>
      <c r="I264" s="22"/>
      <c r="J264" s="19"/>
      <c r="K264" s="23" t="str">
        <f aca="false">IF($D264="","",IFERROR(INDEX(Profile!$B$5:$B$304,MATCH($D264,lst_Profil,0)),""))</f>
        <v/>
      </c>
      <c r="L264" s="13" t="str">
        <f aca="false">IF($D264="","",IFERROR(INDEX(Profile!$K$5:$K$304,MATCH($D264,lst_Profil,0))+0,""))</f>
        <v/>
      </c>
      <c r="M264" s="24" t="str">
        <f aca="false">IF($D264="","",IFERROR(INDEX(Profile!$E$5:$E$304,MATCH($D264,lst_Profil,0))+0,""))</f>
        <v/>
      </c>
      <c r="N264" s="25" t="str">
        <f aca="false">IF(OR(L264="",$E264=""),"",IFERROR(L264*INDEX(Werkstoffe!$E$5:$E$304,MATCH($E264,lst_Werkstoff,0))/1000,""))</f>
        <v/>
      </c>
      <c r="O264" s="25" t="str">
        <f aca="false">IF(OR(N264="",$F264=""),"",N264*$F264/1000)</f>
        <v/>
      </c>
      <c r="P264" s="16" t="str">
        <f aca="false">IF(OR($F264="",$G264=""),"",$F264*$G264)</f>
        <v/>
      </c>
      <c r="Q264" s="16" t="str">
        <f aca="false">IF($D264="","",IF($J264&lt;&gt;"",$J264,$C$9))</f>
        <v/>
      </c>
      <c r="R264" s="12" t="str">
        <f aca="false">IF($D264="","",IFERROR(IF(INDEX(Profile!$G$5:$G$304,MATCH($D264,lst_Profil,0))&lt;&gt;"",INDEX(Profile!$G$5:$G$304,MATCH($D264,lst_Profil,0)),$H$4),$H$4))</f>
        <v/>
      </c>
      <c r="S264" s="12" t="str">
        <f aca="false">IF($D264="","",IFERROR(IF(INDEX(Profile!$H$5:$H$304,MATCH($D264,lst_Profil,0))&lt;&gt;"",INDEX(Profile!$H$5:$H$304,MATCH($D264,lst_Profil,0)),$H$5),$H$5))</f>
        <v/>
      </c>
      <c r="T264" s="16" t="str">
        <f aca="false">IF(OR(Q264="",NOT(ISNUMBER(R264)),NOT(ISNUMBER(S264))),"",Q264-R264-S264)</f>
        <v/>
      </c>
      <c r="U264" s="26" t="str">
        <f aca="false">IF(OR($D264="",$E264=""),"",IF(COUNTIFS(Preise!$A$5:$A$304,$D264,Preise!$B$5:$B$304,$E264,Preise!$I$5:$I$304,"OK")&gt;0,"ja","nein"))</f>
        <v/>
      </c>
      <c r="V264" s="15" t="str">
        <f aca="false">IF(OR(M264="",$E264="",$C$8=""),"",IF(_xlfn.MINIFS(Schneiddaten!$C$5:$C$304,Schneiddaten!$A$5:$A$304,$C$8,Schneiddaten!$B$5:$B$304,$E264,Schneiddaten!$C$5:$C$304,"&gt;="&amp;M264)=0,"",SUMIFS(Schneiddaten!$D$5:$D$304,Schneiddaten!$A$5:$A$304,$C$8,Schneiddaten!$B$5:$B$304,$E264,Schneiddaten!$C$5:$C$304,_xlfn.MINIFS(Schneiddaten!$C$5:$C$304,Schneiddaten!$A$5:$A$304,$C$8,Schneiddaten!$B$5:$B$304,$E264,Schneiddaten!$C$5:$C$304,"&gt;="&amp;M264))))</f>
        <v/>
      </c>
      <c r="W264" s="26" t="str">
        <f aca="false">IF(AND($D264="",$E264="",$F264="",$G264=""),"",IF(ISNA(MATCH($D264,lst_Profil,0)),"FEHLER: Profil unbekannt",IF(ISNA(MATCH($E264,lst_Werkstoff,0)),"FEHLER: Werkstoff unbekannt",IF(NOT(ISNUMBER(L264)),"FEHLER: Querschnitt fehlt (Profil)",IF(OR($F264="",$F264&lt;=0),"FEHLER: Teilelänge fehlt",IF(OR($G264="",$G264&lt;1),"FEHLER: Stückzahl fehlt",IF(NOT(ISNUMBER($H$4)),"FEHLER: Maschine fehlt/unbekannt",IF(Q264&gt;$H$7,"FEHLER: Stange länger als Maschine zulässt",IF($F264+$H$6&gt;T264,"FEHLER: Teil länger als Nutzlänge",IF(U264="nein","WARNUNG: kein gültiger Materialpreis",IF($H264="","HINWEIS: Schneidweg fehlt",IF(V264="","HINWEIS: keine Schneiddaten",IF(AND($AF264&lt;&gt;"",$AG264=""),"HINWEIS: Gewinde-Vorschlag prüfen","OK")))))))))))))</f>
        <v/>
      </c>
      <c r="X264" s="18" t="str">
        <f aca="false">IF(OR(O264="",$G264=""),"",O264*$G264)</f>
        <v/>
      </c>
      <c r="Y264" s="10"/>
      <c r="Z264" s="21"/>
      <c r="AA264" s="10"/>
      <c r="AB264" s="21"/>
      <c r="AC264" s="21"/>
      <c r="AD264" s="21"/>
      <c r="AE264" s="10"/>
      <c r="AF264" s="10"/>
      <c r="AG264" s="10"/>
      <c r="AH264" s="22"/>
      <c r="AI264" s="21"/>
      <c r="AJ264" s="22"/>
      <c r="AK264" s="21"/>
      <c r="AL264" s="22"/>
      <c r="AM264" s="21"/>
    </row>
    <row r="265" customFormat="false" ht="15" hidden="false" customHeight="false" outlineLevel="0" collapsed="false">
      <c r="A265" s="10"/>
      <c r="B265" s="10"/>
      <c r="C265" s="10"/>
      <c r="D265" s="10"/>
      <c r="E265" s="10"/>
      <c r="F265" s="21"/>
      <c r="G265" s="19"/>
      <c r="H265" s="21"/>
      <c r="I265" s="22"/>
      <c r="J265" s="19"/>
      <c r="K265" s="23" t="str">
        <f aca="false">IF($D265="","",IFERROR(INDEX(Profile!$B$5:$B$304,MATCH($D265,lst_Profil,0)),""))</f>
        <v/>
      </c>
      <c r="L265" s="13" t="str">
        <f aca="false">IF($D265="","",IFERROR(INDEX(Profile!$K$5:$K$304,MATCH($D265,lst_Profil,0))+0,""))</f>
        <v/>
      </c>
      <c r="M265" s="24" t="str">
        <f aca="false">IF($D265="","",IFERROR(INDEX(Profile!$E$5:$E$304,MATCH($D265,lst_Profil,0))+0,""))</f>
        <v/>
      </c>
      <c r="N265" s="25" t="str">
        <f aca="false">IF(OR(L265="",$E265=""),"",IFERROR(L265*INDEX(Werkstoffe!$E$5:$E$304,MATCH($E265,lst_Werkstoff,0))/1000,""))</f>
        <v/>
      </c>
      <c r="O265" s="25" t="str">
        <f aca="false">IF(OR(N265="",$F265=""),"",N265*$F265/1000)</f>
        <v/>
      </c>
      <c r="P265" s="16" t="str">
        <f aca="false">IF(OR($F265="",$G265=""),"",$F265*$G265)</f>
        <v/>
      </c>
      <c r="Q265" s="16" t="str">
        <f aca="false">IF($D265="","",IF($J265&lt;&gt;"",$J265,$C$9))</f>
        <v/>
      </c>
      <c r="R265" s="12" t="str">
        <f aca="false">IF($D265="","",IFERROR(IF(INDEX(Profile!$G$5:$G$304,MATCH($D265,lst_Profil,0))&lt;&gt;"",INDEX(Profile!$G$5:$G$304,MATCH($D265,lst_Profil,0)),$H$4),$H$4))</f>
        <v/>
      </c>
      <c r="S265" s="12" t="str">
        <f aca="false">IF($D265="","",IFERROR(IF(INDEX(Profile!$H$5:$H$304,MATCH($D265,lst_Profil,0))&lt;&gt;"",INDEX(Profile!$H$5:$H$304,MATCH($D265,lst_Profil,0)),$H$5),$H$5))</f>
        <v/>
      </c>
      <c r="T265" s="16" t="str">
        <f aca="false">IF(OR(Q265="",NOT(ISNUMBER(R265)),NOT(ISNUMBER(S265))),"",Q265-R265-S265)</f>
        <v/>
      </c>
      <c r="U265" s="26" t="str">
        <f aca="false">IF(OR($D265="",$E265=""),"",IF(COUNTIFS(Preise!$A$5:$A$304,$D265,Preise!$B$5:$B$304,$E265,Preise!$I$5:$I$304,"OK")&gt;0,"ja","nein"))</f>
        <v/>
      </c>
      <c r="V265" s="15" t="str">
        <f aca="false">IF(OR(M265="",$E265="",$C$8=""),"",IF(_xlfn.MINIFS(Schneiddaten!$C$5:$C$304,Schneiddaten!$A$5:$A$304,$C$8,Schneiddaten!$B$5:$B$304,$E265,Schneiddaten!$C$5:$C$304,"&gt;="&amp;M265)=0,"",SUMIFS(Schneiddaten!$D$5:$D$304,Schneiddaten!$A$5:$A$304,$C$8,Schneiddaten!$B$5:$B$304,$E265,Schneiddaten!$C$5:$C$304,_xlfn.MINIFS(Schneiddaten!$C$5:$C$304,Schneiddaten!$A$5:$A$304,$C$8,Schneiddaten!$B$5:$B$304,$E265,Schneiddaten!$C$5:$C$304,"&gt;="&amp;M265))))</f>
        <v/>
      </c>
      <c r="W265" s="26" t="str">
        <f aca="false">IF(AND($D265="",$E265="",$F265="",$G265=""),"",IF(ISNA(MATCH($D265,lst_Profil,0)),"FEHLER: Profil unbekannt",IF(ISNA(MATCH($E265,lst_Werkstoff,0)),"FEHLER: Werkstoff unbekannt",IF(NOT(ISNUMBER(L265)),"FEHLER: Querschnitt fehlt (Profil)",IF(OR($F265="",$F265&lt;=0),"FEHLER: Teilelänge fehlt",IF(OR($G265="",$G265&lt;1),"FEHLER: Stückzahl fehlt",IF(NOT(ISNUMBER($H$4)),"FEHLER: Maschine fehlt/unbekannt",IF(Q265&gt;$H$7,"FEHLER: Stange länger als Maschine zulässt",IF($F265+$H$6&gt;T265,"FEHLER: Teil länger als Nutzlänge",IF(U265="nein","WARNUNG: kein gültiger Materialpreis",IF($H265="","HINWEIS: Schneidweg fehlt",IF(V265="","HINWEIS: keine Schneiddaten",IF(AND($AF265&lt;&gt;"",$AG265=""),"HINWEIS: Gewinde-Vorschlag prüfen","OK")))))))))))))</f>
        <v/>
      </c>
      <c r="X265" s="18" t="str">
        <f aca="false">IF(OR(O265="",$G265=""),"",O265*$G265)</f>
        <v/>
      </c>
      <c r="Y265" s="10"/>
      <c r="Z265" s="21"/>
      <c r="AA265" s="10"/>
      <c r="AB265" s="21"/>
      <c r="AC265" s="21"/>
      <c r="AD265" s="21"/>
      <c r="AE265" s="10"/>
      <c r="AF265" s="10"/>
      <c r="AG265" s="10"/>
      <c r="AH265" s="22"/>
      <c r="AI265" s="21"/>
      <c r="AJ265" s="22"/>
      <c r="AK265" s="21"/>
      <c r="AL265" s="22"/>
      <c r="AM265" s="21"/>
    </row>
    <row r="266" customFormat="false" ht="15" hidden="false" customHeight="false" outlineLevel="0" collapsed="false">
      <c r="A266" s="10"/>
      <c r="B266" s="10"/>
      <c r="C266" s="10"/>
      <c r="D266" s="10"/>
      <c r="E266" s="10"/>
      <c r="F266" s="21"/>
      <c r="G266" s="19"/>
      <c r="H266" s="21"/>
      <c r="I266" s="22"/>
      <c r="J266" s="19"/>
      <c r="K266" s="23" t="str">
        <f aca="false">IF($D266="","",IFERROR(INDEX(Profile!$B$5:$B$304,MATCH($D266,lst_Profil,0)),""))</f>
        <v/>
      </c>
      <c r="L266" s="13" t="str">
        <f aca="false">IF($D266="","",IFERROR(INDEX(Profile!$K$5:$K$304,MATCH($D266,lst_Profil,0))+0,""))</f>
        <v/>
      </c>
      <c r="M266" s="24" t="str">
        <f aca="false">IF($D266="","",IFERROR(INDEX(Profile!$E$5:$E$304,MATCH($D266,lst_Profil,0))+0,""))</f>
        <v/>
      </c>
      <c r="N266" s="25" t="str">
        <f aca="false">IF(OR(L266="",$E266=""),"",IFERROR(L266*INDEX(Werkstoffe!$E$5:$E$304,MATCH($E266,lst_Werkstoff,0))/1000,""))</f>
        <v/>
      </c>
      <c r="O266" s="25" t="str">
        <f aca="false">IF(OR(N266="",$F266=""),"",N266*$F266/1000)</f>
        <v/>
      </c>
      <c r="P266" s="16" t="str">
        <f aca="false">IF(OR($F266="",$G266=""),"",$F266*$G266)</f>
        <v/>
      </c>
      <c r="Q266" s="16" t="str">
        <f aca="false">IF($D266="","",IF($J266&lt;&gt;"",$J266,$C$9))</f>
        <v/>
      </c>
      <c r="R266" s="12" t="str">
        <f aca="false">IF($D266="","",IFERROR(IF(INDEX(Profile!$G$5:$G$304,MATCH($D266,lst_Profil,0))&lt;&gt;"",INDEX(Profile!$G$5:$G$304,MATCH($D266,lst_Profil,0)),$H$4),$H$4))</f>
        <v/>
      </c>
      <c r="S266" s="12" t="str">
        <f aca="false">IF($D266="","",IFERROR(IF(INDEX(Profile!$H$5:$H$304,MATCH($D266,lst_Profil,0))&lt;&gt;"",INDEX(Profile!$H$5:$H$304,MATCH($D266,lst_Profil,0)),$H$5),$H$5))</f>
        <v/>
      </c>
      <c r="T266" s="16" t="str">
        <f aca="false">IF(OR(Q266="",NOT(ISNUMBER(R266)),NOT(ISNUMBER(S266))),"",Q266-R266-S266)</f>
        <v/>
      </c>
      <c r="U266" s="26" t="str">
        <f aca="false">IF(OR($D266="",$E266=""),"",IF(COUNTIFS(Preise!$A$5:$A$304,$D266,Preise!$B$5:$B$304,$E266,Preise!$I$5:$I$304,"OK")&gt;0,"ja","nein"))</f>
        <v/>
      </c>
      <c r="V266" s="15" t="str">
        <f aca="false">IF(OR(M266="",$E266="",$C$8=""),"",IF(_xlfn.MINIFS(Schneiddaten!$C$5:$C$304,Schneiddaten!$A$5:$A$304,$C$8,Schneiddaten!$B$5:$B$304,$E266,Schneiddaten!$C$5:$C$304,"&gt;="&amp;M266)=0,"",SUMIFS(Schneiddaten!$D$5:$D$304,Schneiddaten!$A$5:$A$304,$C$8,Schneiddaten!$B$5:$B$304,$E266,Schneiddaten!$C$5:$C$304,_xlfn.MINIFS(Schneiddaten!$C$5:$C$304,Schneiddaten!$A$5:$A$304,$C$8,Schneiddaten!$B$5:$B$304,$E266,Schneiddaten!$C$5:$C$304,"&gt;="&amp;M266))))</f>
        <v/>
      </c>
      <c r="W266" s="26" t="str">
        <f aca="false">IF(AND($D266="",$E266="",$F266="",$G266=""),"",IF(ISNA(MATCH($D266,lst_Profil,0)),"FEHLER: Profil unbekannt",IF(ISNA(MATCH($E266,lst_Werkstoff,0)),"FEHLER: Werkstoff unbekannt",IF(NOT(ISNUMBER(L266)),"FEHLER: Querschnitt fehlt (Profil)",IF(OR($F266="",$F266&lt;=0),"FEHLER: Teilelänge fehlt",IF(OR($G266="",$G266&lt;1),"FEHLER: Stückzahl fehlt",IF(NOT(ISNUMBER($H$4)),"FEHLER: Maschine fehlt/unbekannt",IF(Q266&gt;$H$7,"FEHLER: Stange länger als Maschine zulässt",IF($F266+$H$6&gt;T266,"FEHLER: Teil länger als Nutzlänge",IF(U266="nein","WARNUNG: kein gültiger Materialpreis",IF($H266="","HINWEIS: Schneidweg fehlt",IF(V266="","HINWEIS: keine Schneiddaten",IF(AND($AF266&lt;&gt;"",$AG266=""),"HINWEIS: Gewinde-Vorschlag prüfen","OK")))))))))))))</f>
        <v/>
      </c>
      <c r="X266" s="18" t="str">
        <f aca="false">IF(OR(O266="",$G266=""),"",O266*$G266)</f>
        <v/>
      </c>
      <c r="Y266" s="10"/>
      <c r="Z266" s="21"/>
      <c r="AA266" s="10"/>
      <c r="AB266" s="21"/>
      <c r="AC266" s="21"/>
      <c r="AD266" s="21"/>
      <c r="AE266" s="10"/>
      <c r="AF266" s="10"/>
      <c r="AG266" s="10"/>
      <c r="AH266" s="22"/>
      <c r="AI266" s="21"/>
      <c r="AJ266" s="22"/>
      <c r="AK266" s="21"/>
      <c r="AL266" s="22"/>
      <c r="AM266" s="21"/>
    </row>
    <row r="267" customFormat="false" ht="15" hidden="false" customHeight="false" outlineLevel="0" collapsed="false">
      <c r="A267" s="10"/>
      <c r="B267" s="10"/>
      <c r="C267" s="10"/>
      <c r="D267" s="10"/>
      <c r="E267" s="10"/>
      <c r="F267" s="21"/>
      <c r="G267" s="19"/>
      <c r="H267" s="21"/>
      <c r="I267" s="22"/>
      <c r="J267" s="19"/>
      <c r="K267" s="23" t="str">
        <f aca="false">IF($D267="","",IFERROR(INDEX(Profile!$B$5:$B$304,MATCH($D267,lst_Profil,0)),""))</f>
        <v/>
      </c>
      <c r="L267" s="13" t="str">
        <f aca="false">IF($D267="","",IFERROR(INDEX(Profile!$K$5:$K$304,MATCH($D267,lst_Profil,0))+0,""))</f>
        <v/>
      </c>
      <c r="M267" s="24" t="str">
        <f aca="false">IF($D267="","",IFERROR(INDEX(Profile!$E$5:$E$304,MATCH($D267,lst_Profil,0))+0,""))</f>
        <v/>
      </c>
      <c r="N267" s="25" t="str">
        <f aca="false">IF(OR(L267="",$E267=""),"",IFERROR(L267*INDEX(Werkstoffe!$E$5:$E$304,MATCH($E267,lst_Werkstoff,0))/1000,""))</f>
        <v/>
      </c>
      <c r="O267" s="25" t="str">
        <f aca="false">IF(OR(N267="",$F267=""),"",N267*$F267/1000)</f>
        <v/>
      </c>
      <c r="P267" s="16" t="str">
        <f aca="false">IF(OR($F267="",$G267=""),"",$F267*$G267)</f>
        <v/>
      </c>
      <c r="Q267" s="16" t="str">
        <f aca="false">IF($D267="","",IF($J267&lt;&gt;"",$J267,$C$9))</f>
        <v/>
      </c>
      <c r="R267" s="12" t="str">
        <f aca="false">IF($D267="","",IFERROR(IF(INDEX(Profile!$G$5:$G$304,MATCH($D267,lst_Profil,0))&lt;&gt;"",INDEX(Profile!$G$5:$G$304,MATCH($D267,lst_Profil,0)),$H$4),$H$4))</f>
        <v/>
      </c>
      <c r="S267" s="12" t="str">
        <f aca="false">IF($D267="","",IFERROR(IF(INDEX(Profile!$H$5:$H$304,MATCH($D267,lst_Profil,0))&lt;&gt;"",INDEX(Profile!$H$5:$H$304,MATCH($D267,lst_Profil,0)),$H$5),$H$5))</f>
        <v/>
      </c>
      <c r="T267" s="16" t="str">
        <f aca="false">IF(OR(Q267="",NOT(ISNUMBER(R267)),NOT(ISNUMBER(S267))),"",Q267-R267-S267)</f>
        <v/>
      </c>
      <c r="U267" s="26" t="str">
        <f aca="false">IF(OR($D267="",$E267=""),"",IF(COUNTIFS(Preise!$A$5:$A$304,$D267,Preise!$B$5:$B$304,$E267,Preise!$I$5:$I$304,"OK")&gt;0,"ja","nein"))</f>
        <v/>
      </c>
      <c r="V267" s="15" t="str">
        <f aca="false">IF(OR(M267="",$E267="",$C$8=""),"",IF(_xlfn.MINIFS(Schneiddaten!$C$5:$C$304,Schneiddaten!$A$5:$A$304,$C$8,Schneiddaten!$B$5:$B$304,$E267,Schneiddaten!$C$5:$C$304,"&gt;="&amp;M267)=0,"",SUMIFS(Schneiddaten!$D$5:$D$304,Schneiddaten!$A$5:$A$304,$C$8,Schneiddaten!$B$5:$B$304,$E267,Schneiddaten!$C$5:$C$304,_xlfn.MINIFS(Schneiddaten!$C$5:$C$304,Schneiddaten!$A$5:$A$304,$C$8,Schneiddaten!$B$5:$B$304,$E267,Schneiddaten!$C$5:$C$304,"&gt;="&amp;M267))))</f>
        <v/>
      </c>
      <c r="W267" s="26" t="str">
        <f aca="false">IF(AND($D267="",$E267="",$F267="",$G267=""),"",IF(ISNA(MATCH($D267,lst_Profil,0)),"FEHLER: Profil unbekannt",IF(ISNA(MATCH($E267,lst_Werkstoff,0)),"FEHLER: Werkstoff unbekannt",IF(NOT(ISNUMBER(L267)),"FEHLER: Querschnitt fehlt (Profil)",IF(OR($F267="",$F267&lt;=0),"FEHLER: Teilelänge fehlt",IF(OR($G267="",$G267&lt;1),"FEHLER: Stückzahl fehlt",IF(NOT(ISNUMBER($H$4)),"FEHLER: Maschine fehlt/unbekannt",IF(Q267&gt;$H$7,"FEHLER: Stange länger als Maschine zulässt",IF($F267+$H$6&gt;T267,"FEHLER: Teil länger als Nutzlänge",IF(U267="nein","WARNUNG: kein gültiger Materialpreis",IF($H267="","HINWEIS: Schneidweg fehlt",IF(V267="","HINWEIS: keine Schneiddaten",IF(AND($AF267&lt;&gt;"",$AG267=""),"HINWEIS: Gewinde-Vorschlag prüfen","OK")))))))))))))</f>
        <v/>
      </c>
      <c r="X267" s="18" t="str">
        <f aca="false">IF(OR(O267="",$G267=""),"",O267*$G267)</f>
        <v/>
      </c>
      <c r="Y267" s="10"/>
      <c r="Z267" s="21"/>
      <c r="AA267" s="10"/>
      <c r="AB267" s="21"/>
      <c r="AC267" s="21"/>
      <c r="AD267" s="21"/>
      <c r="AE267" s="10"/>
      <c r="AF267" s="10"/>
      <c r="AG267" s="10"/>
      <c r="AH267" s="22"/>
      <c r="AI267" s="21"/>
      <c r="AJ267" s="22"/>
      <c r="AK267" s="21"/>
      <c r="AL267" s="22"/>
      <c r="AM267" s="21"/>
    </row>
    <row r="268" customFormat="false" ht="15" hidden="false" customHeight="false" outlineLevel="0" collapsed="false">
      <c r="A268" s="10"/>
      <c r="B268" s="10"/>
      <c r="C268" s="10"/>
      <c r="D268" s="10"/>
      <c r="E268" s="10"/>
      <c r="F268" s="21"/>
      <c r="G268" s="19"/>
      <c r="H268" s="21"/>
      <c r="I268" s="22"/>
      <c r="J268" s="19"/>
      <c r="K268" s="23" t="str">
        <f aca="false">IF($D268="","",IFERROR(INDEX(Profile!$B$5:$B$304,MATCH($D268,lst_Profil,0)),""))</f>
        <v/>
      </c>
      <c r="L268" s="13" t="str">
        <f aca="false">IF($D268="","",IFERROR(INDEX(Profile!$K$5:$K$304,MATCH($D268,lst_Profil,0))+0,""))</f>
        <v/>
      </c>
      <c r="M268" s="24" t="str">
        <f aca="false">IF($D268="","",IFERROR(INDEX(Profile!$E$5:$E$304,MATCH($D268,lst_Profil,0))+0,""))</f>
        <v/>
      </c>
      <c r="N268" s="25" t="str">
        <f aca="false">IF(OR(L268="",$E268=""),"",IFERROR(L268*INDEX(Werkstoffe!$E$5:$E$304,MATCH($E268,lst_Werkstoff,0))/1000,""))</f>
        <v/>
      </c>
      <c r="O268" s="25" t="str">
        <f aca="false">IF(OR(N268="",$F268=""),"",N268*$F268/1000)</f>
        <v/>
      </c>
      <c r="P268" s="16" t="str">
        <f aca="false">IF(OR($F268="",$G268=""),"",$F268*$G268)</f>
        <v/>
      </c>
      <c r="Q268" s="16" t="str">
        <f aca="false">IF($D268="","",IF($J268&lt;&gt;"",$J268,$C$9))</f>
        <v/>
      </c>
      <c r="R268" s="12" t="str">
        <f aca="false">IF($D268="","",IFERROR(IF(INDEX(Profile!$G$5:$G$304,MATCH($D268,lst_Profil,0))&lt;&gt;"",INDEX(Profile!$G$5:$G$304,MATCH($D268,lst_Profil,0)),$H$4),$H$4))</f>
        <v/>
      </c>
      <c r="S268" s="12" t="str">
        <f aca="false">IF($D268="","",IFERROR(IF(INDEX(Profile!$H$5:$H$304,MATCH($D268,lst_Profil,0))&lt;&gt;"",INDEX(Profile!$H$5:$H$304,MATCH($D268,lst_Profil,0)),$H$5),$H$5))</f>
        <v/>
      </c>
      <c r="T268" s="16" t="str">
        <f aca="false">IF(OR(Q268="",NOT(ISNUMBER(R268)),NOT(ISNUMBER(S268))),"",Q268-R268-S268)</f>
        <v/>
      </c>
      <c r="U268" s="26" t="str">
        <f aca="false">IF(OR($D268="",$E268=""),"",IF(COUNTIFS(Preise!$A$5:$A$304,$D268,Preise!$B$5:$B$304,$E268,Preise!$I$5:$I$304,"OK")&gt;0,"ja","nein"))</f>
        <v/>
      </c>
      <c r="V268" s="15" t="str">
        <f aca="false">IF(OR(M268="",$E268="",$C$8=""),"",IF(_xlfn.MINIFS(Schneiddaten!$C$5:$C$304,Schneiddaten!$A$5:$A$304,$C$8,Schneiddaten!$B$5:$B$304,$E268,Schneiddaten!$C$5:$C$304,"&gt;="&amp;M268)=0,"",SUMIFS(Schneiddaten!$D$5:$D$304,Schneiddaten!$A$5:$A$304,$C$8,Schneiddaten!$B$5:$B$304,$E268,Schneiddaten!$C$5:$C$304,_xlfn.MINIFS(Schneiddaten!$C$5:$C$304,Schneiddaten!$A$5:$A$304,$C$8,Schneiddaten!$B$5:$B$304,$E268,Schneiddaten!$C$5:$C$304,"&gt;="&amp;M268))))</f>
        <v/>
      </c>
      <c r="W268" s="26" t="str">
        <f aca="false">IF(AND($D268="",$E268="",$F268="",$G268=""),"",IF(ISNA(MATCH($D268,lst_Profil,0)),"FEHLER: Profil unbekannt",IF(ISNA(MATCH($E268,lst_Werkstoff,0)),"FEHLER: Werkstoff unbekannt",IF(NOT(ISNUMBER(L268)),"FEHLER: Querschnitt fehlt (Profil)",IF(OR($F268="",$F268&lt;=0),"FEHLER: Teilelänge fehlt",IF(OR($G268="",$G268&lt;1),"FEHLER: Stückzahl fehlt",IF(NOT(ISNUMBER($H$4)),"FEHLER: Maschine fehlt/unbekannt",IF(Q268&gt;$H$7,"FEHLER: Stange länger als Maschine zulässt",IF($F268+$H$6&gt;T268,"FEHLER: Teil länger als Nutzlänge",IF(U268="nein","WARNUNG: kein gültiger Materialpreis",IF($H268="","HINWEIS: Schneidweg fehlt",IF(V268="","HINWEIS: keine Schneiddaten",IF(AND($AF268&lt;&gt;"",$AG268=""),"HINWEIS: Gewinde-Vorschlag prüfen","OK")))))))))))))</f>
        <v/>
      </c>
      <c r="X268" s="18" t="str">
        <f aca="false">IF(OR(O268="",$G268=""),"",O268*$G268)</f>
        <v/>
      </c>
      <c r="Y268" s="10"/>
      <c r="Z268" s="21"/>
      <c r="AA268" s="10"/>
      <c r="AB268" s="21"/>
      <c r="AC268" s="21"/>
      <c r="AD268" s="21"/>
      <c r="AE268" s="10"/>
      <c r="AF268" s="10"/>
      <c r="AG268" s="10"/>
      <c r="AH268" s="22"/>
      <c r="AI268" s="21"/>
      <c r="AJ268" s="22"/>
      <c r="AK268" s="21"/>
      <c r="AL268" s="22"/>
      <c r="AM268" s="21"/>
    </row>
    <row r="269" customFormat="false" ht="15" hidden="false" customHeight="false" outlineLevel="0" collapsed="false">
      <c r="A269" s="10"/>
      <c r="B269" s="10"/>
      <c r="C269" s="10"/>
      <c r="D269" s="10"/>
      <c r="E269" s="10"/>
      <c r="F269" s="21"/>
      <c r="G269" s="19"/>
      <c r="H269" s="21"/>
      <c r="I269" s="22"/>
      <c r="J269" s="19"/>
      <c r="K269" s="23" t="str">
        <f aca="false">IF($D269="","",IFERROR(INDEX(Profile!$B$5:$B$304,MATCH($D269,lst_Profil,0)),""))</f>
        <v/>
      </c>
      <c r="L269" s="13" t="str">
        <f aca="false">IF($D269="","",IFERROR(INDEX(Profile!$K$5:$K$304,MATCH($D269,lst_Profil,0))+0,""))</f>
        <v/>
      </c>
      <c r="M269" s="24" t="str">
        <f aca="false">IF($D269="","",IFERROR(INDEX(Profile!$E$5:$E$304,MATCH($D269,lst_Profil,0))+0,""))</f>
        <v/>
      </c>
      <c r="N269" s="25" t="str">
        <f aca="false">IF(OR(L269="",$E269=""),"",IFERROR(L269*INDEX(Werkstoffe!$E$5:$E$304,MATCH($E269,lst_Werkstoff,0))/1000,""))</f>
        <v/>
      </c>
      <c r="O269" s="25" t="str">
        <f aca="false">IF(OR(N269="",$F269=""),"",N269*$F269/1000)</f>
        <v/>
      </c>
      <c r="P269" s="16" t="str">
        <f aca="false">IF(OR($F269="",$G269=""),"",$F269*$G269)</f>
        <v/>
      </c>
      <c r="Q269" s="16" t="str">
        <f aca="false">IF($D269="","",IF($J269&lt;&gt;"",$J269,$C$9))</f>
        <v/>
      </c>
      <c r="R269" s="12" t="str">
        <f aca="false">IF($D269="","",IFERROR(IF(INDEX(Profile!$G$5:$G$304,MATCH($D269,lst_Profil,0))&lt;&gt;"",INDEX(Profile!$G$5:$G$304,MATCH($D269,lst_Profil,0)),$H$4),$H$4))</f>
        <v/>
      </c>
      <c r="S269" s="12" t="str">
        <f aca="false">IF($D269="","",IFERROR(IF(INDEX(Profile!$H$5:$H$304,MATCH($D269,lst_Profil,0))&lt;&gt;"",INDEX(Profile!$H$5:$H$304,MATCH($D269,lst_Profil,0)),$H$5),$H$5))</f>
        <v/>
      </c>
      <c r="T269" s="16" t="str">
        <f aca="false">IF(OR(Q269="",NOT(ISNUMBER(R269)),NOT(ISNUMBER(S269))),"",Q269-R269-S269)</f>
        <v/>
      </c>
      <c r="U269" s="26" t="str">
        <f aca="false">IF(OR($D269="",$E269=""),"",IF(COUNTIFS(Preise!$A$5:$A$304,$D269,Preise!$B$5:$B$304,$E269,Preise!$I$5:$I$304,"OK")&gt;0,"ja","nein"))</f>
        <v/>
      </c>
      <c r="V269" s="15" t="str">
        <f aca="false">IF(OR(M269="",$E269="",$C$8=""),"",IF(_xlfn.MINIFS(Schneiddaten!$C$5:$C$304,Schneiddaten!$A$5:$A$304,$C$8,Schneiddaten!$B$5:$B$304,$E269,Schneiddaten!$C$5:$C$304,"&gt;="&amp;M269)=0,"",SUMIFS(Schneiddaten!$D$5:$D$304,Schneiddaten!$A$5:$A$304,$C$8,Schneiddaten!$B$5:$B$304,$E269,Schneiddaten!$C$5:$C$304,_xlfn.MINIFS(Schneiddaten!$C$5:$C$304,Schneiddaten!$A$5:$A$304,$C$8,Schneiddaten!$B$5:$B$304,$E269,Schneiddaten!$C$5:$C$304,"&gt;="&amp;M269))))</f>
        <v/>
      </c>
      <c r="W269" s="26" t="str">
        <f aca="false">IF(AND($D269="",$E269="",$F269="",$G269=""),"",IF(ISNA(MATCH($D269,lst_Profil,0)),"FEHLER: Profil unbekannt",IF(ISNA(MATCH($E269,lst_Werkstoff,0)),"FEHLER: Werkstoff unbekannt",IF(NOT(ISNUMBER(L269)),"FEHLER: Querschnitt fehlt (Profil)",IF(OR($F269="",$F269&lt;=0),"FEHLER: Teilelänge fehlt",IF(OR($G269="",$G269&lt;1),"FEHLER: Stückzahl fehlt",IF(NOT(ISNUMBER($H$4)),"FEHLER: Maschine fehlt/unbekannt",IF(Q269&gt;$H$7,"FEHLER: Stange länger als Maschine zulässt",IF($F269+$H$6&gt;T269,"FEHLER: Teil länger als Nutzlänge",IF(U269="nein","WARNUNG: kein gültiger Materialpreis",IF($H269="","HINWEIS: Schneidweg fehlt",IF(V269="","HINWEIS: keine Schneiddaten",IF(AND($AF269&lt;&gt;"",$AG269=""),"HINWEIS: Gewinde-Vorschlag prüfen","OK")))))))))))))</f>
        <v/>
      </c>
      <c r="X269" s="18" t="str">
        <f aca="false">IF(OR(O269="",$G269=""),"",O269*$G269)</f>
        <v/>
      </c>
      <c r="Y269" s="10"/>
      <c r="Z269" s="21"/>
      <c r="AA269" s="10"/>
      <c r="AB269" s="21"/>
      <c r="AC269" s="21"/>
      <c r="AD269" s="21"/>
      <c r="AE269" s="10"/>
      <c r="AF269" s="10"/>
      <c r="AG269" s="10"/>
      <c r="AH269" s="22"/>
      <c r="AI269" s="21"/>
      <c r="AJ269" s="22"/>
      <c r="AK269" s="21"/>
      <c r="AL269" s="22"/>
      <c r="AM269" s="21"/>
    </row>
    <row r="270" customFormat="false" ht="15" hidden="false" customHeight="false" outlineLevel="0" collapsed="false">
      <c r="A270" s="10"/>
      <c r="B270" s="10"/>
      <c r="C270" s="10"/>
      <c r="D270" s="10"/>
      <c r="E270" s="10"/>
      <c r="F270" s="21"/>
      <c r="G270" s="19"/>
      <c r="H270" s="21"/>
      <c r="I270" s="22"/>
      <c r="J270" s="19"/>
      <c r="K270" s="23" t="str">
        <f aca="false">IF($D270="","",IFERROR(INDEX(Profile!$B$5:$B$304,MATCH($D270,lst_Profil,0)),""))</f>
        <v/>
      </c>
      <c r="L270" s="13" t="str">
        <f aca="false">IF($D270="","",IFERROR(INDEX(Profile!$K$5:$K$304,MATCH($D270,lst_Profil,0))+0,""))</f>
        <v/>
      </c>
      <c r="M270" s="24" t="str">
        <f aca="false">IF($D270="","",IFERROR(INDEX(Profile!$E$5:$E$304,MATCH($D270,lst_Profil,0))+0,""))</f>
        <v/>
      </c>
      <c r="N270" s="25" t="str">
        <f aca="false">IF(OR(L270="",$E270=""),"",IFERROR(L270*INDEX(Werkstoffe!$E$5:$E$304,MATCH($E270,lst_Werkstoff,0))/1000,""))</f>
        <v/>
      </c>
      <c r="O270" s="25" t="str">
        <f aca="false">IF(OR(N270="",$F270=""),"",N270*$F270/1000)</f>
        <v/>
      </c>
      <c r="P270" s="16" t="str">
        <f aca="false">IF(OR($F270="",$G270=""),"",$F270*$G270)</f>
        <v/>
      </c>
      <c r="Q270" s="16" t="str">
        <f aca="false">IF($D270="","",IF($J270&lt;&gt;"",$J270,$C$9))</f>
        <v/>
      </c>
      <c r="R270" s="12" t="str">
        <f aca="false">IF($D270="","",IFERROR(IF(INDEX(Profile!$G$5:$G$304,MATCH($D270,lst_Profil,0))&lt;&gt;"",INDEX(Profile!$G$5:$G$304,MATCH($D270,lst_Profil,0)),$H$4),$H$4))</f>
        <v/>
      </c>
      <c r="S270" s="12" t="str">
        <f aca="false">IF($D270="","",IFERROR(IF(INDEX(Profile!$H$5:$H$304,MATCH($D270,lst_Profil,0))&lt;&gt;"",INDEX(Profile!$H$5:$H$304,MATCH($D270,lst_Profil,0)),$H$5),$H$5))</f>
        <v/>
      </c>
      <c r="T270" s="16" t="str">
        <f aca="false">IF(OR(Q270="",NOT(ISNUMBER(R270)),NOT(ISNUMBER(S270))),"",Q270-R270-S270)</f>
        <v/>
      </c>
      <c r="U270" s="26" t="str">
        <f aca="false">IF(OR($D270="",$E270=""),"",IF(COUNTIFS(Preise!$A$5:$A$304,$D270,Preise!$B$5:$B$304,$E270,Preise!$I$5:$I$304,"OK")&gt;0,"ja","nein"))</f>
        <v/>
      </c>
      <c r="V270" s="15" t="str">
        <f aca="false">IF(OR(M270="",$E270="",$C$8=""),"",IF(_xlfn.MINIFS(Schneiddaten!$C$5:$C$304,Schneiddaten!$A$5:$A$304,$C$8,Schneiddaten!$B$5:$B$304,$E270,Schneiddaten!$C$5:$C$304,"&gt;="&amp;M270)=0,"",SUMIFS(Schneiddaten!$D$5:$D$304,Schneiddaten!$A$5:$A$304,$C$8,Schneiddaten!$B$5:$B$304,$E270,Schneiddaten!$C$5:$C$304,_xlfn.MINIFS(Schneiddaten!$C$5:$C$304,Schneiddaten!$A$5:$A$304,$C$8,Schneiddaten!$B$5:$B$304,$E270,Schneiddaten!$C$5:$C$304,"&gt;="&amp;M270))))</f>
        <v/>
      </c>
      <c r="W270" s="26" t="str">
        <f aca="false">IF(AND($D270="",$E270="",$F270="",$G270=""),"",IF(ISNA(MATCH($D270,lst_Profil,0)),"FEHLER: Profil unbekannt",IF(ISNA(MATCH($E270,lst_Werkstoff,0)),"FEHLER: Werkstoff unbekannt",IF(NOT(ISNUMBER(L270)),"FEHLER: Querschnitt fehlt (Profil)",IF(OR($F270="",$F270&lt;=0),"FEHLER: Teilelänge fehlt",IF(OR($G270="",$G270&lt;1),"FEHLER: Stückzahl fehlt",IF(NOT(ISNUMBER($H$4)),"FEHLER: Maschine fehlt/unbekannt",IF(Q270&gt;$H$7,"FEHLER: Stange länger als Maschine zulässt",IF($F270+$H$6&gt;T270,"FEHLER: Teil länger als Nutzlänge",IF(U270="nein","WARNUNG: kein gültiger Materialpreis",IF($H270="","HINWEIS: Schneidweg fehlt",IF(V270="","HINWEIS: keine Schneiddaten",IF(AND($AF270&lt;&gt;"",$AG270=""),"HINWEIS: Gewinde-Vorschlag prüfen","OK")))))))))))))</f>
        <v/>
      </c>
      <c r="X270" s="18" t="str">
        <f aca="false">IF(OR(O270="",$G270=""),"",O270*$G270)</f>
        <v/>
      </c>
      <c r="Y270" s="10"/>
      <c r="Z270" s="21"/>
      <c r="AA270" s="10"/>
      <c r="AB270" s="21"/>
      <c r="AC270" s="21"/>
      <c r="AD270" s="21"/>
      <c r="AE270" s="10"/>
      <c r="AF270" s="10"/>
      <c r="AG270" s="10"/>
      <c r="AH270" s="22"/>
      <c r="AI270" s="21"/>
      <c r="AJ270" s="22"/>
      <c r="AK270" s="21"/>
      <c r="AL270" s="22"/>
      <c r="AM270" s="21"/>
    </row>
    <row r="271" customFormat="false" ht="15" hidden="false" customHeight="false" outlineLevel="0" collapsed="false">
      <c r="A271" s="10"/>
      <c r="B271" s="10"/>
      <c r="C271" s="10"/>
      <c r="D271" s="10"/>
      <c r="E271" s="10"/>
      <c r="F271" s="21"/>
      <c r="G271" s="19"/>
      <c r="H271" s="21"/>
      <c r="I271" s="22"/>
      <c r="J271" s="19"/>
      <c r="K271" s="23" t="str">
        <f aca="false">IF($D271="","",IFERROR(INDEX(Profile!$B$5:$B$304,MATCH($D271,lst_Profil,0)),""))</f>
        <v/>
      </c>
      <c r="L271" s="13" t="str">
        <f aca="false">IF($D271="","",IFERROR(INDEX(Profile!$K$5:$K$304,MATCH($D271,lst_Profil,0))+0,""))</f>
        <v/>
      </c>
      <c r="M271" s="24" t="str">
        <f aca="false">IF($D271="","",IFERROR(INDEX(Profile!$E$5:$E$304,MATCH($D271,lst_Profil,0))+0,""))</f>
        <v/>
      </c>
      <c r="N271" s="25" t="str">
        <f aca="false">IF(OR(L271="",$E271=""),"",IFERROR(L271*INDEX(Werkstoffe!$E$5:$E$304,MATCH($E271,lst_Werkstoff,0))/1000,""))</f>
        <v/>
      </c>
      <c r="O271" s="25" t="str">
        <f aca="false">IF(OR(N271="",$F271=""),"",N271*$F271/1000)</f>
        <v/>
      </c>
      <c r="P271" s="16" t="str">
        <f aca="false">IF(OR($F271="",$G271=""),"",$F271*$G271)</f>
        <v/>
      </c>
      <c r="Q271" s="16" t="str">
        <f aca="false">IF($D271="","",IF($J271&lt;&gt;"",$J271,$C$9))</f>
        <v/>
      </c>
      <c r="R271" s="12" t="str">
        <f aca="false">IF($D271="","",IFERROR(IF(INDEX(Profile!$G$5:$G$304,MATCH($D271,lst_Profil,0))&lt;&gt;"",INDEX(Profile!$G$5:$G$304,MATCH($D271,lst_Profil,0)),$H$4),$H$4))</f>
        <v/>
      </c>
      <c r="S271" s="12" t="str">
        <f aca="false">IF($D271="","",IFERROR(IF(INDEX(Profile!$H$5:$H$304,MATCH($D271,lst_Profil,0))&lt;&gt;"",INDEX(Profile!$H$5:$H$304,MATCH($D271,lst_Profil,0)),$H$5),$H$5))</f>
        <v/>
      </c>
      <c r="T271" s="16" t="str">
        <f aca="false">IF(OR(Q271="",NOT(ISNUMBER(R271)),NOT(ISNUMBER(S271))),"",Q271-R271-S271)</f>
        <v/>
      </c>
      <c r="U271" s="26" t="str">
        <f aca="false">IF(OR($D271="",$E271=""),"",IF(COUNTIFS(Preise!$A$5:$A$304,$D271,Preise!$B$5:$B$304,$E271,Preise!$I$5:$I$304,"OK")&gt;0,"ja","nein"))</f>
        <v/>
      </c>
      <c r="V271" s="15" t="str">
        <f aca="false">IF(OR(M271="",$E271="",$C$8=""),"",IF(_xlfn.MINIFS(Schneiddaten!$C$5:$C$304,Schneiddaten!$A$5:$A$304,$C$8,Schneiddaten!$B$5:$B$304,$E271,Schneiddaten!$C$5:$C$304,"&gt;="&amp;M271)=0,"",SUMIFS(Schneiddaten!$D$5:$D$304,Schneiddaten!$A$5:$A$304,$C$8,Schneiddaten!$B$5:$B$304,$E271,Schneiddaten!$C$5:$C$304,_xlfn.MINIFS(Schneiddaten!$C$5:$C$304,Schneiddaten!$A$5:$A$304,$C$8,Schneiddaten!$B$5:$B$304,$E271,Schneiddaten!$C$5:$C$304,"&gt;="&amp;M271))))</f>
        <v/>
      </c>
      <c r="W271" s="26" t="str">
        <f aca="false">IF(AND($D271="",$E271="",$F271="",$G271=""),"",IF(ISNA(MATCH($D271,lst_Profil,0)),"FEHLER: Profil unbekannt",IF(ISNA(MATCH($E271,lst_Werkstoff,0)),"FEHLER: Werkstoff unbekannt",IF(NOT(ISNUMBER(L271)),"FEHLER: Querschnitt fehlt (Profil)",IF(OR($F271="",$F271&lt;=0),"FEHLER: Teilelänge fehlt",IF(OR($G271="",$G271&lt;1),"FEHLER: Stückzahl fehlt",IF(NOT(ISNUMBER($H$4)),"FEHLER: Maschine fehlt/unbekannt",IF(Q271&gt;$H$7,"FEHLER: Stange länger als Maschine zulässt",IF($F271+$H$6&gt;T271,"FEHLER: Teil länger als Nutzlänge",IF(U271="nein","WARNUNG: kein gültiger Materialpreis",IF($H271="","HINWEIS: Schneidweg fehlt",IF(V271="","HINWEIS: keine Schneiddaten",IF(AND($AF271&lt;&gt;"",$AG271=""),"HINWEIS: Gewinde-Vorschlag prüfen","OK")))))))))))))</f>
        <v/>
      </c>
      <c r="X271" s="18" t="str">
        <f aca="false">IF(OR(O271="",$G271=""),"",O271*$G271)</f>
        <v/>
      </c>
      <c r="Y271" s="10"/>
      <c r="Z271" s="21"/>
      <c r="AA271" s="10"/>
      <c r="AB271" s="21"/>
      <c r="AC271" s="21"/>
      <c r="AD271" s="21"/>
      <c r="AE271" s="10"/>
      <c r="AF271" s="10"/>
      <c r="AG271" s="10"/>
      <c r="AH271" s="22"/>
      <c r="AI271" s="21"/>
      <c r="AJ271" s="22"/>
      <c r="AK271" s="21"/>
      <c r="AL271" s="22"/>
      <c r="AM271" s="21"/>
    </row>
    <row r="272" customFormat="false" ht="15" hidden="false" customHeight="false" outlineLevel="0" collapsed="false">
      <c r="A272" s="10"/>
      <c r="B272" s="10"/>
      <c r="C272" s="10"/>
      <c r="D272" s="10"/>
      <c r="E272" s="10"/>
      <c r="F272" s="21"/>
      <c r="G272" s="19"/>
      <c r="H272" s="21"/>
      <c r="I272" s="22"/>
      <c r="J272" s="19"/>
      <c r="K272" s="23" t="str">
        <f aca="false">IF($D272="","",IFERROR(INDEX(Profile!$B$5:$B$304,MATCH($D272,lst_Profil,0)),""))</f>
        <v/>
      </c>
      <c r="L272" s="13" t="str">
        <f aca="false">IF($D272="","",IFERROR(INDEX(Profile!$K$5:$K$304,MATCH($D272,lst_Profil,0))+0,""))</f>
        <v/>
      </c>
      <c r="M272" s="24" t="str">
        <f aca="false">IF($D272="","",IFERROR(INDEX(Profile!$E$5:$E$304,MATCH($D272,lst_Profil,0))+0,""))</f>
        <v/>
      </c>
      <c r="N272" s="25" t="str">
        <f aca="false">IF(OR(L272="",$E272=""),"",IFERROR(L272*INDEX(Werkstoffe!$E$5:$E$304,MATCH($E272,lst_Werkstoff,0))/1000,""))</f>
        <v/>
      </c>
      <c r="O272" s="25" t="str">
        <f aca="false">IF(OR(N272="",$F272=""),"",N272*$F272/1000)</f>
        <v/>
      </c>
      <c r="P272" s="16" t="str">
        <f aca="false">IF(OR($F272="",$G272=""),"",$F272*$G272)</f>
        <v/>
      </c>
      <c r="Q272" s="16" t="str">
        <f aca="false">IF($D272="","",IF($J272&lt;&gt;"",$J272,$C$9))</f>
        <v/>
      </c>
      <c r="R272" s="12" t="str">
        <f aca="false">IF($D272="","",IFERROR(IF(INDEX(Profile!$G$5:$G$304,MATCH($D272,lst_Profil,0))&lt;&gt;"",INDEX(Profile!$G$5:$G$304,MATCH($D272,lst_Profil,0)),$H$4),$H$4))</f>
        <v/>
      </c>
      <c r="S272" s="12" t="str">
        <f aca="false">IF($D272="","",IFERROR(IF(INDEX(Profile!$H$5:$H$304,MATCH($D272,lst_Profil,0))&lt;&gt;"",INDEX(Profile!$H$5:$H$304,MATCH($D272,lst_Profil,0)),$H$5),$H$5))</f>
        <v/>
      </c>
      <c r="T272" s="16" t="str">
        <f aca="false">IF(OR(Q272="",NOT(ISNUMBER(R272)),NOT(ISNUMBER(S272))),"",Q272-R272-S272)</f>
        <v/>
      </c>
      <c r="U272" s="26" t="str">
        <f aca="false">IF(OR($D272="",$E272=""),"",IF(COUNTIFS(Preise!$A$5:$A$304,$D272,Preise!$B$5:$B$304,$E272,Preise!$I$5:$I$304,"OK")&gt;0,"ja","nein"))</f>
        <v/>
      </c>
      <c r="V272" s="15" t="str">
        <f aca="false">IF(OR(M272="",$E272="",$C$8=""),"",IF(_xlfn.MINIFS(Schneiddaten!$C$5:$C$304,Schneiddaten!$A$5:$A$304,$C$8,Schneiddaten!$B$5:$B$304,$E272,Schneiddaten!$C$5:$C$304,"&gt;="&amp;M272)=0,"",SUMIFS(Schneiddaten!$D$5:$D$304,Schneiddaten!$A$5:$A$304,$C$8,Schneiddaten!$B$5:$B$304,$E272,Schneiddaten!$C$5:$C$304,_xlfn.MINIFS(Schneiddaten!$C$5:$C$304,Schneiddaten!$A$5:$A$304,$C$8,Schneiddaten!$B$5:$B$304,$E272,Schneiddaten!$C$5:$C$304,"&gt;="&amp;M272))))</f>
        <v/>
      </c>
      <c r="W272" s="26" t="str">
        <f aca="false">IF(AND($D272="",$E272="",$F272="",$G272=""),"",IF(ISNA(MATCH($D272,lst_Profil,0)),"FEHLER: Profil unbekannt",IF(ISNA(MATCH($E272,lst_Werkstoff,0)),"FEHLER: Werkstoff unbekannt",IF(NOT(ISNUMBER(L272)),"FEHLER: Querschnitt fehlt (Profil)",IF(OR($F272="",$F272&lt;=0),"FEHLER: Teilelänge fehlt",IF(OR($G272="",$G272&lt;1),"FEHLER: Stückzahl fehlt",IF(NOT(ISNUMBER($H$4)),"FEHLER: Maschine fehlt/unbekannt",IF(Q272&gt;$H$7,"FEHLER: Stange länger als Maschine zulässt",IF($F272+$H$6&gt;T272,"FEHLER: Teil länger als Nutzlänge",IF(U272="nein","WARNUNG: kein gültiger Materialpreis",IF($H272="","HINWEIS: Schneidweg fehlt",IF(V272="","HINWEIS: keine Schneiddaten",IF(AND($AF272&lt;&gt;"",$AG272=""),"HINWEIS: Gewinde-Vorschlag prüfen","OK")))))))))))))</f>
        <v/>
      </c>
      <c r="X272" s="18" t="str">
        <f aca="false">IF(OR(O272="",$G272=""),"",O272*$G272)</f>
        <v/>
      </c>
      <c r="Y272" s="10"/>
      <c r="Z272" s="21"/>
      <c r="AA272" s="10"/>
      <c r="AB272" s="21"/>
      <c r="AC272" s="21"/>
      <c r="AD272" s="21"/>
      <c r="AE272" s="10"/>
      <c r="AF272" s="10"/>
      <c r="AG272" s="10"/>
      <c r="AH272" s="22"/>
      <c r="AI272" s="21"/>
      <c r="AJ272" s="22"/>
      <c r="AK272" s="21"/>
      <c r="AL272" s="22"/>
      <c r="AM272" s="21"/>
    </row>
    <row r="273" customFormat="false" ht="15" hidden="false" customHeight="false" outlineLevel="0" collapsed="false">
      <c r="A273" s="10"/>
      <c r="B273" s="10"/>
      <c r="C273" s="10"/>
      <c r="D273" s="10"/>
      <c r="E273" s="10"/>
      <c r="F273" s="21"/>
      <c r="G273" s="19"/>
      <c r="H273" s="21"/>
      <c r="I273" s="22"/>
      <c r="J273" s="19"/>
      <c r="K273" s="23" t="str">
        <f aca="false">IF($D273="","",IFERROR(INDEX(Profile!$B$5:$B$304,MATCH($D273,lst_Profil,0)),""))</f>
        <v/>
      </c>
      <c r="L273" s="13" t="str">
        <f aca="false">IF($D273="","",IFERROR(INDEX(Profile!$K$5:$K$304,MATCH($D273,lst_Profil,0))+0,""))</f>
        <v/>
      </c>
      <c r="M273" s="24" t="str">
        <f aca="false">IF($D273="","",IFERROR(INDEX(Profile!$E$5:$E$304,MATCH($D273,lst_Profil,0))+0,""))</f>
        <v/>
      </c>
      <c r="N273" s="25" t="str">
        <f aca="false">IF(OR(L273="",$E273=""),"",IFERROR(L273*INDEX(Werkstoffe!$E$5:$E$304,MATCH($E273,lst_Werkstoff,0))/1000,""))</f>
        <v/>
      </c>
      <c r="O273" s="25" t="str">
        <f aca="false">IF(OR(N273="",$F273=""),"",N273*$F273/1000)</f>
        <v/>
      </c>
      <c r="P273" s="16" t="str">
        <f aca="false">IF(OR($F273="",$G273=""),"",$F273*$G273)</f>
        <v/>
      </c>
      <c r="Q273" s="16" t="str">
        <f aca="false">IF($D273="","",IF($J273&lt;&gt;"",$J273,$C$9))</f>
        <v/>
      </c>
      <c r="R273" s="12" t="str">
        <f aca="false">IF($D273="","",IFERROR(IF(INDEX(Profile!$G$5:$G$304,MATCH($D273,lst_Profil,0))&lt;&gt;"",INDEX(Profile!$G$5:$G$304,MATCH($D273,lst_Profil,0)),$H$4),$H$4))</f>
        <v/>
      </c>
      <c r="S273" s="12" t="str">
        <f aca="false">IF($D273="","",IFERROR(IF(INDEX(Profile!$H$5:$H$304,MATCH($D273,lst_Profil,0))&lt;&gt;"",INDEX(Profile!$H$5:$H$304,MATCH($D273,lst_Profil,0)),$H$5),$H$5))</f>
        <v/>
      </c>
      <c r="T273" s="16" t="str">
        <f aca="false">IF(OR(Q273="",NOT(ISNUMBER(R273)),NOT(ISNUMBER(S273))),"",Q273-R273-S273)</f>
        <v/>
      </c>
      <c r="U273" s="26" t="str">
        <f aca="false">IF(OR($D273="",$E273=""),"",IF(COUNTIFS(Preise!$A$5:$A$304,$D273,Preise!$B$5:$B$304,$E273,Preise!$I$5:$I$304,"OK")&gt;0,"ja","nein"))</f>
        <v/>
      </c>
      <c r="V273" s="15" t="str">
        <f aca="false">IF(OR(M273="",$E273="",$C$8=""),"",IF(_xlfn.MINIFS(Schneiddaten!$C$5:$C$304,Schneiddaten!$A$5:$A$304,$C$8,Schneiddaten!$B$5:$B$304,$E273,Schneiddaten!$C$5:$C$304,"&gt;="&amp;M273)=0,"",SUMIFS(Schneiddaten!$D$5:$D$304,Schneiddaten!$A$5:$A$304,$C$8,Schneiddaten!$B$5:$B$304,$E273,Schneiddaten!$C$5:$C$304,_xlfn.MINIFS(Schneiddaten!$C$5:$C$304,Schneiddaten!$A$5:$A$304,$C$8,Schneiddaten!$B$5:$B$304,$E273,Schneiddaten!$C$5:$C$304,"&gt;="&amp;M273))))</f>
        <v/>
      </c>
      <c r="W273" s="26" t="str">
        <f aca="false">IF(AND($D273="",$E273="",$F273="",$G273=""),"",IF(ISNA(MATCH($D273,lst_Profil,0)),"FEHLER: Profil unbekannt",IF(ISNA(MATCH($E273,lst_Werkstoff,0)),"FEHLER: Werkstoff unbekannt",IF(NOT(ISNUMBER(L273)),"FEHLER: Querschnitt fehlt (Profil)",IF(OR($F273="",$F273&lt;=0),"FEHLER: Teilelänge fehlt",IF(OR($G273="",$G273&lt;1),"FEHLER: Stückzahl fehlt",IF(NOT(ISNUMBER($H$4)),"FEHLER: Maschine fehlt/unbekannt",IF(Q273&gt;$H$7,"FEHLER: Stange länger als Maschine zulässt",IF($F273+$H$6&gt;T273,"FEHLER: Teil länger als Nutzlänge",IF(U273="nein","WARNUNG: kein gültiger Materialpreis",IF($H273="","HINWEIS: Schneidweg fehlt",IF(V273="","HINWEIS: keine Schneiddaten",IF(AND($AF273&lt;&gt;"",$AG273=""),"HINWEIS: Gewinde-Vorschlag prüfen","OK")))))))))))))</f>
        <v/>
      </c>
      <c r="X273" s="18" t="str">
        <f aca="false">IF(OR(O273="",$G273=""),"",O273*$G273)</f>
        <v/>
      </c>
      <c r="Y273" s="10"/>
      <c r="Z273" s="21"/>
      <c r="AA273" s="10"/>
      <c r="AB273" s="21"/>
      <c r="AC273" s="21"/>
      <c r="AD273" s="21"/>
      <c r="AE273" s="10"/>
      <c r="AF273" s="10"/>
      <c r="AG273" s="10"/>
      <c r="AH273" s="22"/>
      <c r="AI273" s="21"/>
      <c r="AJ273" s="22"/>
      <c r="AK273" s="21"/>
      <c r="AL273" s="22"/>
      <c r="AM273" s="21"/>
    </row>
    <row r="274" customFormat="false" ht="15" hidden="false" customHeight="false" outlineLevel="0" collapsed="false">
      <c r="A274" s="10"/>
      <c r="B274" s="10"/>
      <c r="C274" s="10"/>
      <c r="D274" s="10"/>
      <c r="E274" s="10"/>
      <c r="F274" s="21"/>
      <c r="G274" s="19"/>
      <c r="H274" s="21"/>
      <c r="I274" s="22"/>
      <c r="J274" s="19"/>
      <c r="K274" s="23" t="str">
        <f aca="false">IF($D274="","",IFERROR(INDEX(Profile!$B$5:$B$304,MATCH($D274,lst_Profil,0)),""))</f>
        <v/>
      </c>
      <c r="L274" s="13" t="str">
        <f aca="false">IF($D274="","",IFERROR(INDEX(Profile!$K$5:$K$304,MATCH($D274,lst_Profil,0))+0,""))</f>
        <v/>
      </c>
      <c r="M274" s="24" t="str">
        <f aca="false">IF($D274="","",IFERROR(INDEX(Profile!$E$5:$E$304,MATCH($D274,lst_Profil,0))+0,""))</f>
        <v/>
      </c>
      <c r="N274" s="25" t="str">
        <f aca="false">IF(OR(L274="",$E274=""),"",IFERROR(L274*INDEX(Werkstoffe!$E$5:$E$304,MATCH($E274,lst_Werkstoff,0))/1000,""))</f>
        <v/>
      </c>
      <c r="O274" s="25" t="str">
        <f aca="false">IF(OR(N274="",$F274=""),"",N274*$F274/1000)</f>
        <v/>
      </c>
      <c r="P274" s="16" t="str">
        <f aca="false">IF(OR($F274="",$G274=""),"",$F274*$G274)</f>
        <v/>
      </c>
      <c r="Q274" s="16" t="str">
        <f aca="false">IF($D274="","",IF($J274&lt;&gt;"",$J274,$C$9))</f>
        <v/>
      </c>
      <c r="R274" s="12" t="str">
        <f aca="false">IF($D274="","",IFERROR(IF(INDEX(Profile!$G$5:$G$304,MATCH($D274,lst_Profil,0))&lt;&gt;"",INDEX(Profile!$G$5:$G$304,MATCH($D274,lst_Profil,0)),$H$4),$H$4))</f>
        <v/>
      </c>
      <c r="S274" s="12" t="str">
        <f aca="false">IF($D274="","",IFERROR(IF(INDEX(Profile!$H$5:$H$304,MATCH($D274,lst_Profil,0))&lt;&gt;"",INDEX(Profile!$H$5:$H$304,MATCH($D274,lst_Profil,0)),$H$5),$H$5))</f>
        <v/>
      </c>
      <c r="T274" s="16" t="str">
        <f aca="false">IF(OR(Q274="",NOT(ISNUMBER(R274)),NOT(ISNUMBER(S274))),"",Q274-R274-S274)</f>
        <v/>
      </c>
      <c r="U274" s="26" t="str">
        <f aca="false">IF(OR($D274="",$E274=""),"",IF(COUNTIFS(Preise!$A$5:$A$304,$D274,Preise!$B$5:$B$304,$E274,Preise!$I$5:$I$304,"OK")&gt;0,"ja","nein"))</f>
        <v/>
      </c>
      <c r="V274" s="15" t="str">
        <f aca="false">IF(OR(M274="",$E274="",$C$8=""),"",IF(_xlfn.MINIFS(Schneiddaten!$C$5:$C$304,Schneiddaten!$A$5:$A$304,$C$8,Schneiddaten!$B$5:$B$304,$E274,Schneiddaten!$C$5:$C$304,"&gt;="&amp;M274)=0,"",SUMIFS(Schneiddaten!$D$5:$D$304,Schneiddaten!$A$5:$A$304,$C$8,Schneiddaten!$B$5:$B$304,$E274,Schneiddaten!$C$5:$C$304,_xlfn.MINIFS(Schneiddaten!$C$5:$C$304,Schneiddaten!$A$5:$A$304,$C$8,Schneiddaten!$B$5:$B$304,$E274,Schneiddaten!$C$5:$C$304,"&gt;="&amp;M274))))</f>
        <v/>
      </c>
      <c r="W274" s="26" t="str">
        <f aca="false">IF(AND($D274="",$E274="",$F274="",$G274=""),"",IF(ISNA(MATCH($D274,lst_Profil,0)),"FEHLER: Profil unbekannt",IF(ISNA(MATCH($E274,lst_Werkstoff,0)),"FEHLER: Werkstoff unbekannt",IF(NOT(ISNUMBER(L274)),"FEHLER: Querschnitt fehlt (Profil)",IF(OR($F274="",$F274&lt;=0),"FEHLER: Teilelänge fehlt",IF(OR($G274="",$G274&lt;1),"FEHLER: Stückzahl fehlt",IF(NOT(ISNUMBER($H$4)),"FEHLER: Maschine fehlt/unbekannt",IF(Q274&gt;$H$7,"FEHLER: Stange länger als Maschine zulässt",IF($F274+$H$6&gt;T274,"FEHLER: Teil länger als Nutzlänge",IF(U274="nein","WARNUNG: kein gültiger Materialpreis",IF($H274="","HINWEIS: Schneidweg fehlt",IF(V274="","HINWEIS: keine Schneiddaten",IF(AND($AF274&lt;&gt;"",$AG274=""),"HINWEIS: Gewinde-Vorschlag prüfen","OK")))))))))))))</f>
        <v/>
      </c>
      <c r="X274" s="18" t="str">
        <f aca="false">IF(OR(O274="",$G274=""),"",O274*$G274)</f>
        <v/>
      </c>
      <c r="Y274" s="10"/>
      <c r="Z274" s="21"/>
      <c r="AA274" s="10"/>
      <c r="AB274" s="21"/>
      <c r="AC274" s="21"/>
      <c r="AD274" s="21"/>
      <c r="AE274" s="10"/>
      <c r="AF274" s="10"/>
      <c r="AG274" s="10"/>
      <c r="AH274" s="22"/>
      <c r="AI274" s="21"/>
      <c r="AJ274" s="22"/>
      <c r="AK274" s="21"/>
      <c r="AL274" s="22"/>
      <c r="AM274" s="21"/>
    </row>
    <row r="275" customFormat="false" ht="15" hidden="false" customHeight="false" outlineLevel="0" collapsed="false">
      <c r="A275" s="10"/>
      <c r="B275" s="10"/>
      <c r="C275" s="10"/>
      <c r="D275" s="10"/>
      <c r="E275" s="10"/>
      <c r="F275" s="21"/>
      <c r="G275" s="19"/>
      <c r="H275" s="21"/>
      <c r="I275" s="22"/>
      <c r="J275" s="19"/>
      <c r="K275" s="23" t="str">
        <f aca="false">IF($D275="","",IFERROR(INDEX(Profile!$B$5:$B$304,MATCH($D275,lst_Profil,0)),""))</f>
        <v/>
      </c>
      <c r="L275" s="13" t="str">
        <f aca="false">IF($D275="","",IFERROR(INDEX(Profile!$K$5:$K$304,MATCH($D275,lst_Profil,0))+0,""))</f>
        <v/>
      </c>
      <c r="M275" s="24" t="str">
        <f aca="false">IF($D275="","",IFERROR(INDEX(Profile!$E$5:$E$304,MATCH($D275,lst_Profil,0))+0,""))</f>
        <v/>
      </c>
      <c r="N275" s="25" t="str">
        <f aca="false">IF(OR(L275="",$E275=""),"",IFERROR(L275*INDEX(Werkstoffe!$E$5:$E$304,MATCH($E275,lst_Werkstoff,0))/1000,""))</f>
        <v/>
      </c>
      <c r="O275" s="25" t="str">
        <f aca="false">IF(OR(N275="",$F275=""),"",N275*$F275/1000)</f>
        <v/>
      </c>
      <c r="P275" s="16" t="str">
        <f aca="false">IF(OR($F275="",$G275=""),"",$F275*$G275)</f>
        <v/>
      </c>
      <c r="Q275" s="16" t="str">
        <f aca="false">IF($D275="","",IF($J275&lt;&gt;"",$J275,$C$9))</f>
        <v/>
      </c>
      <c r="R275" s="12" t="str">
        <f aca="false">IF($D275="","",IFERROR(IF(INDEX(Profile!$G$5:$G$304,MATCH($D275,lst_Profil,0))&lt;&gt;"",INDEX(Profile!$G$5:$G$304,MATCH($D275,lst_Profil,0)),$H$4),$H$4))</f>
        <v/>
      </c>
      <c r="S275" s="12" t="str">
        <f aca="false">IF($D275="","",IFERROR(IF(INDEX(Profile!$H$5:$H$304,MATCH($D275,lst_Profil,0))&lt;&gt;"",INDEX(Profile!$H$5:$H$304,MATCH($D275,lst_Profil,0)),$H$5),$H$5))</f>
        <v/>
      </c>
      <c r="T275" s="16" t="str">
        <f aca="false">IF(OR(Q275="",NOT(ISNUMBER(R275)),NOT(ISNUMBER(S275))),"",Q275-R275-S275)</f>
        <v/>
      </c>
      <c r="U275" s="26" t="str">
        <f aca="false">IF(OR($D275="",$E275=""),"",IF(COUNTIFS(Preise!$A$5:$A$304,$D275,Preise!$B$5:$B$304,$E275,Preise!$I$5:$I$304,"OK")&gt;0,"ja","nein"))</f>
        <v/>
      </c>
      <c r="V275" s="15" t="str">
        <f aca="false">IF(OR(M275="",$E275="",$C$8=""),"",IF(_xlfn.MINIFS(Schneiddaten!$C$5:$C$304,Schneiddaten!$A$5:$A$304,$C$8,Schneiddaten!$B$5:$B$304,$E275,Schneiddaten!$C$5:$C$304,"&gt;="&amp;M275)=0,"",SUMIFS(Schneiddaten!$D$5:$D$304,Schneiddaten!$A$5:$A$304,$C$8,Schneiddaten!$B$5:$B$304,$E275,Schneiddaten!$C$5:$C$304,_xlfn.MINIFS(Schneiddaten!$C$5:$C$304,Schneiddaten!$A$5:$A$304,$C$8,Schneiddaten!$B$5:$B$304,$E275,Schneiddaten!$C$5:$C$304,"&gt;="&amp;M275))))</f>
        <v/>
      </c>
      <c r="W275" s="26" t="str">
        <f aca="false">IF(AND($D275="",$E275="",$F275="",$G275=""),"",IF(ISNA(MATCH($D275,lst_Profil,0)),"FEHLER: Profil unbekannt",IF(ISNA(MATCH($E275,lst_Werkstoff,0)),"FEHLER: Werkstoff unbekannt",IF(NOT(ISNUMBER(L275)),"FEHLER: Querschnitt fehlt (Profil)",IF(OR($F275="",$F275&lt;=0),"FEHLER: Teilelänge fehlt",IF(OR($G275="",$G275&lt;1),"FEHLER: Stückzahl fehlt",IF(NOT(ISNUMBER($H$4)),"FEHLER: Maschine fehlt/unbekannt",IF(Q275&gt;$H$7,"FEHLER: Stange länger als Maschine zulässt",IF($F275+$H$6&gt;T275,"FEHLER: Teil länger als Nutzlänge",IF(U275="nein","WARNUNG: kein gültiger Materialpreis",IF($H275="","HINWEIS: Schneidweg fehlt",IF(V275="","HINWEIS: keine Schneiddaten",IF(AND($AF275&lt;&gt;"",$AG275=""),"HINWEIS: Gewinde-Vorschlag prüfen","OK")))))))))))))</f>
        <v/>
      </c>
      <c r="X275" s="18" t="str">
        <f aca="false">IF(OR(O275="",$G275=""),"",O275*$G275)</f>
        <v/>
      </c>
      <c r="Y275" s="10"/>
      <c r="Z275" s="21"/>
      <c r="AA275" s="10"/>
      <c r="AB275" s="21"/>
      <c r="AC275" s="21"/>
      <c r="AD275" s="21"/>
      <c r="AE275" s="10"/>
      <c r="AF275" s="10"/>
      <c r="AG275" s="10"/>
      <c r="AH275" s="22"/>
      <c r="AI275" s="21"/>
      <c r="AJ275" s="22"/>
      <c r="AK275" s="21"/>
      <c r="AL275" s="22"/>
      <c r="AM275" s="21"/>
    </row>
    <row r="276" customFormat="false" ht="15" hidden="false" customHeight="false" outlineLevel="0" collapsed="false">
      <c r="A276" s="10"/>
      <c r="B276" s="10"/>
      <c r="C276" s="10"/>
      <c r="D276" s="10"/>
      <c r="E276" s="10"/>
      <c r="F276" s="21"/>
      <c r="G276" s="19"/>
      <c r="H276" s="21"/>
      <c r="I276" s="22"/>
      <c r="J276" s="19"/>
      <c r="K276" s="23" t="str">
        <f aca="false">IF($D276="","",IFERROR(INDEX(Profile!$B$5:$B$304,MATCH($D276,lst_Profil,0)),""))</f>
        <v/>
      </c>
      <c r="L276" s="13" t="str">
        <f aca="false">IF($D276="","",IFERROR(INDEX(Profile!$K$5:$K$304,MATCH($D276,lst_Profil,0))+0,""))</f>
        <v/>
      </c>
      <c r="M276" s="24" t="str">
        <f aca="false">IF($D276="","",IFERROR(INDEX(Profile!$E$5:$E$304,MATCH($D276,lst_Profil,0))+0,""))</f>
        <v/>
      </c>
      <c r="N276" s="25" t="str">
        <f aca="false">IF(OR(L276="",$E276=""),"",IFERROR(L276*INDEX(Werkstoffe!$E$5:$E$304,MATCH($E276,lst_Werkstoff,0))/1000,""))</f>
        <v/>
      </c>
      <c r="O276" s="25" t="str">
        <f aca="false">IF(OR(N276="",$F276=""),"",N276*$F276/1000)</f>
        <v/>
      </c>
      <c r="P276" s="16" t="str">
        <f aca="false">IF(OR($F276="",$G276=""),"",$F276*$G276)</f>
        <v/>
      </c>
      <c r="Q276" s="16" t="str">
        <f aca="false">IF($D276="","",IF($J276&lt;&gt;"",$J276,$C$9))</f>
        <v/>
      </c>
      <c r="R276" s="12" t="str">
        <f aca="false">IF($D276="","",IFERROR(IF(INDEX(Profile!$G$5:$G$304,MATCH($D276,lst_Profil,0))&lt;&gt;"",INDEX(Profile!$G$5:$G$304,MATCH($D276,lst_Profil,0)),$H$4),$H$4))</f>
        <v/>
      </c>
      <c r="S276" s="12" t="str">
        <f aca="false">IF($D276="","",IFERROR(IF(INDEX(Profile!$H$5:$H$304,MATCH($D276,lst_Profil,0))&lt;&gt;"",INDEX(Profile!$H$5:$H$304,MATCH($D276,lst_Profil,0)),$H$5),$H$5))</f>
        <v/>
      </c>
      <c r="T276" s="16" t="str">
        <f aca="false">IF(OR(Q276="",NOT(ISNUMBER(R276)),NOT(ISNUMBER(S276))),"",Q276-R276-S276)</f>
        <v/>
      </c>
      <c r="U276" s="26" t="str">
        <f aca="false">IF(OR($D276="",$E276=""),"",IF(COUNTIFS(Preise!$A$5:$A$304,$D276,Preise!$B$5:$B$304,$E276,Preise!$I$5:$I$304,"OK")&gt;0,"ja","nein"))</f>
        <v/>
      </c>
      <c r="V276" s="15" t="str">
        <f aca="false">IF(OR(M276="",$E276="",$C$8=""),"",IF(_xlfn.MINIFS(Schneiddaten!$C$5:$C$304,Schneiddaten!$A$5:$A$304,$C$8,Schneiddaten!$B$5:$B$304,$E276,Schneiddaten!$C$5:$C$304,"&gt;="&amp;M276)=0,"",SUMIFS(Schneiddaten!$D$5:$D$304,Schneiddaten!$A$5:$A$304,$C$8,Schneiddaten!$B$5:$B$304,$E276,Schneiddaten!$C$5:$C$304,_xlfn.MINIFS(Schneiddaten!$C$5:$C$304,Schneiddaten!$A$5:$A$304,$C$8,Schneiddaten!$B$5:$B$304,$E276,Schneiddaten!$C$5:$C$304,"&gt;="&amp;M276))))</f>
        <v/>
      </c>
      <c r="W276" s="26" t="str">
        <f aca="false">IF(AND($D276="",$E276="",$F276="",$G276=""),"",IF(ISNA(MATCH($D276,lst_Profil,0)),"FEHLER: Profil unbekannt",IF(ISNA(MATCH($E276,lst_Werkstoff,0)),"FEHLER: Werkstoff unbekannt",IF(NOT(ISNUMBER(L276)),"FEHLER: Querschnitt fehlt (Profil)",IF(OR($F276="",$F276&lt;=0),"FEHLER: Teilelänge fehlt",IF(OR($G276="",$G276&lt;1),"FEHLER: Stückzahl fehlt",IF(NOT(ISNUMBER($H$4)),"FEHLER: Maschine fehlt/unbekannt",IF(Q276&gt;$H$7,"FEHLER: Stange länger als Maschine zulässt",IF($F276+$H$6&gt;T276,"FEHLER: Teil länger als Nutzlänge",IF(U276="nein","WARNUNG: kein gültiger Materialpreis",IF($H276="","HINWEIS: Schneidweg fehlt",IF(V276="","HINWEIS: keine Schneiddaten",IF(AND($AF276&lt;&gt;"",$AG276=""),"HINWEIS: Gewinde-Vorschlag prüfen","OK")))))))))))))</f>
        <v/>
      </c>
      <c r="X276" s="18" t="str">
        <f aca="false">IF(OR(O276="",$G276=""),"",O276*$G276)</f>
        <v/>
      </c>
      <c r="Y276" s="10"/>
      <c r="Z276" s="21"/>
      <c r="AA276" s="10"/>
      <c r="AB276" s="21"/>
      <c r="AC276" s="21"/>
      <c r="AD276" s="21"/>
      <c r="AE276" s="10"/>
      <c r="AF276" s="10"/>
      <c r="AG276" s="10"/>
      <c r="AH276" s="22"/>
      <c r="AI276" s="21"/>
      <c r="AJ276" s="22"/>
      <c r="AK276" s="21"/>
      <c r="AL276" s="22"/>
      <c r="AM276" s="21"/>
    </row>
    <row r="277" customFormat="false" ht="15" hidden="false" customHeight="false" outlineLevel="0" collapsed="false">
      <c r="A277" s="10"/>
      <c r="B277" s="10"/>
      <c r="C277" s="10"/>
      <c r="D277" s="10"/>
      <c r="E277" s="10"/>
      <c r="F277" s="21"/>
      <c r="G277" s="19"/>
      <c r="H277" s="21"/>
      <c r="I277" s="22"/>
      <c r="J277" s="19"/>
      <c r="K277" s="23" t="str">
        <f aca="false">IF($D277="","",IFERROR(INDEX(Profile!$B$5:$B$304,MATCH($D277,lst_Profil,0)),""))</f>
        <v/>
      </c>
      <c r="L277" s="13" t="str">
        <f aca="false">IF($D277="","",IFERROR(INDEX(Profile!$K$5:$K$304,MATCH($D277,lst_Profil,0))+0,""))</f>
        <v/>
      </c>
      <c r="M277" s="24" t="str">
        <f aca="false">IF($D277="","",IFERROR(INDEX(Profile!$E$5:$E$304,MATCH($D277,lst_Profil,0))+0,""))</f>
        <v/>
      </c>
      <c r="N277" s="25" t="str">
        <f aca="false">IF(OR(L277="",$E277=""),"",IFERROR(L277*INDEX(Werkstoffe!$E$5:$E$304,MATCH($E277,lst_Werkstoff,0))/1000,""))</f>
        <v/>
      </c>
      <c r="O277" s="25" t="str">
        <f aca="false">IF(OR(N277="",$F277=""),"",N277*$F277/1000)</f>
        <v/>
      </c>
      <c r="P277" s="16" t="str">
        <f aca="false">IF(OR($F277="",$G277=""),"",$F277*$G277)</f>
        <v/>
      </c>
      <c r="Q277" s="16" t="str">
        <f aca="false">IF($D277="","",IF($J277&lt;&gt;"",$J277,$C$9))</f>
        <v/>
      </c>
      <c r="R277" s="12" t="str">
        <f aca="false">IF($D277="","",IFERROR(IF(INDEX(Profile!$G$5:$G$304,MATCH($D277,lst_Profil,0))&lt;&gt;"",INDEX(Profile!$G$5:$G$304,MATCH($D277,lst_Profil,0)),$H$4),$H$4))</f>
        <v/>
      </c>
      <c r="S277" s="12" t="str">
        <f aca="false">IF($D277="","",IFERROR(IF(INDEX(Profile!$H$5:$H$304,MATCH($D277,lst_Profil,0))&lt;&gt;"",INDEX(Profile!$H$5:$H$304,MATCH($D277,lst_Profil,0)),$H$5),$H$5))</f>
        <v/>
      </c>
      <c r="T277" s="16" t="str">
        <f aca="false">IF(OR(Q277="",NOT(ISNUMBER(R277)),NOT(ISNUMBER(S277))),"",Q277-R277-S277)</f>
        <v/>
      </c>
      <c r="U277" s="26" t="str">
        <f aca="false">IF(OR($D277="",$E277=""),"",IF(COUNTIFS(Preise!$A$5:$A$304,$D277,Preise!$B$5:$B$304,$E277,Preise!$I$5:$I$304,"OK")&gt;0,"ja","nein"))</f>
        <v/>
      </c>
      <c r="V277" s="15" t="str">
        <f aca="false">IF(OR(M277="",$E277="",$C$8=""),"",IF(_xlfn.MINIFS(Schneiddaten!$C$5:$C$304,Schneiddaten!$A$5:$A$304,$C$8,Schneiddaten!$B$5:$B$304,$E277,Schneiddaten!$C$5:$C$304,"&gt;="&amp;M277)=0,"",SUMIFS(Schneiddaten!$D$5:$D$304,Schneiddaten!$A$5:$A$304,$C$8,Schneiddaten!$B$5:$B$304,$E277,Schneiddaten!$C$5:$C$304,_xlfn.MINIFS(Schneiddaten!$C$5:$C$304,Schneiddaten!$A$5:$A$304,$C$8,Schneiddaten!$B$5:$B$304,$E277,Schneiddaten!$C$5:$C$304,"&gt;="&amp;M277))))</f>
        <v/>
      </c>
      <c r="W277" s="26" t="str">
        <f aca="false">IF(AND($D277="",$E277="",$F277="",$G277=""),"",IF(ISNA(MATCH($D277,lst_Profil,0)),"FEHLER: Profil unbekannt",IF(ISNA(MATCH($E277,lst_Werkstoff,0)),"FEHLER: Werkstoff unbekannt",IF(NOT(ISNUMBER(L277)),"FEHLER: Querschnitt fehlt (Profil)",IF(OR($F277="",$F277&lt;=0),"FEHLER: Teilelänge fehlt",IF(OR($G277="",$G277&lt;1),"FEHLER: Stückzahl fehlt",IF(NOT(ISNUMBER($H$4)),"FEHLER: Maschine fehlt/unbekannt",IF(Q277&gt;$H$7,"FEHLER: Stange länger als Maschine zulässt",IF($F277+$H$6&gt;T277,"FEHLER: Teil länger als Nutzlänge",IF(U277="nein","WARNUNG: kein gültiger Materialpreis",IF($H277="","HINWEIS: Schneidweg fehlt",IF(V277="","HINWEIS: keine Schneiddaten",IF(AND($AF277&lt;&gt;"",$AG277=""),"HINWEIS: Gewinde-Vorschlag prüfen","OK")))))))))))))</f>
        <v/>
      </c>
      <c r="X277" s="18" t="str">
        <f aca="false">IF(OR(O277="",$G277=""),"",O277*$G277)</f>
        <v/>
      </c>
      <c r="Y277" s="10"/>
      <c r="Z277" s="21"/>
      <c r="AA277" s="10"/>
      <c r="AB277" s="21"/>
      <c r="AC277" s="21"/>
      <c r="AD277" s="21"/>
      <c r="AE277" s="10"/>
      <c r="AF277" s="10"/>
      <c r="AG277" s="10"/>
      <c r="AH277" s="22"/>
      <c r="AI277" s="21"/>
      <c r="AJ277" s="22"/>
      <c r="AK277" s="21"/>
      <c r="AL277" s="22"/>
      <c r="AM277" s="21"/>
    </row>
    <row r="278" customFormat="false" ht="15" hidden="false" customHeight="false" outlineLevel="0" collapsed="false">
      <c r="A278" s="10"/>
      <c r="B278" s="10"/>
      <c r="C278" s="10"/>
      <c r="D278" s="10"/>
      <c r="E278" s="10"/>
      <c r="F278" s="21"/>
      <c r="G278" s="19"/>
      <c r="H278" s="21"/>
      <c r="I278" s="22"/>
      <c r="J278" s="19"/>
      <c r="K278" s="23" t="str">
        <f aca="false">IF($D278="","",IFERROR(INDEX(Profile!$B$5:$B$304,MATCH($D278,lst_Profil,0)),""))</f>
        <v/>
      </c>
      <c r="L278" s="13" t="str">
        <f aca="false">IF($D278="","",IFERROR(INDEX(Profile!$K$5:$K$304,MATCH($D278,lst_Profil,0))+0,""))</f>
        <v/>
      </c>
      <c r="M278" s="24" t="str">
        <f aca="false">IF($D278="","",IFERROR(INDEX(Profile!$E$5:$E$304,MATCH($D278,lst_Profil,0))+0,""))</f>
        <v/>
      </c>
      <c r="N278" s="25" t="str">
        <f aca="false">IF(OR(L278="",$E278=""),"",IFERROR(L278*INDEX(Werkstoffe!$E$5:$E$304,MATCH($E278,lst_Werkstoff,0))/1000,""))</f>
        <v/>
      </c>
      <c r="O278" s="25" t="str">
        <f aca="false">IF(OR(N278="",$F278=""),"",N278*$F278/1000)</f>
        <v/>
      </c>
      <c r="P278" s="16" t="str">
        <f aca="false">IF(OR($F278="",$G278=""),"",$F278*$G278)</f>
        <v/>
      </c>
      <c r="Q278" s="16" t="str">
        <f aca="false">IF($D278="","",IF($J278&lt;&gt;"",$J278,$C$9))</f>
        <v/>
      </c>
      <c r="R278" s="12" t="str">
        <f aca="false">IF($D278="","",IFERROR(IF(INDEX(Profile!$G$5:$G$304,MATCH($D278,lst_Profil,0))&lt;&gt;"",INDEX(Profile!$G$5:$G$304,MATCH($D278,lst_Profil,0)),$H$4),$H$4))</f>
        <v/>
      </c>
      <c r="S278" s="12" t="str">
        <f aca="false">IF($D278="","",IFERROR(IF(INDEX(Profile!$H$5:$H$304,MATCH($D278,lst_Profil,0))&lt;&gt;"",INDEX(Profile!$H$5:$H$304,MATCH($D278,lst_Profil,0)),$H$5),$H$5))</f>
        <v/>
      </c>
      <c r="T278" s="16" t="str">
        <f aca="false">IF(OR(Q278="",NOT(ISNUMBER(R278)),NOT(ISNUMBER(S278))),"",Q278-R278-S278)</f>
        <v/>
      </c>
      <c r="U278" s="26" t="str">
        <f aca="false">IF(OR($D278="",$E278=""),"",IF(COUNTIFS(Preise!$A$5:$A$304,$D278,Preise!$B$5:$B$304,$E278,Preise!$I$5:$I$304,"OK")&gt;0,"ja","nein"))</f>
        <v/>
      </c>
      <c r="V278" s="15" t="str">
        <f aca="false">IF(OR(M278="",$E278="",$C$8=""),"",IF(_xlfn.MINIFS(Schneiddaten!$C$5:$C$304,Schneiddaten!$A$5:$A$304,$C$8,Schneiddaten!$B$5:$B$304,$E278,Schneiddaten!$C$5:$C$304,"&gt;="&amp;M278)=0,"",SUMIFS(Schneiddaten!$D$5:$D$304,Schneiddaten!$A$5:$A$304,$C$8,Schneiddaten!$B$5:$B$304,$E278,Schneiddaten!$C$5:$C$304,_xlfn.MINIFS(Schneiddaten!$C$5:$C$304,Schneiddaten!$A$5:$A$304,$C$8,Schneiddaten!$B$5:$B$304,$E278,Schneiddaten!$C$5:$C$304,"&gt;="&amp;M278))))</f>
        <v/>
      </c>
      <c r="W278" s="26" t="str">
        <f aca="false">IF(AND($D278="",$E278="",$F278="",$G278=""),"",IF(ISNA(MATCH($D278,lst_Profil,0)),"FEHLER: Profil unbekannt",IF(ISNA(MATCH($E278,lst_Werkstoff,0)),"FEHLER: Werkstoff unbekannt",IF(NOT(ISNUMBER(L278)),"FEHLER: Querschnitt fehlt (Profil)",IF(OR($F278="",$F278&lt;=0),"FEHLER: Teilelänge fehlt",IF(OR($G278="",$G278&lt;1),"FEHLER: Stückzahl fehlt",IF(NOT(ISNUMBER($H$4)),"FEHLER: Maschine fehlt/unbekannt",IF(Q278&gt;$H$7,"FEHLER: Stange länger als Maschine zulässt",IF($F278+$H$6&gt;T278,"FEHLER: Teil länger als Nutzlänge",IF(U278="nein","WARNUNG: kein gültiger Materialpreis",IF($H278="","HINWEIS: Schneidweg fehlt",IF(V278="","HINWEIS: keine Schneiddaten",IF(AND($AF278&lt;&gt;"",$AG278=""),"HINWEIS: Gewinde-Vorschlag prüfen","OK")))))))))))))</f>
        <v/>
      </c>
      <c r="X278" s="18" t="str">
        <f aca="false">IF(OR(O278="",$G278=""),"",O278*$G278)</f>
        <v/>
      </c>
      <c r="Y278" s="10"/>
      <c r="Z278" s="21"/>
      <c r="AA278" s="10"/>
      <c r="AB278" s="21"/>
      <c r="AC278" s="21"/>
      <c r="AD278" s="21"/>
      <c r="AE278" s="10"/>
      <c r="AF278" s="10"/>
      <c r="AG278" s="10"/>
      <c r="AH278" s="22"/>
      <c r="AI278" s="21"/>
      <c r="AJ278" s="22"/>
      <c r="AK278" s="21"/>
      <c r="AL278" s="22"/>
      <c r="AM278" s="21"/>
    </row>
    <row r="279" customFormat="false" ht="15" hidden="false" customHeight="false" outlineLevel="0" collapsed="false">
      <c r="A279" s="10"/>
      <c r="B279" s="10"/>
      <c r="C279" s="10"/>
      <c r="D279" s="10"/>
      <c r="E279" s="10"/>
      <c r="F279" s="21"/>
      <c r="G279" s="19"/>
      <c r="H279" s="21"/>
      <c r="I279" s="22"/>
      <c r="J279" s="19"/>
      <c r="K279" s="23" t="str">
        <f aca="false">IF($D279="","",IFERROR(INDEX(Profile!$B$5:$B$304,MATCH($D279,lst_Profil,0)),""))</f>
        <v/>
      </c>
      <c r="L279" s="13" t="str">
        <f aca="false">IF($D279="","",IFERROR(INDEX(Profile!$K$5:$K$304,MATCH($D279,lst_Profil,0))+0,""))</f>
        <v/>
      </c>
      <c r="M279" s="24" t="str">
        <f aca="false">IF($D279="","",IFERROR(INDEX(Profile!$E$5:$E$304,MATCH($D279,lst_Profil,0))+0,""))</f>
        <v/>
      </c>
      <c r="N279" s="25" t="str">
        <f aca="false">IF(OR(L279="",$E279=""),"",IFERROR(L279*INDEX(Werkstoffe!$E$5:$E$304,MATCH($E279,lst_Werkstoff,0))/1000,""))</f>
        <v/>
      </c>
      <c r="O279" s="25" t="str">
        <f aca="false">IF(OR(N279="",$F279=""),"",N279*$F279/1000)</f>
        <v/>
      </c>
      <c r="P279" s="16" t="str">
        <f aca="false">IF(OR($F279="",$G279=""),"",$F279*$G279)</f>
        <v/>
      </c>
      <c r="Q279" s="16" t="str">
        <f aca="false">IF($D279="","",IF($J279&lt;&gt;"",$J279,$C$9))</f>
        <v/>
      </c>
      <c r="R279" s="12" t="str">
        <f aca="false">IF($D279="","",IFERROR(IF(INDEX(Profile!$G$5:$G$304,MATCH($D279,lst_Profil,0))&lt;&gt;"",INDEX(Profile!$G$5:$G$304,MATCH($D279,lst_Profil,0)),$H$4),$H$4))</f>
        <v/>
      </c>
      <c r="S279" s="12" t="str">
        <f aca="false">IF($D279="","",IFERROR(IF(INDEX(Profile!$H$5:$H$304,MATCH($D279,lst_Profil,0))&lt;&gt;"",INDEX(Profile!$H$5:$H$304,MATCH($D279,lst_Profil,0)),$H$5),$H$5))</f>
        <v/>
      </c>
      <c r="T279" s="16" t="str">
        <f aca="false">IF(OR(Q279="",NOT(ISNUMBER(R279)),NOT(ISNUMBER(S279))),"",Q279-R279-S279)</f>
        <v/>
      </c>
      <c r="U279" s="26" t="str">
        <f aca="false">IF(OR($D279="",$E279=""),"",IF(COUNTIFS(Preise!$A$5:$A$304,$D279,Preise!$B$5:$B$304,$E279,Preise!$I$5:$I$304,"OK")&gt;0,"ja","nein"))</f>
        <v/>
      </c>
      <c r="V279" s="15" t="str">
        <f aca="false">IF(OR(M279="",$E279="",$C$8=""),"",IF(_xlfn.MINIFS(Schneiddaten!$C$5:$C$304,Schneiddaten!$A$5:$A$304,$C$8,Schneiddaten!$B$5:$B$304,$E279,Schneiddaten!$C$5:$C$304,"&gt;="&amp;M279)=0,"",SUMIFS(Schneiddaten!$D$5:$D$304,Schneiddaten!$A$5:$A$304,$C$8,Schneiddaten!$B$5:$B$304,$E279,Schneiddaten!$C$5:$C$304,_xlfn.MINIFS(Schneiddaten!$C$5:$C$304,Schneiddaten!$A$5:$A$304,$C$8,Schneiddaten!$B$5:$B$304,$E279,Schneiddaten!$C$5:$C$304,"&gt;="&amp;M279))))</f>
        <v/>
      </c>
      <c r="W279" s="26" t="str">
        <f aca="false">IF(AND($D279="",$E279="",$F279="",$G279=""),"",IF(ISNA(MATCH($D279,lst_Profil,0)),"FEHLER: Profil unbekannt",IF(ISNA(MATCH($E279,lst_Werkstoff,0)),"FEHLER: Werkstoff unbekannt",IF(NOT(ISNUMBER(L279)),"FEHLER: Querschnitt fehlt (Profil)",IF(OR($F279="",$F279&lt;=0),"FEHLER: Teilelänge fehlt",IF(OR($G279="",$G279&lt;1),"FEHLER: Stückzahl fehlt",IF(NOT(ISNUMBER($H$4)),"FEHLER: Maschine fehlt/unbekannt",IF(Q279&gt;$H$7,"FEHLER: Stange länger als Maschine zulässt",IF($F279+$H$6&gt;T279,"FEHLER: Teil länger als Nutzlänge",IF(U279="nein","WARNUNG: kein gültiger Materialpreis",IF($H279="","HINWEIS: Schneidweg fehlt",IF(V279="","HINWEIS: keine Schneiddaten",IF(AND($AF279&lt;&gt;"",$AG279=""),"HINWEIS: Gewinde-Vorschlag prüfen","OK")))))))))))))</f>
        <v/>
      </c>
      <c r="X279" s="18" t="str">
        <f aca="false">IF(OR(O279="",$G279=""),"",O279*$G279)</f>
        <v/>
      </c>
      <c r="Y279" s="10"/>
      <c r="Z279" s="21"/>
      <c r="AA279" s="10"/>
      <c r="AB279" s="21"/>
      <c r="AC279" s="21"/>
      <c r="AD279" s="21"/>
      <c r="AE279" s="10"/>
      <c r="AF279" s="10"/>
      <c r="AG279" s="10"/>
      <c r="AH279" s="22"/>
      <c r="AI279" s="21"/>
      <c r="AJ279" s="22"/>
      <c r="AK279" s="21"/>
      <c r="AL279" s="22"/>
      <c r="AM279" s="21"/>
    </row>
    <row r="280" customFormat="false" ht="15" hidden="false" customHeight="false" outlineLevel="0" collapsed="false">
      <c r="A280" s="10"/>
      <c r="B280" s="10"/>
      <c r="C280" s="10"/>
      <c r="D280" s="10"/>
      <c r="E280" s="10"/>
      <c r="F280" s="21"/>
      <c r="G280" s="19"/>
      <c r="H280" s="21"/>
      <c r="I280" s="22"/>
      <c r="J280" s="19"/>
      <c r="K280" s="23" t="str">
        <f aca="false">IF($D280="","",IFERROR(INDEX(Profile!$B$5:$B$304,MATCH($D280,lst_Profil,0)),""))</f>
        <v/>
      </c>
      <c r="L280" s="13" t="str">
        <f aca="false">IF($D280="","",IFERROR(INDEX(Profile!$K$5:$K$304,MATCH($D280,lst_Profil,0))+0,""))</f>
        <v/>
      </c>
      <c r="M280" s="24" t="str">
        <f aca="false">IF($D280="","",IFERROR(INDEX(Profile!$E$5:$E$304,MATCH($D280,lst_Profil,0))+0,""))</f>
        <v/>
      </c>
      <c r="N280" s="25" t="str">
        <f aca="false">IF(OR(L280="",$E280=""),"",IFERROR(L280*INDEX(Werkstoffe!$E$5:$E$304,MATCH($E280,lst_Werkstoff,0))/1000,""))</f>
        <v/>
      </c>
      <c r="O280" s="25" t="str">
        <f aca="false">IF(OR(N280="",$F280=""),"",N280*$F280/1000)</f>
        <v/>
      </c>
      <c r="P280" s="16" t="str">
        <f aca="false">IF(OR($F280="",$G280=""),"",$F280*$G280)</f>
        <v/>
      </c>
      <c r="Q280" s="16" t="str">
        <f aca="false">IF($D280="","",IF($J280&lt;&gt;"",$J280,$C$9))</f>
        <v/>
      </c>
      <c r="R280" s="12" t="str">
        <f aca="false">IF($D280="","",IFERROR(IF(INDEX(Profile!$G$5:$G$304,MATCH($D280,lst_Profil,0))&lt;&gt;"",INDEX(Profile!$G$5:$G$304,MATCH($D280,lst_Profil,0)),$H$4),$H$4))</f>
        <v/>
      </c>
      <c r="S280" s="12" t="str">
        <f aca="false">IF($D280="","",IFERROR(IF(INDEX(Profile!$H$5:$H$304,MATCH($D280,lst_Profil,0))&lt;&gt;"",INDEX(Profile!$H$5:$H$304,MATCH($D280,lst_Profil,0)),$H$5),$H$5))</f>
        <v/>
      </c>
      <c r="T280" s="16" t="str">
        <f aca="false">IF(OR(Q280="",NOT(ISNUMBER(R280)),NOT(ISNUMBER(S280))),"",Q280-R280-S280)</f>
        <v/>
      </c>
      <c r="U280" s="26" t="str">
        <f aca="false">IF(OR($D280="",$E280=""),"",IF(COUNTIFS(Preise!$A$5:$A$304,$D280,Preise!$B$5:$B$304,$E280,Preise!$I$5:$I$304,"OK")&gt;0,"ja","nein"))</f>
        <v/>
      </c>
      <c r="V280" s="15" t="str">
        <f aca="false">IF(OR(M280="",$E280="",$C$8=""),"",IF(_xlfn.MINIFS(Schneiddaten!$C$5:$C$304,Schneiddaten!$A$5:$A$304,$C$8,Schneiddaten!$B$5:$B$304,$E280,Schneiddaten!$C$5:$C$304,"&gt;="&amp;M280)=0,"",SUMIFS(Schneiddaten!$D$5:$D$304,Schneiddaten!$A$5:$A$304,$C$8,Schneiddaten!$B$5:$B$304,$E280,Schneiddaten!$C$5:$C$304,_xlfn.MINIFS(Schneiddaten!$C$5:$C$304,Schneiddaten!$A$5:$A$304,$C$8,Schneiddaten!$B$5:$B$304,$E280,Schneiddaten!$C$5:$C$304,"&gt;="&amp;M280))))</f>
        <v/>
      </c>
      <c r="W280" s="26" t="str">
        <f aca="false">IF(AND($D280="",$E280="",$F280="",$G280=""),"",IF(ISNA(MATCH($D280,lst_Profil,0)),"FEHLER: Profil unbekannt",IF(ISNA(MATCH($E280,lst_Werkstoff,0)),"FEHLER: Werkstoff unbekannt",IF(NOT(ISNUMBER(L280)),"FEHLER: Querschnitt fehlt (Profil)",IF(OR($F280="",$F280&lt;=0),"FEHLER: Teilelänge fehlt",IF(OR($G280="",$G280&lt;1),"FEHLER: Stückzahl fehlt",IF(NOT(ISNUMBER($H$4)),"FEHLER: Maschine fehlt/unbekannt",IF(Q280&gt;$H$7,"FEHLER: Stange länger als Maschine zulässt",IF($F280+$H$6&gt;T280,"FEHLER: Teil länger als Nutzlänge",IF(U280="nein","WARNUNG: kein gültiger Materialpreis",IF($H280="","HINWEIS: Schneidweg fehlt",IF(V280="","HINWEIS: keine Schneiddaten",IF(AND($AF280&lt;&gt;"",$AG280=""),"HINWEIS: Gewinde-Vorschlag prüfen","OK")))))))))))))</f>
        <v/>
      </c>
      <c r="X280" s="18" t="str">
        <f aca="false">IF(OR(O280="",$G280=""),"",O280*$G280)</f>
        <v/>
      </c>
      <c r="Y280" s="10"/>
      <c r="Z280" s="21"/>
      <c r="AA280" s="10"/>
      <c r="AB280" s="21"/>
      <c r="AC280" s="21"/>
      <c r="AD280" s="21"/>
      <c r="AE280" s="10"/>
      <c r="AF280" s="10"/>
      <c r="AG280" s="10"/>
      <c r="AH280" s="22"/>
      <c r="AI280" s="21"/>
      <c r="AJ280" s="22"/>
      <c r="AK280" s="21"/>
      <c r="AL280" s="22"/>
      <c r="AM280" s="21"/>
    </row>
    <row r="281" customFormat="false" ht="15" hidden="false" customHeight="false" outlineLevel="0" collapsed="false">
      <c r="A281" s="10"/>
      <c r="B281" s="10"/>
      <c r="C281" s="10"/>
      <c r="D281" s="10"/>
      <c r="E281" s="10"/>
      <c r="F281" s="21"/>
      <c r="G281" s="19"/>
      <c r="H281" s="21"/>
      <c r="I281" s="22"/>
      <c r="J281" s="19"/>
      <c r="K281" s="23" t="str">
        <f aca="false">IF($D281="","",IFERROR(INDEX(Profile!$B$5:$B$304,MATCH($D281,lst_Profil,0)),""))</f>
        <v/>
      </c>
      <c r="L281" s="13" t="str">
        <f aca="false">IF($D281="","",IFERROR(INDEX(Profile!$K$5:$K$304,MATCH($D281,lst_Profil,0))+0,""))</f>
        <v/>
      </c>
      <c r="M281" s="24" t="str">
        <f aca="false">IF($D281="","",IFERROR(INDEX(Profile!$E$5:$E$304,MATCH($D281,lst_Profil,0))+0,""))</f>
        <v/>
      </c>
      <c r="N281" s="25" t="str">
        <f aca="false">IF(OR(L281="",$E281=""),"",IFERROR(L281*INDEX(Werkstoffe!$E$5:$E$304,MATCH($E281,lst_Werkstoff,0))/1000,""))</f>
        <v/>
      </c>
      <c r="O281" s="25" t="str">
        <f aca="false">IF(OR(N281="",$F281=""),"",N281*$F281/1000)</f>
        <v/>
      </c>
      <c r="P281" s="16" t="str">
        <f aca="false">IF(OR($F281="",$G281=""),"",$F281*$G281)</f>
        <v/>
      </c>
      <c r="Q281" s="16" t="str">
        <f aca="false">IF($D281="","",IF($J281&lt;&gt;"",$J281,$C$9))</f>
        <v/>
      </c>
      <c r="R281" s="12" t="str">
        <f aca="false">IF($D281="","",IFERROR(IF(INDEX(Profile!$G$5:$G$304,MATCH($D281,lst_Profil,0))&lt;&gt;"",INDEX(Profile!$G$5:$G$304,MATCH($D281,lst_Profil,0)),$H$4),$H$4))</f>
        <v/>
      </c>
      <c r="S281" s="12" t="str">
        <f aca="false">IF($D281="","",IFERROR(IF(INDEX(Profile!$H$5:$H$304,MATCH($D281,lst_Profil,0))&lt;&gt;"",INDEX(Profile!$H$5:$H$304,MATCH($D281,lst_Profil,0)),$H$5),$H$5))</f>
        <v/>
      </c>
      <c r="T281" s="16" t="str">
        <f aca="false">IF(OR(Q281="",NOT(ISNUMBER(R281)),NOT(ISNUMBER(S281))),"",Q281-R281-S281)</f>
        <v/>
      </c>
      <c r="U281" s="26" t="str">
        <f aca="false">IF(OR($D281="",$E281=""),"",IF(COUNTIFS(Preise!$A$5:$A$304,$D281,Preise!$B$5:$B$304,$E281,Preise!$I$5:$I$304,"OK")&gt;0,"ja","nein"))</f>
        <v/>
      </c>
      <c r="V281" s="15" t="str">
        <f aca="false">IF(OR(M281="",$E281="",$C$8=""),"",IF(_xlfn.MINIFS(Schneiddaten!$C$5:$C$304,Schneiddaten!$A$5:$A$304,$C$8,Schneiddaten!$B$5:$B$304,$E281,Schneiddaten!$C$5:$C$304,"&gt;="&amp;M281)=0,"",SUMIFS(Schneiddaten!$D$5:$D$304,Schneiddaten!$A$5:$A$304,$C$8,Schneiddaten!$B$5:$B$304,$E281,Schneiddaten!$C$5:$C$304,_xlfn.MINIFS(Schneiddaten!$C$5:$C$304,Schneiddaten!$A$5:$A$304,$C$8,Schneiddaten!$B$5:$B$304,$E281,Schneiddaten!$C$5:$C$304,"&gt;="&amp;M281))))</f>
        <v/>
      </c>
      <c r="W281" s="26" t="str">
        <f aca="false">IF(AND($D281="",$E281="",$F281="",$G281=""),"",IF(ISNA(MATCH($D281,lst_Profil,0)),"FEHLER: Profil unbekannt",IF(ISNA(MATCH($E281,lst_Werkstoff,0)),"FEHLER: Werkstoff unbekannt",IF(NOT(ISNUMBER(L281)),"FEHLER: Querschnitt fehlt (Profil)",IF(OR($F281="",$F281&lt;=0),"FEHLER: Teilelänge fehlt",IF(OR($G281="",$G281&lt;1),"FEHLER: Stückzahl fehlt",IF(NOT(ISNUMBER($H$4)),"FEHLER: Maschine fehlt/unbekannt",IF(Q281&gt;$H$7,"FEHLER: Stange länger als Maschine zulässt",IF($F281+$H$6&gt;T281,"FEHLER: Teil länger als Nutzlänge",IF(U281="nein","WARNUNG: kein gültiger Materialpreis",IF($H281="","HINWEIS: Schneidweg fehlt",IF(V281="","HINWEIS: keine Schneiddaten",IF(AND($AF281&lt;&gt;"",$AG281=""),"HINWEIS: Gewinde-Vorschlag prüfen","OK")))))))))))))</f>
        <v/>
      </c>
      <c r="X281" s="18" t="str">
        <f aca="false">IF(OR(O281="",$G281=""),"",O281*$G281)</f>
        <v/>
      </c>
      <c r="Y281" s="10"/>
      <c r="Z281" s="21"/>
      <c r="AA281" s="10"/>
      <c r="AB281" s="21"/>
      <c r="AC281" s="21"/>
      <c r="AD281" s="21"/>
      <c r="AE281" s="10"/>
      <c r="AF281" s="10"/>
      <c r="AG281" s="10"/>
      <c r="AH281" s="22"/>
      <c r="AI281" s="21"/>
      <c r="AJ281" s="22"/>
      <c r="AK281" s="21"/>
      <c r="AL281" s="22"/>
      <c r="AM281" s="21"/>
    </row>
    <row r="282" customFormat="false" ht="15" hidden="false" customHeight="false" outlineLevel="0" collapsed="false">
      <c r="A282" s="10"/>
      <c r="B282" s="10"/>
      <c r="C282" s="10"/>
      <c r="D282" s="10"/>
      <c r="E282" s="10"/>
      <c r="F282" s="21"/>
      <c r="G282" s="19"/>
      <c r="H282" s="21"/>
      <c r="I282" s="22"/>
      <c r="J282" s="19"/>
      <c r="K282" s="23" t="str">
        <f aca="false">IF($D282="","",IFERROR(INDEX(Profile!$B$5:$B$304,MATCH($D282,lst_Profil,0)),""))</f>
        <v/>
      </c>
      <c r="L282" s="13" t="str">
        <f aca="false">IF($D282="","",IFERROR(INDEX(Profile!$K$5:$K$304,MATCH($D282,lst_Profil,0))+0,""))</f>
        <v/>
      </c>
      <c r="M282" s="24" t="str">
        <f aca="false">IF($D282="","",IFERROR(INDEX(Profile!$E$5:$E$304,MATCH($D282,lst_Profil,0))+0,""))</f>
        <v/>
      </c>
      <c r="N282" s="25" t="str">
        <f aca="false">IF(OR(L282="",$E282=""),"",IFERROR(L282*INDEX(Werkstoffe!$E$5:$E$304,MATCH($E282,lst_Werkstoff,0))/1000,""))</f>
        <v/>
      </c>
      <c r="O282" s="25" t="str">
        <f aca="false">IF(OR(N282="",$F282=""),"",N282*$F282/1000)</f>
        <v/>
      </c>
      <c r="P282" s="16" t="str">
        <f aca="false">IF(OR($F282="",$G282=""),"",$F282*$G282)</f>
        <v/>
      </c>
      <c r="Q282" s="16" t="str">
        <f aca="false">IF($D282="","",IF($J282&lt;&gt;"",$J282,$C$9))</f>
        <v/>
      </c>
      <c r="R282" s="12" t="str">
        <f aca="false">IF($D282="","",IFERROR(IF(INDEX(Profile!$G$5:$G$304,MATCH($D282,lst_Profil,0))&lt;&gt;"",INDEX(Profile!$G$5:$G$304,MATCH($D282,lst_Profil,0)),$H$4),$H$4))</f>
        <v/>
      </c>
      <c r="S282" s="12" t="str">
        <f aca="false">IF($D282="","",IFERROR(IF(INDEX(Profile!$H$5:$H$304,MATCH($D282,lst_Profil,0))&lt;&gt;"",INDEX(Profile!$H$5:$H$304,MATCH($D282,lst_Profil,0)),$H$5),$H$5))</f>
        <v/>
      </c>
      <c r="T282" s="16" t="str">
        <f aca="false">IF(OR(Q282="",NOT(ISNUMBER(R282)),NOT(ISNUMBER(S282))),"",Q282-R282-S282)</f>
        <v/>
      </c>
      <c r="U282" s="26" t="str">
        <f aca="false">IF(OR($D282="",$E282=""),"",IF(COUNTIFS(Preise!$A$5:$A$304,$D282,Preise!$B$5:$B$304,$E282,Preise!$I$5:$I$304,"OK")&gt;0,"ja","nein"))</f>
        <v/>
      </c>
      <c r="V282" s="15" t="str">
        <f aca="false">IF(OR(M282="",$E282="",$C$8=""),"",IF(_xlfn.MINIFS(Schneiddaten!$C$5:$C$304,Schneiddaten!$A$5:$A$304,$C$8,Schneiddaten!$B$5:$B$304,$E282,Schneiddaten!$C$5:$C$304,"&gt;="&amp;M282)=0,"",SUMIFS(Schneiddaten!$D$5:$D$304,Schneiddaten!$A$5:$A$304,$C$8,Schneiddaten!$B$5:$B$304,$E282,Schneiddaten!$C$5:$C$304,_xlfn.MINIFS(Schneiddaten!$C$5:$C$304,Schneiddaten!$A$5:$A$304,$C$8,Schneiddaten!$B$5:$B$304,$E282,Schneiddaten!$C$5:$C$304,"&gt;="&amp;M282))))</f>
        <v/>
      </c>
      <c r="W282" s="26" t="str">
        <f aca="false">IF(AND($D282="",$E282="",$F282="",$G282=""),"",IF(ISNA(MATCH($D282,lst_Profil,0)),"FEHLER: Profil unbekannt",IF(ISNA(MATCH($E282,lst_Werkstoff,0)),"FEHLER: Werkstoff unbekannt",IF(NOT(ISNUMBER(L282)),"FEHLER: Querschnitt fehlt (Profil)",IF(OR($F282="",$F282&lt;=0),"FEHLER: Teilelänge fehlt",IF(OR($G282="",$G282&lt;1),"FEHLER: Stückzahl fehlt",IF(NOT(ISNUMBER($H$4)),"FEHLER: Maschine fehlt/unbekannt",IF(Q282&gt;$H$7,"FEHLER: Stange länger als Maschine zulässt",IF($F282+$H$6&gt;T282,"FEHLER: Teil länger als Nutzlänge",IF(U282="nein","WARNUNG: kein gültiger Materialpreis",IF($H282="","HINWEIS: Schneidweg fehlt",IF(V282="","HINWEIS: keine Schneiddaten",IF(AND($AF282&lt;&gt;"",$AG282=""),"HINWEIS: Gewinde-Vorschlag prüfen","OK")))))))))))))</f>
        <v/>
      </c>
      <c r="X282" s="18" t="str">
        <f aca="false">IF(OR(O282="",$G282=""),"",O282*$G282)</f>
        <v/>
      </c>
      <c r="Y282" s="10"/>
      <c r="Z282" s="21"/>
      <c r="AA282" s="10"/>
      <c r="AB282" s="21"/>
      <c r="AC282" s="21"/>
      <c r="AD282" s="21"/>
      <c r="AE282" s="10"/>
      <c r="AF282" s="10"/>
      <c r="AG282" s="10"/>
      <c r="AH282" s="22"/>
      <c r="AI282" s="21"/>
      <c r="AJ282" s="22"/>
      <c r="AK282" s="21"/>
      <c r="AL282" s="22"/>
      <c r="AM282" s="21"/>
    </row>
    <row r="283" customFormat="false" ht="15" hidden="false" customHeight="false" outlineLevel="0" collapsed="false">
      <c r="A283" s="10"/>
      <c r="B283" s="10"/>
      <c r="C283" s="10"/>
      <c r="D283" s="10"/>
      <c r="E283" s="10"/>
      <c r="F283" s="21"/>
      <c r="G283" s="19"/>
      <c r="H283" s="21"/>
      <c r="I283" s="22"/>
      <c r="J283" s="19"/>
      <c r="K283" s="23" t="str">
        <f aca="false">IF($D283="","",IFERROR(INDEX(Profile!$B$5:$B$304,MATCH($D283,lst_Profil,0)),""))</f>
        <v/>
      </c>
      <c r="L283" s="13" t="str">
        <f aca="false">IF($D283="","",IFERROR(INDEX(Profile!$K$5:$K$304,MATCH($D283,lst_Profil,0))+0,""))</f>
        <v/>
      </c>
      <c r="M283" s="24" t="str">
        <f aca="false">IF($D283="","",IFERROR(INDEX(Profile!$E$5:$E$304,MATCH($D283,lst_Profil,0))+0,""))</f>
        <v/>
      </c>
      <c r="N283" s="25" t="str">
        <f aca="false">IF(OR(L283="",$E283=""),"",IFERROR(L283*INDEX(Werkstoffe!$E$5:$E$304,MATCH($E283,lst_Werkstoff,0))/1000,""))</f>
        <v/>
      </c>
      <c r="O283" s="25" t="str">
        <f aca="false">IF(OR(N283="",$F283=""),"",N283*$F283/1000)</f>
        <v/>
      </c>
      <c r="P283" s="16" t="str">
        <f aca="false">IF(OR($F283="",$G283=""),"",$F283*$G283)</f>
        <v/>
      </c>
      <c r="Q283" s="16" t="str">
        <f aca="false">IF($D283="","",IF($J283&lt;&gt;"",$J283,$C$9))</f>
        <v/>
      </c>
      <c r="R283" s="12" t="str">
        <f aca="false">IF($D283="","",IFERROR(IF(INDEX(Profile!$G$5:$G$304,MATCH($D283,lst_Profil,0))&lt;&gt;"",INDEX(Profile!$G$5:$G$304,MATCH($D283,lst_Profil,0)),$H$4),$H$4))</f>
        <v/>
      </c>
      <c r="S283" s="12" t="str">
        <f aca="false">IF($D283="","",IFERROR(IF(INDEX(Profile!$H$5:$H$304,MATCH($D283,lst_Profil,0))&lt;&gt;"",INDEX(Profile!$H$5:$H$304,MATCH($D283,lst_Profil,0)),$H$5),$H$5))</f>
        <v/>
      </c>
      <c r="T283" s="16" t="str">
        <f aca="false">IF(OR(Q283="",NOT(ISNUMBER(R283)),NOT(ISNUMBER(S283))),"",Q283-R283-S283)</f>
        <v/>
      </c>
      <c r="U283" s="26" t="str">
        <f aca="false">IF(OR($D283="",$E283=""),"",IF(COUNTIFS(Preise!$A$5:$A$304,$D283,Preise!$B$5:$B$304,$E283,Preise!$I$5:$I$304,"OK")&gt;0,"ja","nein"))</f>
        <v/>
      </c>
      <c r="V283" s="15" t="str">
        <f aca="false">IF(OR(M283="",$E283="",$C$8=""),"",IF(_xlfn.MINIFS(Schneiddaten!$C$5:$C$304,Schneiddaten!$A$5:$A$304,$C$8,Schneiddaten!$B$5:$B$304,$E283,Schneiddaten!$C$5:$C$304,"&gt;="&amp;M283)=0,"",SUMIFS(Schneiddaten!$D$5:$D$304,Schneiddaten!$A$5:$A$304,$C$8,Schneiddaten!$B$5:$B$304,$E283,Schneiddaten!$C$5:$C$304,_xlfn.MINIFS(Schneiddaten!$C$5:$C$304,Schneiddaten!$A$5:$A$304,$C$8,Schneiddaten!$B$5:$B$304,$E283,Schneiddaten!$C$5:$C$304,"&gt;="&amp;M283))))</f>
        <v/>
      </c>
      <c r="W283" s="26" t="str">
        <f aca="false">IF(AND($D283="",$E283="",$F283="",$G283=""),"",IF(ISNA(MATCH($D283,lst_Profil,0)),"FEHLER: Profil unbekannt",IF(ISNA(MATCH($E283,lst_Werkstoff,0)),"FEHLER: Werkstoff unbekannt",IF(NOT(ISNUMBER(L283)),"FEHLER: Querschnitt fehlt (Profil)",IF(OR($F283="",$F283&lt;=0),"FEHLER: Teilelänge fehlt",IF(OR($G283="",$G283&lt;1),"FEHLER: Stückzahl fehlt",IF(NOT(ISNUMBER($H$4)),"FEHLER: Maschine fehlt/unbekannt",IF(Q283&gt;$H$7,"FEHLER: Stange länger als Maschine zulässt",IF($F283+$H$6&gt;T283,"FEHLER: Teil länger als Nutzlänge",IF(U283="nein","WARNUNG: kein gültiger Materialpreis",IF($H283="","HINWEIS: Schneidweg fehlt",IF(V283="","HINWEIS: keine Schneiddaten",IF(AND($AF283&lt;&gt;"",$AG283=""),"HINWEIS: Gewinde-Vorschlag prüfen","OK")))))))))))))</f>
        <v/>
      </c>
      <c r="X283" s="18" t="str">
        <f aca="false">IF(OR(O283="",$G283=""),"",O283*$G283)</f>
        <v/>
      </c>
      <c r="Y283" s="10"/>
      <c r="Z283" s="21"/>
      <c r="AA283" s="10"/>
      <c r="AB283" s="21"/>
      <c r="AC283" s="21"/>
      <c r="AD283" s="21"/>
      <c r="AE283" s="10"/>
      <c r="AF283" s="10"/>
      <c r="AG283" s="10"/>
      <c r="AH283" s="22"/>
      <c r="AI283" s="21"/>
      <c r="AJ283" s="22"/>
      <c r="AK283" s="21"/>
      <c r="AL283" s="22"/>
      <c r="AM283" s="21"/>
    </row>
    <row r="284" customFormat="false" ht="15" hidden="false" customHeight="false" outlineLevel="0" collapsed="false">
      <c r="A284" s="10"/>
      <c r="B284" s="10"/>
      <c r="C284" s="10"/>
      <c r="D284" s="10"/>
      <c r="E284" s="10"/>
      <c r="F284" s="21"/>
      <c r="G284" s="19"/>
      <c r="H284" s="21"/>
      <c r="I284" s="22"/>
      <c r="J284" s="19"/>
      <c r="K284" s="23" t="str">
        <f aca="false">IF($D284="","",IFERROR(INDEX(Profile!$B$5:$B$304,MATCH($D284,lst_Profil,0)),""))</f>
        <v/>
      </c>
      <c r="L284" s="13" t="str">
        <f aca="false">IF($D284="","",IFERROR(INDEX(Profile!$K$5:$K$304,MATCH($D284,lst_Profil,0))+0,""))</f>
        <v/>
      </c>
      <c r="M284" s="24" t="str">
        <f aca="false">IF($D284="","",IFERROR(INDEX(Profile!$E$5:$E$304,MATCH($D284,lst_Profil,0))+0,""))</f>
        <v/>
      </c>
      <c r="N284" s="25" t="str">
        <f aca="false">IF(OR(L284="",$E284=""),"",IFERROR(L284*INDEX(Werkstoffe!$E$5:$E$304,MATCH($E284,lst_Werkstoff,0))/1000,""))</f>
        <v/>
      </c>
      <c r="O284" s="25" t="str">
        <f aca="false">IF(OR(N284="",$F284=""),"",N284*$F284/1000)</f>
        <v/>
      </c>
      <c r="P284" s="16" t="str">
        <f aca="false">IF(OR($F284="",$G284=""),"",$F284*$G284)</f>
        <v/>
      </c>
      <c r="Q284" s="16" t="str">
        <f aca="false">IF($D284="","",IF($J284&lt;&gt;"",$J284,$C$9))</f>
        <v/>
      </c>
      <c r="R284" s="12" t="str">
        <f aca="false">IF($D284="","",IFERROR(IF(INDEX(Profile!$G$5:$G$304,MATCH($D284,lst_Profil,0))&lt;&gt;"",INDEX(Profile!$G$5:$G$304,MATCH($D284,lst_Profil,0)),$H$4),$H$4))</f>
        <v/>
      </c>
      <c r="S284" s="12" t="str">
        <f aca="false">IF($D284="","",IFERROR(IF(INDEX(Profile!$H$5:$H$304,MATCH($D284,lst_Profil,0))&lt;&gt;"",INDEX(Profile!$H$5:$H$304,MATCH($D284,lst_Profil,0)),$H$5),$H$5))</f>
        <v/>
      </c>
      <c r="T284" s="16" t="str">
        <f aca="false">IF(OR(Q284="",NOT(ISNUMBER(R284)),NOT(ISNUMBER(S284))),"",Q284-R284-S284)</f>
        <v/>
      </c>
      <c r="U284" s="26" t="str">
        <f aca="false">IF(OR($D284="",$E284=""),"",IF(COUNTIFS(Preise!$A$5:$A$304,$D284,Preise!$B$5:$B$304,$E284,Preise!$I$5:$I$304,"OK")&gt;0,"ja","nein"))</f>
        <v/>
      </c>
      <c r="V284" s="15" t="str">
        <f aca="false">IF(OR(M284="",$E284="",$C$8=""),"",IF(_xlfn.MINIFS(Schneiddaten!$C$5:$C$304,Schneiddaten!$A$5:$A$304,$C$8,Schneiddaten!$B$5:$B$304,$E284,Schneiddaten!$C$5:$C$304,"&gt;="&amp;M284)=0,"",SUMIFS(Schneiddaten!$D$5:$D$304,Schneiddaten!$A$5:$A$304,$C$8,Schneiddaten!$B$5:$B$304,$E284,Schneiddaten!$C$5:$C$304,_xlfn.MINIFS(Schneiddaten!$C$5:$C$304,Schneiddaten!$A$5:$A$304,$C$8,Schneiddaten!$B$5:$B$304,$E284,Schneiddaten!$C$5:$C$304,"&gt;="&amp;M284))))</f>
        <v/>
      </c>
      <c r="W284" s="26" t="str">
        <f aca="false">IF(AND($D284="",$E284="",$F284="",$G284=""),"",IF(ISNA(MATCH($D284,lst_Profil,0)),"FEHLER: Profil unbekannt",IF(ISNA(MATCH($E284,lst_Werkstoff,0)),"FEHLER: Werkstoff unbekannt",IF(NOT(ISNUMBER(L284)),"FEHLER: Querschnitt fehlt (Profil)",IF(OR($F284="",$F284&lt;=0),"FEHLER: Teilelänge fehlt",IF(OR($G284="",$G284&lt;1),"FEHLER: Stückzahl fehlt",IF(NOT(ISNUMBER($H$4)),"FEHLER: Maschine fehlt/unbekannt",IF(Q284&gt;$H$7,"FEHLER: Stange länger als Maschine zulässt",IF($F284+$H$6&gt;T284,"FEHLER: Teil länger als Nutzlänge",IF(U284="nein","WARNUNG: kein gültiger Materialpreis",IF($H284="","HINWEIS: Schneidweg fehlt",IF(V284="","HINWEIS: keine Schneiddaten",IF(AND($AF284&lt;&gt;"",$AG284=""),"HINWEIS: Gewinde-Vorschlag prüfen","OK")))))))))))))</f>
        <v/>
      </c>
      <c r="X284" s="18" t="str">
        <f aca="false">IF(OR(O284="",$G284=""),"",O284*$G284)</f>
        <v/>
      </c>
      <c r="Y284" s="10"/>
      <c r="Z284" s="21"/>
      <c r="AA284" s="10"/>
      <c r="AB284" s="21"/>
      <c r="AC284" s="21"/>
      <c r="AD284" s="21"/>
      <c r="AE284" s="10"/>
      <c r="AF284" s="10"/>
      <c r="AG284" s="10"/>
      <c r="AH284" s="22"/>
      <c r="AI284" s="21"/>
      <c r="AJ284" s="22"/>
      <c r="AK284" s="21"/>
      <c r="AL284" s="22"/>
      <c r="AM284" s="21"/>
    </row>
    <row r="285" customFormat="false" ht="15" hidden="false" customHeight="false" outlineLevel="0" collapsed="false">
      <c r="A285" s="10"/>
      <c r="B285" s="10"/>
      <c r="C285" s="10"/>
      <c r="D285" s="10"/>
      <c r="E285" s="10"/>
      <c r="F285" s="21"/>
      <c r="G285" s="19"/>
      <c r="H285" s="21"/>
      <c r="I285" s="22"/>
      <c r="J285" s="19"/>
      <c r="K285" s="23" t="str">
        <f aca="false">IF($D285="","",IFERROR(INDEX(Profile!$B$5:$B$304,MATCH($D285,lst_Profil,0)),""))</f>
        <v/>
      </c>
      <c r="L285" s="13" t="str">
        <f aca="false">IF($D285="","",IFERROR(INDEX(Profile!$K$5:$K$304,MATCH($D285,lst_Profil,0))+0,""))</f>
        <v/>
      </c>
      <c r="M285" s="24" t="str">
        <f aca="false">IF($D285="","",IFERROR(INDEX(Profile!$E$5:$E$304,MATCH($D285,lst_Profil,0))+0,""))</f>
        <v/>
      </c>
      <c r="N285" s="25" t="str">
        <f aca="false">IF(OR(L285="",$E285=""),"",IFERROR(L285*INDEX(Werkstoffe!$E$5:$E$304,MATCH($E285,lst_Werkstoff,0))/1000,""))</f>
        <v/>
      </c>
      <c r="O285" s="25" t="str">
        <f aca="false">IF(OR(N285="",$F285=""),"",N285*$F285/1000)</f>
        <v/>
      </c>
      <c r="P285" s="16" t="str">
        <f aca="false">IF(OR($F285="",$G285=""),"",$F285*$G285)</f>
        <v/>
      </c>
      <c r="Q285" s="16" t="str">
        <f aca="false">IF($D285="","",IF($J285&lt;&gt;"",$J285,$C$9))</f>
        <v/>
      </c>
      <c r="R285" s="12" t="str">
        <f aca="false">IF($D285="","",IFERROR(IF(INDEX(Profile!$G$5:$G$304,MATCH($D285,lst_Profil,0))&lt;&gt;"",INDEX(Profile!$G$5:$G$304,MATCH($D285,lst_Profil,0)),$H$4),$H$4))</f>
        <v/>
      </c>
      <c r="S285" s="12" t="str">
        <f aca="false">IF($D285="","",IFERROR(IF(INDEX(Profile!$H$5:$H$304,MATCH($D285,lst_Profil,0))&lt;&gt;"",INDEX(Profile!$H$5:$H$304,MATCH($D285,lst_Profil,0)),$H$5),$H$5))</f>
        <v/>
      </c>
      <c r="T285" s="16" t="str">
        <f aca="false">IF(OR(Q285="",NOT(ISNUMBER(R285)),NOT(ISNUMBER(S285))),"",Q285-R285-S285)</f>
        <v/>
      </c>
      <c r="U285" s="26" t="str">
        <f aca="false">IF(OR($D285="",$E285=""),"",IF(COUNTIFS(Preise!$A$5:$A$304,$D285,Preise!$B$5:$B$304,$E285,Preise!$I$5:$I$304,"OK")&gt;0,"ja","nein"))</f>
        <v/>
      </c>
      <c r="V285" s="15" t="str">
        <f aca="false">IF(OR(M285="",$E285="",$C$8=""),"",IF(_xlfn.MINIFS(Schneiddaten!$C$5:$C$304,Schneiddaten!$A$5:$A$304,$C$8,Schneiddaten!$B$5:$B$304,$E285,Schneiddaten!$C$5:$C$304,"&gt;="&amp;M285)=0,"",SUMIFS(Schneiddaten!$D$5:$D$304,Schneiddaten!$A$5:$A$304,$C$8,Schneiddaten!$B$5:$B$304,$E285,Schneiddaten!$C$5:$C$304,_xlfn.MINIFS(Schneiddaten!$C$5:$C$304,Schneiddaten!$A$5:$A$304,$C$8,Schneiddaten!$B$5:$B$304,$E285,Schneiddaten!$C$5:$C$304,"&gt;="&amp;M285))))</f>
        <v/>
      </c>
      <c r="W285" s="26" t="str">
        <f aca="false">IF(AND($D285="",$E285="",$F285="",$G285=""),"",IF(ISNA(MATCH($D285,lst_Profil,0)),"FEHLER: Profil unbekannt",IF(ISNA(MATCH($E285,lst_Werkstoff,0)),"FEHLER: Werkstoff unbekannt",IF(NOT(ISNUMBER(L285)),"FEHLER: Querschnitt fehlt (Profil)",IF(OR($F285="",$F285&lt;=0),"FEHLER: Teilelänge fehlt",IF(OR($G285="",$G285&lt;1),"FEHLER: Stückzahl fehlt",IF(NOT(ISNUMBER($H$4)),"FEHLER: Maschine fehlt/unbekannt",IF(Q285&gt;$H$7,"FEHLER: Stange länger als Maschine zulässt",IF($F285+$H$6&gt;T285,"FEHLER: Teil länger als Nutzlänge",IF(U285="nein","WARNUNG: kein gültiger Materialpreis",IF($H285="","HINWEIS: Schneidweg fehlt",IF(V285="","HINWEIS: keine Schneiddaten",IF(AND($AF285&lt;&gt;"",$AG285=""),"HINWEIS: Gewinde-Vorschlag prüfen","OK")))))))))))))</f>
        <v/>
      </c>
      <c r="X285" s="18" t="str">
        <f aca="false">IF(OR(O285="",$G285=""),"",O285*$G285)</f>
        <v/>
      </c>
      <c r="Y285" s="10"/>
      <c r="Z285" s="21"/>
      <c r="AA285" s="10"/>
      <c r="AB285" s="21"/>
      <c r="AC285" s="21"/>
      <c r="AD285" s="21"/>
      <c r="AE285" s="10"/>
      <c r="AF285" s="10"/>
      <c r="AG285" s="10"/>
      <c r="AH285" s="22"/>
      <c r="AI285" s="21"/>
      <c r="AJ285" s="22"/>
      <c r="AK285" s="21"/>
      <c r="AL285" s="22"/>
      <c r="AM285" s="21"/>
    </row>
    <row r="286" customFormat="false" ht="15" hidden="false" customHeight="false" outlineLevel="0" collapsed="false">
      <c r="A286" s="10"/>
      <c r="B286" s="10"/>
      <c r="C286" s="10"/>
      <c r="D286" s="10"/>
      <c r="E286" s="10"/>
      <c r="F286" s="21"/>
      <c r="G286" s="19"/>
      <c r="H286" s="21"/>
      <c r="I286" s="22"/>
      <c r="J286" s="19"/>
      <c r="K286" s="23" t="str">
        <f aca="false">IF($D286="","",IFERROR(INDEX(Profile!$B$5:$B$304,MATCH($D286,lst_Profil,0)),""))</f>
        <v/>
      </c>
      <c r="L286" s="13" t="str">
        <f aca="false">IF($D286="","",IFERROR(INDEX(Profile!$K$5:$K$304,MATCH($D286,lst_Profil,0))+0,""))</f>
        <v/>
      </c>
      <c r="M286" s="24" t="str">
        <f aca="false">IF($D286="","",IFERROR(INDEX(Profile!$E$5:$E$304,MATCH($D286,lst_Profil,0))+0,""))</f>
        <v/>
      </c>
      <c r="N286" s="25" t="str">
        <f aca="false">IF(OR(L286="",$E286=""),"",IFERROR(L286*INDEX(Werkstoffe!$E$5:$E$304,MATCH($E286,lst_Werkstoff,0))/1000,""))</f>
        <v/>
      </c>
      <c r="O286" s="25" t="str">
        <f aca="false">IF(OR(N286="",$F286=""),"",N286*$F286/1000)</f>
        <v/>
      </c>
      <c r="P286" s="16" t="str">
        <f aca="false">IF(OR($F286="",$G286=""),"",$F286*$G286)</f>
        <v/>
      </c>
      <c r="Q286" s="16" t="str">
        <f aca="false">IF($D286="","",IF($J286&lt;&gt;"",$J286,$C$9))</f>
        <v/>
      </c>
      <c r="R286" s="12" t="str">
        <f aca="false">IF($D286="","",IFERROR(IF(INDEX(Profile!$G$5:$G$304,MATCH($D286,lst_Profil,0))&lt;&gt;"",INDEX(Profile!$G$5:$G$304,MATCH($D286,lst_Profil,0)),$H$4),$H$4))</f>
        <v/>
      </c>
      <c r="S286" s="12" t="str">
        <f aca="false">IF($D286="","",IFERROR(IF(INDEX(Profile!$H$5:$H$304,MATCH($D286,lst_Profil,0))&lt;&gt;"",INDEX(Profile!$H$5:$H$304,MATCH($D286,lst_Profil,0)),$H$5),$H$5))</f>
        <v/>
      </c>
      <c r="T286" s="16" t="str">
        <f aca="false">IF(OR(Q286="",NOT(ISNUMBER(R286)),NOT(ISNUMBER(S286))),"",Q286-R286-S286)</f>
        <v/>
      </c>
      <c r="U286" s="26" t="str">
        <f aca="false">IF(OR($D286="",$E286=""),"",IF(COUNTIFS(Preise!$A$5:$A$304,$D286,Preise!$B$5:$B$304,$E286,Preise!$I$5:$I$304,"OK")&gt;0,"ja","nein"))</f>
        <v/>
      </c>
      <c r="V286" s="15" t="str">
        <f aca="false">IF(OR(M286="",$E286="",$C$8=""),"",IF(_xlfn.MINIFS(Schneiddaten!$C$5:$C$304,Schneiddaten!$A$5:$A$304,$C$8,Schneiddaten!$B$5:$B$304,$E286,Schneiddaten!$C$5:$C$304,"&gt;="&amp;M286)=0,"",SUMIFS(Schneiddaten!$D$5:$D$304,Schneiddaten!$A$5:$A$304,$C$8,Schneiddaten!$B$5:$B$304,$E286,Schneiddaten!$C$5:$C$304,_xlfn.MINIFS(Schneiddaten!$C$5:$C$304,Schneiddaten!$A$5:$A$304,$C$8,Schneiddaten!$B$5:$B$304,$E286,Schneiddaten!$C$5:$C$304,"&gt;="&amp;M286))))</f>
        <v/>
      </c>
      <c r="W286" s="26" t="str">
        <f aca="false">IF(AND($D286="",$E286="",$F286="",$G286=""),"",IF(ISNA(MATCH($D286,lst_Profil,0)),"FEHLER: Profil unbekannt",IF(ISNA(MATCH($E286,lst_Werkstoff,0)),"FEHLER: Werkstoff unbekannt",IF(NOT(ISNUMBER(L286)),"FEHLER: Querschnitt fehlt (Profil)",IF(OR($F286="",$F286&lt;=0),"FEHLER: Teilelänge fehlt",IF(OR($G286="",$G286&lt;1),"FEHLER: Stückzahl fehlt",IF(NOT(ISNUMBER($H$4)),"FEHLER: Maschine fehlt/unbekannt",IF(Q286&gt;$H$7,"FEHLER: Stange länger als Maschine zulässt",IF($F286+$H$6&gt;T286,"FEHLER: Teil länger als Nutzlänge",IF(U286="nein","WARNUNG: kein gültiger Materialpreis",IF($H286="","HINWEIS: Schneidweg fehlt",IF(V286="","HINWEIS: keine Schneiddaten",IF(AND($AF286&lt;&gt;"",$AG286=""),"HINWEIS: Gewinde-Vorschlag prüfen","OK")))))))))))))</f>
        <v/>
      </c>
      <c r="X286" s="18" t="str">
        <f aca="false">IF(OR(O286="",$G286=""),"",O286*$G286)</f>
        <v/>
      </c>
      <c r="Y286" s="10"/>
      <c r="Z286" s="21"/>
      <c r="AA286" s="10"/>
      <c r="AB286" s="21"/>
      <c r="AC286" s="21"/>
      <c r="AD286" s="21"/>
      <c r="AE286" s="10"/>
      <c r="AF286" s="10"/>
      <c r="AG286" s="10"/>
      <c r="AH286" s="22"/>
      <c r="AI286" s="21"/>
      <c r="AJ286" s="22"/>
      <c r="AK286" s="21"/>
      <c r="AL286" s="22"/>
      <c r="AM286" s="21"/>
    </row>
    <row r="287" customFormat="false" ht="15" hidden="false" customHeight="false" outlineLevel="0" collapsed="false">
      <c r="A287" s="10"/>
      <c r="B287" s="10"/>
      <c r="C287" s="10"/>
      <c r="D287" s="10"/>
      <c r="E287" s="10"/>
      <c r="F287" s="21"/>
      <c r="G287" s="19"/>
      <c r="H287" s="21"/>
      <c r="I287" s="22"/>
      <c r="J287" s="19"/>
      <c r="K287" s="23" t="str">
        <f aca="false">IF($D287="","",IFERROR(INDEX(Profile!$B$5:$B$304,MATCH($D287,lst_Profil,0)),""))</f>
        <v/>
      </c>
      <c r="L287" s="13" t="str">
        <f aca="false">IF($D287="","",IFERROR(INDEX(Profile!$K$5:$K$304,MATCH($D287,lst_Profil,0))+0,""))</f>
        <v/>
      </c>
      <c r="M287" s="24" t="str">
        <f aca="false">IF($D287="","",IFERROR(INDEX(Profile!$E$5:$E$304,MATCH($D287,lst_Profil,0))+0,""))</f>
        <v/>
      </c>
      <c r="N287" s="25" t="str">
        <f aca="false">IF(OR(L287="",$E287=""),"",IFERROR(L287*INDEX(Werkstoffe!$E$5:$E$304,MATCH($E287,lst_Werkstoff,0))/1000,""))</f>
        <v/>
      </c>
      <c r="O287" s="25" t="str">
        <f aca="false">IF(OR(N287="",$F287=""),"",N287*$F287/1000)</f>
        <v/>
      </c>
      <c r="P287" s="16" t="str">
        <f aca="false">IF(OR($F287="",$G287=""),"",$F287*$G287)</f>
        <v/>
      </c>
      <c r="Q287" s="16" t="str">
        <f aca="false">IF($D287="","",IF($J287&lt;&gt;"",$J287,$C$9))</f>
        <v/>
      </c>
      <c r="R287" s="12" t="str">
        <f aca="false">IF($D287="","",IFERROR(IF(INDEX(Profile!$G$5:$G$304,MATCH($D287,lst_Profil,0))&lt;&gt;"",INDEX(Profile!$G$5:$G$304,MATCH($D287,lst_Profil,0)),$H$4),$H$4))</f>
        <v/>
      </c>
      <c r="S287" s="12" t="str">
        <f aca="false">IF($D287="","",IFERROR(IF(INDEX(Profile!$H$5:$H$304,MATCH($D287,lst_Profil,0))&lt;&gt;"",INDEX(Profile!$H$5:$H$304,MATCH($D287,lst_Profil,0)),$H$5),$H$5))</f>
        <v/>
      </c>
      <c r="T287" s="16" t="str">
        <f aca="false">IF(OR(Q287="",NOT(ISNUMBER(R287)),NOT(ISNUMBER(S287))),"",Q287-R287-S287)</f>
        <v/>
      </c>
      <c r="U287" s="26" t="str">
        <f aca="false">IF(OR($D287="",$E287=""),"",IF(COUNTIFS(Preise!$A$5:$A$304,$D287,Preise!$B$5:$B$304,$E287,Preise!$I$5:$I$304,"OK")&gt;0,"ja","nein"))</f>
        <v/>
      </c>
      <c r="V287" s="15" t="str">
        <f aca="false">IF(OR(M287="",$E287="",$C$8=""),"",IF(_xlfn.MINIFS(Schneiddaten!$C$5:$C$304,Schneiddaten!$A$5:$A$304,$C$8,Schneiddaten!$B$5:$B$304,$E287,Schneiddaten!$C$5:$C$304,"&gt;="&amp;M287)=0,"",SUMIFS(Schneiddaten!$D$5:$D$304,Schneiddaten!$A$5:$A$304,$C$8,Schneiddaten!$B$5:$B$304,$E287,Schneiddaten!$C$5:$C$304,_xlfn.MINIFS(Schneiddaten!$C$5:$C$304,Schneiddaten!$A$5:$A$304,$C$8,Schneiddaten!$B$5:$B$304,$E287,Schneiddaten!$C$5:$C$304,"&gt;="&amp;M287))))</f>
        <v/>
      </c>
      <c r="W287" s="26" t="str">
        <f aca="false">IF(AND($D287="",$E287="",$F287="",$G287=""),"",IF(ISNA(MATCH($D287,lst_Profil,0)),"FEHLER: Profil unbekannt",IF(ISNA(MATCH($E287,lst_Werkstoff,0)),"FEHLER: Werkstoff unbekannt",IF(NOT(ISNUMBER(L287)),"FEHLER: Querschnitt fehlt (Profil)",IF(OR($F287="",$F287&lt;=0),"FEHLER: Teilelänge fehlt",IF(OR($G287="",$G287&lt;1),"FEHLER: Stückzahl fehlt",IF(NOT(ISNUMBER($H$4)),"FEHLER: Maschine fehlt/unbekannt",IF(Q287&gt;$H$7,"FEHLER: Stange länger als Maschine zulässt",IF($F287+$H$6&gt;T287,"FEHLER: Teil länger als Nutzlänge",IF(U287="nein","WARNUNG: kein gültiger Materialpreis",IF($H287="","HINWEIS: Schneidweg fehlt",IF(V287="","HINWEIS: keine Schneiddaten",IF(AND($AF287&lt;&gt;"",$AG287=""),"HINWEIS: Gewinde-Vorschlag prüfen","OK")))))))))))))</f>
        <v/>
      </c>
      <c r="X287" s="18" t="str">
        <f aca="false">IF(OR(O287="",$G287=""),"",O287*$G287)</f>
        <v/>
      </c>
      <c r="Y287" s="10"/>
      <c r="Z287" s="21"/>
      <c r="AA287" s="10"/>
      <c r="AB287" s="21"/>
      <c r="AC287" s="21"/>
      <c r="AD287" s="21"/>
      <c r="AE287" s="10"/>
      <c r="AF287" s="10"/>
      <c r="AG287" s="10"/>
      <c r="AH287" s="22"/>
      <c r="AI287" s="21"/>
      <c r="AJ287" s="22"/>
      <c r="AK287" s="21"/>
      <c r="AL287" s="22"/>
      <c r="AM287" s="21"/>
    </row>
    <row r="288" customFormat="false" ht="15" hidden="false" customHeight="false" outlineLevel="0" collapsed="false">
      <c r="A288" s="10"/>
      <c r="B288" s="10"/>
      <c r="C288" s="10"/>
      <c r="D288" s="10"/>
      <c r="E288" s="10"/>
      <c r="F288" s="21"/>
      <c r="G288" s="19"/>
      <c r="H288" s="21"/>
      <c r="I288" s="22"/>
      <c r="J288" s="19"/>
      <c r="K288" s="23" t="str">
        <f aca="false">IF($D288="","",IFERROR(INDEX(Profile!$B$5:$B$304,MATCH($D288,lst_Profil,0)),""))</f>
        <v/>
      </c>
      <c r="L288" s="13" t="str">
        <f aca="false">IF($D288="","",IFERROR(INDEX(Profile!$K$5:$K$304,MATCH($D288,lst_Profil,0))+0,""))</f>
        <v/>
      </c>
      <c r="M288" s="24" t="str">
        <f aca="false">IF($D288="","",IFERROR(INDEX(Profile!$E$5:$E$304,MATCH($D288,lst_Profil,0))+0,""))</f>
        <v/>
      </c>
      <c r="N288" s="25" t="str">
        <f aca="false">IF(OR(L288="",$E288=""),"",IFERROR(L288*INDEX(Werkstoffe!$E$5:$E$304,MATCH($E288,lst_Werkstoff,0))/1000,""))</f>
        <v/>
      </c>
      <c r="O288" s="25" t="str">
        <f aca="false">IF(OR(N288="",$F288=""),"",N288*$F288/1000)</f>
        <v/>
      </c>
      <c r="P288" s="16" t="str">
        <f aca="false">IF(OR($F288="",$G288=""),"",$F288*$G288)</f>
        <v/>
      </c>
      <c r="Q288" s="16" t="str">
        <f aca="false">IF($D288="","",IF($J288&lt;&gt;"",$J288,$C$9))</f>
        <v/>
      </c>
      <c r="R288" s="12" t="str">
        <f aca="false">IF($D288="","",IFERROR(IF(INDEX(Profile!$G$5:$G$304,MATCH($D288,lst_Profil,0))&lt;&gt;"",INDEX(Profile!$G$5:$G$304,MATCH($D288,lst_Profil,0)),$H$4),$H$4))</f>
        <v/>
      </c>
      <c r="S288" s="12" t="str">
        <f aca="false">IF($D288="","",IFERROR(IF(INDEX(Profile!$H$5:$H$304,MATCH($D288,lst_Profil,0))&lt;&gt;"",INDEX(Profile!$H$5:$H$304,MATCH($D288,lst_Profil,0)),$H$5),$H$5))</f>
        <v/>
      </c>
      <c r="T288" s="16" t="str">
        <f aca="false">IF(OR(Q288="",NOT(ISNUMBER(R288)),NOT(ISNUMBER(S288))),"",Q288-R288-S288)</f>
        <v/>
      </c>
      <c r="U288" s="26" t="str">
        <f aca="false">IF(OR($D288="",$E288=""),"",IF(COUNTIFS(Preise!$A$5:$A$304,$D288,Preise!$B$5:$B$304,$E288,Preise!$I$5:$I$304,"OK")&gt;0,"ja","nein"))</f>
        <v/>
      </c>
      <c r="V288" s="15" t="str">
        <f aca="false">IF(OR(M288="",$E288="",$C$8=""),"",IF(_xlfn.MINIFS(Schneiddaten!$C$5:$C$304,Schneiddaten!$A$5:$A$304,$C$8,Schneiddaten!$B$5:$B$304,$E288,Schneiddaten!$C$5:$C$304,"&gt;="&amp;M288)=0,"",SUMIFS(Schneiddaten!$D$5:$D$304,Schneiddaten!$A$5:$A$304,$C$8,Schneiddaten!$B$5:$B$304,$E288,Schneiddaten!$C$5:$C$304,_xlfn.MINIFS(Schneiddaten!$C$5:$C$304,Schneiddaten!$A$5:$A$304,$C$8,Schneiddaten!$B$5:$B$304,$E288,Schneiddaten!$C$5:$C$304,"&gt;="&amp;M288))))</f>
        <v/>
      </c>
      <c r="W288" s="26" t="str">
        <f aca="false">IF(AND($D288="",$E288="",$F288="",$G288=""),"",IF(ISNA(MATCH($D288,lst_Profil,0)),"FEHLER: Profil unbekannt",IF(ISNA(MATCH($E288,lst_Werkstoff,0)),"FEHLER: Werkstoff unbekannt",IF(NOT(ISNUMBER(L288)),"FEHLER: Querschnitt fehlt (Profil)",IF(OR($F288="",$F288&lt;=0),"FEHLER: Teilelänge fehlt",IF(OR($G288="",$G288&lt;1),"FEHLER: Stückzahl fehlt",IF(NOT(ISNUMBER($H$4)),"FEHLER: Maschine fehlt/unbekannt",IF(Q288&gt;$H$7,"FEHLER: Stange länger als Maschine zulässt",IF($F288+$H$6&gt;T288,"FEHLER: Teil länger als Nutzlänge",IF(U288="nein","WARNUNG: kein gültiger Materialpreis",IF($H288="","HINWEIS: Schneidweg fehlt",IF(V288="","HINWEIS: keine Schneiddaten",IF(AND($AF288&lt;&gt;"",$AG288=""),"HINWEIS: Gewinde-Vorschlag prüfen","OK")))))))))))))</f>
        <v/>
      </c>
      <c r="X288" s="18" t="str">
        <f aca="false">IF(OR(O288="",$G288=""),"",O288*$G288)</f>
        <v/>
      </c>
      <c r="Y288" s="10"/>
      <c r="Z288" s="21"/>
      <c r="AA288" s="10"/>
      <c r="AB288" s="21"/>
      <c r="AC288" s="21"/>
      <c r="AD288" s="21"/>
      <c r="AE288" s="10"/>
      <c r="AF288" s="10"/>
      <c r="AG288" s="10"/>
      <c r="AH288" s="22"/>
      <c r="AI288" s="21"/>
      <c r="AJ288" s="22"/>
      <c r="AK288" s="21"/>
      <c r="AL288" s="22"/>
      <c r="AM288" s="21"/>
    </row>
    <row r="289" customFormat="false" ht="15" hidden="false" customHeight="false" outlineLevel="0" collapsed="false">
      <c r="A289" s="10"/>
      <c r="B289" s="10"/>
      <c r="C289" s="10"/>
      <c r="D289" s="10"/>
      <c r="E289" s="10"/>
      <c r="F289" s="21"/>
      <c r="G289" s="19"/>
      <c r="H289" s="21"/>
      <c r="I289" s="22"/>
      <c r="J289" s="19"/>
      <c r="K289" s="23" t="str">
        <f aca="false">IF($D289="","",IFERROR(INDEX(Profile!$B$5:$B$304,MATCH($D289,lst_Profil,0)),""))</f>
        <v/>
      </c>
      <c r="L289" s="13" t="str">
        <f aca="false">IF($D289="","",IFERROR(INDEX(Profile!$K$5:$K$304,MATCH($D289,lst_Profil,0))+0,""))</f>
        <v/>
      </c>
      <c r="M289" s="24" t="str">
        <f aca="false">IF($D289="","",IFERROR(INDEX(Profile!$E$5:$E$304,MATCH($D289,lst_Profil,0))+0,""))</f>
        <v/>
      </c>
      <c r="N289" s="25" t="str">
        <f aca="false">IF(OR(L289="",$E289=""),"",IFERROR(L289*INDEX(Werkstoffe!$E$5:$E$304,MATCH($E289,lst_Werkstoff,0))/1000,""))</f>
        <v/>
      </c>
      <c r="O289" s="25" t="str">
        <f aca="false">IF(OR(N289="",$F289=""),"",N289*$F289/1000)</f>
        <v/>
      </c>
      <c r="P289" s="16" t="str">
        <f aca="false">IF(OR($F289="",$G289=""),"",$F289*$G289)</f>
        <v/>
      </c>
      <c r="Q289" s="16" t="str">
        <f aca="false">IF($D289="","",IF($J289&lt;&gt;"",$J289,$C$9))</f>
        <v/>
      </c>
      <c r="R289" s="12" t="str">
        <f aca="false">IF($D289="","",IFERROR(IF(INDEX(Profile!$G$5:$G$304,MATCH($D289,lst_Profil,0))&lt;&gt;"",INDEX(Profile!$G$5:$G$304,MATCH($D289,lst_Profil,0)),$H$4),$H$4))</f>
        <v/>
      </c>
      <c r="S289" s="12" t="str">
        <f aca="false">IF($D289="","",IFERROR(IF(INDEX(Profile!$H$5:$H$304,MATCH($D289,lst_Profil,0))&lt;&gt;"",INDEX(Profile!$H$5:$H$304,MATCH($D289,lst_Profil,0)),$H$5),$H$5))</f>
        <v/>
      </c>
      <c r="T289" s="16" t="str">
        <f aca="false">IF(OR(Q289="",NOT(ISNUMBER(R289)),NOT(ISNUMBER(S289))),"",Q289-R289-S289)</f>
        <v/>
      </c>
      <c r="U289" s="26" t="str">
        <f aca="false">IF(OR($D289="",$E289=""),"",IF(COUNTIFS(Preise!$A$5:$A$304,$D289,Preise!$B$5:$B$304,$E289,Preise!$I$5:$I$304,"OK")&gt;0,"ja","nein"))</f>
        <v/>
      </c>
      <c r="V289" s="15" t="str">
        <f aca="false">IF(OR(M289="",$E289="",$C$8=""),"",IF(_xlfn.MINIFS(Schneiddaten!$C$5:$C$304,Schneiddaten!$A$5:$A$304,$C$8,Schneiddaten!$B$5:$B$304,$E289,Schneiddaten!$C$5:$C$304,"&gt;="&amp;M289)=0,"",SUMIFS(Schneiddaten!$D$5:$D$304,Schneiddaten!$A$5:$A$304,$C$8,Schneiddaten!$B$5:$B$304,$E289,Schneiddaten!$C$5:$C$304,_xlfn.MINIFS(Schneiddaten!$C$5:$C$304,Schneiddaten!$A$5:$A$304,$C$8,Schneiddaten!$B$5:$B$304,$E289,Schneiddaten!$C$5:$C$304,"&gt;="&amp;M289))))</f>
        <v/>
      </c>
      <c r="W289" s="26" t="str">
        <f aca="false">IF(AND($D289="",$E289="",$F289="",$G289=""),"",IF(ISNA(MATCH($D289,lst_Profil,0)),"FEHLER: Profil unbekannt",IF(ISNA(MATCH($E289,lst_Werkstoff,0)),"FEHLER: Werkstoff unbekannt",IF(NOT(ISNUMBER(L289)),"FEHLER: Querschnitt fehlt (Profil)",IF(OR($F289="",$F289&lt;=0),"FEHLER: Teilelänge fehlt",IF(OR($G289="",$G289&lt;1),"FEHLER: Stückzahl fehlt",IF(NOT(ISNUMBER($H$4)),"FEHLER: Maschine fehlt/unbekannt",IF(Q289&gt;$H$7,"FEHLER: Stange länger als Maschine zulässt",IF($F289+$H$6&gt;T289,"FEHLER: Teil länger als Nutzlänge",IF(U289="nein","WARNUNG: kein gültiger Materialpreis",IF($H289="","HINWEIS: Schneidweg fehlt",IF(V289="","HINWEIS: keine Schneiddaten",IF(AND($AF289&lt;&gt;"",$AG289=""),"HINWEIS: Gewinde-Vorschlag prüfen","OK")))))))))))))</f>
        <v/>
      </c>
      <c r="X289" s="18" t="str">
        <f aca="false">IF(OR(O289="",$G289=""),"",O289*$G289)</f>
        <v/>
      </c>
      <c r="Y289" s="10"/>
      <c r="Z289" s="21"/>
      <c r="AA289" s="10"/>
      <c r="AB289" s="21"/>
      <c r="AC289" s="21"/>
      <c r="AD289" s="21"/>
      <c r="AE289" s="10"/>
      <c r="AF289" s="10"/>
      <c r="AG289" s="10"/>
      <c r="AH289" s="22"/>
      <c r="AI289" s="21"/>
      <c r="AJ289" s="22"/>
      <c r="AK289" s="21"/>
      <c r="AL289" s="22"/>
      <c r="AM289" s="21"/>
    </row>
    <row r="290" customFormat="false" ht="15" hidden="false" customHeight="false" outlineLevel="0" collapsed="false">
      <c r="A290" s="10"/>
      <c r="B290" s="10"/>
      <c r="C290" s="10"/>
      <c r="D290" s="10"/>
      <c r="E290" s="10"/>
      <c r="F290" s="21"/>
      <c r="G290" s="19"/>
      <c r="H290" s="21"/>
      <c r="I290" s="22"/>
      <c r="J290" s="19"/>
      <c r="K290" s="23" t="str">
        <f aca="false">IF($D290="","",IFERROR(INDEX(Profile!$B$5:$B$304,MATCH($D290,lst_Profil,0)),""))</f>
        <v/>
      </c>
      <c r="L290" s="13" t="str">
        <f aca="false">IF($D290="","",IFERROR(INDEX(Profile!$K$5:$K$304,MATCH($D290,lst_Profil,0))+0,""))</f>
        <v/>
      </c>
      <c r="M290" s="24" t="str">
        <f aca="false">IF($D290="","",IFERROR(INDEX(Profile!$E$5:$E$304,MATCH($D290,lst_Profil,0))+0,""))</f>
        <v/>
      </c>
      <c r="N290" s="25" t="str">
        <f aca="false">IF(OR(L290="",$E290=""),"",IFERROR(L290*INDEX(Werkstoffe!$E$5:$E$304,MATCH($E290,lst_Werkstoff,0))/1000,""))</f>
        <v/>
      </c>
      <c r="O290" s="25" t="str">
        <f aca="false">IF(OR(N290="",$F290=""),"",N290*$F290/1000)</f>
        <v/>
      </c>
      <c r="P290" s="16" t="str">
        <f aca="false">IF(OR($F290="",$G290=""),"",$F290*$G290)</f>
        <v/>
      </c>
      <c r="Q290" s="16" t="str">
        <f aca="false">IF($D290="","",IF($J290&lt;&gt;"",$J290,$C$9))</f>
        <v/>
      </c>
      <c r="R290" s="12" t="str">
        <f aca="false">IF($D290="","",IFERROR(IF(INDEX(Profile!$G$5:$G$304,MATCH($D290,lst_Profil,0))&lt;&gt;"",INDEX(Profile!$G$5:$G$304,MATCH($D290,lst_Profil,0)),$H$4),$H$4))</f>
        <v/>
      </c>
      <c r="S290" s="12" t="str">
        <f aca="false">IF($D290="","",IFERROR(IF(INDEX(Profile!$H$5:$H$304,MATCH($D290,lst_Profil,0))&lt;&gt;"",INDEX(Profile!$H$5:$H$304,MATCH($D290,lst_Profil,0)),$H$5),$H$5))</f>
        <v/>
      </c>
      <c r="T290" s="16" t="str">
        <f aca="false">IF(OR(Q290="",NOT(ISNUMBER(R290)),NOT(ISNUMBER(S290))),"",Q290-R290-S290)</f>
        <v/>
      </c>
      <c r="U290" s="26" t="str">
        <f aca="false">IF(OR($D290="",$E290=""),"",IF(COUNTIFS(Preise!$A$5:$A$304,$D290,Preise!$B$5:$B$304,$E290,Preise!$I$5:$I$304,"OK")&gt;0,"ja","nein"))</f>
        <v/>
      </c>
      <c r="V290" s="15" t="str">
        <f aca="false">IF(OR(M290="",$E290="",$C$8=""),"",IF(_xlfn.MINIFS(Schneiddaten!$C$5:$C$304,Schneiddaten!$A$5:$A$304,$C$8,Schneiddaten!$B$5:$B$304,$E290,Schneiddaten!$C$5:$C$304,"&gt;="&amp;M290)=0,"",SUMIFS(Schneiddaten!$D$5:$D$304,Schneiddaten!$A$5:$A$304,$C$8,Schneiddaten!$B$5:$B$304,$E290,Schneiddaten!$C$5:$C$304,_xlfn.MINIFS(Schneiddaten!$C$5:$C$304,Schneiddaten!$A$5:$A$304,$C$8,Schneiddaten!$B$5:$B$304,$E290,Schneiddaten!$C$5:$C$304,"&gt;="&amp;M290))))</f>
        <v/>
      </c>
      <c r="W290" s="26" t="str">
        <f aca="false">IF(AND($D290="",$E290="",$F290="",$G290=""),"",IF(ISNA(MATCH($D290,lst_Profil,0)),"FEHLER: Profil unbekannt",IF(ISNA(MATCH($E290,lst_Werkstoff,0)),"FEHLER: Werkstoff unbekannt",IF(NOT(ISNUMBER(L290)),"FEHLER: Querschnitt fehlt (Profil)",IF(OR($F290="",$F290&lt;=0),"FEHLER: Teilelänge fehlt",IF(OR($G290="",$G290&lt;1),"FEHLER: Stückzahl fehlt",IF(NOT(ISNUMBER($H$4)),"FEHLER: Maschine fehlt/unbekannt",IF(Q290&gt;$H$7,"FEHLER: Stange länger als Maschine zulässt",IF($F290+$H$6&gt;T290,"FEHLER: Teil länger als Nutzlänge",IF(U290="nein","WARNUNG: kein gültiger Materialpreis",IF($H290="","HINWEIS: Schneidweg fehlt",IF(V290="","HINWEIS: keine Schneiddaten",IF(AND($AF290&lt;&gt;"",$AG290=""),"HINWEIS: Gewinde-Vorschlag prüfen","OK")))))))))))))</f>
        <v/>
      </c>
      <c r="X290" s="18" t="str">
        <f aca="false">IF(OR(O290="",$G290=""),"",O290*$G290)</f>
        <v/>
      </c>
      <c r="Y290" s="10"/>
      <c r="Z290" s="21"/>
      <c r="AA290" s="10"/>
      <c r="AB290" s="21"/>
      <c r="AC290" s="21"/>
      <c r="AD290" s="21"/>
      <c r="AE290" s="10"/>
      <c r="AF290" s="10"/>
      <c r="AG290" s="10"/>
      <c r="AH290" s="22"/>
      <c r="AI290" s="21"/>
      <c r="AJ290" s="22"/>
      <c r="AK290" s="21"/>
      <c r="AL290" s="22"/>
      <c r="AM290" s="21"/>
    </row>
    <row r="291" customFormat="false" ht="15" hidden="false" customHeight="false" outlineLevel="0" collapsed="false">
      <c r="A291" s="10"/>
      <c r="B291" s="10"/>
      <c r="C291" s="10"/>
      <c r="D291" s="10"/>
      <c r="E291" s="10"/>
      <c r="F291" s="21"/>
      <c r="G291" s="19"/>
      <c r="H291" s="21"/>
      <c r="I291" s="22"/>
      <c r="J291" s="19"/>
      <c r="K291" s="23" t="str">
        <f aca="false">IF($D291="","",IFERROR(INDEX(Profile!$B$5:$B$304,MATCH($D291,lst_Profil,0)),""))</f>
        <v/>
      </c>
      <c r="L291" s="13" t="str">
        <f aca="false">IF($D291="","",IFERROR(INDEX(Profile!$K$5:$K$304,MATCH($D291,lst_Profil,0))+0,""))</f>
        <v/>
      </c>
      <c r="M291" s="24" t="str">
        <f aca="false">IF($D291="","",IFERROR(INDEX(Profile!$E$5:$E$304,MATCH($D291,lst_Profil,0))+0,""))</f>
        <v/>
      </c>
      <c r="N291" s="25" t="str">
        <f aca="false">IF(OR(L291="",$E291=""),"",IFERROR(L291*INDEX(Werkstoffe!$E$5:$E$304,MATCH($E291,lst_Werkstoff,0))/1000,""))</f>
        <v/>
      </c>
      <c r="O291" s="25" t="str">
        <f aca="false">IF(OR(N291="",$F291=""),"",N291*$F291/1000)</f>
        <v/>
      </c>
      <c r="P291" s="16" t="str">
        <f aca="false">IF(OR($F291="",$G291=""),"",$F291*$G291)</f>
        <v/>
      </c>
      <c r="Q291" s="16" t="str">
        <f aca="false">IF($D291="","",IF($J291&lt;&gt;"",$J291,$C$9))</f>
        <v/>
      </c>
      <c r="R291" s="12" t="str">
        <f aca="false">IF($D291="","",IFERROR(IF(INDEX(Profile!$G$5:$G$304,MATCH($D291,lst_Profil,0))&lt;&gt;"",INDEX(Profile!$G$5:$G$304,MATCH($D291,lst_Profil,0)),$H$4),$H$4))</f>
        <v/>
      </c>
      <c r="S291" s="12" t="str">
        <f aca="false">IF($D291="","",IFERROR(IF(INDEX(Profile!$H$5:$H$304,MATCH($D291,lst_Profil,0))&lt;&gt;"",INDEX(Profile!$H$5:$H$304,MATCH($D291,lst_Profil,0)),$H$5),$H$5))</f>
        <v/>
      </c>
      <c r="T291" s="16" t="str">
        <f aca="false">IF(OR(Q291="",NOT(ISNUMBER(R291)),NOT(ISNUMBER(S291))),"",Q291-R291-S291)</f>
        <v/>
      </c>
      <c r="U291" s="26" t="str">
        <f aca="false">IF(OR($D291="",$E291=""),"",IF(COUNTIFS(Preise!$A$5:$A$304,$D291,Preise!$B$5:$B$304,$E291,Preise!$I$5:$I$304,"OK")&gt;0,"ja","nein"))</f>
        <v/>
      </c>
      <c r="V291" s="15" t="str">
        <f aca="false">IF(OR(M291="",$E291="",$C$8=""),"",IF(_xlfn.MINIFS(Schneiddaten!$C$5:$C$304,Schneiddaten!$A$5:$A$304,$C$8,Schneiddaten!$B$5:$B$304,$E291,Schneiddaten!$C$5:$C$304,"&gt;="&amp;M291)=0,"",SUMIFS(Schneiddaten!$D$5:$D$304,Schneiddaten!$A$5:$A$304,$C$8,Schneiddaten!$B$5:$B$304,$E291,Schneiddaten!$C$5:$C$304,_xlfn.MINIFS(Schneiddaten!$C$5:$C$304,Schneiddaten!$A$5:$A$304,$C$8,Schneiddaten!$B$5:$B$304,$E291,Schneiddaten!$C$5:$C$304,"&gt;="&amp;M291))))</f>
        <v/>
      </c>
      <c r="W291" s="26" t="str">
        <f aca="false">IF(AND($D291="",$E291="",$F291="",$G291=""),"",IF(ISNA(MATCH($D291,lst_Profil,0)),"FEHLER: Profil unbekannt",IF(ISNA(MATCH($E291,lst_Werkstoff,0)),"FEHLER: Werkstoff unbekannt",IF(NOT(ISNUMBER(L291)),"FEHLER: Querschnitt fehlt (Profil)",IF(OR($F291="",$F291&lt;=0),"FEHLER: Teilelänge fehlt",IF(OR($G291="",$G291&lt;1),"FEHLER: Stückzahl fehlt",IF(NOT(ISNUMBER($H$4)),"FEHLER: Maschine fehlt/unbekannt",IF(Q291&gt;$H$7,"FEHLER: Stange länger als Maschine zulässt",IF($F291+$H$6&gt;T291,"FEHLER: Teil länger als Nutzlänge",IF(U291="nein","WARNUNG: kein gültiger Materialpreis",IF($H291="","HINWEIS: Schneidweg fehlt",IF(V291="","HINWEIS: keine Schneiddaten",IF(AND($AF291&lt;&gt;"",$AG291=""),"HINWEIS: Gewinde-Vorschlag prüfen","OK")))))))))))))</f>
        <v/>
      </c>
      <c r="X291" s="18" t="str">
        <f aca="false">IF(OR(O291="",$G291=""),"",O291*$G291)</f>
        <v/>
      </c>
      <c r="Y291" s="10"/>
      <c r="Z291" s="21"/>
      <c r="AA291" s="10"/>
      <c r="AB291" s="21"/>
      <c r="AC291" s="21"/>
      <c r="AD291" s="21"/>
      <c r="AE291" s="10"/>
      <c r="AF291" s="10"/>
      <c r="AG291" s="10"/>
      <c r="AH291" s="22"/>
      <c r="AI291" s="21"/>
      <c r="AJ291" s="22"/>
      <c r="AK291" s="21"/>
      <c r="AL291" s="22"/>
      <c r="AM291" s="21"/>
    </row>
    <row r="292" customFormat="false" ht="15" hidden="false" customHeight="false" outlineLevel="0" collapsed="false">
      <c r="A292" s="10"/>
      <c r="B292" s="10"/>
      <c r="C292" s="10"/>
      <c r="D292" s="10"/>
      <c r="E292" s="10"/>
      <c r="F292" s="21"/>
      <c r="G292" s="19"/>
      <c r="H292" s="21"/>
      <c r="I292" s="22"/>
      <c r="J292" s="19"/>
      <c r="K292" s="23" t="str">
        <f aca="false">IF($D292="","",IFERROR(INDEX(Profile!$B$5:$B$304,MATCH($D292,lst_Profil,0)),""))</f>
        <v/>
      </c>
      <c r="L292" s="13" t="str">
        <f aca="false">IF($D292="","",IFERROR(INDEX(Profile!$K$5:$K$304,MATCH($D292,lst_Profil,0))+0,""))</f>
        <v/>
      </c>
      <c r="M292" s="24" t="str">
        <f aca="false">IF($D292="","",IFERROR(INDEX(Profile!$E$5:$E$304,MATCH($D292,lst_Profil,0))+0,""))</f>
        <v/>
      </c>
      <c r="N292" s="25" t="str">
        <f aca="false">IF(OR(L292="",$E292=""),"",IFERROR(L292*INDEX(Werkstoffe!$E$5:$E$304,MATCH($E292,lst_Werkstoff,0))/1000,""))</f>
        <v/>
      </c>
      <c r="O292" s="25" t="str">
        <f aca="false">IF(OR(N292="",$F292=""),"",N292*$F292/1000)</f>
        <v/>
      </c>
      <c r="P292" s="16" t="str">
        <f aca="false">IF(OR($F292="",$G292=""),"",$F292*$G292)</f>
        <v/>
      </c>
      <c r="Q292" s="16" t="str">
        <f aca="false">IF($D292="","",IF($J292&lt;&gt;"",$J292,$C$9))</f>
        <v/>
      </c>
      <c r="R292" s="12" t="str">
        <f aca="false">IF($D292="","",IFERROR(IF(INDEX(Profile!$G$5:$G$304,MATCH($D292,lst_Profil,0))&lt;&gt;"",INDEX(Profile!$G$5:$G$304,MATCH($D292,lst_Profil,0)),$H$4),$H$4))</f>
        <v/>
      </c>
      <c r="S292" s="12" t="str">
        <f aca="false">IF($D292="","",IFERROR(IF(INDEX(Profile!$H$5:$H$304,MATCH($D292,lst_Profil,0))&lt;&gt;"",INDEX(Profile!$H$5:$H$304,MATCH($D292,lst_Profil,0)),$H$5),$H$5))</f>
        <v/>
      </c>
      <c r="T292" s="16" t="str">
        <f aca="false">IF(OR(Q292="",NOT(ISNUMBER(R292)),NOT(ISNUMBER(S292))),"",Q292-R292-S292)</f>
        <v/>
      </c>
      <c r="U292" s="26" t="str">
        <f aca="false">IF(OR($D292="",$E292=""),"",IF(COUNTIFS(Preise!$A$5:$A$304,$D292,Preise!$B$5:$B$304,$E292,Preise!$I$5:$I$304,"OK")&gt;0,"ja","nein"))</f>
        <v/>
      </c>
      <c r="V292" s="15" t="str">
        <f aca="false">IF(OR(M292="",$E292="",$C$8=""),"",IF(_xlfn.MINIFS(Schneiddaten!$C$5:$C$304,Schneiddaten!$A$5:$A$304,$C$8,Schneiddaten!$B$5:$B$304,$E292,Schneiddaten!$C$5:$C$304,"&gt;="&amp;M292)=0,"",SUMIFS(Schneiddaten!$D$5:$D$304,Schneiddaten!$A$5:$A$304,$C$8,Schneiddaten!$B$5:$B$304,$E292,Schneiddaten!$C$5:$C$304,_xlfn.MINIFS(Schneiddaten!$C$5:$C$304,Schneiddaten!$A$5:$A$304,$C$8,Schneiddaten!$B$5:$B$304,$E292,Schneiddaten!$C$5:$C$304,"&gt;="&amp;M292))))</f>
        <v/>
      </c>
      <c r="W292" s="26" t="str">
        <f aca="false">IF(AND($D292="",$E292="",$F292="",$G292=""),"",IF(ISNA(MATCH($D292,lst_Profil,0)),"FEHLER: Profil unbekannt",IF(ISNA(MATCH($E292,lst_Werkstoff,0)),"FEHLER: Werkstoff unbekannt",IF(NOT(ISNUMBER(L292)),"FEHLER: Querschnitt fehlt (Profil)",IF(OR($F292="",$F292&lt;=0),"FEHLER: Teilelänge fehlt",IF(OR($G292="",$G292&lt;1),"FEHLER: Stückzahl fehlt",IF(NOT(ISNUMBER($H$4)),"FEHLER: Maschine fehlt/unbekannt",IF(Q292&gt;$H$7,"FEHLER: Stange länger als Maschine zulässt",IF($F292+$H$6&gt;T292,"FEHLER: Teil länger als Nutzlänge",IF(U292="nein","WARNUNG: kein gültiger Materialpreis",IF($H292="","HINWEIS: Schneidweg fehlt",IF(V292="","HINWEIS: keine Schneiddaten",IF(AND($AF292&lt;&gt;"",$AG292=""),"HINWEIS: Gewinde-Vorschlag prüfen","OK")))))))))))))</f>
        <v/>
      </c>
      <c r="X292" s="18" t="str">
        <f aca="false">IF(OR(O292="",$G292=""),"",O292*$G292)</f>
        <v/>
      </c>
      <c r="Y292" s="10"/>
      <c r="Z292" s="21"/>
      <c r="AA292" s="10"/>
      <c r="AB292" s="21"/>
      <c r="AC292" s="21"/>
      <c r="AD292" s="21"/>
      <c r="AE292" s="10"/>
      <c r="AF292" s="10"/>
      <c r="AG292" s="10"/>
      <c r="AH292" s="22"/>
      <c r="AI292" s="21"/>
      <c r="AJ292" s="22"/>
      <c r="AK292" s="21"/>
      <c r="AL292" s="22"/>
      <c r="AM292" s="21"/>
    </row>
    <row r="293" customFormat="false" ht="15" hidden="false" customHeight="false" outlineLevel="0" collapsed="false">
      <c r="A293" s="10"/>
      <c r="B293" s="10"/>
      <c r="C293" s="10"/>
      <c r="D293" s="10"/>
      <c r="E293" s="10"/>
      <c r="F293" s="21"/>
      <c r="G293" s="19"/>
      <c r="H293" s="21"/>
      <c r="I293" s="22"/>
      <c r="J293" s="19"/>
      <c r="K293" s="23" t="str">
        <f aca="false">IF($D293="","",IFERROR(INDEX(Profile!$B$5:$B$304,MATCH($D293,lst_Profil,0)),""))</f>
        <v/>
      </c>
      <c r="L293" s="13" t="str">
        <f aca="false">IF($D293="","",IFERROR(INDEX(Profile!$K$5:$K$304,MATCH($D293,lst_Profil,0))+0,""))</f>
        <v/>
      </c>
      <c r="M293" s="24" t="str">
        <f aca="false">IF($D293="","",IFERROR(INDEX(Profile!$E$5:$E$304,MATCH($D293,lst_Profil,0))+0,""))</f>
        <v/>
      </c>
      <c r="N293" s="25" t="str">
        <f aca="false">IF(OR(L293="",$E293=""),"",IFERROR(L293*INDEX(Werkstoffe!$E$5:$E$304,MATCH($E293,lst_Werkstoff,0))/1000,""))</f>
        <v/>
      </c>
      <c r="O293" s="25" t="str">
        <f aca="false">IF(OR(N293="",$F293=""),"",N293*$F293/1000)</f>
        <v/>
      </c>
      <c r="P293" s="16" t="str">
        <f aca="false">IF(OR($F293="",$G293=""),"",$F293*$G293)</f>
        <v/>
      </c>
      <c r="Q293" s="16" t="str">
        <f aca="false">IF($D293="","",IF($J293&lt;&gt;"",$J293,$C$9))</f>
        <v/>
      </c>
      <c r="R293" s="12" t="str">
        <f aca="false">IF($D293="","",IFERROR(IF(INDEX(Profile!$G$5:$G$304,MATCH($D293,lst_Profil,0))&lt;&gt;"",INDEX(Profile!$G$5:$G$304,MATCH($D293,lst_Profil,0)),$H$4),$H$4))</f>
        <v/>
      </c>
      <c r="S293" s="12" t="str">
        <f aca="false">IF($D293="","",IFERROR(IF(INDEX(Profile!$H$5:$H$304,MATCH($D293,lst_Profil,0))&lt;&gt;"",INDEX(Profile!$H$5:$H$304,MATCH($D293,lst_Profil,0)),$H$5),$H$5))</f>
        <v/>
      </c>
      <c r="T293" s="16" t="str">
        <f aca="false">IF(OR(Q293="",NOT(ISNUMBER(R293)),NOT(ISNUMBER(S293))),"",Q293-R293-S293)</f>
        <v/>
      </c>
      <c r="U293" s="26" t="str">
        <f aca="false">IF(OR($D293="",$E293=""),"",IF(COUNTIFS(Preise!$A$5:$A$304,$D293,Preise!$B$5:$B$304,$E293,Preise!$I$5:$I$304,"OK")&gt;0,"ja","nein"))</f>
        <v/>
      </c>
      <c r="V293" s="15" t="str">
        <f aca="false">IF(OR(M293="",$E293="",$C$8=""),"",IF(_xlfn.MINIFS(Schneiddaten!$C$5:$C$304,Schneiddaten!$A$5:$A$304,$C$8,Schneiddaten!$B$5:$B$304,$E293,Schneiddaten!$C$5:$C$304,"&gt;="&amp;M293)=0,"",SUMIFS(Schneiddaten!$D$5:$D$304,Schneiddaten!$A$5:$A$304,$C$8,Schneiddaten!$B$5:$B$304,$E293,Schneiddaten!$C$5:$C$304,_xlfn.MINIFS(Schneiddaten!$C$5:$C$304,Schneiddaten!$A$5:$A$304,$C$8,Schneiddaten!$B$5:$B$304,$E293,Schneiddaten!$C$5:$C$304,"&gt;="&amp;M293))))</f>
        <v/>
      </c>
      <c r="W293" s="26" t="str">
        <f aca="false">IF(AND($D293="",$E293="",$F293="",$G293=""),"",IF(ISNA(MATCH($D293,lst_Profil,0)),"FEHLER: Profil unbekannt",IF(ISNA(MATCH($E293,lst_Werkstoff,0)),"FEHLER: Werkstoff unbekannt",IF(NOT(ISNUMBER(L293)),"FEHLER: Querschnitt fehlt (Profil)",IF(OR($F293="",$F293&lt;=0),"FEHLER: Teilelänge fehlt",IF(OR($G293="",$G293&lt;1),"FEHLER: Stückzahl fehlt",IF(NOT(ISNUMBER($H$4)),"FEHLER: Maschine fehlt/unbekannt",IF(Q293&gt;$H$7,"FEHLER: Stange länger als Maschine zulässt",IF($F293+$H$6&gt;T293,"FEHLER: Teil länger als Nutzlänge",IF(U293="nein","WARNUNG: kein gültiger Materialpreis",IF($H293="","HINWEIS: Schneidweg fehlt",IF(V293="","HINWEIS: keine Schneiddaten",IF(AND($AF293&lt;&gt;"",$AG293=""),"HINWEIS: Gewinde-Vorschlag prüfen","OK")))))))))))))</f>
        <v/>
      </c>
      <c r="X293" s="18" t="str">
        <f aca="false">IF(OR(O293="",$G293=""),"",O293*$G293)</f>
        <v/>
      </c>
      <c r="Y293" s="10"/>
      <c r="Z293" s="21"/>
      <c r="AA293" s="10"/>
      <c r="AB293" s="21"/>
      <c r="AC293" s="21"/>
      <c r="AD293" s="21"/>
      <c r="AE293" s="10"/>
      <c r="AF293" s="10"/>
      <c r="AG293" s="10"/>
      <c r="AH293" s="22"/>
      <c r="AI293" s="21"/>
      <c r="AJ293" s="22"/>
      <c r="AK293" s="21"/>
      <c r="AL293" s="22"/>
      <c r="AM293" s="21"/>
    </row>
    <row r="294" customFormat="false" ht="15" hidden="false" customHeight="false" outlineLevel="0" collapsed="false">
      <c r="A294" s="10"/>
      <c r="B294" s="10"/>
      <c r="C294" s="10"/>
      <c r="D294" s="10"/>
      <c r="E294" s="10"/>
      <c r="F294" s="21"/>
      <c r="G294" s="19"/>
      <c r="H294" s="21"/>
      <c r="I294" s="22"/>
      <c r="J294" s="19"/>
      <c r="K294" s="23" t="str">
        <f aca="false">IF($D294="","",IFERROR(INDEX(Profile!$B$5:$B$304,MATCH($D294,lst_Profil,0)),""))</f>
        <v/>
      </c>
      <c r="L294" s="13" t="str">
        <f aca="false">IF($D294="","",IFERROR(INDEX(Profile!$K$5:$K$304,MATCH($D294,lst_Profil,0))+0,""))</f>
        <v/>
      </c>
      <c r="M294" s="24" t="str">
        <f aca="false">IF($D294="","",IFERROR(INDEX(Profile!$E$5:$E$304,MATCH($D294,lst_Profil,0))+0,""))</f>
        <v/>
      </c>
      <c r="N294" s="25" t="str">
        <f aca="false">IF(OR(L294="",$E294=""),"",IFERROR(L294*INDEX(Werkstoffe!$E$5:$E$304,MATCH($E294,lst_Werkstoff,0))/1000,""))</f>
        <v/>
      </c>
      <c r="O294" s="25" t="str">
        <f aca="false">IF(OR(N294="",$F294=""),"",N294*$F294/1000)</f>
        <v/>
      </c>
      <c r="P294" s="16" t="str">
        <f aca="false">IF(OR($F294="",$G294=""),"",$F294*$G294)</f>
        <v/>
      </c>
      <c r="Q294" s="16" t="str">
        <f aca="false">IF($D294="","",IF($J294&lt;&gt;"",$J294,$C$9))</f>
        <v/>
      </c>
      <c r="R294" s="12" t="str">
        <f aca="false">IF($D294="","",IFERROR(IF(INDEX(Profile!$G$5:$G$304,MATCH($D294,lst_Profil,0))&lt;&gt;"",INDEX(Profile!$G$5:$G$304,MATCH($D294,lst_Profil,0)),$H$4),$H$4))</f>
        <v/>
      </c>
      <c r="S294" s="12" t="str">
        <f aca="false">IF($D294="","",IFERROR(IF(INDEX(Profile!$H$5:$H$304,MATCH($D294,lst_Profil,0))&lt;&gt;"",INDEX(Profile!$H$5:$H$304,MATCH($D294,lst_Profil,0)),$H$5),$H$5))</f>
        <v/>
      </c>
      <c r="T294" s="16" t="str">
        <f aca="false">IF(OR(Q294="",NOT(ISNUMBER(R294)),NOT(ISNUMBER(S294))),"",Q294-R294-S294)</f>
        <v/>
      </c>
      <c r="U294" s="26" t="str">
        <f aca="false">IF(OR($D294="",$E294=""),"",IF(COUNTIFS(Preise!$A$5:$A$304,$D294,Preise!$B$5:$B$304,$E294,Preise!$I$5:$I$304,"OK")&gt;0,"ja","nein"))</f>
        <v/>
      </c>
      <c r="V294" s="15" t="str">
        <f aca="false">IF(OR(M294="",$E294="",$C$8=""),"",IF(_xlfn.MINIFS(Schneiddaten!$C$5:$C$304,Schneiddaten!$A$5:$A$304,$C$8,Schneiddaten!$B$5:$B$304,$E294,Schneiddaten!$C$5:$C$304,"&gt;="&amp;M294)=0,"",SUMIFS(Schneiddaten!$D$5:$D$304,Schneiddaten!$A$5:$A$304,$C$8,Schneiddaten!$B$5:$B$304,$E294,Schneiddaten!$C$5:$C$304,_xlfn.MINIFS(Schneiddaten!$C$5:$C$304,Schneiddaten!$A$5:$A$304,$C$8,Schneiddaten!$B$5:$B$304,$E294,Schneiddaten!$C$5:$C$304,"&gt;="&amp;M294))))</f>
        <v/>
      </c>
      <c r="W294" s="26" t="str">
        <f aca="false">IF(AND($D294="",$E294="",$F294="",$G294=""),"",IF(ISNA(MATCH($D294,lst_Profil,0)),"FEHLER: Profil unbekannt",IF(ISNA(MATCH($E294,lst_Werkstoff,0)),"FEHLER: Werkstoff unbekannt",IF(NOT(ISNUMBER(L294)),"FEHLER: Querschnitt fehlt (Profil)",IF(OR($F294="",$F294&lt;=0),"FEHLER: Teilelänge fehlt",IF(OR($G294="",$G294&lt;1),"FEHLER: Stückzahl fehlt",IF(NOT(ISNUMBER($H$4)),"FEHLER: Maschine fehlt/unbekannt",IF(Q294&gt;$H$7,"FEHLER: Stange länger als Maschine zulässt",IF($F294+$H$6&gt;T294,"FEHLER: Teil länger als Nutzlänge",IF(U294="nein","WARNUNG: kein gültiger Materialpreis",IF($H294="","HINWEIS: Schneidweg fehlt",IF(V294="","HINWEIS: keine Schneiddaten",IF(AND($AF294&lt;&gt;"",$AG294=""),"HINWEIS: Gewinde-Vorschlag prüfen","OK")))))))))))))</f>
        <v/>
      </c>
      <c r="X294" s="18" t="str">
        <f aca="false">IF(OR(O294="",$G294=""),"",O294*$G294)</f>
        <v/>
      </c>
      <c r="Y294" s="10"/>
      <c r="Z294" s="21"/>
      <c r="AA294" s="10"/>
      <c r="AB294" s="21"/>
      <c r="AC294" s="21"/>
      <c r="AD294" s="21"/>
      <c r="AE294" s="10"/>
      <c r="AF294" s="10"/>
      <c r="AG294" s="10"/>
      <c r="AH294" s="22"/>
      <c r="AI294" s="21"/>
      <c r="AJ294" s="22"/>
      <c r="AK294" s="21"/>
      <c r="AL294" s="22"/>
      <c r="AM294" s="21"/>
    </row>
    <row r="295" customFormat="false" ht="15" hidden="false" customHeight="false" outlineLevel="0" collapsed="false">
      <c r="A295" s="10"/>
      <c r="B295" s="10"/>
      <c r="C295" s="10"/>
      <c r="D295" s="10"/>
      <c r="E295" s="10"/>
      <c r="F295" s="21"/>
      <c r="G295" s="19"/>
      <c r="H295" s="21"/>
      <c r="I295" s="22"/>
      <c r="J295" s="19"/>
      <c r="K295" s="23" t="str">
        <f aca="false">IF($D295="","",IFERROR(INDEX(Profile!$B$5:$B$304,MATCH($D295,lst_Profil,0)),""))</f>
        <v/>
      </c>
      <c r="L295" s="13" t="str">
        <f aca="false">IF($D295="","",IFERROR(INDEX(Profile!$K$5:$K$304,MATCH($D295,lst_Profil,0))+0,""))</f>
        <v/>
      </c>
      <c r="M295" s="24" t="str">
        <f aca="false">IF($D295="","",IFERROR(INDEX(Profile!$E$5:$E$304,MATCH($D295,lst_Profil,0))+0,""))</f>
        <v/>
      </c>
      <c r="N295" s="25" t="str">
        <f aca="false">IF(OR(L295="",$E295=""),"",IFERROR(L295*INDEX(Werkstoffe!$E$5:$E$304,MATCH($E295,lst_Werkstoff,0))/1000,""))</f>
        <v/>
      </c>
      <c r="O295" s="25" t="str">
        <f aca="false">IF(OR(N295="",$F295=""),"",N295*$F295/1000)</f>
        <v/>
      </c>
      <c r="P295" s="16" t="str">
        <f aca="false">IF(OR($F295="",$G295=""),"",$F295*$G295)</f>
        <v/>
      </c>
      <c r="Q295" s="16" t="str">
        <f aca="false">IF($D295="","",IF($J295&lt;&gt;"",$J295,$C$9))</f>
        <v/>
      </c>
      <c r="R295" s="12" t="str">
        <f aca="false">IF($D295="","",IFERROR(IF(INDEX(Profile!$G$5:$G$304,MATCH($D295,lst_Profil,0))&lt;&gt;"",INDEX(Profile!$G$5:$G$304,MATCH($D295,lst_Profil,0)),$H$4),$H$4))</f>
        <v/>
      </c>
      <c r="S295" s="12" t="str">
        <f aca="false">IF($D295="","",IFERROR(IF(INDEX(Profile!$H$5:$H$304,MATCH($D295,lst_Profil,0))&lt;&gt;"",INDEX(Profile!$H$5:$H$304,MATCH($D295,lst_Profil,0)),$H$5),$H$5))</f>
        <v/>
      </c>
      <c r="T295" s="16" t="str">
        <f aca="false">IF(OR(Q295="",NOT(ISNUMBER(R295)),NOT(ISNUMBER(S295))),"",Q295-R295-S295)</f>
        <v/>
      </c>
      <c r="U295" s="26" t="str">
        <f aca="false">IF(OR($D295="",$E295=""),"",IF(COUNTIFS(Preise!$A$5:$A$304,$D295,Preise!$B$5:$B$304,$E295,Preise!$I$5:$I$304,"OK")&gt;0,"ja","nein"))</f>
        <v/>
      </c>
      <c r="V295" s="15" t="str">
        <f aca="false">IF(OR(M295="",$E295="",$C$8=""),"",IF(_xlfn.MINIFS(Schneiddaten!$C$5:$C$304,Schneiddaten!$A$5:$A$304,$C$8,Schneiddaten!$B$5:$B$304,$E295,Schneiddaten!$C$5:$C$304,"&gt;="&amp;M295)=0,"",SUMIFS(Schneiddaten!$D$5:$D$304,Schneiddaten!$A$5:$A$304,$C$8,Schneiddaten!$B$5:$B$304,$E295,Schneiddaten!$C$5:$C$304,_xlfn.MINIFS(Schneiddaten!$C$5:$C$304,Schneiddaten!$A$5:$A$304,$C$8,Schneiddaten!$B$5:$B$304,$E295,Schneiddaten!$C$5:$C$304,"&gt;="&amp;M295))))</f>
        <v/>
      </c>
      <c r="W295" s="26" t="str">
        <f aca="false">IF(AND($D295="",$E295="",$F295="",$G295=""),"",IF(ISNA(MATCH($D295,lst_Profil,0)),"FEHLER: Profil unbekannt",IF(ISNA(MATCH($E295,lst_Werkstoff,0)),"FEHLER: Werkstoff unbekannt",IF(NOT(ISNUMBER(L295)),"FEHLER: Querschnitt fehlt (Profil)",IF(OR($F295="",$F295&lt;=0),"FEHLER: Teilelänge fehlt",IF(OR($G295="",$G295&lt;1),"FEHLER: Stückzahl fehlt",IF(NOT(ISNUMBER($H$4)),"FEHLER: Maschine fehlt/unbekannt",IF(Q295&gt;$H$7,"FEHLER: Stange länger als Maschine zulässt",IF($F295+$H$6&gt;T295,"FEHLER: Teil länger als Nutzlänge",IF(U295="nein","WARNUNG: kein gültiger Materialpreis",IF($H295="","HINWEIS: Schneidweg fehlt",IF(V295="","HINWEIS: keine Schneiddaten",IF(AND($AF295&lt;&gt;"",$AG295=""),"HINWEIS: Gewinde-Vorschlag prüfen","OK")))))))))))))</f>
        <v/>
      </c>
      <c r="X295" s="18" t="str">
        <f aca="false">IF(OR(O295="",$G295=""),"",O295*$G295)</f>
        <v/>
      </c>
      <c r="Y295" s="10"/>
      <c r="Z295" s="21"/>
      <c r="AA295" s="10"/>
      <c r="AB295" s="21"/>
      <c r="AC295" s="21"/>
      <c r="AD295" s="21"/>
      <c r="AE295" s="10"/>
      <c r="AF295" s="10"/>
      <c r="AG295" s="10"/>
      <c r="AH295" s="22"/>
      <c r="AI295" s="21"/>
      <c r="AJ295" s="22"/>
      <c r="AK295" s="21"/>
      <c r="AL295" s="22"/>
      <c r="AM295" s="21"/>
    </row>
    <row r="296" customFormat="false" ht="15" hidden="false" customHeight="false" outlineLevel="0" collapsed="false">
      <c r="A296" s="10"/>
      <c r="B296" s="10"/>
      <c r="C296" s="10"/>
      <c r="D296" s="10"/>
      <c r="E296" s="10"/>
      <c r="F296" s="21"/>
      <c r="G296" s="19"/>
      <c r="H296" s="21"/>
      <c r="I296" s="22"/>
      <c r="J296" s="19"/>
      <c r="K296" s="23" t="str">
        <f aca="false">IF($D296="","",IFERROR(INDEX(Profile!$B$5:$B$304,MATCH($D296,lst_Profil,0)),""))</f>
        <v/>
      </c>
      <c r="L296" s="13" t="str">
        <f aca="false">IF($D296="","",IFERROR(INDEX(Profile!$K$5:$K$304,MATCH($D296,lst_Profil,0))+0,""))</f>
        <v/>
      </c>
      <c r="M296" s="24" t="str">
        <f aca="false">IF($D296="","",IFERROR(INDEX(Profile!$E$5:$E$304,MATCH($D296,lst_Profil,0))+0,""))</f>
        <v/>
      </c>
      <c r="N296" s="25" t="str">
        <f aca="false">IF(OR(L296="",$E296=""),"",IFERROR(L296*INDEX(Werkstoffe!$E$5:$E$304,MATCH($E296,lst_Werkstoff,0))/1000,""))</f>
        <v/>
      </c>
      <c r="O296" s="25" t="str">
        <f aca="false">IF(OR(N296="",$F296=""),"",N296*$F296/1000)</f>
        <v/>
      </c>
      <c r="P296" s="16" t="str">
        <f aca="false">IF(OR($F296="",$G296=""),"",$F296*$G296)</f>
        <v/>
      </c>
      <c r="Q296" s="16" t="str">
        <f aca="false">IF($D296="","",IF($J296&lt;&gt;"",$J296,$C$9))</f>
        <v/>
      </c>
      <c r="R296" s="12" t="str">
        <f aca="false">IF($D296="","",IFERROR(IF(INDEX(Profile!$G$5:$G$304,MATCH($D296,lst_Profil,0))&lt;&gt;"",INDEX(Profile!$G$5:$G$304,MATCH($D296,lst_Profil,0)),$H$4),$H$4))</f>
        <v/>
      </c>
      <c r="S296" s="12" t="str">
        <f aca="false">IF($D296="","",IFERROR(IF(INDEX(Profile!$H$5:$H$304,MATCH($D296,lst_Profil,0))&lt;&gt;"",INDEX(Profile!$H$5:$H$304,MATCH($D296,lst_Profil,0)),$H$5),$H$5))</f>
        <v/>
      </c>
      <c r="T296" s="16" t="str">
        <f aca="false">IF(OR(Q296="",NOT(ISNUMBER(R296)),NOT(ISNUMBER(S296))),"",Q296-R296-S296)</f>
        <v/>
      </c>
      <c r="U296" s="26" t="str">
        <f aca="false">IF(OR($D296="",$E296=""),"",IF(COUNTIFS(Preise!$A$5:$A$304,$D296,Preise!$B$5:$B$304,$E296,Preise!$I$5:$I$304,"OK")&gt;0,"ja","nein"))</f>
        <v/>
      </c>
      <c r="V296" s="15" t="str">
        <f aca="false">IF(OR(M296="",$E296="",$C$8=""),"",IF(_xlfn.MINIFS(Schneiddaten!$C$5:$C$304,Schneiddaten!$A$5:$A$304,$C$8,Schneiddaten!$B$5:$B$304,$E296,Schneiddaten!$C$5:$C$304,"&gt;="&amp;M296)=0,"",SUMIFS(Schneiddaten!$D$5:$D$304,Schneiddaten!$A$5:$A$304,$C$8,Schneiddaten!$B$5:$B$304,$E296,Schneiddaten!$C$5:$C$304,_xlfn.MINIFS(Schneiddaten!$C$5:$C$304,Schneiddaten!$A$5:$A$304,$C$8,Schneiddaten!$B$5:$B$304,$E296,Schneiddaten!$C$5:$C$304,"&gt;="&amp;M296))))</f>
        <v/>
      </c>
      <c r="W296" s="26" t="str">
        <f aca="false">IF(AND($D296="",$E296="",$F296="",$G296=""),"",IF(ISNA(MATCH($D296,lst_Profil,0)),"FEHLER: Profil unbekannt",IF(ISNA(MATCH($E296,lst_Werkstoff,0)),"FEHLER: Werkstoff unbekannt",IF(NOT(ISNUMBER(L296)),"FEHLER: Querschnitt fehlt (Profil)",IF(OR($F296="",$F296&lt;=0),"FEHLER: Teilelänge fehlt",IF(OR($G296="",$G296&lt;1),"FEHLER: Stückzahl fehlt",IF(NOT(ISNUMBER($H$4)),"FEHLER: Maschine fehlt/unbekannt",IF(Q296&gt;$H$7,"FEHLER: Stange länger als Maschine zulässt",IF($F296+$H$6&gt;T296,"FEHLER: Teil länger als Nutzlänge",IF(U296="nein","WARNUNG: kein gültiger Materialpreis",IF($H296="","HINWEIS: Schneidweg fehlt",IF(V296="","HINWEIS: keine Schneiddaten",IF(AND($AF296&lt;&gt;"",$AG296=""),"HINWEIS: Gewinde-Vorschlag prüfen","OK")))))))))))))</f>
        <v/>
      </c>
      <c r="X296" s="18" t="str">
        <f aca="false">IF(OR(O296="",$G296=""),"",O296*$G296)</f>
        <v/>
      </c>
      <c r="Y296" s="10"/>
      <c r="Z296" s="21"/>
      <c r="AA296" s="10"/>
      <c r="AB296" s="21"/>
      <c r="AC296" s="21"/>
      <c r="AD296" s="21"/>
      <c r="AE296" s="10"/>
      <c r="AF296" s="10"/>
      <c r="AG296" s="10"/>
      <c r="AH296" s="22"/>
      <c r="AI296" s="21"/>
      <c r="AJ296" s="22"/>
      <c r="AK296" s="21"/>
      <c r="AL296" s="22"/>
      <c r="AM296" s="21"/>
    </row>
    <row r="297" customFormat="false" ht="15" hidden="false" customHeight="false" outlineLevel="0" collapsed="false">
      <c r="A297" s="10"/>
      <c r="B297" s="10"/>
      <c r="C297" s="10"/>
      <c r="D297" s="10"/>
      <c r="E297" s="10"/>
      <c r="F297" s="21"/>
      <c r="G297" s="19"/>
      <c r="H297" s="21"/>
      <c r="I297" s="22"/>
      <c r="J297" s="19"/>
      <c r="K297" s="23" t="str">
        <f aca="false">IF($D297="","",IFERROR(INDEX(Profile!$B$5:$B$304,MATCH($D297,lst_Profil,0)),""))</f>
        <v/>
      </c>
      <c r="L297" s="13" t="str">
        <f aca="false">IF($D297="","",IFERROR(INDEX(Profile!$K$5:$K$304,MATCH($D297,lst_Profil,0))+0,""))</f>
        <v/>
      </c>
      <c r="M297" s="24" t="str">
        <f aca="false">IF($D297="","",IFERROR(INDEX(Profile!$E$5:$E$304,MATCH($D297,lst_Profil,0))+0,""))</f>
        <v/>
      </c>
      <c r="N297" s="25" t="str">
        <f aca="false">IF(OR(L297="",$E297=""),"",IFERROR(L297*INDEX(Werkstoffe!$E$5:$E$304,MATCH($E297,lst_Werkstoff,0))/1000,""))</f>
        <v/>
      </c>
      <c r="O297" s="25" t="str">
        <f aca="false">IF(OR(N297="",$F297=""),"",N297*$F297/1000)</f>
        <v/>
      </c>
      <c r="P297" s="16" t="str">
        <f aca="false">IF(OR($F297="",$G297=""),"",$F297*$G297)</f>
        <v/>
      </c>
      <c r="Q297" s="16" t="str">
        <f aca="false">IF($D297="","",IF($J297&lt;&gt;"",$J297,$C$9))</f>
        <v/>
      </c>
      <c r="R297" s="12" t="str">
        <f aca="false">IF($D297="","",IFERROR(IF(INDEX(Profile!$G$5:$G$304,MATCH($D297,lst_Profil,0))&lt;&gt;"",INDEX(Profile!$G$5:$G$304,MATCH($D297,lst_Profil,0)),$H$4),$H$4))</f>
        <v/>
      </c>
      <c r="S297" s="12" t="str">
        <f aca="false">IF($D297="","",IFERROR(IF(INDEX(Profile!$H$5:$H$304,MATCH($D297,lst_Profil,0))&lt;&gt;"",INDEX(Profile!$H$5:$H$304,MATCH($D297,lst_Profil,0)),$H$5),$H$5))</f>
        <v/>
      </c>
      <c r="T297" s="16" t="str">
        <f aca="false">IF(OR(Q297="",NOT(ISNUMBER(R297)),NOT(ISNUMBER(S297))),"",Q297-R297-S297)</f>
        <v/>
      </c>
      <c r="U297" s="26" t="str">
        <f aca="false">IF(OR($D297="",$E297=""),"",IF(COUNTIFS(Preise!$A$5:$A$304,$D297,Preise!$B$5:$B$304,$E297,Preise!$I$5:$I$304,"OK")&gt;0,"ja","nein"))</f>
        <v/>
      </c>
      <c r="V297" s="15" t="str">
        <f aca="false">IF(OR(M297="",$E297="",$C$8=""),"",IF(_xlfn.MINIFS(Schneiddaten!$C$5:$C$304,Schneiddaten!$A$5:$A$304,$C$8,Schneiddaten!$B$5:$B$304,$E297,Schneiddaten!$C$5:$C$304,"&gt;="&amp;M297)=0,"",SUMIFS(Schneiddaten!$D$5:$D$304,Schneiddaten!$A$5:$A$304,$C$8,Schneiddaten!$B$5:$B$304,$E297,Schneiddaten!$C$5:$C$304,_xlfn.MINIFS(Schneiddaten!$C$5:$C$304,Schneiddaten!$A$5:$A$304,$C$8,Schneiddaten!$B$5:$B$304,$E297,Schneiddaten!$C$5:$C$304,"&gt;="&amp;M297))))</f>
        <v/>
      </c>
      <c r="W297" s="26" t="str">
        <f aca="false">IF(AND($D297="",$E297="",$F297="",$G297=""),"",IF(ISNA(MATCH($D297,lst_Profil,0)),"FEHLER: Profil unbekannt",IF(ISNA(MATCH($E297,lst_Werkstoff,0)),"FEHLER: Werkstoff unbekannt",IF(NOT(ISNUMBER(L297)),"FEHLER: Querschnitt fehlt (Profil)",IF(OR($F297="",$F297&lt;=0),"FEHLER: Teilelänge fehlt",IF(OR($G297="",$G297&lt;1),"FEHLER: Stückzahl fehlt",IF(NOT(ISNUMBER($H$4)),"FEHLER: Maschine fehlt/unbekannt",IF(Q297&gt;$H$7,"FEHLER: Stange länger als Maschine zulässt",IF($F297+$H$6&gt;T297,"FEHLER: Teil länger als Nutzlänge",IF(U297="nein","WARNUNG: kein gültiger Materialpreis",IF($H297="","HINWEIS: Schneidweg fehlt",IF(V297="","HINWEIS: keine Schneiddaten",IF(AND($AF297&lt;&gt;"",$AG297=""),"HINWEIS: Gewinde-Vorschlag prüfen","OK")))))))))))))</f>
        <v/>
      </c>
      <c r="X297" s="18" t="str">
        <f aca="false">IF(OR(O297="",$G297=""),"",O297*$G297)</f>
        <v/>
      </c>
      <c r="Y297" s="10"/>
      <c r="Z297" s="21"/>
      <c r="AA297" s="10"/>
      <c r="AB297" s="21"/>
      <c r="AC297" s="21"/>
      <c r="AD297" s="21"/>
      <c r="AE297" s="10"/>
      <c r="AF297" s="10"/>
      <c r="AG297" s="10"/>
      <c r="AH297" s="22"/>
      <c r="AI297" s="21"/>
      <c r="AJ297" s="22"/>
      <c r="AK297" s="21"/>
      <c r="AL297" s="22"/>
      <c r="AM297" s="21"/>
    </row>
    <row r="298" customFormat="false" ht="15" hidden="false" customHeight="false" outlineLevel="0" collapsed="false">
      <c r="A298" s="10"/>
      <c r="B298" s="10"/>
      <c r="C298" s="10"/>
      <c r="D298" s="10"/>
      <c r="E298" s="10"/>
      <c r="F298" s="21"/>
      <c r="G298" s="19"/>
      <c r="H298" s="21"/>
      <c r="I298" s="22"/>
      <c r="J298" s="19"/>
      <c r="K298" s="23" t="str">
        <f aca="false">IF($D298="","",IFERROR(INDEX(Profile!$B$5:$B$304,MATCH($D298,lst_Profil,0)),""))</f>
        <v/>
      </c>
      <c r="L298" s="13" t="str">
        <f aca="false">IF($D298="","",IFERROR(INDEX(Profile!$K$5:$K$304,MATCH($D298,lst_Profil,0))+0,""))</f>
        <v/>
      </c>
      <c r="M298" s="24" t="str">
        <f aca="false">IF($D298="","",IFERROR(INDEX(Profile!$E$5:$E$304,MATCH($D298,lst_Profil,0))+0,""))</f>
        <v/>
      </c>
      <c r="N298" s="25" t="str">
        <f aca="false">IF(OR(L298="",$E298=""),"",IFERROR(L298*INDEX(Werkstoffe!$E$5:$E$304,MATCH($E298,lst_Werkstoff,0))/1000,""))</f>
        <v/>
      </c>
      <c r="O298" s="25" t="str">
        <f aca="false">IF(OR(N298="",$F298=""),"",N298*$F298/1000)</f>
        <v/>
      </c>
      <c r="P298" s="16" t="str">
        <f aca="false">IF(OR($F298="",$G298=""),"",$F298*$G298)</f>
        <v/>
      </c>
      <c r="Q298" s="16" t="str">
        <f aca="false">IF($D298="","",IF($J298&lt;&gt;"",$J298,$C$9))</f>
        <v/>
      </c>
      <c r="R298" s="12" t="str">
        <f aca="false">IF($D298="","",IFERROR(IF(INDEX(Profile!$G$5:$G$304,MATCH($D298,lst_Profil,0))&lt;&gt;"",INDEX(Profile!$G$5:$G$304,MATCH($D298,lst_Profil,0)),$H$4),$H$4))</f>
        <v/>
      </c>
      <c r="S298" s="12" t="str">
        <f aca="false">IF($D298="","",IFERROR(IF(INDEX(Profile!$H$5:$H$304,MATCH($D298,lst_Profil,0))&lt;&gt;"",INDEX(Profile!$H$5:$H$304,MATCH($D298,lst_Profil,0)),$H$5),$H$5))</f>
        <v/>
      </c>
      <c r="T298" s="16" t="str">
        <f aca="false">IF(OR(Q298="",NOT(ISNUMBER(R298)),NOT(ISNUMBER(S298))),"",Q298-R298-S298)</f>
        <v/>
      </c>
      <c r="U298" s="26" t="str">
        <f aca="false">IF(OR($D298="",$E298=""),"",IF(COUNTIFS(Preise!$A$5:$A$304,$D298,Preise!$B$5:$B$304,$E298,Preise!$I$5:$I$304,"OK")&gt;0,"ja","nein"))</f>
        <v/>
      </c>
      <c r="V298" s="15" t="str">
        <f aca="false">IF(OR(M298="",$E298="",$C$8=""),"",IF(_xlfn.MINIFS(Schneiddaten!$C$5:$C$304,Schneiddaten!$A$5:$A$304,$C$8,Schneiddaten!$B$5:$B$304,$E298,Schneiddaten!$C$5:$C$304,"&gt;="&amp;M298)=0,"",SUMIFS(Schneiddaten!$D$5:$D$304,Schneiddaten!$A$5:$A$304,$C$8,Schneiddaten!$B$5:$B$304,$E298,Schneiddaten!$C$5:$C$304,_xlfn.MINIFS(Schneiddaten!$C$5:$C$304,Schneiddaten!$A$5:$A$304,$C$8,Schneiddaten!$B$5:$B$304,$E298,Schneiddaten!$C$5:$C$304,"&gt;="&amp;M298))))</f>
        <v/>
      </c>
      <c r="W298" s="26" t="str">
        <f aca="false">IF(AND($D298="",$E298="",$F298="",$G298=""),"",IF(ISNA(MATCH($D298,lst_Profil,0)),"FEHLER: Profil unbekannt",IF(ISNA(MATCH($E298,lst_Werkstoff,0)),"FEHLER: Werkstoff unbekannt",IF(NOT(ISNUMBER(L298)),"FEHLER: Querschnitt fehlt (Profil)",IF(OR($F298="",$F298&lt;=0),"FEHLER: Teilelänge fehlt",IF(OR($G298="",$G298&lt;1),"FEHLER: Stückzahl fehlt",IF(NOT(ISNUMBER($H$4)),"FEHLER: Maschine fehlt/unbekannt",IF(Q298&gt;$H$7,"FEHLER: Stange länger als Maschine zulässt",IF($F298+$H$6&gt;T298,"FEHLER: Teil länger als Nutzlänge",IF(U298="nein","WARNUNG: kein gültiger Materialpreis",IF($H298="","HINWEIS: Schneidweg fehlt",IF(V298="","HINWEIS: keine Schneiddaten",IF(AND($AF298&lt;&gt;"",$AG298=""),"HINWEIS: Gewinde-Vorschlag prüfen","OK")))))))))))))</f>
        <v/>
      </c>
      <c r="X298" s="18" t="str">
        <f aca="false">IF(OR(O298="",$G298=""),"",O298*$G298)</f>
        <v/>
      </c>
      <c r="Y298" s="10"/>
      <c r="Z298" s="21"/>
      <c r="AA298" s="10"/>
      <c r="AB298" s="21"/>
      <c r="AC298" s="21"/>
      <c r="AD298" s="21"/>
      <c r="AE298" s="10"/>
      <c r="AF298" s="10"/>
      <c r="AG298" s="10"/>
      <c r="AH298" s="22"/>
      <c r="AI298" s="21"/>
      <c r="AJ298" s="22"/>
      <c r="AK298" s="21"/>
      <c r="AL298" s="22"/>
      <c r="AM298" s="21"/>
    </row>
    <row r="299" customFormat="false" ht="15" hidden="false" customHeight="false" outlineLevel="0" collapsed="false">
      <c r="A299" s="10"/>
      <c r="B299" s="10"/>
      <c r="C299" s="10"/>
      <c r="D299" s="10"/>
      <c r="E299" s="10"/>
      <c r="F299" s="21"/>
      <c r="G299" s="19"/>
      <c r="H299" s="21"/>
      <c r="I299" s="22"/>
      <c r="J299" s="19"/>
      <c r="K299" s="23" t="str">
        <f aca="false">IF($D299="","",IFERROR(INDEX(Profile!$B$5:$B$304,MATCH($D299,lst_Profil,0)),""))</f>
        <v/>
      </c>
      <c r="L299" s="13" t="str">
        <f aca="false">IF($D299="","",IFERROR(INDEX(Profile!$K$5:$K$304,MATCH($D299,lst_Profil,0))+0,""))</f>
        <v/>
      </c>
      <c r="M299" s="24" t="str">
        <f aca="false">IF($D299="","",IFERROR(INDEX(Profile!$E$5:$E$304,MATCH($D299,lst_Profil,0))+0,""))</f>
        <v/>
      </c>
      <c r="N299" s="25" t="str">
        <f aca="false">IF(OR(L299="",$E299=""),"",IFERROR(L299*INDEX(Werkstoffe!$E$5:$E$304,MATCH($E299,lst_Werkstoff,0))/1000,""))</f>
        <v/>
      </c>
      <c r="O299" s="25" t="str">
        <f aca="false">IF(OR(N299="",$F299=""),"",N299*$F299/1000)</f>
        <v/>
      </c>
      <c r="P299" s="16" t="str">
        <f aca="false">IF(OR($F299="",$G299=""),"",$F299*$G299)</f>
        <v/>
      </c>
      <c r="Q299" s="16" t="str">
        <f aca="false">IF($D299="","",IF($J299&lt;&gt;"",$J299,$C$9))</f>
        <v/>
      </c>
      <c r="R299" s="12" t="str">
        <f aca="false">IF($D299="","",IFERROR(IF(INDEX(Profile!$G$5:$G$304,MATCH($D299,lst_Profil,0))&lt;&gt;"",INDEX(Profile!$G$5:$G$304,MATCH($D299,lst_Profil,0)),$H$4),$H$4))</f>
        <v/>
      </c>
      <c r="S299" s="12" t="str">
        <f aca="false">IF($D299="","",IFERROR(IF(INDEX(Profile!$H$5:$H$304,MATCH($D299,lst_Profil,0))&lt;&gt;"",INDEX(Profile!$H$5:$H$304,MATCH($D299,lst_Profil,0)),$H$5),$H$5))</f>
        <v/>
      </c>
      <c r="T299" s="16" t="str">
        <f aca="false">IF(OR(Q299="",NOT(ISNUMBER(R299)),NOT(ISNUMBER(S299))),"",Q299-R299-S299)</f>
        <v/>
      </c>
      <c r="U299" s="26" t="str">
        <f aca="false">IF(OR($D299="",$E299=""),"",IF(COUNTIFS(Preise!$A$5:$A$304,$D299,Preise!$B$5:$B$304,$E299,Preise!$I$5:$I$304,"OK")&gt;0,"ja","nein"))</f>
        <v/>
      </c>
      <c r="V299" s="15" t="str">
        <f aca="false">IF(OR(M299="",$E299="",$C$8=""),"",IF(_xlfn.MINIFS(Schneiddaten!$C$5:$C$304,Schneiddaten!$A$5:$A$304,$C$8,Schneiddaten!$B$5:$B$304,$E299,Schneiddaten!$C$5:$C$304,"&gt;="&amp;M299)=0,"",SUMIFS(Schneiddaten!$D$5:$D$304,Schneiddaten!$A$5:$A$304,$C$8,Schneiddaten!$B$5:$B$304,$E299,Schneiddaten!$C$5:$C$304,_xlfn.MINIFS(Schneiddaten!$C$5:$C$304,Schneiddaten!$A$5:$A$304,$C$8,Schneiddaten!$B$5:$B$304,$E299,Schneiddaten!$C$5:$C$304,"&gt;="&amp;M299))))</f>
        <v/>
      </c>
      <c r="W299" s="26" t="str">
        <f aca="false">IF(AND($D299="",$E299="",$F299="",$G299=""),"",IF(ISNA(MATCH($D299,lst_Profil,0)),"FEHLER: Profil unbekannt",IF(ISNA(MATCH($E299,lst_Werkstoff,0)),"FEHLER: Werkstoff unbekannt",IF(NOT(ISNUMBER(L299)),"FEHLER: Querschnitt fehlt (Profil)",IF(OR($F299="",$F299&lt;=0),"FEHLER: Teilelänge fehlt",IF(OR($G299="",$G299&lt;1),"FEHLER: Stückzahl fehlt",IF(NOT(ISNUMBER($H$4)),"FEHLER: Maschine fehlt/unbekannt",IF(Q299&gt;$H$7,"FEHLER: Stange länger als Maschine zulässt",IF($F299+$H$6&gt;T299,"FEHLER: Teil länger als Nutzlänge",IF(U299="nein","WARNUNG: kein gültiger Materialpreis",IF($H299="","HINWEIS: Schneidweg fehlt",IF(V299="","HINWEIS: keine Schneiddaten",IF(AND($AF299&lt;&gt;"",$AG299=""),"HINWEIS: Gewinde-Vorschlag prüfen","OK")))))))))))))</f>
        <v/>
      </c>
      <c r="X299" s="18" t="str">
        <f aca="false">IF(OR(O299="",$G299=""),"",O299*$G299)</f>
        <v/>
      </c>
      <c r="Y299" s="10"/>
      <c r="Z299" s="21"/>
      <c r="AA299" s="10"/>
      <c r="AB299" s="21"/>
      <c r="AC299" s="21"/>
      <c r="AD299" s="21"/>
      <c r="AE299" s="10"/>
      <c r="AF299" s="10"/>
      <c r="AG299" s="10"/>
      <c r="AH299" s="22"/>
      <c r="AI299" s="21"/>
      <c r="AJ299" s="22"/>
      <c r="AK299" s="21"/>
      <c r="AL299" s="22"/>
      <c r="AM299" s="21"/>
    </row>
    <row r="300" customFormat="false" ht="15" hidden="false" customHeight="false" outlineLevel="0" collapsed="false">
      <c r="A300" s="10"/>
      <c r="B300" s="10"/>
      <c r="C300" s="10"/>
      <c r="D300" s="10"/>
      <c r="E300" s="10"/>
      <c r="F300" s="21"/>
      <c r="G300" s="19"/>
      <c r="H300" s="21"/>
      <c r="I300" s="22"/>
      <c r="J300" s="19"/>
      <c r="K300" s="23" t="str">
        <f aca="false">IF($D300="","",IFERROR(INDEX(Profile!$B$5:$B$304,MATCH($D300,lst_Profil,0)),""))</f>
        <v/>
      </c>
      <c r="L300" s="13" t="str">
        <f aca="false">IF($D300="","",IFERROR(INDEX(Profile!$K$5:$K$304,MATCH($D300,lst_Profil,0))+0,""))</f>
        <v/>
      </c>
      <c r="M300" s="24" t="str">
        <f aca="false">IF($D300="","",IFERROR(INDEX(Profile!$E$5:$E$304,MATCH($D300,lst_Profil,0))+0,""))</f>
        <v/>
      </c>
      <c r="N300" s="25" t="str">
        <f aca="false">IF(OR(L300="",$E300=""),"",IFERROR(L300*INDEX(Werkstoffe!$E$5:$E$304,MATCH($E300,lst_Werkstoff,0))/1000,""))</f>
        <v/>
      </c>
      <c r="O300" s="25" t="str">
        <f aca="false">IF(OR(N300="",$F300=""),"",N300*$F300/1000)</f>
        <v/>
      </c>
      <c r="P300" s="16" t="str">
        <f aca="false">IF(OR($F300="",$G300=""),"",$F300*$G300)</f>
        <v/>
      </c>
      <c r="Q300" s="16" t="str">
        <f aca="false">IF($D300="","",IF($J300&lt;&gt;"",$J300,$C$9))</f>
        <v/>
      </c>
      <c r="R300" s="12" t="str">
        <f aca="false">IF($D300="","",IFERROR(IF(INDEX(Profile!$G$5:$G$304,MATCH($D300,lst_Profil,0))&lt;&gt;"",INDEX(Profile!$G$5:$G$304,MATCH($D300,lst_Profil,0)),$H$4),$H$4))</f>
        <v/>
      </c>
      <c r="S300" s="12" t="str">
        <f aca="false">IF($D300="","",IFERROR(IF(INDEX(Profile!$H$5:$H$304,MATCH($D300,lst_Profil,0))&lt;&gt;"",INDEX(Profile!$H$5:$H$304,MATCH($D300,lst_Profil,0)),$H$5),$H$5))</f>
        <v/>
      </c>
      <c r="T300" s="16" t="str">
        <f aca="false">IF(OR(Q300="",NOT(ISNUMBER(R300)),NOT(ISNUMBER(S300))),"",Q300-R300-S300)</f>
        <v/>
      </c>
      <c r="U300" s="26" t="str">
        <f aca="false">IF(OR($D300="",$E300=""),"",IF(COUNTIFS(Preise!$A$5:$A$304,$D300,Preise!$B$5:$B$304,$E300,Preise!$I$5:$I$304,"OK")&gt;0,"ja","nein"))</f>
        <v/>
      </c>
      <c r="V300" s="15" t="str">
        <f aca="false">IF(OR(M300="",$E300="",$C$8=""),"",IF(_xlfn.MINIFS(Schneiddaten!$C$5:$C$304,Schneiddaten!$A$5:$A$304,$C$8,Schneiddaten!$B$5:$B$304,$E300,Schneiddaten!$C$5:$C$304,"&gt;="&amp;M300)=0,"",SUMIFS(Schneiddaten!$D$5:$D$304,Schneiddaten!$A$5:$A$304,$C$8,Schneiddaten!$B$5:$B$304,$E300,Schneiddaten!$C$5:$C$304,_xlfn.MINIFS(Schneiddaten!$C$5:$C$304,Schneiddaten!$A$5:$A$304,$C$8,Schneiddaten!$B$5:$B$304,$E300,Schneiddaten!$C$5:$C$304,"&gt;="&amp;M300))))</f>
        <v/>
      </c>
      <c r="W300" s="26" t="str">
        <f aca="false">IF(AND($D300="",$E300="",$F300="",$G300=""),"",IF(ISNA(MATCH($D300,lst_Profil,0)),"FEHLER: Profil unbekannt",IF(ISNA(MATCH($E300,lst_Werkstoff,0)),"FEHLER: Werkstoff unbekannt",IF(NOT(ISNUMBER(L300)),"FEHLER: Querschnitt fehlt (Profil)",IF(OR($F300="",$F300&lt;=0),"FEHLER: Teilelänge fehlt",IF(OR($G300="",$G300&lt;1),"FEHLER: Stückzahl fehlt",IF(NOT(ISNUMBER($H$4)),"FEHLER: Maschine fehlt/unbekannt",IF(Q300&gt;$H$7,"FEHLER: Stange länger als Maschine zulässt",IF($F300+$H$6&gt;T300,"FEHLER: Teil länger als Nutzlänge",IF(U300="nein","WARNUNG: kein gültiger Materialpreis",IF($H300="","HINWEIS: Schneidweg fehlt",IF(V300="","HINWEIS: keine Schneiddaten",IF(AND($AF300&lt;&gt;"",$AG300=""),"HINWEIS: Gewinde-Vorschlag prüfen","OK")))))))))))))</f>
        <v/>
      </c>
      <c r="X300" s="18" t="str">
        <f aca="false">IF(OR(O300="",$G300=""),"",O300*$G300)</f>
        <v/>
      </c>
      <c r="Y300" s="10"/>
      <c r="Z300" s="21"/>
      <c r="AA300" s="10"/>
      <c r="AB300" s="21"/>
      <c r="AC300" s="21"/>
      <c r="AD300" s="21"/>
      <c r="AE300" s="10"/>
      <c r="AF300" s="10"/>
      <c r="AG300" s="10"/>
      <c r="AH300" s="22"/>
      <c r="AI300" s="21"/>
      <c r="AJ300" s="22"/>
      <c r="AK300" s="21"/>
      <c r="AL300" s="22"/>
      <c r="AM300" s="21"/>
    </row>
    <row r="301" customFormat="false" ht="15" hidden="false" customHeight="false" outlineLevel="0" collapsed="false">
      <c r="A301" s="10"/>
      <c r="B301" s="10"/>
      <c r="C301" s="10"/>
      <c r="D301" s="10"/>
      <c r="E301" s="10"/>
      <c r="F301" s="21"/>
      <c r="G301" s="19"/>
      <c r="H301" s="21"/>
      <c r="I301" s="22"/>
      <c r="J301" s="19"/>
      <c r="K301" s="23" t="str">
        <f aca="false">IF($D301="","",IFERROR(INDEX(Profile!$B$5:$B$304,MATCH($D301,lst_Profil,0)),""))</f>
        <v/>
      </c>
      <c r="L301" s="13" t="str">
        <f aca="false">IF($D301="","",IFERROR(INDEX(Profile!$K$5:$K$304,MATCH($D301,lst_Profil,0))+0,""))</f>
        <v/>
      </c>
      <c r="M301" s="24" t="str">
        <f aca="false">IF($D301="","",IFERROR(INDEX(Profile!$E$5:$E$304,MATCH($D301,lst_Profil,0))+0,""))</f>
        <v/>
      </c>
      <c r="N301" s="25" t="str">
        <f aca="false">IF(OR(L301="",$E301=""),"",IFERROR(L301*INDEX(Werkstoffe!$E$5:$E$304,MATCH($E301,lst_Werkstoff,0))/1000,""))</f>
        <v/>
      </c>
      <c r="O301" s="25" t="str">
        <f aca="false">IF(OR(N301="",$F301=""),"",N301*$F301/1000)</f>
        <v/>
      </c>
      <c r="P301" s="16" t="str">
        <f aca="false">IF(OR($F301="",$G301=""),"",$F301*$G301)</f>
        <v/>
      </c>
      <c r="Q301" s="16" t="str">
        <f aca="false">IF($D301="","",IF($J301&lt;&gt;"",$J301,$C$9))</f>
        <v/>
      </c>
      <c r="R301" s="12" t="str">
        <f aca="false">IF($D301="","",IFERROR(IF(INDEX(Profile!$G$5:$G$304,MATCH($D301,lst_Profil,0))&lt;&gt;"",INDEX(Profile!$G$5:$G$304,MATCH($D301,lst_Profil,0)),$H$4),$H$4))</f>
        <v/>
      </c>
      <c r="S301" s="12" t="str">
        <f aca="false">IF($D301="","",IFERROR(IF(INDEX(Profile!$H$5:$H$304,MATCH($D301,lst_Profil,0))&lt;&gt;"",INDEX(Profile!$H$5:$H$304,MATCH($D301,lst_Profil,0)),$H$5),$H$5))</f>
        <v/>
      </c>
      <c r="T301" s="16" t="str">
        <f aca="false">IF(OR(Q301="",NOT(ISNUMBER(R301)),NOT(ISNUMBER(S301))),"",Q301-R301-S301)</f>
        <v/>
      </c>
      <c r="U301" s="26" t="str">
        <f aca="false">IF(OR($D301="",$E301=""),"",IF(COUNTIFS(Preise!$A$5:$A$304,$D301,Preise!$B$5:$B$304,$E301,Preise!$I$5:$I$304,"OK")&gt;0,"ja","nein"))</f>
        <v/>
      </c>
      <c r="V301" s="15" t="str">
        <f aca="false">IF(OR(M301="",$E301="",$C$8=""),"",IF(_xlfn.MINIFS(Schneiddaten!$C$5:$C$304,Schneiddaten!$A$5:$A$304,$C$8,Schneiddaten!$B$5:$B$304,$E301,Schneiddaten!$C$5:$C$304,"&gt;="&amp;M301)=0,"",SUMIFS(Schneiddaten!$D$5:$D$304,Schneiddaten!$A$5:$A$304,$C$8,Schneiddaten!$B$5:$B$304,$E301,Schneiddaten!$C$5:$C$304,_xlfn.MINIFS(Schneiddaten!$C$5:$C$304,Schneiddaten!$A$5:$A$304,$C$8,Schneiddaten!$B$5:$B$304,$E301,Schneiddaten!$C$5:$C$304,"&gt;="&amp;M301))))</f>
        <v/>
      </c>
      <c r="W301" s="26" t="str">
        <f aca="false">IF(AND($D301="",$E301="",$F301="",$G301=""),"",IF(ISNA(MATCH($D301,lst_Profil,0)),"FEHLER: Profil unbekannt",IF(ISNA(MATCH($E301,lst_Werkstoff,0)),"FEHLER: Werkstoff unbekannt",IF(NOT(ISNUMBER(L301)),"FEHLER: Querschnitt fehlt (Profil)",IF(OR($F301="",$F301&lt;=0),"FEHLER: Teilelänge fehlt",IF(OR($G301="",$G301&lt;1),"FEHLER: Stückzahl fehlt",IF(NOT(ISNUMBER($H$4)),"FEHLER: Maschine fehlt/unbekannt",IF(Q301&gt;$H$7,"FEHLER: Stange länger als Maschine zulässt",IF($F301+$H$6&gt;T301,"FEHLER: Teil länger als Nutzlänge",IF(U301="nein","WARNUNG: kein gültiger Materialpreis",IF($H301="","HINWEIS: Schneidweg fehlt",IF(V301="","HINWEIS: keine Schneiddaten",IF(AND($AF301&lt;&gt;"",$AG301=""),"HINWEIS: Gewinde-Vorschlag prüfen","OK")))))))))))))</f>
        <v/>
      </c>
      <c r="X301" s="18" t="str">
        <f aca="false">IF(OR(O301="",$G301=""),"",O301*$G301)</f>
        <v/>
      </c>
      <c r="Y301" s="10"/>
      <c r="Z301" s="21"/>
      <c r="AA301" s="10"/>
      <c r="AB301" s="21"/>
      <c r="AC301" s="21"/>
      <c r="AD301" s="21"/>
      <c r="AE301" s="10"/>
      <c r="AF301" s="10"/>
      <c r="AG301" s="10"/>
      <c r="AH301" s="22"/>
      <c r="AI301" s="21"/>
      <c r="AJ301" s="22"/>
      <c r="AK301" s="21"/>
      <c r="AL301" s="22"/>
      <c r="AM301" s="21"/>
    </row>
    <row r="302" customFormat="false" ht="15" hidden="false" customHeight="false" outlineLevel="0" collapsed="false">
      <c r="A302" s="10"/>
      <c r="B302" s="10"/>
      <c r="C302" s="10"/>
      <c r="D302" s="10"/>
      <c r="E302" s="10"/>
      <c r="F302" s="21"/>
      <c r="G302" s="19"/>
      <c r="H302" s="21"/>
      <c r="I302" s="22"/>
      <c r="J302" s="19"/>
      <c r="K302" s="23" t="str">
        <f aca="false">IF($D302="","",IFERROR(INDEX(Profile!$B$5:$B$304,MATCH($D302,lst_Profil,0)),""))</f>
        <v/>
      </c>
      <c r="L302" s="13" t="str">
        <f aca="false">IF($D302="","",IFERROR(INDEX(Profile!$K$5:$K$304,MATCH($D302,lst_Profil,0))+0,""))</f>
        <v/>
      </c>
      <c r="M302" s="24" t="str">
        <f aca="false">IF($D302="","",IFERROR(INDEX(Profile!$E$5:$E$304,MATCH($D302,lst_Profil,0))+0,""))</f>
        <v/>
      </c>
      <c r="N302" s="25" t="str">
        <f aca="false">IF(OR(L302="",$E302=""),"",IFERROR(L302*INDEX(Werkstoffe!$E$5:$E$304,MATCH($E302,lst_Werkstoff,0))/1000,""))</f>
        <v/>
      </c>
      <c r="O302" s="25" t="str">
        <f aca="false">IF(OR(N302="",$F302=""),"",N302*$F302/1000)</f>
        <v/>
      </c>
      <c r="P302" s="16" t="str">
        <f aca="false">IF(OR($F302="",$G302=""),"",$F302*$G302)</f>
        <v/>
      </c>
      <c r="Q302" s="16" t="str">
        <f aca="false">IF($D302="","",IF($J302&lt;&gt;"",$J302,$C$9))</f>
        <v/>
      </c>
      <c r="R302" s="12" t="str">
        <f aca="false">IF($D302="","",IFERROR(IF(INDEX(Profile!$G$5:$G$304,MATCH($D302,lst_Profil,0))&lt;&gt;"",INDEX(Profile!$G$5:$G$304,MATCH($D302,lst_Profil,0)),$H$4),$H$4))</f>
        <v/>
      </c>
      <c r="S302" s="12" t="str">
        <f aca="false">IF($D302="","",IFERROR(IF(INDEX(Profile!$H$5:$H$304,MATCH($D302,lst_Profil,0))&lt;&gt;"",INDEX(Profile!$H$5:$H$304,MATCH($D302,lst_Profil,0)),$H$5),$H$5))</f>
        <v/>
      </c>
      <c r="T302" s="16" t="str">
        <f aca="false">IF(OR(Q302="",NOT(ISNUMBER(R302)),NOT(ISNUMBER(S302))),"",Q302-R302-S302)</f>
        <v/>
      </c>
      <c r="U302" s="26" t="str">
        <f aca="false">IF(OR($D302="",$E302=""),"",IF(COUNTIFS(Preise!$A$5:$A$304,$D302,Preise!$B$5:$B$304,$E302,Preise!$I$5:$I$304,"OK")&gt;0,"ja","nein"))</f>
        <v/>
      </c>
      <c r="V302" s="15" t="str">
        <f aca="false">IF(OR(M302="",$E302="",$C$8=""),"",IF(_xlfn.MINIFS(Schneiddaten!$C$5:$C$304,Schneiddaten!$A$5:$A$304,$C$8,Schneiddaten!$B$5:$B$304,$E302,Schneiddaten!$C$5:$C$304,"&gt;="&amp;M302)=0,"",SUMIFS(Schneiddaten!$D$5:$D$304,Schneiddaten!$A$5:$A$304,$C$8,Schneiddaten!$B$5:$B$304,$E302,Schneiddaten!$C$5:$C$304,_xlfn.MINIFS(Schneiddaten!$C$5:$C$304,Schneiddaten!$A$5:$A$304,$C$8,Schneiddaten!$B$5:$B$304,$E302,Schneiddaten!$C$5:$C$304,"&gt;="&amp;M302))))</f>
        <v/>
      </c>
      <c r="W302" s="26" t="str">
        <f aca="false">IF(AND($D302="",$E302="",$F302="",$G302=""),"",IF(ISNA(MATCH($D302,lst_Profil,0)),"FEHLER: Profil unbekannt",IF(ISNA(MATCH($E302,lst_Werkstoff,0)),"FEHLER: Werkstoff unbekannt",IF(NOT(ISNUMBER(L302)),"FEHLER: Querschnitt fehlt (Profil)",IF(OR($F302="",$F302&lt;=0),"FEHLER: Teilelänge fehlt",IF(OR($G302="",$G302&lt;1),"FEHLER: Stückzahl fehlt",IF(NOT(ISNUMBER($H$4)),"FEHLER: Maschine fehlt/unbekannt",IF(Q302&gt;$H$7,"FEHLER: Stange länger als Maschine zulässt",IF($F302+$H$6&gt;T302,"FEHLER: Teil länger als Nutzlänge",IF(U302="nein","WARNUNG: kein gültiger Materialpreis",IF($H302="","HINWEIS: Schneidweg fehlt",IF(V302="","HINWEIS: keine Schneiddaten",IF(AND($AF302&lt;&gt;"",$AG302=""),"HINWEIS: Gewinde-Vorschlag prüfen","OK")))))))))))))</f>
        <v/>
      </c>
      <c r="X302" s="18" t="str">
        <f aca="false">IF(OR(O302="",$G302=""),"",O302*$G302)</f>
        <v/>
      </c>
      <c r="Y302" s="10"/>
      <c r="Z302" s="21"/>
      <c r="AA302" s="10"/>
      <c r="AB302" s="21"/>
      <c r="AC302" s="21"/>
      <c r="AD302" s="21"/>
      <c r="AE302" s="10"/>
      <c r="AF302" s="10"/>
      <c r="AG302" s="10"/>
      <c r="AH302" s="22"/>
      <c r="AI302" s="21"/>
      <c r="AJ302" s="22"/>
      <c r="AK302" s="21"/>
      <c r="AL302" s="22"/>
      <c r="AM302" s="21"/>
    </row>
    <row r="303" customFormat="false" ht="15" hidden="false" customHeight="false" outlineLevel="0" collapsed="false">
      <c r="A303" s="10"/>
      <c r="B303" s="10"/>
      <c r="C303" s="10"/>
      <c r="D303" s="10"/>
      <c r="E303" s="10"/>
      <c r="F303" s="21"/>
      <c r="G303" s="19"/>
      <c r="H303" s="21"/>
      <c r="I303" s="22"/>
      <c r="J303" s="19"/>
      <c r="K303" s="23" t="str">
        <f aca="false">IF($D303="","",IFERROR(INDEX(Profile!$B$5:$B$304,MATCH($D303,lst_Profil,0)),""))</f>
        <v/>
      </c>
      <c r="L303" s="13" t="str">
        <f aca="false">IF($D303="","",IFERROR(INDEX(Profile!$K$5:$K$304,MATCH($D303,lst_Profil,0))+0,""))</f>
        <v/>
      </c>
      <c r="M303" s="24" t="str">
        <f aca="false">IF($D303="","",IFERROR(INDEX(Profile!$E$5:$E$304,MATCH($D303,lst_Profil,0))+0,""))</f>
        <v/>
      </c>
      <c r="N303" s="25" t="str">
        <f aca="false">IF(OR(L303="",$E303=""),"",IFERROR(L303*INDEX(Werkstoffe!$E$5:$E$304,MATCH($E303,lst_Werkstoff,0))/1000,""))</f>
        <v/>
      </c>
      <c r="O303" s="25" t="str">
        <f aca="false">IF(OR(N303="",$F303=""),"",N303*$F303/1000)</f>
        <v/>
      </c>
      <c r="P303" s="16" t="str">
        <f aca="false">IF(OR($F303="",$G303=""),"",$F303*$G303)</f>
        <v/>
      </c>
      <c r="Q303" s="16" t="str">
        <f aca="false">IF($D303="","",IF($J303&lt;&gt;"",$J303,$C$9))</f>
        <v/>
      </c>
      <c r="R303" s="12" t="str">
        <f aca="false">IF($D303="","",IFERROR(IF(INDEX(Profile!$G$5:$G$304,MATCH($D303,lst_Profil,0))&lt;&gt;"",INDEX(Profile!$G$5:$G$304,MATCH($D303,lst_Profil,0)),$H$4),$H$4))</f>
        <v/>
      </c>
      <c r="S303" s="12" t="str">
        <f aca="false">IF($D303="","",IFERROR(IF(INDEX(Profile!$H$5:$H$304,MATCH($D303,lst_Profil,0))&lt;&gt;"",INDEX(Profile!$H$5:$H$304,MATCH($D303,lst_Profil,0)),$H$5),$H$5))</f>
        <v/>
      </c>
      <c r="T303" s="16" t="str">
        <f aca="false">IF(OR(Q303="",NOT(ISNUMBER(R303)),NOT(ISNUMBER(S303))),"",Q303-R303-S303)</f>
        <v/>
      </c>
      <c r="U303" s="26" t="str">
        <f aca="false">IF(OR($D303="",$E303=""),"",IF(COUNTIFS(Preise!$A$5:$A$304,$D303,Preise!$B$5:$B$304,$E303,Preise!$I$5:$I$304,"OK")&gt;0,"ja","nein"))</f>
        <v/>
      </c>
      <c r="V303" s="15" t="str">
        <f aca="false">IF(OR(M303="",$E303="",$C$8=""),"",IF(_xlfn.MINIFS(Schneiddaten!$C$5:$C$304,Schneiddaten!$A$5:$A$304,$C$8,Schneiddaten!$B$5:$B$304,$E303,Schneiddaten!$C$5:$C$304,"&gt;="&amp;M303)=0,"",SUMIFS(Schneiddaten!$D$5:$D$304,Schneiddaten!$A$5:$A$304,$C$8,Schneiddaten!$B$5:$B$304,$E303,Schneiddaten!$C$5:$C$304,_xlfn.MINIFS(Schneiddaten!$C$5:$C$304,Schneiddaten!$A$5:$A$304,$C$8,Schneiddaten!$B$5:$B$304,$E303,Schneiddaten!$C$5:$C$304,"&gt;="&amp;M303))))</f>
        <v/>
      </c>
      <c r="W303" s="26" t="str">
        <f aca="false">IF(AND($D303="",$E303="",$F303="",$G303=""),"",IF(ISNA(MATCH($D303,lst_Profil,0)),"FEHLER: Profil unbekannt",IF(ISNA(MATCH($E303,lst_Werkstoff,0)),"FEHLER: Werkstoff unbekannt",IF(NOT(ISNUMBER(L303)),"FEHLER: Querschnitt fehlt (Profil)",IF(OR($F303="",$F303&lt;=0),"FEHLER: Teilelänge fehlt",IF(OR($G303="",$G303&lt;1),"FEHLER: Stückzahl fehlt",IF(NOT(ISNUMBER($H$4)),"FEHLER: Maschine fehlt/unbekannt",IF(Q303&gt;$H$7,"FEHLER: Stange länger als Maschine zulässt",IF($F303+$H$6&gt;T303,"FEHLER: Teil länger als Nutzlänge",IF(U303="nein","WARNUNG: kein gültiger Materialpreis",IF($H303="","HINWEIS: Schneidweg fehlt",IF(V303="","HINWEIS: keine Schneiddaten",IF(AND($AF303&lt;&gt;"",$AG303=""),"HINWEIS: Gewinde-Vorschlag prüfen","OK")))))))))))))</f>
        <v/>
      </c>
      <c r="X303" s="18" t="str">
        <f aca="false">IF(OR(O303="",$G303=""),"",O303*$G303)</f>
        <v/>
      </c>
      <c r="Y303" s="10"/>
      <c r="Z303" s="21"/>
      <c r="AA303" s="10"/>
      <c r="AB303" s="21"/>
      <c r="AC303" s="21"/>
      <c r="AD303" s="21"/>
      <c r="AE303" s="10"/>
      <c r="AF303" s="10"/>
      <c r="AG303" s="10"/>
      <c r="AH303" s="22"/>
      <c r="AI303" s="21"/>
      <c r="AJ303" s="22"/>
      <c r="AK303" s="21"/>
      <c r="AL303" s="22"/>
      <c r="AM303" s="21"/>
    </row>
    <row r="304" customFormat="false" ht="15" hidden="false" customHeight="false" outlineLevel="0" collapsed="false">
      <c r="A304" s="10"/>
      <c r="B304" s="10"/>
      <c r="C304" s="10"/>
      <c r="D304" s="10"/>
      <c r="E304" s="10"/>
      <c r="F304" s="21"/>
      <c r="G304" s="19"/>
      <c r="H304" s="21"/>
      <c r="I304" s="22"/>
      <c r="J304" s="19"/>
      <c r="K304" s="23" t="str">
        <f aca="false">IF($D304="","",IFERROR(INDEX(Profile!$B$5:$B$304,MATCH($D304,lst_Profil,0)),""))</f>
        <v/>
      </c>
      <c r="L304" s="13" t="str">
        <f aca="false">IF($D304="","",IFERROR(INDEX(Profile!$K$5:$K$304,MATCH($D304,lst_Profil,0))+0,""))</f>
        <v/>
      </c>
      <c r="M304" s="24" t="str">
        <f aca="false">IF($D304="","",IFERROR(INDEX(Profile!$E$5:$E$304,MATCH($D304,lst_Profil,0))+0,""))</f>
        <v/>
      </c>
      <c r="N304" s="25" t="str">
        <f aca="false">IF(OR(L304="",$E304=""),"",IFERROR(L304*INDEX(Werkstoffe!$E$5:$E$304,MATCH($E304,lst_Werkstoff,0))/1000,""))</f>
        <v/>
      </c>
      <c r="O304" s="25" t="str">
        <f aca="false">IF(OR(N304="",$F304=""),"",N304*$F304/1000)</f>
        <v/>
      </c>
      <c r="P304" s="16" t="str">
        <f aca="false">IF(OR($F304="",$G304=""),"",$F304*$G304)</f>
        <v/>
      </c>
      <c r="Q304" s="16" t="str">
        <f aca="false">IF($D304="","",IF($J304&lt;&gt;"",$J304,$C$9))</f>
        <v/>
      </c>
      <c r="R304" s="12" t="str">
        <f aca="false">IF($D304="","",IFERROR(IF(INDEX(Profile!$G$5:$G$304,MATCH($D304,lst_Profil,0))&lt;&gt;"",INDEX(Profile!$G$5:$G$304,MATCH($D304,lst_Profil,0)),$H$4),$H$4))</f>
        <v/>
      </c>
      <c r="S304" s="12" t="str">
        <f aca="false">IF($D304="","",IFERROR(IF(INDEX(Profile!$H$5:$H$304,MATCH($D304,lst_Profil,0))&lt;&gt;"",INDEX(Profile!$H$5:$H$304,MATCH($D304,lst_Profil,0)),$H$5),$H$5))</f>
        <v/>
      </c>
      <c r="T304" s="16" t="str">
        <f aca="false">IF(OR(Q304="",NOT(ISNUMBER(R304)),NOT(ISNUMBER(S304))),"",Q304-R304-S304)</f>
        <v/>
      </c>
      <c r="U304" s="26" t="str">
        <f aca="false">IF(OR($D304="",$E304=""),"",IF(COUNTIFS(Preise!$A$5:$A$304,$D304,Preise!$B$5:$B$304,$E304,Preise!$I$5:$I$304,"OK")&gt;0,"ja","nein"))</f>
        <v/>
      </c>
      <c r="V304" s="15" t="str">
        <f aca="false">IF(OR(M304="",$E304="",$C$8=""),"",IF(_xlfn.MINIFS(Schneiddaten!$C$5:$C$304,Schneiddaten!$A$5:$A$304,$C$8,Schneiddaten!$B$5:$B$304,$E304,Schneiddaten!$C$5:$C$304,"&gt;="&amp;M304)=0,"",SUMIFS(Schneiddaten!$D$5:$D$304,Schneiddaten!$A$5:$A$304,$C$8,Schneiddaten!$B$5:$B$304,$E304,Schneiddaten!$C$5:$C$304,_xlfn.MINIFS(Schneiddaten!$C$5:$C$304,Schneiddaten!$A$5:$A$304,$C$8,Schneiddaten!$B$5:$B$304,$E304,Schneiddaten!$C$5:$C$304,"&gt;="&amp;M304))))</f>
        <v/>
      </c>
      <c r="W304" s="26" t="str">
        <f aca="false">IF(AND($D304="",$E304="",$F304="",$G304=""),"",IF(ISNA(MATCH($D304,lst_Profil,0)),"FEHLER: Profil unbekannt",IF(ISNA(MATCH($E304,lst_Werkstoff,0)),"FEHLER: Werkstoff unbekannt",IF(NOT(ISNUMBER(L304)),"FEHLER: Querschnitt fehlt (Profil)",IF(OR($F304="",$F304&lt;=0),"FEHLER: Teilelänge fehlt",IF(OR($G304="",$G304&lt;1),"FEHLER: Stückzahl fehlt",IF(NOT(ISNUMBER($H$4)),"FEHLER: Maschine fehlt/unbekannt",IF(Q304&gt;$H$7,"FEHLER: Stange länger als Maschine zulässt",IF($F304+$H$6&gt;T304,"FEHLER: Teil länger als Nutzlänge",IF(U304="nein","WARNUNG: kein gültiger Materialpreis",IF($H304="","HINWEIS: Schneidweg fehlt",IF(V304="","HINWEIS: keine Schneiddaten",IF(AND($AF304&lt;&gt;"",$AG304=""),"HINWEIS: Gewinde-Vorschlag prüfen","OK")))))))))))))</f>
        <v/>
      </c>
      <c r="X304" s="18" t="str">
        <f aca="false">IF(OR(O304="",$G304=""),"",O304*$G304)</f>
        <v/>
      </c>
      <c r="Y304" s="10"/>
      <c r="Z304" s="21"/>
      <c r="AA304" s="10"/>
      <c r="AB304" s="21"/>
      <c r="AC304" s="21"/>
      <c r="AD304" s="21"/>
      <c r="AE304" s="10"/>
      <c r="AF304" s="10"/>
      <c r="AG304" s="10"/>
      <c r="AH304" s="22"/>
      <c r="AI304" s="21"/>
      <c r="AJ304" s="22"/>
      <c r="AK304" s="21"/>
      <c r="AL304" s="22"/>
      <c r="AM304" s="21"/>
    </row>
    <row r="305" customFormat="false" ht="15" hidden="false" customHeight="false" outlineLevel="0" collapsed="false">
      <c r="A305" s="10"/>
      <c r="B305" s="10"/>
      <c r="C305" s="10"/>
      <c r="D305" s="10"/>
      <c r="E305" s="10"/>
      <c r="F305" s="21"/>
      <c r="G305" s="19"/>
      <c r="H305" s="21"/>
      <c r="I305" s="22"/>
      <c r="J305" s="19"/>
      <c r="K305" s="23" t="str">
        <f aca="false">IF($D305="","",IFERROR(INDEX(Profile!$B$5:$B$304,MATCH($D305,lst_Profil,0)),""))</f>
        <v/>
      </c>
      <c r="L305" s="13" t="str">
        <f aca="false">IF($D305="","",IFERROR(INDEX(Profile!$K$5:$K$304,MATCH($D305,lst_Profil,0))+0,""))</f>
        <v/>
      </c>
      <c r="M305" s="24" t="str">
        <f aca="false">IF($D305="","",IFERROR(INDEX(Profile!$E$5:$E$304,MATCH($D305,lst_Profil,0))+0,""))</f>
        <v/>
      </c>
      <c r="N305" s="25" t="str">
        <f aca="false">IF(OR(L305="",$E305=""),"",IFERROR(L305*INDEX(Werkstoffe!$E$5:$E$304,MATCH($E305,lst_Werkstoff,0))/1000,""))</f>
        <v/>
      </c>
      <c r="O305" s="25" t="str">
        <f aca="false">IF(OR(N305="",$F305=""),"",N305*$F305/1000)</f>
        <v/>
      </c>
      <c r="P305" s="16" t="str">
        <f aca="false">IF(OR($F305="",$G305=""),"",$F305*$G305)</f>
        <v/>
      </c>
      <c r="Q305" s="16" t="str">
        <f aca="false">IF($D305="","",IF($J305&lt;&gt;"",$J305,$C$9))</f>
        <v/>
      </c>
      <c r="R305" s="12" t="str">
        <f aca="false">IF($D305="","",IFERROR(IF(INDEX(Profile!$G$5:$G$304,MATCH($D305,lst_Profil,0))&lt;&gt;"",INDEX(Profile!$G$5:$G$304,MATCH($D305,lst_Profil,0)),$H$4),$H$4))</f>
        <v/>
      </c>
      <c r="S305" s="12" t="str">
        <f aca="false">IF($D305="","",IFERROR(IF(INDEX(Profile!$H$5:$H$304,MATCH($D305,lst_Profil,0))&lt;&gt;"",INDEX(Profile!$H$5:$H$304,MATCH($D305,lst_Profil,0)),$H$5),$H$5))</f>
        <v/>
      </c>
      <c r="T305" s="16" t="str">
        <f aca="false">IF(OR(Q305="",NOT(ISNUMBER(R305)),NOT(ISNUMBER(S305))),"",Q305-R305-S305)</f>
        <v/>
      </c>
      <c r="U305" s="26" t="str">
        <f aca="false">IF(OR($D305="",$E305=""),"",IF(COUNTIFS(Preise!$A$5:$A$304,$D305,Preise!$B$5:$B$304,$E305,Preise!$I$5:$I$304,"OK")&gt;0,"ja","nein"))</f>
        <v/>
      </c>
      <c r="V305" s="15" t="str">
        <f aca="false">IF(OR(M305="",$E305="",$C$8=""),"",IF(_xlfn.MINIFS(Schneiddaten!$C$5:$C$304,Schneiddaten!$A$5:$A$304,$C$8,Schneiddaten!$B$5:$B$304,$E305,Schneiddaten!$C$5:$C$304,"&gt;="&amp;M305)=0,"",SUMIFS(Schneiddaten!$D$5:$D$304,Schneiddaten!$A$5:$A$304,$C$8,Schneiddaten!$B$5:$B$304,$E305,Schneiddaten!$C$5:$C$304,_xlfn.MINIFS(Schneiddaten!$C$5:$C$304,Schneiddaten!$A$5:$A$304,$C$8,Schneiddaten!$B$5:$B$304,$E305,Schneiddaten!$C$5:$C$304,"&gt;="&amp;M305))))</f>
        <v/>
      </c>
      <c r="W305" s="26" t="str">
        <f aca="false">IF(AND($D305="",$E305="",$F305="",$G305=""),"",IF(ISNA(MATCH($D305,lst_Profil,0)),"FEHLER: Profil unbekannt",IF(ISNA(MATCH($E305,lst_Werkstoff,0)),"FEHLER: Werkstoff unbekannt",IF(NOT(ISNUMBER(L305)),"FEHLER: Querschnitt fehlt (Profil)",IF(OR($F305="",$F305&lt;=0),"FEHLER: Teilelänge fehlt",IF(OR($G305="",$G305&lt;1),"FEHLER: Stückzahl fehlt",IF(NOT(ISNUMBER($H$4)),"FEHLER: Maschine fehlt/unbekannt",IF(Q305&gt;$H$7,"FEHLER: Stange länger als Maschine zulässt",IF($F305+$H$6&gt;T305,"FEHLER: Teil länger als Nutzlänge",IF(U305="nein","WARNUNG: kein gültiger Materialpreis",IF($H305="","HINWEIS: Schneidweg fehlt",IF(V305="","HINWEIS: keine Schneiddaten",IF(AND($AF305&lt;&gt;"",$AG305=""),"HINWEIS: Gewinde-Vorschlag prüfen","OK")))))))))))))</f>
        <v/>
      </c>
      <c r="X305" s="18" t="str">
        <f aca="false">IF(OR(O305="",$G305=""),"",O305*$G305)</f>
        <v/>
      </c>
      <c r="Y305" s="10"/>
      <c r="Z305" s="21"/>
      <c r="AA305" s="10"/>
      <c r="AB305" s="21"/>
      <c r="AC305" s="21"/>
      <c r="AD305" s="21"/>
      <c r="AE305" s="10"/>
      <c r="AF305" s="10"/>
      <c r="AG305" s="10"/>
      <c r="AH305" s="22"/>
      <c r="AI305" s="21"/>
      <c r="AJ305" s="22"/>
      <c r="AK305" s="21"/>
      <c r="AL305" s="22"/>
      <c r="AM305" s="21"/>
    </row>
    <row r="306" customFormat="false" ht="15" hidden="false" customHeight="false" outlineLevel="0" collapsed="false">
      <c r="A306" s="10"/>
      <c r="B306" s="10"/>
      <c r="C306" s="10"/>
      <c r="D306" s="10"/>
      <c r="E306" s="10"/>
      <c r="F306" s="21"/>
      <c r="G306" s="19"/>
      <c r="H306" s="21"/>
      <c r="I306" s="22"/>
      <c r="J306" s="19"/>
      <c r="K306" s="23" t="str">
        <f aca="false">IF($D306="","",IFERROR(INDEX(Profile!$B$5:$B$304,MATCH($D306,lst_Profil,0)),""))</f>
        <v/>
      </c>
      <c r="L306" s="13" t="str">
        <f aca="false">IF($D306="","",IFERROR(INDEX(Profile!$K$5:$K$304,MATCH($D306,lst_Profil,0))+0,""))</f>
        <v/>
      </c>
      <c r="M306" s="24" t="str">
        <f aca="false">IF($D306="","",IFERROR(INDEX(Profile!$E$5:$E$304,MATCH($D306,lst_Profil,0))+0,""))</f>
        <v/>
      </c>
      <c r="N306" s="25" t="str">
        <f aca="false">IF(OR(L306="",$E306=""),"",IFERROR(L306*INDEX(Werkstoffe!$E$5:$E$304,MATCH($E306,lst_Werkstoff,0))/1000,""))</f>
        <v/>
      </c>
      <c r="O306" s="25" t="str">
        <f aca="false">IF(OR(N306="",$F306=""),"",N306*$F306/1000)</f>
        <v/>
      </c>
      <c r="P306" s="16" t="str">
        <f aca="false">IF(OR($F306="",$G306=""),"",$F306*$G306)</f>
        <v/>
      </c>
      <c r="Q306" s="16" t="str">
        <f aca="false">IF($D306="","",IF($J306&lt;&gt;"",$J306,$C$9))</f>
        <v/>
      </c>
      <c r="R306" s="12" t="str">
        <f aca="false">IF($D306="","",IFERROR(IF(INDEX(Profile!$G$5:$G$304,MATCH($D306,lst_Profil,0))&lt;&gt;"",INDEX(Profile!$G$5:$G$304,MATCH($D306,lst_Profil,0)),$H$4),$H$4))</f>
        <v/>
      </c>
      <c r="S306" s="12" t="str">
        <f aca="false">IF($D306="","",IFERROR(IF(INDEX(Profile!$H$5:$H$304,MATCH($D306,lst_Profil,0))&lt;&gt;"",INDEX(Profile!$H$5:$H$304,MATCH($D306,lst_Profil,0)),$H$5),$H$5))</f>
        <v/>
      </c>
      <c r="T306" s="16" t="str">
        <f aca="false">IF(OR(Q306="",NOT(ISNUMBER(R306)),NOT(ISNUMBER(S306))),"",Q306-R306-S306)</f>
        <v/>
      </c>
      <c r="U306" s="26" t="str">
        <f aca="false">IF(OR($D306="",$E306=""),"",IF(COUNTIFS(Preise!$A$5:$A$304,$D306,Preise!$B$5:$B$304,$E306,Preise!$I$5:$I$304,"OK")&gt;0,"ja","nein"))</f>
        <v/>
      </c>
      <c r="V306" s="15" t="str">
        <f aca="false">IF(OR(M306="",$E306="",$C$8=""),"",IF(_xlfn.MINIFS(Schneiddaten!$C$5:$C$304,Schneiddaten!$A$5:$A$304,$C$8,Schneiddaten!$B$5:$B$304,$E306,Schneiddaten!$C$5:$C$304,"&gt;="&amp;M306)=0,"",SUMIFS(Schneiddaten!$D$5:$D$304,Schneiddaten!$A$5:$A$304,$C$8,Schneiddaten!$B$5:$B$304,$E306,Schneiddaten!$C$5:$C$304,_xlfn.MINIFS(Schneiddaten!$C$5:$C$304,Schneiddaten!$A$5:$A$304,$C$8,Schneiddaten!$B$5:$B$304,$E306,Schneiddaten!$C$5:$C$304,"&gt;="&amp;M306))))</f>
        <v/>
      </c>
      <c r="W306" s="26" t="str">
        <f aca="false">IF(AND($D306="",$E306="",$F306="",$G306=""),"",IF(ISNA(MATCH($D306,lst_Profil,0)),"FEHLER: Profil unbekannt",IF(ISNA(MATCH($E306,lst_Werkstoff,0)),"FEHLER: Werkstoff unbekannt",IF(NOT(ISNUMBER(L306)),"FEHLER: Querschnitt fehlt (Profil)",IF(OR($F306="",$F306&lt;=0),"FEHLER: Teilelänge fehlt",IF(OR($G306="",$G306&lt;1),"FEHLER: Stückzahl fehlt",IF(NOT(ISNUMBER($H$4)),"FEHLER: Maschine fehlt/unbekannt",IF(Q306&gt;$H$7,"FEHLER: Stange länger als Maschine zulässt",IF($F306+$H$6&gt;T306,"FEHLER: Teil länger als Nutzlänge",IF(U306="nein","WARNUNG: kein gültiger Materialpreis",IF($H306="","HINWEIS: Schneidweg fehlt",IF(V306="","HINWEIS: keine Schneiddaten",IF(AND($AF306&lt;&gt;"",$AG306=""),"HINWEIS: Gewinde-Vorschlag prüfen","OK")))))))))))))</f>
        <v/>
      </c>
      <c r="X306" s="18" t="str">
        <f aca="false">IF(OR(O306="",$G306=""),"",O306*$G306)</f>
        <v/>
      </c>
      <c r="Y306" s="10"/>
      <c r="Z306" s="21"/>
      <c r="AA306" s="10"/>
      <c r="AB306" s="21"/>
      <c r="AC306" s="21"/>
      <c r="AD306" s="21"/>
      <c r="AE306" s="10"/>
      <c r="AF306" s="10"/>
      <c r="AG306" s="10"/>
      <c r="AH306" s="22"/>
      <c r="AI306" s="21"/>
      <c r="AJ306" s="22"/>
      <c r="AK306" s="21"/>
      <c r="AL306" s="22"/>
      <c r="AM306" s="21"/>
    </row>
    <row r="307" customFormat="false" ht="15" hidden="false" customHeight="false" outlineLevel="0" collapsed="false">
      <c r="A307" s="10"/>
      <c r="B307" s="10"/>
      <c r="C307" s="10"/>
      <c r="D307" s="10"/>
      <c r="E307" s="10"/>
      <c r="F307" s="21"/>
      <c r="G307" s="19"/>
      <c r="H307" s="21"/>
      <c r="I307" s="22"/>
      <c r="J307" s="19"/>
      <c r="K307" s="23" t="str">
        <f aca="false">IF($D307="","",IFERROR(INDEX(Profile!$B$5:$B$304,MATCH($D307,lst_Profil,0)),""))</f>
        <v/>
      </c>
      <c r="L307" s="13" t="str">
        <f aca="false">IF($D307="","",IFERROR(INDEX(Profile!$K$5:$K$304,MATCH($D307,lst_Profil,0))+0,""))</f>
        <v/>
      </c>
      <c r="M307" s="24" t="str">
        <f aca="false">IF($D307="","",IFERROR(INDEX(Profile!$E$5:$E$304,MATCH($D307,lst_Profil,0))+0,""))</f>
        <v/>
      </c>
      <c r="N307" s="25" t="str">
        <f aca="false">IF(OR(L307="",$E307=""),"",IFERROR(L307*INDEX(Werkstoffe!$E$5:$E$304,MATCH($E307,lst_Werkstoff,0))/1000,""))</f>
        <v/>
      </c>
      <c r="O307" s="25" t="str">
        <f aca="false">IF(OR(N307="",$F307=""),"",N307*$F307/1000)</f>
        <v/>
      </c>
      <c r="P307" s="16" t="str">
        <f aca="false">IF(OR($F307="",$G307=""),"",$F307*$G307)</f>
        <v/>
      </c>
      <c r="Q307" s="16" t="str">
        <f aca="false">IF($D307="","",IF($J307&lt;&gt;"",$J307,$C$9))</f>
        <v/>
      </c>
      <c r="R307" s="12" t="str">
        <f aca="false">IF($D307="","",IFERROR(IF(INDEX(Profile!$G$5:$G$304,MATCH($D307,lst_Profil,0))&lt;&gt;"",INDEX(Profile!$G$5:$G$304,MATCH($D307,lst_Profil,0)),$H$4),$H$4))</f>
        <v/>
      </c>
      <c r="S307" s="12" t="str">
        <f aca="false">IF($D307="","",IFERROR(IF(INDEX(Profile!$H$5:$H$304,MATCH($D307,lst_Profil,0))&lt;&gt;"",INDEX(Profile!$H$5:$H$304,MATCH($D307,lst_Profil,0)),$H$5),$H$5))</f>
        <v/>
      </c>
      <c r="T307" s="16" t="str">
        <f aca="false">IF(OR(Q307="",NOT(ISNUMBER(R307)),NOT(ISNUMBER(S307))),"",Q307-R307-S307)</f>
        <v/>
      </c>
      <c r="U307" s="26" t="str">
        <f aca="false">IF(OR($D307="",$E307=""),"",IF(COUNTIFS(Preise!$A$5:$A$304,$D307,Preise!$B$5:$B$304,$E307,Preise!$I$5:$I$304,"OK")&gt;0,"ja","nein"))</f>
        <v/>
      </c>
      <c r="V307" s="15" t="str">
        <f aca="false">IF(OR(M307="",$E307="",$C$8=""),"",IF(_xlfn.MINIFS(Schneiddaten!$C$5:$C$304,Schneiddaten!$A$5:$A$304,$C$8,Schneiddaten!$B$5:$B$304,$E307,Schneiddaten!$C$5:$C$304,"&gt;="&amp;M307)=0,"",SUMIFS(Schneiddaten!$D$5:$D$304,Schneiddaten!$A$5:$A$304,$C$8,Schneiddaten!$B$5:$B$304,$E307,Schneiddaten!$C$5:$C$304,_xlfn.MINIFS(Schneiddaten!$C$5:$C$304,Schneiddaten!$A$5:$A$304,$C$8,Schneiddaten!$B$5:$B$304,$E307,Schneiddaten!$C$5:$C$304,"&gt;="&amp;M307))))</f>
        <v/>
      </c>
      <c r="W307" s="26" t="str">
        <f aca="false">IF(AND($D307="",$E307="",$F307="",$G307=""),"",IF(ISNA(MATCH($D307,lst_Profil,0)),"FEHLER: Profil unbekannt",IF(ISNA(MATCH($E307,lst_Werkstoff,0)),"FEHLER: Werkstoff unbekannt",IF(NOT(ISNUMBER(L307)),"FEHLER: Querschnitt fehlt (Profil)",IF(OR($F307="",$F307&lt;=0),"FEHLER: Teilelänge fehlt",IF(OR($G307="",$G307&lt;1),"FEHLER: Stückzahl fehlt",IF(NOT(ISNUMBER($H$4)),"FEHLER: Maschine fehlt/unbekannt",IF(Q307&gt;$H$7,"FEHLER: Stange länger als Maschine zulässt",IF($F307+$H$6&gt;T307,"FEHLER: Teil länger als Nutzlänge",IF(U307="nein","WARNUNG: kein gültiger Materialpreis",IF($H307="","HINWEIS: Schneidweg fehlt",IF(V307="","HINWEIS: keine Schneiddaten",IF(AND($AF307&lt;&gt;"",$AG307=""),"HINWEIS: Gewinde-Vorschlag prüfen","OK")))))))))))))</f>
        <v/>
      </c>
      <c r="X307" s="18" t="str">
        <f aca="false">IF(OR(O307="",$G307=""),"",O307*$G307)</f>
        <v/>
      </c>
      <c r="Y307" s="10"/>
      <c r="Z307" s="21"/>
      <c r="AA307" s="10"/>
      <c r="AB307" s="21"/>
      <c r="AC307" s="21"/>
      <c r="AD307" s="21"/>
      <c r="AE307" s="10"/>
      <c r="AF307" s="10"/>
      <c r="AG307" s="10"/>
      <c r="AH307" s="22"/>
      <c r="AI307" s="21"/>
      <c r="AJ307" s="22"/>
      <c r="AK307" s="21"/>
      <c r="AL307" s="22"/>
      <c r="AM307" s="21"/>
    </row>
    <row r="308" customFormat="false" ht="15" hidden="false" customHeight="false" outlineLevel="0" collapsed="false">
      <c r="A308" s="10"/>
      <c r="B308" s="10"/>
      <c r="C308" s="10"/>
      <c r="D308" s="10"/>
      <c r="E308" s="10"/>
      <c r="F308" s="21"/>
      <c r="G308" s="19"/>
      <c r="H308" s="21"/>
      <c r="I308" s="22"/>
      <c r="J308" s="19"/>
      <c r="K308" s="23" t="str">
        <f aca="false">IF($D308="","",IFERROR(INDEX(Profile!$B$5:$B$304,MATCH($D308,lst_Profil,0)),""))</f>
        <v/>
      </c>
      <c r="L308" s="13" t="str">
        <f aca="false">IF($D308="","",IFERROR(INDEX(Profile!$K$5:$K$304,MATCH($D308,lst_Profil,0))+0,""))</f>
        <v/>
      </c>
      <c r="M308" s="24" t="str">
        <f aca="false">IF($D308="","",IFERROR(INDEX(Profile!$E$5:$E$304,MATCH($D308,lst_Profil,0))+0,""))</f>
        <v/>
      </c>
      <c r="N308" s="25" t="str">
        <f aca="false">IF(OR(L308="",$E308=""),"",IFERROR(L308*INDEX(Werkstoffe!$E$5:$E$304,MATCH($E308,lst_Werkstoff,0))/1000,""))</f>
        <v/>
      </c>
      <c r="O308" s="25" t="str">
        <f aca="false">IF(OR(N308="",$F308=""),"",N308*$F308/1000)</f>
        <v/>
      </c>
      <c r="P308" s="16" t="str">
        <f aca="false">IF(OR($F308="",$G308=""),"",$F308*$G308)</f>
        <v/>
      </c>
      <c r="Q308" s="16" t="str">
        <f aca="false">IF($D308="","",IF($J308&lt;&gt;"",$J308,$C$9))</f>
        <v/>
      </c>
      <c r="R308" s="12" t="str">
        <f aca="false">IF($D308="","",IFERROR(IF(INDEX(Profile!$G$5:$G$304,MATCH($D308,lst_Profil,0))&lt;&gt;"",INDEX(Profile!$G$5:$G$304,MATCH($D308,lst_Profil,0)),$H$4),$H$4))</f>
        <v/>
      </c>
      <c r="S308" s="12" t="str">
        <f aca="false">IF($D308="","",IFERROR(IF(INDEX(Profile!$H$5:$H$304,MATCH($D308,lst_Profil,0))&lt;&gt;"",INDEX(Profile!$H$5:$H$304,MATCH($D308,lst_Profil,0)),$H$5),$H$5))</f>
        <v/>
      </c>
      <c r="T308" s="16" t="str">
        <f aca="false">IF(OR(Q308="",NOT(ISNUMBER(R308)),NOT(ISNUMBER(S308))),"",Q308-R308-S308)</f>
        <v/>
      </c>
      <c r="U308" s="26" t="str">
        <f aca="false">IF(OR($D308="",$E308=""),"",IF(COUNTIFS(Preise!$A$5:$A$304,$D308,Preise!$B$5:$B$304,$E308,Preise!$I$5:$I$304,"OK")&gt;0,"ja","nein"))</f>
        <v/>
      </c>
      <c r="V308" s="15" t="str">
        <f aca="false">IF(OR(M308="",$E308="",$C$8=""),"",IF(_xlfn.MINIFS(Schneiddaten!$C$5:$C$304,Schneiddaten!$A$5:$A$304,$C$8,Schneiddaten!$B$5:$B$304,$E308,Schneiddaten!$C$5:$C$304,"&gt;="&amp;M308)=0,"",SUMIFS(Schneiddaten!$D$5:$D$304,Schneiddaten!$A$5:$A$304,$C$8,Schneiddaten!$B$5:$B$304,$E308,Schneiddaten!$C$5:$C$304,_xlfn.MINIFS(Schneiddaten!$C$5:$C$304,Schneiddaten!$A$5:$A$304,$C$8,Schneiddaten!$B$5:$B$304,$E308,Schneiddaten!$C$5:$C$304,"&gt;="&amp;M308))))</f>
        <v/>
      </c>
      <c r="W308" s="26" t="str">
        <f aca="false">IF(AND($D308="",$E308="",$F308="",$G308=""),"",IF(ISNA(MATCH($D308,lst_Profil,0)),"FEHLER: Profil unbekannt",IF(ISNA(MATCH($E308,lst_Werkstoff,0)),"FEHLER: Werkstoff unbekannt",IF(NOT(ISNUMBER(L308)),"FEHLER: Querschnitt fehlt (Profil)",IF(OR($F308="",$F308&lt;=0),"FEHLER: Teilelänge fehlt",IF(OR($G308="",$G308&lt;1),"FEHLER: Stückzahl fehlt",IF(NOT(ISNUMBER($H$4)),"FEHLER: Maschine fehlt/unbekannt",IF(Q308&gt;$H$7,"FEHLER: Stange länger als Maschine zulässt",IF($F308+$H$6&gt;T308,"FEHLER: Teil länger als Nutzlänge",IF(U308="nein","WARNUNG: kein gültiger Materialpreis",IF($H308="","HINWEIS: Schneidweg fehlt",IF(V308="","HINWEIS: keine Schneiddaten",IF(AND($AF308&lt;&gt;"",$AG308=""),"HINWEIS: Gewinde-Vorschlag prüfen","OK")))))))))))))</f>
        <v/>
      </c>
      <c r="X308" s="18" t="str">
        <f aca="false">IF(OR(O308="",$G308=""),"",O308*$G308)</f>
        <v/>
      </c>
      <c r="Y308" s="10"/>
      <c r="Z308" s="21"/>
      <c r="AA308" s="10"/>
      <c r="AB308" s="21"/>
      <c r="AC308" s="21"/>
      <c r="AD308" s="21"/>
      <c r="AE308" s="10"/>
      <c r="AF308" s="10"/>
      <c r="AG308" s="10"/>
      <c r="AH308" s="22"/>
      <c r="AI308" s="21"/>
      <c r="AJ308" s="22"/>
      <c r="AK308" s="21"/>
      <c r="AL308" s="22"/>
      <c r="AM308" s="21"/>
    </row>
    <row r="309" customFormat="false" ht="15" hidden="false" customHeight="false" outlineLevel="0" collapsed="false">
      <c r="A309" s="10"/>
      <c r="B309" s="10"/>
      <c r="C309" s="10"/>
      <c r="D309" s="10"/>
      <c r="E309" s="10"/>
      <c r="F309" s="21"/>
      <c r="G309" s="19"/>
      <c r="H309" s="21"/>
      <c r="I309" s="22"/>
      <c r="J309" s="19"/>
      <c r="K309" s="23" t="str">
        <f aca="false">IF($D309="","",IFERROR(INDEX(Profile!$B$5:$B$304,MATCH($D309,lst_Profil,0)),""))</f>
        <v/>
      </c>
      <c r="L309" s="13" t="str">
        <f aca="false">IF($D309="","",IFERROR(INDEX(Profile!$K$5:$K$304,MATCH($D309,lst_Profil,0))+0,""))</f>
        <v/>
      </c>
      <c r="M309" s="24" t="str">
        <f aca="false">IF($D309="","",IFERROR(INDEX(Profile!$E$5:$E$304,MATCH($D309,lst_Profil,0))+0,""))</f>
        <v/>
      </c>
      <c r="N309" s="25" t="str">
        <f aca="false">IF(OR(L309="",$E309=""),"",IFERROR(L309*INDEX(Werkstoffe!$E$5:$E$304,MATCH($E309,lst_Werkstoff,0))/1000,""))</f>
        <v/>
      </c>
      <c r="O309" s="25" t="str">
        <f aca="false">IF(OR(N309="",$F309=""),"",N309*$F309/1000)</f>
        <v/>
      </c>
      <c r="P309" s="16" t="str">
        <f aca="false">IF(OR($F309="",$G309=""),"",$F309*$G309)</f>
        <v/>
      </c>
      <c r="Q309" s="16" t="str">
        <f aca="false">IF($D309="","",IF($J309&lt;&gt;"",$J309,$C$9))</f>
        <v/>
      </c>
      <c r="R309" s="12" t="str">
        <f aca="false">IF($D309="","",IFERROR(IF(INDEX(Profile!$G$5:$G$304,MATCH($D309,lst_Profil,0))&lt;&gt;"",INDEX(Profile!$G$5:$G$304,MATCH($D309,lst_Profil,0)),$H$4),$H$4))</f>
        <v/>
      </c>
      <c r="S309" s="12" t="str">
        <f aca="false">IF($D309="","",IFERROR(IF(INDEX(Profile!$H$5:$H$304,MATCH($D309,lst_Profil,0))&lt;&gt;"",INDEX(Profile!$H$5:$H$304,MATCH($D309,lst_Profil,0)),$H$5),$H$5))</f>
        <v/>
      </c>
      <c r="T309" s="16" t="str">
        <f aca="false">IF(OR(Q309="",NOT(ISNUMBER(R309)),NOT(ISNUMBER(S309))),"",Q309-R309-S309)</f>
        <v/>
      </c>
      <c r="U309" s="26" t="str">
        <f aca="false">IF(OR($D309="",$E309=""),"",IF(COUNTIFS(Preise!$A$5:$A$304,$D309,Preise!$B$5:$B$304,$E309,Preise!$I$5:$I$304,"OK")&gt;0,"ja","nein"))</f>
        <v/>
      </c>
      <c r="V309" s="15" t="str">
        <f aca="false">IF(OR(M309="",$E309="",$C$8=""),"",IF(_xlfn.MINIFS(Schneiddaten!$C$5:$C$304,Schneiddaten!$A$5:$A$304,$C$8,Schneiddaten!$B$5:$B$304,$E309,Schneiddaten!$C$5:$C$304,"&gt;="&amp;M309)=0,"",SUMIFS(Schneiddaten!$D$5:$D$304,Schneiddaten!$A$5:$A$304,$C$8,Schneiddaten!$B$5:$B$304,$E309,Schneiddaten!$C$5:$C$304,_xlfn.MINIFS(Schneiddaten!$C$5:$C$304,Schneiddaten!$A$5:$A$304,$C$8,Schneiddaten!$B$5:$B$304,$E309,Schneiddaten!$C$5:$C$304,"&gt;="&amp;M309))))</f>
        <v/>
      </c>
      <c r="W309" s="26" t="str">
        <f aca="false">IF(AND($D309="",$E309="",$F309="",$G309=""),"",IF(ISNA(MATCH($D309,lst_Profil,0)),"FEHLER: Profil unbekannt",IF(ISNA(MATCH($E309,lst_Werkstoff,0)),"FEHLER: Werkstoff unbekannt",IF(NOT(ISNUMBER(L309)),"FEHLER: Querschnitt fehlt (Profil)",IF(OR($F309="",$F309&lt;=0),"FEHLER: Teilelänge fehlt",IF(OR($G309="",$G309&lt;1),"FEHLER: Stückzahl fehlt",IF(NOT(ISNUMBER($H$4)),"FEHLER: Maschine fehlt/unbekannt",IF(Q309&gt;$H$7,"FEHLER: Stange länger als Maschine zulässt",IF($F309+$H$6&gt;T309,"FEHLER: Teil länger als Nutzlänge",IF(U309="nein","WARNUNG: kein gültiger Materialpreis",IF($H309="","HINWEIS: Schneidweg fehlt",IF(V309="","HINWEIS: keine Schneiddaten",IF(AND($AF309&lt;&gt;"",$AG309=""),"HINWEIS: Gewinde-Vorschlag prüfen","OK")))))))))))))</f>
        <v/>
      </c>
      <c r="X309" s="18" t="str">
        <f aca="false">IF(OR(O309="",$G309=""),"",O309*$G309)</f>
        <v/>
      </c>
      <c r="Y309" s="10"/>
      <c r="Z309" s="21"/>
      <c r="AA309" s="10"/>
      <c r="AB309" s="21"/>
      <c r="AC309" s="21"/>
      <c r="AD309" s="21"/>
      <c r="AE309" s="10"/>
      <c r="AF309" s="10"/>
      <c r="AG309" s="10"/>
      <c r="AH309" s="22"/>
      <c r="AI309" s="21"/>
      <c r="AJ309" s="22"/>
      <c r="AK309" s="21"/>
      <c r="AL309" s="22"/>
      <c r="AM309" s="21"/>
    </row>
    <row r="310" customFormat="false" ht="15" hidden="false" customHeight="false" outlineLevel="0" collapsed="false">
      <c r="A310" s="10"/>
      <c r="B310" s="10"/>
      <c r="C310" s="10"/>
      <c r="D310" s="10"/>
      <c r="E310" s="10"/>
      <c r="F310" s="21"/>
      <c r="G310" s="19"/>
      <c r="H310" s="21"/>
      <c r="I310" s="22"/>
      <c r="J310" s="19"/>
      <c r="K310" s="23" t="str">
        <f aca="false">IF($D310="","",IFERROR(INDEX(Profile!$B$5:$B$304,MATCH($D310,lst_Profil,0)),""))</f>
        <v/>
      </c>
      <c r="L310" s="13" t="str">
        <f aca="false">IF($D310="","",IFERROR(INDEX(Profile!$K$5:$K$304,MATCH($D310,lst_Profil,0))+0,""))</f>
        <v/>
      </c>
      <c r="M310" s="24" t="str">
        <f aca="false">IF($D310="","",IFERROR(INDEX(Profile!$E$5:$E$304,MATCH($D310,lst_Profil,0))+0,""))</f>
        <v/>
      </c>
      <c r="N310" s="25" t="str">
        <f aca="false">IF(OR(L310="",$E310=""),"",IFERROR(L310*INDEX(Werkstoffe!$E$5:$E$304,MATCH($E310,lst_Werkstoff,0))/1000,""))</f>
        <v/>
      </c>
      <c r="O310" s="25" t="str">
        <f aca="false">IF(OR(N310="",$F310=""),"",N310*$F310/1000)</f>
        <v/>
      </c>
      <c r="P310" s="16" t="str">
        <f aca="false">IF(OR($F310="",$G310=""),"",$F310*$G310)</f>
        <v/>
      </c>
      <c r="Q310" s="16" t="str">
        <f aca="false">IF($D310="","",IF($J310&lt;&gt;"",$J310,$C$9))</f>
        <v/>
      </c>
      <c r="R310" s="12" t="str">
        <f aca="false">IF($D310="","",IFERROR(IF(INDEX(Profile!$G$5:$G$304,MATCH($D310,lst_Profil,0))&lt;&gt;"",INDEX(Profile!$G$5:$G$304,MATCH($D310,lst_Profil,0)),$H$4),$H$4))</f>
        <v/>
      </c>
      <c r="S310" s="12" t="str">
        <f aca="false">IF($D310="","",IFERROR(IF(INDEX(Profile!$H$5:$H$304,MATCH($D310,lst_Profil,0))&lt;&gt;"",INDEX(Profile!$H$5:$H$304,MATCH($D310,lst_Profil,0)),$H$5),$H$5))</f>
        <v/>
      </c>
      <c r="T310" s="16" t="str">
        <f aca="false">IF(OR(Q310="",NOT(ISNUMBER(R310)),NOT(ISNUMBER(S310))),"",Q310-R310-S310)</f>
        <v/>
      </c>
      <c r="U310" s="26" t="str">
        <f aca="false">IF(OR($D310="",$E310=""),"",IF(COUNTIFS(Preise!$A$5:$A$304,$D310,Preise!$B$5:$B$304,$E310,Preise!$I$5:$I$304,"OK")&gt;0,"ja","nein"))</f>
        <v/>
      </c>
      <c r="V310" s="15" t="str">
        <f aca="false">IF(OR(M310="",$E310="",$C$8=""),"",IF(_xlfn.MINIFS(Schneiddaten!$C$5:$C$304,Schneiddaten!$A$5:$A$304,$C$8,Schneiddaten!$B$5:$B$304,$E310,Schneiddaten!$C$5:$C$304,"&gt;="&amp;M310)=0,"",SUMIFS(Schneiddaten!$D$5:$D$304,Schneiddaten!$A$5:$A$304,$C$8,Schneiddaten!$B$5:$B$304,$E310,Schneiddaten!$C$5:$C$304,_xlfn.MINIFS(Schneiddaten!$C$5:$C$304,Schneiddaten!$A$5:$A$304,$C$8,Schneiddaten!$B$5:$B$304,$E310,Schneiddaten!$C$5:$C$304,"&gt;="&amp;M310))))</f>
        <v/>
      </c>
      <c r="W310" s="26" t="str">
        <f aca="false">IF(AND($D310="",$E310="",$F310="",$G310=""),"",IF(ISNA(MATCH($D310,lst_Profil,0)),"FEHLER: Profil unbekannt",IF(ISNA(MATCH($E310,lst_Werkstoff,0)),"FEHLER: Werkstoff unbekannt",IF(NOT(ISNUMBER(L310)),"FEHLER: Querschnitt fehlt (Profil)",IF(OR($F310="",$F310&lt;=0),"FEHLER: Teilelänge fehlt",IF(OR($G310="",$G310&lt;1),"FEHLER: Stückzahl fehlt",IF(NOT(ISNUMBER($H$4)),"FEHLER: Maschine fehlt/unbekannt",IF(Q310&gt;$H$7,"FEHLER: Stange länger als Maschine zulässt",IF($F310+$H$6&gt;T310,"FEHLER: Teil länger als Nutzlänge",IF(U310="nein","WARNUNG: kein gültiger Materialpreis",IF($H310="","HINWEIS: Schneidweg fehlt",IF(V310="","HINWEIS: keine Schneiddaten",IF(AND($AF310&lt;&gt;"",$AG310=""),"HINWEIS: Gewinde-Vorschlag prüfen","OK")))))))))))))</f>
        <v/>
      </c>
      <c r="X310" s="18" t="str">
        <f aca="false">IF(OR(O310="",$G310=""),"",O310*$G310)</f>
        <v/>
      </c>
      <c r="Y310" s="10"/>
      <c r="Z310" s="21"/>
      <c r="AA310" s="10"/>
      <c r="AB310" s="21"/>
      <c r="AC310" s="21"/>
      <c r="AD310" s="21"/>
      <c r="AE310" s="10"/>
      <c r="AF310" s="10"/>
      <c r="AG310" s="10"/>
      <c r="AH310" s="22"/>
      <c r="AI310" s="21"/>
      <c r="AJ310" s="22"/>
      <c r="AK310" s="21"/>
      <c r="AL310" s="22"/>
      <c r="AM310" s="21"/>
    </row>
    <row r="311" customFormat="false" ht="15" hidden="false" customHeight="false" outlineLevel="0" collapsed="false">
      <c r="A311" s="10"/>
      <c r="B311" s="10"/>
      <c r="C311" s="10"/>
      <c r="D311" s="10"/>
      <c r="E311" s="10"/>
      <c r="F311" s="21"/>
      <c r="G311" s="19"/>
      <c r="H311" s="21"/>
      <c r="I311" s="22"/>
      <c r="J311" s="19"/>
      <c r="K311" s="23" t="str">
        <f aca="false">IF($D311="","",IFERROR(INDEX(Profile!$B$5:$B$304,MATCH($D311,lst_Profil,0)),""))</f>
        <v/>
      </c>
      <c r="L311" s="13" t="str">
        <f aca="false">IF($D311="","",IFERROR(INDEX(Profile!$K$5:$K$304,MATCH($D311,lst_Profil,0))+0,""))</f>
        <v/>
      </c>
      <c r="M311" s="24" t="str">
        <f aca="false">IF($D311="","",IFERROR(INDEX(Profile!$E$5:$E$304,MATCH($D311,lst_Profil,0))+0,""))</f>
        <v/>
      </c>
      <c r="N311" s="25" t="str">
        <f aca="false">IF(OR(L311="",$E311=""),"",IFERROR(L311*INDEX(Werkstoffe!$E$5:$E$304,MATCH($E311,lst_Werkstoff,0))/1000,""))</f>
        <v/>
      </c>
      <c r="O311" s="25" t="str">
        <f aca="false">IF(OR(N311="",$F311=""),"",N311*$F311/1000)</f>
        <v/>
      </c>
      <c r="P311" s="16" t="str">
        <f aca="false">IF(OR($F311="",$G311=""),"",$F311*$G311)</f>
        <v/>
      </c>
      <c r="Q311" s="16" t="str">
        <f aca="false">IF($D311="","",IF($J311&lt;&gt;"",$J311,$C$9))</f>
        <v/>
      </c>
      <c r="R311" s="12" t="str">
        <f aca="false">IF($D311="","",IFERROR(IF(INDEX(Profile!$G$5:$G$304,MATCH($D311,lst_Profil,0))&lt;&gt;"",INDEX(Profile!$G$5:$G$304,MATCH($D311,lst_Profil,0)),$H$4),$H$4))</f>
        <v/>
      </c>
      <c r="S311" s="12" t="str">
        <f aca="false">IF($D311="","",IFERROR(IF(INDEX(Profile!$H$5:$H$304,MATCH($D311,lst_Profil,0))&lt;&gt;"",INDEX(Profile!$H$5:$H$304,MATCH($D311,lst_Profil,0)),$H$5),$H$5))</f>
        <v/>
      </c>
      <c r="T311" s="16" t="str">
        <f aca="false">IF(OR(Q311="",NOT(ISNUMBER(R311)),NOT(ISNUMBER(S311))),"",Q311-R311-S311)</f>
        <v/>
      </c>
      <c r="U311" s="26" t="str">
        <f aca="false">IF(OR($D311="",$E311=""),"",IF(COUNTIFS(Preise!$A$5:$A$304,$D311,Preise!$B$5:$B$304,$E311,Preise!$I$5:$I$304,"OK")&gt;0,"ja","nein"))</f>
        <v/>
      </c>
      <c r="V311" s="15" t="str">
        <f aca="false">IF(OR(M311="",$E311="",$C$8=""),"",IF(_xlfn.MINIFS(Schneiddaten!$C$5:$C$304,Schneiddaten!$A$5:$A$304,$C$8,Schneiddaten!$B$5:$B$304,$E311,Schneiddaten!$C$5:$C$304,"&gt;="&amp;M311)=0,"",SUMIFS(Schneiddaten!$D$5:$D$304,Schneiddaten!$A$5:$A$304,$C$8,Schneiddaten!$B$5:$B$304,$E311,Schneiddaten!$C$5:$C$304,_xlfn.MINIFS(Schneiddaten!$C$5:$C$304,Schneiddaten!$A$5:$A$304,$C$8,Schneiddaten!$B$5:$B$304,$E311,Schneiddaten!$C$5:$C$304,"&gt;="&amp;M311))))</f>
        <v/>
      </c>
      <c r="W311" s="26" t="str">
        <f aca="false">IF(AND($D311="",$E311="",$F311="",$G311=""),"",IF(ISNA(MATCH($D311,lst_Profil,0)),"FEHLER: Profil unbekannt",IF(ISNA(MATCH($E311,lst_Werkstoff,0)),"FEHLER: Werkstoff unbekannt",IF(NOT(ISNUMBER(L311)),"FEHLER: Querschnitt fehlt (Profil)",IF(OR($F311="",$F311&lt;=0),"FEHLER: Teilelänge fehlt",IF(OR($G311="",$G311&lt;1),"FEHLER: Stückzahl fehlt",IF(NOT(ISNUMBER($H$4)),"FEHLER: Maschine fehlt/unbekannt",IF(Q311&gt;$H$7,"FEHLER: Stange länger als Maschine zulässt",IF($F311+$H$6&gt;T311,"FEHLER: Teil länger als Nutzlänge",IF(U311="nein","WARNUNG: kein gültiger Materialpreis",IF($H311="","HINWEIS: Schneidweg fehlt",IF(V311="","HINWEIS: keine Schneiddaten",IF(AND($AF311&lt;&gt;"",$AG311=""),"HINWEIS: Gewinde-Vorschlag prüfen","OK")))))))))))))</f>
        <v/>
      </c>
      <c r="X311" s="18" t="str">
        <f aca="false">IF(OR(O311="",$G311=""),"",O311*$G311)</f>
        <v/>
      </c>
      <c r="Y311" s="10"/>
      <c r="Z311" s="21"/>
      <c r="AA311" s="10"/>
      <c r="AB311" s="21"/>
      <c r="AC311" s="21"/>
      <c r="AD311" s="21"/>
      <c r="AE311" s="10"/>
      <c r="AF311" s="10"/>
      <c r="AG311" s="10"/>
      <c r="AH311" s="22"/>
      <c r="AI311" s="21"/>
      <c r="AJ311" s="22"/>
      <c r="AK311" s="21"/>
      <c r="AL311" s="22"/>
      <c r="AM311" s="21"/>
    </row>
    <row r="312" customFormat="false" ht="15" hidden="false" customHeight="false" outlineLevel="0" collapsed="false">
      <c r="A312" s="10"/>
      <c r="B312" s="10"/>
      <c r="C312" s="10"/>
      <c r="D312" s="10"/>
      <c r="E312" s="10"/>
      <c r="F312" s="21"/>
      <c r="G312" s="19"/>
      <c r="H312" s="21"/>
      <c r="I312" s="22"/>
      <c r="J312" s="19"/>
      <c r="K312" s="23" t="str">
        <f aca="false">IF($D312="","",IFERROR(INDEX(Profile!$B$5:$B$304,MATCH($D312,lst_Profil,0)),""))</f>
        <v/>
      </c>
      <c r="L312" s="13" t="str">
        <f aca="false">IF($D312="","",IFERROR(INDEX(Profile!$K$5:$K$304,MATCH($D312,lst_Profil,0))+0,""))</f>
        <v/>
      </c>
      <c r="M312" s="24" t="str">
        <f aca="false">IF($D312="","",IFERROR(INDEX(Profile!$E$5:$E$304,MATCH($D312,lst_Profil,0))+0,""))</f>
        <v/>
      </c>
      <c r="N312" s="25" t="str">
        <f aca="false">IF(OR(L312="",$E312=""),"",IFERROR(L312*INDEX(Werkstoffe!$E$5:$E$304,MATCH($E312,lst_Werkstoff,0))/1000,""))</f>
        <v/>
      </c>
      <c r="O312" s="25" t="str">
        <f aca="false">IF(OR(N312="",$F312=""),"",N312*$F312/1000)</f>
        <v/>
      </c>
      <c r="P312" s="16" t="str">
        <f aca="false">IF(OR($F312="",$G312=""),"",$F312*$G312)</f>
        <v/>
      </c>
      <c r="Q312" s="16" t="str">
        <f aca="false">IF($D312="","",IF($J312&lt;&gt;"",$J312,$C$9))</f>
        <v/>
      </c>
      <c r="R312" s="12" t="str">
        <f aca="false">IF($D312="","",IFERROR(IF(INDEX(Profile!$G$5:$G$304,MATCH($D312,lst_Profil,0))&lt;&gt;"",INDEX(Profile!$G$5:$G$304,MATCH($D312,lst_Profil,0)),$H$4),$H$4))</f>
        <v/>
      </c>
      <c r="S312" s="12" t="str">
        <f aca="false">IF($D312="","",IFERROR(IF(INDEX(Profile!$H$5:$H$304,MATCH($D312,lst_Profil,0))&lt;&gt;"",INDEX(Profile!$H$5:$H$304,MATCH($D312,lst_Profil,0)),$H$5),$H$5))</f>
        <v/>
      </c>
      <c r="T312" s="16" t="str">
        <f aca="false">IF(OR(Q312="",NOT(ISNUMBER(R312)),NOT(ISNUMBER(S312))),"",Q312-R312-S312)</f>
        <v/>
      </c>
      <c r="U312" s="26" t="str">
        <f aca="false">IF(OR($D312="",$E312=""),"",IF(COUNTIFS(Preise!$A$5:$A$304,$D312,Preise!$B$5:$B$304,$E312,Preise!$I$5:$I$304,"OK")&gt;0,"ja","nein"))</f>
        <v/>
      </c>
      <c r="V312" s="15" t="str">
        <f aca="false">IF(OR(M312="",$E312="",$C$8=""),"",IF(_xlfn.MINIFS(Schneiddaten!$C$5:$C$304,Schneiddaten!$A$5:$A$304,$C$8,Schneiddaten!$B$5:$B$304,$E312,Schneiddaten!$C$5:$C$304,"&gt;="&amp;M312)=0,"",SUMIFS(Schneiddaten!$D$5:$D$304,Schneiddaten!$A$5:$A$304,$C$8,Schneiddaten!$B$5:$B$304,$E312,Schneiddaten!$C$5:$C$304,_xlfn.MINIFS(Schneiddaten!$C$5:$C$304,Schneiddaten!$A$5:$A$304,$C$8,Schneiddaten!$B$5:$B$304,$E312,Schneiddaten!$C$5:$C$304,"&gt;="&amp;M312))))</f>
        <v/>
      </c>
      <c r="W312" s="26" t="str">
        <f aca="false">IF(AND($D312="",$E312="",$F312="",$G312=""),"",IF(ISNA(MATCH($D312,lst_Profil,0)),"FEHLER: Profil unbekannt",IF(ISNA(MATCH($E312,lst_Werkstoff,0)),"FEHLER: Werkstoff unbekannt",IF(NOT(ISNUMBER(L312)),"FEHLER: Querschnitt fehlt (Profil)",IF(OR($F312="",$F312&lt;=0),"FEHLER: Teilelänge fehlt",IF(OR($G312="",$G312&lt;1),"FEHLER: Stückzahl fehlt",IF(NOT(ISNUMBER($H$4)),"FEHLER: Maschine fehlt/unbekannt",IF(Q312&gt;$H$7,"FEHLER: Stange länger als Maschine zulässt",IF($F312+$H$6&gt;T312,"FEHLER: Teil länger als Nutzlänge",IF(U312="nein","WARNUNG: kein gültiger Materialpreis",IF($H312="","HINWEIS: Schneidweg fehlt",IF(V312="","HINWEIS: keine Schneiddaten",IF(AND($AF312&lt;&gt;"",$AG312=""),"HINWEIS: Gewinde-Vorschlag prüfen","OK")))))))))))))</f>
        <v/>
      </c>
      <c r="X312" s="18" t="str">
        <f aca="false">IF(OR(O312="",$G312=""),"",O312*$G312)</f>
        <v/>
      </c>
      <c r="Y312" s="10"/>
      <c r="Z312" s="21"/>
      <c r="AA312" s="10"/>
      <c r="AB312" s="21"/>
      <c r="AC312" s="21"/>
      <c r="AD312" s="21"/>
      <c r="AE312" s="10"/>
      <c r="AF312" s="10"/>
      <c r="AG312" s="10"/>
      <c r="AH312" s="22"/>
      <c r="AI312" s="21"/>
      <c r="AJ312" s="22"/>
      <c r="AK312" s="21"/>
      <c r="AL312" s="22"/>
      <c r="AM312" s="21"/>
    </row>
    <row r="313" customFormat="false" ht="15" hidden="false" customHeight="false" outlineLevel="0" collapsed="false">
      <c r="A313" s="10"/>
      <c r="B313" s="10"/>
      <c r="C313" s="10"/>
      <c r="D313" s="10"/>
      <c r="E313" s="10"/>
      <c r="F313" s="21"/>
      <c r="G313" s="19"/>
      <c r="H313" s="21"/>
      <c r="I313" s="22"/>
      <c r="J313" s="19"/>
      <c r="K313" s="23" t="str">
        <f aca="false">IF($D313="","",IFERROR(INDEX(Profile!$B$5:$B$304,MATCH($D313,lst_Profil,0)),""))</f>
        <v/>
      </c>
      <c r="L313" s="13" t="str">
        <f aca="false">IF($D313="","",IFERROR(INDEX(Profile!$K$5:$K$304,MATCH($D313,lst_Profil,0))+0,""))</f>
        <v/>
      </c>
      <c r="M313" s="24" t="str">
        <f aca="false">IF($D313="","",IFERROR(INDEX(Profile!$E$5:$E$304,MATCH($D313,lst_Profil,0))+0,""))</f>
        <v/>
      </c>
      <c r="N313" s="25" t="str">
        <f aca="false">IF(OR(L313="",$E313=""),"",IFERROR(L313*INDEX(Werkstoffe!$E$5:$E$304,MATCH($E313,lst_Werkstoff,0))/1000,""))</f>
        <v/>
      </c>
      <c r="O313" s="25" t="str">
        <f aca="false">IF(OR(N313="",$F313=""),"",N313*$F313/1000)</f>
        <v/>
      </c>
      <c r="P313" s="16" t="str">
        <f aca="false">IF(OR($F313="",$G313=""),"",$F313*$G313)</f>
        <v/>
      </c>
      <c r="Q313" s="16" t="str">
        <f aca="false">IF($D313="","",IF($J313&lt;&gt;"",$J313,$C$9))</f>
        <v/>
      </c>
      <c r="R313" s="12" t="str">
        <f aca="false">IF($D313="","",IFERROR(IF(INDEX(Profile!$G$5:$G$304,MATCH($D313,lst_Profil,0))&lt;&gt;"",INDEX(Profile!$G$5:$G$304,MATCH($D313,lst_Profil,0)),$H$4),$H$4))</f>
        <v/>
      </c>
      <c r="S313" s="12" t="str">
        <f aca="false">IF($D313="","",IFERROR(IF(INDEX(Profile!$H$5:$H$304,MATCH($D313,lst_Profil,0))&lt;&gt;"",INDEX(Profile!$H$5:$H$304,MATCH($D313,lst_Profil,0)),$H$5),$H$5))</f>
        <v/>
      </c>
      <c r="T313" s="16" t="str">
        <f aca="false">IF(OR(Q313="",NOT(ISNUMBER(R313)),NOT(ISNUMBER(S313))),"",Q313-R313-S313)</f>
        <v/>
      </c>
      <c r="U313" s="26" t="str">
        <f aca="false">IF(OR($D313="",$E313=""),"",IF(COUNTIFS(Preise!$A$5:$A$304,$D313,Preise!$B$5:$B$304,$E313,Preise!$I$5:$I$304,"OK")&gt;0,"ja","nein"))</f>
        <v/>
      </c>
      <c r="V313" s="15" t="str">
        <f aca="false">IF(OR(M313="",$E313="",$C$8=""),"",IF(_xlfn.MINIFS(Schneiddaten!$C$5:$C$304,Schneiddaten!$A$5:$A$304,$C$8,Schneiddaten!$B$5:$B$304,$E313,Schneiddaten!$C$5:$C$304,"&gt;="&amp;M313)=0,"",SUMIFS(Schneiddaten!$D$5:$D$304,Schneiddaten!$A$5:$A$304,$C$8,Schneiddaten!$B$5:$B$304,$E313,Schneiddaten!$C$5:$C$304,_xlfn.MINIFS(Schneiddaten!$C$5:$C$304,Schneiddaten!$A$5:$A$304,$C$8,Schneiddaten!$B$5:$B$304,$E313,Schneiddaten!$C$5:$C$304,"&gt;="&amp;M313))))</f>
        <v/>
      </c>
      <c r="W313" s="26" t="str">
        <f aca="false">IF(AND($D313="",$E313="",$F313="",$G313=""),"",IF(ISNA(MATCH($D313,lst_Profil,0)),"FEHLER: Profil unbekannt",IF(ISNA(MATCH($E313,lst_Werkstoff,0)),"FEHLER: Werkstoff unbekannt",IF(NOT(ISNUMBER(L313)),"FEHLER: Querschnitt fehlt (Profil)",IF(OR($F313="",$F313&lt;=0),"FEHLER: Teilelänge fehlt",IF(OR($G313="",$G313&lt;1),"FEHLER: Stückzahl fehlt",IF(NOT(ISNUMBER($H$4)),"FEHLER: Maschine fehlt/unbekannt",IF(Q313&gt;$H$7,"FEHLER: Stange länger als Maschine zulässt",IF($F313+$H$6&gt;T313,"FEHLER: Teil länger als Nutzlänge",IF(U313="nein","WARNUNG: kein gültiger Materialpreis",IF($H313="","HINWEIS: Schneidweg fehlt",IF(V313="","HINWEIS: keine Schneiddaten",IF(AND($AF313&lt;&gt;"",$AG313=""),"HINWEIS: Gewinde-Vorschlag prüfen","OK")))))))))))))</f>
        <v/>
      </c>
      <c r="X313" s="18" t="str">
        <f aca="false">IF(OR(O313="",$G313=""),"",O313*$G313)</f>
        <v/>
      </c>
      <c r="Y313" s="10"/>
      <c r="Z313" s="21"/>
      <c r="AA313" s="10"/>
      <c r="AB313" s="21"/>
      <c r="AC313" s="21"/>
      <c r="AD313" s="21"/>
      <c r="AE313" s="10"/>
      <c r="AF313" s="10"/>
      <c r="AG313" s="10"/>
      <c r="AH313" s="22"/>
      <c r="AI313" s="21"/>
      <c r="AJ313" s="22"/>
      <c r="AK313" s="21"/>
      <c r="AL313" s="22"/>
      <c r="AM313" s="21"/>
    </row>
    <row r="314" customFormat="false" ht="15" hidden="false" customHeight="false" outlineLevel="0" collapsed="false">
      <c r="A314" s="10"/>
      <c r="B314" s="10"/>
      <c r="C314" s="10"/>
      <c r="D314" s="10"/>
      <c r="E314" s="10"/>
      <c r="F314" s="21"/>
      <c r="G314" s="19"/>
      <c r="H314" s="21"/>
      <c r="I314" s="22"/>
      <c r="J314" s="19"/>
      <c r="K314" s="23" t="str">
        <f aca="false">IF($D314="","",IFERROR(INDEX(Profile!$B$5:$B$304,MATCH($D314,lst_Profil,0)),""))</f>
        <v/>
      </c>
      <c r="L314" s="13" t="str">
        <f aca="false">IF($D314="","",IFERROR(INDEX(Profile!$K$5:$K$304,MATCH($D314,lst_Profil,0))+0,""))</f>
        <v/>
      </c>
      <c r="M314" s="24" t="str">
        <f aca="false">IF($D314="","",IFERROR(INDEX(Profile!$E$5:$E$304,MATCH($D314,lst_Profil,0))+0,""))</f>
        <v/>
      </c>
      <c r="N314" s="25" t="str">
        <f aca="false">IF(OR(L314="",$E314=""),"",IFERROR(L314*INDEX(Werkstoffe!$E$5:$E$304,MATCH($E314,lst_Werkstoff,0))/1000,""))</f>
        <v/>
      </c>
      <c r="O314" s="25" t="str">
        <f aca="false">IF(OR(N314="",$F314=""),"",N314*$F314/1000)</f>
        <v/>
      </c>
      <c r="P314" s="16" t="str">
        <f aca="false">IF(OR($F314="",$G314=""),"",$F314*$G314)</f>
        <v/>
      </c>
      <c r="Q314" s="16" t="str">
        <f aca="false">IF($D314="","",IF($J314&lt;&gt;"",$J314,$C$9))</f>
        <v/>
      </c>
      <c r="R314" s="12" t="str">
        <f aca="false">IF($D314="","",IFERROR(IF(INDEX(Profile!$G$5:$G$304,MATCH($D314,lst_Profil,0))&lt;&gt;"",INDEX(Profile!$G$5:$G$304,MATCH($D314,lst_Profil,0)),$H$4),$H$4))</f>
        <v/>
      </c>
      <c r="S314" s="12" t="str">
        <f aca="false">IF($D314="","",IFERROR(IF(INDEX(Profile!$H$5:$H$304,MATCH($D314,lst_Profil,0))&lt;&gt;"",INDEX(Profile!$H$5:$H$304,MATCH($D314,lst_Profil,0)),$H$5),$H$5))</f>
        <v/>
      </c>
      <c r="T314" s="16" t="str">
        <f aca="false">IF(OR(Q314="",NOT(ISNUMBER(R314)),NOT(ISNUMBER(S314))),"",Q314-R314-S314)</f>
        <v/>
      </c>
      <c r="U314" s="26" t="str">
        <f aca="false">IF(OR($D314="",$E314=""),"",IF(COUNTIFS(Preise!$A$5:$A$304,$D314,Preise!$B$5:$B$304,$E314,Preise!$I$5:$I$304,"OK")&gt;0,"ja","nein"))</f>
        <v/>
      </c>
      <c r="V314" s="15" t="str">
        <f aca="false">IF(OR(M314="",$E314="",$C$8=""),"",IF(_xlfn.MINIFS(Schneiddaten!$C$5:$C$304,Schneiddaten!$A$5:$A$304,$C$8,Schneiddaten!$B$5:$B$304,$E314,Schneiddaten!$C$5:$C$304,"&gt;="&amp;M314)=0,"",SUMIFS(Schneiddaten!$D$5:$D$304,Schneiddaten!$A$5:$A$304,$C$8,Schneiddaten!$B$5:$B$304,$E314,Schneiddaten!$C$5:$C$304,_xlfn.MINIFS(Schneiddaten!$C$5:$C$304,Schneiddaten!$A$5:$A$304,$C$8,Schneiddaten!$B$5:$B$304,$E314,Schneiddaten!$C$5:$C$304,"&gt;="&amp;M314))))</f>
        <v/>
      </c>
      <c r="W314" s="26" t="str">
        <f aca="false">IF(AND($D314="",$E314="",$F314="",$G314=""),"",IF(ISNA(MATCH($D314,lst_Profil,0)),"FEHLER: Profil unbekannt",IF(ISNA(MATCH($E314,lst_Werkstoff,0)),"FEHLER: Werkstoff unbekannt",IF(NOT(ISNUMBER(L314)),"FEHLER: Querschnitt fehlt (Profil)",IF(OR($F314="",$F314&lt;=0),"FEHLER: Teilelänge fehlt",IF(OR($G314="",$G314&lt;1),"FEHLER: Stückzahl fehlt",IF(NOT(ISNUMBER($H$4)),"FEHLER: Maschine fehlt/unbekannt",IF(Q314&gt;$H$7,"FEHLER: Stange länger als Maschine zulässt",IF($F314+$H$6&gt;T314,"FEHLER: Teil länger als Nutzlänge",IF(U314="nein","WARNUNG: kein gültiger Materialpreis",IF($H314="","HINWEIS: Schneidweg fehlt",IF(V314="","HINWEIS: keine Schneiddaten",IF(AND($AF314&lt;&gt;"",$AG314=""),"HINWEIS: Gewinde-Vorschlag prüfen","OK")))))))))))))</f>
        <v/>
      </c>
      <c r="X314" s="18" t="str">
        <f aca="false">IF(OR(O314="",$G314=""),"",O314*$G314)</f>
        <v/>
      </c>
      <c r="Y314" s="10"/>
      <c r="Z314" s="21"/>
      <c r="AA314" s="10"/>
      <c r="AB314" s="21"/>
      <c r="AC314" s="21"/>
      <c r="AD314" s="21"/>
      <c r="AE314" s="10"/>
      <c r="AF314" s="10"/>
      <c r="AG314" s="10"/>
      <c r="AH314" s="22"/>
      <c r="AI314" s="21"/>
      <c r="AJ314" s="22"/>
      <c r="AK314" s="21"/>
      <c r="AL314" s="22"/>
      <c r="AM314" s="21"/>
    </row>
    <row r="315" customFormat="false" ht="15" hidden="false" customHeight="false" outlineLevel="0" collapsed="false">
      <c r="A315" s="10"/>
      <c r="B315" s="10"/>
      <c r="C315" s="10"/>
      <c r="D315" s="10"/>
      <c r="E315" s="10"/>
      <c r="F315" s="21"/>
      <c r="G315" s="19"/>
      <c r="H315" s="21"/>
      <c r="I315" s="22"/>
      <c r="J315" s="19"/>
      <c r="K315" s="23" t="str">
        <f aca="false">IF($D315="","",IFERROR(INDEX(Profile!$B$5:$B$304,MATCH($D315,lst_Profil,0)),""))</f>
        <v/>
      </c>
      <c r="L315" s="13" t="str">
        <f aca="false">IF($D315="","",IFERROR(INDEX(Profile!$K$5:$K$304,MATCH($D315,lst_Profil,0))+0,""))</f>
        <v/>
      </c>
      <c r="M315" s="24" t="str">
        <f aca="false">IF($D315="","",IFERROR(INDEX(Profile!$E$5:$E$304,MATCH($D315,lst_Profil,0))+0,""))</f>
        <v/>
      </c>
      <c r="N315" s="25" t="str">
        <f aca="false">IF(OR(L315="",$E315=""),"",IFERROR(L315*INDEX(Werkstoffe!$E$5:$E$304,MATCH($E315,lst_Werkstoff,0))/1000,""))</f>
        <v/>
      </c>
      <c r="O315" s="25" t="str">
        <f aca="false">IF(OR(N315="",$F315=""),"",N315*$F315/1000)</f>
        <v/>
      </c>
      <c r="P315" s="16" t="str">
        <f aca="false">IF(OR($F315="",$G315=""),"",$F315*$G315)</f>
        <v/>
      </c>
      <c r="Q315" s="16" t="str">
        <f aca="false">IF($D315="","",IF($J315&lt;&gt;"",$J315,$C$9))</f>
        <v/>
      </c>
      <c r="R315" s="12" t="str">
        <f aca="false">IF($D315="","",IFERROR(IF(INDEX(Profile!$G$5:$G$304,MATCH($D315,lst_Profil,0))&lt;&gt;"",INDEX(Profile!$G$5:$G$304,MATCH($D315,lst_Profil,0)),$H$4),$H$4))</f>
        <v/>
      </c>
      <c r="S315" s="12" t="str">
        <f aca="false">IF($D315="","",IFERROR(IF(INDEX(Profile!$H$5:$H$304,MATCH($D315,lst_Profil,0))&lt;&gt;"",INDEX(Profile!$H$5:$H$304,MATCH($D315,lst_Profil,0)),$H$5),$H$5))</f>
        <v/>
      </c>
      <c r="T315" s="16" t="str">
        <f aca="false">IF(OR(Q315="",NOT(ISNUMBER(R315)),NOT(ISNUMBER(S315))),"",Q315-R315-S315)</f>
        <v/>
      </c>
      <c r="U315" s="26" t="str">
        <f aca="false">IF(OR($D315="",$E315=""),"",IF(COUNTIFS(Preise!$A$5:$A$304,$D315,Preise!$B$5:$B$304,$E315,Preise!$I$5:$I$304,"OK")&gt;0,"ja","nein"))</f>
        <v/>
      </c>
      <c r="V315" s="15" t="str">
        <f aca="false">IF(OR(M315="",$E315="",$C$8=""),"",IF(_xlfn.MINIFS(Schneiddaten!$C$5:$C$304,Schneiddaten!$A$5:$A$304,$C$8,Schneiddaten!$B$5:$B$304,$E315,Schneiddaten!$C$5:$C$304,"&gt;="&amp;M315)=0,"",SUMIFS(Schneiddaten!$D$5:$D$304,Schneiddaten!$A$5:$A$304,$C$8,Schneiddaten!$B$5:$B$304,$E315,Schneiddaten!$C$5:$C$304,_xlfn.MINIFS(Schneiddaten!$C$5:$C$304,Schneiddaten!$A$5:$A$304,$C$8,Schneiddaten!$B$5:$B$304,$E315,Schneiddaten!$C$5:$C$304,"&gt;="&amp;M315))))</f>
        <v/>
      </c>
      <c r="W315" s="26" t="str">
        <f aca="false">IF(AND($D315="",$E315="",$F315="",$G315=""),"",IF(ISNA(MATCH($D315,lst_Profil,0)),"FEHLER: Profil unbekannt",IF(ISNA(MATCH($E315,lst_Werkstoff,0)),"FEHLER: Werkstoff unbekannt",IF(NOT(ISNUMBER(L315)),"FEHLER: Querschnitt fehlt (Profil)",IF(OR($F315="",$F315&lt;=0),"FEHLER: Teilelänge fehlt",IF(OR($G315="",$G315&lt;1),"FEHLER: Stückzahl fehlt",IF(NOT(ISNUMBER($H$4)),"FEHLER: Maschine fehlt/unbekannt",IF(Q315&gt;$H$7,"FEHLER: Stange länger als Maschine zulässt",IF($F315+$H$6&gt;T315,"FEHLER: Teil länger als Nutzlänge",IF(U315="nein","WARNUNG: kein gültiger Materialpreis",IF($H315="","HINWEIS: Schneidweg fehlt",IF(V315="","HINWEIS: keine Schneiddaten",IF(AND($AF315&lt;&gt;"",$AG315=""),"HINWEIS: Gewinde-Vorschlag prüfen","OK")))))))))))))</f>
        <v/>
      </c>
      <c r="X315" s="18" t="str">
        <f aca="false">IF(OR(O315="",$G315=""),"",O315*$G315)</f>
        <v/>
      </c>
      <c r="Y315" s="10"/>
      <c r="Z315" s="21"/>
      <c r="AA315" s="10"/>
      <c r="AB315" s="21"/>
      <c r="AC315" s="21"/>
      <c r="AD315" s="21"/>
      <c r="AE315" s="10"/>
      <c r="AF315" s="10"/>
      <c r="AG315" s="10"/>
      <c r="AH315" s="22"/>
      <c r="AI315" s="21"/>
      <c r="AJ315" s="22"/>
      <c r="AK315" s="21"/>
      <c r="AL315" s="22"/>
      <c r="AM315" s="21"/>
    </row>
    <row r="316" customFormat="false" ht="15" hidden="false" customHeight="false" outlineLevel="0" collapsed="false">
      <c r="A316" s="10"/>
      <c r="B316" s="10"/>
      <c r="C316" s="10"/>
      <c r="D316" s="10"/>
      <c r="E316" s="10"/>
      <c r="F316" s="21"/>
      <c r="G316" s="19"/>
      <c r="H316" s="21"/>
      <c r="I316" s="22"/>
      <c r="J316" s="19"/>
      <c r="K316" s="23" t="str">
        <f aca="false">IF($D316="","",IFERROR(INDEX(Profile!$B$5:$B$304,MATCH($D316,lst_Profil,0)),""))</f>
        <v/>
      </c>
      <c r="L316" s="13" t="str">
        <f aca="false">IF($D316="","",IFERROR(INDEX(Profile!$K$5:$K$304,MATCH($D316,lst_Profil,0))+0,""))</f>
        <v/>
      </c>
      <c r="M316" s="24" t="str">
        <f aca="false">IF($D316="","",IFERROR(INDEX(Profile!$E$5:$E$304,MATCH($D316,lst_Profil,0))+0,""))</f>
        <v/>
      </c>
      <c r="N316" s="25" t="str">
        <f aca="false">IF(OR(L316="",$E316=""),"",IFERROR(L316*INDEX(Werkstoffe!$E$5:$E$304,MATCH($E316,lst_Werkstoff,0))/1000,""))</f>
        <v/>
      </c>
      <c r="O316" s="25" t="str">
        <f aca="false">IF(OR(N316="",$F316=""),"",N316*$F316/1000)</f>
        <v/>
      </c>
      <c r="P316" s="16" t="str">
        <f aca="false">IF(OR($F316="",$G316=""),"",$F316*$G316)</f>
        <v/>
      </c>
      <c r="Q316" s="16" t="str">
        <f aca="false">IF($D316="","",IF($J316&lt;&gt;"",$J316,$C$9))</f>
        <v/>
      </c>
      <c r="R316" s="12" t="str">
        <f aca="false">IF($D316="","",IFERROR(IF(INDEX(Profile!$G$5:$G$304,MATCH($D316,lst_Profil,0))&lt;&gt;"",INDEX(Profile!$G$5:$G$304,MATCH($D316,lst_Profil,0)),$H$4),$H$4))</f>
        <v/>
      </c>
      <c r="S316" s="12" t="str">
        <f aca="false">IF($D316="","",IFERROR(IF(INDEX(Profile!$H$5:$H$304,MATCH($D316,lst_Profil,0))&lt;&gt;"",INDEX(Profile!$H$5:$H$304,MATCH($D316,lst_Profil,0)),$H$5),$H$5))</f>
        <v/>
      </c>
      <c r="T316" s="16" t="str">
        <f aca="false">IF(OR(Q316="",NOT(ISNUMBER(R316)),NOT(ISNUMBER(S316))),"",Q316-R316-S316)</f>
        <v/>
      </c>
      <c r="U316" s="26" t="str">
        <f aca="false">IF(OR($D316="",$E316=""),"",IF(COUNTIFS(Preise!$A$5:$A$304,$D316,Preise!$B$5:$B$304,$E316,Preise!$I$5:$I$304,"OK")&gt;0,"ja","nein"))</f>
        <v/>
      </c>
      <c r="V316" s="15" t="str">
        <f aca="false">IF(OR(M316="",$E316="",$C$8=""),"",IF(_xlfn.MINIFS(Schneiddaten!$C$5:$C$304,Schneiddaten!$A$5:$A$304,$C$8,Schneiddaten!$B$5:$B$304,$E316,Schneiddaten!$C$5:$C$304,"&gt;="&amp;M316)=0,"",SUMIFS(Schneiddaten!$D$5:$D$304,Schneiddaten!$A$5:$A$304,$C$8,Schneiddaten!$B$5:$B$304,$E316,Schneiddaten!$C$5:$C$304,_xlfn.MINIFS(Schneiddaten!$C$5:$C$304,Schneiddaten!$A$5:$A$304,$C$8,Schneiddaten!$B$5:$B$304,$E316,Schneiddaten!$C$5:$C$304,"&gt;="&amp;M316))))</f>
        <v/>
      </c>
      <c r="W316" s="26" t="str">
        <f aca="false">IF(AND($D316="",$E316="",$F316="",$G316=""),"",IF(ISNA(MATCH($D316,lst_Profil,0)),"FEHLER: Profil unbekannt",IF(ISNA(MATCH($E316,lst_Werkstoff,0)),"FEHLER: Werkstoff unbekannt",IF(NOT(ISNUMBER(L316)),"FEHLER: Querschnitt fehlt (Profil)",IF(OR($F316="",$F316&lt;=0),"FEHLER: Teilelänge fehlt",IF(OR($G316="",$G316&lt;1),"FEHLER: Stückzahl fehlt",IF(NOT(ISNUMBER($H$4)),"FEHLER: Maschine fehlt/unbekannt",IF(Q316&gt;$H$7,"FEHLER: Stange länger als Maschine zulässt",IF($F316+$H$6&gt;T316,"FEHLER: Teil länger als Nutzlänge",IF(U316="nein","WARNUNG: kein gültiger Materialpreis",IF($H316="","HINWEIS: Schneidweg fehlt",IF(V316="","HINWEIS: keine Schneiddaten",IF(AND($AF316&lt;&gt;"",$AG316=""),"HINWEIS: Gewinde-Vorschlag prüfen","OK")))))))))))))</f>
        <v/>
      </c>
      <c r="X316" s="18" t="str">
        <f aca="false">IF(OR(O316="",$G316=""),"",O316*$G316)</f>
        <v/>
      </c>
      <c r="Y316" s="10"/>
      <c r="Z316" s="21"/>
      <c r="AA316" s="10"/>
      <c r="AB316" s="21"/>
      <c r="AC316" s="21"/>
      <c r="AD316" s="21"/>
      <c r="AE316" s="10"/>
      <c r="AF316" s="10"/>
      <c r="AG316" s="10"/>
      <c r="AH316" s="22"/>
      <c r="AI316" s="21"/>
      <c r="AJ316" s="22"/>
      <c r="AK316" s="21"/>
      <c r="AL316" s="22"/>
      <c r="AM316" s="21"/>
    </row>
    <row r="317" customFormat="false" ht="15" hidden="false" customHeight="false" outlineLevel="0" collapsed="false">
      <c r="A317" s="10"/>
      <c r="B317" s="10"/>
      <c r="C317" s="10"/>
      <c r="D317" s="10"/>
      <c r="E317" s="10"/>
      <c r="F317" s="21"/>
      <c r="G317" s="19"/>
      <c r="H317" s="21"/>
      <c r="I317" s="22"/>
      <c r="J317" s="19"/>
      <c r="K317" s="23" t="str">
        <f aca="false">IF($D317="","",IFERROR(INDEX(Profile!$B$5:$B$304,MATCH($D317,lst_Profil,0)),""))</f>
        <v/>
      </c>
      <c r="L317" s="13" t="str">
        <f aca="false">IF($D317="","",IFERROR(INDEX(Profile!$K$5:$K$304,MATCH($D317,lst_Profil,0))+0,""))</f>
        <v/>
      </c>
      <c r="M317" s="24" t="str">
        <f aca="false">IF($D317="","",IFERROR(INDEX(Profile!$E$5:$E$304,MATCH($D317,lst_Profil,0))+0,""))</f>
        <v/>
      </c>
      <c r="N317" s="25" t="str">
        <f aca="false">IF(OR(L317="",$E317=""),"",IFERROR(L317*INDEX(Werkstoffe!$E$5:$E$304,MATCH($E317,lst_Werkstoff,0))/1000,""))</f>
        <v/>
      </c>
      <c r="O317" s="25" t="str">
        <f aca="false">IF(OR(N317="",$F317=""),"",N317*$F317/1000)</f>
        <v/>
      </c>
      <c r="P317" s="16" t="str">
        <f aca="false">IF(OR($F317="",$G317=""),"",$F317*$G317)</f>
        <v/>
      </c>
      <c r="Q317" s="16" t="str">
        <f aca="false">IF($D317="","",IF($J317&lt;&gt;"",$J317,$C$9))</f>
        <v/>
      </c>
      <c r="R317" s="12" t="str">
        <f aca="false">IF($D317="","",IFERROR(IF(INDEX(Profile!$G$5:$G$304,MATCH($D317,lst_Profil,0))&lt;&gt;"",INDEX(Profile!$G$5:$G$304,MATCH($D317,lst_Profil,0)),$H$4),$H$4))</f>
        <v/>
      </c>
      <c r="S317" s="12" t="str">
        <f aca="false">IF($D317="","",IFERROR(IF(INDEX(Profile!$H$5:$H$304,MATCH($D317,lst_Profil,0))&lt;&gt;"",INDEX(Profile!$H$5:$H$304,MATCH($D317,lst_Profil,0)),$H$5),$H$5))</f>
        <v/>
      </c>
      <c r="T317" s="16" t="str">
        <f aca="false">IF(OR(Q317="",NOT(ISNUMBER(R317)),NOT(ISNUMBER(S317))),"",Q317-R317-S317)</f>
        <v/>
      </c>
      <c r="U317" s="26" t="str">
        <f aca="false">IF(OR($D317="",$E317=""),"",IF(COUNTIFS(Preise!$A$5:$A$304,$D317,Preise!$B$5:$B$304,$E317,Preise!$I$5:$I$304,"OK")&gt;0,"ja","nein"))</f>
        <v/>
      </c>
      <c r="V317" s="15" t="str">
        <f aca="false">IF(OR(M317="",$E317="",$C$8=""),"",IF(_xlfn.MINIFS(Schneiddaten!$C$5:$C$304,Schneiddaten!$A$5:$A$304,$C$8,Schneiddaten!$B$5:$B$304,$E317,Schneiddaten!$C$5:$C$304,"&gt;="&amp;M317)=0,"",SUMIFS(Schneiddaten!$D$5:$D$304,Schneiddaten!$A$5:$A$304,$C$8,Schneiddaten!$B$5:$B$304,$E317,Schneiddaten!$C$5:$C$304,_xlfn.MINIFS(Schneiddaten!$C$5:$C$304,Schneiddaten!$A$5:$A$304,$C$8,Schneiddaten!$B$5:$B$304,$E317,Schneiddaten!$C$5:$C$304,"&gt;="&amp;M317))))</f>
        <v/>
      </c>
      <c r="W317" s="26" t="str">
        <f aca="false">IF(AND($D317="",$E317="",$F317="",$G317=""),"",IF(ISNA(MATCH($D317,lst_Profil,0)),"FEHLER: Profil unbekannt",IF(ISNA(MATCH($E317,lst_Werkstoff,0)),"FEHLER: Werkstoff unbekannt",IF(NOT(ISNUMBER(L317)),"FEHLER: Querschnitt fehlt (Profil)",IF(OR($F317="",$F317&lt;=0),"FEHLER: Teilelänge fehlt",IF(OR($G317="",$G317&lt;1),"FEHLER: Stückzahl fehlt",IF(NOT(ISNUMBER($H$4)),"FEHLER: Maschine fehlt/unbekannt",IF(Q317&gt;$H$7,"FEHLER: Stange länger als Maschine zulässt",IF($F317+$H$6&gt;T317,"FEHLER: Teil länger als Nutzlänge",IF(U317="nein","WARNUNG: kein gültiger Materialpreis",IF($H317="","HINWEIS: Schneidweg fehlt",IF(V317="","HINWEIS: keine Schneiddaten",IF(AND($AF317&lt;&gt;"",$AG317=""),"HINWEIS: Gewinde-Vorschlag prüfen","OK")))))))))))))</f>
        <v/>
      </c>
      <c r="X317" s="18" t="str">
        <f aca="false">IF(OR(O317="",$G317=""),"",O317*$G317)</f>
        <v/>
      </c>
      <c r="Y317" s="10"/>
      <c r="Z317" s="21"/>
      <c r="AA317" s="10"/>
      <c r="AB317" s="21"/>
      <c r="AC317" s="21"/>
      <c r="AD317" s="21"/>
      <c r="AE317" s="10"/>
      <c r="AF317" s="10"/>
      <c r="AG317" s="10"/>
      <c r="AH317" s="22"/>
      <c r="AI317" s="21"/>
      <c r="AJ317" s="22"/>
      <c r="AK317" s="21"/>
      <c r="AL317" s="22"/>
      <c r="AM317" s="21"/>
    </row>
    <row r="318" customFormat="false" ht="15" hidden="false" customHeight="false" outlineLevel="0" collapsed="false">
      <c r="A318" s="10"/>
      <c r="B318" s="10"/>
      <c r="C318" s="10"/>
      <c r="D318" s="10"/>
      <c r="E318" s="10"/>
      <c r="F318" s="21"/>
      <c r="G318" s="19"/>
      <c r="H318" s="21"/>
      <c r="I318" s="22"/>
      <c r="J318" s="19"/>
      <c r="K318" s="23" t="str">
        <f aca="false">IF($D318="","",IFERROR(INDEX(Profile!$B$5:$B$304,MATCH($D318,lst_Profil,0)),""))</f>
        <v/>
      </c>
      <c r="L318" s="13" t="str">
        <f aca="false">IF($D318="","",IFERROR(INDEX(Profile!$K$5:$K$304,MATCH($D318,lst_Profil,0))+0,""))</f>
        <v/>
      </c>
      <c r="M318" s="24" t="str">
        <f aca="false">IF($D318="","",IFERROR(INDEX(Profile!$E$5:$E$304,MATCH($D318,lst_Profil,0))+0,""))</f>
        <v/>
      </c>
      <c r="N318" s="25" t="str">
        <f aca="false">IF(OR(L318="",$E318=""),"",IFERROR(L318*INDEX(Werkstoffe!$E$5:$E$304,MATCH($E318,lst_Werkstoff,0))/1000,""))</f>
        <v/>
      </c>
      <c r="O318" s="25" t="str">
        <f aca="false">IF(OR(N318="",$F318=""),"",N318*$F318/1000)</f>
        <v/>
      </c>
      <c r="P318" s="16" t="str">
        <f aca="false">IF(OR($F318="",$G318=""),"",$F318*$G318)</f>
        <v/>
      </c>
      <c r="Q318" s="16" t="str">
        <f aca="false">IF($D318="","",IF($J318&lt;&gt;"",$J318,$C$9))</f>
        <v/>
      </c>
      <c r="R318" s="12" t="str">
        <f aca="false">IF($D318="","",IFERROR(IF(INDEX(Profile!$G$5:$G$304,MATCH($D318,lst_Profil,0))&lt;&gt;"",INDEX(Profile!$G$5:$G$304,MATCH($D318,lst_Profil,0)),$H$4),$H$4))</f>
        <v/>
      </c>
      <c r="S318" s="12" t="str">
        <f aca="false">IF($D318="","",IFERROR(IF(INDEX(Profile!$H$5:$H$304,MATCH($D318,lst_Profil,0))&lt;&gt;"",INDEX(Profile!$H$5:$H$304,MATCH($D318,lst_Profil,0)),$H$5),$H$5))</f>
        <v/>
      </c>
      <c r="T318" s="16" t="str">
        <f aca="false">IF(OR(Q318="",NOT(ISNUMBER(R318)),NOT(ISNUMBER(S318))),"",Q318-R318-S318)</f>
        <v/>
      </c>
      <c r="U318" s="26" t="str">
        <f aca="false">IF(OR($D318="",$E318=""),"",IF(COUNTIFS(Preise!$A$5:$A$304,$D318,Preise!$B$5:$B$304,$E318,Preise!$I$5:$I$304,"OK")&gt;0,"ja","nein"))</f>
        <v/>
      </c>
      <c r="V318" s="15" t="str">
        <f aca="false">IF(OR(M318="",$E318="",$C$8=""),"",IF(_xlfn.MINIFS(Schneiddaten!$C$5:$C$304,Schneiddaten!$A$5:$A$304,$C$8,Schneiddaten!$B$5:$B$304,$E318,Schneiddaten!$C$5:$C$304,"&gt;="&amp;M318)=0,"",SUMIFS(Schneiddaten!$D$5:$D$304,Schneiddaten!$A$5:$A$304,$C$8,Schneiddaten!$B$5:$B$304,$E318,Schneiddaten!$C$5:$C$304,_xlfn.MINIFS(Schneiddaten!$C$5:$C$304,Schneiddaten!$A$5:$A$304,$C$8,Schneiddaten!$B$5:$B$304,$E318,Schneiddaten!$C$5:$C$304,"&gt;="&amp;M318))))</f>
        <v/>
      </c>
      <c r="W318" s="26" t="str">
        <f aca="false">IF(AND($D318="",$E318="",$F318="",$G318=""),"",IF(ISNA(MATCH($D318,lst_Profil,0)),"FEHLER: Profil unbekannt",IF(ISNA(MATCH($E318,lst_Werkstoff,0)),"FEHLER: Werkstoff unbekannt",IF(NOT(ISNUMBER(L318)),"FEHLER: Querschnitt fehlt (Profil)",IF(OR($F318="",$F318&lt;=0),"FEHLER: Teilelänge fehlt",IF(OR($G318="",$G318&lt;1),"FEHLER: Stückzahl fehlt",IF(NOT(ISNUMBER($H$4)),"FEHLER: Maschine fehlt/unbekannt",IF(Q318&gt;$H$7,"FEHLER: Stange länger als Maschine zulässt",IF($F318+$H$6&gt;T318,"FEHLER: Teil länger als Nutzlänge",IF(U318="nein","WARNUNG: kein gültiger Materialpreis",IF($H318="","HINWEIS: Schneidweg fehlt",IF(V318="","HINWEIS: keine Schneiddaten",IF(AND($AF318&lt;&gt;"",$AG318=""),"HINWEIS: Gewinde-Vorschlag prüfen","OK")))))))))))))</f>
        <v/>
      </c>
      <c r="X318" s="18" t="str">
        <f aca="false">IF(OR(O318="",$G318=""),"",O318*$G318)</f>
        <v/>
      </c>
      <c r="Y318" s="10"/>
      <c r="Z318" s="21"/>
      <c r="AA318" s="10"/>
      <c r="AB318" s="21"/>
      <c r="AC318" s="21"/>
      <c r="AD318" s="21"/>
      <c r="AE318" s="10"/>
      <c r="AF318" s="10"/>
      <c r="AG318" s="10"/>
      <c r="AH318" s="22"/>
      <c r="AI318" s="21"/>
      <c r="AJ318" s="22"/>
      <c r="AK318" s="21"/>
      <c r="AL318" s="22"/>
      <c r="AM318" s="21"/>
    </row>
    <row r="319" customFormat="false" ht="15" hidden="false" customHeight="false" outlineLevel="0" collapsed="false">
      <c r="A319" s="10"/>
      <c r="B319" s="10"/>
      <c r="C319" s="10"/>
      <c r="D319" s="10"/>
      <c r="E319" s="10"/>
      <c r="F319" s="21"/>
      <c r="G319" s="19"/>
      <c r="H319" s="21"/>
      <c r="I319" s="22"/>
      <c r="J319" s="19"/>
      <c r="K319" s="23" t="str">
        <f aca="false">IF($D319="","",IFERROR(INDEX(Profile!$B$5:$B$304,MATCH($D319,lst_Profil,0)),""))</f>
        <v/>
      </c>
      <c r="L319" s="13" t="str">
        <f aca="false">IF($D319="","",IFERROR(INDEX(Profile!$K$5:$K$304,MATCH($D319,lst_Profil,0))+0,""))</f>
        <v/>
      </c>
      <c r="M319" s="24" t="str">
        <f aca="false">IF($D319="","",IFERROR(INDEX(Profile!$E$5:$E$304,MATCH($D319,lst_Profil,0))+0,""))</f>
        <v/>
      </c>
      <c r="N319" s="25" t="str">
        <f aca="false">IF(OR(L319="",$E319=""),"",IFERROR(L319*INDEX(Werkstoffe!$E$5:$E$304,MATCH($E319,lst_Werkstoff,0))/1000,""))</f>
        <v/>
      </c>
      <c r="O319" s="25" t="str">
        <f aca="false">IF(OR(N319="",$F319=""),"",N319*$F319/1000)</f>
        <v/>
      </c>
      <c r="P319" s="16" t="str">
        <f aca="false">IF(OR($F319="",$G319=""),"",$F319*$G319)</f>
        <v/>
      </c>
      <c r="Q319" s="16" t="str">
        <f aca="false">IF($D319="","",IF($J319&lt;&gt;"",$J319,$C$9))</f>
        <v/>
      </c>
      <c r="R319" s="12" t="str">
        <f aca="false">IF($D319="","",IFERROR(IF(INDEX(Profile!$G$5:$G$304,MATCH($D319,lst_Profil,0))&lt;&gt;"",INDEX(Profile!$G$5:$G$304,MATCH($D319,lst_Profil,0)),$H$4),$H$4))</f>
        <v/>
      </c>
      <c r="S319" s="12" t="str">
        <f aca="false">IF($D319="","",IFERROR(IF(INDEX(Profile!$H$5:$H$304,MATCH($D319,lst_Profil,0))&lt;&gt;"",INDEX(Profile!$H$5:$H$304,MATCH($D319,lst_Profil,0)),$H$5),$H$5))</f>
        <v/>
      </c>
      <c r="T319" s="16" t="str">
        <f aca="false">IF(OR(Q319="",NOT(ISNUMBER(R319)),NOT(ISNUMBER(S319))),"",Q319-R319-S319)</f>
        <v/>
      </c>
      <c r="U319" s="26" t="str">
        <f aca="false">IF(OR($D319="",$E319=""),"",IF(COUNTIFS(Preise!$A$5:$A$304,$D319,Preise!$B$5:$B$304,$E319,Preise!$I$5:$I$304,"OK")&gt;0,"ja","nein"))</f>
        <v/>
      </c>
      <c r="V319" s="15" t="str">
        <f aca="false">IF(OR(M319="",$E319="",$C$8=""),"",IF(_xlfn.MINIFS(Schneiddaten!$C$5:$C$304,Schneiddaten!$A$5:$A$304,$C$8,Schneiddaten!$B$5:$B$304,$E319,Schneiddaten!$C$5:$C$304,"&gt;="&amp;M319)=0,"",SUMIFS(Schneiddaten!$D$5:$D$304,Schneiddaten!$A$5:$A$304,$C$8,Schneiddaten!$B$5:$B$304,$E319,Schneiddaten!$C$5:$C$304,_xlfn.MINIFS(Schneiddaten!$C$5:$C$304,Schneiddaten!$A$5:$A$304,$C$8,Schneiddaten!$B$5:$B$304,$E319,Schneiddaten!$C$5:$C$304,"&gt;="&amp;M319))))</f>
        <v/>
      </c>
      <c r="W319" s="26" t="str">
        <f aca="false">IF(AND($D319="",$E319="",$F319="",$G319=""),"",IF(ISNA(MATCH($D319,lst_Profil,0)),"FEHLER: Profil unbekannt",IF(ISNA(MATCH($E319,lst_Werkstoff,0)),"FEHLER: Werkstoff unbekannt",IF(NOT(ISNUMBER(L319)),"FEHLER: Querschnitt fehlt (Profil)",IF(OR($F319="",$F319&lt;=0),"FEHLER: Teilelänge fehlt",IF(OR($G319="",$G319&lt;1),"FEHLER: Stückzahl fehlt",IF(NOT(ISNUMBER($H$4)),"FEHLER: Maschine fehlt/unbekannt",IF(Q319&gt;$H$7,"FEHLER: Stange länger als Maschine zulässt",IF($F319+$H$6&gt;T319,"FEHLER: Teil länger als Nutzlänge",IF(U319="nein","WARNUNG: kein gültiger Materialpreis",IF($H319="","HINWEIS: Schneidweg fehlt",IF(V319="","HINWEIS: keine Schneiddaten",IF(AND($AF319&lt;&gt;"",$AG319=""),"HINWEIS: Gewinde-Vorschlag prüfen","OK")))))))))))))</f>
        <v/>
      </c>
      <c r="X319" s="18" t="str">
        <f aca="false">IF(OR(O319="",$G319=""),"",O319*$G319)</f>
        <v/>
      </c>
      <c r="Y319" s="10"/>
      <c r="Z319" s="21"/>
      <c r="AA319" s="10"/>
      <c r="AB319" s="21"/>
      <c r="AC319" s="21"/>
      <c r="AD319" s="21"/>
      <c r="AE319" s="10"/>
      <c r="AF319" s="10"/>
      <c r="AG319" s="10"/>
      <c r="AH319" s="22"/>
      <c r="AI319" s="21"/>
      <c r="AJ319" s="22"/>
      <c r="AK319" s="21"/>
      <c r="AL319" s="22"/>
      <c r="AM319" s="21"/>
    </row>
    <row r="320" customFormat="false" ht="15" hidden="false" customHeight="false" outlineLevel="0" collapsed="false">
      <c r="A320" s="10"/>
      <c r="B320" s="10"/>
      <c r="C320" s="10"/>
      <c r="D320" s="10"/>
      <c r="E320" s="10"/>
      <c r="F320" s="21"/>
      <c r="G320" s="19"/>
      <c r="H320" s="21"/>
      <c r="I320" s="22"/>
      <c r="J320" s="19"/>
      <c r="K320" s="23" t="str">
        <f aca="false">IF($D320="","",IFERROR(INDEX(Profile!$B$5:$B$304,MATCH($D320,lst_Profil,0)),""))</f>
        <v/>
      </c>
      <c r="L320" s="13" t="str">
        <f aca="false">IF($D320="","",IFERROR(INDEX(Profile!$K$5:$K$304,MATCH($D320,lst_Profil,0))+0,""))</f>
        <v/>
      </c>
      <c r="M320" s="24" t="str">
        <f aca="false">IF($D320="","",IFERROR(INDEX(Profile!$E$5:$E$304,MATCH($D320,lst_Profil,0))+0,""))</f>
        <v/>
      </c>
      <c r="N320" s="25" t="str">
        <f aca="false">IF(OR(L320="",$E320=""),"",IFERROR(L320*INDEX(Werkstoffe!$E$5:$E$304,MATCH($E320,lst_Werkstoff,0))/1000,""))</f>
        <v/>
      </c>
      <c r="O320" s="25" t="str">
        <f aca="false">IF(OR(N320="",$F320=""),"",N320*$F320/1000)</f>
        <v/>
      </c>
      <c r="P320" s="16" t="str">
        <f aca="false">IF(OR($F320="",$G320=""),"",$F320*$G320)</f>
        <v/>
      </c>
      <c r="Q320" s="16" t="str">
        <f aca="false">IF($D320="","",IF($J320&lt;&gt;"",$J320,$C$9))</f>
        <v/>
      </c>
      <c r="R320" s="12" t="str">
        <f aca="false">IF($D320="","",IFERROR(IF(INDEX(Profile!$G$5:$G$304,MATCH($D320,lst_Profil,0))&lt;&gt;"",INDEX(Profile!$G$5:$G$304,MATCH($D320,lst_Profil,0)),$H$4),$H$4))</f>
        <v/>
      </c>
      <c r="S320" s="12" t="str">
        <f aca="false">IF($D320="","",IFERROR(IF(INDEX(Profile!$H$5:$H$304,MATCH($D320,lst_Profil,0))&lt;&gt;"",INDEX(Profile!$H$5:$H$304,MATCH($D320,lst_Profil,0)),$H$5),$H$5))</f>
        <v/>
      </c>
      <c r="T320" s="16" t="str">
        <f aca="false">IF(OR(Q320="",NOT(ISNUMBER(R320)),NOT(ISNUMBER(S320))),"",Q320-R320-S320)</f>
        <v/>
      </c>
      <c r="U320" s="26" t="str">
        <f aca="false">IF(OR($D320="",$E320=""),"",IF(COUNTIFS(Preise!$A$5:$A$304,$D320,Preise!$B$5:$B$304,$E320,Preise!$I$5:$I$304,"OK")&gt;0,"ja","nein"))</f>
        <v/>
      </c>
      <c r="V320" s="15" t="str">
        <f aca="false">IF(OR(M320="",$E320="",$C$8=""),"",IF(_xlfn.MINIFS(Schneiddaten!$C$5:$C$304,Schneiddaten!$A$5:$A$304,$C$8,Schneiddaten!$B$5:$B$304,$E320,Schneiddaten!$C$5:$C$304,"&gt;="&amp;M320)=0,"",SUMIFS(Schneiddaten!$D$5:$D$304,Schneiddaten!$A$5:$A$304,$C$8,Schneiddaten!$B$5:$B$304,$E320,Schneiddaten!$C$5:$C$304,_xlfn.MINIFS(Schneiddaten!$C$5:$C$304,Schneiddaten!$A$5:$A$304,$C$8,Schneiddaten!$B$5:$B$304,$E320,Schneiddaten!$C$5:$C$304,"&gt;="&amp;M320))))</f>
        <v/>
      </c>
      <c r="W320" s="26" t="str">
        <f aca="false">IF(AND($D320="",$E320="",$F320="",$G320=""),"",IF(ISNA(MATCH($D320,lst_Profil,0)),"FEHLER: Profil unbekannt",IF(ISNA(MATCH($E320,lst_Werkstoff,0)),"FEHLER: Werkstoff unbekannt",IF(NOT(ISNUMBER(L320)),"FEHLER: Querschnitt fehlt (Profil)",IF(OR($F320="",$F320&lt;=0),"FEHLER: Teilelänge fehlt",IF(OR($G320="",$G320&lt;1),"FEHLER: Stückzahl fehlt",IF(NOT(ISNUMBER($H$4)),"FEHLER: Maschine fehlt/unbekannt",IF(Q320&gt;$H$7,"FEHLER: Stange länger als Maschine zulässt",IF($F320+$H$6&gt;T320,"FEHLER: Teil länger als Nutzlänge",IF(U320="nein","WARNUNG: kein gültiger Materialpreis",IF($H320="","HINWEIS: Schneidweg fehlt",IF(V320="","HINWEIS: keine Schneiddaten",IF(AND($AF320&lt;&gt;"",$AG320=""),"HINWEIS: Gewinde-Vorschlag prüfen","OK")))))))))))))</f>
        <v/>
      </c>
      <c r="X320" s="18" t="str">
        <f aca="false">IF(OR(O320="",$G320=""),"",O320*$G320)</f>
        <v/>
      </c>
      <c r="Y320" s="10"/>
      <c r="Z320" s="21"/>
      <c r="AA320" s="10"/>
      <c r="AB320" s="21"/>
      <c r="AC320" s="21"/>
      <c r="AD320" s="21"/>
      <c r="AE320" s="10"/>
      <c r="AF320" s="10"/>
      <c r="AG320" s="10"/>
      <c r="AH320" s="22"/>
      <c r="AI320" s="21"/>
      <c r="AJ320" s="22"/>
      <c r="AK320" s="21"/>
      <c r="AL320" s="22"/>
      <c r="AM320" s="21"/>
    </row>
    <row r="321" customFormat="false" ht="15" hidden="false" customHeight="false" outlineLevel="0" collapsed="false">
      <c r="A321" s="10"/>
      <c r="B321" s="10"/>
      <c r="C321" s="10"/>
      <c r="D321" s="10"/>
      <c r="E321" s="10"/>
      <c r="F321" s="21"/>
      <c r="G321" s="19"/>
      <c r="H321" s="21"/>
      <c r="I321" s="22"/>
      <c r="J321" s="19"/>
      <c r="K321" s="23" t="str">
        <f aca="false">IF($D321="","",IFERROR(INDEX(Profile!$B$5:$B$304,MATCH($D321,lst_Profil,0)),""))</f>
        <v/>
      </c>
      <c r="L321" s="13" t="str">
        <f aca="false">IF($D321="","",IFERROR(INDEX(Profile!$K$5:$K$304,MATCH($D321,lst_Profil,0))+0,""))</f>
        <v/>
      </c>
      <c r="M321" s="24" t="str">
        <f aca="false">IF($D321="","",IFERROR(INDEX(Profile!$E$5:$E$304,MATCH($D321,lst_Profil,0))+0,""))</f>
        <v/>
      </c>
      <c r="N321" s="25" t="str">
        <f aca="false">IF(OR(L321="",$E321=""),"",IFERROR(L321*INDEX(Werkstoffe!$E$5:$E$304,MATCH($E321,lst_Werkstoff,0))/1000,""))</f>
        <v/>
      </c>
      <c r="O321" s="25" t="str">
        <f aca="false">IF(OR(N321="",$F321=""),"",N321*$F321/1000)</f>
        <v/>
      </c>
      <c r="P321" s="16" t="str">
        <f aca="false">IF(OR($F321="",$G321=""),"",$F321*$G321)</f>
        <v/>
      </c>
      <c r="Q321" s="16" t="str">
        <f aca="false">IF($D321="","",IF($J321&lt;&gt;"",$J321,$C$9))</f>
        <v/>
      </c>
      <c r="R321" s="12" t="str">
        <f aca="false">IF($D321="","",IFERROR(IF(INDEX(Profile!$G$5:$G$304,MATCH($D321,lst_Profil,0))&lt;&gt;"",INDEX(Profile!$G$5:$G$304,MATCH($D321,lst_Profil,0)),$H$4),$H$4))</f>
        <v/>
      </c>
      <c r="S321" s="12" t="str">
        <f aca="false">IF($D321="","",IFERROR(IF(INDEX(Profile!$H$5:$H$304,MATCH($D321,lst_Profil,0))&lt;&gt;"",INDEX(Profile!$H$5:$H$304,MATCH($D321,lst_Profil,0)),$H$5),$H$5))</f>
        <v/>
      </c>
      <c r="T321" s="16" t="str">
        <f aca="false">IF(OR(Q321="",NOT(ISNUMBER(R321)),NOT(ISNUMBER(S321))),"",Q321-R321-S321)</f>
        <v/>
      </c>
      <c r="U321" s="26" t="str">
        <f aca="false">IF(OR($D321="",$E321=""),"",IF(COUNTIFS(Preise!$A$5:$A$304,$D321,Preise!$B$5:$B$304,$E321,Preise!$I$5:$I$304,"OK")&gt;0,"ja","nein"))</f>
        <v/>
      </c>
      <c r="V321" s="15" t="str">
        <f aca="false">IF(OR(M321="",$E321="",$C$8=""),"",IF(_xlfn.MINIFS(Schneiddaten!$C$5:$C$304,Schneiddaten!$A$5:$A$304,$C$8,Schneiddaten!$B$5:$B$304,$E321,Schneiddaten!$C$5:$C$304,"&gt;="&amp;M321)=0,"",SUMIFS(Schneiddaten!$D$5:$D$304,Schneiddaten!$A$5:$A$304,$C$8,Schneiddaten!$B$5:$B$304,$E321,Schneiddaten!$C$5:$C$304,_xlfn.MINIFS(Schneiddaten!$C$5:$C$304,Schneiddaten!$A$5:$A$304,$C$8,Schneiddaten!$B$5:$B$304,$E321,Schneiddaten!$C$5:$C$304,"&gt;="&amp;M321))))</f>
        <v/>
      </c>
      <c r="W321" s="26" t="str">
        <f aca="false">IF(AND($D321="",$E321="",$F321="",$G321=""),"",IF(ISNA(MATCH($D321,lst_Profil,0)),"FEHLER: Profil unbekannt",IF(ISNA(MATCH($E321,lst_Werkstoff,0)),"FEHLER: Werkstoff unbekannt",IF(NOT(ISNUMBER(L321)),"FEHLER: Querschnitt fehlt (Profil)",IF(OR($F321="",$F321&lt;=0),"FEHLER: Teilelänge fehlt",IF(OR($G321="",$G321&lt;1),"FEHLER: Stückzahl fehlt",IF(NOT(ISNUMBER($H$4)),"FEHLER: Maschine fehlt/unbekannt",IF(Q321&gt;$H$7,"FEHLER: Stange länger als Maschine zulässt",IF($F321+$H$6&gt;T321,"FEHLER: Teil länger als Nutzlänge",IF(U321="nein","WARNUNG: kein gültiger Materialpreis",IF($H321="","HINWEIS: Schneidweg fehlt",IF(V321="","HINWEIS: keine Schneiddaten",IF(AND($AF321&lt;&gt;"",$AG321=""),"HINWEIS: Gewinde-Vorschlag prüfen","OK")))))))))))))</f>
        <v/>
      </c>
      <c r="X321" s="18" t="str">
        <f aca="false">IF(OR(O321="",$G321=""),"",O321*$G321)</f>
        <v/>
      </c>
      <c r="Y321" s="10"/>
      <c r="Z321" s="21"/>
      <c r="AA321" s="10"/>
      <c r="AB321" s="21"/>
      <c r="AC321" s="21"/>
      <c r="AD321" s="21"/>
      <c r="AE321" s="10"/>
      <c r="AF321" s="10"/>
      <c r="AG321" s="10"/>
      <c r="AH321" s="22"/>
      <c r="AI321" s="21"/>
      <c r="AJ321" s="22"/>
      <c r="AK321" s="21"/>
      <c r="AL321" s="22"/>
      <c r="AM321" s="21"/>
    </row>
    <row r="322" customFormat="false" ht="15" hidden="false" customHeight="false" outlineLevel="0" collapsed="false">
      <c r="A322" s="10"/>
      <c r="B322" s="10"/>
      <c r="C322" s="10"/>
      <c r="D322" s="10"/>
      <c r="E322" s="10"/>
      <c r="F322" s="21"/>
      <c r="G322" s="19"/>
      <c r="H322" s="21"/>
      <c r="I322" s="22"/>
      <c r="J322" s="19"/>
      <c r="K322" s="23" t="str">
        <f aca="false">IF($D322="","",IFERROR(INDEX(Profile!$B$5:$B$304,MATCH($D322,lst_Profil,0)),""))</f>
        <v/>
      </c>
      <c r="L322" s="13" t="str">
        <f aca="false">IF($D322="","",IFERROR(INDEX(Profile!$K$5:$K$304,MATCH($D322,lst_Profil,0))+0,""))</f>
        <v/>
      </c>
      <c r="M322" s="24" t="str">
        <f aca="false">IF($D322="","",IFERROR(INDEX(Profile!$E$5:$E$304,MATCH($D322,lst_Profil,0))+0,""))</f>
        <v/>
      </c>
      <c r="N322" s="25" t="str">
        <f aca="false">IF(OR(L322="",$E322=""),"",IFERROR(L322*INDEX(Werkstoffe!$E$5:$E$304,MATCH($E322,lst_Werkstoff,0))/1000,""))</f>
        <v/>
      </c>
      <c r="O322" s="25" t="str">
        <f aca="false">IF(OR(N322="",$F322=""),"",N322*$F322/1000)</f>
        <v/>
      </c>
      <c r="P322" s="16" t="str">
        <f aca="false">IF(OR($F322="",$G322=""),"",$F322*$G322)</f>
        <v/>
      </c>
      <c r="Q322" s="16" t="str">
        <f aca="false">IF($D322="","",IF($J322&lt;&gt;"",$J322,$C$9))</f>
        <v/>
      </c>
      <c r="R322" s="12" t="str">
        <f aca="false">IF($D322="","",IFERROR(IF(INDEX(Profile!$G$5:$G$304,MATCH($D322,lst_Profil,0))&lt;&gt;"",INDEX(Profile!$G$5:$G$304,MATCH($D322,lst_Profil,0)),$H$4),$H$4))</f>
        <v/>
      </c>
      <c r="S322" s="12" t="str">
        <f aca="false">IF($D322="","",IFERROR(IF(INDEX(Profile!$H$5:$H$304,MATCH($D322,lst_Profil,0))&lt;&gt;"",INDEX(Profile!$H$5:$H$304,MATCH($D322,lst_Profil,0)),$H$5),$H$5))</f>
        <v/>
      </c>
      <c r="T322" s="16" t="str">
        <f aca="false">IF(OR(Q322="",NOT(ISNUMBER(R322)),NOT(ISNUMBER(S322))),"",Q322-R322-S322)</f>
        <v/>
      </c>
      <c r="U322" s="26" t="str">
        <f aca="false">IF(OR($D322="",$E322=""),"",IF(COUNTIFS(Preise!$A$5:$A$304,$D322,Preise!$B$5:$B$304,$E322,Preise!$I$5:$I$304,"OK")&gt;0,"ja","nein"))</f>
        <v/>
      </c>
      <c r="V322" s="15" t="str">
        <f aca="false">IF(OR(M322="",$E322="",$C$8=""),"",IF(_xlfn.MINIFS(Schneiddaten!$C$5:$C$304,Schneiddaten!$A$5:$A$304,$C$8,Schneiddaten!$B$5:$B$304,$E322,Schneiddaten!$C$5:$C$304,"&gt;="&amp;M322)=0,"",SUMIFS(Schneiddaten!$D$5:$D$304,Schneiddaten!$A$5:$A$304,$C$8,Schneiddaten!$B$5:$B$304,$E322,Schneiddaten!$C$5:$C$304,_xlfn.MINIFS(Schneiddaten!$C$5:$C$304,Schneiddaten!$A$5:$A$304,$C$8,Schneiddaten!$B$5:$B$304,$E322,Schneiddaten!$C$5:$C$304,"&gt;="&amp;M322))))</f>
        <v/>
      </c>
      <c r="W322" s="26" t="str">
        <f aca="false">IF(AND($D322="",$E322="",$F322="",$G322=""),"",IF(ISNA(MATCH($D322,lst_Profil,0)),"FEHLER: Profil unbekannt",IF(ISNA(MATCH($E322,lst_Werkstoff,0)),"FEHLER: Werkstoff unbekannt",IF(NOT(ISNUMBER(L322)),"FEHLER: Querschnitt fehlt (Profil)",IF(OR($F322="",$F322&lt;=0),"FEHLER: Teilelänge fehlt",IF(OR($G322="",$G322&lt;1),"FEHLER: Stückzahl fehlt",IF(NOT(ISNUMBER($H$4)),"FEHLER: Maschine fehlt/unbekannt",IF(Q322&gt;$H$7,"FEHLER: Stange länger als Maschine zulässt",IF($F322+$H$6&gt;T322,"FEHLER: Teil länger als Nutzlänge",IF(U322="nein","WARNUNG: kein gültiger Materialpreis",IF($H322="","HINWEIS: Schneidweg fehlt",IF(V322="","HINWEIS: keine Schneiddaten",IF(AND($AF322&lt;&gt;"",$AG322=""),"HINWEIS: Gewinde-Vorschlag prüfen","OK")))))))))))))</f>
        <v/>
      </c>
      <c r="X322" s="18" t="str">
        <f aca="false">IF(OR(O322="",$G322=""),"",O322*$G322)</f>
        <v/>
      </c>
      <c r="Y322" s="10"/>
      <c r="Z322" s="21"/>
      <c r="AA322" s="10"/>
      <c r="AB322" s="21"/>
      <c r="AC322" s="21"/>
      <c r="AD322" s="21"/>
      <c r="AE322" s="10"/>
      <c r="AF322" s="10"/>
      <c r="AG322" s="10"/>
      <c r="AH322" s="22"/>
      <c r="AI322" s="21"/>
      <c r="AJ322" s="22"/>
      <c r="AK322" s="21"/>
      <c r="AL322" s="22"/>
      <c r="AM322" s="21"/>
    </row>
    <row r="323" customFormat="false" ht="15" hidden="false" customHeight="false" outlineLevel="0" collapsed="false">
      <c r="A323" s="10"/>
      <c r="B323" s="10"/>
      <c r="C323" s="10"/>
      <c r="D323" s="10"/>
      <c r="E323" s="10"/>
      <c r="F323" s="21"/>
      <c r="G323" s="19"/>
      <c r="H323" s="21"/>
      <c r="I323" s="22"/>
      <c r="J323" s="19"/>
      <c r="K323" s="23" t="str">
        <f aca="false">IF($D323="","",IFERROR(INDEX(Profile!$B$5:$B$304,MATCH($D323,lst_Profil,0)),""))</f>
        <v/>
      </c>
      <c r="L323" s="13" t="str">
        <f aca="false">IF($D323="","",IFERROR(INDEX(Profile!$K$5:$K$304,MATCH($D323,lst_Profil,0))+0,""))</f>
        <v/>
      </c>
      <c r="M323" s="24" t="str">
        <f aca="false">IF($D323="","",IFERROR(INDEX(Profile!$E$5:$E$304,MATCH($D323,lst_Profil,0))+0,""))</f>
        <v/>
      </c>
      <c r="N323" s="25" t="str">
        <f aca="false">IF(OR(L323="",$E323=""),"",IFERROR(L323*INDEX(Werkstoffe!$E$5:$E$304,MATCH($E323,lst_Werkstoff,0))/1000,""))</f>
        <v/>
      </c>
      <c r="O323" s="25" t="str">
        <f aca="false">IF(OR(N323="",$F323=""),"",N323*$F323/1000)</f>
        <v/>
      </c>
      <c r="P323" s="16" t="str">
        <f aca="false">IF(OR($F323="",$G323=""),"",$F323*$G323)</f>
        <v/>
      </c>
      <c r="Q323" s="16" t="str">
        <f aca="false">IF($D323="","",IF($J323&lt;&gt;"",$J323,$C$9))</f>
        <v/>
      </c>
      <c r="R323" s="12" t="str">
        <f aca="false">IF($D323="","",IFERROR(IF(INDEX(Profile!$G$5:$G$304,MATCH($D323,lst_Profil,0))&lt;&gt;"",INDEX(Profile!$G$5:$G$304,MATCH($D323,lst_Profil,0)),$H$4),$H$4))</f>
        <v/>
      </c>
      <c r="S323" s="12" t="str">
        <f aca="false">IF($D323="","",IFERROR(IF(INDEX(Profile!$H$5:$H$304,MATCH($D323,lst_Profil,0))&lt;&gt;"",INDEX(Profile!$H$5:$H$304,MATCH($D323,lst_Profil,0)),$H$5),$H$5))</f>
        <v/>
      </c>
      <c r="T323" s="16" t="str">
        <f aca="false">IF(OR(Q323="",NOT(ISNUMBER(R323)),NOT(ISNUMBER(S323))),"",Q323-R323-S323)</f>
        <v/>
      </c>
      <c r="U323" s="26" t="str">
        <f aca="false">IF(OR($D323="",$E323=""),"",IF(COUNTIFS(Preise!$A$5:$A$304,$D323,Preise!$B$5:$B$304,$E323,Preise!$I$5:$I$304,"OK")&gt;0,"ja","nein"))</f>
        <v/>
      </c>
      <c r="V323" s="15" t="str">
        <f aca="false">IF(OR(M323="",$E323="",$C$8=""),"",IF(_xlfn.MINIFS(Schneiddaten!$C$5:$C$304,Schneiddaten!$A$5:$A$304,$C$8,Schneiddaten!$B$5:$B$304,$E323,Schneiddaten!$C$5:$C$304,"&gt;="&amp;M323)=0,"",SUMIFS(Schneiddaten!$D$5:$D$304,Schneiddaten!$A$5:$A$304,$C$8,Schneiddaten!$B$5:$B$304,$E323,Schneiddaten!$C$5:$C$304,_xlfn.MINIFS(Schneiddaten!$C$5:$C$304,Schneiddaten!$A$5:$A$304,$C$8,Schneiddaten!$B$5:$B$304,$E323,Schneiddaten!$C$5:$C$304,"&gt;="&amp;M323))))</f>
        <v/>
      </c>
      <c r="W323" s="26" t="str">
        <f aca="false">IF(AND($D323="",$E323="",$F323="",$G323=""),"",IF(ISNA(MATCH($D323,lst_Profil,0)),"FEHLER: Profil unbekannt",IF(ISNA(MATCH($E323,lst_Werkstoff,0)),"FEHLER: Werkstoff unbekannt",IF(NOT(ISNUMBER(L323)),"FEHLER: Querschnitt fehlt (Profil)",IF(OR($F323="",$F323&lt;=0),"FEHLER: Teilelänge fehlt",IF(OR($G323="",$G323&lt;1),"FEHLER: Stückzahl fehlt",IF(NOT(ISNUMBER($H$4)),"FEHLER: Maschine fehlt/unbekannt",IF(Q323&gt;$H$7,"FEHLER: Stange länger als Maschine zulässt",IF($F323+$H$6&gt;T323,"FEHLER: Teil länger als Nutzlänge",IF(U323="nein","WARNUNG: kein gültiger Materialpreis",IF($H323="","HINWEIS: Schneidweg fehlt",IF(V323="","HINWEIS: keine Schneiddaten",IF(AND($AF323&lt;&gt;"",$AG323=""),"HINWEIS: Gewinde-Vorschlag prüfen","OK")))))))))))))</f>
        <v/>
      </c>
      <c r="X323" s="18" t="str">
        <f aca="false">IF(OR(O323="",$G323=""),"",O323*$G323)</f>
        <v/>
      </c>
      <c r="Y323" s="10"/>
      <c r="Z323" s="21"/>
      <c r="AA323" s="10"/>
      <c r="AB323" s="21"/>
      <c r="AC323" s="21"/>
      <c r="AD323" s="21"/>
      <c r="AE323" s="10"/>
      <c r="AF323" s="10"/>
      <c r="AG323" s="10"/>
      <c r="AH323" s="22"/>
      <c r="AI323" s="21"/>
      <c r="AJ323" s="22"/>
      <c r="AK323" s="21"/>
      <c r="AL323" s="22"/>
      <c r="AM323" s="21"/>
    </row>
    <row r="324" customFormat="false" ht="15" hidden="false" customHeight="false" outlineLevel="0" collapsed="false">
      <c r="A324" s="10"/>
      <c r="B324" s="10"/>
      <c r="C324" s="10"/>
      <c r="D324" s="10"/>
      <c r="E324" s="10"/>
      <c r="F324" s="21"/>
      <c r="G324" s="19"/>
      <c r="H324" s="21"/>
      <c r="I324" s="22"/>
      <c r="J324" s="19"/>
      <c r="K324" s="23" t="str">
        <f aca="false">IF($D324="","",IFERROR(INDEX(Profile!$B$5:$B$304,MATCH($D324,lst_Profil,0)),""))</f>
        <v/>
      </c>
      <c r="L324" s="13" t="str">
        <f aca="false">IF($D324="","",IFERROR(INDEX(Profile!$K$5:$K$304,MATCH($D324,lst_Profil,0))+0,""))</f>
        <v/>
      </c>
      <c r="M324" s="24" t="str">
        <f aca="false">IF($D324="","",IFERROR(INDEX(Profile!$E$5:$E$304,MATCH($D324,lst_Profil,0))+0,""))</f>
        <v/>
      </c>
      <c r="N324" s="25" t="str">
        <f aca="false">IF(OR(L324="",$E324=""),"",IFERROR(L324*INDEX(Werkstoffe!$E$5:$E$304,MATCH($E324,lst_Werkstoff,0))/1000,""))</f>
        <v/>
      </c>
      <c r="O324" s="25" t="str">
        <f aca="false">IF(OR(N324="",$F324=""),"",N324*$F324/1000)</f>
        <v/>
      </c>
      <c r="P324" s="16" t="str">
        <f aca="false">IF(OR($F324="",$G324=""),"",$F324*$G324)</f>
        <v/>
      </c>
      <c r="Q324" s="16" t="str">
        <f aca="false">IF($D324="","",IF($J324&lt;&gt;"",$J324,$C$9))</f>
        <v/>
      </c>
      <c r="R324" s="12" t="str">
        <f aca="false">IF($D324="","",IFERROR(IF(INDEX(Profile!$G$5:$G$304,MATCH($D324,lst_Profil,0))&lt;&gt;"",INDEX(Profile!$G$5:$G$304,MATCH($D324,lst_Profil,0)),$H$4),$H$4))</f>
        <v/>
      </c>
      <c r="S324" s="12" t="str">
        <f aca="false">IF($D324="","",IFERROR(IF(INDEX(Profile!$H$5:$H$304,MATCH($D324,lst_Profil,0))&lt;&gt;"",INDEX(Profile!$H$5:$H$304,MATCH($D324,lst_Profil,0)),$H$5),$H$5))</f>
        <v/>
      </c>
      <c r="T324" s="16" t="str">
        <f aca="false">IF(OR(Q324="",NOT(ISNUMBER(R324)),NOT(ISNUMBER(S324))),"",Q324-R324-S324)</f>
        <v/>
      </c>
      <c r="U324" s="26" t="str">
        <f aca="false">IF(OR($D324="",$E324=""),"",IF(COUNTIFS(Preise!$A$5:$A$304,$D324,Preise!$B$5:$B$304,$E324,Preise!$I$5:$I$304,"OK")&gt;0,"ja","nein"))</f>
        <v/>
      </c>
      <c r="V324" s="15" t="str">
        <f aca="false">IF(OR(M324="",$E324="",$C$8=""),"",IF(_xlfn.MINIFS(Schneiddaten!$C$5:$C$304,Schneiddaten!$A$5:$A$304,$C$8,Schneiddaten!$B$5:$B$304,$E324,Schneiddaten!$C$5:$C$304,"&gt;="&amp;M324)=0,"",SUMIFS(Schneiddaten!$D$5:$D$304,Schneiddaten!$A$5:$A$304,$C$8,Schneiddaten!$B$5:$B$304,$E324,Schneiddaten!$C$5:$C$304,_xlfn.MINIFS(Schneiddaten!$C$5:$C$304,Schneiddaten!$A$5:$A$304,$C$8,Schneiddaten!$B$5:$B$304,$E324,Schneiddaten!$C$5:$C$304,"&gt;="&amp;M324))))</f>
        <v/>
      </c>
      <c r="W324" s="26" t="str">
        <f aca="false">IF(AND($D324="",$E324="",$F324="",$G324=""),"",IF(ISNA(MATCH($D324,lst_Profil,0)),"FEHLER: Profil unbekannt",IF(ISNA(MATCH($E324,lst_Werkstoff,0)),"FEHLER: Werkstoff unbekannt",IF(NOT(ISNUMBER(L324)),"FEHLER: Querschnitt fehlt (Profil)",IF(OR($F324="",$F324&lt;=0),"FEHLER: Teilelänge fehlt",IF(OR($G324="",$G324&lt;1),"FEHLER: Stückzahl fehlt",IF(NOT(ISNUMBER($H$4)),"FEHLER: Maschine fehlt/unbekannt",IF(Q324&gt;$H$7,"FEHLER: Stange länger als Maschine zulässt",IF($F324+$H$6&gt;T324,"FEHLER: Teil länger als Nutzlänge",IF(U324="nein","WARNUNG: kein gültiger Materialpreis",IF($H324="","HINWEIS: Schneidweg fehlt",IF(V324="","HINWEIS: keine Schneiddaten",IF(AND($AF324&lt;&gt;"",$AG324=""),"HINWEIS: Gewinde-Vorschlag prüfen","OK")))))))))))))</f>
        <v/>
      </c>
      <c r="X324" s="18" t="str">
        <f aca="false">IF(OR(O324="",$G324=""),"",O324*$G324)</f>
        <v/>
      </c>
      <c r="Y324" s="10"/>
      <c r="Z324" s="21"/>
      <c r="AA324" s="10"/>
      <c r="AB324" s="21"/>
      <c r="AC324" s="21"/>
      <c r="AD324" s="21"/>
      <c r="AE324" s="10"/>
      <c r="AF324" s="10"/>
      <c r="AG324" s="10"/>
      <c r="AH324" s="22"/>
      <c r="AI324" s="21"/>
      <c r="AJ324" s="22"/>
      <c r="AK324" s="21"/>
      <c r="AL324" s="22"/>
      <c r="AM324" s="21"/>
    </row>
    <row r="325" customFormat="false" ht="15" hidden="false" customHeight="false" outlineLevel="0" collapsed="false">
      <c r="A325" s="10"/>
      <c r="B325" s="10"/>
      <c r="C325" s="10"/>
      <c r="D325" s="10"/>
      <c r="E325" s="10"/>
      <c r="F325" s="21"/>
      <c r="G325" s="19"/>
      <c r="H325" s="21"/>
      <c r="I325" s="22"/>
      <c r="J325" s="19"/>
      <c r="K325" s="23" t="str">
        <f aca="false">IF($D325="","",IFERROR(INDEX(Profile!$B$5:$B$304,MATCH($D325,lst_Profil,0)),""))</f>
        <v/>
      </c>
      <c r="L325" s="13" t="str">
        <f aca="false">IF($D325="","",IFERROR(INDEX(Profile!$K$5:$K$304,MATCH($D325,lst_Profil,0))+0,""))</f>
        <v/>
      </c>
      <c r="M325" s="24" t="str">
        <f aca="false">IF($D325="","",IFERROR(INDEX(Profile!$E$5:$E$304,MATCH($D325,lst_Profil,0))+0,""))</f>
        <v/>
      </c>
      <c r="N325" s="25" t="str">
        <f aca="false">IF(OR(L325="",$E325=""),"",IFERROR(L325*INDEX(Werkstoffe!$E$5:$E$304,MATCH($E325,lst_Werkstoff,0))/1000,""))</f>
        <v/>
      </c>
      <c r="O325" s="25" t="str">
        <f aca="false">IF(OR(N325="",$F325=""),"",N325*$F325/1000)</f>
        <v/>
      </c>
      <c r="P325" s="16" t="str">
        <f aca="false">IF(OR($F325="",$G325=""),"",$F325*$G325)</f>
        <v/>
      </c>
      <c r="Q325" s="16" t="str">
        <f aca="false">IF($D325="","",IF($J325&lt;&gt;"",$J325,$C$9))</f>
        <v/>
      </c>
      <c r="R325" s="12" t="str">
        <f aca="false">IF($D325="","",IFERROR(IF(INDEX(Profile!$G$5:$G$304,MATCH($D325,lst_Profil,0))&lt;&gt;"",INDEX(Profile!$G$5:$G$304,MATCH($D325,lst_Profil,0)),$H$4),$H$4))</f>
        <v/>
      </c>
      <c r="S325" s="12" t="str">
        <f aca="false">IF($D325="","",IFERROR(IF(INDEX(Profile!$H$5:$H$304,MATCH($D325,lst_Profil,0))&lt;&gt;"",INDEX(Profile!$H$5:$H$304,MATCH($D325,lst_Profil,0)),$H$5),$H$5))</f>
        <v/>
      </c>
      <c r="T325" s="16" t="str">
        <f aca="false">IF(OR(Q325="",NOT(ISNUMBER(R325)),NOT(ISNUMBER(S325))),"",Q325-R325-S325)</f>
        <v/>
      </c>
      <c r="U325" s="26" t="str">
        <f aca="false">IF(OR($D325="",$E325=""),"",IF(COUNTIFS(Preise!$A$5:$A$304,$D325,Preise!$B$5:$B$304,$E325,Preise!$I$5:$I$304,"OK")&gt;0,"ja","nein"))</f>
        <v/>
      </c>
      <c r="V325" s="15" t="str">
        <f aca="false">IF(OR(M325="",$E325="",$C$8=""),"",IF(_xlfn.MINIFS(Schneiddaten!$C$5:$C$304,Schneiddaten!$A$5:$A$304,$C$8,Schneiddaten!$B$5:$B$304,$E325,Schneiddaten!$C$5:$C$304,"&gt;="&amp;M325)=0,"",SUMIFS(Schneiddaten!$D$5:$D$304,Schneiddaten!$A$5:$A$304,$C$8,Schneiddaten!$B$5:$B$304,$E325,Schneiddaten!$C$5:$C$304,_xlfn.MINIFS(Schneiddaten!$C$5:$C$304,Schneiddaten!$A$5:$A$304,$C$8,Schneiddaten!$B$5:$B$304,$E325,Schneiddaten!$C$5:$C$304,"&gt;="&amp;M325))))</f>
        <v/>
      </c>
      <c r="W325" s="26" t="str">
        <f aca="false">IF(AND($D325="",$E325="",$F325="",$G325=""),"",IF(ISNA(MATCH($D325,lst_Profil,0)),"FEHLER: Profil unbekannt",IF(ISNA(MATCH($E325,lst_Werkstoff,0)),"FEHLER: Werkstoff unbekannt",IF(NOT(ISNUMBER(L325)),"FEHLER: Querschnitt fehlt (Profil)",IF(OR($F325="",$F325&lt;=0),"FEHLER: Teilelänge fehlt",IF(OR($G325="",$G325&lt;1),"FEHLER: Stückzahl fehlt",IF(NOT(ISNUMBER($H$4)),"FEHLER: Maschine fehlt/unbekannt",IF(Q325&gt;$H$7,"FEHLER: Stange länger als Maschine zulässt",IF($F325+$H$6&gt;T325,"FEHLER: Teil länger als Nutzlänge",IF(U325="nein","WARNUNG: kein gültiger Materialpreis",IF($H325="","HINWEIS: Schneidweg fehlt",IF(V325="","HINWEIS: keine Schneiddaten",IF(AND($AF325&lt;&gt;"",$AG325=""),"HINWEIS: Gewinde-Vorschlag prüfen","OK")))))))))))))</f>
        <v/>
      </c>
      <c r="X325" s="18" t="str">
        <f aca="false">IF(OR(O325="",$G325=""),"",O325*$G325)</f>
        <v/>
      </c>
      <c r="Y325" s="10"/>
      <c r="Z325" s="21"/>
      <c r="AA325" s="10"/>
      <c r="AB325" s="21"/>
      <c r="AC325" s="21"/>
      <c r="AD325" s="21"/>
      <c r="AE325" s="10"/>
      <c r="AF325" s="10"/>
      <c r="AG325" s="10"/>
      <c r="AH325" s="22"/>
      <c r="AI325" s="21"/>
      <c r="AJ325" s="22"/>
      <c r="AK325" s="21"/>
      <c r="AL325" s="22"/>
      <c r="AM325" s="21"/>
    </row>
    <row r="326" customFormat="false" ht="15" hidden="false" customHeight="false" outlineLevel="0" collapsed="false">
      <c r="A326" s="10"/>
      <c r="B326" s="10"/>
      <c r="C326" s="10"/>
      <c r="D326" s="10"/>
      <c r="E326" s="10"/>
      <c r="F326" s="21"/>
      <c r="G326" s="19"/>
      <c r="H326" s="21"/>
      <c r="I326" s="22"/>
      <c r="J326" s="19"/>
      <c r="K326" s="23" t="str">
        <f aca="false">IF($D326="","",IFERROR(INDEX(Profile!$B$5:$B$304,MATCH($D326,lst_Profil,0)),""))</f>
        <v/>
      </c>
      <c r="L326" s="13" t="str">
        <f aca="false">IF($D326="","",IFERROR(INDEX(Profile!$K$5:$K$304,MATCH($D326,lst_Profil,0))+0,""))</f>
        <v/>
      </c>
      <c r="M326" s="24" t="str">
        <f aca="false">IF($D326="","",IFERROR(INDEX(Profile!$E$5:$E$304,MATCH($D326,lst_Profil,0))+0,""))</f>
        <v/>
      </c>
      <c r="N326" s="25" t="str">
        <f aca="false">IF(OR(L326="",$E326=""),"",IFERROR(L326*INDEX(Werkstoffe!$E$5:$E$304,MATCH($E326,lst_Werkstoff,0))/1000,""))</f>
        <v/>
      </c>
      <c r="O326" s="25" t="str">
        <f aca="false">IF(OR(N326="",$F326=""),"",N326*$F326/1000)</f>
        <v/>
      </c>
      <c r="P326" s="16" t="str">
        <f aca="false">IF(OR($F326="",$G326=""),"",$F326*$G326)</f>
        <v/>
      </c>
      <c r="Q326" s="16" t="str">
        <f aca="false">IF($D326="","",IF($J326&lt;&gt;"",$J326,$C$9))</f>
        <v/>
      </c>
      <c r="R326" s="12" t="str">
        <f aca="false">IF($D326="","",IFERROR(IF(INDEX(Profile!$G$5:$G$304,MATCH($D326,lst_Profil,0))&lt;&gt;"",INDEX(Profile!$G$5:$G$304,MATCH($D326,lst_Profil,0)),$H$4),$H$4))</f>
        <v/>
      </c>
      <c r="S326" s="12" t="str">
        <f aca="false">IF($D326="","",IFERROR(IF(INDEX(Profile!$H$5:$H$304,MATCH($D326,lst_Profil,0))&lt;&gt;"",INDEX(Profile!$H$5:$H$304,MATCH($D326,lst_Profil,0)),$H$5),$H$5))</f>
        <v/>
      </c>
      <c r="T326" s="16" t="str">
        <f aca="false">IF(OR(Q326="",NOT(ISNUMBER(R326)),NOT(ISNUMBER(S326))),"",Q326-R326-S326)</f>
        <v/>
      </c>
      <c r="U326" s="26" t="str">
        <f aca="false">IF(OR($D326="",$E326=""),"",IF(COUNTIFS(Preise!$A$5:$A$304,$D326,Preise!$B$5:$B$304,$E326,Preise!$I$5:$I$304,"OK")&gt;0,"ja","nein"))</f>
        <v/>
      </c>
      <c r="V326" s="15" t="str">
        <f aca="false">IF(OR(M326="",$E326="",$C$8=""),"",IF(_xlfn.MINIFS(Schneiddaten!$C$5:$C$304,Schneiddaten!$A$5:$A$304,$C$8,Schneiddaten!$B$5:$B$304,$E326,Schneiddaten!$C$5:$C$304,"&gt;="&amp;M326)=0,"",SUMIFS(Schneiddaten!$D$5:$D$304,Schneiddaten!$A$5:$A$304,$C$8,Schneiddaten!$B$5:$B$304,$E326,Schneiddaten!$C$5:$C$304,_xlfn.MINIFS(Schneiddaten!$C$5:$C$304,Schneiddaten!$A$5:$A$304,$C$8,Schneiddaten!$B$5:$B$304,$E326,Schneiddaten!$C$5:$C$304,"&gt;="&amp;M326))))</f>
        <v/>
      </c>
      <c r="W326" s="26" t="str">
        <f aca="false">IF(AND($D326="",$E326="",$F326="",$G326=""),"",IF(ISNA(MATCH($D326,lst_Profil,0)),"FEHLER: Profil unbekannt",IF(ISNA(MATCH($E326,lst_Werkstoff,0)),"FEHLER: Werkstoff unbekannt",IF(NOT(ISNUMBER(L326)),"FEHLER: Querschnitt fehlt (Profil)",IF(OR($F326="",$F326&lt;=0),"FEHLER: Teilelänge fehlt",IF(OR($G326="",$G326&lt;1),"FEHLER: Stückzahl fehlt",IF(NOT(ISNUMBER($H$4)),"FEHLER: Maschine fehlt/unbekannt",IF(Q326&gt;$H$7,"FEHLER: Stange länger als Maschine zulässt",IF($F326+$H$6&gt;T326,"FEHLER: Teil länger als Nutzlänge",IF(U326="nein","WARNUNG: kein gültiger Materialpreis",IF($H326="","HINWEIS: Schneidweg fehlt",IF(V326="","HINWEIS: keine Schneiddaten",IF(AND($AF326&lt;&gt;"",$AG326=""),"HINWEIS: Gewinde-Vorschlag prüfen","OK")))))))))))))</f>
        <v/>
      </c>
      <c r="X326" s="18" t="str">
        <f aca="false">IF(OR(O326="",$G326=""),"",O326*$G326)</f>
        <v/>
      </c>
      <c r="Y326" s="10"/>
      <c r="Z326" s="21"/>
      <c r="AA326" s="10"/>
      <c r="AB326" s="21"/>
      <c r="AC326" s="21"/>
      <c r="AD326" s="21"/>
      <c r="AE326" s="10"/>
      <c r="AF326" s="10"/>
      <c r="AG326" s="10"/>
      <c r="AH326" s="22"/>
      <c r="AI326" s="21"/>
      <c r="AJ326" s="22"/>
      <c r="AK326" s="21"/>
      <c r="AL326" s="22"/>
      <c r="AM326" s="21"/>
    </row>
    <row r="327" customFormat="false" ht="15" hidden="false" customHeight="false" outlineLevel="0" collapsed="false">
      <c r="A327" s="10"/>
      <c r="B327" s="10"/>
      <c r="C327" s="10"/>
      <c r="D327" s="10"/>
      <c r="E327" s="10"/>
      <c r="F327" s="21"/>
      <c r="G327" s="19"/>
      <c r="H327" s="21"/>
      <c r="I327" s="22"/>
      <c r="J327" s="19"/>
      <c r="K327" s="23" t="str">
        <f aca="false">IF($D327="","",IFERROR(INDEX(Profile!$B$5:$B$304,MATCH($D327,lst_Profil,0)),""))</f>
        <v/>
      </c>
      <c r="L327" s="13" t="str">
        <f aca="false">IF($D327="","",IFERROR(INDEX(Profile!$K$5:$K$304,MATCH($D327,lst_Profil,0))+0,""))</f>
        <v/>
      </c>
      <c r="M327" s="24" t="str">
        <f aca="false">IF($D327="","",IFERROR(INDEX(Profile!$E$5:$E$304,MATCH($D327,lst_Profil,0))+0,""))</f>
        <v/>
      </c>
      <c r="N327" s="25" t="str">
        <f aca="false">IF(OR(L327="",$E327=""),"",IFERROR(L327*INDEX(Werkstoffe!$E$5:$E$304,MATCH($E327,lst_Werkstoff,0))/1000,""))</f>
        <v/>
      </c>
      <c r="O327" s="25" t="str">
        <f aca="false">IF(OR(N327="",$F327=""),"",N327*$F327/1000)</f>
        <v/>
      </c>
      <c r="P327" s="16" t="str">
        <f aca="false">IF(OR($F327="",$G327=""),"",$F327*$G327)</f>
        <v/>
      </c>
      <c r="Q327" s="16" t="str">
        <f aca="false">IF($D327="","",IF($J327&lt;&gt;"",$J327,$C$9))</f>
        <v/>
      </c>
      <c r="R327" s="12" t="str">
        <f aca="false">IF($D327="","",IFERROR(IF(INDEX(Profile!$G$5:$G$304,MATCH($D327,lst_Profil,0))&lt;&gt;"",INDEX(Profile!$G$5:$G$304,MATCH($D327,lst_Profil,0)),$H$4),$H$4))</f>
        <v/>
      </c>
      <c r="S327" s="12" t="str">
        <f aca="false">IF($D327="","",IFERROR(IF(INDEX(Profile!$H$5:$H$304,MATCH($D327,lst_Profil,0))&lt;&gt;"",INDEX(Profile!$H$5:$H$304,MATCH($D327,lst_Profil,0)),$H$5),$H$5))</f>
        <v/>
      </c>
      <c r="T327" s="16" t="str">
        <f aca="false">IF(OR(Q327="",NOT(ISNUMBER(R327)),NOT(ISNUMBER(S327))),"",Q327-R327-S327)</f>
        <v/>
      </c>
      <c r="U327" s="26" t="str">
        <f aca="false">IF(OR($D327="",$E327=""),"",IF(COUNTIFS(Preise!$A$5:$A$304,$D327,Preise!$B$5:$B$304,$E327,Preise!$I$5:$I$304,"OK")&gt;0,"ja","nein"))</f>
        <v/>
      </c>
      <c r="V327" s="15" t="str">
        <f aca="false">IF(OR(M327="",$E327="",$C$8=""),"",IF(_xlfn.MINIFS(Schneiddaten!$C$5:$C$304,Schneiddaten!$A$5:$A$304,$C$8,Schneiddaten!$B$5:$B$304,$E327,Schneiddaten!$C$5:$C$304,"&gt;="&amp;M327)=0,"",SUMIFS(Schneiddaten!$D$5:$D$304,Schneiddaten!$A$5:$A$304,$C$8,Schneiddaten!$B$5:$B$304,$E327,Schneiddaten!$C$5:$C$304,_xlfn.MINIFS(Schneiddaten!$C$5:$C$304,Schneiddaten!$A$5:$A$304,$C$8,Schneiddaten!$B$5:$B$304,$E327,Schneiddaten!$C$5:$C$304,"&gt;="&amp;M327))))</f>
        <v/>
      </c>
      <c r="W327" s="26" t="str">
        <f aca="false">IF(AND($D327="",$E327="",$F327="",$G327=""),"",IF(ISNA(MATCH($D327,lst_Profil,0)),"FEHLER: Profil unbekannt",IF(ISNA(MATCH($E327,lst_Werkstoff,0)),"FEHLER: Werkstoff unbekannt",IF(NOT(ISNUMBER(L327)),"FEHLER: Querschnitt fehlt (Profil)",IF(OR($F327="",$F327&lt;=0),"FEHLER: Teilelänge fehlt",IF(OR($G327="",$G327&lt;1),"FEHLER: Stückzahl fehlt",IF(NOT(ISNUMBER($H$4)),"FEHLER: Maschine fehlt/unbekannt",IF(Q327&gt;$H$7,"FEHLER: Stange länger als Maschine zulässt",IF($F327+$H$6&gt;T327,"FEHLER: Teil länger als Nutzlänge",IF(U327="nein","WARNUNG: kein gültiger Materialpreis",IF($H327="","HINWEIS: Schneidweg fehlt",IF(V327="","HINWEIS: keine Schneiddaten",IF(AND($AF327&lt;&gt;"",$AG327=""),"HINWEIS: Gewinde-Vorschlag prüfen","OK")))))))))))))</f>
        <v/>
      </c>
      <c r="X327" s="18" t="str">
        <f aca="false">IF(OR(O327="",$G327=""),"",O327*$G327)</f>
        <v/>
      </c>
      <c r="Y327" s="10"/>
      <c r="Z327" s="21"/>
      <c r="AA327" s="10"/>
      <c r="AB327" s="21"/>
      <c r="AC327" s="21"/>
      <c r="AD327" s="21"/>
      <c r="AE327" s="10"/>
      <c r="AF327" s="10"/>
      <c r="AG327" s="10"/>
      <c r="AH327" s="22"/>
      <c r="AI327" s="21"/>
      <c r="AJ327" s="22"/>
      <c r="AK327" s="21"/>
      <c r="AL327" s="22"/>
      <c r="AM327" s="21"/>
    </row>
    <row r="328" customFormat="false" ht="15" hidden="false" customHeight="false" outlineLevel="0" collapsed="false">
      <c r="A328" s="10"/>
      <c r="B328" s="10"/>
      <c r="C328" s="10"/>
      <c r="D328" s="10"/>
      <c r="E328" s="10"/>
      <c r="F328" s="21"/>
      <c r="G328" s="19"/>
      <c r="H328" s="21"/>
      <c r="I328" s="22"/>
      <c r="J328" s="19"/>
      <c r="K328" s="23" t="str">
        <f aca="false">IF($D328="","",IFERROR(INDEX(Profile!$B$5:$B$304,MATCH($D328,lst_Profil,0)),""))</f>
        <v/>
      </c>
      <c r="L328" s="13" t="str">
        <f aca="false">IF($D328="","",IFERROR(INDEX(Profile!$K$5:$K$304,MATCH($D328,lst_Profil,0))+0,""))</f>
        <v/>
      </c>
      <c r="M328" s="24" t="str">
        <f aca="false">IF($D328="","",IFERROR(INDEX(Profile!$E$5:$E$304,MATCH($D328,lst_Profil,0))+0,""))</f>
        <v/>
      </c>
      <c r="N328" s="25" t="str">
        <f aca="false">IF(OR(L328="",$E328=""),"",IFERROR(L328*INDEX(Werkstoffe!$E$5:$E$304,MATCH($E328,lst_Werkstoff,0))/1000,""))</f>
        <v/>
      </c>
      <c r="O328" s="25" t="str">
        <f aca="false">IF(OR(N328="",$F328=""),"",N328*$F328/1000)</f>
        <v/>
      </c>
      <c r="P328" s="16" t="str">
        <f aca="false">IF(OR($F328="",$G328=""),"",$F328*$G328)</f>
        <v/>
      </c>
      <c r="Q328" s="16" t="str">
        <f aca="false">IF($D328="","",IF($J328&lt;&gt;"",$J328,$C$9))</f>
        <v/>
      </c>
      <c r="R328" s="12" t="str">
        <f aca="false">IF($D328="","",IFERROR(IF(INDEX(Profile!$G$5:$G$304,MATCH($D328,lst_Profil,0))&lt;&gt;"",INDEX(Profile!$G$5:$G$304,MATCH($D328,lst_Profil,0)),$H$4),$H$4))</f>
        <v/>
      </c>
      <c r="S328" s="12" t="str">
        <f aca="false">IF($D328="","",IFERROR(IF(INDEX(Profile!$H$5:$H$304,MATCH($D328,lst_Profil,0))&lt;&gt;"",INDEX(Profile!$H$5:$H$304,MATCH($D328,lst_Profil,0)),$H$5),$H$5))</f>
        <v/>
      </c>
      <c r="T328" s="16" t="str">
        <f aca="false">IF(OR(Q328="",NOT(ISNUMBER(R328)),NOT(ISNUMBER(S328))),"",Q328-R328-S328)</f>
        <v/>
      </c>
      <c r="U328" s="26" t="str">
        <f aca="false">IF(OR($D328="",$E328=""),"",IF(COUNTIFS(Preise!$A$5:$A$304,$D328,Preise!$B$5:$B$304,$E328,Preise!$I$5:$I$304,"OK")&gt;0,"ja","nein"))</f>
        <v/>
      </c>
      <c r="V328" s="15" t="str">
        <f aca="false">IF(OR(M328="",$E328="",$C$8=""),"",IF(_xlfn.MINIFS(Schneiddaten!$C$5:$C$304,Schneiddaten!$A$5:$A$304,$C$8,Schneiddaten!$B$5:$B$304,$E328,Schneiddaten!$C$5:$C$304,"&gt;="&amp;M328)=0,"",SUMIFS(Schneiddaten!$D$5:$D$304,Schneiddaten!$A$5:$A$304,$C$8,Schneiddaten!$B$5:$B$304,$E328,Schneiddaten!$C$5:$C$304,_xlfn.MINIFS(Schneiddaten!$C$5:$C$304,Schneiddaten!$A$5:$A$304,$C$8,Schneiddaten!$B$5:$B$304,$E328,Schneiddaten!$C$5:$C$304,"&gt;="&amp;M328))))</f>
        <v/>
      </c>
      <c r="W328" s="26" t="str">
        <f aca="false">IF(AND($D328="",$E328="",$F328="",$G328=""),"",IF(ISNA(MATCH($D328,lst_Profil,0)),"FEHLER: Profil unbekannt",IF(ISNA(MATCH($E328,lst_Werkstoff,0)),"FEHLER: Werkstoff unbekannt",IF(NOT(ISNUMBER(L328)),"FEHLER: Querschnitt fehlt (Profil)",IF(OR($F328="",$F328&lt;=0),"FEHLER: Teilelänge fehlt",IF(OR($G328="",$G328&lt;1),"FEHLER: Stückzahl fehlt",IF(NOT(ISNUMBER($H$4)),"FEHLER: Maschine fehlt/unbekannt",IF(Q328&gt;$H$7,"FEHLER: Stange länger als Maschine zulässt",IF($F328+$H$6&gt;T328,"FEHLER: Teil länger als Nutzlänge",IF(U328="nein","WARNUNG: kein gültiger Materialpreis",IF($H328="","HINWEIS: Schneidweg fehlt",IF(V328="","HINWEIS: keine Schneiddaten",IF(AND($AF328&lt;&gt;"",$AG328=""),"HINWEIS: Gewinde-Vorschlag prüfen","OK")))))))))))))</f>
        <v/>
      </c>
      <c r="X328" s="18" t="str">
        <f aca="false">IF(OR(O328="",$G328=""),"",O328*$G328)</f>
        <v/>
      </c>
      <c r="Y328" s="10"/>
      <c r="Z328" s="21"/>
      <c r="AA328" s="10"/>
      <c r="AB328" s="21"/>
      <c r="AC328" s="21"/>
      <c r="AD328" s="21"/>
      <c r="AE328" s="10"/>
      <c r="AF328" s="10"/>
      <c r="AG328" s="10"/>
      <c r="AH328" s="22"/>
      <c r="AI328" s="21"/>
      <c r="AJ328" s="22"/>
      <c r="AK328" s="21"/>
      <c r="AL328" s="22"/>
      <c r="AM328" s="21"/>
    </row>
    <row r="329" customFormat="false" ht="15" hidden="false" customHeight="false" outlineLevel="0" collapsed="false">
      <c r="A329" s="10"/>
      <c r="B329" s="10"/>
      <c r="C329" s="10"/>
      <c r="D329" s="10"/>
      <c r="E329" s="10"/>
      <c r="F329" s="21"/>
      <c r="G329" s="19"/>
      <c r="H329" s="21"/>
      <c r="I329" s="22"/>
      <c r="J329" s="19"/>
      <c r="K329" s="23" t="str">
        <f aca="false">IF($D329="","",IFERROR(INDEX(Profile!$B$5:$B$304,MATCH($D329,lst_Profil,0)),""))</f>
        <v/>
      </c>
      <c r="L329" s="13" t="str">
        <f aca="false">IF($D329="","",IFERROR(INDEX(Profile!$K$5:$K$304,MATCH($D329,lst_Profil,0))+0,""))</f>
        <v/>
      </c>
      <c r="M329" s="24" t="str">
        <f aca="false">IF($D329="","",IFERROR(INDEX(Profile!$E$5:$E$304,MATCH($D329,lst_Profil,0))+0,""))</f>
        <v/>
      </c>
      <c r="N329" s="25" t="str">
        <f aca="false">IF(OR(L329="",$E329=""),"",IFERROR(L329*INDEX(Werkstoffe!$E$5:$E$304,MATCH($E329,lst_Werkstoff,0))/1000,""))</f>
        <v/>
      </c>
      <c r="O329" s="25" t="str">
        <f aca="false">IF(OR(N329="",$F329=""),"",N329*$F329/1000)</f>
        <v/>
      </c>
      <c r="P329" s="16" t="str">
        <f aca="false">IF(OR($F329="",$G329=""),"",$F329*$G329)</f>
        <v/>
      </c>
      <c r="Q329" s="16" t="str">
        <f aca="false">IF($D329="","",IF($J329&lt;&gt;"",$J329,$C$9))</f>
        <v/>
      </c>
      <c r="R329" s="12" t="str">
        <f aca="false">IF($D329="","",IFERROR(IF(INDEX(Profile!$G$5:$G$304,MATCH($D329,lst_Profil,0))&lt;&gt;"",INDEX(Profile!$G$5:$G$304,MATCH($D329,lst_Profil,0)),$H$4),$H$4))</f>
        <v/>
      </c>
      <c r="S329" s="12" t="str">
        <f aca="false">IF($D329="","",IFERROR(IF(INDEX(Profile!$H$5:$H$304,MATCH($D329,lst_Profil,0))&lt;&gt;"",INDEX(Profile!$H$5:$H$304,MATCH($D329,lst_Profil,0)),$H$5),$H$5))</f>
        <v/>
      </c>
      <c r="T329" s="16" t="str">
        <f aca="false">IF(OR(Q329="",NOT(ISNUMBER(R329)),NOT(ISNUMBER(S329))),"",Q329-R329-S329)</f>
        <v/>
      </c>
      <c r="U329" s="26" t="str">
        <f aca="false">IF(OR($D329="",$E329=""),"",IF(COUNTIFS(Preise!$A$5:$A$304,$D329,Preise!$B$5:$B$304,$E329,Preise!$I$5:$I$304,"OK")&gt;0,"ja","nein"))</f>
        <v/>
      </c>
      <c r="V329" s="15" t="str">
        <f aca="false">IF(OR(M329="",$E329="",$C$8=""),"",IF(_xlfn.MINIFS(Schneiddaten!$C$5:$C$304,Schneiddaten!$A$5:$A$304,$C$8,Schneiddaten!$B$5:$B$304,$E329,Schneiddaten!$C$5:$C$304,"&gt;="&amp;M329)=0,"",SUMIFS(Schneiddaten!$D$5:$D$304,Schneiddaten!$A$5:$A$304,$C$8,Schneiddaten!$B$5:$B$304,$E329,Schneiddaten!$C$5:$C$304,_xlfn.MINIFS(Schneiddaten!$C$5:$C$304,Schneiddaten!$A$5:$A$304,$C$8,Schneiddaten!$B$5:$B$304,$E329,Schneiddaten!$C$5:$C$304,"&gt;="&amp;M329))))</f>
        <v/>
      </c>
      <c r="W329" s="26" t="str">
        <f aca="false">IF(AND($D329="",$E329="",$F329="",$G329=""),"",IF(ISNA(MATCH($D329,lst_Profil,0)),"FEHLER: Profil unbekannt",IF(ISNA(MATCH($E329,lst_Werkstoff,0)),"FEHLER: Werkstoff unbekannt",IF(NOT(ISNUMBER(L329)),"FEHLER: Querschnitt fehlt (Profil)",IF(OR($F329="",$F329&lt;=0),"FEHLER: Teilelänge fehlt",IF(OR($G329="",$G329&lt;1),"FEHLER: Stückzahl fehlt",IF(NOT(ISNUMBER($H$4)),"FEHLER: Maschine fehlt/unbekannt",IF(Q329&gt;$H$7,"FEHLER: Stange länger als Maschine zulässt",IF($F329+$H$6&gt;T329,"FEHLER: Teil länger als Nutzlänge",IF(U329="nein","WARNUNG: kein gültiger Materialpreis",IF($H329="","HINWEIS: Schneidweg fehlt",IF(V329="","HINWEIS: keine Schneiddaten",IF(AND($AF329&lt;&gt;"",$AG329=""),"HINWEIS: Gewinde-Vorschlag prüfen","OK")))))))))))))</f>
        <v/>
      </c>
      <c r="X329" s="18" t="str">
        <f aca="false">IF(OR(O329="",$G329=""),"",O329*$G329)</f>
        <v/>
      </c>
      <c r="Y329" s="10"/>
      <c r="Z329" s="21"/>
      <c r="AA329" s="10"/>
      <c r="AB329" s="21"/>
      <c r="AC329" s="21"/>
      <c r="AD329" s="21"/>
      <c r="AE329" s="10"/>
      <c r="AF329" s="10"/>
      <c r="AG329" s="10"/>
      <c r="AH329" s="22"/>
      <c r="AI329" s="21"/>
      <c r="AJ329" s="22"/>
      <c r="AK329" s="21"/>
      <c r="AL329" s="22"/>
      <c r="AM329" s="21"/>
    </row>
    <row r="330" customFormat="false" ht="15" hidden="false" customHeight="false" outlineLevel="0" collapsed="false">
      <c r="A330" s="10"/>
      <c r="B330" s="10"/>
      <c r="C330" s="10"/>
      <c r="D330" s="10"/>
      <c r="E330" s="10"/>
      <c r="F330" s="21"/>
      <c r="G330" s="19"/>
      <c r="H330" s="21"/>
      <c r="I330" s="22"/>
      <c r="J330" s="19"/>
      <c r="K330" s="23" t="str">
        <f aca="false">IF($D330="","",IFERROR(INDEX(Profile!$B$5:$B$304,MATCH($D330,lst_Profil,0)),""))</f>
        <v/>
      </c>
      <c r="L330" s="13" t="str">
        <f aca="false">IF($D330="","",IFERROR(INDEX(Profile!$K$5:$K$304,MATCH($D330,lst_Profil,0))+0,""))</f>
        <v/>
      </c>
      <c r="M330" s="24" t="str">
        <f aca="false">IF($D330="","",IFERROR(INDEX(Profile!$E$5:$E$304,MATCH($D330,lst_Profil,0))+0,""))</f>
        <v/>
      </c>
      <c r="N330" s="25" t="str">
        <f aca="false">IF(OR(L330="",$E330=""),"",IFERROR(L330*INDEX(Werkstoffe!$E$5:$E$304,MATCH($E330,lst_Werkstoff,0))/1000,""))</f>
        <v/>
      </c>
      <c r="O330" s="25" t="str">
        <f aca="false">IF(OR(N330="",$F330=""),"",N330*$F330/1000)</f>
        <v/>
      </c>
      <c r="P330" s="16" t="str">
        <f aca="false">IF(OR($F330="",$G330=""),"",$F330*$G330)</f>
        <v/>
      </c>
      <c r="Q330" s="16" t="str">
        <f aca="false">IF($D330="","",IF($J330&lt;&gt;"",$J330,$C$9))</f>
        <v/>
      </c>
      <c r="R330" s="12" t="str">
        <f aca="false">IF($D330="","",IFERROR(IF(INDEX(Profile!$G$5:$G$304,MATCH($D330,lst_Profil,0))&lt;&gt;"",INDEX(Profile!$G$5:$G$304,MATCH($D330,lst_Profil,0)),$H$4),$H$4))</f>
        <v/>
      </c>
      <c r="S330" s="12" t="str">
        <f aca="false">IF($D330="","",IFERROR(IF(INDEX(Profile!$H$5:$H$304,MATCH($D330,lst_Profil,0))&lt;&gt;"",INDEX(Profile!$H$5:$H$304,MATCH($D330,lst_Profil,0)),$H$5),$H$5))</f>
        <v/>
      </c>
      <c r="T330" s="16" t="str">
        <f aca="false">IF(OR(Q330="",NOT(ISNUMBER(R330)),NOT(ISNUMBER(S330))),"",Q330-R330-S330)</f>
        <v/>
      </c>
      <c r="U330" s="26" t="str">
        <f aca="false">IF(OR($D330="",$E330=""),"",IF(COUNTIFS(Preise!$A$5:$A$304,$D330,Preise!$B$5:$B$304,$E330,Preise!$I$5:$I$304,"OK")&gt;0,"ja","nein"))</f>
        <v/>
      </c>
      <c r="V330" s="15" t="str">
        <f aca="false">IF(OR(M330="",$E330="",$C$8=""),"",IF(_xlfn.MINIFS(Schneiddaten!$C$5:$C$304,Schneiddaten!$A$5:$A$304,$C$8,Schneiddaten!$B$5:$B$304,$E330,Schneiddaten!$C$5:$C$304,"&gt;="&amp;M330)=0,"",SUMIFS(Schneiddaten!$D$5:$D$304,Schneiddaten!$A$5:$A$304,$C$8,Schneiddaten!$B$5:$B$304,$E330,Schneiddaten!$C$5:$C$304,_xlfn.MINIFS(Schneiddaten!$C$5:$C$304,Schneiddaten!$A$5:$A$304,$C$8,Schneiddaten!$B$5:$B$304,$E330,Schneiddaten!$C$5:$C$304,"&gt;="&amp;M330))))</f>
        <v/>
      </c>
      <c r="W330" s="26" t="str">
        <f aca="false">IF(AND($D330="",$E330="",$F330="",$G330=""),"",IF(ISNA(MATCH($D330,lst_Profil,0)),"FEHLER: Profil unbekannt",IF(ISNA(MATCH($E330,lst_Werkstoff,0)),"FEHLER: Werkstoff unbekannt",IF(NOT(ISNUMBER(L330)),"FEHLER: Querschnitt fehlt (Profil)",IF(OR($F330="",$F330&lt;=0),"FEHLER: Teilelänge fehlt",IF(OR($G330="",$G330&lt;1),"FEHLER: Stückzahl fehlt",IF(NOT(ISNUMBER($H$4)),"FEHLER: Maschine fehlt/unbekannt",IF(Q330&gt;$H$7,"FEHLER: Stange länger als Maschine zulässt",IF($F330+$H$6&gt;T330,"FEHLER: Teil länger als Nutzlänge",IF(U330="nein","WARNUNG: kein gültiger Materialpreis",IF($H330="","HINWEIS: Schneidweg fehlt",IF(V330="","HINWEIS: keine Schneiddaten",IF(AND($AF330&lt;&gt;"",$AG330=""),"HINWEIS: Gewinde-Vorschlag prüfen","OK")))))))))))))</f>
        <v/>
      </c>
      <c r="X330" s="18" t="str">
        <f aca="false">IF(OR(O330="",$G330=""),"",O330*$G330)</f>
        <v/>
      </c>
      <c r="Y330" s="10"/>
      <c r="Z330" s="21"/>
      <c r="AA330" s="10"/>
      <c r="AB330" s="21"/>
      <c r="AC330" s="21"/>
      <c r="AD330" s="21"/>
      <c r="AE330" s="10"/>
      <c r="AF330" s="10"/>
      <c r="AG330" s="10"/>
      <c r="AH330" s="22"/>
      <c r="AI330" s="21"/>
      <c r="AJ330" s="22"/>
      <c r="AK330" s="21"/>
      <c r="AL330" s="22"/>
      <c r="AM330" s="21"/>
    </row>
    <row r="331" customFormat="false" ht="15" hidden="false" customHeight="false" outlineLevel="0" collapsed="false">
      <c r="A331" s="10"/>
      <c r="B331" s="10"/>
      <c r="C331" s="10"/>
      <c r="D331" s="10"/>
      <c r="E331" s="10"/>
      <c r="F331" s="21"/>
      <c r="G331" s="19"/>
      <c r="H331" s="21"/>
      <c r="I331" s="22"/>
      <c r="J331" s="19"/>
      <c r="K331" s="23" t="str">
        <f aca="false">IF($D331="","",IFERROR(INDEX(Profile!$B$5:$B$304,MATCH($D331,lst_Profil,0)),""))</f>
        <v/>
      </c>
      <c r="L331" s="13" t="str">
        <f aca="false">IF($D331="","",IFERROR(INDEX(Profile!$K$5:$K$304,MATCH($D331,lst_Profil,0))+0,""))</f>
        <v/>
      </c>
      <c r="M331" s="24" t="str">
        <f aca="false">IF($D331="","",IFERROR(INDEX(Profile!$E$5:$E$304,MATCH($D331,lst_Profil,0))+0,""))</f>
        <v/>
      </c>
      <c r="N331" s="25" t="str">
        <f aca="false">IF(OR(L331="",$E331=""),"",IFERROR(L331*INDEX(Werkstoffe!$E$5:$E$304,MATCH($E331,lst_Werkstoff,0))/1000,""))</f>
        <v/>
      </c>
      <c r="O331" s="25" t="str">
        <f aca="false">IF(OR(N331="",$F331=""),"",N331*$F331/1000)</f>
        <v/>
      </c>
      <c r="P331" s="16" t="str">
        <f aca="false">IF(OR($F331="",$G331=""),"",$F331*$G331)</f>
        <v/>
      </c>
      <c r="Q331" s="16" t="str">
        <f aca="false">IF($D331="","",IF($J331&lt;&gt;"",$J331,$C$9))</f>
        <v/>
      </c>
      <c r="R331" s="12" t="str">
        <f aca="false">IF($D331="","",IFERROR(IF(INDEX(Profile!$G$5:$G$304,MATCH($D331,lst_Profil,0))&lt;&gt;"",INDEX(Profile!$G$5:$G$304,MATCH($D331,lst_Profil,0)),$H$4),$H$4))</f>
        <v/>
      </c>
      <c r="S331" s="12" t="str">
        <f aca="false">IF($D331="","",IFERROR(IF(INDEX(Profile!$H$5:$H$304,MATCH($D331,lst_Profil,0))&lt;&gt;"",INDEX(Profile!$H$5:$H$304,MATCH($D331,lst_Profil,0)),$H$5),$H$5))</f>
        <v/>
      </c>
      <c r="T331" s="16" t="str">
        <f aca="false">IF(OR(Q331="",NOT(ISNUMBER(R331)),NOT(ISNUMBER(S331))),"",Q331-R331-S331)</f>
        <v/>
      </c>
      <c r="U331" s="26" t="str">
        <f aca="false">IF(OR($D331="",$E331=""),"",IF(COUNTIFS(Preise!$A$5:$A$304,$D331,Preise!$B$5:$B$304,$E331,Preise!$I$5:$I$304,"OK")&gt;0,"ja","nein"))</f>
        <v/>
      </c>
      <c r="V331" s="15" t="str">
        <f aca="false">IF(OR(M331="",$E331="",$C$8=""),"",IF(_xlfn.MINIFS(Schneiddaten!$C$5:$C$304,Schneiddaten!$A$5:$A$304,$C$8,Schneiddaten!$B$5:$B$304,$E331,Schneiddaten!$C$5:$C$304,"&gt;="&amp;M331)=0,"",SUMIFS(Schneiddaten!$D$5:$D$304,Schneiddaten!$A$5:$A$304,$C$8,Schneiddaten!$B$5:$B$304,$E331,Schneiddaten!$C$5:$C$304,_xlfn.MINIFS(Schneiddaten!$C$5:$C$304,Schneiddaten!$A$5:$A$304,$C$8,Schneiddaten!$B$5:$B$304,$E331,Schneiddaten!$C$5:$C$304,"&gt;="&amp;M331))))</f>
        <v/>
      </c>
      <c r="W331" s="26" t="str">
        <f aca="false">IF(AND($D331="",$E331="",$F331="",$G331=""),"",IF(ISNA(MATCH($D331,lst_Profil,0)),"FEHLER: Profil unbekannt",IF(ISNA(MATCH($E331,lst_Werkstoff,0)),"FEHLER: Werkstoff unbekannt",IF(NOT(ISNUMBER(L331)),"FEHLER: Querschnitt fehlt (Profil)",IF(OR($F331="",$F331&lt;=0),"FEHLER: Teilelänge fehlt",IF(OR($G331="",$G331&lt;1),"FEHLER: Stückzahl fehlt",IF(NOT(ISNUMBER($H$4)),"FEHLER: Maschine fehlt/unbekannt",IF(Q331&gt;$H$7,"FEHLER: Stange länger als Maschine zulässt",IF($F331+$H$6&gt;T331,"FEHLER: Teil länger als Nutzlänge",IF(U331="nein","WARNUNG: kein gültiger Materialpreis",IF($H331="","HINWEIS: Schneidweg fehlt",IF(V331="","HINWEIS: keine Schneiddaten",IF(AND($AF331&lt;&gt;"",$AG331=""),"HINWEIS: Gewinde-Vorschlag prüfen","OK")))))))))))))</f>
        <v/>
      </c>
      <c r="X331" s="18" t="str">
        <f aca="false">IF(OR(O331="",$G331=""),"",O331*$G331)</f>
        <v/>
      </c>
      <c r="Y331" s="10"/>
      <c r="Z331" s="21"/>
      <c r="AA331" s="10"/>
      <c r="AB331" s="21"/>
      <c r="AC331" s="21"/>
      <c r="AD331" s="21"/>
      <c r="AE331" s="10"/>
      <c r="AF331" s="10"/>
      <c r="AG331" s="10"/>
      <c r="AH331" s="22"/>
      <c r="AI331" s="21"/>
      <c r="AJ331" s="22"/>
      <c r="AK331" s="21"/>
      <c r="AL331" s="22"/>
      <c r="AM331" s="21"/>
    </row>
    <row r="332" customFormat="false" ht="15" hidden="false" customHeight="false" outlineLevel="0" collapsed="false">
      <c r="A332" s="10"/>
      <c r="B332" s="10"/>
      <c r="C332" s="10"/>
      <c r="D332" s="10"/>
      <c r="E332" s="10"/>
      <c r="F332" s="21"/>
      <c r="G332" s="19"/>
      <c r="H332" s="21"/>
      <c r="I332" s="22"/>
      <c r="J332" s="19"/>
      <c r="K332" s="23" t="str">
        <f aca="false">IF($D332="","",IFERROR(INDEX(Profile!$B$5:$B$304,MATCH($D332,lst_Profil,0)),""))</f>
        <v/>
      </c>
      <c r="L332" s="13" t="str">
        <f aca="false">IF($D332="","",IFERROR(INDEX(Profile!$K$5:$K$304,MATCH($D332,lst_Profil,0))+0,""))</f>
        <v/>
      </c>
      <c r="M332" s="24" t="str">
        <f aca="false">IF($D332="","",IFERROR(INDEX(Profile!$E$5:$E$304,MATCH($D332,lst_Profil,0))+0,""))</f>
        <v/>
      </c>
      <c r="N332" s="25" t="str">
        <f aca="false">IF(OR(L332="",$E332=""),"",IFERROR(L332*INDEX(Werkstoffe!$E$5:$E$304,MATCH($E332,lst_Werkstoff,0))/1000,""))</f>
        <v/>
      </c>
      <c r="O332" s="25" t="str">
        <f aca="false">IF(OR(N332="",$F332=""),"",N332*$F332/1000)</f>
        <v/>
      </c>
      <c r="P332" s="16" t="str">
        <f aca="false">IF(OR($F332="",$G332=""),"",$F332*$G332)</f>
        <v/>
      </c>
      <c r="Q332" s="16" t="str">
        <f aca="false">IF($D332="","",IF($J332&lt;&gt;"",$J332,$C$9))</f>
        <v/>
      </c>
      <c r="R332" s="12" t="str">
        <f aca="false">IF($D332="","",IFERROR(IF(INDEX(Profile!$G$5:$G$304,MATCH($D332,lst_Profil,0))&lt;&gt;"",INDEX(Profile!$G$5:$G$304,MATCH($D332,lst_Profil,0)),$H$4),$H$4))</f>
        <v/>
      </c>
      <c r="S332" s="12" t="str">
        <f aca="false">IF($D332="","",IFERROR(IF(INDEX(Profile!$H$5:$H$304,MATCH($D332,lst_Profil,0))&lt;&gt;"",INDEX(Profile!$H$5:$H$304,MATCH($D332,lst_Profil,0)),$H$5),$H$5))</f>
        <v/>
      </c>
      <c r="T332" s="16" t="str">
        <f aca="false">IF(OR(Q332="",NOT(ISNUMBER(R332)),NOT(ISNUMBER(S332))),"",Q332-R332-S332)</f>
        <v/>
      </c>
      <c r="U332" s="26" t="str">
        <f aca="false">IF(OR($D332="",$E332=""),"",IF(COUNTIFS(Preise!$A$5:$A$304,$D332,Preise!$B$5:$B$304,$E332,Preise!$I$5:$I$304,"OK")&gt;0,"ja","nein"))</f>
        <v/>
      </c>
      <c r="V332" s="15" t="str">
        <f aca="false">IF(OR(M332="",$E332="",$C$8=""),"",IF(_xlfn.MINIFS(Schneiddaten!$C$5:$C$304,Schneiddaten!$A$5:$A$304,$C$8,Schneiddaten!$B$5:$B$304,$E332,Schneiddaten!$C$5:$C$304,"&gt;="&amp;M332)=0,"",SUMIFS(Schneiddaten!$D$5:$D$304,Schneiddaten!$A$5:$A$304,$C$8,Schneiddaten!$B$5:$B$304,$E332,Schneiddaten!$C$5:$C$304,_xlfn.MINIFS(Schneiddaten!$C$5:$C$304,Schneiddaten!$A$5:$A$304,$C$8,Schneiddaten!$B$5:$B$304,$E332,Schneiddaten!$C$5:$C$304,"&gt;="&amp;M332))))</f>
        <v/>
      </c>
      <c r="W332" s="26" t="str">
        <f aca="false">IF(AND($D332="",$E332="",$F332="",$G332=""),"",IF(ISNA(MATCH($D332,lst_Profil,0)),"FEHLER: Profil unbekannt",IF(ISNA(MATCH($E332,lst_Werkstoff,0)),"FEHLER: Werkstoff unbekannt",IF(NOT(ISNUMBER(L332)),"FEHLER: Querschnitt fehlt (Profil)",IF(OR($F332="",$F332&lt;=0),"FEHLER: Teilelänge fehlt",IF(OR($G332="",$G332&lt;1),"FEHLER: Stückzahl fehlt",IF(NOT(ISNUMBER($H$4)),"FEHLER: Maschine fehlt/unbekannt",IF(Q332&gt;$H$7,"FEHLER: Stange länger als Maschine zulässt",IF($F332+$H$6&gt;T332,"FEHLER: Teil länger als Nutzlänge",IF(U332="nein","WARNUNG: kein gültiger Materialpreis",IF($H332="","HINWEIS: Schneidweg fehlt",IF(V332="","HINWEIS: keine Schneiddaten",IF(AND($AF332&lt;&gt;"",$AG332=""),"HINWEIS: Gewinde-Vorschlag prüfen","OK")))))))))))))</f>
        <v/>
      </c>
      <c r="X332" s="18" t="str">
        <f aca="false">IF(OR(O332="",$G332=""),"",O332*$G332)</f>
        <v/>
      </c>
      <c r="Y332" s="10"/>
      <c r="Z332" s="21"/>
      <c r="AA332" s="10"/>
      <c r="AB332" s="21"/>
      <c r="AC332" s="21"/>
      <c r="AD332" s="21"/>
      <c r="AE332" s="10"/>
      <c r="AF332" s="10"/>
      <c r="AG332" s="10"/>
      <c r="AH332" s="22"/>
      <c r="AI332" s="21"/>
      <c r="AJ332" s="22"/>
      <c r="AK332" s="21"/>
      <c r="AL332" s="22"/>
      <c r="AM332" s="21"/>
    </row>
    <row r="333" customFormat="false" ht="15" hidden="false" customHeight="false" outlineLevel="0" collapsed="false">
      <c r="A333" s="10"/>
      <c r="B333" s="10"/>
      <c r="C333" s="10"/>
      <c r="D333" s="10"/>
      <c r="E333" s="10"/>
      <c r="F333" s="21"/>
      <c r="G333" s="19"/>
      <c r="H333" s="21"/>
      <c r="I333" s="22"/>
      <c r="J333" s="19"/>
      <c r="K333" s="23" t="str">
        <f aca="false">IF($D333="","",IFERROR(INDEX(Profile!$B$5:$B$304,MATCH($D333,lst_Profil,0)),""))</f>
        <v/>
      </c>
      <c r="L333" s="13" t="str">
        <f aca="false">IF($D333="","",IFERROR(INDEX(Profile!$K$5:$K$304,MATCH($D333,lst_Profil,0))+0,""))</f>
        <v/>
      </c>
      <c r="M333" s="24" t="str">
        <f aca="false">IF($D333="","",IFERROR(INDEX(Profile!$E$5:$E$304,MATCH($D333,lst_Profil,0))+0,""))</f>
        <v/>
      </c>
      <c r="N333" s="25" t="str">
        <f aca="false">IF(OR(L333="",$E333=""),"",IFERROR(L333*INDEX(Werkstoffe!$E$5:$E$304,MATCH($E333,lst_Werkstoff,0))/1000,""))</f>
        <v/>
      </c>
      <c r="O333" s="25" t="str">
        <f aca="false">IF(OR(N333="",$F333=""),"",N333*$F333/1000)</f>
        <v/>
      </c>
      <c r="P333" s="16" t="str">
        <f aca="false">IF(OR($F333="",$G333=""),"",$F333*$G333)</f>
        <v/>
      </c>
      <c r="Q333" s="16" t="str">
        <f aca="false">IF($D333="","",IF($J333&lt;&gt;"",$J333,$C$9))</f>
        <v/>
      </c>
      <c r="R333" s="12" t="str">
        <f aca="false">IF($D333="","",IFERROR(IF(INDEX(Profile!$G$5:$G$304,MATCH($D333,lst_Profil,0))&lt;&gt;"",INDEX(Profile!$G$5:$G$304,MATCH($D333,lst_Profil,0)),$H$4),$H$4))</f>
        <v/>
      </c>
      <c r="S333" s="12" t="str">
        <f aca="false">IF($D333="","",IFERROR(IF(INDEX(Profile!$H$5:$H$304,MATCH($D333,lst_Profil,0))&lt;&gt;"",INDEX(Profile!$H$5:$H$304,MATCH($D333,lst_Profil,0)),$H$5),$H$5))</f>
        <v/>
      </c>
      <c r="T333" s="16" t="str">
        <f aca="false">IF(OR(Q333="",NOT(ISNUMBER(R333)),NOT(ISNUMBER(S333))),"",Q333-R333-S333)</f>
        <v/>
      </c>
      <c r="U333" s="26" t="str">
        <f aca="false">IF(OR($D333="",$E333=""),"",IF(COUNTIFS(Preise!$A$5:$A$304,$D333,Preise!$B$5:$B$304,$E333,Preise!$I$5:$I$304,"OK")&gt;0,"ja","nein"))</f>
        <v/>
      </c>
      <c r="V333" s="15" t="str">
        <f aca="false">IF(OR(M333="",$E333="",$C$8=""),"",IF(_xlfn.MINIFS(Schneiddaten!$C$5:$C$304,Schneiddaten!$A$5:$A$304,$C$8,Schneiddaten!$B$5:$B$304,$E333,Schneiddaten!$C$5:$C$304,"&gt;="&amp;M333)=0,"",SUMIFS(Schneiddaten!$D$5:$D$304,Schneiddaten!$A$5:$A$304,$C$8,Schneiddaten!$B$5:$B$304,$E333,Schneiddaten!$C$5:$C$304,_xlfn.MINIFS(Schneiddaten!$C$5:$C$304,Schneiddaten!$A$5:$A$304,$C$8,Schneiddaten!$B$5:$B$304,$E333,Schneiddaten!$C$5:$C$304,"&gt;="&amp;M333))))</f>
        <v/>
      </c>
      <c r="W333" s="26" t="str">
        <f aca="false">IF(AND($D333="",$E333="",$F333="",$G333=""),"",IF(ISNA(MATCH($D333,lst_Profil,0)),"FEHLER: Profil unbekannt",IF(ISNA(MATCH($E333,lst_Werkstoff,0)),"FEHLER: Werkstoff unbekannt",IF(NOT(ISNUMBER(L333)),"FEHLER: Querschnitt fehlt (Profil)",IF(OR($F333="",$F333&lt;=0),"FEHLER: Teilelänge fehlt",IF(OR($G333="",$G333&lt;1),"FEHLER: Stückzahl fehlt",IF(NOT(ISNUMBER($H$4)),"FEHLER: Maschine fehlt/unbekannt",IF(Q333&gt;$H$7,"FEHLER: Stange länger als Maschine zulässt",IF($F333+$H$6&gt;T333,"FEHLER: Teil länger als Nutzlänge",IF(U333="nein","WARNUNG: kein gültiger Materialpreis",IF($H333="","HINWEIS: Schneidweg fehlt",IF(V333="","HINWEIS: keine Schneiddaten",IF(AND($AF333&lt;&gt;"",$AG333=""),"HINWEIS: Gewinde-Vorschlag prüfen","OK")))))))))))))</f>
        <v/>
      </c>
      <c r="X333" s="18" t="str">
        <f aca="false">IF(OR(O333="",$G333=""),"",O333*$G333)</f>
        <v/>
      </c>
      <c r="Y333" s="10"/>
      <c r="Z333" s="21"/>
      <c r="AA333" s="10"/>
      <c r="AB333" s="21"/>
      <c r="AC333" s="21"/>
      <c r="AD333" s="21"/>
      <c r="AE333" s="10"/>
      <c r="AF333" s="10"/>
      <c r="AG333" s="10"/>
      <c r="AH333" s="22"/>
      <c r="AI333" s="21"/>
      <c r="AJ333" s="22"/>
      <c r="AK333" s="21"/>
      <c r="AL333" s="22"/>
      <c r="AM333" s="21"/>
    </row>
    <row r="334" customFormat="false" ht="15" hidden="false" customHeight="false" outlineLevel="0" collapsed="false">
      <c r="A334" s="10"/>
      <c r="B334" s="10"/>
      <c r="C334" s="10"/>
      <c r="D334" s="10"/>
      <c r="E334" s="10"/>
      <c r="F334" s="21"/>
      <c r="G334" s="19"/>
      <c r="H334" s="21"/>
      <c r="I334" s="22"/>
      <c r="J334" s="19"/>
      <c r="K334" s="23" t="str">
        <f aca="false">IF($D334="","",IFERROR(INDEX(Profile!$B$5:$B$304,MATCH($D334,lst_Profil,0)),""))</f>
        <v/>
      </c>
      <c r="L334" s="13" t="str">
        <f aca="false">IF($D334="","",IFERROR(INDEX(Profile!$K$5:$K$304,MATCH($D334,lst_Profil,0))+0,""))</f>
        <v/>
      </c>
      <c r="M334" s="24" t="str">
        <f aca="false">IF($D334="","",IFERROR(INDEX(Profile!$E$5:$E$304,MATCH($D334,lst_Profil,0))+0,""))</f>
        <v/>
      </c>
      <c r="N334" s="25" t="str">
        <f aca="false">IF(OR(L334="",$E334=""),"",IFERROR(L334*INDEX(Werkstoffe!$E$5:$E$304,MATCH($E334,lst_Werkstoff,0))/1000,""))</f>
        <v/>
      </c>
      <c r="O334" s="25" t="str">
        <f aca="false">IF(OR(N334="",$F334=""),"",N334*$F334/1000)</f>
        <v/>
      </c>
      <c r="P334" s="16" t="str">
        <f aca="false">IF(OR($F334="",$G334=""),"",$F334*$G334)</f>
        <v/>
      </c>
      <c r="Q334" s="16" t="str">
        <f aca="false">IF($D334="","",IF($J334&lt;&gt;"",$J334,$C$9))</f>
        <v/>
      </c>
      <c r="R334" s="12" t="str">
        <f aca="false">IF($D334="","",IFERROR(IF(INDEX(Profile!$G$5:$G$304,MATCH($D334,lst_Profil,0))&lt;&gt;"",INDEX(Profile!$G$5:$G$304,MATCH($D334,lst_Profil,0)),$H$4),$H$4))</f>
        <v/>
      </c>
      <c r="S334" s="12" t="str">
        <f aca="false">IF($D334="","",IFERROR(IF(INDEX(Profile!$H$5:$H$304,MATCH($D334,lst_Profil,0))&lt;&gt;"",INDEX(Profile!$H$5:$H$304,MATCH($D334,lst_Profil,0)),$H$5),$H$5))</f>
        <v/>
      </c>
      <c r="T334" s="16" t="str">
        <f aca="false">IF(OR(Q334="",NOT(ISNUMBER(R334)),NOT(ISNUMBER(S334))),"",Q334-R334-S334)</f>
        <v/>
      </c>
      <c r="U334" s="26" t="str">
        <f aca="false">IF(OR($D334="",$E334=""),"",IF(COUNTIFS(Preise!$A$5:$A$304,$D334,Preise!$B$5:$B$304,$E334,Preise!$I$5:$I$304,"OK")&gt;0,"ja","nein"))</f>
        <v/>
      </c>
      <c r="V334" s="15" t="str">
        <f aca="false">IF(OR(M334="",$E334="",$C$8=""),"",IF(_xlfn.MINIFS(Schneiddaten!$C$5:$C$304,Schneiddaten!$A$5:$A$304,$C$8,Schneiddaten!$B$5:$B$304,$E334,Schneiddaten!$C$5:$C$304,"&gt;="&amp;M334)=0,"",SUMIFS(Schneiddaten!$D$5:$D$304,Schneiddaten!$A$5:$A$304,$C$8,Schneiddaten!$B$5:$B$304,$E334,Schneiddaten!$C$5:$C$304,_xlfn.MINIFS(Schneiddaten!$C$5:$C$304,Schneiddaten!$A$5:$A$304,$C$8,Schneiddaten!$B$5:$B$304,$E334,Schneiddaten!$C$5:$C$304,"&gt;="&amp;M334))))</f>
        <v/>
      </c>
      <c r="W334" s="26" t="str">
        <f aca="false">IF(AND($D334="",$E334="",$F334="",$G334=""),"",IF(ISNA(MATCH($D334,lst_Profil,0)),"FEHLER: Profil unbekannt",IF(ISNA(MATCH($E334,lst_Werkstoff,0)),"FEHLER: Werkstoff unbekannt",IF(NOT(ISNUMBER(L334)),"FEHLER: Querschnitt fehlt (Profil)",IF(OR($F334="",$F334&lt;=0),"FEHLER: Teilelänge fehlt",IF(OR($G334="",$G334&lt;1),"FEHLER: Stückzahl fehlt",IF(NOT(ISNUMBER($H$4)),"FEHLER: Maschine fehlt/unbekannt",IF(Q334&gt;$H$7,"FEHLER: Stange länger als Maschine zulässt",IF($F334+$H$6&gt;T334,"FEHLER: Teil länger als Nutzlänge",IF(U334="nein","WARNUNG: kein gültiger Materialpreis",IF($H334="","HINWEIS: Schneidweg fehlt",IF(V334="","HINWEIS: keine Schneiddaten",IF(AND($AF334&lt;&gt;"",$AG334=""),"HINWEIS: Gewinde-Vorschlag prüfen","OK")))))))))))))</f>
        <v/>
      </c>
      <c r="X334" s="18" t="str">
        <f aca="false">IF(OR(O334="",$G334=""),"",O334*$G334)</f>
        <v/>
      </c>
      <c r="Y334" s="10"/>
      <c r="Z334" s="21"/>
      <c r="AA334" s="10"/>
      <c r="AB334" s="21"/>
      <c r="AC334" s="21"/>
      <c r="AD334" s="21"/>
      <c r="AE334" s="10"/>
      <c r="AF334" s="10"/>
      <c r="AG334" s="10"/>
      <c r="AH334" s="22"/>
      <c r="AI334" s="21"/>
      <c r="AJ334" s="22"/>
      <c r="AK334" s="21"/>
      <c r="AL334" s="22"/>
      <c r="AM334" s="21"/>
    </row>
    <row r="335" customFormat="false" ht="15" hidden="false" customHeight="false" outlineLevel="0" collapsed="false">
      <c r="A335" s="10"/>
      <c r="B335" s="10"/>
      <c r="C335" s="10"/>
      <c r="D335" s="10"/>
      <c r="E335" s="10"/>
      <c r="F335" s="21"/>
      <c r="G335" s="19"/>
      <c r="H335" s="21"/>
      <c r="I335" s="22"/>
      <c r="J335" s="19"/>
      <c r="K335" s="23" t="str">
        <f aca="false">IF($D335="","",IFERROR(INDEX(Profile!$B$5:$B$304,MATCH($D335,lst_Profil,0)),""))</f>
        <v/>
      </c>
      <c r="L335" s="13" t="str">
        <f aca="false">IF($D335="","",IFERROR(INDEX(Profile!$K$5:$K$304,MATCH($D335,lst_Profil,0))+0,""))</f>
        <v/>
      </c>
      <c r="M335" s="24" t="str">
        <f aca="false">IF($D335="","",IFERROR(INDEX(Profile!$E$5:$E$304,MATCH($D335,lst_Profil,0))+0,""))</f>
        <v/>
      </c>
      <c r="N335" s="25" t="str">
        <f aca="false">IF(OR(L335="",$E335=""),"",IFERROR(L335*INDEX(Werkstoffe!$E$5:$E$304,MATCH($E335,lst_Werkstoff,0))/1000,""))</f>
        <v/>
      </c>
      <c r="O335" s="25" t="str">
        <f aca="false">IF(OR(N335="",$F335=""),"",N335*$F335/1000)</f>
        <v/>
      </c>
      <c r="P335" s="16" t="str">
        <f aca="false">IF(OR($F335="",$G335=""),"",$F335*$G335)</f>
        <v/>
      </c>
      <c r="Q335" s="16" t="str">
        <f aca="false">IF($D335="","",IF($J335&lt;&gt;"",$J335,$C$9))</f>
        <v/>
      </c>
      <c r="R335" s="12" t="str">
        <f aca="false">IF($D335="","",IFERROR(IF(INDEX(Profile!$G$5:$G$304,MATCH($D335,lst_Profil,0))&lt;&gt;"",INDEX(Profile!$G$5:$G$304,MATCH($D335,lst_Profil,0)),$H$4),$H$4))</f>
        <v/>
      </c>
      <c r="S335" s="12" t="str">
        <f aca="false">IF($D335="","",IFERROR(IF(INDEX(Profile!$H$5:$H$304,MATCH($D335,lst_Profil,0))&lt;&gt;"",INDEX(Profile!$H$5:$H$304,MATCH($D335,lst_Profil,0)),$H$5),$H$5))</f>
        <v/>
      </c>
      <c r="T335" s="16" t="str">
        <f aca="false">IF(OR(Q335="",NOT(ISNUMBER(R335)),NOT(ISNUMBER(S335))),"",Q335-R335-S335)</f>
        <v/>
      </c>
      <c r="U335" s="26" t="str">
        <f aca="false">IF(OR($D335="",$E335=""),"",IF(COUNTIFS(Preise!$A$5:$A$304,$D335,Preise!$B$5:$B$304,$E335,Preise!$I$5:$I$304,"OK")&gt;0,"ja","nein"))</f>
        <v/>
      </c>
      <c r="V335" s="15" t="str">
        <f aca="false">IF(OR(M335="",$E335="",$C$8=""),"",IF(_xlfn.MINIFS(Schneiddaten!$C$5:$C$304,Schneiddaten!$A$5:$A$304,$C$8,Schneiddaten!$B$5:$B$304,$E335,Schneiddaten!$C$5:$C$304,"&gt;="&amp;M335)=0,"",SUMIFS(Schneiddaten!$D$5:$D$304,Schneiddaten!$A$5:$A$304,$C$8,Schneiddaten!$B$5:$B$304,$E335,Schneiddaten!$C$5:$C$304,_xlfn.MINIFS(Schneiddaten!$C$5:$C$304,Schneiddaten!$A$5:$A$304,$C$8,Schneiddaten!$B$5:$B$304,$E335,Schneiddaten!$C$5:$C$304,"&gt;="&amp;M335))))</f>
        <v/>
      </c>
      <c r="W335" s="26" t="str">
        <f aca="false">IF(AND($D335="",$E335="",$F335="",$G335=""),"",IF(ISNA(MATCH($D335,lst_Profil,0)),"FEHLER: Profil unbekannt",IF(ISNA(MATCH($E335,lst_Werkstoff,0)),"FEHLER: Werkstoff unbekannt",IF(NOT(ISNUMBER(L335)),"FEHLER: Querschnitt fehlt (Profil)",IF(OR($F335="",$F335&lt;=0),"FEHLER: Teilelänge fehlt",IF(OR($G335="",$G335&lt;1),"FEHLER: Stückzahl fehlt",IF(NOT(ISNUMBER($H$4)),"FEHLER: Maschine fehlt/unbekannt",IF(Q335&gt;$H$7,"FEHLER: Stange länger als Maschine zulässt",IF($F335+$H$6&gt;T335,"FEHLER: Teil länger als Nutzlänge",IF(U335="nein","WARNUNG: kein gültiger Materialpreis",IF($H335="","HINWEIS: Schneidweg fehlt",IF(V335="","HINWEIS: keine Schneiddaten",IF(AND($AF335&lt;&gt;"",$AG335=""),"HINWEIS: Gewinde-Vorschlag prüfen","OK")))))))))))))</f>
        <v/>
      </c>
      <c r="X335" s="18" t="str">
        <f aca="false">IF(OR(O335="",$G335=""),"",O335*$G335)</f>
        <v/>
      </c>
      <c r="Y335" s="10"/>
      <c r="Z335" s="21"/>
      <c r="AA335" s="10"/>
      <c r="AB335" s="21"/>
      <c r="AC335" s="21"/>
      <c r="AD335" s="21"/>
      <c r="AE335" s="10"/>
      <c r="AF335" s="10"/>
      <c r="AG335" s="10"/>
      <c r="AH335" s="22"/>
      <c r="AI335" s="21"/>
      <c r="AJ335" s="22"/>
      <c r="AK335" s="21"/>
      <c r="AL335" s="22"/>
      <c r="AM335" s="21"/>
    </row>
    <row r="336" customFormat="false" ht="15" hidden="false" customHeight="false" outlineLevel="0" collapsed="false">
      <c r="A336" s="10"/>
      <c r="B336" s="10"/>
      <c r="C336" s="10"/>
      <c r="D336" s="10"/>
      <c r="E336" s="10"/>
      <c r="F336" s="21"/>
      <c r="G336" s="19"/>
      <c r="H336" s="21"/>
      <c r="I336" s="22"/>
      <c r="J336" s="19"/>
      <c r="K336" s="23" t="str">
        <f aca="false">IF($D336="","",IFERROR(INDEX(Profile!$B$5:$B$304,MATCH($D336,lst_Profil,0)),""))</f>
        <v/>
      </c>
      <c r="L336" s="13" t="str">
        <f aca="false">IF($D336="","",IFERROR(INDEX(Profile!$K$5:$K$304,MATCH($D336,lst_Profil,0))+0,""))</f>
        <v/>
      </c>
      <c r="M336" s="24" t="str">
        <f aca="false">IF($D336="","",IFERROR(INDEX(Profile!$E$5:$E$304,MATCH($D336,lst_Profil,0))+0,""))</f>
        <v/>
      </c>
      <c r="N336" s="25" t="str">
        <f aca="false">IF(OR(L336="",$E336=""),"",IFERROR(L336*INDEX(Werkstoffe!$E$5:$E$304,MATCH($E336,lst_Werkstoff,0))/1000,""))</f>
        <v/>
      </c>
      <c r="O336" s="25" t="str">
        <f aca="false">IF(OR(N336="",$F336=""),"",N336*$F336/1000)</f>
        <v/>
      </c>
      <c r="P336" s="16" t="str">
        <f aca="false">IF(OR($F336="",$G336=""),"",$F336*$G336)</f>
        <v/>
      </c>
      <c r="Q336" s="16" t="str">
        <f aca="false">IF($D336="","",IF($J336&lt;&gt;"",$J336,$C$9))</f>
        <v/>
      </c>
      <c r="R336" s="12" t="str">
        <f aca="false">IF($D336="","",IFERROR(IF(INDEX(Profile!$G$5:$G$304,MATCH($D336,lst_Profil,0))&lt;&gt;"",INDEX(Profile!$G$5:$G$304,MATCH($D336,lst_Profil,0)),$H$4),$H$4))</f>
        <v/>
      </c>
      <c r="S336" s="12" t="str">
        <f aca="false">IF($D336="","",IFERROR(IF(INDEX(Profile!$H$5:$H$304,MATCH($D336,lst_Profil,0))&lt;&gt;"",INDEX(Profile!$H$5:$H$304,MATCH($D336,lst_Profil,0)),$H$5),$H$5))</f>
        <v/>
      </c>
      <c r="T336" s="16" t="str">
        <f aca="false">IF(OR(Q336="",NOT(ISNUMBER(R336)),NOT(ISNUMBER(S336))),"",Q336-R336-S336)</f>
        <v/>
      </c>
      <c r="U336" s="26" t="str">
        <f aca="false">IF(OR($D336="",$E336=""),"",IF(COUNTIFS(Preise!$A$5:$A$304,$D336,Preise!$B$5:$B$304,$E336,Preise!$I$5:$I$304,"OK")&gt;0,"ja","nein"))</f>
        <v/>
      </c>
      <c r="V336" s="15" t="str">
        <f aca="false">IF(OR(M336="",$E336="",$C$8=""),"",IF(_xlfn.MINIFS(Schneiddaten!$C$5:$C$304,Schneiddaten!$A$5:$A$304,$C$8,Schneiddaten!$B$5:$B$304,$E336,Schneiddaten!$C$5:$C$304,"&gt;="&amp;M336)=0,"",SUMIFS(Schneiddaten!$D$5:$D$304,Schneiddaten!$A$5:$A$304,$C$8,Schneiddaten!$B$5:$B$304,$E336,Schneiddaten!$C$5:$C$304,_xlfn.MINIFS(Schneiddaten!$C$5:$C$304,Schneiddaten!$A$5:$A$304,$C$8,Schneiddaten!$B$5:$B$304,$E336,Schneiddaten!$C$5:$C$304,"&gt;="&amp;M336))))</f>
        <v/>
      </c>
      <c r="W336" s="26" t="str">
        <f aca="false">IF(AND($D336="",$E336="",$F336="",$G336=""),"",IF(ISNA(MATCH($D336,lst_Profil,0)),"FEHLER: Profil unbekannt",IF(ISNA(MATCH($E336,lst_Werkstoff,0)),"FEHLER: Werkstoff unbekannt",IF(NOT(ISNUMBER(L336)),"FEHLER: Querschnitt fehlt (Profil)",IF(OR($F336="",$F336&lt;=0),"FEHLER: Teilelänge fehlt",IF(OR($G336="",$G336&lt;1),"FEHLER: Stückzahl fehlt",IF(NOT(ISNUMBER($H$4)),"FEHLER: Maschine fehlt/unbekannt",IF(Q336&gt;$H$7,"FEHLER: Stange länger als Maschine zulässt",IF($F336+$H$6&gt;T336,"FEHLER: Teil länger als Nutzlänge",IF(U336="nein","WARNUNG: kein gültiger Materialpreis",IF($H336="","HINWEIS: Schneidweg fehlt",IF(V336="","HINWEIS: keine Schneiddaten",IF(AND($AF336&lt;&gt;"",$AG336=""),"HINWEIS: Gewinde-Vorschlag prüfen","OK")))))))))))))</f>
        <v/>
      </c>
      <c r="X336" s="18" t="str">
        <f aca="false">IF(OR(O336="",$G336=""),"",O336*$G336)</f>
        <v/>
      </c>
      <c r="Y336" s="10"/>
      <c r="Z336" s="21"/>
      <c r="AA336" s="10"/>
      <c r="AB336" s="21"/>
      <c r="AC336" s="21"/>
      <c r="AD336" s="21"/>
      <c r="AE336" s="10"/>
      <c r="AF336" s="10"/>
      <c r="AG336" s="10"/>
      <c r="AH336" s="22"/>
      <c r="AI336" s="21"/>
      <c r="AJ336" s="22"/>
      <c r="AK336" s="21"/>
      <c r="AL336" s="22"/>
      <c r="AM336" s="21"/>
    </row>
    <row r="337" customFormat="false" ht="15" hidden="false" customHeight="false" outlineLevel="0" collapsed="false">
      <c r="A337" s="10"/>
      <c r="B337" s="10"/>
      <c r="C337" s="10"/>
      <c r="D337" s="10"/>
      <c r="E337" s="10"/>
      <c r="F337" s="21"/>
      <c r="G337" s="19"/>
      <c r="H337" s="21"/>
      <c r="I337" s="22"/>
      <c r="J337" s="19"/>
      <c r="K337" s="23" t="str">
        <f aca="false">IF($D337="","",IFERROR(INDEX(Profile!$B$5:$B$304,MATCH($D337,lst_Profil,0)),""))</f>
        <v/>
      </c>
      <c r="L337" s="13" t="str">
        <f aca="false">IF($D337="","",IFERROR(INDEX(Profile!$K$5:$K$304,MATCH($D337,lst_Profil,0))+0,""))</f>
        <v/>
      </c>
      <c r="M337" s="24" t="str">
        <f aca="false">IF($D337="","",IFERROR(INDEX(Profile!$E$5:$E$304,MATCH($D337,lst_Profil,0))+0,""))</f>
        <v/>
      </c>
      <c r="N337" s="25" t="str">
        <f aca="false">IF(OR(L337="",$E337=""),"",IFERROR(L337*INDEX(Werkstoffe!$E$5:$E$304,MATCH($E337,lst_Werkstoff,0))/1000,""))</f>
        <v/>
      </c>
      <c r="O337" s="25" t="str">
        <f aca="false">IF(OR(N337="",$F337=""),"",N337*$F337/1000)</f>
        <v/>
      </c>
      <c r="P337" s="16" t="str">
        <f aca="false">IF(OR($F337="",$G337=""),"",$F337*$G337)</f>
        <v/>
      </c>
      <c r="Q337" s="16" t="str">
        <f aca="false">IF($D337="","",IF($J337&lt;&gt;"",$J337,$C$9))</f>
        <v/>
      </c>
      <c r="R337" s="12" t="str">
        <f aca="false">IF($D337="","",IFERROR(IF(INDEX(Profile!$G$5:$G$304,MATCH($D337,lst_Profil,0))&lt;&gt;"",INDEX(Profile!$G$5:$G$304,MATCH($D337,lst_Profil,0)),$H$4),$H$4))</f>
        <v/>
      </c>
      <c r="S337" s="12" t="str">
        <f aca="false">IF($D337="","",IFERROR(IF(INDEX(Profile!$H$5:$H$304,MATCH($D337,lst_Profil,0))&lt;&gt;"",INDEX(Profile!$H$5:$H$304,MATCH($D337,lst_Profil,0)),$H$5),$H$5))</f>
        <v/>
      </c>
      <c r="T337" s="16" t="str">
        <f aca="false">IF(OR(Q337="",NOT(ISNUMBER(R337)),NOT(ISNUMBER(S337))),"",Q337-R337-S337)</f>
        <v/>
      </c>
      <c r="U337" s="26" t="str">
        <f aca="false">IF(OR($D337="",$E337=""),"",IF(COUNTIFS(Preise!$A$5:$A$304,$D337,Preise!$B$5:$B$304,$E337,Preise!$I$5:$I$304,"OK")&gt;0,"ja","nein"))</f>
        <v/>
      </c>
      <c r="V337" s="15" t="str">
        <f aca="false">IF(OR(M337="",$E337="",$C$8=""),"",IF(_xlfn.MINIFS(Schneiddaten!$C$5:$C$304,Schneiddaten!$A$5:$A$304,$C$8,Schneiddaten!$B$5:$B$304,$E337,Schneiddaten!$C$5:$C$304,"&gt;="&amp;M337)=0,"",SUMIFS(Schneiddaten!$D$5:$D$304,Schneiddaten!$A$5:$A$304,$C$8,Schneiddaten!$B$5:$B$304,$E337,Schneiddaten!$C$5:$C$304,_xlfn.MINIFS(Schneiddaten!$C$5:$C$304,Schneiddaten!$A$5:$A$304,$C$8,Schneiddaten!$B$5:$B$304,$E337,Schneiddaten!$C$5:$C$304,"&gt;="&amp;M337))))</f>
        <v/>
      </c>
      <c r="W337" s="26" t="str">
        <f aca="false">IF(AND($D337="",$E337="",$F337="",$G337=""),"",IF(ISNA(MATCH($D337,lst_Profil,0)),"FEHLER: Profil unbekannt",IF(ISNA(MATCH($E337,lst_Werkstoff,0)),"FEHLER: Werkstoff unbekannt",IF(NOT(ISNUMBER(L337)),"FEHLER: Querschnitt fehlt (Profil)",IF(OR($F337="",$F337&lt;=0),"FEHLER: Teilelänge fehlt",IF(OR($G337="",$G337&lt;1),"FEHLER: Stückzahl fehlt",IF(NOT(ISNUMBER($H$4)),"FEHLER: Maschine fehlt/unbekannt",IF(Q337&gt;$H$7,"FEHLER: Stange länger als Maschine zulässt",IF($F337+$H$6&gt;T337,"FEHLER: Teil länger als Nutzlänge",IF(U337="nein","WARNUNG: kein gültiger Materialpreis",IF($H337="","HINWEIS: Schneidweg fehlt",IF(V337="","HINWEIS: keine Schneiddaten",IF(AND($AF337&lt;&gt;"",$AG337=""),"HINWEIS: Gewinde-Vorschlag prüfen","OK")))))))))))))</f>
        <v/>
      </c>
      <c r="X337" s="18" t="str">
        <f aca="false">IF(OR(O337="",$G337=""),"",O337*$G337)</f>
        <v/>
      </c>
      <c r="Y337" s="10"/>
      <c r="Z337" s="21"/>
      <c r="AA337" s="10"/>
      <c r="AB337" s="21"/>
      <c r="AC337" s="21"/>
      <c r="AD337" s="21"/>
      <c r="AE337" s="10"/>
      <c r="AF337" s="10"/>
      <c r="AG337" s="10"/>
      <c r="AH337" s="22"/>
      <c r="AI337" s="21"/>
      <c r="AJ337" s="22"/>
      <c r="AK337" s="21"/>
      <c r="AL337" s="22"/>
      <c r="AM337" s="21"/>
    </row>
    <row r="338" customFormat="false" ht="15" hidden="false" customHeight="false" outlineLevel="0" collapsed="false">
      <c r="A338" s="10"/>
      <c r="B338" s="10"/>
      <c r="C338" s="10"/>
      <c r="D338" s="10"/>
      <c r="E338" s="10"/>
      <c r="F338" s="21"/>
      <c r="G338" s="19"/>
      <c r="H338" s="21"/>
      <c r="I338" s="22"/>
      <c r="J338" s="19"/>
      <c r="K338" s="23" t="str">
        <f aca="false">IF($D338="","",IFERROR(INDEX(Profile!$B$5:$B$304,MATCH($D338,lst_Profil,0)),""))</f>
        <v/>
      </c>
      <c r="L338" s="13" t="str">
        <f aca="false">IF($D338="","",IFERROR(INDEX(Profile!$K$5:$K$304,MATCH($D338,lst_Profil,0))+0,""))</f>
        <v/>
      </c>
      <c r="M338" s="24" t="str">
        <f aca="false">IF($D338="","",IFERROR(INDEX(Profile!$E$5:$E$304,MATCH($D338,lst_Profil,0))+0,""))</f>
        <v/>
      </c>
      <c r="N338" s="25" t="str">
        <f aca="false">IF(OR(L338="",$E338=""),"",IFERROR(L338*INDEX(Werkstoffe!$E$5:$E$304,MATCH($E338,lst_Werkstoff,0))/1000,""))</f>
        <v/>
      </c>
      <c r="O338" s="25" t="str">
        <f aca="false">IF(OR(N338="",$F338=""),"",N338*$F338/1000)</f>
        <v/>
      </c>
      <c r="P338" s="16" t="str">
        <f aca="false">IF(OR($F338="",$G338=""),"",$F338*$G338)</f>
        <v/>
      </c>
      <c r="Q338" s="16" t="str">
        <f aca="false">IF($D338="","",IF($J338&lt;&gt;"",$J338,$C$9))</f>
        <v/>
      </c>
      <c r="R338" s="12" t="str">
        <f aca="false">IF($D338="","",IFERROR(IF(INDEX(Profile!$G$5:$G$304,MATCH($D338,lst_Profil,0))&lt;&gt;"",INDEX(Profile!$G$5:$G$304,MATCH($D338,lst_Profil,0)),$H$4),$H$4))</f>
        <v/>
      </c>
      <c r="S338" s="12" t="str">
        <f aca="false">IF($D338="","",IFERROR(IF(INDEX(Profile!$H$5:$H$304,MATCH($D338,lst_Profil,0))&lt;&gt;"",INDEX(Profile!$H$5:$H$304,MATCH($D338,lst_Profil,0)),$H$5),$H$5))</f>
        <v/>
      </c>
      <c r="T338" s="16" t="str">
        <f aca="false">IF(OR(Q338="",NOT(ISNUMBER(R338)),NOT(ISNUMBER(S338))),"",Q338-R338-S338)</f>
        <v/>
      </c>
      <c r="U338" s="26" t="str">
        <f aca="false">IF(OR($D338="",$E338=""),"",IF(COUNTIFS(Preise!$A$5:$A$304,$D338,Preise!$B$5:$B$304,$E338,Preise!$I$5:$I$304,"OK")&gt;0,"ja","nein"))</f>
        <v/>
      </c>
      <c r="V338" s="15" t="str">
        <f aca="false">IF(OR(M338="",$E338="",$C$8=""),"",IF(_xlfn.MINIFS(Schneiddaten!$C$5:$C$304,Schneiddaten!$A$5:$A$304,$C$8,Schneiddaten!$B$5:$B$304,$E338,Schneiddaten!$C$5:$C$304,"&gt;="&amp;M338)=0,"",SUMIFS(Schneiddaten!$D$5:$D$304,Schneiddaten!$A$5:$A$304,$C$8,Schneiddaten!$B$5:$B$304,$E338,Schneiddaten!$C$5:$C$304,_xlfn.MINIFS(Schneiddaten!$C$5:$C$304,Schneiddaten!$A$5:$A$304,$C$8,Schneiddaten!$B$5:$B$304,$E338,Schneiddaten!$C$5:$C$304,"&gt;="&amp;M338))))</f>
        <v/>
      </c>
      <c r="W338" s="26" t="str">
        <f aca="false">IF(AND($D338="",$E338="",$F338="",$G338=""),"",IF(ISNA(MATCH($D338,lst_Profil,0)),"FEHLER: Profil unbekannt",IF(ISNA(MATCH($E338,lst_Werkstoff,0)),"FEHLER: Werkstoff unbekannt",IF(NOT(ISNUMBER(L338)),"FEHLER: Querschnitt fehlt (Profil)",IF(OR($F338="",$F338&lt;=0),"FEHLER: Teilelänge fehlt",IF(OR($G338="",$G338&lt;1),"FEHLER: Stückzahl fehlt",IF(NOT(ISNUMBER($H$4)),"FEHLER: Maschine fehlt/unbekannt",IF(Q338&gt;$H$7,"FEHLER: Stange länger als Maschine zulässt",IF($F338+$H$6&gt;T338,"FEHLER: Teil länger als Nutzlänge",IF(U338="nein","WARNUNG: kein gültiger Materialpreis",IF($H338="","HINWEIS: Schneidweg fehlt",IF(V338="","HINWEIS: keine Schneiddaten",IF(AND($AF338&lt;&gt;"",$AG338=""),"HINWEIS: Gewinde-Vorschlag prüfen","OK")))))))))))))</f>
        <v/>
      </c>
      <c r="X338" s="18" t="str">
        <f aca="false">IF(OR(O338="",$G338=""),"",O338*$G338)</f>
        <v/>
      </c>
      <c r="Y338" s="10"/>
      <c r="Z338" s="21"/>
      <c r="AA338" s="10"/>
      <c r="AB338" s="21"/>
      <c r="AC338" s="21"/>
      <c r="AD338" s="21"/>
      <c r="AE338" s="10"/>
      <c r="AF338" s="10"/>
      <c r="AG338" s="10"/>
      <c r="AH338" s="22"/>
      <c r="AI338" s="21"/>
      <c r="AJ338" s="22"/>
      <c r="AK338" s="21"/>
      <c r="AL338" s="22"/>
      <c r="AM338" s="21"/>
    </row>
    <row r="339" customFormat="false" ht="15" hidden="false" customHeight="false" outlineLevel="0" collapsed="false">
      <c r="A339" s="10"/>
      <c r="B339" s="10"/>
      <c r="C339" s="10"/>
      <c r="D339" s="10"/>
      <c r="E339" s="10"/>
      <c r="F339" s="21"/>
      <c r="G339" s="19"/>
      <c r="H339" s="21"/>
      <c r="I339" s="22"/>
      <c r="J339" s="19"/>
      <c r="K339" s="23" t="str">
        <f aca="false">IF($D339="","",IFERROR(INDEX(Profile!$B$5:$B$304,MATCH($D339,lst_Profil,0)),""))</f>
        <v/>
      </c>
      <c r="L339" s="13" t="str">
        <f aca="false">IF($D339="","",IFERROR(INDEX(Profile!$K$5:$K$304,MATCH($D339,lst_Profil,0))+0,""))</f>
        <v/>
      </c>
      <c r="M339" s="24" t="str">
        <f aca="false">IF($D339="","",IFERROR(INDEX(Profile!$E$5:$E$304,MATCH($D339,lst_Profil,0))+0,""))</f>
        <v/>
      </c>
      <c r="N339" s="25" t="str">
        <f aca="false">IF(OR(L339="",$E339=""),"",IFERROR(L339*INDEX(Werkstoffe!$E$5:$E$304,MATCH($E339,lst_Werkstoff,0))/1000,""))</f>
        <v/>
      </c>
      <c r="O339" s="25" t="str">
        <f aca="false">IF(OR(N339="",$F339=""),"",N339*$F339/1000)</f>
        <v/>
      </c>
      <c r="P339" s="16" t="str">
        <f aca="false">IF(OR($F339="",$G339=""),"",$F339*$G339)</f>
        <v/>
      </c>
      <c r="Q339" s="16" t="str">
        <f aca="false">IF($D339="","",IF($J339&lt;&gt;"",$J339,$C$9))</f>
        <v/>
      </c>
      <c r="R339" s="12" t="str">
        <f aca="false">IF($D339="","",IFERROR(IF(INDEX(Profile!$G$5:$G$304,MATCH($D339,lst_Profil,0))&lt;&gt;"",INDEX(Profile!$G$5:$G$304,MATCH($D339,lst_Profil,0)),$H$4),$H$4))</f>
        <v/>
      </c>
      <c r="S339" s="12" t="str">
        <f aca="false">IF($D339="","",IFERROR(IF(INDEX(Profile!$H$5:$H$304,MATCH($D339,lst_Profil,0))&lt;&gt;"",INDEX(Profile!$H$5:$H$304,MATCH($D339,lst_Profil,0)),$H$5),$H$5))</f>
        <v/>
      </c>
      <c r="T339" s="16" t="str">
        <f aca="false">IF(OR(Q339="",NOT(ISNUMBER(R339)),NOT(ISNUMBER(S339))),"",Q339-R339-S339)</f>
        <v/>
      </c>
      <c r="U339" s="26" t="str">
        <f aca="false">IF(OR($D339="",$E339=""),"",IF(COUNTIFS(Preise!$A$5:$A$304,$D339,Preise!$B$5:$B$304,$E339,Preise!$I$5:$I$304,"OK")&gt;0,"ja","nein"))</f>
        <v/>
      </c>
      <c r="V339" s="15" t="str">
        <f aca="false">IF(OR(M339="",$E339="",$C$8=""),"",IF(_xlfn.MINIFS(Schneiddaten!$C$5:$C$304,Schneiddaten!$A$5:$A$304,$C$8,Schneiddaten!$B$5:$B$304,$E339,Schneiddaten!$C$5:$C$304,"&gt;="&amp;M339)=0,"",SUMIFS(Schneiddaten!$D$5:$D$304,Schneiddaten!$A$5:$A$304,$C$8,Schneiddaten!$B$5:$B$304,$E339,Schneiddaten!$C$5:$C$304,_xlfn.MINIFS(Schneiddaten!$C$5:$C$304,Schneiddaten!$A$5:$A$304,$C$8,Schneiddaten!$B$5:$B$304,$E339,Schneiddaten!$C$5:$C$304,"&gt;="&amp;M339))))</f>
        <v/>
      </c>
      <c r="W339" s="26" t="str">
        <f aca="false">IF(AND($D339="",$E339="",$F339="",$G339=""),"",IF(ISNA(MATCH($D339,lst_Profil,0)),"FEHLER: Profil unbekannt",IF(ISNA(MATCH($E339,lst_Werkstoff,0)),"FEHLER: Werkstoff unbekannt",IF(NOT(ISNUMBER(L339)),"FEHLER: Querschnitt fehlt (Profil)",IF(OR($F339="",$F339&lt;=0),"FEHLER: Teilelänge fehlt",IF(OR($G339="",$G339&lt;1),"FEHLER: Stückzahl fehlt",IF(NOT(ISNUMBER($H$4)),"FEHLER: Maschine fehlt/unbekannt",IF(Q339&gt;$H$7,"FEHLER: Stange länger als Maschine zulässt",IF($F339+$H$6&gt;T339,"FEHLER: Teil länger als Nutzlänge",IF(U339="nein","WARNUNG: kein gültiger Materialpreis",IF($H339="","HINWEIS: Schneidweg fehlt",IF(V339="","HINWEIS: keine Schneiddaten",IF(AND($AF339&lt;&gt;"",$AG339=""),"HINWEIS: Gewinde-Vorschlag prüfen","OK")))))))))))))</f>
        <v/>
      </c>
      <c r="X339" s="18" t="str">
        <f aca="false">IF(OR(O339="",$G339=""),"",O339*$G339)</f>
        <v/>
      </c>
      <c r="Y339" s="10"/>
      <c r="Z339" s="21"/>
      <c r="AA339" s="10"/>
      <c r="AB339" s="21"/>
      <c r="AC339" s="21"/>
      <c r="AD339" s="21"/>
      <c r="AE339" s="10"/>
      <c r="AF339" s="10"/>
      <c r="AG339" s="10"/>
      <c r="AH339" s="22"/>
      <c r="AI339" s="21"/>
      <c r="AJ339" s="22"/>
      <c r="AK339" s="21"/>
      <c r="AL339" s="22"/>
      <c r="AM339" s="21"/>
    </row>
    <row r="340" customFormat="false" ht="15" hidden="false" customHeight="false" outlineLevel="0" collapsed="false">
      <c r="A340" s="10"/>
      <c r="B340" s="10"/>
      <c r="C340" s="10"/>
      <c r="D340" s="10"/>
      <c r="E340" s="10"/>
      <c r="F340" s="21"/>
      <c r="G340" s="19"/>
      <c r="H340" s="21"/>
      <c r="I340" s="22"/>
      <c r="J340" s="19"/>
      <c r="K340" s="23" t="str">
        <f aca="false">IF($D340="","",IFERROR(INDEX(Profile!$B$5:$B$304,MATCH($D340,lst_Profil,0)),""))</f>
        <v/>
      </c>
      <c r="L340" s="13" t="str">
        <f aca="false">IF($D340="","",IFERROR(INDEX(Profile!$K$5:$K$304,MATCH($D340,lst_Profil,0))+0,""))</f>
        <v/>
      </c>
      <c r="M340" s="24" t="str">
        <f aca="false">IF($D340="","",IFERROR(INDEX(Profile!$E$5:$E$304,MATCH($D340,lst_Profil,0))+0,""))</f>
        <v/>
      </c>
      <c r="N340" s="25" t="str">
        <f aca="false">IF(OR(L340="",$E340=""),"",IFERROR(L340*INDEX(Werkstoffe!$E$5:$E$304,MATCH($E340,lst_Werkstoff,0))/1000,""))</f>
        <v/>
      </c>
      <c r="O340" s="25" t="str">
        <f aca="false">IF(OR(N340="",$F340=""),"",N340*$F340/1000)</f>
        <v/>
      </c>
      <c r="P340" s="16" t="str">
        <f aca="false">IF(OR($F340="",$G340=""),"",$F340*$G340)</f>
        <v/>
      </c>
      <c r="Q340" s="16" t="str">
        <f aca="false">IF($D340="","",IF($J340&lt;&gt;"",$J340,$C$9))</f>
        <v/>
      </c>
      <c r="R340" s="12" t="str">
        <f aca="false">IF($D340="","",IFERROR(IF(INDEX(Profile!$G$5:$G$304,MATCH($D340,lst_Profil,0))&lt;&gt;"",INDEX(Profile!$G$5:$G$304,MATCH($D340,lst_Profil,0)),$H$4),$H$4))</f>
        <v/>
      </c>
      <c r="S340" s="12" t="str">
        <f aca="false">IF($D340="","",IFERROR(IF(INDEX(Profile!$H$5:$H$304,MATCH($D340,lst_Profil,0))&lt;&gt;"",INDEX(Profile!$H$5:$H$304,MATCH($D340,lst_Profil,0)),$H$5),$H$5))</f>
        <v/>
      </c>
      <c r="T340" s="16" t="str">
        <f aca="false">IF(OR(Q340="",NOT(ISNUMBER(R340)),NOT(ISNUMBER(S340))),"",Q340-R340-S340)</f>
        <v/>
      </c>
      <c r="U340" s="26" t="str">
        <f aca="false">IF(OR($D340="",$E340=""),"",IF(COUNTIFS(Preise!$A$5:$A$304,$D340,Preise!$B$5:$B$304,$E340,Preise!$I$5:$I$304,"OK")&gt;0,"ja","nein"))</f>
        <v/>
      </c>
      <c r="V340" s="15" t="str">
        <f aca="false">IF(OR(M340="",$E340="",$C$8=""),"",IF(_xlfn.MINIFS(Schneiddaten!$C$5:$C$304,Schneiddaten!$A$5:$A$304,$C$8,Schneiddaten!$B$5:$B$304,$E340,Schneiddaten!$C$5:$C$304,"&gt;="&amp;M340)=0,"",SUMIFS(Schneiddaten!$D$5:$D$304,Schneiddaten!$A$5:$A$304,$C$8,Schneiddaten!$B$5:$B$304,$E340,Schneiddaten!$C$5:$C$304,_xlfn.MINIFS(Schneiddaten!$C$5:$C$304,Schneiddaten!$A$5:$A$304,$C$8,Schneiddaten!$B$5:$B$304,$E340,Schneiddaten!$C$5:$C$304,"&gt;="&amp;M340))))</f>
        <v/>
      </c>
      <c r="W340" s="26" t="str">
        <f aca="false">IF(AND($D340="",$E340="",$F340="",$G340=""),"",IF(ISNA(MATCH($D340,lst_Profil,0)),"FEHLER: Profil unbekannt",IF(ISNA(MATCH($E340,lst_Werkstoff,0)),"FEHLER: Werkstoff unbekannt",IF(NOT(ISNUMBER(L340)),"FEHLER: Querschnitt fehlt (Profil)",IF(OR($F340="",$F340&lt;=0),"FEHLER: Teilelänge fehlt",IF(OR($G340="",$G340&lt;1),"FEHLER: Stückzahl fehlt",IF(NOT(ISNUMBER($H$4)),"FEHLER: Maschine fehlt/unbekannt",IF(Q340&gt;$H$7,"FEHLER: Stange länger als Maschine zulässt",IF($F340+$H$6&gt;T340,"FEHLER: Teil länger als Nutzlänge",IF(U340="nein","WARNUNG: kein gültiger Materialpreis",IF($H340="","HINWEIS: Schneidweg fehlt",IF(V340="","HINWEIS: keine Schneiddaten",IF(AND($AF340&lt;&gt;"",$AG340=""),"HINWEIS: Gewinde-Vorschlag prüfen","OK")))))))))))))</f>
        <v/>
      </c>
      <c r="X340" s="18" t="str">
        <f aca="false">IF(OR(O340="",$G340=""),"",O340*$G340)</f>
        <v/>
      </c>
      <c r="Y340" s="10"/>
      <c r="Z340" s="21"/>
      <c r="AA340" s="10"/>
      <c r="AB340" s="21"/>
      <c r="AC340" s="21"/>
      <c r="AD340" s="21"/>
      <c r="AE340" s="10"/>
      <c r="AF340" s="10"/>
      <c r="AG340" s="10"/>
      <c r="AH340" s="22"/>
      <c r="AI340" s="21"/>
      <c r="AJ340" s="22"/>
      <c r="AK340" s="21"/>
      <c r="AL340" s="22"/>
      <c r="AM340" s="21"/>
    </row>
    <row r="341" customFormat="false" ht="15" hidden="false" customHeight="false" outlineLevel="0" collapsed="false">
      <c r="A341" s="10"/>
      <c r="B341" s="10"/>
      <c r="C341" s="10"/>
      <c r="D341" s="10"/>
      <c r="E341" s="10"/>
      <c r="F341" s="21"/>
      <c r="G341" s="19"/>
      <c r="H341" s="21"/>
      <c r="I341" s="22"/>
      <c r="J341" s="19"/>
      <c r="K341" s="23" t="str">
        <f aca="false">IF($D341="","",IFERROR(INDEX(Profile!$B$5:$B$304,MATCH($D341,lst_Profil,0)),""))</f>
        <v/>
      </c>
      <c r="L341" s="13" t="str">
        <f aca="false">IF($D341="","",IFERROR(INDEX(Profile!$K$5:$K$304,MATCH($D341,lst_Profil,0))+0,""))</f>
        <v/>
      </c>
      <c r="M341" s="24" t="str">
        <f aca="false">IF($D341="","",IFERROR(INDEX(Profile!$E$5:$E$304,MATCH($D341,lst_Profil,0))+0,""))</f>
        <v/>
      </c>
      <c r="N341" s="25" t="str">
        <f aca="false">IF(OR(L341="",$E341=""),"",IFERROR(L341*INDEX(Werkstoffe!$E$5:$E$304,MATCH($E341,lst_Werkstoff,0))/1000,""))</f>
        <v/>
      </c>
      <c r="O341" s="25" t="str">
        <f aca="false">IF(OR(N341="",$F341=""),"",N341*$F341/1000)</f>
        <v/>
      </c>
      <c r="P341" s="16" t="str">
        <f aca="false">IF(OR($F341="",$G341=""),"",$F341*$G341)</f>
        <v/>
      </c>
      <c r="Q341" s="16" t="str">
        <f aca="false">IF($D341="","",IF($J341&lt;&gt;"",$J341,$C$9))</f>
        <v/>
      </c>
      <c r="R341" s="12" t="str">
        <f aca="false">IF($D341="","",IFERROR(IF(INDEX(Profile!$G$5:$G$304,MATCH($D341,lst_Profil,0))&lt;&gt;"",INDEX(Profile!$G$5:$G$304,MATCH($D341,lst_Profil,0)),$H$4),$H$4))</f>
        <v/>
      </c>
      <c r="S341" s="12" t="str">
        <f aca="false">IF($D341="","",IFERROR(IF(INDEX(Profile!$H$5:$H$304,MATCH($D341,lst_Profil,0))&lt;&gt;"",INDEX(Profile!$H$5:$H$304,MATCH($D341,lst_Profil,0)),$H$5),$H$5))</f>
        <v/>
      </c>
      <c r="T341" s="16" t="str">
        <f aca="false">IF(OR(Q341="",NOT(ISNUMBER(R341)),NOT(ISNUMBER(S341))),"",Q341-R341-S341)</f>
        <v/>
      </c>
      <c r="U341" s="26" t="str">
        <f aca="false">IF(OR($D341="",$E341=""),"",IF(COUNTIFS(Preise!$A$5:$A$304,$D341,Preise!$B$5:$B$304,$E341,Preise!$I$5:$I$304,"OK")&gt;0,"ja","nein"))</f>
        <v/>
      </c>
      <c r="V341" s="15" t="str">
        <f aca="false">IF(OR(M341="",$E341="",$C$8=""),"",IF(_xlfn.MINIFS(Schneiddaten!$C$5:$C$304,Schneiddaten!$A$5:$A$304,$C$8,Schneiddaten!$B$5:$B$304,$E341,Schneiddaten!$C$5:$C$304,"&gt;="&amp;M341)=0,"",SUMIFS(Schneiddaten!$D$5:$D$304,Schneiddaten!$A$5:$A$304,$C$8,Schneiddaten!$B$5:$B$304,$E341,Schneiddaten!$C$5:$C$304,_xlfn.MINIFS(Schneiddaten!$C$5:$C$304,Schneiddaten!$A$5:$A$304,$C$8,Schneiddaten!$B$5:$B$304,$E341,Schneiddaten!$C$5:$C$304,"&gt;="&amp;M341))))</f>
        <v/>
      </c>
      <c r="W341" s="26" t="str">
        <f aca="false">IF(AND($D341="",$E341="",$F341="",$G341=""),"",IF(ISNA(MATCH($D341,lst_Profil,0)),"FEHLER: Profil unbekannt",IF(ISNA(MATCH($E341,lst_Werkstoff,0)),"FEHLER: Werkstoff unbekannt",IF(NOT(ISNUMBER(L341)),"FEHLER: Querschnitt fehlt (Profil)",IF(OR($F341="",$F341&lt;=0),"FEHLER: Teilelänge fehlt",IF(OR($G341="",$G341&lt;1),"FEHLER: Stückzahl fehlt",IF(NOT(ISNUMBER($H$4)),"FEHLER: Maschine fehlt/unbekannt",IF(Q341&gt;$H$7,"FEHLER: Stange länger als Maschine zulässt",IF($F341+$H$6&gt;T341,"FEHLER: Teil länger als Nutzlänge",IF(U341="nein","WARNUNG: kein gültiger Materialpreis",IF($H341="","HINWEIS: Schneidweg fehlt",IF(V341="","HINWEIS: keine Schneiddaten",IF(AND($AF341&lt;&gt;"",$AG341=""),"HINWEIS: Gewinde-Vorschlag prüfen","OK")))))))))))))</f>
        <v/>
      </c>
      <c r="X341" s="18" t="str">
        <f aca="false">IF(OR(O341="",$G341=""),"",O341*$G341)</f>
        <v/>
      </c>
      <c r="Y341" s="10"/>
      <c r="Z341" s="21"/>
      <c r="AA341" s="10"/>
      <c r="AB341" s="21"/>
      <c r="AC341" s="21"/>
      <c r="AD341" s="21"/>
      <c r="AE341" s="10"/>
      <c r="AF341" s="10"/>
      <c r="AG341" s="10"/>
      <c r="AH341" s="22"/>
      <c r="AI341" s="21"/>
      <c r="AJ341" s="22"/>
      <c r="AK341" s="21"/>
      <c r="AL341" s="22"/>
      <c r="AM341" s="21"/>
    </row>
    <row r="342" customFormat="false" ht="15" hidden="false" customHeight="false" outlineLevel="0" collapsed="false">
      <c r="A342" s="10"/>
      <c r="B342" s="10"/>
      <c r="C342" s="10"/>
      <c r="D342" s="10"/>
      <c r="E342" s="10"/>
      <c r="F342" s="21"/>
      <c r="G342" s="19"/>
      <c r="H342" s="21"/>
      <c r="I342" s="22"/>
      <c r="J342" s="19"/>
      <c r="K342" s="23" t="str">
        <f aca="false">IF($D342="","",IFERROR(INDEX(Profile!$B$5:$B$304,MATCH($D342,lst_Profil,0)),""))</f>
        <v/>
      </c>
      <c r="L342" s="13" t="str">
        <f aca="false">IF($D342="","",IFERROR(INDEX(Profile!$K$5:$K$304,MATCH($D342,lst_Profil,0))+0,""))</f>
        <v/>
      </c>
      <c r="M342" s="24" t="str">
        <f aca="false">IF($D342="","",IFERROR(INDEX(Profile!$E$5:$E$304,MATCH($D342,lst_Profil,0))+0,""))</f>
        <v/>
      </c>
      <c r="N342" s="25" t="str">
        <f aca="false">IF(OR(L342="",$E342=""),"",IFERROR(L342*INDEX(Werkstoffe!$E$5:$E$304,MATCH($E342,lst_Werkstoff,0))/1000,""))</f>
        <v/>
      </c>
      <c r="O342" s="25" t="str">
        <f aca="false">IF(OR(N342="",$F342=""),"",N342*$F342/1000)</f>
        <v/>
      </c>
      <c r="P342" s="16" t="str">
        <f aca="false">IF(OR($F342="",$G342=""),"",$F342*$G342)</f>
        <v/>
      </c>
      <c r="Q342" s="16" t="str">
        <f aca="false">IF($D342="","",IF($J342&lt;&gt;"",$J342,$C$9))</f>
        <v/>
      </c>
      <c r="R342" s="12" t="str">
        <f aca="false">IF($D342="","",IFERROR(IF(INDEX(Profile!$G$5:$G$304,MATCH($D342,lst_Profil,0))&lt;&gt;"",INDEX(Profile!$G$5:$G$304,MATCH($D342,lst_Profil,0)),$H$4),$H$4))</f>
        <v/>
      </c>
      <c r="S342" s="12" t="str">
        <f aca="false">IF($D342="","",IFERROR(IF(INDEX(Profile!$H$5:$H$304,MATCH($D342,lst_Profil,0))&lt;&gt;"",INDEX(Profile!$H$5:$H$304,MATCH($D342,lst_Profil,0)),$H$5),$H$5))</f>
        <v/>
      </c>
      <c r="T342" s="16" t="str">
        <f aca="false">IF(OR(Q342="",NOT(ISNUMBER(R342)),NOT(ISNUMBER(S342))),"",Q342-R342-S342)</f>
        <v/>
      </c>
      <c r="U342" s="26" t="str">
        <f aca="false">IF(OR($D342="",$E342=""),"",IF(COUNTIFS(Preise!$A$5:$A$304,$D342,Preise!$B$5:$B$304,$E342,Preise!$I$5:$I$304,"OK")&gt;0,"ja","nein"))</f>
        <v/>
      </c>
      <c r="V342" s="15" t="str">
        <f aca="false">IF(OR(M342="",$E342="",$C$8=""),"",IF(_xlfn.MINIFS(Schneiddaten!$C$5:$C$304,Schneiddaten!$A$5:$A$304,$C$8,Schneiddaten!$B$5:$B$304,$E342,Schneiddaten!$C$5:$C$304,"&gt;="&amp;M342)=0,"",SUMIFS(Schneiddaten!$D$5:$D$304,Schneiddaten!$A$5:$A$304,$C$8,Schneiddaten!$B$5:$B$304,$E342,Schneiddaten!$C$5:$C$304,_xlfn.MINIFS(Schneiddaten!$C$5:$C$304,Schneiddaten!$A$5:$A$304,$C$8,Schneiddaten!$B$5:$B$304,$E342,Schneiddaten!$C$5:$C$304,"&gt;="&amp;M342))))</f>
        <v/>
      </c>
      <c r="W342" s="26" t="str">
        <f aca="false">IF(AND($D342="",$E342="",$F342="",$G342=""),"",IF(ISNA(MATCH($D342,lst_Profil,0)),"FEHLER: Profil unbekannt",IF(ISNA(MATCH($E342,lst_Werkstoff,0)),"FEHLER: Werkstoff unbekannt",IF(NOT(ISNUMBER(L342)),"FEHLER: Querschnitt fehlt (Profil)",IF(OR($F342="",$F342&lt;=0),"FEHLER: Teilelänge fehlt",IF(OR($G342="",$G342&lt;1),"FEHLER: Stückzahl fehlt",IF(NOT(ISNUMBER($H$4)),"FEHLER: Maschine fehlt/unbekannt",IF(Q342&gt;$H$7,"FEHLER: Stange länger als Maschine zulässt",IF($F342+$H$6&gt;T342,"FEHLER: Teil länger als Nutzlänge",IF(U342="nein","WARNUNG: kein gültiger Materialpreis",IF($H342="","HINWEIS: Schneidweg fehlt",IF(V342="","HINWEIS: keine Schneiddaten",IF(AND($AF342&lt;&gt;"",$AG342=""),"HINWEIS: Gewinde-Vorschlag prüfen","OK")))))))))))))</f>
        <v/>
      </c>
      <c r="X342" s="18" t="str">
        <f aca="false">IF(OR(O342="",$G342=""),"",O342*$G342)</f>
        <v/>
      </c>
      <c r="Y342" s="10"/>
      <c r="Z342" s="21"/>
      <c r="AA342" s="10"/>
      <c r="AB342" s="21"/>
      <c r="AC342" s="21"/>
      <c r="AD342" s="21"/>
      <c r="AE342" s="10"/>
      <c r="AF342" s="10"/>
      <c r="AG342" s="10"/>
      <c r="AH342" s="22"/>
      <c r="AI342" s="21"/>
      <c r="AJ342" s="22"/>
      <c r="AK342" s="21"/>
      <c r="AL342" s="22"/>
      <c r="AM342" s="21"/>
    </row>
    <row r="343" customFormat="false" ht="15" hidden="false" customHeight="false" outlineLevel="0" collapsed="false">
      <c r="A343" s="10"/>
      <c r="B343" s="10"/>
      <c r="C343" s="10"/>
      <c r="D343" s="10"/>
      <c r="E343" s="10"/>
      <c r="F343" s="21"/>
      <c r="G343" s="19"/>
      <c r="H343" s="21"/>
      <c r="I343" s="22"/>
      <c r="J343" s="19"/>
      <c r="K343" s="23" t="str">
        <f aca="false">IF($D343="","",IFERROR(INDEX(Profile!$B$5:$B$304,MATCH($D343,lst_Profil,0)),""))</f>
        <v/>
      </c>
      <c r="L343" s="13" t="str">
        <f aca="false">IF($D343="","",IFERROR(INDEX(Profile!$K$5:$K$304,MATCH($D343,lst_Profil,0))+0,""))</f>
        <v/>
      </c>
      <c r="M343" s="24" t="str">
        <f aca="false">IF($D343="","",IFERROR(INDEX(Profile!$E$5:$E$304,MATCH($D343,lst_Profil,0))+0,""))</f>
        <v/>
      </c>
      <c r="N343" s="25" t="str">
        <f aca="false">IF(OR(L343="",$E343=""),"",IFERROR(L343*INDEX(Werkstoffe!$E$5:$E$304,MATCH($E343,lst_Werkstoff,0))/1000,""))</f>
        <v/>
      </c>
      <c r="O343" s="25" t="str">
        <f aca="false">IF(OR(N343="",$F343=""),"",N343*$F343/1000)</f>
        <v/>
      </c>
      <c r="P343" s="16" t="str">
        <f aca="false">IF(OR($F343="",$G343=""),"",$F343*$G343)</f>
        <v/>
      </c>
      <c r="Q343" s="16" t="str">
        <f aca="false">IF($D343="","",IF($J343&lt;&gt;"",$J343,$C$9))</f>
        <v/>
      </c>
      <c r="R343" s="12" t="str">
        <f aca="false">IF($D343="","",IFERROR(IF(INDEX(Profile!$G$5:$G$304,MATCH($D343,lst_Profil,0))&lt;&gt;"",INDEX(Profile!$G$5:$G$304,MATCH($D343,lst_Profil,0)),$H$4),$H$4))</f>
        <v/>
      </c>
      <c r="S343" s="12" t="str">
        <f aca="false">IF($D343="","",IFERROR(IF(INDEX(Profile!$H$5:$H$304,MATCH($D343,lst_Profil,0))&lt;&gt;"",INDEX(Profile!$H$5:$H$304,MATCH($D343,lst_Profil,0)),$H$5),$H$5))</f>
        <v/>
      </c>
      <c r="T343" s="16" t="str">
        <f aca="false">IF(OR(Q343="",NOT(ISNUMBER(R343)),NOT(ISNUMBER(S343))),"",Q343-R343-S343)</f>
        <v/>
      </c>
      <c r="U343" s="26" t="str">
        <f aca="false">IF(OR($D343="",$E343=""),"",IF(COUNTIFS(Preise!$A$5:$A$304,$D343,Preise!$B$5:$B$304,$E343,Preise!$I$5:$I$304,"OK")&gt;0,"ja","nein"))</f>
        <v/>
      </c>
      <c r="V343" s="15" t="str">
        <f aca="false">IF(OR(M343="",$E343="",$C$8=""),"",IF(_xlfn.MINIFS(Schneiddaten!$C$5:$C$304,Schneiddaten!$A$5:$A$304,$C$8,Schneiddaten!$B$5:$B$304,$E343,Schneiddaten!$C$5:$C$304,"&gt;="&amp;M343)=0,"",SUMIFS(Schneiddaten!$D$5:$D$304,Schneiddaten!$A$5:$A$304,$C$8,Schneiddaten!$B$5:$B$304,$E343,Schneiddaten!$C$5:$C$304,_xlfn.MINIFS(Schneiddaten!$C$5:$C$304,Schneiddaten!$A$5:$A$304,$C$8,Schneiddaten!$B$5:$B$304,$E343,Schneiddaten!$C$5:$C$304,"&gt;="&amp;M343))))</f>
        <v/>
      </c>
      <c r="W343" s="26" t="str">
        <f aca="false">IF(AND($D343="",$E343="",$F343="",$G343=""),"",IF(ISNA(MATCH($D343,lst_Profil,0)),"FEHLER: Profil unbekannt",IF(ISNA(MATCH($E343,lst_Werkstoff,0)),"FEHLER: Werkstoff unbekannt",IF(NOT(ISNUMBER(L343)),"FEHLER: Querschnitt fehlt (Profil)",IF(OR($F343="",$F343&lt;=0),"FEHLER: Teilelänge fehlt",IF(OR($G343="",$G343&lt;1),"FEHLER: Stückzahl fehlt",IF(NOT(ISNUMBER($H$4)),"FEHLER: Maschine fehlt/unbekannt",IF(Q343&gt;$H$7,"FEHLER: Stange länger als Maschine zulässt",IF($F343+$H$6&gt;T343,"FEHLER: Teil länger als Nutzlänge",IF(U343="nein","WARNUNG: kein gültiger Materialpreis",IF($H343="","HINWEIS: Schneidweg fehlt",IF(V343="","HINWEIS: keine Schneiddaten",IF(AND($AF343&lt;&gt;"",$AG343=""),"HINWEIS: Gewinde-Vorschlag prüfen","OK")))))))))))))</f>
        <v/>
      </c>
      <c r="X343" s="18" t="str">
        <f aca="false">IF(OR(O343="",$G343=""),"",O343*$G343)</f>
        <v/>
      </c>
      <c r="Y343" s="10"/>
      <c r="Z343" s="21"/>
      <c r="AA343" s="10"/>
      <c r="AB343" s="21"/>
      <c r="AC343" s="21"/>
      <c r="AD343" s="21"/>
      <c r="AE343" s="10"/>
      <c r="AF343" s="10"/>
      <c r="AG343" s="10"/>
      <c r="AH343" s="22"/>
      <c r="AI343" s="21"/>
      <c r="AJ343" s="22"/>
      <c r="AK343" s="21"/>
      <c r="AL343" s="22"/>
      <c r="AM343" s="21"/>
    </row>
    <row r="344" customFormat="false" ht="15" hidden="false" customHeight="false" outlineLevel="0" collapsed="false">
      <c r="A344" s="10"/>
      <c r="B344" s="10"/>
      <c r="C344" s="10"/>
      <c r="D344" s="10"/>
      <c r="E344" s="10"/>
      <c r="F344" s="21"/>
      <c r="G344" s="19"/>
      <c r="H344" s="21"/>
      <c r="I344" s="22"/>
      <c r="J344" s="19"/>
      <c r="K344" s="23" t="str">
        <f aca="false">IF($D344="","",IFERROR(INDEX(Profile!$B$5:$B$304,MATCH($D344,lst_Profil,0)),""))</f>
        <v/>
      </c>
      <c r="L344" s="13" t="str">
        <f aca="false">IF($D344="","",IFERROR(INDEX(Profile!$K$5:$K$304,MATCH($D344,lst_Profil,0))+0,""))</f>
        <v/>
      </c>
      <c r="M344" s="24" t="str">
        <f aca="false">IF($D344="","",IFERROR(INDEX(Profile!$E$5:$E$304,MATCH($D344,lst_Profil,0))+0,""))</f>
        <v/>
      </c>
      <c r="N344" s="25" t="str">
        <f aca="false">IF(OR(L344="",$E344=""),"",IFERROR(L344*INDEX(Werkstoffe!$E$5:$E$304,MATCH($E344,lst_Werkstoff,0))/1000,""))</f>
        <v/>
      </c>
      <c r="O344" s="25" t="str">
        <f aca="false">IF(OR(N344="",$F344=""),"",N344*$F344/1000)</f>
        <v/>
      </c>
      <c r="P344" s="16" t="str">
        <f aca="false">IF(OR($F344="",$G344=""),"",$F344*$G344)</f>
        <v/>
      </c>
      <c r="Q344" s="16" t="str">
        <f aca="false">IF($D344="","",IF($J344&lt;&gt;"",$J344,$C$9))</f>
        <v/>
      </c>
      <c r="R344" s="12" t="str">
        <f aca="false">IF($D344="","",IFERROR(IF(INDEX(Profile!$G$5:$G$304,MATCH($D344,lst_Profil,0))&lt;&gt;"",INDEX(Profile!$G$5:$G$304,MATCH($D344,lst_Profil,0)),$H$4),$H$4))</f>
        <v/>
      </c>
      <c r="S344" s="12" t="str">
        <f aca="false">IF($D344="","",IFERROR(IF(INDEX(Profile!$H$5:$H$304,MATCH($D344,lst_Profil,0))&lt;&gt;"",INDEX(Profile!$H$5:$H$304,MATCH($D344,lst_Profil,0)),$H$5),$H$5))</f>
        <v/>
      </c>
      <c r="T344" s="16" t="str">
        <f aca="false">IF(OR(Q344="",NOT(ISNUMBER(R344)),NOT(ISNUMBER(S344))),"",Q344-R344-S344)</f>
        <v/>
      </c>
      <c r="U344" s="26" t="str">
        <f aca="false">IF(OR($D344="",$E344=""),"",IF(COUNTIFS(Preise!$A$5:$A$304,$D344,Preise!$B$5:$B$304,$E344,Preise!$I$5:$I$304,"OK")&gt;0,"ja","nein"))</f>
        <v/>
      </c>
      <c r="V344" s="15" t="str">
        <f aca="false">IF(OR(M344="",$E344="",$C$8=""),"",IF(_xlfn.MINIFS(Schneiddaten!$C$5:$C$304,Schneiddaten!$A$5:$A$304,$C$8,Schneiddaten!$B$5:$B$304,$E344,Schneiddaten!$C$5:$C$304,"&gt;="&amp;M344)=0,"",SUMIFS(Schneiddaten!$D$5:$D$304,Schneiddaten!$A$5:$A$304,$C$8,Schneiddaten!$B$5:$B$304,$E344,Schneiddaten!$C$5:$C$304,_xlfn.MINIFS(Schneiddaten!$C$5:$C$304,Schneiddaten!$A$5:$A$304,$C$8,Schneiddaten!$B$5:$B$304,$E344,Schneiddaten!$C$5:$C$304,"&gt;="&amp;M344))))</f>
        <v/>
      </c>
      <c r="W344" s="26" t="str">
        <f aca="false">IF(AND($D344="",$E344="",$F344="",$G344=""),"",IF(ISNA(MATCH($D344,lst_Profil,0)),"FEHLER: Profil unbekannt",IF(ISNA(MATCH($E344,lst_Werkstoff,0)),"FEHLER: Werkstoff unbekannt",IF(NOT(ISNUMBER(L344)),"FEHLER: Querschnitt fehlt (Profil)",IF(OR($F344="",$F344&lt;=0),"FEHLER: Teilelänge fehlt",IF(OR($G344="",$G344&lt;1),"FEHLER: Stückzahl fehlt",IF(NOT(ISNUMBER($H$4)),"FEHLER: Maschine fehlt/unbekannt",IF(Q344&gt;$H$7,"FEHLER: Stange länger als Maschine zulässt",IF($F344+$H$6&gt;T344,"FEHLER: Teil länger als Nutzlänge",IF(U344="nein","WARNUNG: kein gültiger Materialpreis",IF($H344="","HINWEIS: Schneidweg fehlt",IF(V344="","HINWEIS: keine Schneiddaten",IF(AND($AF344&lt;&gt;"",$AG344=""),"HINWEIS: Gewinde-Vorschlag prüfen","OK")))))))))))))</f>
        <v/>
      </c>
      <c r="X344" s="18" t="str">
        <f aca="false">IF(OR(O344="",$G344=""),"",O344*$G344)</f>
        <v/>
      </c>
      <c r="Y344" s="10"/>
      <c r="Z344" s="21"/>
      <c r="AA344" s="10"/>
      <c r="AB344" s="21"/>
      <c r="AC344" s="21"/>
      <c r="AD344" s="21"/>
      <c r="AE344" s="10"/>
      <c r="AF344" s="10"/>
      <c r="AG344" s="10"/>
      <c r="AH344" s="22"/>
      <c r="AI344" s="21"/>
      <c r="AJ344" s="22"/>
      <c r="AK344" s="21"/>
      <c r="AL344" s="22"/>
      <c r="AM344" s="21"/>
    </row>
    <row r="345" customFormat="false" ht="15" hidden="false" customHeight="false" outlineLevel="0" collapsed="false">
      <c r="A345" s="10"/>
      <c r="B345" s="10"/>
      <c r="C345" s="10"/>
      <c r="D345" s="10"/>
      <c r="E345" s="10"/>
      <c r="F345" s="21"/>
      <c r="G345" s="19"/>
      <c r="H345" s="21"/>
      <c r="I345" s="22"/>
      <c r="J345" s="19"/>
      <c r="K345" s="23" t="str">
        <f aca="false">IF($D345="","",IFERROR(INDEX(Profile!$B$5:$B$304,MATCH($D345,lst_Profil,0)),""))</f>
        <v/>
      </c>
      <c r="L345" s="13" t="str">
        <f aca="false">IF($D345="","",IFERROR(INDEX(Profile!$K$5:$K$304,MATCH($D345,lst_Profil,0))+0,""))</f>
        <v/>
      </c>
      <c r="M345" s="24" t="str">
        <f aca="false">IF($D345="","",IFERROR(INDEX(Profile!$E$5:$E$304,MATCH($D345,lst_Profil,0))+0,""))</f>
        <v/>
      </c>
      <c r="N345" s="25" t="str">
        <f aca="false">IF(OR(L345="",$E345=""),"",IFERROR(L345*INDEX(Werkstoffe!$E$5:$E$304,MATCH($E345,lst_Werkstoff,0))/1000,""))</f>
        <v/>
      </c>
      <c r="O345" s="25" t="str">
        <f aca="false">IF(OR(N345="",$F345=""),"",N345*$F345/1000)</f>
        <v/>
      </c>
      <c r="P345" s="16" t="str">
        <f aca="false">IF(OR($F345="",$G345=""),"",$F345*$G345)</f>
        <v/>
      </c>
      <c r="Q345" s="16" t="str">
        <f aca="false">IF($D345="","",IF($J345&lt;&gt;"",$J345,$C$9))</f>
        <v/>
      </c>
      <c r="R345" s="12" t="str">
        <f aca="false">IF($D345="","",IFERROR(IF(INDEX(Profile!$G$5:$G$304,MATCH($D345,lst_Profil,0))&lt;&gt;"",INDEX(Profile!$G$5:$G$304,MATCH($D345,lst_Profil,0)),$H$4),$H$4))</f>
        <v/>
      </c>
      <c r="S345" s="12" t="str">
        <f aca="false">IF($D345="","",IFERROR(IF(INDEX(Profile!$H$5:$H$304,MATCH($D345,lst_Profil,0))&lt;&gt;"",INDEX(Profile!$H$5:$H$304,MATCH($D345,lst_Profil,0)),$H$5),$H$5))</f>
        <v/>
      </c>
      <c r="T345" s="16" t="str">
        <f aca="false">IF(OR(Q345="",NOT(ISNUMBER(R345)),NOT(ISNUMBER(S345))),"",Q345-R345-S345)</f>
        <v/>
      </c>
      <c r="U345" s="26" t="str">
        <f aca="false">IF(OR($D345="",$E345=""),"",IF(COUNTIFS(Preise!$A$5:$A$304,$D345,Preise!$B$5:$B$304,$E345,Preise!$I$5:$I$304,"OK")&gt;0,"ja","nein"))</f>
        <v/>
      </c>
      <c r="V345" s="15" t="str">
        <f aca="false">IF(OR(M345="",$E345="",$C$8=""),"",IF(_xlfn.MINIFS(Schneiddaten!$C$5:$C$304,Schneiddaten!$A$5:$A$304,$C$8,Schneiddaten!$B$5:$B$304,$E345,Schneiddaten!$C$5:$C$304,"&gt;="&amp;M345)=0,"",SUMIFS(Schneiddaten!$D$5:$D$304,Schneiddaten!$A$5:$A$304,$C$8,Schneiddaten!$B$5:$B$304,$E345,Schneiddaten!$C$5:$C$304,_xlfn.MINIFS(Schneiddaten!$C$5:$C$304,Schneiddaten!$A$5:$A$304,$C$8,Schneiddaten!$B$5:$B$304,$E345,Schneiddaten!$C$5:$C$304,"&gt;="&amp;M345))))</f>
        <v/>
      </c>
      <c r="W345" s="26" t="str">
        <f aca="false">IF(AND($D345="",$E345="",$F345="",$G345=""),"",IF(ISNA(MATCH($D345,lst_Profil,0)),"FEHLER: Profil unbekannt",IF(ISNA(MATCH($E345,lst_Werkstoff,0)),"FEHLER: Werkstoff unbekannt",IF(NOT(ISNUMBER(L345)),"FEHLER: Querschnitt fehlt (Profil)",IF(OR($F345="",$F345&lt;=0),"FEHLER: Teilelänge fehlt",IF(OR($G345="",$G345&lt;1),"FEHLER: Stückzahl fehlt",IF(NOT(ISNUMBER($H$4)),"FEHLER: Maschine fehlt/unbekannt",IF(Q345&gt;$H$7,"FEHLER: Stange länger als Maschine zulässt",IF($F345+$H$6&gt;T345,"FEHLER: Teil länger als Nutzlänge",IF(U345="nein","WARNUNG: kein gültiger Materialpreis",IF($H345="","HINWEIS: Schneidweg fehlt",IF(V345="","HINWEIS: keine Schneiddaten",IF(AND($AF345&lt;&gt;"",$AG345=""),"HINWEIS: Gewinde-Vorschlag prüfen","OK")))))))))))))</f>
        <v/>
      </c>
      <c r="X345" s="18" t="str">
        <f aca="false">IF(OR(O345="",$G345=""),"",O345*$G345)</f>
        <v/>
      </c>
      <c r="Y345" s="10"/>
      <c r="Z345" s="21"/>
      <c r="AA345" s="10"/>
      <c r="AB345" s="21"/>
      <c r="AC345" s="21"/>
      <c r="AD345" s="21"/>
      <c r="AE345" s="10"/>
      <c r="AF345" s="10"/>
      <c r="AG345" s="10"/>
      <c r="AH345" s="22"/>
      <c r="AI345" s="21"/>
      <c r="AJ345" s="22"/>
      <c r="AK345" s="21"/>
      <c r="AL345" s="22"/>
      <c r="AM345" s="21"/>
    </row>
    <row r="346" customFormat="false" ht="15" hidden="false" customHeight="false" outlineLevel="0" collapsed="false">
      <c r="A346" s="10"/>
      <c r="B346" s="10"/>
      <c r="C346" s="10"/>
      <c r="D346" s="10"/>
      <c r="E346" s="10"/>
      <c r="F346" s="21"/>
      <c r="G346" s="19"/>
      <c r="H346" s="21"/>
      <c r="I346" s="22"/>
      <c r="J346" s="19"/>
      <c r="K346" s="23" t="str">
        <f aca="false">IF($D346="","",IFERROR(INDEX(Profile!$B$5:$B$304,MATCH($D346,lst_Profil,0)),""))</f>
        <v/>
      </c>
      <c r="L346" s="13" t="str">
        <f aca="false">IF($D346="","",IFERROR(INDEX(Profile!$K$5:$K$304,MATCH($D346,lst_Profil,0))+0,""))</f>
        <v/>
      </c>
      <c r="M346" s="24" t="str">
        <f aca="false">IF($D346="","",IFERROR(INDEX(Profile!$E$5:$E$304,MATCH($D346,lst_Profil,0))+0,""))</f>
        <v/>
      </c>
      <c r="N346" s="25" t="str">
        <f aca="false">IF(OR(L346="",$E346=""),"",IFERROR(L346*INDEX(Werkstoffe!$E$5:$E$304,MATCH($E346,lst_Werkstoff,0))/1000,""))</f>
        <v/>
      </c>
      <c r="O346" s="25" t="str">
        <f aca="false">IF(OR(N346="",$F346=""),"",N346*$F346/1000)</f>
        <v/>
      </c>
      <c r="P346" s="16" t="str">
        <f aca="false">IF(OR($F346="",$G346=""),"",$F346*$G346)</f>
        <v/>
      </c>
      <c r="Q346" s="16" t="str">
        <f aca="false">IF($D346="","",IF($J346&lt;&gt;"",$J346,$C$9))</f>
        <v/>
      </c>
      <c r="R346" s="12" t="str">
        <f aca="false">IF($D346="","",IFERROR(IF(INDEX(Profile!$G$5:$G$304,MATCH($D346,lst_Profil,0))&lt;&gt;"",INDEX(Profile!$G$5:$G$304,MATCH($D346,lst_Profil,0)),$H$4),$H$4))</f>
        <v/>
      </c>
      <c r="S346" s="12" t="str">
        <f aca="false">IF($D346="","",IFERROR(IF(INDEX(Profile!$H$5:$H$304,MATCH($D346,lst_Profil,0))&lt;&gt;"",INDEX(Profile!$H$5:$H$304,MATCH($D346,lst_Profil,0)),$H$5),$H$5))</f>
        <v/>
      </c>
      <c r="T346" s="16" t="str">
        <f aca="false">IF(OR(Q346="",NOT(ISNUMBER(R346)),NOT(ISNUMBER(S346))),"",Q346-R346-S346)</f>
        <v/>
      </c>
      <c r="U346" s="26" t="str">
        <f aca="false">IF(OR($D346="",$E346=""),"",IF(COUNTIFS(Preise!$A$5:$A$304,$D346,Preise!$B$5:$B$304,$E346,Preise!$I$5:$I$304,"OK")&gt;0,"ja","nein"))</f>
        <v/>
      </c>
      <c r="V346" s="15" t="str">
        <f aca="false">IF(OR(M346="",$E346="",$C$8=""),"",IF(_xlfn.MINIFS(Schneiddaten!$C$5:$C$304,Schneiddaten!$A$5:$A$304,$C$8,Schneiddaten!$B$5:$B$304,$E346,Schneiddaten!$C$5:$C$304,"&gt;="&amp;M346)=0,"",SUMIFS(Schneiddaten!$D$5:$D$304,Schneiddaten!$A$5:$A$304,$C$8,Schneiddaten!$B$5:$B$304,$E346,Schneiddaten!$C$5:$C$304,_xlfn.MINIFS(Schneiddaten!$C$5:$C$304,Schneiddaten!$A$5:$A$304,$C$8,Schneiddaten!$B$5:$B$304,$E346,Schneiddaten!$C$5:$C$304,"&gt;="&amp;M346))))</f>
        <v/>
      </c>
      <c r="W346" s="26" t="str">
        <f aca="false">IF(AND($D346="",$E346="",$F346="",$G346=""),"",IF(ISNA(MATCH($D346,lst_Profil,0)),"FEHLER: Profil unbekannt",IF(ISNA(MATCH($E346,lst_Werkstoff,0)),"FEHLER: Werkstoff unbekannt",IF(NOT(ISNUMBER(L346)),"FEHLER: Querschnitt fehlt (Profil)",IF(OR($F346="",$F346&lt;=0),"FEHLER: Teilelänge fehlt",IF(OR($G346="",$G346&lt;1),"FEHLER: Stückzahl fehlt",IF(NOT(ISNUMBER($H$4)),"FEHLER: Maschine fehlt/unbekannt",IF(Q346&gt;$H$7,"FEHLER: Stange länger als Maschine zulässt",IF($F346+$H$6&gt;T346,"FEHLER: Teil länger als Nutzlänge",IF(U346="nein","WARNUNG: kein gültiger Materialpreis",IF($H346="","HINWEIS: Schneidweg fehlt",IF(V346="","HINWEIS: keine Schneiddaten",IF(AND($AF346&lt;&gt;"",$AG346=""),"HINWEIS: Gewinde-Vorschlag prüfen","OK")))))))))))))</f>
        <v/>
      </c>
      <c r="X346" s="18" t="str">
        <f aca="false">IF(OR(O346="",$G346=""),"",O346*$G346)</f>
        <v/>
      </c>
      <c r="Y346" s="10"/>
      <c r="Z346" s="21"/>
      <c r="AA346" s="10"/>
      <c r="AB346" s="21"/>
      <c r="AC346" s="21"/>
      <c r="AD346" s="21"/>
      <c r="AE346" s="10"/>
      <c r="AF346" s="10"/>
      <c r="AG346" s="10"/>
      <c r="AH346" s="22"/>
      <c r="AI346" s="21"/>
      <c r="AJ346" s="22"/>
      <c r="AK346" s="21"/>
      <c r="AL346" s="22"/>
      <c r="AM346" s="21"/>
    </row>
    <row r="347" customFormat="false" ht="15" hidden="false" customHeight="false" outlineLevel="0" collapsed="false">
      <c r="A347" s="10"/>
      <c r="B347" s="10"/>
      <c r="C347" s="10"/>
      <c r="D347" s="10"/>
      <c r="E347" s="10"/>
      <c r="F347" s="21"/>
      <c r="G347" s="19"/>
      <c r="H347" s="21"/>
      <c r="I347" s="22"/>
      <c r="J347" s="19"/>
      <c r="K347" s="23" t="str">
        <f aca="false">IF($D347="","",IFERROR(INDEX(Profile!$B$5:$B$304,MATCH($D347,lst_Profil,0)),""))</f>
        <v/>
      </c>
      <c r="L347" s="13" t="str">
        <f aca="false">IF($D347="","",IFERROR(INDEX(Profile!$K$5:$K$304,MATCH($D347,lst_Profil,0))+0,""))</f>
        <v/>
      </c>
      <c r="M347" s="24" t="str">
        <f aca="false">IF($D347="","",IFERROR(INDEX(Profile!$E$5:$E$304,MATCH($D347,lst_Profil,0))+0,""))</f>
        <v/>
      </c>
      <c r="N347" s="25" t="str">
        <f aca="false">IF(OR(L347="",$E347=""),"",IFERROR(L347*INDEX(Werkstoffe!$E$5:$E$304,MATCH($E347,lst_Werkstoff,0))/1000,""))</f>
        <v/>
      </c>
      <c r="O347" s="25" t="str">
        <f aca="false">IF(OR(N347="",$F347=""),"",N347*$F347/1000)</f>
        <v/>
      </c>
      <c r="P347" s="16" t="str">
        <f aca="false">IF(OR($F347="",$G347=""),"",$F347*$G347)</f>
        <v/>
      </c>
      <c r="Q347" s="16" t="str">
        <f aca="false">IF($D347="","",IF($J347&lt;&gt;"",$J347,$C$9))</f>
        <v/>
      </c>
      <c r="R347" s="12" t="str">
        <f aca="false">IF($D347="","",IFERROR(IF(INDEX(Profile!$G$5:$G$304,MATCH($D347,lst_Profil,0))&lt;&gt;"",INDEX(Profile!$G$5:$G$304,MATCH($D347,lst_Profil,0)),$H$4),$H$4))</f>
        <v/>
      </c>
      <c r="S347" s="12" t="str">
        <f aca="false">IF($D347="","",IFERROR(IF(INDEX(Profile!$H$5:$H$304,MATCH($D347,lst_Profil,0))&lt;&gt;"",INDEX(Profile!$H$5:$H$304,MATCH($D347,lst_Profil,0)),$H$5),$H$5))</f>
        <v/>
      </c>
      <c r="T347" s="16" t="str">
        <f aca="false">IF(OR(Q347="",NOT(ISNUMBER(R347)),NOT(ISNUMBER(S347))),"",Q347-R347-S347)</f>
        <v/>
      </c>
      <c r="U347" s="26" t="str">
        <f aca="false">IF(OR($D347="",$E347=""),"",IF(COUNTIFS(Preise!$A$5:$A$304,$D347,Preise!$B$5:$B$304,$E347,Preise!$I$5:$I$304,"OK")&gt;0,"ja","nein"))</f>
        <v/>
      </c>
      <c r="V347" s="15" t="str">
        <f aca="false">IF(OR(M347="",$E347="",$C$8=""),"",IF(_xlfn.MINIFS(Schneiddaten!$C$5:$C$304,Schneiddaten!$A$5:$A$304,$C$8,Schneiddaten!$B$5:$B$304,$E347,Schneiddaten!$C$5:$C$304,"&gt;="&amp;M347)=0,"",SUMIFS(Schneiddaten!$D$5:$D$304,Schneiddaten!$A$5:$A$304,$C$8,Schneiddaten!$B$5:$B$304,$E347,Schneiddaten!$C$5:$C$304,_xlfn.MINIFS(Schneiddaten!$C$5:$C$304,Schneiddaten!$A$5:$A$304,$C$8,Schneiddaten!$B$5:$B$304,$E347,Schneiddaten!$C$5:$C$304,"&gt;="&amp;M347))))</f>
        <v/>
      </c>
      <c r="W347" s="26" t="str">
        <f aca="false">IF(AND($D347="",$E347="",$F347="",$G347=""),"",IF(ISNA(MATCH($D347,lst_Profil,0)),"FEHLER: Profil unbekannt",IF(ISNA(MATCH($E347,lst_Werkstoff,0)),"FEHLER: Werkstoff unbekannt",IF(NOT(ISNUMBER(L347)),"FEHLER: Querschnitt fehlt (Profil)",IF(OR($F347="",$F347&lt;=0),"FEHLER: Teilelänge fehlt",IF(OR($G347="",$G347&lt;1),"FEHLER: Stückzahl fehlt",IF(NOT(ISNUMBER($H$4)),"FEHLER: Maschine fehlt/unbekannt",IF(Q347&gt;$H$7,"FEHLER: Stange länger als Maschine zulässt",IF($F347+$H$6&gt;T347,"FEHLER: Teil länger als Nutzlänge",IF(U347="nein","WARNUNG: kein gültiger Materialpreis",IF($H347="","HINWEIS: Schneidweg fehlt",IF(V347="","HINWEIS: keine Schneiddaten",IF(AND($AF347&lt;&gt;"",$AG347=""),"HINWEIS: Gewinde-Vorschlag prüfen","OK")))))))))))))</f>
        <v/>
      </c>
      <c r="X347" s="18" t="str">
        <f aca="false">IF(OR(O347="",$G347=""),"",O347*$G347)</f>
        <v/>
      </c>
      <c r="Y347" s="10"/>
      <c r="Z347" s="21"/>
      <c r="AA347" s="10"/>
      <c r="AB347" s="21"/>
      <c r="AC347" s="21"/>
      <c r="AD347" s="21"/>
      <c r="AE347" s="10"/>
      <c r="AF347" s="10"/>
      <c r="AG347" s="10"/>
      <c r="AH347" s="22"/>
      <c r="AI347" s="21"/>
      <c r="AJ347" s="22"/>
      <c r="AK347" s="21"/>
      <c r="AL347" s="22"/>
      <c r="AM347" s="21"/>
    </row>
    <row r="348" customFormat="false" ht="15" hidden="false" customHeight="false" outlineLevel="0" collapsed="false">
      <c r="A348" s="10"/>
      <c r="B348" s="10"/>
      <c r="C348" s="10"/>
      <c r="D348" s="10"/>
      <c r="E348" s="10"/>
      <c r="F348" s="21"/>
      <c r="G348" s="19"/>
      <c r="H348" s="21"/>
      <c r="I348" s="22"/>
      <c r="J348" s="19"/>
      <c r="K348" s="23" t="str">
        <f aca="false">IF($D348="","",IFERROR(INDEX(Profile!$B$5:$B$304,MATCH($D348,lst_Profil,0)),""))</f>
        <v/>
      </c>
      <c r="L348" s="13" t="str">
        <f aca="false">IF($D348="","",IFERROR(INDEX(Profile!$K$5:$K$304,MATCH($D348,lst_Profil,0))+0,""))</f>
        <v/>
      </c>
      <c r="M348" s="24" t="str">
        <f aca="false">IF($D348="","",IFERROR(INDEX(Profile!$E$5:$E$304,MATCH($D348,lst_Profil,0))+0,""))</f>
        <v/>
      </c>
      <c r="N348" s="25" t="str">
        <f aca="false">IF(OR(L348="",$E348=""),"",IFERROR(L348*INDEX(Werkstoffe!$E$5:$E$304,MATCH($E348,lst_Werkstoff,0))/1000,""))</f>
        <v/>
      </c>
      <c r="O348" s="25" t="str">
        <f aca="false">IF(OR(N348="",$F348=""),"",N348*$F348/1000)</f>
        <v/>
      </c>
      <c r="P348" s="16" t="str">
        <f aca="false">IF(OR($F348="",$G348=""),"",$F348*$G348)</f>
        <v/>
      </c>
      <c r="Q348" s="16" t="str">
        <f aca="false">IF($D348="","",IF($J348&lt;&gt;"",$J348,$C$9))</f>
        <v/>
      </c>
      <c r="R348" s="12" t="str">
        <f aca="false">IF($D348="","",IFERROR(IF(INDEX(Profile!$G$5:$G$304,MATCH($D348,lst_Profil,0))&lt;&gt;"",INDEX(Profile!$G$5:$G$304,MATCH($D348,lst_Profil,0)),$H$4),$H$4))</f>
        <v/>
      </c>
      <c r="S348" s="12" t="str">
        <f aca="false">IF($D348="","",IFERROR(IF(INDEX(Profile!$H$5:$H$304,MATCH($D348,lst_Profil,0))&lt;&gt;"",INDEX(Profile!$H$5:$H$304,MATCH($D348,lst_Profil,0)),$H$5),$H$5))</f>
        <v/>
      </c>
      <c r="T348" s="16" t="str">
        <f aca="false">IF(OR(Q348="",NOT(ISNUMBER(R348)),NOT(ISNUMBER(S348))),"",Q348-R348-S348)</f>
        <v/>
      </c>
      <c r="U348" s="26" t="str">
        <f aca="false">IF(OR($D348="",$E348=""),"",IF(COUNTIFS(Preise!$A$5:$A$304,$D348,Preise!$B$5:$B$304,$E348,Preise!$I$5:$I$304,"OK")&gt;0,"ja","nein"))</f>
        <v/>
      </c>
      <c r="V348" s="15" t="str">
        <f aca="false">IF(OR(M348="",$E348="",$C$8=""),"",IF(_xlfn.MINIFS(Schneiddaten!$C$5:$C$304,Schneiddaten!$A$5:$A$304,$C$8,Schneiddaten!$B$5:$B$304,$E348,Schneiddaten!$C$5:$C$304,"&gt;="&amp;M348)=0,"",SUMIFS(Schneiddaten!$D$5:$D$304,Schneiddaten!$A$5:$A$304,$C$8,Schneiddaten!$B$5:$B$304,$E348,Schneiddaten!$C$5:$C$304,_xlfn.MINIFS(Schneiddaten!$C$5:$C$304,Schneiddaten!$A$5:$A$304,$C$8,Schneiddaten!$B$5:$B$304,$E348,Schneiddaten!$C$5:$C$304,"&gt;="&amp;M348))))</f>
        <v/>
      </c>
      <c r="W348" s="26" t="str">
        <f aca="false">IF(AND($D348="",$E348="",$F348="",$G348=""),"",IF(ISNA(MATCH($D348,lst_Profil,0)),"FEHLER: Profil unbekannt",IF(ISNA(MATCH($E348,lst_Werkstoff,0)),"FEHLER: Werkstoff unbekannt",IF(NOT(ISNUMBER(L348)),"FEHLER: Querschnitt fehlt (Profil)",IF(OR($F348="",$F348&lt;=0),"FEHLER: Teilelänge fehlt",IF(OR($G348="",$G348&lt;1),"FEHLER: Stückzahl fehlt",IF(NOT(ISNUMBER($H$4)),"FEHLER: Maschine fehlt/unbekannt",IF(Q348&gt;$H$7,"FEHLER: Stange länger als Maschine zulässt",IF($F348+$H$6&gt;T348,"FEHLER: Teil länger als Nutzlänge",IF(U348="nein","WARNUNG: kein gültiger Materialpreis",IF($H348="","HINWEIS: Schneidweg fehlt",IF(V348="","HINWEIS: keine Schneiddaten",IF(AND($AF348&lt;&gt;"",$AG348=""),"HINWEIS: Gewinde-Vorschlag prüfen","OK")))))))))))))</f>
        <v/>
      </c>
      <c r="X348" s="18" t="str">
        <f aca="false">IF(OR(O348="",$G348=""),"",O348*$G348)</f>
        <v/>
      </c>
      <c r="Y348" s="10"/>
      <c r="Z348" s="21"/>
      <c r="AA348" s="10"/>
      <c r="AB348" s="21"/>
      <c r="AC348" s="21"/>
      <c r="AD348" s="21"/>
      <c r="AE348" s="10"/>
      <c r="AF348" s="10"/>
      <c r="AG348" s="10"/>
      <c r="AH348" s="22"/>
      <c r="AI348" s="21"/>
      <c r="AJ348" s="22"/>
      <c r="AK348" s="21"/>
      <c r="AL348" s="22"/>
      <c r="AM348" s="21"/>
    </row>
    <row r="349" customFormat="false" ht="15" hidden="false" customHeight="false" outlineLevel="0" collapsed="false">
      <c r="A349" s="10"/>
      <c r="B349" s="10"/>
      <c r="C349" s="10"/>
      <c r="D349" s="10"/>
      <c r="E349" s="10"/>
      <c r="F349" s="21"/>
      <c r="G349" s="19"/>
      <c r="H349" s="21"/>
      <c r="I349" s="22"/>
      <c r="J349" s="19"/>
      <c r="K349" s="23" t="str">
        <f aca="false">IF($D349="","",IFERROR(INDEX(Profile!$B$5:$B$304,MATCH($D349,lst_Profil,0)),""))</f>
        <v/>
      </c>
      <c r="L349" s="13" t="str">
        <f aca="false">IF($D349="","",IFERROR(INDEX(Profile!$K$5:$K$304,MATCH($D349,lst_Profil,0))+0,""))</f>
        <v/>
      </c>
      <c r="M349" s="24" t="str">
        <f aca="false">IF($D349="","",IFERROR(INDEX(Profile!$E$5:$E$304,MATCH($D349,lst_Profil,0))+0,""))</f>
        <v/>
      </c>
      <c r="N349" s="25" t="str">
        <f aca="false">IF(OR(L349="",$E349=""),"",IFERROR(L349*INDEX(Werkstoffe!$E$5:$E$304,MATCH($E349,lst_Werkstoff,0))/1000,""))</f>
        <v/>
      </c>
      <c r="O349" s="25" t="str">
        <f aca="false">IF(OR(N349="",$F349=""),"",N349*$F349/1000)</f>
        <v/>
      </c>
      <c r="P349" s="16" t="str">
        <f aca="false">IF(OR($F349="",$G349=""),"",$F349*$G349)</f>
        <v/>
      </c>
      <c r="Q349" s="16" t="str">
        <f aca="false">IF($D349="","",IF($J349&lt;&gt;"",$J349,$C$9))</f>
        <v/>
      </c>
      <c r="R349" s="12" t="str">
        <f aca="false">IF($D349="","",IFERROR(IF(INDEX(Profile!$G$5:$G$304,MATCH($D349,lst_Profil,0))&lt;&gt;"",INDEX(Profile!$G$5:$G$304,MATCH($D349,lst_Profil,0)),$H$4),$H$4))</f>
        <v/>
      </c>
      <c r="S349" s="12" t="str">
        <f aca="false">IF($D349="","",IFERROR(IF(INDEX(Profile!$H$5:$H$304,MATCH($D349,lst_Profil,0))&lt;&gt;"",INDEX(Profile!$H$5:$H$304,MATCH($D349,lst_Profil,0)),$H$5),$H$5))</f>
        <v/>
      </c>
      <c r="T349" s="16" t="str">
        <f aca="false">IF(OR(Q349="",NOT(ISNUMBER(R349)),NOT(ISNUMBER(S349))),"",Q349-R349-S349)</f>
        <v/>
      </c>
      <c r="U349" s="26" t="str">
        <f aca="false">IF(OR($D349="",$E349=""),"",IF(COUNTIFS(Preise!$A$5:$A$304,$D349,Preise!$B$5:$B$304,$E349,Preise!$I$5:$I$304,"OK")&gt;0,"ja","nein"))</f>
        <v/>
      </c>
      <c r="V349" s="15" t="str">
        <f aca="false">IF(OR(M349="",$E349="",$C$8=""),"",IF(_xlfn.MINIFS(Schneiddaten!$C$5:$C$304,Schneiddaten!$A$5:$A$304,$C$8,Schneiddaten!$B$5:$B$304,$E349,Schneiddaten!$C$5:$C$304,"&gt;="&amp;M349)=0,"",SUMIFS(Schneiddaten!$D$5:$D$304,Schneiddaten!$A$5:$A$304,$C$8,Schneiddaten!$B$5:$B$304,$E349,Schneiddaten!$C$5:$C$304,_xlfn.MINIFS(Schneiddaten!$C$5:$C$304,Schneiddaten!$A$5:$A$304,$C$8,Schneiddaten!$B$5:$B$304,$E349,Schneiddaten!$C$5:$C$304,"&gt;="&amp;M349))))</f>
        <v/>
      </c>
      <c r="W349" s="26" t="str">
        <f aca="false">IF(AND($D349="",$E349="",$F349="",$G349=""),"",IF(ISNA(MATCH($D349,lst_Profil,0)),"FEHLER: Profil unbekannt",IF(ISNA(MATCH($E349,lst_Werkstoff,0)),"FEHLER: Werkstoff unbekannt",IF(NOT(ISNUMBER(L349)),"FEHLER: Querschnitt fehlt (Profil)",IF(OR($F349="",$F349&lt;=0),"FEHLER: Teilelänge fehlt",IF(OR($G349="",$G349&lt;1),"FEHLER: Stückzahl fehlt",IF(NOT(ISNUMBER($H$4)),"FEHLER: Maschine fehlt/unbekannt",IF(Q349&gt;$H$7,"FEHLER: Stange länger als Maschine zulässt",IF($F349+$H$6&gt;T349,"FEHLER: Teil länger als Nutzlänge",IF(U349="nein","WARNUNG: kein gültiger Materialpreis",IF($H349="","HINWEIS: Schneidweg fehlt",IF(V349="","HINWEIS: keine Schneiddaten",IF(AND($AF349&lt;&gt;"",$AG349=""),"HINWEIS: Gewinde-Vorschlag prüfen","OK")))))))))))))</f>
        <v/>
      </c>
      <c r="X349" s="18" t="str">
        <f aca="false">IF(OR(O349="",$G349=""),"",O349*$G349)</f>
        <v/>
      </c>
      <c r="Y349" s="10"/>
      <c r="Z349" s="21"/>
      <c r="AA349" s="10"/>
      <c r="AB349" s="21"/>
      <c r="AC349" s="21"/>
      <c r="AD349" s="21"/>
      <c r="AE349" s="10"/>
      <c r="AF349" s="10"/>
      <c r="AG349" s="10"/>
      <c r="AH349" s="22"/>
      <c r="AI349" s="21"/>
      <c r="AJ349" s="22"/>
      <c r="AK349" s="21"/>
      <c r="AL349" s="22"/>
      <c r="AM349" s="21"/>
    </row>
    <row r="350" customFormat="false" ht="15" hidden="false" customHeight="false" outlineLevel="0" collapsed="false">
      <c r="A350" s="10"/>
      <c r="B350" s="10"/>
      <c r="C350" s="10"/>
      <c r="D350" s="10"/>
      <c r="E350" s="10"/>
      <c r="F350" s="21"/>
      <c r="G350" s="19"/>
      <c r="H350" s="21"/>
      <c r="I350" s="22"/>
      <c r="J350" s="19"/>
      <c r="K350" s="23" t="str">
        <f aca="false">IF($D350="","",IFERROR(INDEX(Profile!$B$5:$B$304,MATCH($D350,lst_Profil,0)),""))</f>
        <v/>
      </c>
      <c r="L350" s="13" t="str">
        <f aca="false">IF($D350="","",IFERROR(INDEX(Profile!$K$5:$K$304,MATCH($D350,lst_Profil,0))+0,""))</f>
        <v/>
      </c>
      <c r="M350" s="24" t="str">
        <f aca="false">IF($D350="","",IFERROR(INDEX(Profile!$E$5:$E$304,MATCH($D350,lst_Profil,0))+0,""))</f>
        <v/>
      </c>
      <c r="N350" s="25" t="str">
        <f aca="false">IF(OR(L350="",$E350=""),"",IFERROR(L350*INDEX(Werkstoffe!$E$5:$E$304,MATCH($E350,lst_Werkstoff,0))/1000,""))</f>
        <v/>
      </c>
      <c r="O350" s="25" t="str">
        <f aca="false">IF(OR(N350="",$F350=""),"",N350*$F350/1000)</f>
        <v/>
      </c>
      <c r="P350" s="16" t="str">
        <f aca="false">IF(OR($F350="",$G350=""),"",$F350*$G350)</f>
        <v/>
      </c>
      <c r="Q350" s="16" t="str">
        <f aca="false">IF($D350="","",IF($J350&lt;&gt;"",$J350,$C$9))</f>
        <v/>
      </c>
      <c r="R350" s="12" t="str">
        <f aca="false">IF($D350="","",IFERROR(IF(INDEX(Profile!$G$5:$G$304,MATCH($D350,lst_Profil,0))&lt;&gt;"",INDEX(Profile!$G$5:$G$304,MATCH($D350,lst_Profil,0)),$H$4),$H$4))</f>
        <v/>
      </c>
      <c r="S350" s="12" t="str">
        <f aca="false">IF($D350="","",IFERROR(IF(INDEX(Profile!$H$5:$H$304,MATCH($D350,lst_Profil,0))&lt;&gt;"",INDEX(Profile!$H$5:$H$304,MATCH($D350,lst_Profil,0)),$H$5),$H$5))</f>
        <v/>
      </c>
      <c r="T350" s="16" t="str">
        <f aca="false">IF(OR(Q350="",NOT(ISNUMBER(R350)),NOT(ISNUMBER(S350))),"",Q350-R350-S350)</f>
        <v/>
      </c>
      <c r="U350" s="26" t="str">
        <f aca="false">IF(OR($D350="",$E350=""),"",IF(COUNTIFS(Preise!$A$5:$A$304,$D350,Preise!$B$5:$B$304,$E350,Preise!$I$5:$I$304,"OK")&gt;0,"ja","nein"))</f>
        <v/>
      </c>
      <c r="V350" s="15" t="str">
        <f aca="false">IF(OR(M350="",$E350="",$C$8=""),"",IF(_xlfn.MINIFS(Schneiddaten!$C$5:$C$304,Schneiddaten!$A$5:$A$304,$C$8,Schneiddaten!$B$5:$B$304,$E350,Schneiddaten!$C$5:$C$304,"&gt;="&amp;M350)=0,"",SUMIFS(Schneiddaten!$D$5:$D$304,Schneiddaten!$A$5:$A$304,$C$8,Schneiddaten!$B$5:$B$304,$E350,Schneiddaten!$C$5:$C$304,_xlfn.MINIFS(Schneiddaten!$C$5:$C$304,Schneiddaten!$A$5:$A$304,$C$8,Schneiddaten!$B$5:$B$304,$E350,Schneiddaten!$C$5:$C$304,"&gt;="&amp;M350))))</f>
        <v/>
      </c>
      <c r="W350" s="26" t="str">
        <f aca="false">IF(AND($D350="",$E350="",$F350="",$G350=""),"",IF(ISNA(MATCH($D350,lst_Profil,0)),"FEHLER: Profil unbekannt",IF(ISNA(MATCH($E350,lst_Werkstoff,0)),"FEHLER: Werkstoff unbekannt",IF(NOT(ISNUMBER(L350)),"FEHLER: Querschnitt fehlt (Profil)",IF(OR($F350="",$F350&lt;=0),"FEHLER: Teilelänge fehlt",IF(OR($G350="",$G350&lt;1),"FEHLER: Stückzahl fehlt",IF(NOT(ISNUMBER($H$4)),"FEHLER: Maschine fehlt/unbekannt",IF(Q350&gt;$H$7,"FEHLER: Stange länger als Maschine zulässt",IF($F350+$H$6&gt;T350,"FEHLER: Teil länger als Nutzlänge",IF(U350="nein","WARNUNG: kein gültiger Materialpreis",IF($H350="","HINWEIS: Schneidweg fehlt",IF(V350="","HINWEIS: keine Schneiddaten",IF(AND($AF350&lt;&gt;"",$AG350=""),"HINWEIS: Gewinde-Vorschlag prüfen","OK")))))))))))))</f>
        <v/>
      </c>
      <c r="X350" s="18" t="str">
        <f aca="false">IF(OR(O350="",$G350=""),"",O350*$G350)</f>
        <v/>
      </c>
      <c r="Y350" s="10"/>
      <c r="Z350" s="21"/>
      <c r="AA350" s="10"/>
      <c r="AB350" s="21"/>
      <c r="AC350" s="21"/>
      <c r="AD350" s="21"/>
      <c r="AE350" s="10"/>
      <c r="AF350" s="10"/>
      <c r="AG350" s="10"/>
      <c r="AH350" s="22"/>
      <c r="AI350" s="21"/>
      <c r="AJ350" s="22"/>
      <c r="AK350" s="21"/>
      <c r="AL350" s="22"/>
      <c r="AM350" s="21"/>
    </row>
    <row r="351" customFormat="false" ht="15" hidden="false" customHeight="false" outlineLevel="0" collapsed="false">
      <c r="A351" s="10"/>
      <c r="B351" s="10"/>
      <c r="C351" s="10"/>
      <c r="D351" s="10"/>
      <c r="E351" s="10"/>
      <c r="F351" s="21"/>
      <c r="G351" s="19"/>
      <c r="H351" s="21"/>
      <c r="I351" s="22"/>
      <c r="J351" s="19"/>
      <c r="K351" s="23" t="str">
        <f aca="false">IF($D351="","",IFERROR(INDEX(Profile!$B$5:$B$304,MATCH($D351,lst_Profil,0)),""))</f>
        <v/>
      </c>
      <c r="L351" s="13" t="str">
        <f aca="false">IF($D351="","",IFERROR(INDEX(Profile!$K$5:$K$304,MATCH($D351,lst_Profil,0))+0,""))</f>
        <v/>
      </c>
      <c r="M351" s="24" t="str">
        <f aca="false">IF($D351="","",IFERROR(INDEX(Profile!$E$5:$E$304,MATCH($D351,lst_Profil,0))+0,""))</f>
        <v/>
      </c>
      <c r="N351" s="25" t="str">
        <f aca="false">IF(OR(L351="",$E351=""),"",IFERROR(L351*INDEX(Werkstoffe!$E$5:$E$304,MATCH($E351,lst_Werkstoff,0))/1000,""))</f>
        <v/>
      </c>
      <c r="O351" s="25" t="str">
        <f aca="false">IF(OR(N351="",$F351=""),"",N351*$F351/1000)</f>
        <v/>
      </c>
      <c r="P351" s="16" t="str">
        <f aca="false">IF(OR($F351="",$G351=""),"",$F351*$G351)</f>
        <v/>
      </c>
      <c r="Q351" s="16" t="str">
        <f aca="false">IF($D351="","",IF($J351&lt;&gt;"",$J351,$C$9))</f>
        <v/>
      </c>
      <c r="R351" s="12" t="str">
        <f aca="false">IF($D351="","",IFERROR(IF(INDEX(Profile!$G$5:$G$304,MATCH($D351,lst_Profil,0))&lt;&gt;"",INDEX(Profile!$G$5:$G$304,MATCH($D351,lst_Profil,0)),$H$4),$H$4))</f>
        <v/>
      </c>
      <c r="S351" s="12" t="str">
        <f aca="false">IF($D351="","",IFERROR(IF(INDEX(Profile!$H$5:$H$304,MATCH($D351,lst_Profil,0))&lt;&gt;"",INDEX(Profile!$H$5:$H$304,MATCH($D351,lst_Profil,0)),$H$5),$H$5))</f>
        <v/>
      </c>
      <c r="T351" s="16" t="str">
        <f aca="false">IF(OR(Q351="",NOT(ISNUMBER(R351)),NOT(ISNUMBER(S351))),"",Q351-R351-S351)</f>
        <v/>
      </c>
      <c r="U351" s="26" t="str">
        <f aca="false">IF(OR($D351="",$E351=""),"",IF(COUNTIFS(Preise!$A$5:$A$304,$D351,Preise!$B$5:$B$304,$E351,Preise!$I$5:$I$304,"OK")&gt;0,"ja","nein"))</f>
        <v/>
      </c>
      <c r="V351" s="15" t="str">
        <f aca="false">IF(OR(M351="",$E351="",$C$8=""),"",IF(_xlfn.MINIFS(Schneiddaten!$C$5:$C$304,Schneiddaten!$A$5:$A$304,$C$8,Schneiddaten!$B$5:$B$304,$E351,Schneiddaten!$C$5:$C$304,"&gt;="&amp;M351)=0,"",SUMIFS(Schneiddaten!$D$5:$D$304,Schneiddaten!$A$5:$A$304,$C$8,Schneiddaten!$B$5:$B$304,$E351,Schneiddaten!$C$5:$C$304,_xlfn.MINIFS(Schneiddaten!$C$5:$C$304,Schneiddaten!$A$5:$A$304,$C$8,Schneiddaten!$B$5:$B$304,$E351,Schneiddaten!$C$5:$C$304,"&gt;="&amp;M351))))</f>
        <v/>
      </c>
      <c r="W351" s="26" t="str">
        <f aca="false">IF(AND($D351="",$E351="",$F351="",$G351=""),"",IF(ISNA(MATCH($D351,lst_Profil,0)),"FEHLER: Profil unbekannt",IF(ISNA(MATCH($E351,lst_Werkstoff,0)),"FEHLER: Werkstoff unbekannt",IF(NOT(ISNUMBER(L351)),"FEHLER: Querschnitt fehlt (Profil)",IF(OR($F351="",$F351&lt;=0),"FEHLER: Teilelänge fehlt",IF(OR($G351="",$G351&lt;1),"FEHLER: Stückzahl fehlt",IF(NOT(ISNUMBER($H$4)),"FEHLER: Maschine fehlt/unbekannt",IF(Q351&gt;$H$7,"FEHLER: Stange länger als Maschine zulässt",IF($F351+$H$6&gt;T351,"FEHLER: Teil länger als Nutzlänge",IF(U351="nein","WARNUNG: kein gültiger Materialpreis",IF($H351="","HINWEIS: Schneidweg fehlt",IF(V351="","HINWEIS: keine Schneiddaten",IF(AND($AF351&lt;&gt;"",$AG351=""),"HINWEIS: Gewinde-Vorschlag prüfen","OK")))))))))))))</f>
        <v/>
      </c>
      <c r="X351" s="18" t="str">
        <f aca="false">IF(OR(O351="",$G351=""),"",O351*$G351)</f>
        <v/>
      </c>
      <c r="Y351" s="10"/>
      <c r="Z351" s="21"/>
      <c r="AA351" s="10"/>
      <c r="AB351" s="21"/>
      <c r="AC351" s="21"/>
      <c r="AD351" s="21"/>
      <c r="AE351" s="10"/>
      <c r="AF351" s="10"/>
      <c r="AG351" s="10"/>
      <c r="AH351" s="22"/>
      <c r="AI351" s="21"/>
      <c r="AJ351" s="22"/>
      <c r="AK351" s="21"/>
      <c r="AL351" s="22"/>
      <c r="AM351" s="21"/>
    </row>
    <row r="352" customFormat="false" ht="15" hidden="false" customHeight="false" outlineLevel="0" collapsed="false">
      <c r="A352" s="10"/>
      <c r="B352" s="10"/>
      <c r="C352" s="10"/>
      <c r="D352" s="10"/>
      <c r="E352" s="10"/>
      <c r="F352" s="21"/>
      <c r="G352" s="19"/>
      <c r="H352" s="21"/>
      <c r="I352" s="22"/>
      <c r="J352" s="19"/>
      <c r="K352" s="23" t="str">
        <f aca="false">IF($D352="","",IFERROR(INDEX(Profile!$B$5:$B$304,MATCH($D352,lst_Profil,0)),""))</f>
        <v/>
      </c>
      <c r="L352" s="13" t="str">
        <f aca="false">IF($D352="","",IFERROR(INDEX(Profile!$K$5:$K$304,MATCH($D352,lst_Profil,0))+0,""))</f>
        <v/>
      </c>
      <c r="M352" s="24" t="str">
        <f aca="false">IF($D352="","",IFERROR(INDEX(Profile!$E$5:$E$304,MATCH($D352,lst_Profil,0))+0,""))</f>
        <v/>
      </c>
      <c r="N352" s="25" t="str">
        <f aca="false">IF(OR(L352="",$E352=""),"",IFERROR(L352*INDEX(Werkstoffe!$E$5:$E$304,MATCH($E352,lst_Werkstoff,0))/1000,""))</f>
        <v/>
      </c>
      <c r="O352" s="25" t="str">
        <f aca="false">IF(OR(N352="",$F352=""),"",N352*$F352/1000)</f>
        <v/>
      </c>
      <c r="P352" s="16" t="str">
        <f aca="false">IF(OR($F352="",$G352=""),"",$F352*$G352)</f>
        <v/>
      </c>
      <c r="Q352" s="16" t="str">
        <f aca="false">IF($D352="","",IF($J352&lt;&gt;"",$J352,$C$9))</f>
        <v/>
      </c>
      <c r="R352" s="12" t="str">
        <f aca="false">IF($D352="","",IFERROR(IF(INDEX(Profile!$G$5:$G$304,MATCH($D352,lst_Profil,0))&lt;&gt;"",INDEX(Profile!$G$5:$G$304,MATCH($D352,lst_Profil,0)),$H$4),$H$4))</f>
        <v/>
      </c>
      <c r="S352" s="12" t="str">
        <f aca="false">IF($D352="","",IFERROR(IF(INDEX(Profile!$H$5:$H$304,MATCH($D352,lst_Profil,0))&lt;&gt;"",INDEX(Profile!$H$5:$H$304,MATCH($D352,lst_Profil,0)),$H$5),$H$5))</f>
        <v/>
      </c>
      <c r="T352" s="16" t="str">
        <f aca="false">IF(OR(Q352="",NOT(ISNUMBER(R352)),NOT(ISNUMBER(S352))),"",Q352-R352-S352)</f>
        <v/>
      </c>
      <c r="U352" s="26" t="str">
        <f aca="false">IF(OR($D352="",$E352=""),"",IF(COUNTIFS(Preise!$A$5:$A$304,$D352,Preise!$B$5:$B$304,$E352,Preise!$I$5:$I$304,"OK")&gt;0,"ja","nein"))</f>
        <v/>
      </c>
      <c r="V352" s="15" t="str">
        <f aca="false">IF(OR(M352="",$E352="",$C$8=""),"",IF(_xlfn.MINIFS(Schneiddaten!$C$5:$C$304,Schneiddaten!$A$5:$A$304,$C$8,Schneiddaten!$B$5:$B$304,$E352,Schneiddaten!$C$5:$C$304,"&gt;="&amp;M352)=0,"",SUMIFS(Schneiddaten!$D$5:$D$304,Schneiddaten!$A$5:$A$304,$C$8,Schneiddaten!$B$5:$B$304,$E352,Schneiddaten!$C$5:$C$304,_xlfn.MINIFS(Schneiddaten!$C$5:$C$304,Schneiddaten!$A$5:$A$304,$C$8,Schneiddaten!$B$5:$B$304,$E352,Schneiddaten!$C$5:$C$304,"&gt;="&amp;M352))))</f>
        <v/>
      </c>
      <c r="W352" s="26" t="str">
        <f aca="false">IF(AND($D352="",$E352="",$F352="",$G352=""),"",IF(ISNA(MATCH($D352,lst_Profil,0)),"FEHLER: Profil unbekannt",IF(ISNA(MATCH($E352,lst_Werkstoff,0)),"FEHLER: Werkstoff unbekannt",IF(NOT(ISNUMBER(L352)),"FEHLER: Querschnitt fehlt (Profil)",IF(OR($F352="",$F352&lt;=0),"FEHLER: Teilelänge fehlt",IF(OR($G352="",$G352&lt;1),"FEHLER: Stückzahl fehlt",IF(NOT(ISNUMBER($H$4)),"FEHLER: Maschine fehlt/unbekannt",IF(Q352&gt;$H$7,"FEHLER: Stange länger als Maschine zulässt",IF($F352+$H$6&gt;T352,"FEHLER: Teil länger als Nutzlänge",IF(U352="nein","WARNUNG: kein gültiger Materialpreis",IF($H352="","HINWEIS: Schneidweg fehlt",IF(V352="","HINWEIS: keine Schneiddaten",IF(AND($AF352&lt;&gt;"",$AG352=""),"HINWEIS: Gewinde-Vorschlag prüfen","OK")))))))))))))</f>
        <v/>
      </c>
      <c r="X352" s="18" t="str">
        <f aca="false">IF(OR(O352="",$G352=""),"",O352*$G352)</f>
        <v/>
      </c>
      <c r="Y352" s="10"/>
      <c r="Z352" s="21"/>
      <c r="AA352" s="10"/>
      <c r="AB352" s="21"/>
      <c r="AC352" s="21"/>
      <c r="AD352" s="21"/>
      <c r="AE352" s="10"/>
      <c r="AF352" s="10"/>
      <c r="AG352" s="10"/>
      <c r="AH352" s="22"/>
      <c r="AI352" s="21"/>
      <c r="AJ352" s="22"/>
      <c r="AK352" s="21"/>
      <c r="AL352" s="22"/>
      <c r="AM352" s="21"/>
    </row>
    <row r="353" customFormat="false" ht="15" hidden="false" customHeight="false" outlineLevel="0" collapsed="false">
      <c r="A353" s="10"/>
      <c r="B353" s="10"/>
      <c r="C353" s="10"/>
      <c r="D353" s="10"/>
      <c r="E353" s="10"/>
      <c r="F353" s="21"/>
      <c r="G353" s="19"/>
      <c r="H353" s="21"/>
      <c r="I353" s="22"/>
      <c r="J353" s="19"/>
      <c r="K353" s="23" t="str">
        <f aca="false">IF($D353="","",IFERROR(INDEX(Profile!$B$5:$B$304,MATCH($D353,lst_Profil,0)),""))</f>
        <v/>
      </c>
      <c r="L353" s="13" t="str">
        <f aca="false">IF($D353="","",IFERROR(INDEX(Profile!$K$5:$K$304,MATCH($D353,lst_Profil,0))+0,""))</f>
        <v/>
      </c>
      <c r="M353" s="24" t="str">
        <f aca="false">IF($D353="","",IFERROR(INDEX(Profile!$E$5:$E$304,MATCH($D353,lst_Profil,0))+0,""))</f>
        <v/>
      </c>
      <c r="N353" s="25" t="str">
        <f aca="false">IF(OR(L353="",$E353=""),"",IFERROR(L353*INDEX(Werkstoffe!$E$5:$E$304,MATCH($E353,lst_Werkstoff,0))/1000,""))</f>
        <v/>
      </c>
      <c r="O353" s="25" t="str">
        <f aca="false">IF(OR(N353="",$F353=""),"",N353*$F353/1000)</f>
        <v/>
      </c>
      <c r="P353" s="16" t="str">
        <f aca="false">IF(OR($F353="",$G353=""),"",$F353*$G353)</f>
        <v/>
      </c>
      <c r="Q353" s="16" t="str">
        <f aca="false">IF($D353="","",IF($J353&lt;&gt;"",$J353,$C$9))</f>
        <v/>
      </c>
      <c r="R353" s="12" t="str">
        <f aca="false">IF($D353="","",IFERROR(IF(INDEX(Profile!$G$5:$G$304,MATCH($D353,lst_Profil,0))&lt;&gt;"",INDEX(Profile!$G$5:$G$304,MATCH($D353,lst_Profil,0)),$H$4),$H$4))</f>
        <v/>
      </c>
      <c r="S353" s="12" t="str">
        <f aca="false">IF($D353="","",IFERROR(IF(INDEX(Profile!$H$5:$H$304,MATCH($D353,lst_Profil,0))&lt;&gt;"",INDEX(Profile!$H$5:$H$304,MATCH($D353,lst_Profil,0)),$H$5),$H$5))</f>
        <v/>
      </c>
      <c r="T353" s="16" t="str">
        <f aca="false">IF(OR(Q353="",NOT(ISNUMBER(R353)),NOT(ISNUMBER(S353))),"",Q353-R353-S353)</f>
        <v/>
      </c>
      <c r="U353" s="26" t="str">
        <f aca="false">IF(OR($D353="",$E353=""),"",IF(COUNTIFS(Preise!$A$5:$A$304,$D353,Preise!$B$5:$B$304,$E353,Preise!$I$5:$I$304,"OK")&gt;0,"ja","nein"))</f>
        <v/>
      </c>
      <c r="V353" s="15" t="str">
        <f aca="false">IF(OR(M353="",$E353="",$C$8=""),"",IF(_xlfn.MINIFS(Schneiddaten!$C$5:$C$304,Schneiddaten!$A$5:$A$304,$C$8,Schneiddaten!$B$5:$B$304,$E353,Schneiddaten!$C$5:$C$304,"&gt;="&amp;M353)=0,"",SUMIFS(Schneiddaten!$D$5:$D$304,Schneiddaten!$A$5:$A$304,$C$8,Schneiddaten!$B$5:$B$304,$E353,Schneiddaten!$C$5:$C$304,_xlfn.MINIFS(Schneiddaten!$C$5:$C$304,Schneiddaten!$A$5:$A$304,$C$8,Schneiddaten!$B$5:$B$304,$E353,Schneiddaten!$C$5:$C$304,"&gt;="&amp;M353))))</f>
        <v/>
      </c>
      <c r="W353" s="26" t="str">
        <f aca="false">IF(AND($D353="",$E353="",$F353="",$G353=""),"",IF(ISNA(MATCH($D353,lst_Profil,0)),"FEHLER: Profil unbekannt",IF(ISNA(MATCH($E353,lst_Werkstoff,0)),"FEHLER: Werkstoff unbekannt",IF(NOT(ISNUMBER(L353)),"FEHLER: Querschnitt fehlt (Profil)",IF(OR($F353="",$F353&lt;=0),"FEHLER: Teilelänge fehlt",IF(OR($G353="",$G353&lt;1),"FEHLER: Stückzahl fehlt",IF(NOT(ISNUMBER($H$4)),"FEHLER: Maschine fehlt/unbekannt",IF(Q353&gt;$H$7,"FEHLER: Stange länger als Maschine zulässt",IF($F353+$H$6&gt;T353,"FEHLER: Teil länger als Nutzlänge",IF(U353="nein","WARNUNG: kein gültiger Materialpreis",IF($H353="","HINWEIS: Schneidweg fehlt",IF(V353="","HINWEIS: keine Schneiddaten",IF(AND($AF353&lt;&gt;"",$AG353=""),"HINWEIS: Gewinde-Vorschlag prüfen","OK")))))))))))))</f>
        <v/>
      </c>
      <c r="X353" s="18" t="str">
        <f aca="false">IF(OR(O353="",$G353=""),"",O353*$G353)</f>
        <v/>
      </c>
      <c r="Y353" s="10"/>
      <c r="Z353" s="21"/>
      <c r="AA353" s="10"/>
      <c r="AB353" s="21"/>
      <c r="AC353" s="21"/>
      <c r="AD353" s="21"/>
      <c r="AE353" s="10"/>
      <c r="AF353" s="10"/>
      <c r="AG353" s="10"/>
      <c r="AH353" s="22"/>
      <c r="AI353" s="21"/>
      <c r="AJ353" s="22"/>
      <c r="AK353" s="21"/>
      <c r="AL353" s="22"/>
      <c r="AM353" s="21"/>
    </row>
    <row r="354" customFormat="false" ht="15" hidden="false" customHeight="false" outlineLevel="0" collapsed="false">
      <c r="A354" s="10"/>
      <c r="B354" s="10"/>
      <c r="C354" s="10"/>
      <c r="D354" s="10"/>
      <c r="E354" s="10"/>
      <c r="F354" s="21"/>
      <c r="G354" s="19"/>
      <c r="H354" s="21"/>
      <c r="I354" s="22"/>
      <c r="J354" s="19"/>
      <c r="K354" s="23" t="str">
        <f aca="false">IF($D354="","",IFERROR(INDEX(Profile!$B$5:$B$304,MATCH($D354,lst_Profil,0)),""))</f>
        <v/>
      </c>
      <c r="L354" s="13" t="str">
        <f aca="false">IF($D354="","",IFERROR(INDEX(Profile!$K$5:$K$304,MATCH($D354,lst_Profil,0))+0,""))</f>
        <v/>
      </c>
      <c r="M354" s="24" t="str">
        <f aca="false">IF($D354="","",IFERROR(INDEX(Profile!$E$5:$E$304,MATCH($D354,lst_Profil,0))+0,""))</f>
        <v/>
      </c>
      <c r="N354" s="25" t="str">
        <f aca="false">IF(OR(L354="",$E354=""),"",IFERROR(L354*INDEX(Werkstoffe!$E$5:$E$304,MATCH($E354,lst_Werkstoff,0))/1000,""))</f>
        <v/>
      </c>
      <c r="O354" s="25" t="str">
        <f aca="false">IF(OR(N354="",$F354=""),"",N354*$F354/1000)</f>
        <v/>
      </c>
      <c r="P354" s="16" t="str">
        <f aca="false">IF(OR($F354="",$G354=""),"",$F354*$G354)</f>
        <v/>
      </c>
      <c r="Q354" s="16" t="str">
        <f aca="false">IF($D354="","",IF($J354&lt;&gt;"",$J354,$C$9))</f>
        <v/>
      </c>
      <c r="R354" s="12" t="str">
        <f aca="false">IF($D354="","",IFERROR(IF(INDEX(Profile!$G$5:$G$304,MATCH($D354,lst_Profil,0))&lt;&gt;"",INDEX(Profile!$G$5:$G$304,MATCH($D354,lst_Profil,0)),$H$4),$H$4))</f>
        <v/>
      </c>
      <c r="S354" s="12" t="str">
        <f aca="false">IF($D354="","",IFERROR(IF(INDEX(Profile!$H$5:$H$304,MATCH($D354,lst_Profil,0))&lt;&gt;"",INDEX(Profile!$H$5:$H$304,MATCH($D354,lst_Profil,0)),$H$5),$H$5))</f>
        <v/>
      </c>
      <c r="T354" s="16" t="str">
        <f aca="false">IF(OR(Q354="",NOT(ISNUMBER(R354)),NOT(ISNUMBER(S354))),"",Q354-R354-S354)</f>
        <v/>
      </c>
      <c r="U354" s="26" t="str">
        <f aca="false">IF(OR($D354="",$E354=""),"",IF(COUNTIFS(Preise!$A$5:$A$304,$D354,Preise!$B$5:$B$304,$E354,Preise!$I$5:$I$304,"OK")&gt;0,"ja","nein"))</f>
        <v/>
      </c>
      <c r="V354" s="15" t="str">
        <f aca="false">IF(OR(M354="",$E354="",$C$8=""),"",IF(_xlfn.MINIFS(Schneiddaten!$C$5:$C$304,Schneiddaten!$A$5:$A$304,$C$8,Schneiddaten!$B$5:$B$304,$E354,Schneiddaten!$C$5:$C$304,"&gt;="&amp;M354)=0,"",SUMIFS(Schneiddaten!$D$5:$D$304,Schneiddaten!$A$5:$A$304,$C$8,Schneiddaten!$B$5:$B$304,$E354,Schneiddaten!$C$5:$C$304,_xlfn.MINIFS(Schneiddaten!$C$5:$C$304,Schneiddaten!$A$5:$A$304,$C$8,Schneiddaten!$B$5:$B$304,$E354,Schneiddaten!$C$5:$C$304,"&gt;="&amp;M354))))</f>
        <v/>
      </c>
      <c r="W354" s="26" t="str">
        <f aca="false">IF(AND($D354="",$E354="",$F354="",$G354=""),"",IF(ISNA(MATCH($D354,lst_Profil,0)),"FEHLER: Profil unbekannt",IF(ISNA(MATCH($E354,lst_Werkstoff,0)),"FEHLER: Werkstoff unbekannt",IF(NOT(ISNUMBER(L354)),"FEHLER: Querschnitt fehlt (Profil)",IF(OR($F354="",$F354&lt;=0),"FEHLER: Teilelänge fehlt",IF(OR($G354="",$G354&lt;1),"FEHLER: Stückzahl fehlt",IF(NOT(ISNUMBER($H$4)),"FEHLER: Maschine fehlt/unbekannt",IF(Q354&gt;$H$7,"FEHLER: Stange länger als Maschine zulässt",IF($F354+$H$6&gt;T354,"FEHLER: Teil länger als Nutzlänge",IF(U354="nein","WARNUNG: kein gültiger Materialpreis",IF($H354="","HINWEIS: Schneidweg fehlt",IF(V354="","HINWEIS: keine Schneiddaten",IF(AND($AF354&lt;&gt;"",$AG354=""),"HINWEIS: Gewinde-Vorschlag prüfen","OK")))))))))))))</f>
        <v/>
      </c>
      <c r="X354" s="18" t="str">
        <f aca="false">IF(OR(O354="",$G354=""),"",O354*$G354)</f>
        <v/>
      </c>
      <c r="Y354" s="10"/>
      <c r="Z354" s="21"/>
      <c r="AA354" s="10"/>
      <c r="AB354" s="21"/>
      <c r="AC354" s="21"/>
      <c r="AD354" s="21"/>
      <c r="AE354" s="10"/>
      <c r="AF354" s="10"/>
      <c r="AG354" s="10"/>
      <c r="AH354" s="22"/>
      <c r="AI354" s="21"/>
      <c r="AJ354" s="22"/>
      <c r="AK354" s="21"/>
      <c r="AL354" s="22"/>
      <c r="AM354" s="21"/>
    </row>
    <row r="355" customFormat="false" ht="15" hidden="false" customHeight="false" outlineLevel="0" collapsed="false">
      <c r="A355" s="10"/>
      <c r="B355" s="10"/>
      <c r="C355" s="10"/>
      <c r="D355" s="10"/>
      <c r="E355" s="10"/>
      <c r="F355" s="21"/>
      <c r="G355" s="19"/>
      <c r="H355" s="21"/>
      <c r="I355" s="22"/>
      <c r="J355" s="19"/>
      <c r="K355" s="23" t="str">
        <f aca="false">IF($D355="","",IFERROR(INDEX(Profile!$B$5:$B$304,MATCH($D355,lst_Profil,0)),""))</f>
        <v/>
      </c>
      <c r="L355" s="13" t="str">
        <f aca="false">IF($D355="","",IFERROR(INDEX(Profile!$K$5:$K$304,MATCH($D355,lst_Profil,0))+0,""))</f>
        <v/>
      </c>
      <c r="M355" s="24" t="str">
        <f aca="false">IF($D355="","",IFERROR(INDEX(Profile!$E$5:$E$304,MATCH($D355,lst_Profil,0))+0,""))</f>
        <v/>
      </c>
      <c r="N355" s="25" t="str">
        <f aca="false">IF(OR(L355="",$E355=""),"",IFERROR(L355*INDEX(Werkstoffe!$E$5:$E$304,MATCH($E355,lst_Werkstoff,0))/1000,""))</f>
        <v/>
      </c>
      <c r="O355" s="25" t="str">
        <f aca="false">IF(OR(N355="",$F355=""),"",N355*$F355/1000)</f>
        <v/>
      </c>
      <c r="P355" s="16" t="str">
        <f aca="false">IF(OR($F355="",$G355=""),"",$F355*$G355)</f>
        <v/>
      </c>
      <c r="Q355" s="16" t="str">
        <f aca="false">IF($D355="","",IF($J355&lt;&gt;"",$J355,$C$9))</f>
        <v/>
      </c>
      <c r="R355" s="12" t="str">
        <f aca="false">IF($D355="","",IFERROR(IF(INDEX(Profile!$G$5:$G$304,MATCH($D355,lst_Profil,0))&lt;&gt;"",INDEX(Profile!$G$5:$G$304,MATCH($D355,lst_Profil,0)),$H$4),$H$4))</f>
        <v/>
      </c>
      <c r="S355" s="12" t="str">
        <f aca="false">IF($D355="","",IFERROR(IF(INDEX(Profile!$H$5:$H$304,MATCH($D355,lst_Profil,0))&lt;&gt;"",INDEX(Profile!$H$5:$H$304,MATCH($D355,lst_Profil,0)),$H$5),$H$5))</f>
        <v/>
      </c>
      <c r="T355" s="16" t="str">
        <f aca="false">IF(OR(Q355="",NOT(ISNUMBER(R355)),NOT(ISNUMBER(S355))),"",Q355-R355-S355)</f>
        <v/>
      </c>
      <c r="U355" s="26" t="str">
        <f aca="false">IF(OR($D355="",$E355=""),"",IF(COUNTIFS(Preise!$A$5:$A$304,$D355,Preise!$B$5:$B$304,$E355,Preise!$I$5:$I$304,"OK")&gt;0,"ja","nein"))</f>
        <v/>
      </c>
      <c r="V355" s="15" t="str">
        <f aca="false">IF(OR(M355="",$E355="",$C$8=""),"",IF(_xlfn.MINIFS(Schneiddaten!$C$5:$C$304,Schneiddaten!$A$5:$A$304,$C$8,Schneiddaten!$B$5:$B$304,$E355,Schneiddaten!$C$5:$C$304,"&gt;="&amp;M355)=0,"",SUMIFS(Schneiddaten!$D$5:$D$304,Schneiddaten!$A$5:$A$304,$C$8,Schneiddaten!$B$5:$B$304,$E355,Schneiddaten!$C$5:$C$304,_xlfn.MINIFS(Schneiddaten!$C$5:$C$304,Schneiddaten!$A$5:$A$304,$C$8,Schneiddaten!$B$5:$B$304,$E355,Schneiddaten!$C$5:$C$304,"&gt;="&amp;M355))))</f>
        <v/>
      </c>
      <c r="W355" s="26" t="str">
        <f aca="false">IF(AND($D355="",$E355="",$F355="",$G355=""),"",IF(ISNA(MATCH($D355,lst_Profil,0)),"FEHLER: Profil unbekannt",IF(ISNA(MATCH($E355,lst_Werkstoff,0)),"FEHLER: Werkstoff unbekannt",IF(NOT(ISNUMBER(L355)),"FEHLER: Querschnitt fehlt (Profil)",IF(OR($F355="",$F355&lt;=0),"FEHLER: Teilelänge fehlt",IF(OR($G355="",$G355&lt;1),"FEHLER: Stückzahl fehlt",IF(NOT(ISNUMBER($H$4)),"FEHLER: Maschine fehlt/unbekannt",IF(Q355&gt;$H$7,"FEHLER: Stange länger als Maschine zulässt",IF($F355+$H$6&gt;T355,"FEHLER: Teil länger als Nutzlänge",IF(U355="nein","WARNUNG: kein gültiger Materialpreis",IF($H355="","HINWEIS: Schneidweg fehlt",IF(V355="","HINWEIS: keine Schneiddaten",IF(AND($AF355&lt;&gt;"",$AG355=""),"HINWEIS: Gewinde-Vorschlag prüfen","OK")))))))))))))</f>
        <v/>
      </c>
      <c r="X355" s="18" t="str">
        <f aca="false">IF(OR(O355="",$G355=""),"",O355*$G355)</f>
        <v/>
      </c>
      <c r="Y355" s="10"/>
      <c r="Z355" s="21"/>
      <c r="AA355" s="10"/>
      <c r="AB355" s="21"/>
      <c r="AC355" s="21"/>
      <c r="AD355" s="21"/>
      <c r="AE355" s="10"/>
      <c r="AF355" s="10"/>
      <c r="AG355" s="10"/>
      <c r="AH355" s="22"/>
      <c r="AI355" s="21"/>
      <c r="AJ355" s="22"/>
      <c r="AK355" s="21"/>
      <c r="AL355" s="22"/>
      <c r="AM355" s="21"/>
    </row>
    <row r="356" customFormat="false" ht="15" hidden="false" customHeight="false" outlineLevel="0" collapsed="false">
      <c r="A356" s="10"/>
      <c r="B356" s="10"/>
      <c r="C356" s="10"/>
      <c r="D356" s="10"/>
      <c r="E356" s="10"/>
      <c r="F356" s="21"/>
      <c r="G356" s="19"/>
      <c r="H356" s="21"/>
      <c r="I356" s="22"/>
      <c r="J356" s="19"/>
      <c r="K356" s="23" t="str">
        <f aca="false">IF($D356="","",IFERROR(INDEX(Profile!$B$5:$B$304,MATCH($D356,lst_Profil,0)),""))</f>
        <v/>
      </c>
      <c r="L356" s="13" t="str">
        <f aca="false">IF($D356="","",IFERROR(INDEX(Profile!$K$5:$K$304,MATCH($D356,lst_Profil,0))+0,""))</f>
        <v/>
      </c>
      <c r="M356" s="24" t="str">
        <f aca="false">IF($D356="","",IFERROR(INDEX(Profile!$E$5:$E$304,MATCH($D356,lst_Profil,0))+0,""))</f>
        <v/>
      </c>
      <c r="N356" s="25" t="str">
        <f aca="false">IF(OR(L356="",$E356=""),"",IFERROR(L356*INDEX(Werkstoffe!$E$5:$E$304,MATCH($E356,lst_Werkstoff,0))/1000,""))</f>
        <v/>
      </c>
      <c r="O356" s="25" t="str">
        <f aca="false">IF(OR(N356="",$F356=""),"",N356*$F356/1000)</f>
        <v/>
      </c>
      <c r="P356" s="16" t="str">
        <f aca="false">IF(OR($F356="",$G356=""),"",$F356*$G356)</f>
        <v/>
      </c>
      <c r="Q356" s="16" t="str">
        <f aca="false">IF($D356="","",IF($J356&lt;&gt;"",$J356,$C$9))</f>
        <v/>
      </c>
      <c r="R356" s="12" t="str">
        <f aca="false">IF($D356="","",IFERROR(IF(INDEX(Profile!$G$5:$G$304,MATCH($D356,lst_Profil,0))&lt;&gt;"",INDEX(Profile!$G$5:$G$304,MATCH($D356,lst_Profil,0)),$H$4),$H$4))</f>
        <v/>
      </c>
      <c r="S356" s="12" t="str">
        <f aca="false">IF($D356="","",IFERROR(IF(INDEX(Profile!$H$5:$H$304,MATCH($D356,lst_Profil,0))&lt;&gt;"",INDEX(Profile!$H$5:$H$304,MATCH($D356,lst_Profil,0)),$H$5),$H$5))</f>
        <v/>
      </c>
      <c r="T356" s="16" t="str">
        <f aca="false">IF(OR(Q356="",NOT(ISNUMBER(R356)),NOT(ISNUMBER(S356))),"",Q356-R356-S356)</f>
        <v/>
      </c>
      <c r="U356" s="26" t="str">
        <f aca="false">IF(OR($D356="",$E356=""),"",IF(COUNTIFS(Preise!$A$5:$A$304,$D356,Preise!$B$5:$B$304,$E356,Preise!$I$5:$I$304,"OK")&gt;0,"ja","nein"))</f>
        <v/>
      </c>
      <c r="V356" s="15" t="str">
        <f aca="false">IF(OR(M356="",$E356="",$C$8=""),"",IF(_xlfn.MINIFS(Schneiddaten!$C$5:$C$304,Schneiddaten!$A$5:$A$304,$C$8,Schneiddaten!$B$5:$B$304,$E356,Schneiddaten!$C$5:$C$304,"&gt;="&amp;M356)=0,"",SUMIFS(Schneiddaten!$D$5:$D$304,Schneiddaten!$A$5:$A$304,$C$8,Schneiddaten!$B$5:$B$304,$E356,Schneiddaten!$C$5:$C$304,_xlfn.MINIFS(Schneiddaten!$C$5:$C$304,Schneiddaten!$A$5:$A$304,$C$8,Schneiddaten!$B$5:$B$304,$E356,Schneiddaten!$C$5:$C$304,"&gt;="&amp;M356))))</f>
        <v/>
      </c>
      <c r="W356" s="26" t="str">
        <f aca="false">IF(AND($D356="",$E356="",$F356="",$G356=""),"",IF(ISNA(MATCH($D356,lst_Profil,0)),"FEHLER: Profil unbekannt",IF(ISNA(MATCH($E356,lst_Werkstoff,0)),"FEHLER: Werkstoff unbekannt",IF(NOT(ISNUMBER(L356)),"FEHLER: Querschnitt fehlt (Profil)",IF(OR($F356="",$F356&lt;=0),"FEHLER: Teilelänge fehlt",IF(OR($G356="",$G356&lt;1),"FEHLER: Stückzahl fehlt",IF(NOT(ISNUMBER($H$4)),"FEHLER: Maschine fehlt/unbekannt",IF(Q356&gt;$H$7,"FEHLER: Stange länger als Maschine zulässt",IF($F356+$H$6&gt;T356,"FEHLER: Teil länger als Nutzlänge",IF(U356="nein","WARNUNG: kein gültiger Materialpreis",IF($H356="","HINWEIS: Schneidweg fehlt",IF(V356="","HINWEIS: keine Schneiddaten",IF(AND($AF356&lt;&gt;"",$AG356=""),"HINWEIS: Gewinde-Vorschlag prüfen","OK")))))))))))))</f>
        <v/>
      </c>
      <c r="X356" s="18" t="str">
        <f aca="false">IF(OR(O356="",$G356=""),"",O356*$G356)</f>
        <v/>
      </c>
      <c r="Y356" s="10"/>
      <c r="Z356" s="21"/>
      <c r="AA356" s="10"/>
      <c r="AB356" s="21"/>
      <c r="AC356" s="21"/>
      <c r="AD356" s="21"/>
      <c r="AE356" s="10"/>
      <c r="AF356" s="10"/>
      <c r="AG356" s="10"/>
      <c r="AH356" s="22"/>
      <c r="AI356" s="21"/>
      <c r="AJ356" s="22"/>
      <c r="AK356" s="21"/>
      <c r="AL356" s="22"/>
      <c r="AM356" s="21"/>
    </row>
    <row r="357" customFormat="false" ht="15" hidden="false" customHeight="false" outlineLevel="0" collapsed="false">
      <c r="A357" s="10"/>
      <c r="B357" s="10"/>
      <c r="C357" s="10"/>
      <c r="D357" s="10"/>
      <c r="E357" s="10"/>
      <c r="F357" s="21"/>
      <c r="G357" s="19"/>
      <c r="H357" s="21"/>
      <c r="I357" s="22"/>
      <c r="J357" s="19"/>
      <c r="K357" s="23" t="str">
        <f aca="false">IF($D357="","",IFERROR(INDEX(Profile!$B$5:$B$304,MATCH($D357,lst_Profil,0)),""))</f>
        <v/>
      </c>
      <c r="L357" s="13" t="str">
        <f aca="false">IF($D357="","",IFERROR(INDEX(Profile!$K$5:$K$304,MATCH($D357,lst_Profil,0))+0,""))</f>
        <v/>
      </c>
      <c r="M357" s="24" t="str">
        <f aca="false">IF($D357="","",IFERROR(INDEX(Profile!$E$5:$E$304,MATCH($D357,lst_Profil,0))+0,""))</f>
        <v/>
      </c>
      <c r="N357" s="25" t="str">
        <f aca="false">IF(OR(L357="",$E357=""),"",IFERROR(L357*INDEX(Werkstoffe!$E$5:$E$304,MATCH($E357,lst_Werkstoff,0))/1000,""))</f>
        <v/>
      </c>
      <c r="O357" s="25" t="str">
        <f aca="false">IF(OR(N357="",$F357=""),"",N357*$F357/1000)</f>
        <v/>
      </c>
      <c r="P357" s="16" t="str">
        <f aca="false">IF(OR($F357="",$G357=""),"",$F357*$G357)</f>
        <v/>
      </c>
      <c r="Q357" s="16" t="str">
        <f aca="false">IF($D357="","",IF($J357&lt;&gt;"",$J357,$C$9))</f>
        <v/>
      </c>
      <c r="R357" s="12" t="str">
        <f aca="false">IF($D357="","",IFERROR(IF(INDEX(Profile!$G$5:$G$304,MATCH($D357,lst_Profil,0))&lt;&gt;"",INDEX(Profile!$G$5:$G$304,MATCH($D357,lst_Profil,0)),$H$4),$H$4))</f>
        <v/>
      </c>
      <c r="S357" s="12" t="str">
        <f aca="false">IF($D357="","",IFERROR(IF(INDEX(Profile!$H$5:$H$304,MATCH($D357,lst_Profil,0))&lt;&gt;"",INDEX(Profile!$H$5:$H$304,MATCH($D357,lst_Profil,0)),$H$5),$H$5))</f>
        <v/>
      </c>
      <c r="T357" s="16" t="str">
        <f aca="false">IF(OR(Q357="",NOT(ISNUMBER(R357)),NOT(ISNUMBER(S357))),"",Q357-R357-S357)</f>
        <v/>
      </c>
      <c r="U357" s="26" t="str">
        <f aca="false">IF(OR($D357="",$E357=""),"",IF(COUNTIFS(Preise!$A$5:$A$304,$D357,Preise!$B$5:$B$304,$E357,Preise!$I$5:$I$304,"OK")&gt;0,"ja","nein"))</f>
        <v/>
      </c>
      <c r="V357" s="15" t="str">
        <f aca="false">IF(OR(M357="",$E357="",$C$8=""),"",IF(_xlfn.MINIFS(Schneiddaten!$C$5:$C$304,Schneiddaten!$A$5:$A$304,$C$8,Schneiddaten!$B$5:$B$304,$E357,Schneiddaten!$C$5:$C$304,"&gt;="&amp;M357)=0,"",SUMIFS(Schneiddaten!$D$5:$D$304,Schneiddaten!$A$5:$A$304,$C$8,Schneiddaten!$B$5:$B$304,$E357,Schneiddaten!$C$5:$C$304,_xlfn.MINIFS(Schneiddaten!$C$5:$C$304,Schneiddaten!$A$5:$A$304,$C$8,Schneiddaten!$B$5:$B$304,$E357,Schneiddaten!$C$5:$C$304,"&gt;="&amp;M357))))</f>
        <v/>
      </c>
      <c r="W357" s="26" t="str">
        <f aca="false">IF(AND($D357="",$E357="",$F357="",$G357=""),"",IF(ISNA(MATCH($D357,lst_Profil,0)),"FEHLER: Profil unbekannt",IF(ISNA(MATCH($E357,lst_Werkstoff,0)),"FEHLER: Werkstoff unbekannt",IF(NOT(ISNUMBER(L357)),"FEHLER: Querschnitt fehlt (Profil)",IF(OR($F357="",$F357&lt;=0),"FEHLER: Teilelänge fehlt",IF(OR($G357="",$G357&lt;1),"FEHLER: Stückzahl fehlt",IF(NOT(ISNUMBER($H$4)),"FEHLER: Maschine fehlt/unbekannt",IF(Q357&gt;$H$7,"FEHLER: Stange länger als Maschine zulässt",IF($F357+$H$6&gt;T357,"FEHLER: Teil länger als Nutzlänge",IF(U357="nein","WARNUNG: kein gültiger Materialpreis",IF($H357="","HINWEIS: Schneidweg fehlt",IF(V357="","HINWEIS: keine Schneiddaten",IF(AND($AF357&lt;&gt;"",$AG357=""),"HINWEIS: Gewinde-Vorschlag prüfen","OK")))))))))))))</f>
        <v/>
      </c>
      <c r="X357" s="18" t="str">
        <f aca="false">IF(OR(O357="",$G357=""),"",O357*$G357)</f>
        <v/>
      </c>
      <c r="Y357" s="10"/>
      <c r="Z357" s="21"/>
      <c r="AA357" s="10"/>
      <c r="AB357" s="21"/>
      <c r="AC357" s="21"/>
      <c r="AD357" s="21"/>
      <c r="AE357" s="10"/>
      <c r="AF357" s="10"/>
      <c r="AG357" s="10"/>
      <c r="AH357" s="22"/>
      <c r="AI357" s="21"/>
      <c r="AJ357" s="22"/>
      <c r="AK357" s="21"/>
      <c r="AL357" s="22"/>
      <c r="AM357" s="21"/>
    </row>
    <row r="358" customFormat="false" ht="15" hidden="false" customHeight="false" outlineLevel="0" collapsed="false">
      <c r="A358" s="10"/>
      <c r="B358" s="10"/>
      <c r="C358" s="10"/>
      <c r="D358" s="10"/>
      <c r="E358" s="10"/>
      <c r="F358" s="21"/>
      <c r="G358" s="19"/>
      <c r="H358" s="21"/>
      <c r="I358" s="22"/>
      <c r="J358" s="19"/>
      <c r="K358" s="23" t="str">
        <f aca="false">IF($D358="","",IFERROR(INDEX(Profile!$B$5:$B$304,MATCH($D358,lst_Profil,0)),""))</f>
        <v/>
      </c>
      <c r="L358" s="13" t="str">
        <f aca="false">IF($D358="","",IFERROR(INDEX(Profile!$K$5:$K$304,MATCH($D358,lst_Profil,0))+0,""))</f>
        <v/>
      </c>
      <c r="M358" s="24" t="str">
        <f aca="false">IF($D358="","",IFERROR(INDEX(Profile!$E$5:$E$304,MATCH($D358,lst_Profil,0))+0,""))</f>
        <v/>
      </c>
      <c r="N358" s="25" t="str">
        <f aca="false">IF(OR(L358="",$E358=""),"",IFERROR(L358*INDEX(Werkstoffe!$E$5:$E$304,MATCH($E358,lst_Werkstoff,0))/1000,""))</f>
        <v/>
      </c>
      <c r="O358" s="25" t="str">
        <f aca="false">IF(OR(N358="",$F358=""),"",N358*$F358/1000)</f>
        <v/>
      </c>
      <c r="P358" s="16" t="str">
        <f aca="false">IF(OR($F358="",$G358=""),"",$F358*$G358)</f>
        <v/>
      </c>
      <c r="Q358" s="16" t="str">
        <f aca="false">IF($D358="","",IF($J358&lt;&gt;"",$J358,$C$9))</f>
        <v/>
      </c>
      <c r="R358" s="12" t="str">
        <f aca="false">IF($D358="","",IFERROR(IF(INDEX(Profile!$G$5:$G$304,MATCH($D358,lst_Profil,0))&lt;&gt;"",INDEX(Profile!$G$5:$G$304,MATCH($D358,lst_Profil,0)),$H$4),$H$4))</f>
        <v/>
      </c>
      <c r="S358" s="12" t="str">
        <f aca="false">IF($D358="","",IFERROR(IF(INDEX(Profile!$H$5:$H$304,MATCH($D358,lst_Profil,0))&lt;&gt;"",INDEX(Profile!$H$5:$H$304,MATCH($D358,lst_Profil,0)),$H$5),$H$5))</f>
        <v/>
      </c>
      <c r="T358" s="16" t="str">
        <f aca="false">IF(OR(Q358="",NOT(ISNUMBER(R358)),NOT(ISNUMBER(S358))),"",Q358-R358-S358)</f>
        <v/>
      </c>
      <c r="U358" s="26" t="str">
        <f aca="false">IF(OR($D358="",$E358=""),"",IF(COUNTIFS(Preise!$A$5:$A$304,$D358,Preise!$B$5:$B$304,$E358,Preise!$I$5:$I$304,"OK")&gt;0,"ja","nein"))</f>
        <v/>
      </c>
      <c r="V358" s="15" t="str">
        <f aca="false">IF(OR(M358="",$E358="",$C$8=""),"",IF(_xlfn.MINIFS(Schneiddaten!$C$5:$C$304,Schneiddaten!$A$5:$A$304,$C$8,Schneiddaten!$B$5:$B$304,$E358,Schneiddaten!$C$5:$C$304,"&gt;="&amp;M358)=0,"",SUMIFS(Schneiddaten!$D$5:$D$304,Schneiddaten!$A$5:$A$304,$C$8,Schneiddaten!$B$5:$B$304,$E358,Schneiddaten!$C$5:$C$304,_xlfn.MINIFS(Schneiddaten!$C$5:$C$304,Schneiddaten!$A$5:$A$304,$C$8,Schneiddaten!$B$5:$B$304,$E358,Schneiddaten!$C$5:$C$304,"&gt;="&amp;M358))))</f>
        <v/>
      </c>
      <c r="W358" s="26" t="str">
        <f aca="false">IF(AND($D358="",$E358="",$F358="",$G358=""),"",IF(ISNA(MATCH($D358,lst_Profil,0)),"FEHLER: Profil unbekannt",IF(ISNA(MATCH($E358,lst_Werkstoff,0)),"FEHLER: Werkstoff unbekannt",IF(NOT(ISNUMBER(L358)),"FEHLER: Querschnitt fehlt (Profil)",IF(OR($F358="",$F358&lt;=0),"FEHLER: Teilelänge fehlt",IF(OR($G358="",$G358&lt;1),"FEHLER: Stückzahl fehlt",IF(NOT(ISNUMBER($H$4)),"FEHLER: Maschine fehlt/unbekannt",IF(Q358&gt;$H$7,"FEHLER: Stange länger als Maschine zulässt",IF($F358+$H$6&gt;T358,"FEHLER: Teil länger als Nutzlänge",IF(U358="nein","WARNUNG: kein gültiger Materialpreis",IF($H358="","HINWEIS: Schneidweg fehlt",IF(V358="","HINWEIS: keine Schneiddaten",IF(AND($AF358&lt;&gt;"",$AG358=""),"HINWEIS: Gewinde-Vorschlag prüfen","OK")))))))))))))</f>
        <v/>
      </c>
      <c r="X358" s="18" t="str">
        <f aca="false">IF(OR(O358="",$G358=""),"",O358*$G358)</f>
        <v/>
      </c>
      <c r="Y358" s="10"/>
      <c r="Z358" s="21"/>
      <c r="AA358" s="10"/>
      <c r="AB358" s="21"/>
      <c r="AC358" s="21"/>
      <c r="AD358" s="21"/>
      <c r="AE358" s="10"/>
      <c r="AF358" s="10"/>
      <c r="AG358" s="10"/>
      <c r="AH358" s="22"/>
      <c r="AI358" s="21"/>
      <c r="AJ358" s="22"/>
      <c r="AK358" s="21"/>
      <c r="AL358" s="22"/>
      <c r="AM358" s="21"/>
    </row>
    <row r="359" customFormat="false" ht="15" hidden="false" customHeight="false" outlineLevel="0" collapsed="false">
      <c r="A359" s="10"/>
      <c r="B359" s="10"/>
      <c r="C359" s="10"/>
      <c r="D359" s="10"/>
      <c r="E359" s="10"/>
      <c r="F359" s="21"/>
      <c r="G359" s="19"/>
      <c r="H359" s="21"/>
      <c r="I359" s="22"/>
      <c r="J359" s="19"/>
      <c r="K359" s="23" t="str">
        <f aca="false">IF($D359="","",IFERROR(INDEX(Profile!$B$5:$B$304,MATCH($D359,lst_Profil,0)),""))</f>
        <v/>
      </c>
      <c r="L359" s="13" t="str">
        <f aca="false">IF($D359="","",IFERROR(INDEX(Profile!$K$5:$K$304,MATCH($D359,lst_Profil,0))+0,""))</f>
        <v/>
      </c>
      <c r="M359" s="24" t="str">
        <f aca="false">IF($D359="","",IFERROR(INDEX(Profile!$E$5:$E$304,MATCH($D359,lst_Profil,0))+0,""))</f>
        <v/>
      </c>
      <c r="N359" s="25" t="str">
        <f aca="false">IF(OR(L359="",$E359=""),"",IFERROR(L359*INDEX(Werkstoffe!$E$5:$E$304,MATCH($E359,lst_Werkstoff,0))/1000,""))</f>
        <v/>
      </c>
      <c r="O359" s="25" t="str">
        <f aca="false">IF(OR(N359="",$F359=""),"",N359*$F359/1000)</f>
        <v/>
      </c>
      <c r="P359" s="16" t="str">
        <f aca="false">IF(OR($F359="",$G359=""),"",$F359*$G359)</f>
        <v/>
      </c>
      <c r="Q359" s="16" t="str">
        <f aca="false">IF($D359="","",IF($J359&lt;&gt;"",$J359,$C$9))</f>
        <v/>
      </c>
      <c r="R359" s="12" t="str">
        <f aca="false">IF($D359="","",IFERROR(IF(INDEX(Profile!$G$5:$G$304,MATCH($D359,lst_Profil,0))&lt;&gt;"",INDEX(Profile!$G$5:$G$304,MATCH($D359,lst_Profil,0)),$H$4),$H$4))</f>
        <v/>
      </c>
      <c r="S359" s="12" t="str">
        <f aca="false">IF($D359="","",IFERROR(IF(INDEX(Profile!$H$5:$H$304,MATCH($D359,lst_Profil,0))&lt;&gt;"",INDEX(Profile!$H$5:$H$304,MATCH($D359,lst_Profil,0)),$H$5),$H$5))</f>
        <v/>
      </c>
      <c r="T359" s="16" t="str">
        <f aca="false">IF(OR(Q359="",NOT(ISNUMBER(R359)),NOT(ISNUMBER(S359))),"",Q359-R359-S359)</f>
        <v/>
      </c>
      <c r="U359" s="26" t="str">
        <f aca="false">IF(OR($D359="",$E359=""),"",IF(COUNTIFS(Preise!$A$5:$A$304,$D359,Preise!$B$5:$B$304,$E359,Preise!$I$5:$I$304,"OK")&gt;0,"ja","nein"))</f>
        <v/>
      </c>
      <c r="V359" s="15" t="str">
        <f aca="false">IF(OR(M359="",$E359="",$C$8=""),"",IF(_xlfn.MINIFS(Schneiddaten!$C$5:$C$304,Schneiddaten!$A$5:$A$304,$C$8,Schneiddaten!$B$5:$B$304,$E359,Schneiddaten!$C$5:$C$304,"&gt;="&amp;M359)=0,"",SUMIFS(Schneiddaten!$D$5:$D$304,Schneiddaten!$A$5:$A$304,$C$8,Schneiddaten!$B$5:$B$304,$E359,Schneiddaten!$C$5:$C$304,_xlfn.MINIFS(Schneiddaten!$C$5:$C$304,Schneiddaten!$A$5:$A$304,$C$8,Schneiddaten!$B$5:$B$304,$E359,Schneiddaten!$C$5:$C$304,"&gt;="&amp;M359))))</f>
        <v/>
      </c>
      <c r="W359" s="26" t="str">
        <f aca="false">IF(AND($D359="",$E359="",$F359="",$G359=""),"",IF(ISNA(MATCH($D359,lst_Profil,0)),"FEHLER: Profil unbekannt",IF(ISNA(MATCH($E359,lst_Werkstoff,0)),"FEHLER: Werkstoff unbekannt",IF(NOT(ISNUMBER(L359)),"FEHLER: Querschnitt fehlt (Profil)",IF(OR($F359="",$F359&lt;=0),"FEHLER: Teilelänge fehlt",IF(OR($G359="",$G359&lt;1),"FEHLER: Stückzahl fehlt",IF(NOT(ISNUMBER($H$4)),"FEHLER: Maschine fehlt/unbekannt",IF(Q359&gt;$H$7,"FEHLER: Stange länger als Maschine zulässt",IF($F359+$H$6&gt;T359,"FEHLER: Teil länger als Nutzlänge",IF(U359="nein","WARNUNG: kein gültiger Materialpreis",IF($H359="","HINWEIS: Schneidweg fehlt",IF(V359="","HINWEIS: keine Schneiddaten",IF(AND($AF359&lt;&gt;"",$AG359=""),"HINWEIS: Gewinde-Vorschlag prüfen","OK")))))))))))))</f>
        <v/>
      </c>
      <c r="X359" s="18" t="str">
        <f aca="false">IF(OR(O359="",$G359=""),"",O359*$G359)</f>
        <v/>
      </c>
      <c r="Y359" s="10"/>
      <c r="Z359" s="21"/>
      <c r="AA359" s="10"/>
      <c r="AB359" s="21"/>
      <c r="AC359" s="21"/>
      <c r="AD359" s="21"/>
      <c r="AE359" s="10"/>
      <c r="AF359" s="10"/>
      <c r="AG359" s="10"/>
      <c r="AH359" s="22"/>
      <c r="AI359" s="21"/>
      <c r="AJ359" s="22"/>
      <c r="AK359" s="21"/>
      <c r="AL359" s="22"/>
      <c r="AM359" s="21"/>
    </row>
    <row r="360" customFormat="false" ht="15" hidden="false" customHeight="false" outlineLevel="0" collapsed="false">
      <c r="A360" s="10"/>
      <c r="B360" s="10"/>
      <c r="C360" s="10"/>
      <c r="D360" s="10"/>
      <c r="E360" s="10"/>
      <c r="F360" s="21"/>
      <c r="G360" s="19"/>
      <c r="H360" s="21"/>
      <c r="I360" s="22"/>
      <c r="J360" s="19"/>
      <c r="K360" s="23" t="str">
        <f aca="false">IF($D360="","",IFERROR(INDEX(Profile!$B$5:$B$304,MATCH($D360,lst_Profil,0)),""))</f>
        <v/>
      </c>
      <c r="L360" s="13" t="str">
        <f aca="false">IF($D360="","",IFERROR(INDEX(Profile!$K$5:$K$304,MATCH($D360,lst_Profil,0))+0,""))</f>
        <v/>
      </c>
      <c r="M360" s="24" t="str">
        <f aca="false">IF($D360="","",IFERROR(INDEX(Profile!$E$5:$E$304,MATCH($D360,lst_Profil,0))+0,""))</f>
        <v/>
      </c>
      <c r="N360" s="25" t="str">
        <f aca="false">IF(OR(L360="",$E360=""),"",IFERROR(L360*INDEX(Werkstoffe!$E$5:$E$304,MATCH($E360,lst_Werkstoff,0))/1000,""))</f>
        <v/>
      </c>
      <c r="O360" s="25" t="str">
        <f aca="false">IF(OR(N360="",$F360=""),"",N360*$F360/1000)</f>
        <v/>
      </c>
      <c r="P360" s="16" t="str">
        <f aca="false">IF(OR($F360="",$G360=""),"",$F360*$G360)</f>
        <v/>
      </c>
      <c r="Q360" s="16" t="str">
        <f aca="false">IF($D360="","",IF($J360&lt;&gt;"",$J360,$C$9))</f>
        <v/>
      </c>
      <c r="R360" s="12" t="str">
        <f aca="false">IF($D360="","",IFERROR(IF(INDEX(Profile!$G$5:$G$304,MATCH($D360,lst_Profil,0))&lt;&gt;"",INDEX(Profile!$G$5:$G$304,MATCH($D360,lst_Profil,0)),$H$4),$H$4))</f>
        <v/>
      </c>
      <c r="S360" s="12" t="str">
        <f aca="false">IF($D360="","",IFERROR(IF(INDEX(Profile!$H$5:$H$304,MATCH($D360,lst_Profil,0))&lt;&gt;"",INDEX(Profile!$H$5:$H$304,MATCH($D360,lst_Profil,0)),$H$5),$H$5))</f>
        <v/>
      </c>
      <c r="T360" s="16" t="str">
        <f aca="false">IF(OR(Q360="",NOT(ISNUMBER(R360)),NOT(ISNUMBER(S360))),"",Q360-R360-S360)</f>
        <v/>
      </c>
      <c r="U360" s="26" t="str">
        <f aca="false">IF(OR($D360="",$E360=""),"",IF(COUNTIFS(Preise!$A$5:$A$304,$D360,Preise!$B$5:$B$304,$E360,Preise!$I$5:$I$304,"OK")&gt;0,"ja","nein"))</f>
        <v/>
      </c>
      <c r="V360" s="15" t="str">
        <f aca="false">IF(OR(M360="",$E360="",$C$8=""),"",IF(_xlfn.MINIFS(Schneiddaten!$C$5:$C$304,Schneiddaten!$A$5:$A$304,$C$8,Schneiddaten!$B$5:$B$304,$E360,Schneiddaten!$C$5:$C$304,"&gt;="&amp;M360)=0,"",SUMIFS(Schneiddaten!$D$5:$D$304,Schneiddaten!$A$5:$A$304,$C$8,Schneiddaten!$B$5:$B$304,$E360,Schneiddaten!$C$5:$C$304,_xlfn.MINIFS(Schneiddaten!$C$5:$C$304,Schneiddaten!$A$5:$A$304,$C$8,Schneiddaten!$B$5:$B$304,$E360,Schneiddaten!$C$5:$C$304,"&gt;="&amp;M360))))</f>
        <v/>
      </c>
      <c r="W360" s="26" t="str">
        <f aca="false">IF(AND($D360="",$E360="",$F360="",$G360=""),"",IF(ISNA(MATCH($D360,lst_Profil,0)),"FEHLER: Profil unbekannt",IF(ISNA(MATCH($E360,lst_Werkstoff,0)),"FEHLER: Werkstoff unbekannt",IF(NOT(ISNUMBER(L360)),"FEHLER: Querschnitt fehlt (Profil)",IF(OR($F360="",$F360&lt;=0),"FEHLER: Teilelänge fehlt",IF(OR($G360="",$G360&lt;1),"FEHLER: Stückzahl fehlt",IF(NOT(ISNUMBER($H$4)),"FEHLER: Maschine fehlt/unbekannt",IF(Q360&gt;$H$7,"FEHLER: Stange länger als Maschine zulässt",IF($F360+$H$6&gt;T360,"FEHLER: Teil länger als Nutzlänge",IF(U360="nein","WARNUNG: kein gültiger Materialpreis",IF($H360="","HINWEIS: Schneidweg fehlt",IF(V360="","HINWEIS: keine Schneiddaten",IF(AND($AF360&lt;&gt;"",$AG360=""),"HINWEIS: Gewinde-Vorschlag prüfen","OK")))))))))))))</f>
        <v/>
      </c>
      <c r="X360" s="18" t="str">
        <f aca="false">IF(OR(O360="",$G360=""),"",O360*$G360)</f>
        <v/>
      </c>
      <c r="Y360" s="10"/>
      <c r="Z360" s="21"/>
      <c r="AA360" s="10"/>
      <c r="AB360" s="21"/>
      <c r="AC360" s="21"/>
      <c r="AD360" s="21"/>
      <c r="AE360" s="10"/>
      <c r="AF360" s="10"/>
      <c r="AG360" s="10"/>
      <c r="AH360" s="22"/>
      <c r="AI360" s="21"/>
      <c r="AJ360" s="22"/>
      <c r="AK360" s="21"/>
      <c r="AL360" s="22"/>
      <c r="AM360" s="21"/>
    </row>
    <row r="361" customFormat="false" ht="15" hidden="false" customHeight="false" outlineLevel="0" collapsed="false">
      <c r="A361" s="10"/>
      <c r="B361" s="10"/>
      <c r="C361" s="10"/>
      <c r="D361" s="10"/>
      <c r="E361" s="10"/>
      <c r="F361" s="21"/>
      <c r="G361" s="19"/>
      <c r="H361" s="21"/>
      <c r="I361" s="22"/>
      <c r="J361" s="19"/>
      <c r="K361" s="23" t="str">
        <f aca="false">IF($D361="","",IFERROR(INDEX(Profile!$B$5:$B$304,MATCH($D361,lst_Profil,0)),""))</f>
        <v/>
      </c>
      <c r="L361" s="13" t="str">
        <f aca="false">IF($D361="","",IFERROR(INDEX(Profile!$K$5:$K$304,MATCH($D361,lst_Profil,0))+0,""))</f>
        <v/>
      </c>
      <c r="M361" s="24" t="str">
        <f aca="false">IF($D361="","",IFERROR(INDEX(Profile!$E$5:$E$304,MATCH($D361,lst_Profil,0))+0,""))</f>
        <v/>
      </c>
      <c r="N361" s="25" t="str">
        <f aca="false">IF(OR(L361="",$E361=""),"",IFERROR(L361*INDEX(Werkstoffe!$E$5:$E$304,MATCH($E361,lst_Werkstoff,0))/1000,""))</f>
        <v/>
      </c>
      <c r="O361" s="25" t="str">
        <f aca="false">IF(OR(N361="",$F361=""),"",N361*$F361/1000)</f>
        <v/>
      </c>
      <c r="P361" s="16" t="str">
        <f aca="false">IF(OR($F361="",$G361=""),"",$F361*$G361)</f>
        <v/>
      </c>
      <c r="Q361" s="16" t="str">
        <f aca="false">IF($D361="","",IF($J361&lt;&gt;"",$J361,$C$9))</f>
        <v/>
      </c>
      <c r="R361" s="12" t="str">
        <f aca="false">IF($D361="","",IFERROR(IF(INDEX(Profile!$G$5:$G$304,MATCH($D361,lst_Profil,0))&lt;&gt;"",INDEX(Profile!$G$5:$G$304,MATCH($D361,lst_Profil,0)),$H$4),$H$4))</f>
        <v/>
      </c>
      <c r="S361" s="12" t="str">
        <f aca="false">IF($D361="","",IFERROR(IF(INDEX(Profile!$H$5:$H$304,MATCH($D361,lst_Profil,0))&lt;&gt;"",INDEX(Profile!$H$5:$H$304,MATCH($D361,lst_Profil,0)),$H$5),$H$5))</f>
        <v/>
      </c>
      <c r="T361" s="16" t="str">
        <f aca="false">IF(OR(Q361="",NOT(ISNUMBER(R361)),NOT(ISNUMBER(S361))),"",Q361-R361-S361)</f>
        <v/>
      </c>
      <c r="U361" s="26" t="str">
        <f aca="false">IF(OR($D361="",$E361=""),"",IF(COUNTIFS(Preise!$A$5:$A$304,$D361,Preise!$B$5:$B$304,$E361,Preise!$I$5:$I$304,"OK")&gt;0,"ja","nein"))</f>
        <v/>
      </c>
      <c r="V361" s="15" t="str">
        <f aca="false">IF(OR(M361="",$E361="",$C$8=""),"",IF(_xlfn.MINIFS(Schneiddaten!$C$5:$C$304,Schneiddaten!$A$5:$A$304,$C$8,Schneiddaten!$B$5:$B$304,$E361,Schneiddaten!$C$5:$C$304,"&gt;="&amp;M361)=0,"",SUMIFS(Schneiddaten!$D$5:$D$304,Schneiddaten!$A$5:$A$304,$C$8,Schneiddaten!$B$5:$B$304,$E361,Schneiddaten!$C$5:$C$304,_xlfn.MINIFS(Schneiddaten!$C$5:$C$304,Schneiddaten!$A$5:$A$304,$C$8,Schneiddaten!$B$5:$B$304,$E361,Schneiddaten!$C$5:$C$304,"&gt;="&amp;M361))))</f>
        <v/>
      </c>
      <c r="W361" s="26" t="str">
        <f aca="false">IF(AND($D361="",$E361="",$F361="",$G361=""),"",IF(ISNA(MATCH($D361,lst_Profil,0)),"FEHLER: Profil unbekannt",IF(ISNA(MATCH($E361,lst_Werkstoff,0)),"FEHLER: Werkstoff unbekannt",IF(NOT(ISNUMBER(L361)),"FEHLER: Querschnitt fehlt (Profil)",IF(OR($F361="",$F361&lt;=0),"FEHLER: Teilelänge fehlt",IF(OR($G361="",$G361&lt;1),"FEHLER: Stückzahl fehlt",IF(NOT(ISNUMBER($H$4)),"FEHLER: Maschine fehlt/unbekannt",IF(Q361&gt;$H$7,"FEHLER: Stange länger als Maschine zulässt",IF($F361+$H$6&gt;T361,"FEHLER: Teil länger als Nutzlänge",IF(U361="nein","WARNUNG: kein gültiger Materialpreis",IF($H361="","HINWEIS: Schneidweg fehlt",IF(V361="","HINWEIS: keine Schneiddaten",IF(AND($AF361&lt;&gt;"",$AG361=""),"HINWEIS: Gewinde-Vorschlag prüfen","OK")))))))))))))</f>
        <v/>
      </c>
      <c r="X361" s="18" t="str">
        <f aca="false">IF(OR(O361="",$G361=""),"",O361*$G361)</f>
        <v/>
      </c>
      <c r="Y361" s="10"/>
      <c r="Z361" s="21"/>
      <c r="AA361" s="10"/>
      <c r="AB361" s="21"/>
      <c r="AC361" s="21"/>
      <c r="AD361" s="21"/>
      <c r="AE361" s="10"/>
      <c r="AF361" s="10"/>
      <c r="AG361" s="10"/>
      <c r="AH361" s="22"/>
      <c r="AI361" s="21"/>
      <c r="AJ361" s="22"/>
      <c r="AK361" s="21"/>
      <c r="AL361" s="22"/>
      <c r="AM361" s="21"/>
    </row>
    <row r="362" customFormat="false" ht="15" hidden="false" customHeight="false" outlineLevel="0" collapsed="false">
      <c r="A362" s="10"/>
      <c r="B362" s="10"/>
      <c r="C362" s="10"/>
      <c r="D362" s="10"/>
      <c r="E362" s="10"/>
      <c r="F362" s="21"/>
      <c r="G362" s="19"/>
      <c r="H362" s="21"/>
      <c r="I362" s="22"/>
      <c r="J362" s="19"/>
      <c r="K362" s="23" t="str">
        <f aca="false">IF($D362="","",IFERROR(INDEX(Profile!$B$5:$B$304,MATCH($D362,lst_Profil,0)),""))</f>
        <v/>
      </c>
      <c r="L362" s="13" t="str">
        <f aca="false">IF($D362="","",IFERROR(INDEX(Profile!$K$5:$K$304,MATCH($D362,lst_Profil,0))+0,""))</f>
        <v/>
      </c>
      <c r="M362" s="24" t="str">
        <f aca="false">IF($D362="","",IFERROR(INDEX(Profile!$E$5:$E$304,MATCH($D362,lst_Profil,0))+0,""))</f>
        <v/>
      </c>
      <c r="N362" s="25" t="str">
        <f aca="false">IF(OR(L362="",$E362=""),"",IFERROR(L362*INDEX(Werkstoffe!$E$5:$E$304,MATCH($E362,lst_Werkstoff,0))/1000,""))</f>
        <v/>
      </c>
      <c r="O362" s="25" t="str">
        <f aca="false">IF(OR(N362="",$F362=""),"",N362*$F362/1000)</f>
        <v/>
      </c>
      <c r="P362" s="16" t="str">
        <f aca="false">IF(OR($F362="",$G362=""),"",$F362*$G362)</f>
        <v/>
      </c>
      <c r="Q362" s="16" t="str">
        <f aca="false">IF($D362="","",IF($J362&lt;&gt;"",$J362,$C$9))</f>
        <v/>
      </c>
      <c r="R362" s="12" t="str">
        <f aca="false">IF($D362="","",IFERROR(IF(INDEX(Profile!$G$5:$G$304,MATCH($D362,lst_Profil,0))&lt;&gt;"",INDEX(Profile!$G$5:$G$304,MATCH($D362,lst_Profil,0)),$H$4),$H$4))</f>
        <v/>
      </c>
      <c r="S362" s="12" t="str">
        <f aca="false">IF($D362="","",IFERROR(IF(INDEX(Profile!$H$5:$H$304,MATCH($D362,lst_Profil,0))&lt;&gt;"",INDEX(Profile!$H$5:$H$304,MATCH($D362,lst_Profil,0)),$H$5),$H$5))</f>
        <v/>
      </c>
      <c r="T362" s="16" t="str">
        <f aca="false">IF(OR(Q362="",NOT(ISNUMBER(R362)),NOT(ISNUMBER(S362))),"",Q362-R362-S362)</f>
        <v/>
      </c>
      <c r="U362" s="26" t="str">
        <f aca="false">IF(OR($D362="",$E362=""),"",IF(COUNTIFS(Preise!$A$5:$A$304,$D362,Preise!$B$5:$B$304,$E362,Preise!$I$5:$I$304,"OK")&gt;0,"ja","nein"))</f>
        <v/>
      </c>
      <c r="V362" s="15" t="str">
        <f aca="false">IF(OR(M362="",$E362="",$C$8=""),"",IF(_xlfn.MINIFS(Schneiddaten!$C$5:$C$304,Schneiddaten!$A$5:$A$304,$C$8,Schneiddaten!$B$5:$B$304,$E362,Schneiddaten!$C$5:$C$304,"&gt;="&amp;M362)=0,"",SUMIFS(Schneiddaten!$D$5:$D$304,Schneiddaten!$A$5:$A$304,$C$8,Schneiddaten!$B$5:$B$304,$E362,Schneiddaten!$C$5:$C$304,_xlfn.MINIFS(Schneiddaten!$C$5:$C$304,Schneiddaten!$A$5:$A$304,$C$8,Schneiddaten!$B$5:$B$304,$E362,Schneiddaten!$C$5:$C$304,"&gt;="&amp;M362))))</f>
        <v/>
      </c>
      <c r="W362" s="26" t="str">
        <f aca="false">IF(AND($D362="",$E362="",$F362="",$G362=""),"",IF(ISNA(MATCH($D362,lst_Profil,0)),"FEHLER: Profil unbekannt",IF(ISNA(MATCH($E362,lst_Werkstoff,0)),"FEHLER: Werkstoff unbekannt",IF(NOT(ISNUMBER(L362)),"FEHLER: Querschnitt fehlt (Profil)",IF(OR($F362="",$F362&lt;=0),"FEHLER: Teilelänge fehlt",IF(OR($G362="",$G362&lt;1),"FEHLER: Stückzahl fehlt",IF(NOT(ISNUMBER($H$4)),"FEHLER: Maschine fehlt/unbekannt",IF(Q362&gt;$H$7,"FEHLER: Stange länger als Maschine zulässt",IF($F362+$H$6&gt;T362,"FEHLER: Teil länger als Nutzlänge",IF(U362="nein","WARNUNG: kein gültiger Materialpreis",IF($H362="","HINWEIS: Schneidweg fehlt",IF(V362="","HINWEIS: keine Schneiddaten",IF(AND($AF362&lt;&gt;"",$AG362=""),"HINWEIS: Gewinde-Vorschlag prüfen","OK")))))))))))))</f>
        <v/>
      </c>
      <c r="X362" s="18" t="str">
        <f aca="false">IF(OR(O362="",$G362=""),"",O362*$G362)</f>
        <v/>
      </c>
      <c r="Y362" s="10"/>
      <c r="Z362" s="21"/>
      <c r="AA362" s="10"/>
      <c r="AB362" s="21"/>
      <c r="AC362" s="21"/>
      <c r="AD362" s="21"/>
      <c r="AE362" s="10"/>
      <c r="AF362" s="10"/>
      <c r="AG362" s="10"/>
      <c r="AH362" s="22"/>
      <c r="AI362" s="21"/>
      <c r="AJ362" s="22"/>
      <c r="AK362" s="21"/>
      <c r="AL362" s="22"/>
      <c r="AM362" s="21"/>
    </row>
    <row r="363" customFormat="false" ht="15" hidden="false" customHeight="false" outlineLevel="0" collapsed="false">
      <c r="A363" s="10"/>
      <c r="B363" s="10"/>
      <c r="C363" s="10"/>
      <c r="D363" s="10"/>
      <c r="E363" s="10"/>
      <c r="F363" s="21"/>
      <c r="G363" s="19"/>
      <c r="H363" s="21"/>
      <c r="I363" s="22"/>
      <c r="J363" s="19"/>
      <c r="K363" s="23" t="str">
        <f aca="false">IF($D363="","",IFERROR(INDEX(Profile!$B$5:$B$304,MATCH($D363,lst_Profil,0)),""))</f>
        <v/>
      </c>
      <c r="L363" s="13" t="str">
        <f aca="false">IF($D363="","",IFERROR(INDEX(Profile!$K$5:$K$304,MATCH($D363,lst_Profil,0))+0,""))</f>
        <v/>
      </c>
      <c r="M363" s="24" t="str">
        <f aca="false">IF($D363="","",IFERROR(INDEX(Profile!$E$5:$E$304,MATCH($D363,lst_Profil,0))+0,""))</f>
        <v/>
      </c>
      <c r="N363" s="25" t="str">
        <f aca="false">IF(OR(L363="",$E363=""),"",IFERROR(L363*INDEX(Werkstoffe!$E$5:$E$304,MATCH($E363,lst_Werkstoff,0))/1000,""))</f>
        <v/>
      </c>
      <c r="O363" s="25" t="str">
        <f aca="false">IF(OR(N363="",$F363=""),"",N363*$F363/1000)</f>
        <v/>
      </c>
      <c r="P363" s="16" t="str">
        <f aca="false">IF(OR($F363="",$G363=""),"",$F363*$G363)</f>
        <v/>
      </c>
      <c r="Q363" s="16" t="str">
        <f aca="false">IF($D363="","",IF($J363&lt;&gt;"",$J363,$C$9))</f>
        <v/>
      </c>
      <c r="R363" s="12" t="str">
        <f aca="false">IF($D363="","",IFERROR(IF(INDEX(Profile!$G$5:$G$304,MATCH($D363,lst_Profil,0))&lt;&gt;"",INDEX(Profile!$G$5:$G$304,MATCH($D363,lst_Profil,0)),$H$4),$H$4))</f>
        <v/>
      </c>
      <c r="S363" s="12" t="str">
        <f aca="false">IF($D363="","",IFERROR(IF(INDEX(Profile!$H$5:$H$304,MATCH($D363,lst_Profil,0))&lt;&gt;"",INDEX(Profile!$H$5:$H$304,MATCH($D363,lst_Profil,0)),$H$5),$H$5))</f>
        <v/>
      </c>
      <c r="T363" s="16" t="str">
        <f aca="false">IF(OR(Q363="",NOT(ISNUMBER(R363)),NOT(ISNUMBER(S363))),"",Q363-R363-S363)</f>
        <v/>
      </c>
      <c r="U363" s="26" t="str">
        <f aca="false">IF(OR($D363="",$E363=""),"",IF(COUNTIFS(Preise!$A$5:$A$304,$D363,Preise!$B$5:$B$304,$E363,Preise!$I$5:$I$304,"OK")&gt;0,"ja","nein"))</f>
        <v/>
      </c>
      <c r="V363" s="15" t="str">
        <f aca="false">IF(OR(M363="",$E363="",$C$8=""),"",IF(_xlfn.MINIFS(Schneiddaten!$C$5:$C$304,Schneiddaten!$A$5:$A$304,$C$8,Schneiddaten!$B$5:$B$304,$E363,Schneiddaten!$C$5:$C$304,"&gt;="&amp;M363)=0,"",SUMIFS(Schneiddaten!$D$5:$D$304,Schneiddaten!$A$5:$A$304,$C$8,Schneiddaten!$B$5:$B$304,$E363,Schneiddaten!$C$5:$C$304,_xlfn.MINIFS(Schneiddaten!$C$5:$C$304,Schneiddaten!$A$5:$A$304,$C$8,Schneiddaten!$B$5:$B$304,$E363,Schneiddaten!$C$5:$C$304,"&gt;="&amp;M363))))</f>
        <v/>
      </c>
      <c r="W363" s="26" t="str">
        <f aca="false">IF(AND($D363="",$E363="",$F363="",$G363=""),"",IF(ISNA(MATCH($D363,lst_Profil,0)),"FEHLER: Profil unbekannt",IF(ISNA(MATCH($E363,lst_Werkstoff,0)),"FEHLER: Werkstoff unbekannt",IF(NOT(ISNUMBER(L363)),"FEHLER: Querschnitt fehlt (Profil)",IF(OR($F363="",$F363&lt;=0),"FEHLER: Teilelänge fehlt",IF(OR($G363="",$G363&lt;1),"FEHLER: Stückzahl fehlt",IF(NOT(ISNUMBER($H$4)),"FEHLER: Maschine fehlt/unbekannt",IF(Q363&gt;$H$7,"FEHLER: Stange länger als Maschine zulässt",IF($F363+$H$6&gt;T363,"FEHLER: Teil länger als Nutzlänge",IF(U363="nein","WARNUNG: kein gültiger Materialpreis",IF($H363="","HINWEIS: Schneidweg fehlt",IF(V363="","HINWEIS: keine Schneiddaten",IF(AND($AF363&lt;&gt;"",$AG363=""),"HINWEIS: Gewinde-Vorschlag prüfen","OK")))))))))))))</f>
        <v/>
      </c>
      <c r="X363" s="18" t="str">
        <f aca="false">IF(OR(O363="",$G363=""),"",O363*$G363)</f>
        <v/>
      </c>
      <c r="Y363" s="10"/>
      <c r="Z363" s="21"/>
      <c r="AA363" s="10"/>
      <c r="AB363" s="21"/>
      <c r="AC363" s="21"/>
      <c r="AD363" s="21"/>
      <c r="AE363" s="10"/>
      <c r="AF363" s="10"/>
      <c r="AG363" s="10"/>
      <c r="AH363" s="22"/>
      <c r="AI363" s="21"/>
      <c r="AJ363" s="22"/>
      <c r="AK363" s="21"/>
      <c r="AL363" s="22"/>
      <c r="AM363" s="21"/>
    </row>
    <row r="364" customFormat="false" ht="15" hidden="false" customHeight="false" outlineLevel="0" collapsed="false">
      <c r="A364" s="10"/>
      <c r="B364" s="10"/>
      <c r="C364" s="10"/>
      <c r="D364" s="10"/>
      <c r="E364" s="10"/>
      <c r="F364" s="21"/>
      <c r="G364" s="19"/>
      <c r="H364" s="21"/>
      <c r="I364" s="22"/>
      <c r="J364" s="19"/>
      <c r="K364" s="23" t="str">
        <f aca="false">IF($D364="","",IFERROR(INDEX(Profile!$B$5:$B$304,MATCH($D364,lst_Profil,0)),""))</f>
        <v/>
      </c>
      <c r="L364" s="13" t="str">
        <f aca="false">IF($D364="","",IFERROR(INDEX(Profile!$K$5:$K$304,MATCH($D364,lst_Profil,0))+0,""))</f>
        <v/>
      </c>
      <c r="M364" s="24" t="str">
        <f aca="false">IF($D364="","",IFERROR(INDEX(Profile!$E$5:$E$304,MATCH($D364,lst_Profil,0))+0,""))</f>
        <v/>
      </c>
      <c r="N364" s="25" t="str">
        <f aca="false">IF(OR(L364="",$E364=""),"",IFERROR(L364*INDEX(Werkstoffe!$E$5:$E$304,MATCH($E364,lst_Werkstoff,0))/1000,""))</f>
        <v/>
      </c>
      <c r="O364" s="25" t="str">
        <f aca="false">IF(OR(N364="",$F364=""),"",N364*$F364/1000)</f>
        <v/>
      </c>
      <c r="P364" s="16" t="str">
        <f aca="false">IF(OR($F364="",$G364=""),"",$F364*$G364)</f>
        <v/>
      </c>
      <c r="Q364" s="16" t="str">
        <f aca="false">IF($D364="","",IF($J364&lt;&gt;"",$J364,$C$9))</f>
        <v/>
      </c>
      <c r="R364" s="12" t="str">
        <f aca="false">IF($D364="","",IFERROR(IF(INDEX(Profile!$G$5:$G$304,MATCH($D364,lst_Profil,0))&lt;&gt;"",INDEX(Profile!$G$5:$G$304,MATCH($D364,lst_Profil,0)),$H$4),$H$4))</f>
        <v/>
      </c>
      <c r="S364" s="12" t="str">
        <f aca="false">IF($D364="","",IFERROR(IF(INDEX(Profile!$H$5:$H$304,MATCH($D364,lst_Profil,0))&lt;&gt;"",INDEX(Profile!$H$5:$H$304,MATCH($D364,lst_Profil,0)),$H$5),$H$5))</f>
        <v/>
      </c>
      <c r="T364" s="16" t="str">
        <f aca="false">IF(OR(Q364="",NOT(ISNUMBER(R364)),NOT(ISNUMBER(S364))),"",Q364-R364-S364)</f>
        <v/>
      </c>
      <c r="U364" s="26" t="str">
        <f aca="false">IF(OR($D364="",$E364=""),"",IF(COUNTIFS(Preise!$A$5:$A$304,$D364,Preise!$B$5:$B$304,$E364,Preise!$I$5:$I$304,"OK")&gt;0,"ja","nein"))</f>
        <v/>
      </c>
      <c r="V364" s="15" t="str">
        <f aca="false">IF(OR(M364="",$E364="",$C$8=""),"",IF(_xlfn.MINIFS(Schneiddaten!$C$5:$C$304,Schneiddaten!$A$5:$A$304,$C$8,Schneiddaten!$B$5:$B$304,$E364,Schneiddaten!$C$5:$C$304,"&gt;="&amp;M364)=0,"",SUMIFS(Schneiddaten!$D$5:$D$304,Schneiddaten!$A$5:$A$304,$C$8,Schneiddaten!$B$5:$B$304,$E364,Schneiddaten!$C$5:$C$304,_xlfn.MINIFS(Schneiddaten!$C$5:$C$304,Schneiddaten!$A$5:$A$304,$C$8,Schneiddaten!$B$5:$B$304,$E364,Schneiddaten!$C$5:$C$304,"&gt;="&amp;M364))))</f>
        <v/>
      </c>
      <c r="W364" s="26" t="str">
        <f aca="false">IF(AND($D364="",$E364="",$F364="",$G364=""),"",IF(ISNA(MATCH($D364,lst_Profil,0)),"FEHLER: Profil unbekannt",IF(ISNA(MATCH($E364,lst_Werkstoff,0)),"FEHLER: Werkstoff unbekannt",IF(NOT(ISNUMBER(L364)),"FEHLER: Querschnitt fehlt (Profil)",IF(OR($F364="",$F364&lt;=0),"FEHLER: Teilelänge fehlt",IF(OR($G364="",$G364&lt;1),"FEHLER: Stückzahl fehlt",IF(NOT(ISNUMBER($H$4)),"FEHLER: Maschine fehlt/unbekannt",IF(Q364&gt;$H$7,"FEHLER: Stange länger als Maschine zulässt",IF($F364+$H$6&gt;T364,"FEHLER: Teil länger als Nutzlänge",IF(U364="nein","WARNUNG: kein gültiger Materialpreis",IF($H364="","HINWEIS: Schneidweg fehlt",IF(V364="","HINWEIS: keine Schneiddaten",IF(AND($AF364&lt;&gt;"",$AG364=""),"HINWEIS: Gewinde-Vorschlag prüfen","OK")))))))))))))</f>
        <v/>
      </c>
      <c r="X364" s="18" t="str">
        <f aca="false">IF(OR(O364="",$G364=""),"",O364*$G364)</f>
        <v/>
      </c>
      <c r="Y364" s="10"/>
      <c r="Z364" s="21"/>
      <c r="AA364" s="10"/>
      <c r="AB364" s="21"/>
      <c r="AC364" s="21"/>
      <c r="AD364" s="21"/>
      <c r="AE364" s="10"/>
      <c r="AF364" s="10"/>
      <c r="AG364" s="10"/>
      <c r="AH364" s="22"/>
      <c r="AI364" s="21"/>
      <c r="AJ364" s="22"/>
      <c r="AK364" s="21"/>
      <c r="AL364" s="22"/>
      <c r="AM364" s="21"/>
    </row>
    <row r="365" customFormat="false" ht="15" hidden="false" customHeight="false" outlineLevel="0" collapsed="false">
      <c r="A365" s="10"/>
      <c r="B365" s="10"/>
      <c r="C365" s="10"/>
      <c r="D365" s="10"/>
      <c r="E365" s="10"/>
      <c r="F365" s="21"/>
      <c r="G365" s="19"/>
      <c r="H365" s="21"/>
      <c r="I365" s="22"/>
      <c r="J365" s="19"/>
      <c r="K365" s="23" t="str">
        <f aca="false">IF($D365="","",IFERROR(INDEX(Profile!$B$5:$B$304,MATCH($D365,lst_Profil,0)),""))</f>
        <v/>
      </c>
      <c r="L365" s="13" t="str">
        <f aca="false">IF($D365="","",IFERROR(INDEX(Profile!$K$5:$K$304,MATCH($D365,lst_Profil,0))+0,""))</f>
        <v/>
      </c>
      <c r="M365" s="24" t="str">
        <f aca="false">IF($D365="","",IFERROR(INDEX(Profile!$E$5:$E$304,MATCH($D365,lst_Profil,0))+0,""))</f>
        <v/>
      </c>
      <c r="N365" s="25" t="str">
        <f aca="false">IF(OR(L365="",$E365=""),"",IFERROR(L365*INDEX(Werkstoffe!$E$5:$E$304,MATCH($E365,lst_Werkstoff,0))/1000,""))</f>
        <v/>
      </c>
      <c r="O365" s="25" t="str">
        <f aca="false">IF(OR(N365="",$F365=""),"",N365*$F365/1000)</f>
        <v/>
      </c>
      <c r="P365" s="16" t="str">
        <f aca="false">IF(OR($F365="",$G365=""),"",$F365*$G365)</f>
        <v/>
      </c>
      <c r="Q365" s="16" t="str">
        <f aca="false">IF($D365="","",IF($J365&lt;&gt;"",$J365,$C$9))</f>
        <v/>
      </c>
      <c r="R365" s="12" t="str">
        <f aca="false">IF($D365="","",IFERROR(IF(INDEX(Profile!$G$5:$G$304,MATCH($D365,lst_Profil,0))&lt;&gt;"",INDEX(Profile!$G$5:$G$304,MATCH($D365,lst_Profil,0)),$H$4),$H$4))</f>
        <v/>
      </c>
      <c r="S365" s="12" t="str">
        <f aca="false">IF($D365="","",IFERROR(IF(INDEX(Profile!$H$5:$H$304,MATCH($D365,lst_Profil,0))&lt;&gt;"",INDEX(Profile!$H$5:$H$304,MATCH($D365,lst_Profil,0)),$H$5),$H$5))</f>
        <v/>
      </c>
      <c r="T365" s="16" t="str">
        <f aca="false">IF(OR(Q365="",NOT(ISNUMBER(R365)),NOT(ISNUMBER(S365))),"",Q365-R365-S365)</f>
        <v/>
      </c>
      <c r="U365" s="26" t="str">
        <f aca="false">IF(OR($D365="",$E365=""),"",IF(COUNTIFS(Preise!$A$5:$A$304,$D365,Preise!$B$5:$B$304,$E365,Preise!$I$5:$I$304,"OK")&gt;0,"ja","nein"))</f>
        <v/>
      </c>
      <c r="V365" s="15" t="str">
        <f aca="false">IF(OR(M365="",$E365="",$C$8=""),"",IF(_xlfn.MINIFS(Schneiddaten!$C$5:$C$304,Schneiddaten!$A$5:$A$304,$C$8,Schneiddaten!$B$5:$B$304,$E365,Schneiddaten!$C$5:$C$304,"&gt;="&amp;M365)=0,"",SUMIFS(Schneiddaten!$D$5:$D$304,Schneiddaten!$A$5:$A$304,$C$8,Schneiddaten!$B$5:$B$304,$E365,Schneiddaten!$C$5:$C$304,_xlfn.MINIFS(Schneiddaten!$C$5:$C$304,Schneiddaten!$A$5:$A$304,$C$8,Schneiddaten!$B$5:$B$304,$E365,Schneiddaten!$C$5:$C$304,"&gt;="&amp;M365))))</f>
        <v/>
      </c>
      <c r="W365" s="26" t="str">
        <f aca="false">IF(AND($D365="",$E365="",$F365="",$G365=""),"",IF(ISNA(MATCH($D365,lst_Profil,0)),"FEHLER: Profil unbekannt",IF(ISNA(MATCH($E365,lst_Werkstoff,0)),"FEHLER: Werkstoff unbekannt",IF(NOT(ISNUMBER(L365)),"FEHLER: Querschnitt fehlt (Profil)",IF(OR($F365="",$F365&lt;=0),"FEHLER: Teilelänge fehlt",IF(OR($G365="",$G365&lt;1),"FEHLER: Stückzahl fehlt",IF(NOT(ISNUMBER($H$4)),"FEHLER: Maschine fehlt/unbekannt",IF(Q365&gt;$H$7,"FEHLER: Stange länger als Maschine zulässt",IF($F365+$H$6&gt;T365,"FEHLER: Teil länger als Nutzlänge",IF(U365="nein","WARNUNG: kein gültiger Materialpreis",IF($H365="","HINWEIS: Schneidweg fehlt",IF(V365="","HINWEIS: keine Schneiddaten",IF(AND($AF365&lt;&gt;"",$AG365=""),"HINWEIS: Gewinde-Vorschlag prüfen","OK")))))))))))))</f>
        <v/>
      </c>
      <c r="X365" s="18" t="str">
        <f aca="false">IF(OR(O365="",$G365=""),"",O365*$G365)</f>
        <v/>
      </c>
      <c r="Y365" s="10"/>
      <c r="Z365" s="21"/>
      <c r="AA365" s="10"/>
      <c r="AB365" s="21"/>
      <c r="AC365" s="21"/>
      <c r="AD365" s="21"/>
      <c r="AE365" s="10"/>
      <c r="AF365" s="10"/>
      <c r="AG365" s="10"/>
      <c r="AH365" s="22"/>
      <c r="AI365" s="21"/>
      <c r="AJ365" s="22"/>
      <c r="AK365" s="21"/>
      <c r="AL365" s="22"/>
      <c r="AM365" s="21"/>
    </row>
    <row r="366" customFormat="false" ht="15" hidden="false" customHeight="false" outlineLevel="0" collapsed="false">
      <c r="A366" s="10"/>
      <c r="B366" s="10"/>
      <c r="C366" s="10"/>
      <c r="D366" s="10"/>
      <c r="E366" s="10"/>
      <c r="F366" s="21"/>
      <c r="G366" s="19"/>
      <c r="H366" s="21"/>
      <c r="I366" s="22"/>
      <c r="J366" s="19"/>
      <c r="K366" s="23" t="str">
        <f aca="false">IF($D366="","",IFERROR(INDEX(Profile!$B$5:$B$304,MATCH($D366,lst_Profil,0)),""))</f>
        <v/>
      </c>
      <c r="L366" s="13" t="str">
        <f aca="false">IF($D366="","",IFERROR(INDEX(Profile!$K$5:$K$304,MATCH($D366,lst_Profil,0))+0,""))</f>
        <v/>
      </c>
      <c r="M366" s="24" t="str">
        <f aca="false">IF($D366="","",IFERROR(INDEX(Profile!$E$5:$E$304,MATCH($D366,lst_Profil,0))+0,""))</f>
        <v/>
      </c>
      <c r="N366" s="25" t="str">
        <f aca="false">IF(OR(L366="",$E366=""),"",IFERROR(L366*INDEX(Werkstoffe!$E$5:$E$304,MATCH($E366,lst_Werkstoff,0))/1000,""))</f>
        <v/>
      </c>
      <c r="O366" s="25" t="str">
        <f aca="false">IF(OR(N366="",$F366=""),"",N366*$F366/1000)</f>
        <v/>
      </c>
      <c r="P366" s="16" t="str">
        <f aca="false">IF(OR($F366="",$G366=""),"",$F366*$G366)</f>
        <v/>
      </c>
      <c r="Q366" s="16" t="str">
        <f aca="false">IF($D366="","",IF($J366&lt;&gt;"",$J366,$C$9))</f>
        <v/>
      </c>
      <c r="R366" s="12" t="str">
        <f aca="false">IF($D366="","",IFERROR(IF(INDEX(Profile!$G$5:$G$304,MATCH($D366,lst_Profil,0))&lt;&gt;"",INDEX(Profile!$G$5:$G$304,MATCH($D366,lst_Profil,0)),$H$4),$H$4))</f>
        <v/>
      </c>
      <c r="S366" s="12" t="str">
        <f aca="false">IF($D366="","",IFERROR(IF(INDEX(Profile!$H$5:$H$304,MATCH($D366,lst_Profil,0))&lt;&gt;"",INDEX(Profile!$H$5:$H$304,MATCH($D366,lst_Profil,0)),$H$5),$H$5))</f>
        <v/>
      </c>
      <c r="T366" s="16" t="str">
        <f aca="false">IF(OR(Q366="",NOT(ISNUMBER(R366)),NOT(ISNUMBER(S366))),"",Q366-R366-S366)</f>
        <v/>
      </c>
      <c r="U366" s="26" t="str">
        <f aca="false">IF(OR($D366="",$E366=""),"",IF(COUNTIFS(Preise!$A$5:$A$304,$D366,Preise!$B$5:$B$304,$E366,Preise!$I$5:$I$304,"OK")&gt;0,"ja","nein"))</f>
        <v/>
      </c>
      <c r="V366" s="15" t="str">
        <f aca="false">IF(OR(M366="",$E366="",$C$8=""),"",IF(_xlfn.MINIFS(Schneiddaten!$C$5:$C$304,Schneiddaten!$A$5:$A$304,$C$8,Schneiddaten!$B$5:$B$304,$E366,Schneiddaten!$C$5:$C$304,"&gt;="&amp;M366)=0,"",SUMIFS(Schneiddaten!$D$5:$D$304,Schneiddaten!$A$5:$A$304,$C$8,Schneiddaten!$B$5:$B$304,$E366,Schneiddaten!$C$5:$C$304,_xlfn.MINIFS(Schneiddaten!$C$5:$C$304,Schneiddaten!$A$5:$A$304,$C$8,Schneiddaten!$B$5:$B$304,$E366,Schneiddaten!$C$5:$C$304,"&gt;="&amp;M366))))</f>
        <v/>
      </c>
      <c r="W366" s="26" t="str">
        <f aca="false">IF(AND($D366="",$E366="",$F366="",$G366=""),"",IF(ISNA(MATCH($D366,lst_Profil,0)),"FEHLER: Profil unbekannt",IF(ISNA(MATCH($E366,lst_Werkstoff,0)),"FEHLER: Werkstoff unbekannt",IF(NOT(ISNUMBER(L366)),"FEHLER: Querschnitt fehlt (Profil)",IF(OR($F366="",$F366&lt;=0),"FEHLER: Teilelänge fehlt",IF(OR($G366="",$G366&lt;1),"FEHLER: Stückzahl fehlt",IF(NOT(ISNUMBER($H$4)),"FEHLER: Maschine fehlt/unbekannt",IF(Q366&gt;$H$7,"FEHLER: Stange länger als Maschine zulässt",IF($F366+$H$6&gt;T366,"FEHLER: Teil länger als Nutzlänge",IF(U366="nein","WARNUNG: kein gültiger Materialpreis",IF($H366="","HINWEIS: Schneidweg fehlt",IF(V366="","HINWEIS: keine Schneiddaten",IF(AND($AF366&lt;&gt;"",$AG366=""),"HINWEIS: Gewinde-Vorschlag prüfen","OK")))))))))))))</f>
        <v/>
      </c>
      <c r="X366" s="18" t="str">
        <f aca="false">IF(OR(O366="",$G366=""),"",O366*$G366)</f>
        <v/>
      </c>
      <c r="Y366" s="10"/>
      <c r="Z366" s="21"/>
      <c r="AA366" s="10"/>
      <c r="AB366" s="21"/>
      <c r="AC366" s="21"/>
      <c r="AD366" s="21"/>
      <c r="AE366" s="10"/>
      <c r="AF366" s="10"/>
      <c r="AG366" s="10"/>
      <c r="AH366" s="22"/>
      <c r="AI366" s="21"/>
      <c r="AJ366" s="22"/>
      <c r="AK366" s="21"/>
      <c r="AL366" s="22"/>
      <c r="AM366" s="21"/>
    </row>
    <row r="367" customFormat="false" ht="15" hidden="false" customHeight="false" outlineLevel="0" collapsed="false">
      <c r="A367" s="10"/>
      <c r="B367" s="10"/>
      <c r="C367" s="10"/>
      <c r="D367" s="10"/>
      <c r="E367" s="10"/>
      <c r="F367" s="21"/>
      <c r="G367" s="19"/>
      <c r="H367" s="21"/>
      <c r="I367" s="22"/>
      <c r="J367" s="19"/>
      <c r="K367" s="23" t="str">
        <f aca="false">IF($D367="","",IFERROR(INDEX(Profile!$B$5:$B$304,MATCH($D367,lst_Profil,0)),""))</f>
        <v/>
      </c>
      <c r="L367" s="13" t="str">
        <f aca="false">IF($D367="","",IFERROR(INDEX(Profile!$K$5:$K$304,MATCH($D367,lst_Profil,0))+0,""))</f>
        <v/>
      </c>
      <c r="M367" s="24" t="str">
        <f aca="false">IF($D367="","",IFERROR(INDEX(Profile!$E$5:$E$304,MATCH($D367,lst_Profil,0))+0,""))</f>
        <v/>
      </c>
      <c r="N367" s="25" t="str">
        <f aca="false">IF(OR(L367="",$E367=""),"",IFERROR(L367*INDEX(Werkstoffe!$E$5:$E$304,MATCH($E367,lst_Werkstoff,0))/1000,""))</f>
        <v/>
      </c>
      <c r="O367" s="25" t="str">
        <f aca="false">IF(OR(N367="",$F367=""),"",N367*$F367/1000)</f>
        <v/>
      </c>
      <c r="P367" s="16" t="str">
        <f aca="false">IF(OR($F367="",$G367=""),"",$F367*$G367)</f>
        <v/>
      </c>
      <c r="Q367" s="16" t="str">
        <f aca="false">IF($D367="","",IF($J367&lt;&gt;"",$J367,$C$9))</f>
        <v/>
      </c>
      <c r="R367" s="12" t="str">
        <f aca="false">IF($D367="","",IFERROR(IF(INDEX(Profile!$G$5:$G$304,MATCH($D367,lst_Profil,0))&lt;&gt;"",INDEX(Profile!$G$5:$G$304,MATCH($D367,lst_Profil,0)),$H$4),$H$4))</f>
        <v/>
      </c>
      <c r="S367" s="12" t="str">
        <f aca="false">IF($D367="","",IFERROR(IF(INDEX(Profile!$H$5:$H$304,MATCH($D367,lst_Profil,0))&lt;&gt;"",INDEX(Profile!$H$5:$H$304,MATCH($D367,lst_Profil,0)),$H$5),$H$5))</f>
        <v/>
      </c>
      <c r="T367" s="16" t="str">
        <f aca="false">IF(OR(Q367="",NOT(ISNUMBER(R367)),NOT(ISNUMBER(S367))),"",Q367-R367-S367)</f>
        <v/>
      </c>
      <c r="U367" s="26" t="str">
        <f aca="false">IF(OR($D367="",$E367=""),"",IF(COUNTIFS(Preise!$A$5:$A$304,$D367,Preise!$B$5:$B$304,$E367,Preise!$I$5:$I$304,"OK")&gt;0,"ja","nein"))</f>
        <v/>
      </c>
      <c r="V367" s="15" t="str">
        <f aca="false">IF(OR(M367="",$E367="",$C$8=""),"",IF(_xlfn.MINIFS(Schneiddaten!$C$5:$C$304,Schneiddaten!$A$5:$A$304,$C$8,Schneiddaten!$B$5:$B$304,$E367,Schneiddaten!$C$5:$C$304,"&gt;="&amp;M367)=0,"",SUMIFS(Schneiddaten!$D$5:$D$304,Schneiddaten!$A$5:$A$304,$C$8,Schneiddaten!$B$5:$B$304,$E367,Schneiddaten!$C$5:$C$304,_xlfn.MINIFS(Schneiddaten!$C$5:$C$304,Schneiddaten!$A$5:$A$304,$C$8,Schneiddaten!$B$5:$B$304,$E367,Schneiddaten!$C$5:$C$304,"&gt;="&amp;M367))))</f>
        <v/>
      </c>
      <c r="W367" s="26" t="str">
        <f aca="false">IF(AND($D367="",$E367="",$F367="",$G367=""),"",IF(ISNA(MATCH($D367,lst_Profil,0)),"FEHLER: Profil unbekannt",IF(ISNA(MATCH($E367,lst_Werkstoff,0)),"FEHLER: Werkstoff unbekannt",IF(NOT(ISNUMBER(L367)),"FEHLER: Querschnitt fehlt (Profil)",IF(OR($F367="",$F367&lt;=0),"FEHLER: Teilelänge fehlt",IF(OR($G367="",$G367&lt;1),"FEHLER: Stückzahl fehlt",IF(NOT(ISNUMBER($H$4)),"FEHLER: Maschine fehlt/unbekannt",IF(Q367&gt;$H$7,"FEHLER: Stange länger als Maschine zulässt",IF($F367+$H$6&gt;T367,"FEHLER: Teil länger als Nutzlänge",IF(U367="nein","WARNUNG: kein gültiger Materialpreis",IF($H367="","HINWEIS: Schneidweg fehlt",IF(V367="","HINWEIS: keine Schneiddaten",IF(AND($AF367&lt;&gt;"",$AG367=""),"HINWEIS: Gewinde-Vorschlag prüfen","OK")))))))))))))</f>
        <v/>
      </c>
      <c r="X367" s="18" t="str">
        <f aca="false">IF(OR(O367="",$G367=""),"",O367*$G367)</f>
        <v/>
      </c>
      <c r="Y367" s="10"/>
      <c r="Z367" s="21"/>
      <c r="AA367" s="10"/>
      <c r="AB367" s="21"/>
      <c r="AC367" s="21"/>
      <c r="AD367" s="21"/>
      <c r="AE367" s="10"/>
      <c r="AF367" s="10"/>
      <c r="AG367" s="10"/>
      <c r="AH367" s="22"/>
      <c r="AI367" s="21"/>
      <c r="AJ367" s="22"/>
      <c r="AK367" s="21"/>
      <c r="AL367" s="22"/>
      <c r="AM367" s="21"/>
    </row>
    <row r="368" customFormat="false" ht="15" hidden="false" customHeight="false" outlineLevel="0" collapsed="false">
      <c r="A368" s="10"/>
      <c r="B368" s="10"/>
      <c r="C368" s="10"/>
      <c r="D368" s="10"/>
      <c r="E368" s="10"/>
      <c r="F368" s="21"/>
      <c r="G368" s="19"/>
      <c r="H368" s="21"/>
      <c r="I368" s="22"/>
      <c r="J368" s="19"/>
      <c r="K368" s="23" t="str">
        <f aca="false">IF($D368="","",IFERROR(INDEX(Profile!$B$5:$B$304,MATCH($D368,lst_Profil,0)),""))</f>
        <v/>
      </c>
      <c r="L368" s="13" t="str">
        <f aca="false">IF($D368="","",IFERROR(INDEX(Profile!$K$5:$K$304,MATCH($D368,lst_Profil,0))+0,""))</f>
        <v/>
      </c>
      <c r="M368" s="24" t="str">
        <f aca="false">IF($D368="","",IFERROR(INDEX(Profile!$E$5:$E$304,MATCH($D368,lst_Profil,0))+0,""))</f>
        <v/>
      </c>
      <c r="N368" s="25" t="str">
        <f aca="false">IF(OR(L368="",$E368=""),"",IFERROR(L368*INDEX(Werkstoffe!$E$5:$E$304,MATCH($E368,lst_Werkstoff,0))/1000,""))</f>
        <v/>
      </c>
      <c r="O368" s="25" t="str">
        <f aca="false">IF(OR(N368="",$F368=""),"",N368*$F368/1000)</f>
        <v/>
      </c>
      <c r="P368" s="16" t="str">
        <f aca="false">IF(OR($F368="",$G368=""),"",$F368*$G368)</f>
        <v/>
      </c>
      <c r="Q368" s="16" t="str">
        <f aca="false">IF($D368="","",IF($J368&lt;&gt;"",$J368,$C$9))</f>
        <v/>
      </c>
      <c r="R368" s="12" t="str">
        <f aca="false">IF($D368="","",IFERROR(IF(INDEX(Profile!$G$5:$G$304,MATCH($D368,lst_Profil,0))&lt;&gt;"",INDEX(Profile!$G$5:$G$304,MATCH($D368,lst_Profil,0)),$H$4),$H$4))</f>
        <v/>
      </c>
      <c r="S368" s="12" t="str">
        <f aca="false">IF($D368="","",IFERROR(IF(INDEX(Profile!$H$5:$H$304,MATCH($D368,lst_Profil,0))&lt;&gt;"",INDEX(Profile!$H$5:$H$304,MATCH($D368,lst_Profil,0)),$H$5),$H$5))</f>
        <v/>
      </c>
      <c r="T368" s="16" t="str">
        <f aca="false">IF(OR(Q368="",NOT(ISNUMBER(R368)),NOT(ISNUMBER(S368))),"",Q368-R368-S368)</f>
        <v/>
      </c>
      <c r="U368" s="26" t="str">
        <f aca="false">IF(OR($D368="",$E368=""),"",IF(COUNTIFS(Preise!$A$5:$A$304,$D368,Preise!$B$5:$B$304,$E368,Preise!$I$5:$I$304,"OK")&gt;0,"ja","nein"))</f>
        <v/>
      </c>
      <c r="V368" s="15" t="str">
        <f aca="false">IF(OR(M368="",$E368="",$C$8=""),"",IF(_xlfn.MINIFS(Schneiddaten!$C$5:$C$304,Schneiddaten!$A$5:$A$304,$C$8,Schneiddaten!$B$5:$B$304,$E368,Schneiddaten!$C$5:$C$304,"&gt;="&amp;M368)=0,"",SUMIFS(Schneiddaten!$D$5:$D$304,Schneiddaten!$A$5:$A$304,$C$8,Schneiddaten!$B$5:$B$304,$E368,Schneiddaten!$C$5:$C$304,_xlfn.MINIFS(Schneiddaten!$C$5:$C$304,Schneiddaten!$A$5:$A$304,$C$8,Schneiddaten!$B$5:$B$304,$E368,Schneiddaten!$C$5:$C$304,"&gt;="&amp;M368))))</f>
        <v/>
      </c>
      <c r="W368" s="26" t="str">
        <f aca="false">IF(AND($D368="",$E368="",$F368="",$G368=""),"",IF(ISNA(MATCH($D368,lst_Profil,0)),"FEHLER: Profil unbekannt",IF(ISNA(MATCH($E368,lst_Werkstoff,0)),"FEHLER: Werkstoff unbekannt",IF(NOT(ISNUMBER(L368)),"FEHLER: Querschnitt fehlt (Profil)",IF(OR($F368="",$F368&lt;=0),"FEHLER: Teilelänge fehlt",IF(OR($G368="",$G368&lt;1),"FEHLER: Stückzahl fehlt",IF(NOT(ISNUMBER($H$4)),"FEHLER: Maschine fehlt/unbekannt",IF(Q368&gt;$H$7,"FEHLER: Stange länger als Maschine zulässt",IF($F368+$H$6&gt;T368,"FEHLER: Teil länger als Nutzlänge",IF(U368="nein","WARNUNG: kein gültiger Materialpreis",IF($H368="","HINWEIS: Schneidweg fehlt",IF(V368="","HINWEIS: keine Schneiddaten",IF(AND($AF368&lt;&gt;"",$AG368=""),"HINWEIS: Gewinde-Vorschlag prüfen","OK")))))))))))))</f>
        <v/>
      </c>
      <c r="X368" s="18" t="str">
        <f aca="false">IF(OR(O368="",$G368=""),"",O368*$G368)</f>
        <v/>
      </c>
      <c r="Y368" s="10"/>
      <c r="Z368" s="21"/>
      <c r="AA368" s="10"/>
      <c r="AB368" s="21"/>
      <c r="AC368" s="21"/>
      <c r="AD368" s="21"/>
      <c r="AE368" s="10"/>
      <c r="AF368" s="10"/>
      <c r="AG368" s="10"/>
      <c r="AH368" s="22"/>
      <c r="AI368" s="21"/>
      <c r="AJ368" s="22"/>
      <c r="AK368" s="21"/>
      <c r="AL368" s="22"/>
      <c r="AM368" s="21"/>
    </row>
    <row r="369" customFormat="false" ht="15" hidden="false" customHeight="false" outlineLevel="0" collapsed="false">
      <c r="A369" s="10"/>
      <c r="B369" s="10"/>
      <c r="C369" s="10"/>
      <c r="D369" s="10"/>
      <c r="E369" s="10"/>
      <c r="F369" s="21"/>
      <c r="G369" s="19"/>
      <c r="H369" s="21"/>
      <c r="I369" s="22"/>
      <c r="J369" s="19"/>
      <c r="K369" s="23" t="str">
        <f aca="false">IF($D369="","",IFERROR(INDEX(Profile!$B$5:$B$304,MATCH($D369,lst_Profil,0)),""))</f>
        <v/>
      </c>
      <c r="L369" s="13" t="str">
        <f aca="false">IF($D369="","",IFERROR(INDEX(Profile!$K$5:$K$304,MATCH($D369,lst_Profil,0))+0,""))</f>
        <v/>
      </c>
      <c r="M369" s="24" t="str">
        <f aca="false">IF($D369="","",IFERROR(INDEX(Profile!$E$5:$E$304,MATCH($D369,lst_Profil,0))+0,""))</f>
        <v/>
      </c>
      <c r="N369" s="25" t="str">
        <f aca="false">IF(OR(L369="",$E369=""),"",IFERROR(L369*INDEX(Werkstoffe!$E$5:$E$304,MATCH($E369,lst_Werkstoff,0))/1000,""))</f>
        <v/>
      </c>
      <c r="O369" s="25" t="str">
        <f aca="false">IF(OR(N369="",$F369=""),"",N369*$F369/1000)</f>
        <v/>
      </c>
      <c r="P369" s="16" t="str">
        <f aca="false">IF(OR($F369="",$G369=""),"",$F369*$G369)</f>
        <v/>
      </c>
      <c r="Q369" s="16" t="str">
        <f aca="false">IF($D369="","",IF($J369&lt;&gt;"",$J369,$C$9))</f>
        <v/>
      </c>
      <c r="R369" s="12" t="str">
        <f aca="false">IF($D369="","",IFERROR(IF(INDEX(Profile!$G$5:$G$304,MATCH($D369,lst_Profil,0))&lt;&gt;"",INDEX(Profile!$G$5:$G$304,MATCH($D369,lst_Profil,0)),$H$4),$H$4))</f>
        <v/>
      </c>
      <c r="S369" s="12" t="str">
        <f aca="false">IF($D369="","",IFERROR(IF(INDEX(Profile!$H$5:$H$304,MATCH($D369,lst_Profil,0))&lt;&gt;"",INDEX(Profile!$H$5:$H$304,MATCH($D369,lst_Profil,0)),$H$5),$H$5))</f>
        <v/>
      </c>
      <c r="T369" s="16" t="str">
        <f aca="false">IF(OR(Q369="",NOT(ISNUMBER(R369)),NOT(ISNUMBER(S369))),"",Q369-R369-S369)</f>
        <v/>
      </c>
      <c r="U369" s="26" t="str">
        <f aca="false">IF(OR($D369="",$E369=""),"",IF(COUNTIFS(Preise!$A$5:$A$304,$D369,Preise!$B$5:$B$304,$E369,Preise!$I$5:$I$304,"OK")&gt;0,"ja","nein"))</f>
        <v/>
      </c>
      <c r="V369" s="15" t="str">
        <f aca="false">IF(OR(M369="",$E369="",$C$8=""),"",IF(_xlfn.MINIFS(Schneiddaten!$C$5:$C$304,Schneiddaten!$A$5:$A$304,$C$8,Schneiddaten!$B$5:$B$304,$E369,Schneiddaten!$C$5:$C$304,"&gt;="&amp;M369)=0,"",SUMIFS(Schneiddaten!$D$5:$D$304,Schneiddaten!$A$5:$A$304,$C$8,Schneiddaten!$B$5:$B$304,$E369,Schneiddaten!$C$5:$C$304,_xlfn.MINIFS(Schneiddaten!$C$5:$C$304,Schneiddaten!$A$5:$A$304,$C$8,Schneiddaten!$B$5:$B$304,$E369,Schneiddaten!$C$5:$C$304,"&gt;="&amp;M369))))</f>
        <v/>
      </c>
      <c r="W369" s="26" t="str">
        <f aca="false">IF(AND($D369="",$E369="",$F369="",$G369=""),"",IF(ISNA(MATCH($D369,lst_Profil,0)),"FEHLER: Profil unbekannt",IF(ISNA(MATCH($E369,lst_Werkstoff,0)),"FEHLER: Werkstoff unbekannt",IF(NOT(ISNUMBER(L369)),"FEHLER: Querschnitt fehlt (Profil)",IF(OR($F369="",$F369&lt;=0),"FEHLER: Teilelänge fehlt",IF(OR($G369="",$G369&lt;1),"FEHLER: Stückzahl fehlt",IF(NOT(ISNUMBER($H$4)),"FEHLER: Maschine fehlt/unbekannt",IF(Q369&gt;$H$7,"FEHLER: Stange länger als Maschine zulässt",IF($F369+$H$6&gt;T369,"FEHLER: Teil länger als Nutzlänge",IF(U369="nein","WARNUNG: kein gültiger Materialpreis",IF($H369="","HINWEIS: Schneidweg fehlt",IF(V369="","HINWEIS: keine Schneiddaten",IF(AND($AF369&lt;&gt;"",$AG369=""),"HINWEIS: Gewinde-Vorschlag prüfen","OK")))))))))))))</f>
        <v/>
      </c>
      <c r="X369" s="18" t="str">
        <f aca="false">IF(OR(O369="",$G369=""),"",O369*$G369)</f>
        <v/>
      </c>
      <c r="Y369" s="10"/>
      <c r="Z369" s="21"/>
      <c r="AA369" s="10"/>
      <c r="AB369" s="21"/>
      <c r="AC369" s="21"/>
      <c r="AD369" s="21"/>
      <c r="AE369" s="10"/>
      <c r="AF369" s="10"/>
      <c r="AG369" s="10"/>
      <c r="AH369" s="22"/>
      <c r="AI369" s="21"/>
      <c r="AJ369" s="22"/>
      <c r="AK369" s="21"/>
      <c r="AL369" s="22"/>
      <c r="AM369" s="21"/>
    </row>
    <row r="370" customFormat="false" ht="15" hidden="false" customHeight="false" outlineLevel="0" collapsed="false">
      <c r="A370" s="10"/>
      <c r="B370" s="10"/>
      <c r="C370" s="10"/>
      <c r="D370" s="10"/>
      <c r="E370" s="10"/>
      <c r="F370" s="21"/>
      <c r="G370" s="19"/>
      <c r="H370" s="21"/>
      <c r="I370" s="22"/>
      <c r="J370" s="19"/>
      <c r="K370" s="23" t="str">
        <f aca="false">IF($D370="","",IFERROR(INDEX(Profile!$B$5:$B$304,MATCH($D370,lst_Profil,0)),""))</f>
        <v/>
      </c>
      <c r="L370" s="13" t="str">
        <f aca="false">IF($D370="","",IFERROR(INDEX(Profile!$K$5:$K$304,MATCH($D370,lst_Profil,0))+0,""))</f>
        <v/>
      </c>
      <c r="M370" s="24" t="str">
        <f aca="false">IF($D370="","",IFERROR(INDEX(Profile!$E$5:$E$304,MATCH($D370,lst_Profil,0))+0,""))</f>
        <v/>
      </c>
      <c r="N370" s="25" t="str">
        <f aca="false">IF(OR(L370="",$E370=""),"",IFERROR(L370*INDEX(Werkstoffe!$E$5:$E$304,MATCH($E370,lst_Werkstoff,0))/1000,""))</f>
        <v/>
      </c>
      <c r="O370" s="25" t="str">
        <f aca="false">IF(OR(N370="",$F370=""),"",N370*$F370/1000)</f>
        <v/>
      </c>
      <c r="P370" s="16" t="str">
        <f aca="false">IF(OR($F370="",$G370=""),"",$F370*$G370)</f>
        <v/>
      </c>
      <c r="Q370" s="16" t="str">
        <f aca="false">IF($D370="","",IF($J370&lt;&gt;"",$J370,$C$9))</f>
        <v/>
      </c>
      <c r="R370" s="12" t="str">
        <f aca="false">IF($D370="","",IFERROR(IF(INDEX(Profile!$G$5:$G$304,MATCH($D370,lst_Profil,0))&lt;&gt;"",INDEX(Profile!$G$5:$G$304,MATCH($D370,lst_Profil,0)),$H$4),$H$4))</f>
        <v/>
      </c>
      <c r="S370" s="12" t="str">
        <f aca="false">IF($D370="","",IFERROR(IF(INDEX(Profile!$H$5:$H$304,MATCH($D370,lst_Profil,0))&lt;&gt;"",INDEX(Profile!$H$5:$H$304,MATCH($D370,lst_Profil,0)),$H$5),$H$5))</f>
        <v/>
      </c>
      <c r="T370" s="16" t="str">
        <f aca="false">IF(OR(Q370="",NOT(ISNUMBER(R370)),NOT(ISNUMBER(S370))),"",Q370-R370-S370)</f>
        <v/>
      </c>
      <c r="U370" s="26" t="str">
        <f aca="false">IF(OR($D370="",$E370=""),"",IF(COUNTIFS(Preise!$A$5:$A$304,$D370,Preise!$B$5:$B$304,$E370,Preise!$I$5:$I$304,"OK")&gt;0,"ja","nein"))</f>
        <v/>
      </c>
      <c r="V370" s="15" t="str">
        <f aca="false">IF(OR(M370="",$E370="",$C$8=""),"",IF(_xlfn.MINIFS(Schneiddaten!$C$5:$C$304,Schneiddaten!$A$5:$A$304,$C$8,Schneiddaten!$B$5:$B$304,$E370,Schneiddaten!$C$5:$C$304,"&gt;="&amp;M370)=0,"",SUMIFS(Schneiddaten!$D$5:$D$304,Schneiddaten!$A$5:$A$304,$C$8,Schneiddaten!$B$5:$B$304,$E370,Schneiddaten!$C$5:$C$304,_xlfn.MINIFS(Schneiddaten!$C$5:$C$304,Schneiddaten!$A$5:$A$304,$C$8,Schneiddaten!$B$5:$B$304,$E370,Schneiddaten!$C$5:$C$304,"&gt;="&amp;M370))))</f>
        <v/>
      </c>
      <c r="W370" s="26" t="str">
        <f aca="false">IF(AND($D370="",$E370="",$F370="",$G370=""),"",IF(ISNA(MATCH($D370,lst_Profil,0)),"FEHLER: Profil unbekannt",IF(ISNA(MATCH($E370,lst_Werkstoff,0)),"FEHLER: Werkstoff unbekannt",IF(NOT(ISNUMBER(L370)),"FEHLER: Querschnitt fehlt (Profil)",IF(OR($F370="",$F370&lt;=0),"FEHLER: Teilelänge fehlt",IF(OR($G370="",$G370&lt;1),"FEHLER: Stückzahl fehlt",IF(NOT(ISNUMBER($H$4)),"FEHLER: Maschine fehlt/unbekannt",IF(Q370&gt;$H$7,"FEHLER: Stange länger als Maschine zulässt",IF($F370+$H$6&gt;T370,"FEHLER: Teil länger als Nutzlänge",IF(U370="nein","WARNUNG: kein gültiger Materialpreis",IF($H370="","HINWEIS: Schneidweg fehlt",IF(V370="","HINWEIS: keine Schneiddaten",IF(AND($AF370&lt;&gt;"",$AG370=""),"HINWEIS: Gewinde-Vorschlag prüfen","OK")))))))))))))</f>
        <v/>
      </c>
      <c r="X370" s="18" t="str">
        <f aca="false">IF(OR(O370="",$G370=""),"",O370*$G370)</f>
        <v/>
      </c>
      <c r="Y370" s="10"/>
      <c r="Z370" s="21"/>
      <c r="AA370" s="10"/>
      <c r="AB370" s="21"/>
      <c r="AC370" s="21"/>
      <c r="AD370" s="21"/>
      <c r="AE370" s="10"/>
      <c r="AF370" s="10"/>
      <c r="AG370" s="10"/>
      <c r="AH370" s="22"/>
      <c r="AI370" s="21"/>
      <c r="AJ370" s="22"/>
      <c r="AK370" s="21"/>
      <c r="AL370" s="22"/>
      <c r="AM370" s="21"/>
    </row>
    <row r="371" customFormat="false" ht="15" hidden="false" customHeight="false" outlineLevel="0" collapsed="false">
      <c r="A371" s="10"/>
      <c r="B371" s="10"/>
      <c r="C371" s="10"/>
      <c r="D371" s="10"/>
      <c r="E371" s="10"/>
      <c r="F371" s="21"/>
      <c r="G371" s="19"/>
      <c r="H371" s="21"/>
      <c r="I371" s="22"/>
      <c r="J371" s="19"/>
      <c r="K371" s="23" t="str">
        <f aca="false">IF($D371="","",IFERROR(INDEX(Profile!$B$5:$B$304,MATCH($D371,lst_Profil,0)),""))</f>
        <v/>
      </c>
      <c r="L371" s="13" t="str">
        <f aca="false">IF($D371="","",IFERROR(INDEX(Profile!$K$5:$K$304,MATCH($D371,lst_Profil,0))+0,""))</f>
        <v/>
      </c>
      <c r="M371" s="24" t="str">
        <f aca="false">IF($D371="","",IFERROR(INDEX(Profile!$E$5:$E$304,MATCH($D371,lst_Profil,0))+0,""))</f>
        <v/>
      </c>
      <c r="N371" s="25" t="str">
        <f aca="false">IF(OR(L371="",$E371=""),"",IFERROR(L371*INDEX(Werkstoffe!$E$5:$E$304,MATCH($E371,lst_Werkstoff,0))/1000,""))</f>
        <v/>
      </c>
      <c r="O371" s="25" t="str">
        <f aca="false">IF(OR(N371="",$F371=""),"",N371*$F371/1000)</f>
        <v/>
      </c>
      <c r="P371" s="16" t="str">
        <f aca="false">IF(OR($F371="",$G371=""),"",$F371*$G371)</f>
        <v/>
      </c>
      <c r="Q371" s="16" t="str">
        <f aca="false">IF($D371="","",IF($J371&lt;&gt;"",$J371,$C$9))</f>
        <v/>
      </c>
      <c r="R371" s="12" t="str">
        <f aca="false">IF($D371="","",IFERROR(IF(INDEX(Profile!$G$5:$G$304,MATCH($D371,lst_Profil,0))&lt;&gt;"",INDEX(Profile!$G$5:$G$304,MATCH($D371,lst_Profil,0)),$H$4),$H$4))</f>
        <v/>
      </c>
      <c r="S371" s="12" t="str">
        <f aca="false">IF($D371="","",IFERROR(IF(INDEX(Profile!$H$5:$H$304,MATCH($D371,lst_Profil,0))&lt;&gt;"",INDEX(Profile!$H$5:$H$304,MATCH($D371,lst_Profil,0)),$H$5),$H$5))</f>
        <v/>
      </c>
      <c r="T371" s="16" t="str">
        <f aca="false">IF(OR(Q371="",NOT(ISNUMBER(R371)),NOT(ISNUMBER(S371))),"",Q371-R371-S371)</f>
        <v/>
      </c>
      <c r="U371" s="26" t="str">
        <f aca="false">IF(OR($D371="",$E371=""),"",IF(COUNTIFS(Preise!$A$5:$A$304,$D371,Preise!$B$5:$B$304,$E371,Preise!$I$5:$I$304,"OK")&gt;0,"ja","nein"))</f>
        <v/>
      </c>
      <c r="V371" s="15" t="str">
        <f aca="false">IF(OR(M371="",$E371="",$C$8=""),"",IF(_xlfn.MINIFS(Schneiddaten!$C$5:$C$304,Schneiddaten!$A$5:$A$304,$C$8,Schneiddaten!$B$5:$B$304,$E371,Schneiddaten!$C$5:$C$304,"&gt;="&amp;M371)=0,"",SUMIFS(Schneiddaten!$D$5:$D$304,Schneiddaten!$A$5:$A$304,$C$8,Schneiddaten!$B$5:$B$304,$E371,Schneiddaten!$C$5:$C$304,_xlfn.MINIFS(Schneiddaten!$C$5:$C$304,Schneiddaten!$A$5:$A$304,$C$8,Schneiddaten!$B$5:$B$304,$E371,Schneiddaten!$C$5:$C$304,"&gt;="&amp;M371))))</f>
        <v/>
      </c>
      <c r="W371" s="26" t="str">
        <f aca="false">IF(AND($D371="",$E371="",$F371="",$G371=""),"",IF(ISNA(MATCH($D371,lst_Profil,0)),"FEHLER: Profil unbekannt",IF(ISNA(MATCH($E371,lst_Werkstoff,0)),"FEHLER: Werkstoff unbekannt",IF(NOT(ISNUMBER(L371)),"FEHLER: Querschnitt fehlt (Profil)",IF(OR($F371="",$F371&lt;=0),"FEHLER: Teilelänge fehlt",IF(OR($G371="",$G371&lt;1),"FEHLER: Stückzahl fehlt",IF(NOT(ISNUMBER($H$4)),"FEHLER: Maschine fehlt/unbekannt",IF(Q371&gt;$H$7,"FEHLER: Stange länger als Maschine zulässt",IF($F371+$H$6&gt;T371,"FEHLER: Teil länger als Nutzlänge",IF(U371="nein","WARNUNG: kein gültiger Materialpreis",IF($H371="","HINWEIS: Schneidweg fehlt",IF(V371="","HINWEIS: keine Schneiddaten",IF(AND($AF371&lt;&gt;"",$AG371=""),"HINWEIS: Gewinde-Vorschlag prüfen","OK")))))))))))))</f>
        <v/>
      </c>
      <c r="X371" s="18" t="str">
        <f aca="false">IF(OR(O371="",$G371=""),"",O371*$G371)</f>
        <v/>
      </c>
      <c r="Y371" s="10"/>
      <c r="Z371" s="21"/>
      <c r="AA371" s="10"/>
      <c r="AB371" s="21"/>
      <c r="AC371" s="21"/>
      <c r="AD371" s="21"/>
      <c r="AE371" s="10"/>
      <c r="AF371" s="10"/>
      <c r="AG371" s="10"/>
      <c r="AH371" s="22"/>
      <c r="AI371" s="21"/>
      <c r="AJ371" s="22"/>
      <c r="AK371" s="21"/>
      <c r="AL371" s="22"/>
      <c r="AM371" s="21"/>
    </row>
    <row r="372" customFormat="false" ht="15" hidden="false" customHeight="false" outlineLevel="0" collapsed="false">
      <c r="A372" s="10"/>
      <c r="B372" s="10"/>
      <c r="C372" s="10"/>
      <c r="D372" s="10"/>
      <c r="E372" s="10"/>
      <c r="F372" s="21"/>
      <c r="G372" s="19"/>
      <c r="H372" s="21"/>
      <c r="I372" s="22"/>
      <c r="J372" s="19"/>
      <c r="K372" s="23" t="str">
        <f aca="false">IF($D372="","",IFERROR(INDEX(Profile!$B$5:$B$304,MATCH($D372,lst_Profil,0)),""))</f>
        <v/>
      </c>
      <c r="L372" s="13" t="str">
        <f aca="false">IF($D372="","",IFERROR(INDEX(Profile!$K$5:$K$304,MATCH($D372,lst_Profil,0))+0,""))</f>
        <v/>
      </c>
      <c r="M372" s="24" t="str">
        <f aca="false">IF($D372="","",IFERROR(INDEX(Profile!$E$5:$E$304,MATCH($D372,lst_Profil,0))+0,""))</f>
        <v/>
      </c>
      <c r="N372" s="25" t="str">
        <f aca="false">IF(OR(L372="",$E372=""),"",IFERROR(L372*INDEX(Werkstoffe!$E$5:$E$304,MATCH($E372,lst_Werkstoff,0))/1000,""))</f>
        <v/>
      </c>
      <c r="O372" s="25" t="str">
        <f aca="false">IF(OR(N372="",$F372=""),"",N372*$F372/1000)</f>
        <v/>
      </c>
      <c r="P372" s="16" t="str">
        <f aca="false">IF(OR($F372="",$G372=""),"",$F372*$G372)</f>
        <v/>
      </c>
      <c r="Q372" s="16" t="str">
        <f aca="false">IF($D372="","",IF($J372&lt;&gt;"",$J372,$C$9))</f>
        <v/>
      </c>
      <c r="R372" s="12" t="str">
        <f aca="false">IF($D372="","",IFERROR(IF(INDEX(Profile!$G$5:$G$304,MATCH($D372,lst_Profil,0))&lt;&gt;"",INDEX(Profile!$G$5:$G$304,MATCH($D372,lst_Profil,0)),$H$4),$H$4))</f>
        <v/>
      </c>
      <c r="S372" s="12" t="str">
        <f aca="false">IF($D372="","",IFERROR(IF(INDEX(Profile!$H$5:$H$304,MATCH($D372,lst_Profil,0))&lt;&gt;"",INDEX(Profile!$H$5:$H$304,MATCH($D372,lst_Profil,0)),$H$5),$H$5))</f>
        <v/>
      </c>
      <c r="T372" s="16" t="str">
        <f aca="false">IF(OR(Q372="",NOT(ISNUMBER(R372)),NOT(ISNUMBER(S372))),"",Q372-R372-S372)</f>
        <v/>
      </c>
      <c r="U372" s="26" t="str">
        <f aca="false">IF(OR($D372="",$E372=""),"",IF(COUNTIFS(Preise!$A$5:$A$304,$D372,Preise!$B$5:$B$304,$E372,Preise!$I$5:$I$304,"OK")&gt;0,"ja","nein"))</f>
        <v/>
      </c>
      <c r="V372" s="15" t="str">
        <f aca="false">IF(OR(M372="",$E372="",$C$8=""),"",IF(_xlfn.MINIFS(Schneiddaten!$C$5:$C$304,Schneiddaten!$A$5:$A$304,$C$8,Schneiddaten!$B$5:$B$304,$E372,Schneiddaten!$C$5:$C$304,"&gt;="&amp;M372)=0,"",SUMIFS(Schneiddaten!$D$5:$D$304,Schneiddaten!$A$5:$A$304,$C$8,Schneiddaten!$B$5:$B$304,$E372,Schneiddaten!$C$5:$C$304,_xlfn.MINIFS(Schneiddaten!$C$5:$C$304,Schneiddaten!$A$5:$A$304,$C$8,Schneiddaten!$B$5:$B$304,$E372,Schneiddaten!$C$5:$C$304,"&gt;="&amp;M372))))</f>
        <v/>
      </c>
      <c r="W372" s="26" t="str">
        <f aca="false">IF(AND($D372="",$E372="",$F372="",$G372=""),"",IF(ISNA(MATCH($D372,lst_Profil,0)),"FEHLER: Profil unbekannt",IF(ISNA(MATCH($E372,lst_Werkstoff,0)),"FEHLER: Werkstoff unbekannt",IF(NOT(ISNUMBER(L372)),"FEHLER: Querschnitt fehlt (Profil)",IF(OR($F372="",$F372&lt;=0),"FEHLER: Teilelänge fehlt",IF(OR($G372="",$G372&lt;1),"FEHLER: Stückzahl fehlt",IF(NOT(ISNUMBER($H$4)),"FEHLER: Maschine fehlt/unbekannt",IF(Q372&gt;$H$7,"FEHLER: Stange länger als Maschine zulässt",IF($F372+$H$6&gt;T372,"FEHLER: Teil länger als Nutzlänge",IF(U372="nein","WARNUNG: kein gültiger Materialpreis",IF($H372="","HINWEIS: Schneidweg fehlt",IF(V372="","HINWEIS: keine Schneiddaten",IF(AND($AF372&lt;&gt;"",$AG372=""),"HINWEIS: Gewinde-Vorschlag prüfen","OK")))))))))))))</f>
        <v/>
      </c>
      <c r="X372" s="18" t="str">
        <f aca="false">IF(OR(O372="",$G372=""),"",O372*$G372)</f>
        <v/>
      </c>
      <c r="Y372" s="10"/>
      <c r="Z372" s="21"/>
      <c r="AA372" s="10"/>
      <c r="AB372" s="21"/>
      <c r="AC372" s="21"/>
      <c r="AD372" s="21"/>
      <c r="AE372" s="10"/>
      <c r="AF372" s="10"/>
      <c r="AG372" s="10"/>
      <c r="AH372" s="22"/>
      <c r="AI372" s="21"/>
      <c r="AJ372" s="22"/>
      <c r="AK372" s="21"/>
      <c r="AL372" s="22"/>
      <c r="AM372" s="21"/>
    </row>
    <row r="373" customFormat="false" ht="15" hidden="false" customHeight="false" outlineLevel="0" collapsed="false">
      <c r="A373" s="10"/>
      <c r="B373" s="10"/>
      <c r="C373" s="10"/>
      <c r="D373" s="10"/>
      <c r="E373" s="10"/>
      <c r="F373" s="21"/>
      <c r="G373" s="19"/>
      <c r="H373" s="21"/>
      <c r="I373" s="22"/>
      <c r="J373" s="19"/>
      <c r="K373" s="23" t="str">
        <f aca="false">IF($D373="","",IFERROR(INDEX(Profile!$B$5:$B$304,MATCH($D373,lst_Profil,0)),""))</f>
        <v/>
      </c>
      <c r="L373" s="13" t="str">
        <f aca="false">IF($D373="","",IFERROR(INDEX(Profile!$K$5:$K$304,MATCH($D373,lst_Profil,0))+0,""))</f>
        <v/>
      </c>
      <c r="M373" s="24" t="str">
        <f aca="false">IF($D373="","",IFERROR(INDEX(Profile!$E$5:$E$304,MATCH($D373,lst_Profil,0))+0,""))</f>
        <v/>
      </c>
      <c r="N373" s="25" t="str">
        <f aca="false">IF(OR(L373="",$E373=""),"",IFERROR(L373*INDEX(Werkstoffe!$E$5:$E$304,MATCH($E373,lst_Werkstoff,0))/1000,""))</f>
        <v/>
      </c>
      <c r="O373" s="25" t="str">
        <f aca="false">IF(OR(N373="",$F373=""),"",N373*$F373/1000)</f>
        <v/>
      </c>
      <c r="P373" s="16" t="str">
        <f aca="false">IF(OR($F373="",$G373=""),"",$F373*$G373)</f>
        <v/>
      </c>
      <c r="Q373" s="16" t="str">
        <f aca="false">IF($D373="","",IF($J373&lt;&gt;"",$J373,$C$9))</f>
        <v/>
      </c>
      <c r="R373" s="12" t="str">
        <f aca="false">IF($D373="","",IFERROR(IF(INDEX(Profile!$G$5:$G$304,MATCH($D373,lst_Profil,0))&lt;&gt;"",INDEX(Profile!$G$5:$G$304,MATCH($D373,lst_Profil,0)),$H$4),$H$4))</f>
        <v/>
      </c>
      <c r="S373" s="12" t="str">
        <f aca="false">IF($D373="","",IFERROR(IF(INDEX(Profile!$H$5:$H$304,MATCH($D373,lst_Profil,0))&lt;&gt;"",INDEX(Profile!$H$5:$H$304,MATCH($D373,lst_Profil,0)),$H$5),$H$5))</f>
        <v/>
      </c>
      <c r="T373" s="16" t="str">
        <f aca="false">IF(OR(Q373="",NOT(ISNUMBER(R373)),NOT(ISNUMBER(S373))),"",Q373-R373-S373)</f>
        <v/>
      </c>
      <c r="U373" s="26" t="str">
        <f aca="false">IF(OR($D373="",$E373=""),"",IF(COUNTIFS(Preise!$A$5:$A$304,$D373,Preise!$B$5:$B$304,$E373,Preise!$I$5:$I$304,"OK")&gt;0,"ja","nein"))</f>
        <v/>
      </c>
      <c r="V373" s="15" t="str">
        <f aca="false">IF(OR(M373="",$E373="",$C$8=""),"",IF(_xlfn.MINIFS(Schneiddaten!$C$5:$C$304,Schneiddaten!$A$5:$A$304,$C$8,Schneiddaten!$B$5:$B$304,$E373,Schneiddaten!$C$5:$C$304,"&gt;="&amp;M373)=0,"",SUMIFS(Schneiddaten!$D$5:$D$304,Schneiddaten!$A$5:$A$304,$C$8,Schneiddaten!$B$5:$B$304,$E373,Schneiddaten!$C$5:$C$304,_xlfn.MINIFS(Schneiddaten!$C$5:$C$304,Schneiddaten!$A$5:$A$304,$C$8,Schneiddaten!$B$5:$B$304,$E373,Schneiddaten!$C$5:$C$304,"&gt;="&amp;M373))))</f>
        <v/>
      </c>
      <c r="W373" s="26" t="str">
        <f aca="false">IF(AND($D373="",$E373="",$F373="",$G373=""),"",IF(ISNA(MATCH($D373,lst_Profil,0)),"FEHLER: Profil unbekannt",IF(ISNA(MATCH($E373,lst_Werkstoff,0)),"FEHLER: Werkstoff unbekannt",IF(NOT(ISNUMBER(L373)),"FEHLER: Querschnitt fehlt (Profil)",IF(OR($F373="",$F373&lt;=0),"FEHLER: Teilelänge fehlt",IF(OR($G373="",$G373&lt;1),"FEHLER: Stückzahl fehlt",IF(NOT(ISNUMBER($H$4)),"FEHLER: Maschine fehlt/unbekannt",IF(Q373&gt;$H$7,"FEHLER: Stange länger als Maschine zulässt",IF($F373+$H$6&gt;T373,"FEHLER: Teil länger als Nutzlänge",IF(U373="nein","WARNUNG: kein gültiger Materialpreis",IF($H373="","HINWEIS: Schneidweg fehlt",IF(V373="","HINWEIS: keine Schneiddaten",IF(AND($AF373&lt;&gt;"",$AG373=""),"HINWEIS: Gewinde-Vorschlag prüfen","OK")))))))))))))</f>
        <v/>
      </c>
      <c r="X373" s="18" t="str">
        <f aca="false">IF(OR(O373="",$G373=""),"",O373*$G373)</f>
        <v/>
      </c>
      <c r="Y373" s="10"/>
      <c r="Z373" s="21"/>
      <c r="AA373" s="10"/>
      <c r="AB373" s="21"/>
      <c r="AC373" s="21"/>
      <c r="AD373" s="21"/>
      <c r="AE373" s="10"/>
      <c r="AF373" s="10"/>
      <c r="AG373" s="10"/>
      <c r="AH373" s="22"/>
      <c r="AI373" s="21"/>
      <c r="AJ373" s="22"/>
      <c r="AK373" s="21"/>
      <c r="AL373" s="22"/>
      <c r="AM373" s="21"/>
    </row>
    <row r="374" customFormat="false" ht="15" hidden="false" customHeight="false" outlineLevel="0" collapsed="false">
      <c r="A374" s="10"/>
      <c r="B374" s="10"/>
      <c r="C374" s="10"/>
      <c r="D374" s="10"/>
      <c r="E374" s="10"/>
      <c r="F374" s="21"/>
      <c r="G374" s="19"/>
      <c r="H374" s="21"/>
      <c r="I374" s="22"/>
      <c r="J374" s="19"/>
      <c r="K374" s="23" t="str">
        <f aca="false">IF($D374="","",IFERROR(INDEX(Profile!$B$5:$B$304,MATCH($D374,lst_Profil,0)),""))</f>
        <v/>
      </c>
      <c r="L374" s="13" t="str">
        <f aca="false">IF($D374="","",IFERROR(INDEX(Profile!$K$5:$K$304,MATCH($D374,lst_Profil,0))+0,""))</f>
        <v/>
      </c>
      <c r="M374" s="24" t="str">
        <f aca="false">IF($D374="","",IFERROR(INDEX(Profile!$E$5:$E$304,MATCH($D374,lst_Profil,0))+0,""))</f>
        <v/>
      </c>
      <c r="N374" s="25" t="str">
        <f aca="false">IF(OR(L374="",$E374=""),"",IFERROR(L374*INDEX(Werkstoffe!$E$5:$E$304,MATCH($E374,lst_Werkstoff,0))/1000,""))</f>
        <v/>
      </c>
      <c r="O374" s="25" t="str">
        <f aca="false">IF(OR(N374="",$F374=""),"",N374*$F374/1000)</f>
        <v/>
      </c>
      <c r="P374" s="16" t="str">
        <f aca="false">IF(OR($F374="",$G374=""),"",$F374*$G374)</f>
        <v/>
      </c>
      <c r="Q374" s="16" t="str">
        <f aca="false">IF($D374="","",IF($J374&lt;&gt;"",$J374,$C$9))</f>
        <v/>
      </c>
      <c r="R374" s="12" t="str">
        <f aca="false">IF($D374="","",IFERROR(IF(INDEX(Profile!$G$5:$G$304,MATCH($D374,lst_Profil,0))&lt;&gt;"",INDEX(Profile!$G$5:$G$304,MATCH($D374,lst_Profil,0)),$H$4),$H$4))</f>
        <v/>
      </c>
      <c r="S374" s="12" t="str">
        <f aca="false">IF($D374="","",IFERROR(IF(INDEX(Profile!$H$5:$H$304,MATCH($D374,lst_Profil,0))&lt;&gt;"",INDEX(Profile!$H$5:$H$304,MATCH($D374,lst_Profil,0)),$H$5),$H$5))</f>
        <v/>
      </c>
      <c r="T374" s="16" t="str">
        <f aca="false">IF(OR(Q374="",NOT(ISNUMBER(R374)),NOT(ISNUMBER(S374))),"",Q374-R374-S374)</f>
        <v/>
      </c>
      <c r="U374" s="26" t="str">
        <f aca="false">IF(OR($D374="",$E374=""),"",IF(COUNTIFS(Preise!$A$5:$A$304,$D374,Preise!$B$5:$B$304,$E374,Preise!$I$5:$I$304,"OK")&gt;0,"ja","nein"))</f>
        <v/>
      </c>
      <c r="V374" s="15" t="str">
        <f aca="false">IF(OR(M374="",$E374="",$C$8=""),"",IF(_xlfn.MINIFS(Schneiddaten!$C$5:$C$304,Schneiddaten!$A$5:$A$304,$C$8,Schneiddaten!$B$5:$B$304,$E374,Schneiddaten!$C$5:$C$304,"&gt;="&amp;M374)=0,"",SUMIFS(Schneiddaten!$D$5:$D$304,Schneiddaten!$A$5:$A$304,$C$8,Schneiddaten!$B$5:$B$304,$E374,Schneiddaten!$C$5:$C$304,_xlfn.MINIFS(Schneiddaten!$C$5:$C$304,Schneiddaten!$A$5:$A$304,$C$8,Schneiddaten!$B$5:$B$304,$E374,Schneiddaten!$C$5:$C$304,"&gt;="&amp;M374))))</f>
        <v/>
      </c>
      <c r="W374" s="26" t="str">
        <f aca="false">IF(AND($D374="",$E374="",$F374="",$G374=""),"",IF(ISNA(MATCH($D374,lst_Profil,0)),"FEHLER: Profil unbekannt",IF(ISNA(MATCH($E374,lst_Werkstoff,0)),"FEHLER: Werkstoff unbekannt",IF(NOT(ISNUMBER(L374)),"FEHLER: Querschnitt fehlt (Profil)",IF(OR($F374="",$F374&lt;=0),"FEHLER: Teilelänge fehlt",IF(OR($G374="",$G374&lt;1),"FEHLER: Stückzahl fehlt",IF(NOT(ISNUMBER($H$4)),"FEHLER: Maschine fehlt/unbekannt",IF(Q374&gt;$H$7,"FEHLER: Stange länger als Maschine zulässt",IF($F374+$H$6&gt;T374,"FEHLER: Teil länger als Nutzlänge",IF(U374="nein","WARNUNG: kein gültiger Materialpreis",IF($H374="","HINWEIS: Schneidweg fehlt",IF(V374="","HINWEIS: keine Schneiddaten",IF(AND($AF374&lt;&gt;"",$AG374=""),"HINWEIS: Gewinde-Vorschlag prüfen","OK")))))))))))))</f>
        <v/>
      </c>
      <c r="X374" s="18" t="str">
        <f aca="false">IF(OR(O374="",$G374=""),"",O374*$G374)</f>
        <v/>
      </c>
      <c r="Y374" s="10"/>
      <c r="Z374" s="21"/>
      <c r="AA374" s="10"/>
      <c r="AB374" s="21"/>
      <c r="AC374" s="21"/>
      <c r="AD374" s="21"/>
      <c r="AE374" s="10"/>
      <c r="AF374" s="10"/>
      <c r="AG374" s="10"/>
      <c r="AH374" s="22"/>
      <c r="AI374" s="21"/>
      <c r="AJ374" s="22"/>
      <c r="AK374" s="21"/>
      <c r="AL374" s="22"/>
      <c r="AM374" s="21"/>
    </row>
    <row r="375" customFormat="false" ht="15" hidden="false" customHeight="false" outlineLevel="0" collapsed="false">
      <c r="A375" s="10"/>
      <c r="B375" s="10"/>
      <c r="C375" s="10"/>
      <c r="D375" s="10"/>
      <c r="E375" s="10"/>
      <c r="F375" s="21"/>
      <c r="G375" s="19"/>
      <c r="H375" s="21"/>
      <c r="I375" s="22"/>
      <c r="J375" s="19"/>
      <c r="K375" s="23" t="str">
        <f aca="false">IF($D375="","",IFERROR(INDEX(Profile!$B$5:$B$304,MATCH($D375,lst_Profil,0)),""))</f>
        <v/>
      </c>
      <c r="L375" s="13" t="str">
        <f aca="false">IF($D375="","",IFERROR(INDEX(Profile!$K$5:$K$304,MATCH($D375,lst_Profil,0))+0,""))</f>
        <v/>
      </c>
      <c r="M375" s="24" t="str">
        <f aca="false">IF($D375="","",IFERROR(INDEX(Profile!$E$5:$E$304,MATCH($D375,lst_Profil,0))+0,""))</f>
        <v/>
      </c>
      <c r="N375" s="25" t="str">
        <f aca="false">IF(OR(L375="",$E375=""),"",IFERROR(L375*INDEX(Werkstoffe!$E$5:$E$304,MATCH($E375,lst_Werkstoff,0))/1000,""))</f>
        <v/>
      </c>
      <c r="O375" s="25" t="str">
        <f aca="false">IF(OR(N375="",$F375=""),"",N375*$F375/1000)</f>
        <v/>
      </c>
      <c r="P375" s="16" t="str">
        <f aca="false">IF(OR($F375="",$G375=""),"",$F375*$G375)</f>
        <v/>
      </c>
      <c r="Q375" s="16" t="str">
        <f aca="false">IF($D375="","",IF($J375&lt;&gt;"",$J375,$C$9))</f>
        <v/>
      </c>
      <c r="R375" s="12" t="str">
        <f aca="false">IF($D375="","",IFERROR(IF(INDEX(Profile!$G$5:$G$304,MATCH($D375,lst_Profil,0))&lt;&gt;"",INDEX(Profile!$G$5:$G$304,MATCH($D375,lst_Profil,0)),$H$4),$H$4))</f>
        <v/>
      </c>
      <c r="S375" s="12" t="str">
        <f aca="false">IF($D375="","",IFERROR(IF(INDEX(Profile!$H$5:$H$304,MATCH($D375,lst_Profil,0))&lt;&gt;"",INDEX(Profile!$H$5:$H$304,MATCH($D375,lst_Profil,0)),$H$5),$H$5))</f>
        <v/>
      </c>
      <c r="T375" s="16" t="str">
        <f aca="false">IF(OR(Q375="",NOT(ISNUMBER(R375)),NOT(ISNUMBER(S375))),"",Q375-R375-S375)</f>
        <v/>
      </c>
      <c r="U375" s="26" t="str">
        <f aca="false">IF(OR($D375="",$E375=""),"",IF(COUNTIFS(Preise!$A$5:$A$304,$D375,Preise!$B$5:$B$304,$E375,Preise!$I$5:$I$304,"OK")&gt;0,"ja","nein"))</f>
        <v/>
      </c>
      <c r="V375" s="15" t="str">
        <f aca="false">IF(OR(M375="",$E375="",$C$8=""),"",IF(_xlfn.MINIFS(Schneiddaten!$C$5:$C$304,Schneiddaten!$A$5:$A$304,$C$8,Schneiddaten!$B$5:$B$304,$E375,Schneiddaten!$C$5:$C$304,"&gt;="&amp;M375)=0,"",SUMIFS(Schneiddaten!$D$5:$D$304,Schneiddaten!$A$5:$A$304,$C$8,Schneiddaten!$B$5:$B$304,$E375,Schneiddaten!$C$5:$C$304,_xlfn.MINIFS(Schneiddaten!$C$5:$C$304,Schneiddaten!$A$5:$A$304,$C$8,Schneiddaten!$B$5:$B$304,$E375,Schneiddaten!$C$5:$C$304,"&gt;="&amp;M375))))</f>
        <v/>
      </c>
      <c r="W375" s="26" t="str">
        <f aca="false">IF(AND($D375="",$E375="",$F375="",$G375=""),"",IF(ISNA(MATCH($D375,lst_Profil,0)),"FEHLER: Profil unbekannt",IF(ISNA(MATCH($E375,lst_Werkstoff,0)),"FEHLER: Werkstoff unbekannt",IF(NOT(ISNUMBER(L375)),"FEHLER: Querschnitt fehlt (Profil)",IF(OR($F375="",$F375&lt;=0),"FEHLER: Teilelänge fehlt",IF(OR($G375="",$G375&lt;1),"FEHLER: Stückzahl fehlt",IF(NOT(ISNUMBER($H$4)),"FEHLER: Maschine fehlt/unbekannt",IF(Q375&gt;$H$7,"FEHLER: Stange länger als Maschine zulässt",IF($F375+$H$6&gt;T375,"FEHLER: Teil länger als Nutzlänge",IF(U375="nein","WARNUNG: kein gültiger Materialpreis",IF($H375="","HINWEIS: Schneidweg fehlt",IF(V375="","HINWEIS: keine Schneiddaten",IF(AND($AF375&lt;&gt;"",$AG375=""),"HINWEIS: Gewinde-Vorschlag prüfen","OK")))))))))))))</f>
        <v/>
      </c>
      <c r="X375" s="18" t="str">
        <f aca="false">IF(OR(O375="",$G375=""),"",O375*$G375)</f>
        <v/>
      </c>
      <c r="Y375" s="10"/>
      <c r="Z375" s="21"/>
      <c r="AA375" s="10"/>
      <c r="AB375" s="21"/>
      <c r="AC375" s="21"/>
      <c r="AD375" s="21"/>
      <c r="AE375" s="10"/>
      <c r="AF375" s="10"/>
      <c r="AG375" s="10"/>
      <c r="AH375" s="22"/>
      <c r="AI375" s="21"/>
      <c r="AJ375" s="22"/>
      <c r="AK375" s="21"/>
      <c r="AL375" s="22"/>
      <c r="AM375" s="21"/>
    </row>
    <row r="376" customFormat="false" ht="15" hidden="false" customHeight="false" outlineLevel="0" collapsed="false">
      <c r="A376" s="10"/>
      <c r="B376" s="10"/>
      <c r="C376" s="10"/>
      <c r="D376" s="10"/>
      <c r="E376" s="10"/>
      <c r="F376" s="21"/>
      <c r="G376" s="19"/>
      <c r="H376" s="21"/>
      <c r="I376" s="22"/>
      <c r="J376" s="19"/>
      <c r="K376" s="23" t="str">
        <f aca="false">IF($D376="","",IFERROR(INDEX(Profile!$B$5:$B$304,MATCH($D376,lst_Profil,0)),""))</f>
        <v/>
      </c>
      <c r="L376" s="13" t="str">
        <f aca="false">IF($D376="","",IFERROR(INDEX(Profile!$K$5:$K$304,MATCH($D376,lst_Profil,0))+0,""))</f>
        <v/>
      </c>
      <c r="M376" s="24" t="str">
        <f aca="false">IF($D376="","",IFERROR(INDEX(Profile!$E$5:$E$304,MATCH($D376,lst_Profil,0))+0,""))</f>
        <v/>
      </c>
      <c r="N376" s="25" t="str">
        <f aca="false">IF(OR(L376="",$E376=""),"",IFERROR(L376*INDEX(Werkstoffe!$E$5:$E$304,MATCH($E376,lst_Werkstoff,0))/1000,""))</f>
        <v/>
      </c>
      <c r="O376" s="25" t="str">
        <f aca="false">IF(OR(N376="",$F376=""),"",N376*$F376/1000)</f>
        <v/>
      </c>
      <c r="P376" s="16" t="str">
        <f aca="false">IF(OR($F376="",$G376=""),"",$F376*$G376)</f>
        <v/>
      </c>
      <c r="Q376" s="16" t="str">
        <f aca="false">IF($D376="","",IF($J376&lt;&gt;"",$J376,$C$9))</f>
        <v/>
      </c>
      <c r="R376" s="12" t="str">
        <f aca="false">IF($D376="","",IFERROR(IF(INDEX(Profile!$G$5:$G$304,MATCH($D376,lst_Profil,0))&lt;&gt;"",INDEX(Profile!$G$5:$G$304,MATCH($D376,lst_Profil,0)),$H$4),$H$4))</f>
        <v/>
      </c>
      <c r="S376" s="12" t="str">
        <f aca="false">IF($D376="","",IFERROR(IF(INDEX(Profile!$H$5:$H$304,MATCH($D376,lst_Profil,0))&lt;&gt;"",INDEX(Profile!$H$5:$H$304,MATCH($D376,lst_Profil,0)),$H$5),$H$5))</f>
        <v/>
      </c>
      <c r="T376" s="16" t="str">
        <f aca="false">IF(OR(Q376="",NOT(ISNUMBER(R376)),NOT(ISNUMBER(S376))),"",Q376-R376-S376)</f>
        <v/>
      </c>
      <c r="U376" s="26" t="str">
        <f aca="false">IF(OR($D376="",$E376=""),"",IF(COUNTIFS(Preise!$A$5:$A$304,$D376,Preise!$B$5:$B$304,$E376,Preise!$I$5:$I$304,"OK")&gt;0,"ja","nein"))</f>
        <v/>
      </c>
      <c r="V376" s="15" t="str">
        <f aca="false">IF(OR(M376="",$E376="",$C$8=""),"",IF(_xlfn.MINIFS(Schneiddaten!$C$5:$C$304,Schneiddaten!$A$5:$A$304,$C$8,Schneiddaten!$B$5:$B$304,$E376,Schneiddaten!$C$5:$C$304,"&gt;="&amp;M376)=0,"",SUMIFS(Schneiddaten!$D$5:$D$304,Schneiddaten!$A$5:$A$304,$C$8,Schneiddaten!$B$5:$B$304,$E376,Schneiddaten!$C$5:$C$304,_xlfn.MINIFS(Schneiddaten!$C$5:$C$304,Schneiddaten!$A$5:$A$304,$C$8,Schneiddaten!$B$5:$B$304,$E376,Schneiddaten!$C$5:$C$304,"&gt;="&amp;M376))))</f>
        <v/>
      </c>
      <c r="W376" s="26" t="str">
        <f aca="false">IF(AND($D376="",$E376="",$F376="",$G376=""),"",IF(ISNA(MATCH($D376,lst_Profil,0)),"FEHLER: Profil unbekannt",IF(ISNA(MATCH($E376,lst_Werkstoff,0)),"FEHLER: Werkstoff unbekannt",IF(NOT(ISNUMBER(L376)),"FEHLER: Querschnitt fehlt (Profil)",IF(OR($F376="",$F376&lt;=0),"FEHLER: Teilelänge fehlt",IF(OR($G376="",$G376&lt;1),"FEHLER: Stückzahl fehlt",IF(NOT(ISNUMBER($H$4)),"FEHLER: Maschine fehlt/unbekannt",IF(Q376&gt;$H$7,"FEHLER: Stange länger als Maschine zulässt",IF($F376+$H$6&gt;T376,"FEHLER: Teil länger als Nutzlänge",IF(U376="nein","WARNUNG: kein gültiger Materialpreis",IF($H376="","HINWEIS: Schneidweg fehlt",IF(V376="","HINWEIS: keine Schneiddaten",IF(AND($AF376&lt;&gt;"",$AG376=""),"HINWEIS: Gewinde-Vorschlag prüfen","OK")))))))))))))</f>
        <v/>
      </c>
      <c r="X376" s="18" t="str">
        <f aca="false">IF(OR(O376="",$G376=""),"",O376*$G376)</f>
        <v/>
      </c>
      <c r="Y376" s="10"/>
      <c r="Z376" s="21"/>
      <c r="AA376" s="10"/>
      <c r="AB376" s="21"/>
      <c r="AC376" s="21"/>
      <c r="AD376" s="21"/>
      <c r="AE376" s="10"/>
      <c r="AF376" s="10"/>
      <c r="AG376" s="10"/>
      <c r="AH376" s="22"/>
      <c r="AI376" s="21"/>
      <c r="AJ376" s="22"/>
      <c r="AK376" s="21"/>
      <c r="AL376" s="22"/>
      <c r="AM376" s="21"/>
    </row>
    <row r="377" customFormat="false" ht="15" hidden="false" customHeight="false" outlineLevel="0" collapsed="false">
      <c r="A377" s="10"/>
      <c r="B377" s="10"/>
      <c r="C377" s="10"/>
      <c r="D377" s="10"/>
      <c r="E377" s="10"/>
      <c r="F377" s="21"/>
      <c r="G377" s="19"/>
      <c r="H377" s="21"/>
      <c r="I377" s="22"/>
      <c r="J377" s="19"/>
      <c r="K377" s="23" t="str">
        <f aca="false">IF($D377="","",IFERROR(INDEX(Profile!$B$5:$B$304,MATCH($D377,lst_Profil,0)),""))</f>
        <v/>
      </c>
      <c r="L377" s="13" t="str">
        <f aca="false">IF($D377="","",IFERROR(INDEX(Profile!$K$5:$K$304,MATCH($D377,lst_Profil,0))+0,""))</f>
        <v/>
      </c>
      <c r="M377" s="24" t="str">
        <f aca="false">IF($D377="","",IFERROR(INDEX(Profile!$E$5:$E$304,MATCH($D377,lst_Profil,0))+0,""))</f>
        <v/>
      </c>
      <c r="N377" s="25" t="str">
        <f aca="false">IF(OR(L377="",$E377=""),"",IFERROR(L377*INDEX(Werkstoffe!$E$5:$E$304,MATCH($E377,lst_Werkstoff,0))/1000,""))</f>
        <v/>
      </c>
      <c r="O377" s="25" t="str">
        <f aca="false">IF(OR(N377="",$F377=""),"",N377*$F377/1000)</f>
        <v/>
      </c>
      <c r="P377" s="16" t="str">
        <f aca="false">IF(OR($F377="",$G377=""),"",$F377*$G377)</f>
        <v/>
      </c>
      <c r="Q377" s="16" t="str">
        <f aca="false">IF($D377="","",IF($J377&lt;&gt;"",$J377,$C$9))</f>
        <v/>
      </c>
      <c r="R377" s="12" t="str">
        <f aca="false">IF($D377="","",IFERROR(IF(INDEX(Profile!$G$5:$G$304,MATCH($D377,lst_Profil,0))&lt;&gt;"",INDEX(Profile!$G$5:$G$304,MATCH($D377,lst_Profil,0)),$H$4),$H$4))</f>
        <v/>
      </c>
      <c r="S377" s="12" t="str">
        <f aca="false">IF($D377="","",IFERROR(IF(INDEX(Profile!$H$5:$H$304,MATCH($D377,lst_Profil,0))&lt;&gt;"",INDEX(Profile!$H$5:$H$304,MATCH($D377,lst_Profil,0)),$H$5),$H$5))</f>
        <v/>
      </c>
      <c r="T377" s="16" t="str">
        <f aca="false">IF(OR(Q377="",NOT(ISNUMBER(R377)),NOT(ISNUMBER(S377))),"",Q377-R377-S377)</f>
        <v/>
      </c>
      <c r="U377" s="26" t="str">
        <f aca="false">IF(OR($D377="",$E377=""),"",IF(COUNTIFS(Preise!$A$5:$A$304,$D377,Preise!$B$5:$B$304,$E377,Preise!$I$5:$I$304,"OK")&gt;0,"ja","nein"))</f>
        <v/>
      </c>
      <c r="V377" s="15" t="str">
        <f aca="false">IF(OR(M377="",$E377="",$C$8=""),"",IF(_xlfn.MINIFS(Schneiddaten!$C$5:$C$304,Schneiddaten!$A$5:$A$304,$C$8,Schneiddaten!$B$5:$B$304,$E377,Schneiddaten!$C$5:$C$304,"&gt;="&amp;M377)=0,"",SUMIFS(Schneiddaten!$D$5:$D$304,Schneiddaten!$A$5:$A$304,$C$8,Schneiddaten!$B$5:$B$304,$E377,Schneiddaten!$C$5:$C$304,_xlfn.MINIFS(Schneiddaten!$C$5:$C$304,Schneiddaten!$A$5:$A$304,$C$8,Schneiddaten!$B$5:$B$304,$E377,Schneiddaten!$C$5:$C$304,"&gt;="&amp;M377))))</f>
        <v/>
      </c>
      <c r="W377" s="26" t="str">
        <f aca="false">IF(AND($D377="",$E377="",$F377="",$G377=""),"",IF(ISNA(MATCH($D377,lst_Profil,0)),"FEHLER: Profil unbekannt",IF(ISNA(MATCH($E377,lst_Werkstoff,0)),"FEHLER: Werkstoff unbekannt",IF(NOT(ISNUMBER(L377)),"FEHLER: Querschnitt fehlt (Profil)",IF(OR($F377="",$F377&lt;=0),"FEHLER: Teilelänge fehlt",IF(OR($G377="",$G377&lt;1),"FEHLER: Stückzahl fehlt",IF(NOT(ISNUMBER($H$4)),"FEHLER: Maschine fehlt/unbekannt",IF(Q377&gt;$H$7,"FEHLER: Stange länger als Maschine zulässt",IF($F377+$H$6&gt;T377,"FEHLER: Teil länger als Nutzlänge",IF(U377="nein","WARNUNG: kein gültiger Materialpreis",IF($H377="","HINWEIS: Schneidweg fehlt",IF(V377="","HINWEIS: keine Schneiddaten",IF(AND($AF377&lt;&gt;"",$AG377=""),"HINWEIS: Gewinde-Vorschlag prüfen","OK")))))))))))))</f>
        <v/>
      </c>
      <c r="X377" s="18" t="str">
        <f aca="false">IF(OR(O377="",$G377=""),"",O377*$G377)</f>
        <v/>
      </c>
      <c r="Y377" s="10"/>
      <c r="Z377" s="21"/>
      <c r="AA377" s="10"/>
      <c r="AB377" s="21"/>
      <c r="AC377" s="21"/>
      <c r="AD377" s="21"/>
      <c r="AE377" s="10"/>
      <c r="AF377" s="10"/>
      <c r="AG377" s="10"/>
      <c r="AH377" s="22"/>
      <c r="AI377" s="21"/>
      <c r="AJ377" s="22"/>
      <c r="AK377" s="21"/>
      <c r="AL377" s="22"/>
      <c r="AM377" s="21"/>
    </row>
    <row r="378" customFormat="false" ht="15" hidden="false" customHeight="false" outlineLevel="0" collapsed="false">
      <c r="A378" s="10"/>
      <c r="B378" s="10"/>
      <c r="C378" s="10"/>
      <c r="D378" s="10"/>
      <c r="E378" s="10"/>
      <c r="F378" s="21"/>
      <c r="G378" s="19"/>
      <c r="H378" s="21"/>
      <c r="I378" s="22"/>
      <c r="J378" s="19"/>
      <c r="K378" s="23" t="str">
        <f aca="false">IF($D378="","",IFERROR(INDEX(Profile!$B$5:$B$304,MATCH($D378,lst_Profil,0)),""))</f>
        <v/>
      </c>
      <c r="L378" s="13" t="str">
        <f aca="false">IF($D378="","",IFERROR(INDEX(Profile!$K$5:$K$304,MATCH($D378,lst_Profil,0))+0,""))</f>
        <v/>
      </c>
      <c r="M378" s="24" t="str">
        <f aca="false">IF($D378="","",IFERROR(INDEX(Profile!$E$5:$E$304,MATCH($D378,lst_Profil,0))+0,""))</f>
        <v/>
      </c>
      <c r="N378" s="25" t="str">
        <f aca="false">IF(OR(L378="",$E378=""),"",IFERROR(L378*INDEX(Werkstoffe!$E$5:$E$304,MATCH($E378,lst_Werkstoff,0))/1000,""))</f>
        <v/>
      </c>
      <c r="O378" s="25" t="str">
        <f aca="false">IF(OR(N378="",$F378=""),"",N378*$F378/1000)</f>
        <v/>
      </c>
      <c r="P378" s="16" t="str">
        <f aca="false">IF(OR($F378="",$G378=""),"",$F378*$G378)</f>
        <v/>
      </c>
      <c r="Q378" s="16" t="str">
        <f aca="false">IF($D378="","",IF($J378&lt;&gt;"",$J378,$C$9))</f>
        <v/>
      </c>
      <c r="R378" s="12" t="str">
        <f aca="false">IF($D378="","",IFERROR(IF(INDEX(Profile!$G$5:$G$304,MATCH($D378,lst_Profil,0))&lt;&gt;"",INDEX(Profile!$G$5:$G$304,MATCH($D378,lst_Profil,0)),$H$4),$H$4))</f>
        <v/>
      </c>
      <c r="S378" s="12" t="str">
        <f aca="false">IF($D378="","",IFERROR(IF(INDEX(Profile!$H$5:$H$304,MATCH($D378,lst_Profil,0))&lt;&gt;"",INDEX(Profile!$H$5:$H$304,MATCH($D378,lst_Profil,0)),$H$5),$H$5))</f>
        <v/>
      </c>
      <c r="T378" s="16" t="str">
        <f aca="false">IF(OR(Q378="",NOT(ISNUMBER(R378)),NOT(ISNUMBER(S378))),"",Q378-R378-S378)</f>
        <v/>
      </c>
      <c r="U378" s="26" t="str">
        <f aca="false">IF(OR($D378="",$E378=""),"",IF(COUNTIFS(Preise!$A$5:$A$304,$D378,Preise!$B$5:$B$304,$E378,Preise!$I$5:$I$304,"OK")&gt;0,"ja","nein"))</f>
        <v/>
      </c>
      <c r="V378" s="15" t="str">
        <f aca="false">IF(OR(M378="",$E378="",$C$8=""),"",IF(_xlfn.MINIFS(Schneiddaten!$C$5:$C$304,Schneiddaten!$A$5:$A$304,$C$8,Schneiddaten!$B$5:$B$304,$E378,Schneiddaten!$C$5:$C$304,"&gt;="&amp;M378)=0,"",SUMIFS(Schneiddaten!$D$5:$D$304,Schneiddaten!$A$5:$A$304,$C$8,Schneiddaten!$B$5:$B$304,$E378,Schneiddaten!$C$5:$C$304,_xlfn.MINIFS(Schneiddaten!$C$5:$C$304,Schneiddaten!$A$5:$A$304,$C$8,Schneiddaten!$B$5:$B$304,$E378,Schneiddaten!$C$5:$C$304,"&gt;="&amp;M378))))</f>
        <v/>
      </c>
      <c r="W378" s="26" t="str">
        <f aca="false">IF(AND($D378="",$E378="",$F378="",$G378=""),"",IF(ISNA(MATCH($D378,lst_Profil,0)),"FEHLER: Profil unbekannt",IF(ISNA(MATCH($E378,lst_Werkstoff,0)),"FEHLER: Werkstoff unbekannt",IF(NOT(ISNUMBER(L378)),"FEHLER: Querschnitt fehlt (Profil)",IF(OR($F378="",$F378&lt;=0),"FEHLER: Teilelänge fehlt",IF(OR($G378="",$G378&lt;1),"FEHLER: Stückzahl fehlt",IF(NOT(ISNUMBER($H$4)),"FEHLER: Maschine fehlt/unbekannt",IF(Q378&gt;$H$7,"FEHLER: Stange länger als Maschine zulässt",IF($F378+$H$6&gt;T378,"FEHLER: Teil länger als Nutzlänge",IF(U378="nein","WARNUNG: kein gültiger Materialpreis",IF($H378="","HINWEIS: Schneidweg fehlt",IF(V378="","HINWEIS: keine Schneiddaten",IF(AND($AF378&lt;&gt;"",$AG378=""),"HINWEIS: Gewinde-Vorschlag prüfen","OK")))))))))))))</f>
        <v/>
      </c>
      <c r="X378" s="18" t="str">
        <f aca="false">IF(OR(O378="",$G378=""),"",O378*$G378)</f>
        <v/>
      </c>
      <c r="Y378" s="10"/>
      <c r="Z378" s="21"/>
      <c r="AA378" s="10"/>
      <c r="AB378" s="21"/>
      <c r="AC378" s="21"/>
      <c r="AD378" s="21"/>
      <c r="AE378" s="10"/>
      <c r="AF378" s="10"/>
      <c r="AG378" s="10"/>
      <c r="AH378" s="22"/>
      <c r="AI378" s="21"/>
      <c r="AJ378" s="22"/>
      <c r="AK378" s="21"/>
      <c r="AL378" s="22"/>
      <c r="AM378" s="21"/>
    </row>
    <row r="379" customFormat="false" ht="15" hidden="false" customHeight="false" outlineLevel="0" collapsed="false">
      <c r="A379" s="10"/>
      <c r="B379" s="10"/>
      <c r="C379" s="10"/>
      <c r="D379" s="10"/>
      <c r="E379" s="10"/>
      <c r="F379" s="21"/>
      <c r="G379" s="19"/>
      <c r="H379" s="21"/>
      <c r="I379" s="22"/>
      <c r="J379" s="19"/>
      <c r="K379" s="23" t="str">
        <f aca="false">IF($D379="","",IFERROR(INDEX(Profile!$B$5:$B$304,MATCH($D379,lst_Profil,0)),""))</f>
        <v/>
      </c>
      <c r="L379" s="13" t="str">
        <f aca="false">IF($D379="","",IFERROR(INDEX(Profile!$K$5:$K$304,MATCH($D379,lst_Profil,0))+0,""))</f>
        <v/>
      </c>
      <c r="M379" s="24" t="str">
        <f aca="false">IF($D379="","",IFERROR(INDEX(Profile!$E$5:$E$304,MATCH($D379,lst_Profil,0))+0,""))</f>
        <v/>
      </c>
      <c r="N379" s="25" t="str">
        <f aca="false">IF(OR(L379="",$E379=""),"",IFERROR(L379*INDEX(Werkstoffe!$E$5:$E$304,MATCH($E379,lst_Werkstoff,0))/1000,""))</f>
        <v/>
      </c>
      <c r="O379" s="25" t="str">
        <f aca="false">IF(OR(N379="",$F379=""),"",N379*$F379/1000)</f>
        <v/>
      </c>
      <c r="P379" s="16" t="str">
        <f aca="false">IF(OR($F379="",$G379=""),"",$F379*$G379)</f>
        <v/>
      </c>
      <c r="Q379" s="16" t="str">
        <f aca="false">IF($D379="","",IF($J379&lt;&gt;"",$J379,$C$9))</f>
        <v/>
      </c>
      <c r="R379" s="12" t="str">
        <f aca="false">IF($D379="","",IFERROR(IF(INDEX(Profile!$G$5:$G$304,MATCH($D379,lst_Profil,0))&lt;&gt;"",INDEX(Profile!$G$5:$G$304,MATCH($D379,lst_Profil,0)),$H$4),$H$4))</f>
        <v/>
      </c>
      <c r="S379" s="12" t="str">
        <f aca="false">IF($D379="","",IFERROR(IF(INDEX(Profile!$H$5:$H$304,MATCH($D379,lst_Profil,0))&lt;&gt;"",INDEX(Profile!$H$5:$H$304,MATCH($D379,lst_Profil,0)),$H$5),$H$5))</f>
        <v/>
      </c>
      <c r="T379" s="16" t="str">
        <f aca="false">IF(OR(Q379="",NOT(ISNUMBER(R379)),NOT(ISNUMBER(S379))),"",Q379-R379-S379)</f>
        <v/>
      </c>
      <c r="U379" s="26" t="str">
        <f aca="false">IF(OR($D379="",$E379=""),"",IF(COUNTIFS(Preise!$A$5:$A$304,$D379,Preise!$B$5:$B$304,$E379,Preise!$I$5:$I$304,"OK")&gt;0,"ja","nein"))</f>
        <v/>
      </c>
      <c r="V379" s="15" t="str">
        <f aca="false">IF(OR(M379="",$E379="",$C$8=""),"",IF(_xlfn.MINIFS(Schneiddaten!$C$5:$C$304,Schneiddaten!$A$5:$A$304,$C$8,Schneiddaten!$B$5:$B$304,$E379,Schneiddaten!$C$5:$C$304,"&gt;="&amp;M379)=0,"",SUMIFS(Schneiddaten!$D$5:$D$304,Schneiddaten!$A$5:$A$304,$C$8,Schneiddaten!$B$5:$B$304,$E379,Schneiddaten!$C$5:$C$304,_xlfn.MINIFS(Schneiddaten!$C$5:$C$304,Schneiddaten!$A$5:$A$304,$C$8,Schneiddaten!$B$5:$B$304,$E379,Schneiddaten!$C$5:$C$304,"&gt;="&amp;M379))))</f>
        <v/>
      </c>
      <c r="W379" s="26" t="str">
        <f aca="false">IF(AND($D379="",$E379="",$F379="",$G379=""),"",IF(ISNA(MATCH($D379,lst_Profil,0)),"FEHLER: Profil unbekannt",IF(ISNA(MATCH($E379,lst_Werkstoff,0)),"FEHLER: Werkstoff unbekannt",IF(NOT(ISNUMBER(L379)),"FEHLER: Querschnitt fehlt (Profil)",IF(OR($F379="",$F379&lt;=0),"FEHLER: Teilelänge fehlt",IF(OR($G379="",$G379&lt;1),"FEHLER: Stückzahl fehlt",IF(NOT(ISNUMBER($H$4)),"FEHLER: Maschine fehlt/unbekannt",IF(Q379&gt;$H$7,"FEHLER: Stange länger als Maschine zulässt",IF($F379+$H$6&gt;T379,"FEHLER: Teil länger als Nutzlänge",IF(U379="nein","WARNUNG: kein gültiger Materialpreis",IF($H379="","HINWEIS: Schneidweg fehlt",IF(V379="","HINWEIS: keine Schneiddaten",IF(AND($AF379&lt;&gt;"",$AG379=""),"HINWEIS: Gewinde-Vorschlag prüfen","OK")))))))))))))</f>
        <v/>
      </c>
      <c r="X379" s="18" t="str">
        <f aca="false">IF(OR(O379="",$G379=""),"",O379*$G379)</f>
        <v/>
      </c>
      <c r="Y379" s="10"/>
      <c r="Z379" s="21"/>
      <c r="AA379" s="10"/>
      <c r="AB379" s="21"/>
      <c r="AC379" s="21"/>
      <c r="AD379" s="21"/>
      <c r="AE379" s="10"/>
      <c r="AF379" s="10"/>
      <c r="AG379" s="10"/>
      <c r="AH379" s="22"/>
      <c r="AI379" s="21"/>
      <c r="AJ379" s="22"/>
      <c r="AK379" s="21"/>
      <c r="AL379" s="22"/>
      <c r="AM379" s="21"/>
    </row>
    <row r="380" customFormat="false" ht="15" hidden="false" customHeight="false" outlineLevel="0" collapsed="false">
      <c r="A380" s="10"/>
      <c r="B380" s="10"/>
      <c r="C380" s="10"/>
      <c r="D380" s="10"/>
      <c r="E380" s="10"/>
      <c r="F380" s="21"/>
      <c r="G380" s="19"/>
      <c r="H380" s="21"/>
      <c r="I380" s="22"/>
      <c r="J380" s="19"/>
      <c r="K380" s="23" t="str">
        <f aca="false">IF($D380="","",IFERROR(INDEX(Profile!$B$5:$B$304,MATCH($D380,lst_Profil,0)),""))</f>
        <v/>
      </c>
      <c r="L380" s="13" t="str">
        <f aca="false">IF($D380="","",IFERROR(INDEX(Profile!$K$5:$K$304,MATCH($D380,lst_Profil,0))+0,""))</f>
        <v/>
      </c>
      <c r="M380" s="24" t="str">
        <f aca="false">IF($D380="","",IFERROR(INDEX(Profile!$E$5:$E$304,MATCH($D380,lst_Profil,0))+0,""))</f>
        <v/>
      </c>
      <c r="N380" s="25" t="str">
        <f aca="false">IF(OR(L380="",$E380=""),"",IFERROR(L380*INDEX(Werkstoffe!$E$5:$E$304,MATCH($E380,lst_Werkstoff,0))/1000,""))</f>
        <v/>
      </c>
      <c r="O380" s="25" t="str">
        <f aca="false">IF(OR(N380="",$F380=""),"",N380*$F380/1000)</f>
        <v/>
      </c>
      <c r="P380" s="16" t="str">
        <f aca="false">IF(OR($F380="",$G380=""),"",$F380*$G380)</f>
        <v/>
      </c>
      <c r="Q380" s="16" t="str">
        <f aca="false">IF($D380="","",IF($J380&lt;&gt;"",$J380,$C$9))</f>
        <v/>
      </c>
      <c r="R380" s="12" t="str">
        <f aca="false">IF($D380="","",IFERROR(IF(INDEX(Profile!$G$5:$G$304,MATCH($D380,lst_Profil,0))&lt;&gt;"",INDEX(Profile!$G$5:$G$304,MATCH($D380,lst_Profil,0)),$H$4),$H$4))</f>
        <v/>
      </c>
      <c r="S380" s="12" t="str">
        <f aca="false">IF($D380="","",IFERROR(IF(INDEX(Profile!$H$5:$H$304,MATCH($D380,lst_Profil,0))&lt;&gt;"",INDEX(Profile!$H$5:$H$304,MATCH($D380,lst_Profil,0)),$H$5),$H$5))</f>
        <v/>
      </c>
      <c r="T380" s="16" t="str">
        <f aca="false">IF(OR(Q380="",NOT(ISNUMBER(R380)),NOT(ISNUMBER(S380))),"",Q380-R380-S380)</f>
        <v/>
      </c>
      <c r="U380" s="26" t="str">
        <f aca="false">IF(OR($D380="",$E380=""),"",IF(COUNTIFS(Preise!$A$5:$A$304,$D380,Preise!$B$5:$B$304,$E380,Preise!$I$5:$I$304,"OK")&gt;0,"ja","nein"))</f>
        <v/>
      </c>
      <c r="V380" s="15" t="str">
        <f aca="false">IF(OR(M380="",$E380="",$C$8=""),"",IF(_xlfn.MINIFS(Schneiddaten!$C$5:$C$304,Schneiddaten!$A$5:$A$304,$C$8,Schneiddaten!$B$5:$B$304,$E380,Schneiddaten!$C$5:$C$304,"&gt;="&amp;M380)=0,"",SUMIFS(Schneiddaten!$D$5:$D$304,Schneiddaten!$A$5:$A$304,$C$8,Schneiddaten!$B$5:$B$304,$E380,Schneiddaten!$C$5:$C$304,_xlfn.MINIFS(Schneiddaten!$C$5:$C$304,Schneiddaten!$A$5:$A$304,$C$8,Schneiddaten!$B$5:$B$304,$E380,Schneiddaten!$C$5:$C$304,"&gt;="&amp;M380))))</f>
        <v/>
      </c>
      <c r="W380" s="26" t="str">
        <f aca="false">IF(AND($D380="",$E380="",$F380="",$G380=""),"",IF(ISNA(MATCH($D380,lst_Profil,0)),"FEHLER: Profil unbekannt",IF(ISNA(MATCH($E380,lst_Werkstoff,0)),"FEHLER: Werkstoff unbekannt",IF(NOT(ISNUMBER(L380)),"FEHLER: Querschnitt fehlt (Profil)",IF(OR($F380="",$F380&lt;=0),"FEHLER: Teilelänge fehlt",IF(OR($G380="",$G380&lt;1),"FEHLER: Stückzahl fehlt",IF(NOT(ISNUMBER($H$4)),"FEHLER: Maschine fehlt/unbekannt",IF(Q380&gt;$H$7,"FEHLER: Stange länger als Maschine zulässt",IF($F380+$H$6&gt;T380,"FEHLER: Teil länger als Nutzlänge",IF(U380="nein","WARNUNG: kein gültiger Materialpreis",IF($H380="","HINWEIS: Schneidweg fehlt",IF(V380="","HINWEIS: keine Schneiddaten",IF(AND($AF380&lt;&gt;"",$AG380=""),"HINWEIS: Gewinde-Vorschlag prüfen","OK")))))))))))))</f>
        <v/>
      </c>
      <c r="X380" s="18" t="str">
        <f aca="false">IF(OR(O380="",$G380=""),"",O380*$G380)</f>
        <v/>
      </c>
      <c r="Y380" s="10"/>
      <c r="Z380" s="21"/>
      <c r="AA380" s="10"/>
      <c r="AB380" s="21"/>
      <c r="AC380" s="21"/>
      <c r="AD380" s="21"/>
      <c r="AE380" s="10"/>
      <c r="AF380" s="10"/>
      <c r="AG380" s="10"/>
      <c r="AH380" s="22"/>
      <c r="AI380" s="21"/>
      <c r="AJ380" s="22"/>
      <c r="AK380" s="21"/>
      <c r="AL380" s="22"/>
      <c r="AM380" s="21"/>
    </row>
    <row r="381" customFormat="false" ht="15" hidden="false" customHeight="false" outlineLevel="0" collapsed="false">
      <c r="A381" s="10"/>
      <c r="B381" s="10"/>
      <c r="C381" s="10"/>
      <c r="D381" s="10"/>
      <c r="E381" s="10"/>
      <c r="F381" s="21"/>
      <c r="G381" s="19"/>
      <c r="H381" s="21"/>
      <c r="I381" s="22"/>
      <c r="J381" s="19"/>
      <c r="K381" s="23" t="str">
        <f aca="false">IF($D381="","",IFERROR(INDEX(Profile!$B$5:$B$304,MATCH($D381,lst_Profil,0)),""))</f>
        <v/>
      </c>
      <c r="L381" s="13" t="str">
        <f aca="false">IF($D381="","",IFERROR(INDEX(Profile!$K$5:$K$304,MATCH($D381,lst_Profil,0))+0,""))</f>
        <v/>
      </c>
      <c r="M381" s="24" t="str">
        <f aca="false">IF($D381="","",IFERROR(INDEX(Profile!$E$5:$E$304,MATCH($D381,lst_Profil,0))+0,""))</f>
        <v/>
      </c>
      <c r="N381" s="25" t="str">
        <f aca="false">IF(OR(L381="",$E381=""),"",IFERROR(L381*INDEX(Werkstoffe!$E$5:$E$304,MATCH($E381,lst_Werkstoff,0))/1000,""))</f>
        <v/>
      </c>
      <c r="O381" s="25" t="str">
        <f aca="false">IF(OR(N381="",$F381=""),"",N381*$F381/1000)</f>
        <v/>
      </c>
      <c r="P381" s="16" t="str">
        <f aca="false">IF(OR($F381="",$G381=""),"",$F381*$G381)</f>
        <v/>
      </c>
      <c r="Q381" s="16" t="str">
        <f aca="false">IF($D381="","",IF($J381&lt;&gt;"",$J381,$C$9))</f>
        <v/>
      </c>
      <c r="R381" s="12" t="str">
        <f aca="false">IF($D381="","",IFERROR(IF(INDEX(Profile!$G$5:$G$304,MATCH($D381,lst_Profil,0))&lt;&gt;"",INDEX(Profile!$G$5:$G$304,MATCH($D381,lst_Profil,0)),$H$4),$H$4))</f>
        <v/>
      </c>
      <c r="S381" s="12" t="str">
        <f aca="false">IF($D381="","",IFERROR(IF(INDEX(Profile!$H$5:$H$304,MATCH($D381,lst_Profil,0))&lt;&gt;"",INDEX(Profile!$H$5:$H$304,MATCH($D381,lst_Profil,0)),$H$5),$H$5))</f>
        <v/>
      </c>
      <c r="T381" s="16" t="str">
        <f aca="false">IF(OR(Q381="",NOT(ISNUMBER(R381)),NOT(ISNUMBER(S381))),"",Q381-R381-S381)</f>
        <v/>
      </c>
      <c r="U381" s="26" t="str">
        <f aca="false">IF(OR($D381="",$E381=""),"",IF(COUNTIFS(Preise!$A$5:$A$304,$D381,Preise!$B$5:$B$304,$E381,Preise!$I$5:$I$304,"OK")&gt;0,"ja","nein"))</f>
        <v/>
      </c>
      <c r="V381" s="15" t="str">
        <f aca="false">IF(OR(M381="",$E381="",$C$8=""),"",IF(_xlfn.MINIFS(Schneiddaten!$C$5:$C$304,Schneiddaten!$A$5:$A$304,$C$8,Schneiddaten!$B$5:$B$304,$E381,Schneiddaten!$C$5:$C$304,"&gt;="&amp;M381)=0,"",SUMIFS(Schneiddaten!$D$5:$D$304,Schneiddaten!$A$5:$A$304,$C$8,Schneiddaten!$B$5:$B$304,$E381,Schneiddaten!$C$5:$C$304,_xlfn.MINIFS(Schneiddaten!$C$5:$C$304,Schneiddaten!$A$5:$A$304,$C$8,Schneiddaten!$B$5:$B$304,$E381,Schneiddaten!$C$5:$C$304,"&gt;="&amp;M381))))</f>
        <v/>
      </c>
      <c r="W381" s="26" t="str">
        <f aca="false">IF(AND($D381="",$E381="",$F381="",$G381=""),"",IF(ISNA(MATCH($D381,lst_Profil,0)),"FEHLER: Profil unbekannt",IF(ISNA(MATCH($E381,lst_Werkstoff,0)),"FEHLER: Werkstoff unbekannt",IF(NOT(ISNUMBER(L381)),"FEHLER: Querschnitt fehlt (Profil)",IF(OR($F381="",$F381&lt;=0),"FEHLER: Teilelänge fehlt",IF(OR($G381="",$G381&lt;1),"FEHLER: Stückzahl fehlt",IF(NOT(ISNUMBER($H$4)),"FEHLER: Maschine fehlt/unbekannt",IF(Q381&gt;$H$7,"FEHLER: Stange länger als Maschine zulässt",IF($F381+$H$6&gt;T381,"FEHLER: Teil länger als Nutzlänge",IF(U381="nein","WARNUNG: kein gültiger Materialpreis",IF($H381="","HINWEIS: Schneidweg fehlt",IF(V381="","HINWEIS: keine Schneiddaten",IF(AND($AF381&lt;&gt;"",$AG381=""),"HINWEIS: Gewinde-Vorschlag prüfen","OK")))))))))))))</f>
        <v/>
      </c>
      <c r="X381" s="18" t="str">
        <f aca="false">IF(OR(O381="",$G381=""),"",O381*$G381)</f>
        <v/>
      </c>
      <c r="Y381" s="10"/>
      <c r="Z381" s="21"/>
      <c r="AA381" s="10"/>
      <c r="AB381" s="21"/>
      <c r="AC381" s="21"/>
      <c r="AD381" s="21"/>
      <c r="AE381" s="10"/>
      <c r="AF381" s="10"/>
      <c r="AG381" s="10"/>
      <c r="AH381" s="22"/>
      <c r="AI381" s="21"/>
      <c r="AJ381" s="22"/>
      <c r="AK381" s="21"/>
      <c r="AL381" s="22"/>
      <c r="AM381" s="21"/>
    </row>
    <row r="382" customFormat="false" ht="15" hidden="false" customHeight="false" outlineLevel="0" collapsed="false">
      <c r="A382" s="10"/>
      <c r="B382" s="10"/>
      <c r="C382" s="10"/>
      <c r="D382" s="10"/>
      <c r="E382" s="10"/>
      <c r="F382" s="21"/>
      <c r="G382" s="19"/>
      <c r="H382" s="21"/>
      <c r="I382" s="22"/>
      <c r="J382" s="19"/>
      <c r="K382" s="23" t="str">
        <f aca="false">IF($D382="","",IFERROR(INDEX(Profile!$B$5:$B$304,MATCH($D382,lst_Profil,0)),""))</f>
        <v/>
      </c>
      <c r="L382" s="13" t="str">
        <f aca="false">IF($D382="","",IFERROR(INDEX(Profile!$K$5:$K$304,MATCH($D382,lst_Profil,0))+0,""))</f>
        <v/>
      </c>
      <c r="M382" s="24" t="str">
        <f aca="false">IF($D382="","",IFERROR(INDEX(Profile!$E$5:$E$304,MATCH($D382,lst_Profil,0))+0,""))</f>
        <v/>
      </c>
      <c r="N382" s="25" t="str">
        <f aca="false">IF(OR(L382="",$E382=""),"",IFERROR(L382*INDEX(Werkstoffe!$E$5:$E$304,MATCH($E382,lst_Werkstoff,0))/1000,""))</f>
        <v/>
      </c>
      <c r="O382" s="25" t="str">
        <f aca="false">IF(OR(N382="",$F382=""),"",N382*$F382/1000)</f>
        <v/>
      </c>
      <c r="P382" s="16" t="str">
        <f aca="false">IF(OR($F382="",$G382=""),"",$F382*$G382)</f>
        <v/>
      </c>
      <c r="Q382" s="16" t="str">
        <f aca="false">IF($D382="","",IF($J382&lt;&gt;"",$J382,$C$9))</f>
        <v/>
      </c>
      <c r="R382" s="12" t="str">
        <f aca="false">IF($D382="","",IFERROR(IF(INDEX(Profile!$G$5:$G$304,MATCH($D382,lst_Profil,0))&lt;&gt;"",INDEX(Profile!$G$5:$G$304,MATCH($D382,lst_Profil,0)),$H$4),$H$4))</f>
        <v/>
      </c>
      <c r="S382" s="12" t="str">
        <f aca="false">IF($D382="","",IFERROR(IF(INDEX(Profile!$H$5:$H$304,MATCH($D382,lst_Profil,0))&lt;&gt;"",INDEX(Profile!$H$5:$H$304,MATCH($D382,lst_Profil,0)),$H$5),$H$5))</f>
        <v/>
      </c>
      <c r="T382" s="16" t="str">
        <f aca="false">IF(OR(Q382="",NOT(ISNUMBER(R382)),NOT(ISNUMBER(S382))),"",Q382-R382-S382)</f>
        <v/>
      </c>
      <c r="U382" s="26" t="str">
        <f aca="false">IF(OR($D382="",$E382=""),"",IF(COUNTIFS(Preise!$A$5:$A$304,$D382,Preise!$B$5:$B$304,$E382,Preise!$I$5:$I$304,"OK")&gt;0,"ja","nein"))</f>
        <v/>
      </c>
      <c r="V382" s="15" t="str">
        <f aca="false">IF(OR(M382="",$E382="",$C$8=""),"",IF(_xlfn.MINIFS(Schneiddaten!$C$5:$C$304,Schneiddaten!$A$5:$A$304,$C$8,Schneiddaten!$B$5:$B$304,$E382,Schneiddaten!$C$5:$C$304,"&gt;="&amp;M382)=0,"",SUMIFS(Schneiddaten!$D$5:$D$304,Schneiddaten!$A$5:$A$304,$C$8,Schneiddaten!$B$5:$B$304,$E382,Schneiddaten!$C$5:$C$304,_xlfn.MINIFS(Schneiddaten!$C$5:$C$304,Schneiddaten!$A$5:$A$304,$C$8,Schneiddaten!$B$5:$B$304,$E382,Schneiddaten!$C$5:$C$304,"&gt;="&amp;M382))))</f>
        <v/>
      </c>
      <c r="W382" s="26" t="str">
        <f aca="false">IF(AND($D382="",$E382="",$F382="",$G382=""),"",IF(ISNA(MATCH($D382,lst_Profil,0)),"FEHLER: Profil unbekannt",IF(ISNA(MATCH($E382,lst_Werkstoff,0)),"FEHLER: Werkstoff unbekannt",IF(NOT(ISNUMBER(L382)),"FEHLER: Querschnitt fehlt (Profil)",IF(OR($F382="",$F382&lt;=0),"FEHLER: Teilelänge fehlt",IF(OR($G382="",$G382&lt;1),"FEHLER: Stückzahl fehlt",IF(NOT(ISNUMBER($H$4)),"FEHLER: Maschine fehlt/unbekannt",IF(Q382&gt;$H$7,"FEHLER: Stange länger als Maschine zulässt",IF($F382+$H$6&gt;T382,"FEHLER: Teil länger als Nutzlänge",IF(U382="nein","WARNUNG: kein gültiger Materialpreis",IF($H382="","HINWEIS: Schneidweg fehlt",IF(V382="","HINWEIS: keine Schneiddaten",IF(AND($AF382&lt;&gt;"",$AG382=""),"HINWEIS: Gewinde-Vorschlag prüfen","OK")))))))))))))</f>
        <v/>
      </c>
      <c r="X382" s="18" t="str">
        <f aca="false">IF(OR(O382="",$G382=""),"",O382*$G382)</f>
        <v/>
      </c>
      <c r="Y382" s="10"/>
      <c r="Z382" s="21"/>
      <c r="AA382" s="10"/>
      <c r="AB382" s="21"/>
      <c r="AC382" s="21"/>
      <c r="AD382" s="21"/>
      <c r="AE382" s="10"/>
      <c r="AF382" s="10"/>
      <c r="AG382" s="10"/>
      <c r="AH382" s="22"/>
      <c r="AI382" s="21"/>
      <c r="AJ382" s="22"/>
      <c r="AK382" s="21"/>
      <c r="AL382" s="22"/>
      <c r="AM382" s="21"/>
    </row>
    <row r="383" customFormat="false" ht="15" hidden="false" customHeight="false" outlineLevel="0" collapsed="false">
      <c r="A383" s="10"/>
      <c r="B383" s="10"/>
      <c r="C383" s="10"/>
      <c r="D383" s="10"/>
      <c r="E383" s="10"/>
      <c r="F383" s="21"/>
      <c r="G383" s="19"/>
      <c r="H383" s="21"/>
      <c r="I383" s="22"/>
      <c r="J383" s="19"/>
      <c r="K383" s="23" t="str">
        <f aca="false">IF($D383="","",IFERROR(INDEX(Profile!$B$5:$B$304,MATCH($D383,lst_Profil,0)),""))</f>
        <v/>
      </c>
      <c r="L383" s="13" t="str">
        <f aca="false">IF($D383="","",IFERROR(INDEX(Profile!$K$5:$K$304,MATCH($D383,lst_Profil,0))+0,""))</f>
        <v/>
      </c>
      <c r="M383" s="24" t="str">
        <f aca="false">IF($D383="","",IFERROR(INDEX(Profile!$E$5:$E$304,MATCH($D383,lst_Profil,0))+0,""))</f>
        <v/>
      </c>
      <c r="N383" s="25" t="str">
        <f aca="false">IF(OR(L383="",$E383=""),"",IFERROR(L383*INDEX(Werkstoffe!$E$5:$E$304,MATCH($E383,lst_Werkstoff,0))/1000,""))</f>
        <v/>
      </c>
      <c r="O383" s="25" t="str">
        <f aca="false">IF(OR(N383="",$F383=""),"",N383*$F383/1000)</f>
        <v/>
      </c>
      <c r="P383" s="16" t="str">
        <f aca="false">IF(OR($F383="",$G383=""),"",$F383*$G383)</f>
        <v/>
      </c>
      <c r="Q383" s="16" t="str">
        <f aca="false">IF($D383="","",IF($J383&lt;&gt;"",$J383,$C$9))</f>
        <v/>
      </c>
      <c r="R383" s="12" t="str">
        <f aca="false">IF($D383="","",IFERROR(IF(INDEX(Profile!$G$5:$G$304,MATCH($D383,lst_Profil,0))&lt;&gt;"",INDEX(Profile!$G$5:$G$304,MATCH($D383,lst_Profil,0)),$H$4),$H$4))</f>
        <v/>
      </c>
      <c r="S383" s="12" t="str">
        <f aca="false">IF($D383="","",IFERROR(IF(INDEX(Profile!$H$5:$H$304,MATCH($D383,lst_Profil,0))&lt;&gt;"",INDEX(Profile!$H$5:$H$304,MATCH($D383,lst_Profil,0)),$H$5),$H$5))</f>
        <v/>
      </c>
      <c r="T383" s="16" t="str">
        <f aca="false">IF(OR(Q383="",NOT(ISNUMBER(R383)),NOT(ISNUMBER(S383))),"",Q383-R383-S383)</f>
        <v/>
      </c>
      <c r="U383" s="26" t="str">
        <f aca="false">IF(OR($D383="",$E383=""),"",IF(COUNTIFS(Preise!$A$5:$A$304,$D383,Preise!$B$5:$B$304,$E383,Preise!$I$5:$I$304,"OK")&gt;0,"ja","nein"))</f>
        <v/>
      </c>
      <c r="V383" s="15" t="str">
        <f aca="false">IF(OR(M383="",$E383="",$C$8=""),"",IF(_xlfn.MINIFS(Schneiddaten!$C$5:$C$304,Schneiddaten!$A$5:$A$304,$C$8,Schneiddaten!$B$5:$B$304,$E383,Schneiddaten!$C$5:$C$304,"&gt;="&amp;M383)=0,"",SUMIFS(Schneiddaten!$D$5:$D$304,Schneiddaten!$A$5:$A$304,$C$8,Schneiddaten!$B$5:$B$304,$E383,Schneiddaten!$C$5:$C$304,_xlfn.MINIFS(Schneiddaten!$C$5:$C$304,Schneiddaten!$A$5:$A$304,$C$8,Schneiddaten!$B$5:$B$304,$E383,Schneiddaten!$C$5:$C$304,"&gt;="&amp;M383))))</f>
        <v/>
      </c>
      <c r="W383" s="26" t="str">
        <f aca="false">IF(AND($D383="",$E383="",$F383="",$G383=""),"",IF(ISNA(MATCH($D383,lst_Profil,0)),"FEHLER: Profil unbekannt",IF(ISNA(MATCH($E383,lst_Werkstoff,0)),"FEHLER: Werkstoff unbekannt",IF(NOT(ISNUMBER(L383)),"FEHLER: Querschnitt fehlt (Profil)",IF(OR($F383="",$F383&lt;=0),"FEHLER: Teilelänge fehlt",IF(OR($G383="",$G383&lt;1),"FEHLER: Stückzahl fehlt",IF(NOT(ISNUMBER($H$4)),"FEHLER: Maschine fehlt/unbekannt",IF(Q383&gt;$H$7,"FEHLER: Stange länger als Maschine zulässt",IF($F383+$H$6&gt;T383,"FEHLER: Teil länger als Nutzlänge",IF(U383="nein","WARNUNG: kein gültiger Materialpreis",IF($H383="","HINWEIS: Schneidweg fehlt",IF(V383="","HINWEIS: keine Schneiddaten",IF(AND($AF383&lt;&gt;"",$AG383=""),"HINWEIS: Gewinde-Vorschlag prüfen","OK")))))))))))))</f>
        <v/>
      </c>
      <c r="X383" s="18" t="str">
        <f aca="false">IF(OR(O383="",$G383=""),"",O383*$G383)</f>
        <v/>
      </c>
      <c r="Y383" s="10"/>
      <c r="Z383" s="21"/>
      <c r="AA383" s="10"/>
      <c r="AB383" s="21"/>
      <c r="AC383" s="21"/>
      <c r="AD383" s="21"/>
      <c r="AE383" s="10"/>
      <c r="AF383" s="10"/>
      <c r="AG383" s="10"/>
      <c r="AH383" s="22"/>
      <c r="AI383" s="21"/>
      <c r="AJ383" s="22"/>
      <c r="AK383" s="21"/>
      <c r="AL383" s="22"/>
      <c r="AM383" s="21"/>
    </row>
    <row r="384" customFormat="false" ht="15" hidden="false" customHeight="false" outlineLevel="0" collapsed="false">
      <c r="A384" s="10"/>
      <c r="B384" s="10"/>
      <c r="C384" s="10"/>
      <c r="D384" s="10"/>
      <c r="E384" s="10"/>
      <c r="F384" s="21"/>
      <c r="G384" s="19"/>
      <c r="H384" s="21"/>
      <c r="I384" s="22"/>
      <c r="J384" s="19"/>
      <c r="K384" s="23" t="str">
        <f aca="false">IF($D384="","",IFERROR(INDEX(Profile!$B$5:$B$304,MATCH($D384,lst_Profil,0)),""))</f>
        <v/>
      </c>
      <c r="L384" s="13" t="str">
        <f aca="false">IF($D384="","",IFERROR(INDEX(Profile!$K$5:$K$304,MATCH($D384,lst_Profil,0))+0,""))</f>
        <v/>
      </c>
      <c r="M384" s="24" t="str">
        <f aca="false">IF($D384="","",IFERROR(INDEX(Profile!$E$5:$E$304,MATCH($D384,lst_Profil,0))+0,""))</f>
        <v/>
      </c>
      <c r="N384" s="25" t="str">
        <f aca="false">IF(OR(L384="",$E384=""),"",IFERROR(L384*INDEX(Werkstoffe!$E$5:$E$304,MATCH($E384,lst_Werkstoff,0))/1000,""))</f>
        <v/>
      </c>
      <c r="O384" s="25" t="str">
        <f aca="false">IF(OR(N384="",$F384=""),"",N384*$F384/1000)</f>
        <v/>
      </c>
      <c r="P384" s="16" t="str">
        <f aca="false">IF(OR($F384="",$G384=""),"",$F384*$G384)</f>
        <v/>
      </c>
      <c r="Q384" s="16" t="str">
        <f aca="false">IF($D384="","",IF($J384&lt;&gt;"",$J384,$C$9))</f>
        <v/>
      </c>
      <c r="R384" s="12" t="str">
        <f aca="false">IF($D384="","",IFERROR(IF(INDEX(Profile!$G$5:$G$304,MATCH($D384,lst_Profil,0))&lt;&gt;"",INDEX(Profile!$G$5:$G$304,MATCH($D384,lst_Profil,0)),$H$4),$H$4))</f>
        <v/>
      </c>
      <c r="S384" s="12" t="str">
        <f aca="false">IF($D384="","",IFERROR(IF(INDEX(Profile!$H$5:$H$304,MATCH($D384,lst_Profil,0))&lt;&gt;"",INDEX(Profile!$H$5:$H$304,MATCH($D384,lst_Profil,0)),$H$5),$H$5))</f>
        <v/>
      </c>
      <c r="T384" s="16" t="str">
        <f aca="false">IF(OR(Q384="",NOT(ISNUMBER(R384)),NOT(ISNUMBER(S384))),"",Q384-R384-S384)</f>
        <v/>
      </c>
      <c r="U384" s="26" t="str">
        <f aca="false">IF(OR($D384="",$E384=""),"",IF(COUNTIFS(Preise!$A$5:$A$304,$D384,Preise!$B$5:$B$304,$E384,Preise!$I$5:$I$304,"OK")&gt;0,"ja","nein"))</f>
        <v/>
      </c>
      <c r="V384" s="15" t="str">
        <f aca="false">IF(OR(M384="",$E384="",$C$8=""),"",IF(_xlfn.MINIFS(Schneiddaten!$C$5:$C$304,Schneiddaten!$A$5:$A$304,$C$8,Schneiddaten!$B$5:$B$304,$E384,Schneiddaten!$C$5:$C$304,"&gt;="&amp;M384)=0,"",SUMIFS(Schneiddaten!$D$5:$D$304,Schneiddaten!$A$5:$A$304,$C$8,Schneiddaten!$B$5:$B$304,$E384,Schneiddaten!$C$5:$C$304,_xlfn.MINIFS(Schneiddaten!$C$5:$C$304,Schneiddaten!$A$5:$A$304,$C$8,Schneiddaten!$B$5:$B$304,$E384,Schneiddaten!$C$5:$C$304,"&gt;="&amp;M384))))</f>
        <v/>
      </c>
      <c r="W384" s="26" t="str">
        <f aca="false">IF(AND($D384="",$E384="",$F384="",$G384=""),"",IF(ISNA(MATCH($D384,lst_Profil,0)),"FEHLER: Profil unbekannt",IF(ISNA(MATCH($E384,lst_Werkstoff,0)),"FEHLER: Werkstoff unbekannt",IF(NOT(ISNUMBER(L384)),"FEHLER: Querschnitt fehlt (Profil)",IF(OR($F384="",$F384&lt;=0),"FEHLER: Teilelänge fehlt",IF(OR($G384="",$G384&lt;1),"FEHLER: Stückzahl fehlt",IF(NOT(ISNUMBER($H$4)),"FEHLER: Maschine fehlt/unbekannt",IF(Q384&gt;$H$7,"FEHLER: Stange länger als Maschine zulässt",IF($F384+$H$6&gt;T384,"FEHLER: Teil länger als Nutzlänge",IF(U384="nein","WARNUNG: kein gültiger Materialpreis",IF($H384="","HINWEIS: Schneidweg fehlt",IF(V384="","HINWEIS: keine Schneiddaten",IF(AND($AF384&lt;&gt;"",$AG384=""),"HINWEIS: Gewinde-Vorschlag prüfen","OK")))))))))))))</f>
        <v/>
      </c>
      <c r="X384" s="18" t="str">
        <f aca="false">IF(OR(O384="",$G384=""),"",O384*$G384)</f>
        <v/>
      </c>
      <c r="Y384" s="10"/>
      <c r="Z384" s="21"/>
      <c r="AA384" s="10"/>
      <c r="AB384" s="21"/>
      <c r="AC384" s="21"/>
      <c r="AD384" s="21"/>
      <c r="AE384" s="10"/>
      <c r="AF384" s="10"/>
      <c r="AG384" s="10"/>
      <c r="AH384" s="22"/>
      <c r="AI384" s="21"/>
      <c r="AJ384" s="22"/>
      <c r="AK384" s="21"/>
      <c r="AL384" s="22"/>
      <c r="AM384" s="21"/>
    </row>
    <row r="385" customFormat="false" ht="15" hidden="false" customHeight="false" outlineLevel="0" collapsed="false">
      <c r="A385" s="10"/>
      <c r="B385" s="10"/>
      <c r="C385" s="10"/>
      <c r="D385" s="10"/>
      <c r="E385" s="10"/>
      <c r="F385" s="21"/>
      <c r="G385" s="19"/>
      <c r="H385" s="21"/>
      <c r="I385" s="22"/>
      <c r="J385" s="19"/>
      <c r="K385" s="23" t="str">
        <f aca="false">IF($D385="","",IFERROR(INDEX(Profile!$B$5:$B$304,MATCH($D385,lst_Profil,0)),""))</f>
        <v/>
      </c>
      <c r="L385" s="13" t="str">
        <f aca="false">IF($D385="","",IFERROR(INDEX(Profile!$K$5:$K$304,MATCH($D385,lst_Profil,0))+0,""))</f>
        <v/>
      </c>
      <c r="M385" s="24" t="str">
        <f aca="false">IF($D385="","",IFERROR(INDEX(Profile!$E$5:$E$304,MATCH($D385,lst_Profil,0))+0,""))</f>
        <v/>
      </c>
      <c r="N385" s="25" t="str">
        <f aca="false">IF(OR(L385="",$E385=""),"",IFERROR(L385*INDEX(Werkstoffe!$E$5:$E$304,MATCH($E385,lst_Werkstoff,0))/1000,""))</f>
        <v/>
      </c>
      <c r="O385" s="25" t="str">
        <f aca="false">IF(OR(N385="",$F385=""),"",N385*$F385/1000)</f>
        <v/>
      </c>
      <c r="P385" s="16" t="str">
        <f aca="false">IF(OR($F385="",$G385=""),"",$F385*$G385)</f>
        <v/>
      </c>
      <c r="Q385" s="16" t="str">
        <f aca="false">IF($D385="","",IF($J385&lt;&gt;"",$J385,$C$9))</f>
        <v/>
      </c>
      <c r="R385" s="12" t="str">
        <f aca="false">IF($D385="","",IFERROR(IF(INDEX(Profile!$G$5:$G$304,MATCH($D385,lst_Profil,0))&lt;&gt;"",INDEX(Profile!$G$5:$G$304,MATCH($D385,lst_Profil,0)),$H$4),$H$4))</f>
        <v/>
      </c>
      <c r="S385" s="12" t="str">
        <f aca="false">IF($D385="","",IFERROR(IF(INDEX(Profile!$H$5:$H$304,MATCH($D385,lst_Profil,0))&lt;&gt;"",INDEX(Profile!$H$5:$H$304,MATCH($D385,lst_Profil,0)),$H$5),$H$5))</f>
        <v/>
      </c>
      <c r="T385" s="16" t="str">
        <f aca="false">IF(OR(Q385="",NOT(ISNUMBER(R385)),NOT(ISNUMBER(S385))),"",Q385-R385-S385)</f>
        <v/>
      </c>
      <c r="U385" s="26" t="str">
        <f aca="false">IF(OR($D385="",$E385=""),"",IF(COUNTIFS(Preise!$A$5:$A$304,$D385,Preise!$B$5:$B$304,$E385,Preise!$I$5:$I$304,"OK")&gt;0,"ja","nein"))</f>
        <v/>
      </c>
      <c r="V385" s="15" t="str">
        <f aca="false">IF(OR(M385="",$E385="",$C$8=""),"",IF(_xlfn.MINIFS(Schneiddaten!$C$5:$C$304,Schneiddaten!$A$5:$A$304,$C$8,Schneiddaten!$B$5:$B$304,$E385,Schneiddaten!$C$5:$C$304,"&gt;="&amp;M385)=0,"",SUMIFS(Schneiddaten!$D$5:$D$304,Schneiddaten!$A$5:$A$304,$C$8,Schneiddaten!$B$5:$B$304,$E385,Schneiddaten!$C$5:$C$304,_xlfn.MINIFS(Schneiddaten!$C$5:$C$304,Schneiddaten!$A$5:$A$304,$C$8,Schneiddaten!$B$5:$B$304,$E385,Schneiddaten!$C$5:$C$304,"&gt;="&amp;M385))))</f>
        <v/>
      </c>
      <c r="W385" s="26" t="str">
        <f aca="false">IF(AND($D385="",$E385="",$F385="",$G385=""),"",IF(ISNA(MATCH($D385,lst_Profil,0)),"FEHLER: Profil unbekannt",IF(ISNA(MATCH($E385,lst_Werkstoff,0)),"FEHLER: Werkstoff unbekannt",IF(NOT(ISNUMBER(L385)),"FEHLER: Querschnitt fehlt (Profil)",IF(OR($F385="",$F385&lt;=0),"FEHLER: Teilelänge fehlt",IF(OR($G385="",$G385&lt;1),"FEHLER: Stückzahl fehlt",IF(NOT(ISNUMBER($H$4)),"FEHLER: Maschine fehlt/unbekannt",IF(Q385&gt;$H$7,"FEHLER: Stange länger als Maschine zulässt",IF($F385+$H$6&gt;T385,"FEHLER: Teil länger als Nutzlänge",IF(U385="nein","WARNUNG: kein gültiger Materialpreis",IF($H385="","HINWEIS: Schneidweg fehlt",IF(V385="","HINWEIS: keine Schneiddaten",IF(AND($AF385&lt;&gt;"",$AG385=""),"HINWEIS: Gewinde-Vorschlag prüfen","OK")))))))))))))</f>
        <v/>
      </c>
      <c r="X385" s="18" t="str">
        <f aca="false">IF(OR(O385="",$G385=""),"",O385*$G385)</f>
        <v/>
      </c>
      <c r="Y385" s="10"/>
      <c r="Z385" s="21"/>
      <c r="AA385" s="10"/>
      <c r="AB385" s="21"/>
      <c r="AC385" s="21"/>
      <c r="AD385" s="21"/>
      <c r="AE385" s="10"/>
      <c r="AF385" s="10"/>
      <c r="AG385" s="10"/>
      <c r="AH385" s="22"/>
      <c r="AI385" s="21"/>
      <c r="AJ385" s="22"/>
      <c r="AK385" s="21"/>
      <c r="AL385" s="22"/>
      <c r="AM385" s="21"/>
    </row>
    <row r="386" customFormat="false" ht="15" hidden="false" customHeight="false" outlineLevel="0" collapsed="false">
      <c r="A386" s="10"/>
      <c r="B386" s="10"/>
      <c r="C386" s="10"/>
      <c r="D386" s="10"/>
      <c r="E386" s="10"/>
      <c r="F386" s="21"/>
      <c r="G386" s="19"/>
      <c r="H386" s="21"/>
      <c r="I386" s="22"/>
      <c r="J386" s="19"/>
      <c r="K386" s="23" t="str">
        <f aca="false">IF($D386="","",IFERROR(INDEX(Profile!$B$5:$B$304,MATCH($D386,lst_Profil,0)),""))</f>
        <v/>
      </c>
      <c r="L386" s="13" t="str">
        <f aca="false">IF($D386="","",IFERROR(INDEX(Profile!$K$5:$K$304,MATCH($D386,lst_Profil,0))+0,""))</f>
        <v/>
      </c>
      <c r="M386" s="24" t="str">
        <f aca="false">IF($D386="","",IFERROR(INDEX(Profile!$E$5:$E$304,MATCH($D386,lst_Profil,0))+0,""))</f>
        <v/>
      </c>
      <c r="N386" s="25" t="str">
        <f aca="false">IF(OR(L386="",$E386=""),"",IFERROR(L386*INDEX(Werkstoffe!$E$5:$E$304,MATCH($E386,lst_Werkstoff,0))/1000,""))</f>
        <v/>
      </c>
      <c r="O386" s="25" t="str">
        <f aca="false">IF(OR(N386="",$F386=""),"",N386*$F386/1000)</f>
        <v/>
      </c>
      <c r="P386" s="16" t="str">
        <f aca="false">IF(OR($F386="",$G386=""),"",$F386*$G386)</f>
        <v/>
      </c>
      <c r="Q386" s="16" t="str">
        <f aca="false">IF($D386="","",IF($J386&lt;&gt;"",$J386,$C$9))</f>
        <v/>
      </c>
      <c r="R386" s="12" t="str">
        <f aca="false">IF($D386="","",IFERROR(IF(INDEX(Profile!$G$5:$G$304,MATCH($D386,lst_Profil,0))&lt;&gt;"",INDEX(Profile!$G$5:$G$304,MATCH($D386,lst_Profil,0)),$H$4),$H$4))</f>
        <v/>
      </c>
      <c r="S386" s="12" t="str">
        <f aca="false">IF($D386="","",IFERROR(IF(INDEX(Profile!$H$5:$H$304,MATCH($D386,lst_Profil,0))&lt;&gt;"",INDEX(Profile!$H$5:$H$304,MATCH($D386,lst_Profil,0)),$H$5),$H$5))</f>
        <v/>
      </c>
      <c r="T386" s="16" t="str">
        <f aca="false">IF(OR(Q386="",NOT(ISNUMBER(R386)),NOT(ISNUMBER(S386))),"",Q386-R386-S386)</f>
        <v/>
      </c>
      <c r="U386" s="26" t="str">
        <f aca="false">IF(OR($D386="",$E386=""),"",IF(COUNTIFS(Preise!$A$5:$A$304,$D386,Preise!$B$5:$B$304,$E386,Preise!$I$5:$I$304,"OK")&gt;0,"ja","nein"))</f>
        <v/>
      </c>
      <c r="V386" s="15" t="str">
        <f aca="false">IF(OR(M386="",$E386="",$C$8=""),"",IF(_xlfn.MINIFS(Schneiddaten!$C$5:$C$304,Schneiddaten!$A$5:$A$304,$C$8,Schneiddaten!$B$5:$B$304,$E386,Schneiddaten!$C$5:$C$304,"&gt;="&amp;M386)=0,"",SUMIFS(Schneiddaten!$D$5:$D$304,Schneiddaten!$A$5:$A$304,$C$8,Schneiddaten!$B$5:$B$304,$E386,Schneiddaten!$C$5:$C$304,_xlfn.MINIFS(Schneiddaten!$C$5:$C$304,Schneiddaten!$A$5:$A$304,$C$8,Schneiddaten!$B$5:$B$304,$E386,Schneiddaten!$C$5:$C$304,"&gt;="&amp;M386))))</f>
        <v/>
      </c>
      <c r="W386" s="26" t="str">
        <f aca="false">IF(AND($D386="",$E386="",$F386="",$G386=""),"",IF(ISNA(MATCH($D386,lst_Profil,0)),"FEHLER: Profil unbekannt",IF(ISNA(MATCH($E386,lst_Werkstoff,0)),"FEHLER: Werkstoff unbekannt",IF(NOT(ISNUMBER(L386)),"FEHLER: Querschnitt fehlt (Profil)",IF(OR($F386="",$F386&lt;=0),"FEHLER: Teilelänge fehlt",IF(OR($G386="",$G386&lt;1),"FEHLER: Stückzahl fehlt",IF(NOT(ISNUMBER($H$4)),"FEHLER: Maschine fehlt/unbekannt",IF(Q386&gt;$H$7,"FEHLER: Stange länger als Maschine zulässt",IF($F386+$H$6&gt;T386,"FEHLER: Teil länger als Nutzlänge",IF(U386="nein","WARNUNG: kein gültiger Materialpreis",IF($H386="","HINWEIS: Schneidweg fehlt",IF(V386="","HINWEIS: keine Schneiddaten",IF(AND($AF386&lt;&gt;"",$AG386=""),"HINWEIS: Gewinde-Vorschlag prüfen","OK")))))))))))))</f>
        <v/>
      </c>
      <c r="X386" s="18" t="str">
        <f aca="false">IF(OR(O386="",$G386=""),"",O386*$G386)</f>
        <v/>
      </c>
      <c r="Y386" s="10"/>
      <c r="Z386" s="21"/>
      <c r="AA386" s="10"/>
      <c r="AB386" s="21"/>
      <c r="AC386" s="21"/>
      <c r="AD386" s="21"/>
      <c r="AE386" s="10"/>
      <c r="AF386" s="10"/>
      <c r="AG386" s="10"/>
      <c r="AH386" s="22"/>
      <c r="AI386" s="21"/>
      <c r="AJ386" s="22"/>
      <c r="AK386" s="21"/>
      <c r="AL386" s="22"/>
      <c r="AM386" s="21"/>
    </row>
    <row r="387" customFormat="false" ht="15" hidden="false" customHeight="false" outlineLevel="0" collapsed="false">
      <c r="A387" s="10"/>
      <c r="B387" s="10"/>
      <c r="C387" s="10"/>
      <c r="D387" s="10"/>
      <c r="E387" s="10"/>
      <c r="F387" s="21"/>
      <c r="G387" s="19"/>
      <c r="H387" s="21"/>
      <c r="I387" s="22"/>
      <c r="J387" s="19"/>
      <c r="K387" s="23" t="str">
        <f aca="false">IF($D387="","",IFERROR(INDEX(Profile!$B$5:$B$304,MATCH($D387,lst_Profil,0)),""))</f>
        <v/>
      </c>
      <c r="L387" s="13" t="str">
        <f aca="false">IF($D387="","",IFERROR(INDEX(Profile!$K$5:$K$304,MATCH($D387,lst_Profil,0))+0,""))</f>
        <v/>
      </c>
      <c r="M387" s="24" t="str">
        <f aca="false">IF($D387="","",IFERROR(INDEX(Profile!$E$5:$E$304,MATCH($D387,lst_Profil,0))+0,""))</f>
        <v/>
      </c>
      <c r="N387" s="25" t="str">
        <f aca="false">IF(OR(L387="",$E387=""),"",IFERROR(L387*INDEX(Werkstoffe!$E$5:$E$304,MATCH($E387,lst_Werkstoff,0))/1000,""))</f>
        <v/>
      </c>
      <c r="O387" s="25" t="str">
        <f aca="false">IF(OR(N387="",$F387=""),"",N387*$F387/1000)</f>
        <v/>
      </c>
      <c r="P387" s="16" t="str">
        <f aca="false">IF(OR($F387="",$G387=""),"",$F387*$G387)</f>
        <v/>
      </c>
      <c r="Q387" s="16" t="str">
        <f aca="false">IF($D387="","",IF($J387&lt;&gt;"",$J387,$C$9))</f>
        <v/>
      </c>
      <c r="R387" s="12" t="str">
        <f aca="false">IF($D387="","",IFERROR(IF(INDEX(Profile!$G$5:$G$304,MATCH($D387,lst_Profil,0))&lt;&gt;"",INDEX(Profile!$G$5:$G$304,MATCH($D387,lst_Profil,0)),$H$4),$H$4))</f>
        <v/>
      </c>
      <c r="S387" s="12" t="str">
        <f aca="false">IF($D387="","",IFERROR(IF(INDEX(Profile!$H$5:$H$304,MATCH($D387,lst_Profil,0))&lt;&gt;"",INDEX(Profile!$H$5:$H$304,MATCH($D387,lst_Profil,0)),$H$5),$H$5))</f>
        <v/>
      </c>
      <c r="T387" s="16" t="str">
        <f aca="false">IF(OR(Q387="",NOT(ISNUMBER(R387)),NOT(ISNUMBER(S387))),"",Q387-R387-S387)</f>
        <v/>
      </c>
      <c r="U387" s="26" t="str">
        <f aca="false">IF(OR($D387="",$E387=""),"",IF(COUNTIFS(Preise!$A$5:$A$304,$D387,Preise!$B$5:$B$304,$E387,Preise!$I$5:$I$304,"OK")&gt;0,"ja","nein"))</f>
        <v/>
      </c>
      <c r="V387" s="15" t="str">
        <f aca="false">IF(OR(M387="",$E387="",$C$8=""),"",IF(_xlfn.MINIFS(Schneiddaten!$C$5:$C$304,Schneiddaten!$A$5:$A$304,$C$8,Schneiddaten!$B$5:$B$304,$E387,Schneiddaten!$C$5:$C$304,"&gt;="&amp;M387)=0,"",SUMIFS(Schneiddaten!$D$5:$D$304,Schneiddaten!$A$5:$A$304,$C$8,Schneiddaten!$B$5:$B$304,$E387,Schneiddaten!$C$5:$C$304,_xlfn.MINIFS(Schneiddaten!$C$5:$C$304,Schneiddaten!$A$5:$A$304,$C$8,Schneiddaten!$B$5:$B$304,$E387,Schneiddaten!$C$5:$C$304,"&gt;="&amp;M387))))</f>
        <v/>
      </c>
      <c r="W387" s="26" t="str">
        <f aca="false">IF(AND($D387="",$E387="",$F387="",$G387=""),"",IF(ISNA(MATCH($D387,lst_Profil,0)),"FEHLER: Profil unbekannt",IF(ISNA(MATCH($E387,lst_Werkstoff,0)),"FEHLER: Werkstoff unbekannt",IF(NOT(ISNUMBER(L387)),"FEHLER: Querschnitt fehlt (Profil)",IF(OR($F387="",$F387&lt;=0),"FEHLER: Teilelänge fehlt",IF(OR($G387="",$G387&lt;1),"FEHLER: Stückzahl fehlt",IF(NOT(ISNUMBER($H$4)),"FEHLER: Maschine fehlt/unbekannt",IF(Q387&gt;$H$7,"FEHLER: Stange länger als Maschine zulässt",IF($F387+$H$6&gt;T387,"FEHLER: Teil länger als Nutzlänge",IF(U387="nein","WARNUNG: kein gültiger Materialpreis",IF($H387="","HINWEIS: Schneidweg fehlt",IF(V387="","HINWEIS: keine Schneiddaten",IF(AND($AF387&lt;&gt;"",$AG387=""),"HINWEIS: Gewinde-Vorschlag prüfen","OK")))))))))))))</f>
        <v/>
      </c>
      <c r="X387" s="18" t="str">
        <f aca="false">IF(OR(O387="",$G387=""),"",O387*$G387)</f>
        <v/>
      </c>
      <c r="Y387" s="10"/>
      <c r="Z387" s="21"/>
      <c r="AA387" s="10"/>
      <c r="AB387" s="21"/>
      <c r="AC387" s="21"/>
      <c r="AD387" s="21"/>
      <c r="AE387" s="10"/>
      <c r="AF387" s="10"/>
      <c r="AG387" s="10"/>
      <c r="AH387" s="22"/>
      <c r="AI387" s="21"/>
      <c r="AJ387" s="22"/>
      <c r="AK387" s="21"/>
      <c r="AL387" s="22"/>
      <c r="AM387" s="21"/>
    </row>
    <row r="388" customFormat="false" ht="15" hidden="false" customHeight="false" outlineLevel="0" collapsed="false">
      <c r="A388" s="10"/>
      <c r="B388" s="10"/>
      <c r="C388" s="10"/>
      <c r="D388" s="10"/>
      <c r="E388" s="10"/>
      <c r="F388" s="21"/>
      <c r="G388" s="19"/>
      <c r="H388" s="21"/>
      <c r="I388" s="22"/>
      <c r="J388" s="19"/>
      <c r="K388" s="23" t="str">
        <f aca="false">IF($D388="","",IFERROR(INDEX(Profile!$B$5:$B$304,MATCH($D388,lst_Profil,0)),""))</f>
        <v/>
      </c>
      <c r="L388" s="13" t="str">
        <f aca="false">IF($D388="","",IFERROR(INDEX(Profile!$K$5:$K$304,MATCH($D388,lst_Profil,0))+0,""))</f>
        <v/>
      </c>
      <c r="M388" s="24" t="str">
        <f aca="false">IF($D388="","",IFERROR(INDEX(Profile!$E$5:$E$304,MATCH($D388,lst_Profil,0))+0,""))</f>
        <v/>
      </c>
      <c r="N388" s="25" t="str">
        <f aca="false">IF(OR(L388="",$E388=""),"",IFERROR(L388*INDEX(Werkstoffe!$E$5:$E$304,MATCH($E388,lst_Werkstoff,0))/1000,""))</f>
        <v/>
      </c>
      <c r="O388" s="25" t="str">
        <f aca="false">IF(OR(N388="",$F388=""),"",N388*$F388/1000)</f>
        <v/>
      </c>
      <c r="P388" s="16" t="str">
        <f aca="false">IF(OR($F388="",$G388=""),"",$F388*$G388)</f>
        <v/>
      </c>
      <c r="Q388" s="16" t="str">
        <f aca="false">IF($D388="","",IF($J388&lt;&gt;"",$J388,$C$9))</f>
        <v/>
      </c>
      <c r="R388" s="12" t="str">
        <f aca="false">IF($D388="","",IFERROR(IF(INDEX(Profile!$G$5:$G$304,MATCH($D388,lst_Profil,0))&lt;&gt;"",INDEX(Profile!$G$5:$G$304,MATCH($D388,lst_Profil,0)),$H$4),$H$4))</f>
        <v/>
      </c>
      <c r="S388" s="12" t="str">
        <f aca="false">IF($D388="","",IFERROR(IF(INDEX(Profile!$H$5:$H$304,MATCH($D388,lst_Profil,0))&lt;&gt;"",INDEX(Profile!$H$5:$H$304,MATCH($D388,lst_Profil,0)),$H$5),$H$5))</f>
        <v/>
      </c>
      <c r="T388" s="16" t="str">
        <f aca="false">IF(OR(Q388="",NOT(ISNUMBER(R388)),NOT(ISNUMBER(S388))),"",Q388-R388-S388)</f>
        <v/>
      </c>
      <c r="U388" s="26" t="str">
        <f aca="false">IF(OR($D388="",$E388=""),"",IF(COUNTIFS(Preise!$A$5:$A$304,$D388,Preise!$B$5:$B$304,$E388,Preise!$I$5:$I$304,"OK")&gt;0,"ja","nein"))</f>
        <v/>
      </c>
      <c r="V388" s="15" t="str">
        <f aca="false">IF(OR(M388="",$E388="",$C$8=""),"",IF(_xlfn.MINIFS(Schneiddaten!$C$5:$C$304,Schneiddaten!$A$5:$A$304,$C$8,Schneiddaten!$B$5:$B$304,$E388,Schneiddaten!$C$5:$C$304,"&gt;="&amp;M388)=0,"",SUMIFS(Schneiddaten!$D$5:$D$304,Schneiddaten!$A$5:$A$304,$C$8,Schneiddaten!$B$5:$B$304,$E388,Schneiddaten!$C$5:$C$304,_xlfn.MINIFS(Schneiddaten!$C$5:$C$304,Schneiddaten!$A$5:$A$304,$C$8,Schneiddaten!$B$5:$B$304,$E388,Schneiddaten!$C$5:$C$304,"&gt;="&amp;M388))))</f>
        <v/>
      </c>
      <c r="W388" s="26" t="str">
        <f aca="false">IF(AND($D388="",$E388="",$F388="",$G388=""),"",IF(ISNA(MATCH($D388,lst_Profil,0)),"FEHLER: Profil unbekannt",IF(ISNA(MATCH($E388,lst_Werkstoff,0)),"FEHLER: Werkstoff unbekannt",IF(NOT(ISNUMBER(L388)),"FEHLER: Querschnitt fehlt (Profil)",IF(OR($F388="",$F388&lt;=0),"FEHLER: Teilelänge fehlt",IF(OR($G388="",$G388&lt;1),"FEHLER: Stückzahl fehlt",IF(NOT(ISNUMBER($H$4)),"FEHLER: Maschine fehlt/unbekannt",IF(Q388&gt;$H$7,"FEHLER: Stange länger als Maschine zulässt",IF($F388+$H$6&gt;T388,"FEHLER: Teil länger als Nutzlänge",IF(U388="nein","WARNUNG: kein gültiger Materialpreis",IF($H388="","HINWEIS: Schneidweg fehlt",IF(V388="","HINWEIS: keine Schneiddaten",IF(AND($AF388&lt;&gt;"",$AG388=""),"HINWEIS: Gewinde-Vorschlag prüfen","OK")))))))))))))</f>
        <v/>
      </c>
      <c r="X388" s="18" t="str">
        <f aca="false">IF(OR(O388="",$G388=""),"",O388*$G388)</f>
        <v/>
      </c>
      <c r="Y388" s="10"/>
      <c r="Z388" s="21"/>
      <c r="AA388" s="10"/>
      <c r="AB388" s="21"/>
      <c r="AC388" s="21"/>
      <c r="AD388" s="21"/>
      <c r="AE388" s="10"/>
      <c r="AF388" s="10"/>
      <c r="AG388" s="10"/>
      <c r="AH388" s="22"/>
      <c r="AI388" s="21"/>
      <c r="AJ388" s="22"/>
      <c r="AK388" s="21"/>
      <c r="AL388" s="22"/>
      <c r="AM388" s="21"/>
    </row>
    <row r="389" customFormat="false" ht="15" hidden="false" customHeight="false" outlineLevel="0" collapsed="false">
      <c r="A389" s="10"/>
      <c r="B389" s="10"/>
      <c r="C389" s="10"/>
      <c r="D389" s="10"/>
      <c r="E389" s="10"/>
      <c r="F389" s="21"/>
      <c r="G389" s="19"/>
      <c r="H389" s="21"/>
      <c r="I389" s="22"/>
      <c r="J389" s="19"/>
      <c r="K389" s="23" t="str">
        <f aca="false">IF($D389="","",IFERROR(INDEX(Profile!$B$5:$B$304,MATCH($D389,lst_Profil,0)),""))</f>
        <v/>
      </c>
      <c r="L389" s="13" t="str">
        <f aca="false">IF($D389="","",IFERROR(INDEX(Profile!$K$5:$K$304,MATCH($D389,lst_Profil,0))+0,""))</f>
        <v/>
      </c>
      <c r="M389" s="24" t="str">
        <f aca="false">IF($D389="","",IFERROR(INDEX(Profile!$E$5:$E$304,MATCH($D389,lst_Profil,0))+0,""))</f>
        <v/>
      </c>
      <c r="N389" s="25" t="str">
        <f aca="false">IF(OR(L389="",$E389=""),"",IFERROR(L389*INDEX(Werkstoffe!$E$5:$E$304,MATCH($E389,lst_Werkstoff,0))/1000,""))</f>
        <v/>
      </c>
      <c r="O389" s="25" t="str">
        <f aca="false">IF(OR(N389="",$F389=""),"",N389*$F389/1000)</f>
        <v/>
      </c>
      <c r="P389" s="16" t="str">
        <f aca="false">IF(OR($F389="",$G389=""),"",$F389*$G389)</f>
        <v/>
      </c>
      <c r="Q389" s="16" t="str">
        <f aca="false">IF($D389="","",IF($J389&lt;&gt;"",$J389,$C$9))</f>
        <v/>
      </c>
      <c r="R389" s="12" t="str">
        <f aca="false">IF($D389="","",IFERROR(IF(INDEX(Profile!$G$5:$G$304,MATCH($D389,lst_Profil,0))&lt;&gt;"",INDEX(Profile!$G$5:$G$304,MATCH($D389,lst_Profil,0)),$H$4),$H$4))</f>
        <v/>
      </c>
      <c r="S389" s="12" t="str">
        <f aca="false">IF($D389="","",IFERROR(IF(INDEX(Profile!$H$5:$H$304,MATCH($D389,lst_Profil,0))&lt;&gt;"",INDEX(Profile!$H$5:$H$304,MATCH($D389,lst_Profil,0)),$H$5),$H$5))</f>
        <v/>
      </c>
      <c r="T389" s="16" t="str">
        <f aca="false">IF(OR(Q389="",NOT(ISNUMBER(R389)),NOT(ISNUMBER(S389))),"",Q389-R389-S389)</f>
        <v/>
      </c>
      <c r="U389" s="26" t="str">
        <f aca="false">IF(OR($D389="",$E389=""),"",IF(COUNTIFS(Preise!$A$5:$A$304,$D389,Preise!$B$5:$B$304,$E389,Preise!$I$5:$I$304,"OK")&gt;0,"ja","nein"))</f>
        <v/>
      </c>
      <c r="V389" s="15" t="str">
        <f aca="false">IF(OR(M389="",$E389="",$C$8=""),"",IF(_xlfn.MINIFS(Schneiddaten!$C$5:$C$304,Schneiddaten!$A$5:$A$304,$C$8,Schneiddaten!$B$5:$B$304,$E389,Schneiddaten!$C$5:$C$304,"&gt;="&amp;M389)=0,"",SUMIFS(Schneiddaten!$D$5:$D$304,Schneiddaten!$A$5:$A$304,$C$8,Schneiddaten!$B$5:$B$304,$E389,Schneiddaten!$C$5:$C$304,_xlfn.MINIFS(Schneiddaten!$C$5:$C$304,Schneiddaten!$A$5:$A$304,$C$8,Schneiddaten!$B$5:$B$304,$E389,Schneiddaten!$C$5:$C$304,"&gt;="&amp;M389))))</f>
        <v/>
      </c>
      <c r="W389" s="26" t="str">
        <f aca="false">IF(AND($D389="",$E389="",$F389="",$G389=""),"",IF(ISNA(MATCH($D389,lst_Profil,0)),"FEHLER: Profil unbekannt",IF(ISNA(MATCH($E389,lst_Werkstoff,0)),"FEHLER: Werkstoff unbekannt",IF(NOT(ISNUMBER(L389)),"FEHLER: Querschnitt fehlt (Profil)",IF(OR($F389="",$F389&lt;=0),"FEHLER: Teilelänge fehlt",IF(OR($G389="",$G389&lt;1),"FEHLER: Stückzahl fehlt",IF(NOT(ISNUMBER($H$4)),"FEHLER: Maschine fehlt/unbekannt",IF(Q389&gt;$H$7,"FEHLER: Stange länger als Maschine zulässt",IF($F389+$H$6&gt;T389,"FEHLER: Teil länger als Nutzlänge",IF(U389="nein","WARNUNG: kein gültiger Materialpreis",IF($H389="","HINWEIS: Schneidweg fehlt",IF(V389="","HINWEIS: keine Schneiddaten",IF(AND($AF389&lt;&gt;"",$AG389=""),"HINWEIS: Gewinde-Vorschlag prüfen","OK")))))))))))))</f>
        <v/>
      </c>
      <c r="X389" s="18" t="str">
        <f aca="false">IF(OR(O389="",$G389=""),"",O389*$G389)</f>
        <v/>
      </c>
      <c r="Y389" s="10"/>
      <c r="Z389" s="21"/>
      <c r="AA389" s="10"/>
      <c r="AB389" s="21"/>
      <c r="AC389" s="21"/>
      <c r="AD389" s="21"/>
      <c r="AE389" s="10"/>
      <c r="AF389" s="10"/>
      <c r="AG389" s="10"/>
      <c r="AH389" s="22"/>
      <c r="AI389" s="21"/>
      <c r="AJ389" s="22"/>
      <c r="AK389" s="21"/>
      <c r="AL389" s="22"/>
      <c r="AM389" s="21"/>
    </row>
    <row r="390" customFormat="false" ht="15" hidden="false" customHeight="false" outlineLevel="0" collapsed="false">
      <c r="A390" s="10"/>
      <c r="B390" s="10"/>
      <c r="C390" s="10"/>
      <c r="D390" s="10"/>
      <c r="E390" s="10"/>
      <c r="F390" s="21"/>
      <c r="G390" s="19"/>
      <c r="H390" s="21"/>
      <c r="I390" s="22"/>
      <c r="J390" s="19"/>
      <c r="K390" s="23" t="str">
        <f aca="false">IF($D390="","",IFERROR(INDEX(Profile!$B$5:$B$304,MATCH($D390,lst_Profil,0)),""))</f>
        <v/>
      </c>
      <c r="L390" s="13" t="str">
        <f aca="false">IF($D390="","",IFERROR(INDEX(Profile!$K$5:$K$304,MATCH($D390,lst_Profil,0))+0,""))</f>
        <v/>
      </c>
      <c r="M390" s="24" t="str">
        <f aca="false">IF($D390="","",IFERROR(INDEX(Profile!$E$5:$E$304,MATCH($D390,lst_Profil,0))+0,""))</f>
        <v/>
      </c>
      <c r="N390" s="25" t="str">
        <f aca="false">IF(OR(L390="",$E390=""),"",IFERROR(L390*INDEX(Werkstoffe!$E$5:$E$304,MATCH($E390,lst_Werkstoff,0))/1000,""))</f>
        <v/>
      </c>
      <c r="O390" s="25" t="str">
        <f aca="false">IF(OR(N390="",$F390=""),"",N390*$F390/1000)</f>
        <v/>
      </c>
      <c r="P390" s="16" t="str">
        <f aca="false">IF(OR($F390="",$G390=""),"",$F390*$G390)</f>
        <v/>
      </c>
      <c r="Q390" s="16" t="str">
        <f aca="false">IF($D390="","",IF($J390&lt;&gt;"",$J390,$C$9))</f>
        <v/>
      </c>
      <c r="R390" s="12" t="str">
        <f aca="false">IF($D390="","",IFERROR(IF(INDEX(Profile!$G$5:$G$304,MATCH($D390,lst_Profil,0))&lt;&gt;"",INDEX(Profile!$G$5:$G$304,MATCH($D390,lst_Profil,0)),$H$4),$H$4))</f>
        <v/>
      </c>
      <c r="S390" s="12" t="str">
        <f aca="false">IF($D390="","",IFERROR(IF(INDEX(Profile!$H$5:$H$304,MATCH($D390,lst_Profil,0))&lt;&gt;"",INDEX(Profile!$H$5:$H$304,MATCH($D390,lst_Profil,0)),$H$5),$H$5))</f>
        <v/>
      </c>
      <c r="T390" s="16" t="str">
        <f aca="false">IF(OR(Q390="",NOT(ISNUMBER(R390)),NOT(ISNUMBER(S390))),"",Q390-R390-S390)</f>
        <v/>
      </c>
      <c r="U390" s="26" t="str">
        <f aca="false">IF(OR($D390="",$E390=""),"",IF(COUNTIFS(Preise!$A$5:$A$304,$D390,Preise!$B$5:$B$304,$E390,Preise!$I$5:$I$304,"OK")&gt;0,"ja","nein"))</f>
        <v/>
      </c>
      <c r="V390" s="15" t="str">
        <f aca="false">IF(OR(M390="",$E390="",$C$8=""),"",IF(_xlfn.MINIFS(Schneiddaten!$C$5:$C$304,Schneiddaten!$A$5:$A$304,$C$8,Schneiddaten!$B$5:$B$304,$E390,Schneiddaten!$C$5:$C$304,"&gt;="&amp;M390)=0,"",SUMIFS(Schneiddaten!$D$5:$D$304,Schneiddaten!$A$5:$A$304,$C$8,Schneiddaten!$B$5:$B$304,$E390,Schneiddaten!$C$5:$C$304,_xlfn.MINIFS(Schneiddaten!$C$5:$C$304,Schneiddaten!$A$5:$A$304,$C$8,Schneiddaten!$B$5:$B$304,$E390,Schneiddaten!$C$5:$C$304,"&gt;="&amp;M390))))</f>
        <v/>
      </c>
      <c r="W390" s="26" t="str">
        <f aca="false">IF(AND($D390="",$E390="",$F390="",$G390=""),"",IF(ISNA(MATCH($D390,lst_Profil,0)),"FEHLER: Profil unbekannt",IF(ISNA(MATCH($E390,lst_Werkstoff,0)),"FEHLER: Werkstoff unbekannt",IF(NOT(ISNUMBER(L390)),"FEHLER: Querschnitt fehlt (Profil)",IF(OR($F390="",$F390&lt;=0),"FEHLER: Teilelänge fehlt",IF(OR($G390="",$G390&lt;1),"FEHLER: Stückzahl fehlt",IF(NOT(ISNUMBER($H$4)),"FEHLER: Maschine fehlt/unbekannt",IF(Q390&gt;$H$7,"FEHLER: Stange länger als Maschine zulässt",IF($F390+$H$6&gt;T390,"FEHLER: Teil länger als Nutzlänge",IF(U390="nein","WARNUNG: kein gültiger Materialpreis",IF($H390="","HINWEIS: Schneidweg fehlt",IF(V390="","HINWEIS: keine Schneiddaten",IF(AND($AF390&lt;&gt;"",$AG390=""),"HINWEIS: Gewinde-Vorschlag prüfen","OK")))))))))))))</f>
        <v/>
      </c>
      <c r="X390" s="18" t="str">
        <f aca="false">IF(OR(O390="",$G390=""),"",O390*$G390)</f>
        <v/>
      </c>
      <c r="Y390" s="10"/>
      <c r="Z390" s="21"/>
      <c r="AA390" s="10"/>
      <c r="AB390" s="21"/>
      <c r="AC390" s="21"/>
      <c r="AD390" s="21"/>
      <c r="AE390" s="10"/>
      <c r="AF390" s="10"/>
      <c r="AG390" s="10"/>
      <c r="AH390" s="22"/>
      <c r="AI390" s="21"/>
      <c r="AJ390" s="22"/>
      <c r="AK390" s="21"/>
      <c r="AL390" s="22"/>
      <c r="AM390" s="21"/>
    </row>
    <row r="391" customFormat="false" ht="15" hidden="false" customHeight="false" outlineLevel="0" collapsed="false">
      <c r="A391" s="10"/>
      <c r="B391" s="10"/>
      <c r="C391" s="10"/>
      <c r="D391" s="10"/>
      <c r="E391" s="10"/>
      <c r="F391" s="21"/>
      <c r="G391" s="19"/>
      <c r="H391" s="21"/>
      <c r="I391" s="22"/>
      <c r="J391" s="19"/>
      <c r="K391" s="23" t="str">
        <f aca="false">IF($D391="","",IFERROR(INDEX(Profile!$B$5:$B$304,MATCH($D391,lst_Profil,0)),""))</f>
        <v/>
      </c>
      <c r="L391" s="13" t="str">
        <f aca="false">IF($D391="","",IFERROR(INDEX(Profile!$K$5:$K$304,MATCH($D391,lst_Profil,0))+0,""))</f>
        <v/>
      </c>
      <c r="M391" s="24" t="str">
        <f aca="false">IF($D391="","",IFERROR(INDEX(Profile!$E$5:$E$304,MATCH($D391,lst_Profil,0))+0,""))</f>
        <v/>
      </c>
      <c r="N391" s="25" t="str">
        <f aca="false">IF(OR(L391="",$E391=""),"",IFERROR(L391*INDEX(Werkstoffe!$E$5:$E$304,MATCH($E391,lst_Werkstoff,0))/1000,""))</f>
        <v/>
      </c>
      <c r="O391" s="25" t="str">
        <f aca="false">IF(OR(N391="",$F391=""),"",N391*$F391/1000)</f>
        <v/>
      </c>
      <c r="P391" s="16" t="str">
        <f aca="false">IF(OR($F391="",$G391=""),"",$F391*$G391)</f>
        <v/>
      </c>
      <c r="Q391" s="16" t="str">
        <f aca="false">IF($D391="","",IF($J391&lt;&gt;"",$J391,$C$9))</f>
        <v/>
      </c>
      <c r="R391" s="12" t="str">
        <f aca="false">IF($D391="","",IFERROR(IF(INDEX(Profile!$G$5:$G$304,MATCH($D391,lst_Profil,0))&lt;&gt;"",INDEX(Profile!$G$5:$G$304,MATCH($D391,lst_Profil,0)),$H$4),$H$4))</f>
        <v/>
      </c>
      <c r="S391" s="12" t="str">
        <f aca="false">IF($D391="","",IFERROR(IF(INDEX(Profile!$H$5:$H$304,MATCH($D391,lst_Profil,0))&lt;&gt;"",INDEX(Profile!$H$5:$H$304,MATCH($D391,lst_Profil,0)),$H$5),$H$5))</f>
        <v/>
      </c>
      <c r="T391" s="16" t="str">
        <f aca="false">IF(OR(Q391="",NOT(ISNUMBER(R391)),NOT(ISNUMBER(S391))),"",Q391-R391-S391)</f>
        <v/>
      </c>
      <c r="U391" s="26" t="str">
        <f aca="false">IF(OR($D391="",$E391=""),"",IF(COUNTIFS(Preise!$A$5:$A$304,$D391,Preise!$B$5:$B$304,$E391,Preise!$I$5:$I$304,"OK")&gt;0,"ja","nein"))</f>
        <v/>
      </c>
      <c r="V391" s="15" t="str">
        <f aca="false">IF(OR(M391="",$E391="",$C$8=""),"",IF(_xlfn.MINIFS(Schneiddaten!$C$5:$C$304,Schneiddaten!$A$5:$A$304,$C$8,Schneiddaten!$B$5:$B$304,$E391,Schneiddaten!$C$5:$C$304,"&gt;="&amp;M391)=0,"",SUMIFS(Schneiddaten!$D$5:$D$304,Schneiddaten!$A$5:$A$304,$C$8,Schneiddaten!$B$5:$B$304,$E391,Schneiddaten!$C$5:$C$304,_xlfn.MINIFS(Schneiddaten!$C$5:$C$304,Schneiddaten!$A$5:$A$304,$C$8,Schneiddaten!$B$5:$B$304,$E391,Schneiddaten!$C$5:$C$304,"&gt;="&amp;M391))))</f>
        <v/>
      </c>
      <c r="W391" s="26" t="str">
        <f aca="false">IF(AND($D391="",$E391="",$F391="",$G391=""),"",IF(ISNA(MATCH($D391,lst_Profil,0)),"FEHLER: Profil unbekannt",IF(ISNA(MATCH($E391,lst_Werkstoff,0)),"FEHLER: Werkstoff unbekannt",IF(NOT(ISNUMBER(L391)),"FEHLER: Querschnitt fehlt (Profil)",IF(OR($F391="",$F391&lt;=0),"FEHLER: Teilelänge fehlt",IF(OR($G391="",$G391&lt;1),"FEHLER: Stückzahl fehlt",IF(NOT(ISNUMBER($H$4)),"FEHLER: Maschine fehlt/unbekannt",IF(Q391&gt;$H$7,"FEHLER: Stange länger als Maschine zulässt",IF($F391+$H$6&gt;T391,"FEHLER: Teil länger als Nutzlänge",IF(U391="nein","WARNUNG: kein gültiger Materialpreis",IF($H391="","HINWEIS: Schneidweg fehlt",IF(V391="","HINWEIS: keine Schneiddaten",IF(AND($AF391&lt;&gt;"",$AG391=""),"HINWEIS: Gewinde-Vorschlag prüfen","OK")))))))))))))</f>
        <v/>
      </c>
      <c r="X391" s="18" t="str">
        <f aca="false">IF(OR(O391="",$G391=""),"",O391*$G391)</f>
        <v/>
      </c>
      <c r="Y391" s="10"/>
      <c r="Z391" s="21"/>
      <c r="AA391" s="10"/>
      <c r="AB391" s="21"/>
      <c r="AC391" s="21"/>
      <c r="AD391" s="21"/>
      <c r="AE391" s="10"/>
      <c r="AF391" s="10"/>
      <c r="AG391" s="10"/>
      <c r="AH391" s="22"/>
      <c r="AI391" s="21"/>
      <c r="AJ391" s="22"/>
      <c r="AK391" s="21"/>
      <c r="AL391" s="22"/>
      <c r="AM391" s="21"/>
    </row>
    <row r="392" customFormat="false" ht="15" hidden="false" customHeight="false" outlineLevel="0" collapsed="false">
      <c r="A392" s="10"/>
      <c r="B392" s="10"/>
      <c r="C392" s="10"/>
      <c r="D392" s="10"/>
      <c r="E392" s="10"/>
      <c r="F392" s="21"/>
      <c r="G392" s="19"/>
      <c r="H392" s="21"/>
      <c r="I392" s="22"/>
      <c r="J392" s="19"/>
      <c r="K392" s="23" t="str">
        <f aca="false">IF($D392="","",IFERROR(INDEX(Profile!$B$5:$B$304,MATCH($D392,lst_Profil,0)),""))</f>
        <v/>
      </c>
      <c r="L392" s="13" t="str">
        <f aca="false">IF($D392="","",IFERROR(INDEX(Profile!$K$5:$K$304,MATCH($D392,lst_Profil,0))+0,""))</f>
        <v/>
      </c>
      <c r="M392" s="24" t="str">
        <f aca="false">IF($D392="","",IFERROR(INDEX(Profile!$E$5:$E$304,MATCH($D392,lst_Profil,0))+0,""))</f>
        <v/>
      </c>
      <c r="N392" s="25" t="str">
        <f aca="false">IF(OR(L392="",$E392=""),"",IFERROR(L392*INDEX(Werkstoffe!$E$5:$E$304,MATCH($E392,lst_Werkstoff,0))/1000,""))</f>
        <v/>
      </c>
      <c r="O392" s="25" t="str">
        <f aca="false">IF(OR(N392="",$F392=""),"",N392*$F392/1000)</f>
        <v/>
      </c>
      <c r="P392" s="16" t="str">
        <f aca="false">IF(OR($F392="",$G392=""),"",$F392*$G392)</f>
        <v/>
      </c>
      <c r="Q392" s="16" t="str">
        <f aca="false">IF($D392="","",IF($J392&lt;&gt;"",$J392,$C$9))</f>
        <v/>
      </c>
      <c r="R392" s="12" t="str">
        <f aca="false">IF($D392="","",IFERROR(IF(INDEX(Profile!$G$5:$G$304,MATCH($D392,lst_Profil,0))&lt;&gt;"",INDEX(Profile!$G$5:$G$304,MATCH($D392,lst_Profil,0)),$H$4),$H$4))</f>
        <v/>
      </c>
      <c r="S392" s="12" t="str">
        <f aca="false">IF($D392="","",IFERROR(IF(INDEX(Profile!$H$5:$H$304,MATCH($D392,lst_Profil,0))&lt;&gt;"",INDEX(Profile!$H$5:$H$304,MATCH($D392,lst_Profil,0)),$H$5),$H$5))</f>
        <v/>
      </c>
      <c r="T392" s="16" t="str">
        <f aca="false">IF(OR(Q392="",NOT(ISNUMBER(R392)),NOT(ISNUMBER(S392))),"",Q392-R392-S392)</f>
        <v/>
      </c>
      <c r="U392" s="26" t="str">
        <f aca="false">IF(OR($D392="",$E392=""),"",IF(COUNTIFS(Preise!$A$5:$A$304,$D392,Preise!$B$5:$B$304,$E392,Preise!$I$5:$I$304,"OK")&gt;0,"ja","nein"))</f>
        <v/>
      </c>
      <c r="V392" s="15" t="str">
        <f aca="false">IF(OR(M392="",$E392="",$C$8=""),"",IF(_xlfn.MINIFS(Schneiddaten!$C$5:$C$304,Schneiddaten!$A$5:$A$304,$C$8,Schneiddaten!$B$5:$B$304,$E392,Schneiddaten!$C$5:$C$304,"&gt;="&amp;M392)=0,"",SUMIFS(Schneiddaten!$D$5:$D$304,Schneiddaten!$A$5:$A$304,$C$8,Schneiddaten!$B$5:$B$304,$E392,Schneiddaten!$C$5:$C$304,_xlfn.MINIFS(Schneiddaten!$C$5:$C$304,Schneiddaten!$A$5:$A$304,$C$8,Schneiddaten!$B$5:$B$304,$E392,Schneiddaten!$C$5:$C$304,"&gt;="&amp;M392))))</f>
        <v/>
      </c>
      <c r="W392" s="26" t="str">
        <f aca="false">IF(AND($D392="",$E392="",$F392="",$G392=""),"",IF(ISNA(MATCH($D392,lst_Profil,0)),"FEHLER: Profil unbekannt",IF(ISNA(MATCH($E392,lst_Werkstoff,0)),"FEHLER: Werkstoff unbekannt",IF(NOT(ISNUMBER(L392)),"FEHLER: Querschnitt fehlt (Profil)",IF(OR($F392="",$F392&lt;=0),"FEHLER: Teilelänge fehlt",IF(OR($G392="",$G392&lt;1),"FEHLER: Stückzahl fehlt",IF(NOT(ISNUMBER($H$4)),"FEHLER: Maschine fehlt/unbekannt",IF(Q392&gt;$H$7,"FEHLER: Stange länger als Maschine zulässt",IF($F392+$H$6&gt;T392,"FEHLER: Teil länger als Nutzlänge",IF(U392="nein","WARNUNG: kein gültiger Materialpreis",IF($H392="","HINWEIS: Schneidweg fehlt",IF(V392="","HINWEIS: keine Schneiddaten",IF(AND($AF392&lt;&gt;"",$AG392=""),"HINWEIS: Gewinde-Vorschlag prüfen","OK")))))))))))))</f>
        <v/>
      </c>
      <c r="X392" s="18" t="str">
        <f aca="false">IF(OR(O392="",$G392=""),"",O392*$G392)</f>
        <v/>
      </c>
      <c r="Y392" s="10"/>
      <c r="Z392" s="21"/>
      <c r="AA392" s="10"/>
      <c r="AB392" s="21"/>
      <c r="AC392" s="21"/>
      <c r="AD392" s="21"/>
      <c r="AE392" s="10"/>
      <c r="AF392" s="10"/>
      <c r="AG392" s="10"/>
      <c r="AH392" s="22"/>
      <c r="AI392" s="21"/>
      <c r="AJ392" s="22"/>
      <c r="AK392" s="21"/>
      <c r="AL392" s="22"/>
      <c r="AM392" s="21"/>
    </row>
    <row r="393" customFormat="false" ht="15" hidden="false" customHeight="false" outlineLevel="0" collapsed="false">
      <c r="A393" s="10"/>
      <c r="B393" s="10"/>
      <c r="C393" s="10"/>
      <c r="D393" s="10"/>
      <c r="E393" s="10"/>
      <c r="F393" s="21"/>
      <c r="G393" s="19"/>
      <c r="H393" s="21"/>
      <c r="I393" s="22"/>
      <c r="J393" s="19"/>
      <c r="K393" s="23" t="str">
        <f aca="false">IF($D393="","",IFERROR(INDEX(Profile!$B$5:$B$304,MATCH($D393,lst_Profil,0)),""))</f>
        <v/>
      </c>
      <c r="L393" s="13" t="str">
        <f aca="false">IF($D393="","",IFERROR(INDEX(Profile!$K$5:$K$304,MATCH($D393,lst_Profil,0))+0,""))</f>
        <v/>
      </c>
      <c r="M393" s="24" t="str">
        <f aca="false">IF($D393="","",IFERROR(INDEX(Profile!$E$5:$E$304,MATCH($D393,lst_Profil,0))+0,""))</f>
        <v/>
      </c>
      <c r="N393" s="25" t="str">
        <f aca="false">IF(OR(L393="",$E393=""),"",IFERROR(L393*INDEX(Werkstoffe!$E$5:$E$304,MATCH($E393,lst_Werkstoff,0))/1000,""))</f>
        <v/>
      </c>
      <c r="O393" s="25" t="str">
        <f aca="false">IF(OR(N393="",$F393=""),"",N393*$F393/1000)</f>
        <v/>
      </c>
      <c r="P393" s="16" t="str">
        <f aca="false">IF(OR($F393="",$G393=""),"",$F393*$G393)</f>
        <v/>
      </c>
      <c r="Q393" s="16" t="str">
        <f aca="false">IF($D393="","",IF($J393&lt;&gt;"",$J393,$C$9))</f>
        <v/>
      </c>
      <c r="R393" s="12" t="str">
        <f aca="false">IF($D393="","",IFERROR(IF(INDEX(Profile!$G$5:$G$304,MATCH($D393,lst_Profil,0))&lt;&gt;"",INDEX(Profile!$G$5:$G$304,MATCH($D393,lst_Profil,0)),$H$4),$H$4))</f>
        <v/>
      </c>
      <c r="S393" s="12" t="str">
        <f aca="false">IF($D393="","",IFERROR(IF(INDEX(Profile!$H$5:$H$304,MATCH($D393,lst_Profil,0))&lt;&gt;"",INDEX(Profile!$H$5:$H$304,MATCH($D393,lst_Profil,0)),$H$5),$H$5))</f>
        <v/>
      </c>
      <c r="T393" s="16" t="str">
        <f aca="false">IF(OR(Q393="",NOT(ISNUMBER(R393)),NOT(ISNUMBER(S393))),"",Q393-R393-S393)</f>
        <v/>
      </c>
      <c r="U393" s="26" t="str">
        <f aca="false">IF(OR($D393="",$E393=""),"",IF(COUNTIFS(Preise!$A$5:$A$304,$D393,Preise!$B$5:$B$304,$E393,Preise!$I$5:$I$304,"OK")&gt;0,"ja","nein"))</f>
        <v/>
      </c>
      <c r="V393" s="15" t="str">
        <f aca="false">IF(OR(M393="",$E393="",$C$8=""),"",IF(_xlfn.MINIFS(Schneiddaten!$C$5:$C$304,Schneiddaten!$A$5:$A$304,$C$8,Schneiddaten!$B$5:$B$304,$E393,Schneiddaten!$C$5:$C$304,"&gt;="&amp;M393)=0,"",SUMIFS(Schneiddaten!$D$5:$D$304,Schneiddaten!$A$5:$A$304,$C$8,Schneiddaten!$B$5:$B$304,$E393,Schneiddaten!$C$5:$C$304,_xlfn.MINIFS(Schneiddaten!$C$5:$C$304,Schneiddaten!$A$5:$A$304,$C$8,Schneiddaten!$B$5:$B$304,$E393,Schneiddaten!$C$5:$C$304,"&gt;="&amp;M393))))</f>
        <v/>
      </c>
      <c r="W393" s="26" t="str">
        <f aca="false">IF(AND($D393="",$E393="",$F393="",$G393=""),"",IF(ISNA(MATCH($D393,lst_Profil,0)),"FEHLER: Profil unbekannt",IF(ISNA(MATCH($E393,lst_Werkstoff,0)),"FEHLER: Werkstoff unbekannt",IF(NOT(ISNUMBER(L393)),"FEHLER: Querschnitt fehlt (Profil)",IF(OR($F393="",$F393&lt;=0),"FEHLER: Teilelänge fehlt",IF(OR($G393="",$G393&lt;1),"FEHLER: Stückzahl fehlt",IF(NOT(ISNUMBER($H$4)),"FEHLER: Maschine fehlt/unbekannt",IF(Q393&gt;$H$7,"FEHLER: Stange länger als Maschine zulässt",IF($F393+$H$6&gt;T393,"FEHLER: Teil länger als Nutzlänge",IF(U393="nein","WARNUNG: kein gültiger Materialpreis",IF($H393="","HINWEIS: Schneidweg fehlt",IF(V393="","HINWEIS: keine Schneiddaten",IF(AND($AF393&lt;&gt;"",$AG393=""),"HINWEIS: Gewinde-Vorschlag prüfen","OK")))))))))))))</f>
        <v/>
      </c>
      <c r="X393" s="18" t="str">
        <f aca="false">IF(OR(O393="",$G393=""),"",O393*$G393)</f>
        <v/>
      </c>
      <c r="Y393" s="10"/>
      <c r="Z393" s="21"/>
      <c r="AA393" s="10"/>
      <c r="AB393" s="21"/>
      <c r="AC393" s="21"/>
      <c r="AD393" s="21"/>
      <c r="AE393" s="10"/>
      <c r="AF393" s="10"/>
      <c r="AG393" s="10"/>
      <c r="AH393" s="22"/>
      <c r="AI393" s="21"/>
      <c r="AJ393" s="22"/>
      <c r="AK393" s="21"/>
      <c r="AL393" s="22"/>
      <c r="AM393" s="21"/>
    </row>
    <row r="394" customFormat="false" ht="15" hidden="false" customHeight="false" outlineLevel="0" collapsed="false">
      <c r="A394" s="10"/>
      <c r="B394" s="10"/>
      <c r="C394" s="10"/>
      <c r="D394" s="10"/>
      <c r="E394" s="10"/>
      <c r="F394" s="21"/>
      <c r="G394" s="19"/>
      <c r="H394" s="21"/>
      <c r="I394" s="22"/>
      <c r="J394" s="19"/>
      <c r="K394" s="23" t="str">
        <f aca="false">IF($D394="","",IFERROR(INDEX(Profile!$B$5:$B$304,MATCH($D394,lst_Profil,0)),""))</f>
        <v/>
      </c>
      <c r="L394" s="13" t="str">
        <f aca="false">IF($D394="","",IFERROR(INDEX(Profile!$K$5:$K$304,MATCH($D394,lst_Profil,0))+0,""))</f>
        <v/>
      </c>
      <c r="M394" s="24" t="str">
        <f aca="false">IF($D394="","",IFERROR(INDEX(Profile!$E$5:$E$304,MATCH($D394,lst_Profil,0))+0,""))</f>
        <v/>
      </c>
      <c r="N394" s="25" t="str">
        <f aca="false">IF(OR(L394="",$E394=""),"",IFERROR(L394*INDEX(Werkstoffe!$E$5:$E$304,MATCH($E394,lst_Werkstoff,0))/1000,""))</f>
        <v/>
      </c>
      <c r="O394" s="25" t="str">
        <f aca="false">IF(OR(N394="",$F394=""),"",N394*$F394/1000)</f>
        <v/>
      </c>
      <c r="P394" s="16" t="str">
        <f aca="false">IF(OR($F394="",$G394=""),"",$F394*$G394)</f>
        <v/>
      </c>
      <c r="Q394" s="16" t="str">
        <f aca="false">IF($D394="","",IF($J394&lt;&gt;"",$J394,$C$9))</f>
        <v/>
      </c>
      <c r="R394" s="12" t="str">
        <f aca="false">IF($D394="","",IFERROR(IF(INDEX(Profile!$G$5:$G$304,MATCH($D394,lst_Profil,0))&lt;&gt;"",INDEX(Profile!$G$5:$G$304,MATCH($D394,lst_Profil,0)),$H$4),$H$4))</f>
        <v/>
      </c>
      <c r="S394" s="12" t="str">
        <f aca="false">IF($D394="","",IFERROR(IF(INDEX(Profile!$H$5:$H$304,MATCH($D394,lst_Profil,0))&lt;&gt;"",INDEX(Profile!$H$5:$H$304,MATCH($D394,lst_Profil,0)),$H$5),$H$5))</f>
        <v/>
      </c>
      <c r="T394" s="16" t="str">
        <f aca="false">IF(OR(Q394="",NOT(ISNUMBER(R394)),NOT(ISNUMBER(S394))),"",Q394-R394-S394)</f>
        <v/>
      </c>
      <c r="U394" s="26" t="str">
        <f aca="false">IF(OR($D394="",$E394=""),"",IF(COUNTIFS(Preise!$A$5:$A$304,$D394,Preise!$B$5:$B$304,$E394,Preise!$I$5:$I$304,"OK")&gt;0,"ja","nein"))</f>
        <v/>
      </c>
      <c r="V394" s="15" t="str">
        <f aca="false">IF(OR(M394="",$E394="",$C$8=""),"",IF(_xlfn.MINIFS(Schneiddaten!$C$5:$C$304,Schneiddaten!$A$5:$A$304,$C$8,Schneiddaten!$B$5:$B$304,$E394,Schneiddaten!$C$5:$C$304,"&gt;="&amp;M394)=0,"",SUMIFS(Schneiddaten!$D$5:$D$304,Schneiddaten!$A$5:$A$304,$C$8,Schneiddaten!$B$5:$B$304,$E394,Schneiddaten!$C$5:$C$304,_xlfn.MINIFS(Schneiddaten!$C$5:$C$304,Schneiddaten!$A$5:$A$304,$C$8,Schneiddaten!$B$5:$B$304,$E394,Schneiddaten!$C$5:$C$304,"&gt;="&amp;M394))))</f>
        <v/>
      </c>
      <c r="W394" s="26" t="str">
        <f aca="false">IF(AND($D394="",$E394="",$F394="",$G394=""),"",IF(ISNA(MATCH($D394,lst_Profil,0)),"FEHLER: Profil unbekannt",IF(ISNA(MATCH($E394,lst_Werkstoff,0)),"FEHLER: Werkstoff unbekannt",IF(NOT(ISNUMBER(L394)),"FEHLER: Querschnitt fehlt (Profil)",IF(OR($F394="",$F394&lt;=0),"FEHLER: Teilelänge fehlt",IF(OR($G394="",$G394&lt;1),"FEHLER: Stückzahl fehlt",IF(NOT(ISNUMBER($H$4)),"FEHLER: Maschine fehlt/unbekannt",IF(Q394&gt;$H$7,"FEHLER: Stange länger als Maschine zulässt",IF($F394+$H$6&gt;T394,"FEHLER: Teil länger als Nutzlänge",IF(U394="nein","WARNUNG: kein gültiger Materialpreis",IF($H394="","HINWEIS: Schneidweg fehlt",IF(V394="","HINWEIS: keine Schneiddaten",IF(AND($AF394&lt;&gt;"",$AG394=""),"HINWEIS: Gewinde-Vorschlag prüfen","OK")))))))))))))</f>
        <v/>
      </c>
      <c r="X394" s="18" t="str">
        <f aca="false">IF(OR(O394="",$G394=""),"",O394*$G394)</f>
        <v/>
      </c>
      <c r="Y394" s="10"/>
      <c r="Z394" s="21"/>
      <c r="AA394" s="10"/>
      <c r="AB394" s="21"/>
      <c r="AC394" s="21"/>
      <c r="AD394" s="21"/>
      <c r="AE394" s="10"/>
      <c r="AF394" s="10"/>
      <c r="AG394" s="10"/>
      <c r="AH394" s="22"/>
      <c r="AI394" s="21"/>
      <c r="AJ394" s="22"/>
      <c r="AK394" s="21"/>
      <c r="AL394" s="22"/>
      <c r="AM394" s="21"/>
    </row>
    <row r="395" customFormat="false" ht="15" hidden="false" customHeight="false" outlineLevel="0" collapsed="false">
      <c r="A395" s="10"/>
      <c r="B395" s="10"/>
      <c r="C395" s="10"/>
      <c r="D395" s="10"/>
      <c r="E395" s="10"/>
      <c r="F395" s="21"/>
      <c r="G395" s="19"/>
      <c r="H395" s="21"/>
      <c r="I395" s="22"/>
      <c r="J395" s="19"/>
      <c r="K395" s="23" t="str">
        <f aca="false">IF($D395="","",IFERROR(INDEX(Profile!$B$5:$B$304,MATCH($D395,lst_Profil,0)),""))</f>
        <v/>
      </c>
      <c r="L395" s="13" t="str">
        <f aca="false">IF($D395="","",IFERROR(INDEX(Profile!$K$5:$K$304,MATCH($D395,lst_Profil,0))+0,""))</f>
        <v/>
      </c>
      <c r="M395" s="24" t="str">
        <f aca="false">IF($D395="","",IFERROR(INDEX(Profile!$E$5:$E$304,MATCH($D395,lst_Profil,0))+0,""))</f>
        <v/>
      </c>
      <c r="N395" s="25" t="str">
        <f aca="false">IF(OR(L395="",$E395=""),"",IFERROR(L395*INDEX(Werkstoffe!$E$5:$E$304,MATCH($E395,lst_Werkstoff,0))/1000,""))</f>
        <v/>
      </c>
      <c r="O395" s="25" t="str">
        <f aca="false">IF(OR(N395="",$F395=""),"",N395*$F395/1000)</f>
        <v/>
      </c>
      <c r="P395" s="16" t="str">
        <f aca="false">IF(OR($F395="",$G395=""),"",$F395*$G395)</f>
        <v/>
      </c>
      <c r="Q395" s="16" t="str">
        <f aca="false">IF($D395="","",IF($J395&lt;&gt;"",$J395,$C$9))</f>
        <v/>
      </c>
      <c r="R395" s="12" t="str">
        <f aca="false">IF($D395="","",IFERROR(IF(INDEX(Profile!$G$5:$G$304,MATCH($D395,lst_Profil,0))&lt;&gt;"",INDEX(Profile!$G$5:$G$304,MATCH($D395,lst_Profil,0)),$H$4),$H$4))</f>
        <v/>
      </c>
      <c r="S395" s="12" t="str">
        <f aca="false">IF($D395="","",IFERROR(IF(INDEX(Profile!$H$5:$H$304,MATCH($D395,lst_Profil,0))&lt;&gt;"",INDEX(Profile!$H$5:$H$304,MATCH($D395,lst_Profil,0)),$H$5),$H$5))</f>
        <v/>
      </c>
      <c r="T395" s="16" t="str">
        <f aca="false">IF(OR(Q395="",NOT(ISNUMBER(R395)),NOT(ISNUMBER(S395))),"",Q395-R395-S395)</f>
        <v/>
      </c>
      <c r="U395" s="26" t="str">
        <f aca="false">IF(OR($D395="",$E395=""),"",IF(COUNTIFS(Preise!$A$5:$A$304,$D395,Preise!$B$5:$B$304,$E395,Preise!$I$5:$I$304,"OK")&gt;0,"ja","nein"))</f>
        <v/>
      </c>
      <c r="V395" s="15" t="str">
        <f aca="false">IF(OR(M395="",$E395="",$C$8=""),"",IF(_xlfn.MINIFS(Schneiddaten!$C$5:$C$304,Schneiddaten!$A$5:$A$304,$C$8,Schneiddaten!$B$5:$B$304,$E395,Schneiddaten!$C$5:$C$304,"&gt;="&amp;M395)=0,"",SUMIFS(Schneiddaten!$D$5:$D$304,Schneiddaten!$A$5:$A$304,$C$8,Schneiddaten!$B$5:$B$304,$E395,Schneiddaten!$C$5:$C$304,_xlfn.MINIFS(Schneiddaten!$C$5:$C$304,Schneiddaten!$A$5:$A$304,$C$8,Schneiddaten!$B$5:$B$304,$E395,Schneiddaten!$C$5:$C$304,"&gt;="&amp;M395))))</f>
        <v/>
      </c>
      <c r="W395" s="26" t="str">
        <f aca="false">IF(AND($D395="",$E395="",$F395="",$G395=""),"",IF(ISNA(MATCH($D395,lst_Profil,0)),"FEHLER: Profil unbekannt",IF(ISNA(MATCH($E395,lst_Werkstoff,0)),"FEHLER: Werkstoff unbekannt",IF(NOT(ISNUMBER(L395)),"FEHLER: Querschnitt fehlt (Profil)",IF(OR($F395="",$F395&lt;=0),"FEHLER: Teilelänge fehlt",IF(OR($G395="",$G395&lt;1),"FEHLER: Stückzahl fehlt",IF(NOT(ISNUMBER($H$4)),"FEHLER: Maschine fehlt/unbekannt",IF(Q395&gt;$H$7,"FEHLER: Stange länger als Maschine zulässt",IF($F395+$H$6&gt;T395,"FEHLER: Teil länger als Nutzlänge",IF(U395="nein","WARNUNG: kein gültiger Materialpreis",IF($H395="","HINWEIS: Schneidweg fehlt",IF(V395="","HINWEIS: keine Schneiddaten",IF(AND($AF395&lt;&gt;"",$AG395=""),"HINWEIS: Gewinde-Vorschlag prüfen","OK")))))))))))))</f>
        <v/>
      </c>
      <c r="X395" s="18" t="str">
        <f aca="false">IF(OR(O395="",$G395=""),"",O395*$G395)</f>
        <v/>
      </c>
      <c r="Y395" s="10"/>
      <c r="Z395" s="21"/>
      <c r="AA395" s="10"/>
      <c r="AB395" s="21"/>
      <c r="AC395" s="21"/>
      <c r="AD395" s="21"/>
      <c r="AE395" s="10"/>
      <c r="AF395" s="10"/>
      <c r="AG395" s="10"/>
      <c r="AH395" s="22"/>
      <c r="AI395" s="21"/>
      <c r="AJ395" s="22"/>
      <c r="AK395" s="21"/>
      <c r="AL395" s="22"/>
      <c r="AM395" s="21"/>
    </row>
    <row r="396" customFormat="false" ht="15" hidden="false" customHeight="false" outlineLevel="0" collapsed="false">
      <c r="A396" s="10"/>
      <c r="B396" s="10"/>
      <c r="C396" s="10"/>
      <c r="D396" s="10"/>
      <c r="E396" s="10"/>
      <c r="F396" s="21"/>
      <c r="G396" s="19"/>
      <c r="H396" s="21"/>
      <c r="I396" s="22"/>
      <c r="J396" s="19"/>
      <c r="K396" s="23" t="str">
        <f aca="false">IF($D396="","",IFERROR(INDEX(Profile!$B$5:$B$304,MATCH($D396,lst_Profil,0)),""))</f>
        <v/>
      </c>
      <c r="L396" s="13" t="str">
        <f aca="false">IF($D396="","",IFERROR(INDEX(Profile!$K$5:$K$304,MATCH($D396,lst_Profil,0))+0,""))</f>
        <v/>
      </c>
      <c r="M396" s="24" t="str">
        <f aca="false">IF($D396="","",IFERROR(INDEX(Profile!$E$5:$E$304,MATCH($D396,lst_Profil,0))+0,""))</f>
        <v/>
      </c>
      <c r="N396" s="25" t="str">
        <f aca="false">IF(OR(L396="",$E396=""),"",IFERROR(L396*INDEX(Werkstoffe!$E$5:$E$304,MATCH($E396,lst_Werkstoff,0))/1000,""))</f>
        <v/>
      </c>
      <c r="O396" s="25" t="str">
        <f aca="false">IF(OR(N396="",$F396=""),"",N396*$F396/1000)</f>
        <v/>
      </c>
      <c r="P396" s="16" t="str">
        <f aca="false">IF(OR($F396="",$G396=""),"",$F396*$G396)</f>
        <v/>
      </c>
      <c r="Q396" s="16" t="str">
        <f aca="false">IF($D396="","",IF($J396&lt;&gt;"",$J396,$C$9))</f>
        <v/>
      </c>
      <c r="R396" s="12" t="str">
        <f aca="false">IF($D396="","",IFERROR(IF(INDEX(Profile!$G$5:$G$304,MATCH($D396,lst_Profil,0))&lt;&gt;"",INDEX(Profile!$G$5:$G$304,MATCH($D396,lst_Profil,0)),$H$4),$H$4))</f>
        <v/>
      </c>
      <c r="S396" s="12" t="str">
        <f aca="false">IF($D396="","",IFERROR(IF(INDEX(Profile!$H$5:$H$304,MATCH($D396,lst_Profil,0))&lt;&gt;"",INDEX(Profile!$H$5:$H$304,MATCH($D396,lst_Profil,0)),$H$5),$H$5))</f>
        <v/>
      </c>
      <c r="T396" s="16" t="str">
        <f aca="false">IF(OR(Q396="",NOT(ISNUMBER(R396)),NOT(ISNUMBER(S396))),"",Q396-R396-S396)</f>
        <v/>
      </c>
      <c r="U396" s="26" t="str">
        <f aca="false">IF(OR($D396="",$E396=""),"",IF(COUNTIFS(Preise!$A$5:$A$304,$D396,Preise!$B$5:$B$304,$E396,Preise!$I$5:$I$304,"OK")&gt;0,"ja","nein"))</f>
        <v/>
      </c>
      <c r="V396" s="15" t="str">
        <f aca="false">IF(OR(M396="",$E396="",$C$8=""),"",IF(_xlfn.MINIFS(Schneiddaten!$C$5:$C$304,Schneiddaten!$A$5:$A$304,$C$8,Schneiddaten!$B$5:$B$304,$E396,Schneiddaten!$C$5:$C$304,"&gt;="&amp;M396)=0,"",SUMIFS(Schneiddaten!$D$5:$D$304,Schneiddaten!$A$5:$A$304,$C$8,Schneiddaten!$B$5:$B$304,$E396,Schneiddaten!$C$5:$C$304,_xlfn.MINIFS(Schneiddaten!$C$5:$C$304,Schneiddaten!$A$5:$A$304,$C$8,Schneiddaten!$B$5:$B$304,$E396,Schneiddaten!$C$5:$C$304,"&gt;="&amp;M396))))</f>
        <v/>
      </c>
      <c r="W396" s="26" t="str">
        <f aca="false">IF(AND($D396="",$E396="",$F396="",$G396=""),"",IF(ISNA(MATCH($D396,lst_Profil,0)),"FEHLER: Profil unbekannt",IF(ISNA(MATCH($E396,lst_Werkstoff,0)),"FEHLER: Werkstoff unbekannt",IF(NOT(ISNUMBER(L396)),"FEHLER: Querschnitt fehlt (Profil)",IF(OR($F396="",$F396&lt;=0),"FEHLER: Teilelänge fehlt",IF(OR($G396="",$G396&lt;1),"FEHLER: Stückzahl fehlt",IF(NOT(ISNUMBER($H$4)),"FEHLER: Maschine fehlt/unbekannt",IF(Q396&gt;$H$7,"FEHLER: Stange länger als Maschine zulässt",IF($F396+$H$6&gt;T396,"FEHLER: Teil länger als Nutzlänge",IF(U396="nein","WARNUNG: kein gültiger Materialpreis",IF($H396="","HINWEIS: Schneidweg fehlt",IF(V396="","HINWEIS: keine Schneiddaten",IF(AND($AF396&lt;&gt;"",$AG396=""),"HINWEIS: Gewinde-Vorschlag prüfen","OK")))))))))))))</f>
        <v/>
      </c>
      <c r="X396" s="18" t="str">
        <f aca="false">IF(OR(O396="",$G396=""),"",O396*$G396)</f>
        <v/>
      </c>
      <c r="Y396" s="10"/>
      <c r="Z396" s="21"/>
      <c r="AA396" s="10"/>
      <c r="AB396" s="21"/>
      <c r="AC396" s="21"/>
      <c r="AD396" s="21"/>
      <c r="AE396" s="10"/>
      <c r="AF396" s="10"/>
      <c r="AG396" s="10"/>
      <c r="AH396" s="22"/>
      <c r="AI396" s="21"/>
      <c r="AJ396" s="22"/>
      <c r="AK396" s="21"/>
      <c r="AL396" s="22"/>
      <c r="AM396" s="21"/>
    </row>
    <row r="397" customFormat="false" ht="15" hidden="false" customHeight="false" outlineLevel="0" collapsed="false">
      <c r="A397" s="10"/>
      <c r="B397" s="10"/>
      <c r="C397" s="10"/>
      <c r="D397" s="10"/>
      <c r="E397" s="10"/>
      <c r="F397" s="21"/>
      <c r="G397" s="19"/>
      <c r="H397" s="21"/>
      <c r="I397" s="22"/>
      <c r="J397" s="19"/>
      <c r="K397" s="23" t="str">
        <f aca="false">IF($D397="","",IFERROR(INDEX(Profile!$B$5:$B$304,MATCH($D397,lst_Profil,0)),""))</f>
        <v/>
      </c>
      <c r="L397" s="13" t="str">
        <f aca="false">IF($D397="","",IFERROR(INDEX(Profile!$K$5:$K$304,MATCH($D397,lst_Profil,0))+0,""))</f>
        <v/>
      </c>
      <c r="M397" s="24" t="str">
        <f aca="false">IF($D397="","",IFERROR(INDEX(Profile!$E$5:$E$304,MATCH($D397,lst_Profil,0))+0,""))</f>
        <v/>
      </c>
      <c r="N397" s="25" t="str">
        <f aca="false">IF(OR(L397="",$E397=""),"",IFERROR(L397*INDEX(Werkstoffe!$E$5:$E$304,MATCH($E397,lst_Werkstoff,0))/1000,""))</f>
        <v/>
      </c>
      <c r="O397" s="25" t="str">
        <f aca="false">IF(OR(N397="",$F397=""),"",N397*$F397/1000)</f>
        <v/>
      </c>
      <c r="P397" s="16" t="str">
        <f aca="false">IF(OR($F397="",$G397=""),"",$F397*$G397)</f>
        <v/>
      </c>
      <c r="Q397" s="16" t="str">
        <f aca="false">IF($D397="","",IF($J397&lt;&gt;"",$J397,$C$9))</f>
        <v/>
      </c>
      <c r="R397" s="12" t="str">
        <f aca="false">IF($D397="","",IFERROR(IF(INDEX(Profile!$G$5:$G$304,MATCH($D397,lst_Profil,0))&lt;&gt;"",INDEX(Profile!$G$5:$G$304,MATCH($D397,lst_Profil,0)),$H$4),$H$4))</f>
        <v/>
      </c>
      <c r="S397" s="12" t="str">
        <f aca="false">IF($D397="","",IFERROR(IF(INDEX(Profile!$H$5:$H$304,MATCH($D397,lst_Profil,0))&lt;&gt;"",INDEX(Profile!$H$5:$H$304,MATCH($D397,lst_Profil,0)),$H$5),$H$5))</f>
        <v/>
      </c>
      <c r="T397" s="16" t="str">
        <f aca="false">IF(OR(Q397="",NOT(ISNUMBER(R397)),NOT(ISNUMBER(S397))),"",Q397-R397-S397)</f>
        <v/>
      </c>
      <c r="U397" s="26" t="str">
        <f aca="false">IF(OR($D397="",$E397=""),"",IF(COUNTIFS(Preise!$A$5:$A$304,$D397,Preise!$B$5:$B$304,$E397,Preise!$I$5:$I$304,"OK")&gt;0,"ja","nein"))</f>
        <v/>
      </c>
      <c r="V397" s="15" t="str">
        <f aca="false">IF(OR(M397="",$E397="",$C$8=""),"",IF(_xlfn.MINIFS(Schneiddaten!$C$5:$C$304,Schneiddaten!$A$5:$A$304,$C$8,Schneiddaten!$B$5:$B$304,$E397,Schneiddaten!$C$5:$C$304,"&gt;="&amp;M397)=0,"",SUMIFS(Schneiddaten!$D$5:$D$304,Schneiddaten!$A$5:$A$304,$C$8,Schneiddaten!$B$5:$B$304,$E397,Schneiddaten!$C$5:$C$304,_xlfn.MINIFS(Schneiddaten!$C$5:$C$304,Schneiddaten!$A$5:$A$304,$C$8,Schneiddaten!$B$5:$B$304,$E397,Schneiddaten!$C$5:$C$304,"&gt;="&amp;M397))))</f>
        <v/>
      </c>
      <c r="W397" s="26" t="str">
        <f aca="false">IF(AND($D397="",$E397="",$F397="",$G397=""),"",IF(ISNA(MATCH($D397,lst_Profil,0)),"FEHLER: Profil unbekannt",IF(ISNA(MATCH($E397,lst_Werkstoff,0)),"FEHLER: Werkstoff unbekannt",IF(NOT(ISNUMBER(L397)),"FEHLER: Querschnitt fehlt (Profil)",IF(OR($F397="",$F397&lt;=0),"FEHLER: Teilelänge fehlt",IF(OR($G397="",$G397&lt;1),"FEHLER: Stückzahl fehlt",IF(NOT(ISNUMBER($H$4)),"FEHLER: Maschine fehlt/unbekannt",IF(Q397&gt;$H$7,"FEHLER: Stange länger als Maschine zulässt",IF($F397+$H$6&gt;T397,"FEHLER: Teil länger als Nutzlänge",IF(U397="nein","WARNUNG: kein gültiger Materialpreis",IF($H397="","HINWEIS: Schneidweg fehlt",IF(V397="","HINWEIS: keine Schneiddaten",IF(AND($AF397&lt;&gt;"",$AG397=""),"HINWEIS: Gewinde-Vorschlag prüfen","OK")))))))))))))</f>
        <v/>
      </c>
      <c r="X397" s="18" t="str">
        <f aca="false">IF(OR(O397="",$G397=""),"",O397*$G397)</f>
        <v/>
      </c>
      <c r="Y397" s="10"/>
      <c r="Z397" s="21"/>
      <c r="AA397" s="10"/>
      <c r="AB397" s="21"/>
      <c r="AC397" s="21"/>
      <c r="AD397" s="21"/>
      <c r="AE397" s="10"/>
      <c r="AF397" s="10"/>
      <c r="AG397" s="10"/>
      <c r="AH397" s="22"/>
      <c r="AI397" s="21"/>
      <c r="AJ397" s="22"/>
      <c r="AK397" s="21"/>
      <c r="AL397" s="22"/>
      <c r="AM397" s="21"/>
    </row>
    <row r="398" customFormat="false" ht="15" hidden="false" customHeight="false" outlineLevel="0" collapsed="false">
      <c r="A398" s="10"/>
      <c r="B398" s="10"/>
      <c r="C398" s="10"/>
      <c r="D398" s="10"/>
      <c r="E398" s="10"/>
      <c r="F398" s="21"/>
      <c r="G398" s="19"/>
      <c r="H398" s="21"/>
      <c r="I398" s="22"/>
      <c r="J398" s="19"/>
      <c r="K398" s="23" t="str">
        <f aca="false">IF($D398="","",IFERROR(INDEX(Profile!$B$5:$B$304,MATCH($D398,lst_Profil,0)),""))</f>
        <v/>
      </c>
      <c r="L398" s="13" t="str">
        <f aca="false">IF($D398="","",IFERROR(INDEX(Profile!$K$5:$K$304,MATCH($D398,lst_Profil,0))+0,""))</f>
        <v/>
      </c>
      <c r="M398" s="24" t="str">
        <f aca="false">IF($D398="","",IFERROR(INDEX(Profile!$E$5:$E$304,MATCH($D398,lst_Profil,0))+0,""))</f>
        <v/>
      </c>
      <c r="N398" s="25" t="str">
        <f aca="false">IF(OR(L398="",$E398=""),"",IFERROR(L398*INDEX(Werkstoffe!$E$5:$E$304,MATCH($E398,lst_Werkstoff,0))/1000,""))</f>
        <v/>
      </c>
      <c r="O398" s="25" t="str">
        <f aca="false">IF(OR(N398="",$F398=""),"",N398*$F398/1000)</f>
        <v/>
      </c>
      <c r="P398" s="16" t="str">
        <f aca="false">IF(OR($F398="",$G398=""),"",$F398*$G398)</f>
        <v/>
      </c>
      <c r="Q398" s="16" t="str">
        <f aca="false">IF($D398="","",IF($J398&lt;&gt;"",$J398,$C$9))</f>
        <v/>
      </c>
      <c r="R398" s="12" t="str">
        <f aca="false">IF($D398="","",IFERROR(IF(INDEX(Profile!$G$5:$G$304,MATCH($D398,lst_Profil,0))&lt;&gt;"",INDEX(Profile!$G$5:$G$304,MATCH($D398,lst_Profil,0)),$H$4),$H$4))</f>
        <v/>
      </c>
      <c r="S398" s="12" t="str">
        <f aca="false">IF($D398="","",IFERROR(IF(INDEX(Profile!$H$5:$H$304,MATCH($D398,lst_Profil,0))&lt;&gt;"",INDEX(Profile!$H$5:$H$304,MATCH($D398,lst_Profil,0)),$H$5),$H$5))</f>
        <v/>
      </c>
      <c r="T398" s="16" t="str">
        <f aca="false">IF(OR(Q398="",NOT(ISNUMBER(R398)),NOT(ISNUMBER(S398))),"",Q398-R398-S398)</f>
        <v/>
      </c>
      <c r="U398" s="26" t="str">
        <f aca="false">IF(OR($D398="",$E398=""),"",IF(COUNTIFS(Preise!$A$5:$A$304,$D398,Preise!$B$5:$B$304,$E398,Preise!$I$5:$I$304,"OK")&gt;0,"ja","nein"))</f>
        <v/>
      </c>
      <c r="V398" s="15" t="str">
        <f aca="false">IF(OR(M398="",$E398="",$C$8=""),"",IF(_xlfn.MINIFS(Schneiddaten!$C$5:$C$304,Schneiddaten!$A$5:$A$304,$C$8,Schneiddaten!$B$5:$B$304,$E398,Schneiddaten!$C$5:$C$304,"&gt;="&amp;M398)=0,"",SUMIFS(Schneiddaten!$D$5:$D$304,Schneiddaten!$A$5:$A$304,$C$8,Schneiddaten!$B$5:$B$304,$E398,Schneiddaten!$C$5:$C$304,_xlfn.MINIFS(Schneiddaten!$C$5:$C$304,Schneiddaten!$A$5:$A$304,$C$8,Schneiddaten!$B$5:$B$304,$E398,Schneiddaten!$C$5:$C$304,"&gt;="&amp;M398))))</f>
        <v/>
      </c>
      <c r="W398" s="26" t="str">
        <f aca="false">IF(AND($D398="",$E398="",$F398="",$G398=""),"",IF(ISNA(MATCH($D398,lst_Profil,0)),"FEHLER: Profil unbekannt",IF(ISNA(MATCH($E398,lst_Werkstoff,0)),"FEHLER: Werkstoff unbekannt",IF(NOT(ISNUMBER(L398)),"FEHLER: Querschnitt fehlt (Profil)",IF(OR($F398="",$F398&lt;=0),"FEHLER: Teilelänge fehlt",IF(OR($G398="",$G398&lt;1),"FEHLER: Stückzahl fehlt",IF(NOT(ISNUMBER($H$4)),"FEHLER: Maschine fehlt/unbekannt",IF(Q398&gt;$H$7,"FEHLER: Stange länger als Maschine zulässt",IF($F398+$H$6&gt;T398,"FEHLER: Teil länger als Nutzlänge",IF(U398="nein","WARNUNG: kein gültiger Materialpreis",IF($H398="","HINWEIS: Schneidweg fehlt",IF(V398="","HINWEIS: keine Schneiddaten",IF(AND($AF398&lt;&gt;"",$AG398=""),"HINWEIS: Gewinde-Vorschlag prüfen","OK")))))))))))))</f>
        <v/>
      </c>
      <c r="X398" s="18" t="str">
        <f aca="false">IF(OR(O398="",$G398=""),"",O398*$G398)</f>
        <v/>
      </c>
      <c r="Y398" s="10"/>
      <c r="Z398" s="21"/>
      <c r="AA398" s="10"/>
      <c r="AB398" s="21"/>
      <c r="AC398" s="21"/>
      <c r="AD398" s="21"/>
      <c r="AE398" s="10"/>
      <c r="AF398" s="10"/>
      <c r="AG398" s="10"/>
      <c r="AH398" s="22"/>
      <c r="AI398" s="21"/>
      <c r="AJ398" s="22"/>
      <c r="AK398" s="21"/>
      <c r="AL398" s="22"/>
      <c r="AM398" s="21"/>
    </row>
    <row r="399" customFormat="false" ht="15" hidden="false" customHeight="false" outlineLevel="0" collapsed="false">
      <c r="A399" s="10"/>
      <c r="B399" s="10"/>
      <c r="C399" s="10"/>
      <c r="D399" s="10"/>
      <c r="E399" s="10"/>
      <c r="F399" s="21"/>
      <c r="G399" s="19"/>
      <c r="H399" s="21"/>
      <c r="I399" s="22"/>
      <c r="J399" s="19"/>
      <c r="K399" s="23" t="str">
        <f aca="false">IF($D399="","",IFERROR(INDEX(Profile!$B$5:$B$304,MATCH($D399,lst_Profil,0)),""))</f>
        <v/>
      </c>
      <c r="L399" s="13" t="str">
        <f aca="false">IF($D399="","",IFERROR(INDEX(Profile!$K$5:$K$304,MATCH($D399,lst_Profil,0))+0,""))</f>
        <v/>
      </c>
      <c r="M399" s="24" t="str">
        <f aca="false">IF($D399="","",IFERROR(INDEX(Profile!$E$5:$E$304,MATCH($D399,lst_Profil,0))+0,""))</f>
        <v/>
      </c>
      <c r="N399" s="25" t="str">
        <f aca="false">IF(OR(L399="",$E399=""),"",IFERROR(L399*INDEX(Werkstoffe!$E$5:$E$304,MATCH($E399,lst_Werkstoff,0))/1000,""))</f>
        <v/>
      </c>
      <c r="O399" s="25" t="str">
        <f aca="false">IF(OR(N399="",$F399=""),"",N399*$F399/1000)</f>
        <v/>
      </c>
      <c r="P399" s="16" t="str">
        <f aca="false">IF(OR($F399="",$G399=""),"",$F399*$G399)</f>
        <v/>
      </c>
      <c r="Q399" s="16" t="str">
        <f aca="false">IF($D399="","",IF($J399&lt;&gt;"",$J399,$C$9))</f>
        <v/>
      </c>
      <c r="R399" s="12" t="str">
        <f aca="false">IF($D399="","",IFERROR(IF(INDEX(Profile!$G$5:$G$304,MATCH($D399,lst_Profil,0))&lt;&gt;"",INDEX(Profile!$G$5:$G$304,MATCH($D399,lst_Profil,0)),$H$4),$H$4))</f>
        <v/>
      </c>
      <c r="S399" s="12" t="str">
        <f aca="false">IF($D399="","",IFERROR(IF(INDEX(Profile!$H$5:$H$304,MATCH($D399,lst_Profil,0))&lt;&gt;"",INDEX(Profile!$H$5:$H$304,MATCH($D399,lst_Profil,0)),$H$5),$H$5))</f>
        <v/>
      </c>
      <c r="T399" s="16" t="str">
        <f aca="false">IF(OR(Q399="",NOT(ISNUMBER(R399)),NOT(ISNUMBER(S399))),"",Q399-R399-S399)</f>
        <v/>
      </c>
      <c r="U399" s="26" t="str">
        <f aca="false">IF(OR($D399="",$E399=""),"",IF(COUNTIFS(Preise!$A$5:$A$304,$D399,Preise!$B$5:$B$304,$E399,Preise!$I$5:$I$304,"OK")&gt;0,"ja","nein"))</f>
        <v/>
      </c>
      <c r="V399" s="15" t="str">
        <f aca="false">IF(OR(M399="",$E399="",$C$8=""),"",IF(_xlfn.MINIFS(Schneiddaten!$C$5:$C$304,Schneiddaten!$A$5:$A$304,$C$8,Schneiddaten!$B$5:$B$304,$E399,Schneiddaten!$C$5:$C$304,"&gt;="&amp;M399)=0,"",SUMIFS(Schneiddaten!$D$5:$D$304,Schneiddaten!$A$5:$A$304,$C$8,Schneiddaten!$B$5:$B$304,$E399,Schneiddaten!$C$5:$C$304,_xlfn.MINIFS(Schneiddaten!$C$5:$C$304,Schneiddaten!$A$5:$A$304,$C$8,Schneiddaten!$B$5:$B$304,$E399,Schneiddaten!$C$5:$C$304,"&gt;="&amp;M399))))</f>
        <v/>
      </c>
      <c r="W399" s="26" t="str">
        <f aca="false">IF(AND($D399="",$E399="",$F399="",$G399=""),"",IF(ISNA(MATCH($D399,lst_Profil,0)),"FEHLER: Profil unbekannt",IF(ISNA(MATCH($E399,lst_Werkstoff,0)),"FEHLER: Werkstoff unbekannt",IF(NOT(ISNUMBER(L399)),"FEHLER: Querschnitt fehlt (Profil)",IF(OR($F399="",$F399&lt;=0),"FEHLER: Teilelänge fehlt",IF(OR($G399="",$G399&lt;1),"FEHLER: Stückzahl fehlt",IF(NOT(ISNUMBER($H$4)),"FEHLER: Maschine fehlt/unbekannt",IF(Q399&gt;$H$7,"FEHLER: Stange länger als Maschine zulässt",IF($F399+$H$6&gt;T399,"FEHLER: Teil länger als Nutzlänge",IF(U399="nein","WARNUNG: kein gültiger Materialpreis",IF($H399="","HINWEIS: Schneidweg fehlt",IF(V399="","HINWEIS: keine Schneiddaten",IF(AND($AF399&lt;&gt;"",$AG399=""),"HINWEIS: Gewinde-Vorschlag prüfen","OK")))))))))))))</f>
        <v/>
      </c>
      <c r="X399" s="18" t="str">
        <f aca="false">IF(OR(O399="",$G399=""),"",O399*$G399)</f>
        <v/>
      </c>
      <c r="Y399" s="10"/>
      <c r="Z399" s="21"/>
      <c r="AA399" s="10"/>
      <c r="AB399" s="21"/>
      <c r="AC399" s="21"/>
      <c r="AD399" s="21"/>
      <c r="AE399" s="10"/>
      <c r="AF399" s="10"/>
      <c r="AG399" s="10"/>
      <c r="AH399" s="22"/>
      <c r="AI399" s="21"/>
      <c r="AJ399" s="22"/>
      <c r="AK399" s="21"/>
      <c r="AL399" s="22"/>
      <c r="AM399" s="21"/>
    </row>
    <row r="400" customFormat="false" ht="15" hidden="false" customHeight="false" outlineLevel="0" collapsed="false">
      <c r="A400" s="10"/>
      <c r="B400" s="10"/>
      <c r="C400" s="10"/>
      <c r="D400" s="10"/>
      <c r="E400" s="10"/>
      <c r="F400" s="21"/>
      <c r="G400" s="19"/>
      <c r="H400" s="21"/>
      <c r="I400" s="22"/>
      <c r="J400" s="19"/>
      <c r="K400" s="23" t="str">
        <f aca="false">IF($D400="","",IFERROR(INDEX(Profile!$B$5:$B$304,MATCH($D400,lst_Profil,0)),""))</f>
        <v/>
      </c>
      <c r="L400" s="13" t="str">
        <f aca="false">IF($D400="","",IFERROR(INDEX(Profile!$K$5:$K$304,MATCH($D400,lst_Profil,0))+0,""))</f>
        <v/>
      </c>
      <c r="M400" s="24" t="str">
        <f aca="false">IF($D400="","",IFERROR(INDEX(Profile!$E$5:$E$304,MATCH($D400,lst_Profil,0))+0,""))</f>
        <v/>
      </c>
      <c r="N400" s="25" t="str">
        <f aca="false">IF(OR(L400="",$E400=""),"",IFERROR(L400*INDEX(Werkstoffe!$E$5:$E$304,MATCH($E400,lst_Werkstoff,0))/1000,""))</f>
        <v/>
      </c>
      <c r="O400" s="25" t="str">
        <f aca="false">IF(OR(N400="",$F400=""),"",N400*$F400/1000)</f>
        <v/>
      </c>
      <c r="P400" s="16" t="str">
        <f aca="false">IF(OR($F400="",$G400=""),"",$F400*$G400)</f>
        <v/>
      </c>
      <c r="Q400" s="16" t="str">
        <f aca="false">IF($D400="","",IF($J400&lt;&gt;"",$J400,$C$9))</f>
        <v/>
      </c>
      <c r="R400" s="12" t="str">
        <f aca="false">IF($D400="","",IFERROR(IF(INDEX(Profile!$G$5:$G$304,MATCH($D400,lst_Profil,0))&lt;&gt;"",INDEX(Profile!$G$5:$G$304,MATCH($D400,lst_Profil,0)),$H$4),$H$4))</f>
        <v/>
      </c>
      <c r="S400" s="12" t="str">
        <f aca="false">IF($D400="","",IFERROR(IF(INDEX(Profile!$H$5:$H$304,MATCH($D400,lst_Profil,0))&lt;&gt;"",INDEX(Profile!$H$5:$H$304,MATCH($D400,lst_Profil,0)),$H$5),$H$5))</f>
        <v/>
      </c>
      <c r="T400" s="16" t="str">
        <f aca="false">IF(OR(Q400="",NOT(ISNUMBER(R400)),NOT(ISNUMBER(S400))),"",Q400-R400-S400)</f>
        <v/>
      </c>
      <c r="U400" s="26" t="str">
        <f aca="false">IF(OR($D400="",$E400=""),"",IF(COUNTIFS(Preise!$A$5:$A$304,$D400,Preise!$B$5:$B$304,$E400,Preise!$I$5:$I$304,"OK")&gt;0,"ja","nein"))</f>
        <v/>
      </c>
      <c r="V400" s="15" t="str">
        <f aca="false">IF(OR(M400="",$E400="",$C$8=""),"",IF(_xlfn.MINIFS(Schneiddaten!$C$5:$C$304,Schneiddaten!$A$5:$A$304,$C$8,Schneiddaten!$B$5:$B$304,$E400,Schneiddaten!$C$5:$C$304,"&gt;="&amp;M400)=0,"",SUMIFS(Schneiddaten!$D$5:$D$304,Schneiddaten!$A$5:$A$304,$C$8,Schneiddaten!$B$5:$B$304,$E400,Schneiddaten!$C$5:$C$304,_xlfn.MINIFS(Schneiddaten!$C$5:$C$304,Schneiddaten!$A$5:$A$304,$C$8,Schneiddaten!$B$5:$B$304,$E400,Schneiddaten!$C$5:$C$304,"&gt;="&amp;M400))))</f>
        <v/>
      </c>
      <c r="W400" s="26" t="str">
        <f aca="false">IF(AND($D400="",$E400="",$F400="",$G400=""),"",IF(ISNA(MATCH($D400,lst_Profil,0)),"FEHLER: Profil unbekannt",IF(ISNA(MATCH($E400,lst_Werkstoff,0)),"FEHLER: Werkstoff unbekannt",IF(NOT(ISNUMBER(L400)),"FEHLER: Querschnitt fehlt (Profil)",IF(OR($F400="",$F400&lt;=0),"FEHLER: Teilelänge fehlt",IF(OR($G400="",$G400&lt;1),"FEHLER: Stückzahl fehlt",IF(NOT(ISNUMBER($H$4)),"FEHLER: Maschine fehlt/unbekannt",IF(Q400&gt;$H$7,"FEHLER: Stange länger als Maschine zulässt",IF($F400+$H$6&gt;T400,"FEHLER: Teil länger als Nutzlänge",IF(U400="nein","WARNUNG: kein gültiger Materialpreis",IF($H400="","HINWEIS: Schneidweg fehlt",IF(V400="","HINWEIS: keine Schneiddaten",IF(AND($AF400&lt;&gt;"",$AG400=""),"HINWEIS: Gewinde-Vorschlag prüfen","OK")))))))))))))</f>
        <v/>
      </c>
      <c r="X400" s="18" t="str">
        <f aca="false">IF(OR(O400="",$G400=""),"",O400*$G400)</f>
        <v/>
      </c>
      <c r="Y400" s="10"/>
      <c r="Z400" s="21"/>
      <c r="AA400" s="10"/>
      <c r="AB400" s="21"/>
      <c r="AC400" s="21"/>
      <c r="AD400" s="21"/>
      <c r="AE400" s="10"/>
      <c r="AF400" s="10"/>
      <c r="AG400" s="10"/>
      <c r="AH400" s="22"/>
      <c r="AI400" s="21"/>
      <c r="AJ400" s="22"/>
      <c r="AK400" s="21"/>
      <c r="AL400" s="22"/>
      <c r="AM400" s="21"/>
    </row>
    <row r="401" customFormat="false" ht="15" hidden="false" customHeight="false" outlineLevel="0" collapsed="false">
      <c r="A401" s="10"/>
      <c r="B401" s="10"/>
      <c r="C401" s="10"/>
      <c r="D401" s="10"/>
      <c r="E401" s="10"/>
      <c r="F401" s="21"/>
      <c r="G401" s="19"/>
      <c r="H401" s="21"/>
      <c r="I401" s="22"/>
      <c r="J401" s="19"/>
      <c r="K401" s="23" t="str">
        <f aca="false">IF($D401="","",IFERROR(INDEX(Profile!$B$5:$B$304,MATCH($D401,lst_Profil,0)),""))</f>
        <v/>
      </c>
      <c r="L401" s="13" t="str">
        <f aca="false">IF($D401="","",IFERROR(INDEX(Profile!$K$5:$K$304,MATCH($D401,lst_Profil,0))+0,""))</f>
        <v/>
      </c>
      <c r="M401" s="24" t="str">
        <f aca="false">IF($D401="","",IFERROR(INDEX(Profile!$E$5:$E$304,MATCH($D401,lst_Profil,0))+0,""))</f>
        <v/>
      </c>
      <c r="N401" s="25" t="str">
        <f aca="false">IF(OR(L401="",$E401=""),"",IFERROR(L401*INDEX(Werkstoffe!$E$5:$E$304,MATCH($E401,lst_Werkstoff,0))/1000,""))</f>
        <v/>
      </c>
      <c r="O401" s="25" t="str">
        <f aca="false">IF(OR(N401="",$F401=""),"",N401*$F401/1000)</f>
        <v/>
      </c>
      <c r="P401" s="16" t="str">
        <f aca="false">IF(OR($F401="",$G401=""),"",$F401*$G401)</f>
        <v/>
      </c>
      <c r="Q401" s="16" t="str">
        <f aca="false">IF($D401="","",IF($J401&lt;&gt;"",$J401,$C$9))</f>
        <v/>
      </c>
      <c r="R401" s="12" t="str">
        <f aca="false">IF($D401="","",IFERROR(IF(INDEX(Profile!$G$5:$G$304,MATCH($D401,lst_Profil,0))&lt;&gt;"",INDEX(Profile!$G$5:$G$304,MATCH($D401,lst_Profil,0)),$H$4),$H$4))</f>
        <v/>
      </c>
      <c r="S401" s="12" t="str">
        <f aca="false">IF($D401="","",IFERROR(IF(INDEX(Profile!$H$5:$H$304,MATCH($D401,lst_Profil,0))&lt;&gt;"",INDEX(Profile!$H$5:$H$304,MATCH($D401,lst_Profil,0)),$H$5),$H$5))</f>
        <v/>
      </c>
      <c r="T401" s="16" t="str">
        <f aca="false">IF(OR(Q401="",NOT(ISNUMBER(R401)),NOT(ISNUMBER(S401))),"",Q401-R401-S401)</f>
        <v/>
      </c>
      <c r="U401" s="26" t="str">
        <f aca="false">IF(OR($D401="",$E401=""),"",IF(COUNTIFS(Preise!$A$5:$A$304,$D401,Preise!$B$5:$B$304,$E401,Preise!$I$5:$I$304,"OK")&gt;0,"ja","nein"))</f>
        <v/>
      </c>
      <c r="V401" s="15" t="str">
        <f aca="false">IF(OR(M401="",$E401="",$C$8=""),"",IF(_xlfn.MINIFS(Schneiddaten!$C$5:$C$304,Schneiddaten!$A$5:$A$304,$C$8,Schneiddaten!$B$5:$B$304,$E401,Schneiddaten!$C$5:$C$304,"&gt;="&amp;M401)=0,"",SUMIFS(Schneiddaten!$D$5:$D$304,Schneiddaten!$A$5:$A$304,$C$8,Schneiddaten!$B$5:$B$304,$E401,Schneiddaten!$C$5:$C$304,_xlfn.MINIFS(Schneiddaten!$C$5:$C$304,Schneiddaten!$A$5:$A$304,$C$8,Schneiddaten!$B$5:$B$304,$E401,Schneiddaten!$C$5:$C$304,"&gt;="&amp;M401))))</f>
        <v/>
      </c>
      <c r="W401" s="26" t="str">
        <f aca="false">IF(AND($D401="",$E401="",$F401="",$G401=""),"",IF(ISNA(MATCH($D401,lst_Profil,0)),"FEHLER: Profil unbekannt",IF(ISNA(MATCH($E401,lst_Werkstoff,0)),"FEHLER: Werkstoff unbekannt",IF(NOT(ISNUMBER(L401)),"FEHLER: Querschnitt fehlt (Profil)",IF(OR($F401="",$F401&lt;=0),"FEHLER: Teilelänge fehlt",IF(OR($G401="",$G401&lt;1),"FEHLER: Stückzahl fehlt",IF(NOT(ISNUMBER($H$4)),"FEHLER: Maschine fehlt/unbekannt",IF(Q401&gt;$H$7,"FEHLER: Stange länger als Maschine zulässt",IF($F401+$H$6&gt;T401,"FEHLER: Teil länger als Nutzlänge",IF(U401="nein","WARNUNG: kein gültiger Materialpreis",IF($H401="","HINWEIS: Schneidweg fehlt",IF(V401="","HINWEIS: keine Schneiddaten",IF(AND($AF401&lt;&gt;"",$AG401=""),"HINWEIS: Gewinde-Vorschlag prüfen","OK")))))))))))))</f>
        <v/>
      </c>
      <c r="X401" s="18" t="str">
        <f aca="false">IF(OR(O401="",$G401=""),"",O401*$G401)</f>
        <v/>
      </c>
      <c r="Y401" s="10"/>
      <c r="Z401" s="21"/>
      <c r="AA401" s="10"/>
      <c r="AB401" s="21"/>
      <c r="AC401" s="21"/>
      <c r="AD401" s="21"/>
      <c r="AE401" s="10"/>
      <c r="AF401" s="10"/>
      <c r="AG401" s="10"/>
      <c r="AH401" s="22"/>
      <c r="AI401" s="21"/>
      <c r="AJ401" s="22"/>
      <c r="AK401" s="21"/>
      <c r="AL401" s="22"/>
      <c r="AM401" s="21"/>
    </row>
    <row r="402" customFormat="false" ht="15" hidden="false" customHeight="false" outlineLevel="0" collapsed="false">
      <c r="A402" s="10"/>
      <c r="B402" s="10"/>
      <c r="C402" s="10"/>
      <c r="D402" s="10"/>
      <c r="E402" s="10"/>
      <c r="F402" s="21"/>
      <c r="G402" s="19"/>
      <c r="H402" s="21"/>
      <c r="I402" s="22"/>
      <c r="J402" s="19"/>
      <c r="K402" s="23" t="str">
        <f aca="false">IF($D402="","",IFERROR(INDEX(Profile!$B$5:$B$304,MATCH($D402,lst_Profil,0)),""))</f>
        <v/>
      </c>
      <c r="L402" s="13" t="str">
        <f aca="false">IF($D402="","",IFERROR(INDEX(Profile!$K$5:$K$304,MATCH($D402,lst_Profil,0))+0,""))</f>
        <v/>
      </c>
      <c r="M402" s="24" t="str">
        <f aca="false">IF($D402="","",IFERROR(INDEX(Profile!$E$5:$E$304,MATCH($D402,lst_Profil,0))+0,""))</f>
        <v/>
      </c>
      <c r="N402" s="25" t="str">
        <f aca="false">IF(OR(L402="",$E402=""),"",IFERROR(L402*INDEX(Werkstoffe!$E$5:$E$304,MATCH($E402,lst_Werkstoff,0))/1000,""))</f>
        <v/>
      </c>
      <c r="O402" s="25" t="str">
        <f aca="false">IF(OR(N402="",$F402=""),"",N402*$F402/1000)</f>
        <v/>
      </c>
      <c r="P402" s="16" t="str">
        <f aca="false">IF(OR($F402="",$G402=""),"",$F402*$G402)</f>
        <v/>
      </c>
      <c r="Q402" s="16" t="str">
        <f aca="false">IF($D402="","",IF($J402&lt;&gt;"",$J402,$C$9))</f>
        <v/>
      </c>
      <c r="R402" s="12" t="str">
        <f aca="false">IF($D402="","",IFERROR(IF(INDEX(Profile!$G$5:$G$304,MATCH($D402,lst_Profil,0))&lt;&gt;"",INDEX(Profile!$G$5:$G$304,MATCH($D402,lst_Profil,0)),$H$4),$H$4))</f>
        <v/>
      </c>
      <c r="S402" s="12" t="str">
        <f aca="false">IF($D402="","",IFERROR(IF(INDEX(Profile!$H$5:$H$304,MATCH($D402,lst_Profil,0))&lt;&gt;"",INDEX(Profile!$H$5:$H$304,MATCH($D402,lst_Profil,0)),$H$5),$H$5))</f>
        <v/>
      </c>
      <c r="T402" s="16" t="str">
        <f aca="false">IF(OR(Q402="",NOT(ISNUMBER(R402)),NOT(ISNUMBER(S402))),"",Q402-R402-S402)</f>
        <v/>
      </c>
      <c r="U402" s="26" t="str">
        <f aca="false">IF(OR($D402="",$E402=""),"",IF(COUNTIFS(Preise!$A$5:$A$304,$D402,Preise!$B$5:$B$304,$E402,Preise!$I$5:$I$304,"OK")&gt;0,"ja","nein"))</f>
        <v/>
      </c>
      <c r="V402" s="15" t="str">
        <f aca="false">IF(OR(M402="",$E402="",$C$8=""),"",IF(_xlfn.MINIFS(Schneiddaten!$C$5:$C$304,Schneiddaten!$A$5:$A$304,$C$8,Schneiddaten!$B$5:$B$304,$E402,Schneiddaten!$C$5:$C$304,"&gt;="&amp;M402)=0,"",SUMIFS(Schneiddaten!$D$5:$D$304,Schneiddaten!$A$5:$A$304,$C$8,Schneiddaten!$B$5:$B$304,$E402,Schneiddaten!$C$5:$C$304,_xlfn.MINIFS(Schneiddaten!$C$5:$C$304,Schneiddaten!$A$5:$A$304,$C$8,Schneiddaten!$B$5:$B$304,$E402,Schneiddaten!$C$5:$C$304,"&gt;="&amp;M402))))</f>
        <v/>
      </c>
      <c r="W402" s="26" t="str">
        <f aca="false">IF(AND($D402="",$E402="",$F402="",$G402=""),"",IF(ISNA(MATCH($D402,lst_Profil,0)),"FEHLER: Profil unbekannt",IF(ISNA(MATCH($E402,lst_Werkstoff,0)),"FEHLER: Werkstoff unbekannt",IF(NOT(ISNUMBER(L402)),"FEHLER: Querschnitt fehlt (Profil)",IF(OR($F402="",$F402&lt;=0),"FEHLER: Teilelänge fehlt",IF(OR($G402="",$G402&lt;1),"FEHLER: Stückzahl fehlt",IF(NOT(ISNUMBER($H$4)),"FEHLER: Maschine fehlt/unbekannt",IF(Q402&gt;$H$7,"FEHLER: Stange länger als Maschine zulässt",IF($F402+$H$6&gt;T402,"FEHLER: Teil länger als Nutzlänge",IF(U402="nein","WARNUNG: kein gültiger Materialpreis",IF($H402="","HINWEIS: Schneidweg fehlt",IF(V402="","HINWEIS: keine Schneiddaten",IF(AND($AF402&lt;&gt;"",$AG402=""),"HINWEIS: Gewinde-Vorschlag prüfen","OK")))))))))))))</f>
        <v/>
      </c>
      <c r="X402" s="18" t="str">
        <f aca="false">IF(OR(O402="",$G402=""),"",O402*$G402)</f>
        <v/>
      </c>
      <c r="Y402" s="10"/>
      <c r="Z402" s="21"/>
      <c r="AA402" s="10"/>
      <c r="AB402" s="21"/>
      <c r="AC402" s="21"/>
      <c r="AD402" s="21"/>
      <c r="AE402" s="10"/>
      <c r="AF402" s="10"/>
      <c r="AG402" s="10"/>
      <c r="AH402" s="22"/>
      <c r="AI402" s="21"/>
      <c r="AJ402" s="22"/>
      <c r="AK402" s="21"/>
      <c r="AL402" s="22"/>
      <c r="AM402" s="21"/>
    </row>
    <row r="403" customFormat="false" ht="15" hidden="false" customHeight="false" outlineLevel="0" collapsed="false">
      <c r="A403" s="10"/>
      <c r="B403" s="10"/>
      <c r="C403" s="10"/>
      <c r="D403" s="10"/>
      <c r="E403" s="10"/>
      <c r="F403" s="21"/>
      <c r="G403" s="19"/>
      <c r="H403" s="21"/>
      <c r="I403" s="22"/>
      <c r="J403" s="19"/>
      <c r="K403" s="23" t="str">
        <f aca="false">IF($D403="","",IFERROR(INDEX(Profile!$B$5:$B$304,MATCH($D403,lst_Profil,0)),""))</f>
        <v/>
      </c>
      <c r="L403" s="13" t="str">
        <f aca="false">IF($D403="","",IFERROR(INDEX(Profile!$K$5:$K$304,MATCH($D403,lst_Profil,0))+0,""))</f>
        <v/>
      </c>
      <c r="M403" s="24" t="str">
        <f aca="false">IF($D403="","",IFERROR(INDEX(Profile!$E$5:$E$304,MATCH($D403,lst_Profil,0))+0,""))</f>
        <v/>
      </c>
      <c r="N403" s="25" t="str">
        <f aca="false">IF(OR(L403="",$E403=""),"",IFERROR(L403*INDEX(Werkstoffe!$E$5:$E$304,MATCH($E403,lst_Werkstoff,0))/1000,""))</f>
        <v/>
      </c>
      <c r="O403" s="25" t="str">
        <f aca="false">IF(OR(N403="",$F403=""),"",N403*$F403/1000)</f>
        <v/>
      </c>
      <c r="P403" s="16" t="str">
        <f aca="false">IF(OR($F403="",$G403=""),"",$F403*$G403)</f>
        <v/>
      </c>
      <c r="Q403" s="16" t="str">
        <f aca="false">IF($D403="","",IF($J403&lt;&gt;"",$J403,$C$9))</f>
        <v/>
      </c>
      <c r="R403" s="12" t="str">
        <f aca="false">IF($D403="","",IFERROR(IF(INDEX(Profile!$G$5:$G$304,MATCH($D403,lst_Profil,0))&lt;&gt;"",INDEX(Profile!$G$5:$G$304,MATCH($D403,lst_Profil,0)),$H$4),$H$4))</f>
        <v/>
      </c>
      <c r="S403" s="12" t="str">
        <f aca="false">IF($D403="","",IFERROR(IF(INDEX(Profile!$H$5:$H$304,MATCH($D403,lst_Profil,0))&lt;&gt;"",INDEX(Profile!$H$5:$H$304,MATCH($D403,lst_Profil,0)),$H$5),$H$5))</f>
        <v/>
      </c>
      <c r="T403" s="16" t="str">
        <f aca="false">IF(OR(Q403="",NOT(ISNUMBER(R403)),NOT(ISNUMBER(S403))),"",Q403-R403-S403)</f>
        <v/>
      </c>
      <c r="U403" s="26" t="str">
        <f aca="false">IF(OR($D403="",$E403=""),"",IF(COUNTIFS(Preise!$A$5:$A$304,$D403,Preise!$B$5:$B$304,$E403,Preise!$I$5:$I$304,"OK")&gt;0,"ja","nein"))</f>
        <v/>
      </c>
      <c r="V403" s="15" t="str">
        <f aca="false">IF(OR(M403="",$E403="",$C$8=""),"",IF(_xlfn.MINIFS(Schneiddaten!$C$5:$C$304,Schneiddaten!$A$5:$A$304,$C$8,Schneiddaten!$B$5:$B$304,$E403,Schneiddaten!$C$5:$C$304,"&gt;="&amp;M403)=0,"",SUMIFS(Schneiddaten!$D$5:$D$304,Schneiddaten!$A$5:$A$304,$C$8,Schneiddaten!$B$5:$B$304,$E403,Schneiddaten!$C$5:$C$304,_xlfn.MINIFS(Schneiddaten!$C$5:$C$304,Schneiddaten!$A$5:$A$304,$C$8,Schneiddaten!$B$5:$B$304,$E403,Schneiddaten!$C$5:$C$304,"&gt;="&amp;M403))))</f>
        <v/>
      </c>
      <c r="W403" s="26" t="str">
        <f aca="false">IF(AND($D403="",$E403="",$F403="",$G403=""),"",IF(ISNA(MATCH($D403,lst_Profil,0)),"FEHLER: Profil unbekannt",IF(ISNA(MATCH($E403,lst_Werkstoff,0)),"FEHLER: Werkstoff unbekannt",IF(NOT(ISNUMBER(L403)),"FEHLER: Querschnitt fehlt (Profil)",IF(OR($F403="",$F403&lt;=0),"FEHLER: Teilelänge fehlt",IF(OR($G403="",$G403&lt;1),"FEHLER: Stückzahl fehlt",IF(NOT(ISNUMBER($H$4)),"FEHLER: Maschine fehlt/unbekannt",IF(Q403&gt;$H$7,"FEHLER: Stange länger als Maschine zulässt",IF($F403+$H$6&gt;T403,"FEHLER: Teil länger als Nutzlänge",IF(U403="nein","WARNUNG: kein gültiger Materialpreis",IF($H403="","HINWEIS: Schneidweg fehlt",IF(V403="","HINWEIS: keine Schneiddaten",IF(AND($AF403&lt;&gt;"",$AG403=""),"HINWEIS: Gewinde-Vorschlag prüfen","OK")))))))))))))</f>
        <v/>
      </c>
      <c r="X403" s="18" t="str">
        <f aca="false">IF(OR(O403="",$G403=""),"",O403*$G403)</f>
        <v/>
      </c>
      <c r="Y403" s="10"/>
      <c r="Z403" s="21"/>
      <c r="AA403" s="10"/>
      <c r="AB403" s="21"/>
      <c r="AC403" s="21"/>
      <c r="AD403" s="21"/>
      <c r="AE403" s="10"/>
      <c r="AF403" s="10"/>
      <c r="AG403" s="10"/>
      <c r="AH403" s="22"/>
      <c r="AI403" s="21"/>
      <c r="AJ403" s="22"/>
      <c r="AK403" s="21"/>
      <c r="AL403" s="22"/>
      <c r="AM403" s="21"/>
    </row>
    <row r="404" customFormat="false" ht="15" hidden="false" customHeight="false" outlineLevel="0" collapsed="false">
      <c r="A404" s="10"/>
      <c r="B404" s="10"/>
      <c r="C404" s="10"/>
      <c r="D404" s="10"/>
      <c r="E404" s="10"/>
      <c r="F404" s="21"/>
      <c r="G404" s="19"/>
      <c r="H404" s="21"/>
      <c r="I404" s="22"/>
      <c r="J404" s="19"/>
      <c r="K404" s="23" t="str">
        <f aca="false">IF($D404="","",IFERROR(INDEX(Profile!$B$5:$B$304,MATCH($D404,lst_Profil,0)),""))</f>
        <v/>
      </c>
      <c r="L404" s="13" t="str">
        <f aca="false">IF($D404="","",IFERROR(INDEX(Profile!$K$5:$K$304,MATCH($D404,lst_Profil,0))+0,""))</f>
        <v/>
      </c>
      <c r="M404" s="24" t="str">
        <f aca="false">IF($D404="","",IFERROR(INDEX(Profile!$E$5:$E$304,MATCH($D404,lst_Profil,0))+0,""))</f>
        <v/>
      </c>
      <c r="N404" s="25" t="str">
        <f aca="false">IF(OR(L404="",$E404=""),"",IFERROR(L404*INDEX(Werkstoffe!$E$5:$E$304,MATCH($E404,lst_Werkstoff,0))/1000,""))</f>
        <v/>
      </c>
      <c r="O404" s="25" t="str">
        <f aca="false">IF(OR(N404="",$F404=""),"",N404*$F404/1000)</f>
        <v/>
      </c>
      <c r="P404" s="16" t="str">
        <f aca="false">IF(OR($F404="",$G404=""),"",$F404*$G404)</f>
        <v/>
      </c>
      <c r="Q404" s="16" t="str">
        <f aca="false">IF($D404="","",IF($J404&lt;&gt;"",$J404,$C$9))</f>
        <v/>
      </c>
      <c r="R404" s="12" t="str">
        <f aca="false">IF($D404="","",IFERROR(IF(INDEX(Profile!$G$5:$G$304,MATCH($D404,lst_Profil,0))&lt;&gt;"",INDEX(Profile!$G$5:$G$304,MATCH($D404,lst_Profil,0)),$H$4),$H$4))</f>
        <v/>
      </c>
      <c r="S404" s="12" t="str">
        <f aca="false">IF($D404="","",IFERROR(IF(INDEX(Profile!$H$5:$H$304,MATCH($D404,lst_Profil,0))&lt;&gt;"",INDEX(Profile!$H$5:$H$304,MATCH($D404,lst_Profil,0)),$H$5),$H$5))</f>
        <v/>
      </c>
      <c r="T404" s="16" t="str">
        <f aca="false">IF(OR(Q404="",NOT(ISNUMBER(R404)),NOT(ISNUMBER(S404))),"",Q404-R404-S404)</f>
        <v/>
      </c>
      <c r="U404" s="26" t="str">
        <f aca="false">IF(OR($D404="",$E404=""),"",IF(COUNTIFS(Preise!$A$5:$A$304,$D404,Preise!$B$5:$B$304,$E404,Preise!$I$5:$I$304,"OK")&gt;0,"ja","nein"))</f>
        <v/>
      </c>
      <c r="V404" s="15" t="str">
        <f aca="false">IF(OR(M404="",$E404="",$C$8=""),"",IF(_xlfn.MINIFS(Schneiddaten!$C$5:$C$304,Schneiddaten!$A$5:$A$304,$C$8,Schneiddaten!$B$5:$B$304,$E404,Schneiddaten!$C$5:$C$304,"&gt;="&amp;M404)=0,"",SUMIFS(Schneiddaten!$D$5:$D$304,Schneiddaten!$A$5:$A$304,$C$8,Schneiddaten!$B$5:$B$304,$E404,Schneiddaten!$C$5:$C$304,_xlfn.MINIFS(Schneiddaten!$C$5:$C$304,Schneiddaten!$A$5:$A$304,$C$8,Schneiddaten!$B$5:$B$304,$E404,Schneiddaten!$C$5:$C$304,"&gt;="&amp;M404))))</f>
        <v/>
      </c>
      <c r="W404" s="26" t="str">
        <f aca="false">IF(AND($D404="",$E404="",$F404="",$G404=""),"",IF(ISNA(MATCH($D404,lst_Profil,0)),"FEHLER: Profil unbekannt",IF(ISNA(MATCH($E404,lst_Werkstoff,0)),"FEHLER: Werkstoff unbekannt",IF(NOT(ISNUMBER(L404)),"FEHLER: Querschnitt fehlt (Profil)",IF(OR($F404="",$F404&lt;=0),"FEHLER: Teilelänge fehlt",IF(OR($G404="",$G404&lt;1),"FEHLER: Stückzahl fehlt",IF(NOT(ISNUMBER($H$4)),"FEHLER: Maschine fehlt/unbekannt",IF(Q404&gt;$H$7,"FEHLER: Stange länger als Maschine zulässt",IF($F404+$H$6&gt;T404,"FEHLER: Teil länger als Nutzlänge",IF(U404="nein","WARNUNG: kein gültiger Materialpreis",IF($H404="","HINWEIS: Schneidweg fehlt",IF(V404="","HINWEIS: keine Schneiddaten",IF(AND($AF404&lt;&gt;"",$AG404=""),"HINWEIS: Gewinde-Vorschlag prüfen","OK")))))))))))))</f>
        <v/>
      </c>
      <c r="X404" s="18" t="str">
        <f aca="false">IF(OR(O404="",$G404=""),"",O404*$G404)</f>
        <v/>
      </c>
      <c r="Y404" s="10"/>
      <c r="Z404" s="21"/>
      <c r="AA404" s="10"/>
      <c r="AB404" s="21"/>
      <c r="AC404" s="21"/>
      <c r="AD404" s="21"/>
      <c r="AE404" s="10"/>
      <c r="AF404" s="10"/>
      <c r="AG404" s="10"/>
      <c r="AH404" s="22"/>
      <c r="AI404" s="21"/>
      <c r="AJ404" s="22"/>
      <c r="AK404" s="21"/>
      <c r="AL404" s="22"/>
      <c r="AM404" s="21"/>
    </row>
    <row r="405" customFormat="false" ht="15" hidden="false" customHeight="false" outlineLevel="0" collapsed="false">
      <c r="A405" s="10"/>
      <c r="B405" s="10"/>
      <c r="C405" s="10"/>
      <c r="D405" s="10"/>
      <c r="E405" s="10"/>
      <c r="F405" s="21"/>
      <c r="G405" s="19"/>
      <c r="H405" s="21"/>
      <c r="I405" s="22"/>
      <c r="J405" s="19"/>
      <c r="K405" s="23" t="str">
        <f aca="false">IF($D405="","",IFERROR(INDEX(Profile!$B$5:$B$304,MATCH($D405,lst_Profil,0)),""))</f>
        <v/>
      </c>
      <c r="L405" s="13" t="str">
        <f aca="false">IF($D405="","",IFERROR(INDEX(Profile!$K$5:$K$304,MATCH($D405,lst_Profil,0))+0,""))</f>
        <v/>
      </c>
      <c r="M405" s="24" t="str">
        <f aca="false">IF($D405="","",IFERROR(INDEX(Profile!$E$5:$E$304,MATCH($D405,lst_Profil,0))+0,""))</f>
        <v/>
      </c>
      <c r="N405" s="25" t="str">
        <f aca="false">IF(OR(L405="",$E405=""),"",IFERROR(L405*INDEX(Werkstoffe!$E$5:$E$304,MATCH($E405,lst_Werkstoff,0))/1000,""))</f>
        <v/>
      </c>
      <c r="O405" s="25" t="str">
        <f aca="false">IF(OR(N405="",$F405=""),"",N405*$F405/1000)</f>
        <v/>
      </c>
      <c r="P405" s="16" t="str">
        <f aca="false">IF(OR($F405="",$G405=""),"",$F405*$G405)</f>
        <v/>
      </c>
      <c r="Q405" s="16" t="str">
        <f aca="false">IF($D405="","",IF($J405&lt;&gt;"",$J405,$C$9))</f>
        <v/>
      </c>
      <c r="R405" s="12" t="str">
        <f aca="false">IF($D405="","",IFERROR(IF(INDEX(Profile!$G$5:$G$304,MATCH($D405,lst_Profil,0))&lt;&gt;"",INDEX(Profile!$G$5:$G$304,MATCH($D405,lst_Profil,0)),$H$4),$H$4))</f>
        <v/>
      </c>
      <c r="S405" s="12" t="str">
        <f aca="false">IF($D405="","",IFERROR(IF(INDEX(Profile!$H$5:$H$304,MATCH($D405,lst_Profil,0))&lt;&gt;"",INDEX(Profile!$H$5:$H$304,MATCH($D405,lst_Profil,0)),$H$5),$H$5))</f>
        <v/>
      </c>
      <c r="T405" s="16" t="str">
        <f aca="false">IF(OR(Q405="",NOT(ISNUMBER(R405)),NOT(ISNUMBER(S405))),"",Q405-R405-S405)</f>
        <v/>
      </c>
      <c r="U405" s="26" t="str">
        <f aca="false">IF(OR($D405="",$E405=""),"",IF(COUNTIFS(Preise!$A$5:$A$304,$D405,Preise!$B$5:$B$304,$E405,Preise!$I$5:$I$304,"OK")&gt;0,"ja","nein"))</f>
        <v/>
      </c>
      <c r="V405" s="15" t="str">
        <f aca="false">IF(OR(M405="",$E405="",$C$8=""),"",IF(_xlfn.MINIFS(Schneiddaten!$C$5:$C$304,Schneiddaten!$A$5:$A$304,$C$8,Schneiddaten!$B$5:$B$304,$E405,Schneiddaten!$C$5:$C$304,"&gt;="&amp;M405)=0,"",SUMIFS(Schneiddaten!$D$5:$D$304,Schneiddaten!$A$5:$A$304,$C$8,Schneiddaten!$B$5:$B$304,$E405,Schneiddaten!$C$5:$C$304,_xlfn.MINIFS(Schneiddaten!$C$5:$C$304,Schneiddaten!$A$5:$A$304,$C$8,Schneiddaten!$B$5:$B$304,$E405,Schneiddaten!$C$5:$C$304,"&gt;="&amp;M405))))</f>
        <v/>
      </c>
      <c r="W405" s="26" t="str">
        <f aca="false">IF(AND($D405="",$E405="",$F405="",$G405=""),"",IF(ISNA(MATCH($D405,lst_Profil,0)),"FEHLER: Profil unbekannt",IF(ISNA(MATCH($E405,lst_Werkstoff,0)),"FEHLER: Werkstoff unbekannt",IF(NOT(ISNUMBER(L405)),"FEHLER: Querschnitt fehlt (Profil)",IF(OR($F405="",$F405&lt;=0),"FEHLER: Teilelänge fehlt",IF(OR($G405="",$G405&lt;1),"FEHLER: Stückzahl fehlt",IF(NOT(ISNUMBER($H$4)),"FEHLER: Maschine fehlt/unbekannt",IF(Q405&gt;$H$7,"FEHLER: Stange länger als Maschine zulässt",IF($F405+$H$6&gt;T405,"FEHLER: Teil länger als Nutzlänge",IF(U405="nein","WARNUNG: kein gültiger Materialpreis",IF($H405="","HINWEIS: Schneidweg fehlt",IF(V405="","HINWEIS: keine Schneiddaten",IF(AND($AF405&lt;&gt;"",$AG405=""),"HINWEIS: Gewinde-Vorschlag prüfen","OK")))))))))))))</f>
        <v/>
      </c>
      <c r="X405" s="18" t="str">
        <f aca="false">IF(OR(O405="",$G405=""),"",O405*$G405)</f>
        <v/>
      </c>
      <c r="Y405" s="10"/>
      <c r="Z405" s="21"/>
      <c r="AA405" s="10"/>
      <c r="AB405" s="21"/>
      <c r="AC405" s="21"/>
      <c r="AD405" s="21"/>
      <c r="AE405" s="10"/>
      <c r="AF405" s="10"/>
      <c r="AG405" s="10"/>
      <c r="AH405" s="22"/>
      <c r="AI405" s="21"/>
      <c r="AJ405" s="22"/>
      <c r="AK405" s="21"/>
      <c r="AL405" s="22"/>
      <c r="AM405" s="21"/>
    </row>
    <row r="406" customFormat="false" ht="15" hidden="false" customHeight="false" outlineLevel="0" collapsed="false">
      <c r="A406" s="10"/>
      <c r="B406" s="10"/>
      <c r="C406" s="10"/>
      <c r="D406" s="10"/>
      <c r="E406" s="10"/>
      <c r="F406" s="21"/>
      <c r="G406" s="19"/>
      <c r="H406" s="21"/>
      <c r="I406" s="22"/>
      <c r="J406" s="19"/>
      <c r="K406" s="23" t="str">
        <f aca="false">IF($D406="","",IFERROR(INDEX(Profile!$B$5:$B$304,MATCH($D406,lst_Profil,0)),""))</f>
        <v/>
      </c>
      <c r="L406" s="13" t="str">
        <f aca="false">IF($D406="","",IFERROR(INDEX(Profile!$K$5:$K$304,MATCH($D406,lst_Profil,0))+0,""))</f>
        <v/>
      </c>
      <c r="M406" s="24" t="str">
        <f aca="false">IF($D406="","",IFERROR(INDEX(Profile!$E$5:$E$304,MATCH($D406,lst_Profil,0))+0,""))</f>
        <v/>
      </c>
      <c r="N406" s="25" t="str">
        <f aca="false">IF(OR(L406="",$E406=""),"",IFERROR(L406*INDEX(Werkstoffe!$E$5:$E$304,MATCH($E406,lst_Werkstoff,0))/1000,""))</f>
        <v/>
      </c>
      <c r="O406" s="25" t="str">
        <f aca="false">IF(OR(N406="",$F406=""),"",N406*$F406/1000)</f>
        <v/>
      </c>
      <c r="P406" s="16" t="str">
        <f aca="false">IF(OR($F406="",$G406=""),"",$F406*$G406)</f>
        <v/>
      </c>
      <c r="Q406" s="16" t="str">
        <f aca="false">IF($D406="","",IF($J406&lt;&gt;"",$J406,$C$9))</f>
        <v/>
      </c>
      <c r="R406" s="12" t="str">
        <f aca="false">IF($D406="","",IFERROR(IF(INDEX(Profile!$G$5:$G$304,MATCH($D406,lst_Profil,0))&lt;&gt;"",INDEX(Profile!$G$5:$G$304,MATCH($D406,lst_Profil,0)),$H$4),$H$4))</f>
        <v/>
      </c>
      <c r="S406" s="12" t="str">
        <f aca="false">IF($D406="","",IFERROR(IF(INDEX(Profile!$H$5:$H$304,MATCH($D406,lst_Profil,0))&lt;&gt;"",INDEX(Profile!$H$5:$H$304,MATCH($D406,lst_Profil,0)),$H$5),$H$5))</f>
        <v/>
      </c>
      <c r="T406" s="16" t="str">
        <f aca="false">IF(OR(Q406="",NOT(ISNUMBER(R406)),NOT(ISNUMBER(S406))),"",Q406-R406-S406)</f>
        <v/>
      </c>
      <c r="U406" s="26" t="str">
        <f aca="false">IF(OR($D406="",$E406=""),"",IF(COUNTIFS(Preise!$A$5:$A$304,$D406,Preise!$B$5:$B$304,$E406,Preise!$I$5:$I$304,"OK")&gt;0,"ja","nein"))</f>
        <v/>
      </c>
      <c r="V406" s="15" t="str">
        <f aca="false">IF(OR(M406="",$E406="",$C$8=""),"",IF(_xlfn.MINIFS(Schneiddaten!$C$5:$C$304,Schneiddaten!$A$5:$A$304,$C$8,Schneiddaten!$B$5:$B$304,$E406,Schneiddaten!$C$5:$C$304,"&gt;="&amp;M406)=0,"",SUMIFS(Schneiddaten!$D$5:$D$304,Schneiddaten!$A$5:$A$304,$C$8,Schneiddaten!$B$5:$B$304,$E406,Schneiddaten!$C$5:$C$304,_xlfn.MINIFS(Schneiddaten!$C$5:$C$304,Schneiddaten!$A$5:$A$304,$C$8,Schneiddaten!$B$5:$B$304,$E406,Schneiddaten!$C$5:$C$304,"&gt;="&amp;M406))))</f>
        <v/>
      </c>
      <c r="W406" s="26" t="str">
        <f aca="false">IF(AND($D406="",$E406="",$F406="",$G406=""),"",IF(ISNA(MATCH($D406,lst_Profil,0)),"FEHLER: Profil unbekannt",IF(ISNA(MATCH($E406,lst_Werkstoff,0)),"FEHLER: Werkstoff unbekannt",IF(NOT(ISNUMBER(L406)),"FEHLER: Querschnitt fehlt (Profil)",IF(OR($F406="",$F406&lt;=0),"FEHLER: Teilelänge fehlt",IF(OR($G406="",$G406&lt;1),"FEHLER: Stückzahl fehlt",IF(NOT(ISNUMBER($H$4)),"FEHLER: Maschine fehlt/unbekannt",IF(Q406&gt;$H$7,"FEHLER: Stange länger als Maschine zulässt",IF($F406+$H$6&gt;T406,"FEHLER: Teil länger als Nutzlänge",IF(U406="nein","WARNUNG: kein gültiger Materialpreis",IF($H406="","HINWEIS: Schneidweg fehlt",IF(V406="","HINWEIS: keine Schneiddaten",IF(AND($AF406&lt;&gt;"",$AG406=""),"HINWEIS: Gewinde-Vorschlag prüfen","OK")))))))))))))</f>
        <v/>
      </c>
      <c r="X406" s="18" t="str">
        <f aca="false">IF(OR(O406="",$G406=""),"",O406*$G406)</f>
        <v/>
      </c>
      <c r="Y406" s="10"/>
      <c r="Z406" s="21"/>
      <c r="AA406" s="10"/>
      <c r="AB406" s="21"/>
      <c r="AC406" s="21"/>
      <c r="AD406" s="21"/>
      <c r="AE406" s="10"/>
      <c r="AF406" s="10"/>
      <c r="AG406" s="10"/>
      <c r="AH406" s="22"/>
      <c r="AI406" s="21"/>
      <c r="AJ406" s="22"/>
      <c r="AK406" s="21"/>
      <c r="AL406" s="22"/>
      <c r="AM406" s="21"/>
    </row>
    <row r="407" customFormat="false" ht="15" hidden="false" customHeight="false" outlineLevel="0" collapsed="false">
      <c r="A407" s="10"/>
      <c r="B407" s="10"/>
      <c r="C407" s="10"/>
      <c r="D407" s="10"/>
      <c r="E407" s="10"/>
      <c r="F407" s="21"/>
      <c r="G407" s="19"/>
      <c r="H407" s="21"/>
      <c r="I407" s="22"/>
      <c r="J407" s="19"/>
      <c r="K407" s="23" t="str">
        <f aca="false">IF($D407="","",IFERROR(INDEX(Profile!$B$5:$B$304,MATCH($D407,lst_Profil,0)),""))</f>
        <v/>
      </c>
      <c r="L407" s="13" t="str">
        <f aca="false">IF($D407="","",IFERROR(INDEX(Profile!$K$5:$K$304,MATCH($D407,lst_Profil,0))+0,""))</f>
        <v/>
      </c>
      <c r="M407" s="24" t="str">
        <f aca="false">IF($D407="","",IFERROR(INDEX(Profile!$E$5:$E$304,MATCH($D407,lst_Profil,0))+0,""))</f>
        <v/>
      </c>
      <c r="N407" s="25" t="str">
        <f aca="false">IF(OR(L407="",$E407=""),"",IFERROR(L407*INDEX(Werkstoffe!$E$5:$E$304,MATCH($E407,lst_Werkstoff,0))/1000,""))</f>
        <v/>
      </c>
      <c r="O407" s="25" t="str">
        <f aca="false">IF(OR(N407="",$F407=""),"",N407*$F407/1000)</f>
        <v/>
      </c>
      <c r="P407" s="16" t="str">
        <f aca="false">IF(OR($F407="",$G407=""),"",$F407*$G407)</f>
        <v/>
      </c>
      <c r="Q407" s="16" t="str">
        <f aca="false">IF($D407="","",IF($J407&lt;&gt;"",$J407,$C$9))</f>
        <v/>
      </c>
      <c r="R407" s="12" t="str">
        <f aca="false">IF($D407="","",IFERROR(IF(INDEX(Profile!$G$5:$G$304,MATCH($D407,lst_Profil,0))&lt;&gt;"",INDEX(Profile!$G$5:$G$304,MATCH($D407,lst_Profil,0)),$H$4),$H$4))</f>
        <v/>
      </c>
      <c r="S407" s="12" t="str">
        <f aca="false">IF($D407="","",IFERROR(IF(INDEX(Profile!$H$5:$H$304,MATCH($D407,lst_Profil,0))&lt;&gt;"",INDEX(Profile!$H$5:$H$304,MATCH($D407,lst_Profil,0)),$H$5),$H$5))</f>
        <v/>
      </c>
      <c r="T407" s="16" t="str">
        <f aca="false">IF(OR(Q407="",NOT(ISNUMBER(R407)),NOT(ISNUMBER(S407))),"",Q407-R407-S407)</f>
        <v/>
      </c>
      <c r="U407" s="26" t="str">
        <f aca="false">IF(OR($D407="",$E407=""),"",IF(COUNTIFS(Preise!$A$5:$A$304,$D407,Preise!$B$5:$B$304,$E407,Preise!$I$5:$I$304,"OK")&gt;0,"ja","nein"))</f>
        <v/>
      </c>
      <c r="V407" s="15" t="str">
        <f aca="false">IF(OR(M407="",$E407="",$C$8=""),"",IF(_xlfn.MINIFS(Schneiddaten!$C$5:$C$304,Schneiddaten!$A$5:$A$304,$C$8,Schneiddaten!$B$5:$B$304,$E407,Schneiddaten!$C$5:$C$304,"&gt;="&amp;M407)=0,"",SUMIFS(Schneiddaten!$D$5:$D$304,Schneiddaten!$A$5:$A$304,$C$8,Schneiddaten!$B$5:$B$304,$E407,Schneiddaten!$C$5:$C$304,_xlfn.MINIFS(Schneiddaten!$C$5:$C$304,Schneiddaten!$A$5:$A$304,$C$8,Schneiddaten!$B$5:$B$304,$E407,Schneiddaten!$C$5:$C$304,"&gt;="&amp;M407))))</f>
        <v/>
      </c>
      <c r="W407" s="26" t="str">
        <f aca="false">IF(AND($D407="",$E407="",$F407="",$G407=""),"",IF(ISNA(MATCH($D407,lst_Profil,0)),"FEHLER: Profil unbekannt",IF(ISNA(MATCH($E407,lst_Werkstoff,0)),"FEHLER: Werkstoff unbekannt",IF(NOT(ISNUMBER(L407)),"FEHLER: Querschnitt fehlt (Profil)",IF(OR($F407="",$F407&lt;=0),"FEHLER: Teilelänge fehlt",IF(OR($G407="",$G407&lt;1),"FEHLER: Stückzahl fehlt",IF(NOT(ISNUMBER($H$4)),"FEHLER: Maschine fehlt/unbekannt",IF(Q407&gt;$H$7,"FEHLER: Stange länger als Maschine zulässt",IF($F407+$H$6&gt;T407,"FEHLER: Teil länger als Nutzlänge",IF(U407="nein","WARNUNG: kein gültiger Materialpreis",IF($H407="","HINWEIS: Schneidweg fehlt",IF(V407="","HINWEIS: keine Schneiddaten",IF(AND($AF407&lt;&gt;"",$AG407=""),"HINWEIS: Gewinde-Vorschlag prüfen","OK")))))))))))))</f>
        <v/>
      </c>
      <c r="X407" s="18" t="str">
        <f aca="false">IF(OR(O407="",$G407=""),"",O407*$G407)</f>
        <v/>
      </c>
      <c r="Y407" s="10"/>
      <c r="Z407" s="21"/>
      <c r="AA407" s="10"/>
      <c r="AB407" s="21"/>
      <c r="AC407" s="21"/>
      <c r="AD407" s="21"/>
      <c r="AE407" s="10"/>
      <c r="AF407" s="10"/>
      <c r="AG407" s="10"/>
      <c r="AH407" s="22"/>
      <c r="AI407" s="21"/>
      <c r="AJ407" s="22"/>
      <c r="AK407" s="21"/>
      <c r="AL407" s="22"/>
      <c r="AM407" s="21"/>
    </row>
    <row r="408" customFormat="false" ht="15" hidden="false" customHeight="false" outlineLevel="0" collapsed="false">
      <c r="A408" s="10"/>
      <c r="B408" s="10"/>
      <c r="C408" s="10"/>
      <c r="D408" s="10"/>
      <c r="E408" s="10"/>
      <c r="F408" s="21"/>
      <c r="G408" s="19"/>
      <c r="H408" s="21"/>
      <c r="I408" s="22"/>
      <c r="J408" s="19"/>
      <c r="K408" s="23" t="str">
        <f aca="false">IF($D408="","",IFERROR(INDEX(Profile!$B$5:$B$304,MATCH($D408,lst_Profil,0)),""))</f>
        <v/>
      </c>
      <c r="L408" s="13" t="str">
        <f aca="false">IF($D408="","",IFERROR(INDEX(Profile!$K$5:$K$304,MATCH($D408,lst_Profil,0))+0,""))</f>
        <v/>
      </c>
      <c r="M408" s="24" t="str">
        <f aca="false">IF($D408="","",IFERROR(INDEX(Profile!$E$5:$E$304,MATCH($D408,lst_Profil,0))+0,""))</f>
        <v/>
      </c>
      <c r="N408" s="25" t="str">
        <f aca="false">IF(OR(L408="",$E408=""),"",IFERROR(L408*INDEX(Werkstoffe!$E$5:$E$304,MATCH($E408,lst_Werkstoff,0))/1000,""))</f>
        <v/>
      </c>
      <c r="O408" s="25" t="str">
        <f aca="false">IF(OR(N408="",$F408=""),"",N408*$F408/1000)</f>
        <v/>
      </c>
      <c r="P408" s="16" t="str">
        <f aca="false">IF(OR($F408="",$G408=""),"",$F408*$G408)</f>
        <v/>
      </c>
      <c r="Q408" s="16" t="str">
        <f aca="false">IF($D408="","",IF($J408&lt;&gt;"",$J408,$C$9))</f>
        <v/>
      </c>
      <c r="R408" s="12" t="str">
        <f aca="false">IF($D408="","",IFERROR(IF(INDEX(Profile!$G$5:$G$304,MATCH($D408,lst_Profil,0))&lt;&gt;"",INDEX(Profile!$G$5:$G$304,MATCH($D408,lst_Profil,0)),$H$4),$H$4))</f>
        <v/>
      </c>
      <c r="S408" s="12" t="str">
        <f aca="false">IF($D408="","",IFERROR(IF(INDEX(Profile!$H$5:$H$304,MATCH($D408,lst_Profil,0))&lt;&gt;"",INDEX(Profile!$H$5:$H$304,MATCH($D408,lst_Profil,0)),$H$5),$H$5))</f>
        <v/>
      </c>
      <c r="T408" s="16" t="str">
        <f aca="false">IF(OR(Q408="",NOT(ISNUMBER(R408)),NOT(ISNUMBER(S408))),"",Q408-R408-S408)</f>
        <v/>
      </c>
      <c r="U408" s="26" t="str">
        <f aca="false">IF(OR($D408="",$E408=""),"",IF(COUNTIFS(Preise!$A$5:$A$304,$D408,Preise!$B$5:$B$304,$E408,Preise!$I$5:$I$304,"OK")&gt;0,"ja","nein"))</f>
        <v/>
      </c>
      <c r="V408" s="15" t="str">
        <f aca="false">IF(OR(M408="",$E408="",$C$8=""),"",IF(_xlfn.MINIFS(Schneiddaten!$C$5:$C$304,Schneiddaten!$A$5:$A$304,$C$8,Schneiddaten!$B$5:$B$304,$E408,Schneiddaten!$C$5:$C$304,"&gt;="&amp;M408)=0,"",SUMIFS(Schneiddaten!$D$5:$D$304,Schneiddaten!$A$5:$A$304,$C$8,Schneiddaten!$B$5:$B$304,$E408,Schneiddaten!$C$5:$C$304,_xlfn.MINIFS(Schneiddaten!$C$5:$C$304,Schneiddaten!$A$5:$A$304,$C$8,Schneiddaten!$B$5:$B$304,$E408,Schneiddaten!$C$5:$C$304,"&gt;="&amp;M408))))</f>
        <v/>
      </c>
      <c r="W408" s="26" t="str">
        <f aca="false">IF(AND($D408="",$E408="",$F408="",$G408=""),"",IF(ISNA(MATCH($D408,lst_Profil,0)),"FEHLER: Profil unbekannt",IF(ISNA(MATCH($E408,lst_Werkstoff,0)),"FEHLER: Werkstoff unbekannt",IF(NOT(ISNUMBER(L408)),"FEHLER: Querschnitt fehlt (Profil)",IF(OR($F408="",$F408&lt;=0),"FEHLER: Teilelänge fehlt",IF(OR($G408="",$G408&lt;1),"FEHLER: Stückzahl fehlt",IF(NOT(ISNUMBER($H$4)),"FEHLER: Maschine fehlt/unbekannt",IF(Q408&gt;$H$7,"FEHLER: Stange länger als Maschine zulässt",IF($F408+$H$6&gt;T408,"FEHLER: Teil länger als Nutzlänge",IF(U408="nein","WARNUNG: kein gültiger Materialpreis",IF($H408="","HINWEIS: Schneidweg fehlt",IF(V408="","HINWEIS: keine Schneiddaten",IF(AND($AF408&lt;&gt;"",$AG408=""),"HINWEIS: Gewinde-Vorschlag prüfen","OK")))))))))))))</f>
        <v/>
      </c>
      <c r="X408" s="18" t="str">
        <f aca="false">IF(OR(O408="",$G408=""),"",O408*$G408)</f>
        <v/>
      </c>
      <c r="Y408" s="10"/>
      <c r="Z408" s="21"/>
      <c r="AA408" s="10"/>
      <c r="AB408" s="21"/>
      <c r="AC408" s="21"/>
      <c r="AD408" s="21"/>
      <c r="AE408" s="10"/>
      <c r="AF408" s="10"/>
      <c r="AG408" s="10"/>
      <c r="AH408" s="22"/>
      <c r="AI408" s="21"/>
      <c r="AJ408" s="22"/>
      <c r="AK408" s="21"/>
      <c r="AL408" s="22"/>
      <c r="AM408" s="21"/>
    </row>
    <row r="409" customFormat="false" ht="15" hidden="false" customHeight="false" outlineLevel="0" collapsed="false">
      <c r="A409" s="10"/>
      <c r="B409" s="10"/>
      <c r="C409" s="10"/>
      <c r="D409" s="10"/>
      <c r="E409" s="10"/>
      <c r="F409" s="21"/>
      <c r="G409" s="19"/>
      <c r="H409" s="21"/>
      <c r="I409" s="22"/>
      <c r="J409" s="19"/>
      <c r="K409" s="23" t="str">
        <f aca="false">IF($D409="","",IFERROR(INDEX(Profile!$B$5:$B$304,MATCH($D409,lst_Profil,0)),""))</f>
        <v/>
      </c>
      <c r="L409" s="13" t="str">
        <f aca="false">IF($D409="","",IFERROR(INDEX(Profile!$K$5:$K$304,MATCH($D409,lst_Profil,0))+0,""))</f>
        <v/>
      </c>
      <c r="M409" s="24" t="str">
        <f aca="false">IF($D409="","",IFERROR(INDEX(Profile!$E$5:$E$304,MATCH($D409,lst_Profil,0))+0,""))</f>
        <v/>
      </c>
      <c r="N409" s="25" t="str">
        <f aca="false">IF(OR(L409="",$E409=""),"",IFERROR(L409*INDEX(Werkstoffe!$E$5:$E$304,MATCH($E409,lst_Werkstoff,0))/1000,""))</f>
        <v/>
      </c>
      <c r="O409" s="25" t="str">
        <f aca="false">IF(OR(N409="",$F409=""),"",N409*$F409/1000)</f>
        <v/>
      </c>
      <c r="P409" s="16" t="str">
        <f aca="false">IF(OR($F409="",$G409=""),"",$F409*$G409)</f>
        <v/>
      </c>
      <c r="Q409" s="16" t="str">
        <f aca="false">IF($D409="","",IF($J409&lt;&gt;"",$J409,$C$9))</f>
        <v/>
      </c>
      <c r="R409" s="12" t="str">
        <f aca="false">IF($D409="","",IFERROR(IF(INDEX(Profile!$G$5:$G$304,MATCH($D409,lst_Profil,0))&lt;&gt;"",INDEX(Profile!$G$5:$G$304,MATCH($D409,lst_Profil,0)),$H$4),$H$4))</f>
        <v/>
      </c>
      <c r="S409" s="12" t="str">
        <f aca="false">IF($D409="","",IFERROR(IF(INDEX(Profile!$H$5:$H$304,MATCH($D409,lst_Profil,0))&lt;&gt;"",INDEX(Profile!$H$5:$H$304,MATCH($D409,lst_Profil,0)),$H$5),$H$5))</f>
        <v/>
      </c>
      <c r="T409" s="16" t="str">
        <f aca="false">IF(OR(Q409="",NOT(ISNUMBER(R409)),NOT(ISNUMBER(S409))),"",Q409-R409-S409)</f>
        <v/>
      </c>
      <c r="U409" s="26" t="str">
        <f aca="false">IF(OR($D409="",$E409=""),"",IF(COUNTIFS(Preise!$A$5:$A$304,$D409,Preise!$B$5:$B$304,$E409,Preise!$I$5:$I$304,"OK")&gt;0,"ja","nein"))</f>
        <v/>
      </c>
      <c r="V409" s="15" t="str">
        <f aca="false">IF(OR(M409="",$E409="",$C$8=""),"",IF(_xlfn.MINIFS(Schneiddaten!$C$5:$C$304,Schneiddaten!$A$5:$A$304,$C$8,Schneiddaten!$B$5:$B$304,$E409,Schneiddaten!$C$5:$C$304,"&gt;="&amp;M409)=0,"",SUMIFS(Schneiddaten!$D$5:$D$304,Schneiddaten!$A$5:$A$304,$C$8,Schneiddaten!$B$5:$B$304,$E409,Schneiddaten!$C$5:$C$304,_xlfn.MINIFS(Schneiddaten!$C$5:$C$304,Schneiddaten!$A$5:$A$304,$C$8,Schneiddaten!$B$5:$B$304,$E409,Schneiddaten!$C$5:$C$304,"&gt;="&amp;M409))))</f>
        <v/>
      </c>
      <c r="W409" s="26" t="str">
        <f aca="false">IF(AND($D409="",$E409="",$F409="",$G409=""),"",IF(ISNA(MATCH($D409,lst_Profil,0)),"FEHLER: Profil unbekannt",IF(ISNA(MATCH($E409,lst_Werkstoff,0)),"FEHLER: Werkstoff unbekannt",IF(NOT(ISNUMBER(L409)),"FEHLER: Querschnitt fehlt (Profil)",IF(OR($F409="",$F409&lt;=0),"FEHLER: Teilelänge fehlt",IF(OR($G409="",$G409&lt;1),"FEHLER: Stückzahl fehlt",IF(NOT(ISNUMBER($H$4)),"FEHLER: Maschine fehlt/unbekannt",IF(Q409&gt;$H$7,"FEHLER: Stange länger als Maschine zulässt",IF($F409+$H$6&gt;T409,"FEHLER: Teil länger als Nutzlänge",IF(U409="nein","WARNUNG: kein gültiger Materialpreis",IF($H409="","HINWEIS: Schneidweg fehlt",IF(V409="","HINWEIS: keine Schneiddaten",IF(AND($AF409&lt;&gt;"",$AG409=""),"HINWEIS: Gewinde-Vorschlag prüfen","OK")))))))))))))</f>
        <v/>
      </c>
      <c r="X409" s="18" t="str">
        <f aca="false">IF(OR(O409="",$G409=""),"",O409*$G409)</f>
        <v/>
      </c>
      <c r="Y409" s="10"/>
      <c r="Z409" s="21"/>
      <c r="AA409" s="10"/>
      <c r="AB409" s="21"/>
      <c r="AC409" s="21"/>
      <c r="AD409" s="21"/>
      <c r="AE409" s="10"/>
      <c r="AF409" s="10"/>
      <c r="AG409" s="10"/>
      <c r="AH409" s="22"/>
      <c r="AI409" s="21"/>
      <c r="AJ409" s="22"/>
      <c r="AK409" s="21"/>
      <c r="AL409" s="22"/>
      <c r="AM409" s="21"/>
    </row>
    <row r="410" customFormat="false" ht="15" hidden="false" customHeight="false" outlineLevel="0" collapsed="false">
      <c r="A410" s="10"/>
      <c r="B410" s="10"/>
      <c r="C410" s="10"/>
      <c r="D410" s="10"/>
      <c r="E410" s="10"/>
      <c r="F410" s="21"/>
      <c r="G410" s="19"/>
      <c r="H410" s="21"/>
      <c r="I410" s="22"/>
      <c r="J410" s="19"/>
      <c r="K410" s="23" t="str">
        <f aca="false">IF($D410="","",IFERROR(INDEX(Profile!$B$5:$B$304,MATCH($D410,lst_Profil,0)),""))</f>
        <v/>
      </c>
      <c r="L410" s="13" t="str">
        <f aca="false">IF($D410="","",IFERROR(INDEX(Profile!$K$5:$K$304,MATCH($D410,lst_Profil,0))+0,""))</f>
        <v/>
      </c>
      <c r="M410" s="24" t="str">
        <f aca="false">IF($D410="","",IFERROR(INDEX(Profile!$E$5:$E$304,MATCH($D410,lst_Profil,0))+0,""))</f>
        <v/>
      </c>
      <c r="N410" s="25" t="str">
        <f aca="false">IF(OR(L410="",$E410=""),"",IFERROR(L410*INDEX(Werkstoffe!$E$5:$E$304,MATCH($E410,lst_Werkstoff,0))/1000,""))</f>
        <v/>
      </c>
      <c r="O410" s="25" t="str">
        <f aca="false">IF(OR(N410="",$F410=""),"",N410*$F410/1000)</f>
        <v/>
      </c>
      <c r="P410" s="16" t="str">
        <f aca="false">IF(OR($F410="",$G410=""),"",$F410*$G410)</f>
        <v/>
      </c>
      <c r="Q410" s="16" t="str">
        <f aca="false">IF($D410="","",IF($J410&lt;&gt;"",$J410,$C$9))</f>
        <v/>
      </c>
      <c r="R410" s="12" t="str">
        <f aca="false">IF($D410="","",IFERROR(IF(INDEX(Profile!$G$5:$G$304,MATCH($D410,lst_Profil,0))&lt;&gt;"",INDEX(Profile!$G$5:$G$304,MATCH($D410,lst_Profil,0)),$H$4),$H$4))</f>
        <v/>
      </c>
      <c r="S410" s="12" t="str">
        <f aca="false">IF($D410="","",IFERROR(IF(INDEX(Profile!$H$5:$H$304,MATCH($D410,lst_Profil,0))&lt;&gt;"",INDEX(Profile!$H$5:$H$304,MATCH($D410,lst_Profil,0)),$H$5),$H$5))</f>
        <v/>
      </c>
      <c r="T410" s="16" t="str">
        <f aca="false">IF(OR(Q410="",NOT(ISNUMBER(R410)),NOT(ISNUMBER(S410))),"",Q410-R410-S410)</f>
        <v/>
      </c>
      <c r="U410" s="26" t="str">
        <f aca="false">IF(OR($D410="",$E410=""),"",IF(COUNTIFS(Preise!$A$5:$A$304,$D410,Preise!$B$5:$B$304,$E410,Preise!$I$5:$I$304,"OK")&gt;0,"ja","nein"))</f>
        <v/>
      </c>
      <c r="V410" s="15" t="str">
        <f aca="false">IF(OR(M410="",$E410="",$C$8=""),"",IF(_xlfn.MINIFS(Schneiddaten!$C$5:$C$304,Schneiddaten!$A$5:$A$304,$C$8,Schneiddaten!$B$5:$B$304,$E410,Schneiddaten!$C$5:$C$304,"&gt;="&amp;M410)=0,"",SUMIFS(Schneiddaten!$D$5:$D$304,Schneiddaten!$A$5:$A$304,$C$8,Schneiddaten!$B$5:$B$304,$E410,Schneiddaten!$C$5:$C$304,_xlfn.MINIFS(Schneiddaten!$C$5:$C$304,Schneiddaten!$A$5:$A$304,$C$8,Schneiddaten!$B$5:$B$304,$E410,Schneiddaten!$C$5:$C$304,"&gt;="&amp;M410))))</f>
        <v/>
      </c>
      <c r="W410" s="26" t="str">
        <f aca="false">IF(AND($D410="",$E410="",$F410="",$G410=""),"",IF(ISNA(MATCH($D410,lst_Profil,0)),"FEHLER: Profil unbekannt",IF(ISNA(MATCH($E410,lst_Werkstoff,0)),"FEHLER: Werkstoff unbekannt",IF(NOT(ISNUMBER(L410)),"FEHLER: Querschnitt fehlt (Profil)",IF(OR($F410="",$F410&lt;=0),"FEHLER: Teilelänge fehlt",IF(OR($G410="",$G410&lt;1),"FEHLER: Stückzahl fehlt",IF(NOT(ISNUMBER($H$4)),"FEHLER: Maschine fehlt/unbekannt",IF(Q410&gt;$H$7,"FEHLER: Stange länger als Maschine zulässt",IF($F410+$H$6&gt;T410,"FEHLER: Teil länger als Nutzlänge",IF(U410="nein","WARNUNG: kein gültiger Materialpreis",IF($H410="","HINWEIS: Schneidweg fehlt",IF(V410="","HINWEIS: keine Schneiddaten",IF(AND($AF410&lt;&gt;"",$AG410=""),"HINWEIS: Gewinde-Vorschlag prüfen","OK")))))))))))))</f>
        <v/>
      </c>
      <c r="X410" s="18" t="str">
        <f aca="false">IF(OR(O410="",$G410=""),"",O410*$G410)</f>
        <v/>
      </c>
      <c r="Y410" s="10"/>
      <c r="Z410" s="21"/>
      <c r="AA410" s="10"/>
      <c r="AB410" s="21"/>
      <c r="AC410" s="21"/>
      <c r="AD410" s="21"/>
      <c r="AE410" s="10"/>
      <c r="AF410" s="10"/>
      <c r="AG410" s="10"/>
      <c r="AH410" s="22"/>
      <c r="AI410" s="21"/>
      <c r="AJ410" s="22"/>
      <c r="AK410" s="21"/>
      <c r="AL410" s="22"/>
      <c r="AM410" s="21"/>
    </row>
    <row r="411" customFormat="false" ht="15" hidden="false" customHeight="false" outlineLevel="0" collapsed="false">
      <c r="A411" s="10"/>
      <c r="B411" s="10"/>
      <c r="C411" s="10"/>
      <c r="D411" s="10"/>
      <c r="E411" s="10"/>
      <c r="F411" s="21"/>
      <c r="G411" s="19"/>
      <c r="H411" s="21"/>
      <c r="I411" s="22"/>
      <c r="J411" s="19"/>
      <c r="K411" s="23" t="str">
        <f aca="false">IF($D411="","",IFERROR(INDEX(Profile!$B$5:$B$304,MATCH($D411,lst_Profil,0)),""))</f>
        <v/>
      </c>
      <c r="L411" s="13" t="str">
        <f aca="false">IF($D411="","",IFERROR(INDEX(Profile!$K$5:$K$304,MATCH($D411,lst_Profil,0))+0,""))</f>
        <v/>
      </c>
      <c r="M411" s="24" t="str">
        <f aca="false">IF($D411="","",IFERROR(INDEX(Profile!$E$5:$E$304,MATCH($D411,lst_Profil,0))+0,""))</f>
        <v/>
      </c>
      <c r="N411" s="25" t="str">
        <f aca="false">IF(OR(L411="",$E411=""),"",IFERROR(L411*INDEX(Werkstoffe!$E$5:$E$304,MATCH($E411,lst_Werkstoff,0))/1000,""))</f>
        <v/>
      </c>
      <c r="O411" s="25" t="str">
        <f aca="false">IF(OR(N411="",$F411=""),"",N411*$F411/1000)</f>
        <v/>
      </c>
      <c r="P411" s="16" t="str">
        <f aca="false">IF(OR($F411="",$G411=""),"",$F411*$G411)</f>
        <v/>
      </c>
      <c r="Q411" s="16" t="str">
        <f aca="false">IF($D411="","",IF($J411&lt;&gt;"",$J411,$C$9))</f>
        <v/>
      </c>
      <c r="R411" s="12" t="str">
        <f aca="false">IF($D411="","",IFERROR(IF(INDEX(Profile!$G$5:$G$304,MATCH($D411,lst_Profil,0))&lt;&gt;"",INDEX(Profile!$G$5:$G$304,MATCH($D411,lst_Profil,0)),$H$4),$H$4))</f>
        <v/>
      </c>
      <c r="S411" s="12" t="str">
        <f aca="false">IF($D411="","",IFERROR(IF(INDEX(Profile!$H$5:$H$304,MATCH($D411,lst_Profil,0))&lt;&gt;"",INDEX(Profile!$H$5:$H$304,MATCH($D411,lst_Profil,0)),$H$5),$H$5))</f>
        <v/>
      </c>
      <c r="T411" s="16" t="str">
        <f aca="false">IF(OR(Q411="",NOT(ISNUMBER(R411)),NOT(ISNUMBER(S411))),"",Q411-R411-S411)</f>
        <v/>
      </c>
      <c r="U411" s="26" t="str">
        <f aca="false">IF(OR($D411="",$E411=""),"",IF(COUNTIFS(Preise!$A$5:$A$304,$D411,Preise!$B$5:$B$304,$E411,Preise!$I$5:$I$304,"OK")&gt;0,"ja","nein"))</f>
        <v/>
      </c>
      <c r="V411" s="15" t="str">
        <f aca="false">IF(OR(M411="",$E411="",$C$8=""),"",IF(_xlfn.MINIFS(Schneiddaten!$C$5:$C$304,Schneiddaten!$A$5:$A$304,$C$8,Schneiddaten!$B$5:$B$304,$E411,Schneiddaten!$C$5:$C$304,"&gt;="&amp;M411)=0,"",SUMIFS(Schneiddaten!$D$5:$D$304,Schneiddaten!$A$5:$A$304,$C$8,Schneiddaten!$B$5:$B$304,$E411,Schneiddaten!$C$5:$C$304,_xlfn.MINIFS(Schneiddaten!$C$5:$C$304,Schneiddaten!$A$5:$A$304,$C$8,Schneiddaten!$B$5:$B$304,$E411,Schneiddaten!$C$5:$C$304,"&gt;="&amp;M411))))</f>
        <v/>
      </c>
      <c r="W411" s="26" t="str">
        <f aca="false">IF(AND($D411="",$E411="",$F411="",$G411=""),"",IF(ISNA(MATCH($D411,lst_Profil,0)),"FEHLER: Profil unbekannt",IF(ISNA(MATCH($E411,lst_Werkstoff,0)),"FEHLER: Werkstoff unbekannt",IF(NOT(ISNUMBER(L411)),"FEHLER: Querschnitt fehlt (Profil)",IF(OR($F411="",$F411&lt;=0),"FEHLER: Teilelänge fehlt",IF(OR($G411="",$G411&lt;1),"FEHLER: Stückzahl fehlt",IF(NOT(ISNUMBER($H$4)),"FEHLER: Maschine fehlt/unbekannt",IF(Q411&gt;$H$7,"FEHLER: Stange länger als Maschine zulässt",IF($F411+$H$6&gt;T411,"FEHLER: Teil länger als Nutzlänge",IF(U411="nein","WARNUNG: kein gültiger Materialpreis",IF($H411="","HINWEIS: Schneidweg fehlt",IF(V411="","HINWEIS: keine Schneiddaten",IF(AND($AF411&lt;&gt;"",$AG411=""),"HINWEIS: Gewinde-Vorschlag prüfen","OK")))))))))))))</f>
        <v/>
      </c>
      <c r="X411" s="18" t="str">
        <f aca="false">IF(OR(O411="",$G411=""),"",O411*$G411)</f>
        <v/>
      </c>
      <c r="Y411" s="10"/>
      <c r="Z411" s="21"/>
      <c r="AA411" s="10"/>
      <c r="AB411" s="21"/>
      <c r="AC411" s="21"/>
      <c r="AD411" s="21"/>
      <c r="AE411" s="10"/>
      <c r="AF411" s="10"/>
      <c r="AG411" s="10"/>
      <c r="AH411" s="22"/>
      <c r="AI411" s="21"/>
      <c r="AJ411" s="22"/>
      <c r="AK411" s="21"/>
      <c r="AL411" s="22"/>
      <c r="AM411" s="21"/>
    </row>
    <row r="412" customFormat="false" ht="15" hidden="false" customHeight="false" outlineLevel="0" collapsed="false">
      <c r="A412" s="10"/>
      <c r="B412" s="10"/>
      <c r="C412" s="10"/>
      <c r="D412" s="10"/>
      <c r="E412" s="10"/>
      <c r="F412" s="21"/>
      <c r="G412" s="19"/>
      <c r="H412" s="21"/>
      <c r="I412" s="22"/>
      <c r="J412" s="19"/>
      <c r="K412" s="23" t="str">
        <f aca="false">IF($D412="","",IFERROR(INDEX(Profile!$B$5:$B$304,MATCH($D412,lst_Profil,0)),""))</f>
        <v/>
      </c>
      <c r="L412" s="13" t="str">
        <f aca="false">IF($D412="","",IFERROR(INDEX(Profile!$K$5:$K$304,MATCH($D412,lst_Profil,0))+0,""))</f>
        <v/>
      </c>
      <c r="M412" s="24" t="str">
        <f aca="false">IF($D412="","",IFERROR(INDEX(Profile!$E$5:$E$304,MATCH($D412,lst_Profil,0))+0,""))</f>
        <v/>
      </c>
      <c r="N412" s="25" t="str">
        <f aca="false">IF(OR(L412="",$E412=""),"",IFERROR(L412*INDEX(Werkstoffe!$E$5:$E$304,MATCH($E412,lst_Werkstoff,0))/1000,""))</f>
        <v/>
      </c>
      <c r="O412" s="25" t="str">
        <f aca="false">IF(OR(N412="",$F412=""),"",N412*$F412/1000)</f>
        <v/>
      </c>
      <c r="P412" s="16" t="str">
        <f aca="false">IF(OR($F412="",$G412=""),"",$F412*$G412)</f>
        <v/>
      </c>
      <c r="Q412" s="16" t="str">
        <f aca="false">IF($D412="","",IF($J412&lt;&gt;"",$J412,$C$9))</f>
        <v/>
      </c>
      <c r="R412" s="12" t="str">
        <f aca="false">IF($D412="","",IFERROR(IF(INDEX(Profile!$G$5:$G$304,MATCH($D412,lst_Profil,0))&lt;&gt;"",INDEX(Profile!$G$5:$G$304,MATCH($D412,lst_Profil,0)),$H$4),$H$4))</f>
        <v/>
      </c>
      <c r="S412" s="12" t="str">
        <f aca="false">IF($D412="","",IFERROR(IF(INDEX(Profile!$H$5:$H$304,MATCH($D412,lst_Profil,0))&lt;&gt;"",INDEX(Profile!$H$5:$H$304,MATCH($D412,lst_Profil,0)),$H$5),$H$5))</f>
        <v/>
      </c>
      <c r="T412" s="16" t="str">
        <f aca="false">IF(OR(Q412="",NOT(ISNUMBER(R412)),NOT(ISNUMBER(S412))),"",Q412-R412-S412)</f>
        <v/>
      </c>
      <c r="U412" s="26" t="str">
        <f aca="false">IF(OR($D412="",$E412=""),"",IF(COUNTIFS(Preise!$A$5:$A$304,$D412,Preise!$B$5:$B$304,$E412,Preise!$I$5:$I$304,"OK")&gt;0,"ja","nein"))</f>
        <v/>
      </c>
      <c r="V412" s="15" t="str">
        <f aca="false">IF(OR(M412="",$E412="",$C$8=""),"",IF(_xlfn.MINIFS(Schneiddaten!$C$5:$C$304,Schneiddaten!$A$5:$A$304,$C$8,Schneiddaten!$B$5:$B$304,$E412,Schneiddaten!$C$5:$C$304,"&gt;="&amp;M412)=0,"",SUMIFS(Schneiddaten!$D$5:$D$304,Schneiddaten!$A$5:$A$304,$C$8,Schneiddaten!$B$5:$B$304,$E412,Schneiddaten!$C$5:$C$304,_xlfn.MINIFS(Schneiddaten!$C$5:$C$304,Schneiddaten!$A$5:$A$304,$C$8,Schneiddaten!$B$5:$B$304,$E412,Schneiddaten!$C$5:$C$304,"&gt;="&amp;M412))))</f>
        <v/>
      </c>
      <c r="W412" s="26" t="str">
        <f aca="false">IF(AND($D412="",$E412="",$F412="",$G412=""),"",IF(ISNA(MATCH($D412,lst_Profil,0)),"FEHLER: Profil unbekannt",IF(ISNA(MATCH($E412,lst_Werkstoff,0)),"FEHLER: Werkstoff unbekannt",IF(NOT(ISNUMBER(L412)),"FEHLER: Querschnitt fehlt (Profil)",IF(OR($F412="",$F412&lt;=0),"FEHLER: Teilelänge fehlt",IF(OR($G412="",$G412&lt;1),"FEHLER: Stückzahl fehlt",IF(NOT(ISNUMBER($H$4)),"FEHLER: Maschine fehlt/unbekannt",IF(Q412&gt;$H$7,"FEHLER: Stange länger als Maschine zulässt",IF($F412+$H$6&gt;T412,"FEHLER: Teil länger als Nutzlänge",IF(U412="nein","WARNUNG: kein gültiger Materialpreis",IF($H412="","HINWEIS: Schneidweg fehlt",IF(V412="","HINWEIS: keine Schneiddaten",IF(AND($AF412&lt;&gt;"",$AG412=""),"HINWEIS: Gewinde-Vorschlag prüfen","OK")))))))))))))</f>
        <v/>
      </c>
      <c r="X412" s="18" t="str">
        <f aca="false">IF(OR(O412="",$G412=""),"",O412*$G412)</f>
        <v/>
      </c>
      <c r="Y412" s="10"/>
      <c r="Z412" s="21"/>
      <c r="AA412" s="10"/>
      <c r="AB412" s="21"/>
      <c r="AC412" s="21"/>
      <c r="AD412" s="21"/>
      <c r="AE412" s="10"/>
      <c r="AF412" s="10"/>
      <c r="AG412" s="10"/>
      <c r="AH412" s="22"/>
      <c r="AI412" s="21"/>
      <c r="AJ412" s="22"/>
      <c r="AK412" s="21"/>
      <c r="AL412" s="22"/>
      <c r="AM412" s="21"/>
    </row>
    <row r="413" customFormat="false" ht="15" hidden="false" customHeight="false" outlineLevel="0" collapsed="false">
      <c r="A413" s="10"/>
      <c r="B413" s="10"/>
      <c r="C413" s="10"/>
      <c r="D413" s="10"/>
      <c r="E413" s="10"/>
      <c r="F413" s="21"/>
      <c r="G413" s="19"/>
      <c r="H413" s="21"/>
      <c r="I413" s="22"/>
      <c r="J413" s="19"/>
      <c r="K413" s="23" t="str">
        <f aca="false">IF($D413="","",IFERROR(INDEX(Profile!$B$5:$B$304,MATCH($D413,lst_Profil,0)),""))</f>
        <v/>
      </c>
      <c r="L413" s="13" t="str">
        <f aca="false">IF($D413="","",IFERROR(INDEX(Profile!$K$5:$K$304,MATCH($D413,lst_Profil,0))+0,""))</f>
        <v/>
      </c>
      <c r="M413" s="24" t="str">
        <f aca="false">IF($D413="","",IFERROR(INDEX(Profile!$E$5:$E$304,MATCH($D413,lst_Profil,0))+0,""))</f>
        <v/>
      </c>
      <c r="N413" s="25" t="str">
        <f aca="false">IF(OR(L413="",$E413=""),"",IFERROR(L413*INDEX(Werkstoffe!$E$5:$E$304,MATCH($E413,lst_Werkstoff,0))/1000,""))</f>
        <v/>
      </c>
      <c r="O413" s="25" t="str">
        <f aca="false">IF(OR(N413="",$F413=""),"",N413*$F413/1000)</f>
        <v/>
      </c>
      <c r="P413" s="16" t="str">
        <f aca="false">IF(OR($F413="",$G413=""),"",$F413*$G413)</f>
        <v/>
      </c>
      <c r="Q413" s="16" t="str">
        <f aca="false">IF($D413="","",IF($J413&lt;&gt;"",$J413,$C$9))</f>
        <v/>
      </c>
      <c r="R413" s="12" t="str">
        <f aca="false">IF($D413="","",IFERROR(IF(INDEX(Profile!$G$5:$G$304,MATCH($D413,lst_Profil,0))&lt;&gt;"",INDEX(Profile!$G$5:$G$304,MATCH($D413,lst_Profil,0)),$H$4),$H$4))</f>
        <v/>
      </c>
      <c r="S413" s="12" t="str">
        <f aca="false">IF($D413="","",IFERROR(IF(INDEX(Profile!$H$5:$H$304,MATCH($D413,lst_Profil,0))&lt;&gt;"",INDEX(Profile!$H$5:$H$304,MATCH($D413,lst_Profil,0)),$H$5),$H$5))</f>
        <v/>
      </c>
      <c r="T413" s="16" t="str">
        <f aca="false">IF(OR(Q413="",NOT(ISNUMBER(R413)),NOT(ISNUMBER(S413))),"",Q413-R413-S413)</f>
        <v/>
      </c>
      <c r="U413" s="26" t="str">
        <f aca="false">IF(OR($D413="",$E413=""),"",IF(COUNTIFS(Preise!$A$5:$A$304,$D413,Preise!$B$5:$B$304,$E413,Preise!$I$5:$I$304,"OK")&gt;0,"ja","nein"))</f>
        <v/>
      </c>
      <c r="V413" s="15" t="str">
        <f aca="false">IF(OR(M413="",$E413="",$C$8=""),"",IF(_xlfn.MINIFS(Schneiddaten!$C$5:$C$304,Schneiddaten!$A$5:$A$304,$C$8,Schneiddaten!$B$5:$B$304,$E413,Schneiddaten!$C$5:$C$304,"&gt;="&amp;M413)=0,"",SUMIFS(Schneiddaten!$D$5:$D$304,Schneiddaten!$A$5:$A$304,$C$8,Schneiddaten!$B$5:$B$304,$E413,Schneiddaten!$C$5:$C$304,_xlfn.MINIFS(Schneiddaten!$C$5:$C$304,Schneiddaten!$A$5:$A$304,$C$8,Schneiddaten!$B$5:$B$304,$E413,Schneiddaten!$C$5:$C$304,"&gt;="&amp;M413))))</f>
        <v/>
      </c>
      <c r="W413" s="26" t="str">
        <f aca="false">IF(AND($D413="",$E413="",$F413="",$G413=""),"",IF(ISNA(MATCH($D413,lst_Profil,0)),"FEHLER: Profil unbekannt",IF(ISNA(MATCH($E413,lst_Werkstoff,0)),"FEHLER: Werkstoff unbekannt",IF(NOT(ISNUMBER(L413)),"FEHLER: Querschnitt fehlt (Profil)",IF(OR($F413="",$F413&lt;=0),"FEHLER: Teilelänge fehlt",IF(OR($G413="",$G413&lt;1),"FEHLER: Stückzahl fehlt",IF(NOT(ISNUMBER($H$4)),"FEHLER: Maschine fehlt/unbekannt",IF(Q413&gt;$H$7,"FEHLER: Stange länger als Maschine zulässt",IF($F413+$H$6&gt;T413,"FEHLER: Teil länger als Nutzlänge",IF(U413="nein","WARNUNG: kein gültiger Materialpreis",IF($H413="","HINWEIS: Schneidweg fehlt",IF(V413="","HINWEIS: keine Schneiddaten",IF(AND($AF413&lt;&gt;"",$AG413=""),"HINWEIS: Gewinde-Vorschlag prüfen","OK")))))))))))))</f>
        <v/>
      </c>
      <c r="X413" s="18" t="str">
        <f aca="false">IF(OR(O413="",$G413=""),"",O413*$G413)</f>
        <v/>
      </c>
      <c r="Y413" s="10"/>
      <c r="Z413" s="21"/>
      <c r="AA413" s="10"/>
      <c r="AB413" s="21"/>
      <c r="AC413" s="21"/>
      <c r="AD413" s="21"/>
      <c r="AE413" s="10"/>
      <c r="AF413" s="10"/>
      <c r="AG413" s="10"/>
      <c r="AH413" s="22"/>
      <c r="AI413" s="21"/>
      <c r="AJ413" s="22"/>
      <c r="AK413" s="21"/>
      <c r="AL413" s="22"/>
      <c r="AM413" s="21"/>
    </row>
    <row r="414" customFormat="false" ht="15" hidden="false" customHeight="false" outlineLevel="0" collapsed="false">
      <c r="A414" s="10"/>
      <c r="B414" s="10"/>
      <c r="C414" s="10"/>
      <c r="D414" s="10"/>
      <c r="E414" s="10"/>
      <c r="F414" s="21"/>
      <c r="G414" s="19"/>
      <c r="H414" s="21"/>
      <c r="I414" s="22"/>
      <c r="J414" s="19"/>
      <c r="K414" s="23" t="str">
        <f aca="false">IF($D414="","",IFERROR(INDEX(Profile!$B$5:$B$304,MATCH($D414,lst_Profil,0)),""))</f>
        <v/>
      </c>
      <c r="L414" s="13" t="str">
        <f aca="false">IF($D414="","",IFERROR(INDEX(Profile!$K$5:$K$304,MATCH($D414,lst_Profil,0))+0,""))</f>
        <v/>
      </c>
      <c r="M414" s="24" t="str">
        <f aca="false">IF($D414="","",IFERROR(INDEX(Profile!$E$5:$E$304,MATCH($D414,lst_Profil,0))+0,""))</f>
        <v/>
      </c>
      <c r="N414" s="25" t="str">
        <f aca="false">IF(OR(L414="",$E414=""),"",IFERROR(L414*INDEX(Werkstoffe!$E$5:$E$304,MATCH($E414,lst_Werkstoff,0))/1000,""))</f>
        <v/>
      </c>
      <c r="O414" s="25" t="str">
        <f aca="false">IF(OR(N414="",$F414=""),"",N414*$F414/1000)</f>
        <v/>
      </c>
      <c r="P414" s="16" t="str">
        <f aca="false">IF(OR($F414="",$G414=""),"",$F414*$G414)</f>
        <v/>
      </c>
      <c r="Q414" s="16" t="str">
        <f aca="false">IF($D414="","",IF($J414&lt;&gt;"",$J414,$C$9))</f>
        <v/>
      </c>
      <c r="R414" s="12" t="str">
        <f aca="false">IF($D414="","",IFERROR(IF(INDEX(Profile!$G$5:$G$304,MATCH($D414,lst_Profil,0))&lt;&gt;"",INDEX(Profile!$G$5:$G$304,MATCH($D414,lst_Profil,0)),$H$4),$H$4))</f>
        <v/>
      </c>
      <c r="S414" s="12" t="str">
        <f aca="false">IF($D414="","",IFERROR(IF(INDEX(Profile!$H$5:$H$304,MATCH($D414,lst_Profil,0))&lt;&gt;"",INDEX(Profile!$H$5:$H$304,MATCH($D414,lst_Profil,0)),$H$5),$H$5))</f>
        <v/>
      </c>
      <c r="T414" s="16" t="str">
        <f aca="false">IF(OR(Q414="",NOT(ISNUMBER(R414)),NOT(ISNUMBER(S414))),"",Q414-R414-S414)</f>
        <v/>
      </c>
      <c r="U414" s="26" t="str">
        <f aca="false">IF(OR($D414="",$E414=""),"",IF(COUNTIFS(Preise!$A$5:$A$304,$D414,Preise!$B$5:$B$304,$E414,Preise!$I$5:$I$304,"OK")&gt;0,"ja","nein"))</f>
        <v/>
      </c>
      <c r="V414" s="15" t="str">
        <f aca="false">IF(OR(M414="",$E414="",$C$8=""),"",IF(_xlfn.MINIFS(Schneiddaten!$C$5:$C$304,Schneiddaten!$A$5:$A$304,$C$8,Schneiddaten!$B$5:$B$304,$E414,Schneiddaten!$C$5:$C$304,"&gt;="&amp;M414)=0,"",SUMIFS(Schneiddaten!$D$5:$D$304,Schneiddaten!$A$5:$A$304,$C$8,Schneiddaten!$B$5:$B$304,$E414,Schneiddaten!$C$5:$C$304,_xlfn.MINIFS(Schneiddaten!$C$5:$C$304,Schneiddaten!$A$5:$A$304,$C$8,Schneiddaten!$B$5:$B$304,$E414,Schneiddaten!$C$5:$C$304,"&gt;="&amp;M414))))</f>
        <v/>
      </c>
      <c r="W414" s="26" t="str">
        <f aca="false">IF(AND($D414="",$E414="",$F414="",$G414=""),"",IF(ISNA(MATCH($D414,lst_Profil,0)),"FEHLER: Profil unbekannt",IF(ISNA(MATCH($E414,lst_Werkstoff,0)),"FEHLER: Werkstoff unbekannt",IF(NOT(ISNUMBER(L414)),"FEHLER: Querschnitt fehlt (Profil)",IF(OR($F414="",$F414&lt;=0),"FEHLER: Teilelänge fehlt",IF(OR($G414="",$G414&lt;1),"FEHLER: Stückzahl fehlt",IF(NOT(ISNUMBER($H$4)),"FEHLER: Maschine fehlt/unbekannt",IF(Q414&gt;$H$7,"FEHLER: Stange länger als Maschine zulässt",IF($F414+$H$6&gt;T414,"FEHLER: Teil länger als Nutzlänge",IF(U414="nein","WARNUNG: kein gültiger Materialpreis",IF($H414="","HINWEIS: Schneidweg fehlt",IF(V414="","HINWEIS: keine Schneiddaten",IF(AND($AF414&lt;&gt;"",$AG414=""),"HINWEIS: Gewinde-Vorschlag prüfen","OK")))))))))))))</f>
        <v/>
      </c>
      <c r="X414" s="18" t="str">
        <f aca="false">IF(OR(O414="",$G414=""),"",O414*$G414)</f>
        <v/>
      </c>
      <c r="Y414" s="10"/>
      <c r="Z414" s="21"/>
      <c r="AA414" s="10"/>
      <c r="AB414" s="21"/>
      <c r="AC414" s="21"/>
      <c r="AD414" s="21"/>
      <c r="AE414" s="10"/>
      <c r="AF414" s="10"/>
      <c r="AG414" s="10"/>
      <c r="AH414" s="22"/>
      <c r="AI414" s="21"/>
      <c r="AJ414" s="22"/>
      <c r="AK414" s="21"/>
      <c r="AL414" s="22"/>
      <c r="AM414" s="21"/>
    </row>
    <row r="415" customFormat="false" ht="15" hidden="false" customHeight="false" outlineLevel="0" collapsed="false">
      <c r="A415" s="10"/>
      <c r="B415" s="10"/>
      <c r="C415" s="10"/>
      <c r="D415" s="10"/>
      <c r="E415" s="10"/>
      <c r="F415" s="21"/>
      <c r="G415" s="19"/>
      <c r="H415" s="21"/>
      <c r="I415" s="22"/>
      <c r="J415" s="19"/>
      <c r="K415" s="23" t="str">
        <f aca="false">IF($D415="","",IFERROR(INDEX(Profile!$B$5:$B$304,MATCH($D415,lst_Profil,0)),""))</f>
        <v/>
      </c>
      <c r="L415" s="13" t="str">
        <f aca="false">IF($D415="","",IFERROR(INDEX(Profile!$K$5:$K$304,MATCH($D415,lst_Profil,0))+0,""))</f>
        <v/>
      </c>
      <c r="M415" s="24" t="str">
        <f aca="false">IF($D415="","",IFERROR(INDEX(Profile!$E$5:$E$304,MATCH($D415,lst_Profil,0))+0,""))</f>
        <v/>
      </c>
      <c r="N415" s="25" t="str">
        <f aca="false">IF(OR(L415="",$E415=""),"",IFERROR(L415*INDEX(Werkstoffe!$E$5:$E$304,MATCH($E415,lst_Werkstoff,0))/1000,""))</f>
        <v/>
      </c>
      <c r="O415" s="25" t="str">
        <f aca="false">IF(OR(N415="",$F415=""),"",N415*$F415/1000)</f>
        <v/>
      </c>
      <c r="P415" s="16" t="str">
        <f aca="false">IF(OR($F415="",$G415=""),"",$F415*$G415)</f>
        <v/>
      </c>
      <c r="Q415" s="16" t="str">
        <f aca="false">IF($D415="","",IF($J415&lt;&gt;"",$J415,$C$9))</f>
        <v/>
      </c>
      <c r="R415" s="12" t="str">
        <f aca="false">IF($D415="","",IFERROR(IF(INDEX(Profile!$G$5:$G$304,MATCH($D415,lst_Profil,0))&lt;&gt;"",INDEX(Profile!$G$5:$G$304,MATCH($D415,lst_Profil,0)),$H$4),$H$4))</f>
        <v/>
      </c>
      <c r="S415" s="12" t="str">
        <f aca="false">IF($D415="","",IFERROR(IF(INDEX(Profile!$H$5:$H$304,MATCH($D415,lst_Profil,0))&lt;&gt;"",INDEX(Profile!$H$5:$H$304,MATCH($D415,lst_Profil,0)),$H$5),$H$5))</f>
        <v/>
      </c>
      <c r="T415" s="16" t="str">
        <f aca="false">IF(OR(Q415="",NOT(ISNUMBER(R415)),NOT(ISNUMBER(S415))),"",Q415-R415-S415)</f>
        <v/>
      </c>
      <c r="U415" s="26" t="str">
        <f aca="false">IF(OR($D415="",$E415=""),"",IF(COUNTIFS(Preise!$A$5:$A$304,$D415,Preise!$B$5:$B$304,$E415,Preise!$I$5:$I$304,"OK")&gt;0,"ja","nein"))</f>
        <v/>
      </c>
      <c r="V415" s="15" t="str">
        <f aca="false">IF(OR(M415="",$E415="",$C$8=""),"",IF(_xlfn.MINIFS(Schneiddaten!$C$5:$C$304,Schneiddaten!$A$5:$A$304,$C$8,Schneiddaten!$B$5:$B$304,$E415,Schneiddaten!$C$5:$C$304,"&gt;="&amp;M415)=0,"",SUMIFS(Schneiddaten!$D$5:$D$304,Schneiddaten!$A$5:$A$304,$C$8,Schneiddaten!$B$5:$B$304,$E415,Schneiddaten!$C$5:$C$304,_xlfn.MINIFS(Schneiddaten!$C$5:$C$304,Schneiddaten!$A$5:$A$304,$C$8,Schneiddaten!$B$5:$B$304,$E415,Schneiddaten!$C$5:$C$304,"&gt;="&amp;M415))))</f>
        <v/>
      </c>
      <c r="W415" s="26" t="str">
        <f aca="false">IF(AND($D415="",$E415="",$F415="",$G415=""),"",IF(ISNA(MATCH($D415,lst_Profil,0)),"FEHLER: Profil unbekannt",IF(ISNA(MATCH($E415,lst_Werkstoff,0)),"FEHLER: Werkstoff unbekannt",IF(NOT(ISNUMBER(L415)),"FEHLER: Querschnitt fehlt (Profil)",IF(OR($F415="",$F415&lt;=0),"FEHLER: Teilelänge fehlt",IF(OR($G415="",$G415&lt;1),"FEHLER: Stückzahl fehlt",IF(NOT(ISNUMBER($H$4)),"FEHLER: Maschine fehlt/unbekannt",IF(Q415&gt;$H$7,"FEHLER: Stange länger als Maschine zulässt",IF($F415+$H$6&gt;T415,"FEHLER: Teil länger als Nutzlänge",IF(U415="nein","WARNUNG: kein gültiger Materialpreis",IF($H415="","HINWEIS: Schneidweg fehlt",IF(V415="","HINWEIS: keine Schneiddaten",IF(AND($AF415&lt;&gt;"",$AG415=""),"HINWEIS: Gewinde-Vorschlag prüfen","OK")))))))))))))</f>
        <v/>
      </c>
      <c r="X415" s="18" t="str">
        <f aca="false">IF(OR(O415="",$G415=""),"",O415*$G415)</f>
        <v/>
      </c>
      <c r="Y415" s="10"/>
      <c r="Z415" s="21"/>
      <c r="AA415" s="10"/>
      <c r="AB415" s="21"/>
      <c r="AC415" s="21"/>
      <c r="AD415" s="21"/>
      <c r="AE415" s="10"/>
      <c r="AF415" s="10"/>
      <c r="AG415" s="10"/>
      <c r="AH415" s="22"/>
      <c r="AI415" s="21"/>
      <c r="AJ415" s="22"/>
      <c r="AK415" s="21"/>
      <c r="AL415" s="22"/>
      <c r="AM415" s="21"/>
    </row>
    <row r="416" customFormat="false" ht="15" hidden="false" customHeight="false" outlineLevel="0" collapsed="false">
      <c r="A416" s="10"/>
      <c r="B416" s="10"/>
      <c r="C416" s="10"/>
      <c r="D416" s="10"/>
      <c r="E416" s="10"/>
      <c r="F416" s="21"/>
      <c r="G416" s="19"/>
      <c r="H416" s="21"/>
      <c r="I416" s="22"/>
      <c r="J416" s="19"/>
      <c r="K416" s="23" t="str">
        <f aca="false">IF($D416="","",IFERROR(INDEX(Profile!$B$5:$B$304,MATCH($D416,lst_Profil,0)),""))</f>
        <v/>
      </c>
      <c r="L416" s="13" t="str">
        <f aca="false">IF($D416="","",IFERROR(INDEX(Profile!$K$5:$K$304,MATCH($D416,lst_Profil,0))+0,""))</f>
        <v/>
      </c>
      <c r="M416" s="24" t="str">
        <f aca="false">IF($D416="","",IFERROR(INDEX(Profile!$E$5:$E$304,MATCH($D416,lst_Profil,0))+0,""))</f>
        <v/>
      </c>
      <c r="N416" s="25" t="str">
        <f aca="false">IF(OR(L416="",$E416=""),"",IFERROR(L416*INDEX(Werkstoffe!$E$5:$E$304,MATCH($E416,lst_Werkstoff,0))/1000,""))</f>
        <v/>
      </c>
      <c r="O416" s="25" t="str">
        <f aca="false">IF(OR(N416="",$F416=""),"",N416*$F416/1000)</f>
        <v/>
      </c>
      <c r="P416" s="16" t="str">
        <f aca="false">IF(OR($F416="",$G416=""),"",$F416*$G416)</f>
        <v/>
      </c>
      <c r="Q416" s="16" t="str">
        <f aca="false">IF($D416="","",IF($J416&lt;&gt;"",$J416,$C$9))</f>
        <v/>
      </c>
      <c r="R416" s="12" t="str">
        <f aca="false">IF($D416="","",IFERROR(IF(INDEX(Profile!$G$5:$G$304,MATCH($D416,lst_Profil,0))&lt;&gt;"",INDEX(Profile!$G$5:$G$304,MATCH($D416,lst_Profil,0)),$H$4),$H$4))</f>
        <v/>
      </c>
      <c r="S416" s="12" t="str">
        <f aca="false">IF($D416="","",IFERROR(IF(INDEX(Profile!$H$5:$H$304,MATCH($D416,lst_Profil,0))&lt;&gt;"",INDEX(Profile!$H$5:$H$304,MATCH($D416,lst_Profil,0)),$H$5),$H$5))</f>
        <v/>
      </c>
      <c r="T416" s="16" t="str">
        <f aca="false">IF(OR(Q416="",NOT(ISNUMBER(R416)),NOT(ISNUMBER(S416))),"",Q416-R416-S416)</f>
        <v/>
      </c>
      <c r="U416" s="26" t="str">
        <f aca="false">IF(OR($D416="",$E416=""),"",IF(COUNTIFS(Preise!$A$5:$A$304,$D416,Preise!$B$5:$B$304,$E416,Preise!$I$5:$I$304,"OK")&gt;0,"ja","nein"))</f>
        <v/>
      </c>
      <c r="V416" s="15" t="str">
        <f aca="false">IF(OR(M416="",$E416="",$C$8=""),"",IF(_xlfn.MINIFS(Schneiddaten!$C$5:$C$304,Schneiddaten!$A$5:$A$304,$C$8,Schneiddaten!$B$5:$B$304,$E416,Schneiddaten!$C$5:$C$304,"&gt;="&amp;M416)=0,"",SUMIFS(Schneiddaten!$D$5:$D$304,Schneiddaten!$A$5:$A$304,$C$8,Schneiddaten!$B$5:$B$304,$E416,Schneiddaten!$C$5:$C$304,_xlfn.MINIFS(Schneiddaten!$C$5:$C$304,Schneiddaten!$A$5:$A$304,$C$8,Schneiddaten!$B$5:$B$304,$E416,Schneiddaten!$C$5:$C$304,"&gt;="&amp;M416))))</f>
        <v/>
      </c>
      <c r="W416" s="26" t="str">
        <f aca="false">IF(AND($D416="",$E416="",$F416="",$G416=""),"",IF(ISNA(MATCH($D416,lst_Profil,0)),"FEHLER: Profil unbekannt",IF(ISNA(MATCH($E416,lst_Werkstoff,0)),"FEHLER: Werkstoff unbekannt",IF(NOT(ISNUMBER(L416)),"FEHLER: Querschnitt fehlt (Profil)",IF(OR($F416="",$F416&lt;=0),"FEHLER: Teilelänge fehlt",IF(OR($G416="",$G416&lt;1),"FEHLER: Stückzahl fehlt",IF(NOT(ISNUMBER($H$4)),"FEHLER: Maschine fehlt/unbekannt",IF(Q416&gt;$H$7,"FEHLER: Stange länger als Maschine zulässt",IF($F416+$H$6&gt;T416,"FEHLER: Teil länger als Nutzlänge",IF(U416="nein","WARNUNG: kein gültiger Materialpreis",IF($H416="","HINWEIS: Schneidweg fehlt",IF(V416="","HINWEIS: keine Schneiddaten",IF(AND($AF416&lt;&gt;"",$AG416=""),"HINWEIS: Gewinde-Vorschlag prüfen","OK")))))))))))))</f>
        <v/>
      </c>
      <c r="X416" s="18" t="str">
        <f aca="false">IF(OR(O416="",$G416=""),"",O416*$G416)</f>
        <v/>
      </c>
      <c r="Y416" s="10"/>
      <c r="Z416" s="21"/>
      <c r="AA416" s="10"/>
      <c r="AB416" s="21"/>
      <c r="AC416" s="21"/>
      <c r="AD416" s="21"/>
      <c r="AE416" s="10"/>
      <c r="AF416" s="10"/>
      <c r="AG416" s="10"/>
      <c r="AH416" s="22"/>
      <c r="AI416" s="21"/>
      <c r="AJ416" s="22"/>
      <c r="AK416" s="21"/>
      <c r="AL416" s="22"/>
      <c r="AM416" s="21"/>
    </row>
    <row r="417" customFormat="false" ht="15" hidden="false" customHeight="false" outlineLevel="0" collapsed="false">
      <c r="A417" s="10"/>
      <c r="B417" s="10"/>
      <c r="C417" s="10"/>
      <c r="D417" s="10"/>
      <c r="E417" s="10"/>
      <c r="F417" s="21"/>
      <c r="G417" s="19"/>
      <c r="H417" s="21"/>
      <c r="I417" s="22"/>
      <c r="J417" s="19"/>
      <c r="K417" s="23" t="str">
        <f aca="false">IF($D417="","",IFERROR(INDEX(Profile!$B$5:$B$304,MATCH($D417,lst_Profil,0)),""))</f>
        <v/>
      </c>
      <c r="L417" s="13" t="str">
        <f aca="false">IF($D417="","",IFERROR(INDEX(Profile!$K$5:$K$304,MATCH($D417,lst_Profil,0))+0,""))</f>
        <v/>
      </c>
      <c r="M417" s="24" t="str">
        <f aca="false">IF($D417="","",IFERROR(INDEX(Profile!$E$5:$E$304,MATCH($D417,lst_Profil,0))+0,""))</f>
        <v/>
      </c>
      <c r="N417" s="25" t="str">
        <f aca="false">IF(OR(L417="",$E417=""),"",IFERROR(L417*INDEX(Werkstoffe!$E$5:$E$304,MATCH($E417,lst_Werkstoff,0))/1000,""))</f>
        <v/>
      </c>
      <c r="O417" s="25" t="str">
        <f aca="false">IF(OR(N417="",$F417=""),"",N417*$F417/1000)</f>
        <v/>
      </c>
      <c r="P417" s="16" t="str">
        <f aca="false">IF(OR($F417="",$G417=""),"",$F417*$G417)</f>
        <v/>
      </c>
      <c r="Q417" s="16" t="str">
        <f aca="false">IF($D417="","",IF($J417&lt;&gt;"",$J417,$C$9))</f>
        <v/>
      </c>
      <c r="R417" s="12" t="str">
        <f aca="false">IF($D417="","",IFERROR(IF(INDEX(Profile!$G$5:$G$304,MATCH($D417,lst_Profil,0))&lt;&gt;"",INDEX(Profile!$G$5:$G$304,MATCH($D417,lst_Profil,0)),$H$4),$H$4))</f>
        <v/>
      </c>
      <c r="S417" s="12" t="str">
        <f aca="false">IF($D417="","",IFERROR(IF(INDEX(Profile!$H$5:$H$304,MATCH($D417,lst_Profil,0))&lt;&gt;"",INDEX(Profile!$H$5:$H$304,MATCH($D417,lst_Profil,0)),$H$5),$H$5))</f>
        <v/>
      </c>
      <c r="T417" s="16" t="str">
        <f aca="false">IF(OR(Q417="",NOT(ISNUMBER(R417)),NOT(ISNUMBER(S417))),"",Q417-R417-S417)</f>
        <v/>
      </c>
      <c r="U417" s="26" t="str">
        <f aca="false">IF(OR($D417="",$E417=""),"",IF(COUNTIFS(Preise!$A$5:$A$304,$D417,Preise!$B$5:$B$304,$E417,Preise!$I$5:$I$304,"OK")&gt;0,"ja","nein"))</f>
        <v/>
      </c>
      <c r="V417" s="15" t="str">
        <f aca="false">IF(OR(M417="",$E417="",$C$8=""),"",IF(_xlfn.MINIFS(Schneiddaten!$C$5:$C$304,Schneiddaten!$A$5:$A$304,$C$8,Schneiddaten!$B$5:$B$304,$E417,Schneiddaten!$C$5:$C$304,"&gt;="&amp;M417)=0,"",SUMIFS(Schneiddaten!$D$5:$D$304,Schneiddaten!$A$5:$A$304,$C$8,Schneiddaten!$B$5:$B$304,$E417,Schneiddaten!$C$5:$C$304,_xlfn.MINIFS(Schneiddaten!$C$5:$C$304,Schneiddaten!$A$5:$A$304,$C$8,Schneiddaten!$B$5:$B$304,$E417,Schneiddaten!$C$5:$C$304,"&gt;="&amp;M417))))</f>
        <v/>
      </c>
      <c r="W417" s="26" t="str">
        <f aca="false">IF(AND($D417="",$E417="",$F417="",$G417=""),"",IF(ISNA(MATCH($D417,lst_Profil,0)),"FEHLER: Profil unbekannt",IF(ISNA(MATCH($E417,lst_Werkstoff,0)),"FEHLER: Werkstoff unbekannt",IF(NOT(ISNUMBER(L417)),"FEHLER: Querschnitt fehlt (Profil)",IF(OR($F417="",$F417&lt;=0),"FEHLER: Teilelänge fehlt",IF(OR($G417="",$G417&lt;1),"FEHLER: Stückzahl fehlt",IF(NOT(ISNUMBER($H$4)),"FEHLER: Maschine fehlt/unbekannt",IF(Q417&gt;$H$7,"FEHLER: Stange länger als Maschine zulässt",IF($F417+$H$6&gt;T417,"FEHLER: Teil länger als Nutzlänge",IF(U417="nein","WARNUNG: kein gültiger Materialpreis",IF($H417="","HINWEIS: Schneidweg fehlt",IF(V417="","HINWEIS: keine Schneiddaten",IF(AND($AF417&lt;&gt;"",$AG417=""),"HINWEIS: Gewinde-Vorschlag prüfen","OK")))))))))))))</f>
        <v/>
      </c>
      <c r="X417" s="18" t="str">
        <f aca="false">IF(OR(O417="",$G417=""),"",O417*$G417)</f>
        <v/>
      </c>
      <c r="Y417" s="10"/>
      <c r="Z417" s="21"/>
      <c r="AA417" s="10"/>
      <c r="AB417" s="21"/>
      <c r="AC417" s="21"/>
      <c r="AD417" s="21"/>
      <c r="AE417" s="10"/>
      <c r="AF417" s="10"/>
      <c r="AG417" s="10"/>
      <c r="AH417" s="22"/>
      <c r="AI417" s="21"/>
      <c r="AJ417" s="22"/>
      <c r="AK417" s="21"/>
      <c r="AL417" s="22"/>
      <c r="AM417" s="21"/>
    </row>
    <row r="418" customFormat="false" ht="15" hidden="false" customHeight="false" outlineLevel="0" collapsed="false">
      <c r="A418" s="10"/>
      <c r="B418" s="10"/>
      <c r="C418" s="10"/>
      <c r="D418" s="10"/>
      <c r="E418" s="10"/>
      <c r="F418" s="21"/>
      <c r="G418" s="19"/>
      <c r="H418" s="21"/>
      <c r="I418" s="22"/>
      <c r="J418" s="19"/>
      <c r="K418" s="23" t="str">
        <f aca="false">IF($D418="","",IFERROR(INDEX(Profile!$B$5:$B$304,MATCH($D418,lst_Profil,0)),""))</f>
        <v/>
      </c>
      <c r="L418" s="13" t="str">
        <f aca="false">IF($D418="","",IFERROR(INDEX(Profile!$K$5:$K$304,MATCH($D418,lst_Profil,0))+0,""))</f>
        <v/>
      </c>
      <c r="M418" s="24" t="str">
        <f aca="false">IF($D418="","",IFERROR(INDEX(Profile!$E$5:$E$304,MATCH($D418,lst_Profil,0))+0,""))</f>
        <v/>
      </c>
      <c r="N418" s="25" t="str">
        <f aca="false">IF(OR(L418="",$E418=""),"",IFERROR(L418*INDEX(Werkstoffe!$E$5:$E$304,MATCH($E418,lst_Werkstoff,0))/1000,""))</f>
        <v/>
      </c>
      <c r="O418" s="25" t="str">
        <f aca="false">IF(OR(N418="",$F418=""),"",N418*$F418/1000)</f>
        <v/>
      </c>
      <c r="P418" s="16" t="str">
        <f aca="false">IF(OR($F418="",$G418=""),"",$F418*$G418)</f>
        <v/>
      </c>
      <c r="Q418" s="16" t="str">
        <f aca="false">IF($D418="","",IF($J418&lt;&gt;"",$J418,$C$9))</f>
        <v/>
      </c>
      <c r="R418" s="12" t="str">
        <f aca="false">IF($D418="","",IFERROR(IF(INDEX(Profile!$G$5:$G$304,MATCH($D418,lst_Profil,0))&lt;&gt;"",INDEX(Profile!$G$5:$G$304,MATCH($D418,lst_Profil,0)),$H$4),$H$4))</f>
        <v/>
      </c>
      <c r="S418" s="12" t="str">
        <f aca="false">IF($D418="","",IFERROR(IF(INDEX(Profile!$H$5:$H$304,MATCH($D418,lst_Profil,0))&lt;&gt;"",INDEX(Profile!$H$5:$H$304,MATCH($D418,lst_Profil,0)),$H$5),$H$5))</f>
        <v/>
      </c>
      <c r="T418" s="16" t="str">
        <f aca="false">IF(OR(Q418="",NOT(ISNUMBER(R418)),NOT(ISNUMBER(S418))),"",Q418-R418-S418)</f>
        <v/>
      </c>
      <c r="U418" s="26" t="str">
        <f aca="false">IF(OR($D418="",$E418=""),"",IF(COUNTIFS(Preise!$A$5:$A$304,$D418,Preise!$B$5:$B$304,$E418,Preise!$I$5:$I$304,"OK")&gt;0,"ja","nein"))</f>
        <v/>
      </c>
      <c r="V418" s="15" t="str">
        <f aca="false">IF(OR(M418="",$E418="",$C$8=""),"",IF(_xlfn.MINIFS(Schneiddaten!$C$5:$C$304,Schneiddaten!$A$5:$A$304,$C$8,Schneiddaten!$B$5:$B$304,$E418,Schneiddaten!$C$5:$C$304,"&gt;="&amp;M418)=0,"",SUMIFS(Schneiddaten!$D$5:$D$304,Schneiddaten!$A$5:$A$304,$C$8,Schneiddaten!$B$5:$B$304,$E418,Schneiddaten!$C$5:$C$304,_xlfn.MINIFS(Schneiddaten!$C$5:$C$304,Schneiddaten!$A$5:$A$304,$C$8,Schneiddaten!$B$5:$B$304,$E418,Schneiddaten!$C$5:$C$304,"&gt;="&amp;M418))))</f>
        <v/>
      </c>
      <c r="W418" s="26" t="str">
        <f aca="false">IF(AND($D418="",$E418="",$F418="",$G418=""),"",IF(ISNA(MATCH($D418,lst_Profil,0)),"FEHLER: Profil unbekannt",IF(ISNA(MATCH($E418,lst_Werkstoff,0)),"FEHLER: Werkstoff unbekannt",IF(NOT(ISNUMBER(L418)),"FEHLER: Querschnitt fehlt (Profil)",IF(OR($F418="",$F418&lt;=0),"FEHLER: Teilelänge fehlt",IF(OR($G418="",$G418&lt;1),"FEHLER: Stückzahl fehlt",IF(NOT(ISNUMBER($H$4)),"FEHLER: Maschine fehlt/unbekannt",IF(Q418&gt;$H$7,"FEHLER: Stange länger als Maschine zulässt",IF($F418+$H$6&gt;T418,"FEHLER: Teil länger als Nutzlänge",IF(U418="nein","WARNUNG: kein gültiger Materialpreis",IF($H418="","HINWEIS: Schneidweg fehlt",IF(V418="","HINWEIS: keine Schneiddaten",IF(AND($AF418&lt;&gt;"",$AG418=""),"HINWEIS: Gewinde-Vorschlag prüfen","OK")))))))))))))</f>
        <v/>
      </c>
      <c r="X418" s="18" t="str">
        <f aca="false">IF(OR(O418="",$G418=""),"",O418*$G418)</f>
        <v/>
      </c>
      <c r="Y418" s="10"/>
      <c r="Z418" s="21"/>
      <c r="AA418" s="10"/>
      <c r="AB418" s="21"/>
      <c r="AC418" s="21"/>
      <c r="AD418" s="21"/>
      <c r="AE418" s="10"/>
      <c r="AF418" s="10"/>
      <c r="AG418" s="10"/>
      <c r="AH418" s="22"/>
      <c r="AI418" s="21"/>
      <c r="AJ418" s="22"/>
      <c r="AK418" s="21"/>
      <c r="AL418" s="22"/>
      <c r="AM418" s="21"/>
    </row>
    <row r="419" customFormat="false" ht="15" hidden="false" customHeight="false" outlineLevel="0" collapsed="false">
      <c r="A419" s="10"/>
      <c r="B419" s="10"/>
      <c r="C419" s="10"/>
      <c r="D419" s="10"/>
      <c r="E419" s="10"/>
      <c r="F419" s="21"/>
      <c r="G419" s="19"/>
      <c r="H419" s="21"/>
      <c r="I419" s="22"/>
      <c r="J419" s="19"/>
      <c r="K419" s="23" t="str">
        <f aca="false">IF($D419="","",IFERROR(INDEX(Profile!$B$5:$B$304,MATCH($D419,lst_Profil,0)),""))</f>
        <v/>
      </c>
      <c r="L419" s="13" t="str">
        <f aca="false">IF($D419="","",IFERROR(INDEX(Profile!$K$5:$K$304,MATCH($D419,lst_Profil,0))+0,""))</f>
        <v/>
      </c>
      <c r="M419" s="24" t="str">
        <f aca="false">IF($D419="","",IFERROR(INDEX(Profile!$E$5:$E$304,MATCH($D419,lst_Profil,0))+0,""))</f>
        <v/>
      </c>
      <c r="N419" s="25" t="str">
        <f aca="false">IF(OR(L419="",$E419=""),"",IFERROR(L419*INDEX(Werkstoffe!$E$5:$E$304,MATCH($E419,lst_Werkstoff,0))/1000,""))</f>
        <v/>
      </c>
      <c r="O419" s="25" t="str">
        <f aca="false">IF(OR(N419="",$F419=""),"",N419*$F419/1000)</f>
        <v/>
      </c>
      <c r="P419" s="16" t="str">
        <f aca="false">IF(OR($F419="",$G419=""),"",$F419*$G419)</f>
        <v/>
      </c>
      <c r="Q419" s="16" t="str">
        <f aca="false">IF($D419="","",IF($J419&lt;&gt;"",$J419,$C$9))</f>
        <v/>
      </c>
      <c r="R419" s="12" t="str">
        <f aca="false">IF($D419="","",IFERROR(IF(INDEX(Profile!$G$5:$G$304,MATCH($D419,lst_Profil,0))&lt;&gt;"",INDEX(Profile!$G$5:$G$304,MATCH($D419,lst_Profil,0)),$H$4),$H$4))</f>
        <v/>
      </c>
      <c r="S419" s="12" t="str">
        <f aca="false">IF($D419="","",IFERROR(IF(INDEX(Profile!$H$5:$H$304,MATCH($D419,lst_Profil,0))&lt;&gt;"",INDEX(Profile!$H$5:$H$304,MATCH($D419,lst_Profil,0)),$H$5),$H$5))</f>
        <v/>
      </c>
      <c r="T419" s="16" t="str">
        <f aca="false">IF(OR(Q419="",NOT(ISNUMBER(R419)),NOT(ISNUMBER(S419))),"",Q419-R419-S419)</f>
        <v/>
      </c>
      <c r="U419" s="26" t="str">
        <f aca="false">IF(OR($D419="",$E419=""),"",IF(COUNTIFS(Preise!$A$5:$A$304,$D419,Preise!$B$5:$B$304,$E419,Preise!$I$5:$I$304,"OK")&gt;0,"ja","nein"))</f>
        <v/>
      </c>
      <c r="V419" s="15" t="str">
        <f aca="false">IF(OR(M419="",$E419="",$C$8=""),"",IF(_xlfn.MINIFS(Schneiddaten!$C$5:$C$304,Schneiddaten!$A$5:$A$304,$C$8,Schneiddaten!$B$5:$B$304,$E419,Schneiddaten!$C$5:$C$304,"&gt;="&amp;M419)=0,"",SUMIFS(Schneiddaten!$D$5:$D$304,Schneiddaten!$A$5:$A$304,$C$8,Schneiddaten!$B$5:$B$304,$E419,Schneiddaten!$C$5:$C$304,_xlfn.MINIFS(Schneiddaten!$C$5:$C$304,Schneiddaten!$A$5:$A$304,$C$8,Schneiddaten!$B$5:$B$304,$E419,Schneiddaten!$C$5:$C$304,"&gt;="&amp;M419))))</f>
        <v/>
      </c>
      <c r="W419" s="26" t="str">
        <f aca="false">IF(AND($D419="",$E419="",$F419="",$G419=""),"",IF(ISNA(MATCH($D419,lst_Profil,0)),"FEHLER: Profil unbekannt",IF(ISNA(MATCH($E419,lst_Werkstoff,0)),"FEHLER: Werkstoff unbekannt",IF(NOT(ISNUMBER(L419)),"FEHLER: Querschnitt fehlt (Profil)",IF(OR($F419="",$F419&lt;=0),"FEHLER: Teilelänge fehlt",IF(OR($G419="",$G419&lt;1),"FEHLER: Stückzahl fehlt",IF(NOT(ISNUMBER($H$4)),"FEHLER: Maschine fehlt/unbekannt",IF(Q419&gt;$H$7,"FEHLER: Stange länger als Maschine zulässt",IF($F419+$H$6&gt;T419,"FEHLER: Teil länger als Nutzlänge",IF(U419="nein","WARNUNG: kein gültiger Materialpreis",IF($H419="","HINWEIS: Schneidweg fehlt",IF(V419="","HINWEIS: keine Schneiddaten",IF(AND($AF419&lt;&gt;"",$AG419=""),"HINWEIS: Gewinde-Vorschlag prüfen","OK")))))))))))))</f>
        <v/>
      </c>
      <c r="X419" s="18" t="str">
        <f aca="false">IF(OR(O419="",$G419=""),"",O419*$G419)</f>
        <v/>
      </c>
      <c r="Y419" s="10"/>
      <c r="Z419" s="21"/>
      <c r="AA419" s="10"/>
      <c r="AB419" s="21"/>
      <c r="AC419" s="21"/>
      <c r="AD419" s="21"/>
      <c r="AE419" s="10"/>
      <c r="AF419" s="10"/>
      <c r="AG419" s="10"/>
      <c r="AH419" s="22"/>
      <c r="AI419" s="21"/>
      <c r="AJ419" s="22"/>
      <c r="AK419" s="21"/>
      <c r="AL419" s="22"/>
      <c r="AM419" s="21"/>
    </row>
    <row r="420" customFormat="false" ht="15" hidden="false" customHeight="false" outlineLevel="0" collapsed="false">
      <c r="A420" s="10"/>
      <c r="B420" s="10"/>
      <c r="C420" s="10"/>
      <c r="D420" s="10"/>
      <c r="E420" s="10"/>
      <c r="F420" s="21"/>
      <c r="G420" s="19"/>
      <c r="H420" s="21"/>
      <c r="I420" s="22"/>
      <c r="J420" s="19"/>
      <c r="K420" s="23" t="str">
        <f aca="false">IF($D420="","",IFERROR(INDEX(Profile!$B$5:$B$304,MATCH($D420,lst_Profil,0)),""))</f>
        <v/>
      </c>
      <c r="L420" s="13" t="str">
        <f aca="false">IF($D420="","",IFERROR(INDEX(Profile!$K$5:$K$304,MATCH($D420,lst_Profil,0))+0,""))</f>
        <v/>
      </c>
      <c r="M420" s="24" t="str">
        <f aca="false">IF($D420="","",IFERROR(INDEX(Profile!$E$5:$E$304,MATCH($D420,lst_Profil,0))+0,""))</f>
        <v/>
      </c>
      <c r="N420" s="25" t="str">
        <f aca="false">IF(OR(L420="",$E420=""),"",IFERROR(L420*INDEX(Werkstoffe!$E$5:$E$304,MATCH($E420,lst_Werkstoff,0))/1000,""))</f>
        <v/>
      </c>
      <c r="O420" s="25" t="str">
        <f aca="false">IF(OR(N420="",$F420=""),"",N420*$F420/1000)</f>
        <v/>
      </c>
      <c r="P420" s="16" t="str">
        <f aca="false">IF(OR($F420="",$G420=""),"",$F420*$G420)</f>
        <v/>
      </c>
      <c r="Q420" s="16" t="str">
        <f aca="false">IF($D420="","",IF($J420&lt;&gt;"",$J420,$C$9))</f>
        <v/>
      </c>
      <c r="R420" s="12" t="str">
        <f aca="false">IF($D420="","",IFERROR(IF(INDEX(Profile!$G$5:$G$304,MATCH($D420,lst_Profil,0))&lt;&gt;"",INDEX(Profile!$G$5:$G$304,MATCH($D420,lst_Profil,0)),$H$4),$H$4))</f>
        <v/>
      </c>
      <c r="S420" s="12" t="str">
        <f aca="false">IF($D420="","",IFERROR(IF(INDEX(Profile!$H$5:$H$304,MATCH($D420,lst_Profil,0))&lt;&gt;"",INDEX(Profile!$H$5:$H$304,MATCH($D420,lst_Profil,0)),$H$5),$H$5))</f>
        <v/>
      </c>
      <c r="T420" s="16" t="str">
        <f aca="false">IF(OR(Q420="",NOT(ISNUMBER(R420)),NOT(ISNUMBER(S420))),"",Q420-R420-S420)</f>
        <v/>
      </c>
      <c r="U420" s="26" t="str">
        <f aca="false">IF(OR($D420="",$E420=""),"",IF(COUNTIFS(Preise!$A$5:$A$304,$D420,Preise!$B$5:$B$304,$E420,Preise!$I$5:$I$304,"OK")&gt;0,"ja","nein"))</f>
        <v/>
      </c>
      <c r="V420" s="15" t="str">
        <f aca="false">IF(OR(M420="",$E420="",$C$8=""),"",IF(_xlfn.MINIFS(Schneiddaten!$C$5:$C$304,Schneiddaten!$A$5:$A$304,$C$8,Schneiddaten!$B$5:$B$304,$E420,Schneiddaten!$C$5:$C$304,"&gt;="&amp;M420)=0,"",SUMIFS(Schneiddaten!$D$5:$D$304,Schneiddaten!$A$5:$A$304,$C$8,Schneiddaten!$B$5:$B$304,$E420,Schneiddaten!$C$5:$C$304,_xlfn.MINIFS(Schneiddaten!$C$5:$C$304,Schneiddaten!$A$5:$A$304,$C$8,Schneiddaten!$B$5:$B$304,$E420,Schneiddaten!$C$5:$C$304,"&gt;="&amp;M420))))</f>
        <v/>
      </c>
      <c r="W420" s="26" t="str">
        <f aca="false">IF(AND($D420="",$E420="",$F420="",$G420=""),"",IF(ISNA(MATCH($D420,lst_Profil,0)),"FEHLER: Profil unbekannt",IF(ISNA(MATCH($E420,lst_Werkstoff,0)),"FEHLER: Werkstoff unbekannt",IF(NOT(ISNUMBER(L420)),"FEHLER: Querschnitt fehlt (Profil)",IF(OR($F420="",$F420&lt;=0),"FEHLER: Teilelänge fehlt",IF(OR($G420="",$G420&lt;1),"FEHLER: Stückzahl fehlt",IF(NOT(ISNUMBER($H$4)),"FEHLER: Maschine fehlt/unbekannt",IF(Q420&gt;$H$7,"FEHLER: Stange länger als Maschine zulässt",IF($F420+$H$6&gt;T420,"FEHLER: Teil länger als Nutzlänge",IF(U420="nein","WARNUNG: kein gültiger Materialpreis",IF($H420="","HINWEIS: Schneidweg fehlt",IF(V420="","HINWEIS: keine Schneiddaten",IF(AND($AF420&lt;&gt;"",$AG420=""),"HINWEIS: Gewinde-Vorschlag prüfen","OK")))))))))))))</f>
        <v/>
      </c>
      <c r="X420" s="18" t="str">
        <f aca="false">IF(OR(O420="",$G420=""),"",O420*$G420)</f>
        <v/>
      </c>
      <c r="Y420" s="10"/>
      <c r="Z420" s="21"/>
      <c r="AA420" s="10"/>
      <c r="AB420" s="21"/>
      <c r="AC420" s="21"/>
      <c r="AD420" s="21"/>
      <c r="AE420" s="10"/>
      <c r="AF420" s="10"/>
      <c r="AG420" s="10"/>
      <c r="AH420" s="22"/>
      <c r="AI420" s="21"/>
      <c r="AJ420" s="22"/>
      <c r="AK420" s="21"/>
      <c r="AL420" s="22"/>
      <c r="AM420" s="21"/>
    </row>
    <row r="421" customFormat="false" ht="15" hidden="false" customHeight="false" outlineLevel="0" collapsed="false">
      <c r="A421" s="10"/>
      <c r="B421" s="10"/>
      <c r="C421" s="10"/>
      <c r="D421" s="10"/>
      <c r="E421" s="10"/>
      <c r="F421" s="21"/>
      <c r="G421" s="19"/>
      <c r="H421" s="21"/>
      <c r="I421" s="22"/>
      <c r="J421" s="19"/>
      <c r="K421" s="23" t="str">
        <f aca="false">IF($D421="","",IFERROR(INDEX(Profile!$B$5:$B$304,MATCH($D421,lst_Profil,0)),""))</f>
        <v/>
      </c>
      <c r="L421" s="13" t="str">
        <f aca="false">IF($D421="","",IFERROR(INDEX(Profile!$K$5:$K$304,MATCH($D421,lst_Profil,0))+0,""))</f>
        <v/>
      </c>
      <c r="M421" s="24" t="str">
        <f aca="false">IF($D421="","",IFERROR(INDEX(Profile!$E$5:$E$304,MATCH($D421,lst_Profil,0))+0,""))</f>
        <v/>
      </c>
      <c r="N421" s="25" t="str">
        <f aca="false">IF(OR(L421="",$E421=""),"",IFERROR(L421*INDEX(Werkstoffe!$E$5:$E$304,MATCH($E421,lst_Werkstoff,0))/1000,""))</f>
        <v/>
      </c>
      <c r="O421" s="25" t="str">
        <f aca="false">IF(OR(N421="",$F421=""),"",N421*$F421/1000)</f>
        <v/>
      </c>
      <c r="P421" s="16" t="str">
        <f aca="false">IF(OR($F421="",$G421=""),"",$F421*$G421)</f>
        <v/>
      </c>
      <c r="Q421" s="16" t="str">
        <f aca="false">IF($D421="","",IF($J421&lt;&gt;"",$J421,$C$9))</f>
        <v/>
      </c>
      <c r="R421" s="12" t="str">
        <f aca="false">IF($D421="","",IFERROR(IF(INDEX(Profile!$G$5:$G$304,MATCH($D421,lst_Profil,0))&lt;&gt;"",INDEX(Profile!$G$5:$G$304,MATCH($D421,lst_Profil,0)),$H$4),$H$4))</f>
        <v/>
      </c>
      <c r="S421" s="12" t="str">
        <f aca="false">IF($D421="","",IFERROR(IF(INDEX(Profile!$H$5:$H$304,MATCH($D421,lst_Profil,0))&lt;&gt;"",INDEX(Profile!$H$5:$H$304,MATCH($D421,lst_Profil,0)),$H$5),$H$5))</f>
        <v/>
      </c>
      <c r="T421" s="16" t="str">
        <f aca="false">IF(OR(Q421="",NOT(ISNUMBER(R421)),NOT(ISNUMBER(S421))),"",Q421-R421-S421)</f>
        <v/>
      </c>
      <c r="U421" s="26" t="str">
        <f aca="false">IF(OR($D421="",$E421=""),"",IF(COUNTIFS(Preise!$A$5:$A$304,$D421,Preise!$B$5:$B$304,$E421,Preise!$I$5:$I$304,"OK")&gt;0,"ja","nein"))</f>
        <v/>
      </c>
      <c r="V421" s="15" t="str">
        <f aca="false">IF(OR(M421="",$E421="",$C$8=""),"",IF(_xlfn.MINIFS(Schneiddaten!$C$5:$C$304,Schneiddaten!$A$5:$A$304,$C$8,Schneiddaten!$B$5:$B$304,$E421,Schneiddaten!$C$5:$C$304,"&gt;="&amp;M421)=0,"",SUMIFS(Schneiddaten!$D$5:$D$304,Schneiddaten!$A$5:$A$304,$C$8,Schneiddaten!$B$5:$B$304,$E421,Schneiddaten!$C$5:$C$304,_xlfn.MINIFS(Schneiddaten!$C$5:$C$304,Schneiddaten!$A$5:$A$304,$C$8,Schneiddaten!$B$5:$B$304,$E421,Schneiddaten!$C$5:$C$304,"&gt;="&amp;M421))))</f>
        <v/>
      </c>
      <c r="W421" s="26" t="str">
        <f aca="false">IF(AND($D421="",$E421="",$F421="",$G421=""),"",IF(ISNA(MATCH($D421,lst_Profil,0)),"FEHLER: Profil unbekannt",IF(ISNA(MATCH($E421,lst_Werkstoff,0)),"FEHLER: Werkstoff unbekannt",IF(NOT(ISNUMBER(L421)),"FEHLER: Querschnitt fehlt (Profil)",IF(OR($F421="",$F421&lt;=0),"FEHLER: Teilelänge fehlt",IF(OR($G421="",$G421&lt;1),"FEHLER: Stückzahl fehlt",IF(NOT(ISNUMBER($H$4)),"FEHLER: Maschine fehlt/unbekannt",IF(Q421&gt;$H$7,"FEHLER: Stange länger als Maschine zulässt",IF($F421+$H$6&gt;T421,"FEHLER: Teil länger als Nutzlänge",IF(U421="nein","WARNUNG: kein gültiger Materialpreis",IF($H421="","HINWEIS: Schneidweg fehlt",IF(V421="","HINWEIS: keine Schneiddaten",IF(AND($AF421&lt;&gt;"",$AG421=""),"HINWEIS: Gewinde-Vorschlag prüfen","OK")))))))))))))</f>
        <v/>
      </c>
      <c r="X421" s="18" t="str">
        <f aca="false">IF(OR(O421="",$G421=""),"",O421*$G421)</f>
        <v/>
      </c>
      <c r="Y421" s="10"/>
      <c r="Z421" s="21"/>
      <c r="AA421" s="10"/>
      <c r="AB421" s="21"/>
      <c r="AC421" s="21"/>
      <c r="AD421" s="21"/>
      <c r="AE421" s="10"/>
      <c r="AF421" s="10"/>
      <c r="AG421" s="10"/>
      <c r="AH421" s="22"/>
      <c r="AI421" s="21"/>
      <c r="AJ421" s="22"/>
      <c r="AK421" s="21"/>
      <c r="AL421" s="22"/>
      <c r="AM421" s="21"/>
    </row>
    <row r="422" customFormat="false" ht="15" hidden="false" customHeight="false" outlineLevel="0" collapsed="false">
      <c r="A422" s="10"/>
      <c r="B422" s="10"/>
      <c r="C422" s="10"/>
      <c r="D422" s="10"/>
      <c r="E422" s="10"/>
      <c r="F422" s="21"/>
      <c r="G422" s="19"/>
      <c r="H422" s="21"/>
      <c r="I422" s="22"/>
      <c r="J422" s="19"/>
      <c r="K422" s="23" t="str">
        <f aca="false">IF($D422="","",IFERROR(INDEX(Profile!$B$5:$B$304,MATCH($D422,lst_Profil,0)),""))</f>
        <v/>
      </c>
      <c r="L422" s="13" t="str">
        <f aca="false">IF($D422="","",IFERROR(INDEX(Profile!$K$5:$K$304,MATCH($D422,lst_Profil,0))+0,""))</f>
        <v/>
      </c>
      <c r="M422" s="24" t="str">
        <f aca="false">IF($D422="","",IFERROR(INDEX(Profile!$E$5:$E$304,MATCH($D422,lst_Profil,0))+0,""))</f>
        <v/>
      </c>
      <c r="N422" s="25" t="str">
        <f aca="false">IF(OR(L422="",$E422=""),"",IFERROR(L422*INDEX(Werkstoffe!$E$5:$E$304,MATCH($E422,lst_Werkstoff,0))/1000,""))</f>
        <v/>
      </c>
      <c r="O422" s="25" t="str">
        <f aca="false">IF(OR(N422="",$F422=""),"",N422*$F422/1000)</f>
        <v/>
      </c>
      <c r="P422" s="16" t="str">
        <f aca="false">IF(OR($F422="",$G422=""),"",$F422*$G422)</f>
        <v/>
      </c>
      <c r="Q422" s="16" t="str">
        <f aca="false">IF($D422="","",IF($J422&lt;&gt;"",$J422,$C$9))</f>
        <v/>
      </c>
      <c r="R422" s="12" t="str">
        <f aca="false">IF($D422="","",IFERROR(IF(INDEX(Profile!$G$5:$G$304,MATCH($D422,lst_Profil,0))&lt;&gt;"",INDEX(Profile!$G$5:$G$304,MATCH($D422,lst_Profil,0)),$H$4),$H$4))</f>
        <v/>
      </c>
      <c r="S422" s="12" t="str">
        <f aca="false">IF($D422="","",IFERROR(IF(INDEX(Profile!$H$5:$H$304,MATCH($D422,lst_Profil,0))&lt;&gt;"",INDEX(Profile!$H$5:$H$304,MATCH($D422,lst_Profil,0)),$H$5),$H$5))</f>
        <v/>
      </c>
      <c r="T422" s="16" t="str">
        <f aca="false">IF(OR(Q422="",NOT(ISNUMBER(R422)),NOT(ISNUMBER(S422))),"",Q422-R422-S422)</f>
        <v/>
      </c>
      <c r="U422" s="26" t="str">
        <f aca="false">IF(OR($D422="",$E422=""),"",IF(COUNTIFS(Preise!$A$5:$A$304,$D422,Preise!$B$5:$B$304,$E422,Preise!$I$5:$I$304,"OK")&gt;0,"ja","nein"))</f>
        <v/>
      </c>
      <c r="V422" s="15" t="str">
        <f aca="false">IF(OR(M422="",$E422="",$C$8=""),"",IF(_xlfn.MINIFS(Schneiddaten!$C$5:$C$304,Schneiddaten!$A$5:$A$304,$C$8,Schneiddaten!$B$5:$B$304,$E422,Schneiddaten!$C$5:$C$304,"&gt;="&amp;M422)=0,"",SUMIFS(Schneiddaten!$D$5:$D$304,Schneiddaten!$A$5:$A$304,$C$8,Schneiddaten!$B$5:$B$304,$E422,Schneiddaten!$C$5:$C$304,_xlfn.MINIFS(Schneiddaten!$C$5:$C$304,Schneiddaten!$A$5:$A$304,$C$8,Schneiddaten!$B$5:$B$304,$E422,Schneiddaten!$C$5:$C$304,"&gt;="&amp;M422))))</f>
        <v/>
      </c>
      <c r="W422" s="26" t="str">
        <f aca="false">IF(AND($D422="",$E422="",$F422="",$G422=""),"",IF(ISNA(MATCH($D422,lst_Profil,0)),"FEHLER: Profil unbekannt",IF(ISNA(MATCH($E422,lst_Werkstoff,0)),"FEHLER: Werkstoff unbekannt",IF(NOT(ISNUMBER(L422)),"FEHLER: Querschnitt fehlt (Profil)",IF(OR($F422="",$F422&lt;=0),"FEHLER: Teilelänge fehlt",IF(OR($G422="",$G422&lt;1),"FEHLER: Stückzahl fehlt",IF(NOT(ISNUMBER($H$4)),"FEHLER: Maschine fehlt/unbekannt",IF(Q422&gt;$H$7,"FEHLER: Stange länger als Maschine zulässt",IF($F422+$H$6&gt;T422,"FEHLER: Teil länger als Nutzlänge",IF(U422="nein","WARNUNG: kein gültiger Materialpreis",IF($H422="","HINWEIS: Schneidweg fehlt",IF(V422="","HINWEIS: keine Schneiddaten",IF(AND($AF422&lt;&gt;"",$AG422=""),"HINWEIS: Gewinde-Vorschlag prüfen","OK")))))))))))))</f>
        <v/>
      </c>
      <c r="X422" s="18" t="str">
        <f aca="false">IF(OR(O422="",$G422=""),"",O422*$G422)</f>
        <v/>
      </c>
      <c r="Y422" s="10"/>
      <c r="Z422" s="21"/>
      <c r="AA422" s="10"/>
      <c r="AB422" s="21"/>
      <c r="AC422" s="21"/>
      <c r="AD422" s="21"/>
      <c r="AE422" s="10"/>
      <c r="AF422" s="10"/>
      <c r="AG422" s="10"/>
      <c r="AH422" s="22"/>
      <c r="AI422" s="21"/>
      <c r="AJ422" s="22"/>
      <c r="AK422" s="21"/>
      <c r="AL422" s="22"/>
      <c r="AM422" s="21"/>
    </row>
    <row r="423" customFormat="false" ht="15" hidden="false" customHeight="false" outlineLevel="0" collapsed="false">
      <c r="A423" s="10"/>
      <c r="B423" s="10"/>
      <c r="C423" s="10"/>
      <c r="D423" s="10"/>
      <c r="E423" s="10"/>
      <c r="F423" s="21"/>
      <c r="G423" s="19"/>
      <c r="H423" s="21"/>
      <c r="I423" s="22"/>
      <c r="J423" s="19"/>
      <c r="K423" s="23" t="str">
        <f aca="false">IF($D423="","",IFERROR(INDEX(Profile!$B$5:$B$304,MATCH($D423,lst_Profil,0)),""))</f>
        <v/>
      </c>
      <c r="L423" s="13" t="str">
        <f aca="false">IF($D423="","",IFERROR(INDEX(Profile!$K$5:$K$304,MATCH($D423,lst_Profil,0))+0,""))</f>
        <v/>
      </c>
      <c r="M423" s="24" t="str">
        <f aca="false">IF($D423="","",IFERROR(INDEX(Profile!$E$5:$E$304,MATCH($D423,lst_Profil,0))+0,""))</f>
        <v/>
      </c>
      <c r="N423" s="25" t="str">
        <f aca="false">IF(OR(L423="",$E423=""),"",IFERROR(L423*INDEX(Werkstoffe!$E$5:$E$304,MATCH($E423,lst_Werkstoff,0))/1000,""))</f>
        <v/>
      </c>
      <c r="O423" s="25" t="str">
        <f aca="false">IF(OR(N423="",$F423=""),"",N423*$F423/1000)</f>
        <v/>
      </c>
      <c r="P423" s="16" t="str">
        <f aca="false">IF(OR($F423="",$G423=""),"",$F423*$G423)</f>
        <v/>
      </c>
      <c r="Q423" s="16" t="str">
        <f aca="false">IF($D423="","",IF($J423&lt;&gt;"",$J423,$C$9))</f>
        <v/>
      </c>
      <c r="R423" s="12" t="str">
        <f aca="false">IF($D423="","",IFERROR(IF(INDEX(Profile!$G$5:$G$304,MATCH($D423,lst_Profil,0))&lt;&gt;"",INDEX(Profile!$G$5:$G$304,MATCH($D423,lst_Profil,0)),$H$4),$H$4))</f>
        <v/>
      </c>
      <c r="S423" s="12" t="str">
        <f aca="false">IF($D423="","",IFERROR(IF(INDEX(Profile!$H$5:$H$304,MATCH($D423,lst_Profil,0))&lt;&gt;"",INDEX(Profile!$H$5:$H$304,MATCH($D423,lst_Profil,0)),$H$5),$H$5))</f>
        <v/>
      </c>
      <c r="T423" s="16" t="str">
        <f aca="false">IF(OR(Q423="",NOT(ISNUMBER(R423)),NOT(ISNUMBER(S423))),"",Q423-R423-S423)</f>
        <v/>
      </c>
      <c r="U423" s="26" t="str">
        <f aca="false">IF(OR($D423="",$E423=""),"",IF(COUNTIFS(Preise!$A$5:$A$304,$D423,Preise!$B$5:$B$304,$E423,Preise!$I$5:$I$304,"OK")&gt;0,"ja","nein"))</f>
        <v/>
      </c>
      <c r="V423" s="15" t="str">
        <f aca="false">IF(OR(M423="",$E423="",$C$8=""),"",IF(_xlfn.MINIFS(Schneiddaten!$C$5:$C$304,Schneiddaten!$A$5:$A$304,$C$8,Schneiddaten!$B$5:$B$304,$E423,Schneiddaten!$C$5:$C$304,"&gt;="&amp;M423)=0,"",SUMIFS(Schneiddaten!$D$5:$D$304,Schneiddaten!$A$5:$A$304,$C$8,Schneiddaten!$B$5:$B$304,$E423,Schneiddaten!$C$5:$C$304,_xlfn.MINIFS(Schneiddaten!$C$5:$C$304,Schneiddaten!$A$5:$A$304,$C$8,Schneiddaten!$B$5:$B$304,$E423,Schneiddaten!$C$5:$C$304,"&gt;="&amp;M423))))</f>
        <v/>
      </c>
      <c r="W423" s="26" t="str">
        <f aca="false">IF(AND($D423="",$E423="",$F423="",$G423=""),"",IF(ISNA(MATCH($D423,lst_Profil,0)),"FEHLER: Profil unbekannt",IF(ISNA(MATCH($E423,lst_Werkstoff,0)),"FEHLER: Werkstoff unbekannt",IF(NOT(ISNUMBER(L423)),"FEHLER: Querschnitt fehlt (Profil)",IF(OR($F423="",$F423&lt;=0),"FEHLER: Teilelänge fehlt",IF(OR($G423="",$G423&lt;1),"FEHLER: Stückzahl fehlt",IF(NOT(ISNUMBER($H$4)),"FEHLER: Maschine fehlt/unbekannt",IF(Q423&gt;$H$7,"FEHLER: Stange länger als Maschine zulässt",IF($F423+$H$6&gt;T423,"FEHLER: Teil länger als Nutzlänge",IF(U423="nein","WARNUNG: kein gültiger Materialpreis",IF($H423="","HINWEIS: Schneidweg fehlt",IF(V423="","HINWEIS: keine Schneiddaten",IF(AND($AF423&lt;&gt;"",$AG423=""),"HINWEIS: Gewinde-Vorschlag prüfen","OK")))))))))))))</f>
        <v/>
      </c>
      <c r="X423" s="18" t="str">
        <f aca="false">IF(OR(O423="",$G423=""),"",O423*$G423)</f>
        <v/>
      </c>
      <c r="Y423" s="10"/>
      <c r="Z423" s="21"/>
      <c r="AA423" s="10"/>
      <c r="AB423" s="21"/>
      <c r="AC423" s="21"/>
      <c r="AD423" s="21"/>
      <c r="AE423" s="10"/>
      <c r="AF423" s="10"/>
      <c r="AG423" s="10"/>
      <c r="AH423" s="22"/>
      <c r="AI423" s="21"/>
      <c r="AJ423" s="22"/>
      <c r="AK423" s="21"/>
      <c r="AL423" s="22"/>
      <c r="AM423" s="21"/>
    </row>
    <row r="424" customFormat="false" ht="15" hidden="false" customHeight="false" outlineLevel="0" collapsed="false">
      <c r="A424" s="10"/>
      <c r="B424" s="10"/>
      <c r="C424" s="10"/>
      <c r="D424" s="10"/>
      <c r="E424" s="10"/>
      <c r="F424" s="21"/>
      <c r="G424" s="19"/>
      <c r="H424" s="21"/>
      <c r="I424" s="22"/>
      <c r="J424" s="19"/>
      <c r="K424" s="23" t="str">
        <f aca="false">IF($D424="","",IFERROR(INDEX(Profile!$B$5:$B$304,MATCH($D424,lst_Profil,0)),""))</f>
        <v/>
      </c>
      <c r="L424" s="13" t="str">
        <f aca="false">IF($D424="","",IFERROR(INDEX(Profile!$K$5:$K$304,MATCH($D424,lst_Profil,0))+0,""))</f>
        <v/>
      </c>
      <c r="M424" s="24" t="str">
        <f aca="false">IF($D424="","",IFERROR(INDEX(Profile!$E$5:$E$304,MATCH($D424,lst_Profil,0))+0,""))</f>
        <v/>
      </c>
      <c r="N424" s="25" t="str">
        <f aca="false">IF(OR(L424="",$E424=""),"",IFERROR(L424*INDEX(Werkstoffe!$E$5:$E$304,MATCH($E424,lst_Werkstoff,0))/1000,""))</f>
        <v/>
      </c>
      <c r="O424" s="25" t="str">
        <f aca="false">IF(OR(N424="",$F424=""),"",N424*$F424/1000)</f>
        <v/>
      </c>
      <c r="P424" s="16" t="str">
        <f aca="false">IF(OR($F424="",$G424=""),"",$F424*$G424)</f>
        <v/>
      </c>
      <c r="Q424" s="16" t="str">
        <f aca="false">IF($D424="","",IF($J424&lt;&gt;"",$J424,$C$9))</f>
        <v/>
      </c>
      <c r="R424" s="12" t="str">
        <f aca="false">IF($D424="","",IFERROR(IF(INDEX(Profile!$G$5:$G$304,MATCH($D424,lst_Profil,0))&lt;&gt;"",INDEX(Profile!$G$5:$G$304,MATCH($D424,lst_Profil,0)),$H$4),$H$4))</f>
        <v/>
      </c>
      <c r="S424" s="12" t="str">
        <f aca="false">IF($D424="","",IFERROR(IF(INDEX(Profile!$H$5:$H$304,MATCH($D424,lst_Profil,0))&lt;&gt;"",INDEX(Profile!$H$5:$H$304,MATCH($D424,lst_Profil,0)),$H$5),$H$5))</f>
        <v/>
      </c>
      <c r="T424" s="16" t="str">
        <f aca="false">IF(OR(Q424="",NOT(ISNUMBER(R424)),NOT(ISNUMBER(S424))),"",Q424-R424-S424)</f>
        <v/>
      </c>
      <c r="U424" s="26" t="str">
        <f aca="false">IF(OR($D424="",$E424=""),"",IF(COUNTIFS(Preise!$A$5:$A$304,$D424,Preise!$B$5:$B$304,$E424,Preise!$I$5:$I$304,"OK")&gt;0,"ja","nein"))</f>
        <v/>
      </c>
      <c r="V424" s="15" t="str">
        <f aca="false">IF(OR(M424="",$E424="",$C$8=""),"",IF(_xlfn.MINIFS(Schneiddaten!$C$5:$C$304,Schneiddaten!$A$5:$A$304,$C$8,Schneiddaten!$B$5:$B$304,$E424,Schneiddaten!$C$5:$C$304,"&gt;="&amp;M424)=0,"",SUMIFS(Schneiddaten!$D$5:$D$304,Schneiddaten!$A$5:$A$304,$C$8,Schneiddaten!$B$5:$B$304,$E424,Schneiddaten!$C$5:$C$304,_xlfn.MINIFS(Schneiddaten!$C$5:$C$304,Schneiddaten!$A$5:$A$304,$C$8,Schneiddaten!$B$5:$B$304,$E424,Schneiddaten!$C$5:$C$304,"&gt;="&amp;M424))))</f>
        <v/>
      </c>
      <c r="W424" s="26" t="str">
        <f aca="false">IF(AND($D424="",$E424="",$F424="",$G424=""),"",IF(ISNA(MATCH($D424,lst_Profil,0)),"FEHLER: Profil unbekannt",IF(ISNA(MATCH($E424,lst_Werkstoff,0)),"FEHLER: Werkstoff unbekannt",IF(NOT(ISNUMBER(L424)),"FEHLER: Querschnitt fehlt (Profil)",IF(OR($F424="",$F424&lt;=0),"FEHLER: Teilelänge fehlt",IF(OR($G424="",$G424&lt;1),"FEHLER: Stückzahl fehlt",IF(NOT(ISNUMBER($H$4)),"FEHLER: Maschine fehlt/unbekannt",IF(Q424&gt;$H$7,"FEHLER: Stange länger als Maschine zulässt",IF($F424+$H$6&gt;T424,"FEHLER: Teil länger als Nutzlänge",IF(U424="nein","WARNUNG: kein gültiger Materialpreis",IF($H424="","HINWEIS: Schneidweg fehlt",IF(V424="","HINWEIS: keine Schneiddaten",IF(AND($AF424&lt;&gt;"",$AG424=""),"HINWEIS: Gewinde-Vorschlag prüfen","OK")))))))))))))</f>
        <v/>
      </c>
      <c r="X424" s="18" t="str">
        <f aca="false">IF(OR(O424="",$G424=""),"",O424*$G424)</f>
        <v/>
      </c>
      <c r="Y424" s="10"/>
      <c r="Z424" s="21"/>
      <c r="AA424" s="10"/>
      <c r="AB424" s="21"/>
      <c r="AC424" s="21"/>
      <c r="AD424" s="21"/>
      <c r="AE424" s="10"/>
      <c r="AF424" s="10"/>
      <c r="AG424" s="10"/>
      <c r="AH424" s="22"/>
      <c r="AI424" s="21"/>
      <c r="AJ424" s="22"/>
      <c r="AK424" s="21"/>
      <c r="AL424" s="22"/>
      <c r="AM424" s="21"/>
    </row>
    <row r="425" customFormat="false" ht="15" hidden="false" customHeight="false" outlineLevel="0" collapsed="false">
      <c r="A425" s="10"/>
      <c r="B425" s="10"/>
      <c r="C425" s="10"/>
      <c r="D425" s="10"/>
      <c r="E425" s="10"/>
      <c r="F425" s="21"/>
      <c r="G425" s="19"/>
      <c r="H425" s="21"/>
      <c r="I425" s="22"/>
      <c r="J425" s="19"/>
      <c r="K425" s="23" t="str">
        <f aca="false">IF($D425="","",IFERROR(INDEX(Profile!$B$5:$B$304,MATCH($D425,lst_Profil,0)),""))</f>
        <v/>
      </c>
      <c r="L425" s="13" t="str">
        <f aca="false">IF($D425="","",IFERROR(INDEX(Profile!$K$5:$K$304,MATCH($D425,lst_Profil,0))+0,""))</f>
        <v/>
      </c>
      <c r="M425" s="24" t="str">
        <f aca="false">IF($D425="","",IFERROR(INDEX(Profile!$E$5:$E$304,MATCH($D425,lst_Profil,0))+0,""))</f>
        <v/>
      </c>
      <c r="N425" s="25" t="str">
        <f aca="false">IF(OR(L425="",$E425=""),"",IFERROR(L425*INDEX(Werkstoffe!$E$5:$E$304,MATCH($E425,lst_Werkstoff,0))/1000,""))</f>
        <v/>
      </c>
      <c r="O425" s="25" t="str">
        <f aca="false">IF(OR(N425="",$F425=""),"",N425*$F425/1000)</f>
        <v/>
      </c>
      <c r="P425" s="16" t="str">
        <f aca="false">IF(OR($F425="",$G425=""),"",$F425*$G425)</f>
        <v/>
      </c>
      <c r="Q425" s="16" t="str">
        <f aca="false">IF($D425="","",IF($J425&lt;&gt;"",$J425,$C$9))</f>
        <v/>
      </c>
      <c r="R425" s="12" t="str">
        <f aca="false">IF($D425="","",IFERROR(IF(INDEX(Profile!$G$5:$G$304,MATCH($D425,lst_Profil,0))&lt;&gt;"",INDEX(Profile!$G$5:$G$304,MATCH($D425,lst_Profil,0)),$H$4),$H$4))</f>
        <v/>
      </c>
      <c r="S425" s="12" t="str">
        <f aca="false">IF($D425="","",IFERROR(IF(INDEX(Profile!$H$5:$H$304,MATCH($D425,lst_Profil,0))&lt;&gt;"",INDEX(Profile!$H$5:$H$304,MATCH($D425,lst_Profil,0)),$H$5),$H$5))</f>
        <v/>
      </c>
      <c r="T425" s="16" t="str">
        <f aca="false">IF(OR(Q425="",NOT(ISNUMBER(R425)),NOT(ISNUMBER(S425))),"",Q425-R425-S425)</f>
        <v/>
      </c>
      <c r="U425" s="26" t="str">
        <f aca="false">IF(OR($D425="",$E425=""),"",IF(COUNTIFS(Preise!$A$5:$A$304,$D425,Preise!$B$5:$B$304,$E425,Preise!$I$5:$I$304,"OK")&gt;0,"ja","nein"))</f>
        <v/>
      </c>
      <c r="V425" s="15" t="str">
        <f aca="false">IF(OR(M425="",$E425="",$C$8=""),"",IF(_xlfn.MINIFS(Schneiddaten!$C$5:$C$304,Schneiddaten!$A$5:$A$304,$C$8,Schneiddaten!$B$5:$B$304,$E425,Schneiddaten!$C$5:$C$304,"&gt;="&amp;M425)=0,"",SUMIFS(Schneiddaten!$D$5:$D$304,Schneiddaten!$A$5:$A$304,$C$8,Schneiddaten!$B$5:$B$304,$E425,Schneiddaten!$C$5:$C$304,_xlfn.MINIFS(Schneiddaten!$C$5:$C$304,Schneiddaten!$A$5:$A$304,$C$8,Schneiddaten!$B$5:$B$304,$E425,Schneiddaten!$C$5:$C$304,"&gt;="&amp;M425))))</f>
        <v/>
      </c>
      <c r="W425" s="26" t="str">
        <f aca="false">IF(AND($D425="",$E425="",$F425="",$G425=""),"",IF(ISNA(MATCH($D425,lst_Profil,0)),"FEHLER: Profil unbekannt",IF(ISNA(MATCH($E425,lst_Werkstoff,0)),"FEHLER: Werkstoff unbekannt",IF(NOT(ISNUMBER(L425)),"FEHLER: Querschnitt fehlt (Profil)",IF(OR($F425="",$F425&lt;=0),"FEHLER: Teilelänge fehlt",IF(OR($G425="",$G425&lt;1),"FEHLER: Stückzahl fehlt",IF(NOT(ISNUMBER($H$4)),"FEHLER: Maschine fehlt/unbekannt",IF(Q425&gt;$H$7,"FEHLER: Stange länger als Maschine zulässt",IF($F425+$H$6&gt;T425,"FEHLER: Teil länger als Nutzlänge",IF(U425="nein","WARNUNG: kein gültiger Materialpreis",IF($H425="","HINWEIS: Schneidweg fehlt",IF(V425="","HINWEIS: keine Schneiddaten",IF(AND($AF425&lt;&gt;"",$AG425=""),"HINWEIS: Gewinde-Vorschlag prüfen","OK")))))))))))))</f>
        <v/>
      </c>
      <c r="X425" s="18" t="str">
        <f aca="false">IF(OR(O425="",$G425=""),"",O425*$G425)</f>
        <v/>
      </c>
      <c r="Y425" s="10"/>
      <c r="Z425" s="21"/>
      <c r="AA425" s="10"/>
      <c r="AB425" s="21"/>
      <c r="AC425" s="21"/>
      <c r="AD425" s="21"/>
      <c r="AE425" s="10"/>
      <c r="AF425" s="10"/>
      <c r="AG425" s="10"/>
      <c r="AH425" s="22"/>
      <c r="AI425" s="21"/>
      <c r="AJ425" s="22"/>
      <c r="AK425" s="21"/>
      <c r="AL425" s="22"/>
      <c r="AM425" s="21"/>
    </row>
    <row r="426" customFormat="false" ht="15" hidden="false" customHeight="false" outlineLevel="0" collapsed="false">
      <c r="A426" s="10"/>
      <c r="B426" s="10"/>
      <c r="C426" s="10"/>
      <c r="D426" s="10"/>
      <c r="E426" s="10"/>
      <c r="F426" s="21"/>
      <c r="G426" s="19"/>
      <c r="H426" s="21"/>
      <c r="I426" s="22"/>
      <c r="J426" s="19"/>
      <c r="K426" s="23" t="str">
        <f aca="false">IF($D426="","",IFERROR(INDEX(Profile!$B$5:$B$304,MATCH($D426,lst_Profil,0)),""))</f>
        <v/>
      </c>
      <c r="L426" s="13" t="str">
        <f aca="false">IF($D426="","",IFERROR(INDEX(Profile!$K$5:$K$304,MATCH($D426,lst_Profil,0))+0,""))</f>
        <v/>
      </c>
      <c r="M426" s="24" t="str">
        <f aca="false">IF($D426="","",IFERROR(INDEX(Profile!$E$5:$E$304,MATCH($D426,lst_Profil,0))+0,""))</f>
        <v/>
      </c>
      <c r="N426" s="25" t="str">
        <f aca="false">IF(OR(L426="",$E426=""),"",IFERROR(L426*INDEX(Werkstoffe!$E$5:$E$304,MATCH($E426,lst_Werkstoff,0))/1000,""))</f>
        <v/>
      </c>
      <c r="O426" s="25" t="str">
        <f aca="false">IF(OR(N426="",$F426=""),"",N426*$F426/1000)</f>
        <v/>
      </c>
      <c r="P426" s="16" t="str">
        <f aca="false">IF(OR($F426="",$G426=""),"",$F426*$G426)</f>
        <v/>
      </c>
      <c r="Q426" s="16" t="str">
        <f aca="false">IF($D426="","",IF($J426&lt;&gt;"",$J426,$C$9))</f>
        <v/>
      </c>
      <c r="R426" s="12" t="str">
        <f aca="false">IF($D426="","",IFERROR(IF(INDEX(Profile!$G$5:$G$304,MATCH($D426,lst_Profil,0))&lt;&gt;"",INDEX(Profile!$G$5:$G$304,MATCH($D426,lst_Profil,0)),$H$4),$H$4))</f>
        <v/>
      </c>
      <c r="S426" s="12" t="str">
        <f aca="false">IF($D426="","",IFERROR(IF(INDEX(Profile!$H$5:$H$304,MATCH($D426,lst_Profil,0))&lt;&gt;"",INDEX(Profile!$H$5:$H$304,MATCH($D426,lst_Profil,0)),$H$5),$H$5))</f>
        <v/>
      </c>
      <c r="T426" s="16" t="str">
        <f aca="false">IF(OR(Q426="",NOT(ISNUMBER(R426)),NOT(ISNUMBER(S426))),"",Q426-R426-S426)</f>
        <v/>
      </c>
      <c r="U426" s="26" t="str">
        <f aca="false">IF(OR($D426="",$E426=""),"",IF(COUNTIFS(Preise!$A$5:$A$304,$D426,Preise!$B$5:$B$304,$E426,Preise!$I$5:$I$304,"OK")&gt;0,"ja","nein"))</f>
        <v/>
      </c>
      <c r="V426" s="15" t="str">
        <f aca="false">IF(OR(M426="",$E426="",$C$8=""),"",IF(_xlfn.MINIFS(Schneiddaten!$C$5:$C$304,Schneiddaten!$A$5:$A$304,$C$8,Schneiddaten!$B$5:$B$304,$E426,Schneiddaten!$C$5:$C$304,"&gt;="&amp;M426)=0,"",SUMIFS(Schneiddaten!$D$5:$D$304,Schneiddaten!$A$5:$A$304,$C$8,Schneiddaten!$B$5:$B$304,$E426,Schneiddaten!$C$5:$C$304,_xlfn.MINIFS(Schneiddaten!$C$5:$C$304,Schneiddaten!$A$5:$A$304,$C$8,Schneiddaten!$B$5:$B$304,$E426,Schneiddaten!$C$5:$C$304,"&gt;="&amp;M426))))</f>
        <v/>
      </c>
      <c r="W426" s="26" t="str">
        <f aca="false">IF(AND($D426="",$E426="",$F426="",$G426=""),"",IF(ISNA(MATCH($D426,lst_Profil,0)),"FEHLER: Profil unbekannt",IF(ISNA(MATCH($E426,lst_Werkstoff,0)),"FEHLER: Werkstoff unbekannt",IF(NOT(ISNUMBER(L426)),"FEHLER: Querschnitt fehlt (Profil)",IF(OR($F426="",$F426&lt;=0),"FEHLER: Teilelänge fehlt",IF(OR($G426="",$G426&lt;1),"FEHLER: Stückzahl fehlt",IF(NOT(ISNUMBER($H$4)),"FEHLER: Maschine fehlt/unbekannt",IF(Q426&gt;$H$7,"FEHLER: Stange länger als Maschine zulässt",IF($F426+$H$6&gt;T426,"FEHLER: Teil länger als Nutzlänge",IF(U426="nein","WARNUNG: kein gültiger Materialpreis",IF($H426="","HINWEIS: Schneidweg fehlt",IF(V426="","HINWEIS: keine Schneiddaten",IF(AND($AF426&lt;&gt;"",$AG426=""),"HINWEIS: Gewinde-Vorschlag prüfen","OK")))))))))))))</f>
        <v/>
      </c>
      <c r="X426" s="18" t="str">
        <f aca="false">IF(OR(O426="",$G426=""),"",O426*$G426)</f>
        <v/>
      </c>
      <c r="Y426" s="10"/>
      <c r="Z426" s="21"/>
      <c r="AA426" s="10"/>
      <c r="AB426" s="21"/>
      <c r="AC426" s="21"/>
      <c r="AD426" s="21"/>
      <c r="AE426" s="10"/>
      <c r="AF426" s="10"/>
      <c r="AG426" s="10"/>
      <c r="AH426" s="22"/>
      <c r="AI426" s="21"/>
      <c r="AJ426" s="22"/>
      <c r="AK426" s="21"/>
      <c r="AL426" s="22"/>
      <c r="AM426" s="21"/>
    </row>
    <row r="427" customFormat="false" ht="15" hidden="false" customHeight="false" outlineLevel="0" collapsed="false">
      <c r="A427" s="10"/>
      <c r="B427" s="10"/>
      <c r="C427" s="10"/>
      <c r="D427" s="10"/>
      <c r="E427" s="10"/>
      <c r="F427" s="21"/>
      <c r="G427" s="19"/>
      <c r="H427" s="21"/>
      <c r="I427" s="22"/>
      <c r="J427" s="19"/>
      <c r="K427" s="23" t="str">
        <f aca="false">IF($D427="","",IFERROR(INDEX(Profile!$B$5:$B$304,MATCH($D427,lst_Profil,0)),""))</f>
        <v/>
      </c>
      <c r="L427" s="13" t="str">
        <f aca="false">IF($D427="","",IFERROR(INDEX(Profile!$K$5:$K$304,MATCH($D427,lst_Profil,0))+0,""))</f>
        <v/>
      </c>
      <c r="M427" s="24" t="str">
        <f aca="false">IF($D427="","",IFERROR(INDEX(Profile!$E$5:$E$304,MATCH($D427,lst_Profil,0))+0,""))</f>
        <v/>
      </c>
      <c r="N427" s="25" t="str">
        <f aca="false">IF(OR(L427="",$E427=""),"",IFERROR(L427*INDEX(Werkstoffe!$E$5:$E$304,MATCH($E427,lst_Werkstoff,0))/1000,""))</f>
        <v/>
      </c>
      <c r="O427" s="25" t="str">
        <f aca="false">IF(OR(N427="",$F427=""),"",N427*$F427/1000)</f>
        <v/>
      </c>
      <c r="P427" s="16" t="str">
        <f aca="false">IF(OR($F427="",$G427=""),"",$F427*$G427)</f>
        <v/>
      </c>
      <c r="Q427" s="16" t="str">
        <f aca="false">IF($D427="","",IF($J427&lt;&gt;"",$J427,$C$9))</f>
        <v/>
      </c>
      <c r="R427" s="12" t="str">
        <f aca="false">IF($D427="","",IFERROR(IF(INDEX(Profile!$G$5:$G$304,MATCH($D427,lst_Profil,0))&lt;&gt;"",INDEX(Profile!$G$5:$G$304,MATCH($D427,lst_Profil,0)),$H$4),$H$4))</f>
        <v/>
      </c>
      <c r="S427" s="12" t="str">
        <f aca="false">IF($D427="","",IFERROR(IF(INDEX(Profile!$H$5:$H$304,MATCH($D427,lst_Profil,0))&lt;&gt;"",INDEX(Profile!$H$5:$H$304,MATCH($D427,lst_Profil,0)),$H$5),$H$5))</f>
        <v/>
      </c>
      <c r="T427" s="16" t="str">
        <f aca="false">IF(OR(Q427="",NOT(ISNUMBER(R427)),NOT(ISNUMBER(S427))),"",Q427-R427-S427)</f>
        <v/>
      </c>
      <c r="U427" s="26" t="str">
        <f aca="false">IF(OR($D427="",$E427=""),"",IF(COUNTIFS(Preise!$A$5:$A$304,$D427,Preise!$B$5:$B$304,$E427,Preise!$I$5:$I$304,"OK")&gt;0,"ja","nein"))</f>
        <v/>
      </c>
      <c r="V427" s="15" t="str">
        <f aca="false">IF(OR(M427="",$E427="",$C$8=""),"",IF(_xlfn.MINIFS(Schneiddaten!$C$5:$C$304,Schneiddaten!$A$5:$A$304,$C$8,Schneiddaten!$B$5:$B$304,$E427,Schneiddaten!$C$5:$C$304,"&gt;="&amp;M427)=0,"",SUMIFS(Schneiddaten!$D$5:$D$304,Schneiddaten!$A$5:$A$304,$C$8,Schneiddaten!$B$5:$B$304,$E427,Schneiddaten!$C$5:$C$304,_xlfn.MINIFS(Schneiddaten!$C$5:$C$304,Schneiddaten!$A$5:$A$304,$C$8,Schneiddaten!$B$5:$B$304,$E427,Schneiddaten!$C$5:$C$304,"&gt;="&amp;M427))))</f>
        <v/>
      </c>
      <c r="W427" s="26" t="str">
        <f aca="false">IF(AND($D427="",$E427="",$F427="",$G427=""),"",IF(ISNA(MATCH($D427,lst_Profil,0)),"FEHLER: Profil unbekannt",IF(ISNA(MATCH($E427,lst_Werkstoff,0)),"FEHLER: Werkstoff unbekannt",IF(NOT(ISNUMBER(L427)),"FEHLER: Querschnitt fehlt (Profil)",IF(OR($F427="",$F427&lt;=0),"FEHLER: Teilelänge fehlt",IF(OR($G427="",$G427&lt;1),"FEHLER: Stückzahl fehlt",IF(NOT(ISNUMBER($H$4)),"FEHLER: Maschine fehlt/unbekannt",IF(Q427&gt;$H$7,"FEHLER: Stange länger als Maschine zulässt",IF($F427+$H$6&gt;T427,"FEHLER: Teil länger als Nutzlänge",IF(U427="nein","WARNUNG: kein gültiger Materialpreis",IF($H427="","HINWEIS: Schneidweg fehlt",IF(V427="","HINWEIS: keine Schneiddaten",IF(AND($AF427&lt;&gt;"",$AG427=""),"HINWEIS: Gewinde-Vorschlag prüfen","OK")))))))))))))</f>
        <v/>
      </c>
      <c r="X427" s="18" t="str">
        <f aca="false">IF(OR(O427="",$G427=""),"",O427*$G427)</f>
        <v/>
      </c>
      <c r="Y427" s="10"/>
      <c r="Z427" s="21"/>
      <c r="AA427" s="10"/>
      <c r="AB427" s="21"/>
      <c r="AC427" s="21"/>
      <c r="AD427" s="21"/>
      <c r="AE427" s="10"/>
      <c r="AF427" s="10"/>
      <c r="AG427" s="10"/>
      <c r="AH427" s="22"/>
      <c r="AI427" s="21"/>
      <c r="AJ427" s="22"/>
      <c r="AK427" s="21"/>
      <c r="AL427" s="22"/>
      <c r="AM427" s="21"/>
    </row>
    <row r="428" customFormat="false" ht="15" hidden="false" customHeight="false" outlineLevel="0" collapsed="false">
      <c r="A428" s="10"/>
      <c r="B428" s="10"/>
      <c r="C428" s="10"/>
      <c r="D428" s="10"/>
      <c r="E428" s="10"/>
      <c r="F428" s="21"/>
      <c r="G428" s="19"/>
      <c r="H428" s="21"/>
      <c r="I428" s="22"/>
      <c r="J428" s="19"/>
      <c r="K428" s="23" t="str">
        <f aca="false">IF($D428="","",IFERROR(INDEX(Profile!$B$5:$B$304,MATCH($D428,lst_Profil,0)),""))</f>
        <v/>
      </c>
      <c r="L428" s="13" t="str">
        <f aca="false">IF($D428="","",IFERROR(INDEX(Profile!$K$5:$K$304,MATCH($D428,lst_Profil,0))+0,""))</f>
        <v/>
      </c>
      <c r="M428" s="24" t="str">
        <f aca="false">IF($D428="","",IFERROR(INDEX(Profile!$E$5:$E$304,MATCH($D428,lst_Profil,0))+0,""))</f>
        <v/>
      </c>
      <c r="N428" s="25" t="str">
        <f aca="false">IF(OR(L428="",$E428=""),"",IFERROR(L428*INDEX(Werkstoffe!$E$5:$E$304,MATCH($E428,lst_Werkstoff,0))/1000,""))</f>
        <v/>
      </c>
      <c r="O428" s="25" t="str">
        <f aca="false">IF(OR(N428="",$F428=""),"",N428*$F428/1000)</f>
        <v/>
      </c>
      <c r="P428" s="16" t="str">
        <f aca="false">IF(OR($F428="",$G428=""),"",$F428*$G428)</f>
        <v/>
      </c>
      <c r="Q428" s="16" t="str">
        <f aca="false">IF($D428="","",IF($J428&lt;&gt;"",$J428,$C$9))</f>
        <v/>
      </c>
      <c r="R428" s="12" t="str">
        <f aca="false">IF($D428="","",IFERROR(IF(INDEX(Profile!$G$5:$G$304,MATCH($D428,lst_Profil,0))&lt;&gt;"",INDEX(Profile!$G$5:$G$304,MATCH($D428,lst_Profil,0)),$H$4),$H$4))</f>
        <v/>
      </c>
      <c r="S428" s="12" t="str">
        <f aca="false">IF($D428="","",IFERROR(IF(INDEX(Profile!$H$5:$H$304,MATCH($D428,lst_Profil,0))&lt;&gt;"",INDEX(Profile!$H$5:$H$304,MATCH($D428,lst_Profil,0)),$H$5),$H$5))</f>
        <v/>
      </c>
      <c r="T428" s="16" t="str">
        <f aca="false">IF(OR(Q428="",NOT(ISNUMBER(R428)),NOT(ISNUMBER(S428))),"",Q428-R428-S428)</f>
        <v/>
      </c>
      <c r="U428" s="26" t="str">
        <f aca="false">IF(OR($D428="",$E428=""),"",IF(COUNTIFS(Preise!$A$5:$A$304,$D428,Preise!$B$5:$B$304,$E428,Preise!$I$5:$I$304,"OK")&gt;0,"ja","nein"))</f>
        <v/>
      </c>
      <c r="V428" s="15" t="str">
        <f aca="false">IF(OR(M428="",$E428="",$C$8=""),"",IF(_xlfn.MINIFS(Schneiddaten!$C$5:$C$304,Schneiddaten!$A$5:$A$304,$C$8,Schneiddaten!$B$5:$B$304,$E428,Schneiddaten!$C$5:$C$304,"&gt;="&amp;M428)=0,"",SUMIFS(Schneiddaten!$D$5:$D$304,Schneiddaten!$A$5:$A$304,$C$8,Schneiddaten!$B$5:$B$304,$E428,Schneiddaten!$C$5:$C$304,_xlfn.MINIFS(Schneiddaten!$C$5:$C$304,Schneiddaten!$A$5:$A$304,$C$8,Schneiddaten!$B$5:$B$304,$E428,Schneiddaten!$C$5:$C$304,"&gt;="&amp;M428))))</f>
        <v/>
      </c>
      <c r="W428" s="26" t="str">
        <f aca="false">IF(AND($D428="",$E428="",$F428="",$G428=""),"",IF(ISNA(MATCH($D428,lst_Profil,0)),"FEHLER: Profil unbekannt",IF(ISNA(MATCH($E428,lst_Werkstoff,0)),"FEHLER: Werkstoff unbekannt",IF(NOT(ISNUMBER(L428)),"FEHLER: Querschnitt fehlt (Profil)",IF(OR($F428="",$F428&lt;=0),"FEHLER: Teilelänge fehlt",IF(OR($G428="",$G428&lt;1),"FEHLER: Stückzahl fehlt",IF(NOT(ISNUMBER($H$4)),"FEHLER: Maschine fehlt/unbekannt",IF(Q428&gt;$H$7,"FEHLER: Stange länger als Maschine zulässt",IF($F428+$H$6&gt;T428,"FEHLER: Teil länger als Nutzlänge",IF(U428="nein","WARNUNG: kein gültiger Materialpreis",IF($H428="","HINWEIS: Schneidweg fehlt",IF(V428="","HINWEIS: keine Schneiddaten",IF(AND($AF428&lt;&gt;"",$AG428=""),"HINWEIS: Gewinde-Vorschlag prüfen","OK")))))))))))))</f>
        <v/>
      </c>
      <c r="X428" s="18" t="str">
        <f aca="false">IF(OR(O428="",$G428=""),"",O428*$G428)</f>
        <v/>
      </c>
      <c r="Y428" s="10"/>
      <c r="Z428" s="21"/>
      <c r="AA428" s="10"/>
      <c r="AB428" s="21"/>
      <c r="AC428" s="21"/>
      <c r="AD428" s="21"/>
      <c r="AE428" s="10"/>
      <c r="AF428" s="10"/>
      <c r="AG428" s="10"/>
      <c r="AH428" s="22"/>
      <c r="AI428" s="21"/>
      <c r="AJ428" s="22"/>
      <c r="AK428" s="21"/>
      <c r="AL428" s="22"/>
      <c r="AM428" s="21"/>
    </row>
    <row r="429" customFormat="false" ht="15" hidden="false" customHeight="false" outlineLevel="0" collapsed="false">
      <c r="A429" s="10"/>
      <c r="B429" s="10"/>
      <c r="C429" s="10"/>
      <c r="D429" s="10"/>
      <c r="E429" s="10"/>
      <c r="F429" s="21"/>
      <c r="G429" s="19"/>
      <c r="H429" s="21"/>
      <c r="I429" s="22"/>
      <c r="J429" s="19"/>
      <c r="K429" s="23" t="str">
        <f aca="false">IF($D429="","",IFERROR(INDEX(Profile!$B$5:$B$304,MATCH($D429,lst_Profil,0)),""))</f>
        <v/>
      </c>
      <c r="L429" s="13" t="str">
        <f aca="false">IF($D429="","",IFERROR(INDEX(Profile!$K$5:$K$304,MATCH($D429,lst_Profil,0))+0,""))</f>
        <v/>
      </c>
      <c r="M429" s="24" t="str">
        <f aca="false">IF($D429="","",IFERROR(INDEX(Profile!$E$5:$E$304,MATCH($D429,lst_Profil,0))+0,""))</f>
        <v/>
      </c>
      <c r="N429" s="25" t="str">
        <f aca="false">IF(OR(L429="",$E429=""),"",IFERROR(L429*INDEX(Werkstoffe!$E$5:$E$304,MATCH($E429,lst_Werkstoff,0))/1000,""))</f>
        <v/>
      </c>
      <c r="O429" s="25" t="str">
        <f aca="false">IF(OR(N429="",$F429=""),"",N429*$F429/1000)</f>
        <v/>
      </c>
      <c r="P429" s="16" t="str">
        <f aca="false">IF(OR($F429="",$G429=""),"",$F429*$G429)</f>
        <v/>
      </c>
      <c r="Q429" s="16" t="str">
        <f aca="false">IF($D429="","",IF($J429&lt;&gt;"",$J429,$C$9))</f>
        <v/>
      </c>
      <c r="R429" s="12" t="str">
        <f aca="false">IF($D429="","",IFERROR(IF(INDEX(Profile!$G$5:$G$304,MATCH($D429,lst_Profil,0))&lt;&gt;"",INDEX(Profile!$G$5:$G$304,MATCH($D429,lst_Profil,0)),$H$4),$H$4))</f>
        <v/>
      </c>
      <c r="S429" s="12" t="str">
        <f aca="false">IF($D429="","",IFERROR(IF(INDEX(Profile!$H$5:$H$304,MATCH($D429,lst_Profil,0))&lt;&gt;"",INDEX(Profile!$H$5:$H$304,MATCH($D429,lst_Profil,0)),$H$5),$H$5))</f>
        <v/>
      </c>
      <c r="T429" s="16" t="str">
        <f aca="false">IF(OR(Q429="",NOT(ISNUMBER(R429)),NOT(ISNUMBER(S429))),"",Q429-R429-S429)</f>
        <v/>
      </c>
      <c r="U429" s="26" t="str">
        <f aca="false">IF(OR($D429="",$E429=""),"",IF(COUNTIFS(Preise!$A$5:$A$304,$D429,Preise!$B$5:$B$304,$E429,Preise!$I$5:$I$304,"OK")&gt;0,"ja","nein"))</f>
        <v/>
      </c>
      <c r="V429" s="15" t="str">
        <f aca="false">IF(OR(M429="",$E429="",$C$8=""),"",IF(_xlfn.MINIFS(Schneiddaten!$C$5:$C$304,Schneiddaten!$A$5:$A$304,$C$8,Schneiddaten!$B$5:$B$304,$E429,Schneiddaten!$C$5:$C$304,"&gt;="&amp;M429)=0,"",SUMIFS(Schneiddaten!$D$5:$D$304,Schneiddaten!$A$5:$A$304,$C$8,Schneiddaten!$B$5:$B$304,$E429,Schneiddaten!$C$5:$C$304,_xlfn.MINIFS(Schneiddaten!$C$5:$C$304,Schneiddaten!$A$5:$A$304,$C$8,Schneiddaten!$B$5:$B$304,$E429,Schneiddaten!$C$5:$C$304,"&gt;="&amp;M429))))</f>
        <v/>
      </c>
      <c r="W429" s="26" t="str">
        <f aca="false">IF(AND($D429="",$E429="",$F429="",$G429=""),"",IF(ISNA(MATCH($D429,lst_Profil,0)),"FEHLER: Profil unbekannt",IF(ISNA(MATCH($E429,lst_Werkstoff,0)),"FEHLER: Werkstoff unbekannt",IF(NOT(ISNUMBER(L429)),"FEHLER: Querschnitt fehlt (Profil)",IF(OR($F429="",$F429&lt;=0),"FEHLER: Teilelänge fehlt",IF(OR($G429="",$G429&lt;1),"FEHLER: Stückzahl fehlt",IF(NOT(ISNUMBER($H$4)),"FEHLER: Maschine fehlt/unbekannt",IF(Q429&gt;$H$7,"FEHLER: Stange länger als Maschine zulässt",IF($F429+$H$6&gt;T429,"FEHLER: Teil länger als Nutzlänge",IF(U429="nein","WARNUNG: kein gültiger Materialpreis",IF($H429="","HINWEIS: Schneidweg fehlt",IF(V429="","HINWEIS: keine Schneiddaten",IF(AND($AF429&lt;&gt;"",$AG429=""),"HINWEIS: Gewinde-Vorschlag prüfen","OK")))))))))))))</f>
        <v/>
      </c>
      <c r="X429" s="18" t="str">
        <f aca="false">IF(OR(O429="",$G429=""),"",O429*$G429)</f>
        <v/>
      </c>
      <c r="Y429" s="10"/>
      <c r="Z429" s="21"/>
      <c r="AA429" s="10"/>
      <c r="AB429" s="21"/>
      <c r="AC429" s="21"/>
      <c r="AD429" s="21"/>
      <c r="AE429" s="10"/>
      <c r="AF429" s="10"/>
      <c r="AG429" s="10"/>
      <c r="AH429" s="22"/>
      <c r="AI429" s="21"/>
      <c r="AJ429" s="22"/>
      <c r="AK429" s="21"/>
      <c r="AL429" s="22"/>
      <c r="AM429" s="21"/>
    </row>
    <row r="430" customFormat="false" ht="15" hidden="false" customHeight="false" outlineLevel="0" collapsed="false">
      <c r="A430" s="10"/>
      <c r="B430" s="10"/>
      <c r="C430" s="10"/>
      <c r="D430" s="10"/>
      <c r="E430" s="10"/>
      <c r="F430" s="21"/>
      <c r="G430" s="19"/>
      <c r="H430" s="21"/>
      <c r="I430" s="22"/>
      <c r="J430" s="19"/>
      <c r="K430" s="23" t="str">
        <f aca="false">IF($D430="","",IFERROR(INDEX(Profile!$B$5:$B$304,MATCH($D430,lst_Profil,0)),""))</f>
        <v/>
      </c>
      <c r="L430" s="13" t="str">
        <f aca="false">IF($D430="","",IFERROR(INDEX(Profile!$K$5:$K$304,MATCH($D430,lst_Profil,0))+0,""))</f>
        <v/>
      </c>
      <c r="M430" s="24" t="str">
        <f aca="false">IF($D430="","",IFERROR(INDEX(Profile!$E$5:$E$304,MATCH($D430,lst_Profil,0))+0,""))</f>
        <v/>
      </c>
      <c r="N430" s="25" t="str">
        <f aca="false">IF(OR(L430="",$E430=""),"",IFERROR(L430*INDEX(Werkstoffe!$E$5:$E$304,MATCH($E430,lst_Werkstoff,0))/1000,""))</f>
        <v/>
      </c>
      <c r="O430" s="25" t="str">
        <f aca="false">IF(OR(N430="",$F430=""),"",N430*$F430/1000)</f>
        <v/>
      </c>
      <c r="P430" s="16" t="str">
        <f aca="false">IF(OR($F430="",$G430=""),"",$F430*$G430)</f>
        <v/>
      </c>
      <c r="Q430" s="16" t="str">
        <f aca="false">IF($D430="","",IF($J430&lt;&gt;"",$J430,$C$9))</f>
        <v/>
      </c>
      <c r="R430" s="12" t="str">
        <f aca="false">IF($D430="","",IFERROR(IF(INDEX(Profile!$G$5:$G$304,MATCH($D430,lst_Profil,0))&lt;&gt;"",INDEX(Profile!$G$5:$G$304,MATCH($D430,lst_Profil,0)),$H$4),$H$4))</f>
        <v/>
      </c>
      <c r="S430" s="12" t="str">
        <f aca="false">IF($D430="","",IFERROR(IF(INDEX(Profile!$H$5:$H$304,MATCH($D430,lst_Profil,0))&lt;&gt;"",INDEX(Profile!$H$5:$H$304,MATCH($D430,lst_Profil,0)),$H$5),$H$5))</f>
        <v/>
      </c>
      <c r="T430" s="16" t="str">
        <f aca="false">IF(OR(Q430="",NOT(ISNUMBER(R430)),NOT(ISNUMBER(S430))),"",Q430-R430-S430)</f>
        <v/>
      </c>
      <c r="U430" s="26" t="str">
        <f aca="false">IF(OR($D430="",$E430=""),"",IF(COUNTIFS(Preise!$A$5:$A$304,$D430,Preise!$B$5:$B$304,$E430,Preise!$I$5:$I$304,"OK")&gt;0,"ja","nein"))</f>
        <v/>
      </c>
      <c r="V430" s="15" t="str">
        <f aca="false">IF(OR(M430="",$E430="",$C$8=""),"",IF(_xlfn.MINIFS(Schneiddaten!$C$5:$C$304,Schneiddaten!$A$5:$A$304,$C$8,Schneiddaten!$B$5:$B$304,$E430,Schneiddaten!$C$5:$C$304,"&gt;="&amp;M430)=0,"",SUMIFS(Schneiddaten!$D$5:$D$304,Schneiddaten!$A$5:$A$304,$C$8,Schneiddaten!$B$5:$B$304,$E430,Schneiddaten!$C$5:$C$304,_xlfn.MINIFS(Schneiddaten!$C$5:$C$304,Schneiddaten!$A$5:$A$304,$C$8,Schneiddaten!$B$5:$B$304,$E430,Schneiddaten!$C$5:$C$304,"&gt;="&amp;M430))))</f>
        <v/>
      </c>
      <c r="W430" s="26" t="str">
        <f aca="false">IF(AND($D430="",$E430="",$F430="",$G430=""),"",IF(ISNA(MATCH($D430,lst_Profil,0)),"FEHLER: Profil unbekannt",IF(ISNA(MATCH($E430,lst_Werkstoff,0)),"FEHLER: Werkstoff unbekannt",IF(NOT(ISNUMBER(L430)),"FEHLER: Querschnitt fehlt (Profil)",IF(OR($F430="",$F430&lt;=0),"FEHLER: Teilelänge fehlt",IF(OR($G430="",$G430&lt;1),"FEHLER: Stückzahl fehlt",IF(NOT(ISNUMBER($H$4)),"FEHLER: Maschine fehlt/unbekannt",IF(Q430&gt;$H$7,"FEHLER: Stange länger als Maschine zulässt",IF($F430+$H$6&gt;T430,"FEHLER: Teil länger als Nutzlänge",IF(U430="nein","WARNUNG: kein gültiger Materialpreis",IF($H430="","HINWEIS: Schneidweg fehlt",IF(V430="","HINWEIS: keine Schneiddaten",IF(AND($AF430&lt;&gt;"",$AG430=""),"HINWEIS: Gewinde-Vorschlag prüfen","OK")))))))))))))</f>
        <v/>
      </c>
      <c r="X430" s="18" t="str">
        <f aca="false">IF(OR(O430="",$G430=""),"",O430*$G430)</f>
        <v/>
      </c>
      <c r="Y430" s="10"/>
      <c r="Z430" s="21"/>
      <c r="AA430" s="10"/>
      <c r="AB430" s="21"/>
      <c r="AC430" s="21"/>
      <c r="AD430" s="21"/>
      <c r="AE430" s="10"/>
      <c r="AF430" s="10"/>
      <c r="AG430" s="10"/>
      <c r="AH430" s="22"/>
      <c r="AI430" s="21"/>
      <c r="AJ430" s="22"/>
      <c r="AK430" s="21"/>
      <c r="AL430" s="22"/>
      <c r="AM430" s="21"/>
    </row>
    <row r="431" customFormat="false" ht="15" hidden="false" customHeight="false" outlineLevel="0" collapsed="false">
      <c r="A431" s="10"/>
      <c r="B431" s="10"/>
      <c r="C431" s="10"/>
      <c r="D431" s="10"/>
      <c r="E431" s="10"/>
      <c r="F431" s="21"/>
      <c r="G431" s="19"/>
      <c r="H431" s="21"/>
      <c r="I431" s="22"/>
      <c r="J431" s="19"/>
      <c r="K431" s="23" t="str">
        <f aca="false">IF($D431="","",IFERROR(INDEX(Profile!$B$5:$B$304,MATCH($D431,lst_Profil,0)),""))</f>
        <v/>
      </c>
      <c r="L431" s="13" t="str">
        <f aca="false">IF($D431="","",IFERROR(INDEX(Profile!$K$5:$K$304,MATCH($D431,lst_Profil,0))+0,""))</f>
        <v/>
      </c>
      <c r="M431" s="24" t="str">
        <f aca="false">IF($D431="","",IFERROR(INDEX(Profile!$E$5:$E$304,MATCH($D431,lst_Profil,0))+0,""))</f>
        <v/>
      </c>
      <c r="N431" s="25" t="str">
        <f aca="false">IF(OR(L431="",$E431=""),"",IFERROR(L431*INDEX(Werkstoffe!$E$5:$E$304,MATCH($E431,lst_Werkstoff,0))/1000,""))</f>
        <v/>
      </c>
      <c r="O431" s="25" t="str">
        <f aca="false">IF(OR(N431="",$F431=""),"",N431*$F431/1000)</f>
        <v/>
      </c>
      <c r="P431" s="16" t="str">
        <f aca="false">IF(OR($F431="",$G431=""),"",$F431*$G431)</f>
        <v/>
      </c>
      <c r="Q431" s="16" t="str">
        <f aca="false">IF($D431="","",IF($J431&lt;&gt;"",$J431,$C$9))</f>
        <v/>
      </c>
      <c r="R431" s="12" t="str">
        <f aca="false">IF($D431="","",IFERROR(IF(INDEX(Profile!$G$5:$G$304,MATCH($D431,lst_Profil,0))&lt;&gt;"",INDEX(Profile!$G$5:$G$304,MATCH($D431,lst_Profil,0)),$H$4),$H$4))</f>
        <v/>
      </c>
      <c r="S431" s="12" t="str">
        <f aca="false">IF($D431="","",IFERROR(IF(INDEX(Profile!$H$5:$H$304,MATCH($D431,lst_Profil,0))&lt;&gt;"",INDEX(Profile!$H$5:$H$304,MATCH($D431,lst_Profil,0)),$H$5),$H$5))</f>
        <v/>
      </c>
      <c r="T431" s="16" t="str">
        <f aca="false">IF(OR(Q431="",NOT(ISNUMBER(R431)),NOT(ISNUMBER(S431))),"",Q431-R431-S431)</f>
        <v/>
      </c>
      <c r="U431" s="26" t="str">
        <f aca="false">IF(OR($D431="",$E431=""),"",IF(COUNTIFS(Preise!$A$5:$A$304,$D431,Preise!$B$5:$B$304,$E431,Preise!$I$5:$I$304,"OK")&gt;0,"ja","nein"))</f>
        <v/>
      </c>
      <c r="V431" s="15" t="str">
        <f aca="false">IF(OR(M431="",$E431="",$C$8=""),"",IF(_xlfn.MINIFS(Schneiddaten!$C$5:$C$304,Schneiddaten!$A$5:$A$304,$C$8,Schneiddaten!$B$5:$B$304,$E431,Schneiddaten!$C$5:$C$304,"&gt;="&amp;M431)=0,"",SUMIFS(Schneiddaten!$D$5:$D$304,Schneiddaten!$A$5:$A$304,$C$8,Schneiddaten!$B$5:$B$304,$E431,Schneiddaten!$C$5:$C$304,_xlfn.MINIFS(Schneiddaten!$C$5:$C$304,Schneiddaten!$A$5:$A$304,$C$8,Schneiddaten!$B$5:$B$304,$E431,Schneiddaten!$C$5:$C$304,"&gt;="&amp;M431))))</f>
        <v/>
      </c>
      <c r="W431" s="26" t="str">
        <f aca="false">IF(AND($D431="",$E431="",$F431="",$G431=""),"",IF(ISNA(MATCH($D431,lst_Profil,0)),"FEHLER: Profil unbekannt",IF(ISNA(MATCH($E431,lst_Werkstoff,0)),"FEHLER: Werkstoff unbekannt",IF(NOT(ISNUMBER(L431)),"FEHLER: Querschnitt fehlt (Profil)",IF(OR($F431="",$F431&lt;=0),"FEHLER: Teilelänge fehlt",IF(OR($G431="",$G431&lt;1),"FEHLER: Stückzahl fehlt",IF(NOT(ISNUMBER($H$4)),"FEHLER: Maschine fehlt/unbekannt",IF(Q431&gt;$H$7,"FEHLER: Stange länger als Maschine zulässt",IF($F431+$H$6&gt;T431,"FEHLER: Teil länger als Nutzlänge",IF(U431="nein","WARNUNG: kein gültiger Materialpreis",IF($H431="","HINWEIS: Schneidweg fehlt",IF(V431="","HINWEIS: keine Schneiddaten",IF(AND($AF431&lt;&gt;"",$AG431=""),"HINWEIS: Gewinde-Vorschlag prüfen","OK")))))))))))))</f>
        <v/>
      </c>
      <c r="X431" s="18" t="str">
        <f aca="false">IF(OR(O431="",$G431=""),"",O431*$G431)</f>
        <v/>
      </c>
      <c r="Y431" s="10"/>
      <c r="Z431" s="21"/>
      <c r="AA431" s="10"/>
      <c r="AB431" s="21"/>
      <c r="AC431" s="21"/>
      <c r="AD431" s="21"/>
      <c r="AE431" s="10"/>
      <c r="AF431" s="10"/>
      <c r="AG431" s="10"/>
      <c r="AH431" s="22"/>
      <c r="AI431" s="21"/>
      <c r="AJ431" s="22"/>
      <c r="AK431" s="21"/>
      <c r="AL431" s="22"/>
      <c r="AM431" s="21"/>
    </row>
    <row r="432" customFormat="false" ht="15" hidden="false" customHeight="false" outlineLevel="0" collapsed="false">
      <c r="A432" s="10"/>
      <c r="B432" s="10"/>
      <c r="C432" s="10"/>
      <c r="D432" s="10"/>
      <c r="E432" s="10"/>
      <c r="F432" s="21"/>
      <c r="G432" s="19"/>
      <c r="H432" s="21"/>
      <c r="I432" s="22"/>
      <c r="J432" s="19"/>
      <c r="K432" s="23" t="str">
        <f aca="false">IF($D432="","",IFERROR(INDEX(Profile!$B$5:$B$304,MATCH($D432,lst_Profil,0)),""))</f>
        <v/>
      </c>
      <c r="L432" s="13" t="str">
        <f aca="false">IF($D432="","",IFERROR(INDEX(Profile!$K$5:$K$304,MATCH($D432,lst_Profil,0))+0,""))</f>
        <v/>
      </c>
      <c r="M432" s="24" t="str">
        <f aca="false">IF($D432="","",IFERROR(INDEX(Profile!$E$5:$E$304,MATCH($D432,lst_Profil,0))+0,""))</f>
        <v/>
      </c>
      <c r="N432" s="25" t="str">
        <f aca="false">IF(OR(L432="",$E432=""),"",IFERROR(L432*INDEX(Werkstoffe!$E$5:$E$304,MATCH($E432,lst_Werkstoff,0))/1000,""))</f>
        <v/>
      </c>
      <c r="O432" s="25" t="str">
        <f aca="false">IF(OR(N432="",$F432=""),"",N432*$F432/1000)</f>
        <v/>
      </c>
      <c r="P432" s="16" t="str">
        <f aca="false">IF(OR($F432="",$G432=""),"",$F432*$G432)</f>
        <v/>
      </c>
      <c r="Q432" s="16" t="str">
        <f aca="false">IF($D432="","",IF($J432&lt;&gt;"",$J432,$C$9))</f>
        <v/>
      </c>
      <c r="R432" s="12" t="str">
        <f aca="false">IF($D432="","",IFERROR(IF(INDEX(Profile!$G$5:$G$304,MATCH($D432,lst_Profil,0))&lt;&gt;"",INDEX(Profile!$G$5:$G$304,MATCH($D432,lst_Profil,0)),$H$4),$H$4))</f>
        <v/>
      </c>
      <c r="S432" s="12" t="str">
        <f aca="false">IF($D432="","",IFERROR(IF(INDEX(Profile!$H$5:$H$304,MATCH($D432,lst_Profil,0))&lt;&gt;"",INDEX(Profile!$H$5:$H$304,MATCH($D432,lst_Profil,0)),$H$5),$H$5))</f>
        <v/>
      </c>
      <c r="T432" s="16" t="str">
        <f aca="false">IF(OR(Q432="",NOT(ISNUMBER(R432)),NOT(ISNUMBER(S432))),"",Q432-R432-S432)</f>
        <v/>
      </c>
      <c r="U432" s="26" t="str">
        <f aca="false">IF(OR($D432="",$E432=""),"",IF(COUNTIFS(Preise!$A$5:$A$304,$D432,Preise!$B$5:$B$304,$E432,Preise!$I$5:$I$304,"OK")&gt;0,"ja","nein"))</f>
        <v/>
      </c>
      <c r="V432" s="15" t="str">
        <f aca="false">IF(OR(M432="",$E432="",$C$8=""),"",IF(_xlfn.MINIFS(Schneiddaten!$C$5:$C$304,Schneiddaten!$A$5:$A$304,$C$8,Schneiddaten!$B$5:$B$304,$E432,Schneiddaten!$C$5:$C$304,"&gt;="&amp;M432)=0,"",SUMIFS(Schneiddaten!$D$5:$D$304,Schneiddaten!$A$5:$A$304,$C$8,Schneiddaten!$B$5:$B$304,$E432,Schneiddaten!$C$5:$C$304,_xlfn.MINIFS(Schneiddaten!$C$5:$C$304,Schneiddaten!$A$5:$A$304,$C$8,Schneiddaten!$B$5:$B$304,$E432,Schneiddaten!$C$5:$C$304,"&gt;="&amp;M432))))</f>
        <v/>
      </c>
      <c r="W432" s="26" t="str">
        <f aca="false">IF(AND($D432="",$E432="",$F432="",$G432=""),"",IF(ISNA(MATCH($D432,lst_Profil,0)),"FEHLER: Profil unbekannt",IF(ISNA(MATCH($E432,lst_Werkstoff,0)),"FEHLER: Werkstoff unbekannt",IF(NOT(ISNUMBER(L432)),"FEHLER: Querschnitt fehlt (Profil)",IF(OR($F432="",$F432&lt;=0),"FEHLER: Teilelänge fehlt",IF(OR($G432="",$G432&lt;1),"FEHLER: Stückzahl fehlt",IF(NOT(ISNUMBER($H$4)),"FEHLER: Maschine fehlt/unbekannt",IF(Q432&gt;$H$7,"FEHLER: Stange länger als Maschine zulässt",IF($F432+$H$6&gt;T432,"FEHLER: Teil länger als Nutzlänge",IF(U432="nein","WARNUNG: kein gültiger Materialpreis",IF($H432="","HINWEIS: Schneidweg fehlt",IF(V432="","HINWEIS: keine Schneiddaten",IF(AND($AF432&lt;&gt;"",$AG432=""),"HINWEIS: Gewinde-Vorschlag prüfen","OK")))))))))))))</f>
        <v/>
      </c>
      <c r="X432" s="18" t="str">
        <f aca="false">IF(OR(O432="",$G432=""),"",O432*$G432)</f>
        <v/>
      </c>
      <c r="Y432" s="10"/>
      <c r="Z432" s="21"/>
      <c r="AA432" s="10"/>
      <c r="AB432" s="21"/>
      <c r="AC432" s="21"/>
      <c r="AD432" s="21"/>
      <c r="AE432" s="10"/>
      <c r="AF432" s="10"/>
      <c r="AG432" s="10"/>
      <c r="AH432" s="22"/>
      <c r="AI432" s="21"/>
      <c r="AJ432" s="22"/>
      <c r="AK432" s="21"/>
      <c r="AL432" s="22"/>
      <c r="AM432" s="21"/>
    </row>
    <row r="433" customFormat="false" ht="15" hidden="false" customHeight="false" outlineLevel="0" collapsed="false">
      <c r="A433" s="10"/>
      <c r="B433" s="10"/>
      <c r="C433" s="10"/>
      <c r="D433" s="10"/>
      <c r="E433" s="10"/>
      <c r="F433" s="21"/>
      <c r="G433" s="19"/>
      <c r="H433" s="21"/>
      <c r="I433" s="22"/>
      <c r="J433" s="19"/>
      <c r="K433" s="23" t="str">
        <f aca="false">IF($D433="","",IFERROR(INDEX(Profile!$B$5:$B$304,MATCH($D433,lst_Profil,0)),""))</f>
        <v/>
      </c>
      <c r="L433" s="13" t="str">
        <f aca="false">IF($D433="","",IFERROR(INDEX(Profile!$K$5:$K$304,MATCH($D433,lst_Profil,0))+0,""))</f>
        <v/>
      </c>
      <c r="M433" s="24" t="str">
        <f aca="false">IF($D433="","",IFERROR(INDEX(Profile!$E$5:$E$304,MATCH($D433,lst_Profil,0))+0,""))</f>
        <v/>
      </c>
      <c r="N433" s="25" t="str">
        <f aca="false">IF(OR(L433="",$E433=""),"",IFERROR(L433*INDEX(Werkstoffe!$E$5:$E$304,MATCH($E433,lst_Werkstoff,0))/1000,""))</f>
        <v/>
      </c>
      <c r="O433" s="25" t="str">
        <f aca="false">IF(OR(N433="",$F433=""),"",N433*$F433/1000)</f>
        <v/>
      </c>
      <c r="P433" s="16" t="str">
        <f aca="false">IF(OR($F433="",$G433=""),"",$F433*$G433)</f>
        <v/>
      </c>
      <c r="Q433" s="16" t="str">
        <f aca="false">IF($D433="","",IF($J433&lt;&gt;"",$J433,$C$9))</f>
        <v/>
      </c>
      <c r="R433" s="12" t="str">
        <f aca="false">IF($D433="","",IFERROR(IF(INDEX(Profile!$G$5:$G$304,MATCH($D433,lst_Profil,0))&lt;&gt;"",INDEX(Profile!$G$5:$G$304,MATCH($D433,lst_Profil,0)),$H$4),$H$4))</f>
        <v/>
      </c>
      <c r="S433" s="12" t="str">
        <f aca="false">IF($D433="","",IFERROR(IF(INDEX(Profile!$H$5:$H$304,MATCH($D433,lst_Profil,0))&lt;&gt;"",INDEX(Profile!$H$5:$H$304,MATCH($D433,lst_Profil,0)),$H$5),$H$5))</f>
        <v/>
      </c>
      <c r="T433" s="16" t="str">
        <f aca="false">IF(OR(Q433="",NOT(ISNUMBER(R433)),NOT(ISNUMBER(S433))),"",Q433-R433-S433)</f>
        <v/>
      </c>
      <c r="U433" s="26" t="str">
        <f aca="false">IF(OR($D433="",$E433=""),"",IF(COUNTIFS(Preise!$A$5:$A$304,$D433,Preise!$B$5:$B$304,$E433,Preise!$I$5:$I$304,"OK")&gt;0,"ja","nein"))</f>
        <v/>
      </c>
      <c r="V433" s="15" t="str">
        <f aca="false">IF(OR(M433="",$E433="",$C$8=""),"",IF(_xlfn.MINIFS(Schneiddaten!$C$5:$C$304,Schneiddaten!$A$5:$A$304,$C$8,Schneiddaten!$B$5:$B$304,$E433,Schneiddaten!$C$5:$C$304,"&gt;="&amp;M433)=0,"",SUMIFS(Schneiddaten!$D$5:$D$304,Schneiddaten!$A$5:$A$304,$C$8,Schneiddaten!$B$5:$B$304,$E433,Schneiddaten!$C$5:$C$304,_xlfn.MINIFS(Schneiddaten!$C$5:$C$304,Schneiddaten!$A$5:$A$304,$C$8,Schneiddaten!$B$5:$B$304,$E433,Schneiddaten!$C$5:$C$304,"&gt;="&amp;M433))))</f>
        <v/>
      </c>
      <c r="W433" s="26" t="str">
        <f aca="false">IF(AND($D433="",$E433="",$F433="",$G433=""),"",IF(ISNA(MATCH($D433,lst_Profil,0)),"FEHLER: Profil unbekannt",IF(ISNA(MATCH($E433,lst_Werkstoff,0)),"FEHLER: Werkstoff unbekannt",IF(NOT(ISNUMBER(L433)),"FEHLER: Querschnitt fehlt (Profil)",IF(OR($F433="",$F433&lt;=0),"FEHLER: Teilelänge fehlt",IF(OR($G433="",$G433&lt;1),"FEHLER: Stückzahl fehlt",IF(NOT(ISNUMBER($H$4)),"FEHLER: Maschine fehlt/unbekannt",IF(Q433&gt;$H$7,"FEHLER: Stange länger als Maschine zulässt",IF($F433+$H$6&gt;T433,"FEHLER: Teil länger als Nutzlänge",IF(U433="nein","WARNUNG: kein gültiger Materialpreis",IF($H433="","HINWEIS: Schneidweg fehlt",IF(V433="","HINWEIS: keine Schneiddaten",IF(AND($AF433&lt;&gt;"",$AG433=""),"HINWEIS: Gewinde-Vorschlag prüfen","OK")))))))))))))</f>
        <v/>
      </c>
      <c r="X433" s="18" t="str">
        <f aca="false">IF(OR(O433="",$G433=""),"",O433*$G433)</f>
        <v/>
      </c>
      <c r="Y433" s="10"/>
      <c r="Z433" s="21"/>
      <c r="AA433" s="10"/>
      <c r="AB433" s="21"/>
      <c r="AC433" s="21"/>
      <c r="AD433" s="21"/>
      <c r="AE433" s="10"/>
      <c r="AF433" s="10"/>
      <c r="AG433" s="10"/>
      <c r="AH433" s="22"/>
      <c r="AI433" s="21"/>
      <c r="AJ433" s="22"/>
      <c r="AK433" s="21"/>
      <c r="AL433" s="22"/>
      <c r="AM433" s="21"/>
    </row>
    <row r="434" customFormat="false" ht="15" hidden="false" customHeight="false" outlineLevel="0" collapsed="false">
      <c r="A434" s="10"/>
      <c r="B434" s="10"/>
      <c r="C434" s="10"/>
      <c r="D434" s="10"/>
      <c r="E434" s="10"/>
      <c r="F434" s="21"/>
      <c r="G434" s="19"/>
      <c r="H434" s="21"/>
      <c r="I434" s="22"/>
      <c r="J434" s="19"/>
      <c r="K434" s="23" t="str">
        <f aca="false">IF($D434="","",IFERROR(INDEX(Profile!$B$5:$B$304,MATCH($D434,lst_Profil,0)),""))</f>
        <v/>
      </c>
      <c r="L434" s="13" t="str">
        <f aca="false">IF($D434="","",IFERROR(INDEX(Profile!$K$5:$K$304,MATCH($D434,lst_Profil,0))+0,""))</f>
        <v/>
      </c>
      <c r="M434" s="24" t="str">
        <f aca="false">IF($D434="","",IFERROR(INDEX(Profile!$E$5:$E$304,MATCH($D434,lst_Profil,0))+0,""))</f>
        <v/>
      </c>
      <c r="N434" s="25" t="str">
        <f aca="false">IF(OR(L434="",$E434=""),"",IFERROR(L434*INDEX(Werkstoffe!$E$5:$E$304,MATCH($E434,lst_Werkstoff,0))/1000,""))</f>
        <v/>
      </c>
      <c r="O434" s="25" t="str">
        <f aca="false">IF(OR(N434="",$F434=""),"",N434*$F434/1000)</f>
        <v/>
      </c>
      <c r="P434" s="16" t="str">
        <f aca="false">IF(OR($F434="",$G434=""),"",$F434*$G434)</f>
        <v/>
      </c>
      <c r="Q434" s="16" t="str">
        <f aca="false">IF($D434="","",IF($J434&lt;&gt;"",$J434,$C$9))</f>
        <v/>
      </c>
      <c r="R434" s="12" t="str">
        <f aca="false">IF($D434="","",IFERROR(IF(INDEX(Profile!$G$5:$G$304,MATCH($D434,lst_Profil,0))&lt;&gt;"",INDEX(Profile!$G$5:$G$304,MATCH($D434,lst_Profil,0)),$H$4),$H$4))</f>
        <v/>
      </c>
      <c r="S434" s="12" t="str">
        <f aca="false">IF($D434="","",IFERROR(IF(INDEX(Profile!$H$5:$H$304,MATCH($D434,lst_Profil,0))&lt;&gt;"",INDEX(Profile!$H$5:$H$304,MATCH($D434,lst_Profil,0)),$H$5),$H$5))</f>
        <v/>
      </c>
      <c r="T434" s="16" t="str">
        <f aca="false">IF(OR(Q434="",NOT(ISNUMBER(R434)),NOT(ISNUMBER(S434))),"",Q434-R434-S434)</f>
        <v/>
      </c>
      <c r="U434" s="26" t="str">
        <f aca="false">IF(OR($D434="",$E434=""),"",IF(COUNTIFS(Preise!$A$5:$A$304,$D434,Preise!$B$5:$B$304,$E434,Preise!$I$5:$I$304,"OK")&gt;0,"ja","nein"))</f>
        <v/>
      </c>
      <c r="V434" s="15" t="str">
        <f aca="false">IF(OR(M434="",$E434="",$C$8=""),"",IF(_xlfn.MINIFS(Schneiddaten!$C$5:$C$304,Schneiddaten!$A$5:$A$304,$C$8,Schneiddaten!$B$5:$B$304,$E434,Schneiddaten!$C$5:$C$304,"&gt;="&amp;M434)=0,"",SUMIFS(Schneiddaten!$D$5:$D$304,Schneiddaten!$A$5:$A$304,$C$8,Schneiddaten!$B$5:$B$304,$E434,Schneiddaten!$C$5:$C$304,_xlfn.MINIFS(Schneiddaten!$C$5:$C$304,Schneiddaten!$A$5:$A$304,$C$8,Schneiddaten!$B$5:$B$304,$E434,Schneiddaten!$C$5:$C$304,"&gt;="&amp;M434))))</f>
        <v/>
      </c>
      <c r="W434" s="26" t="str">
        <f aca="false">IF(AND($D434="",$E434="",$F434="",$G434=""),"",IF(ISNA(MATCH($D434,lst_Profil,0)),"FEHLER: Profil unbekannt",IF(ISNA(MATCH($E434,lst_Werkstoff,0)),"FEHLER: Werkstoff unbekannt",IF(NOT(ISNUMBER(L434)),"FEHLER: Querschnitt fehlt (Profil)",IF(OR($F434="",$F434&lt;=0),"FEHLER: Teilelänge fehlt",IF(OR($G434="",$G434&lt;1),"FEHLER: Stückzahl fehlt",IF(NOT(ISNUMBER($H$4)),"FEHLER: Maschine fehlt/unbekannt",IF(Q434&gt;$H$7,"FEHLER: Stange länger als Maschine zulässt",IF($F434+$H$6&gt;T434,"FEHLER: Teil länger als Nutzlänge",IF(U434="nein","WARNUNG: kein gültiger Materialpreis",IF($H434="","HINWEIS: Schneidweg fehlt",IF(V434="","HINWEIS: keine Schneiddaten",IF(AND($AF434&lt;&gt;"",$AG434=""),"HINWEIS: Gewinde-Vorschlag prüfen","OK")))))))))))))</f>
        <v/>
      </c>
      <c r="X434" s="18" t="str">
        <f aca="false">IF(OR(O434="",$G434=""),"",O434*$G434)</f>
        <v/>
      </c>
      <c r="Y434" s="10"/>
      <c r="Z434" s="21"/>
      <c r="AA434" s="10"/>
      <c r="AB434" s="21"/>
      <c r="AC434" s="21"/>
      <c r="AD434" s="21"/>
      <c r="AE434" s="10"/>
      <c r="AF434" s="10"/>
      <c r="AG434" s="10"/>
      <c r="AH434" s="22"/>
      <c r="AI434" s="21"/>
      <c r="AJ434" s="22"/>
      <c r="AK434" s="21"/>
      <c r="AL434" s="22"/>
      <c r="AM434" s="21"/>
    </row>
    <row r="435" customFormat="false" ht="15" hidden="false" customHeight="false" outlineLevel="0" collapsed="false">
      <c r="A435" s="10"/>
      <c r="B435" s="10"/>
      <c r="C435" s="10"/>
      <c r="D435" s="10"/>
      <c r="E435" s="10"/>
      <c r="F435" s="21"/>
      <c r="G435" s="19"/>
      <c r="H435" s="21"/>
      <c r="I435" s="22"/>
      <c r="J435" s="19"/>
      <c r="K435" s="23" t="str">
        <f aca="false">IF($D435="","",IFERROR(INDEX(Profile!$B$5:$B$304,MATCH($D435,lst_Profil,0)),""))</f>
        <v/>
      </c>
      <c r="L435" s="13" t="str">
        <f aca="false">IF($D435="","",IFERROR(INDEX(Profile!$K$5:$K$304,MATCH($D435,lst_Profil,0))+0,""))</f>
        <v/>
      </c>
      <c r="M435" s="24" t="str">
        <f aca="false">IF($D435="","",IFERROR(INDEX(Profile!$E$5:$E$304,MATCH($D435,lst_Profil,0))+0,""))</f>
        <v/>
      </c>
      <c r="N435" s="25" t="str">
        <f aca="false">IF(OR(L435="",$E435=""),"",IFERROR(L435*INDEX(Werkstoffe!$E$5:$E$304,MATCH($E435,lst_Werkstoff,0))/1000,""))</f>
        <v/>
      </c>
      <c r="O435" s="25" t="str">
        <f aca="false">IF(OR(N435="",$F435=""),"",N435*$F435/1000)</f>
        <v/>
      </c>
      <c r="P435" s="16" t="str">
        <f aca="false">IF(OR($F435="",$G435=""),"",$F435*$G435)</f>
        <v/>
      </c>
      <c r="Q435" s="16" t="str">
        <f aca="false">IF($D435="","",IF($J435&lt;&gt;"",$J435,$C$9))</f>
        <v/>
      </c>
      <c r="R435" s="12" t="str">
        <f aca="false">IF($D435="","",IFERROR(IF(INDEX(Profile!$G$5:$G$304,MATCH($D435,lst_Profil,0))&lt;&gt;"",INDEX(Profile!$G$5:$G$304,MATCH($D435,lst_Profil,0)),$H$4),$H$4))</f>
        <v/>
      </c>
      <c r="S435" s="12" t="str">
        <f aca="false">IF($D435="","",IFERROR(IF(INDEX(Profile!$H$5:$H$304,MATCH($D435,lst_Profil,0))&lt;&gt;"",INDEX(Profile!$H$5:$H$304,MATCH($D435,lst_Profil,0)),$H$5),$H$5))</f>
        <v/>
      </c>
      <c r="T435" s="16" t="str">
        <f aca="false">IF(OR(Q435="",NOT(ISNUMBER(R435)),NOT(ISNUMBER(S435))),"",Q435-R435-S435)</f>
        <v/>
      </c>
      <c r="U435" s="26" t="str">
        <f aca="false">IF(OR($D435="",$E435=""),"",IF(COUNTIFS(Preise!$A$5:$A$304,$D435,Preise!$B$5:$B$304,$E435,Preise!$I$5:$I$304,"OK")&gt;0,"ja","nein"))</f>
        <v/>
      </c>
      <c r="V435" s="15" t="str">
        <f aca="false">IF(OR(M435="",$E435="",$C$8=""),"",IF(_xlfn.MINIFS(Schneiddaten!$C$5:$C$304,Schneiddaten!$A$5:$A$304,$C$8,Schneiddaten!$B$5:$B$304,$E435,Schneiddaten!$C$5:$C$304,"&gt;="&amp;M435)=0,"",SUMIFS(Schneiddaten!$D$5:$D$304,Schneiddaten!$A$5:$A$304,$C$8,Schneiddaten!$B$5:$B$304,$E435,Schneiddaten!$C$5:$C$304,_xlfn.MINIFS(Schneiddaten!$C$5:$C$304,Schneiddaten!$A$5:$A$304,$C$8,Schneiddaten!$B$5:$B$304,$E435,Schneiddaten!$C$5:$C$304,"&gt;="&amp;M435))))</f>
        <v/>
      </c>
      <c r="W435" s="26" t="str">
        <f aca="false">IF(AND($D435="",$E435="",$F435="",$G435=""),"",IF(ISNA(MATCH($D435,lst_Profil,0)),"FEHLER: Profil unbekannt",IF(ISNA(MATCH($E435,lst_Werkstoff,0)),"FEHLER: Werkstoff unbekannt",IF(NOT(ISNUMBER(L435)),"FEHLER: Querschnitt fehlt (Profil)",IF(OR($F435="",$F435&lt;=0),"FEHLER: Teilelänge fehlt",IF(OR($G435="",$G435&lt;1),"FEHLER: Stückzahl fehlt",IF(NOT(ISNUMBER($H$4)),"FEHLER: Maschine fehlt/unbekannt",IF(Q435&gt;$H$7,"FEHLER: Stange länger als Maschine zulässt",IF($F435+$H$6&gt;T435,"FEHLER: Teil länger als Nutzlänge",IF(U435="nein","WARNUNG: kein gültiger Materialpreis",IF($H435="","HINWEIS: Schneidweg fehlt",IF(V435="","HINWEIS: keine Schneiddaten",IF(AND($AF435&lt;&gt;"",$AG435=""),"HINWEIS: Gewinde-Vorschlag prüfen","OK")))))))))))))</f>
        <v/>
      </c>
      <c r="X435" s="18" t="str">
        <f aca="false">IF(OR(O435="",$G435=""),"",O435*$G435)</f>
        <v/>
      </c>
      <c r="Y435" s="10"/>
      <c r="Z435" s="21"/>
      <c r="AA435" s="10"/>
      <c r="AB435" s="21"/>
      <c r="AC435" s="21"/>
      <c r="AD435" s="21"/>
      <c r="AE435" s="10"/>
      <c r="AF435" s="10"/>
      <c r="AG435" s="10"/>
      <c r="AH435" s="22"/>
      <c r="AI435" s="21"/>
      <c r="AJ435" s="22"/>
      <c r="AK435" s="21"/>
      <c r="AL435" s="22"/>
      <c r="AM435" s="21"/>
    </row>
    <row r="436" customFormat="false" ht="15" hidden="false" customHeight="false" outlineLevel="0" collapsed="false">
      <c r="A436" s="10"/>
      <c r="B436" s="10"/>
      <c r="C436" s="10"/>
      <c r="D436" s="10"/>
      <c r="E436" s="10"/>
      <c r="F436" s="21"/>
      <c r="G436" s="19"/>
      <c r="H436" s="21"/>
      <c r="I436" s="22"/>
      <c r="J436" s="19"/>
      <c r="K436" s="23" t="str">
        <f aca="false">IF($D436="","",IFERROR(INDEX(Profile!$B$5:$B$304,MATCH($D436,lst_Profil,0)),""))</f>
        <v/>
      </c>
      <c r="L436" s="13" t="str">
        <f aca="false">IF($D436="","",IFERROR(INDEX(Profile!$K$5:$K$304,MATCH($D436,lst_Profil,0))+0,""))</f>
        <v/>
      </c>
      <c r="M436" s="24" t="str">
        <f aca="false">IF($D436="","",IFERROR(INDEX(Profile!$E$5:$E$304,MATCH($D436,lst_Profil,0))+0,""))</f>
        <v/>
      </c>
      <c r="N436" s="25" t="str">
        <f aca="false">IF(OR(L436="",$E436=""),"",IFERROR(L436*INDEX(Werkstoffe!$E$5:$E$304,MATCH($E436,lst_Werkstoff,0))/1000,""))</f>
        <v/>
      </c>
      <c r="O436" s="25" t="str">
        <f aca="false">IF(OR(N436="",$F436=""),"",N436*$F436/1000)</f>
        <v/>
      </c>
      <c r="P436" s="16" t="str">
        <f aca="false">IF(OR($F436="",$G436=""),"",$F436*$G436)</f>
        <v/>
      </c>
      <c r="Q436" s="16" t="str">
        <f aca="false">IF($D436="","",IF($J436&lt;&gt;"",$J436,$C$9))</f>
        <v/>
      </c>
      <c r="R436" s="12" t="str">
        <f aca="false">IF($D436="","",IFERROR(IF(INDEX(Profile!$G$5:$G$304,MATCH($D436,lst_Profil,0))&lt;&gt;"",INDEX(Profile!$G$5:$G$304,MATCH($D436,lst_Profil,0)),$H$4),$H$4))</f>
        <v/>
      </c>
      <c r="S436" s="12" t="str">
        <f aca="false">IF($D436="","",IFERROR(IF(INDEX(Profile!$H$5:$H$304,MATCH($D436,lst_Profil,0))&lt;&gt;"",INDEX(Profile!$H$5:$H$304,MATCH($D436,lst_Profil,0)),$H$5),$H$5))</f>
        <v/>
      </c>
      <c r="T436" s="16" t="str">
        <f aca="false">IF(OR(Q436="",NOT(ISNUMBER(R436)),NOT(ISNUMBER(S436))),"",Q436-R436-S436)</f>
        <v/>
      </c>
      <c r="U436" s="26" t="str">
        <f aca="false">IF(OR($D436="",$E436=""),"",IF(COUNTIFS(Preise!$A$5:$A$304,$D436,Preise!$B$5:$B$304,$E436,Preise!$I$5:$I$304,"OK")&gt;0,"ja","nein"))</f>
        <v/>
      </c>
      <c r="V436" s="15" t="str">
        <f aca="false">IF(OR(M436="",$E436="",$C$8=""),"",IF(_xlfn.MINIFS(Schneiddaten!$C$5:$C$304,Schneiddaten!$A$5:$A$304,$C$8,Schneiddaten!$B$5:$B$304,$E436,Schneiddaten!$C$5:$C$304,"&gt;="&amp;M436)=0,"",SUMIFS(Schneiddaten!$D$5:$D$304,Schneiddaten!$A$5:$A$304,$C$8,Schneiddaten!$B$5:$B$304,$E436,Schneiddaten!$C$5:$C$304,_xlfn.MINIFS(Schneiddaten!$C$5:$C$304,Schneiddaten!$A$5:$A$304,$C$8,Schneiddaten!$B$5:$B$304,$E436,Schneiddaten!$C$5:$C$304,"&gt;="&amp;M436))))</f>
        <v/>
      </c>
      <c r="W436" s="26" t="str">
        <f aca="false">IF(AND($D436="",$E436="",$F436="",$G436=""),"",IF(ISNA(MATCH($D436,lst_Profil,0)),"FEHLER: Profil unbekannt",IF(ISNA(MATCH($E436,lst_Werkstoff,0)),"FEHLER: Werkstoff unbekannt",IF(NOT(ISNUMBER(L436)),"FEHLER: Querschnitt fehlt (Profil)",IF(OR($F436="",$F436&lt;=0),"FEHLER: Teilelänge fehlt",IF(OR($G436="",$G436&lt;1),"FEHLER: Stückzahl fehlt",IF(NOT(ISNUMBER($H$4)),"FEHLER: Maschine fehlt/unbekannt",IF(Q436&gt;$H$7,"FEHLER: Stange länger als Maschine zulässt",IF($F436+$H$6&gt;T436,"FEHLER: Teil länger als Nutzlänge",IF(U436="nein","WARNUNG: kein gültiger Materialpreis",IF($H436="","HINWEIS: Schneidweg fehlt",IF(V436="","HINWEIS: keine Schneiddaten",IF(AND($AF436&lt;&gt;"",$AG436=""),"HINWEIS: Gewinde-Vorschlag prüfen","OK")))))))))))))</f>
        <v/>
      </c>
      <c r="X436" s="18" t="str">
        <f aca="false">IF(OR(O436="",$G436=""),"",O436*$G436)</f>
        <v/>
      </c>
      <c r="Y436" s="10"/>
      <c r="Z436" s="21"/>
      <c r="AA436" s="10"/>
      <c r="AB436" s="21"/>
      <c r="AC436" s="21"/>
      <c r="AD436" s="21"/>
      <c r="AE436" s="10"/>
      <c r="AF436" s="10"/>
      <c r="AG436" s="10"/>
      <c r="AH436" s="22"/>
      <c r="AI436" s="21"/>
      <c r="AJ436" s="22"/>
      <c r="AK436" s="21"/>
      <c r="AL436" s="22"/>
      <c r="AM436" s="21"/>
    </row>
    <row r="437" customFormat="false" ht="15" hidden="false" customHeight="false" outlineLevel="0" collapsed="false">
      <c r="A437" s="10"/>
      <c r="B437" s="10"/>
      <c r="C437" s="10"/>
      <c r="D437" s="10"/>
      <c r="E437" s="10"/>
      <c r="F437" s="21"/>
      <c r="G437" s="19"/>
      <c r="H437" s="21"/>
      <c r="I437" s="22"/>
      <c r="J437" s="19"/>
      <c r="K437" s="23" t="str">
        <f aca="false">IF($D437="","",IFERROR(INDEX(Profile!$B$5:$B$304,MATCH($D437,lst_Profil,0)),""))</f>
        <v/>
      </c>
      <c r="L437" s="13" t="str">
        <f aca="false">IF($D437="","",IFERROR(INDEX(Profile!$K$5:$K$304,MATCH($D437,lst_Profil,0))+0,""))</f>
        <v/>
      </c>
      <c r="M437" s="24" t="str">
        <f aca="false">IF($D437="","",IFERROR(INDEX(Profile!$E$5:$E$304,MATCH($D437,lst_Profil,0))+0,""))</f>
        <v/>
      </c>
      <c r="N437" s="25" t="str">
        <f aca="false">IF(OR(L437="",$E437=""),"",IFERROR(L437*INDEX(Werkstoffe!$E$5:$E$304,MATCH($E437,lst_Werkstoff,0))/1000,""))</f>
        <v/>
      </c>
      <c r="O437" s="25" t="str">
        <f aca="false">IF(OR(N437="",$F437=""),"",N437*$F437/1000)</f>
        <v/>
      </c>
      <c r="P437" s="16" t="str">
        <f aca="false">IF(OR($F437="",$G437=""),"",$F437*$G437)</f>
        <v/>
      </c>
      <c r="Q437" s="16" t="str">
        <f aca="false">IF($D437="","",IF($J437&lt;&gt;"",$J437,$C$9))</f>
        <v/>
      </c>
      <c r="R437" s="12" t="str">
        <f aca="false">IF($D437="","",IFERROR(IF(INDEX(Profile!$G$5:$G$304,MATCH($D437,lst_Profil,0))&lt;&gt;"",INDEX(Profile!$G$5:$G$304,MATCH($D437,lst_Profil,0)),$H$4),$H$4))</f>
        <v/>
      </c>
      <c r="S437" s="12" t="str">
        <f aca="false">IF($D437="","",IFERROR(IF(INDEX(Profile!$H$5:$H$304,MATCH($D437,lst_Profil,0))&lt;&gt;"",INDEX(Profile!$H$5:$H$304,MATCH($D437,lst_Profil,0)),$H$5),$H$5))</f>
        <v/>
      </c>
      <c r="T437" s="16" t="str">
        <f aca="false">IF(OR(Q437="",NOT(ISNUMBER(R437)),NOT(ISNUMBER(S437))),"",Q437-R437-S437)</f>
        <v/>
      </c>
      <c r="U437" s="26" t="str">
        <f aca="false">IF(OR($D437="",$E437=""),"",IF(COUNTIFS(Preise!$A$5:$A$304,$D437,Preise!$B$5:$B$304,$E437,Preise!$I$5:$I$304,"OK")&gt;0,"ja","nein"))</f>
        <v/>
      </c>
      <c r="V437" s="15" t="str">
        <f aca="false">IF(OR(M437="",$E437="",$C$8=""),"",IF(_xlfn.MINIFS(Schneiddaten!$C$5:$C$304,Schneiddaten!$A$5:$A$304,$C$8,Schneiddaten!$B$5:$B$304,$E437,Schneiddaten!$C$5:$C$304,"&gt;="&amp;M437)=0,"",SUMIFS(Schneiddaten!$D$5:$D$304,Schneiddaten!$A$5:$A$304,$C$8,Schneiddaten!$B$5:$B$304,$E437,Schneiddaten!$C$5:$C$304,_xlfn.MINIFS(Schneiddaten!$C$5:$C$304,Schneiddaten!$A$5:$A$304,$C$8,Schneiddaten!$B$5:$B$304,$E437,Schneiddaten!$C$5:$C$304,"&gt;="&amp;M437))))</f>
        <v/>
      </c>
      <c r="W437" s="26" t="str">
        <f aca="false">IF(AND($D437="",$E437="",$F437="",$G437=""),"",IF(ISNA(MATCH($D437,lst_Profil,0)),"FEHLER: Profil unbekannt",IF(ISNA(MATCH($E437,lst_Werkstoff,0)),"FEHLER: Werkstoff unbekannt",IF(NOT(ISNUMBER(L437)),"FEHLER: Querschnitt fehlt (Profil)",IF(OR($F437="",$F437&lt;=0),"FEHLER: Teilelänge fehlt",IF(OR($G437="",$G437&lt;1),"FEHLER: Stückzahl fehlt",IF(NOT(ISNUMBER($H$4)),"FEHLER: Maschine fehlt/unbekannt",IF(Q437&gt;$H$7,"FEHLER: Stange länger als Maschine zulässt",IF($F437+$H$6&gt;T437,"FEHLER: Teil länger als Nutzlänge",IF(U437="nein","WARNUNG: kein gültiger Materialpreis",IF($H437="","HINWEIS: Schneidweg fehlt",IF(V437="","HINWEIS: keine Schneiddaten",IF(AND($AF437&lt;&gt;"",$AG437=""),"HINWEIS: Gewinde-Vorschlag prüfen","OK")))))))))))))</f>
        <v/>
      </c>
      <c r="X437" s="18" t="str">
        <f aca="false">IF(OR(O437="",$G437=""),"",O437*$G437)</f>
        <v/>
      </c>
      <c r="Y437" s="10"/>
      <c r="Z437" s="21"/>
      <c r="AA437" s="10"/>
      <c r="AB437" s="21"/>
      <c r="AC437" s="21"/>
      <c r="AD437" s="21"/>
      <c r="AE437" s="10"/>
      <c r="AF437" s="10"/>
      <c r="AG437" s="10"/>
      <c r="AH437" s="22"/>
      <c r="AI437" s="21"/>
      <c r="AJ437" s="22"/>
      <c r="AK437" s="21"/>
      <c r="AL437" s="22"/>
      <c r="AM437" s="21"/>
    </row>
    <row r="438" customFormat="false" ht="15" hidden="false" customHeight="false" outlineLevel="0" collapsed="false">
      <c r="A438" s="10"/>
      <c r="B438" s="10"/>
      <c r="C438" s="10"/>
      <c r="D438" s="10"/>
      <c r="E438" s="10"/>
      <c r="F438" s="21"/>
      <c r="G438" s="19"/>
      <c r="H438" s="21"/>
      <c r="I438" s="22"/>
      <c r="J438" s="19"/>
      <c r="K438" s="23" t="str">
        <f aca="false">IF($D438="","",IFERROR(INDEX(Profile!$B$5:$B$304,MATCH($D438,lst_Profil,0)),""))</f>
        <v/>
      </c>
      <c r="L438" s="13" t="str">
        <f aca="false">IF($D438="","",IFERROR(INDEX(Profile!$K$5:$K$304,MATCH($D438,lst_Profil,0))+0,""))</f>
        <v/>
      </c>
      <c r="M438" s="24" t="str">
        <f aca="false">IF($D438="","",IFERROR(INDEX(Profile!$E$5:$E$304,MATCH($D438,lst_Profil,0))+0,""))</f>
        <v/>
      </c>
      <c r="N438" s="25" t="str">
        <f aca="false">IF(OR(L438="",$E438=""),"",IFERROR(L438*INDEX(Werkstoffe!$E$5:$E$304,MATCH($E438,lst_Werkstoff,0))/1000,""))</f>
        <v/>
      </c>
      <c r="O438" s="25" t="str">
        <f aca="false">IF(OR(N438="",$F438=""),"",N438*$F438/1000)</f>
        <v/>
      </c>
      <c r="P438" s="16" t="str">
        <f aca="false">IF(OR($F438="",$G438=""),"",$F438*$G438)</f>
        <v/>
      </c>
      <c r="Q438" s="16" t="str">
        <f aca="false">IF($D438="","",IF($J438&lt;&gt;"",$J438,$C$9))</f>
        <v/>
      </c>
      <c r="R438" s="12" t="str">
        <f aca="false">IF($D438="","",IFERROR(IF(INDEX(Profile!$G$5:$G$304,MATCH($D438,lst_Profil,0))&lt;&gt;"",INDEX(Profile!$G$5:$G$304,MATCH($D438,lst_Profil,0)),$H$4),$H$4))</f>
        <v/>
      </c>
      <c r="S438" s="12" t="str">
        <f aca="false">IF($D438="","",IFERROR(IF(INDEX(Profile!$H$5:$H$304,MATCH($D438,lst_Profil,0))&lt;&gt;"",INDEX(Profile!$H$5:$H$304,MATCH($D438,lst_Profil,0)),$H$5),$H$5))</f>
        <v/>
      </c>
      <c r="T438" s="16" t="str">
        <f aca="false">IF(OR(Q438="",NOT(ISNUMBER(R438)),NOT(ISNUMBER(S438))),"",Q438-R438-S438)</f>
        <v/>
      </c>
      <c r="U438" s="26" t="str">
        <f aca="false">IF(OR($D438="",$E438=""),"",IF(COUNTIFS(Preise!$A$5:$A$304,$D438,Preise!$B$5:$B$304,$E438,Preise!$I$5:$I$304,"OK")&gt;0,"ja","nein"))</f>
        <v/>
      </c>
      <c r="V438" s="15" t="str">
        <f aca="false">IF(OR(M438="",$E438="",$C$8=""),"",IF(_xlfn.MINIFS(Schneiddaten!$C$5:$C$304,Schneiddaten!$A$5:$A$304,$C$8,Schneiddaten!$B$5:$B$304,$E438,Schneiddaten!$C$5:$C$304,"&gt;="&amp;M438)=0,"",SUMIFS(Schneiddaten!$D$5:$D$304,Schneiddaten!$A$5:$A$304,$C$8,Schneiddaten!$B$5:$B$304,$E438,Schneiddaten!$C$5:$C$304,_xlfn.MINIFS(Schneiddaten!$C$5:$C$304,Schneiddaten!$A$5:$A$304,$C$8,Schneiddaten!$B$5:$B$304,$E438,Schneiddaten!$C$5:$C$304,"&gt;="&amp;M438))))</f>
        <v/>
      </c>
      <c r="W438" s="26" t="str">
        <f aca="false">IF(AND($D438="",$E438="",$F438="",$G438=""),"",IF(ISNA(MATCH($D438,lst_Profil,0)),"FEHLER: Profil unbekannt",IF(ISNA(MATCH($E438,lst_Werkstoff,0)),"FEHLER: Werkstoff unbekannt",IF(NOT(ISNUMBER(L438)),"FEHLER: Querschnitt fehlt (Profil)",IF(OR($F438="",$F438&lt;=0),"FEHLER: Teilelänge fehlt",IF(OR($G438="",$G438&lt;1),"FEHLER: Stückzahl fehlt",IF(NOT(ISNUMBER($H$4)),"FEHLER: Maschine fehlt/unbekannt",IF(Q438&gt;$H$7,"FEHLER: Stange länger als Maschine zulässt",IF($F438+$H$6&gt;T438,"FEHLER: Teil länger als Nutzlänge",IF(U438="nein","WARNUNG: kein gültiger Materialpreis",IF($H438="","HINWEIS: Schneidweg fehlt",IF(V438="","HINWEIS: keine Schneiddaten",IF(AND($AF438&lt;&gt;"",$AG438=""),"HINWEIS: Gewinde-Vorschlag prüfen","OK")))))))))))))</f>
        <v/>
      </c>
      <c r="X438" s="18" t="str">
        <f aca="false">IF(OR(O438="",$G438=""),"",O438*$G438)</f>
        <v/>
      </c>
      <c r="Y438" s="10"/>
      <c r="Z438" s="21"/>
      <c r="AA438" s="10"/>
      <c r="AB438" s="21"/>
      <c r="AC438" s="21"/>
      <c r="AD438" s="21"/>
      <c r="AE438" s="10"/>
      <c r="AF438" s="10"/>
      <c r="AG438" s="10"/>
      <c r="AH438" s="22"/>
      <c r="AI438" s="21"/>
      <c r="AJ438" s="22"/>
      <c r="AK438" s="21"/>
      <c r="AL438" s="22"/>
      <c r="AM438" s="21"/>
    </row>
    <row r="439" customFormat="false" ht="15" hidden="false" customHeight="false" outlineLevel="0" collapsed="false">
      <c r="A439" s="10"/>
      <c r="B439" s="10"/>
      <c r="C439" s="10"/>
      <c r="D439" s="10"/>
      <c r="E439" s="10"/>
      <c r="F439" s="21"/>
      <c r="G439" s="19"/>
      <c r="H439" s="21"/>
      <c r="I439" s="22"/>
      <c r="J439" s="19"/>
      <c r="K439" s="23" t="str">
        <f aca="false">IF($D439="","",IFERROR(INDEX(Profile!$B$5:$B$304,MATCH($D439,lst_Profil,0)),""))</f>
        <v/>
      </c>
      <c r="L439" s="13" t="str">
        <f aca="false">IF($D439="","",IFERROR(INDEX(Profile!$K$5:$K$304,MATCH($D439,lst_Profil,0))+0,""))</f>
        <v/>
      </c>
      <c r="M439" s="24" t="str">
        <f aca="false">IF($D439="","",IFERROR(INDEX(Profile!$E$5:$E$304,MATCH($D439,lst_Profil,0))+0,""))</f>
        <v/>
      </c>
      <c r="N439" s="25" t="str">
        <f aca="false">IF(OR(L439="",$E439=""),"",IFERROR(L439*INDEX(Werkstoffe!$E$5:$E$304,MATCH($E439,lst_Werkstoff,0))/1000,""))</f>
        <v/>
      </c>
      <c r="O439" s="25" t="str">
        <f aca="false">IF(OR(N439="",$F439=""),"",N439*$F439/1000)</f>
        <v/>
      </c>
      <c r="P439" s="16" t="str">
        <f aca="false">IF(OR($F439="",$G439=""),"",$F439*$G439)</f>
        <v/>
      </c>
      <c r="Q439" s="16" t="str">
        <f aca="false">IF($D439="","",IF($J439&lt;&gt;"",$J439,$C$9))</f>
        <v/>
      </c>
      <c r="R439" s="12" t="str">
        <f aca="false">IF($D439="","",IFERROR(IF(INDEX(Profile!$G$5:$G$304,MATCH($D439,lst_Profil,0))&lt;&gt;"",INDEX(Profile!$G$5:$G$304,MATCH($D439,lst_Profil,0)),$H$4),$H$4))</f>
        <v/>
      </c>
      <c r="S439" s="12" t="str">
        <f aca="false">IF($D439="","",IFERROR(IF(INDEX(Profile!$H$5:$H$304,MATCH($D439,lst_Profil,0))&lt;&gt;"",INDEX(Profile!$H$5:$H$304,MATCH($D439,lst_Profil,0)),$H$5),$H$5))</f>
        <v/>
      </c>
      <c r="T439" s="16" t="str">
        <f aca="false">IF(OR(Q439="",NOT(ISNUMBER(R439)),NOT(ISNUMBER(S439))),"",Q439-R439-S439)</f>
        <v/>
      </c>
      <c r="U439" s="26" t="str">
        <f aca="false">IF(OR($D439="",$E439=""),"",IF(COUNTIFS(Preise!$A$5:$A$304,$D439,Preise!$B$5:$B$304,$E439,Preise!$I$5:$I$304,"OK")&gt;0,"ja","nein"))</f>
        <v/>
      </c>
      <c r="V439" s="15" t="str">
        <f aca="false">IF(OR(M439="",$E439="",$C$8=""),"",IF(_xlfn.MINIFS(Schneiddaten!$C$5:$C$304,Schneiddaten!$A$5:$A$304,$C$8,Schneiddaten!$B$5:$B$304,$E439,Schneiddaten!$C$5:$C$304,"&gt;="&amp;M439)=0,"",SUMIFS(Schneiddaten!$D$5:$D$304,Schneiddaten!$A$5:$A$304,$C$8,Schneiddaten!$B$5:$B$304,$E439,Schneiddaten!$C$5:$C$304,_xlfn.MINIFS(Schneiddaten!$C$5:$C$304,Schneiddaten!$A$5:$A$304,$C$8,Schneiddaten!$B$5:$B$304,$E439,Schneiddaten!$C$5:$C$304,"&gt;="&amp;M439))))</f>
        <v/>
      </c>
      <c r="W439" s="26" t="str">
        <f aca="false">IF(AND($D439="",$E439="",$F439="",$G439=""),"",IF(ISNA(MATCH($D439,lst_Profil,0)),"FEHLER: Profil unbekannt",IF(ISNA(MATCH($E439,lst_Werkstoff,0)),"FEHLER: Werkstoff unbekannt",IF(NOT(ISNUMBER(L439)),"FEHLER: Querschnitt fehlt (Profil)",IF(OR($F439="",$F439&lt;=0),"FEHLER: Teilelänge fehlt",IF(OR($G439="",$G439&lt;1),"FEHLER: Stückzahl fehlt",IF(NOT(ISNUMBER($H$4)),"FEHLER: Maschine fehlt/unbekannt",IF(Q439&gt;$H$7,"FEHLER: Stange länger als Maschine zulässt",IF($F439+$H$6&gt;T439,"FEHLER: Teil länger als Nutzlänge",IF(U439="nein","WARNUNG: kein gültiger Materialpreis",IF($H439="","HINWEIS: Schneidweg fehlt",IF(V439="","HINWEIS: keine Schneiddaten",IF(AND($AF439&lt;&gt;"",$AG439=""),"HINWEIS: Gewinde-Vorschlag prüfen","OK")))))))))))))</f>
        <v/>
      </c>
      <c r="X439" s="18" t="str">
        <f aca="false">IF(OR(O439="",$G439=""),"",O439*$G439)</f>
        <v/>
      </c>
      <c r="Y439" s="10"/>
      <c r="Z439" s="21"/>
      <c r="AA439" s="10"/>
      <c r="AB439" s="21"/>
      <c r="AC439" s="21"/>
      <c r="AD439" s="21"/>
      <c r="AE439" s="10"/>
      <c r="AF439" s="10"/>
      <c r="AG439" s="10"/>
      <c r="AH439" s="22"/>
      <c r="AI439" s="21"/>
      <c r="AJ439" s="22"/>
      <c r="AK439" s="21"/>
      <c r="AL439" s="22"/>
      <c r="AM439" s="21"/>
    </row>
    <row r="440" customFormat="false" ht="15" hidden="false" customHeight="false" outlineLevel="0" collapsed="false">
      <c r="A440" s="10"/>
      <c r="B440" s="10"/>
      <c r="C440" s="10"/>
      <c r="D440" s="10"/>
      <c r="E440" s="10"/>
      <c r="F440" s="21"/>
      <c r="G440" s="19"/>
      <c r="H440" s="21"/>
      <c r="I440" s="22"/>
      <c r="J440" s="19"/>
      <c r="K440" s="23" t="str">
        <f aca="false">IF($D440="","",IFERROR(INDEX(Profile!$B$5:$B$304,MATCH($D440,lst_Profil,0)),""))</f>
        <v/>
      </c>
      <c r="L440" s="13" t="str">
        <f aca="false">IF($D440="","",IFERROR(INDEX(Profile!$K$5:$K$304,MATCH($D440,lst_Profil,0))+0,""))</f>
        <v/>
      </c>
      <c r="M440" s="24" t="str">
        <f aca="false">IF($D440="","",IFERROR(INDEX(Profile!$E$5:$E$304,MATCH($D440,lst_Profil,0))+0,""))</f>
        <v/>
      </c>
      <c r="N440" s="25" t="str">
        <f aca="false">IF(OR(L440="",$E440=""),"",IFERROR(L440*INDEX(Werkstoffe!$E$5:$E$304,MATCH($E440,lst_Werkstoff,0))/1000,""))</f>
        <v/>
      </c>
      <c r="O440" s="25" t="str">
        <f aca="false">IF(OR(N440="",$F440=""),"",N440*$F440/1000)</f>
        <v/>
      </c>
      <c r="P440" s="16" t="str">
        <f aca="false">IF(OR($F440="",$G440=""),"",$F440*$G440)</f>
        <v/>
      </c>
      <c r="Q440" s="16" t="str">
        <f aca="false">IF($D440="","",IF($J440&lt;&gt;"",$J440,$C$9))</f>
        <v/>
      </c>
      <c r="R440" s="12" t="str">
        <f aca="false">IF($D440="","",IFERROR(IF(INDEX(Profile!$G$5:$G$304,MATCH($D440,lst_Profil,0))&lt;&gt;"",INDEX(Profile!$G$5:$G$304,MATCH($D440,lst_Profil,0)),$H$4),$H$4))</f>
        <v/>
      </c>
      <c r="S440" s="12" t="str">
        <f aca="false">IF($D440="","",IFERROR(IF(INDEX(Profile!$H$5:$H$304,MATCH($D440,lst_Profil,0))&lt;&gt;"",INDEX(Profile!$H$5:$H$304,MATCH($D440,lst_Profil,0)),$H$5),$H$5))</f>
        <v/>
      </c>
      <c r="T440" s="16" t="str">
        <f aca="false">IF(OR(Q440="",NOT(ISNUMBER(R440)),NOT(ISNUMBER(S440))),"",Q440-R440-S440)</f>
        <v/>
      </c>
      <c r="U440" s="26" t="str">
        <f aca="false">IF(OR($D440="",$E440=""),"",IF(COUNTIFS(Preise!$A$5:$A$304,$D440,Preise!$B$5:$B$304,$E440,Preise!$I$5:$I$304,"OK")&gt;0,"ja","nein"))</f>
        <v/>
      </c>
      <c r="V440" s="15" t="str">
        <f aca="false">IF(OR(M440="",$E440="",$C$8=""),"",IF(_xlfn.MINIFS(Schneiddaten!$C$5:$C$304,Schneiddaten!$A$5:$A$304,$C$8,Schneiddaten!$B$5:$B$304,$E440,Schneiddaten!$C$5:$C$304,"&gt;="&amp;M440)=0,"",SUMIFS(Schneiddaten!$D$5:$D$304,Schneiddaten!$A$5:$A$304,$C$8,Schneiddaten!$B$5:$B$304,$E440,Schneiddaten!$C$5:$C$304,_xlfn.MINIFS(Schneiddaten!$C$5:$C$304,Schneiddaten!$A$5:$A$304,$C$8,Schneiddaten!$B$5:$B$304,$E440,Schneiddaten!$C$5:$C$304,"&gt;="&amp;M440))))</f>
        <v/>
      </c>
      <c r="W440" s="26" t="str">
        <f aca="false">IF(AND($D440="",$E440="",$F440="",$G440=""),"",IF(ISNA(MATCH($D440,lst_Profil,0)),"FEHLER: Profil unbekannt",IF(ISNA(MATCH($E440,lst_Werkstoff,0)),"FEHLER: Werkstoff unbekannt",IF(NOT(ISNUMBER(L440)),"FEHLER: Querschnitt fehlt (Profil)",IF(OR($F440="",$F440&lt;=0),"FEHLER: Teilelänge fehlt",IF(OR($G440="",$G440&lt;1),"FEHLER: Stückzahl fehlt",IF(NOT(ISNUMBER($H$4)),"FEHLER: Maschine fehlt/unbekannt",IF(Q440&gt;$H$7,"FEHLER: Stange länger als Maschine zulässt",IF($F440+$H$6&gt;T440,"FEHLER: Teil länger als Nutzlänge",IF(U440="nein","WARNUNG: kein gültiger Materialpreis",IF($H440="","HINWEIS: Schneidweg fehlt",IF(V440="","HINWEIS: keine Schneiddaten",IF(AND($AF440&lt;&gt;"",$AG440=""),"HINWEIS: Gewinde-Vorschlag prüfen","OK")))))))))))))</f>
        <v/>
      </c>
      <c r="X440" s="18" t="str">
        <f aca="false">IF(OR(O440="",$G440=""),"",O440*$G440)</f>
        <v/>
      </c>
      <c r="Y440" s="10"/>
      <c r="Z440" s="21"/>
      <c r="AA440" s="10"/>
      <c r="AB440" s="21"/>
      <c r="AC440" s="21"/>
      <c r="AD440" s="21"/>
      <c r="AE440" s="10"/>
      <c r="AF440" s="10"/>
      <c r="AG440" s="10"/>
      <c r="AH440" s="22"/>
      <c r="AI440" s="21"/>
      <c r="AJ440" s="22"/>
      <c r="AK440" s="21"/>
      <c r="AL440" s="22"/>
      <c r="AM440" s="21"/>
    </row>
    <row r="441" customFormat="false" ht="15" hidden="false" customHeight="false" outlineLevel="0" collapsed="false">
      <c r="A441" s="10"/>
      <c r="B441" s="10"/>
      <c r="C441" s="10"/>
      <c r="D441" s="10"/>
      <c r="E441" s="10"/>
      <c r="F441" s="21"/>
      <c r="G441" s="19"/>
      <c r="H441" s="21"/>
      <c r="I441" s="22"/>
      <c r="J441" s="19"/>
      <c r="K441" s="23" t="str">
        <f aca="false">IF($D441="","",IFERROR(INDEX(Profile!$B$5:$B$304,MATCH($D441,lst_Profil,0)),""))</f>
        <v/>
      </c>
      <c r="L441" s="13" t="str">
        <f aca="false">IF($D441="","",IFERROR(INDEX(Profile!$K$5:$K$304,MATCH($D441,lst_Profil,0))+0,""))</f>
        <v/>
      </c>
      <c r="M441" s="24" t="str">
        <f aca="false">IF($D441="","",IFERROR(INDEX(Profile!$E$5:$E$304,MATCH($D441,lst_Profil,0))+0,""))</f>
        <v/>
      </c>
      <c r="N441" s="25" t="str">
        <f aca="false">IF(OR(L441="",$E441=""),"",IFERROR(L441*INDEX(Werkstoffe!$E$5:$E$304,MATCH($E441,lst_Werkstoff,0))/1000,""))</f>
        <v/>
      </c>
      <c r="O441" s="25" t="str">
        <f aca="false">IF(OR(N441="",$F441=""),"",N441*$F441/1000)</f>
        <v/>
      </c>
      <c r="P441" s="16" t="str">
        <f aca="false">IF(OR($F441="",$G441=""),"",$F441*$G441)</f>
        <v/>
      </c>
      <c r="Q441" s="16" t="str">
        <f aca="false">IF($D441="","",IF($J441&lt;&gt;"",$J441,$C$9))</f>
        <v/>
      </c>
      <c r="R441" s="12" t="str">
        <f aca="false">IF($D441="","",IFERROR(IF(INDEX(Profile!$G$5:$G$304,MATCH($D441,lst_Profil,0))&lt;&gt;"",INDEX(Profile!$G$5:$G$304,MATCH($D441,lst_Profil,0)),$H$4),$H$4))</f>
        <v/>
      </c>
      <c r="S441" s="12" t="str">
        <f aca="false">IF($D441="","",IFERROR(IF(INDEX(Profile!$H$5:$H$304,MATCH($D441,lst_Profil,0))&lt;&gt;"",INDEX(Profile!$H$5:$H$304,MATCH($D441,lst_Profil,0)),$H$5),$H$5))</f>
        <v/>
      </c>
      <c r="T441" s="16" t="str">
        <f aca="false">IF(OR(Q441="",NOT(ISNUMBER(R441)),NOT(ISNUMBER(S441))),"",Q441-R441-S441)</f>
        <v/>
      </c>
      <c r="U441" s="26" t="str">
        <f aca="false">IF(OR($D441="",$E441=""),"",IF(COUNTIFS(Preise!$A$5:$A$304,$D441,Preise!$B$5:$B$304,$E441,Preise!$I$5:$I$304,"OK")&gt;0,"ja","nein"))</f>
        <v/>
      </c>
      <c r="V441" s="15" t="str">
        <f aca="false">IF(OR(M441="",$E441="",$C$8=""),"",IF(_xlfn.MINIFS(Schneiddaten!$C$5:$C$304,Schneiddaten!$A$5:$A$304,$C$8,Schneiddaten!$B$5:$B$304,$E441,Schneiddaten!$C$5:$C$304,"&gt;="&amp;M441)=0,"",SUMIFS(Schneiddaten!$D$5:$D$304,Schneiddaten!$A$5:$A$304,$C$8,Schneiddaten!$B$5:$B$304,$E441,Schneiddaten!$C$5:$C$304,_xlfn.MINIFS(Schneiddaten!$C$5:$C$304,Schneiddaten!$A$5:$A$304,$C$8,Schneiddaten!$B$5:$B$304,$E441,Schneiddaten!$C$5:$C$304,"&gt;="&amp;M441))))</f>
        <v/>
      </c>
      <c r="W441" s="26" t="str">
        <f aca="false">IF(AND($D441="",$E441="",$F441="",$G441=""),"",IF(ISNA(MATCH($D441,lst_Profil,0)),"FEHLER: Profil unbekannt",IF(ISNA(MATCH($E441,lst_Werkstoff,0)),"FEHLER: Werkstoff unbekannt",IF(NOT(ISNUMBER(L441)),"FEHLER: Querschnitt fehlt (Profil)",IF(OR($F441="",$F441&lt;=0),"FEHLER: Teilelänge fehlt",IF(OR($G441="",$G441&lt;1),"FEHLER: Stückzahl fehlt",IF(NOT(ISNUMBER($H$4)),"FEHLER: Maschine fehlt/unbekannt",IF(Q441&gt;$H$7,"FEHLER: Stange länger als Maschine zulässt",IF($F441+$H$6&gt;T441,"FEHLER: Teil länger als Nutzlänge",IF(U441="nein","WARNUNG: kein gültiger Materialpreis",IF($H441="","HINWEIS: Schneidweg fehlt",IF(V441="","HINWEIS: keine Schneiddaten",IF(AND($AF441&lt;&gt;"",$AG441=""),"HINWEIS: Gewinde-Vorschlag prüfen","OK")))))))))))))</f>
        <v/>
      </c>
      <c r="X441" s="18" t="str">
        <f aca="false">IF(OR(O441="",$G441=""),"",O441*$G441)</f>
        <v/>
      </c>
      <c r="Y441" s="10"/>
      <c r="Z441" s="21"/>
      <c r="AA441" s="10"/>
      <c r="AB441" s="21"/>
      <c r="AC441" s="21"/>
      <c r="AD441" s="21"/>
      <c r="AE441" s="10"/>
      <c r="AF441" s="10"/>
      <c r="AG441" s="10"/>
      <c r="AH441" s="22"/>
      <c r="AI441" s="21"/>
      <c r="AJ441" s="22"/>
      <c r="AK441" s="21"/>
      <c r="AL441" s="22"/>
      <c r="AM441" s="21"/>
    </row>
    <row r="442" customFormat="false" ht="15" hidden="false" customHeight="false" outlineLevel="0" collapsed="false">
      <c r="A442" s="10"/>
      <c r="B442" s="10"/>
      <c r="C442" s="10"/>
      <c r="D442" s="10"/>
      <c r="E442" s="10"/>
      <c r="F442" s="21"/>
      <c r="G442" s="19"/>
      <c r="H442" s="21"/>
      <c r="I442" s="22"/>
      <c r="J442" s="19"/>
      <c r="K442" s="23" t="str">
        <f aca="false">IF($D442="","",IFERROR(INDEX(Profile!$B$5:$B$304,MATCH($D442,lst_Profil,0)),""))</f>
        <v/>
      </c>
      <c r="L442" s="13" t="str">
        <f aca="false">IF($D442="","",IFERROR(INDEX(Profile!$K$5:$K$304,MATCH($D442,lst_Profil,0))+0,""))</f>
        <v/>
      </c>
      <c r="M442" s="24" t="str">
        <f aca="false">IF($D442="","",IFERROR(INDEX(Profile!$E$5:$E$304,MATCH($D442,lst_Profil,0))+0,""))</f>
        <v/>
      </c>
      <c r="N442" s="25" t="str">
        <f aca="false">IF(OR(L442="",$E442=""),"",IFERROR(L442*INDEX(Werkstoffe!$E$5:$E$304,MATCH($E442,lst_Werkstoff,0))/1000,""))</f>
        <v/>
      </c>
      <c r="O442" s="25" t="str">
        <f aca="false">IF(OR(N442="",$F442=""),"",N442*$F442/1000)</f>
        <v/>
      </c>
      <c r="P442" s="16" t="str">
        <f aca="false">IF(OR($F442="",$G442=""),"",$F442*$G442)</f>
        <v/>
      </c>
      <c r="Q442" s="16" t="str">
        <f aca="false">IF($D442="","",IF($J442&lt;&gt;"",$J442,$C$9))</f>
        <v/>
      </c>
      <c r="R442" s="12" t="str">
        <f aca="false">IF($D442="","",IFERROR(IF(INDEX(Profile!$G$5:$G$304,MATCH($D442,lst_Profil,0))&lt;&gt;"",INDEX(Profile!$G$5:$G$304,MATCH($D442,lst_Profil,0)),$H$4),$H$4))</f>
        <v/>
      </c>
      <c r="S442" s="12" t="str">
        <f aca="false">IF($D442="","",IFERROR(IF(INDEX(Profile!$H$5:$H$304,MATCH($D442,lst_Profil,0))&lt;&gt;"",INDEX(Profile!$H$5:$H$304,MATCH($D442,lst_Profil,0)),$H$5),$H$5))</f>
        <v/>
      </c>
      <c r="T442" s="16" t="str">
        <f aca="false">IF(OR(Q442="",NOT(ISNUMBER(R442)),NOT(ISNUMBER(S442))),"",Q442-R442-S442)</f>
        <v/>
      </c>
      <c r="U442" s="26" t="str">
        <f aca="false">IF(OR($D442="",$E442=""),"",IF(COUNTIFS(Preise!$A$5:$A$304,$D442,Preise!$B$5:$B$304,$E442,Preise!$I$5:$I$304,"OK")&gt;0,"ja","nein"))</f>
        <v/>
      </c>
      <c r="V442" s="15" t="str">
        <f aca="false">IF(OR(M442="",$E442="",$C$8=""),"",IF(_xlfn.MINIFS(Schneiddaten!$C$5:$C$304,Schneiddaten!$A$5:$A$304,$C$8,Schneiddaten!$B$5:$B$304,$E442,Schneiddaten!$C$5:$C$304,"&gt;="&amp;M442)=0,"",SUMIFS(Schneiddaten!$D$5:$D$304,Schneiddaten!$A$5:$A$304,$C$8,Schneiddaten!$B$5:$B$304,$E442,Schneiddaten!$C$5:$C$304,_xlfn.MINIFS(Schneiddaten!$C$5:$C$304,Schneiddaten!$A$5:$A$304,$C$8,Schneiddaten!$B$5:$B$304,$E442,Schneiddaten!$C$5:$C$304,"&gt;="&amp;M442))))</f>
        <v/>
      </c>
      <c r="W442" s="26" t="str">
        <f aca="false">IF(AND($D442="",$E442="",$F442="",$G442=""),"",IF(ISNA(MATCH($D442,lst_Profil,0)),"FEHLER: Profil unbekannt",IF(ISNA(MATCH($E442,lst_Werkstoff,0)),"FEHLER: Werkstoff unbekannt",IF(NOT(ISNUMBER(L442)),"FEHLER: Querschnitt fehlt (Profil)",IF(OR($F442="",$F442&lt;=0),"FEHLER: Teilelänge fehlt",IF(OR($G442="",$G442&lt;1),"FEHLER: Stückzahl fehlt",IF(NOT(ISNUMBER($H$4)),"FEHLER: Maschine fehlt/unbekannt",IF(Q442&gt;$H$7,"FEHLER: Stange länger als Maschine zulässt",IF($F442+$H$6&gt;T442,"FEHLER: Teil länger als Nutzlänge",IF(U442="nein","WARNUNG: kein gültiger Materialpreis",IF($H442="","HINWEIS: Schneidweg fehlt",IF(V442="","HINWEIS: keine Schneiddaten",IF(AND($AF442&lt;&gt;"",$AG442=""),"HINWEIS: Gewinde-Vorschlag prüfen","OK")))))))))))))</f>
        <v/>
      </c>
      <c r="X442" s="18" t="str">
        <f aca="false">IF(OR(O442="",$G442=""),"",O442*$G442)</f>
        <v/>
      </c>
      <c r="Y442" s="10"/>
      <c r="Z442" s="21"/>
      <c r="AA442" s="10"/>
      <c r="AB442" s="21"/>
      <c r="AC442" s="21"/>
      <c r="AD442" s="21"/>
      <c r="AE442" s="10"/>
      <c r="AF442" s="10"/>
      <c r="AG442" s="10"/>
      <c r="AH442" s="22"/>
      <c r="AI442" s="21"/>
      <c r="AJ442" s="22"/>
      <c r="AK442" s="21"/>
      <c r="AL442" s="22"/>
      <c r="AM442" s="21"/>
    </row>
    <row r="443" customFormat="false" ht="15" hidden="false" customHeight="false" outlineLevel="0" collapsed="false">
      <c r="A443" s="10"/>
      <c r="B443" s="10"/>
      <c r="C443" s="10"/>
      <c r="D443" s="10"/>
      <c r="E443" s="10"/>
      <c r="F443" s="21"/>
      <c r="G443" s="19"/>
      <c r="H443" s="21"/>
      <c r="I443" s="22"/>
      <c r="J443" s="19"/>
      <c r="K443" s="23" t="str">
        <f aca="false">IF($D443="","",IFERROR(INDEX(Profile!$B$5:$B$304,MATCH($D443,lst_Profil,0)),""))</f>
        <v/>
      </c>
      <c r="L443" s="13" t="str">
        <f aca="false">IF($D443="","",IFERROR(INDEX(Profile!$K$5:$K$304,MATCH($D443,lst_Profil,0))+0,""))</f>
        <v/>
      </c>
      <c r="M443" s="24" t="str">
        <f aca="false">IF($D443="","",IFERROR(INDEX(Profile!$E$5:$E$304,MATCH($D443,lst_Profil,0))+0,""))</f>
        <v/>
      </c>
      <c r="N443" s="25" t="str">
        <f aca="false">IF(OR(L443="",$E443=""),"",IFERROR(L443*INDEX(Werkstoffe!$E$5:$E$304,MATCH($E443,lst_Werkstoff,0))/1000,""))</f>
        <v/>
      </c>
      <c r="O443" s="25" t="str">
        <f aca="false">IF(OR(N443="",$F443=""),"",N443*$F443/1000)</f>
        <v/>
      </c>
      <c r="P443" s="16" t="str">
        <f aca="false">IF(OR($F443="",$G443=""),"",$F443*$G443)</f>
        <v/>
      </c>
      <c r="Q443" s="16" t="str">
        <f aca="false">IF($D443="","",IF($J443&lt;&gt;"",$J443,$C$9))</f>
        <v/>
      </c>
      <c r="R443" s="12" t="str">
        <f aca="false">IF($D443="","",IFERROR(IF(INDEX(Profile!$G$5:$G$304,MATCH($D443,lst_Profil,0))&lt;&gt;"",INDEX(Profile!$G$5:$G$304,MATCH($D443,lst_Profil,0)),$H$4),$H$4))</f>
        <v/>
      </c>
      <c r="S443" s="12" t="str">
        <f aca="false">IF($D443="","",IFERROR(IF(INDEX(Profile!$H$5:$H$304,MATCH($D443,lst_Profil,0))&lt;&gt;"",INDEX(Profile!$H$5:$H$304,MATCH($D443,lst_Profil,0)),$H$5),$H$5))</f>
        <v/>
      </c>
      <c r="T443" s="16" t="str">
        <f aca="false">IF(OR(Q443="",NOT(ISNUMBER(R443)),NOT(ISNUMBER(S443))),"",Q443-R443-S443)</f>
        <v/>
      </c>
      <c r="U443" s="26" t="str">
        <f aca="false">IF(OR($D443="",$E443=""),"",IF(COUNTIFS(Preise!$A$5:$A$304,$D443,Preise!$B$5:$B$304,$E443,Preise!$I$5:$I$304,"OK")&gt;0,"ja","nein"))</f>
        <v/>
      </c>
      <c r="V443" s="15" t="str">
        <f aca="false">IF(OR(M443="",$E443="",$C$8=""),"",IF(_xlfn.MINIFS(Schneiddaten!$C$5:$C$304,Schneiddaten!$A$5:$A$304,$C$8,Schneiddaten!$B$5:$B$304,$E443,Schneiddaten!$C$5:$C$304,"&gt;="&amp;M443)=0,"",SUMIFS(Schneiddaten!$D$5:$D$304,Schneiddaten!$A$5:$A$304,$C$8,Schneiddaten!$B$5:$B$304,$E443,Schneiddaten!$C$5:$C$304,_xlfn.MINIFS(Schneiddaten!$C$5:$C$304,Schneiddaten!$A$5:$A$304,$C$8,Schneiddaten!$B$5:$B$304,$E443,Schneiddaten!$C$5:$C$304,"&gt;="&amp;M443))))</f>
        <v/>
      </c>
      <c r="W443" s="26" t="str">
        <f aca="false">IF(AND($D443="",$E443="",$F443="",$G443=""),"",IF(ISNA(MATCH($D443,lst_Profil,0)),"FEHLER: Profil unbekannt",IF(ISNA(MATCH($E443,lst_Werkstoff,0)),"FEHLER: Werkstoff unbekannt",IF(NOT(ISNUMBER(L443)),"FEHLER: Querschnitt fehlt (Profil)",IF(OR($F443="",$F443&lt;=0),"FEHLER: Teilelänge fehlt",IF(OR($G443="",$G443&lt;1),"FEHLER: Stückzahl fehlt",IF(NOT(ISNUMBER($H$4)),"FEHLER: Maschine fehlt/unbekannt",IF(Q443&gt;$H$7,"FEHLER: Stange länger als Maschine zulässt",IF($F443+$H$6&gt;T443,"FEHLER: Teil länger als Nutzlänge",IF(U443="nein","WARNUNG: kein gültiger Materialpreis",IF($H443="","HINWEIS: Schneidweg fehlt",IF(V443="","HINWEIS: keine Schneiddaten",IF(AND($AF443&lt;&gt;"",$AG443=""),"HINWEIS: Gewinde-Vorschlag prüfen","OK")))))))))))))</f>
        <v/>
      </c>
      <c r="X443" s="18" t="str">
        <f aca="false">IF(OR(O443="",$G443=""),"",O443*$G443)</f>
        <v/>
      </c>
      <c r="Y443" s="10"/>
      <c r="Z443" s="21"/>
      <c r="AA443" s="10"/>
      <c r="AB443" s="21"/>
      <c r="AC443" s="21"/>
      <c r="AD443" s="21"/>
      <c r="AE443" s="10"/>
      <c r="AF443" s="10"/>
      <c r="AG443" s="10"/>
      <c r="AH443" s="22"/>
      <c r="AI443" s="21"/>
      <c r="AJ443" s="22"/>
      <c r="AK443" s="21"/>
      <c r="AL443" s="22"/>
      <c r="AM443" s="21"/>
    </row>
    <row r="444" customFormat="false" ht="15" hidden="false" customHeight="false" outlineLevel="0" collapsed="false">
      <c r="A444" s="10"/>
      <c r="B444" s="10"/>
      <c r="C444" s="10"/>
      <c r="D444" s="10"/>
      <c r="E444" s="10"/>
      <c r="F444" s="21"/>
      <c r="G444" s="19"/>
      <c r="H444" s="21"/>
      <c r="I444" s="22"/>
      <c r="J444" s="19"/>
      <c r="K444" s="23" t="str">
        <f aca="false">IF($D444="","",IFERROR(INDEX(Profile!$B$5:$B$304,MATCH($D444,lst_Profil,0)),""))</f>
        <v/>
      </c>
      <c r="L444" s="13" t="str">
        <f aca="false">IF($D444="","",IFERROR(INDEX(Profile!$K$5:$K$304,MATCH($D444,lst_Profil,0))+0,""))</f>
        <v/>
      </c>
      <c r="M444" s="24" t="str">
        <f aca="false">IF($D444="","",IFERROR(INDEX(Profile!$E$5:$E$304,MATCH($D444,lst_Profil,0))+0,""))</f>
        <v/>
      </c>
      <c r="N444" s="25" t="str">
        <f aca="false">IF(OR(L444="",$E444=""),"",IFERROR(L444*INDEX(Werkstoffe!$E$5:$E$304,MATCH($E444,lst_Werkstoff,0))/1000,""))</f>
        <v/>
      </c>
      <c r="O444" s="25" t="str">
        <f aca="false">IF(OR(N444="",$F444=""),"",N444*$F444/1000)</f>
        <v/>
      </c>
      <c r="P444" s="16" t="str">
        <f aca="false">IF(OR($F444="",$G444=""),"",$F444*$G444)</f>
        <v/>
      </c>
      <c r="Q444" s="16" t="str">
        <f aca="false">IF($D444="","",IF($J444&lt;&gt;"",$J444,$C$9))</f>
        <v/>
      </c>
      <c r="R444" s="12" t="str">
        <f aca="false">IF($D444="","",IFERROR(IF(INDEX(Profile!$G$5:$G$304,MATCH($D444,lst_Profil,0))&lt;&gt;"",INDEX(Profile!$G$5:$G$304,MATCH($D444,lst_Profil,0)),$H$4),$H$4))</f>
        <v/>
      </c>
      <c r="S444" s="12" t="str">
        <f aca="false">IF($D444="","",IFERROR(IF(INDEX(Profile!$H$5:$H$304,MATCH($D444,lst_Profil,0))&lt;&gt;"",INDEX(Profile!$H$5:$H$304,MATCH($D444,lst_Profil,0)),$H$5),$H$5))</f>
        <v/>
      </c>
      <c r="T444" s="16" t="str">
        <f aca="false">IF(OR(Q444="",NOT(ISNUMBER(R444)),NOT(ISNUMBER(S444))),"",Q444-R444-S444)</f>
        <v/>
      </c>
      <c r="U444" s="26" t="str">
        <f aca="false">IF(OR($D444="",$E444=""),"",IF(COUNTIFS(Preise!$A$5:$A$304,$D444,Preise!$B$5:$B$304,$E444,Preise!$I$5:$I$304,"OK")&gt;0,"ja","nein"))</f>
        <v/>
      </c>
      <c r="V444" s="15" t="str">
        <f aca="false">IF(OR(M444="",$E444="",$C$8=""),"",IF(_xlfn.MINIFS(Schneiddaten!$C$5:$C$304,Schneiddaten!$A$5:$A$304,$C$8,Schneiddaten!$B$5:$B$304,$E444,Schneiddaten!$C$5:$C$304,"&gt;="&amp;M444)=0,"",SUMIFS(Schneiddaten!$D$5:$D$304,Schneiddaten!$A$5:$A$304,$C$8,Schneiddaten!$B$5:$B$304,$E444,Schneiddaten!$C$5:$C$304,_xlfn.MINIFS(Schneiddaten!$C$5:$C$304,Schneiddaten!$A$5:$A$304,$C$8,Schneiddaten!$B$5:$B$304,$E444,Schneiddaten!$C$5:$C$304,"&gt;="&amp;M444))))</f>
        <v/>
      </c>
      <c r="W444" s="26" t="str">
        <f aca="false">IF(AND($D444="",$E444="",$F444="",$G444=""),"",IF(ISNA(MATCH($D444,lst_Profil,0)),"FEHLER: Profil unbekannt",IF(ISNA(MATCH($E444,lst_Werkstoff,0)),"FEHLER: Werkstoff unbekannt",IF(NOT(ISNUMBER(L444)),"FEHLER: Querschnitt fehlt (Profil)",IF(OR($F444="",$F444&lt;=0),"FEHLER: Teilelänge fehlt",IF(OR($G444="",$G444&lt;1),"FEHLER: Stückzahl fehlt",IF(NOT(ISNUMBER($H$4)),"FEHLER: Maschine fehlt/unbekannt",IF(Q444&gt;$H$7,"FEHLER: Stange länger als Maschine zulässt",IF($F444+$H$6&gt;T444,"FEHLER: Teil länger als Nutzlänge",IF(U444="nein","WARNUNG: kein gültiger Materialpreis",IF($H444="","HINWEIS: Schneidweg fehlt",IF(V444="","HINWEIS: keine Schneiddaten",IF(AND($AF444&lt;&gt;"",$AG444=""),"HINWEIS: Gewinde-Vorschlag prüfen","OK")))))))))))))</f>
        <v/>
      </c>
      <c r="X444" s="18" t="str">
        <f aca="false">IF(OR(O444="",$G444=""),"",O444*$G444)</f>
        <v/>
      </c>
      <c r="Y444" s="10"/>
      <c r="Z444" s="21"/>
      <c r="AA444" s="10"/>
      <c r="AB444" s="21"/>
      <c r="AC444" s="21"/>
      <c r="AD444" s="21"/>
      <c r="AE444" s="10"/>
      <c r="AF444" s="10"/>
      <c r="AG444" s="10"/>
      <c r="AH444" s="22"/>
      <c r="AI444" s="21"/>
      <c r="AJ444" s="22"/>
      <c r="AK444" s="21"/>
      <c r="AL444" s="22"/>
      <c r="AM444" s="21"/>
    </row>
    <row r="445" customFormat="false" ht="15" hidden="false" customHeight="false" outlineLevel="0" collapsed="false">
      <c r="A445" s="10"/>
      <c r="B445" s="10"/>
      <c r="C445" s="10"/>
      <c r="D445" s="10"/>
      <c r="E445" s="10"/>
      <c r="F445" s="21"/>
      <c r="G445" s="19"/>
      <c r="H445" s="21"/>
      <c r="I445" s="22"/>
      <c r="J445" s="19"/>
      <c r="K445" s="23" t="str">
        <f aca="false">IF($D445="","",IFERROR(INDEX(Profile!$B$5:$B$304,MATCH($D445,lst_Profil,0)),""))</f>
        <v/>
      </c>
      <c r="L445" s="13" t="str">
        <f aca="false">IF($D445="","",IFERROR(INDEX(Profile!$K$5:$K$304,MATCH($D445,lst_Profil,0))+0,""))</f>
        <v/>
      </c>
      <c r="M445" s="24" t="str">
        <f aca="false">IF($D445="","",IFERROR(INDEX(Profile!$E$5:$E$304,MATCH($D445,lst_Profil,0))+0,""))</f>
        <v/>
      </c>
      <c r="N445" s="25" t="str">
        <f aca="false">IF(OR(L445="",$E445=""),"",IFERROR(L445*INDEX(Werkstoffe!$E$5:$E$304,MATCH($E445,lst_Werkstoff,0))/1000,""))</f>
        <v/>
      </c>
      <c r="O445" s="25" t="str">
        <f aca="false">IF(OR(N445="",$F445=""),"",N445*$F445/1000)</f>
        <v/>
      </c>
      <c r="P445" s="16" t="str">
        <f aca="false">IF(OR($F445="",$G445=""),"",$F445*$G445)</f>
        <v/>
      </c>
      <c r="Q445" s="16" t="str">
        <f aca="false">IF($D445="","",IF($J445&lt;&gt;"",$J445,$C$9))</f>
        <v/>
      </c>
      <c r="R445" s="12" t="str">
        <f aca="false">IF($D445="","",IFERROR(IF(INDEX(Profile!$G$5:$G$304,MATCH($D445,lst_Profil,0))&lt;&gt;"",INDEX(Profile!$G$5:$G$304,MATCH($D445,lst_Profil,0)),$H$4),$H$4))</f>
        <v/>
      </c>
      <c r="S445" s="12" t="str">
        <f aca="false">IF($D445="","",IFERROR(IF(INDEX(Profile!$H$5:$H$304,MATCH($D445,lst_Profil,0))&lt;&gt;"",INDEX(Profile!$H$5:$H$304,MATCH($D445,lst_Profil,0)),$H$5),$H$5))</f>
        <v/>
      </c>
      <c r="T445" s="16" t="str">
        <f aca="false">IF(OR(Q445="",NOT(ISNUMBER(R445)),NOT(ISNUMBER(S445))),"",Q445-R445-S445)</f>
        <v/>
      </c>
      <c r="U445" s="26" t="str">
        <f aca="false">IF(OR($D445="",$E445=""),"",IF(COUNTIFS(Preise!$A$5:$A$304,$D445,Preise!$B$5:$B$304,$E445,Preise!$I$5:$I$304,"OK")&gt;0,"ja","nein"))</f>
        <v/>
      </c>
      <c r="V445" s="15" t="str">
        <f aca="false">IF(OR(M445="",$E445="",$C$8=""),"",IF(_xlfn.MINIFS(Schneiddaten!$C$5:$C$304,Schneiddaten!$A$5:$A$304,$C$8,Schneiddaten!$B$5:$B$304,$E445,Schneiddaten!$C$5:$C$304,"&gt;="&amp;M445)=0,"",SUMIFS(Schneiddaten!$D$5:$D$304,Schneiddaten!$A$5:$A$304,$C$8,Schneiddaten!$B$5:$B$304,$E445,Schneiddaten!$C$5:$C$304,_xlfn.MINIFS(Schneiddaten!$C$5:$C$304,Schneiddaten!$A$5:$A$304,$C$8,Schneiddaten!$B$5:$B$304,$E445,Schneiddaten!$C$5:$C$304,"&gt;="&amp;M445))))</f>
        <v/>
      </c>
      <c r="W445" s="26" t="str">
        <f aca="false">IF(AND($D445="",$E445="",$F445="",$G445=""),"",IF(ISNA(MATCH($D445,lst_Profil,0)),"FEHLER: Profil unbekannt",IF(ISNA(MATCH($E445,lst_Werkstoff,0)),"FEHLER: Werkstoff unbekannt",IF(NOT(ISNUMBER(L445)),"FEHLER: Querschnitt fehlt (Profil)",IF(OR($F445="",$F445&lt;=0),"FEHLER: Teilelänge fehlt",IF(OR($G445="",$G445&lt;1),"FEHLER: Stückzahl fehlt",IF(NOT(ISNUMBER($H$4)),"FEHLER: Maschine fehlt/unbekannt",IF(Q445&gt;$H$7,"FEHLER: Stange länger als Maschine zulässt",IF($F445+$H$6&gt;T445,"FEHLER: Teil länger als Nutzlänge",IF(U445="nein","WARNUNG: kein gültiger Materialpreis",IF($H445="","HINWEIS: Schneidweg fehlt",IF(V445="","HINWEIS: keine Schneiddaten",IF(AND($AF445&lt;&gt;"",$AG445=""),"HINWEIS: Gewinde-Vorschlag prüfen","OK")))))))))))))</f>
        <v/>
      </c>
      <c r="X445" s="18" t="str">
        <f aca="false">IF(OR(O445="",$G445=""),"",O445*$G445)</f>
        <v/>
      </c>
      <c r="Y445" s="10"/>
      <c r="Z445" s="21"/>
      <c r="AA445" s="10"/>
      <c r="AB445" s="21"/>
      <c r="AC445" s="21"/>
      <c r="AD445" s="21"/>
      <c r="AE445" s="10"/>
      <c r="AF445" s="10"/>
      <c r="AG445" s="10"/>
      <c r="AH445" s="22"/>
      <c r="AI445" s="21"/>
      <c r="AJ445" s="22"/>
      <c r="AK445" s="21"/>
      <c r="AL445" s="22"/>
      <c r="AM445" s="21"/>
    </row>
    <row r="446" customFormat="false" ht="15" hidden="false" customHeight="false" outlineLevel="0" collapsed="false">
      <c r="A446" s="10"/>
      <c r="B446" s="10"/>
      <c r="C446" s="10"/>
      <c r="D446" s="10"/>
      <c r="E446" s="10"/>
      <c r="F446" s="21"/>
      <c r="G446" s="19"/>
      <c r="H446" s="21"/>
      <c r="I446" s="22"/>
      <c r="J446" s="19"/>
      <c r="K446" s="23" t="str">
        <f aca="false">IF($D446="","",IFERROR(INDEX(Profile!$B$5:$B$304,MATCH($D446,lst_Profil,0)),""))</f>
        <v/>
      </c>
      <c r="L446" s="13" t="str">
        <f aca="false">IF($D446="","",IFERROR(INDEX(Profile!$K$5:$K$304,MATCH($D446,lst_Profil,0))+0,""))</f>
        <v/>
      </c>
      <c r="M446" s="24" t="str">
        <f aca="false">IF($D446="","",IFERROR(INDEX(Profile!$E$5:$E$304,MATCH($D446,lst_Profil,0))+0,""))</f>
        <v/>
      </c>
      <c r="N446" s="25" t="str">
        <f aca="false">IF(OR(L446="",$E446=""),"",IFERROR(L446*INDEX(Werkstoffe!$E$5:$E$304,MATCH($E446,lst_Werkstoff,0))/1000,""))</f>
        <v/>
      </c>
      <c r="O446" s="25" t="str">
        <f aca="false">IF(OR(N446="",$F446=""),"",N446*$F446/1000)</f>
        <v/>
      </c>
      <c r="P446" s="16" t="str">
        <f aca="false">IF(OR($F446="",$G446=""),"",$F446*$G446)</f>
        <v/>
      </c>
      <c r="Q446" s="16" t="str">
        <f aca="false">IF($D446="","",IF($J446&lt;&gt;"",$J446,$C$9))</f>
        <v/>
      </c>
      <c r="R446" s="12" t="str">
        <f aca="false">IF($D446="","",IFERROR(IF(INDEX(Profile!$G$5:$G$304,MATCH($D446,lst_Profil,0))&lt;&gt;"",INDEX(Profile!$G$5:$G$304,MATCH($D446,lst_Profil,0)),$H$4),$H$4))</f>
        <v/>
      </c>
      <c r="S446" s="12" t="str">
        <f aca="false">IF($D446="","",IFERROR(IF(INDEX(Profile!$H$5:$H$304,MATCH($D446,lst_Profil,0))&lt;&gt;"",INDEX(Profile!$H$5:$H$304,MATCH($D446,lst_Profil,0)),$H$5),$H$5))</f>
        <v/>
      </c>
      <c r="T446" s="16" t="str">
        <f aca="false">IF(OR(Q446="",NOT(ISNUMBER(R446)),NOT(ISNUMBER(S446))),"",Q446-R446-S446)</f>
        <v/>
      </c>
      <c r="U446" s="26" t="str">
        <f aca="false">IF(OR($D446="",$E446=""),"",IF(COUNTIFS(Preise!$A$5:$A$304,$D446,Preise!$B$5:$B$304,$E446,Preise!$I$5:$I$304,"OK")&gt;0,"ja","nein"))</f>
        <v/>
      </c>
      <c r="V446" s="15" t="str">
        <f aca="false">IF(OR(M446="",$E446="",$C$8=""),"",IF(_xlfn.MINIFS(Schneiddaten!$C$5:$C$304,Schneiddaten!$A$5:$A$304,$C$8,Schneiddaten!$B$5:$B$304,$E446,Schneiddaten!$C$5:$C$304,"&gt;="&amp;M446)=0,"",SUMIFS(Schneiddaten!$D$5:$D$304,Schneiddaten!$A$5:$A$304,$C$8,Schneiddaten!$B$5:$B$304,$E446,Schneiddaten!$C$5:$C$304,_xlfn.MINIFS(Schneiddaten!$C$5:$C$304,Schneiddaten!$A$5:$A$304,$C$8,Schneiddaten!$B$5:$B$304,$E446,Schneiddaten!$C$5:$C$304,"&gt;="&amp;M446))))</f>
        <v/>
      </c>
      <c r="W446" s="26" t="str">
        <f aca="false">IF(AND($D446="",$E446="",$F446="",$G446=""),"",IF(ISNA(MATCH($D446,lst_Profil,0)),"FEHLER: Profil unbekannt",IF(ISNA(MATCH($E446,lst_Werkstoff,0)),"FEHLER: Werkstoff unbekannt",IF(NOT(ISNUMBER(L446)),"FEHLER: Querschnitt fehlt (Profil)",IF(OR($F446="",$F446&lt;=0),"FEHLER: Teilelänge fehlt",IF(OR($G446="",$G446&lt;1),"FEHLER: Stückzahl fehlt",IF(NOT(ISNUMBER($H$4)),"FEHLER: Maschine fehlt/unbekannt",IF(Q446&gt;$H$7,"FEHLER: Stange länger als Maschine zulässt",IF($F446+$H$6&gt;T446,"FEHLER: Teil länger als Nutzlänge",IF(U446="nein","WARNUNG: kein gültiger Materialpreis",IF($H446="","HINWEIS: Schneidweg fehlt",IF(V446="","HINWEIS: keine Schneiddaten",IF(AND($AF446&lt;&gt;"",$AG446=""),"HINWEIS: Gewinde-Vorschlag prüfen","OK")))))))))))))</f>
        <v/>
      </c>
      <c r="X446" s="18" t="str">
        <f aca="false">IF(OR(O446="",$G446=""),"",O446*$G446)</f>
        <v/>
      </c>
      <c r="Y446" s="10"/>
      <c r="Z446" s="21"/>
      <c r="AA446" s="10"/>
      <c r="AB446" s="21"/>
      <c r="AC446" s="21"/>
      <c r="AD446" s="21"/>
      <c r="AE446" s="10"/>
      <c r="AF446" s="10"/>
      <c r="AG446" s="10"/>
      <c r="AH446" s="22"/>
      <c r="AI446" s="21"/>
      <c r="AJ446" s="22"/>
      <c r="AK446" s="21"/>
      <c r="AL446" s="22"/>
      <c r="AM446" s="21"/>
    </row>
    <row r="447" customFormat="false" ht="15" hidden="false" customHeight="false" outlineLevel="0" collapsed="false">
      <c r="A447" s="10"/>
      <c r="B447" s="10"/>
      <c r="C447" s="10"/>
      <c r="D447" s="10"/>
      <c r="E447" s="10"/>
      <c r="F447" s="21"/>
      <c r="G447" s="19"/>
      <c r="H447" s="21"/>
      <c r="I447" s="22"/>
      <c r="J447" s="19"/>
      <c r="K447" s="23" t="str">
        <f aca="false">IF($D447="","",IFERROR(INDEX(Profile!$B$5:$B$304,MATCH($D447,lst_Profil,0)),""))</f>
        <v/>
      </c>
      <c r="L447" s="13" t="str">
        <f aca="false">IF($D447="","",IFERROR(INDEX(Profile!$K$5:$K$304,MATCH($D447,lst_Profil,0))+0,""))</f>
        <v/>
      </c>
      <c r="M447" s="24" t="str">
        <f aca="false">IF($D447="","",IFERROR(INDEX(Profile!$E$5:$E$304,MATCH($D447,lst_Profil,0))+0,""))</f>
        <v/>
      </c>
      <c r="N447" s="25" t="str">
        <f aca="false">IF(OR(L447="",$E447=""),"",IFERROR(L447*INDEX(Werkstoffe!$E$5:$E$304,MATCH($E447,lst_Werkstoff,0))/1000,""))</f>
        <v/>
      </c>
      <c r="O447" s="25" t="str">
        <f aca="false">IF(OR(N447="",$F447=""),"",N447*$F447/1000)</f>
        <v/>
      </c>
      <c r="P447" s="16" t="str">
        <f aca="false">IF(OR($F447="",$G447=""),"",$F447*$G447)</f>
        <v/>
      </c>
      <c r="Q447" s="16" t="str">
        <f aca="false">IF($D447="","",IF($J447&lt;&gt;"",$J447,$C$9))</f>
        <v/>
      </c>
      <c r="R447" s="12" t="str">
        <f aca="false">IF($D447="","",IFERROR(IF(INDEX(Profile!$G$5:$G$304,MATCH($D447,lst_Profil,0))&lt;&gt;"",INDEX(Profile!$G$5:$G$304,MATCH($D447,lst_Profil,0)),$H$4),$H$4))</f>
        <v/>
      </c>
      <c r="S447" s="12" t="str">
        <f aca="false">IF($D447="","",IFERROR(IF(INDEX(Profile!$H$5:$H$304,MATCH($D447,lst_Profil,0))&lt;&gt;"",INDEX(Profile!$H$5:$H$304,MATCH($D447,lst_Profil,0)),$H$5),$H$5))</f>
        <v/>
      </c>
      <c r="T447" s="16" t="str">
        <f aca="false">IF(OR(Q447="",NOT(ISNUMBER(R447)),NOT(ISNUMBER(S447))),"",Q447-R447-S447)</f>
        <v/>
      </c>
      <c r="U447" s="26" t="str">
        <f aca="false">IF(OR($D447="",$E447=""),"",IF(COUNTIFS(Preise!$A$5:$A$304,$D447,Preise!$B$5:$B$304,$E447,Preise!$I$5:$I$304,"OK")&gt;0,"ja","nein"))</f>
        <v/>
      </c>
      <c r="V447" s="15" t="str">
        <f aca="false">IF(OR(M447="",$E447="",$C$8=""),"",IF(_xlfn.MINIFS(Schneiddaten!$C$5:$C$304,Schneiddaten!$A$5:$A$304,$C$8,Schneiddaten!$B$5:$B$304,$E447,Schneiddaten!$C$5:$C$304,"&gt;="&amp;M447)=0,"",SUMIFS(Schneiddaten!$D$5:$D$304,Schneiddaten!$A$5:$A$304,$C$8,Schneiddaten!$B$5:$B$304,$E447,Schneiddaten!$C$5:$C$304,_xlfn.MINIFS(Schneiddaten!$C$5:$C$304,Schneiddaten!$A$5:$A$304,$C$8,Schneiddaten!$B$5:$B$304,$E447,Schneiddaten!$C$5:$C$304,"&gt;="&amp;M447))))</f>
        <v/>
      </c>
      <c r="W447" s="26" t="str">
        <f aca="false">IF(AND($D447="",$E447="",$F447="",$G447=""),"",IF(ISNA(MATCH($D447,lst_Profil,0)),"FEHLER: Profil unbekannt",IF(ISNA(MATCH($E447,lst_Werkstoff,0)),"FEHLER: Werkstoff unbekannt",IF(NOT(ISNUMBER(L447)),"FEHLER: Querschnitt fehlt (Profil)",IF(OR($F447="",$F447&lt;=0),"FEHLER: Teilelänge fehlt",IF(OR($G447="",$G447&lt;1),"FEHLER: Stückzahl fehlt",IF(NOT(ISNUMBER($H$4)),"FEHLER: Maschine fehlt/unbekannt",IF(Q447&gt;$H$7,"FEHLER: Stange länger als Maschine zulässt",IF($F447+$H$6&gt;T447,"FEHLER: Teil länger als Nutzlänge",IF(U447="nein","WARNUNG: kein gültiger Materialpreis",IF($H447="","HINWEIS: Schneidweg fehlt",IF(V447="","HINWEIS: keine Schneiddaten",IF(AND($AF447&lt;&gt;"",$AG447=""),"HINWEIS: Gewinde-Vorschlag prüfen","OK")))))))))))))</f>
        <v/>
      </c>
      <c r="X447" s="18" t="str">
        <f aca="false">IF(OR(O447="",$G447=""),"",O447*$G447)</f>
        <v/>
      </c>
      <c r="Y447" s="10"/>
      <c r="Z447" s="21"/>
      <c r="AA447" s="10"/>
      <c r="AB447" s="21"/>
      <c r="AC447" s="21"/>
      <c r="AD447" s="21"/>
      <c r="AE447" s="10"/>
      <c r="AF447" s="10"/>
      <c r="AG447" s="10"/>
      <c r="AH447" s="22"/>
      <c r="AI447" s="21"/>
      <c r="AJ447" s="22"/>
      <c r="AK447" s="21"/>
      <c r="AL447" s="22"/>
      <c r="AM447" s="21"/>
    </row>
    <row r="448" customFormat="false" ht="15" hidden="false" customHeight="false" outlineLevel="0" collapsed="false">
      <c r="A448" s="10"/>
      <c r="B448" s="10"/>
      <c r="C448" s="10"/>
      <c r="D448" s="10"/>
      <c r="E448" s="10"/>
      <c r="F448" s="21"/>
      <c r="G448" s="19"/>
      <c r="H448" s="21"/>
      <c r="I448" s="22"/>
      <c r="J448" s="19"/>
      <c r="K448" s="23" t="str">
        <f aca="false">IF($D448="","",IFERROR(INDEX(Profile!$B$5:$B$304,MATCH($D448,lst_Profil,0)),""))</f>
        <v/>
      </c>
      <c r="L448" s="13" t="str">
        <f aca="false">IF($D448="","",IFERROR(INDEX(Profile!$K$5:$K$304,MATCH($D448,lst_Profil,0))+0,""))</f>
        <v/>
      </c>
      <c r="M448" s="24" t="str">
        <f aca="false">IF($D448="","",IFERROR(INDEX(Profile!$E$5:$E$304,MATCH($D448,lst_Profil,0))+0,""))</f>
        <v/>
      </c>
      <c r="N448" s="25" t="str">
        <f aca="false">IF(OR(L448="",$E448=""),"",IFERROR(L448*INDEX(Werkstoffe!$E$5:$E$304,MATCH($E448,lst_Werkstoff,0))/1000,""))</f>
        <v/>
      </c>
      <c r="O448" s="25" t="str">
        <f aca="false">IF(OR(N448="",$F448=""),"",N448*$F448/1000)</f>
        <v/>
      </c>
      <c r="P448" s="16" t="str">
        <f aca="false">IF(OR($F448="",$G448=""),"",$F448*$G448)</f>
        <v/>
      </c>
      <c r="Q448" s="16" t="str">
        <f aca="false">IF($D448="","",IF($J448&lt;&gt;"",$J448,$C$9))</f>
        <v/>
      </c>
      <c r="R448" s="12" t="str">
        <f aca="false">IF($D448="","",IFERROR(IF(INDEX(Profile!$G$5:$G$304,MATCH($D448,lst_Profil,0))&lt;&gt;"",INDEX(Profile!$G$5:$G$304,MATCH($D448,lst_Profil,0)),$H$4),$H$4))</f>
        <v/>
      </c>
      <c r="S448" s="12" t="str">
        <f aca="false">IF($D448="","",IFERROR(IF(INDEX(Profile!$H$5:$H$304,MATCH($D448,lst_Profil,0))&lt;&gt;"",INDEX(Profile!$H$5:$H$304,MATCH($D448,lst_Profil,0)),$H$5),$H$5))</f>
        <v/>
      </c>
      <c r="T448" s="16" t="str">
        <f aca="false">IF(OR(Q448="",NOT(ISNUMBER(R448)),NOT(ISNUMBER(S448))),"",Q448-R448-S448)</f>
        <v/>
      </c>
      <c r="U448" s="26" t="str">
        <f aca="false">IF(OR($D448="",$E448=""),"",IF(COUNTIFS(Preise!$A$5:$A$304,$D448,Preise!$B$5:$B$304,$E448,Preise!$I$5:$I$304,"OK")&gt;0,"ja","nein"))</f>
        <v/>
      </c>
      <c r="V448" s="15" t="str">
        <f aca="false">IF(OR(M448="",$E448="",$C$8=""),"",IF(_xlfn.MINIFS(Schneiddaten!$C$5:$C$304,Schneiddaten!$A$5:$A$304,$C$8,Schneiddaten!$B$5:$B$304,$E448,Schneiddaten!$C$5:$C$304,"&gt;="&amp;M448)=0,"",SUMIFS(Schneiddaten!$D$5:$D$304,Schneiddaten!$A$5:$A$304,$C$8,Schneiddaten!$B$5:$B$304,$E448,Schneiddaten!$C$5:$C$304,_xlfn.MINIFS(Schneiddaten!$C$5:$C$304,Schneiddaten!$A$5:$A$304,$C$8,Schneiddaten!$B$5:$B$304,$E448,Schneiddaten!$C$5:$C$304,"&gt;="&amp;M448))))</f>
        <v/>
      </c>
      <c r="W448" s="26" t="str">
        <f aca="false">IF(AND($D448="",$E448="",$F448="",$G448=""),"",IF(ISNA(MATCH($D448,lst_Profil,0)),"FEHLER: Profil unbekannt",IF(ISNA(MATCH($E448,lst_Werkstoff,0)),"FEHLER: Werkstoff unbekannt",IF(NOT(ISNUMBER(L448)),"FEHLER: Querschnitt fehlt (Profil)",IF(OR($F448="",$F448&lt;=0),"FEHLER: Teilelänge fehlt",IF(OR($G448="",$G448&lt;1),"FEHLER: Stückzahl fehlt",IF(NOT(ISNUMBER($H$4)),"FEHLER: Maschine fehlt/unbekannt",IF(Q448&gt;$H$7,"FEHLER: Stange länger als Maschine zulässt",IF($F448+$H$6&gt;T448,"FEHLER: Teil länger als Nutzlänge",IF(U448="nein","WARNUNG: kein gültiger Materialpreis",IF($H448="","HINWEIS: Schneidweg fehlt",IF(V448="","HINWEIS: keine Schneiddaten",IF(AND($AF448&lt;&gt;"",$AG448=""),"HINWEIS: Gewinde-Vorschlag prüfen","OK")))))))))))))</f>
        <v/>
      </c>
      <c r="X448" s="18" t="str">
        <f aca="false">IF(OR(O448="",$G448=""),"",O448*$G448)</f>
        <v/>
      </c>
      <c r="Y448" s="10"/>
      <c r="Z448" s="21"/>
      <c r="AA448" s="10"/>
      <c r="AB448" s="21"/>
      <c r="AC448" s="21"/>
      <c r="AD448" s="21"/>
      <c r="AE448" s="10"/>
      <c r="AF448" s="10"/>
      <c r="AG448" s="10"/>
      <c r="AH448" s="22"/>
      <c r="AI448" s="21"/>
      <c r="AJ448" s="22"/>
      <c r="AK448" s="21"/>
      <c r="AL448" s="22"/>
      <c r="AM448" s="21"/>
    </row>
    <row r="449" customFormat="false" ht="15" hidden="false" customHeight="false" outlineLevel="0" collapsed="false">
      <c r="A449" s="10"/>
      <c r="B449" s="10"/>
      <c r="C449" s="10"/>
      <c r="D449" s="10"/>
      <c r="E449" s="10"/>
      <c r="F449" s="21"/>
      <c r="G449" s="19"/>
      <c r="H449" s="21"/>
      <c r="I449" s="22"/>
      <c r="J449" s="19"/>
      <c r="K449" s="23" t="str">
        <f aca="false">IF($D449="","",IFERROR(INDEX(Profile!$B$5:$B$304,MATCH($D449,lst_Profil,0)),""))</f>
        <v/>
      </c>
      <c r="L449" s="13" t="str">
        <f aca="false">IF($D449="","",IFERROR(INDEX(Profile!$K$5:$K$304,MATCH($D449,lst_Profil,0))+0,""))</f>
        <v/>
      </c>
      <c r="M449" s="24" t="str">
        <f aca="false">IF($D449="","",IFERROR(INDEX(Profile!$E$5:$E$304,MATCH($D449,lst_Profil,0))+0,""))</f>
        <v/>
      </c>
      <c r="N449" s="25" t="str">
        <f aca="false">IF(OR(L449="",$E449=""),"",IFERROR(L449*INDEX(Werkstoffe!$E$5:$E$304,MATCH($E449,lst_Werkstoff,0))/1000,""))</f>
        <v/>
      </c>
      <c r="O449" s="25" t="str">
        <f aca="false">IF(OR(N449="",$F449=""),"",N449*$F449/1000)</f>
        <v/>
      </c>
      <c r="P449" s="16" t="str">
        <f aca="false">IF(OR($F449="",$G449=""),"",$F449*$G449)</f>
        <v/>
      </c>
      <c r="Q449" s="16" t="str">
        <f aca="false">IF($D449="","",IF($J449&lt;&gt;"",$J449,$C$9))</f>
        <v/>
      </c>
      <c r="R449" s="12" t="str">
        <f aca="false">IF($D449="","",IFERROR(IF(INDEX(Profile!$G$5:$G$304,MATCH($D449,lst_Profil,0))&lt;&gt;"",INDEX(Profile!$G$5:$G$304,MATCH($D449,lst_Profil,0)),$H$4),$H$4))</f>
        <v/>
      </c>
      <c r="S449" s="12" t="str">
        <f aca="false">IF($D449="","",IFERROR(IF(INDEX(Profile!$H$5:$H$304,MATCH($D449,lst_Profil,0))&lt;&gt;"",INDEX(Profile!$H$5:$H$304,MATCH($D449,lst_Profil,0)),$H$5),$H$5))</f>
        <v/>
      </c>
      <c r="T449" s="16" t="str">
        <f aca="false">IF(OR(Q449="",NOT(ISNUMBER(R449)),NOT(ISNUMBER(S449))),"",Q449-R449-S449)</f>
        <v/>
      </c>
      <c r="U449" s="26" t="str">
        <f aca="false">IF(OR($D449="",$E449=""),"",IF(COUNTIFS(Preise!$A$5:$A$304,$D449,Preise!$B$5:$B$304,$E449,Preise!$I$5:$I$304,"OK")&gt;0,"ja","nein"))</f>
        <v/>
      </c>
      <c r="V449" s="15" t="str">
        <f aca="false">IF(OR(M449="",$E449="",$C$8=""),"",IF(_xlfn.MINIFS(Schneiddaten!$C$5:$C$304,Schneiddaten!$A$5:$A$304,$C$8,Schneiddaten!$B$5:$B$304,$E449,Schneiddaten!$C$5:$C$304,"&gt;="&amp;M449)=0,"",SUMIFS(Schneiddaten!$D$5:$D$304,Schneiddaten!$A$5:$A$304,$C$8,Schneiddaten!$B$5:$B$304,$E449,Schneiddaten!$C$5:$C$304,_xlfn.MINIFS(Schneiddaten!$C$5:$C$304,Schneiddaten!$A$5:$A$304,$C$8,Schneiddaten!$B$5:$B$304,$E449,Schneiddaten!$C$5:$C$304,"&gt;="&amp;M449))))</f>
        <v/>
      </c>
      <c r="W449" s="26" t="str">
        <f aca="false">IF(AND($D449="",$E449="",$F449="",$G449=""),"",IF(ISNA(MATCH($D449,lst_Profil,0)),"FEHLER: Profil unbekannt",IF(ISNA(MATCH($E449,lst_Werkstoff,0)),"FEHLER: Werkstoff unbekannt",IF(NOT(ISNUMBER(L449)),"FEHLER: Querschnitt fehlt (Profil)",IF(OR($F449="",$F449&lt;=0),"FEHLER: Teilelänge fehlt",IF(OR($G449="",$G449&lt;1),"FEHLER: Stückzahl fehlt",IF(NOT(ISNUMBER($H$4)),"FEHLER: Maschine fehlt/unbekannt",IF(Q449&gt;$H$7,"FEHLER: Stange länger als Maschine zulässt",IF($F449+$H$6&gt;T449,"FEHLER: Teil länger als Nutzlänge",IF(U449="nein","WARNUNG: kein gültiger Materialpreis",IF($H449="","HINWEIS: Schneidweg fehlt",IF(V449="","HINWEIS: keine Schneiddaten",IF(AND($AF449&lt;&gt;"",$AG449=""),"HINWEIS: Gewinde-Vorschlag prüfen","OK")))))))))))))</f>
        <v/>
      </c>
      <c r="X449" s="18" t="str">
        <f aca="false">IF(OR(O449="",$G449=""),"",O449*$G449)</f>
        <v/>
      </c>
      <c r="Y449" s="10"/>
      <c r="Z449" s="21"/>
      <c r="AA449" s="10"/>
      <c r="AB449" s="21"/>
      <c r="AC449" s="21"/>
      <c r="AD449" s="21"/>
      <c r="AE449" s="10"/>
      <c r="AF449" s="10"/>
      <c r="AG449" s="10"/>
      <c r="AH449" s="22"/>
      <c r="AI449" s="21"/>
      <c r="AJ449" s="22"/>
      <c r="AK449" s="21"/>
      <c r="AL449" s="22"/>
      <c r="AM449" s="21"/>
    </row>
    <row r="450" customFormat="false" ht="15" hidden="false" customHeight="false" outlineLevel="0" collapsed="false">
      <c r="A450" s="10"/>
      <c r="B450" s="10"/>
      <c r="C450" s="10"/>
      <c r="D450" s="10"/>
      <c r="E450" s="10"/>
      <c r="F450" s="21"/>
      <c r="G450" s="19"/>
      <c r="H450" s="21"/>
      <c r="I450" s="22"/>
      <c r="J450" s="19"/>
      <c r="K450" s="23" t="str">
        <f aca="false">IF($D450="","",IFERROR(INDEX(Profile!$B$5:$B$304,MATCH($D450,lst_Profil,0)),""))</f>
        <v/>
      </c>
      <c r="L450" s="13" t="str">
        <f aca="false">IF($D450="","",IFERROR(INDEX(Profile!$K$5:$K$304,MATCH($D450,lst_Profil,0))+0,""))</f>
        <v/>
      </c>
      <c r="M450" s="24" t="str">
        <f aca="false">IF($D450="","",IFERROR(INDEX(Profile!$E$5:$E$304,MATCH($D450,lst_Profil,0))+0,""))</f>
        <v/>
      </c>
      <c r="N450" s="25" t="str">
        <f aca="false">IF(OR(L450="",$E450=""),"",IFERROR(L450*INDEX(Werkstoffe!$E$5:$E$304,MATCH($E450,lst_Werkstoff,0))/1000,""))</f>
        <v/>
      </c>
      <c r="O450" s="25" t="str">
        <f aca="false">IF(OR(N450="",$F450=""),"",N450*$F450/1000)</f>
        <v/>
      </c>
      <c r="P450" s="16" t="str">
        <f aca="false">IF(OR($F450="",$G450=""),"",$F450*$G450)</f>
        <v/>
      </c>
      <c r="Q450" s="16" t="str">
        <f aca="false">IF($D450="","",IF($J450&lt;&gt;"",$J450,$C$9))</f>
        <v/>
      </c>
      <c r="R450" s="12" t="str">
        <f aca="false">IF($D450="","",IFERROR(IF(INDEX(Profile!$G$5:$G$304,MATCH($D450,lst_Profil,0))&lt;&gt;"",INDEX(Profile!$G$5:$G$304,MATCH($D450,lst_Profil,0)),$H$4),$H$4))</f>
        <v/>
      </c>
      <c r="S450" s="12" t="str">
        <f aca="false">IF($D450="","",IFERROR(IF(INDEX(Profile!$H$5:$H$304,MATCH($D450,lst_Profil,0))&lt;&gt;"",INDEX(Profile!$H$5:$H$304,MATCH($D450,lst_Profil,0)),$H$5),$H$5))</f>
        <v/>
      </c>
      <c r="T450" s="16" t="str">
        <f aca="false">IF(OR(Q450="",NOT(ISNUMBER(R450)),NOT(ISNUMBER(S450))),"",Q450-R450-S450)</f>
        <v/>
      </c>
      <c r="U450" s="26" t="str">
        <f aca="false">IF(OR($D450="",$E450=""),"",IF(COUNTIFS(Preise!$A$5:$A$304,$D450,Preise!$B$5:$B$304,$E450,Preise!$I$5:$I$304,"OK")&gt;0,"ja","nein"))</f>
        <v/>
      </c>
      <c r="V450" s="15" t="str">
        <f aca="false">IF(OR(M450="",$E450="",$C$8=""),"",IF(_xlfn.MINIFS(Schneiddaten!$C$5:$C$304,Schneiddaten!$A$5:$A$304,$C$8,Schneiddaten!$B$5:$B$304,$E450,Schneiddaten!$C$5:$C$304,"&gt;="&amp;M450)=0,"",SUMIFS(Schneiddaten!$D$5:$D$304,Schneiddaten!$A$5:$A$304,$C$8,Schneiddaten!$B$5:$B$304,$E450,Schneiddaten!$C$5:$C$304,_xlfn.MINIFS(Schneiddaten!$C$5:$C$304,Schneiddaten!$A$5:$A$304,$C$8,Schneiddaten!$B$5:$B$304,$E450,Schneiddaten!$C$5:$C$304,"&gt;="&amp;M450))))</f>
        <v/>
      </c>
      <c r="W450" s="26" t="str">
        <f aca="false">IF(AND($D450="",$E450="",$F450="",$G450=""),"",IF(ISNA(MATCH($D450,lst_Profil,0)),"FEHLER: Profil unbekannt",IF(ISNA(MATCH($E450,lst_Werkstoff,0)),"FEHLER: Werkstoff unbekannt",IF(NOT(ISNUMBER(L450)),"FEHLER: Querschnitt fehlt (Profil)",IF(OR($F450="",$F450&lt;=0),"FEHLER: Teilelänge fehlt",IF(OR($G450="",$G450&lt;1),"FEHLER: Stückzahl fehlt",IF(NOT(ISNUMBER($H$4)),"FEHLER: Maschine fehlt/unbekannt",IF(Q450&gt;$H$7,"FEHLER: Stange länger als Maschine zulässt",IF($F450+$H$6&gt;T450,"FEHLER: Teil länger als Nutzlänge",IF(U450="nein","WARNUNG: kein gültiger Materialpreis",IF($H450="","HINWEIS: Schneidweg fehlt",IF(V450="","HINWEIS: keine Schneiddaten",IF(AND($AF450&lt;&gt;"",$AG450=""),"HINWEIS: Gewinde-Vorschlag prüfen","OK")))))))))))))</f>
        <v/>
      </c>
      <c r="X450" s="18" t="str">
        <f aca="false">IF(OR(O450="",$G450=""),"",O450*$G450)</f>
        <v/>
      </c>
      <c r="Y450" s="10"/>
      <c r="Z450" s="21"/>
      <c r="AA450" s="10"/>
      <c r="AB450" s="21"/>
      <c r="AC450" s="21"/>
      <c r="AD450" s="21"/>
      <c r="AE450" s="10"/>
      <c r="AF450" s="10"/>
      <c r="AG450" s="10"/>
      <c r="AH450" s="22"/>
      <c r="AI450" s="21"/>
      <c r="AJ450" s="22"/>
      <c r="AK450" s="21"/>
      <c r="AL450" s="22"/>
      <c r="AM450" s="21"/>
    </row>
    <row r="451" customFormat="false" ht="15" hidden="false" customHeight="false" outlineLevel="0" collapsed="false">
      <c r="A451" s="10"/>
      <c r="B451" s="10"/>
      <c r="C451" s="10"/>
      <c r="D451" s="10"/>
      <c r="E451" s="10"/>
      <c r="F451" s="21"/>
      <c r="G451" s="19"/>
      <c r="H451" s="21"/>
      <c r="I451" s="22"/>
      <c r="J451" s="19"/>
      <c r="K451" s="23" t="str">
        <f aca="false">IF($D451="","",IFERROR(INDEX(Profile!$B$5:$B$304,MATCH($D451,lst_Profil,0)),""))</f>
        <v/>
      </c>
      <c r="L451" s="13" t="str">
        <f aca="false">IF($D451="","",IFERROR(INDEX(Profile!$K$5:$K$304,MATCH($D451,lst_Profil,0))+0,""))</f>
        <v/>
      </c>
      <c r="M451" s="24" t="str">
        <f aca="false">IF($D451="","",IFERROR(INDEX(Profile!$E$5:$E$304,MATCH($D451,lst_Profil,0))+0,""))</f>
        <v/>
      </c>
      <c r="N451" s="25" t="str">
        <f aca="false">IF(OR(L451="",$E451=""),"",IFERROR(L451*INDEX(Werkstoffe!$E$5:$E$304,MATCH($E451,lst_Werkstoff,0))/1000,""))</f>
        <v/>
      </c>
      <c r="O451" s="25" t="str">
        <f aca="false">IF(OR(N451="",$F451=""),"",N451*$F451/1000)</f>
        <v/>
      </c>
      <c r="P451" s="16" t="str">
        <f aca="false">IF(OR($F451="",$G451=""),"",$F451*$G451)</f>
        <v/>
      </c>
      <c r="Q451" s="16" t="str">
        <f aca="false">IF($D451="","",IF($J451&lt;&gt;"",$J451,$C$9))</f>
        <v/>
      </c>
      <c r="R451" s="12" t="str">
        <f aca="false">IF($D451="","",IFERROR(IF(INDEX(Profile!$G$5:$G$304,MATCH($D451,lst_Profil,0))&lt;&gt;"",INDEX(Profile!$G$5:$G$304,MATCH($D451,lst_Profil,0)),$H$4),$H$4))</f>
        <v/>
      </c>
      <c r="S451" s="12" t="str">
        <f aca="false">IF($D451="","",IFERROR(IF(INDEX(Profile!$H$5:$H$304,MATCH($D451,lst_Profil,0))&lt;&gt;"",INDEX(Profile!$H$5:$H$304,MATCH($D451,lst_Profil,0)),$H$5),$H$5))</f>
        <v/>
      </c>
      <c r="T451" s="16" t="str">
        <f aca="false">IF(OR(Q451="",NOT(ISNUMBER(R451)),NOT(ISNUMBER(S451))),"",Q451-R451-S451)</f>
        <v/>
      </c>
      <c r="U451" s="26" t="str">
        <f aca="false">IF(OR($D451="",$E451=""),"",IF(COUNTIFS(Preise!$A$5:$A$304,$D451,Preise!$B$5:$B$304,$E451,Preise!$I$5:$I$304,"OK")&gt;0,"ja","nein"))</f>
        <v/>
      </c>
      <c r="V451" s="15" t="str">
        <f aca="false">IF(OR(M451="",$E451="",$C$8=""),"",IF(_xlfn.MINIFS(Schneiddaten!$C$5:$C$304,Schneiddaten!$A$5:$A$304,$C$8,Schneiddaten!$B$5:$B$304,$E451,Schneiddaten!$C$5:$C$304,"&gt;="&amp;M451)=0,"",SUMIFS(Schneiddaten!$D$5:$D$304,Schneiddaten!$A$5:$A$304,$C$8,Schneiddaten!$B$5:$B$304,$E451,Schneiddaten!$C$5:$C$304,_xlfn.MINIFS(Schneiddaten!$C$5:$C$304,Schneiddaten!$A$5:$A$304,$C$8,Schneiddaten!$B$5:$B$304,$E451,Schneiddaten!$C$5:$C$304,"&gt;="&amp;M451))))</f>
        <v/>
      </c>
      <c r="W451" s="26" t="str">
        <f aca="false">IF(AND($D451="",$E451="",$F451="",$G451=""),"",IF(ISNA(MATCH($D451,lst_Profil,0)),"FEHLER: Profil unbekannt",IF(ISNA(MATCH($E451,lst_Werkstoff,0)),"FEHLER: Werkstoff unbekannt",IF(NOT(ISNUMBER(L451)),"FEHLER: Querschnitt fehlt (Profil)",IF(OR($F451="",$F451&lt;=0),"FEHLER: Teilelänge fehlt",IF(OR($G451="",$G451&lt;1),"FEHLER: Stückzahl fehlt",IF(NOT(ISNUMBER($H$4)),"FEHLER: Maschine fehlt/unbekannt",IF(Q451&gt;$H$7,"FEHLER: Stange länger als Maschine zulässt",IF($F451+$H$6&gt;T451,"FEHLER: Teil länger als Nutzlänge",IF(U451="nein","WARNUNG: kein gültiger Materialpreis",IF($H451="","HINWEIS: Schneidweg fehlt",IF(V451="","HINWEIS: keine Schneiddaten",IF(AND($AF451&lt;&gt;"",$AG451=""),"HINWEIS: Gewinde-Vorschlag prüfen","OK")))))))))))))</f>
        <v/>
      </c>
      <c r="X451" s="18" t="str">
        <f aca="false">IF(OR(O451="",$G451=""),"",O451*$G451)</f>
        <v/>
      </c>
      <c r="Y451" s="10"/>
      <c r="Z451" s="21"/>
      <c r="AA451" s="10"/>
      <c r="AB451" s="21"/>
      <c r="AC451" s="21"/>
      <c r="AD451" s="21"/>
      <c r="AE451" s="10"/>
      <c r="AF451" s="10"/>
      <c r="AG451" s="10"/>
      <c r="AH451" s="22"/>
      <c r="AI451" s="21"/>
      <c r="AJ451" s="22"/>
      <c r="AK451" s="21"/>
      <c r="AL451" s="22"/>
      <c r="AM451" s="21"/>
    </row>
    <row r="452" customFormat="false" ht="15" hidden="false" customHeight="false" outlineLevel="0" collapsed="false">
      <c r="A452" s="10"/>
      <c r="B452" s="10"/>
      <c r="C452" s="10"/>
      <c r="D452" s="10"/>
      <c r="E452" s="10"/>
      <c r="F452" s="21"/>
      <c r="G452" s="19"/>
      <c r="H452" s="21"/>
      <c r="I452" s="22"/>
      <c r="J452" s="19"/>
      <c r="K452" s="23" t="str">
        <f aca="false">IF($D452="","",IFERROR(INDEX(Profile!$B$5:$B$304,MATCH($D452,lst_Profil,0)),""))</f>
        <v/>
      </c>
      <c r="L452" s="13" t="str">
        <f aca="false">IF($D452="","",IFERROR(INDEX(Profile!$K$5:$K$304,MATCH($D452,lst_Profil,0))+0,""))</f>
        <v/>
      </c>
      <c r="M452" s="24" t="str">
        <f aca="false">IF($D452="","",IFERROR(INDEX(Profile!$E$5:$E$304,MATCH($D452,lst_Profil,0))+0,""))</f>
        <v/>
      </c>
      <c r="N452" s="25" t="str">
        <f aca="false">IF(OR(L452="",$E452=""),"",IFERROR(L452*INDEX(Werkstoffe!$E$5:$E$304,MATCH($E452,lst_Werkstoff,0))/1000,""))</f>
        <v/>
      </c>
      <c r="O452" s="25" t="str">
        <f aca="false">IF(OR(N452="",$F452=""),"",N452*$F452/1000)</f>
        <v/>
      </c>
      <c r="P452" s="16" t="str">
        <f aca="false">IF(OR($F452="",$G452=""),"",$F452*$G452)</f>
        <v/>
      </c>
      <c r="Q452" s="16" t="str">
        <f aca="false">IF($D452="","",IF($J452&lt;&gt;"",$J452,$C$9))</f>
        <v/>
      </c>
      <c r="R452" s="12" t="str">
        <f aca="false">IF($D452="","",IFERROR(IF(INDEX(Profile!$G$5:$G$304,MATCH($D452,lst_Profil,0))&lt;&gt;"",INDEX(Profile!$G$5:$G$304,MATCH($D452,lst_Profil,0)),$H$4),$H$4))</f>
        <v/>
      </c>
      <c r="S452" s="12" t="str">
        <f aca="false">IF($D452="","",IFERROR(IF(INDEX(Profile!$H$5:$H$304,MATCH($D452,lst_Profil,0))&lt;&gt;"",INDEX(Profile!$H$5:$H$304,MATCH($D452,lst_Profil,0)),$H$5),$H$5))</f>
        <v/>
      </c>
      <c r="T452" s="16" t="str">
        <f aca="false">IF(OR(Q452="",NOT(ISNUMBER(R452)),NOT(ISNUMBER(S452))),"",Q452-R452-S452)</f>
        <v/>
      </c>
      <c r="U452" s="26" t="str">
        <f aca="false">IF(OR($D452="",$E452=""),"",IF(COUNTIFS(Preise!$A$5:$A$304,$D452,Preise!$B$5:$B$304,$E452,Preise!$I$5:$I$304,"OK")&gt;0,"ja","nein"))</f>
        <v/>
      </c>
      <c r="V452" s="15" t="str">
        <f aca="false">IF(OR(M452="",$E452="",$C$8=""),"",IF(_xlfn.MINIFS(Schneiddaten!$C$5:$C$304,Schneiddaten!$A$5:$A$304,$C$8,Schneiddaten!$B$5:$B$304,$E452,Schneiddaten!$C$5:$C$304,"&gt;="&amp;M452)=0,"",SUMIFS(Schneiddaten!$D$5:$D$304,Schneiddaten!$A$5:$A$304,$C$8,Schneiddaten!$B$5:$B$304,$E452,Schneiddaten!$C$5:$C$304,_xlfn.MINIFS(Schneiddaten!$C$5:$C$304,Schneiddaten!$A$5:$A$304,$C$8,Schneiddaten!$B$5:$B$304,$E452,Schneiddaten!$C$5:$C$304,"&gt;="&amp;M452))))</f>
        <v/>
      </c>
      <c r="W452" s="26" t="str">
        <f aca="false">IF(AND($D452="",$E452="",$F452="",$G452=""),"",IF(ISNA(MATCH($D452,lst_Profil,0)),"FEHLER: Profil unbekannt",IF(ISNA(MATCH($E452,lst_Werkstoff,0)),"FEHLER: Werkstoff unbekannt",IF(NOT(ISNUMBER(L452)),"FEHLER: Querschnitt fehlt (Profil)",IF(OR($F452="",$F452&lt;=0),"FEHLER: Teilelänge fehlt",IF(OR($G452="",$G452&lt;1),"FEHLER: Stückzahl fehlt",IF(NOT(ISNUMBER($H$4)),"FEHLER: Maschine fehlt/unbekannt",IF(Q452&gt;$H$7,"FEHLER: Stange länger als Maschine zulässt",IF($F452+$H$6&gt;T452,"FEHLER: Teil länger als Nutzlänge",IF(U452="nein","WARNUNG: kein gültiger Materialpreis",IF($H452="","HINWEIS: Schneidweg fehlt",IF(V452="","HINWEIS: keine Schneiddaten",IF(AND($AF452&lt;&gt;"",$AG452=""),"HINWEIS: Gewinde-Vorschlag prüfen","OK")))))))))))))</f>
        <v/>
      </c>
      <c r="X452" s="18" t="str">
        <f aca="false">IF(OR(O452="",$G452=""),"",O452*$G452)</f>
        <v/>
      </c>
      <c r="Y452" s="10"/>
      <c r="Z452" s="21"/>
      <c r="AA452" s="10"/>
      <c r="AB452" s="21"/>
      <c r="AC452" s="21"/>
      <c r="AD452" s="21"/>
      <c r="AE452" s="10"/>
      <c r="AF452" s="10"/>
      <c r="AG452" s="10"/>
      <c r="AH452" s="22"/>
      <c r="AI452" s="21"/>
      <c r="AJ452" s="22"/>
      <c r="AK452" s="21"/>
      <c r="AL452" s="22"/>
      <c r="AM452" s="21"/>
    </row>
    <row r="453" customFormat="false" ht="15" hidden="false" customHeight="false" outlineLevel="0" collapsed="false">
      <c r="A453" s="10"/>
      <c r="B453" s="10"/>
      <c r="C453" s="10"/>
      <c r="D453" s="10"/>
      <c r="E453" s="10"/>
      <c r="F453" s="21"/>
      <c r="G453" s="19"/>
      <c r="H453" s="21"/>
      <c r="I453" s="22"/>
      <c r="J453" s="19"/>
      <c r="K453" s="23" t="str">
        <f aca="false">IF($D453="","",IFERROR(INDEX(Profile!$B$5:$B$304,MATCH($D453,lst_Profil,0)),""))</f>
        <v/>
      </c>
      <c r="L453" s="13" t="str">
        <f aca="false">IF($D453="","",IFERROR(INDEX(Profile!$K$5:$K$304,MATCH($D453,lst_Profil,0))+0,""))</f>
        <v/>
      </c>
      <c r="M453" s="24" t="str">
        <f aca="false">IF($D453="","",IFERROR(INDEX(Profile!$E$5:$E$304,MATCH($D453,lst_Profil,0))+0,""))</f>
        <v/>
      </c>
      <c r="N453" s="25" t="str">
        <f aca="false">IF(OR(L453="",$E453=""),"",IFERROR(L453*INDEX(Werkstoffe!$E$5:$E$304,MATCH($E453,lst_Werkstoff,0))/1000,""))</f>
        <v/>
      </c>
      <c r="O453" s="25" t="str">
        <f aca="false">IF(OR(N453="",$F453=""),"",N453*$F453/1000)</f>
        <v/>
      </c>
      <c r="P453" s="16" t="str">
        <f aca="false">IF(OR($F453="",$G453=""),"",$F453*$G453)</f>
        <v/>
      </c>
      <c r="Q453" s="16" t="str">
        <f aca="false">IF($D453="","",IF($J453&lt;&gt;"",$J453,$C$9))</f>
        <v/>
      </c>
      <c r="R453" s="12" t="str">
        <f aca="false">IF($D453="","",IFERROR(IF(INDEX(Profile!$G$5:$G$304,MATCH($D453,lst_Profil,0))&lt;&gt;"",INDEX(Profile!$G$5:$G$304,MATCH($D453,lst_Profil,0)),$H$4),$H$4))</f>
        <v/>
      </c>
      <c r="S453" s="12" t="str">
        <f aca="false">IF($D453="","",IFERROR(IF(INDEX(Profile!$H$5:$H$304,MATCH($D453,lst_Profil,0))&lt;&gt;"",INDEX(Profile!$H$5:$H$304,MATCH($D453,lst_Profil,0)),$H$5),$H$5))</f>
        <v/>
      </c>
      <c r="T453" s="16" t="str">
        <f aca="false">IF(OR(Q453="",NOT(ISNUMBER(R453)),NOT(ISNUMBER(S453))),"",Q453-R453-S453)</f>
        <v/>
      </c>
      <c r="U453" s="26" t="str">
        <f aca="false">IF(OR($D453="",$E453=""),"",IF(COUNTIFS(Preise!$A$5:$A$304,$D453,Preise!$B$5:$B$304,$E453,Preise!$I$5:$I$304,"OK")&gt;0,"ja","nein"))</f>
        <v/>
      </c>
      <c r="V453" s="15" t="str">
        <f aca="false">IF(OR(M453="",$E453="",$C$8=""),"",IF(_xlfn.MINIFS(Schneiddaten!$C$5:$C$304,Schneiddaten!$A$5:$A$304,$C$8,Schneiddaten!$B$5:$B$304,$E453,Schneiddaten!$C$5:$C$304,"&gt;="&amp;M453)=0,"",SUMIFS(Schneiddaten!$D$5:$D$304,Schneiddaten!$A$5:$A$304,$C$8,Schneiddaten!$B$5:$B$304,$E453,Schneiddaten!$C$5:$C$304,_xlfn.MINIFS(Schneiddaten!$C$5:$C$304,Schneiddaten!$A$5:$A$304,$C$8,Schneiddaten!$B$5:$B$304,$E453,Schneiddaten!$C$5:$C$304,"&gt;="&amp;M453))))</f>
        <v/>
      </c>
      <c r="W453" s="26" t="str">
        <f aca="false">IF(AND($D453="",$E453="",$F453="",$G453=""),"",IF(ISNA(MATCH($D453,lst_Profil,0)),"FEHLER: Profil unbekannt",IF(ISNA(MATCH($E453,lst_Werkstoff,0)),"FEHLER: Werkstoff unbekannt",IF(NOT(ISNUMBER(L453)),"FEHLER: Querschnitt fehlt (Profil)",IF(OR($F453="",$F453&lt;=0),"FEHLER: Teilelänge fehlt",IF(OR($G453="",$G453&lt;1),"FEHLER: Stückzahl fehlt",IF(NOT(ISNUMBER($H$4)),"FEHLER: Maschine fehlt/unbekannt",IF(Q453&gt;$H$7,"FEHLER: Stange länger als Maschine zulässt",IF($F453+$H$6&gt;T453,"FEHLER: Teil länger als Nutzlänge",IF(U453="nein","WARNUNG: kein gültiger Materialpreis",IF($H453="","HINWEIS: Schneidweg fehlt",IF(V453="","HINWEIS: keine Schneiddaten",IF(AND($AF453&lt;&gt;"",$AG453=""),"HINWEIS: Gewinde-Vorschlag prüfen","OK")))))))))))))</f>
        <v/>
      </c>
      <c r="X453" s="18" t="str">
        <f aca="false">IF(OR(O453="",$G453=""),"",O453*$G453)</f>
        <v/>
      </c>
      <c r="Y453" s="10"/>
      <c r="Z453" s="21"/>
      <c r="AA453" s="10"/>
      <c r="AB453" s="21"/>
      <c r="AC453" s="21"/>
      <c r="AD453" s="21"/>
      <c r="AE453" s="10"/>
      <c r="AF453" s="10"/>
      <c r="AG453" s="10"/>
      <c r="AH453" s="22"/>
      <c r="AI453" s="21"/>
      <c r="AJ453" s="22"/>
      <c r="AK453" s="21"/>
      <c r="AL453" s="22"/>
      <c r="AM453" s="21"/>
    </row>
    <row r="454" customFormat="false" ht="15" hidden="false" customHeight="false" outlineLevel="0" collapsed="false">
      <c r="A454" s="10"/>
      <c r="B454" s="10"/>
      <c r="C454" s="10"/>
      <c r="D454" s="10"/>
      <c r="E454" s="10"/>
      <c r="F454" s="21"/>
      <c r="G454" s="19"/>
      <c r="H454" s="21"/>
      <c r="I454" s="22"/>
      <c r="J454" s="19"/>
      <c r="K454" s="23" t="str">
        <f aca="false">IF($D454="","",IFERROR(INDEX(Profile!$B$5:$B$304,MATCH($D454,lst_Profil,0)),""))</f>
        <v/>
      </c>
      <c r="L454" s="13" t="str">
        <f aca="false">IF($D454="","",IFERROR(INDEX(Profile!$K$5:$K$304,MATCH($D454,lst_Profil,0))+0,""))</f>
        <v/>
      </c>
      <c r="M454" s="24" t="str">
        <f aca="false">IF($D454="","",IFERROR(INDEX(Profile!$E$5:$E$304,MATCH($D454,lst_Profil,0))+0,""))</f>
        <v/>
      </c>
      <c r="N454" s="25" t="str">
        <f aca="false">IF(OR(L454="",$E454=""),"",IFERROR(L454*INDEX(Werkstoffe!$E$5:$E$304,MATCH($E454,lst_Werkstoff,0))/1000,""))</f>
        <v/>
      </c>
      <c r="O454" s="25" t="str">
        <f aca="false">IF(OR(N454="",$F454=""),"",N454*$F454/1000)</f>
        <v/>
      </c>
      <c r="P454" s="16" t="str">
        <f aca="false">IF(OR($F454="",$G454=""),"",$F454*$G454)</f>
        <v/>
      </c>
      <c r="Q454" s="16" t="str">
        <f aca="false">IF($D454="","",IF($J454&lt;&gt;"",$J454,$C$9))</f>
        <v/>
      </c>
      <c r="R454" s="12" t="str">
        <f aca="false">IF($D454="","",IFERROR(IF(INDEX(Profile!$G$5:$G$304,MATCH($D454,lst_Profil,0))&lt;&gt;"",INDEX(Profile!$G$5:$G$304,MATCH($D454,lst_Profil,0)),$H$4),$H$4))</f>
        <v/>
      </c>
      <c r="S454" s="12" t="str">
        <f aca="false">IF($D454="","",IFERROR(IF(INDEX(Profile!$H$5:$H$304,MATCH($D454,lst_Profil,0))&lt;&gt;"",INDEX(Profile!$H$5:$H$304,MATCH($D454,lst_Profil,0)),$H$5),$H$5))</f>
        <v/>
      </c>
      <c r="T454" s="16" t="str">
        <f aca="false">IF(OR(Q454="",NOT(ISNUMBER(R454)),NOT(ISNUMBER(S454))),"",Q454-R454-S454)</f>
        <v/>
      </c>
      <c r="U454" s="26" t="str">
        <f aca="false">IF(OR($D454="",$E454=""),"",IF(COUNTIFS(Preise!$A$5:$A$304,$D454,Preise!$B$5:$B$304,$E454,Preise!$I$5:$I$304,"OK")&gt;0,"ja","nein"))</f>
        <v/>
      </c>
      <c r="V454" s="15" t="str">
        <f aca="false">IF(OR(M454="",$E454="",$C$8=""),"",IF(_xlfn.MINIFS(Schneiddaten!$C$5:$C$304,Schneiddaten!$A$5:$A$304,$C$8,Schneiddaten!$B$5:$B$304,$E454,Schneiddaten!$C$5:$C$304,"&gt;="&amp;M454)=0,"",SUMIFS(Schneiddaten!$D$5:$D$304,Schneiddaten!$A$5:$A$304,$C$8,Schneiddaten!$B$5:$B$304,$E454,Schneiddaten!$C$5:$C$304,_xlfn.MINIFS(Schneiddaten!$C$5:$C$304,Schneiddaten!$A$5:$A$304,$C$8,Schneiddaten!$B$5:$B$304,$E454,Schneiddaten!$C$5:$C$304,"&gt;="&amp;M454))))</f>
        <v/>
      </c>
      <c r="W454" s="26" t="str">
        <f aca="false">IF(AND($D454="",$E454="",$F454="",$G454=""),"",IF(ISNA(MATCH($D454,lst_Profil,0)),"FEHLER: Profil unbekannt",IF(ISNA(MATCH($E454,lst_Werkstoff,0)),"FEHLER: Werkstoff unbekannt",IF(NOT(ISNUMBER(L454)),"FEHLER: Querschnitt fehlt (Profil)",IF(OR($F454="",$F454&lt;=0),"FEHLER: Teilelänge fehlt",IF(OR($G454="",$G454&lt;1),"FEHLER: Stückzahl fehlt",IF(NOT(ISNUMBER($H$4)),"FEHLER: Maschine fehlt/unbekannt",IF(Q454&gt;$H$7,"FEHLER: Stange länger als Maschine zulässt",IF($F454+$H$6&gt;T454,"FEHLER: Teil länger als Nutzlänge",IF(U454="nein","WARNUNG: kein gültiger Materialpreis",IF($H454="","HINWEIS: Schneidweg fehlt",IF(V454="","HINWEIS: keine Schneiddaten",IF(AND($AF454&lt;&gt;"",$AG454=""),"HINWEIS: Gewinde-Vorschlag prüfen","OK")))))))))))))</f>
        <v/>
      </c>
      <c r="X454" s="18" t="str">
        <f aca="false">IF(OR(O454="",$G454=""),"",O454*$G454)</f>
        <v/>
      </c>
      <c r="Y454" s="10"/>
      <c r="Z454" s="21"/>
      <c r="AA454" s="10"/>
      <c r="AB454" s="21"/>
      <c r="AC454" s="21"/>
      <c r="AD454" s="21"/>
      <c r="AE454" s="10"/>
      <c r="AF454" s="10"/>
      <c r="AG454" s="10"/>
      <c r="AH454" s="22"/>
      <c r="AI454" s="21"/>
      <c r="AJ454" s="22"/>
      <c r="AK454" s="21"/>
      <c r="AL454" s="22"/>
      <c r="AM454" s="21"/>
    </row>
    <row r="455" customFormat="false" ht="15" hidden="false" customHeight="false" outlineLevel="0" collapsed="false">
      <c r="A455" s="10"/>
      <c r="B455" s="10"/>
      <c r="C455" s="10"/>
      <c r="D455" s="10"/>
      <c r="E455" s="10"/>
      <c r="F455" s="21"/>
      <c r="G455" s="19"/>
      <c r="H455" s="21"/>
      <c r="I455" s="22"/>
      <c r="J455" s="19"/>
      <c r="K455" s="23" t="str">
        <f aca="false">IF($D455="","",IFERROR(INDEX(Profile!$B$5:$B$304,MATCH($D455,lst_Profil,0)),""))</f>
        <v/>
      </c>
      <c r="L455" s="13" t="str">
        <f aca="false">IF($D455="","",IFERROR(INDEX(Profile!$K$5:$K$304,MATCH($D455,lst_Profil,0))+0,""))</f>
        <v/>
      </c>
      <c r="M455" s="24" t="str">
        <f aca="false">IF($D455="","",IFERROR(INDEX(Profile!$E$5:$E$304,MATCH($D455,lst_Profil,0))+0,""))</f>
        <v/>
      </c>
      <c r="N455" s="25" t="str">
        <f aca="false">IF(OR(L455="",$E455=""),"",IFERROR(L455*INDEX(Werkstoffe!$E$5:$E$304,MATCH($E455,lst_Werkstoff,0))/1000,""))</f>
        <v/>
      </c>
      <c r="O455" s="25" t="str">
        <f aca="false">IF(OR(N455="",$F455=""),"",N455*$F455/1000)</f>
        <v/>
      </c>
      <c r="P455" s="16" t="str">
        <f aca="false">IF(OR($F455="",$G455=""),"",$F455*$G455)</f>
        <v/>
      </c>
      <c r="Q455" s="16" t="str">
        <f aca="false">IF($D455="","",IF($J455&lt;&gt;"",$J455,$C$9))</f>
        <v/>
      </c>
      <c r="R455" s="12" t="str">
        <f aca="false">IF($D455="","",IFERROR(IF(INDEX(Profile!$G$5:$G$304,MATCH($D455,lst_Profil,0))&lt;&gt;"",INDEX(Profile!$G$5:$G$304,MATCH($D455,lst_Profil,0)),$H$4),$H$4))</f>
        <v/>
      </c>
      <c r="S455" s="12" t="str">
        <f aca="false">IF($D455="","",IFERROR(IF(INDEX(Profile!$H$5:$H$304,MATCH($D455,lst_Profil,0))&lt;&gt;"",INDEX(Profile!$H$5:$H$304,MATCH($D455,lst_Profil,0)),$H$5),$H$5))</f>
        <v/>
      </c>
      <c r="T455" s="16" t="str">
        <f aca="false">IF(OR(Q455="",NOT(ISNUMBER(R455)),NOT(ISNUMBER(S455))),"",Q455-R455-S455)</f>
        <v/>
      </c>
      <c r="U455" s="26" t="str">
        <f aca="false">IF(OR($D455="",$E455=""),"",IF(COUNTIFS(Preise!$A$5:$A$304,$D455,Preise!$B$5:$B$304,$E455,Preise!$I$5:$I$304,"OK")&gt;0,"ja","nein"))</f>
        <v/>
      </c>
      <c r="V455" s="15" t="str">
        <f aca="false">IF(OR(M455="",$E455="",$C$8=""),"",IF(_xlfn.MINIFS(Schneiddaten!$C$5:$C$304,Schneiddaten!$A$5:$A$304,$C$8,Schneiddaten!$B$5:$B$304,$E455,Schneiddaten!$C$5:$C$304,"&gt;="&amp;M455)=0,"",SUMIFS(Schneiddaten!$D$5:$D$304,Schneiddaten!$A$5:$A$304,$C$8,Schneiddaten!$B$5:$B$304,$E455,Schneiddaten!$C$5:$C$304,_xlfn.MINIFS(Schneiddaten!$C$5:$C$304,Schneiddaten!$A$5:$A$304,$C$8,Schneiddaten!$B$5:$B$304,$E455,Schneiddaten!$C$5:$C$304,"&gt;="&amp;M455))))</f>
        <v/>
      </c>
      <c r="W455" s="26" t="str">
        <f aca="false">IF(AND($D455="",$E455="",$F455="",$G455=""),"",IF(ISNA(MATCH($D455,lst_Profil,0)),"FEHLER: Profil unbekannt",IF(ISNA(MATCH($E455,lst_Werkstoff,0)),"FEHLER: Werkstoff unbekannt",IF(NOT(ISNUMBER(L455)),"FEHLER: Querschnitt fehlt (Profil)",IF(OR($F455="",$F455&lt;=0),"FEHLER: Teilelänge fehlt",IF(OR($G455="",$G455&lt;1),"FEHLER: Stückzahl fehlt",IF(NOT(ISNUMBER($H$4)),"FEHLER: Maschine fehlt/unbekannt",IF(Q455&gt;$H$7,"FEHLER: Stange länger als Maschine zulässt",IF($F455+$H$6&gt;T455,"FEHLER: Teil länger als Nutzlänge",IF(U455="nein","WARNUNG: kein gültiger Materialpreis",IF($H455="","HINWEIS: Schneidweg fehlt",IF(V455="","HINWEIS: keine Schneiddaten",IF(AND($AF455&lt;&gt;"",$AG455=""),"HINWEIS: Gewinde-Vorschlag prüfen","OK")))))))))))))</f>
        <v/>
      </c>
      <c r="X455" s="18" t="str">
        <f aca="false">IF(OR(O455="",$G455=""),"",O455*$G455)</f>
        <v/>
      </c>
      <c r="Y455" s="10"/>
      <c r="Z455" s="21"/>
      <c r="AA455" s="10"/>
      <c r="AB455" s="21"/>
      <c r="AC455" s="21"/>
      <c r="AD455" s="21"/>
      <c r="AE455" s="10"/>
      <c r="AF455" s="10"/>
      <c r="AG455" s="10"/>
      <c r="AH455" s="22"/>
      <c r="AI455" s="21"/>
      <c r="AJ455" s="22"/>
      <c r="AK455" s="21"/>
      <c r="AL455" s="22"/>
      <c r="AM455" s="21"/>
    </row>
    <row r="456" customFormat="false" ht="15" hidden="false" customHeight="false" outlineLevel="0" collapsed="false">
      <c r="A456" s="10"/>
      <c r="B456" s="10"/>
      <c r="C456" s="10"/>
      <c r="D456" s="10"/>
      <c r="E456" s="10"/>
      <c r="F456" s="21"/>
      <c r="G456" s="19"/>
      <c r="H456" s="21"/>
      <c r="I456" s="22"/>
      <c r="J456" s="19"/>
      <c r="K456" s="23" t="str">
        <f aca="false">IF($D456="","",IFERROR(INDEX(Profile!$B$5:$B$304,MATCH($D456,lst_Profil,0)),""))</f>
        <v/>
      </c>
      <c r="L456" s="13" t="str">
        <f aca="false">IF($D456="","",IFERROR(INDEX(Profile!$K$5:$K$304,MATCH($D456,lst_Profil,0))+0,""))</f>
        <v/>
      </c>
      <c r="M456" s="24" t="str">
        <f aca="false">IF($D456="","",IFERROR(INDEX(Profile!$E$5:$E$304,MATCH($D456,lst_Profil,0))+0,""))</f>
        <v/>
      </c>
      <c r="N456" s="25" t="str">
        <f aca="false">IF(OR(L456="",$E456=""),"",IFERROR(L456*INDEX(Werkstoffe!$E$5:$E$304,MATCH($E456,lst_Werkstoff,0))/1000,""))</f>
        <v/>
      </c>
      <c r="O456" s="25" t="str">
        <f aca="false">IF(OR(N456="",$F456=""),"",N456*$F456/1000)</f>
        <v/>
      </c>
      <c r="P456" s="16" t="str">
        <f aca="false">IF(OR($F456="",$G456=""),"",$F456*$G456)</f>
        <v/>
      </c>
      <c r="Q456" s="16" t="str">
        <f aca="false">IF($D456="","",IF($J456&lt;&gt;"",$J456,$C$9))</f>
        <v/>
      </c>
      <c r="R456" s="12" t="str">
        <f aca="false">IF($D456="","",IFERROR(IF(INDEX(Profile!$G$5:$G$304,MATCH($D456,lst_Profil,0))&lt;&gt;"",INDEX(Profile!$G$5:$G$304,MATCH($D456,lst_Profil,0)),$H$4),$H$4))</f>
        <v/>
      </c>
      <c r="S456" s="12" t="str">
        <f aca="false">IF($D456="","",IFERROR(IF(INDEX(Profile!$H$5:$H$304,MATCH($D456,lst_Profil,0))&lt;&gt;"",INDEX(Profile!$H$5:$H$304,MATCH($D456,lst_Profil,0)),$H$5),$H$5))</f>
        <v/>
      </c>
      <c r="T456" s="16" t="str">
        <f aca="false">IF(OR(Q456="",NOT(ISNUMBER(R456)),NOT(ISNUMBER(S456))),"",Q456-R456-S456)</f>
        <v/>
      </c>
      <c r="U456" s="26" t="str">
        <f aca="false">IF(OR($D456="",$E456=""),"",IF(COUNTIFS(Preise!$A$5:$A$304,$D456,Preise!$B$5:$B$304,$E456,Preise!$I$5:$I$304,"OK")&gt;0,"ja","nein"))</f>
        <v/>
      </c>
      <c r="V456" s="15" t="str">
        <f aca="false">IF(OR(M456="",$E456="",$C$8=""),"",IF(_xlfn.MINIFS(Schneiddaten!$C$5:$C$304,Schneiddaten!$A$5:$A$304,$C$8,Schneiddaten!$B$5:$B$304,$E456,Schneiddaten!$C$5:$C$304,"&gt;="&amp;M456)=0,"",SUMIFS(Schneiddaten!$D$5:$D$304,Schneiddaten!$A$5:$A$304,$C$8,Schneiddaten!$B$5:$B$304,$E456,Schneiddaten!$C$5:$C$304,_xlfn.MINIFS(Schneiddaten!$C$5:$C$304,Schneiddaten!$A$5:$A$304,$C$8,Schneiddaten!$B$5:$B$304,$E456,Schneiddaten!$C$5:$C$304,"&gt;="&amp;M456))))</f>
        <v/>
      </c>
      <c r="W456" s="26" t="str">
        <f aca="false">IF(AND($D456="",$E456="",$F456="",$G456=""),"",IF(ISNA(MATCH($D456,lst_Profil,0)),"FEHLER: Profil unbekannt",IF(ISNA(MATCH($E456,lst_Werkstoff,0)),"FEHLER: Werkstoff unbekannt",IF(NOT(ISNUMBER(L456)),"FEHLER: Querschnitt fehlt (Profil)",IF(OR($F456="",$F456&lt;=0),"FEHLER: Teilelänge fehlt",IF(OR($G456="",$G456&lt;1),"FEHLER: Stückzahl fehlt",IF(NOT(ISNUMBER($H$4)),"FEHLER: Maschine fehlt/unbekannt",IF(Q456&gt;$H$7,"FEHLER: Stange länger als Maschine zulässt",IF($F456+$H$6&gt;T456,"FEHLER: Teil länger als Nutzlänge",IF(U456="nein","WARNUNG: kein gültiger Materialpreis",IF($H456="","HINWEIS: Schneidweg fehlt",IF(V456="","HINWEIS: keine Schneiddaten",IF(AND($AF456&lt;&gt;"",$AG456=""),"HINWEIS: Gewinde-Vorschlag prüfen","OK")))))))))))))</f>
        <v/>
      </c>
      <c r="X456" s="18" t="str">
        <f aca="false">IF(OR(O456="",$G456=""),"",O456*$G456)</f>
        <v/>
      </c>
      <c r="Y456" s="10"/>
      <c r="Z456" s="21"/>
      <c r="AA456" s="10"/>
      <c r="AB456" s="21"/>
      <c r="AC456" s="21"/>
      <c r="AD456" s="21"/>
      <c r="AE456" s="10"/>
      <c r="AF456" s="10"/>
      <c r="AG456" s="10"/>
      <c r="AH456" s="22"/>
      <c r="AI456" s="21"/>
      <c r="AJ456" s="22"/>
      <c r="AK456" s="21"/>
      <c r="AL456" s="22"/>
      <c r="AM456" s="21"/>
    </row>
    <row r="457" customFormat="false" ht="15" hidden="false" customHeight="false" outlineLevel="0" collapsed="false">
      <c r="A457" s="10"/>
      <c r="B457" s="10"/>
      <c r="C457" s="10"/>
      <c r="D457" s="10"/>
      <c r="E457" s="10"/>
      <c r="F457" s="21"/>
      <c r="G457" s="19"/>
      <c r="H457" s="21"/>
      <c r="I457" s="22"/>
      <c r="J457" s="19"/>
      <c r="K457" s="23" t="str">
        <f aca="false">IF($D457="","",IFERROR(INDEX(Profile!$B$5:$B$304,MATCH($D457,lst_Profil,0)),""))</f>
        <v/>
      </c>
      <c r="L457" s="13" t="str">
        <f aca="false">IF($D457="","",IFERROR(INDEX(Profile!$K$5:$K$304,MATCH($D457,lst_Profil,0))+0,""))</f>
        <v/>
      </c>
      <c r="M457" s="24" t="str">
        <f aca="false">IF($D457="","",IFERROR(INDEX(Profile!$E$5:$E$304,MATCH($D457,lst_Profil,0))+0,""))</f>
        <v/>
      </c>
      <c r="N457" s="25" t="str">
        <f aca="false">IF(OR(L457="",$E457=""),"",IFERROR(L457*INDEX(Werkstoffe!$E$5:$E$304,MATCH($E457,lst_Werkstoff,0))/1000,""))</f>
        <v/>
      </c>
      <c r="O457" s="25" t="str">
        <f aca="false">IF(OR(N457="",$F457=""),"",N457*$F457/1000)</f>
        <v/>
      </c>
      <c r="P457" s="16" t="str">
        <f aca="false">IF(OR($F457="",$G457=""),"",$F457*$G457)</f>
        <v/>
      </c>
      <c r="Q457" s="16" t="str">
        <f aca="false">IF($D457="","",IF($J457&lt;&gt;"",$J457,$C$9))</f>
        <v/>
      </c>
      <c r="R457" s="12" t="str">
        <f aca="false">IF($D457="","",IFERROR(IF(INDEX(Profile!$G$5:$G$304,MATCH($D457,lst_Profil,0))&lt;&gt;"",INDEX(Profile!$G$5:$G$304,MATCH($D457,lst_Profil,0)),$H$4),$H$4))</f>
        <v/>
      </c>
      <c r="S457" s="12" t="str">
        <f aca="false">IF($D457="","",IFERROR(IF(INDEX(Profile!$H$5:$H$304,MATCH($D457,lst_Profil,0))&lt;&gt;"",INDEX(Profile!$H$5:$H$304,MATCH($D457,lst_Profil,0)),$H$5),$H$5))</f>
        <v/>
      </c>
      <c r="T457" s="16" t="str">
        <f aca="false">IF(OR(Q457="",NOT(ISNUMBER(R457)),NOT(ISNUMBER(S457))),"",Q457-R457-S457)</f>
        <v/>
      </c>
      <c r="U457" s="26" t="str">
        <f aca="false">IF(OR($D457="",$E457=""),"",IF(COUNTIFS(Preise!$A$5:$A$304,$D457,Preise!$B$5:$B$304,$E457,Preise!$I$5:$I$304,"OK")&gt;0,"ja","nein"))</f>
        <v/>
      </c>
      <c r="V457" s="15" t="str">
        <f aca="false">IF(OR(M457="",$E457="",$C$8=""),"",IF(_xlfn.MINIFS(Schneiddaten!$C$5:$C$304,Schneiddaten!$A$5:$A$304,$C$8,Schneiddaten!$B$5:$B$304,$E457,Schneiddaten!$C$5:$C$304,"&gt;="&amp;M457)=0,"",SUMIFS(Schneiddaten!$D$5:$D$304,Schneiddaten!$A$5:$A$304,$C$8,Schneiddaten!$B$5:$B$304,$E457,Schneiddaten!$C$5:$C$304,_xlfn.MINIFS(Schneiddaten!$C$5:$C$304,Schneiddaten!$A$5:$A$304,$C$8,Schneiddaten!$B$5:$B$304,$E457,Schneiddaten!$C$5:$C$304,"&gt;="&amp;M457))))</f>
        <v/>
      </c>
      <c r="W457" s="26" t="str">
        <f aca="false">IF(AND($D457="",$E457="",$F457="",$G457=""),"",IF(ISNA(MATCH($D457,lst_Profil,0)),"FEHLER: Profil unbekannt",IF(ISNA(MATCH($E457,lst_Werkstoff,0)),"FEHLER: Werkstoff unbekannt",IF(NOT(ISNUMBER(L457)),"FEHLER: Querschnitt fehlt (Profil)",IF(OR($F457="",$F457&lt;=0),"FEHLER: Teilelänge fehlt",IF(OR($G457="",$G457&lt;1),"FEHLER: Stückzahl fehlt",IF(NOT(ISNUMBER($H$4)),"FEHLER: Maschine fehlt/unbekannt",IF(Q457&gt;$H$7,"FEHLER: Stange länger als Maschine zulässt",IF($F457+$H$6&gt;T457,"FEHLER: Teil länger als Nutzlänge",IF(U457="nein","WARNUNG: kein gültiger Materialpreis",IF($H457="","HINWEIS: Schneidweg fehlt",IF(V457="","HINWEIS: keine Schneiddaten",IF(AND($AF457&lt;&gt;"",$AG457=""),"HINWEIS: Gewinde-Vorschlag prüfen","OK")))))))))))))</f>
        <v/>
      </c>
      <c r="X457" s="18" t="str">
        <f aca="false">IF(OR(O457="",$G457=""),"",O457*$G457)</f>
        <v/>
      </c>
      <c r="Y457" s="10"/>
      <c r="Z457" s="21"/>
      <c r="AA457" s="10"/>
      <c r="AB457" s="21"/>
      <c r="AC457" s="21"/>
      <c r="AD457" s="21"/>
      <c r="AE457" s="10"/>
      <c r="AF457" s="10"/>
      <c r="AG457" s="10"/>
      <c r="AH457" s="22"/>
      <c r="AI457" s="21"/>
      <c r="AJ457" s="22"/>
      <c r="AK457" s="21"/>
      <c r="AL457" s="22"/>
      <c r="AM457" s="21"/>
    </row>
    <row r="458" customFormat="false" ht="15" hidden="false" customHeight="false" outlineLevel="0" collapsed="false">
      <c r="A458" s="10"/>
      <c r="B458" s="10"/>
      <c r="C458" s="10"/>
      <c r="D458" s="10"/>
      <c r="E458" s="10"/>
      <c r="F458" s="21"/>
      <c r="G458" s="19"/>
      <c r="H458" s="21"/>
      <c r="I458" s="22"/>
      <c r="J458" s="19"/>
      <c r="K458" s="23" t="str">
        <f aca="false">IF($D458="","",IFERROR(INDEX(Profile!$B$5:$B$304,MATCH($D458,lst_Profil,0)),""))</f>
        <v/>
      </c>
      <c r="L458" s="13" t="str">
        <f aca="false">IF($D458="","",IFERROR(INDEX(Profile!$K$5:$K$304,MATCH($D458,lst_Profil,0))+0,""))</f>
        <v/>
      </c>
      <c r="M458" s="24" t="str">
        <f aca="false">IF($D458="","",IFERROR(INDEX(Profile!$E$5:$E$304,MATCH($D458,lst_Profil,0))+0,""))</f>
        <v/>
      </c>
      <c r="N458" s="25" t="str">
        <f aca="false">IF(OR(L458="",$E458=""),"",IFERROR(L458*INDEX(Werkstoffe!$E$5:$E$304,MATCH($E458,lst_Werkstoff,0))/1000,""))</f>
        <v/>
      </c>
      <c r="O458" s="25" t="str">
        <f aca="false">IF(OR(N458="",$F458=""),"",N458*$F458/1000)</f>
        <v/>
      </c>
      <c r="P458" s="16" t="str">
        <f aca="false">IF(OR($F458="",$G458=""),"",$F458*$G458)</f>
        <v/>
      </c>
      <c r="Q458" s="16" t="str">
        <f aca="false">IF($D458="","",IF($J458&lt;&gt;"",$J458,$C$9))</f>
        <v/>
      </c>
      <c r="R458" s="12" t="str">
        <f aca="false">IF($D458="","",IFERROR(IF(INDEX(Profile!$G$5:$G$304,MATCH($D458,lst_Profil,0))&lt;&gt;"",INDEX(Profile!$G$5:$G$304,MATCH($D458,lst_Profil,0)),$H$4),$H$4))</f>
        <v/>
      </c>
      <c r="S458" s="12" t="str">
        <f aca="false">IF($D458="","",IFERROR(IF(INDEX(Profile!$H$5:$H$304,MATCH($D458,lst_Profil,0))&lt;&gt;"",INDEX(Profile!$H$5:$H$304,MATCH($D458,lst_Profil,0)),$H$5),$H$5))</f>
        <v/>
      </c>
      <c r="T458" s="16" t="str">
        <f aca="false">IF(OR(Q458="",NOT(ISNUMBER(R458)),NOT(ISNUMBER(S458))),"",Q458-R458-S458)</f>
        <v/>
      </c>
      <c r="U458" s="26" t="str">
        <f aca="false">IF(OR($D458="",$E458=""),"",IF(COUNTIFS(Preise!$A$5:$A$304,$D458,Preise!$B$5:$B$304,$E458,Preise!$I$5:$I$304,"OK")&gt;0,"ja","nein"))</f>
        <v/>
      </c>
      <c r="V458" s="15" t="str">
        <f aca="false">IF(OR(M458="",$E458="",$C$8=""),"",IF(_xlfn.MINIFS(Schneiddaten!$C$5:$C$304,Schneiddaten!$A$5:$A$304,$C$8,Schneiddaten!$B$5:$B$304,$E458,Schneiddaten!$C$5:$C$304,"&gt;="&amp;M458)=0,"",SUMIFS(Schneiddaten!$D$5:$D$304,Schneiddaten!$A$5:$A$304,$C$8,Schneiddaten!$B$5:$B$304,$E458,Schneiddaten!$C$5:$C$304,_xlfn.MINIFS(Schneiddaten!$C$5:$C$304,Schneiddaten!$A$5:$A$304,$C$8,Schneiddaten!$B$5:$B$304,$E458,Schneiddaten!$C$5:$C$304,"&gt;="&amp;M458))))</f>
        <v/>
      </c>
      <c r="W458" s="26" t="str">
        <f aca="false">IF(AND($D458="",$E458="",$F458="",$G458=""),"",IF(ISNA(MATCH($D458,lst_Profil,0)),"FEHLER: Profil unbekannt",IF(ISNA(MATCH($E458,lst_Werkstoff,0)),"FEHLER: Werkstoff unbekannt",IF(NOT(ISNUMBER(L458)),"FEHLER: Querschnitt fehlt (Profil)",IF(OR($F458="",$F458&lt;=0),"FEHLER: Teilelänge fehlt",IF(OR($G458="",$G458&lt;1),"FEHLER: Stückzahl fehlt",IF(NOT(ISNUMBER($H$4)),"FEHLER: Maschine fehlt/unbekannt",IF(Q458&gt;$H$7,"FEHLER: Stange länger als Maschine zulässt",IF($F458+$H$6&gt;T458,"FEHLER: Teil länger als Nutzlänge",IF(U458="nein","WARNUNG: kein gültiger Materialpreis",IF($H458="","HINWEIS: Schneidweg fehlt",IF(V458="","HINWEIS: keine Schneiddaten",IF(AND($AF458&lt;&gt;"",$AG458=""),"HINWEIS: Gewinde-Vorschlag prüfen","OK")))))))))))))</f>
        <v/>
      </c>
      <c r="X458" s="18" t="str">
        <f aca="false">IF(OR(O458="",$G458=""),"",O458*$G458)</f>
        <v/>
      </c>
      <c r="Y458" s="10"/>
      <c r="Z458" s="21"/>
      <c r="AA458" s="10"/>
      <c r="AB458" s="21"/>
      <c r="AC458" s="21"/>
      <c r="AD458" s="21"/>
      <c r="AE458" s="10"/>
      <c r="AF458" s="10"/>
      <c r="AG458" s="10"/>
      <c r="AH458" s="22"/>
      <c r="AI458" s="21"/>
      <c r="AJ458" s="22"/>
      <c r="AK458" s="21"/>
      <c r="AL458" s="22"/>
      <c r="AM458" s="21"/>
    </row>
    <row r="459" customFormat="false" ht="15" hidden="false" customHeight="false" outlineLevel="0" collapsed="false">
      <c r="A459" s="10"/>
      <c r="B459" s="10"/>
      <c r="C459" s="10"/>
      <c r="D459" s="10"/>
      <c r="E459" s="10"/>
      <c r="F459" s="21"/>
      <c r="G459" s="19"/>
      <c r="H459" s="21"/>
      <c r="I459" s="22"/>
      <c r="J459" s="19"/>
      <c r="K459" s="23" t="str">
        <f aca="false">IF($D459="","",IFERROR(INDEX(Profile!$B$5:$B$304,MATCH($D459,lst_Profil,0)),""))</f>
        <v/>
      </c>
      <c r="L459" s="13" t="str">
        <f aca="false">IF($D459="","",IFERROR(INDEX(Profile!$K$5:$K$304,MATCH($D459,lst_Profil,0))+0,""))</f>
        <v/>
      </c>
      <c r="M459" s="24" t="str">
        <f aca="false">IF($D459="","",IFERROR(INDEX(Profile!$E$5:$E$304,MATCH($D459,lst_Profil,0))+0,""))</f>
        <v/>
      </c>
      <c r="N459" s="25" t="str">
        <f aca="false">IF(OR(L459="",$E459=""),"",IFERROR(L459*INDEX(Werkstoffe!$E$5:$E$304,MATCH($E459,lst_Werkstoff,0))/1000,""))</f>
        <v/>
      </c>
      <c r="O459" s="25" t="str">
        <f aca="false">IF(OR(N459="",$F459=""),"",N459*$F459/1000)</f>
        <v/>
      </c>
      <c r="P459" s="16" t="str">
        <f aca="false">IF(OR($F459="",$G459=""),"",$F459*$G459)</f>
        <v/>
      </c>
      <c r="Q459" s="16" t="str">
        <f aca="false">IF($D459="","",IF($J459&lt;&gt;"",$J459,$C$9))</f>
        <v/>
      </c>
      <c r="R459" s="12" t="str">
        <f aca="false">IF($D459="","",IFERROR(IF(INDEX(Profile!$G$5:$G$304,MATCH($D459,lst_Profil,0))&lt;&gt;"",INDEX(Profile!$G$5:$G$304,MATCH($D459,lst_Profil,0)),$H$4),$H$4))</f>
        <v/>
      </c>
      <c r="S459" s="12" t="str">
        <f aca="false">IF($D459="","",IFERROR(IF(INDEX(Profile!$H$5:$H$304,MATCH($D459,lst_Profil,0))&lt;&gt;"",INDEX(Profile!$H$5:$H$304,MATCH($D459,lst_Profil,0)),$H$5),$H$5))</f>
        <v/>
      </c>
      <c r="T459" s="16" t="str">
        <f aca="false">IF(OR(Q459="",NOT(ISNUMBER(R459)),NOT(ISNUMBER(S459))),"",Q459-R459-S459)</f>
        <v/>
      </c>
      <c r="U459" s="26" t="str">
        <f aca="false">IF(OR($D459="",$E459=""),"",IF(COUNTIFS(Preise!$A$5:$A$304,$D459,Preise!$B$5:$B$304,$E459,Preise!$I$5:$I$304,"OK")&gt;0,"ja","nein"))</f>
        <v/>
      </c>
      <c r="V459" s="15" t="str">
        <f aca="false">IF(OR(M459="",$E459="",$C$8=""),"",IF(_xlfn.MINIFS(Schneiddaten!$C$5:$C$304,Schneiddaten!$A$5:$A$304,$C$8,Schneiddaten!$B$5:$B$304,$E459,Schneiddaten!$C$5:$C$304,"&gt;="&amp;M459)=0,"",SUMIFS(Schneiddaten!$D$5:$D$304,Schneiddaten!$A$5:$A$304,$C$8,Schneiddaten!$B$5:$B$304,$E459,Schneiddaten!$C$5:$C$304,_xlfn.MINIFS(Schneiddaten!$C$5:$C$304,Schneiddaten!$A$5:$A$304,$C$8,Schneiddaten!$B$5:$B$304,$E459,Schneiddaten!$C$5:$C$304,"&gt;="&amp;M459))))</f>
        <v/>
      </c>
      <c r="W459" s="26" t="str">
        <f aca="false">IF(AND($D459="",$E459="",$F459="",$G459=""),"",IF(ISNA(MATCH($D459,lst_Profil,0)),"FEHLER: Profil unbekannt",IF(ISNA(MATCH($E459,lst_Werkstoff,0)),"FEHLER: Werkstoff unbekannt",IF(NOT(ISNUMBER(L459)),"FEHLER: Querschnitt fehlt (Profil)",IF(OR($F459="",$F459&lt;=0),"FEHLER: Teilelänge fehlt",IF(OR($G459="",$G459&lt;1),"FEHLER: Stückzahl fehlt",IF(NOT(ISNUMBER($H$4)),"FEHLER: Maschine fehlt/unbekannt",IF(Q459&gt;$H$7,"FEHLER: Stange länger als Maschine zulässt",IF($F459+$H$6&gt;T459,"FEHLER: Teil länger als Nutzlänge",IF(U459="nein","WARNUNG: kein gültiger Materialpreis",IF($H459="","HINWEIS: Schneidweg fehlt",IF(V459="","HINWEIS: keine Schneiddaten",IF(AND($AF459&lt;&gt;"",$AG459=""),"HINWEIS: Gewinde-Vorschlag prüfen","OK")))))))))))))</f>
        <v/>
      </c>
      <c r="X459" s="18" t="str">
        <f aca="false">IF(OR(O459="",$G459=""),"",O459*$G459)</f>
        <v/>
      </c>
      <c r="Y459" s="10"/>
      <c r="Z459" s="21"/>
      <c r="AA459" s="10"/>
      <c r="AB459" s="21"/>
      <c r="AC459" s="21"/>
      <c r="AD459" s="21"/>
      <c r="AE459" s="10"/>
      <c r="AF459" s="10"/>
      <c r="AG459" s="10"/>
      <c r="AH459" s="22"/>
      <c r="AI459" s="21"/>
      <c r="AJ459" s="22"/>
      <c r="AK459" s="21"/>
      <c r="AL459" s="22"/>
      <c r="AM459" s="21"/>
    </row>
    <row r="460" customFormat="false" ht="15" hidden="false" customHeight="false" outlineLevel="0" collapsed="false">
      <c r="A460" s="10"/>
      <c r="B460" s="10"/>
      <c r="C460" s="10"/>
      <c r="D460" s="10"/>
      <c r="E460" s="10"/>
      <c r="F460" s="21"/>
      <c r="G460" s="19"/>
      <c r="H460" s="21"/>
      <c r="I460" s="22"/>
      <c r="J460" s="19"/>
      <c r="K460" s="23" t="str">
        <f aca="false">IF($D460="","",IFERROR(INDEX(Profile!$B$5:$B$304,MATCH($D460,lst_Profil,0)),""))</f>
        <v/>
      </c>
      <c r="L460" s="13" t="str">
        <f aca="false">IF($D460="","",IFERROR(INDEX(Profile!$K$5:$K$304,MATCH($D460,lst_Profil,0))+0,""))</f>
        <v/>
      </c>
      <c r="M460" s="24" t="str">
        <f aca="false">IF($D460="","",IFERROR(INDEX(Profile!$E$5:$E$304,MATCH($D460,lst_Profil,0))+0,""))</f>
        <v/>
      </c>
      <c r="N460" s="25" t="str">
        <f aca="false">IF(OR(L460="",$E460=""),"",IFERROR(L460*INDEX(Werkstoffe!$E$5:$E$304,MATCH($E460,lst_Werkstoff,0))/1000,""))</f>
        <v/>
      </c>
      <c r="O460" s="25" t="str">
        <f aca="false">IF(OR(N460="",$F460=""),"",N460*$F460/1000)</f>
        <v/>
      </c>
      <c r="P460" s="16" t="str">
        <f aca="false">IF(OR($F460="",$G460=""),"",$F460*$G460)</f>
        <v/>
      </c>
      <c r="Q460" s="16" t="str">
        <f aca="false">IF($D460="","",IF($J460&lt;&gt;"",$J460,$C$9))</f>
        <v/>
      </c>
      <c r="R460" s="12" t="str">
        <f aca="false">IF($D460="","",IFERROR(IF(INDEX(Profile!$G$5:$G$304,MATCH($D460,lst_Profil,0))&lt;&gt;"",INDEX(Profile!$G$5:$G$304,MATCH($D460,lst_Profil,0)),$H$4),$H$4))</f>
        <v/>
      </c>
      <c r="S460" s="12" t="str">
        <f aca="false">IF($D460="","",IFERROR(IF(INDEX(Profile!$H$5:$H$304,MATCH($D460,lst_Profil,0))&lt;&gt;"",INDEX(Profile!$H$5:$H$304,MATCH($D460,lst_Profil,0)),$H$5),$H$5))</f>
        <v/>
      </c>
      <c r="T460" s="16" t="str">
        <f aca="false">IF(OR(Q460="",NOT(ISNUMBER(R460)),NOT(ISNUMBER(S460))),"",Q460-R460-S460)</f>
        <v/>
      </c>
      <c r="U460" s="26" t="str">
        <f aca="false">IF(OR($D460="",$E460=""),"",IF(COUNTIFS(Preise!$A$5:$A$304,$D460,Preise!$B$5:$B$304,$E460,Preise!$I$5:$I$304,"OK")&gt;0,"ja","nein"))</f>
        <v/>
      </c>
      <c r="V460" s="15" t="str">
        <f aca="false">IF(OR(M460="",$E460="",$C$8=""),"",IF(_xlfn.MINIFS(Schneiddaten!$C$5:$C$304,Schneiddaten!$A$5:$A$304,$C$8,Schneiddaten!$B$5:$B$304,$E460,Schneiddaten!$C$5:$C$304,"&gt;="&amp;M460)=0,"",SUMIFS(Schneiddaten!$D$5:$D$304,Schneiddaten!$A$5:$A$304,$C$8,Schneiddaten!$B$5:$B$304,$E460,Schneiddaten!$C$5:$C$304,_xlfn.MINIFS(Schneiddaten!$C$5:$C$304,Schneiddaten!$A$5:$A$304,$C$8,Schneiddaten!$B$5:$B$304,$E460,Schneiddaten!$C$5:$C$304,"&gt;="&amp;M460))))</f>
        <v/>
      </c>
      <c r="W460" s="26" t="str">
        <f aca="false">IF(AND($D460="",$E460="",$F460="",$G460=""),"",IF(ISNA(MATCH($D460,lst_Profil,0)),"FEHLER: Profil unbekannt",IF(ISNA(MATCH($E460,lst_Werkstoff,0)),"FEHLER: Werkstoff unbekannt",IF(NOT(ISNUMBER(L460)),"FEHLER: Querschnitt fehlt (Profil)",IF(OR($F460="",$F460&lt;=0),"FEHLER: Teilelänge fehlt",IF(OR($G460="",$G460&lt;1),"FEHLER: Stückzahl fehlt",IF(NOT(ISNUMBER($H$4)),"FEHLER: Maschine fehlt/unbekannt",IF(Q460&gt;$H$7,"FEHLER: Stange länger als Maschine zulässt",IF($F460+$H$6&gt;T460,"FEHLER: Teil länger als Nutzlänge",IF(U460="nein","WARNUNG: kein gültiger Materialpreis",IF($H460="","HINWEIS: Schneidweg fehlt",IF(V460="","HINWEIS: keine Schneiddaten",IF(AND($AF460&lt;&gt;"",$AG460=""),"HINWEIS: Gewinde-Vorschlag prüfen","OK")))))))))))))</f>
        <v/>
      </c>
      <c r="X460" s="18" t="str">
        <f aca="false">IF(OR(O460="",$G460=""),"",O460*$G460)</f>
        <v/>
      </c>
      <c r="Y460" s="10"/>
      <c r="Z460" s="21"/>
      <c r="AA460" s="10"/>
      <c r="AB460" s="21"/>
      <c r="AC460" s="21"/>
      <c r="AD460" s="21"/>
      <c r="AE460" s="10"/>
      <c r="AF460" s="10"/>
      <c r="AG460" s="10"/>
      <c r="AH460" s="22"/>
      <c r="AI460" s="21"/>
      <c r="AJ460" s="22"/>
      <c r="AK460" s="21"/>
      <c r="AL460" s="22"/>
      <c r="AM460" s="21"/>
    </row>
    <row r="461" customFormat="false" ht="15" hidden="false" customHeight="false" outlineLevel="0" collapsed="false">
      <c r="A461" s="10"/>
      <c r="B461" s="10"/>
      <c r="C461" s="10"/>
      <c r="D461" s="10"/>
      <c r="E461" s="10"/>
      <c r="F461" s="21"/>
      <c r="G461" s="19"/>
      <c r="H461" s="21"/>
      <c r="I461" s="22"/>
      <c r="J461" s="19"/>
      <c r="K461" s="23" t="str">
        <f aca="false">IF($D461="","",IFERROR(INDEX(Profile!$B$5:$B$304,MATCH($D461,lst_Profil,0)),""))</f>
        <v/>
      </c>
      <c r="L461" s="13" t="str">
        <f aca="false">IF($D461="","",IFERROR(INDEX(Profile!$K$5:$K$304,MATCH($D461,lst_Profil,0))+0,""))</f>
        <v/>
      </c>
      <c r="M461" s="24" t="str">
        <f aca="false">IF($D461="","",IFERROR(INDEX(Profile!$E$5:$E$304,MATCH($D461,lst_Profil,0))+0,""))</f>
        <v/>
      </c>
      <c r="N461" s="25" t="str">
        <f aca="false">IF(OR(L461="",$E461=""),"",IFERROR(L461*INDEX(Werkstoffe!$E$5:$E$304,MATCH($E461,lst_Werkstoff,0))/1000,""))</f>
        <v/>
      </c>
      <c r="O461" s="25" t="str">
        <f aca="false">IF(OR(N461="",$F461=""),"",N461*$F461/1000)</f>
        <v/>
      </c>
      <c r="P461" s="16" t="str">
        <f aca="false">IF(OR($F461="",$G461=""),"",$F461*$G461)</f>
        <v/>
      </c>
      <c r="Q461" s="16" t="str">
        <f aca="false">IF($D461="","",IF($J461&lt;&gt;"",$J461,$C$9))</f>
        <v/>
      </c>
      <c r="R461" s="12" t="str">
        <f aca="false">IF($D461="","",IFERROR(IF(INDEX(Profile!$G$5:$G$304,MATCH($D461,lst_Profil,0))&lt;&gt;"",INDEX(Profile!$G$5:$G$304,MATCH($D461,lst_Profil,0)),$H$4),$H$4))</f>
        <v/>
      </c>
      <c r="S461" s="12" t="str">
        <f aca="false">IF($D461="","",IFERROR(IF(INDEX(Profile!$H$5:$H$304,MATCH($D461,lst_Profil,0))&lt;&gt;"",INDEX(Profile!$H$5:$H$304,MATCH($D461,lst_Profil,0)),$H$5),$H$5))</f>
        <v/>
      </c>
      <c r="T461" s="16" t="str">
        <f aca="false">IF(OR(Q461="",NOT(ISNUMBER(R461)),NOT(ISNUMBER(S461))),"",Q461-R461-S461)</f>
        <v/>
      </c>
      <c r="U461" s="26" t="str">
        <f aca="false">IF(OR($D461="",$E461=""),"",IF(COUNTIFS(Preise!$A$5:$A$304,$D461,Preise!$B$5:$B$304,$E461,Preise!$I$5:$I$304,"OK")&gt;0,"ja","nein"))</f>
        <v/>
      </c>
      <c r="V461" s="15" t="str">
        <f aca="false">IF(OR(M461="",$E461="",$C$8=""),"",IF(_xlfn.MINIFS(Schneiddaten!$C$5:$C$304,Schneiddaten!$A$5:$A$304,$C$8,Schneiddaten!$B$5:$B$304,$E461,Schneiddaten!$C$5:$C$304,"&gt;="&amp;M461)=0,"",SUMIFS(Schneiddaten!$D$5:$D$304,Schneiddaten!$A$5:$A$304,$C$8,Schneiddaten!$B$5:$B$304,$E461,Schneiddaten!$C$5:$C$304,_xlfn.MINIFS(Schneiddaten!$C$5:$C$304,Schneiddaten!$A$5:$A$304,$C$8,Schneiddaten!$B$5:$B$304,$E461,Schneiddaten!$C$5:$C$304,"&gt;="&amp;M461))))</f>
        <v/>
      </c>
      <c r="W461" s="26" t="str">
        <f aca="false">IF(AND($D461="",$E461="",$F461="",$G461=""),"",IF(ISNA(MATCH($D461,lst_Profil,0)),"FEHLER: Profil unbekannt",IF(ISNA(MATCH($E461,lst_Werkstoff,0)),"FEHLER: Werkstoff unbekannt",IF(NOT(ISNUMBER(L461)),"FEHLER: Querschnitt fehlt (Profil)",IF(OR($F461="",$F461&lt;=0),"FEHLER: Teilelänge fehlt",IF(OR($G461="",$G461&lt;1),"FEHLER: Stückzahl fehlt",IF(NOT(ISNUMBER($H$4)),"FEHLER: Maschine fehlt/unbekannt",IF(Q461&gt;$H$7,"FEHLER: Stange länger als Maschine zulässt",IF($F461+$H$6&gt;T461,"FEHLER: Teil länger als Nutzlänge",IF(U461="nein","WARNUNG: kein gültiger Materialpreis",IF($H461="","HINWEIS: Schneidweg fehlt",IF(V461="","HINWEIS: keine Schneiddaten",IF(AND($AF461&lt;&gt;"",$AG461=""),"HINWEIS: Gewinde-Vorschlag prüfen","OK")))))))))))))</f>
        <v/>
      </c>
      <c r="X461" s="18" t="str">
        <f aca="false">IF(OR(O461="",$G461=""),"",O461*$G461)</f>
        <v/>
      </c>
      <c r="Y461" s="10"/>
      <c r="Z461" s="21"/>
      <c r="AA461" s="10"/>
      <c r="AB461" s="21"/>
      <c r="AC461" s="21"/>
      <c r="AD461" s="21"/>
      <c r="AE461" s="10"/>
      <c r="AF461" s="10"/>
      <c r="AG461" s="10"/>
      <c r="AH461" s="22"/>
      <c r="AI461" s="21"/>
      <c r="AJ461" s="22"/>
      <c r="AK461" s="21"/>
      <c r="AL461" s="22"/>
      <c r="AM461" s="21"/>
    </row>
    <row r="462" customFormat="false" ht="15" hidden="false" customHeight="false" outlineLevel="0" collapsed="false">
      <c r="A462" s="10"/>
      <c r="B462" s="10"/>
      <c r="C462" s="10"/>
      <c r="D462" s="10"/>
      <c r="E462" s="10"/>
      <c r="F462" s="21"/>
      <c r="G462" s="19"/>
      <c r="H462" s="21"/>
      <c r="I462" s="22"/>
      <c r="J462" s="19"/>
      <c r="K462" s="23" t="str">
        <f aca="false">IF($D462="","",IFERROR(INDEX(Profile!$B$5:$B$304,MATCH($D462,lst_Profil,0)),""))</f>
        <v/>
      </c>
      <c r="L462" s="13" t="str">
        <f aca="false">IF($D462="","",IFERROR(INDEX(Profile!$K$5:$K$304,MATCH($D462,lst_Profil,0))+0,""))</f>
        <v/>
      </c>
      <c r="M462" s="24" t="str">
        <f aca="false">IF($D462="","",IFERROR(INDEX(Profile!$E$5:$E$304,MATCH($D462,lst_Profil,0))+0,""))</f>
        <v/>
      </c>
      <c r="N462" s="25" t="str">
        <f aca="false">IF(OR(L462="",$E462=""),"",IFERROR(L462*INDEX(Werkstoffe!$E$5:$E$304,MATCH($E462,lst_Werkstoff,0))/1000,""))</f>
        <v/>
      </c>
      <c r="O462" s="25" t="str">
        <f aca="false">IF(OR(N462="",$F462=""),"",N462*$F462/1000)</f>
        <v/>
      </c>
      <c r="P462" s="16" t="str">
        <f aca="false">IF(OR($F462="",$G462=""),"",$F462*$G462)</f>
        <v/>
      </c>
      <c r="Q462" s="16" t="str">
        <f aca="false">IF($D462="","",IF($J462&lt;&gt;"",$J462,$C$9))</f>
        <v/>
      </c>
      <c r="R462" s="12" t="str">
        <f aca="false">IF($D462="","",IFERROR(IF(INDEX(Profile!$G$5:$G$304,MATCH($D462,lst_Profil,0))&lt;&gt;"",INDEX(Profile!$G$5:$G$304,MATCH($D462,lst_Profil,0)),$H$4),$H$4))</f>
        <v/>
      </c>
      <c r="S462" s="12" t="str">
        <f aca="false">IF($D462="","",IFERROR(IF(INDEX(Profile!$H$5:$H$304,MATCH($D462,lst_Profil,0))&lt;&gt;"",INDEX(Profile!$H$5:$H$304,MATCH($D462,lst_Profil,0)),$H$5),$H$5))</f>
        <v/>
      </c>
      <c r="T462" s="16" t="str">
        <f aca="false">IF(OR(Q462="",NOT(ISNUMBER(R462)),NOT(ISNUMBER(S462))),"",Q462-R462-S462)</f>
        <v/>
      </c>
      <c r="U462" s="26" t="str">
        <f aca="false">IF(OR($D462="",$E462=""),"",IF(COUNTIFS(Preise!$A$5:$A$304,$D462,Preise!$B$5:$B$304,$E462,Preise!$I$5:$I$304,"OK")&gt;0,"ja","nein"))</f>
        <v/>
      </c>
      <c r="V462" s="15" t="str">
        <f aca="false">IF(OR(M462="",$E462="",$C$8=""),"",IF(_xlfn.MINIFS(Schneiddaten!$C$5:$C$304,Schneiddaten!$A$5:$A$304,$C$8,Schneiddaten!$B$5:$B$304,$E462,Schneiddaten!$C$5:$C$304,"&gt;="&amp;M462)=0,"",SUMIFS(Schneiddaten!$D$5:$D$304,Schneiddaten!$A$5:$A$304,$C$8,Schneiddaten!$B$5:$B$304,$E462,Schneiddaten!$C$5:$C$304,_xlfn.MINIFS(Schneiddaten!$C$5:$C$304,Schneiddaten!$A$5:$A$304,$C$8,Schneiddaten!$B$5:$B$304,$E462,Schneiddaten!$C$5:$C$304,"&gt;="&amp;M462))))</f>
        <v/>
      </c>
      <c r="W462" s="26" t="str">
        <f aca="false">IF(AND($D462="",$E462="",$F462="",$G462=""),"",IF(ISNA(MATCH($D462,lst_Profil,0)),"FEHLER: Profil unbekannt",IF(ISNA(MATCH($E462,lst_Werkstoff,0)),"FEHLER: Werkstoff unbekannt",IF(NOT(ISNUMBER(L462)),"FEHLER: Querschnitt fehlt (Profil)",IF(OR($F462="",$F462&lt;=0),"FEHLER: Teilelänge fehlt",IF(OR($G462="",$G462&lt;1),"FEHLER: Stückzahl fehlt",IF(NOT(ISNUMBER($H$4)),"FEHLER: Maschine fehlt/unbekannt",IF(Q462&gt;$H$7,"FEHLER: Stange länger als Maschine zulässt",IF($F462+$H$6&gt;T462,"FEHLER: Teil länger als Nutzlänge",IF(U462="nein","WARNUNG: kein gültiger Materialpreis",IF($H462="","HINWEIS: Schneidweg fehlt",IF(V462="","HINWEIS: keine Schneiddaten",IF(AND($AF462&lt;&gt;"",$AG462=""),"HINWEIS: Gewinde-Vorschlag prüfen","OK")))))))))))))</f>
        <v/>
      </c>
      <c r="X462" s="18" t="str">
        <f aca="false">IF(OR(O462="",$G462=""),"",O462*$G462)</f>
        <v/>
      </c>
      <c r="Y462" s="10"/>
      <c r="Z462" s="21"/>
      <c r="AA462" s="10"/>
      <c r="AB462" s="21"/>
      <c r="AC462" s="21"/>
      <c r="AD462" s="21"/>
      <c r="AE462" s="10"/>
      <c r="AF462" s="10"/>
      <c r="AG462" s="10"/>
      <c r="AH462" s="22"/>
      <c r="AI462" s="21"/>
      <c r="AJ462" s="22"/>
      <c r="AK462" s="21"/>
      <c r="AL462" s="22"/>
      <c r="AM462" s="21"/>
    </row>
    <row r="463" customFormat="false" ht="15" hidden="false" customHeight="false" outlineLevel="0" collapsed="false">
      <c r="A463" s="10"/>
      <c r="B463" s="10"/>
      <c r="C463" s="10"/>
      <c r="D463" s="10"/>
      <c r="E463" s="10"/>
      <c r="F463" s="21"/>
      <c r="G463" s="19"/>
      <c r="H463" s="21"/>
      <c r="I463" s="22"/>
      <c r="J463" s="19"/>
      <c r="K463" s="23" t="str">
        <f aca="false">IF($D463="","",IFERROR(INDEX(Profile!$B$5:$B$304,MATCH($D463,lst_Profil,0)),""))</f>
        <v/>
      </c>
      <c r="L463" s="13" t="str">
        <f aca="false">IF($D463="","",IFERROR(INDEX(Profile!$K$5:$K$304,MATCH($D463,lst_Profil,0))+0,""))</f>
        <v/>
      </c>
      <c r="M463" s="24" t="str">
        <f aca="false">IF($D463="","",IFERROR(INDEX(Profile!$E$5:$E$304,MATCH($D463,lst_Profil,0))+0,""))</f>
        <v/>
      </c>
      <c r="N463" s="25" t="str">
        <f aca="false">IF(OR(L463="",$E463=""),"",IFERROR(L463*INDEX(Werkstoffe!$E$5:$E$304,MATCH($E463,lst_Werkstoff,0))/1000,""))</f>
        <v/>
      </c>
      <c r="O463" s="25" t="str">
        <f aca="false">IF(OR(N463="",$F463=""),"",N463*$F463/1000)</f>
        <v/>
      </c>
      <c r="P463" s="16" t="str">
        <f aca="false">IF(OR($F463="",$G463=""),"",$F463*$G463)</f>
        <v/>
      </c>
      <c r="Q463" s="16" t="str">
        <f aca="false">IF($D463="","",IF($J463&lt;&gt;"",$J463,$C$9))</f>
        <v/>
      </c>
      <c r="R463" s="12" t="str">
        <f aca="false">IF($D463="","",IFERROR(IF(INDEX(Profile!$G$5:$G$304,MATCH($D463,lst_Profil,0))&lt;&gt;"",INDEX(Profile!$G$5:$G$304,MATCH($D463,lst_Profil,0)),$H$4),$H$4))</f>
        <v/>
      </c>
      <c r="S463" s="12" t="str">
        <f aca="false">IF($D463="","",IFERROR(IF(INDEX(Profile!$H$5:$H$304,MATCH($D463,lst_Profil,0))&lt;&gt;"",INDEX(Profile!$H$5:$H$304,MATCH($D463,lst_Profil,0)),$H$5),$H$5))</f>
        <v/>
      </c>
      <c r="T463" s="16" t="str">
        <f aca="false">IF(OR(Q463="",NOT(ISNUMBER(R463)),NOT(ISNUMBER(S463))),"",Q463-R463-S463)</f>
        <v/>
      </c>
      <c r="U463" s="26" t="str">
        <f aca="false">IF(OR($D463="",$E463=""),"",IF(COUNTIFS(Preise!$A$5:$A$304,$D463,Preise!$B$5:$B$304,$E463,Preise!$I$5:$I$304,"OK")&gt;0,"ja","nein"))</f>
        <v/>
      </c>
      <c r="V463" s="15" t="str">
        <f aca="false">IF(OR(M463="",$E463="",$C$8=""),"",IF(_xlfn.MINIFS(Schneiddaten!$C$5:$C$304,Schneiddaten!$A$5:$A$304,$C$8,Schneiddaten!$B$5:$B$304,$E463,Schneiddaten!$C$5:$C$304,"&gt;="&amp;M463)=0,"",SUMIFS(Schneiddaten!$D$5:$D$304,Schneiddaten!$A$5:$A$304,$C$8,Schneiddaten!$B$5:$B$304,$E463,Schneiddaten!$C$5:$C$304,_xlfn.MINIFS(Schneiddaten!$C$5:$C$304,Schneiddaten!$A$5:$A$304,$C$8,Schneiddaten!$B$5:$B$304,$E463,Schneiddaten!$C$5:$C$304,"&gt;="&amp;M463))))</f>
        <v/>
      </c>
      <c r="W463" s="26" t="str">
        <f aca="false">IF(AND($D463="",$E463="",$F463="",$G463=""),"",IF(ISNA(MATCH($D463,lst_Profil,0)),"FEHLER: Profil unbekannt",IF(ISNA(MATCH($E463,lst_Werkstoff,0)),"FEHLER: Werkstoff unbekannt",IF(NOT(ISNUMBER(L463)),"FEHLER: Querschnitt fehlt (Profil)",IF(OR($F463="",$F463&lt;=0),"FEHLER: Teilelänge fehlt",IF(OR($G463="",$G463&lt;1),"FEHLER: Stückzahl fehlt",IF(NOT(ISNUMBER($H$4)),"FEHLER: Maschine fehlt/unbekannt",IF(Q463&gt;$H$7,"FEHLER: Stange länger als Maschine zulässt",IF($F463+$H$6&gt;T463,"FEHLER: Teil länger als Nutzlänge",IF(U463="nein","WARNUNG: kein gültiger Materialpreis",IF($H463="","HINWEIS: Schneidweg fehlt",IF(V463="","HINWEIS: keine Schneiddaten",IF(AND($AF463&lt;&gt;"",$AG463=""),"HINWEIS: Gewinde-Vorschlag prüfen","OK")))))))))))))</f>
        <v/>
      </c>
      <c r="X463" s="18" t="str">
        <f aca="false">IF(OR(O463="",$G463=""),"",O463*$G463)</f>
        <v/>
      </c>
      <c r="Y463" s="10"/>
      <c r="Z463" s="21"/>
      <c r="AA463" s="10"/>
      <c r="AB463" s="21"/>
      <c r="AC463" s="21"/>
      <c r="AD463" s="21"/>
      <c r="AE463" s="10"/>
      <c r="AF463" s="10"/>
      <c r="AG463" s="10"/>
      <c r="AH463" s="22"/>
      <c r="AI463" s="21"/>
      <c r="AJ463" s="22"/>
      <c r="AK463" s="21"/>
      <c r="AL463" s="22"/>
      <c r="AM463" s="21"/>
    </row>
    <row r="464" customFormat="false" ht="15" hidden="false" customHeight="false" outlineLevel="0" collapsed="false">
      <c r="A464" s="10"/>
      <c r="B464" s="10"/>
      <c r="C464" s="10"/>
      <c r="D464" s="10"/>
      <c r="E464" s="10"/>
      <c r="F464" s="21"/>
      <c r="G464" s="19"/>
      <c r="H464" s="21"/>
      <c r="I464" s="22"/>
      <c r="J464" s="19"/>
      <c r="K464" s="23" t="str">
        <f aca="false">IF($D464="","",IFERROR(INDEX(Profile!$B$5:$B$304,MATCH($D464,lst_Profil,0)),""))</f>
        <v/>
      </c>
      <c r="L464" s="13" t="str">
        <f aca="false">IF($D464="","",IFERROR(INDEX(Profile!$K$5:$K$304,MATCH($D464,lst_Profil,0))+0,""))</f>
        <v/>
      </c>
      <c r="M464" s="24" t="str">
        <f aca="false">IF($D464="","",IFERROR(INDEX(Profile!$E$5:$E$304,MATCH($D464,lst_Profil,0))+0,""))</f>
        <v/>
      </c>
      <c r="N464" s="25" t="str">
        <f aca="false">IF(OR(L464="",$E464=""),"",IFERROR(L464*INDEX(Werkstoffe!$E$5:$E$304,MATCH($E464,lst_Werkstoff,0))/1000,""))</f>
        <v/>
      </c>
      <c r="O464" s="25" t="str">
        <f aca="false">IF(OR(N464="",$F464=""),"",N464*$F464/1000)</f>
        <v/>
      </c>
      <c r="P464" s="16" t="str">
        <f aca="false">IF(OR($F464="",$G464=""),"",$F464*$G464)</f>
        <v/>
      </c>
      <c r="Q464" s="16" t="str">
        <f aca="false">IF($D464="","",IF($J464&lt;&gt;"",$J464,$C$9))</f>
        <v/>
      </c>
      <c r="R464" s="12" t="str">
        <f aca="false">IF($D464="","",IFERROR(IF(INDEX(Profile!$G$5:$G$304,MATCH($D464,lst_Profil,0))&lt;&gt;"",INDEX(Profile!$G$5:$G$304,MATCH($D464,lst_Profil,0)),$H$4),$H$4))</f>
        <v/>
      </c>
      <c r="S464" s="12" t="str">
        <f aca="false">IF($D464="","",IFERROR(IF(INDEX(Profile!$H$5:$H$304,MATCH($D464,lst_Profil,0))&lt;&gt;"",INDEX(Profile!$H$5:$H$304,MATCH($D464,lst_Profil,0)),$H$5),$H$5))</f>
        <v/>
      </c>
      <c r="T464" s="16" t="str">
        <f aca="false">IF(OR(Q464="",NOT(ISNUMBER(R464)),NOT(ISNUMBER(S464))),"",Q464-R464-S464)</f>
        <v/>
      </c>
      <c r="U464" s="26" t="str">
        <f aca="false">IF(OR($D464="",$E464=""),"",IF(COUNTIFS(Preise!$A$5:$A$304,$D464,Preise!$B$5:$B$304,$E464,Preise!$I$5:$I$304,"OK")&gt;0,"ja","nein"))</f>
        <v/>
      </c>
      <c r="V464" s="15" t="str">
        <f aca="false">IF(OR(M464="",$E464="",$C$8=""),"",IF(_xlfn.MINIFS(Schneiddaten!$C$5:$C$304,Schneiddaten!$A$5:$A$304,$C$8,Schneiddaten!$B$5:$B$304,$E464,Schneiddaten!$C$5:$C$304,"&gt;="&amp;M464)=0,"",SUMIFS(Schneiddaten!$D$5:$D$304,Schneiddaten!$A$5:$A$304,$C$8,Schneiddaten!$B$5:$B$304,$E464,Schneiddaten!$C$5:$C$304,_xlfn.MINIFS(Schneiddaten!$C$5:$C$304,Schneiddaten!$A$5:$A$304,$C$8,Schneiddaten!$B$5:$B$304,$E464,Schneiddaten!$C$5:$C$304,"&gt;="&amp;M464))))</f>
        <v/>
      </c>
      <c r="W464" s="26" t="str">
        <f aca="false">IF(AND($D464="",$E464="",$F464="",$G464=""),"",IF(ISNA(MATCH($D464,lst_Profil,0)),"FEHLER: Profil unbekannt",IF(ISNA(MATCH($E464,lst_Werkstoff,0)),"FEHLER: Werkstoff unbekannt",IF(NOT(ISNUMBER(L464)),"FEHLER: Querschnitt fehlt (Profil)",IF(OR($F464="",$F464&lt;=0),"FEHLER: Teilelänge fehlt",IF(OR($G464="",$G464&lt;1),"FEHLER: Stückzahl fehlt",IF(NOT(ISNUMBER($H$4)),"FEHLER: Maschine fehlt/unbekannt",IF(Q464&gt;$H$7,"FEHLER: Stange länger als Maschine zulässt",IF($F464+$H$6&gt;T464,"FEHLER: Teil länger als Nutzlänge",IF(U464="nein","WARNUNG: kein gültiger Materialpreis",IF($H464="","HINWEIS: Schneidweg fehlt",IF(V464="","HINWEIS: keine Schneiddaten",IF(AND($AF464&lt;&gt;"",$AG464=""),"HINWEIS: Gewinde-Vorschlag prüfen","OK")))))))))))))</f>
        <v/>
      </c>
      <c r="X464" s="18" t="str">
        <f aca="false">IF(OR(O464="",$G464=""),"",O464*$G464)</f>
        <v/>
      </c>
      <c r="Y464" s="10"/>
      <c r="Z464" s="21"/>
      <c r="AA464" s="10"/>
      <c r="AB464" s="21"/>
      <c r="AC464" s="21"/>
      <c r="AD464" s="21"/>
      <c r="AE464" s="10"/>
      <c r="AF464" s="10"/>
      <c r="AG464" s="10"/>
      <c r="AH464" s="22"/>
      <c r="AI464" s="21"/>
      <c r="AJ464" s="22"/>
      <c r="AK464" s="21"/>
      <c r="AL464" s="22"/>
      <c r="AM464" s="21"/>
    </row>
    <row r="465" customFormat="false" ht="15" hidden="false" customHeight="false" outlineLevel="0" collapsed="false">
      <c r="A465" s="10"/>
      <c r="B465" s="10"/>
      <c r="C465" s="10"/>
      <c r="D465" s="10"/>
      <c r="E465" s="10"/>
      <c r="F465" s="21"/>
      <c r="G465" s="19"/>
      <c r="H465" s="21"/>
      <c r="I465" s="22"/>
      <c r="J465" s="19"/>
      <c r="K465" s="23" t="str">
        <f aca="false">IF($D465="","",IFERROR(INDEX(Profile!$B$5:$B$304,MATCH($D465,lst_Profil,0)),""))</f>
        <v/>
      </c>
      <c r="L465" s="13" t="str">
        <f aca="false">IF($D465="","",IFERROR(INDEX(Profile!$K$5:$K$304,MATCH($D465,lst_Profil,0))+0,""))</f>
        <v/>
      </c>
      <c r="M465" s="24" t="str">
        <f aca="false">IF($D465="","",IFERROR(INDEX(Profile!$E$5:$E$304,MATCH($D465,lst_Profil,0))+0,""))</f>
        <v/>
      </c>
      <c r="N465" s="25" t="str">
        <f aca="false">IF(OR(L465="",$E465=""),"",IFERROR(L465*INDEX(Werkstoffe!$E$5:$E$304,MATCH($E465,lst_Werkstoff,0))/1000,""))</f>
        <v/>
      </c>
      <c r="O465" s="25" t="str">
        <f aca="false">IF(OR(N465="",$F465=""),"",N465*$F465/1000)</f>
        <v/>
      </c>
      <c r="P465" s="16" t="str">
        <f aca="false">IF(OR($F465="",$G465=""),"",$F465*$G465)</f>
        <v/>
      </c>
      <c r="Q465" s="16" t="str">
        <f aca="false">IF($D465="","",IF($J465&lt;&gt;"",$J465,$C$9))</f>
        <v/>
      </c>
      <c r="R465" s="12" t="str">
        <f aca="false">IF($D465="","",IFERROR(IF(INDEX(Profile!$G$5:$G$304,MATCH($D465,lst_Profil,0))&lt;&gt;"",INDEX(Profile!$G$5:$G$304,MATCH($D465,lst_Profil,0)),$H$4),$H$4))</f>
        <v/>
      </c>
      <c r="S465" s="12" t="str">
        <f aca="false">IF($D465="","",IFERROR(IF(INDEX(Profile!$H$5:$H$304,MATCH($D465,lst_Profil,0))&lt;&gt;"",INDEX(Profile!$H$5:$H$304,MATCH($D465,lst_Profil,0)),$H$5),$H$5))</f>
        <v/>
      </c>
      <c r="T465" s="16" t="str">
        <f aca="false">IF(OR(Q465="",NOT(ISNUMBER(R465)),NOT(ISNUMBER(S465))),"",Q465-R465-S465)</f>
        <v/>
      </c>
      <c r="U465" s="26" t="str">
        <f aca="false">IF(OR($D465="",$E465=""),"",IF(COUNTIFS(Preise!$A$5:$A$304,$D465,Preise!$B$5:$B$304,$E465,Preise!$I$5:$I$304,"OK")&gt;0,"ja","nein"))</f>
        <v/>
      </c>
      <c r="V465" s="15" t="str">
        <f aca="false">IF(OR(M465="",$E465="",$C$8=""),"",IF(_xlfn.MINIFS(Schneiddaten!$C$5:$C$304,Schneiddaten!$A$5:$A$304,$C$8,Schneiddaten!$B$5:$B$304,$E465,Schneiddaten!$C$5:$C$304,"&gt;="&amp;M465)=0,"",SUMIFS(Schneiddaten!$D$5:$D$304,Schneiddaten!$A$5:$A$304,$C$8,Schneiddaten!$B$5:$B$304,$E465,Schneiddaten!$C$5:$C$304,_xlfn.MINIFS(Schneiddaten!$C$5:$C$304,Schneiddaten!$A$5:$A$304,$C$8,Schneiddaten!$B$5:$B$304,$E465,Schneiddaten!$C$5:$C$304,"&gt;="&amp;M465))))</f>
        <v/>
      </c>
      <c r="W465" s="26" t="str">
        <f aca="false">IF(AND($D465="",$E465="",$F465="",$G465=""),"",IF(ISNA(MATCH($D465,lst_Profil,0)),"FEHLER: Profil unbekannt",IF(ISNA(MATCH($E465,lst_Werkstoff,0)),"FEHLER: Werkstoff unbekannt",IF(NOT(ISNUMBER(L465)),"FEHLER: Querschnitt fehlt (Profil)",IF(OR($F465="",$F465&lt;=0),"FEHLER: Teilelänge fehlt",IF(OR($G465="",$G465&lt;1),"FEHLER: Stückzahl fehlt",IF(NOT(ISNUMBER($H$4)),"FEHLER: Maschine fehlt/unbekannt",IF(Q465&gt;$H$7,"FEHLER: Stange länger als Maschine zulässt",IF($F465+$H$6&gt;T465,"FEHLER: Teil länger als Nutzlänge",IF(U465="nein","WARNUNG: kein gültiger Materialpreis",IF($H465="","HINWEIS: Schneidweg fehlt",IF(V465="","HINWEIS: keine Schneiddaten",IF(AND($AF465&lt;&gt;"",$AG465=""),"HINWEIS: Gewinde-Vorschlag prüfen","OK")))))))))))))</f>
        <v/>
      </c>
      <c r="X465" s="18" t="str">
        <f aca="false">IF(OR(O465="",$G465=""),"",O465*$G465)</f>
        <v/>
      </c>
      <c r="Y465" s="10"/>
      <c r="Z465" s="21"/>
      <c r="AA465" s="10"/>
      <c r="AB465" s="21"/>
      <c r="AC465" s="21"/>
      <c r="AD465" s="21"/>
      <c r="AE465" s="10"/>
      <c r="AF465" s="10"/>
      <c r="AG465" s="10"/>
      <c r="AH465" s="22"/>
      <c r="AI465" s="21"/>
      <c r="AJ465" s="22"/>
      <c r="AK465" s="21"/>
      <c r="AL465" s="22"/>
      <c r="AM465" s="21"/>
    </row>
    <row r="466" customFormat="false" ht="15" hidden="false" customHeight="false" outlineLevel="0" collapsed="false">
      <c r="A466" s="10"/>
      <c r="B466" s="10"/>
      <c r="C466" s="10"/>
      <c r="D466" s="10"/>
      <c r="E466" s="10"/>
      <c r="F466" s="21"/>
      <c r="G466" s="19"/>
      <c r="H466" s="21"/>
      <c r="I466" s="22"/>
      <c r="J466" s="19"/>
      <c r="K466" s="23" t="str">
        <f aca="false">IF($D466="","",IFERROR(INDEX(Profile!$B$5:$B$304,MATCH($D466,lst_Profil,0)),""))</f>
        <v/>
      </c>
      <c r="L466" s="13" t="str">
        <f aca="false">IF($D466="","",IFERROR(INDEX(Profile!$K$5:$K$304,MATCH($D466,lst_Profil,0))+0,""))</f>
        <v/>
      </c>
      <c r="M466" s="24" t="str">
        <f aca="false">IF($D466="","",IFERROR(INDEX(Profile!$E$5:$E$304,MATCH($D466,lst_Profil,0))+0,""))</f>
        <v/>
      </c>
      <c r="N466" s="25" t="str">
        <f aca="false">IF(OR(L466="",$E466=""),"",IFERROR(L466*INDEX(Werkstoffe!$E$5:$E$304,MATCH($E466,lst_Werkstoff,0))/1000,""))</f>
        <v/>
      </c>
      <c r="O466" s="25" t="str">
        <f aca="false">IF(OR(N466="",$F466=""),"",N466*$F466/1000)</f>
        <v/>
      </c>
      <c r="P466" s="16" t="str">
        <f aca="false">IF(OR($F466="",$G466=""),"",$F466*$G466)</f>
        <v/>
      </c>
      <c r="Q466" s="16" t="str">
        <f aca="false">IF($D466="","",IF($J466&lt;&gt;"",$J466,$C$9))</f>
        <v/>
      </c>
      <c r="R466" s="12" t="str">
        <f aca="false">IF($D466="","",IFERROR(IF(INDEX(Profile!$G$5:$G$304,MATCH($D466,lst_Profil,0))&lt;&gt;"",INDEX(Profile!$G$5:$G$304,MATCH($D466,lst_Profil,0)),$H$4),$H$4))</f>
        <v/>
      </c>
      <c r="S466" s="12" t="str">
        <f aca="false">IF($D466="","",IFERROR(IF(INDEX(Profile!$H$5:$H$304,MATCH($D466,lst_Profil,0))&lt;&gt;"",INDEX(Profile!$H$5:$H$304,MATCH($D466,lst_Profil,0)),$H$5),$H$5))</f>
        <v/>
      </c>
      <c r="T466" s="16" t="str">
        <f aca="false">IF(OR(Q466="",NOT(ISNUMBER(R466)),NOT(ISNUMBER(S466))),"",Q466-R466-S466)</f>
        <v/>
      </c>
      <c r="U466" s="26" t="str">
        <f aca="false">IF(OR($D466="",$E466=""),"",IF(COUNTIFS(Preise!$A$5:$A$304,$D466,Preise!$B$5:$B$304,$E466,Preise!$I$5:$I$304,"OK")&gt;0,"ja","nein"))</f>
        <v/>
      </c>
      <c r="V466" s="15" t="str">
        <f aca="false">IF(OR(M466="",$E466="",$C$8=""),"",IF(_xlfn.MINIFS(Schneiddaten!$C$5:$C$304,Schneiddaten!$A$5:$A$304,$C$8,Schneiddaten!$B$5:$B$304,$E466,Schneiddaten!$C$5:$C$304,"&gt;="&amp;M466)=0,"",SUMIFS(Schneiddaten!$D$5:$D$304,Schneiddaten!$A$5:$A$304,$C$8,Schneiddaten!$B$5:$B$304,$E466,Schneiddaten!$C$5:$C$304,_xlfn.MINIFS(Schneiddaten!$C$5:$C$304,Schneiddaten!$A$5:$A$304,$C$8,Schneiddaten!$B$5:$B$304,$E466,Schneiddaten!$C$5:$C$304,"&gt;="&amp;M466))))</f>
        <v/>
      </c>
      <c r="W466" s="26" t="str">
        <f aca="false">IF(AND($D466="",$E466="",$F466="",$G466=""),"",IF(ISNA(MATCH($D466,lst_Profil,0)),"FEHLER: Profil unbekannt",IF(ISNA(MATCH($E466,lst_Werkstoff,0)),"FEHLER: Werkstoff unbekannt",IF(NOT(ISNUMBER(L466)),"FEHLER: Querschnitt fehlt (Profil)",IF(OR($F466="",$F466&lt;=0),"FEHLER: Teilelänge fehlt",IF(OR($G466="",$G466&lt;1),"FEHLER: Stückzahl fehlt",IF(NOT(ISNUMBER($H$4)),"FEHLER: Maschine fehlt/unbekannt",IF(Q466&gt;$H$7,"FEHLER: Stange länger als Maschine zulässt",IF($F466+$H$6&gt;T466,"FEHLER: Teil länger als Nutzlänge",IF(U466="nein","WARNUNG: kein gültiger Materialpreis",IF($H466="","HINWEIS: Schneidweg fehlt",IF(V466="","HINWEIS: keine Schneiddaten",IF(AND($AF466&lt;&gt;"",$AG466=""),"HINWEIS: Gewinde-Vorschlag prüfen","OK")))))))))))))</f>
        <v/>
      </c>
      <c r="X466" s="18" t="str">
        <f aca="false">IF(OR(O466="",$G466=""),"",O466*$G466)</f>
        <v/>
      </c>
      <c r="Y466" s="10"/>
      <c r="Z466" s="21"/>
      <c r="AA466" s="10"/>
      <c r="AB466" s="21"/>
      <c r="AC466" s="21"/>
      <c r="AD466" s="21"/>
      <c r="AE466" s="10"/>
      <c r="AF466" s="10"/>
      <c r="AG466" s="10"/>
      <c r="AH466" s="22"/>
      <c r="AI466" s="21"/>
      <c r="AJ466" s="22"/>
      <c r="AK466" s="21"/>
      <c r="AL466" s="22"/>
      <c r="AM466" s="21"/>
    </row>
    <row r="467" customFormat="false" ht="15" hidden="false" customHeight="false" outlineLevel="0" collapsed="false">
      <c r="A467" s="10"/>
      <c r="B467" s="10"/>
      <c r="C467" s="10"/>
      <c r="D467" s="10"/>
      <c r="E467" s="10"/>
      <c r="F467" s="21"/>
      <c r="G467" s="19"/>
      <c r="H467" s="21"/>
      <c r="I467" s="22"/>
      <c r="J467" s="19"/>
      <c r="K467" s="23" t="str">
        <f aca="false">IF($D467="","",IFERROR(INDEX(Profile!$B$5:$B$304,MATCH($D467,lst_Profil,0)),""))</f>
        <v/>
      </c>
      <c r="L467" s="13" t="str">
        <f aca="false">IF($D467="","",IFERROR(INDEX(Profile!$K$5:$K$304,MATCH($D467,lst_Profil,0))+0,""))</f>
        <v/>
      </c>
      <c r="M467" s="24" t="str">
        <f aca="false">IF($D467="","",IFERROR(INDEX(Profile!$E$5:$E$304,MATCH($D467,lst_Profil,0))+0,""))</f>
        <v/>
      </c>
      <c r="N467" s="25" t="str">
        <f aca="false">IF(OR(L467="",$E467=""),"",IFERROR(L467*INDEX(Werkstoffe!$E$5:$E$304,MATCH($E467,lst_Werkstoff,0))/1000,""))</f>
        <v/>
      </c>
      <c r="O467" s="25" t="str">
        <f aca="false">IF(OR(N467="",$F467=""),"",N467*$F467/1000)</f>
        <v/>
      </c>
      <c r="P467" s="16" t="str">
        <f aca="false">IF(OR($F467="",$G467=""),"",$F467*$G467)</f>
        <v/>
      </c>
      <c r="Q467" s="16" t="str">
        <f aca="false">IF($D467="","",IF($J467&lt;&gt;"",$J467,$C$9))</f>
        <v/>
      </c>
      <c r="R467" s="12" t="str">
        <f aca="false">IF($D467="","",IFERROR(IF(INDEX(Profile!$G$5:$G$304,MATCH($D467,lst_Profil,0))&lt;&gt;"",INDEX(Profile!$G$5:$G$304,MATCH($D467,lst_Profil,0)),$H$4),$H$4))</f>
        <v/>
      </c>
      <c r="S467" s="12" t="str">
        <f aca="false">IF($D467="","",IFERROR(IF(INDEX(Profile!$H$5:$H$304,MATCH($D467,lst_Profil,0))&lt;&gt;"",INDEX(Profile!$H$5:$H$304,MATCH($D467,lst_Profil,0)),$H$5),$H$5))</f>
        <v/>
      </c>
      <c r="T467" s="16" t="str">
        <f aca="false">IF(OR(Q467="",NOT(ISNUMBER(R467)),NOT(ISNUMBER(S467))),"",Q467-R467-S467)</f>
        <v/>
      </c>
      <c r="U467" s="26" t="str">
        <f aca="false">IF(OR($D467="",$E467=""),"",IF(COUNTIFS(Preise!$A$5:$A$304,$D467,Preise!$B$5:$B$304,$E467,Preise!$I$5:$I$304,"OK")&gt;0,"ja","nein"))</f>
        <v/>
      </c>
      <c r="V467" s="15" t="str">
        <f aca="false">IF(OR(M467="",$E467="",$C$8=""),"",IF(_xlfn.MINIFS(Schneiddaten!$C$5:$C$304,Schneiddaten!$A$5:$A$304,$C$8,Schneiddaten!$B$5:$B$304,$E467,Schneiddaten!$C$5:$C$304,"&gt;="&amp;M467)=0,"",SUMIFS(Schneiddaten!$D$5:$D$304,Schneiddaten!$A$5:$A$304,$C$8,Schneiddaten!$B$5:$B$304,$E467,Schneiddaten!$C$5:$C$304,_xlfn.MINIFS(Schneiddaten!$C$5:$C$304,Schneiddaten!$A$5:$A$304,$C$8,Schneiddaten!$B$5:$B$304,$E467,Schneiddaten!$C$5:$C$304,"&gt;="&amp;M467))))</f>
        <v/>
      </c>
      <c r="W467" s="26" t="str">
        <f aca="false">IF(AND($D467="",$E467="",$F467="",$G467=""),"",IF(ISNA(MATCH($D467,lst_Profil,0)),"FEHLER: Profil unbekannt",IF(ISNA(MATCH($E467,lst_Werkstoff,0)),"FEHLER: Werkstoff unbekannt",IF(NOT(ISNUMBER(L467)),"FEHLER: Querschnitt fehlt (Profil)",IF(OR($F467="",$F467&lt;=0),"FEHLER: Teilelänge fehlt",IF(OR($G467="",$G467&lt;1),"FEHLER: Stückzahl fehlt",IF(NOT(ISNUMBER($H$4)),"FEHLER: Maschine fehlt/unbekannt",IF(Q467&gt;$H$7,"FEHLER: Stange länger als Maschine zulässt",IF($F467+$H$6&gt;T467,"FEHLER: Teil länger als Nutzlänge",IF(U467="nein","WARNUNG: kein gültiger Materialpreis",IF($H467="","HINWEIS: Schneidweg fehlt",IF(V467="","HINWEIS: keine Schneiddaten",IF(AND($AF467&lt;&gt;"",$AG467=""),"HINWEIS: Gewinde-Vorschlag prüfen","OK")))))))))))))</f>
        <v/>
      </c>
      <c r="X467" s="18" t="str">
        <f aca="false">IF(OR(O467="",$G467=""),"",O467*$G467)</f>
        <v/>
      </c>
      <c r="Y467" s="10"/>
      <c r="Z467" s="21"/>
      <c r="AA467" s="10"/>
      <c r="AB467" s="21"/>
      <c r="AC467" s="21"/>
      <c r="AD467" s="21"/>
      <c r="AE467" s="10"/>
      <c r="AF467" s="10"/>
      <c r="AG467" s="10"/>
      <c r="AH467" s="22"/>
      <c r="AI467" s="21"/>
      <c r="AJ467" s="22"/>
      <c r="AK467" s="21"/>
      <c r="AL467" s="22"/>
      <c r="AM467" s="21"/>
    </row>
    <row r="468" customFormat="false" ht="15" hidden="false" customHeight="false" outlineLevel="0" collapsed="false">
      <c r="A468" s="10"/>
      <c r="B468" s="10"/>
      <c r="C468" s="10"/>
      <c r="D468" s="10"/>
      <c r="E468" s="10"/>
      <c r="F468" s="21"/>
      <c r="G468" s="19"/>
      <c r="H468" s="21"/>
      <c r="I468" s="22"/>
      <c r="J468" s="19"/>
      <c r="K468" s="23" t="str">
        <f aca="false">IF($D468="","",IFERROR(INDEX(Profile!$B$5:$B$304,MATCH($D468,lst_Profil,0)),""))</f>
        <v/>
      </c>
      <c r="L468" s="13" t="str">
        <f aca="false">IF($D468="","",IFERROR(INDEX(Profile!$K$5:$K$304,MATCH($D468,lst_Profil,0))+0,""))</f>
        <v/>
      </c>
      <c r="M468" s="24" t="str">
        <f aca="false">IF($D468="","",IFERROR(INDEX(Profile!$E$5:$E$304,MATCH($D468,lst_Profil,0))+0,""))</f>
        <v/>
      </c>
      <c r="N468" s="25" t="str">
        <f aca="false">IF(OR(L468="",$E468=""),"",IFERROR(L468*INDEX(Werkstoffe!$E$5:$E$304,MATCH($E468,lst_Werkstoff,0))/1000,""))</f>
        <v/>
      </c>
      <c r="O468" s="25" t="str">
        <f aca="false">IF(OR(N468="",$F468=""),"",N468*$F468/1000)</f>
        <v/>
      </c>
      <c r="P468" s="16" t="str">
        <f aca="false">IF(OR($F468="",$G468=""),"",$F468*$G468)</f>
        <v/>
      </c>
      <c r="Q468" s="16" t="str">
        <f aca="false">IF($D468="","",IF($J468&lt;&gt;"",$J468,$C$9))</f>
        <v/>
      </c>
      <c r="R468" s="12" t="str">
        <f aca="false">IF($D468="","",IFERROR(IF(INDEX(Profile!$G$5:$G$304,MATCH($D468,lst_Profil,0))&lt;&gt;"",INDEX(Profile!$G$5:$G$304,MATCH($D468,lst_Profil,0)),$H$4),$H$4))</f>
        <v/>
      </c>
      <c r="S468" s="12" t="str">
        <f aca="false">IF($D468="","",IFERROR(IF(INDEX(Profile!$H$5:$H$304,MATCH($D468,lst_Profil,0))&lt;&gt;"",INDEX(Profile!$H$5:$H$304,MATCH($D468,lst_Profil,0)),$H$5),$H$5))</f>
        <v/>
      </c>
      <c r="T468" s="16" t="str">
        <f aca="false">IF(OR(Q468="",NOT(ISNUMBER(R468)),NOT(ISNUMBER(S468))),"",Q468-R468-S468)</f>
        <v/>
      </c>
      <c r="U468" s="26" t="str">
        <f aca="false">IF(OR($D468="",$E468=""),"",IF(COUNTIFS(Preise!$A$5:$A$304,$D468,Preise!$B$5:$B$304,$E468,Preise!$I$5:$I$304,"OK")&gt;0,"ja","nein"))</f>
        <v/>
      </c>
      <c r="V468" s="15" t="str">
        <f aca="false">IF(OR(M468="",$E468="",$C$8=""),"",IF(_xlfn.MINIFS(Schneiddaten!$C$5:$C$304,Schneiddaten!$A$5:$A$304,$C$8,Schneiddaten!$B$5:$B$304,$E468,Schneiddaten!$C$5:$C$304,"&gt;="&amp;M468)=0,"",SUMIFS(Schneiddaten!$D$5:$D$304,Schneiddaten!$A$5:$A$304,$C$8,Schneiddaten!$B$5:$B$304,$E468,Schneiddaten!$C$5:$C$304,_xlfn.MINIFS(Schneiddaten!$C$5:$C$304,Schneiddaten!$A$5:$A$304,$C$8,Schneiddaten!$B$5:$B$304,$E468,Schneiddaten!$C$5:$C$304,"&gt;="&amp;M468))))</f>
        <v/>
      </c>
      <c r="W468" s="26" t="str">
        <f aca="false">IF(AND($D468="",$E468="",$F468="",$G468=""),"",IF(ISNA(MATCH($D468,lst_Profil,0)),"FEHLER: Profil unbekannt",IF(ISNA(MATCH($E468,lst_Werkstoff,0)),"FEHLER: Werkstoff unbekannt",IF(NOT(ISNUMBER(L468)),"FEHLER: Querschnitt fehlt (Profil)",IF(OR($F468="",$F468&lt;=0),"FEHLER: Teilelänge fehlt",IF(OR($G468="",$G468&lt;1),"FEHLER: Stückzahl fehlt",IF(NOT(ISNUMBER($H$4)),"FEHLER: Maschine fehlt/unbekannt",IF(Q468&gt;$H$7,"FEHLER: Stange länger als Maschine zulässt",IF($F468+$H$6&gt;T468,"FEHLER: Teil länger als Nutzlänge",IF(U468="nein","WARNUNG: kein gültiger Materialpreis",IF($H468="","HINWEIS: Schneidweg fehlt",IF(V468="","HINWEIS: keine Schneiddaten",IF(AND($AF468&lt;&gt;"",$AG468=""),"HINWEIS: Gewinde-Vorschlag prüfen","OK")))))))))))))</f>
        <v/>
      </c>
      <c r="X468" s="18" t="str">
        <f aca="false">IF(OR(O468="",$G468=""),"",O468*$G468)</f>
        <v/>
      </c>
      <c r="Y468" s="10"/>
      <c r="Z468" s="21"/>
      <c r="AA468" s="10"/>
      <c r="AB468" s="21"/>
      <c r="AC468" s="21"/>
      <c r="AD468" s="21"/>
      <c r="AE468" s="10"/>
      <c r="AF468" s="10"/>
      <c r="AG468" s="10"/>
      <c r="AH468" s="22"/>
      <c r="AI468" s="21"/>
      <c r="AJ468" s="22"/>
      <c r="AK468" s="21"/>
      <c r="AL468" s="22"/>
      <c r="AM468" s="21"/>
    </row>
    <row r="469" customFormat="false" ht="15" hidden="false" customHeight="false" outlineLevel="0" collapsed="false">
      <c r="A469" s="10"/>
      <c r="B469" s="10"/>
      <c r="C469" s="10"/>
      <c r="D469" s="10"/>
      <c r="E469" s="10"/>
      <c r="F469" s="21"/>
      <c r="G469" s="19"/>
      <c r="H469" s="21"/>
      <c r="I469" s="22"/>
      <c r="J469" s="19"/>
      <c r="K469" s="23" t="str">
        <f aca="false">IF($D469="","",IFERROR(INDEX(Profile!$B$5:$B$304,MATCH($D469,lst_Profil,0)),""))</f>
        <v/>
      </c>
      <c r="L469" s="13" t="str">
        <f aca="false">IF($D469="","",IFERROR(INDEX(Profile!$K$5:$K$304,MATCH($D469,lst_Profil,0))+0,""))</f>
        <v/>
      </c>
      <c r="M469" s="24" t="str">
        <f aca="false">IF($D469="","",IFERROR(INDEX(Profile!$E$5:$E$304,MATCH($D469,lst_Profil,0))+0,""))</f>
        <v/>
      </c>
      <c r="N469" s="25" t="str">
        <f aca="false">IF(OR(L469="",$E469=""),"",IFERROR(L469*INDEX(Werkstoffe!$E$5:$E$304,MATCH($E469,lst_Werkstoff,0))/1000,""))</f>
        <v/>
      </c>
      <c r="O469" s="25" t="str">
        <f aca="false">IF(OR(N469="",$F469=""),"",N469*$F469/1000)</f>
        <v/>
      </c>
      <c r="P469" s="16" t="str">
        <f aca="false">IF(OR($F469="",$G469=""),"",$F469*$G469)</f>
        <v/>
      </c>
      <c r="Q469" s="16" t="str">
        <f aca="false">IF($D469="","",IF($J469&lt;&gt;"",$J469,$C$9))</f>
        <v/>
      </c>
      <c r="R469" s="12" t="str">
        <f aca="false">IF($D469="","",IFERROR(IF(INDEX(Profile!$G$5:$G$304,MATCH($D469,lst_Profil,0))&lt;&gt;"",INDEX(Profile!$G$5:$G$304,MATCH($D469,lst_Profil,0)),$H$4),$H$4))</f>
        <v/>
      </c>
      <c r="S469" s="12" t="str">
        <f aca="false">IF($D469="","",IFERROR(IF(INDEX(Profile!$H$5:$H$304,MATCH($D469,lst_Profil,0))&lt;&gt;"",INDEX(Profile!$H$5:$H$304,MATCH($D469,lst_Profil,0)),$H$5),$H$5))</f>
        <v/>
      </c>
      <c r="T469" s="16" t="str">
        <f aca="false">IF(OR(Q469="",NOT(ISNUMBER(R469)),NOT(ISNUMBER(S469))),"",Q469-R469-S469)</f>
        <v/>
      </c>
      <c r="U469" s="26" t="str">
        <f aca="false">IF(OR($D469="",$E469=""),"",IF(COUNTIFS(Preise!$A$5:$A$304,$D469,Preise!$B$5:$B$304,$E469,Preise!$I$5:$I$304,"OK")&gt;0,"ja","nein"))</f>
        <v/>
      </c>
      <c r="V469" s="15" t="str">
        <f aca="false">IF(OR(M469="",$E469="",$C$8=""),"",IF(_xlfn.MINIFS(Schneiddaten!$C$5:$C$304,Schneiddaten!$A$5:$A$304,$C$8,Schneiddaten!$B$5:$B$304,$E469,Schneiddaten!$C$5:$C$304,"&gt;="&amp;M469)=0,"",SUMIFS(Schneiddaten!$D$5:$D$304,Schneiddaten!$A$5:$A$304,$C$8,Schneiddaten!$B$5:$B$304,$E469,Schneiddaten!$C$5:$C$304,_xlfn.MINIFS(Schneiddaten!$C$5:$C$304,Schneiddaten!$A$5:$A$304,$C$8,Schneiddaten!$B$5:$B$304,$E469,Schneiddaten!$C$5:$C$304,"&gt;="&amp;M469))))</f>
        <v/>
      </c>
      <c r="W469" s="26" t="str">
        <f aca="false">IF(AND($D469="",$E469="",$F469="",$G469=""),"",IF(ISNA(MATCH($D469,lst_Profil,0)),"FEHLER: Profil unbekannt",IF(ISNA(MATCH($E469,lst_Werkstoff,0)),"FEHLER: Werkstoff unbekannt",IF(NOT(ISNUMBER(L469)),"FEHLER: Querschnitt fehlt (Profil)",IF(OR($F469="",$F469&lt;=0),"FEHLER: Teilelänge fehlt",IF(OR($G469="",$G469&lt;1),"FEHLER: Stückzahl fehlt",IF(NOT(ISNUMBER($H$4)),"FEHLER: Maschine fehlt/unbekannt",IF(Q469&gt;$H$7,"FEHLER: Stange länger als Maschine zulässt",IF($F469+$H$6&gt;T469,"FEHLER: Teil länger als Nutzlänge",IF(U469="nein","WARNUNG: kein gültiger Materialpreis",IF($H469="","HINWEIS: Schneidweg fehlt",IF(V469="","HINWEIS: keine Schneiddaten",IF(AND($AF469&lt;&gt;"",$AG469=""),"HINWEIS: Gewinde-Vorschlag prüfen","OK")))))))))))))</f>
        <v/>
      </c>
      <c r="X469" s="18" t="str">
        <f aca="false">IF(OR(O469="",$G469=""),"",O469*$G469)</f>
        <v/>
      </c>
      <c r="Y469" s="10"/>
      <c r="Z469" s="21"/>
      <c r="AA469" s="10"/>
      <c r="AB469" s="21"/>
      <c r="AC469" s="21"/>
      <c r="AD469" s="21"/>
      <c r="AE469" s="10"/>
      <c r="AF469" s="10"/>
      <c r="AG469" s="10"/>
      <c r="AH469" s="22"/>
      <c r="AI469" s="21"/>
      <c r="AJ469" s="22"/>
      <c r="AK469" s="21"/>
      <c r="AL469" s="22"/>
      <c r="AM469" s="21"/>
    </row>
    <row r="470" customFormat="false" ht="15" hidden="false" customHeight="false" outlineLevel="0" collapsed="false">
      <c r="A470" s="10"/>
      <c r="B470" s="10"/>
      <c r="C470" s="10"/>
      <c r="D470" s="10"/>
      <c r="E470" s="10"/>
      <c r="F470" s="21"/>
      <c r="G470" s="19"/>
      <c r="H470" s="21"/>
      <c r="I470" s="22"/>
      <c r="J470" s="19"/>
      <c r="K470" s="23" t="str">
        <f aca="false">IF($D470="","",IFERROR(INDEX(Profile!$B$5:$B$304,MATCH($D470,lst_Profil,0)),""))</f>
        <v/>
      </c>
      <c r="L470" s="13" t="str">
        <f aca="false">IF($D470="","",IFERROR(INDEX(Profile!$K$5:$K$304,MATCH($D470,lst_Profil,0))+0,""))</f>
        <v/>
      </c>
      <c r="M470" s="24" t="str">
        <f aca="false">IF($D470="","",IFERROR(INDEX(Profile!$E$5:$E$304,MATCH($D470,lst_Profil,0))+0,""))</f>
        <v/>
      </c>
      <c r="N470" s="25" t="str">
        <f aca="false">IF(OR(L470="",$E470=""),"",IFERROR(L470*INDEX(Werkstoffe!$E$5:$E$304,MATCH($E470,lst_Werkstoff,0))/1000,""))</f>
        <v/>
      </c>
      <c r="O470" s="25" t="str">
        <f aca="false">IF(OR(N470="",$F470=""),"",N470*$F470/1000)</f>
        <v/>
      </c>
      <c r="P470" s="16" t="str">
        <f aca="false">IF(OR($F470="",$G470=""),"",$F470*$G470)</f>
        <v/>
      </c>
      <c r="Q470" s="16" t="str">
        <f aca="false">IF($D470="","",IF($J470&lt;&gt;"",$J470,$C$9))</f>
        <v/>
      </c>
      <c r="R470" s="12" t="str">
        <f aca="false">IF($D470="","",IFERROR(IF(INDEX(Profile!$G$5:$G$304,MATCH($D470,lst_Profil,0))&lt;&gt;"",INDEX(Profile!$G$5:$G$304,MATCH($D470,lst_Profil,0)),$H$4),$H$4))</f>
        <v/>
      </c>
      <c r="S470" s="12" t="str">
        <f aca="false">IF($D470="","",IFERROR(IF(INDEX(Profile!$H$5:$H$304,MATCH($D470,lst_Profil,0))&lt;&gt;"",INDEX(Profile!$H$5:$H$304,MATCH($D470,lst_Profil,0)),$H$5),$H$5))</f>
        <v/>
      </c>
      <c r="T470" s="16" t="str">
        <f aca="false">IF(OR(Q470="",NOT(ISNUMBER(R470)),NOT(ISNUMBER(S470))),"",Q470-R470-S470)</f>
        <v/>
      </c>
      <c r="U470" s="26" t="str">
        <f aca="false">IF(OR($D470="",$E470=""),"",IF(COUNTIFS(Preise!$A$5:$A$304,$D470,Preise!$B$5:$B$304,$E470,Preise!$I$5:$I$304,"OK")&gt;0,"ja","nein"))</f>
        <v/>
      </c>
      <c r="V470" s="15" t="str">
        <f aca="false">IF(OR(M470="",$E470="",$C$8=""),"",IF(_xlfn.MINIFS(Schneiddaten!$C$5:$C$304,Schneiddaten!$A$5:$A$304,$C$8,Schneiddaten!$B$5:$B$304,$E470,Schneiddaten!$C$5:$C$304,"&gt;="&amp;M470)=0,"",SUMIFS(Schneiddaten!$D$5:$D$304,Schneiddaten!$A$5:$A$304,$C$8,Schneiddaten!$B$5:$B$304,$E470,Schneiddaten!$C$5:$C$304,_xlfn.MINIFS(Schneiddaten!$C$5:$C$304,Schneiddaten!$A$5:$A$304,$C$8,Schneiddaten!$B$5:$B$304,$E470,Schneiddaten!$C$5:$C$304,"&gt;="&amp;M470))))</f>
        <v/>
      </c>
      <c r="W470" s="26" t="str">
        <f aca="false">IF(AND($D470="",$E470="",$F470="",$G470=""),"",IF(ISNA(MATCH($D470,lst_Profil,0)),"FEHLER: Profil unbekannt",IF(ISNA(MATCH($E470,lst_Werkstoff,0)),"FEHLER: Werkstoff unbekannt",IF(NOT(ISNUMBER(L470)),"FEHLER: Querschnitt fehlt (Profil)",IF(OR($F470="",$F470&lt;=0),"FEHLER: Teilelänge fehlt",IF(OR($G470="",$G470&lt;1),"FEHLER: Stückzahl fehlt",IF(NOT(ISNUMBER($H$4)),"FEHLER: Maschine fehlt/unbekannt",IF(Q470&gt;$H$7,"FEHLER: Stange länger als Maschine zulässt",IF($F470+$H$6&gt;T470,"FEHLER: Teil länger als Nutzlänge",IF(U470="nein","WARNUNG: kein gültiger Materialpreis",IF($H470="","HINWEIS: Schneidweg fehlt",IF(V470="","HINWEIS: keine Schneiddaten",IF(AND($AF470&lt;&gt;"",$AG470=""),"HINWEIS: Gewinde-Vorschlag prüfen","OK")))))))))))))</f>
        <v/>
      </c>
      <c r="X470" s="18" t="str">
        <f aca="false">IF(OR(O470="",$G470=""),"",O470*$G470)</f>
        <v/>
      </c>
      <c r="Y470" s="10"/>
      <c r="Z470" s="21"/>
      <c r="AA470" s="10"/>
      <c r="AB470" s="21"/>
      <c r="AC470" s="21"/>
      <c r="AD470" s="21"/>
      <c r="AE470" s="10"/>
      <c r="AF470" s="10"/>
      <c r="AG470" s="10"/>
      <c r="AH470" s="22"/>
      <c r="AI470" s="21"/>
      <c r="AJ470" s="22"/>
      <c r="AK470" s="21"/>
      <c r="AL470" s="22"/>
      <c r="AM470" s="21"/>
    </row>
    <row r="471" customFormat="false" ht="15" hidden="false" customHeight="false" outlineLevel="0" collapsed="false">
      <c r="A471" s="10"/>
      <c r="B471" s="10"/>
      <c r="C471" s="10"/>
      <c r="D471" s="10"/>
      <c r="E471" s="10"/>
      <c r="F471" s="21"/>
      <c r="G471" s="19"/>
      <c r="H471" s="21"/>
      <c r="I471" s="22"/>
      <c r="J471" s="19"/>
      <c r="K471" s="23" t="str">
        <f aca="false">IF($D471="","",IFERROR(INDEX(Profile!$B$5:$B$304,MATCH($D471,lst_Profil,0)),""))</f>
        <v/>
      </c>
      <c r="L471" s="13" t="str">
        <f aca="false">IF($D471="","",IFERROR(INDEX(Profile!$K$5:$K$304,MATCH($D471,lst_Profil,0))+0,""))</f>
        <v/>
      </c>
      <c r="M471" s="24" t="str">
        <f aca="false">IF($D471="","",IFERROR(INDEX(Profile!$E$5:$E$304,MATCH($D471,lst_Profil,0))+0,""))</f>
        <v/>
      </c>
      <c r="N471" s="25" t="str">
        <f aca="false">IF(OR(L471="",$E471=""),"",IFERROR(L471*INDEX(Werkstoffe!$E$5:$E$304,MATCH($E471,lst_Werkstoff,0))/1000,""))</f>
        <v/>
      </c>
      <c r="O471" s="25" t="str">
        <f aca="false">IF(OR(N471="",$F471=""),"",N471*$F471/1000)</f>
        <v/>
      </c>
      <c r="P471" s="16" t="str">
        <f aca="false">IF(OR($F471="",$G471=""),"",$F471*$G471)</f>
        <v/>
      </c>
      <c r="Q471" s="16" t="str">
        <f aca="false">IF($D471="","",IF($J471&lt;&gt;"",$J471,$C$9))</f>
        <v/>
      </c>
      <c r="R471" s="12" t="str">
        <f aca="false">IF($D471="","",IFERROR(IF(INDEX(Profile!$G$5:$G$304,MATCH($D471,lst_Profil,0))&lt;&gt;"",INDEX(Profile!$G$5:$G$304,MATCH($D471,lst_Profil,0)),$H$4),$H$4))</f>
        <v/>
      </c>
      <c r="S471" s="12" t="str">
        <f aca="false">IF($D471="","",IFERROR(IF(INDEX(Profile!$H$5:$H$304,MATCH($D471,lst_Profil,0))&lt;&gt;"",INDEX(Profile!$H$5:$H$304,MATCH($D471,lst_Profil,0)),$H$5),$H$5))</f>
        <v/>
      </c>
      <c r="T471" s="16" t="str">
        <f aca="false">IF(OR(Q471="",NOT(ISNUMBER(R471)),NOT(ISNUMBER(S471))),"",Q471-R471-S471)</f>
        <v/>
      </c>
      <c r="U471" s="26" t="str">
        <f aca="false">IF(OR($D471="",$E471=""),"",IF(COUNTIFS(Preise!$A$5:$A$304,$D471,Preise!$B$5:$B$304,$E471,Preise!$I$5:$I$304,"OK")&gt;0,"ja","nein"))</f>
        <v/>
      </c>
      <c r="V471" s="15" t="str">
        <f aca="false">IF(OR(M471="",$E471="",$C$8=""),"",IF(_xlfn.MINIFS(Schneiddaten!$C$5:$C$304,Schneiddaten!$A$5:$A$304,$C$8,Schneiddaten!$B$5:$B$304,$E471,Schneiddaten!$C$5:$C$304,"&gt;="&amp;M471)=0,"",SUMIFS(Schneiddaten!$D$5:$D$304,Schneiddaten!$A$5:$A$304,$C$8,Schneiddaten!$B$5:$B$304,$E471,Schneiddaten!$C$5:$C$304,_xlfn.MINIFS(Schneiddaten!$C$5:$C$304,Schneiddaten!$A$5:$A$304,$C$8,Schneiddaten!$B$5:$B$304,$E471,Schneiddaten!$C$5:$C$304,"&gt;="&amp;M471))))</f>
        <v/>
      </c>
      <c r="W471" s="26" t="str">
        <f aca="false">IF(AND($D471="",$E471="",$F471="",$G471=""),"",IF(ISNA(MATCH($D471,lst_Profil,0)),"FEHLER: Profil unbekannt",IF(ISNA(MATCH($E471,lst_Werkstoff,0)),"FEHLER: Werkstoff unbekannt",IF(NOT(ISNUMBER(L471)),"FEHLER: Querschnitt fehlt (Profil)",IF(OR($F471="",$F471&lt;=0),"FEHLER: Teilelänge fehlt",IF(OR($G471="",$G471&lt;1),"FEHLER: Stückzahl fehlt",IF(NOT(ISNUMBER($H$4)),"FEHLER: Maschine fehlt/unbekannt",IF(Q471&gt;$H$7,"FEHLER: Stange länger als Maschine zulässt",IF($F471+$H$6&gt;T471,"FEHLER: Teil länger als Nutzlänge",IF(U471="nein","WARNUNG: kein gültiger Materialpreis",IF($H471="","HINWEIS: Schneidweg fehlt",IF(V471="","HINWEIS: keine Schneiddaten",IF(AND($AF471&lt;&gt;"",$AG471=""),"HINWEIS: Gewinde-Vorschlag prüfen","OK")))))))))))))</f>
        <v/>
      </c>
      <c r="X471" s="18" t="str">
        <f aca="false">IF(OR(O471="",$G471=""),"",O471*$G471)</f>
        <v/>
      </c>
      <c r="Y471" s="10"/>
      <c r="Z471" s="21"/>
      <c r="AA471" s="10"/>
      <c r="AB471" s="21"/>
      <c r="AC471" s="21"/>
      <c r="AD471" s="21"/>
      <c r="AE471" s="10"/>
      <c r="AF471" s="10"/>
      <c r="AG471" s="10"/>
      <c r="AH471" s="22"/>
      <c r="AI471" s="21"/>
      <c r="AJ471" s="22"/>
      <c r="AK471" s="21"/>
      <c r="AL471" s="22"/>
      <c r="AM471" s="21"/>
    </row>
    <row r="472" customFormat="false" ht="15" hidden="false" customHeight="false" outlineLevel="0" collapsed="false">
      <c r="A472" s="10"/>
      <c r="B472" s="10"/>
      <c r="C472" s="10"/>
      <c r="D472" s="10"/>
      <c r="E472" s="10"/>
      <c r="F472" s="21"/>
      <c r="G472" s="19"/>
      <c r="H472" s="21"/>
      <c r="I472" s="22"/>
      <c r="J472" s="19"/>
      <c r="K472" s="23" t="str">
        <f aca="false">IF($D472="","",IFERROR(INDEX(Profile!$B$5:$B$304,MATCH($D472,lst_Profil,0)),""))</f>
        <v/>
      </c>
      <c r="L472" s="13" t="str">
        <f aca="false">IF($D472="","",IFERROR(INDEX(Profile!$K$5:$K$304,MATCH($D472,lst_Profil,0))+0,""))</f>
        <v/>
      </c>
      <c r="M472" s="24" t="str">
        <f aca="false">IF($D472="","",IFERROR(INDEX(Profile!$E$5:$E$304,MATCH($D472,lst_Profil,0))+0,""))</f>
        <v/>
      </c>
      <c r="N472" s="25" t="str">
        <f aca="false">IF(OR(L472="",$E472=""),"",IFERROR(L472*INDEX(Werkstoffe!$E$5:$E$304,MATCH($E472,lst_Werkstoff,0))/1000,""))</f>
        <v/>
      </c>
      <c r="O472" s="25" t="str">
        <f aca="false">IF(OR(N472="",$F472=""),"",N472*$F472/1000)</f>
        <v/>
      </c>
      <c r="P472" s="16" t="str">
        <f aca="false">IF(OR($F472="",$G472=""),"",$F472*$G472)</f>
        <v/>
      </c>
      <c r="Q472" s="16" t="str">
        <f aca="false">IF($D472="","",IF($J472&lt;&gt;"",$J472,$C$9))</f>
        <v/>
      </c>
      <c r="R472" s="12" t="str">
        <f aca="false">IF($D472="","",IFERROR(IF(INDEX(Profile!$G$5:$G$304,MATCH($D472,lst_Profil,0))&lt;&gt;"",INDEX(Profile!$G$5:$G$304,MATCH($D472,lst_Profil,0)),$H$4),$H$4))</f>
        <v/>
      </c>
      <c r="S472" s="12" t="str">
        <f aca="false">IF($D472="","",IFERROR(IF(INDEX(Profile!$H$5:$H$304,MATCH($D472,lst_Profil,0))&lt;&gt;"",INDEX(Profile!$H$5:$H$304,MATCH($D472,lst_Profil,0)),$H$5),$H$5))</f>
        <v/>
      </c>
      <c r="T472" s="16" t="str">
        <f aca="false">IF(OR(Q472="",NOT(ISNUMBER(R472)),NOT(ISNUMBER(S472))),"",Q472-R472-S472)</f>
        <v/>
      </c>
      <c r="U472" s="26" t="str">
        <f aca="false">IF(OR($D472="",$E472=""),"",IF(COUNTIFS(Preise!$A$5:$A$304,$D472,Preise!$B$5:$B$304,$E472,Preise!$I$5:$I$304,"OK")&gt;0,"ja","nein"))</f>
        <v/>
      </c>
      <c r="V472" s="15" t="str">
        <f aca="false">IF(OR(M472="",$E472="",$C$8=""),"",IF(_xlfn.MINIFS(Schneiddaten!$C$5:$C$304,Schneiddaten!$A$5:$A$304,$C$8,Schneiddaten!$B$5:$B$304,$E472,Schneiddaten!$C$5:$C$304,"&gt;="&amp;M472)=0,"",SUMIFS(Schneiddaten!$D$5:$D$304,Schneiddaten!$A$5:$A$304,$C$8,Schneiddaten!$B$5:$B$304,$E472,Schneiddaten!$C$5:$C$304,_xlfn.MINIFS(Schneiddaten!$C$5:$C$304,Schneiddaten!$A$5:$A$304,$C$8,Schneiddaten!$B$5:$B$304,$E472,Schneiddaten!$C$5:$C$304,"&gt;="&amp;M472))))</f>
        <v/>
      </c>
      <c r="W472" s="26" t="str">
        <f aca="false">IF(AND($D472="",$E472="",$F472="",$G472=""),"",IF(ISNA(MATCH($D472,lst_Profil,0)),"FEHLER: Profil unbekannt",IF(ISNA(MATCH($E472,lst_Werkstoff,0)),"FEHLER: Werkstoff unbekannt",IF(NOT(ISNUMBER(L472)),"FEHLER: Querschnitt fehlt (Profil)",IF(OR($F472="",$F472&lt;=0),"FEHLER: Teilelänge fehlt",IF(OR($G472="",$G472&lt;1),"FEHLER: Stückzahl fehlt",IF(NOT(ISNUMBER($H$4)),"FEHLER: Maschine fehlt/unbekannt",IF(Q472&gt;$H$7,"FEHLER: Stange länger als Maschine zulässt",IF($F472+$H$6&gt;T472,"FEHLER: Teil länger als Nutzlänge",IF(U472="nein","WARNUNG: kein gültiger Materialpreis",IF($H472="","HINWEIS: Schneidweg fehlt",IF(V472="","HINWEIS: keine Schneiddaten",IF(AND($AF472&lt;&gt;"",$AG472=""),"HINWEIS: Gewinde-Vorschlag prüfen","OK")))))))))))))</f>
        <v/>
      </c>
      <c r="X472" s="18" t="str">
        <f aca="false">IF(OR(O472="",$G472=""),"",O472*$G472)</f>
        <v/>
      </c>
      <c r="Y472" s="10"/>
      <c r="Z472" s="21"/>
      <c r="AA472" s="10"/>
      <c r="AB472" s="21"/>
      <c r="AC472" s="21"/>
      <c r="AD472" s="21"/>
      <c r="AE472" s="10"/>
      <c r="AF472" s="10"/>
      <c r="AG472" s="10"/>
      <c r="AH472" s="22"/>
      <c r="AI472" s="21"/>
      <c r="AJ472" s="22"/>
      <c r="AK472" s="21"/>
      <c r="AL472" s="22"/>
      <c r="AM472" s="21"/>
    </row>
    <row r="473" customFormat="false" ht="15" hidden="false" customHeight="false" outlineLevel="0" collapsed="false">
      <c r="A473" s="10"/>
      <c r="B473" s="10"/>
      <c r="C473" s="10"/>
      <c r="D473" s="10"/>
      <c r="E473" s="10"/>
      <c r="F473" s="21"/>
      <c r="G473" s="19"/>
      <c r="H473" s="21"/>
      <c r="I473" s="22"/>
      <c r="J473" s="19"/>
      <c r="K473" s="23" t="str">
        <f aca="false">IF($D473="","",IFERROR(INDEX(Profile!$B$5:$B$304,MATCH($D473,lst_Profil,0)),""))</f>
        <v/>
      </c>
      <c r="L473" s="13" t="str">
        <f aca="false">IF($D473="","",IFERROR(INDEX(Profile!$K$5:$K$304,MATCH($D473,lst_Profil,0))+0,""))</f>
        <v/>
      </c>
      <c r="M473" s="24" t="str">
        <f aca="false">IF($D473="","",IFERROR(INDEX(Profile!$E$5:$E$304,MATCH($D473,lst_Profil,0))+0,""))</f>
        <v/>
      </c>
      <c r="N473" s="25" t="str">
        <f aca="false">IF(OR(L473="",$E473=""),"",IFERROR(L473*INDEX(Werkstoffe!$E$5:$E$304,MATCH($E473,lst_Werkstoff,0))/1000,""))</f>
        <v/>
      </c>
      <c r="O473" s="25" t="str">
        <f aca="false">IF(OR(N473="",$F473=""),"",N473*$F473/1000)</f>
        <v/>
      </c>
      <c r="P473" s="16" t="str">
        <f aca="false">IF(OR($F473="",$G473=""),"",$F473*$G473)</f>
        <v/>
      </c>
      <c r="Q473" s="16" t="str">
        <f aca="false">IF($D473="","",IF($J473&lt;&gt;"",$J473,$C$9))</f>
        <v/>
      </c>
      <c r="R473" s="12" t="str">
        <f aca="false">IF($D473="","",IFERROR(IF(INDEX(Profile!$G$5:$G$304,MATCH($D473,lst_Profil,0))&lt;&gt;"",INDEX(Profile!$G$5:$G$304,MATCH($D473,lst_Profil,0)),$H$4),$H$4))</f>
        <v/>
      </c>
      <c r="S473" s="12" t="str">
        <f aca="false">IF($D473="","",IFERROR(IF(INDEX(Profile!$H$5:$H$304,MATCH($D473,lst_Profil,0))&lt;&gt;"",INDEX(Profile!$H$5:$H$304,MATCH($D473,lst_Profil,0)),$H$5),$H$5))</f>
        <v/>
      </c>
      <c r="T473" s="16" t="str">
        <f aca="false">IF(OR(Q473="",NOT(ISNUMBER(R473)),NOT(ISNUMBER(S473))),"",Q473-R473-S473)</f>
        <v/>
      </c>
      <c r="U473" s="26" t="str">
        <f aca="false">IF(OR($D473="",$E473=""),"",IF(COUNTIFS(Preise!$A$5:$A$304,$D473,Preise!$B$5:$B$304,$E473,Preise!$I$5:$I$304,"OK")&gt;0,"ja","nein"))</f>
        <v/>
      </c>
      <c r="V473" s="15" t="str">
        <f aca="false">IF(OR(M473="",$E473="",$C$8=""),"",IF(_xlfn.MINIFS(Schneiddaten!$C$5:$C$304,Schneiddaten!$A$5:$A$304,$C$8,Schneiddaten!$B$5:$B$304,$E473,Schneiddaten!$C$5:$C$304,"&gt;="&amp;M473)=0,"",SUMIFS(Schneiddaten!$D$5:$D$304,Schneiddaten!$A$5:$A$304,$C$8,Schneiddaten!$B$5:$B$304,$E473,Schneiddaten!$C$5:$C$304,_xlfn.MINIFS(Schneiddaten!$C$5:$C$304,Schneiddaten!$A$5:$A$304,$C$8,Schneiddaten!$B$5:$B$304,$E473,Schneiddaten!$C$5:$C$304,"&gt;="&amp;M473))))</f>
        <v/>
      </c>
      <c r="W473" s="26" t="str">
        <f aca="false">IF(AND($D473="",$E473="",$F473="",$G473=""),"",IF(ISNA(MATCH($D473,lst_Profil,0)),"FEHLER: Profil unbekannt",IF(ISNA(MATCH($E473,lst_Werkstoff,0)),"FEHLER: Werkstoff unbekannt",IF(NOT(ISNUMBER(L473)),"FEHLER: Querschnitt fehlt (Profil)",IF(OR($F473="",$F473&lt;=0),"FEHLER: Teilelänge fehlt",IF(OR($G473="",$G473&lt;1),"FEHLER: Stückzahl fehlt",IF(NOT(ISNUMBER($H$4)),"FEHLER: Maschine fehlt/unbekannt",IF(Q473&gt;$H$7,"FEHLER: Stange länger als Maschine zulässt",IF($F473+$H$6&gt;T473,"FEHLER: Teil länger als Nutzlänge",IF(U473="nein","WARNUNG: kein gültiger Materialpreis",IF($H473="","HINWEIS: Schneidweg fehlt",IF(V473="","HINWEIS: keine Schneiddaten",IF(AND($AF473&lt;&gt;"",$AG473=""),"HINWEIS: Gewinde-Vorschlag prüfen","OK")))))))))))))</f>
        <v/>
      </c>
      <c r="X473" s="18" t="str">
        <f aca="false">IF(OR(O473="",$G473=""),"",O473*$G473)</f>
        <v/>
      </c>
      <c r="Y473" s="10"/>
      <c r="Z473" s="21"/>
      <c r="AA473" s="10"/>
      <c r="AB473" s="21"/>
      <c r="AC473" s="21"/>
      <c r="AD473" s="21"/>
      <c r="AE473" s="10"/>
      <c r="AF473" s="10"/>
      <c r="AG473" s="10"/>
      <c r="AH473" s="22"/>
      <c r="AI473" s="21"/>
      <c r="AJ473" s="22"/>
      <c r="AK473" s="21"/>
      <c r="AL473" s="22"/>
      <c r="AM473" s="21"/>
    </row>
    <row r="474" customFormat="false" ht="15" hidden="false" customHeight="false" outlineLevel="0" collapsed="false">
      <c r="A474" s="10"/>
      <c r="B474" s="10"/>
      <c r="C474" s="10"/>
      <c r="D474" s="10"/>
      <c r="E474" s="10"/>
      <c r="F474" s="21"/>
      <c r="G474" s="19"/>
      <c r="H474" s="21"/>
      <c r="I474" s="22"/>
      <c r="J474" s="19"/>
      <c r="K474" s="23" t="str">
        <f aca="false">IF($D474="","",IFERROR(INDEX(Profile!$B$5:$B$304,MATCH($D474,lst_Profil,0)),""))</f>
        <v/>
      </c>
      <c r="L474" s="13" t="str">
        <f aca="false">IF($D474="","",IFERROR(INDEX(Profile!$K$5:$K$304,MATCH($D474,lst_Profil,0))+0,""))</f>
        <v/>
      </c>
      <c r="M474" s="24" t="str">
        <f aca="false">IF($D474="","",IFERROR(INDEX(Profile!$E$5:$E$304,MATCH($D474,lst_Profil,0))+0,""))</f>
        <v/>
      </c>
      <c r="N474" s="25" t="str">
        <f aca="false">IF(OR(L474="",$E474=""),"",IFERROR(L474*INDEX(Werkstoffe!$E$5:$E$304,MATCH($E474,lst_Werkstoff,0))/1000,""))</f>
        <v/>
      </c>
      <c r="O474" s="25" t="str">
        <f aca="false">IF(OR(N474="",$F474=""),"",N474*$F474/1000)</f>
        <v/>
      </c>
      <c r="P474" s="16" t="str">
        <f aca="false">IF(OR($F474="",$G474=""),"",$F474*$G474)</f>
        <v/>
      </c>
      <c r="Q474" s="16" t="str">
        <f aca="false">IF($D474="","",IF($J474&lt;&gt;"",$J474,$C$9))</f>
        <v/>
      </c>
      <c r="R474" s="12" t="str">
        <f aca="false">IF($D474="","",IFERROR(IF(INDEX(Profile!$G$5:$G$304,MATCH($D474,lst_Profil,0))&lt;&gt;"",INDEX(Profile!$G$5:$G$304,MATCH($D474,lst_Profil,0)),$H$4),$H$4))</f>
        <v/>
      </c>
      <c r="S474" s="12" t="str">
        <f aca="false">IF($D474="","",IFERROR(IF(INDEX(Profile!$H$5:$H$304,MATCH($D474,lst_Profil,0))&lt;&gt;"",INDEX(Profile!$H$5:$H$304,MATCH($D474,lst_Profil,0)),$H$5),$H$5))</f>
        <v/>
      </c>
      <c r="T474" s="16" t="str">
        <f aca="false">IF(OR(Q474="",NOT(ISNUMBER(R474)),NOT(ISNUMBER(S474))),"",Q474-R474-S474)</f>
        <v/>
      </c>
      <c r="U474" s="26" t="str">
        <f aca="false">IF(OR($D474="",$E474=""),"",IF(COUNTIFS(Preise!$A$5:$A$304,$D474,Preise!$B$5:$B$304,$E474,Preise!$I$5:$I$304,"OK")&gt;0,"ja","nein"))</f>
        <v/>
      </c>
      <c r="V474" s="15" t="str">
        <f aca="false">IF(OR(M474="",$E474="",$C$8=""),"",IF(_xlfn.MINIFS(Schneiddaten!$C$5:$C$304,Schneiddaten!$A$5:$A$304,$C$8,Schneiddaten!$B$5:$B$304,$E474,Schneiddaten!$C$5:$C$304,"&gt;="&amp;M474)=0,"",SUMIFS(Schneiddaten!$D$5:$D$304,Schneiddaten!$A$5:$A$304,$C$8,Schneiddaten!$B$5:$B$304,$E474,Schneiddaten!$C$5:$C$304,_xlfn.MINIFS(Schneiddaten!$C$5:$C$304,Schneiddaten!$A$5:$A$304,$C$8,Schneiddaten!$B$5:$B$304,$E474,Schneiddaten!$C$5:$C$304,"&gt;="&amp;M474))))</f>
        <v/>
      </c>
      <c r="W474" s="26" t="str">
        <f aca="false">IF(AND($D474="",$E474="",$F474="",$G474=""),"",IF(ISNA(MATCH($D474,lst_Profil,0)),"FEHLER: Profil unbekannt",IF(ISNA(MATCH($E474,lst_Werkstoff,0)),"FEHLER: Werkstoff unbekannt",IF(NOT(ISNUMBER(L474)),"FEHLER: Querschnitt fehlt (Profil)",IF(OR($F474="",$F474&lt;=0),"FEHLER: Teilelänge fehlt",IF(OR($G474="",$G474&lt;1),"FEHLER: Stückzahl fehlt",IF(NOT(ISNUMBER($H$4)),"FEHLER: Maschine fehlt/unbekannt",IF(Q474&gt;$H$7,"FEHLER: Stange länger als Maschine zulässt",IF($F474+$H$6&gt;T474,"FEHLER: Teil länger als Nutzlänge",IF(U474="nein","WARNUNG: kein gültiger Materialpreis",IF($H474="","HINWEIS: Schneidweg fehlt",IF(V474="","HINWEIS: keine Schneiddaten",IF(AND($AF474&lt;&gt;"",$AG474=""),"HINWEIS: Gewinde-Vorschlag prüfen","OK")))))))))))))</f>
        <v/>
      </c>
      <c r="X474" s="18" t="str">
        <f aca="false">IF(OR(O474="",$G474=""),"",O474*$G474)</f>
        <v/>
      </c>
      <c r="Y474" s="10"/>
      <c r="Z474" s="21"/>
      <c r="AA474" s="10"/>
      <c r="AB474" s="21"/>
      <c r="AC474" s="21"/>
      <c r="AD474" s="21"/>
      <c r="AE474" s="10"/>
      <c r="AF474" s="10"/>
      <c r="AG474" s="10"/>
      <c r="AH474" s="22"/>
      <c r="AI474" s="21"/>
      <c r="AJ474" s="22"/>
      <c r="AK474" s="21"/>
      <c r="AL474" s="22"/>
      <c r="AM474" s="21"/>
    </row>
    <row r="475" customFormat="false" ht="15" hidden="false" customHeight="false" outlineLevel="0" collapsed="false">
      <c r="A475" s="10"/>
      <c r="B475" s="10"/>
      <c r="C475" s="10"/>
      <c r="D475" s="10"/>
      <c r="E475" s="10"/>
      <c r="F475" s="21"/>
      <c r="G475" s="19"/>
      <c r="H475" s="21"/>
      <c r="I475" s="22"/>
      <c r="J475" s="19"/>
      <c r="K475" s="23" t="str">
        <f aca="false">IF($D475="","",IFERROR(INDEX(Profile!$B$5:$B$304,MATCH($D475,lst_Profil,0)),""))</f>
        <v/>
      </c>
      <c r="L475" s="13" t="str">
        <f aca="false">IF($D475="","",IFERROR(INDEX(Profile!$K$5:$K$304,MATCH($D475,lst_Profil,0))+0,""))</f>
        <v/>
      </c>
      <c r="M475" s="24" t="str">
        <f aca="false">IF($D475="","",IFERROR(INDEX(Profile!$E$5:$E$304,MATCH($D475,lst_Profil,0))+0,""))</f>
        <v/>
      </c>
      <c r="N475" s="25" t="str">
        <f aca="false">IF(OR(L475="",$E475=""),"",IFERROR(L475*INDEX(Werkstoffe!$E$5:$E$304,MATCH($E475,lst_Werkstoff,0))/1000,""))</f>
        <v/>
      </c>
      <c r="O475" s="25" t="str">
        <f aca="false">IF(OR(N475="",$F475=""),"",N475*$F475/1000)</f>
        <v/>
      </c>
      <c r="P475" s="16" t="str">
        <f aca="false">IF(OR($F475="",$G475=""),"",$F475*$G475)</f>
        <v/>
      </c>
      <c r="Q475" s="16" t="str">
        <f aca="false">IF($D475="","",IF($J475&lt;&gt;"",$J475,$C$9))</f>
        <v/>
      </c>
      <c r="R475" s="12" t="str">
        <f aca="false">IF($D475="","",IFERROR(IF(INDEX(Profile!$G$5:$G$304,MATCH($D475,lst_Profil,0))&lt;&gt;"",INDEX(Profile!$G$5:$G$304,MATCH($D475,lst_Profil,0)),$H$4),$H$4))</f>
        <v/>
      </c>
      <c r="S475" s="12" t="str">
        <f aca="false">IF($D475="","",IFERROR(IF(INDEX(Profile!$H$5:$H$304,MATCH($D475,lst_Profil,0))&lt;&gt;"",INDEX(Profile!$H$5:$H$304,MATCH($D475,lst_Profil,0)),$H$5),$H$5))</f>
        <v/>
      </c>
      <c r="T475" s="16" t="str">
        <f aca="false">IF(OR(Q475="",NOT(ISNUMBER(R475)),NOT(ISNUMBER(S475))),"",Q475-R475-S475)</f>
        <v/>
      </c>
      <c r="U475" s="26" t="str">
        <f aca="false">IF(OR($D475="",$E475=""),"",IF(COUNTIFS(Preise!$A$5:$A$304,$D475,Preise!$B$5:$B$304,$E475,Preise!$I$5:$I$304,"OK")&gt;0,"ja","nein"))</f>
        <v/>
      </c>
      <c r="V475" s="15" t="str">
        <f aca="false">IF(OR(M475="",$E475="",$C$8=""),"",IF(_xlfn.MINIFS(Schneiddaten!$C$5:$C$304,Schneiddaten!$A$5:$A$304,$C$8,Schneiddaten!$B$5:$B$304,$E475,Schneiddaten!$C$5:$C$304,"&gt;="&amp;M475)=0,"",SUMIFS(Schneiddaten!$D$5:$D$304,Schneiddaten!$A$5:$A$304,$C$8,Schneiddaten!$B$5:$B$304,$E475,Schneiddaten!$C$5:$C$304,_xlfn.MINIFS(Schneiddaten!$C$5:$C$304,Schneiddaten!$A$5:$A$304,$C$8,Schneiddaten!$B$5:$B$304,$E475,Schneiddaten!$C$5:$C$304,"&gt;="&amp;M475))))</f>
        <v/>
      </c>
      <c r="W475" s="26" t="str">
        <f aca="false">IF(AND($D475="",$E475="",$F475="",$G475=""),"",IF(ISNA(MATCH($D475,lst_Profil,0)),"FEHLER: Profil unbekannt",IF(ISNA(MATCH($E475,lst_Werkstoff,0)),"FEHLER: Werkstoff unbekannt",IF(NOT(ISNUMBER(L475)),"FEHLER: Querschnitt fehlt (Profil)",IF(OR($F475="",$F475&lt;=0),"FEHLER: Teilelänge fehlt",IF(OR($G475="",$G475&lt;1),"FEHLER: Stückzahl fehlt",IF(NOT(ISNUMBER($H$4)),"FEHLER: Maschine fehlt/unbekannt",IF(Q475&gt;$H$7,"FEHLER: Stange länger als Maschine zulässt",IF($F475+$H$6&gt;T475,"FEHLER: Teil länger als Nutzlänge",IF(U475="nein","WARNUNG: kein gültiger Materialpreis",IF($H475="","HINWEIS: Schneidweg fehlt",IF(V475="","HINWEIS: keine Schneiddaten",IF(AND($AF475&lt;&gt;"",$AG475=""),"HINWEIS: Gewinde-Vorschlag prüfen","OK")))))))))))))</f>
        <v/>
      </c>
      <c r="X475" s="18" t="str">
        <f aca="false">IF(OR(O475="",$G475=""),"",O475*$G475)</f>
        <v/>
      </c>
      <c r="Y475" s="10"/>
      <c r="Z475" s="21"/>
      <c r="AA475" s="10"/>
      <c r="AB475" s="21"/>
      <c r="AC475" s="21"/>
      <c r="AD475" s="21"/>
      <c r="AE475" s="10"/>
      <c r="AF475" s="10"/>
      <c r="AG475" s="10"/>
      <c r="AH475" s="22"/>
      <c r="AI475" s="21"/>
      <c r="AJ475" s="22"/>
      <c r="AK475" s="21"/>
      <c r="AL475" s="22"/>
      <c r="AM475" s="21"/>
    </row>
    <row r="476" customFormat="false" ht="15" hidden="false" customHeight="false" outlineLevel="0" collapsed="false">
      <c r="A476" s="10"/>
      <c r="B476" s="10"/>
      <c r="C476" s="10"/>
      <c r="D476" s="10"/>
      <c r="E476" s="10"/>
      <c r="F476" s="21"/>
      <c r="G476" s="19"/>
      <c r="H476" s="21"/>
      <c r="I476" s="22"/>
      <c r="J476" s="19"/>
      <c r="K476" s="23" t="str">
        <f aca="false">IF($D476="","",IFERROR(INDEX(Profile!$B$5:$B$304,MATCH($D476,lst_Profil,0)),""))</f>
        <v/>
      </c>
      <c r="L476" s="13" t="str">
        <f aca="false">IF($D476="","",IFERROR(INDEX(Profile!$K$5:$K$304,MATCH($D476,lst_Profil,0))+0,""))</f>
        <v/>
      </c>
      <c r="M476" s="24" t="str">
        <f aca="false">IF($D476="","",IFERROR(INDEX(Profile!$E$5:$E$304,MATCH($D476,lst_Profil,0))+0,""))</f>
        <v/>
      </c>
      <c r="N476" s="25" t="str">
        <f aca="false">IF(OR(L476="",$E476=""),"",IFERROR(L476*INDEX(Werkstoffe!$E$5:$E$304,MATCH($E476,lst_Werkstoff,0))/1000,""))</f>
        <v/>
      </c>
      <c r="O476" s="25" t="str">
        <f aca="false">IF(OR(N476="",$F476=""),"",N476*$F476/1000)</f>
        <v/>
      </c>
      <c r="P476" s="16" t="str">
        <f aca="false">IF(OR($F476="",$G476=""),"",$F476*$G476)</f>
        <v/>
      </c>
      <c r="Q476" s="16" t="str">
        <f aca="false">IF($D476="","",IF($J476&lt;&gt;"",$J476,$C$9))</f>
        <v/>
      </c>
      <c r="R476" s="12" t="str">
        <f aca="false">IF($D476="","",IFERROR(IF(INDEX(Profile!$G$5:$G$304,MATCH($D476,lst_Profil,0))&lt;&gt;"",INDEX(Profile!$G$5:$G$304,MATCH($D476,lst_Profil,0)),$H$4),$H$4))</f>
        <v/>
      </c>
      <c r="S476" s="12" t="str">
        <f aca="false">IF($D476="","",IFERROR(IF(INDEX(Profile!$H$5:$H$304,MATCH($D476,lst_Profil,0))&lt;&gt;"",INDEX(Profile!$H$5:$H$304,MATCH($D476,lst_Profil,0)),$H$5),$H$5))</f>
        <v/>
      </c>
      <c r="T476" s="16" t="str">
        <f aca="false">IF(OR(Q476="",NOT(ISNUMBER(R476)),NOT(ISNUMBER(S476))),"",Q476-R476-S476)</f>
        <v/>
      </c>
      <c r="U476" s="26" t="str">
        <f aca="false">IF(OR($D476="",$E476=""),"",IF(COUNTIFS(Preise!$A$5:$A$304,$D476,Preise!$B$5:$B$304,$E476,Preise!$I$5:$I$304,"OK")&gt;0,"ja","nein"))</f>
        <v/>
      </c>
      <c r="V476" s="15" t="str">
        <f aca="false">IF(OR(M476="",$E476="",$C$8=""),"",IF(_xlfn.MINIFS(Schneiddaten!$C$5:$C$304,Schneiddaten!$A$5:$A$304,$C$8,Schneiddaten!$B$5:$B$304,$E476,Schneiddaten!$C$5:$C$304,"&gt;="&amp;M476)=0,"",SUMIFS(Schneiddaten!$D$5:$D$304,Schneiddaten!$A$5:$A$304,$C$8,Schneiddaten!$B$5:$B$304,$E476,Schneiddaten!$C$5:$C$304,_xlfn.MINIFS(Schneiddaten!$C$5:$C$304,Schneiddaten!$A$5:$A$304,$C$8,Schneiddaten!$B$5:$B$304,$E476,Schneiddaten!$C$5:$C$304,"&gt;="&amp;M476))))</f>
        <v/>
      </c>
      <c r="W476" s="26" t="str">
        <f aca="false">IF(AND($D476="",$E476="",$F476="",$G476=""),"",IF(ISNA(MATCH($D476,lst_Profil,0)),"FEHLER: Profil unbekannt",IF(ISNA(MATCH($E476,lst_Werkstoff,0)),"FEHLER: Werkstoff unbekannt",IF(NOT(ISNUMBER(L476)),"FEHLER: Querschnitt fehlt (Profil)",IF(OR($F476="",$F476&lt;=0),"FEHLER: Teilelänge fehlt",IF(OR($G476="",$G476&lt;1),"FEHLER: Stückzahl fehlt",IF(NOT(ISNUMBER($H$4)),"FEHLER: Maschine fehlt/unbekannt",IF(Q476&gt;$H$7,"FEHLER: Stange länger als Maschine zulässt",IF($F476+$H$6&gt;T476,"FEHLER: Teil länger als Nutzlänge",IF(U476="nein","WARNUNG: kein gültiger Materialpreis",IF($H476="","HINWEIS: Schneidweg fehlt",IF(V476="","HINWEIS: keine Schneiddaten",IF(AND($AF476&lt;&gt;"",$AG476=""),"HINWEIS: Gewinde-Vorschlag prüfen","OK")))))))))))))</f>
        <v/>
      </c>
      <c r="X476" s="18" t="str">
        <f aca="false">IF(OR(O476="",$G476=""),"",O476*$G476)</f>
        <v/>
      </c>
      <c r="Y476" s="10"/>
      <c r="Z476" s="21"/>
      <c r="AA476" s="10"/>
      <c r="AB476" s="21"/>
      <c r="AC476" s="21"/>
      <c r="AD476" s="21"/>
      <c r="AE476" s="10"/>
      <c r="AF476" s="10"/>
      <c r="AG476" s="10"/>
      <c r="AH476" s="22"/>
      <c r="AI476" s="21"/>
      <c r="AJ476" s="22"/>
      <c r="AK476" s="21"/>
      <c r="AL476" s="22"/>
      <c r="AM476" s="21"/>
    </row>
    <row r="477" customFormat="false" ht="15" hidden="false" customHeight="false" outlineLevel="0" collapsed="false">
      <c r="A477" s="10"/>
      <c r="B477" s="10"/>
      <c r="C477" s="10"/>
      <c r="D477" s="10"/>
      <c r="E477" s="10"/>
      <c r="F477" s="21"/>
      <c r="G477" s="19"/>
      <c r="H477" s="21"/>
      <c r="I477" s="22"/>
      <c r="J477" s="19"/>
      <c r="K477" s="23" t="str">
        <f aca="false">IF($D477="","",IFERROR(INDEX(Profile!$B$5:$B$304,MATCH($D477,lst_Profil,0)),""))</f>
        <v/>
      </c>
      <c r="L477" s="13" t="str">
        <f aca="false">IF($D477="","",IFERROR(INDEX(Profile!$K$5:$K$304,MATCH($D477,lst_Profil,0))+0,""))</f>
        <v/>
      </c>
      <c r="M477" s="24" t="str">
        <f aca="false">IF($D477="","",IFERROR(INDEX(Profile!$E$5:$E$304,MATCH($D477,lst_Profil,0))+0,""))</f>
        <v/>
      </c>
      <c r="N477" s="25" t="str">
        <f aca="false">IF(OR(L477="",$E477=""),"",IFERROR(L477*INDEX(Werkstoffe!$E$5:$E$304,MATCH($E477,lst_Werkstoff,0))/1000,""))</f>
        <v/>
      </c>
      <c r="O477" s="25" t="str">
        <f aca="false">IF(OR(N477="",$F477=""),"",N477*$F477/1000)</f>
        <v/>
      </c>
      <c r="P477" s="16" t="str">
        <f aca="false">IF(OR($F477="",$G477=""),"",$F477*$G477)</f>
        <v/>
      </c>
      <c r="Q477" s="16" t="str">
        <f aca="false">IF($D477="","",IF($J477&lt;&gt;"",$J477,$C$9))</f>
        <v/>
      </c>
      <c r="R477" s="12" t="str">
        <f aca="false">IF($D477="","",IFERROR(IF(INDEX(Profile!$G$5:$G$304,MATCH($D477,lst_Profil,0))&lt;&gt;"",INDEX(Profile!$G$5:$G$304,MATCH($D477,lst_Profil,0)),$H$4),$H$4))</f>
        <v/>
      </c>
      <c r="S477" s="12" t="str">
        <f aca="false">IF($D477="","",IFERROR(IF(INDEX(Profile!$H$5:$H$304,MATCH($D477,lst_Profil,0))&lt;&gt;"",INDEX(Profile!$H$5:$H$304,MATCH($D477,lst_Profil,0)),$H$5),$H$5))</f>
        <v/>
      </c>
      <c r="T477" s="16" t="str">
        <f aca="false">IF(OR(Q477="",NOT(ISNUMBER(R477)),NOT(ISNUMBER(S477))),"",Q477-R477-S477)</f>
        <v/>
      </c>
      <c r="U477" s="26" t="str">
        <f aca="false">IF(OR($D477="",$E477=""),"",IF(COUNTIFS(Preise!$A$5:$A$304,$D477,Preise!$B$5:$B$304,$E477,Preise!$I$5:$I$304,"OK")&gt;0,"ja","nein"))</f>
        <v/>
      </c>
      <c r="V477" s="15" t="str">
        <f aca="false">IF(OR(M477="",$E477="",$C$8=""),"",IF(_xlfn.MINIFS(Schneiddaten!$C$5:$C$304,Schneiddaten!$A$5:$A$304,$C$8,Schneiddaten!$B$5:$B$304,$E477,Schneiddaten!$C$5:$C$304,"&gt;="&amp;M477)=0,"",SUMIFS(Schneiddaten!$D$5:$D$304,Schneiddaten!$A$5:$A$304,$C$8,Schneiddaten!$B$5:$B$304,$E477,Schneiddaten!$C$5:$C$304,_xlfn.MINIFS(Schneiddaten!$C$5:$C$304,Schneiddaten!$A$5:$A$304,$C$8,Schneiddaten!$B$5:$B$304,$E477,Schneiddaten!$C$5:$C$304,"&gt;="&amp;M477))))</f>
        <v/>
      </c>
      <c r="W477" s="26" t="str">
        <f aca="false">IF(AND($D477="",$E477="",$F477="",$G477=""),"",IF(ISNA(MATCH($D477,lst_Profil,0)),"FEHLER: Profil unbekannt",IF(ISNA(MATCH($E477,lst_Werkstoff,0)),"FEHLER: Werkstoff unbekannt",IF(NOT(ISNUMBER(L477)),"FEHLER: Querschnitt fehlt (Profil)",IF(OR($F477="",$F477&lt;=0),"FEHLER: Teilelänge fehlt",IF(OR($G477="",$G477&lt;1),"FEHLER: Stückzahl fehlt",IF(NOT(ISNUMBER($H$4)),"FEHLER: Maschine fehlt/unbekannt",IF(Q477&gt;$H$7,"FEHLER: Stange länger als Maschine zulässt",IF($F477+$H$6&gt;T477,"FEHLER: Teil länger als Nutzlänge",IF(U477="nein","WARNUNG: kein gültiger Materialpreis",IF($H477="","HINWEIS: Schneidweg fehlt",IF(V477="","HINWEIS: keine Schneiddaten",IF(AND($AF477&lt;&gt;"",$AG477=""),"HINWEIS: Gewinde-Vorschlag prüfen","OK")))))))))))))</f>
        <v/>
      </c>
      <c r="X477" s="18" t="str">
        <f aca="false">IF(OR(O477="",$G477=""),"",O477*$G477)</f>
        <v/>
      </c>
      <c r="Y477" s="10"/>
      <c r="Z477" s="21"/>
      <c r="AA477" s="10"/>
      <c r="AB477" s="21"/>
      <c r="AC477" s="21"/>
      <c r="AD477" s="21"/>
      <c r="AE477" s="10"/>
      <c r="AF477" s="10"/>
      <c r="AG477" s="10"/>
      <c r="AH477" s="22"/>
      <c r="AI477" s="21"/>
      <c r="AJ477" s="22"/>
      <c r="AK477" s="21"/>
      <c r="AL477" s="22"/>
      <c r="AM477" s="21"/>
    </row>
    <row r="478" customFormat="false" ht="15" hidden="false" customHeight="false" outlineLevel="0" collapsed="false">
      <c r="A478" s="10"/>
      <c r="B478" s="10"/>
      <c r="C478" s="10"/>
      <c r="D478" s="10"/>
      <c r="E478" s="10"/>
      <c r="F478" s="21"/>
      <c r="G478" s="19"/>
      <c r="H478" s="21"/>
      <c r="I478" s="22"/>
      <c r="J478" s="19"/>
      <c r="K478" s="23" t="str">
        <f aca="false">IF($D478="","",IFERROR(INDEX(Profile!$B$5:$B$304,MATCH($D478,lst_Profil,0)),""))</f>
        <v/>
      </c>
      <c r="L478" s="13" t="str">
        <f aca="false">IF($D478="","",IFERROR(INDEX(Profile!$K$5:$K$304,MATCH($D478,lst_Profil,0))+0,""))</f>
        <v/>
      </c>
      <c r="M478" s="24" t="str">
        <f aca="false">IF($D478="","",IFERROR(INDEX(Profile!$E$5:$E$304,MATCH($D478,lst_Profil,0))+0,""))</f>
        <v/>
      </c>
      <c r="N478" s="25" t="str">
        <f aca="false">IF(OR(L478="",$E478=""),"",IFERROR(L478*INDEX(Werkstoffe!$E$5:$E$304,MATCH($E478,lst_Werkstoff,0))/1000,""))</f>
        <v/>
      </c>
      <c r="O478" s="25" t="str">
        <f aca="false">IF(OR(N478="",$F478=""),"",N478*$F478/1000)</f>
        <v/>
      </c>
      <c r="P478" s="16" t="str">
        <f aca="false">IF(OR($F478="",$G478=""),"",$F478*$G478)</f>
        <v/>
      </c>
      <c r="Q478" s="16" t="str">
        <f aca="false">IF($D478="","",IF($J478&lt;&gt;"",$J478,$C$9))</f>
        <v/>
      </c>
      <c r="R478" s="12" t="str">
        <f aca="false">IF($D478="","",IFERROR(IF(INDEX(Profile!$G$5:$G$304,MATCH($D478,lst_Profil,0))&lt;&gt;"",INDEX(Profile!$G$5:$G$304,MATCH($D478,lst_Profil,0)),$H$4),$H$4))</f>
        <v/>
      </c>
      <c r="S478" s="12" t="str">
        <f aca="false">IF($D478="","",IFERROR(IF(INDEX(Profile!$H$5:$H$304,MATCH($D478,lst_Profil,0))&lt;&gt;"",INDEX(Profile!$H$5:$H$304,MATCH($D478,lst_Profil,0)),$H$5),$H$5))</f>
        <v/>
      </c>
      <c r="T478" s="16" t="str">
        <f aca="false">IF(OR(Q478="",NOT(ISNUMBER(R478)),NOT(ISNUMBER(S478))),"",Q478-R478-S478)</f>
        <v/>
      </c>
      <c r="U478" s="26" t="str">
        <f aca="false">IF(OR($D478="",$E478=""),"",IF(COUNTIFS(Preise!$A$5:$A$304,$D478,Preise!$B$5:$B$304,$E478,Preise!$I$5:$I$304,"OK")&gt;0,"ja","nein"))</f>
        <v/>
      </c>
      <c r="V478" s="15" t="str">
        <f aca="false">IF(OR(M478="",$E478="",$C$8=""),"",IF(_xlfn.MINIFS(Schneiddaten!$C$5:$C$304,Schneiddaten!$A$5:$A$304,$C$8,Schneiddaten!$B$5:$B$304,$E478,Schneiddaten!$C$5:$C$304,"&gt;="&amp;M478)=0,"",SUMIFS(Schneiddaten!$D$5:$D$304,Schneiddaten!$A$5:$A$304,$C$8,Schneiddaten!$B$5:$B$304,$E478,Schneiddaten!$C$5:$C$304,_xlfn.MINIFS(Schneiddaten!$C$5:$C$304,Schneiddaten!$A$5:$A$304,$C$8,Schneiddaten!$B$5:$B$304,$E478,Schneiddaten!$C$5:$C$304,"&gt;="&amp;M478))))</f>
        <v/>
      </c>
      <c r="W478" s="26" t="str">
        <f aca="false">IF(AND($D478="",$E478="",$F478="",$G478=""),"",IF(ISNA(MATCH($D478,lst_Profil,0)),"FEHLER: Profil unbekannt",IF(ISNA(MATCH($E478,lst_Werkstoff,0)),"FEHLER: Werkstoff unbekannt",IF(NOT(ISNUMBER(L478)),"FEHLER: Querschnitt fehlt (Profil)",IF(OR($F478="",$F478&lt;=0),"FEHLER: Teilelänge fehlt",IF(OR($G478="",$G478&lt;1),"FEHLER: Stückzahl fehlt",IF(NOT(ISNUMBER($H$4)),"FEHLER: Maschine fehlt/unbekannt",IF(Q478&gt;$H$7,"FEHLER: Stange länger als Maschine zulässt",IF($F478+$H$6&gt;T478,"FEHLER: Teil länger als Nutzlänge",IF(U478="nein","WARNUNG: kein gültiger Materialpreis",IF($H478="","HINWEIS: Schneidweg fehlt",IF(V478="","HINWEIS: keine Schneiddaten",IF(AND($AF478&lt;&gt;"",$AG478=""),"HINWEIS: Gewinde-Vorschlag prüfen","OK")))))))))))))</f>
        <v/>
      </c>
      <c r="X478" s="18" t="str">
        <f aca="false">IF(OR(O478="",$G478=""),"",O478*$G478)</f>
        <v/>
      </c>
      <c r="Y478" s="10"/>
      <c r="Z478" s="21"/>
      <c r="AA478" s="10"/>
      <c r="AB478" s="21"/>
      <c r="AC478" s="21"/>
      <c r="AD478" s="21"/>
      <c r="AE478" s="10"/>
      <c r="AF478" s="10"/>
      <c r="AG478" s="10"/>
      <c r="AH478" s="22"/>
      <c r="AI478" s="21"/>
      <c r="AJ478" s="22"/>
      <c r="AK478" s="21"/>
      <c r="AL478" s="22"/>
      <c r="AM478" s="21"/>
    </row>
    <row r="479" customFormat="false" ht="15" hidden="false" customHeight="false" outlineLevel="0" collapsed="false">
      <c r="A479" s="10"/>
      <c r="B479" s="10"/>
      <c r="C479" s="10"/>
      <c r="D479" s="10"/>
      <c r="E479" s="10"/>
      <c r="F479" s="21"/>
      <c r="G479" s="19"/>
      <c r="H479" s="21"/>
      <c r="I479" s="22"/>
      <c r="J479" s="19"/>
      <c r="K479" s="23" t="str">
        <f aca="false">IF($D479="","",IFERROR(INDEX(Profile!$B$5:$B$304,MATCH($D479,lst_Profil,0)),""))</f>
        <v/>
      </c>
      <c r="L479" s="13" t="str">
        <f aca="false">IF($D479="","",IFERROR(INDEX(Profile!$K$5:$K$304,MATCH($D479,lst_Profil,0))+0,""))</f>
        <v/>
      </c>
      <c r="M479" s="24" t="str">
        <f aca="false">IF($D479="","",IFERROR(INDEX(Profile!$E$5:$E$304,MATCH($D479,lst_Profil,0))+0,""))</f>
        <v/>
      </c>
      <c r="N479" s="25" t="str">
        <f aca="false">IF(OR(L479="",$E479=""),"",IFERROR(L479*INDEX(Werkstoffe!$E$5:$E$304,MATCH($E479,lst_Werkstoff,0))/1000,""))</f>
        <v/>
      </c>
      <c r="O479" s="25" t="str">
        <f aca="false">IF(OR(N479="",$F479=""),"",N479*$F479/1000)</f>
        <v/>
      </c>
      <c r="P479" s="16" t="str">
        <f aca="false">IF(OR($F479="",$G479=""),"",$F479*$G479)</f>
        <v/>
      </c>
      <c r="Q479" s="16" t="str">
        <f aca="false">IF($D479="","",IF($J479&lt;&gt;"",$J479,$C$9))</f>
        <v/>
      </c>
      <c r="R479" s="12" t="str">
        <f aca="false">IF($D479="","",IFERROR(IF(INDEX(Profile!$G$5:$G$304,MATCH($D479,lst_Profil,0))&lt;&gt;"",INDEX(Profile!$G$5:$G$304,MATCH($D479,lst_Profil,0)),$H$4),$H$4))</f>
        <v/>
      </c>
      <c r="S479" s="12" t="str">
        <f aca="false">IF($D479="","",IFERROR(IF(INDEX(Profile!$H$5:$H$304,MATCH($D479,lst_Profil,0))&lt;&gt;"",INDEX(Profile!$H$5:$H$304,MATCH($D479,lst_Profil,0)),$H$5),$H$5))</f>
        <v/>
      </c>
      <c r="T479" s="16" t="str">
        <f aca="false">IF(OR(Q479="",NOT(ISNUMBER(R479)),NOT(ISNUMBER(S479))),"",Q479-R479-S479)</f>
        <v/>
      </c>
      <c r="U479" s="26" t="str">
        <f aca="false">IF(OR($D479="",$E479=""),"",IF(COUNTIFS(Preise!$A$5:$A$304,$D479,Preise!$B$5:$B$304,$E479,Preise!$I$5:$I$304,"OK")&gt;0,"ja","nein"))</f>
        <v/>
      </c>
      <c r="V479" s="15" t="str">
        <f aca="false">IF(OR(M479="",$E479="",$C$8=""),"",IF(_xlfn.MINIFS(Schneiddaten!$C$5:$C$304,Schneiddaten!$A$5:$A$304,$C$8,Schneiddaten!$B$5:$B$304,$E479,Schneiddaten!$C$5:$C$304,"&gt;="&amp;M479)=0,"",SUMIFS(Schneiddaten!$D$5:$D$304,Schneiddaten!$A$5:$A$304,$C$8,Schneiddaten!$B$5:$B$304,$E479,Schneiddaten!$C$5:$C$304,_xlfn.MINIFS(Schneiddaten!$C$5:$C$304,Schneiddaten!$A$5:$A$304,$C$8,Schneiddaten!$B$5:$B$304,$E479,Schneiddaten!$C$5:$C$304,"&gt;="&amp;M479))))</f>
        <v/>
      </c>
      <c r="W479" s="26" t="str">
        <f aca="false">IF(AND($D479="",$E479="",$F479="",$G479=""),"",IF(ISNA(MATCH($D479,lst_Profil,0)),"FEHLER: Profil unbekannt",IF(ISNA(MATCH($E479,lst_Werkstoff,0)),"FEHLER: Werkstoff unbekannt",IF(NOT(ISNUMBER(L479)),"FEHLER: Querschnitt fehlt (Profil)",IF(OR($F479="",$F479&lt;=0),"FEHLER: Teilelänge fehlt",IF(OR($G479="",$G479&lt;1),"FEHLER: Stückzahl fehlt",IF(NOT(ISNUMBER($H$4)),"FEHLER: Maschine fehlt/unbekannt",IF(Q479&gt;$H$7,"FEHLER: Stange länger als Maschine zulässt",IF($F479+$H$6&gt;T479,"FEHLER: Teil länger als Nutzlänge",IF(U479="nein","WARNUNG: kein gültiger Materialpreis",IF($H479="","HINWEIS: Schneidweg fehlt",IF(V479="","HINWEIS: keine Schneiddaten",IF(AND($AF479&lt;&gt;"",$AG479=""),"HINWEIS: Gewinde-Vorschlag prüfen","OK")))))))))))))</f>
        <v/>
      </c>
      <c r="X479" s="18" t="str">
        <f aca="false">IF(OR(O479="",$G479=""),"",O479*$G479)</f>
        <v/>
      </c>
      <c r="Y479" s="10"/>
      <c r="Z479" s="21"/>
      <c r="AA479" s="10"/>
      <c r="AB479" s="21"/>
      <c r="AC479" s="21"/>
      <c r="AD479" s="21"/>
      <c r="AE479" s="10"/>
      <c r="AF479" s="10"/>
      <c r="AG479" s="10"/>
      <c r="AH479" s="22"/>
      <c r="AI479" s="21"/>
      <c r="AJ479" s="22"/>
      <c r="AK479" s="21"/>
      <c r="AL479" s="22"/>
      <c r="AM479" s="21"/>
    </row>
    <row r="480" customFormat="false" ht="15" hidden="false" customHeight="false" outlineLevel="0" collapsed="false">
      <c r="A480" s="10"/>
      <c r="B480" s="10"/>
      <c r="C480" s="10"/>
      <c r="D480" s="10"/>
      <c r="E480" s="10"/>
      <c r="F480" s="21"/>
      <c r="G480" s="19"/>
      <c r="H480" s="21"/>
      <c r="I480" s="22"/>
      <c r="J480" s="19"/>
      <c r="K480" s="23" t="str">
        <f aca="false">IF($D480="","",IFERROR(INDEX(Profile!$B$5:$B$304,MATCH($D480,lst_Profil,0)),""))</f>
        <v/>
      </c>
      <c r="L480" s="13" t="str">
        <f aca="false">IF($D480="","",IFERROR(INDEX(Profile!$K$5:$K$304,MATCH($D480,lst_Profil,0))+0,""))</f>
        <v/>
      </c>
      <c r="M480" s="24" t="str">
        <f aca="false">IF($D480="","",IFERROR(INDEX(Profile!$E$5:$E$304,MATCH($D480,lst_Profil,0))+0,""))</f>
        <v/>
      </c>
      <c r="N480" s="25" t="str">
        <f aca="false">IF(OR(L480="",$E480=""),"",IFERROR(L480*INDEX(Werkstoffe!$E$5:$E$304,MATCH($E480,lst_Werkstoff,0))/1000,""))</f>
        <v/>
      </c>
      <c r="O480" s="25" t="str">
        <f aca="false">IF(OR(N480="",$F480=""),"",N480*$F480/1000)</f>
        <v/>
      </c>
      <c r="P480" s="16" t="str">
        <f aca="false">IF(OR($F480="",$G480=""),"",$F480*$G480)</f>
        <v/>
      </c>
      <c r="Q480" s="16" t="str">
        <f aca="false">IF($D480="","",IF($J480&lt;&gt;"",$J480,$C$9))</f>
        <v/>
      </c>
      <c r="R480" s="12" t="str">
        <f aca="false">IF($D480="","",IFERROR(IF(INDEX(Profile!$G$5:$G$304,MATCH($D480,lst_Profil,0))&lt;&gt;"",INDEX(Profile!$G$5:$G$304,MATCH($D480,lst_Profil,0)),$H$4),$H$4))</f>
        <v/>
      </c>
      <c r="S480" s="12" t="str">
        <f aca="false">IF($D480="","",IFERROR(IF(INDEX(Profile!$H$5:$H$304,MATCH($D480,lst_Profil,0))&lt;&gt;"",INDEX(Profile!$H$5:$H$304,MATCH($D480,lst_Profil,0)),$H$5),$H$5))</f>
        <v/>
      </c>
      <c r="T480" s="16" t="str">
        <f aca="false">IF(OR(Q480="",NOT(ISNUMBER(R480)),NOT(ISNUMBER(S480))),"",Q480-R480-S480)</f>
        <v/>
      </c>
      <c r="U480" s="26" t="str">
        <f aca="false">IF(OR($D480="",$E480=""),"",IF(COUNTIFS(Preise!$A$5:$A$304,$D480,Preise!$B$5:$B$304,$E480,Preise!$I$5:$I$304,"OK")&gt;0,"ja","nein"))</f>
        <v/>
      </c>
      <c r="V480" s="15" t="str">
        <f aca="false">IF(OR(M480="",$E480="",$C$8=""),"",IF(_xlfn.MINIFS(Schneiddaten!$C$5:$C$304,Schneiddaten!$A$5:$A$304,$C$8,Schneiddaten!$B$5:$B$304,$E480,Schneiddaten!$C$5:$C$304,"&gt;="&amp;M480)=0,"",SUMIFS(Schneiddaten!$D$5:$D$304,Schneiddaten!$A$5:$A$304,$C$8,Schneiddaten!$B$5:$B$304,$E480,Schneiddaten!$C$5:$C$304,_xlfn.MINIFS(Schneiddaten!$C$5:$C$304,Schneiddaten!$A$5:$A$304,$C$8,Schneiddaten!$B$5:$B$304,$E480,Schneiddaten!$C$5:$C$304,"&gt;="&amp;M480))))</f>
        <v/>
      </c>
      <c r="W480" s="26" t="str">
        <f aca="false">IF(AND($D480="",$E480="",$F480="",$G480=""),"",IF(ISNA(MATCH($D480,lst_Profil,0)),"FEHLER: Profil unbekannt",IF(ISNA(MATCH($E480,lst_Werkstoff,0)),"FEHLER: Werkstoff unbekannt",IF(NOT(ISNUMBER(L480)),"FEHLER: Querschnitt fehlt (Profil)",IF(OR($F480="",$F480&lt;=0),"FEHLER: Teilelänge fehlt",IF(OR($G480="",$G480&lt;1),"FEHLER: Stückzahl fehlt",IF(NOT(ISNUMBER($H$4)),"FEHLER: Maschine fehlt/unbekannt",IF(Q480&gt;$H$7,"FEHLER: Stange länger als Maschine zulässt",IF($F480+$H$6&gt;T480,"FEHLER: Teil länger als Nutzlänge",IF(U480="nein","WARNUNG: kein gültiger Materialpreis",IF($H480="","HINWEIS: Schneidweg fehlt",IF(V480="","HINWEIS: keine Schneiddaten",IF(AND($AF480&lt;&gt;"",$AG480=""),"HINWEIS: Gewinde-Vorschlag prüfen","OK")))))))))))))</f>
        <v/>
      </c>
      <c r="X480" s="18" t="str">
        <f aca="false">IF(OR(O480="",$G480=""),"",O480*$G480)</f>
        <v/>
      </c>
      <c r="Y480" s="10"/>
      <c r="Z480" s="21"/>
      <c r="AA480" s="10"/>
      <c r="AB480" s="21"/>
      <c r="AC480" s="21"/>
      <c r="AD480" s="21"/>
      <c r="AE480" s="10"/>
      <c r="AF480" s="10"/>
      <c r="AG480" s="10"/>
      <c r="AH480" s="22"/>
      <c r="AI480" s="21"/>
      <c r="AJ480" s="22"/>
      <c r="AK480" s="21"/>
      <c r="AL480" s="22"/>
      <c r="AM480" s="21"/>
    </row>
    <row r="481" customFormat="false" ht="15" hidden="false" customHeight="false" outlineLevel="0" collapsed="false">
      <c r="A481" s="10"/>
      <c r="B481" s="10"/>
      <c r="C481" s="10"/>
      <c r="D481" s="10"/>
      <c r="E481" s="10"/>
      <c r="F481" s="21"/>
      <c r="G481" s="19"/>
      <c r="H481" s="21"/>
      <c r="I481" s="22"/>
      <c r="J481" s="19"/>
      <c r="K481" s="23" t="str">
        <f aca="false">IF($D481="","",IFERROR(INDEX(Profile!$B$5:$B$304,MATCH($D481,lst_Profil,0)),""))</f>
        <v/>
      </c>
      <c r="L481" s="13" t="str">
        <f aca="false">IF($D481="","",IFERROR(INDEX(Profile!$K$5:$K$304,MATCH($D481,lst_Profil,0))+0,""))</f>
        <v/>
      </c>
      <c r="M481" s="24" t="str">
        <f aca="false">IF($D481="","",IFERROR(INDEX(Profile!$E$5:$E$304,MATCH($D481,lst_Profil,0))+0,""))</f>
        <v/>
      </c>
      <c r="N481" s="25" t="str">
        <f aca="false">IF(OR(L481="",$E481=""),"",IFERROR(L481*INDEX(Werkstoffe!$E$5:$E$304,MATCH($E481,lst_Werkstoff,0))/1000,""))</f>
        <v/>
      </c>
      <c r="O481" s="25" t="str">
        <f aca="false">IF(OR(N481="",$F481=""),"",N481*$F481/1000)</f>
        <v/>
      </c>
      <c r="P481" s="16" t="str">
        <f aca="false">IF(OR($F481="",$G481=""),"",$F481*$G481)</f>
        <v/>
      </c>
      <c r="Q481" s="16" t="str">
        <f aca="false">IF($D481="","",IF($J481&lt;&gt;"",$J481,$C$9))</f>
        <v/>
      </c>
      <c r="R481" s="12" t="str">
        <f aca="false">IF($D481="","",IFERROR(IF(INDEX(Profile!$G$5:$G$304,MATCH($D481,lst_Profil,0))&lt;&gt;"",INDEX(Profile!$G$5:$G$304,MATCH($D481,lst_Profil,0)),$H$4),$H$4))</f>
        <v/>
      </c>
      <c r="S481" s="12" t="str">
        <f aca="false">IF($D481="","",IFERROR(IF(INDEX(Profile!$H$5:$H$304,MATCH($D481,lst_Profil,0))&lt;&gt;"",INDEX(Profile!$H$5:$H$304,MATCH($D481,lst_Profil,0)),$H$5),$H$5))</f>
        <v/>
      </c>
      <c r="T481" s="16" t="str">
        <f aca="false">IF(OR(Q481="",NOT(ISNUMBER(R481)),NOT(ISNUMBER(S481))),"",Q481-R481-S481)</f>
        <v/>
      </c>
      <c r="U481" s="26" t="str">
        <f aca="false">IF(OR($D481="",$E481=""),"",IF(COUNTIFS(Preise!$A$5:$A$304,$D481,Preise!$B$5:$B$304,$E481,Preise!$I$5:$I$304,"OK")&gt;0,"ja","nein"))</f>
        <v/>
      </c>
      <c r="V481" s="15" t="str">
        <f aca="false">IF(OR(M481="",$E481="",$C$8=""),"",IF(_xlfn.MINIFS(Schneiddaten!$C$5:$C$304,Schneiddaten!$A$5:$A$304,$C$8,Schneiddaten!$B$5:$B$304,$E481,Schneiddaten!$C$5:$C$304,"&gt;="&amp;M481)=0,"",SUMIFS(Schneiddaten!$D$5:$D$304,Schneiddaten!$A$5:$A$304,$C$8,Schneiddaten!$B$5:$B$304,$E481,Schneiddaten!$C$5:$C$304,_xlfn.MINIFS(Schneiddaten!$C$5:$C$304,Schneiddaten!$A$5:$A$304,$C$8,Schneiddaten!$B$5:$B$304,$E481,Schneiddaten!$C$5:$C$304,"&gt;="&amp;M481))))</f>
        <v/>
      </c>
      <c r="W481" s="26" t="str">
        <f aca="false">IF(AND($D481="",$E481="",$F481="",$G481=""),"",IF(ISNA(MATCH($D481,lst_Profil,0)),"FEHLER: Profil unbekannt",IF(ISNA(MATCH($E481,lst_Werkstoff,0)),"FEHLER: Werkstoff unbekannt",IF(NOT(ISNUMBER(L481)),"FEHLER: Querschnitt fehlt (Profil)",IF(OR($F481="",$F481&lt;=0),"FEHLER: Teilelänge fehlt",IF(OR($G481="",$G481&lt;1),"FEHLER: Stückzahl fehlt",IF(NOT(ISNUMBER($H$4)),"FEHLER: Maschine fehlt/unbekannt",IF(Q481&gt;$H$7,"FEHLER: Stange länger als Maschine zulässt",IF($F481+$H$6&gt;T481,"FEHLER: Teil länger als Nutzlänge",IF(U481="nein","WARNUNG: kein gültiger Materialpreis",IF($H481="","HINWEIS: Schneidweg fehlt",IF(V481="","HINWEIS: keine Schneiddaten",IF(AND($AF481&lt;&gt;"",$AG481=""),"HINWEIS: Gewinde-Vorschlag prüfen","OK")))))))))))))</f>
        <v/>
      </c>
      <c r="X481" s="18" t="str">
        <f aca="false">IF(OR(O481="",$G481=""),"",O481*$G481)</f>
        <v/>
      </c>
      <c r="Y481" s="10"/>
      <c r="Z481" s="21"/>
      <c r="AA481" s="10"/>
      <c r="AB481" s="21"/>
      <c r="AC481" s="21"/>
      <c r="AD481" s="21"/>
      <c r="AE481" s="10"/>
      <c r="AF481" s="10"/>
      <c r="AG481" s="10"/>
      <c r="AH481" s="22"/>
      <c r="AI481" s="21"/>
      <c r="AJ481" s="22"/>
      <c r="AK481" s="21"/>
      <c r="AL481" s="22"/>
      <c r="AM481" s="21"/>
    </row>
    <row r="482" customFormat="false" ht="15" hidden="false" customHeight="false" outlineLevel="0" collapsed="false">
      <c r="A482" s="10"/>
      <c r="B482" s="10"/>
      <c r="C482" s="10"/>
      <c r="D482" s="10"/>
      <c r="E482" s="10"/>
      <c r="F482" s="21"/>
      <c r="G482" s="19"/>
      <c r="H482" s="21"/>
      <c r="I482" s="22"/>
      <c r="J482" s="19"/>
      <c r="K482" s="23" t="str">
        <f aca="false">IF($D482="","",IFERROR(INDEX(Profile!$B$5:$B$304,MATCH($D482,lst_Profil,0)),""))</f>
        <v/>
      </c>
      <c r="L482" s="13" t="str">
        <f aca="false">IF($D482="","",IFERROR(INDEX(Profile!$K$5:$K$304,MATCH($D482,lst_Profil,0))+0,""))</f>
        <v/>
      </c>
      <c r="M482" s="24" t="str">
        <f aca="false">IF($D482="","",IFERROR(INDEX(Profile!$E$5:$E$304,MATCH($D482,lst_Profil,0))+0,""))</f>
        <v/>
      </c>
      <c r="N482" s="25" t="str">
        <f aca="false">IF(OR(L482="",$E482=""),"",IFERROR(L482*INDEX(Werkstoffe!$E$5:$E$304,MATCH($E482,lst_Werkstoff,0))/1000,""))</f>
        <v/>
      </c>
      <c r="O482" s="25" t="str">
        <f aca="false">IF(OR(N482="",$F482=""),"",N482*$F482/1000)</f>
        <v/>
      </c>
      <c r="P482" s="16" t="str">
        <f aca="false">IF(OR($F482="",$G482=""),"",$F482*$G482)</f>
        <v/>
      </c>
      <c r="Q482" s="16" t="str">
        <f aca="false">IF($D482="","",IF($J482&lt;&gt;"",$J482,$C$9))</f>
        <v/>
      </c>
      <c r="R482" s="12" t="str">
        <f aca="false">IF($D482="","",IFERROR(IF(INDEX(Profile!$G$5:$G$304,MATCH($D482,lst_Profil,0))&lt;&gt;"",INDEX(Profile!$G$5:$G$304,MATCH($D482,lst_Profil,0)),$H$4),$H$4))</f>
        <v/>
      </c>
      <c r="S482" s="12" t="str">
        <f aca="false">IF($D482="","",IFERROR(IF(INDEX(Profile!$H$5:$H$304,MATCH($D482,lst_Profil,0))&lt;&gt;"",INDEX(Profile!$H$5:$H$304,MATCH($D482,lst_Profil,0)),$H$5),$H$5))</f>
        <v/>
      </c>
      <c r="T482" s="16" t="str">
        <f aca="false">IF(OR(Q482="",NOT(ISNUMBER(R482)),NOT(ISNUMBER(S482))),"",Q482-R482-S482)</f>
        <v/>
      </c>
      <c r="U482" s="26" t="str">
        <f aca="false">IF(OR($D482="",$E482=""),"",IF(COUNTIFS(Preise!$A$5:$A$304,$D482,Preise!$B$5:$B$304,$E482,Preise!$I$5:$I$304,"OK")&gt;0,"ja","nein"))</f>
        <v/>
      </c>
      <c r="V482" s="15" t="str">
        <f aca="false">IF(OR(M482="",$E482="",$C$8=""),"",IF(_xlfn.MINIFS(Schneiddaten!$C$5:$C$304,Schneiddaten!$A$5:$A$304,$C$8,Schneiddaten!$B$5:$B$304,$E482,Schneiddaten!$C$5:$C$304,"&gt;="&amp;M482)=0,"",SUMIFS(Schneiddaten!$D$5:$D$304,Schneiddaten!$A$5:$A$304,$C$8,Schneiddaten!$B$5:$B$304,$E482,Schneiddaten!$C$5:$C$304,_xlfn.MINIFS(Schneiddaten!$C$5:$C$304,Schneiddaten!$A$5:$A$304,$C$8,Schneiddaten!$B$5:$B$304,$E482,Schneiddaten!$C$5:$C$304,"&gt;="&amp;M482))))</f>
        <v/>
      </c>
      <c r="W482" s="26" t="str">
        <f aca="false">IF(AND($D482="",$E482="",$F482="",$G482=""),"",IF(ISNA(MATCH($D482,lst_Profil,0)),"FEHLER: Profil unbekannt",IF(ISNA(MATCH($E482,lst_Werkstoff,0)),"FEHLER: Werkstoff unbekannt",IF(NOT(ISNUMBER(L482)),"FEHLER: Querschnitt fehlt (Profil)",IF(OR($F482="",$F482&lt;=0),"FEHLER: Teilelänge fehlt",IF(OR($G482="",$G482&lt;1),"FEHLER: Stückzahl fehlt",IF(NOT(ISNUMBER($H$4)),"FEHLER: Maschine fehlt/unbekannt",IF(Q482&gt;$H$7,"FEHLER: Stange länger als Maschine zulässt",IF($F482+$H$6&gt;T482,"FEHLER: Teil länger als Nutzlänge",IF(U482="nein","WARNUNG: kein gültiger Materialpreis",IF($H482="","HINWEIS: Schneidweg fehlt",IF(V482="","HINWEIS: keine Schneiddaten",IF(AND($AF482&lt;&gt;"",$AG482=""),"HINWEIS: Gewinde-Vorschlag prüfen","OK")))))))))))))</f>
        <v/>
      </c>
      <c r="X482" s="18" t="str">
        <f aca="false">IF(OR(O482="",$G482=""),"",O482*$G482)</f>
        <v/>
      </c>
      <c r="Y482" s="10"/>
      <c r="Z482" s="21"/>
      <c r="AA482" s="10"/>
      <c r="AB482" s="21"/>
      <c r="AC482" s="21"/>
      <c r="AD482" s="21"/>
      <c r="AE482" s="10"/>
      <c r="AF482" s="10"/>
      <c r="AG482" s="10"/>
      <c r="AH482" s="22"/>
      <c r="AI482" s="21"/>
      <c r="AJ482" s="22"/>
      <c r="AK482" s="21"/>
      <c r="AL482" s="22"/>
      <c r="AM482" s="21"/>
    </row>
    <row r="483" customFormat="false" ht="15" hidden="false" customHeight="false" outlineLevel="0" collapsed="false">
      <c r="A483" s="10"/>
      <c r="B483" s="10"/>
      <c r="C483" s="10"/>
      <c r="D483" s="10"/>
      <c r="E483" s="10"/>
      <c r="F483" s="21"/>
      <c r="G483" s="19"/>
      <c r="H483" s="21"/>
      <c r="I483" s="22"/>
      <c r="J483" s="19"/>
      <c r="K483" s="23" t="str">
        <f aca="false">IF($D483="","",IFERROR(INDEX(Profile!$B$5:$B$304,MATCH($D483,lst_Profil,0)),""))</f>
        <v/>
      </c>
      <c r="L483" s="13" t="str">
        <f aca="false">IF($D483="","",IFERROR(INDEX(Profile!$K$5:$K$304,MATCH($D483,lst_Profil,0))+0,""))</f>
        <v/>
      </c>
      <c r="M483" s="24" t="str">
        <f aca="false">IF($D483="","",IFERROR(INDEX(Profile!$E$5:$E$304,MATCH($D483,lst_Profil,0))+0,""))</f>
        <v/>
      </c>
      <c r="N483" s="25" t="str">
        <f aca="false">IF(OR(L483="",$E483=""),"",IFERROR(L483*INDEX(Werkstoffe!$E$5:$E$304,MATCH($E483,lst_Werkstoff,0))/1000,""))</f>
        <v/>
      </c>
      <c r="O483" s="25" t="str">
        <f aca="false">IF(OR(N483="",$F483=""),"",N483*$F483/1000)</f>
        <v/>
      </c>
      <c r="P483" s="16" t="str">
        <f aca="false">IF(OR($F483="",$G483=""),"",$F483*$G483)</f>
        <v/>
      </c>
      <c r="Q483" s="16" t="str">
        <f aca="false">IF($D483="","",IF($J483&lt;&gt;"",$J483,$C$9))</f>
        <v/>
      </c>
      <c r="R483" s="12" t="str">
        <f aca="false">IF($D483="","",IFERROR(IF(INDEX(Profile!$G$5:$G$304,MATCH($D483,lst_Profil,0))&lt;&gt;"",INDEX(Profile!$G$5:$G$304,MATCH($D483,lst_Profil,0)),$H$4),$H$4))</f>
        <v/>
      </c>
      <c r="S483" s="12" t="str">
        <f aca="false">IF($D483="","",IFERROR(IF(INDEX(Profile!$H$5:$H$304,MATCH($D483,lst_Profil,0))&lt;&gt;"",INDEX(Profile!$H$5:$H$304,MATCH($D483,lst_Profil,0)),$H$5),$H$5))</f>
        <v/>
      </c>
      <c r="T483" s="16" t="str">
        <f aca="false">IF(OR(Q483="",NOT(ISNUMBER(R483)),NOT(ISNUMBER(S483))),"",Q483-R483-S483)</f>
        <v/>
      </c>
      <c r="U483" s="26" t="str">
        <f aca="false">IF(OR($D483="",$E483=""),"",IF(COUNTIFS(Preise!$A$5:$A$304,$D483,Preise!$B$5:$B$304,$E483,Preise!$I$5:$I$304,"OK")&gt;0,"ja","nein"))</f>
        <v/>
      </c>
      <c r="V483" s="15" t="str">
        <f aca="false">IF(OR(M483="",$E483="",$C$8=""),"",IF(_xlfn.MINIFS(Schneiddaten!$C$5:$C$304,Schneiddaten!$A$5:$A$304,$C$8,Schneiddaten!$B$5:$B$304,$E483,Schneiddaten!$C$5:$C$304,"&gt;="&amp;M483)=0,"",SUMIFS(Schneiddaten!$D$5:$D$304,Schneiddaten!$A$5:$A$304,$C$8,Schneiddaten!$B$5:$B$304,$E483,Schneiddaten!$C$5:$C$304,_xlfn.MINIFS(Schneiddaten!$C$5:$C$304,Schneiddaten!$A$5:$A$304,$C$8,Schneiddaten!$B$5:$B$304,$E483,Schneiddaten!$C$5:$C$304,"&gt;="&amp;M483))))</f>
        <v/>
      </c>
      <c r="W483" s="26" t="str">
        <f aca="false">IF(AND($D483="",$E483="",$F483="",$G483=""),"",IF(ISNA(MATCH($D483,lst_Profil,0)),"FEHLER: Profil unbekannt",IF(ISNA(MATCH($E483,lst_Werkstoff,0)),"FEHLER: Werkstoff unbekannt",IF(NOT(ISNUMBER(L483)),"FEHLER: Querschnitt fehlt (Profil)",IF(OR($F483="",$F483&lt;=0),"FEHLER: Teilelänge fehlt",IF(OR($G483="",$G483&lt;1),"FEHLER: Stückzahl fehlt",IF(NOT(ISNUMBER($H$4)),"FEHLER: Maschine fehlt/unbekannt",IF(Q483&gt;$H$7,"FEHLER: Stange länger als Maschine zulässt",IF($F483+$H$6&gt;T483,"FEHLER: Teil länger als Nutzlänge",IF(U483="nein","WARNUNG: kein gültiger Materialpreis",IF($H483="","HINWEIS: Schneidweg fehlt",IF(V483="","HINWEIS: keine Schneiddaten",IF(AND($AF483&lt;&gt;"",$AG483=""),"HINWEIS: Gewinde-Vorschlag prüfen","OK")))))))))))))</f>
        <v/>
      </c>
      <c r="X483" s="18" t="str">
        <f aca="false">IF(OR(O483="",$G483=""),"",O483*$G483)</f>
        <v/>
      </c>
      <c r="Y483" s="10"/>
      <c r="Z483" s="21"/>
      <c r="AA483" s="10"/>
      <c r="AB483" s="21"/>
      <c r="AC483" s="21"/>
      <c r="AD483" s="21"/>
      <c r="AE483" s="10"/>
      <c r="AF483" s="10"/>
      <c r="AG483" s="10"/>
      <c r="AH483" s="22"/>
      <c r="AI483" s="21"/>
      <c r="AJ483" s="22"/>
      <c r="AK483" s="21"/>
      <c r="AL483" s="22"/>
      <c r="AM483" s="21"/>
    </row>
    <row r="484" customFormat="false" ht="15" hidden="false" customHeight="false" outlineLevel="0" collapsed="false">
      <c r="A484" s="10"/>
      <c r="B484" s="10"/>
      <c r="C484" s="10"/>
      <c r="D484" s="10"/>
      <c r="E484" s="10"/>
      <c r="F484" s="21"/>
      <c r="G484" s="19"/>
      <c r="H484" s="21"/>
      <c r="I484" s="22"/>
      <c r="J484" s="19"/>
      <c r="K484" s="23" t="str">
        <f aca="false">IF($D484="","",IFERROR(INDEX(Profile!$B$5:$B$304,MATCH($D484,lst_Profil,0)),""))</f>
        <v/>
      </c>
      <c r="L484" s="13" t="str">
        <f aca="false">IF($D484="","",IFERROR(INDEX(Profile!$K$5:$K$304,MATCH($D484,lst_Profil,0))+0,""))</f>
        <v/>
      </c>
      <c r="M484" s="24" t="str">
        <f aca="false">IF($D484="","",IFERROR(INDEX(Profile!$E$5:$E$304,MATCH($D484,lst_Profil,0))+0,""))</f>
        <v/>
      </c>
      <c r="N484" s="25" t="str">
        <f aca="false">IF(OR(L484="",$E484=""),"",IFERROR(L484*INDEX(Werkstoffe!$E$5:$E$304,MATCH($E484,lst_Werkstoff,0))/1000,""))</f>
        <v/>
      </c>
      <c r="O484" s="25" t="str">
        <f aca="false">IF(OR(N484="",$F484=""),"",N484*$F484/1000)</f>
        <v/>
      </c>
      <c r="P484" s="16" t="str">
        <f aca="false">IF(OR($F484="",$G484=""),"",$F484*$G484)</f>
        <v/>
      </c>
      <c r="Q484" s="16" t="str">
        <f aca="false">IF($D484="","",IF($J484&lt;&gt;"",$J484,$C$9))</f>
        <v/>
      </c>
      <c r="R484" s="12" t="str">
        <f aca="false">IF($D484="","",IFERROR(IF(INDEX(Profile!$G$5:$G$304,MATCH($D484,lst_Profil,0))&lt;&gt;"",INDEX(Profile!$G$5:$G$304,MATCH($D484,lst_Profil,0)),$H$4),$H$4))</f>
        <v/>
      </c>
      <c r="S484" s="12" t="str">
        <f aca="false">IF($D484="","",IFERROR(IF(INDEX(Profile!$H$5:$H$304,MATCH($D484,lst_Profil,0))&lt;&gt;"",INDEX(Profile!$H$5:$H$304,MATCH($D484,lst_Profil,0)),$H$5),$H$5))</f>
        <v/>
      </c>
      <c r="T484" s="16" t="str">
        <f aca="false">IF(OR(Q484="",NOT(ISNUMBER(R484)),NOT(ISNUMBER(S484))),"",Q484-R484-S484)</f>
        <v/>
      </c>
      <c r="U484" s="26" t="str">
        <f aca="false">IF(OR($D484="",$E484=""),"",IF(COUNTIFS(Preise!$A$5:$A$304,$D484,Preise!$B$5:$B$304,$E484,Preise!$I$5:$I$304,"OK")&gt;0,"ja","nein"))</f>
        <v/>
      </c>
      <c r="V484" s="15" t="str">
        <f aca="false">IF(OR(M484="",$E484="",$C$8=""),"",IF(_xlfn.MINIFS(Schneiddaten!$C$5:$C$304,Schneiddaten!$A$5:$A$304,$C$8,Schneiddaten!$B$5:$B$304,$E484,Schneiddaten!$C$5:$C$304,"&gt;="&amp;M484)=0,"",SUMIFS(Schneiddaten!$D$5:$D$304,Schneiddaten!$A$5:$A$304,$C$8,Schneiddaten!$B$5:$B$304,$E484,Schneiddaten!$C$5:$C$304,_xlfn.MINIFS(Schneiddaten!$C$5:$C$304,Schneiddaten!$A$5:$A$304,$C$8,Schneiddaten!$B$5:$B$304,$E484,Schneiddaten!$C$5:$C$304,"&gt;="&amp;M484))))</f>
        <v/>
      </c>
      <c r="W484" s="26" t="str">
        <f aca="false">IF(AND($D484="",$E484="",$F484="",$G484=""),"",IF(ISNA(MATCH($D484,lst_Profil,0)),"FEHLER: Profil unbekannt",IF(ISNA(MATCH($E484,lst_Werkstoff,0)),"FEHLER: Werkstoff unbekannt",IF(NOT(ISNUMBER(L484)),"FEHLER: Querschnitt fehlt (Profil)",IF(OR($F484="",$F484&lt;=0),"FEHLER: Teilelänge fehlt",IF(OR($G484="",$G484&lt;1),"FEHLER: Stückzahl fehlt",IF(NOT(ISNUMBER($H$4)),"FEHLER: Maschine fehlt/unbekannt",IF(Q484&gt;$H$7,"FEHLER: Stange länger als Maschine zulässt",IF($F484+$H$6&gt;T484,"FEHLER: Teil länger als Nutzlänge",IF(U484="nein","WARNUNG: kein gültiger Materialpreis",IF($H484="","HINWEIS: Schneidweg fehlt",IF(V484="","HINWEIS: keine Schneiddaten",IF(AND($AF484&lt;&gt;"",$AG484=""),"HINWEIS: Gewinde-Vorschlag prüfen","OK")))))))))))))</f>
        <v/>
      </c>
      <c r="X484" s="18" t="str">
        <f aca="false">IF(OR(O484="",$G484=""),"",O484*$G484)</f>
        <v/>
      </c>
      <c r="Y484" s="10"/>
      <c r="Z484" s="21"/>
      <c r="AA484" s="10"/>
      <c r="AB484" s="21"/>
      <c r="AC484" s="21"/>
      <c r="AD484" s="21"/>
      <c r="AE484" s="10"/>
      <c r="AF484" s="10"/>
      <c r="AG484" s="10"/>
      <c r="AH484" s="22"/>
      <c r="AI484" s="21"/>
      <c r="AJ484" s="22"/>
      <c r="AK484" s="21"/>
      <c r="AL484" s="22"/>
      <c r="AM484" s="21"/>
    </row>
    <row r="485" customFormat="false" ht="15" hidden="false" customHeight="false" outlineLevel="0" collapsed="false">
      <c r="A485" s="10"/>
      <c r="B485" s="10"/>
      <c r="C485" s="10"/>
      <c r="D485" s="10"/>
      <c r="E485" s="10"/>
      <c r="F485" s="21"/>
      <c r="G485" s="19"/>
      <c r="H485" s="21"/>
      <c r="I485" s="22"/>
      <c r="J485" s="19"/>
      <c r="K485" s="23" t="str">
        <f aca="false">IF($D485="","",IFERROR(INDEX(Profile!$B$5:$B$304,MATCH($D485,lst_Profil,0)),""))</f>
        <v/>
      </c>
      <c r="L485" s="13" t="str">
        <f aca="false">IF($D485="","",IFERROR(INDEX(Profile!$K$5:$K$304,MATCH($D485,lst_Profil,0))+0,""))</f>
        <v/>
      </c>
      <c r="M485" s="24" t="str">
        <f aca="false">IF($D485="","",IFERROR(INDEX(Profile!$E$5:$E$304,MATCH($D485,lst_Profil,0))+0,""))</f>
        <v/>
      </c>
      <c r="N485" s="25" t="str">
        <f aca="false">IF(OR(L485="",$E485=""),"",IFERROR(L485*INDEX(Werkstoffe!$E$5:$E$304,MATCH($E485,lst_Werkstoff,0))/1000,""))</f>
        <v/>
      </c>
      <c r="O485" s="25" t="str">
        <f aca="false">IF(OR(N485="",$F485=""),"",N485*$F485/1000)</f>
        <v/>
      </c>
      <c r="P485" s="16" t="str">
        <f aca="false">IF(OR($F485="",$G485=""),"",$F485*$G485)</f>
        <v/>
      </c>
      <c r="Q485" s="16" t="str">
        <f aca="false">IF($D485="","",IF($J485&lt;&gt;"",$J485,$C$9))</f>
        <v/>
      </c>
      <c r="R485" s="12" t="str">
        <f aca="false">IF($D485="","",IFERROR(IF(INDEX(Profile!$G$5:$G$304,MATCH($D485,lst_Profil,0))&lt;&gt;"",INDEX(Profile!$G$5:$G$304,MATCH($D485,lst_Profil,0)),$H$4),$H$4))</f>
        <v/>
      </c>
      <c r="S485" s="12" t="str">
        <f aca="false">IF($D485="","",IFERROR(IF(INDEX(Profile!$H$5:$H$304,MATCH($D485,lst_Profil,0))&lt;&gt;"",INDEX(Profile!$H$5:$H$304,MATCH($D485,lst_Profil,0)),$H$5),$H$5))</f>
        <v/>
      </c>
      <c r="T485" s="16" t="str">
        <f aca="false">IF(OR(Q485="",NOT(ISNUMBER(R485)),NOT(ISNUMBER(S485))),"",Q485-R485-S485)</f>
        <v/>
      </c>
      <c r="U485" s="26" t="str">
        <f aca="false">IF(OR($D485="",$E485=""),"",IF(COUNTIFS(Preise!$A$5:$A$304,$D485,Preise!$B$5:$B$304,$E485,Preise!$I$5:$I$304,"OK")&gt;0,"ja","nein"))</f>
        <v/>
      </c>
      <c r="V485" s="15" t="str">
        <f aca="false">IF(OR(M485="",$E485="",$C$8=""),"",IF(_xlfn.MINIFS(Schneiddaten!$C$5:$C$304,Schneiddaten!$A$5:$A$304,$C$8,Schneiddaten!$B$5:$B$304,$E485,Schneiddaten!$C$5:$C$304,"&gt;="&amp;M485)=0,"",SUMIFS(Schneiddaten!$D$5:$D$304,Schneiddaten!$A$5:$A$304,$C$8,Schneiddaten!$B$5:$B$304,$E485,Schneiddaten!$C$5:$C$304,_xlfn.MINIFS(Schneiddaten!$C$5:$C$304,Schneiddaten!$A$5:$A$304,$C$8,Schneiddaten!$B$5:$B$304,$E485,Schneiddaten!$C$5:$C$304,"&gt;="&amp;M485))))</f>
        <v/>
      </c>
      <c r="W485" s="26" t="str">
        <f aca="false">IF(AND($D485="",$E485="",$F485="",$G485=""),"",IF(ISNA(MATCH($D485,lst_Profil,0)),"FEHLER: Profil unbekannt",IF(ISNA(MATCH($E485,lst_Werkstoff,0)),"FEHLER: Werkstoff unbekannt",IF(NOT(ISNUMBER(L485)),"FEHLER: Querschnitt fehlt (Profil)",IF(OR($F485="",$F485&lt;=0),"FEHLER: Teilelänge fehlt",IF(OR($G485="",$G485&lt;1),"FEHLER: Stückzahl fehlt",IF(NOT(ISNUMBER($H$4)),"FEHLER: Maschine fehlt/unbekannt",IF(Q485&gt;$H$7,"FEHLER: Stange länger als Maschine zulässt",IF($F485+$H$6&gt;T485,"FEHLER: Teil länger als Nutzlänge",IF(U485="nein","WARNUNG: kein gültiger Materialpreis",IF($H485="","HINWEIS: Schneidweg fehlt",IF(V485="","HINWEIS: keine Schneiddaten",IF(AND($AF485&lt;&gt;"",$AG485=""),"HINWEIS: Gewinde-Vorschlag prüfen","OK")))))))))))))</f>
        <v/>
      </c>
      <c r="X485" s="18" t="str">
        <f aca="false">IF(OR(O485="",$G485=""),"",O485*$G485)</f>
        <v/>
      </c>
      <c r="Y485" s="10"/>
      <c r="Z485" s="21"/>
      <c r="AA485" s="10"/>
      <c r="AB485" s="21"/>
      <c r="AC485" s="21"/>
      <c r="AD485" s="21"/>
      <c r="AE485" s="10"/>
      <c r="AF485" s="10"/>
      <c r="AG485" s="10"/>
      <c r="AH485" s="22"/>
      <c r="AI485" s="21"/>
      <c r="AJ485" s="22"/>
      <c r="AK485" s="21"/>
      <c r="AL485" s="22"/>
      <c r="AM485" s="21"/>
    </row>
    <row r="486" customFormat="false" ht="15" hidden="false" customHeight="false" outlineLevel="0" collapsed="false">
      <c r="A486" s="10"/>
      <c r="B486" s="10"/>
      <c r="C486" s="10"/>
      <c r="D486" s="10"/>
      <c r="E486" s="10"/>
      <c r="F486" s="21"/>
      <c r="G486" s="19"/>
      <c r="H486" s="21"/>
      <c r="I486" s="22"/>
      <c r="J486" s="19"/>
      <c r="K486" s="23" t="str">
        <f aca="false">IF($D486="","",IFERROR(INDEX(Profile!$B$5:$B$304,MATCH($D486,lst_Profil,0)),""))</f>
        <v/>
      </c>
      <c r="L486" s="13" t="str">
        <f aca="false">IF($D486="","",IFERROR(INDEX(Profile!$K$5:$K$304,MATCH($D486,lst_Profil,0))+0,""))</f>
        <v/>
      </c>
      <c r="M486" s="24" t="str">
        <f aca="false">IF($D486="","",IFERROR(INDEX(Profile!$E$5:$E$304,MATCH($D486,lst_Profil,0))+0,""))</f>
        <v/>
      </c>
      <c r="N486" s="25" t="str">
        <f aca="false">IF(OR(L486="",$E486=""),"",IFERROR(L486*INDEX(Werkstoffe!$E$5:$E$304,MATCH($E486,lst_Werkstoff,0))/1000,""))</f>
        <v/>
      </c>
      <c r="O486" s="25" t="str">
        <f aca="false">IF(OR(N486="",$F486=""),"",N486*$F486/1000)</f>
        <v/>
      </c>
      <c r="P486" s="16" t="str">
        <f aca="false">IF(OR($F486="",$G486=""),"",$F486*$G486)</f>
        <v/>
      </c>
      <c r="Q486" s="16" t="str">
        <f aca="false">IF($D486="","",IF($J486&lt;&gt;"",$J486,$C$9))</f>
        <v/>
      </c>
      <c r="R486" s="12" t="str">
        <f aca="false">IF($D486="","",IFERROR(IF(INDEX(Profile!$G$5:$G$304,MATCH($D486,lst_Profil,0))&lt;&gt;"",INDEX(Profile!$G$5:$G$304,MATCH($D486,lst_Profil,0)),$H$4),$H$4))</f>
        <v/>
      </c>
      <c r="S486" s="12" t="str">
        <f aca="false">IF($D486="","",IFERROR(IF(INDEX(Profile!$H$5:$H$304,MATCH($D486,lst_Profil,0))&lt;&gt;"",INDEX(Profile!$H$5:$H$304,MATCH($D486,lst_Profil,0)),$H$5),$H$5))</f>
        <v/>
      </c>
      <c r="T486" s="16" t="str">
        <f aca="false">IF(OR(Q486="",NOT(ISNUMBER(R486)),NOT(ISNUMBER(S486))),"",Q486-R486-S486)</f>
        <v/>
      </c>
      <c r="U486" s="26" t="str">
        <f aca="false">IF(OR($D486="",$E486=""),"",IF(COUNTIFS(Preise!$A$5:$A$304,$D486,Preise!$B$5:$B$304,$E486,Preise!$I$5:$I$304,"OK")&gt;0,"ja","nein"))</f>
        <v/>
      </c>
      <c r="V486" s="15" t="str">
        <f aca="false">IF(OR(M486="",$E486="",$C$8=""),"",IF(_xlfn.MINIFS(Schneiddaten!$C$5:$C$304,Schneiddaten!$A$5:$A$304,$C$8,Schneiddaten!$B$5:$B$304,$E486,Schneiddaten!$C$5:$C$304,"&gt;="&amp;M486)=0,"",SUMIFS(Schneiddaten!$D$5:$D$304,Schneiddaten!$A$5:$A$304,$C$8,Schneiddaten!$B$5:$B$304,$E486,Schneiddaten!$C$5:$C$304,_xlfn.MINIFS(Schneiddaten!$C$5:$C$304,Schneiddaten!$A$5:$A$304,$C$8,Schneiddaten!$B$5:$B$304,$E486,Schneiddaten!$C$5:$C$304,"&gt;="&amp;M486))))</f>
        <v/>
      </c>
      <c r="W486" s="26" t="str">
        <f aca="false">IF(AND($D486="",$E486="",$F486="",$G486=""),"",IF(ISNA(MATCH($D486,lst_Profil,0)),"FEHLER: Profil unbekannt",IF(ISNA(MATCH($E486,lst_Werkstoff,0)),"FEHLER: Werkstoff unbekannt",IF(NOT(ISNUMBER(L486)),"FEHLER: Querschnitt fehlt (Profil)",IF(OR($F486="",$F486&lt;=0),"FEHLER: Teilelänge fehlt",IF(OR($G486="",$G486&lt;1),"FEHLER: Stückzahl fehlt",IF(NOT(ISNUMBER($H$4)),"FEHLER: Maschine fehlt/unbekannt",IF(Q486&gt;$H$7,"FEHLER: Stange länger als Maschine zulässt",IF($F486+$H$6&gt;T486,"FEHLER: Teil länger als Nutzlänge",IF(U486="nein","WARNUNG: kein gültiger Materialpreis",IF($H486="","HINWEIS: Schneidweg fehlt",IF(V486="","HINWEIS: keine Schneiddaten",IF(AND($AF486&lt;&gt;"",$AG486=""),"HINWEIS: Gewinde-Vorschlag prüfen","OK")))))))))))))</f>
        <v/>
      </c>
      <c r="X486" s="18" t="str">
        <f aca="false">IF(OR(O486="",$G486=""),"",O486*$G486)</f>
        <v/>
      </c>
      <c r="Y486" s="10"/>
      <c r="Z486" s="21"/>
      <c r="AA486" s="10"/>
      <c r="AB486" s="21"/>
      <c r="AC486" s="21"/>
      <c r="AD486" s="21"/>
      <c r="AE486" s="10"/>
      <c r="AF486" s="10"/>
      <c r="AG486" s="10"/>
      <c r="AH486" s="22"/>
      <c r="AI486" s="21"/>
      <c r="AJ486" s="22"/>
      <c r="AK486" s="21"/>
      <c r="AL486" s="22"/>
      <c r="AM486" s="21"/>
    </row>
    <row r="487" customFormat="false" ht="15" hidden="false" customHeight="false" outlineLevel="0" collapsed="false">
      <c r="A487" s="10"/>
      <c r="B487" s="10"/>
      <c r="C487" s="10"/>
      <c r="D487" s="10"/>
      <c r="E487" s="10"/>
      <c r="F487" s="21"/>
      <c r="G487" s="19"/>
      <c r="H487" s="21"/>
      <c r="I487" s="22"/>
      <c r="J487" s="19"/>
      <c r="K487" s="23" t="str">
        <f aca="false">IF($D487="","",IFERROR(INDEX(Profile!$B$5:$B$304,MATCH($D487,lst_Profil,0)),""))</f>
        <v/>
      </c>
      <c r="L487" s="13" t="str">
        <f aca="false">IF($D487="","",IFERROR(INDEX(Profile!$K$5:$K$304,MATCH($D487,lst_Profil,0))+0,""))</f>
        <v/>
      </c>
      <c r="M487" s="24" t="str">
        <f aca="false">IF($D487="","",IFERROR(INDEX(Profile!$E$5:$E$304,MATCH($D487,lst_Profil,0))+0,""))</f>
        <v/>
      </c>
      <c r="N487" s="25" t="str">
        <f aca="false">IF(OR(L487="",$E487=""),"",IFERROR(L487*INDEX(Werkstoffe!$E$5:$E$304,MATCH($E487,lst_Werkstoff,0))/1000,""))</f>
        <v/>
      </c>
      <c r="O487" s="25" t="str">
        <f aca="false">IF(OR(N487="",$F487=""),"",N487*$F487/1000)</f>
        <v/>
      </c>
      <c r="P487" s="16" t="str">
        <f aca="false">IF(OR($F487="",$G487=""),"",$F487*$G487)</f>
        <v/>
      </c>
      <c r="Q487" s="16" t="str">
        <f aca="false">IF($D487="","",IF($J487&lt;&gt;"",$J487,$C$9))</f>
        <v/>
      </c>
      <c r="R487" s="12" t="str">
        <f aca="false">IF($D487="","",IFERROR(IF(INDEX(Profile!$G$5:$G$304,MATCH($D487,lst_Profil,0))&lt;&gt;"",INDEX(Profile!$G$5:$G$304,MATCH($D487,lst_Profil,0)),$H$4),$H$4))</f>
        <v/>
      </c>
      <c r="S487" s="12" t="str">
        <f aca="false">IF($D487="","",IFERROR(IF(INDEX(Profile!$H$5:$H$304,MATCH($D487,lst_Profil,0))&lt;&gt;"",INDEX(Profile!$H$5:$H$304,MATCH($D487,lst_Profil,0)),$H$5),$H$5))</f>
        <v/>
      </c>
      <c r="T487" s="16" t="str">
        <f aca="false">IF(OR(Q487="",NOT(ISNUMBER(R487)),NOT(ISNUMBER(S487))),"",Q487-R487-S487)</f>
        <v/>
      </c>
      <c r="U487" s="26" t="str">
        <f aca="false">IF(OR($D487="",$E487=""),"",IF(COUNTIFS(Preise!$A$5:$A$304,$D487,Preise!$B$5:$B$304,$E487,Preise!$I$5:$I$304,"OK")&gt;0,"ja","nein"))</f>
        <v/>
      </c>
      <c r="V487" s="15" t="str">
        <f aca="false">IF(OR(M487="",$E487="",$C$8=""),"",IF(_xlfn.MINIFS(Schneiddaten!$C$5:$C$304,Schneiddaten!$A$5:$A$304,$C$8,Schneiddaten!$B$5:$B$304,$E487,Schneiddaten!$C$5:$C$304,"&gt;="&amp;M487)=0,"",SUMIFS(Schneiddaten!$D$5:$D$304,Schneiddaten!$A$5:$A$304,$C$8,Schneiddaten!$B$5:$B$304,$E487,Schneiddaten!$C$5:$C$304,_xlfn.MINIFS(Schneiddaten!$C$5:$C$304,Schneiddaten!$A$5:$A$304,$C$8,Schneiddaten!$B$5:$B$304,$E487,Schneiddaten!$C$5:$C$304,"&gt;="&amp;M487))))</f>
        <v/>
      </c>
      <c r="W487" s="26" t="str">
        <f aca="false">IF(AND($D487="",$E487="",$F487="",$G487=""),"",IF(ISNA(MATCH($D487,lst_Profil,0)),"FEHLER: Profil unbekannt",IF(ISNA(MATCH($E487,lst_Werkstoff,0)),"FEHLER: Werkstoff unbekannt",IF(NOT(ISNUMBER(L487)),"FEHLER: Querschnitt fehlt (Profil)",IF(OR($F487="",$F487&lt;=0),"FEHLER: Teilelänge fehlt",IF(OR($G487="",$G487&lt;1),"FEHLER: Stückzahl fehlt",IF(NOT(ISNUMBER($H$4)),"FEHLER: Maschine fehlt/unbekannt",IF(Q487&gt;$H$7,"FEHLER: Stange länger als Maschine zulässt",IF($F487+$H$6&gt;T487,"FEHLER: Teil länger als Nutzlänge",IF(U487="nein","WARNUNG: kein gültiger Materialpreis",IF($H487="","HINWEIS: Schneidweg fehlt",IF(V487="","HINWEIS: keine Schneiddaten",IF(AND($AF487&lt;&gt;"",$AG487=""),"HINWEIS: Gewinde-Vorschlag prüfen","OK")))))))))))))</f>
        <v/>
      </c>
      <c r="X487" s="18" t="str">
        <f aca="false">IF(OR(O487="",$G487=""),"",O487*$G487)</f>
        <v/>
      </c>
      <c r="Y487" s="10"/>
      <c r="Z487" s="21"/>
      <c r="AA487" s="10"/>
      <c r="AB487" s="21"/>
      <c r="AC487" s="21"/>
      <c r="AD487" s="21"/>
      <c r="AE487" s="10"/>
      <c r="AF487" s="10"/>
      <c r="AG487" s="10"/>
      <c r="AH487" s="22"/>
      <c r="AI487" s="21"/>
      <c r="AJ487" s="22"/>
      <c r="AK487" s="21"/>
      <c r="AL487" s="22"/>
      <c r="AM487" s="21"/>
    </row>
    <row r="488" customFormat="false" ht="15" hidden="false" customHeight="false" outlineLevel="0" collapsed="false">
      <c r="A488" s="10"/>
      <c r="B488" s="10"/>
      <c r="C488" s="10"/>
      <c r="D488" s="10"/>
      <c r="E488" s="10"/>
      <c r="F488" s="21"/>
      <c r="G488" s="19"/>
      <c r="H488" s="21"/>
      <c r="I488" s="22"/>
      <c r="J488" s="19"/>
      <c r="K488" s="23" t="str">
        <f aca="false">IF($D488="","",IFERROR(INDEX(Profile!$B$5:$B$304,MATCH($D488,lst_Profil,0)),""))</f>
        <v/>
      </c>
      <c r="L488" s="13" t="str">
        <f aca="false">IF($D488="","",IFERROR(INDEX(Profile!$K$5:$K$304,MATCH($D488,lst_Profil,0))+0,""))</f>
        <v/>
      </c>
      <c r="M488" s="24" t="str">
        <f aca="false">IF($D488="","",IFERROR(INDEX(Profile!$E$5:$E$304,MATCH($D488,lst_Profil,0))+0,""))</f>
        <v/>
      </c>
      <c r="N488" s="25" t="str">
        <f aca="false">IF(OR(L488="",$E488=""),"",IFERROR(L488*INDEX(Werkstoffe!$E$5:$E$304,MATCH($E488,lst_Werkstoff,0))/1000,""))</f>
        <v/>
      </c>
      <c r="O488" s="25" t="str">
        <f aca="false">IF(OR(N488="",$F488=""),"",N488*$F488/1000)</f>
        <v/>
      </c>
      <c r="P488" s="16" t="str">
        <f aca="false">IF(OR($F488="",$G488=""),"",$F488*$G488)</f>
        <v/>
      </c>
      <c r="Q488" s="16" t="str">
        <f aca="false">IF($D488="","",IF($J488&lt;&gt;"",$J488,$C$9))</f>
        <v/>
      </c>
      <c r="R488" s="12" t="str">
        <f aca="false">IF($D488="","",IFERROR(IF(INDEX(Profile!$G$5:$G$304,MATCH($D488,lst_Profil,0))&lt;&gt;"",INDEX(Profile!$G$5:$G$304,MATCH($D488,lst_Profil,0)),$H$4),$H$4))</f>
        <v/>
      </c>
      <c r="S488" s="12" t="str">
        <f aca="false">IF($D488="","",IFERROR(IF(INDEX(Profile!$H$5:$H$304,MATCH($D488,lst_Profil,0))&lt;&gt;"",INDEX(Profile!$H$5:$H$304,MATCH($D488,lst_Profil,0)),$H$5),$H$5))</f>
        <v/>
      </c>
      <c r="T488" s="16" t="str">
        <f aca="false">IF(OR(Q488="",NOT(ISNUMBER(R488)),NOT(ISNUMBER(S488))),"",Q488-R488-S488)</f>
        <v/>
      </c>
      <c r="U488" s="26" t="str">
        <f aca="false">IF(OR($D488="",$E488=""),"",IF(COUNTIFS(Preise!$A$5:$A$304,$D488,Preise!$B$5:$B$304,$E488,Preise!$I$5:$I$304,"OK")&gt;0,"ja","nein"))</f>
        <v/>
      </c>
      <c r="V488" s="15" t="str">
        <f aca="false">IF(OR(M488="",$E488="",$C$8=""),"",IF(_xlfn.MINIFS(Schneiddaten!$C$5:$C$304,Schneiddaten!$A$5:$A$304,$C$8,Schneiddaten!$B$5:$B$304,$E488,Schneiddaten!$C$5:$C$304,"&gt;="&amp;M488)=0,"",SUMIFS(Schneiddaten!$D$5:$D$304,Schneiddaten!$A$5:$A$304,$C$8,Schneiddaten!$B$5:$B$304,$E488,Schneiddaten!$C$5:$C$304,_xlfn.MINIFS(Schneiddaten!$C$5:$C$304,Schneiddaten!$A$5:$A$304,$C$8,Schneiddaten!$B$5:$B$304,$E488,Schneiddaten!$C$5:$C$304,"&gt;="&amp;M488))))</f>
        <v/>
      </c>
      <c r="W488" s="26" t="str">
        <f aca="false">IF(AND($D488="",$E488="",$F488="",$G488=""),"",IF(ISNA(MATCH($D488,lst_Profil,0)),"FEHLER: Profil unbekannt",IF(ISNA(MATCH($E488,lst_Werkstoff,0)),"FEHLER: Werkstoff unbekannt",IF(NOT(ISNUMBER(L488)),"FEHLER: Querschnitt fehlt (Profil)",IF(OR($F488="",$F488&lt;=0),"FEHLER: Teilelänge fehlt",IF(OR($G488="",$G488&lt;1),"FEHLER: Stückzahl fehlt",IF(NOT(ISNUMBER($H$4)),"FEHLER: Maschine fehlt/unbekannt",IF(Q488&gt;$H$7,"FEHLER: Stange länger als Maschine zulässt",IF($F488+$H$6&gt;T488,"FEHLER: Teil länger als Nutzlänge",IF(U488="nein","WARNUNG: kein gültiger Materialpreis",IF($H488="","HINWEIS: Schneidweg fehlt",IF(V488="","HINWEIS: keine Schneiddaten",IF(AND($AF488&lt;&gt;"",$AG488=""),"HINWEIS: Gewinde-Vorschlag prüfen","OK")))))))))))))</f>
        <v/>
      </c>
      <c r="X488" s="18" t="str">
        <f aca="false">IF(OR(O488="",$G488=""),"",O488*$G488)</f>
        <v/>
      </c>
      <c r="Y488" s="10"/>
      <c r="Z488" s="21"/>
      <c r="AA488" s="10"/>
      <c r="AB488" s="21"/>
      <c r="AC488" s="21"/>
      <c r="AD488" s="21"/>
      <c r="AE488" s="10"/>
      <c r="AF488" s="10"/>
      <c r="AG488" s="10"/>
      <c r="AH488" s="22"/>
      <c r="AI488" s="21"/>
      <c r="AJ488" s="22"/>
      <c r="AK488" s="21"/>
      <c r="AL488" s="22"/>
      <c r="AM488" s="21"/>
    </row>
    <row r="489" customFormat="false" ht="15" hidden="false" customHeight="false" outlineLevel="0" collapsed="false">
      <c r="A489" s="10"/>
      <c r="B489" s="10"/>
      <c r="C489" s="10"/>
      <c r="D489" s="10"/>
      <c r="E489" s="10"/>
      <c r="F489" s="21"/>
      <c r="G489" s="19"/>
      <c r="H489" s="21"/>
      <c r="I489" s="22"/>
      <c r="J489" s="19"/>
      <c r="K489" s="23" t="str">
        <f aca="false">IF($D489="","",IFERROR(INDEX(Profile!$B$5:$B$304,MATCH($D489,lst_Profil,0)),""))</f>
        <v/>
      </c>
      <c r="L489" s="13" t="str">
        <f aca="false">IF($D489="","",IFERROR(INDEX(Profile!$K$5:$K$304,MATCH($D489,lst_Profil,0))+0,""))</f>
        <v/>
      </c>
      <c r="M489" s="24" t="str">
        <f aca="false">IF($D489="","",IFERROR(INDEX(Profile!$E$5:$E$304,MATCH($D489,lst_Profil,0))+0,""))</f>
        <v/>
      </c>
      <c r="N489" s="25" t="str">
        <f aca="false">IF(OR(L489="",$E489=""),"",IFERROR(L489*INDEX(Werkstoffe!$E$5:$E$304,MATCH($E489,lst_Werkstoff,0))/1000,""))</f>
        <v/>
      </c>
      <c r="O489" s="25" t="str">
        <f aca="false">IF(OR(N489="",$F489=""),"",N489*$F489/1000)</f>
        <v/>
      </c>
      <c r="P489" s="16" t="str">
        <f aca="false">IF(OR($F489="",$G489=""),"",$F489*$G489)</f>
        <v/>
      </c>
      <c r="Q489" s="16" t="str">
        <f aca="false">IF($D489="","",IF($J489&lt;&gt;"",$J489,$C$9))</f>
        <v/>
      </c>
      <c r="R489" s="12" t="str">
        <f aca="false">IF($D489="","",IFERROR(IF(INDEX(Profile!$G$5:$G$304,MATCH($D489,lst_Profil,0))&lt;&gt;"",INDEX(Profile!$G$5:$G$304,MATCH($D489,lst_Profil,0)),$H$4),$H$4))</f>
        <v/>
      </c>
      <c r="S489" s="12" t="str">
        <f aca="false">IF($D489="","",IFERROR(IF(INDEX(Profile!$H$5:$H$304,MATCH($D489,lst_Profil,0))&lt;&gt;"",INDEX(Profile!$H$5:$H$304,MATCH($D489,lst_Profil,0)),$H$5),$H$5))</f>
        <v/>
      </c>
      <c r="T489" s="16" t="str">
        <f aca="false">IF(OR(Q489="",NOT(ISNUMBER(R489)),NOT(ISNUMBER(S489))),"",Q489-R489-S489)</f>
        <v/>
      </c>
      <c r="U489" s="26" t="str">
        <f aca="false">IF(OR($D489="",$E489=""),"",IF(COUNTIFS(Preise!$A$5:$A$304,$D489,Preise!$B$5:$B$304,$E489,Preise!$I$5:$I$304,"OK")&gt;0,"ja","nein"))</f>
        <v/>
      </c>
      <c r="V489" s="15" t="str">
        <f aca="false">IF(OR(M489="",$E489="",$C$8=""),"",IF(_xlfn.MINIFS(Schneiddaten!$C$5:$C$304,Schneiddaten!$A$5:$A$304,$C$8,Schneiddaten!$B$5:$B$304,$E489,Schneiddaten!$C$5:$C$304,"&gt;="&amp;M489)=0,"",SUMIFS(Schneiddaten!$D$5:$D$304,Schneiddaten!$A$5:$A$304,$C$8,Schneiddaten!$B$5:$B$304,$E489,Schneiddaten!$C$5:$C$304,_xlfn.MINIFS(Schneiddaten!$C$5:$C$304,Schneiddaten!$A$5:$A$304,$C$8,Schneiddaten!$B$5:$B$304,$E489,Schneiddaten!$C$5:$C$304,"&gt;="&amp;M489))))</f>
        <v/>
      </c>
      <c r="W489" s="26" t="str">
        <f aca="false">IF(AND($D489="",$E489="",$F489="",$G489=""),"",IF(ISNA(MATCH($D489,lst_Profil,0)),"FEHLER: Profil unbekannt",IF(ISNA(MATCH($E489,lst_Werkstoff,0)),"FEHLER: Werkstoff unbekannt",IF(NOT(ISNUMBER(L489)),"FEHLER: Querschnitt fehlt (Profil)",IF(OR($F489="",$F489&lt;=0),"FEHLER: Teilelänge fehlt",IF(OR($G489="",$G489&lt;1),"FEHLER: Stückzahl fehlt",IF(NOT(ISNUMBER($H$4)),"FEHLER: Maschine fehlt/unbekannt",IF(Q489&gt;$H$7,"FEHLER: Stange länger als Maschine zulässt",IF($F489+$H$6&gt;T489,"FEHLER: Teil länger als Nutzlänge",IF(U489="nein","WARNUNG: kein gültiger Materialpreis",IF($H489="","HINWEIS: Schneidweg fehlt",IF(V489="","HINWEIS: keine Schneiddaten",IF(AND($AF489&lt;&gt;"",$AG489=""),"HINWEIS: Gewinde-Vorschlag prüfen","OK")))))))))))))</f>
        <v/>
      </c>
      <c r="X489" s="18" t="str">
        <f aca="false">IF(OR(O489="",$G489=""),"",O489*$G489)</f>
        <v/>
      </c>
      <c r="Y489" s="10"/>
      <c r="Z489" s="21"/>
      <c r="AA489" s="10"/>
      <c r="AB489" s="21"/>
      <c r="AC489" s="21"/>
      <c r="AD489" s="21"/>
      <c r="AE489" s="10"/>
      <c r="AF489" s="10"/>
      <c r="AG489" s="10"/>
      <c r="AH489" s="22"/>
      <c r="AI489" s="21"/>
      <c r="AJ489" s="22"/>
      <c r="AK489" s="21"/>
      <c r="AL489" s="22"/>
      <c r="AM489" s="21"/>
    </row>
    <row r="490" customFormat="false" ht="15" hidden="false" customHeight="false" outlineLevel="0" collapsed="false">
      <c r="A490" s="10"/>
      <c r="B490" s="10"/>
      <c r="C490" s="10"/>
      <c r="D490" s="10"/>
      <c r="E490" s="10"/>
      <c r="F490" s="21"/>
      <c r="G490" s="19"/>
      <c r="H490" s="21"/>
      <c r="I490" s="22"/>
      <c r="J490" s="19"/>
      <c r="K490" s="23" t="str">
        <f aca="false">IF($D490="","",IFERROR(INDEX(Profile!$B$5:$B$304,MATCH($D490,lst_Profil,0)),""))</f>
        <v/>
      </c>
      <c r="L490" s="13" t="str">
        <f aca="false">IF($D490="","",IFERROR(INDEX(Profile!$K$5:$K$304,MATCH($D490,lst_Profil,0))+0,""))</f>
        <v/>
      </c>
      <c r="M490" s="24" t="str">
        <f aca="false">IF($D490="","",IFERROR(INDEX(Profile!$E$5:$E$304,MATCH($D490,lst_Profil,0))+0,""))</f>
        <v/>
      </c>
      <c r="N490" s="25" t="str">
        <f aca="false">IF(OR(L490="",$E490=""),"",IFERROR(L490*INDEX(Werkstoffe!$E$5:$E$304,MATCH($E490,lst_Werkstoff,0))/1000,""))</f>
        <v/>
      </c>
      <c r="O490" s="25" t="str">
        <f aca="false">IF(OR(N490="",$F490=""),"",N490*$F490/1000)</f>
        <v/>
      </c>
      <c r="P490" s="16" t="str">
        <f aca="false">IF(OR($F490="",$G490=""),"",$F490*$G490)</f>
        <v/>
      </c>
      <c r="Q490" s="16" t="str">
        <f aca="false">IF($D490="","",IF($J490&lt;&gt;"",$J490,$C$9))</f>
        <v/>
      </c>
      <c r="R490" s="12" t="str">
        <f aca="false">IF($D490="","",IFERROR(IF(INDEX(Profile!$G$5:$G$304,MATCH($D490,lst_Profil,0))&lt;&gt;"",INDEX(Profile!$G$5:$G$304,MATCH($D490,lst_Profil,0)),$H$4),$H$4))</f>
        <v/>
      </c>
      <c r="S490" s="12" t="str">
        <f aca="false">IF($D490="","",IFERROR(IF(INDEX(Profile!$H$5:$H$304,MATCH($D490,lst_Profil,0))&lt;&gt;"",INDEX(Profile!$H$5:$H$304,MATCH($D490,lst_Profil,0)),$H$5),$H$5))</f>
        <v/>
      </c>
      <c r="T490" s="16" t="str">
        <f aca="false">IF(OR(Q490="",NOT(ISNUMBER(R490)),NOT(ISNUMBER(S490))),"",Q490-R490-S490)</f>
        <v/>
      </c>
      <c r="U490" s="26" t="str">
        <f aca="false">IF(OR($D490="",$E490=""),"",IF(COUNTIFS(Preise!$A$5:$A$304,$D490,Preise!$B$5:$B$304,$E490,Preise!$I$5:$I$304,"OK")&gt;0,"ja","nein"))</f>
        <v/>
      </c>
      <c r="V490" s="15" t="str">
        <f aca="false">IF(OR(M490="",$E490="",$C$8=""),"",IF(_xlfn.MINIFS(Schneiddaten!$C$5:$C$304,Schneiddaten!$A$5:$A$304,$C$8,Schneiddaten!$B$5:$B$304,$E490,Schneiddaten!$C$5:$C$304,"&gt;="&amp;M490)=0,"",SUMIFS(Schneiddaten!$D$5:$D$304,Schneiddaten!$A$5:$A$304,$C$8,Schneiddaten!$B$5:$B$304,$E490,Schneiddaten!$C$5:$C$304,_xlfn.MINIFS(Schneiddaten!$C$5:$C$304,Schneiddaten!$A$5:$A$304,$C$8,Schneiddaten!$B$5:$B$304,$E490,Schneiddaten!$C$5:$C$304,"&gt;="&amp;M490))))</f>
        <v/>
      </c>
      <c r="W490" s="26" t="str">
        <f aca="false">IF(AND($D490="",$E490="",$F490="",$G490=""),"",IF(ISNA(MATCH($D490,lst_Profil,0)),"FEHLER: Profil unbekannt",IF(ISNA(MATCH($E490,lst_Werkstoff,0)),"FEHLER: Werkstoff unbekannt",IF(NOT(ISNUMBER(L490)),"FEHLER: Querschnitt fehlt (Profil)",IF(OR($F490="",$F490&lt;=0),"FEHLER: Teilelänge fehlt",IF(OR($G490="",$G490&lt;1),"FEHLER: Stückzahl fehlt",IF(NOT(ISNUMBER($H$4)),"FEHLER: Maschine fehlt/unbekannt",IF(Q490&gt;$H$7,"FEHLER: Stange länger als Maschine zulässt",IF($F490+$H$6&gt;T490,"FEHLER: Teil länger als Nutzlänge",IF(U490="nein","WARNUNG: kein gültiger Materialpreis",IF($H490="","HINWEIS: Schneidweg fehlt",IF(V490="","HINWEIS: keine Schneiddaten",IF(AND($AF490&lt;&gt;"",$AG490=""),"HINWEIS: Gewinde-Vorschlag prüfen","OK")))))))))))))</f>
        <v/>
      </c>
      <c r="X490" s="18" t="str">
        <f aca="false">IF(OR(O490="",$G490=""),"",O490*$G490)</f>
        <v/>
      </c>
      <c r="Y490" s="10"/>
      <c r="Z490" s="21"/>
      <c r="AA490" s="10"/>
      <c r="AB490" s="21"/>
      <c r="AC490" s="21"/>
      <c r="AD490" s="21"/>
      <c r="AE490" s="10"/>
      <c r="AF490" s="10"/>
      <c r="AG490" s="10"/>
      <c r="AH490" s="22"/>
      <c r="AI490" s="21"/>
      <c r="AJ490" s="22"/>
      <c r="AK490" s="21"/>
      <c r="AL490" s="22"/>
      <c r="AM490" s="21"/>
    </row>
    <row r="491" customFormat="false" ht="15" hidden="false" customHeight="false" outlineLevel="0" collapsed="false">
      <c r="A491" s="10"/>
      <c r="B491" s="10"/>
      <c r="C491" s="10"/>
      <c r="D491" s="10"/>
      <c r="E491" s="10"/>
      <c r="F491" s="21"/>
      <c r="G491" s="19"/>
      <c r="H491" s="21"/>
      <c r="I491" s="22"/>
      <c r="J491" s="19"/>
      <c r="K491" s="23" t="str">
        <f aca="false">IF($D491="","",IFERROR(INDEX(Profile!$B$5:$B$304,MATCH($D491,lst_Profil,0)),""))</f>
        <v/>
      </c>
      <c r="L491" s="13" t="str">
        <f aca="false">IF($D491="","",IFERROR(INDEX(Profile!$K$5:$K$304,MATCH($D491,lst_Profil,0))+0,""))</f>
        <v/>
      </c>
      <c r="M491" s="24" t="str">
        <f aca="false">IF($D491="","",IFERROR(INDEX(Profile!$E$5:$E$304,MATCH($D491,lst_Profil,0))+0,""))</f>
        <v/>
      </c>
      <c r="N491" s="25" t="str">
        <f aca="false">IF(OR(L491="",$E491=""),"",IFERROR(L491*INDEX(Werkstoffe!$E$5:$E$304,MATCH($E491,lst_Werkstoff,0))/1000,""))</f>
        <v/>
      </c>
      <c r="O491" s="25" t="str">
        <f aca="false">IF(OR(N491="",$F491=""),"",N491*$F491/1000)</f>
        <v/>
      </c>
      <c r="P491" s="16" t="str">
        <f aca="false">IF(OR($F491="",$G491=""),"",$F491*$G491)</f>
        <v/>
      </c>
      <c r="Q491" s="16" t="str">
        <f aca="false">IF($D491="","",IF($J491&lt;&gt;"",$J491,$C$9))</f>
        <v/>
      </c>
      <c r="R491" s="12" t="str">
        <f aca="false">IF($D491="","",IFERROR(IF(INDEX(Profile!$G$5:$G$304,MATCH($D491,lst_Profil,0))&lt;&gt;"",INDEX(Profile!$G$5:$G$304,MATCH($D491,lst_Profil,0)),$H$4),$H$4))</f>
        <v/>
      </c>
      <c r="S491" s="12" t="str">
        <f aca="false">IF($D491="","",IFERROR(IF(INDEX(Profile!$H$5:$H$304,MATCH($D491,lst_Profil,0))&lt;&gt;"",INDEX(Profile!$H$5:$H$304,MATCH($D491,lst_Profil,0)),$H$5),$H$5))</f>
        <v/>
      </c>
      <c r="T491" s="16" t="str">
        <f aca="false">IF(OR(Q491="",NOT(ISNUMBER(R491)),NOT(ISNUMBER(S491))),"",Q491-R491-S491)</f>
        <v/>
      </c>
      <c r="U491" s="26" t="str">
        <f aca="false">IF(OR($D491="",$E491=""),"",IF(COUNTIFS(Preise!$A$5:$A$304,$D491,Preise!$B$5:$B$304,$E491,Preise!$I$5:$I$304,"OK")&gt;0,"ja","nein"))</f>
        <v/>
      </c>
      <c r="V491" s="15" t="str">
        <f aca="false">IF(OR(M491="",$E491="",$C$8=""),"",IF(_xlfn.MINIFS(Schneiddaten!$C$5:$C$304,Schneiddaten!$A$5:$A$304,$C$8,Schneiddaten!$B$5:$B$304,$E491,Schneiddaten!$C$5:$C$304,"&gt;="&amp;M491)=0,"",SUMIFS(Schneiddaten!$D$5:$D$304,Schneiddaten!$A$5:$A$304,$C$8,Schneiddaten!$B$5:$B$304,$E491,Schneiddaten!$C$5:$C$304,_xlfn.MINIFS(Schneiddaten!$C$5:$C$304,Schneiddaten!$A$5:$A$304,$C$8,Schneiddaten!$B$5:$B$304,$E491,Schneiddaten!$C$5:$C$304,"&gt;="&amp;M491))))</f>
        <v/>
      </c>
      <c r="W491" s="26" t="str">
        <f aca="false">IF(AND($D491="",$E491="",$F491="",$G491=""),"",IF(ISNA(MATCH($D491,lst_Profil,0)),"FEHLER: Profil unbekannt",IF(ISNA(MATCH($E491,lst_Werkstoff,0)),"FEHLER: Werkstoff unbekannt",IF(NOT(ISNUMBER(L491)),"FEHLER: Querschnitt fehlt (Profil)",IF(OR($F491="",$F491&lt;=0),"FEHLER: Teilelänge fehlt",IF(OR($G491="",$G491&lt;1),"FEHLER: Stückzahl fehlt",IF(NOT(ISNUMBER($H$4)),"FEHLER: Maschine fehlt/unbekannt",IF(Q491&gt;$H$7,"FEHLER: Stange länger als Maschine zulässt",IF($F491+$H$6&gt;T491,"FEHLER: Teil länger als Nutzlänge",IF(U491="nein","WARNUNG: kein gültiger Materialpreis",IF($H491="","HINWEIS: Schneidweg fehlt",IF(V491="","HINWEIS: keine Schneiddaten",IF(AND($AF491&lt;&gt;"",$AG491=""),"HINWEIS: Gewinde-Vorschlag prüfen","OK")))))))))))))</f>
        <v/>
      </c>
      <c r="X491" s="18" t="str">
        <f aca="false">IF(OR(O491="",$G491=""),"",O491*$G491)</f>
        <v/>
      </c>
      <c r="Y491" s="10"/>
      <c r="Z491" s="21"/>
      <c r="AA491" s="10"/>
      <c r="AB491" s="21"/>
      <c r="AC491" s="21"/>
      <c r="AD491" s="21"/>
      <c r="AE491" s="10"/>
      <c r="AF491" s="10"/>
      <c r="AG491" s="10"/>
      <c r="AH491" s="22"/>
      <c r="AI491" s="21"/>
      <c r="AJ491" s="22"/>
      <c r="AK491" s="21"/>
      <c r="AL491" s="22"/>
      <c r="AM491" s="21"/>
    </row>
    <row r="492" customFormat="false" ht="15" hidden="false" customHeight="false" outlineLevel="0" collapsed="false">
      <c r="A492" s="10"/>
      <c r="B492" s="10"/>
      <c r="C492" s="10"/>
      <c r="D492" s="10"/>
      <c r="E492" s="10"/>
      <c r="F492" s="21"/>
      <c r="G492" s="19"/>
      <c r="H492" s="21"/>
      <c r="I492" s="22"/>
      <c r="J492" s="19"/>
      <c r="K492" s="23" t="str">
        <f aca="false">IF($D492="","",IFERROR(INDEX(Profile!$B$5:$B$304,MATCH($D492,lst_Profil,0)),""))</f>
        <v/>
      </c>
      <c r="L492" s="13" t="str">
        <f aca="false">IF($D492="","",IFERROR(INDEX(Profile!$K$5:$K$304,MATCH($D492,lst_Profil,0))+0,""))</f>
        <v/>
      </c>
      <c r="M492" s="24" t="str">
        <f aca="false">IF($D492="","",IFERROR(INDEX(Profile!$E$5:$E$304,MATCH($D492,lst_Profil,0))+0,""))</f>
        <v/>
      </c>
      <c r="N492" s="25" t="str">
        <f aca="false">IF(OR(L492="",$E492=""),"",IFERROR(L492*INDEX(Werkstoffe!$E$5:$E$304,MATCH($E492,lst_Werkstoff,0))/1000,""))</f>
        <v/>
      </c>
      <c r="O492" s="25" t="str">
        <f aca="false">IF(OR(N492="",$F492=""),"",N492*$F492/1000)</f>
        <v/>
      </c>
      <c r="P492" s="16" t="str">
        <f aca="false">IF(OR($F492="",$G492=""),"",$F492*$G492)</f>
        <v/>
      </c>
      <c r="Q492" s="16" t="str">
        <f aca="false">IF($D492="","",IF($J492&lt;&gt;"",$J492,$C$9))</f>
        <v/>
      </c>
      <c r="R492" s="12" t="str">
        <f aca="false">IF($D492="","",IFERROR(IF(INDEX(Profile!$G$5:$G$304,MATCH($D492,lst_Profil,0))&lt;&gt;"",INDEX(Profile!$G$5:$G$304,MATCH($D492,lst_Profil,0)),$H$4),$H$4))</f>
        <v/>
      </c>
      <c r="S492" s="12" t="str">
        <f aca="false">IF($D492="","",IFERROR(IF(INDEX(Profile!$H$5:$H$304,MATCH($D492,lst_Profil,0))&lt;&gt;"",INDEX(Profile!$H$5:$H$304,MATCH($D492,lst_Profil,0)),$H$5),$H$5))</f>
        <v/>
      </c>
      <c r="T492" s="16" t="str">
        <f aca="false">IF(OR(Q492="",NOT(ISNUMBER(R492)),NOT(ISNUMBER(S492))),"",Q492-R492-S492)</f>
        <v/>
      </c>
      <c r="U492" s="26" t="str">
        <f aca="false">IF(OR($D492="",$E492=""),"",IF(COUNTIFS(Preise!$A$5:$A$304,$D492,Preise!$B$5:$B$304,$E492,Preise!$I$5:$I$304,"OK")&gt;0,"ja","nein"))</f>
        <v/>
      </c>
      <c r="V492" s="15" t="str">
        <f aca="false">IF(OR(M492="",$E492="",$C$8=""),"",IF(_xlfn.MINIFS(Schneiddaten!$C$5:$C$304,Schneiddaten!$A$5:$A$304,$C$8,Schneiddaten!$B$5:$B$304,$E492,Schneiddaten!$C$5:$C$304,"&gt;="&amp;M492)=0,"",SUMIFS(Schneiddaten!$D$5:$D$304,Schneiddaten!$A$5:$A$304,$C$8,Schneiddaten!$B$5:$B$304,$E492,Schneiddaten!$C$5:$C$304,_xlfn.MINIFS(Schneiddaten!$C$5:$C$304,Schneiddaten!$A$5:$A$304,$C$8,Schneiddaten!$B$5:$B$304,$E492,Schneiddaten!$C$5:$C$304,"&gt;="&amp;M492))))</f>
        <v/>
      </c>
      <c r="W492" s="26" t="str">
        <f aca="false">IF(AND($D492="",$E492="",$F492="",$G492=""),"",IF(ISNA(MATCH($D492,lst_Profil,0)),"FEHLER: Profil unbekannt",IF(ISNA(MATCH($E492,lst_Werkstoff,0)),"FEHLER: Werkstoff unbekannt",IF(NOT(ISNUMBER(L492)),"FEHLER: Querschnitt fehlt (Profil)",IF(OR($F492="",$F492&lt;=0),"FEHLER: Teilelänge fehlt",IF(OR($G492="",$G492&lt;1),"FEHLER: Stückzahl fehlt",IF(NOT(ISNUMBER($H$4)),"FEHLER: Maschine fehlt/unbekannt",IF(Q492&gt;$H$7,"FEHLER: Stange länger als Maschine zulässt",IF($F492+$H$6&gt;T492,"FEHLER: Teil länger als Nutzlänge",IF(U492="nein","WARNUNG: kein gültiger Materialpreis",IF($H492="","HINWEIS: Schneidweg fehlt",IF(V492="","HINWEIS: keine Schneiddaten",IF(AND($AF492&lt;&gt;"",$AG492=""),"HINWEIS: Gewinde-Vorschlag prüfen","OK")))))))))))))</f>
        <v/>
      </c>
      <c r="X492" s="18" t="str">
        <f aca="false">IF(OR(O492="",$G492=""),"",O492*$G492)</f>
        <v/>
      </c>
      <c r="Y492" s="10"/>
      <c r="Z492" s="21"/>
      <c r="AA492" s="10"/>
      <c r="AB492" s="21"/>
      <c r="AC492" s="21"/>
      <c r="AD492" s="21"/>
      <c r="AE492" s="10"/>
      <c r="AF492" s="10"/>
      <c r="AG492" s="10"/>
      <c r="AH492" s="22"/>
      <c r="AI492" s="21"/>
      <c r="AJ492" s="22"/>
      <c r="AK492" s="21"/>
      <c r="AL492" s="22"/>
      <c r="AM492" s="21"/>
    </row>
    <row r="493" customFormat="false" ht="15" hidden="false" customHeight="false" outlineLevel="0" collapsed="false">
      <c r="A493" s="10"/>
      <c r="B493" s="10"/>
      <c r="C493" s="10"/>
      <c r="D493" s="10"/>
      <c r="E493" s="10"/>
      <c r="F493" s="21"/>
      <c r="G493" s="19"/>
      <c r="H493" s="21"/>
      <c r="I493" s="22"/>
      <c r="J493" s="19"/>
      <c r="K493" s="23" t="str">
        <f aca="false">IF($D493="","",IFERROR(INDEX(Profile!$B$5:$B$304,MATCH($D493,lst_Profil,0)),""))</f>
        <v/>
      </c>
      <c r="L493" s="13" t="str">
        <f aca="false">IF($D493="","",IFERROR(INDEX(Profile!$K$5:$K$304,MATCH($D493,lst_Profil,0))+0,""))</f>
        <v/>
      </c>
      <c r="M493" s="24" t="str">
        <f aca="false">IF($D493="","",IFERROR(INDEX(Profile!$E$5:$E$304,MATCH($D493,lst_Profil,0))+0,""))</f>
        <v/>
      </c>
      <c r="N493" s="25" t="str">
        <f aca="false">IF(OR(L493="",$E493=""),"",IFERROR(L493*INDEX(Werkstoffe!$E$5:$E$304,MATCH($E493,lst_Werkstoff,0))/1000,""))</f>
        <v/>
      </c>
      <c r="O493" s="25" t="str">
        <f aca="false">IF(OR(N493="",$F493=""),"",N493*$F493/1000)</f>
        <v/>
      </c>
      <c r="P493" s="16" t="str">
        <f aca="false">IF(OR($F493="",$G493=""),"",$F493*$G493)</f>
        <v/>
      </c>
      <c r="Q493" s="16" t="str">
        <f aca="false">IF($D493="","",IF($J493&lt;&gt;"",$J493,$C$9))</f>
        <v/>
      </c>
      <c r="R493" s="12" t="str">
        <f aca="false">IF($D493="","",IFERROR(IF(INDEX(Profile!$G$5:$G$304,MATCH($D493,lst_Profil,0))&lt;&gt;"",INDEX(Profile!$G$5:$G$304,MATCH($D493,lst_Profil,0)),$H$4),$H$4))</f>
        <v/>
      </c>
      <c r="S493" s="12" t="str">
        <f aca="false">IF($D493="","",IFERROR(IF(INDEX(Profile!$H$5:$H$304,MATCH($D493,lst_Profil,0))&lt;&gt;"",INDEX(Profile!$H$5:$H$304,MATCH($D493,lst_Profil,0)),$H$5),$H$5))</f>
        <v/>
      </c>
      <c r="T493" s="16" t="str">
        <f aca="false">IF(OR(Q493="",NOT(ISNUMBER(R493)),NOT(ISNUMBER(S493))),"",Q493-R493-S493)</f>
        <v/>
      </c>
      <c r="U493" s="26" t="str">
        <f aca="false">IF(OR($D493="",$E493=""),"",IF(COUNTIFS(Preise!$A$5:$A$304,$D493,Preise!$B$5:$B$304,$E493,Preise!$I$5:$I$304,"OK")&gt;0,"ja","nein"))</f>
        <v/>
      </c>
      <c r="V493" s="15" t="str">
        <f aca="false">IF(OR(M493="",$E493="",$C$8=""),"",IF(_xlfn.MINIFS(Schneiddaten!$C$5:$C$304,Schneiddaten!$A$5:$A$304,$C$8,Schneiddaten!$B$5:$B$304,$E493,Schneiddaten!$C$5:$C$304,"&gt;="&amp;M493)=0,"",SUMIFS(Schneiddaten!$D$5:$D$304,Schneiddaten!$A$5:$A$304,$C$8,Schneiddaten!$B$5:$B$304,$E493,Schneiddaten!$C$5:$C$304,_xlfn.MINIFS(Schneiddaten!$C$5:$C$304,Schneiddaten!$A$5:$A$304,$C$8,Schneiddaten!$B$5:$B$304,$E493,Schneiddaten!$C$5:$C$304,"&gt;="&amp;M493))))</f>
        <v/>
      </c>
      <c r="W493" s="26" t="str">
        <f aca="false">IF(AND($D493="",$E493="",$F493="",$G493=""),"",IF(ISNA(MATCH($D493,lst_Profil,0)),"FEHLER: Profil unbekannt",IF(ISNA(MATCH($E493,lst_Werkstoff,0)),"FEHLER: Werkstoff unbekannt",IF(NOT(ISNUMBER(L493)),"FEHLER: Querschnitt fehlt (Profil)",IF(OR($F493="",$F493&lt;=0),"FEHLER: Teilelänge fehlt",IF(OR($G493="",$G493&lt;1),"FEHLER: Stückzahl fehlt",IF(NOT(ISNUMBER($H$4)),"FEHLER: Maschine fehlt/unbekannt",IF(Q493&gt;$H$7,"FEHLER: Stange länger als Maschine zulässt",IF($F493+$H$6&gt;T493,"FEHLER: Teil länger als Nutzlänge",IF(U493="nein","WARNUNG: kein gültiger Materialpreis",IF($H493="","HINWEIS: Schneidweg fehlt",IF(V493="","HINWEIS: keine Schneiddaten",IF(AND($AF493&lt;&gt;"",$AG493=""),"HINWEIS: Gewinde-Vorschlag prüfen","OK")))))))))))))</f>
        <v/>
      </c>
      <c r="X493" s="18" t="str">
        <f aca="false">IF(OR(O493="",$G493=""),"",O493*$G493)</f>
        <v/>
      </c>
      <c r="Y493" s="10"/>
      <c r="Z493" s="21"/>
      <c r="AA493" s="10"/>
      <c r="AB493" s="21"/>
      <c r="AC493" s="21"/>
      <c r="AD493" s="21"/>
      <c r="AE493" s="10"/>
      <c r="AF493" s="10"/>
      <c r="AG493" s="10"/>
      <c r="AH493" s="22"/>
      <c r="AI493" s="21"/>
      <c r="AJ493" s="22"/>
      <c r="AK493" s="21"/>
      <c r="AL493" s="22"/>
      <c r="AM493" s="21"/>
    </row>
    <row r="494" customFormat="false" ht="15" hidden="false" customHeight="false" outlineLevel="0" collapsed="false">
      <c r="A494" s="10"/>
      <c r="B494" s="10"/>
      <c r="C494" s="10"/>
      <c r="D494" s="10"/>
      <c r="E494" s="10"/>
      <c r="F494" s="21"/>
      <c r="G494" s="19"/>
      <c r="H494" s="21"/>
      <c r="I494" s="22"/>
      <c r="J494" s="19"/>
      <c r="K494" s="23" t="str">
        <f aca="false">IF($D494="","",IFERROR(INDEX(Profile!$B$5:$B$304,MATCH($D494,lst_Profil,0)),""))</f>
        <v/>
      </c>
      <c r="L494" s="13" t="str">
        <f aca="false">IF($D494="","",IFERROR(INDEX(Profile!$K$5:$K$304,MATCH($D494,lst_Profil,0))+0,""))</f>
        <v/>
      </c>
      <c r="M494" s="24" t="str">
        <f aca="false">IF($D494="","",IFERROR(INDEX(Profile!$E$5:$E$304,MATCH($D494,lst_Profil,0))+0,""))</f>
        <v/>
      </c>
      <c r="N494" s="25" t="str">
        <f aca="false">IF(OR(L494="",$E494=""),"",IFERROR(L494*INDEX(Werkstoffe!$E$5:$E$304,MATCH($E494,lst_Werkstoff,0))/1000,""))</f>
        <v/>
      </c>
      <c r="O494" s="25" t="str">
        <f aca="false">IF(OR(N494="",$F494=""),"",N494*$F494/1000)</f>
        <v/>
      </c>
      <c r="P494" s="16" t="str">
        <f aca="false">IF(OR($F494="",$G494=""),"",$F494*$G494)</f>
        <v/>
      </c>
      <c r="Q494" s="16" t="str">
        <f aca="false">IF($D494="","",IF($J494&lt;&gt;"",$J494,$C$9))</f>
        <v/>
      </c>
      <c r="R494" s="12" t="str">
        <f aca="false">IF($D494="","",IFERROR(IF(INDEX(Profile!$G$5:$G$304,MATCH($D494,lst_Profil,0))&lt;&gt;"",INDEX(Profile!$G$5:$G$304,MATCH($D494,lst_Profil,0)),$H$4),$H$4))</f>
        <v/>
      </c>
      <c r="S494" s="12" t="str">
        <f aca="false">IF($D494="","",IFERROR(IF(INDEX(Profile!$H$5:$H$304,MATCH($D494,lst_Profil,0))&lt;&gt;"",INDEX(Profile!$H$5:$H$304,MATCH($D494,lst_Profil,0)),$H$5),$H$5))</f>
        <v/>
      </c>
      <c r="T494" s="16" t="str">
        <f aca="false">IF(OR(Q494="",NOT(ISNUMBER(R494)),NOT(ISNUMBER(S494))),"",Q494-R494-S494)</f>
        <v/>
      </c>
      <c r="U494" s="26" t="str">
        <f aca="false">IF(OR($D494="",$E494=""),"",IF(COUNTIFS(Preise!$A$5:$A$304,$D494,Preise!$B$5:$B$304,$E494,Preise!$I$5:$I$304,"OK")&gt;0,"ja","nein"))</f>
        <v/>
      </c>
      <c r="V494" s="15" t="str">
        <f aca="false">IF(OR(M494="",$E494="",$C$8=""),"",IF(_xlfn.MINIFS(Schneiddaten!$C$5:$C$304,Schneiddaten!$A$5:$A$304,$C$8,Schneiddaten!$B$5:$B$304,$E494,Schneiddaten!$C$5:$C$304,"&gt;="&amp;M494)=0,"",SUMIFS(Schneiddaten!$D$5:$D$304,Schneiddaten!$A$5:$A$304,$C$8,Schneiddaten!$B$5:$B$304,$E494,Schneiddaten!$C$5:$C$304,_xlfn.MINIFS(Schneiddaten!$C$5:$C$304,Schneiddaten!$A$5:$A$304,$C$8,Schneiddaten!$B$5:$B$304,$E494,Schneiddaten!$C$5:$C$304,"&gt;="&amp;M494))))</f>
        <v/>
      </c>
      <c r="W494" s="26" t="str">
        <f aca="false">IF(AND($D494="",$E494="",$F494="",$G494=""),"",IF(ISNA(MATCH($D494,lst_Profil,0)),"FEHLER: Profil unbekannt",IF(ISNA(MATCH($E494,lst_Werkstoff,0)),"FEHLER: Werkstoff unbekannt",IF(NOT(ISNUMBER(L494)),"FEHLER: Querschnitt fehlt (Profil)",IF(OR($F494="",$F494&lt;=0),"FEHLER: Teilelänge fehlt",IF(OR($G494="",$G494&lt;1),"FEHLER: Stückzahl fehlt",IF(NOT(ISNUMBER($H$4)),"FEHLER: Maschine fehlt/unbekannt",IF(Q494&gt;$H$7,"FEHLER: Stange länger als Maschine zulässt",IF($F494+$H$6&gt;T494,"FEHLER: Teil länger als Nutzlänge",IF(U494="nein","WARNUNG: kein gültiger Materialpreis",IF($H494="","HINWEIS: Schneidweg fehlt",IF(V494="","HINWEIS: keine Schneiddaten",IF(AND($AF494&lt;&gt;"",$AG494=""),"HINWEIS: Gewinde-Vorschlag prüfen","OK")))))))))))))</f>
        <v/>
      </c>
      <c r="X494" s="18" t="str">
        <f aca="false">IF(OR(O494="",$G494=""),"",O494*$G494)</f>
        <v/>
      </c>
      <c r="Y494" s="10"/>
      <c r="Z494" s="21"/>
      <c r="AA494" s="10"/>
      <c r="AB494" s="21"/>
      <c r="AC494" s="21"/>
      <c r="AD494" s="21"/>
      <c r="AE494" s="10"/>
      <c r="AF494" s="10"/>
      <c r="AG494" s="10"/>
      <c r="AH494" s="22"/>
      <c r="AI494" s="21"/>
      <c r="AJ494" s="22"/>
      <c r="AK494" s="21"/>
      <c r="AL494" s="22"/>
      <c r="AM494" s="21"/>
    </row>
    <row r="495" customFormat="false" ht="15" hidden="false" customHeight="false" outlineLevel="0" collapsed="false">
      <c r="A495" s="10"/>
      <c r="B495" s="10"/>
      <c r="C495" s="10"/>
      <c r="D495" s="10"/>
      <c r="E495" s="10"/>
      <c r="F495" s="21"/>
      <c r="G495" s="19"/>
      <c r="H495" s="21"/>
      <c r="I495" s="22"/>
      <c r="J495" s="19"/>
      <c r="K495" s="23" t="str">
        <f aca="false">IF($D495="","",IFERROR(INDEX(Profile!$B$5:$B$304,MATCH($D495,lst_Profil,0)),""))</f>
        <v/>
      </c>
      <c r="L495" s="13" t="str">
        <f aca="false">IF($D495="","",IFERROR(INDEX(Profile!$K$5:$K$304,MATCH($D495,lst_Profil,0))+0,""))</f>
        <v/>
      </c>
      <c r="M495" s="24" t="str">
        <f aca="false">IF($D495="","",IFERROR(INDEX(Profile!$E$5:$E$304,MATCH($D495,lst_Profil,0))+0,""))</f>
        <v/>
      </c>
      <c r="N495" s="25" t="str">
        <f aca="false">IF(OR(L495="",$E495=""),"",IFERROR(L495*INDEX(Werkstoffe!$E$5:$E$304,MATCH($E495,lst_Werkstoff,0))/1000,""))</f>
        <v/>
      </c>
      <c r="O495" s="25" t="str">
        <f aca="false">IF(OR(N495="",$F495=""),"",N495*$F495/1000)</f>
        <v/>
      </c>
      <c r="P495" s="16" t="str">
        <f aca="false">IF(OR($F495="",$G495=""),"",$F495*$G495)</f>
        <v/>
      </c>
      <c r="Q495" s="16" t="str">
        <f aca="false">IF($D495="","",IF($J495&lt;&gt;"",$J495,$C$9))</f>
        <v/>
      </c>
      <c r="R495" s="12" t="str">
        <f aca="false">IF($D495="","",IFERROR(IF(INDEX(Profile!$G$5:$G$304,MATCH($D495,lst_Profil,0))&lt;&gt;"",INDEX(Profile!$G$5:$G$304,MATCH($D495,lst_Profil,0)),$H$4),$H$4))</f>
        <v/>
      </c>
      <c r="S495" s="12" t="str">
        <f aca="false">IF($D495="","",IFERROR(IF(INDEX(Profile!$H$5:$H$304,MATCH($D495,lst_Profil,0))&lt;&gt;"",INDEX(Profile!$H$5:$H$304,MATCH($D495,lst_Profil,0)),$H$5),$H$5))</f>
        <v/>
      </c>
      <c r="T495" s="16" t="str">
        <f aca="false">IF(OR(Q495="",NOT(ISNUMBER(R495)),NOT(ISNUMBER(S495))),"",Q495-R495-S495)</f>
        <v/>
      </c>
      <c r="U495" s="26" t="str">
        <f aca="false">IF(OR($D495="",$E495=""),"",IF(COUNTIFS(Preise!$A$5:$A$304,$D495,Preise!$B$5:$B$304,$E495,Preise!$I$5:$I$304,"OK")&gt;0,"ja","nein"))</f>
        <v/>
      </c>
      <c r="V495" s="15" t="str">
        <f aca="false">IF(OR(M495="",$E495="",$C$8=""),"",IF(_xlfn.MINIFS(Schneiddaten!$C$5:$C$304,Schneiddaten!$A$5:$A$304,$C$8,Schneiddaten!$B$5:$B$304,$E495,Schneiddaten!$C$5:$C$304,"&gt;="&amp;M495)=0,"",SUMIFS(Schneiddaten!$D$5:$D$304,Schneiddaten!$A$5:$A$304,$C$8,Schneiddaten!$B$5:$B$304,$E495,Schneiddaten!$C$5:$C$304,_xlfn.MINIFS(Schneiddaten!$C$5:$C$304,Schneiddaten!$A$5:$A$304,$C$8,Schneiddaten!$B$5:$B$304,$E495,Schneiddaten!$C$5:$C$304,"&gt;="&amp;M495))))</f>
        <v/>
      </c>
      <c r="W495" s="26" t="str">
        <f aca="false">IF(AND($D495="",$E495="",$F495="",$G495=""),"",IF(ISNA(MATCH($D495,lst_Profil,0)),"FEHLER: Profil unbekannt",IF(ISNA(MATCH($E495,lst_Werkstoff,0)),"FEHLER: Werkstoff unbekannt",IF(NOT(ISNUMBER(L495)),"FEHLER: Querschnitt fehlt (Profil)",IF(OR($F495="",$F495&lt;=0),"FEHLER: Teilelänge fehlt",IF(OR($G495="",$G495&lt;1),"FEHLER: Stückzahl fehlt",IF(NOT(ISNUMBER($H$4)),"FEHLER: Maschine fehlt/unbekannt",IF(Q495&gt;$H$7,"FEHLER: Stange länger als Maschine zulässt",IF($F495+$H$6&gt;T495,"FEHLER: Teil länger als Nutzlänge",IF(U495="nein","WARNUNG: kein gültiger Materialpreis",IF($H495="","HINWEIS: Schneidweg fehlt",IF(V495="","HINWEIS: keine Schneiddaten",IF(AND($AF495&lt;&gt;"",$AG495=""),"HINWEIS: Gewinde-Vorschlag prüfen","OK")))))))))))))</f>
        <v/>
      </c>
      <c r="X495" s="18" t="str">
        <f aca="false">IF(OR(O495="",$G495=""),"",O495*$G495)</f>
        <v/>
      </c>
      <c r="Y495" s="10"/>
      <c r="Z495" s="21"/>
      <c r="AA495" s="10"/>
      <c r="AB495" s="21"/>
      <c r="AC495" s="21"/>
      <c r="AD495" s="21"/>
      <c r="AE495" s="10"/>
      <c r="AF495" s="10"/>
      <c r="AG495" s="10"/>
      <c r="AH495" s="22"/>
      <c r="AI495" s="21"/>
      <c r="AJ495" s="22"/>
      <c r="AK495" s="21"/>
      <c r="AL495" s="22"/>
      <c r="AM495" s="21"/>
    </row>
    <row r="496" customFormat="false" ht="15" hidden="false" customHeight="false" outlineLevel="0" collapsed="false">
      <c r="A496" s="10"/>
      <c r="B496" s="10"/>
      <c r="C496" s="10"/>
      <c r="D496" s="10"/>
      <c r="E496" s="10"/>
      <c r="F496" s="21"/>
      <c r="G496" s="19"/>
      <c r="H496" s="21"/>
      <c r="I496" s="22"/>
      <c r="J496" s="19"/>
      <c r="K496" s="23" t="str">
        <f aca="false">IF($D496="","",IFERROR(INDEX(Profile!$B$5:$B$304,MATCH($D496,lst_Profil,0)),""))</f>
        <v/>
      </c>
      <c r="L496" s="13" t="str">
        <f aca="false">IF($D496="","",IFERROR(INDEX(Profile!$K$5:$K$304,MATCH($D496,lst_Profil,0))+0,""))</f>
        <v/>
      </c>
      <c r="M496" s="24" t="str">
        <f aca="false">IF($D496="","",IFERROR(INDEX(Profile!$E$5:$E$304,MATCH($D496,lst_Profil,0))+0,""))</f>
        <v/>
      </c>
      <c r="N496" s="25" t="str">
        <f aca="false">IF(OR(L496="",$E496=""),"",IFERROR(L496*INDEX(Werkstoffe!$E$5:$E$304,MATCH($E496,lst_Werkstoff,0))/1000,""))</f>
        <v/>
      </c>
      <c r="O496" s="25" t="str">
        <f aca="false">IF(OR(N496="",$F496=""),"",N496*$F496/1000)</f>
        <v/>
      </c>
      <c r="P496" s="16" t="str">
        <f aca="false">IF(OR($F496="",$G496=""),"",$F496*$G496)</f>
        <v/>
      </c>
      <c r="Q496" s="16" t="str">
        <f aca="false">IF($D496="","",IF($J496&lt;&gt;"",$J496,$C$9))</f>
        <v/>
      </c>
      <c r="R496" s="12" t="str">
        <f aca="false">IF($D496="","",IFERROR(IF(INDEX(Profile!$G$5:$G$304,MATCH($D496,lst_Profil,0))&lt;&gt;"",INDEX(Profile!$G$5:$G$304,MATCH($D496,lst_Profil,0)),$H$4),$H$4))</f>
        <v/>
      </c>
      <c r="S496" s="12" t="str">
        <f aca="false">IF($D496="","",IFERROR(IF(INDEX(Profile!$H$5:$H$304,MATCH($D496,lst_Profil,0))&lt;&gt;"",INDEX(Profile!$H$5:$H$304,MATCH($D496,lst_Profil,0)),$H$5),$H$5))</f>
        <v/>
      </c>
      <c r="T496" s="16" t="str">
        <f aca="false">IF(OR(Q496="",NOT(ISNUMBER(R496)),NOT(ISNUMBER(S496))),"",Q496-R496-S496)</f>
        <v/>
      </c>
      <c r="U496" s="26" t="str">
        <f aca="false">IF(OR($D496="",$E496=""),"",IF(COUNTIFS(Preise!$A$5:$A$304,$D496,Preise!$B$5:$B$304,$E496,Preise!$I$5:$I$304,"OK")&gt;0,"ja","nein"))</f>
        <v/>
      </c>
      <c r="V496" s="15" t="str">
        <f aca="false">IF(OR(M496="",$E496="",$C$8=""),"",IF(_xlfn.MINIFS(Schneiddaten!$C$5:$C$304,Schneiddaten!$A$5:$A$304,$C$8,Schneiddaten!$B$5:$B$304,$E496,Schneiddaten!$C$5:$C$304,"&gt;="&amp;M496)=0,"",SUMIFS(Schneiddaten!$D$5:$D$304,Schneiddaten!$A$5:$A$304,$C$8,Schneiddaten!$B$5:$B$304,$E496,Schneiddaten!$C$5:$C$304,_xlfn.MINIFS(Schneiddaten!$C$5:$C$304,Schneiddaten!$A$5:$A$304,$C$8,Schneiddaten!$B$5:$B$304,$E496,Schneiddaten!$C$5:$C$304,"&gt;="&amp;M496))))</f>
        <v/>
      </c>
      <c r="W496" s="26" t="str">
        <f aca="false">IF(AND($D496="",$E496="",$F496="",$G496=""),"",IF(ISNA(MATCH($D496,lst_Profil,0)),"FEHLER: Profil unbekannt",IF(ISNA(MATCH($E496,lst_Werkstoff,0)),"FEHLER: Werkstoff unbekannt",IF(NOT(ISNUMBER(L496)),"FEHLER: Querschnitt fehlt (Profil)",IF(OR($F496="",$F496&lt;=0),"FEHLER: Teilelänge fehlt",IF(OR($G496="",$G496&lt;1),"FEHLER: Stückzahl fehlt",IF(NOT(ISNUMBER($H$4)),"FEHLER: Maschine fehlt/unbekannt",IF(Q496&gt;$H$7,"FEHLER: Stange länger als Maschine zulässt",IF($F496+$H$6&gt;T496,"FEHLER: Teil länger als Nutzlänge",IF(U496="nein","WARNUNG: kein gültiger Materialpreis",IF($H496="","HINWEIS: Schneidweg fehlt",IF(V496="","HINWEIS: keine Schneiddaten",IF(AND($AF496&lt;&gt;"",$AG496=""),"HINWEIS: Gewinde-Vorschlag prüfen","OK")))))))))))))</f>
        <v/>
      </c>
      <c r="X496" s="18" t="str">
        <f aca="false">IF(OR(O496="",$G496=""),"",O496*$G496)</f>
        <v/>
      </c>
      <c r="Y496" s="10"/>
      <c r="Z496" s="21"/>
      <c r="AA496" s="10"/>
      <c r="AB496" s="21"/>
      <c r="AC496" s="21"/>
      <c r="AD496" s="21"/>
      <c r="AE496" s="10"/>
      <c r="AF496" s="10"/>
      <c r="AG496" s="10"/>
      <c r="AH496" s="22"/>
      <c r="AI496" s="21"/>
      <c r="AJ496" s="22"/>
      <c r="AK496" s="21"/>
      <c r="AL496" s="22"/>
      <c r="AM496" s="21"/>
    </row>
    <row r="497" customFormat="false" ht="15" hidden="false" customHeight="false" outlineLevel="0" collapsed="false">
      <c r="A497" s="10"/>
      <c r="B497" s="10"/>
      <c r="C497" s="10"/>
      <c r="D497" s="10"/>
      <c r="E497" s="10"/>
      <c r="F497" s="21"/>
      <c r="G497" s="19"/>
      <c r="H497" s="21"/>
      <c r="I497" s="22"/>
      <c r="J497" s="19"/>
      <c r="K497" s="23" t="str">
        <f aca="false">IF($D497="","",IFERROR(INDEX(Profile!$B$5:$B$304,MATCH($D497,lst_Profil,0)),""))</f>
        <v/>
      </c>
      <c r="L497" s="13" t="str">
        <f aca="false">IF($D497="","",IFERROR(INDEX(Profile!$K$5:$K$304,MATCH($D497,lst_Profil,0))+0,""))</f>
        <v/>
      </c>
      <c r="M497" s="24" t="str">
        <f aca="false">IF($D497="","",IFERROR(INDEX(Profile!$E$5:$E$304,MATCH($D497,lst_Profil,0))+0,""))</f>
        <v/>
      </c>
      <c r="N497" s="25" t="str">
        <f aca="false">IF(OR(L497="",$E497=""),"",IFERROR(L497*INDEX(Werkstoffe!$E$5:$E$304,MATCH($E497,lst_Werkstoff,0))/1000,""))</f>
        <v/>
      </c>
      <c r="O497" s="25" t="str">
        <f aca="false">IF(OR(N497="",$F497=""),"",N497*$F497/1000)</f>
        <v/>
      </c>
      <c r="P497" s="16" t="str">
        <f aca="false">IF(OR($F497="",$G497=""),"",$F497*$G497)</f>
        <v/>
      </c>
      <c r="Q497" s="16" t="str">
        <f aca="false">IF($D497="","",IF($J497&lt;&gt;"",$J497,$C$9))</f>
        <v/>
      </c>
      <c r="R497" s="12" t="str">
        <f aca="false">IF($D497="","",IFERROR(IF(INDEX(Profile!$G$5:$G$304,MATCH($D497,lst_Profil,0))&lt;&gt;"",INDEX(Profile!$G$5:$G$304,MATCH($D497,lst_Profil,0)),$H$4),$H$4))</f>
        <v/>
      </c>
      <c r="S497" s="12" t="str">
        <f aca="false">IF($D497="","",IFERROR(IF(INDEX(Profile!$H$5:$H$304,MATCH($D497,lst_Profil,0))&lt;&gt;"",INDEX(Profile!$H$5:$H$304,MATCH($D497,lst_Profil,0)),$H$5),$H$5))</f>
        <v/>
      </c>
      <c r="T497" s="16" t="str">
        <f aca="false">IF(OR(Q497="",NOT(ISNUMBER(R497)),NOT(ISNUMBER(S497))),"",Q497-R497-S497)</f>
        <v/>
      </c>
      <c r="U497" s="26" t="str">
        <f aca="false">IF(OR($D497="",$E497=""),"",IF(COUNTIFS(Preise!$A$5:$A$304,$D497,Preise!$B$5:$B$304,$E497,Preise!$I$5:$I$304,"OK")&gt;0,"ja","nein"))</f>
        <v/>
      </c>
      <c r="V497" s="15" t="str">
        <f aca="false">IF(OR(M497="",$E497="",$C$8=""),"",IF(_xlfn.MINIFS(Schneiddaten!$C$5:$C$304,Schneiddaten!$A$5:$A$304,$C$8,Schneiddaten!$B$5:$B$304,$E497,Schneiddaten!$C$5:$C$304,"&gt;="&amp;M497)=0,"",SUMIFS(Schneiddaten!$D$5:$D$304,Schneiddaten!$A$5:$A$304,$C$8,Schneiddaten!$B$5:$B$304,$E497,Schneiddaten!$C$5:$C$304,_xlfn.MINIFS(Schneiddaten!$C$5:$C$304,Schneiddaten!$A$5:$A$304,$C$8,Schneiddaten!$B$5:$B$304,$E497,Schneiddaten!$C$5:$C$304,"&gt;="&amp;M497))))</f>
        <v/>
      </c>
      <c r="W497" s="26" t="str">
        <f aca="false">IF(AND($D497="",$E497="",$F497="",$G497=""),"",IF(ISNA(MATCH($D497,lst_Profil,0)),"FEHLER: Profil unbekannt",IF(ISNA(MATCH($E497,lst_Werkstoff,0)),"FEHLER: Werkstoff unbekannt",IF(NOT(ISNUMBER(L497)),"FEHLER: Querschnitt fehlt (Profil)",IF(OR($F497="",$F497&lt;=0),"FEHLER: Teilelänge fehlt",IF(OR($G497="",$G497&lt;1),"FEHLER: Stückzahl fehlt",IF(NOT(ISNUMBER($H$4)),"FEHLER: Maschine fehlt/unbekannt",IF(Q497&gt;$H$7,"FEHLER: Stange länger als Maschine zulässt",IF($F497+$H$6&gt;T497,"FEHLER: Teil länger als Nutzlänge",IF(U497="nein","WARNUNG: kein gültiger Materialpreis",IF($H497="","HINWEIS: Schneidweg fehlt",IF(V497="","HINWEIS: keine Schneiddaten",IF(AND($AF497&lt;&gt;"",$AG497=""),"HINWEIS: Gewinde-Vorschlag prüfen","OK")))))))))))))</f>
        <v/>
      </c>
      <c r="X497" s="18" t="str">
        <f aca="false">IF(OR(O497="",$G497=""),"",O497*$G497)</f>
        <v/>
      </c>
      <c r="Y497" s="10"/>
      <c r="Z497" s="21"/>
      <c r="AA497" s="10"/>
      <c r="AB497" s="21"/>
      <c r="AC497" s="21"/>
      <c r="AD497" s="21"/>
      <c r="AE497" s="10"/>
      <c r="AF497" s="10"/>
      <c r="AG497" s="10"/>
      <c r="AH497" s="22"/>
      <c r="AI497" s="21"/>
      <c r="AJ497" s="22"/>
      <c r="AK497" s="21"/>
      <c r="AL497" s="22"/>
      <c r="AM497" s="21"/>
    </row>
    <row r="498" customFormat="false" ht="15" hidden="false" customHeight="false" outlineLevel="0" collapsed="false">
      <c r="A498" s="10"/>
      <c r="B498" s="10"/>
      <c r="C498" s="10"/>
      <c r="D498" s="10"/>
      <c r="E498" s="10"/>
      <c r="F498" s="21"/>
      <c r="G498" s="19"/>
      <c r="H498" s="21"/>
      <c r="I498" s="22"/>
      <c r="J498" s="19"/>
      <c r="K498" s="23" t="str">
        <f aca="false">IF($D498="","",IFERROR(INDEX(Profile!$B$5:$B$304,MATCH($D498,lst_Profil,0)),""))</f>
        <v/>
      </c>
      <c r="L498" s="13" t="str">
        <f aca="false">IF($D498="","",IFERROR(INDEX(Profile!$K$5:$K$304,MATCH($D498,lst_Profil,0))+0,""))</f>
        <v/>
      </c>
      <c r="M498" s="24" t="str">
        <f aca="false">IF($D498="","",IFERROR(INDEX(Profile!$E$5:$E$304,MATCH($D498,lst_Profil,0))+0,""))</f>
        <v/>
      </c>
      <c r="N498" s="25" t="str">
        <f aca="false">IF(OR(L498="",$E498=""),"",IFERROR(L498*INDEX(Werkstoffe!$E$5:$E$304,MATCH($E498,lst_Werkstoff,0))/1000,""))</f>
        <v/>
      </c>
      <c r="O498" s="25" t="str">
        <f aca="false">IF(OR(N498="",$F498=""),"",N498*$F498/1000)</f>
        <v/>
      </c>
      <c r="P498" s="16" t="str">
        <f aca="false">IF(OR($F498="",$G498=""),"",$F498*$G498)</f>
        <v/>
      </c>
      <c r="Q498" s="16" t="str">
        <f aca="false">IF($D498="","",IF($J498&lt;&gt;"",$J498,$C$9))</f>
        <v/>
      </c>
      <c r="R498" s="12" t="str">
        <f aca="false">IF($D498="","",IFERROR(IF(INDEX(Profile!$G$5:$G$304,MATCH($D498,lst_Profil,0))&lt;&gt;"",INDEX(Profile!$G$5:$G$304,MATCH($D498,lst_Profil,0)),$H$4),$H$4))</f>
        <v/>
      </c>
      <c r="S498" s="12" t="str">
        <f aca="false">IF($D498="","",IFERROR(IF(INDEX(Profile!$H$5:$H$304,MATCH($D498,lst_Profil,0))&lt;&gt;"",INDEX(Profile!$H$5:$H$304,MATCH($D498,lst_Profil,0)),$H$5),$H$5))</f>
        <v/>
      </c>
      <c r="T498" s="16" t="str">
        <f aca="false">IF(OR(Q498="",NOT(ISNUMBER(R498)),NOT(ISNUMBER(S498))),"",Q498-R498-S498)</f>
        <v/>
      </c>
      <c r="U498" s="26" t="str">
        <f aca="false">IF(OR($D498="",$E498=""),"",IF(COUNTIFS(Preise!$A$5:$A$304,$D498,Preise!$B$5:$B$304,$E498,Preise!$I$5:$I$304,"OK")&gt;0,"ja","nein"))</f>
        <v/>
      </c>
      <c r="V498" s="15" t="str">
        <f aca="false">IF(OR(M498="",$E498="",$C$8=""),"",IF(_xlfn.MINIFS(Schneiddaten!$C$5:$C$304,Schneiddaten!$A$5:$A$304,$C$8,Schneiddaten!$B$5:$B$304,$E498,Schneiddaten!$C$5:$C$304,"&gt;="&amp;M498)=0,"",SUMIFS(Schneiddaten!$D$5:$D$304,Schneiddaten!$A$5:$A$304,$C$8,Schneiddaten!$B$5:$B$304,$E498,Schneiddaten!$C$5:$C$304,_xlfn.MINIFS(Schneiddaten!$C$5:$C$304,Schneiddaten!$A$5:$A$304,$C$8,Schneiddaten!$B$5:$B$304,$E498,Schneiddaten!$C$5:$C$304,"&gt;="&amp;M498))))</f>
        <v/>
      </c>
      <c r="W498" s="26" t="str">
        <f aca="false">IF(AND($D498="",$E498="",$F498="",$G498=""),"",IF(ISNA(MATCH($D498,lst_Profil,0)),"FEHLER: Profil unbekannt",IF(ISNA(MATCH($E498,lst_Werkstoff,0)),"FEHLER: Werkstoff unbekannt",IF(NOT(ISNUMBER(L498)),"FEHLER: Querschnitt fehlt (Profil)",IF(OR($F498="",$F498&lt;=0),"FEHLER: Teilelänge fehlt",IF(OR($G498="",$G498&lt;1),"FEHLER: Stückzahl fehlt",IF(NOT(ISNUMBER($H$4)),"FEHLER: Maschine fehlt/unbekannt",IF(Q498&gt;$H$7,"FEHLER: Stange länger als Maschine zulässt",IF($F498+$H$6&gt;T498,"FEHLER: Teil länger als Nutzlänge",IF(U498="nein","WARNUNG: kein gültiger Materialpreis",IF($H498="","HINWEIS: Schneidweg fehlt",IF(V498="","HINWEIS: keine Schneiddaten",IF(AND($AF498&lt;&gt;"",$AG498=""),"HINWEIS: Gewinde-Vorschlag prüfen","OK")))))))))))))</f>
        <v/>
      </c>
      <c r="X498" s="18" t="str">
        <f aca="false">IF(OR(O498="",$G498=""),"",O498*$G498)</f>
        <v/>
      </c>
      <c r="Y498" s="10"/>
      <c r="Z498" s="21"/>
      <c r="AA498" s="10"/>
      <c r="AB498" s="21"/>
      <c r="AC498" s="21"/>
      <c r="AD498" s="21"/>
      <c r="AE498" s="10"/>
      <c r="AF498" s="10"/>
      <c r="AG498" s="10"/>
      <c r="AH498" s="22"/>
      <c r="AI498" s="21"/>
      <c r="AJ498" s="22"/>
      <c r="AK498" s="21"/>
      <c r="AL498" s="22"/>
      <c r="AM498" s="21"/>
    </row>
    <row r="499" customFormat="false" ht="15" hidden="false" customHeight="false" outlineLevel="0" collapsed="false">
      <c r="A499" s="10"/>
      <c r="B499" s="10"/>
      <c r="C499" s="10"/>
      <c r="D499" s="10"/>
      <c r="E499" s="10"/>
      <c r="F499" s="21"/>
      <c r="G499" s="19"/>
      <c r="H499" s="21"/>
      <c r="I499" s="22"/>
      <c r="J499" s="19"/>
      <c r="K499" s="23" t="str">
        <f aca="false">IF($D499="","",IFERROR(INDEX(Profile!$B$5:$B$304,MATCH($D499,lst_Profil,0)),""))</f>
        <v/>
      </c>
      <c r="L499" s="13" t="str">
        <f aca="false">IF($D499="","",IFERROR(INDEX(Profile!$K$5:$K$304,MATCH($D499,lst_Profil,0))+0,""))</f>
        <v/>
      </c>
      <c r="M499" s="24" t="str">
        <f aca="false">IF($D499="","",IFERROR(INDEX(Profile!$E$5:$E$304,MATCH($D499,lst_Profil,0))+0,""))</f>
        <v/>
      </c>
      <c r="N499" s="25" t="str">
        <f aca="false">IF(OR(L499="",$E499=""),"",IFERROR(L499*INDEX(Werkstoffe!$E$5:$E$304,MATCH($E499,lst_Werkstoff,0))/1000,""))</f>
        <v/>
      </c>
      <c r="O499" s="25" t="str">
        <f aca="false">IF(OR(N499="",$F499=""),"",N499*$F499/1000)</f>
        <v/>
      </c>
      <c r="P499" s="16" t="str">
        <f aca="false">IF(OR($F499="",$G499=""),"",$F499*$G499)</f>
        <v/>
      </c>
      <c r="Q499" s="16" t="str">
        <f aca="false">IF($D499="","",IF($J499&lt;&gt;"",$J499,$C$9))</f>
        <v/>
      </c>
      <c r="R499" s="12" t="str">
        <f aca="false">IF($D499="","",IFERROR(IF(INDEX(Profile!$G$5:$G$304,MATCH($D499,lst_Profil,0))&lt;&gt;"",INDEX(Profile!$G$5:$G$304,MATCH($D499,lst_Profil,0)),$H$4),$H$4))</f>
        <v/>
      </c>
      <c r="S499" s="12" t="str">
        <f aca="false">IF($D499="","",IFERROR(IF(INDEX(Profile!$H$5:$H$304,MATCH($D499,lst_Profil,0))&lt;&gt;"",INDEX(Profile!$H$5:$H$304,MATCH($D499,lst_Profil,0)),$H$5),$H$5))</f>
        <v/>
      </c>
      <c r="T499" s="16" t="str">
        <f aca="false">IF(OR(Q499="",NOT(ISNUMBER(R499)),NOT(ISNUMBER(S499))),"",Q499-R499-S499)</f>
        <v/>
      </c>
      <c r="U499" s="26" t="str">
        <f aca="false">IF(OR($D499="",$E499=""),"",IF(COUNTIFS(Preise!$A$5:$A$304,$D499,Preise!$B$5:$B$304,$E499,Preise!$I$5:$I$304,"OK")&gt;0,"ja","nein"))</f>
        <v/>
      </c>
      <c r="V499" s="15" t="str">
        <f aca="false">IF(OR(M499="",$E499="",$C$8=""),"",IF(_xlfn.MINIFS(Schneiddaten!$C$5:$C$304,Schneiddaten!$A$5:$A$304,$C$8,Schneiddaten!$B$5:$B$304,$E499,Schneiddaten!$C$5:$C$304,"&gt;="&amp;M499)=0,"",SUMIFS(Schneiddaten!$D$5:$D$304,Schneiddaten!$A$5:$A$304,$C$8,Schneiddaten!$B$5:$B$304,$E499,Schneiddaten!$C$5:$C$304,_xlfn.MINIFS(Schneiddaten!$C$5:$C$304,Schneiddaten!$A$5:$A$304,$C$8,Schneiddaten!$B$5:$B$304,$E499,Schneiddaten!$C$5:$C$304,"&gt;="&amp;M499))))</f>
        <v/>
      </c>
      <c r="W499" s="26" t="str">
        <f aca="false">IF(AND($D499="",$E499="",$F499="",$G499=""),"",IF(ISNA(MATCH($D499,lst_Profil,0)),"FEHLER: Profil unbekannt",IF(ISNA(MATCH($E499,lst_Werkstoff,0)),"FEHLER: Werkstoff unbekannt",IF(NOT(ISNUMBER(L499)),"FEHLER: Querschnitt fehlt (Profil)",IF(OR($F499="",$F499&lt;=0),"FEHLER: Teilelänge fehlt",IF(OR($G499="",$G499&lt;1),"FEHLER: Stückzahl fehlt",IF(NOT(ISNUMBER($H$4)),"FEHLER: Maschine fehlt/unbekannt",IF(Q499&gt;$H$7,"FEHLER: Stange länger als Maschine zulässt",IF($F499+$H$6&gt;T499,"FEHLER: Teil länger als Nutzlänge",IF(U499="nein","WARNUNG: kein gültiger Materialpreis",IF($H499="","HINWEIS: Schneidweg fehlt",IF(V499="","HINWEIS: keine Schneiddaten",IF(AND($AF499&lt;&gt;"",$AG499=""),"HINWEIS: Gewinde-Vorschlag prüfen","OK")))))))))))))</f>
        <v/>
      </c>
      <c r="X499" s="18" t="str">
        <f aca="false">IF(OR(O499="",$G499=""),"",O499*$G499)</f>
        <v/>
      </c>
      <c r="Y499" s="10"/>
      <c r="Z499" s="21"/>
      <c r="AA499" s="10"/>
      <c r="AB499" s="21"/>
      <c r="AC499" s="21"/>
      <c r="AD499" s="21"/>
      <c r="AE499" s="10"/>
      <c r="AF499" s="10"/>
      <c r="AG499" s="10"/>
      <c r="AH499" s="22"/>
      <c r="AI499" s="21"/>
      <c r="AJ499" s="22"/>
      <c r="AK499" s="21"/>
      <c r="AL499" s="22"/>
      <c r="AM499" s="21"/>
    </row>
    <row r="500" customFormat="false" ht="15" hidden="false" customHeight="false" outlineLevel="0" collapsed="false">
      <c r="A500" s="10"/>
      <c r="B500" s="10"/>
      <c r="C500" s="10"/>
      <c r="D500" s="10"/>
      <c r="E500" s="10"/>
      <c r="F500" s="21"/>
      <c r="G500" s="19"/>
      <c r="H500" s="21"/>
      <c r="I500" s="22"/>
      <c r="J500" s="19"/>
      <c r="K500" s="23" t="str">
        <f aca="false">IF($D500="","",IFERROR(INDEX(Profile!$B$5:$B$304,MATCH($D500,lst_Profil,0)),""))</f>
        <v/>
      </c>
      <c r="L500" s="13" t="str">
        <f aca="false">IF($D500="","",IFERROR(INDEX(Profile!$K$5:$K$304,MATCH($D500,lst_Profil,0))+0,""))</f>
        <v/>
      </c>
      <c r="M500" s="24" t="str">
        <f aca="false">IF($D500="","",IFERROR(INDEX(Profile!$E$5:$E$304,MATCH($D500,lst_Profil,0))+0,""))</f>
        <v/>
      </c>
      <c r="N500" s="25" t="str">
        <f aca="false">IF(OR(L500="",$E500=""),"",IFERROR(L500*INDEX(Werkstoffe!$E$5:$E$304,MATCH($E500,lst_Werkstoff,0))/1000,""))</f>
        <v/>
      </c>
      <c r="O500" s="25" t="str">
        <f aca="false">IF(OR(N500="",$F500=""),"",N500*$F500/1000)</f>
        <v/>
      </c>
      <c r="P500" s="16" t="str">
        <f aca="false">IF(OR($F500="",$G500=""),"",$F500*$G500)</f>
        <v/>
      </c>
      <c r="Q500" s="16" t="str">
        <f aca="false">IF($D500="","",IF($J500&lt;&gt;"",$J500,$C$9))</f>
        <v/>
      </c>
      <c r="R500" s="12" t="str">
        <f aca="false">IF($D500="","",IFERROR(IF(INDEX(Profile!$G$5:$G$304,MATCH($D500,lst_Profil,0))&lt;&gt;"",INDEX(Profile!$G$5:$G$304,MATCH($D500,lst_Profil,0)),$H$4),$H$4))</f>
        <v/>
      </c>
      <c r="S500" s="12" t="str">
        <f aca="false">IF($D500="","",IFERROR(IF(INDEX(Profile!$H$5:$H$304,MATCH($D500,lst_Profil,0))&lt;&gt;"",INDEX(Profile!$H$5:$H$304,MATCH($D500,lst_Profil,0)),$H$5),$H$5))</f>
        <v/>
      </c>
      <c r="T500" s="16" t="str">
        <f aca="false">IF(OR(Q500="",NOT(ISNUMBER(R500)),NOT(ISNUMBER(S500))),"",Q500-R500-S500)</f>
        <v/>
      </c>
      <c r="U500" s="26" t="str">
        <f aca="false">IF(OR($D500="",$E500=""),"",IF(COUNTIFS(Preise!$A$5:$A$304,$D500,Preise!$B$5:$B$304,$E500,Preise!$I$5:$I$304,"OK")&gt;0,"ja","nein"))</f>
        <v/>
      </c>
      <c r="V500" s="15" t="str">
        <f aca="false">IF(OR(M500="",$E500="",$C$8=""),"",IF(_xlfn.MINIFS(Schneiddaten!$C$5:$C$304,Schneiddaten!$A$5:$A$304,$C$8,Schneiddaten!$B$5:$B$304,$E500,Schneiddaten!$C$5:$C$304,"&gt;="&amp;M500)=0,"",SUMIFS(Schneiddaten!$D$5:$D$304,Schneiddaten!$A$5:$A$304,$C$8,Schneiddaten!$B$5:$B$304,$E500,Schneiddaten!$C$5:$C$304,_xlfn.MINIFS(Schneiddaten!$C$5:$C$304,Schneiddaten!$A$5:$A$304,$C$8,Schneiddaten!$B$5:$B$304,$E500,Schneiddaten!$C$5:$C$304,"&gt;="&amp;M500))))</f>
        <v/>
      </c>
      <c r="W500" s="26" t="str">
        <f aca="false">IF(AND($D500="",$E500="",$F500="",$G500=""),"",IF(ISNA(MATCH($D500,lst_Profil,0)),"FEHLER: Profil unbekannt",IF(ISNA(MATCH($E500,lst_Werkstoff,0)),"FEHLER: Werkstoff unbekannt",IF(NOT(ISNUMBER(L500)),"FEHLER: Querschnitt fehlt (Profil)",IF(OR($F500="",$F500&lt;=0),"FEHLER: Teilelänge fehlt",IF(OR($G500="",$G500&lt;1),"FEHLER: Stückzahl fehlt",IF(NOT(ISNUMBER($H$4)),"FEHLER: Maschine fehlt/unbekannt",IF(Q500&gt;$H$7,"FEHLER: Stange länger als Maschine zulässt",IF($F500+$H$6&gt;T500,"FEHLER: Teil länger als Nutzlänge",IF(U500="nein","WARNUNG: kein gültiger Materialpreis",IF($H500="","HINWEIS: Schneidweg fehlt",IF(V500="","HINWEIS: keine Schneiddaten",IF(AND($AF500&lt;&gt;"",$AG500=""),"HINWEIS: Gewinde-Vorschlag prüfen","OK")))))))))))))</f>
        <v/>
      </c>
      <c r="X500" s="18" t="str">
        <f aca="false">IF(OR(O500="",$G500=""),"",O500*$G500)</f>
        <v/>
      </c>
      <c r="Y500" s="10"/>
      <c r="Z500" s="21"/>
      <c r="AA500" s="10"/>
      <c r="AB500" s="21"/>
      <c r="AC500" s="21"/>
      <c r="AD500" s="21"/>
      <c r="AE500" s="10"/>
      <c r="AF500" s="10"/>
      <c r="AG500" s="10"/>
      <c r="AH500" s="22"/>
      <c r="AI500" s="21"/>
      <c r="AJ500" s="22"/>
      <c r="AK500" s="21"/>
      <c r="AL500" s="22"/>
      <c r="AM500" s="21"/>
    </row>
    <row r="501" customFormat="false" ht="15" hidden="false" customHeight="false" outlineLevel="0" collapsed="false">
      <c r="A501" s="10"/>
      <c r="B501" s="10"/>
      <c r="C501" s="10"/>
      <c r="D501" s="10"/>
      <c r="E501" s="10"/>
      <c r="F501" s="21"/>
      <c r="G501" s="19"/>
      <c r="H501" s="21"/>
      <c r="I501" s="22"/>
      <c r="J501" s="19"/>
      <c r="K501" s="23" t="str">
        <f aca="false">IF($D501="","",IFERROR(INDEX(Profile!$B$5:$B$304,MATCH($D501,lst_Profil,0)),""))</f>
        <v/>
      </c>
      <c r="L501" s="13" t="str">
        <f aca="false">IF($D501="","",IFERROR(INDEX(Profile!$K$5:$K$304,MATCH($D501,lst_Profil,0))+0,""))</f>
        <v/>
      </c>
      <c r="M501" s="24" t="str">
        <f aca="false">IF($D501="","",IFERROR(INDEX(Profile!$E$5:$E$304,MATCH($D501,lst_Profil,0))+0,""))</f>
        <v/>
      </c>
      <c r="N501" s="25" t="str">
        <f aca="false">IF(OR(L501="",$E501=""),"",IFERROR(L501*INDEX(Werkstoffe!$E$5:$E$304,MATCH($E501,lst_Werkstoff,0))/1000,""))</f>
        <v/>
      </c>
      <c r="O501" s="25" t="str">
        <f aca="false">IF(OR(N501="",$F501=""),"",N501*$F501/1000)</f>
        <v/>
      </c>
      <c r="P501" s="16" t="str">
        <f aca="false">IF(OR($F501="",$G501=""),"",$F501*$G501)</f>
        <v/>
      </c>
      <c r="Q501" s="16" t="str">
        <f aca="false">IF($D501="","",IF($J501&lt;&gt;"",$J501,$C$9))</f>
        <v/>
      </c>
      <c r="R501" s="12" t="str">
        <f aca="false">IF($D501="","",IFERROR(IF(INDEX(Profile!$G$5:$G$304,MATCH($D501,lst_Profil,0))&lt;&gt;"",INDEX(Profile!$G$5:$G$304,MATCH($D501,lst_Profil,0)),$H$4),$H$4))</f>
        <v/>
      </c>
      <c r="S501" s="12" t="str">
        <f aca="false">IF($D501="","",IFERROR(IF(INDEX(Profile!$H$5:$H$304,MATCH($D501,lst_Profil,0))&lt;&gt;"",INDEX(Profile!$H$5:$H$304,MATCH($D501,lst_Profil,0)),$H$5),$H$5))</f>
        <v/>
      </c>
      <c r="T501" s="16" t="str">
        <f aca="false">IF(OR(Q501="",NOT(ISNUMBER(R501)),NOT(ISNUMBER(S501))),"",Q501-R501-S501)</f>
        <v/>
      </c>
      <c r="U501" s="26" t="str">
        <f aca="false">IF(OR($D501="",$E501=""),"",IF(COUNTIFS(Preise!$A$5:$A$304,$D501,Preise!$B$5:$B$304,$E501,Preise!$I$5:$I$304,"OK")&gt;0,"ja","nein"))</f>
        <v/>
      </c>
      <c r="V501" s="15" t="str">
        <f aca="false">IF(OR(M501="",$E501="",$C$8=""),"",IF(_xlfn.MINIFS(Schneiddaten!$C$5:$C$304,Schneiddaten!$A$5:$A$304,$C$8,Schneiddaten!$B$5:$B$304,$E501,Schneiddaten!$C$5:$C$304,"&gt;="&amp;M501)=0,"",SUMIFS(Schneiddaten!$D$5:$D$304,Schneiddaten!$A$5:$A$304,$C$8,Schneiddaten!$B$5:$B$304,$E501,Schneiddaten!$C$5:$C$304,_xlfn.MINIFS(Schneiddaten!$C$5:$C$304,Schneiddaten!$A$5:$A$304,$C$8,Schneiddaten!$B$5:$B$304,$E501,Schneiddaten!$C$5:$C$304,"&gt;="&amp;M501))))</f>
        <v/>
      </c>
      <c r="W501" s="26" t="str">
        <f aca="false">IF(AND($D501="",$E501="",$F501="",$G501=""),"",IF(ISNA(MATCH($D501,lst_Profil,0)),"FEHLER: Profil unbekannt",IF(ISNA(MATCH($E501,lst_Werkstoff,0)),"FEHLER: Werkstoff unbekannt",IF(NOT(ISNUMBER(L501)),"FEHLER: Querschnitt fehlt (Profil)",IF(OR($F501="",$F501&lt;=0),"FEHLER: Teilelänge fehlt",IF(OR($G501="",$G501&lt;1),"FEHLER: Stückzahl fehlt",IF(NOT(ISNUMBER($H$4)),"FEHLER: Maschine fehlt/unbekannt",IF(Q501&gt;$H$7,"FEHLER: Stange länger als Maschine zulässt",IF($F501+$H$6&gt;T501,"FEHLER: Teil länger als Nutzlänge",IF(U501="nein","WARNUNG: kein gültiger Materialpreis",IF($H501="","HINWEIS: Schneidweg fehlt",IF(V501="","HINWEIS: keine Schneiddaten",IF(AND($AF501&lt;&gt;"",$AG501=""),"HINWEIS: Gewinde-Vorschlag prüfen","OK")))))))))))))</f>
        <v/>
      </c>
      <c r="X501" s="18" t="str">
        <f aca="false">IF(OR(O501="",$G501=""),"",O501*$G501)</f>
        <v/>
      </c>
      <c r="Y501" s="10"/>
      <c r="Z501" s="21"/>
      <c r="AA501" s="10"/>
      <c r="AB501" s="21"/>
      <c r="AC501" s="21"/>
      <c r="AD501" s="21"/>
      <c r="AE501" s="10"/>
      <c r="AF501" s="10"/>
      <c r="AG501" s="10"/>
      <c r="AH501" s="22"/>
      <c r="AI501" s="21"/>
      <c r="AJ501" s="22"/>
      <c r="AK501" s="21"/>
      <c r="AL501" s="22"/>
      <c r="AM501" s="21"/>
    </row>
    <row r="502" customFormat="false" ht="15" hidden="false" customHeight="false" outlineLevel="0" collapsed="false">
      <c r="A502" s="10"/>
      <c r="B502" s="10"/>
      <c r="C502" s="10"/>
      <c r="D502" s="10"/>
      <c r="E502" s="10"/>
      <c r="F502" s="21"/>
      <c r="G502" s="19"/>
      <c r="H502" s="21"/>
      <c r="I502" s="22"/>
      <c r="J502" s="19"/>
      <c r="K502" s="23" t="str">
        <f aca="false">IF($D502="","",IFERROR(INDEX(Profile!$B$5:$B$304,MATCH($D502,lst_Profil,0)),""))</f>
        <v/>
      </c>
      <c r="L502" s="13" t="str">
        <f aca="false">IF($D502="","",IFERROR(INDEX(Profile!$K$5:$K$304,MATCH($D502,lst_Profil,0))+0,""))</f>
        <v/>
      </c>
      <c r="M502" s="24" t="str">
        <f aca="false">IF($D502="","",IFERROR(INDEX(Profile!$E$5:$E$304,MATCH($D502,lst_Profil,0))+0,""))</f>
        <v/>
      </c>
      <c r="N502" s="25" t="str">
        <f aca="false">IF(OR(L502="",$E502=""),"",IFERROR(L502*INDEX(Werkstoffe!$E$5:$E$304,MATCH($E502,lst_Werkstoff,0))/1000,""))</f>
        <v/>
      </c>
      <c r="O502" s="25" t="str">
        <f aca="false">IF(OR(N502="",$F502=""),"",N502*$F502/1000)</f>
        <v/>
      </c>
      <c r="P502" s="16" t="str">
        <f aca="false">IF(OR($F502="",$G502=""),"",$F502*$G502)</f>
        <v/>
      </c>
      <c r="Q502" s="16" t="str">
        <f aca="false">IF($D502="","",IF($J502&lt;&gt;"",$J502,$C$9))</f>
        <v/>
      </c>
      <c r="R502" s="12" t="str">
        <f aca="false">IF($D502="","",IFERROR(IF(INDEX(Profile!$G$5:$G$304,MATCH($D502,lst_Profil,0))&lt;&gt;"",INDEX(Profile!$G$5:$G$304,MATCH($D502,lst_Profil,0)),$H$4),$H$4))</f>
        <v/>
      </c>
      <c r="S502" s="12" t="str">
        <f aca="false">IF($D502="","",IFERROR(IF(INDEX(Profile!$H$5:$H$304,MATCH($D502,lst_Profil,0))&lt;&gt;"",INDEX(Profile!$H$5:$H$304,MATCH($D502,lst_Profil,0)),$H$5),$H$5))</f>
        <v/>
      </c>
      <c r="T502" s="16" t="str">
        <f aca="false">IF(OR(Q502="",NOT(ISNUMBER(R502)),NOT(ISNUMBER(S502))),"",Q502-R502-S502)</f>
        <v/>
      </c>
      <c r="U502" s="26" t="str">
        <f aca="false">IF(OR($D502="",$E502=""),"",IF(COUNTIFS(Preise!$A$5:$A$304,$D502,Preise!$B$5:$B$304,$E502,Preise!$I$5:$I$304,"OK")&gt;0,"ja","nein"))</f>
        <v/>
      </c>
      <c r="V502" s="15" t="str">
        <f aca="false">IF(OR(M502="",$E502="",$C$8=""),"",IF(_xlfn.MINIFS(Schneiddaten!$C$5:$C$304,Schneiddaten!$A$5:$A$304,$C$8,Schneiddaten!$B$5:$B$304,$E502,Schneiddaten!$C$5:$C$304,"&gt;="&amp;M502)=0,"",SUMIFS(Schneiddaten!$D$5:$D$304,Schneiddaten!$A$5:$A$304,$C$8,Schneiddaten!$B$5:$B$304,$E502,Schneiddaten!$C$5:$C$304,_xlfn.MINIFS(Schneiddaten!$C$5:$C$304,Schneiddaten!$A$5:$A$304,$C$8,Schneiddaten!$B$5:$B$304,$E502,Schneiddaten!$C$5:$C$304,"&gt;="&amp;M502))))</f>
        <v/>
      </c>
      <c r="W502" s="26" t="str">
        <f aca="false">IF(AND($D502="",$E502="",$F502="",$G502=""),"",IF(ISNA(MATCH($D502,lst_Profil,0)),"FEHLER: Profil unbekannt",IF(ISNA(MATCH($E502,lst_Werkstoff,0)),"FEHLER: Werkstoff unbekannt",IF(NOT(ISNUMBER(L502)),"FEHLER: Querschnitt fehlt (Profil)",IF(OR($F502="",$F502&lt;=0),"FEHLER: Teilelänge fehlt",IF(OR($G502="",$G502&lt;1),"FEHLER: Stückzahl fehlt",IF(NOT(ISNUMBER($H$4)),"FEHLER: Maschine fehlt/unbekannt",IF(Q502&gt;$H$7,"FEHLER: Stange länger als Maschine zulässt",IF($F502+$H$6&gt;T502,"FEHLER: Teil länger als Nutzlänge",IF(U502="nein","WARNUNG: kein gültiger Materialpreis",IF($H502="","HINWEIS: Schneidweg fehlt",IF(V502="","HINWEIS: keine Schneiddaten",IF(AND($AF502&lt;&gt;"",$AG502=""),"HINWEIS: Gewinde-Vorschlag prüfen","OK")))))))))))))</f>
        <v/>
      </c>
      <c r="X502" s="18" t="str">
        <f aca="false">IF(OR(O502="",$G502=""),"",O502*$G502)</f>
        <v/>
      </c>
      <c r="Y502" s="10"/>
      <c r="Z502" s="21"/>
      <c r="AA502" s="10"/>
      <c r="AB502" s="21"/>
      <c r="AC502" s="21"/>
      <c r="AD502" s="21"/>
      <c r="AE502" s="10"/>
      <c r="AF502" s="10"/>
      <c r="AG502" s="10"/>
      <c r="AH502" s="22"/>
      <c r="AI502" s="21"/>
      <c r="AJ502" s="22"/>
      <c r="AK502" s="21"/>
      <c r="AL502" s="22"/>
      <c r="AM502" s="21"/>
    </row>
    <row r="503" customFormat="false" ht="15" hidden="false" customHeight="false" outlineLevel="0" collapsed="false">
      <c r="A503" s="10"/>
      <c r="B503" s="10"/>
      <c r="C503" s="10"/>
      <c r="D503" s="10"/>
      <c r="E503" s="10"/>
      <c r="F503" s="21"/>
      <c r="G503" s="19"/>
      <c r="H503" s="21"/>
      <c r="I503" s="22"/>
      <c r="J503" s="19"/>
      <c r="K503" s="23" t="str">
        <f aca="false">IF($D503="","",IFERROR(INDEX(Profile!$B$5:$B$304,MATCH($D503,lst_Profil,0)),""))</f>
        <v/>
      </c>
      <c r="L503" s="13" t="str">
        <f aca="false">IF($D503="","",IFERROR(INDEX(Profile!$K$5:$K$304,MATCH($D503,lst_Profil,0))+0,""))</f>
        <v/>
      </c>
      <c r="M503" s="24" t="str">
        <f aca="false">IF($D503="","",IFERROR(INDEX(Profile!$E$5:$E$304,MATCH($D503,lst_Profil,0))+0,""))</f>
        <v/>
      </c>
      <c r="N503" s="25" t="str">
        <f aca="false">IF(OR(L503="",$E503=""),"",IFERROR(L503*INDEX(Werkstoffe!$E$5:$E$304,MATCH($E503,lst_Werkstoff,0))/1000,""))</f>
        <v/>
      </c>
      <c r="O503" s="25" t="str">
        <f aca="false">IF(OR(N503="",$F503=""),"",N503*$F503/1000)</f>
        <v/>
      </c>
      <c r="P503" s="16" t="str">
        <f aca="false">IF(OR($F503="",$G503=""),"",$F503*$G503)</f>
        <v/>
      </c>
      <c r="Q503" s="16" t="str">
        <f aca="false">IF($D503="","",IF($J503&lt;&gt;"",$J503,$C$9))</f>
        <v/>
      </c>
      <c r="R503" s="12" t="str">
        <f aca="false">IF($D503="","",IFERROR(IF(INDEX(Profile!$G$5:$G$304,MATCH($D503,lst_Profil,0))&lt;&gt;"",INDEX(Profile!$G$5:$G$304,MATCH($D503,lst_Profil,0)),$H$4),$H$4))</f>
        <v/>
      </c>
      <c r="S503" s="12" t="str">
        <f aca="false">IF($D503="","",IFERROR(IF(INDEX(Profile!$H$5:$H$304,MATCH($D503,lst_Profil,0))&lt;&gt;"",INDEX(Profile!$H$5:$H$304,MATCH($D503,lst_Profil,0)),$H$5),$H$5))</f>
        <v/>
      </c>
      <c r="T503" s="16" t="str">
        <f aca="false">IF(OR(Q503="",NOT(ISNUMBER(R503)),NOT(ISNUMBER(S503))),"",Q503-R503-S503)</f>
        <v/>
      </c>
      <c r="U503" s="26" t="str">
        <f aca="false">IF(OR($D503="",$E503=""),"",IF(COUNTIFS(Preise!$A$5:$A$304,$D503,Preise!$B$5:$B$304,$E503,Preise!$I$5:$I$304,"OK")&gt;0,"ja","nein"))</f>
        <v/>
      </c>
      <c r="V503" s="15" t="str">
        <f aca="false">IF(OR(M503="",$E503="",$C$8=""),"",IF(_xlfn.MINIFS(Schneiddaten!$C$5:$C$304,Schneiddaten!$A$5:$A$304,$C$8,Schneiddaten!$B$5:$B$304,$E503,Schneiddaten!$C$5:$C$304,"&gt;="&amp;M503)=0,"",SUMIFS(Schneiddaten!$D$5:$D$304,Schneiddaten!$A$5:$A$304,$C$8,Schneiddaten!$B$5:$B$304,$E503,Schneiddaten!$C$5:$C$304,_xlfn.MINIFS(Schneiddaten!$C$5:$C$304,Schneiddaten!$A$5:$A$304,$C$8,Schneiddaten!$B$5:$B$304,$E503,Schneiddaten!$C$5:$C$304,"&gt;="&amp;M503))))</f>
        <v/>
      </c>
      <c r="W503" s="26" t="str">
        <f aca="false">IF(AND($D503="",$E503="",$F503="",$G503=""),"",IF(ISNA(MATCH($D503,lst_Profil,0)),"FEHLER: Profil unbekannt",IF(ISNA(MATCH($E503,lst_Werkstoff,0)),"FEHLER: Werkstoff unbekannt",IF(NOT(ISNUMBER(L503)),"FEHLER: Querschnitt fehlt (Profil)",IF(OR($F503="",$F503&lt;=0),"FEHLER: Teilelänge fehlt",IF(OR($G503="",$G503&lt;1),"FEHLER: Stückzahl fehlt",IF(NOT(ISNUMBER($H$4)),"FEHLER: Maschine fehlt/unbekannt",IF(Q503&gt;$H$7,"FEHLER: Stange länger als Maschine zulässt",IF($F503+$H$6&gt;T503,"FEHLER: Teil länger als Nutzlänge",IF(U503="nein","WARNUNG: kein gültiger Materialpreis",IF($H503="","HINWEIS: Schneidweg fehlt",IF(V503="","HINWEIS: keine Schneiddaten",IF(AND($AF503&lt;&gt;"",$AG503=""),"HINWEIS: Gewinde-Vorschlag prüfen","OK")))))))))))))</f>
        <v/>
      </c>
      <c r="X503" s="18" t="str">
        <f aca="false">IF(OR(O503="",$G503=""),"",O503*$G503)</f>
        <v/>
      </c>
      <c r="Y503" s="10"/>
      <c r="Z503" s="21"/>
      <c r="AA503" s="10"/>
      <c r="AB503" s="21"/>
      <c r="AC503" s="21"/>
      <c r="AD503" s="21"/>
      <c r="AE503" s="10"/>
      <c r="AF503" s="10"/>
      <c r="AG503" s="10"/>
      <c r="AH503" s="22"/>
      <c r="AI503" s="21"/>
      <c r="AJ503" s="22"/>
      <c r="AK503" s="21"/>
      <c r="AL503" s="22"/>
      <c r="AM503" s="21"/>
    </row>
    <row r="504" customFormat="false" ht="15" hidden="false" customHeight="false" outlineLevel="0" collapsed="false">
      <c r="A504" s="10"/>
      <c r="B504" s="10"/>
      <c r="C504" s="10"/>
      <c r="D504" s="10"/>
      <c r="E504" s="10"/>
      <c r="F504" s="21"/>
      <c r="G504" s="19"/>
      <c r="H504" s="21"/>
      <c r="I504" s="22"/>
      <c r="J504" s="19"/>
      <c r="K504" s="23" t="str">
        <f aca="false">IF($D504="","",IFERROR(INDEX(Profile!$B$5:$B$304,MATCH($D504,lst_Profil,0)),""))</f>
        <v/>
      </c>
      <c r="L504" s="13" t="str">
        <f aca="false">IF($D504="","",IFERROR(INDEX(Profile!$K$5:$K$304,MATCH($D504,lst_Profil,0))+0,""))</f>
        <v/>
      </c>
      <c r="M504" s="24" t="str">
        <f aca="false">IF($D504="","",IFERROR(INDEX(Profile!$E$5:$E$304,MATCH($D504,lst_Profil,0))+0,""))</f>
        <v/>
      </c>
      <c r="N504" s="25" t="str">
        <f aca="false">IF(OR(L504="",$E504=""),"",IFERROR(L504*INDEX(Werkstoffe!$E$5:$E$304,MATCH($E504,lst_Werkstoff,0))/1000,""))</f>
        <v/>
      </c>
      <c r="O504" s="25" t="str">
        <f aca="false">IF(OR(N504="",$F504=""),"",N504*$F504/1000)</f>
        <v/>
      </c>
      <c r="P504" s="16" t="str">
        <f aca="false">IF(OR($F504="",$G504=""),"",$F504*$G504)</f>
        <v/>
      </c>
      <c r="Q504" s="16" t="str">
        <f aca="false">IF($D504="","",IF($J504&lt;&gt;"",$J504,$C$9))</f>
        <v/>
      </c>
      <c r="R504" s="12" t="str">
        <f aca="false">IF($D504="","",IFERROR(IF(INDEX(Profile!$G$5:$G$304,MATCH($D504,lst_Profil,0))&lt;&gt;"",INDEX(Profile!$G$5:$G$304,MATCH($D504,lst_Profil,0)),$H$4),$H$4))</f>
        <v/>
      </c>
      <c r="S504" s="12" t="str">
        <f aca="false">IF($D504="","",IFERROR(IF(INDEX(Profile!$H$5:$H$304,MATCH($D504,lst_Profil,0))&lt;&gt;"",INDEX(Profile!$H$5:$H$304,MATCH($D504,lst_Profil,0)),$H$5),$H$5))</f>
        <v/>
      </c>
      <c r="T504" s="16" t="str">
        <f aca="false">IF(OR(Q504="",NOT(ISNUMBER(R504)),NOT(ISNUMBER(S504))),"",Q504-R504-S504)</f>
        <v/>
      </c>
      <c r="U504" s="26" t="str">
        <f aca="false">IF(OR($D504="",$E504=""),"",IF(COUNTIFS(Preise!$A$5:$A$304,$D504,Preise!$B$5:$B$304,$E504,Preise!$I$5:$I$304,"OK")&gt;0,"ja","nein"))</f>
        <v/>
      </c>
      <c r="V504" s="15" t="str">
        <f aca="false">IF(OR(M504="",$E504="",$C$8=""),"",IF(_xlfn.MINIFS(Schneiddaten!$C$5:$C$304,Schneiddaten!$A$5:$A$304,$C$8,Schneiddaten!$B$5:$B$304,$E504,Schneiddaten!$C$5:$C$304,"&gt;="&amp;M504)=0,"",SUMIFS(Schneiddaten!$D$5:$D$304,Schneiddaten!$A$5:$A$304,$C$8,Schneiddaten!$B$5:$B$304,$E504,Schneiddaten!$C$5:$C$304,_xlfn.MINIFS(Schneiddaten!$C$5:$C$304,Schneiddaten!$A$5:$A$304,$C$8,Schneiddaten!$B$5:$B$304,$E504,Schneiddaten!$C$5:$C$304,"&gt;="&amp;M504))))</f>
        <v/>
      </c>
      <c r="W504" s="26" t="str">
        <f aca="false">IF(AND($D504="",$E504="",$F504="",$G504=""),"",IF(ISNA(MATCH($D504,lst_Profil,0)),"FEHLER: Profil unbekannt",IF(ISNA(MATCH($E504,lst_Werkstoff,0)),"FEHLER: Werkstoff unbekannt",IF(NOT(ISNUMBER(L504)),"FEHLER: Querschnitt fehlt (Profil)",IF(OR($F504="",$F504&lt;=0),"FEHLER: Teilelänge fehlt",IF(OR($G504="",$G504&lt;1),"FEHLER: Stückzahl fehlt",IF(NOT(ISNUMBER($H$4)),"FEHLER: Maschine fehlt/unbekannt",IF(Q504&gt;$H$7,"FEHLER: Stange länger als Maschine zulässt",IF($F504+$H$6&gt;T504,"FEHLER: Teil länger als Nutzlänge",IF(U504="nein","WARNUNG: kein gültiger Materialpreis",IF($H504="","HINWEIS: Schneidweg fehlt",IF(V504="","HINWEIS: keine Schneiddaten",IF(AND($AF504&lt;&gt;"",$AG504=""),"HINWEIS: Gewinde-Vorschlag prüfen","OK")))))))))))))</f>
        <v/>
      </c>
      <c r="X504" s="18" t="str">
        <f aca="false">IF(OR(O504="",$G504=""),"",O504*$G504)</f>
        <v/>
      </c>
      <c r="Y504" s="10"/>
      <c r="Z504" s="21"/>
      <c r="AA504" s="10"/>
      <c r="AB504" s="21"/>
      <c r="AC504" s="21"/>
      <c r="AD504" s="21"/>
      <c r="AE504" s="10"/>
      <c r="AF504" s="10"/>
      <c r="AG504" s="10"/>
      <c r="AH504" s="22"/>
      <c r="AI504" s="21"/>
      <c r="AJ504" s="22"/>
      <c r="AK504" s="21"/>
      <c r="AL504" s="22"/>
      <c r="AM504" s="21"/>
    </row>
    <row r="505" customFormat="false" ht="15" hidden="false" customHeight="false" outlineLevel="0" collapsed="false">
      <c r="A505" s="10"/>
      <c r="B505" s="10"/>
      <c r="C505" s="10"/>
      <c r="D505" s="10"/>
      <c r="E505" s="10"/>
      <c r="F505" s="21"/>
      <c r="G505" s="19"/>
      <c r="H505" s="21"/>
      <c r="I505" s="22"/>
      <c r="J505" s="19"/>
      <c r="K505" s="23" t="str">
        <f aca="false">IF($D505="","",IFERROR(INDEX(Profile!$B$5:$B$304,MATCH($D505,lst_Profil,0)),""))</f>
        <v/>
      </c>
      <c r="L505" s="13" t="str">
        <f aca="false">IF($D505="","",IFERROR(INDEX(Profile!$K$5:$K$304,MATCH($D505,lst_Profil,0))+0,""))</f>
        <v/>
      </c>
      <c r="M505" s="24" t="str">
        <f aca="false">IF($D505="","",IFERROR(INDEX(Profile!$E$5:$E$304,MATCH($D505,lst_Profil,0))+0,""))</f>
        <v/>
      </c>
      <c r="N505" s="25" t="str">
        <f aca="false">IF(OR(L505="",$E505=""),"",IFERROR(L505*INDEX(Werkstoffe!$E$5:$E$304,MATCH($E505,lst_Werkstoff,0))/1000,""))</f>
        <v/>
      </c>
      <c r="O505" s="25" t="str">
        <f aca="false">IF(OR(N505="",$F505=""),"",N505*$F505/1000)</f>
        <v/>
      </c>
      <c r="P505" s="16" t="str">
        <f aca="false">IF(OR($F505="",$G505=""),"",$F505*$G505)</f>
        <v/>
      </c>
      <c r="Q505" s="16" t="str">
        <f aca="false">IF($D505="","",IF($J505&lt;&gt;"",$J505,$C$9))</f>
        <v/>
      </c>
      <c r="R505" s="12" t="str">
        <f aca="false">IF($D505="","",IFERROR(IF(INDEX(Profile!$G$5:$G$304,MATCH($D505,lst_Profil,0))&lt;&gt;"",INDEX(Profile!$G$5:$G$304,MATCH($D505,lst_Profil,0)),$H$4),$H$4))</f>
        <v/>
      </c>
      <c r="S505" s="12" t="str">
        <f aca="false">IF($D505="","",IFERROR(IF(INDEX(Profile!$H$5:$H$304,MATCH($D505,lst_Profil,0))&lt;&gt;"",INDEX(Profile!$H$5:$H$304,MATCH($D505,lst_Profil,0)),$H$5),$H$5))</f>
        <v/>
      </c>
      <c r="T505" s="16" t="str">
        <f aca="false">IF(OR(Q505="",NOT(ISNUMBER(R505)),NOT(ISNUMBER(S505))),"",Q505-R505-S505)</f>
        <v/>
      </c>
      <c r="U505" s="26" t="str">
        <f aca="false">IF(OR($D505="",$E505=""),"",IF(COUNTIFS(Preise!$A$5:$A$304,$D505,Preise!$B$5:$B$304,$E505,Preise!$I$5:$I$304,"OK")&gt;0,"ja","nein"))</f>
        <v/>
      </c>
      <c r="V505" s="15" t="str">
        <f aca="false">IF(OR(M505="",$E505="",$C$8=""),"",IF(_xlfn.MINIFS(Schneiddaten!$C$5:$C$304,Schneiddaten!$A$5:$A$304,$C$8,Schneiddaten!$B$5:$B$304,$E505,Schneiddaten!$C$5:$C$304,"&gt;="&amp;M505)=0,"",SUMIFS(Schneiddaten!$D$5:$D$304,Schneiddaten!$A$5:$A$304,$C$8,Schneiddaten!$B$5:$B$304,$E505,Schneiddaten!$C$5:$C$304,_xlfn.MINIFS(Schneiddaten!$C$5:$C$304,Schneiddaten!$A$5:$A$304,$C$8,Schneiddaten!$B$5:$B$304,$E505,Schneiddaten!$C$5:$C$304,"&gt;="&amp;M505))))</f>
        <v/>
      </c>
      <c r="W505" s="26" t="str">
        <f aca="false">IF(AND($D505="",$E505="",$F505="",$G505=""),"",IF(ISNA(MATCH($D505,lst_Profil,0)),"FEHLER: Profil unbekannt",IF(ISNA(MATCH($E505,lst_Werkstoff,0)),"FEHLER: Werkstoff unbekannt",IF(NOT(ISNUMBER(L505)),"FEHLER: Querschnitt fehlt (Profil)",IF(OR($F505="",$F505&lt;=0),"FEHLER: Teilelänge fehlt",IF(OR($G505="",$G505&lt;1),"FEHLER: Stückzahl fehlt",IF(NOT(ISNUMBER($H$4)),"FEHLER: Maschine fehlt/unbekannt",IF(Q505&gt;$H$7,"FEHLER: Stange länger als Maschine zulässt",IF($F505+$H$6&gt;T505,"FEHLER: Teil länger als Nutzlänge",IF(U505="nein","WARNUNG: kein gültiger Materialpreis",IF($H505="","HINWEIS: Schneidweg fehlt",IF(V505="","HINWEIS: keine Schneiddaten",IF(AND($AF505&lt;&gt;"",$AG505=""),"HINWEIS: Gewinde-Vorschlag prüfen","OK")))))))))))))</f>
        <v/>
      </c>
      <c r="X505" s="18" t="str">
        <f aca="false">IF(OR(O505="",$G505=""),"",O505*$G505)</f>
        <v/>
      </c>
      <c r="Y505" s="10"/>
      <c r="Z505" s="21"/>
      <c r="AA505" s="10"/>
      <c r="AB505" s="21"/>
      <c r="AC505" s="21"/>
      <c r="AD505" s="21"/>
      <c r="AE505" s="10"/>
      <c r="AF505" s="10"/>
      <c r="AG505" s="10"/>
      <c r="AH505" s="22"/>
      <c r="AI505" s="21"/>
      <c r="AJ505" s="22"/>
      <c r="AK505" s="21"/>
      <c r="AL505" s="22"/>
      <c r="AM505" s="21"/>
    </row>
    <row r="506" customFormat="false" ht="15" hidden="false" customHeight="false" outlineLevel="0" collapsed="false">
      <c r="A506" s="10"/>
      <c r="B506" s="10"/>
      <c r="C506" s="10"/>
      <c r="D506" s="10"/>
      <c r="E506" s="10"/>
      <c r="F506" s="21"/>
      <c r="G506" s="19"/>
      <c r="H506" s="21"/>
      <c r="I506" s="22"/>
      <c r="J506" s="19"/>
      <c r="K506" s="23" t="str">
        <f aca="false">IF($D506="","",IFERROR(INDEX(Profile!$B$5:$B$304,MATCH($D506,lst_Profil,0)),""))</f>
        <v/>
      </c>
      <c r="L506" s="13" t="str">
        <f aca="false">IF($D506="","",IFERROR(INDEX(Profile!$K$5:$K$304,MATCH($D506,lst_Profil,0))+0,""))</f>
        <v/>
      </c>
      <c r="M506" s="24" t="str">
        <f aca="false">IF($D506="","",IFERROR(INDEX(Profile!$E$5:$E$304,MATCH($D506,lst_Profil,0))+0,""))</f>
        <v/>
      </c>
      <c r="N506" s="25" t="str">
        <f aca="false">IF(OR(L506="",$E506=""),"",IFERROR(L506*INDEX(Werkstoffe!$E$5:$E$304,MATCH($E506,lst_Werkstoff,0))/1000,""))</f>
        <v/>
      </c>
      <c r="O506" s="25" t="str">
        <f aca="false">IF(OR(N506="",$F506=""),"",N506*$F506/1000)</f>
        <v/>
      </c>
      <c r="P506" s="16" t="str">
        <f aca="false">IF(OR($F506="",$G506=""),"",$F506*$G506)</f>
        <v/>
      </c>
      <c r="Q506" s="16" t="str">
        <f aca="false">IF($D506="","",IF($J506&lt;&gt;"",$J506,$C$9))</f>
        <v/>
      </c>
      <c r="R506" s="12" t="str">
        <f aca="false">IF($D506="","",IFERROR(IF(INDEX(Profile!$G$5:$G$304,MATCH($D506,lst_Profil,0))&lt;&gt;"",INDEX(Profile!$G$5:$G$304,MATCH($D506,lst_Profil,0)),$H$4),$H$4))</f>
        <v/>
      </c>
      <c r="S506" s="12" t="str">
        <f aca="false">IF($D506="","",IFERROR(IF(INDEX(Profile!$H$5:$H$304,MATCH($D506,lst_Profil,0))&lt;&gt;"",INDEX(Profile!$H$5:$H$304,MATCH($D506,lst_Profil,0)),$H$5),$H$5))</f>
        <v/>
      </c>
      <c r="T506" s="16" t="str">
        <f aca="false">IF(OR(Q506="",NOT(ISNUMBER(R506)),NOT(ISNUMBER(S506))),"",Q506-R506-S506)</f>
        <v/>
      </c>
      <c r="U506" s="26" t="str">
        <f aca="false">IF(OR($D506="",$E506=""),"",IF(COUNTIFS(Preise!$A$5:$A$304,$D506,Preise!$B$5:$B$304,$E506,Preise!$I$5:$I$304,"OK")&gt;0,"ja","nein"))</f>
        <v/>
      </c>
      <c r="V506" s="15" t="str">
        <f aca="false">IF(OR(M506="",$E506="",$C$8=""),"",IF(_xlfn.MINIFS(Schneiddaten!$C$5:$C$304,Schneiddaten!$A$5:$A$304,$C$8,Schneiddaten!$B$5:$B$304,$E506,Schneiddaten!$C$5:$C$304,"&gt;="&amp;M506)=0,"",SUMIFS(Schneiddaten!$D$5:$D$304,Schneiddaten!$A$5:$A$304,$C$8,Schneiddaten!$B$5:$B$304,$E506,Schneiddaten!$C$5:$C$304,_xlfn.MINIFS(Schneiddaten!$C$5:$C$304,Schneiddaten!$A$5:$A$304,$C$8,Schneiddaten!$B$5:$B$304,$E506,Schneiddaten!$C$5:$C$304,"&gt;="&amp;M506))))</f>
        <v/>
      </c>
      <c r="W506" s="26" t="str">
        <f aca="false">IF(AND($D506="",$E506="",$F506="",$G506=""),"",IF(ISNA(MATCH($D506,lst_Profil,0)),"FEHLER: Profil unbekannt",IF(ISNA(MATCH($E506,lst_Werkstoff,0)),"FEHLER: Werkstoff unbekannt",IF(NOT(ISNUMBER(L506)),"FEHLER: Querschnitt fehlt (Profil)",IF(OR($F506="",$F506&lt;=0),"FEHLER: Teilelänge fehlt",IF(OR($G506="",$G506&lt;1),"FEHLER: Stückzahl fehlt",IF(NOT(ISNUMBER($H$4)),"FEHLER: Maschine fehlt/unbekannt",IF(Q506&gt;$H$7,"FEHLER: Stange länger als Maschine zulässt",IF($F506+$H$6&gt;T506,"FEHLER: Teil länger als Nutzlänge",IF(U506="nein","WARNUNG: kein gültiger Materialpreis",IF($H506="","HINWEIS: Schneidweg fehlt",IF(V506="","HINWEIS: keine Schneiddaten",IF(AND($AF506&lt;&gt;"",$AG506=""),"HINWEIS: Gewinde-Vorschlag prüfen","OK")))))))))))))</f>
        <v/>
      </c>
      <c r="X506" s="18" t="str">
        <f aca="false">IF(OR(O506="",$G506=""),"",O506*$G506)</f>
        <v/>
      </c>
      <c r="Y506" s="10"/>
      <c r="Z506" s="21"/>
      <c r="AA506" s="10"/>
      <c r="AB506" s="21"/>
      <c r="AC506" s="21"/>
      <c r="AD506" s="21"/>
      <c r="AE506" s="10"/>
      <c r="AF506" s="10"/>
      <c r="AG506" s="10"/>
      <c r="AH506" s="22"/>
      <c r="AI506" s="21"/>
      <c r="AJ506" s="22"/>
      <c r="AK506" s="21"/>
      <c r="AL506" s="22"/>
      <c r="AM506" s="21"/>
    </row>
    <row r="507" customFormat="false" ht="15" hidden="false" customHeight="false" outlineLevel="0" collapsed="false">
      <c r="A507" s="10"/>
      <c r="B507" s="10"/>
      <c r="C507" s="10"/>
      <c r="D507" s="10"/>
      <c r="E507" s="10"/>
      <c r="F507" s="21"/>
      <c r="G507" s="19"/>
      <c r="H507" s="21"/>
      <c r="I507" s="22"/>
      <c r="J507" s="19"/>
      <c r="K507" s="23" t="str">
        <f aca="false">IF($D507="","",IFERROR(INDEX(Profile!$B$5:$B$304,MATCH($D507,lst_Profil,0)),""))</f>
        <v/>
      </c>
      <c r="L507" s="13" t="str">
        <f aca="false">IF($D507="","",IFERROR(INDEX(Profile!$K$5:$K$304,MATCH($D507,lst_Profil,0))+0,""))</f>
        <v/>
      </c>
      <c r="M507" s="24" t="str">
        <f aca="false">IF($D507="","",IFERROR(INDEX(Profile!$E$5:$E$304,MATCH($D507,lst_Profil,0))+0,""))</f>
        <v/>
      </c>
      <c r="N507" s="25" t="str">
        <f aca="false">IF(OR(L507="",$E507=""),"",IFERROR(L507*INDEX(Werkstoffe!$E$5:$E$304,MATCH($E507,lst_Werkstoff,0))/1000,""))</f>
        <v/>
      </c>
      <c r="O507" s="25" t="str">
        <f aca="false">IF(OR(N507="",$F507=""),"",N507*$F507/1000)</f>
        <v/>
      </c>
      <c r="P507" s="16" t="str">
        <f aca="false">IF(OR($F507="",$G507=""),"",$F507*$G507)</f>
        <v/>
      </c>
      <c r="Q507" s="16" t="str">
        <f aca="false">IF($D507="","",IF($J507&lt;&gt;"",$J507,$C$9))</f>
        <v/>
      </c>
      <c r="R507" s="12" t="str">
        <f aca="false">IF($D507="","",IFERROR(IF(INDEX(Profile!$G$5:$G$304,MATCH($D507,lst_Profil,0))&lt;&gt;"",INDEX(Profile!$G$5:$G$304,MATCH($D507,lst_Profil,0)),$H$4),$H$4))</f>
        <v/>
      </c>
      <c r="S507" s="12" t="str">
        <f aca="false">IF($D507="","",IFERROR(IF(INDEX(Profile!$H$5:$H$304,MATCH($D507,lst_Profil,0))&lt;&gt;"",INDEX(Profile!$H$5:$H$304,MATCH($D507,lst_Profil,0)),$H$5),$H$5))</f>
        <v/>
      </c>
      <c r="T507" s="16" t="str">
        <f aca="false">IF(OR(Q507="",NOT(ISNUMBER(R507)),NOT(ISNUMBER(S507))),"",Q507-R507-S507)</f>
        <v/>
      </c>
      <c r="U507" s="26" t="str">
        <f aca="false">IF(OR($D507="",$E507=""),"",IF(COUNTIFS(Preise!$A$5:$A$304,$D507,Preise!$B$5:$B$304,$E507,Preise!$I$5:$I$304,"OK")&gt;0,"ja","nein"))</f>
        <v/>
      </c>
      <c r="V507" s="15" t="str">
        <f aca="false">IF(OR(M507="",$E507="",$C$8=""),"",IF(_xlfn.MINIFS(Schneiddaten!$C$5:$C$304,Schneiddaten!$A$5:$A$304,$C$8,Schneiddaten!$B$5:$B$304,$E507,Schneiddaten!$C$5:$C$304,"&gt;="&amp;M507)=0,"",SUMIFS(Schneiddaten!$D$5:$D$304,Schneiddaten!$A$5:$A$304,$C$8,Schneiddaten!$B$5:$B$304,$E507,Schneiddaten!$C$5:$C$304,_xlfn.MINIFS(Schneiddaten!$C$5:$C$304,Schneiddaten!$A$5:$A$304,$C$8,Schneiddaten!$B$5:$B$304,$E507,Schneiddaten!$C$5:$C$304,"&gt;="&amp;M507))))</f>
        <v/>
      </c>
      <c r="W507" s="26" t="str">
        <f aca="false">IF(AND($D507="",$E507="",$F507="",$G507=""),"",IF(ISNA(MATCH($D507,lst_Profil,0)),"FEHLER: Profil unbekannt",IF(ISNA(MATCH($E507,lst_Werkstoff,0)),"FEHLER: Werkstoff unbekannt",IF(NOT(ISNUMBER(L507)),"FEHLER: Querschnitt fehlt (Profil)",IF(OR($F507="",$F507&lt;=0),"FEHLER: Teilelänge fehlt",IF(OR($G507="",$G507&lt;1),"FEHLER: Stückzahl fehlt",IF(NOT(ISNUMBER($H$4)),"FEHLER: Maschine fehlt/unbekannt",IF(Q507&gt;$H$7,"FEHLER: Stange länger als Maschine zulässt",IF($F507+$H$6&gt;T507,"FEHLER: Teil länger als Nutzlänge",IF(U507="nein","WARNUNG: kein gültiger Materialpreis",IF($H507="","HINWEIS: Schneidweg fehlt",IF(V507="","HINWEIS: keine Schneiddaten",IF(AND($AF507&lt;&gt;"",$AG507=""),"HINWEIS: Gewinde-Vorschlag prüfen","OK")))))))))))))</f>
        <v/>
      </c>
      <c r="X507" s="18" t="str">
        <f aca="false">IF(OR(O507="",$G507=""),"",O507*$G507)</f>
        <v/>
      </c>
      <c r="Y507" s="10"/>
      <c r="Z507" s="21"/>
      <c r="AA507" s="10"/>
      <c r="AB507" s="21"/>
      <c r="AC507" s="21"/>
      <c r="AD507" s="21"/>
      <c r="AE507" s="10"/>
      <c r="AF507" s="10"/>
      <c r="AG507" s="10"/>
      <c r="AH507" s="22"/>
      <c r="AI507" s="21"/>
      <c r="AJ507" s="22"/>
      <c r="AK507" s="21"/>
      <c r="AL507" s="22"/>
      <c r="AM507" s="21"/>
    </row>
    <row r="508" customFormat="false" ht="15" hidden="false" customHeight="false" outlineLevel="0" collapsed="false">
      <c r="A508" s="10"/>
      <c r="B508" s="10"/>
      <c r="C508" s="10"/>
      <c r="D508" s="10"/>
      <c r="E508" s="10"/>
      <c r="F508" s="21"/>
      <c r="G508" s="19"/>
      <c r="H508" s="21"/>
      <c r="I508" s="22"/>
      <c r="J508" s="19"/>
      <c r="K508" s="23" t="str">
        <f aca="false">IF($D508="","",IFERROR(INDEX(Profile!$B$5:$B$304,MATCH($D508,lst_Profil,0)),""))</f>
        <v/>
      </c>
      <c r="L508" s="13" t="str">
        <f aca="false">IF($D508="","",IFERROR(INDEX(Profile!$K$5:$K$304,MATCH($D508,lst_Profil,0))+0,""))</f>
        <v/>
      </c>
      <c r="M508" s="24" t="str">
        <f aca="false">IF($D508="","",IFERROR(INDEX(Profile!$E$5:$E$304,MATCH($D508,lst_Profil,0))+0,""))</f>
        <v/>
      </c>
      <c r="N508" s="25" t="str">
        <f aca="false">IF(OR(L508="",$E508=""),"",IFERROR(L508*INDEX(Werkstoffe!$E$5:$E$304,MATCH($E508,lst_Werkstoff,0))/1000,""))</f>
        <v/>
      </c>
      <c r="O508" s="25" t="str">
        <f aca="false">IF(OR(N508="",$F508=""),"",N508*$F508/1000)</f>
        <v/>
      </c>
      <c r="P508" s="16" t="str">
        <f aca="false">IF(OR($F508="",$G508=""),"",$F508*$G508)</f>
        <v/>
      </c>
      <c r="Q508" s="16" t="str">
        <f aca="false">IF($D508="","",IF($J508&lt;&gt;"",$J508,$C$9))</f>
        <v/>
      </c>
      <c r="R508" s="12" t="str">
        <f aca="false">IF($D508="","",IFERROR(IF(INDEX(Profile!$G$5:$G$304,MATCH($D508,lst_Profil,0))&lt;&gt;"",INDEX(Profile!$G$5:$G$304,MATCH($D508,lst_Profil,0)),$H$4),$H$4))</f>
        <v/>
      </c>
      <c r="S508" s="12" t="str">
        <f aca="false">IF($D508="","",IFERROR(IF(INDEX(Profile!$H$5:$H$304,MATCH($D508,lst_Profil,0))&lt;&gt;"",INDEX(Profile!$H$5:$H$304,MATCH($D508,lst_Profil,0)),$H$5),$H$5))</f>
        <v/>
      </c>
      <c r="T508" s="16" t="str">
        <f aca="false">IF(OR(Q508="",NOT(ISNUMBER(R508)),NOT(ISNUMBER(S508))),"",Q508-R508-S508)</f>
        <v/>
      </c>
      <c r="U508" s="26" t="str">
        <f aca="false">IF(OR($D508="",$E508=""),"",IF(COUNTIFS(Preise!$A$5:$A$304,$D508,Preise!$B$5:$B$304,$E508,Preise!$I$5:$I$304,"OK")&gt;0,"ja","nein"))</f>
        <v/>
      </c>
      <c r="V508" s="15" t="str">
        <f aca="false">IF(OR(M508="",$E508="",$C$8=""),"",IF(_xlfn.MINIFS(Schneiddaten!$C$5:$C$304,Schneiddaten!$A$5:$A$304,$C$8,Schneiddaten!$B$5:$B$304,$E508,Schneiddaten!$C$5:$C$304,"&gt;="&amp;M508)=0,"",SUMIFS(Schneiddaten!$D$5:$D$304,Schneiddaten!$A$5:$A$304,$C$8,Schneiddaten!$B$5:$B$304,$E508,Schneiddaten!$C$5:$C$304,_xlfn.MINIFS(Schneiddaten!$C$5:$C$304,Schneiddaten!$A$5:$A$304,$C$8,Schneiddaten!$B$5:$B$304,$E508,Schneiddaten!$C$5:$C$304,"&gt;="&amp;M508))))</f>
        <v/>
      </c>
      <c r="W508" s="26" t="str">
        <f aca="false">IF(AND($D508="",$E508="",$F508="",$G508=""),"",IF(ISNA(MATCH($D508,lst_Profil,0)),"FEHLER: Profil unbekannt",IF(ISNA(MATCH($E508,lst_Werkstoff,0)),"FEHLER: Werkstoff unbekannt",IF(NOT(ISNUMBER(L508)),"FEHLER: Querschnitt fehlt (Profil)",IF(OR($F508="",$F508&lt;=0),"FEHLER: Teilelänge fehlt",IF(OR($G508="",$G508&lt;1),"FEHLER: Stückzahl fehlt",IF(NOT(ISNUMBER($H$4)),"FEHLER: Maschine fehlt/unbekannt",IF(Q508&gt;$H$7,"FEHLER: Stange länger als Maschine zulässt",IF($F508+$H$6&gt;T508,"FEHLER: Teil länger als Nutzlänge",IF(U508="nein","WARNUNG: kein gültiger Materialpreis",IF($H508="","HINWEIS: Schneidweg fehlt",IF(V508="","HINWEIS: keine Schneiddaten",IF(AND($AF508&lt;&gt;"",$AG508=""),"HINWEIS: Gewinde-Vorschlag prüfen","OK")))))))))))))</f>
        <v/>
      </c>
      <c r="X508" s="18" t="str">
        <f aca="false">IF(OR(O508="",$G508=""),"",O508*$G508)</f>
        <v/>
      </c>
      <c r="Y508" s="10"/>
      <c r="Z508" s="21"/>
      <c r="AA508" s="10"/>
      <c r="AB508" s="21"/>
      <c r="AC508" s="21"/>
      <c r="AD508" s="21"/>
      <c r="AE508" s="10"/>
      <c r="AF508" s="10"/>
      <c r="AG508" s="10"/>
      <c r="AH508" s="22"/>
      <c r="AI508" s="21"/>
      <c r="AJ508" s="22"/>
      <c r="AK508" s="21"/>
      <c r="AL508" s="22"/>
      <c r="AM508" s="21"/>
    </row>
    <row r="509" customFormat="false" ht="15" hidden="false" customHeight="false" outlineLevel="0" collapsed="false">
      <c r="A509" s="10"/>
      <c r="B509" s="10"/>
      <c r="C509" s="10"/>
      <c r="D509" s="10"/>
      <c r="E509" s="10"/>
      <c r="F509" s="21"/>
      <c r="G509" s="19"/>
      <c r="H509" s="21"/>
      <c r="I509" s="22"/>
      <c r="J509" s="19"/>
      <c r="K509" s="23" t="str">
        <f aca="false">IF($D509="","",IFERROR(INDEX(Profile!$B$5:$B$304,MATCH($D509,lst_Profil,0)),""))</f>
        <v/>
      </c>
      <c r="L509" s="13" t="str">
        <f aca="false">IF($D509="","",IFERROR(INDEX(Profile!$K$5:$K$304,MATCH($D509,lst_Profil,0))+0,""))</f>
        <v/>
      </c>
      <c r="M509" s="24" t="str">
        <f aca="false">IF($D509="","",IFERROR(INDEX(Profile!$E$5:$E$304,MATCH($D509,lst_Profil,0))+0,""))</f>
        <v/>
      </c>
      <c r="N509" s="25" t="str">
        <f aca="false">IF(OR(L509="",$E509=""),"",IFERROR(L509*INDEX(Werkstoffe!$E$5:$E$304,MATCH($E509,lst_Werkstoff,0))/1000,""))</f>
        <v/>
      </c>
      <c r="O509" s="25" t="str">
        <f aca="false">IF(OR(N509="",$F509=""),"",N509*$F509/1000)</f>
        <v/>
      </c>
      <c r="P509" s="16" t="str">
        <f aca="false">IF(OR($F509="",$G509=""),"",$F509*$G509)</f>
        <v/>
      </c>
      <c r="Q509" s="16" t="str">
        <f aca="false">IF($D509="","",IF($J509&lt;&gt;"",$J509,$C$9))</f>
        <v/>
      </c>
      <c r="R509" s="12" t="str">
        <f aca="false">IF($D509="","",IFERROR(IF(INDEX(Profile!$G$5:$G$304,MATCH($D509,lst_Profil,0))&lt;&gt;"",INDEX(Profile!$G$5:$G$304,MATCH($D509,lst_Profil,0)),$H$4),$H$4))</f>
        <v/>
      </c>
      <c r="S509" s="12" t="str">
        <f aca="false">IF($D509="","",IFERROR(IF(INDEX(Profile!$H$5:$H$304,MATCH($D509,lst_Profil,0))&lt;&gt;"",INDEX(Profile!$H$5:$H$304,MATCH($D509,lst_Profil,0)),$H$5),$H$5))</f>
        <v/>
      </c>
      <c r="T509" s="16" t="str">
        <f aca="false">IF(OR(Q509="",NOT(ISNUMBER(R509)),NOT(ISNUMBER(S509))),"",Q509-R509-S509)</f>
        <v/>
      </c>
      <c r="U509" s="26" t="str">
        <f aca="false">IF(OR($D509="",$E509=""),"",IF(COUNTIFS(Preise!$A$5:$A$304,$D509,Preise!$B$5:$B$304,$E509,Preise!$I$5:$I$304,"OK")&gt;0,"ja","nein"))</f>
        <v/>
      </c>
      <c r="V509" s="15" t="str">
        <f aca="false">IF(OR(M509="",$E509="",$C$8=""),"",IF(_xlfn.MINIFS(Schneiddaten!$C$5:$C$304,Schneiddaten!$A$5:$A$304,$C$8,Schneiddaten!$B$5:$B$304,$E509,Schneiddaten!$C$5:$C$304,"&gt;="&amp;M509)=0,"",SUMIFS(Schneiddaten!$D$5:$D$304,Schneiddaten!$A$5:$A$304,$C$8,Schneiddaten!$B$5:$B$304,$E509,Schneiddaten!$C$5:$C$304,_xlfn.MINIFS(Schneiddaten!$C$5:$C$304,Schneiddaten!$A$5:$A$304,$C$8,Schneiddaten!$B$5:$B$304,$E509,Schneiddaten!$C$5:$C$304,"&gt;="&amp;M509))))</f>
        <v/>
      </c>
      <c r="W509" s="26" t="str">
        <f aca="false">IF(AND($D509="",$E509="",$F509="",$G509=""),"",IF(ISNA(MATCH($D509,lst_Profil,0)),"FEHLER: Profil unbekannt",IF(ISNA(MATCH($E509,lst_Werkstoff,0)),"FEHLER: Werkstoff unbekannt",IF(NOT(ISNUMBER(L509)),"FEHLER: Querschnitt fehlt (Profil)",IF(OR($F509="",$F509&lt;=0),"FEHLER: Teilelänge fehlt",IF(OR($G509="",$G509&lt;1),"FEHLER: Stückzahl fehlt",IF(NOT(ISNUMBER($H$4)),"FEHLER: Maschine fehlt/unbekannt",IF(Q509&gt;$H$7,"FEHLER: Stange länger als Maschine zulässt",IF($F509+$H$6&gt;T509,"FEHLER: Teil länger als Nutzlänge",IF(U509="nein","WARNUNG: kein gültiger Materialpreis",IF($H509="","HINWEIS: Schneidweg fehlt",IF(V509="","HINWEIS: keine Schneiddaten",IF(AND($AF509&lt;&gt;"",$AG509=""),"HINWEIS: Gewinde-Vorschlag prüfen","OK")))))))))))))</f>
        <v/>
      </c>
      <c r="X509" s="18" t="str">
        <f aca="false">IF(OR(O509="",$G509=""),"",O509*$G509)</f>
        <v/>
      </c>
      <c r="Y509" s="10"/>
      <c r="Z509" s="21"/>
      <c r="AA509" s="10"/>
      <c r="AB509" s="21"/>
      <c r="AC509" s="21"/>
      <c r="AD509" s="21"/>
      <c r="AE509" s="10"/>
      <c r="AF509" s="10"/>
      <c r="AG509" s="10"/>
      <c r="AH509" s="22"/>
      <c r="AI509" s="21"/>
      <c r="AJ509" s="22"/>
      <c r="AK509" s="21"/>
      <c r="AL509" s="22"/>
      <c r="AM509" s="21"/>
    </row>
    <row r="510" customFormat="false" ht="15" hidden="false" customHeight="false" outlineLevel="0" collapsed="false">
      <c r="A510" s="10"/>
      <c r="B510" s="10"/>
      <c r="C510" s="10"/>
      <c r="D510" s="10"/>
      <c r="E510" s="10"/>
      <c r="F510" s="21"/>
      <c r="G510" s="19"/>
      <c r="H510" s="21"/>
      <c r="I510" s="22"/>
      <c r="J510" s="19"/>
      <c r="K510" s="23" t="str">
        <f aca="false">IF($D510="","",IFERROR(INDEX(Profile!$B$5:$B$304,MATCH($D510,lst_Profil,0)),""))</f>
        <v/>
      </c>
      <c r="L510" s="13" t="str">
        <f aca="false">IF($D510="","",IFERROR(INDEX(Profile!$K$5:$K$304,MATCH($D510,lst_Profil,0))+0,""))</f>
        <v/>
      </c>
      <c r="M510" s="24" t="str">
        <f aca="false">IF($D510="","",IFERROR(INDEX(Profile!$E$5:$E$304,MATCH($D510,lst_Profil,0))+0,""))</f>
        <v/>
      </c>
      <c r="N510" s="25" t="str">
        <f aca="false">IF(OR(L510="",$E510=""),"",IFERROR(L510*INDEX(Werkstoffe!$E$5:$E$304,MATCH($E510,lst_Werkstoff,0))/1000,""))</f>
        <v/>
      </c>
      <c r="O510" s="25" t="str">
        <f aca="false">IF(OR(N510="",$F510=""),"",N510*$F510/1000)</f>
        <v/>
      </c>
      <c r="P510" s="16" t="str">
        <f aca="false">IF(OR($F510="",$G510=""),"",$F510*$G510)</f>
        <v/>
      </c>
      <c r="Q510" s="16" t="str">
        <f aca="false">IF($D510="","",IF($J510&lt;&gt;"",$J510,$C$9))</f>
        <v/>
      </c>
      <c r="R510" s="12" t="str">
        <f aca="false">IF($D510="","",IFERROR(IF(INDEX(Profile!$G$5:$G$304,MATCH($D510,lst_Profil,0))&lt;&gt;"",INDEX(Profile!$G$5:$G$304,MATCH($D510,lst_Profil,0)),$H$4),$H$4))</f>
        <v/>
      </c>
      <c r="S510" s="12" t="str">
        <f aca="false">IF($D510="","",IFERROR(IF(INDEX(Profile!$H$5:$H$304,MATCH($D510,lst_Profil,0))&lt;&gt;"",INDEX(Profile!$H$5:$H$304,MATCH($D510,lst_Profil,0)),$H$5),$H$5))</f>
        <v/>
      </c>
      <c r="T510" s="16" t="str">
        <f aca="false">IF(OR(Q510="",NOT(ISNUMBER(R510)),NOT(ISNUMBER(S510))),"",Q510-R510-S510)</f>
        <v/>
      </c>
      <c r="U510" s="26" t="str">
        <f aca="false">IF(OR($D510="",$E510=""),"",IF(COUNTIFS(Preise!$A$5:$A$304,$D510,Preise!$B$5:$B$304,$E510,Preise!$I$5:$I$304,"OK")&gt;0,"ja","nein"))</f>
        <v/>
      </c>
      <c r="V510" s="15" t="str">
        <f aca="false">IF(OR(M510="",$E510="",$C$8=""),"",IF(_xlfn.MINIFS(Schneiddaten!$C$5:$C$304,Schneiddaten!$A$5:$A$304,$C$8,Schneiddaten!$B$5:$B$304,$E510,Schneiddaten!$C$5:$C$304,"&gt;="&amp;M510)=0,"",SUMIFS(Schneiddaten!$D$5:$D$304,Schneiddaten!$A$5:$A$304,$C$8,Schneiddaten!$B$5:$B$304,$E510,Schneiddaten!$C$5:$C$304,_xlfn.MINIFS(Schneiddaten!$C$5:$C$304,Schneiddaten!$A$5:$A$304,$C$8,Schneiddaten!$B$5:$B$304,$E510,Schneiddaten!$C$5:$C$304,"&gt;="&amp;M510))))</f>
        <v/>
      </c>
      <c r="W510" s="26" t="str">
        <f aca="false">IF(AND($D510="",$E510="",$F510="",$G510=""),"",IF(ISNA(MATCH($D510,lst_Profil,0)),"FEHLER: Profil unbekannt",IF(ISNA(MATCH($E510,lst_Werkstoff,0)),"FEHLER: Werkstoff unbekannt",IF(NOT(ISNUMBER(L510)),"FEHLER: Querschnitt fehlt (Profil)",IF(OR($F510="",$F510&lt;=0),"FEHLER: Teilelänge fehlt",IF(OR($G510="",$G510&lt;1),"FEHLER: Stückzahl fehlt",IF(NOT(ISNUMBER($H$4)),"FEHLER: Maschine fehlt/unbekannt",IF(Q510&gt;$H$7,"FEHLER: Stange länger als Maschine zulässt",IF($F510+$H$6&gt;T510,"FEHLER: Teil länger als Nutzlänge",IF(U510="nein","WARNUNG: kein gültiger Materialpreis",IF($H510="","HINWEIS: Schneidweg fehlt",IF(V510="","HINWEIS: keine Schneiddaten",IF(AND($AF510&lt;&gt;"",$AG510=""),"HINWEIS: Gewinde-Vorschlag prüfen","OK")))))))))))))</f>
        <v/>
      </c>
      <c r="X510" s="18" t="str">
        <f aca="false">IF(OR(O510="",$G510=""),"",O510*$G510)</f>
        <v/>
      </c>
      <c r="Y510" s="10"/>
      <c r="Z510" s="21"/>
      <c r="AA510" s="10"/>
      <c r="AB510" s="21"/>
      <c r="AC510" s="21"/>
      <c r="AD510" s="21"/>
      <c r="AE510" s="10"/>
      <c r="AF510" s="10"/>
      <c r="AG510" s="10"/>
      <c r="AH510" s="22"/>
      <c r="AI510" s="21"/>
      <c r="AJ510" s="22"/>
      <c r="AK510" s="21"/>
      <c r="AL510" s="22"/>
      <c r="AM510" s="21"/>
    </row>
    <row r="511" customFormat="false" ht="15" hidden="false" customHeight="false" outlineLevel="0" collapsed="false">
      <c r="A511" s="10"/>
      <c r="B511" s="10"/>
      <c r="C511" s="10"/>
      <c r="D511" s="10"/>
      <c r="E511" s="10"/>
      <c r="F511" s="21"/>
      <c r="G511" s="19"/>
      <c r="H511" s="21"/>
      <c r="I511" s="22"/>
      <c r="J511" s="19"/>
      <c r="K511" s="23" t="str">
        <f aca="false">IF($D511="","",IFERROR(INDEX(Profile!$B$5:$B$304,MATCH($D511,lst_Profil,0)),""))</f>
        <v/>
      </c>
      <c r="L511" s="13" t="str">
        <f aca="false">IF($D511="","",IFERROR(INDEX(Profile!$K$5:$K$304,MATCH($D511,lst_Profil,0))+0,""))</f>
        <v/>
      </c>
      <c r="M511" s="24" t="str">
        <f aca="false">IF($D511="","",IFERROR(INDEX(Profile!$E$5:$E$304,MATCH($D511,lst_Profil,0))+0,""))</f>
        <v/>
      </c>
      <c r="N511" s="25" t="str">
        <f aca="false">IF(OR(L511="",$E511=""),"",IFERROR(L511*INDEX(Werkstoffe!$E$5:$E$304,MATCH($E511,lst_Werkstoff,0))/1000,""))</f>
        <v/>
      </c>
      <c r="O511" s="25" t="str">
        <f aca="false">IF(OR(N511="",$F511=""),"",N511*$F511/1000)</f>
        <v/>
      </c>
      <c r="P511" s="16" t="str">
        <f aca="false">IF(OR($F511="",$G511=""),"",$F511*$G511)</f>
        <v/>
      </c>
      <c r="Q511" s="16" t="str">
        <f aca="false">IF($D511="","",IF($J511&lt;&gt;"",$J511,$C$9))</f>
        <v/>
      </c>
      <c r="R511" s="12" t="str">
        <f aca="false">IF($D511="","",IFERROR(IF(INDEX(Profile!$G$5:$G$304,MATCH($D511,lst_Profil,0))&lt;&gt;"",INDEX(Profile!$G$5:$G$304,MATCH($D511,lst_Profil,0)),$H$4),$H$4))</f>
        <v/>
      </c>
      <c r="S511" s="12" t="str">
        <f aca="false">IF($D511="","",IFERROR(IF(INDEX(Profile!$H$5:$H$304,MATCH($D511,lst_Profil,0))&lt;&gt;"",INDEX(Profile!$H$5:$H$304,MATCH($D511,lst_Profil,0)),$H$5),$H$5))</f>
        <v/>
      </c>
      <c r="T511" s="16" t="str">
        <f aca="false">IF(OR(Q511="",NOT(ISNUMBER(R511)),NOT(ISNUMBER(S511))),"",Q511-R511-S511)</f>
        <v/>
      </c>
      <c r="U511" s="26" t="str">
        <f aca="false">IF(OR($D511="",$E511=""),"",IF(COUNTIFS(Preise!$A$5:$A$304,$D511,Preise!$B$5:$B$304,$E511,Preise!$I$5:$I$304,"OK")&gt;0,"ja","nein"))</f>
        <v/>
      </c>
      <c r="V511" s="15" t="str">
        <f aca="false">IF(OR(M511="",$E511="",$C$8=""),"",IF(_xlfn.MINIFS(Schneiddaten!$C$5:$C$304,Schneiddaten!$A$5:$A$304,$C$8,Schneiddaten!$B$5:$B$304,$E511,Schneiddaten!$C$5:$C$304,"&gt;="&amp;M511)=0,"",SUMIFS(Schneiddaten!$D$5:$D$304,Schneiddaten!$A$5:$A$304,$C$8,Schneiddaten!$B$5:$B$304,$E511,Schneiddaten!$C$5:$C$304,_xlfn.MINIFS(Schneiddaten!$C$5:$C$304,Schneiddaten!$A$5:$A$304,$C$8,Schneiddaten!$B$5:$B$304,$E511,Schneiddaten!$C$5:$C$304,"&gt;="&amp;M511))))</f>
        <v/>
      </c>
      <c r="W511" s="26" t="str">
        <f aca="false">IF(AND($D511="",$E511="",$F511="",$G511=""),"",IF(ISNA(MATCH($D511,lst_Profil,0)),"FEHLER: Profil unbekannt",IF(ISNA(MATCH($E511,lst_Werkstoff,0)),"FEHLER: Werkstoff unbekannt",IF(NOT(ISNUMBER(L511)),"FEHLER: Querschnitt fehlt (Profil)",IF(OR($F511="",$F511&lt;=0),"FEHLER: Teilelänge fehlt",IF(OR($G511="",$G511&lt;1),"FEHLER: Stückzahl fehlt",IF(NOT(ISNUMBER($H$4)),"FEHLER: Maschine fehlt/unbekannt",IF(Q511&gt;$H$7,"FEHLER: Stange länger als Maschine zulässt",IF($F511+$H$6&gt;T511,"FEHLER: Teil länger als Nutzlänge",IF(U511="nein","WARNUNG: kein gültiger Materialpreis",IF($H511="","HINWEIS: Schneidweg fehlt",IF(V511="","HINWEIS: keine Schneiddaten",IF(AND($AF511&lt;&gt;"",$AG511=""),"HINWEIS: Gewinde-Vorschlag prüfen","OK")))))))))))))</f>
        <v/>
      </c>
      <c r="X511" s="18" t="str">
        <f aca="false">IF(OR(O511="",$G511=""),"",O511*$G511)</f>
        <v/>
      </c>
      <c r="Y511" s="10"/>
      <c r="Z511" s="21"/>
      <c r="AA511" s="10"/>
      <c r="AB511" s="21"/>
      <c r="AC511" s="21"/>
      <c r="AD511" s="21"/>
      <c r="AE511" s="10"/>
      <c r="AF511" s="10"/>
      <c r="AG511" s="10"/>
      <c r="AH511" s="22"/>
      <c r="AI511" s="21"/>
      <c r="AJ511" s="22"/>
      <c r="AK511" s="21"/>
      <c r="AL511" s="22"/>
      <c r="AM511" s="21"/>
    </row>
    <row r="512" customFormat="false" ht="15" hidden="false" customHeight="false" outlineLevel="0" collapsed="false">
      <c r="A512" s="10"/>
      <c r="B512" s="10"/>
      <c r="C512" s="10"/>
      <c r="D512" s="10"/>
      <c r="E512" s="10"/>
      <c r="F512" s="21"/>
      <c r="G512" s="19"/>
      <c r="H512" s="21"/>
      <c r="I512" s="22"/>
      <c r="J512" s="19"/>
      <c r="K512" s="23" t="str">
        <f aca="false">IF($D512="","",IFERROR(INDEX(Profile!$B$5:$B$304,MATCH($D512,lst_Profil,0)),""))</f>
        <v/>
      </c>
      <c r="L512" s="13" t="str">
        <f aca="false">IF($D512="","",IFERROR(INDEX(Profile!$K$5:$K$304,MATCH($D512,lst_Profil,0))+0,""))</f>
        <v/>
      </c>
      <c r="M512" s="24" t="str">
        <f aca="false">IF($D512="","",IFERROR(INDEX(Profile!$E$5:$E$304,MATCH($D512,lst_Profil,0))+0,""))</f>
        <v/>
      </c>
      <c r="N512" s="25" t="str">
        <f aca="false">IF(OR(L512="",$E512=""),"",IFERROR(L512*INDEX(Werkstoffe!$E$5:$E$304,MATCH($E512,lst_Werkstoff,0))/1000,""))</f>
        <v/>
      </c>
      <c r="O512" s="25" t="str">
        <f aca="false">IF(OR(N512="",$F512=""),"",N512*$F512/1000)</f>
        <v/>
      </c>
      <c r="P512" s="16" t="str">
        <f aca="false">IF(OR($F512="",$G512=""),"",$F512*$G512)</f>
        <v/>
      </c>
      <c r="Q512" s="16" t="str">
        <f aca="false">IF($D512="","",IF($J512&lt;&gt;"",$J512,$C$9))</f>
        <v/>
      </c>
      <c r="R512" s="12" t="str">
        <f aca="false">IF($D512="","",IFERROR(IF(INDEX(Profile!$G$5:$G$304,MATCH($D512,lst_Profil,0))&lt;&gt;"",INDEX(Profile!$G$5:$G$304,MATCH($D512,lst_Profil,0)),$H$4),$H$4))</f>
        <v/>
      </c>
      <c r="S512" s="12" t="str">
        <f aca="false">IF($D512="","",IFERROR(IF(INDEX(Profile!$H$5:$H$304,MATCH($D512,lst_Profil,0))&lt;&gt;"",INDEX(Profile!$H$5:$H$304,MATCH($D512,lst_Profil,0)),$H$5),$H$5))</f>
        <v/>
      </c>
      <c r="T512" s="16" t="str">
        <f aca="false">IF(OR(Q512="",NOT(ISNUMBER(R512)),NOT(ISNUMBER(S512))),"",Q512-R512-S512)</f>
        <v/>
      </c>
      <c r="U512" s="26" t="str">
        <f aca="false">IF(OR($D512="",$E512=""),"",IF(COUNTIFS(Preise!$A$5:$A$304,$D512,Preise!$B$5:$B$304,$E512,Preise!$I$5:$I$304,"OK")&gt;0,"ja","nein"))</f>
        <v/>
      </c>
      <c r="V512" s="15" t="str">
        <f aca="false">IF(OR(M512="",$E512="",$C$8=""),"",IF(_xlfn.MINIFS(Schneiddaten!$C$5:$C$304,Schneiddaten!$A$5:$A$304,$C$8,Schneiddaten!$B$5:$B$304,$E512,Schneiddaten!$C$5:$C$304,"&gt;="&amp;M512)=0,"",SUMIFS(Schneiddaten!$D$5:$D$304,Schneiddaten!$A$5:$A$304,$C$8,Schneiddaten!$B$5:$B$304,$E512,Schneiddaten!$C$5:$C$304,_xlfn.MINIFS(Schneiddaten!$C$5:$C$304,Schneiddaten!$A$5:$A$304,$C$8,Schneiddaten!$B$5:$B$304,$E512,Schneiddaten!$C$5:$C$304,"&gt;="&amp;M512))))</f>
        <v/>
      </c>
      <c r="W512" s="26" t="str">
        <f aca="false">IF(AND($D512="",$E512="",$F512="",$G512=""),"",IF(ISNA(MATCH($D512,lst_Profil,0)),"FEHLER: Profil unbekannt",IF(ISNA(MATCH($E512,lst_Werkstoff,0)),"FEHLER: Werkstoff unbekannt",IF(NOT(ISNUMBER(L512)),"FEHLER: Querschnitt fehlt (Profil)",IF(OR($F512="",$F512&lt;=0),"FEHLER: Teilelänge fehlt",IF(OR($G512="",$G512&lt;1),"FEHLER: Stückzahl fehlt",IF(NOT(ISNUMBER($H$4)),"FEHLER: Maschine fehlt/unbekannt",IF(Q512&gt;$H$7,"FEHLER: Stange länger als Maschine zulässt",IF($F512+$H$6&gt;T512,"FEHLER: Teil länger als Nutzlänge",IF(U512="nein","WARNUNG: kein gültiger Materialpreis",IF($H512="","HINWEIS: Schneidweg fehlt",IF(V512="","HINWEIS: keine Schneiddaten",IF(AND($AF512&lt;&gt;"",$AG512=""),"HINWEIS: Gewinde-Vorschlag prüfen","OK")))))))))))))</f>
        <v/>
      </c>
      <c r="X512" s="18" t="str">
        <f aca="false">IF(OR(O512="",$G512=""),"",O512*$G512)</f>
        <v/>
      </c>
      <c r="Y512" s="10"/>
      <c r="Z512" s="21"/>
      <c r="AA512" s="10"/>
      <c r="AB512" s="21"/>
      <c r="AC512" s="21"/>
      <c r="AD512" s="21"/>
      <c r="AE512" s="10"/>
      <c r="AF512" s="10"/>
      <c r="AG512" s="10"/>
      <c r="AH512" s="22"/>
      <c r="AI512" s="21"/>
      <c r="AJ512" s="22"/>
      <c r="AK512" s="21"/>
      <c r="AL512" s="22"/>
      <c r="AM512" s="21"/>
    </row>
  </sheetData>
  <autoFilter ref="A12:AM512"/>
  <mergeCells count="23">
    <mergeCell ref="A4:B4"/>
    <mergeCell ref="C4:D4"/>
    <mergeCell ref="F4:G4"/>
    <mergeCell ref="J4:L4"/>
    <mergeCell ref="A5:B5"/>
    <mergeCell ref="C5:D5"/>
    <mergeCell ref="F5:G5"/>
    <mergeCell ref="J5:L5"/>
    <mergeCell ref="A6:B6"/>
    <mergeCell ref="C6:D6"/>
    <mergeCell ref="F6:G6"/>
    <mergeCell ref="J6:L6"/>
    <mergeCell ref="A7:B7"/>
    <mergeCell ref="C7:D7"/>
    <mergeCell ref="F7:G7"/>
    <mergeCell ref="J7:L7"/>
    <mergeCell ref="A8:B8"/>
    <mergeCell ref="C8:D8"/>
    <mergeCell ref="F8:G8"/>
    <mergeCell ref="J8:L8"/>
    <mergeCell ref="A9:B9"/>
    <mergeCell ref="C9:D9"/>
    <mergeCell ref="J9:L9"/>
  </mergeCells>
  <conditionalFormatting sqref="W13:W512">
    <cfRule type="expression" priority="2" aboveAverage="0" equalAverage="0" bottom="0" percent="0" rank="0" text="" dxfId="8">
      <formula>LEFT($W13,6)="FEHLER"</formula>
    </cfRule>
    <cfRule type="expression" priority="3" aboveAverage="0" equalAverage="0" bottom="0" percent="0" rank="0" text="" dxfId="9">
      <formula>LEFT($W13,7)="WARNUNG"</formula>
    </cfRule>
    <cfRule type="expression" priority="4" aboveAverage="0" equalAverage="0" bottom="0" percent="0" rank="0" text="" dxfId="10">
      <formula>LEFT($W13,7)="HINWEIS"</formula>
    </cfRule>
    <cfRule type="expression" priority="5" aboveAverage="0" equalAverage="0" bottom="0" percent="0" rank="0" text="" dxfId="11">
      <formula>LEFT($W13,2)="OK"</formula>
    </cfRule>
  </conditionalFormatting>
  <conditionalFormatting sqref="AF13:AF512">
    <cfRule type="expression" priority="6" aboveAverage="0" equalAverage="0" bottom="0" percent="0" rank="0" text="" dxfId="9">
      <formula>AND($AF13&lt;&gt;"",$AG13="")</formula>
    </cfRule>
  </conditionalFormatting>
  <dataValidations count="16">
    <dataValidation allowBlank="true" error="Stangenlänge in mm (500–20000)." errorStyle="stop" errorTitle="Ungültige Eingabe" operator="between" showDropDown="false" showErrorMessage="true" showInputMessage="false" sqref="C9 J13:J512" type="whole">
      <formula1>500</formula1>
      <formula2>20000</formula2>
    </dataValidation>
    <dataValidation allowBlank="true" error="Bitte gültiges Datum eingeben." errorStyle="stop" operator="greaterThan" showDropDown="false" showErrorMessage="true" showInputMessage="false" sqref="C7" type="date">
      <formula1>36526</formula1>
      <formula2>0</formula2>
    </dataValidation>
    <dataValidation allowBlank="true" error="Bitte Maschinen-ID aus Blatt 'Maschinen' wählen." errorStyle="stop" errorTitle="Ungültige Auswahl" operator="between" showDropDown="false" showErrorMessage="true" showInputMessage="false" sqref="C8" type="list">
      <formula1>lst_Maschine</formula1>
      <formula2>0</formula2>
    </dataValidation>
    <dataValidation allowBlank="true" error="Bitte Profil-ID aus Blatt 'Profile' wählen." errorStyle="stop" errorTitle="Ungültige Auswahl" operator="between" showDropDown="false" showErrorMessage="true" showInputMessage="false" sqref="D13:D512" type="list">
      <formula1>lst_Profil</formula1>
      <formula2>0</formula2>
    </dataValidation>
    <dataValidation allowBlank="true" error="Bitte Werkstoff-ID aus Blatt 'Werkstoffe' wählen." errorStyle="stop" errorTitle="Ungültige Auswahl" operator="between" showDropDown="false" showErrorMessage="true" showInputMessage="false" sqref="E13:E512" type="list">
      <formula1>lst_Werkstoff</formula1>
      <formula2>0</formula2>
    </dataValidation>
    <dataValidation allowBlank="true" error="Teilelänge in mm (1–20000)." errorStyle="stop" errorTitle="Ungültige Eingabe" operator="between" showDropDown="false" showErrorMessage="true" showInputMessage="false" sqref="F13:F512" type="decimal">
      <formula1>1</formula1>
      <formula2>20000</formula2>
    </dataValidation>
    <dataValidation allowBlank="true" error="Stückzahl als ganze Zahl ≥ 1." errorStyle="stop" errorTitle="Ungültige Eingabe" operator="between" showDropDown="false" showErrorMessage="true" showInputMessage="false" sqref="G13:G512" type="whole">
      <formula1>1</formula1>
      <formula2>100000</formula2>
    </dataValidation>
    <dataValidation allowBlank="true" error="Schneidweg in mm (≥ 0)." errorStyle="stop" errorTitle="Ungültige Eingabe" operator="between" showDropDown="false" showErrorMessage="true" showInputMessage="false" sqref="H13:H512" type="decimal">
      <formula1>0</formula1>
      <formula2>1000000</formula2>
    </dataValidation>
    <dataValidation allowBlank="true" error="Anzahl Einstiche als ganze Zahl ≥ 0." errorStyle="stop" errorTitle="Ungültige Eingabe" operator="between" showDropDown="false" showErrorMessage="true" showInputMessage="false" sqref="I13:I512" type="whole">
      <formula1>0</formula1>
      <formula2>1000</formula2>
    </dataValidation>
    <dataValidation allowBlank="true" error="Positionsnummer als ganze Zahl." errorStyle="stop" errorTitle="Ungültige Eingabe" operator="between" showDropDown="false" showErrorMessage="true" showInputMessage="false" sqref="A13:A512" type="whole">
      <formula1>1</formula1>
      <formula2>99999</formula2>
    </dataValidation>
    <dataValidation allowBlank="true" error="Bitte ja oder nein wählen." errorStyle="stop" errorTitle="Ungültige Auswahl" operator="between" showDropDown="false" showErrorMessage="true" showInputMessage="false" sqref="Y13:Y512" type="list">
      <formula1>lst_JaNein</formula1>
      <formula2>0</formula2>
    </dataValidation>
    <dataValidation allowBlank="true" error="Bitte ja oder nein wählen." errorStyle="stop" errorTitle="Ungültige Auswahl" operator="between" showDropDown="false" showErrorMessage="true" showInputMessage="false" sqref="AA13:AA512" type="list">
      <formula1>lst_JaNein</formula1>
      <formula2>0</formula2>
    </dataValidation>
    <dataValidation allowBlank="true" error="Schnittlänge in mm (≥ 0)." errorStyle="stop" errorTitle="Ungültige Eingabe" operator="between" showDropDown="false" showErrorMessage="true" showInputMessage="false" sqref="Z13:Z512 AB13:AB512" type="decimal">
      <formula1>0</formula1>
      <formula2>100000</formula2>
    </dataValidation>
    <dataValidation allowBlank="true" error="Länge in mm (≥ 0)." errorStyle="stop" errorTitle="Ungültige Eingabe" operator="between" showDropDown="false" showErrorMessage="true" showInputMessage="false" sqref="AC13:AD512 AI13:AI512 AK13:AK512 AM13:AM512" type="decimal">
      <formula1>0</formula1>
      <formula2>1000000</formula2>
    </dataValidation>
    <dataValidation allowBlank="true" error="Format: Anzahl x Gewinde, mehrere mit Semikolon, z. B. 4xM6; 2xM8" errorStyle="stop" errorTitle="Ungültige Eingabe" operator="between" showDropDown="false" showErrorMessage="true" showInputMessage="false" sqref="AG13:AG512" type="custom">
      <formula1>ISNUMBER(SEARCH("xM",AG13))</formula1>
      <formula2>0</formula2>
    </dataValidation>
    <dataValidation allowBlank="true" error="Anzahl als ganze Zahl ≥ 0." errorStyle="stop" errorTitle="Ungültige Eingabe" operator="between" showDropDown="false" showErrorMessage="true" showInputMessage="false" sqref="AH13:AH512 AJ13:AJ512 AL13:AL512" type="whole">
      <formula1>0</formula1>
      <formula2>10000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146</v>
      </c>
    </row>
    <row r="2" customFormat="false" ht="15" hidden="false" customHeight="false" outlineLevel="0" collapsed="false">
      <c r="A2" s="2" t="s">
        <v>147</v>
      </c>
    </row>
    <row r="4" customFormat="false" ht="15" hidden="false" customHeight="false" outlineLevel="0" collapsed="false">
      <c r="A4" s="27" t="s">
        <v>101</v>
      </c>
      <c r="B4" s="27" t="s">
        <v>148</v>
      </c>
      <c r="C4" s="27" t="s">
        <v>149</v>
      </c>
    </row>
    <row r="5" customFormat="false" ht="15" hidden="false" customHeight="false" outlineLevel="0" collapsed="false">
      <c r="A5" s="28" t="s">
        <v>150</v>
      </c>
      <c r="B5" s="28" t="s">
        <v>151</v>
      </c>
      <c r="C5" s="28" t="s">
        <v>152</v>
      </c>
    </row>
    <row r="6" customFormat="false" ht="15" hidden="false" customHeight="false" outlineLevel="0" collapsed="false">
      <c r="A6" s="28" t="s">
        <v>153</v>
      </c>
      <c r="B6" s="28" t="s">
        <v>154</v>
      </c>
      <c r="C6" s="28" t="s">
        <v>155</v>
      </c>
    </row>
    <row r="7" customFormat="false" ht="15" hidden="false" customHeight="false" outlineLevel="0" collapsed="false">
      <c r="A7" s="28" t="s">
        <v>156</v>
      </c>
    </row>
    <row r="8" customFormat="false" ht="15" hidden="false" customHeight="false" outlineLevel="0" collapsed="false">
      <c r="A8" s="28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5" min="3" style="0" width="12"/>
    <col collapsed="false" customWidth="true" hidden="false" outlineLevel="0" max="8" min="6" style="0" width="14"/>
    <col collapsed="false" customWidth="true" hidden="false" outlineLevel="0" max="9" min="9" style="0" width="26"/>
    <col collapsed="false" customWidth="true" hidden="false" outlineLevel="0" max="11" min="10" style="0" width="13"/>
  </cols>
  <sheetData>
    <row r="1" customFormat="false" ht="17.35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4" customFormat="false" ht="45" hidden="false" customHeight="true" outlineLevel="0" collapsed="false">
      <c r="A4" s="20" t="s">
        <v>94</v>
      </c>
      <c r="B4" s="20" t="s">
        <v>101</v>
      </c>
      <c r="C4" s="20" t="s">
        <v>160</v>
      </c>
      <c r="D4" s="20" t="s">
        <v>161</v>
      </c>
      <c r="E4" s="20" t="s">
        <v>103</v>
      </c>
      <c r="F4" s="20" t="s">
        <v>162</v>
      </c>
      <c r="G4" s="20" t="s">
        <v>163</v>
      </c>
      <c r="H4" s="20" t="s">
        <v>164</v>
      </c>
      <c r="I4" s="20" t="s">
        <v>165</v>
      </c>
      <c r="J4" s="20" t="s">
        <v>166</v>
      </c>
      <c r="K4" s="20" t="s">
        <v>167</v>
      </c>
    </row>
    <row r="5" customFormat="false" ht="15" hidden="false" customHeight="false" outlineLevel="0" collapsed="false">
      <c r="A5" s="10" t="s">
        <v>132</v>
      </c>
      <c r="B5" s="10" t="s">
        <v>150</v>
      </c>
      <c r="C5" s="29" t="n">
        <v>42.4</v>
      </c>
      <c r="D5" s="29"/>
      <c r="E5" s="30" t="n">
        <v>2</v>
      </c>
      <c r="F5" s="29"/>
      <c r="G5" s="22"/>
      <c r="H5" s="22"/>
      <c r="I5" s="10" t="s">
        <v>168</v>
      </c>
      <c r="J5" s="31" t="n">
        <f aca="false">IF(OR(A5="",C5="",E5=""),"",IF(B5="Rundrohr",PI()/4*(C5^2-(C5-2*E5)^2),IF(OR(B5="Quadratrohr",AND(B5="Rechteckrohr",D5&lt;&gt;"")),C5*IF(B5="Quadratrohr",C5,D5)-(C5-2*E5)*(IF(B5="Quadratrohr",C5,D5)-2*E5),"")))</f>
        <v>253.840686410055</v>
      </c>
      <c r="K5" s="31" t="n">
        <f aca="false">IF(A5="","",IF(F5&lt;&gt;"",F5,J5))</f>
        <v>253.840686410055</v>
      </c>
    </row>
    <row r="6" customFormat="false" ht="15" hidden="false" customHeight="false" outlineLevel="0" collapsed="false">
      <c r="A6" s="10" t="s">
        <v>145</v>
      </c>
      <c r="B6" s="10" t="s">
        <v>150</v>
      </c>
      <c r="C6" s="29" t="n">
        <v>48.3</v>
      </c>
      <c r="D6" s="29"/>
      <c r="E6" s="30" t="n">
        <v>2.6</v>
      </c>
      <c r="F6" s="29"/>
      <c r="G6" s="22"/>
      <c r="H6" s="22"/>
      <c r="I6" s="10" t="s">
        <v>168</v>
      </c>
      <c r="J6" s="31" t="n">
        <f aca="false">IF(OR(A6="",C6="",E6=""),"",IF(B6="Rundrohr",PI()/4*(C6^2-(C6-2*E6)^2),IF(OR(B6="Quadratrohr",AND(B6="Rechteckrohr",D6&lt;&gt;"")),C6*IF(B6="Quadratrohr",C6,D6)-(C6-2*E6)*(IF(B6="Quadratrohr",C6,D6)-2*E6),"")))</f>
        <v>373.28403909954</v>
      </c>
      <c r="K6" s="31" t="n">
        <f aca="false">IF(A6="","",IF(F6&lt;&gt;"",F6,J6))</f>
        <v>373.28403909954</v>
      </c>
    </row>
    <row r="7" customFormat="false" ht="15" hidden="false" customHeight="false" outlineLevel="0" collapsed="false">
      <c r="A7" s="10" t="s">
        <v>138</v>
      </c>
      <c r="B7" s="10" t="s">
        <v>153</v>
      </c>
      <c r="C7" s="29" t="n">
        <v>40</v>
      </c>
      <c r="D7" s="29"/>
      <c r="E7" s="30" t="n">
        <v>3</v>
      </c>
      <c r="F7" s="29"/>
      <c r="G7" s="22"/>
      <c r="H7" s="22"/>
      <c r="I7" s="10" t="s">
        <v>168</v>
      </c>
      <c r="J7" s="31" t="n">
        <f aca="false">IF(OR(A7="",C7="",E7=""),"",IF(B7="Rundrohr",PI()/4*(C7^2-(C7-2*E7)^2),IF(OR(B7="Quadratrohr",AND(B7="Rechteckrohr",D7&lt;&gt;"")),C7*IF(B7="Quadratrohr",C7,D7)-(C7-2*E7)*(IF(B7="Quadratrohr",C7,D7)-2*E7),"")))</f>
        <v>444</v>
      </c>
      <c r="K7" s="31" t="n">
        <f aca="false">IF(A7="","",IF(F7&lt;&gt;"",F7,J7))</f>
        <v>444</v>
      </c>
    </row>
    <row r="8" customFormat="false" ht="15" hidden="false" customHeight="false" outlineLevel="0" collapsed="false">
      <c r="A8" s="10" t="s">
        <v>141</v>
      </c>
      <c r="B8" s="10" t="s">
        <v>156</v>
      </c>
      <c r="C8" s="29" t="n">
        <v>60</v>
      </c>
      <c r="D8" s="29" t="n">
        <v>40</v>
      </c>
      <c r="E8" s="30" t="n">
        <v>3</v>
      </c>
      <c r="F8" s="29"/>
      <c r="G8" s="22"/>
      <c r="H8" s="22"/>
      <c r="I8" s="10" t="s">
        <v>168</v>
      </c>
      <c r="J8" s="31" t="n">
        <f aca="false">IF(OR(A8="",C8="",E8=""),"",IF(B8="Rundrohr",PI()/4*(C8^2-(C8-2*E8)^2),IF(OR(B8="Quadratrohr",AND(B8="Rechteckrohr",D8&lt;&gt;"")),C8*IF(B8="Quadratrohr",C8,D8)-(C8-2*E8)*(IF(B8="Quadratrohr",C8,D8)-2*E8),"")))</f>
        <v>564</v>
      </c>
      <c r="K8" s="31" t="n">
        <f aca="false">IF(A8="","",IF(F8&lt;&gt;"",F8,J8))</f>
        <v>564</v>
      </c>
    </row>
    <row r="9" customFormat="false" ht="15" hidden="false" customHeight="false" outlineLevel="0" collapsed="false">
      <c r="A9" s="10" t="s">
        <v>169</v>
      </c>
      <c r="B9" s="10" t="s">
        <v>156</v>
      </c>
      <c r="C9" s="29" t="n">
        <v>120</v>
      </c>
      <c r="D9" s="29" t="n">
        <v>60</v>
      </c>
      <c r="E9" s="30" t="n">
        <v>4</v>
      </c>
      <c r="F9" s="29"/>
      <c r="G9" s="22" t="n">
        <v>30</v>
      </c>
      <c r="H9" s="22" t="n">
        <v>120</v>
      </c>
      <c r="I9" s="10" t="s">
        <v>170</v>
      </c>
      <c r="J9" s="31" t="n">
        <f aca="false">IF(OR(A9="",C9="",E9=""),"",IF(B9="Rundrohr",PI()/4*(C9^2-(C9-2*E9)^2),IF(OR(B9="Quadratrohr",AND(B9="Rechteckrohr",D9&lt;&gt;"")),C9*IF(B9="Quadratrohr",C9,D9)-(C9-2*E9)*(IF(B9="Quadratrohr",C9,D9)-2*E9),"")))</f>
        <v>1376</v>
      </c>
      <c r="K9" s="31" t="n">
        <f aca="false">IF(A9="","",IF(F9&lt;&gt;"",F9,J9))</f>
        <v>1376</v>
      </c>
    </row>
    <row r="10" customFormat="false" ht="15" hidden="false" customHeight="false" outlineLevel="0" collapsed="false">
      <c r="A10" s="10"/>
      <c r="B10" s="10"/>
      <c r="C10" s="29"/>
      <c r="D10" s="29"/>
      <c r="E10" s="30"/>
      <c r="F10" s="29"/>
      <c r="G10" s="22"/>
      <c r="H10" s="22"/>
      <c r="I10" s="10"/>
      <c r="J10" s="31" t="str">
        <f aca="false">IF(OR(A10="",C10="",E10=""),"",IF(B10="Rundrohr",PI()/4*(C10^2-(C10-2*E10)^2),IF(OR(B10="Quadratrohr",AND(B10="Rechteckrohr",D10&lt;&gt;"")),C10*IF(B10="Quadratrohr",C10,D10)-(C10-2*E10)*(IF(B10="Quadratrohr",C10,D10)-2*E10),"")))</f>
        <v/>
      </c>
      <c r="K10" s="31" t="str">
        <f aca="false">IF(A10="","",IF(F10&lt;&gt;"",F10,J10))</f>
        <v/>
      </c>
    </row>
    <row r="11" customFormat="false" ht="15" hidden="false" customHeight="false" outlineLevel="0" collapsed="false">
      <c r="A11" s="10"/>
      <c r="B11" s="10"/>
      <c r="C11" s="29"/>
      <c r="D11" s="29"/>
      <c r="E11" s="30"/>
      <c r="F11" s="29"/>
      <c r="G11" s="22"/>
      <c r="H11" s="22"/>
      <c r="I11" s="10"/>
      <c r="J11" s="31" t="str">
        <f aca="false">IF(OR(A11="",C11="",E11=""),"",IF(B11="Rundrohr",PI()/4*(C11^2-(C11-2*E11)^2),IF(OR(B11="Quadratrohr",AND(B11="Rechteckrohr",D11&lt;&gt;"")),C11*IF(B11="Quadratrohr",C11,D11)-(C11-2*E11)*(IF(B11="Quadratrohr",C11,D11)-2*E11),"")))</f>
        <v/>
      </c>
      <c r="K11" s="31" t="str">
        <f aca="false">IF(A11="","",IF(F11&lt;&gt;"",F11,J11))</f>
        <v/>
      </c>
    </row>
    <row r="12" customFormat="false" ht="15" hidden="false" customHeight="false" outlineLevel="0" collapsed="false">
      <c r="A12" s="10"/>
      <c r="B12" s="10"/>
      <c r="C12" s="29"/>
      <c r="D12" s="29"/>
      <c r="E12" s="30"/>
      <c r="F12" s="29"/>
      <c r="G12" s="22"/>
      <c r="H12" s="22"/>
      <c r="I12" s="10"/>
      <c r="J12" s="31" t="str">
        <f aca="false">IF(OR(A12="",C12="",E12=""),"",IF(B12="Rundrohr",PI()/4*(C12^2-(C12-2*E12)^2),IF(OR(B12="Quadratrohr",AND(B12="Rechteckrohr",D12&lt;&gt;"")),C12*IF(B12="Quadratrohr",C12,D12)-(C12-2*E12)*(IF(B12="Quadratrohr",C12,D12)-2*E12),"")))</f>
        <v/>
      </c>
      <c r="K12" s="31" t="str">
        <f aca="false">IF(A12="","",IF(F12&lt;&gt;"",F12,J12))</f>
        <v/>
      </c>
    </row>
    <row r="13" customFormat="false" ht="15" hidden="false" customHeight="false" outlineLevel="0" collapsed="false">
      <c r="A13" s="10"/>
      <c r="B13" s="10"/>
      <c r="C13" s="29"/>
      <c r="D13" s="29"/>
      <c r="E13" s="30"/>
      <c r="F13" s="29"/>
      <c r="G13" s="22"/>
      <c r="H13" s="22"/>
      <c r="I13" s="10"/>
      <c r="J13" s="31" t="str">
        <f aca="false">IF(OR(A13="",C13="",E13=""),"",IF(B13="Rundrohr",PI()/4*(C13^2-(C13-2*E13)^2),IF(OR(B13="Quadratrohr",AND(B13="Rechteckrohr",D13&lt;&gt;"")),C13*IF(B13="Quadratrohr",C13,D13)-(C13-2*E13)*(IF(B13="Quadratrohr",C13,D13)-2*E13),"")))</f>
        <v/>
      </c>
      <c r="K13" s="31" t="str">
        <f aca="false">IF(A13="","",IF(F13&lt;&gt;"",F13,J13))</f>
        <v/>
      </c>
    </row>
    <row r="14" customFormat="false" ht="15" hidden="false" customHeight="false" outlineLevel="0" collapsed="false">
      <c r="A14" s="10"/>
      <c r="B14" s="10"/>
      <c r="C14" s="29"/>
      <c r="D14" s="29"/>
      <c r="E14" s="30"/>
      <c r="F14" s="29"/>
      <c r="G14" s="22"/>
      <c r="H14" s="22"/>
      <c r="I14" s="10"/>
      <c r="J14" s="31" t="str">
        <f aca="false">IF(OR(A14="",C14="",E14=""),"",IF(B14="Rundrohr",PI()/4*(C14^2-(C14-2*E14)^2),IF(OR(B14="Quadratrohr",AND(B14="Rechteckrohr",D14&lt;&gt;"")),C14*IF(B14="Quadratrohr",C14,D14)-(C14-2*E14)*(IF(B14="Quadratrohr",C14,D14)-2*E14),"")))</f>
        <v/>
      </c>
      <c r="K14" s="31" t="str">
        <f aca="false">IF(A14="","",IF(F14&lt;&gt;"",F14,J14))</f>
        <v/>
      </c>
    </row>
    <row r="15" customFormat="false" ht="15" hidden="false" customHeight="false" outlineLevel="0" collapsed="false">
      <c r="A15" s="10"/>
      <c r="B15" s="10"/>
      <c r="C15" s="29"/>
      <c r="D15" s="29"/>
      <c r="E15" s="30"/>
      <c r="F15" s="29"/>
      <c r="G15" s="22"/>
      <c r="H15" s="22"/>
      <c r="I15" s="10"/>
      <c r="J15" s="31" t="str">
        <f aca="false">IF(OR(A15="",C15="",E15=""),"",IF(B15="Rundrohr",PI()/4*(C15^2-(C15-2*E15)^2),IF(OR(B15="Quadratrohr",AND(B15="Rechteckrohr",D15&lt;&gt;"")),C15*IF(B15="Quadratrohr",C15,D15)-(C15-2*E15)*(IF(B15="Quadratrohr",C15,D15)-2*E15),"")))</f>
        <v/>
      </c>
      <c r="K15" s="31" t="str">
        <f aca="false">IF(A15="","",IF(F15&lt;&gt;"",F15,J15))</f>
        <v/>
      </c>
    </row>
    <row r="16" customFormat="false" ht="15" hidden="false" customHeight="false" outlineLevel="0" collapsed="false">
      <c r="A16" s="10"/>
      <c r="B16" s="10"/>
      <c r="C16" s="29"/>
      <c r="D16" s="29"/>
      <c r="E16" s="30"/>
      <c r="F16" s="29"/>
      <c r="G16" s="22"/>
      <c r="H16" s="22"/>
      <c r="I16" s="10"/>
      <c r="J16" s="31" t="str">
        <f aca="false">IF(OR(A16="",C16="",E16=""),"",IF(B16="Rundrohr",PI()/4*(C16^2-(C16-2*E16)^2),IF(OR(B16="Quadratrohr",AND(B16="Rechteckrohr",D16&lt;&gt;"")),C16*IF(B16="Quadratrohr",C16,D16)-(C16-2*E16)*(IF(B16="Quadratrohr",C16,D16)-2*E16),"")))</f>
        <v/>
      </c>
      <c r="K16" s="31" t="str">
        <f aca="false">IF(A16="","",IF(F16&lt;&gt;"",F16,J16))</f>
        <v/>
      </c>
    </row>
    <row r="17" customFormat="false" ht="15" hidden="false" customHeight="false" outlineLevel="0" collapsed="false">
      <c r="A17" s="10"/>
      <c r="B17" s="10"/>
      <c r="C17" s="29"/>
      <c r="D17" s="29"/>
      <c r="E17" s="30"/>
      <c r="F17" s="29"/>
      <c r="G17" s="22"/>
      <c r="H17" s="22"/>
      <c r="I17" s="10"/>
      <c r="J17" s="31" t="str">
        <f aca="false">IF(OR(A17="",C17="",E17=""),"",IF(B17="Rundrohr",PI()/4*(C17^2-(C17-2*E17)^2),IF(OR(B17="Quadratrohr",AND(B17="Rechteckrohr",D17&lt;&gt;"")),C17*IF(B17="Quadratrohr",C17,D17)-(C17-2*E17)*(IF(B17="Quadratrohr",C17,D17)-2*E17),"")))</f>
        <v/>
      </c>
      <c r="K17" s="31" t="str">
        <f aca="false">IF(A17="","",IF(F17&lt;&gt;"",F17,J17))</f>
        <v/>
      </c>
    </row>
    <row r="18" customFormat="false" ht="15" hidden="false" customHeight="false" outlineLevel="0" collapsed="false">
      <c r="A18" s="10"/>
      <c r="B18" s="10"/>
      <c r="C18" s="29"/>
      <c r="D18" s="29"/>
      <c r="E18" s="30"/>
      <c r="F18" s="29"/>
      <c r="G18" s="22"/>
      <c r="H18" s="22"/>
      <c r="I18" s="10"/>
      <c r="J18" s="31" t="str">
        <f aca="false">IF(OR(A18="",C18="",E18=""),"",IF(B18="Rundrohr",PI()/4*(C18^2-(C18-2*E18)^2),IF(OR(B18="Quadratrohr",AND(B18="Rechteckrohr",D18&lt;&gt;"")),C18*IF(B18="Quadratrohr",C18,D18)-(C18-2*E18)*(IF(B18="Quadratrohr",C18,D18)-2*E18),"")))</f>
        <v/>
      </c>
      <c r="K18" s="31" t="str">
        <f aca="false">IF(A18="","",IF(F18&lt;&gt;"",F18,J18))</f>
        <v/>
      </c>
    </row>
    <row r="19" customFormat="false" ht="15" hidden="false" customHeight="false" outlineLevel="0" collapsed="false">
      <c r="A19" s="10"/>
      <c r="B19" s="10"/>
      <c r="C19" s="29"/>
      <c r="D19" s="29"/>
      <c r="E19" s="30"/>
      <c r="F19" s="29"/>
      <c r="G19" s="22"/>
      <c r="H19" s="22"/>
      <c r="I19" s="10"/>
      <c r="J19" s="31" t="str">
        <f aca="false">IF(OR(A19="",C19="",E19=""),"",IF(B19="Rundrohr",PI()/4*(C19^2-(C19-2*E19)^2),IF(OR(B19="Quadratrohr",AND(B19="Rechteckrohr",D19&lt;&gt;"")),C19*IF(B19="Quadratrohr",C19,D19)-(C19-2*E19)*(IF(B19="Quadratrohr",C19,D19)-2*E19),"")))</f>
        <v/>
      </c>
      <c r="K19" s="31" t="str">
        <f aca="false">IF(A19="","",IF(F19&lt;&gt;"",F19,J19))</f>
        <v/>
      </c>
    </row>
    <row r="20" customFormat="false" ht="15" hidden="false" customHeight="false" outlineLevel="0" collapsed="false">
      <c r="A20" s="10"/>
      <c r="B20" s="10"/>
      <c r="C20" s="29"/>
      <c r="D20" s="29"/>
      <c r="E20" s="30"/>
      <c r="F20" s="29"/>
      <c r="G20" s="22"/>
      <c r="H20" s="22"/>
      <c r="I20" s="10"/>
      <c r="J20" s="31" t="str">
        <f aca="false">IF(OR(A20="",C20="",E20=""),"",IF(B20="Rundrohr",PI()/4*(C20^2-(C20-2*E20)^2),IF(OR(B20="Quadratrohr",AND(B20="Rechteckrohr",D20&lt;&gt;"")),C20*IF(B20="Quadratrohr",C20,D20)-(C20-2*E20)*(IF(B20="Quadratrohr",C20,D20)-2*E20),"")))</f>
        <v/>
      </c>
      <c r="K20" s="31" t="str">
        <f aca="false">IF(A20="","",IF(F20&lt;&gt;"",F20,J20))</f>
        <v/>
      </c>
    </row>
    <row r="21" customFormat="false" ht="15" hidden="false" customHeight="false" outlineLevel="0" collapsed="false">
      <c r="A21" s="10"/>
      <c r="B21" s="10"/>
      <c r="C21" s="29"/>
      <c r="D21" s="29"/>
      <c r="E21" s="30"/>
      <c r="F21" s="29"/>
      <c r="G21" s="22"/>
      <c r="H21" s="22"/>
      <c r="I21" s="10"/>
      <c r="J21" s="31" t="str">
        <f aca="false">IF(OR(A21="",C21="",E21=""),"",IF(B21="Rundrohr",PI()/4*(C21^2-(C21-2*E21)^2),IF(OR(B21="Quadratrohr",AND(B21="Rechteckrohr",D21&lt;&gt;"")),C21*IF(B21="Quadratrohr",C21,D21)-(C21-2*E21)*(IF(B21="Quadratrohr",C21,D21)-2*E21),"")))</f>
        <v/>
      </c>
      <c r="K21" s="31" t="str">
        <f aca="false">IF(A21="","",IF(F21&lt;&gt;"",F21,J21))</f>
        <v/>
      </c>
    </row>
    <row r="22" customFormat="false" ht="15" hidden="false" customHeight="false" outlineLevel="0" collapsed="false">
      <c r="A22" s="10"/>
      <c r="B22" s="10"/>
      <c r="C22" s="29"/>
      <c r="D22" s="29"/>
      <c r="E22" s="30"/>
      <c r="F22" s="29"/>
      <c r="G22" s="22"/>
      <c r="H22" s="22"/>
      <c r="I22" s="10"/>
      <c r="J22" s="31" t="str">
        <f aca="false">IF(OR(A22="",C22="",E22=""),"",IF(B22="Rundrohr",PI()/4*(C22^2-(C22-2*E22)^2),IF(OR(B22="Quadratrohr",AND(B22="Rechteckrohr",D22&lt;&gt;"")),C22*IF(B22="Quadratrohr",C22,D22)-(C22-2*E22)*(IF(B22="Quadratrohr",C22,D22)-2*E22),"")))</f>
        <v/>
      </c>
      <c r="K22" s="31" t="str">
        <f aca="false">IF(A22="","",IF(F22&lt;&gt;"",F22,J22))</f>
        <v/>
      </c>
    </row>
    <row r="23" customFormat="false" ht="15" hidden="false" customHeight="false" outlineLevel="0" collapsed="false">
      <c r="A23" s="10"/>
      <c r="B23" s="10"/>
      <c r="C23" s="29"/>
      <c r="D23" s="29"/>
      <c r="E23" s="30"/>
      <c r="F23" s="29"/>
      <c r="G23" s="22"/>
      <c r="H23" s="22"/>
      <c r="I23" s="10"/>
      <c r="J23" s="31" t="str">
        <f aca="false">IF(OR(A23="",C23="",E23=""),"",IF(B23="Rundrohr",PI()/4*(C23^2-(C23-2*E23)^2),IF(OR(B23="Quadratrohr",AND(B23="Rechteckrohr",D23&lt;&gt;"")),C23*IF(B23="Quadratrohr",C23,D23)-(C23-2*E23)*(IF(B23="Quadratrohr",C23,D23)-2*E23),"")))</f>
        <v/>
      </c>
      <c r="K23" s="31" t="str">
        <f aca="false">IF(A23="","",IF(F23&lt;&gt;"",F23,J23))</f>
        <v/>
      </c>
    </row>
    <row r="24" customFormat="false" ht="15" hidden="false" customHeight="false" outlineLevel="0" collapsed="false">
      <c r="A24" s="10"/>
      <c r="B24" s="10"/>
      <c r="C24" s="29"/>
      <c r="D24" s="29"/>
      <c r="E24" s="30"/>
      <c r="F24" s="29"/>
      <c r="G24" s="22"/>
      <c r="H24" s="22"/>
      <c r="I24" s="10"/>
      <c r="J24" s="31" t="str">
        <f aca="false">IF(OR(A24="",C24="",E24=""),"",IF(B24="Rundrohr",PI()/4*(C24^2-(C24-2*E24)^2),IF(OR(B24="Quadratrohr",AND(B24="Rechteckrohr",D24&lt;&gt;"")),C24*IF(B24="Quadratrohr",C24,D24)-(C24-2*E24)*(IF(B24="Quadratrohr",C24,D24)-2*E24),"")))</f>
        <v/>
      </c>
      <c r="K24" s="31" t="str">
        <f aca="false">IF(A24="","",IF(F24&lt;&gt;"",F24,J24))</f>
        <v/>
      </c>
    </row>
    <row r="25" customFormat="false" ht="15" hidden="false" customHeight="false" outlineLevel="0" collapsed="false">
      <c r="A25" s="10"/>
      <c r="B25" s="10"/>
      <c r="C25" s="29"/>
      <c r="D25" s="29"/>
      <c r="E25" s="30"/>
      <c r="F25" s="29"/>
      <c r="G25" s="22"/>
      <c r="H25" s="22"/>
      <c r="I25" s="10"/>
      <c r="J25" s="31" t="str">
        <f aca="false">IF(OR(A25="",C25="",E25=""),"",IF(B25="Rundrohr",PI()/4*(C25^2-(C25-2*E25)^2),IF(OR(B25="Quadratrohr",AND(B25="Rechteckrohr",D25&lt;&gt;"")),C25*IF(B25="Quadratrohr",C25,D25)-(C25-2*E25)*(IF(B25="Quadratrohr",C25,D25)-2*E25),"")))</f>
        <v/>
      </c>
      <c r="K25" s="31" t="str">
        <f aca="false">IF(A25="","",IF(F25&lt;&gt;"",F25,J25))</f>
        <v/>
      </c>
    </row>
    <row r="26" customFormat="false" ht="15" hidden="false" customHeight="false" outlineLevel="0" collapsed="false">
      <c r="A26" s="10"/>
      <c r="B26" s="10"/>
      <c r="C26" s="29"/>
      <c r="D26" s="29"/>
      <c r="E26" s="30"/>
      <c r="F26" s="29"/>
      <c r="G26" s="22"/>
      <c r="H26" s="22"/>
      <c r="I26" s="10"/>
      <c r="J26" s="31" t="str">
        <f aca="false">IF(OR(A26="",C26="",E26=""),"",IF(B26="Rundrohr",PI()/4*(C26^2-(C26-2*E26)^2),IF(OR(B26="Quadratrohr",AND(B26="Rechteckrohr",D26&lt;&gt;"")),C26*IF(B26="Quadratrohr",C26,D26)-(C26-2*E26)*(IF(B26="Quadratrohr",C26,D26)-2*E26),"")))</f>
        <v/>
      </c>
      <c r="K26" s="31" t="str">
        <f aca="false">IF(A26="","",IF(F26&lt;&gt;"",F26,J26))</f>
        <v/>
      </c>
    </row>
    <row r="27" customFormat="false" ht="15" hidden="false" customHeight="false" outlineLevel="0" collapsed="false">
      <c r="A27" s="10"/>
      <c r="B27" s="10"/>
      <c r="C27" s="29"/>
      <c r="D27" s="29"/>
      <c r="E27" s="30"/>
      <c r="F27" s="29"/>
      <c r="G27" s="22"/>
      <c r="H27" s="22"/>
      <c r="I27" s="10"/>
      <c r="J27" s="31" t="str">
        <f aca="false">IF(OR(A27="",C27="",E27=""),"",IF(B27="Rundrohr",PI()/4*(C27^2-(C27-2*E27)^2),IF(OR(B27="Quadratrohr",AND(B27="Rechteckrohr",D27&lt;&gt;"")),C27*IF(B27="Quadratrohr",C27,D27)-(C27-2*E27)*(IF(B27="Quadratrohr",C27,D27)-2*E27),"")))</f>
        <v/>
      </c>
      <c r="K27" s="31" t="str">
        <f aca="false">IF(A27="","",IF(F27&lt;&gt;"",F27,J27))</f>
        <v/>
      </c>
    </row>
    <row r="28" customFormat="false" ht="15" hidden="false" customHeight="false" outlineLevel="0" collapsed="false">
      <c r="A28" s="10"/>
      <c r="B28" s="10"/>
      <c r="C28" s="29"/>
      <c r="D28" s="29"/>
      <c r="E28" s="30"/>
      <c r="F28" s="29"/>
      <c r="G28" s="22"/>
      <c r="H28" s="22"/>
      <c r="I28" s="10"/>
      <c r="J28" s="31" t="str">
        <f aca="false">IF(OR(A28="",C28="",E28=""),"",IF(B28="Rundrohr",PI()/4*(C28^2-(C28-2*E28)^2),IF(OR(B28="Quadratrohr",AND(B28="Rechteckrohr",D28&lt;&gt;"")),C28*IF(B28="Quadratrohr",C28,D28)-(C28-2*E28)*(IF(B28="Quadratrohr",C28,D28)-2*E28),"")))</f>
        <v/>
      </c>
      <c r="K28" s="31" t="str">
        <f aca="false">IF(A28="","",IF(F28&lt;&gt;"",F28,J28))</f>
        <v/>
      </c>
    </row>
    <row r="29" customFormat="false" ht="15" hidden="false" customHeight="false" outlineLevel="0" collapsed="false">
      <c r="A29" s="10"/>
      <c r="B29" s="10"/>
      <c r="C29" s="29"/>
      <c r="D29" s="29"/>
      <c r="E29" s="30"/>
      <c r="F29" s="29"/>
      <c r="G29" s="22"/>
      <c r="H29" s="22"/>
      <c r="I29" s="10"/>
      <c r="J29" s="31" t="str">
        <f aca="false">IF(OR(A29="",C29="",E29=""),"",IF(B29="Rundrohr",PI()/4*(C29^2-(C29-2*E29)^2),IF(OR(B29="Quadratrohr",AND(B29="Rechteckrohr",D29&lt;&gt;"")),C29*IF(B29="Quadratrohr",C29,D29)-(C29-2*E29)*(IF(B29="Quadratrohr",C29,D29)-2*E29),"")))</f>
        <v/>
      </c>
      <c r="K29" s="31" t="str">
        <f aca="false">IF(A29="","",IF(F29&lt;&gt;"",F29,J29))</f>
        <v/>
      </c>
    </row>
    <row r="30" customFormat="false" ht="15" hidden="false" customHeight="false" outlineLevel="0" collapsed="false">
      <c r="A30" s="10"/>
      <c r="B30" s="10"/>
      <c r="C30" s="29"/>
      <c r="D30" s="29"/>
      <c r="E30" s="30"/>
      <c r="F30" s="29"/>
      <c r="G30" s="22"/>
      <c r="H30" s="22"/>
      <c r="I30" s="10"/>
      <c r="J30" s="31" t="str">
        <f aca="false">IF(OR(A30="",C30="",E30=""),"",IF(B30="Rundrohr",PI()/4*(C30^2-(C30-2*E30)^2),IF(OR(B30="Quadratrohr",AND(B30="Rechteckrohr",D30&lt;&gt;"")),C30*IF(B30="Quadratrohr",C30,D30)-(C30-2*E30)*(IF(B30="Quadratrohr",C30,D30)-2*E30),"")))</f>
        <v/>
      </c>
      <c r="K30" s="31" t="str">
        <f aca="false">IF(A30="","",IF(F30&lt;&gt;"",F30,J30))</f>
        <v/>
      </c>
    </row>
    <row r="31" customFormat="false" ht="15" hidden="false" customHeight="false" outlineLevel="0" collapsed="false">
      <c r="A31" s="10"/>
      <c r="B31" s="10"/>
      <c r="C31" s="29"/>
      <c r="D31" s="29"/>
      <c r="E31" s="30"/>
      <c r="F31" s="29"/>
      <c r="G31" s="22"/>
      <c r="H31" s="22"/>
      <c r="I31" s="10"/>
      <c r="J31" s="31" t="str">
        <f aca="false">IF(OR(A31="",C31="",E31=""),"",IF(B31="Rundrohr",PI()/4*(C31^2-(C31-2*E31)^2),IF(OR(B31="Quadratrohr",AND(B31="Rechteckrohr",D31&lt;&gt;"")),C31*IF(B31="Quadratrohr",C31,D31)-(C31-2*E31)*(IF(B31="Quadratrohr",C31,D31)-2*E31),"")))</f>
        <v/>
      </c>
      <c r="K31" s="31" t="str">
        <f aca="false">IF(A31="","",IF(F31&lt;&gt;"",F31,J31))</f>
        <v/>
      </c>
    </row>
    <row r="32" customFormat="false" ht="15" hidden="false" customHeight="false" outlineLevel="0" collapsed="false">
      <c r="A32" s="10"/>
      <c r="B32" s="10"/>
      <c r="C32" s="29"/>
      <c r="D32" s="29"/>
      <c r="E32" s="30"/>
      <c r="F32" s="29"/>
      <c r="G32" s="22"/>
      <c r="H32" s="22"/>
      <c r="I32" s="10"/>
      <c r="J32" s="31" t="str">
        <f aca="false">IF(OR(A32="",C32="",E32=""),"",IF(B32="Rundrohr",PI()/4*(C32^2-(C32-2*E32)^2),IF(OR(B32="Quadratrohr",AND(B32="Rechteckrohr",D32&lt;&gt;"")),C32*IF(B32="Quadratrohr",C32,D32)-(C32-2*E32)*(IF(B32="Quadratrohr",C32,D32)-2*E32),"")))</f>
        <v/>
      </c>
      <c r="K32" s="31" t="str">
        <f aca="false">IF(A32="","",IF(F32&lt;&gt;"",F32,J32))</f>
        <v/>
      </c>
    </row>
    <row r="33" customFormat="false" ht="15" hidden="false" customHeight="false" outlineLevel="0" collapsed="false">
      <c r="A33" s="10"/>
      <c r="B33" s="10"/>
      <c r="C33" s="29"/>
      <c r="D33" s="29"/>
      <c r="E33" s="30"/>
      <c r="F33" s="29"/>
      <c r="G33" s="22"/>
      <c r="H33" s="22"/>
      <c r="I33" s="10"/>
      <c r="J33" s="31" t="str">
        <f aca="false">IF(OR(A33="",C33="",E33=""),"",IF(B33="Rundrohr",PI()/4*(C33^2-(C33-2*E33)^2),IF(OR(B33="Quadratrohr",AND(B33="Rechteckrohr",D33&lt;&gt;"")),C33*IF(B33="Quadratrohr",C33,D33)-(C33-2*E33)*(IF(B33="Quadratrohr",C33,D33)-2*E33),"")))</f>
        <v/>
      </c>
      <c r="K33" s="31" t="str">
        <f aca="false">IF(A33="","",IF(F33&lt;&gt;"",F33,J33))</f>
        <v/>
      </c>
    </row>
    <row r="34" customFormat="false" ht="15" hidden="false" customHeight="false" outlineLevel="0" collapsed="false">
      <c r="A34" s="10"/>
      <c r="B34" s="10"/>
      <c r="C34" s="29"/>
      <c r="D34" s="29"/>
      <c r="E34" s="30"/>
      <c r="F34" s="29"/>
      <c r="G34" s="22"/>
      <c r="H34" s="22"/>
      <c r="I34" s="10"/>
      <c r="J34" s="31" t="str">
        <f aca="false">IF(OR(A34="",C34="",E34=""),"",IF(B34="Rundrohr",PI()/4*(C34^2-(C34-2*E34)^2),IF(OR(B34="Quadratrohr",AND(B34="Rechteckrohr",D34&lt;&gt;"")),C34*IF(B34="Quadratrohr",C34,D34)-(C34-2*E34)*(IF(B34="Quadratrohr",C34,D34)-2*E34),"")))</f>
        <v/>
      </c>
      <c r="K34" s="31" t="str">
        <f aca="false">IF(A34="","",IF(F34&lt;&gt;"",F34,J34))</f>
        <v/>
      </c>
    </row>
    <row r="35" customFormat="false" ht="15" hidden="false" customHeight="false" outlineLevel="0" collapsed="false">
      <c r="A35" s="10"/>
      <c r="B35" s="10"/>
      <c r="C35" s="29"/>
      <c r="D35" s="29"/>
      <c r="E35" s="30"/>
      <c r="F35" s="29"/>
      <c r="G35" s="22"/>
      <c r="H35" s="22"/>
      <c r="I35" s="10"/>
      <c r="J35" s="31" t="str">
        <f aca="false">IF(OR(A35="",C35="",E35=""),"",IF(B35="Rundrohr",PI()/4*(C35^2-(C35-2*E35)^2),IF(OR(B35="Quadratrohr",AND(B35="Rechteckrohr",D35&lt;&gt;"")),C35*IF(B35="Quadratrohr",C35,D35)-(C35-2*E35)*(IF(B35="Quadratrohr",C35,D35)-2*E35),"")))</f>
        <v/>
      </c>
      <c r="K35" s="31" t="str">
        <f aca="false">IF(A35="","",IF(F35&lt;&gt;"",F35,J35))</f>
        <v/>
      </c>
    </row>
    <row r="36" customFormat="false" ht="15" hidden="false" customHeight="false" outlineLevel="0" collapsed="false">
      <c r="A36" s="10"/>
      <c r="B36" s="10"/>
      <c r="C36" s="29"/>
      <c r="D36" s="29"/>
      <c r="E36" s="30"/>
      <c r="F36" s="29"/>
      <c r="G36" s="22"/>
      <c r="H36" s="22"/>
      <c r="I36" s="10"/>
      <c r="J36" s="31" t="str">
        <f aca="false">IF(OR(A36="",C36="",E36=""),"",IF(B36="Rundrohr",PI()/4*(C36^2-(C36-2*E36)^2),IF(OR(B36="Quadratrohr",AND(B36="Rechteckrohr",D36&lt;&gt;"")),C36*IF(B36="Quadratrohr",C36,D36)-(C36-2*E36)*(IF(B36="Quadratrohr",C36,D36)-2*E36),"")))</f>
        <v/>
      </c>
      <c r="K36" s="31" t="str">
        <f aca="false">IF(A36="","",IF(F36&lt;&gt;"",F36,J36))</f>
        <v/>
      </c>
    </row>
    <row r="37" customFormat="false" ht="15" hidden="false" customHeight="false" outlineLevel="0" collapsed="false">
      <c r="A37" s="10"/>
      <c r="B37" s="10"/>
      <c r="C37" s="29"/>
      <c r="D37" s="29"/>
      <c r="E37" s="30"/>
      <c r="F37" s="29"/>
      <c r="G37" s="22"/>
      <c r="H37" s="22"/>
      <c r="I37" s="10"/>
      <c r="J37" s="31" t="str">
        <f aca="false">IF(OR(A37="",C37="",E37=""),"",IF(B37="Rundrohr",PI()/4*(C37^2-(C37-2*E37)^2),IF(OR(B37="Quadratrohr",AND(B37="Rechteckrohr",D37&lt;&gt;"")),C37*IF(B37="Quadratrohr",C37,D37)-(C37-2*E37)*(IF(B37="Quadratrohr",C37,D37)-2*E37),"")))</f>
        <v/>
      </c>
      <c r="K37" s="31" t="str">
        <f aca="false">IF(A37="","",IF(F37&lt;&gt;"",F37,J37))</f>
        <v/>
      </c>
    </row>
    <row r="38" customFormat="false" ht="15" hidden="false" customHeight="false" outlineLevel="0" collapsed="false">
      <c r="A38" s="10"/>
      <c r="B38" s="10"/>
      <c r="C38" s="29"/>
      <c r="D38" s="29"/>
      <c r="E38" s="30"/>
      <c r="F38" s="29"/>
      <c r="G38" s="22"/>
      <c r="H38" s="22"/>
      <c r="I38" s="10"/>
      <c r="J38" s="31" t="str">
        <f aca="false">IF(OR(A38="",C38="",E38=""),"",IF(B38="Rundrohr",PI()/4*(C38^2-(C38-2*E38)^2),IF(OR(B38="Quadratrohr",AND(B38="Rechteckrohr",D38&lt;&gt;"")),C38*IF(B38="Quadratrohr",C38,D38)-(C38-2*E38)*(IF(B38="Quadratrohr",C38,D38)-2*E38),"")))</f>
        <v/>
      </c>
      <c r="K38" s="31" t="str">
        <f aca="false">IF(A38="","",IF(F38&lt;&gt;"",F38,J38))</f>
        <v/>
      </c>
    </row>
    <row r="39" customFormat="false" ht="15" hidden="false" customHeight="false" outlineLevel="0" collapsed="false">
      <c r="A39" s="10"/>
      <c r="B39" s="10"/>
      <c r="C39" s="29"/>
      <c r="D39" s="29"/>
      <c r="E39" s="30"/>
      <c r="F39" s="29"/>
      <c r="G39" s="22"/>
      <c r="H39" s="22"/>
      <c r="I39" s="10"/>
      <c r="J39" s="31" t="str">
        <f aca="false">IF(OR(A39="",C39="",E39=""),"",IF(B39="Rundrohr",PI()/4*(C39^2-(C39-2*E39)^2),IF(OR(B39="Quadratrohr",AND(B39="Rechteckrohr",D39&lt;&gt;"")),C39*IF(B39="Quadratrohr",C39,D39)-(C39-2*E39)*(IF(B39="Quadratrohr",C39,D39)-2*E39),"")))</f>
        <v/>
      </c>
      <c r="K39" s="31" t="str">
        <f aca="false">IF(A39="","",IF(F39&lt;&gt;"",F39,J39))</f>
        <v/>
      </c>
    </row>
    <row r="40" customFormat="false" ht="15" hidden="false" customHeight="false" outlineLevel="0" collapsed="false">
      <c r="A40" s="10"/>
      <c r="B40" s="10"/>
      <c r="C40" s="29"/>
      <c r="D40" s="29"/>
      <c r="E40" s="30"/>
      <c r="F40" s="29"/>
      <c r="G40" s="22"/>
      <c r="H40" s="22"/>
      <c r="I40" s="10"/>
      <c r="J40" s="31" t="str">
        <f aca="false">IF(OR(A40="",C40="",E40=""),"",IF(B40="Rundrohr",PI()/4*(C40^2-(C40-2*E40)^2),IF(OR(B40="Quadratrohr",AND(B40="Rechteckrohr",D40&lt;&gt;"")),C40*IF(B40="Quadratrohr",C40,D40)-(C40-2*E40)*(IF(B40="Quadratrohr",C40,D40)-2*E40),"")))</f>
        <v/>
      </c>
      <c r="K40" s="31" t="str">
        <f aca="false">IF(A40="","",IF(F40&lt;&gt;"",F40,J40))</f>
        <v/>
      </c>
    </row>
    <row r="41" customFormat="false" ht="15" hidden="false" customHeight="false" outlineLevel="0" collapsed="false">
      <c r="A41" s="10"/>
      <c r="B41" s="10"/>
      <c r="C41" s="29"/>
      <c r="D41" s="29"/>
      <c r="E41" s="30"/>
      <c r="F41" s="29"/>
      <c r="G41" s="22"/>
      <c r="H41" s="22"/>
      <c r="I41" s="10"/>
      <c r="J41" s="31" t="str">
        <f aca="false">IF(OR(A41="",C41="",E41=""),"",IF(B41="Rundrohr",PI()/4*(C41^2-(C41-2*E41)^2),IF(OR(B41="Quadratrohr",AND(B41="Rechteckrohr",D41&lt;&gt;"")),C41*IF(B41="Quadratrohr",C41,D41)-(C41-2*E41)*(IF(B41="Quadratrohr",C41,D41)-2*E41),"")))</f>
        <v/>
      </c>
      <c r="K41" s="31" t="str">
        <f aca="false">IF(A41="","",IF(F41&lt;&gt;"",F41,J41))</f>
        <v/>
      </c>
    </row>
    <row r="42" customFormat="false" ht="15" hidden="false" customHeight="false" outlineLevel="0" collapsed="false">
      <c r="A42" s="10"/>
      <c r="B42" s="10"/>
      <c r="C42" s="29"/>
      <c r="D42" s="29"/>
      <c r="E42" s="30"/>
      <c r="F42" s="29"/>
      <c r="G42" s="22"/>
      <c r="H42" s="22"/>
      <c r="I42" s="10"/>
      <c r="J42" s="31" t="str">
        <f aca="false">IF(OR(A42="",C42="",E42=""),"",IF(B42="Rundrohr",PI()/4*(C42^2-(C42-2*E42)^2),IF(OR(B42="Quadratrohr",AND(B42="Rechteckrohr",D42&lt;&gt;"")),C42*IF(B42="Quadratrohr",C42,D42)-(C42-2*E42)*(IF(B42="Quadratrohr",C42,D42)-2*E42),"")))</f>
        <v/>
      </c>
      <c r="K42" s="31" t="str">
        <f aca="false">IF(A42="","",IF(F42&lt;&gt;"",F42,J42))</f>
        <v/>
      </c>
    </row>
    <row r="43" customFormat="false" ht="15" hidden="false" customHeight="false" outlineLevel="0" collapsed="false">
      <c r="A43" s="10"/>
      <c r="B43" s="10"/>
      <c r="C43" s="29"/>
      <c r="D43" s="29"/>
      <c r="E43" s="30"/>
      <c r="F43" s="29"/>
      <c r="G43" s="22"/>
      <c r="H43" s="22"/>
      <c r="I43" s="10"/>
      <c r="J43" s="31" t="str">
        <f aca="false">IF(OR(A43="",C43="",E43=""),"",IF(B43="Rundrohr",PI()/4*(C43^2-(C43-2*E43)^2),IF(OR(B43="Quadratrohr",AND(B43="Rechteckrohr",D43&lt;&gt;"")),C43*IF(B43="Quadratrohr",C43,D43)-(C43-2*E43)*(IF(B43="Quadratrohr",C43,D43)-2*E43),"")))</f>
        <v/>
      </c>
      <c r="K43" s="31" t="str">
        <f aca="false">IF(A43="","",IF(F43&lt;&gt;"",F43,J43))</f>
        <v/>
      </c>
    </row>
    <row r="44" customFormat="false" ht="15" hidden="false" customHeight="false" outlineLevel="0" collapsed="false">
      <c r="A44" s="10"/>
      <c r="B44" s="10"/>
      <c r="C44" s="29"/>
      <c r="D44" s="29"/>
      <c r="E44" s="30"/>
      <c r="F44" s="29"/>
      <c r="G44" s="22"/>
      <c r="H44" s="22"/>
      <c r="I44" s="10"/>
      <c r="J44" s="31" t="str">
        <f aca="false">IF(OR(A44="",C44="",E44=""),"",IF(B44="Rundrohr",PI()/4*(C44^2-(C44-2*E44)^2),IF(OR(B44="Quadratrohr",AND(B44="Rechteckrohr",D44&lt;&gt;"")),C44*IF(B44="Quadratrohr",C44,D44)-(C44-2*E44)*(IF(B44="Quadratrohr",C44,D44)-2*E44),"")))</f>
        <v/>
      </c>
      <c r="K44" s="31" t="str">
        <f aca="false">IF(A44="","",IF(F44&lt;&gt;"",F44,J44))</f>
        <v/>
      </c>
    </row>
    <row r="45" customFormat="false" ht="15" hidden="false" customHeight="false" outlineLevel="0" collapsed="false">
      <c r="A45" s="10"/>
      <c r="B45" s="10"/>
      <c r="C45" s="29"/>
      <c r="D45" s="29"/>
      <c r="E45" s="30"/>
      <c r="F45" s="29"/>
      <c r="G45" s="22"/>
      <c r="H45" s="22"/>
      <c r="I45" s="10"/>
      <c r="J45" s="31" t="str">
        <f aca="false">IF(OR(A45="",C45="",E45=""),"",IF(B45="Rundrohr",PI()/4*(C45^2-(C45-2*E45)^2),IF(OR(B45="Quadratrohr",AND(B45="Rechteckrohr",D45&lt;&gt;"")),C45*IF(B45="Quadratrohr",C45,D45)-(C45-2*E45)*(IF(B45="Quadratrohr",C45,D45)-2*E45),"")))</f>
        <v/>
      </c>
      <c r="K45" s="31" t="str">
        <f aca="false">IF(A45="","",IF(F45&lt;&gt;"",F45,J45))</f>
        <v/>
      </c>
    </row>
    <row r="46" customFormat="false" ht="15" hidden="false" customHeight="false" outlineLevel="0" collapsed="false">
      <c r="A46" s="10"/>
      <c r="B46" s="10"/>
      <c r="C46" s="29"/>
      <c r="D46" s="29"/>
      <c r="E46" s="30"/>
      <c r="F46" s="29"/>
      <c r="G46" s="22"/>
      <c r="H46" s="22"/>
      <c r="I46" s="10"/>
      <c r="J46" s="31" t="str">
        <f aca="false">IF(OR(A46="",C46="",E46=""),"",IF(B46="Rundrohr",PI()/4*(C46^2-(C46-2*E46)^2),IF(OR(B46="Quadratrohr",AND(B46="Rechteckrohr",D46&lt;&gt;"")),C46*IF(B46="Quadratrohr",C46,D46)-(C46-2*E46)*(IF(B46="Quadratrohr",C46,D46)-2*E46),"")))</f>
        <v/>
      </c>
      <c r="K46" s="31" t="str">
        <f aca="false">IF(A46="","",IF(F46&lt;&gt;"",F46,J46))</f>
        <v/>
      </c>
    </row>
    <row r="47" customFormat="false" ht="15" hidden="false" customHeight="false" outlineLevel="0" collapsed="false">
      <c r="A47" s="10"/>
      <c r="B47" s="10"/>
      <c r="C47" s="29"/>
      <c r="D47" s="29"/>
      <c r="E47" s="30"/>
      <c r="F47" s="29"/>
      <c r="G47" s="22"/>
      <c r="H47" s="22"/>
      <c r="I47" s="10"/>
      <c r="J47" s="31" t="str">
        <f aca="false">IF(OR(A47="",C47="",E47=""),"",IF(B47="Rundrohr",PI()/4*(C47^2-(C47-2*E47)^2),IF(OR(B47="Quadratrohr",AND(B47="Rechteckrohr",D47&lt;&gt;"")),C47*IF(B47="Quadratrohr",C47,D47)-(C47-2*E47)*(IF(B47="Quadratrohr",C47,D47)-2*E47),"")))</f>
        <v/>
      </c>
      <c r="K47" s="31" t="str">
        <f aca="false">IF(A47="","",IF(F47&lt;&gt;"",F47,J47))</f>
        <v/>
      </c>
    </row>
    <row r="48" customFormat="false" ht="15" hidden="false" customHeight="false" outlineLevel="0" collapsed="false">
      <c r="A48" s="10"/>
      <c r="B48" s="10"/>
      <c r="C48" s="29"/>
      <c r="D48" s="29"/>
      <c r="E48" s="30"/>
      <c r="F48" s="29"/>
      <c r="G48" s="22"/>
      <c r="H48" s="22"/>
      <c r="I48" s="10"/>
      <c r="J48" s="31" t="str">
        <f aca="false">IF(OR(A48="",C48="",E48=""),"",IF(B48="Rundrohr",PI()/4*(C48^2-(C48-2*E48)^2),IF(OR(B48="Quadratrohr",AND(B48="Rechteckrohr",D48&lt;&gt;"")),C48*IF(B48="Quadratrohr",C48,D48)-(C48-2*E48)*(IF(B48="Quadratrohr",C48,D48)-2*E48),"")))</f>
        <v/>
      </c>
      <c r="K48" s="31" t="str">
        <f aca="false">IF(A48="","",IF(F48&lt;&gt;"",F48,J48))</f>
        <v/>
      </c>
    </row>
    <row r="49" customFormat="false" ht="15" hidden="false" customHeight="false" outlineLevel="0" collapsed="false">
      <c r="A49" s="10"/>
      <c r="B49" s="10"/>
      <c r="C49" s="29"/>
      <c r="D49" s="29"/>
      <c r="E49" s="30"/>
      <c r="F49" s="29"/>
      <c r="G49" s="22"/>
      <c r="H49" s="22"/>
      <c r="I49" s="10"/>
      <c r="J49" s="31" t="str">
        <f aca="false">IF(OR(A49="",C49="",E49=""),"",IF(B49="Rundrohr",PI()/4*(C49^2-(C49-2*E49)^2),IF(OR(B49="Quadratrohr",AND(B49="Rechteckrohr",D49&lt;&gt;"")),C49*IF(B49="Quadratrohr",C49,D49)-(C49-2*E49)*(IF(B49="Quadratrohr",C49,D49)-2*E49),"")))</f>
        <v/>
      </c>
      <c r="K49" s="31" t="str">
        <f aca="false">IF(A49="","",IF(F49&lt;&gt;"",F49,J49))</f>
        <v/>
      </c>
    </row>
    <row r="50" customFormat="false" ht="15" hidden="false" customHeight="false" outlineLevel="0" collapsed="false">
      <c r="A50" s="10"/>
      <c r="B50" s="10"/>
      <c r="C50" s="29"/>
      <c r="D50" s="29"/>
      <c r="E50" s="30"/>
      <c r="F50" s="29"/>
      <c r="G50" s="22"/>
      <c r="H50" s="22"/>
      <c r="I50" s="10"/>
      <c r="J50" s="31" t="str">
        <f aca="false">IF(OR(A50="",C50="",E50=""),"",IF(B50="Rundrohr",PI()/4*(C50^2-(C50-2*E50)^2),IF(OR(B50="Quadratrohr",AND(B50="Rechteckrohr",D50&lt;&gt;"")),C50*IF(B50="Quadratrohr",C50,D50)-(C50-2*E50)*(IF(B50="Quadratrohr",C50,D50)-2*E50),"")))</f>
        <v/>
      </c>
      <c r="K50" s="31" t="str">
        <f aca="false">IF(A50="","",IF(F50&lt;&gt;"",F50,J50))</f>
        <v/>
      </c>
    </row>
    <row r="51" customFormat="false" ht="15" hidden="false" customHeight="false" outlineLevel="0" collapsed="false">
      <c r="A51" s="10"/>
      <c r="B51" s="10"/>
      <c r="C51" s="29"/>
      <c r="D51" s="29"/>
      <c r="E51" s="30"/>
      <c r="F51" s="29"/>
      <c r="G51" s="22"/>
      <c r="H51" s="22"/>
      <c r="I51" s="10"/>
      <c r="J51" s="31" t="str">
        <f aca="false">IF(OR(A51="",C51="",E51=""),"",IF(B51="Rundrohr",PI()/4*(C51^2-(C51-2*E51)^2),IF(OR(B51="Quadratrohr",AND(B51="Rechteckrohr",D51&lt;&gt;"")),C51*IF(B51="Quadratrohr",C51,D51)-(C51-2*E51)*(IF(B51="Quadratrohr",C51,D51)-2*E51),"")))</f>
        <v/>
      </c>
      <c r="K51" s="31" t="str">
        <f aca="false">IF(A51="","",IF(F51&lt;&gt;"",F51,J51))</f>
        <v/>
      </c>
    </row>
    <row r="52" customFormat="false" ht="15" hidden="false" customHeight="false" outlineLevel="0" collapsed="false">
      <c r="A52" s="10"/>
      <c r="B52" s="10"/>
      <c r="C52" s="29"/>
      <c r="D52" s="29"/>
      <c r="E52" s="30"/>
      <c r="F52" s="29"/>
      <c r="G52" s="22"/>
      <c r="H52" s="22"/>
      <c r="I52" s="10"/>
      <c r="J52" s="31" t="str">
        <f aca="false">IF(OR(A52="",C52="",E52=""),"",IF(B52="Rundrohr",PI()/4*(C52^2-(C52-2*E52)^2),IF(OR(B52="Quadratrohr",AND(B52="Rechteckrohr",D52&lt;&gt;"")),C52*IF(B52="Quadratrohr",C52,D52)-(C52-2*E52)*(IF(B52="Quadratrohr",C52,D52)-2*E52),"")))</f>
        <v/>
      </c>
      <c r="K52" s="31" t="str">
        <f aca="false">IF(A52="","",IF(F52&lt;&gt;"",F52,J52))</f>
        <v/>
      </c>
    </row>
    <row r="53" customFormat="false" ht="15" hidden="false" customHeight="false" outlineLevel="0" collapsed="false">
      <c r="A53" s="10"/>
      <c r="B53" s="10"/>
      <c r="C53" s="29"/>
      <c r="D53" s="29"/>
      <c r="E53" s="30"/>
      <c r="F53" s="29"/>
      <c r="G53" s="22"/>
      <c r="H53" s="22"/>
      <c r="I53" s="10"/>
      <c r="J53" s="31" t="str">
        <f aca="false">IF(OR(A53="",C53="",E53=""),"",IF(B53="Rundrohr",PI()/4*(C53^2-(C53-2*E53)^2),IF(OR(B53="Quadratrohr",AND(B53="Rechteckrohr",D53&lt;&gt;"")),C53*IF(B53="Quadratrohr",C53,D53)-(C53-2*E53)*(IF(B53="Quadratrohr",C53,D53)-2*E53),"")))</f>
        <v/>
      </c>
      <c r="K53" s="31" t="str">
        <f aca="false">IF(A53="","",IF(F53&lt;&gt;"",F53,J53))</f>
        <v/>
      </c>
    </row>
    <row r="54" customFormat="false" ht="15" hidden="false" customHeight="false" outlineLevel="0" collapsed="false">
      <c r="A54" s="10"/>
      <c r="B54" s="10"/>
      <c r="C54" s="29"/>
      <c r="D54" s="29"/>
      <c r="E54" s="30"/>
      <c r="F54" s="29"/>
      <c r="G54" s="22"/>
      <c r="H54" s="22"/>
      <c r="I54" s="10"/>
      <c r="J54" s="31" t="str">
        <f aca="false">IF(OR(A54="",C54="",E54=""),"",IF(B54="Rundrohr",PI()/4*(C54^2-(C54-2*E54)^2),IF(OR(B54="Quadratrohr",AND(B54="Rechteckrohr",D54&lt;&gt;"")),C54*IF(B54="Quadratrohr",C54,D54)-(C54-2*E54)*(IF(B54="Quadratrohr",C54,D54)-2*E54),"")))</f>
        <v/>
      </c>
      <c r="K54" s="31" t="str">
        <f aca="false">IF(A54="","",IF(F54&lt;&gt;"",F54,J54))</f>
        <v/>
      </c>
    </row>
    <row r="55" customFormat="false" ht="15" hidden="false" customHeight="false" outlineLevel="0" collapsed="false">
      <c r="A55" s="10"/>
      <c r="B55" s="10"/>
      <c r="C55" s="29"/>
      <c r="D55" s="29"/>
      <c r="E55" s="30"/>
      <c r="F55" s="29"/>
      <c r="G55" s="22"/>
      <c r="H55" s="22"/>
      <c r="I55" s="10"/>
      <c r="J55" s="31" t="str">
        <f aca="false">IF(OR(A55="",C55="",E55=""),"",IF(B55="Rundrohr",PI()/4*(C55^2-(C55-2*E55)^2),IF(OR(B55="Quadratrohr",AND(B55="Rechteckrohr",D55&lt;&gt;"")),C55*IF(B55="Quadratrohr",C55,D55)-(C55-2*E55)*(IF(B55="Quadratrohr",C55,D55)-2*E55),"")))</f>
        <v/>
      </c>
      <c r="K55" s="31" t="str">
        <f aca="false">IF(A55="","",IF(F55&lt;&gt;"",F55,J55))</f>
        <v/>
      </c>
    </row>
    <row r="56" customFormat="false" ht="15" hidden="false" customHeight="false" outlineLevel="0" collapsed="false">
      <c r="A56" s="10"/>
      <c r="B56" s="10"/>
      <c r="C56" s="29"/>
      <c r="D56" s="29"/>
      <c r="E56" s="30"/>
      <c r="F56" s="29"/>
      <c r="G56" s="22"/>
      <c r="H56" s="22"/>
      <c r="I56" s="10"/>
      <c r="J56" s="31" t="str">
        <f aca="false">IF(OR(A56="",C56="",E56=""),"",IF(B56="Rundrohr",PI()/4*(C56^2-(C56-2*E56)^2),IF(OR(B56="Quadratrohr",AND(B56="Rechteckrohr",D56&lt;&gt;"")),C56*IF(B56="Quadratrohr",C56,D56)-(C56-2*E56)*(IF(B56="Quadratrohr",C56,D56)-2*E56),"")))</f>
        <v/>
      </c>
      <c r="K56" s="31" t="str">
        <f aca="false">IF(A56="","",IF(F56&lt;&gt;"",F56,J56))</f>
        <v/>
      </c>
    </row>
    <row r="57" customFormat="false" ht="15" hidden="false" customHeight="false" outlineLevel="0" collapsed="false">
      <c r="A57" s="10"/>
      <c r="B57" s="10"/>
      <c r="C57" s="29"/>
      <c r="D57" s="29"/>
      <c r="E57" s="30"/>
      <c r="F57" s="29"/>
      <c r="G57" s="22"/>
      <c r="H57" s="22"/>
      <c r="I57" s="10"/>
      <c r="J57" s="31" t="str">
        <f aca="false">IF(OR(A57="",C57="",E57=""),"",IF(B57="Rundrohr",PI()/4*(C57^2-(C57-2*E57)^2),IF(OR(B57="Quadratrohr",AND(B57="Rechteckrohr",D57&lt;&gt;"")),C57*IF(B57="Quadratrohr",C57,D57)-(C57-2*E57)*(IF(B57="Quadratrohr",C57,D57)-2*E57),"")))</f>
        <v/>
      </c>
      <c r="K57" s="31" t="str">
        <f aca="false">IF(A57="","",IF(F57&lt;&gt;"",F57,J57))</f>
        <v/>
      </c>
    </row>
    <row r="58" customFormat="false" ht="15" hidden="false" customHeight="false" outlineLevel="0" collapsed="false">
      <c r="A58" s="10"/>
      <c r="B58" s="10"/>
      <c r="C58" s="29"/>
      <c r="D58" s="29"/>
      <c r="E58" s="30"/>
      <c r="F58" s="29"/>
      <c r="G58" s="22"/>
      <c r="H58" s="22"/>
      <c r="I58" s="10"/>
      <c r="J58" s="31" t="str">
        <f aca="false">IF(OR(A58="",C58="",E58=""),"",IF(B58="Rundrohr",PI()/4*(C58^2-(C58-2*E58)^2),IF(OR(B58="Quadratrohr",AND(B58="Rechteckrohr",D58&lt;&gt;"")),C58*IF(B58="Quadratrohr",C58,D58)-(C58-2*E58)*(IF(B58="Quadratrohr",C58,D58)-2*E58),"")))</f>
        <v/>
      </c>
      <c r="K58" s="31" t="str">
        <f aca="false">IF(A58="","",IF(F58&lt;&gt;"",F58,J58))</f>
        <v/>
      </c>
    </row>
    <row r="59" customFormat="false" ht="15" hidden="false" customHeight="false" outlineLevel="0" collapsed="false">
      <c r="A59" s="10"/>
      <c r="B59" s="10"/>
      <c r="C59" s="29"/>
      <c r="D59" s="29"/>
      <c r="E59" s="30"/>
      <c r="F59" s="29"/>
      <c r="G59" s="22"/>
      <c r="H59" s="22"/>
      <c r="I59" s="10"/>
      <c r="J59" s="31" t="str">
        <f aca="false">IF(OR(A59="",C59="",E59=""),"",IF(B59="Rundrohr",PI()/4*(C59^2-(C59-2*E59)^2),IF(OR(B59="Quadratrohr",AND(B59="Rechteckrohr",D59&lt;&gt;"")),C59*IF(B59="Quadratrohr",C59,D59)-(C59-2*E59)*(IF(B59="Quadratrohr",C59,D59)-2*E59),"")))</f>
        <v/>
      </c>
      <c r="K59" s="31" t="str">
        <f aca="false">IF(A59="","",IF(F59&lt;&gt;"",F59,J59))</f>
        <v/>
      </c>
    </row>
    <row r="60" customFormat="false" ht="15" hidden="false" customHeight="false" outlineLevel="0" collapsed="false">
      <c r="A60" s="10"/>
      <c r="B60" s="10"/>
      <c r="C60" s="29"/>
      <c r="D60" s="29"/>
      <c r="E60" s="30"/>
      <c r="F60" s="29"/>
      <c r="G60" s="22"/>
      <c r="H60" s="22"/>
      <c r="I60" s="10"/>
      <c r="J60" s="31" t="str">
        <f aca="false">IF(OR(A60="",C60="",E60=""),"",IF(B60="Rundrohr",PI()/4*(C60^2-(C60-2*E60)^2),IF(OR(B60="Quadratrohr",AND(B60="Rechteckrohr",D60&lt;&gt;"")),C60*IF(B60="Quadratrohr",C60,D60)-(C60-2*E60)*(IF(B60="Quadratrohr",C60,D60)-2*E60),"")))</f>
        <v/>
      </c>
      <c r="K60" s="31" t="str">
        <f aca="false">IF(A60="","",IF(F60&lt;&gt;"",F60,J60))</f>
        <v/>
      </c>
    </row>
    <row r="61" customFormat="false" ht="15" hidden="false" customHeight="false" outlineLevel="0" collapsed="false">
      <c r="A61" s="10"/>
      <c r="B61" s="10"/>
      <c r="C61" s="29"/>
      <c r="D61" s="29"/>
      <c r="E61" s="30"/>
      <c r="F61" s="29"/>
      <c r="G61" s="22"/>
      <c r="H61" s="22"/>
      <c r="I61" s="10"/>
      <c r="J61" s="31" t="str">
        <f aca="false">IF(OR(A61="",C61="",E61=""),"",IF(B61="Rundrohr",PI()/4*(C61^2-(C61-2*E61)^2),IF(OR(B61="Quadratrohr",AND(B61="Rechteckrohr",D61&lt;&gt;"")),C61*IF(B61="Quadratrohr",C61,D61)-(C61-2*E61)*(IF(B61="Quadratrohr",C61,D61)-2*E61),"")))</f>
        <v/>
      </c>
      <c r="K61" s="31" t="str">
        <f aca="false">IF(A61="","",IF(F61&lt;&gt;"",F61,J61))</f>
        <v/>
      </c>
    </row>
    <row r="62" customFormat="false" ht="15" hidden="false" customHeight="false" outlineLevel="0" collapsed="false">
      <c r="A62" s="10"/>
      <c r="B62" s="10"/>
      <c r="C62" s="29"/>
      <c r="D62" s="29"/>
      <c r="E62" s="30"/>
      <c r="F62" s="29"/>
      <c r="G62" s="22"/>
      <c r="H62" s="22"/>
      <c r="I62" s="10"/>
      <c r="J62" s="31" t="str">
        <f aca="false">IF(OR(A62="",C62="",E62=""),"",IF(B62="Rundrohr",PI()/4*(C62^2-(C62-2*E62)^2),IF(OR(B62="Quadratrohr",AND(B62="Rechteckrohr",D62&lt;&gt;"")),C62*IF(B62="Quadratrohr",C62,D62)-(C62-2*E62)*(IF(B62="Quadratrohr",C62,D62)-2*E62),"")))</f>
        <v/>
      </c>
      <c r="K62" s="31" t="str">
        <f aca="false">IF(A62="","",IF(F62&lt;&gt;"",F62,J62))</f>
        <v/>
      </c>
    </row>
    <row r="63" customFormat="false" ht="15" hidden="false" customHeight="false" outlineLevel="0" collapsed="false">
      <c r="A63" s="10"/>
      <c r="B63" s="10"/>
      <c r="C63" s="29"/>
      <c r="D63" s="29"/>
      <c r="E63" s="30"/>
      <c r="F63" s="29"/>
      <c r="G63" s="22"/>
      <c r="H63" s="22"/>
      <c r="I63" s="10"/>
      <c r="J63" s="31" t="str">
        <f aca="false">IF(OR(A63="",C63="",E63=""),"",IF(B63="Rundrohr",PI()/4*(C63^2-(C63-2*E63)^2),IF(OR(B63="Quadratrohr",AND(B63="Rechteckrohr",D63&lt;&gt;"")),C63*IF(B63="Quadratrohr",C63,D63)-(C63-2*E63)*(IF(B63="Quadratrohr",C63,D63)-2*E63),"")))</f>
        <v/>
      </c>
      <c r="K63" s="31" t="str">
        <f aca="false">IF(A63="","",IF(F63&lt;&gt;"",F63,J63))</f>
        <v/>
      </c>
    </row>
    <row r="64" customFormat="false" ht="15" hidden="false" customHeight="false" outlineLevel="0" collapsed="false">
      <c r="A64" s="10"/>
      <c r="B64" s="10"/>
      <c r="C64" s="29"/>
      <c r="D64" s="29"/>
      <c r="E64" s="30"/>
      <c r="F64" s="29"/>
      <c r="G64" s="22"/>
      <c r="H64" s="22"/>
      <c r="I64" s="10"/>
      <c r="J64" s="31" t="str">
        <f aca="false">IF(OR(A64="",C64="",E64=""),"",IF(B64="Rundrohr",PI()/4*(C64^2-(C64-2*E64)^2),IF(OR(B64="Quadratrohr",AND(B64="Rechteckrohr",D64&lt;&gt;"")),C64*IF(B64="Quadratrohr",C64,D64)-(C64-2*E64)*(IF(B64="Quadratrohr",C64,D64)-2*E64),"")))</f>
        <v/>
      </c>
      <c r="K64" s="31" t="str">
        <f aca="false">IF(A64="","",IF(F64&lt;&gt;"",F64,J64))</f>
        <v/>
      </c>
    </row>
    <row r="65" customFormat="false" ht="15" hidden="false" customHeight="false" outlineLevel="0" collapsed="false">
      <c r="A65" s="10"/>
      <c r="B65" s="10"/>
      <c r="C65" s="29"/>
      <c r="D65" s="29"/>
      <c r="E65" s="30"/>
      <c r="F65" s="29"/>
      <c r="G65" s="22"/>
      <c r="H65" s="22"/>
      <c r="I65" s="10"/>
      <c r="J65" s="31" t="str">
        <f aca="false">IF(OR(A65="",C65="",E65=""),"",IF(B65="Rundrohr",PI()/4*(C65^2-(C65-2*E65)^2),IF(OR(B65="Quadratrohr",AND(B65="Rechteckrohr",D65&lt;&gt;"")),C65*IF(B65="Quadratrohr",C65,D65)-(C65-2*E65)*(IF(B65="Quadratrohr",C65,D65)-2*E65),"")))</f>
        <v/>
      </c>
      <c r="K65" s="31" t="str">
        <f aca="false">IF(A65="","",IF(F65&lt;&gt;"",F65,J65))</f>
        <v/>
      </c>
    </row>
    <row r="66" customFormat="false" ht="15" hidden="false" customHeight="false" outlineLevel="0" collapsed="false">
      <c r="A66" s="10"/>
      <c r="B66" s="10"/>
      <c r="C66" s="29"/>
      <c r="D66" s="29"/>
      <c r="E66" s="30"/>
      <c r="F66" s="29"/>
      <c r="G66" s="22"/>
      <c r="H66" s="22"/>
      <c r="I66" s="10"/>
      <c r="J66" s="31" t="str">
        <f aca="false">IF(OR(A66="",C66="",E66=""),"",IF(B66="Rundrohr",PI()/4*(C66^2-(C66-2*E66)^2),IF(OR(B66="Quadratrohr",AND(B66="Rechteckrohr",D66&lt;&gt;"")),C66*IF(B66="Quadratrohr",C66,D66)-(C66-2*E66)*(IF(B66="Quadratrohr",C66,D66)-2*E66),"")))</f>
        <v/>
      </c>
      <c r="K66" s="31" t="str">
        <f aca="false">IF(A66="","",IF(F66&lt;&gt;"",F66,J66))</f>
        <v/>
      </c>
    </row>
    <row r="67" customFormat="false" ht="15" hidden="false" customHeight="false" outlineLevel="0" collapsed="false">
      <c r="A67" s="10"/>
      <c r="B67" s="10"/>
      <c r="C67" s="29"/>
      <c r="D67" s="29"/>
      <c r="E67" s="30"/>
      <c r="F67" s="29"/>
      <c r="G67" s="22"/>
      <c r="H67" s="22"/>
      <c r="I67" s="10"/>
      <c r="J67" s="31" t="str">
        <f aca="false">IF(OR(A67="",C67="",E67=""),"",IF(B67="Rundrohr",PI()/4*(C67^2-(C67-2*E67)^2),IF(OR(B67="Quadratrohr",AND(B67="Rechteckrohr",D67&lt;&gt;"")),C67*IF(B67="Quadratrohr",C67,D67)-(C67-2*E67)*(IF(B67="Quadratrohr",C67,D67)-2*E67),"")))</f>
        <v/>
      </c>
      <c r="K67" s="31" t="str">
        <f aca="false">IF(A67="","",IF(F67&lt;&gt;"",F67,J67))</f>
        <v/>
      </c>
    </row>
    <row r="68" customFormat="false" ht="15" hidden="false" customHeight="false" outlineLevel="0" collapsed="false">
      <c r="A68" s="10"/>
      <c r="B68" s="10"/>
      <c r="C68" s="29"/>
      <c r="D68" s="29"/>
      <c r="E68" s="30"/>
      <c r="F68" s="29"/>
      <c r="G68" s="22"/>
      <c r="H68" s="22"/>
      <c r="I68" s="10"/>
      <c r="J68" s="31" t="str">
        <f aca="false">IF(OR(A68="",C68="",E68=""),"",IF(B68="Rundrohr",PI()/4*(C68^2-(C68-2*E68)^2),IF(OR(B68="Quadratrohr",AND(B68="Rechteckrohr",D68&lt;&gt;"")),C68*IF(B68="Quadratrohr",C68,D68)-(C68-2*E68)*(IF(B68="Quadratrohr",C68,D68)-2*E68),"")))</f>
        <v/>
      </c>
      <c r="K68" s="31" t="str">
        <f aca="false">IF(A68="","",IF(F68&lt;&gt;"",F68,J68))</f>
        <v/>
      </c>
    </row>
    <row r="69" customFormat="false" ht="15" hidden="false" customHeight="false" outlineLevel="0" collapsed="false">
      <c r="A69" s="10"/>
      <c r="B69" s="10"/>
      <c r="C69" s="29"/>
      <c r="D69" s="29"/>
      <c r="E69" s="30"/>
      <c r="F69" s="29"/>
      <c r="G69" s="22"/>
      <c r="H69" s="22"/>
      <c r="I69" s="10"/>
      <c r="J69" s="31" t="str">
        <f aca="false">IF(OR(A69="",C69="",E69=""),"",IF(B69="Rundrohr",PI()/4*(C69^2-(C69-2*E69)^2),IF(OR(B69="Quadratrohr",AND(B69="Rechteckrohr",D69&lt;&gt;"")),C69*IF(B69="Quadratrohr",C69,D69)-(C69-2*E69)*(IF(B69="Quadratrohr",C69,D69)-2*E69),"")))</f>
        <v/>
      </c>
      <c r="K69" s="31" t="str">
        <f aca="false">IF(A69="","",IF(F69&lt;&gt;"",F69,J69))</f>
        <v/>
      </c>
    </row>
    <row r="70" customFormat="false" ht="15" hidden="false" customHeight="false" outlineLevel="0" collapsed="false">
      <c r="A70" s="10"/>
      <c r="B70" s="10"/>
      <c r="C70" s="29"/>
      <c r="D70" s="29"/>
      <c r="E70" s="30"/>
      <c r="F70" s="29"/>
      <c r="G70" s="22"/>
      <c r="H70" s="22"/>
      <c r="I70" s="10"/>
      <c r="J70" s="31" t="str">
        <f aca="false">IF(OR(A70="",C70="",E70=""),"",IF(B70="Rundrohr",PI()/4*(C70^2-(C70-2*E70)^2),IF(OR(B70="Quadratrohr",AND(B70="Rechteckrohr",D70&lt;&gt;"")),C70*IF(B70="Quadratrohr",C70,D70)-(C70-2*E70)*(IF(B70="Quadratrohr",C70,D70)-2*E70),"")))</f>
        <v/>
      </c>
      <c r="K70" s="31" t="str">
        <f aca="false">IF(A70="","",IF(F70&lt;&gt;"",F70,J70))</f>
        <v/>
      </c>
    </row>
    <row r="71" customFormat="false" ht="15" hidden="false" customHeight="false" outlineLevel="0" collapsed="false">
      <c r="A71" s="10"/>
      <c r="B71" s="10"/>
      <c r="C71" s="29"/>
      <c r="D71" s="29"/>
      <c r="E71" s="30"/>
      <c r="F71" s="29"/>
      <c r="G71" s="22"/>
      <c r="H71" s="22"/>
      <c r="I71" s="10"/>
      <c r="J71" s="31" t="str">
        <f aca="false">IF(OR(A71="",C71="",E71=""),"",IF(B71="Rundrohr",PI()/4*(C71^2-(C71-2*E71)^2),IF(OR(B71="Quadratrohr",AND(B71="Rechteckrohr",D71&lt;&gt;"")),C71*IF(B71="Quadratrohr",C71,D71)-(C71-2*E71)*(IF(B71="Quadratrohr",C71,D71)-2*E71),"")))</f>
        <v/>
      </c>
      <c r="K71" s="31" t="str">
        <f aca="false">IF(A71="","",IF(F71&lt;&gt;"",F71,J71))</f>
        <v/>
      </c>
    </row>
    <row r="72" customFormat="false" ht="15" hidden="false" customHeight="false" outlineLevel="0" collapsed="false">
      <c r="A72" s="10"/>
      <c r="B72" s="10"/>
      <c r="C72" s="29"/>
      <c r="D72" s="29"/>
      <c r="E72" s="30"/>
      <c r="F72" s="29"/>
      <c r="G72" s="22"/>
      <c r="H72" s="22"/>
      <c r="I72" s="10"/>
      <c r="J72" s="31" t="str">
        <f aca="false">IF(OR(A72="",C72="",E72=""),"",IF(B72="Rundrohr",PI()/4*(C72^2-(C72-2*E72)^2),IF(OR(B72="Quadratrohr",AND(B72="Rechteckrohr",D72&lt;&gt;"")),C72*IF(B72="Quadratrohr",C72,D72)-(C72-2*E72)*(IF(B72="Quadratrohr",C72,D72)-2*E72),"")))</f>
        <v/>
      </c>
      <c r="K72" s="31" t="str">
        <f aca="false">IF(A72="","",IF(F72&lt;&gt;"",F72,J72))</f>
        <v/>
      </c>
    </row>
    <row r="73" customFormat="false" ht="15" hidden="false" customHeight="false" outlineLevel="0" collapsed="false">
      <c r="A73" s="10"/>
      <c r="B73" s="10"/>
      <c r="C73" s="29"/>
      <c r="D73" s="29"/>
      <c r="E73" s="30"/>
      <c r="F73" s="29"/>
      <c r="G73" s="22"/>
      <c r="H73" s="22"/>
      <c r="I73" s="10"/>
      <c r="J73" s="31" t="str">
        <f aca="false">IF(OR(A73="",C73="",E73=""),"",IF(B73="Rundrohr",PI()/4*(C73^2-(C73-2*E73)^2),IF(OR(B73="Quadratrohr",AND(B73="Rechteckrohr",D73&lt;&gt;"")),C73*IF(B73="Quadratrohr",C73,D73)-(C73-2*E73)*(IF(B73="Quadratrohr",C73,D73)-2*E73),"")))</f>
        <v/>
      </c>
      <c r="K73" s="31" t="str">
        <f aca="false">IF(A73="","",IF(F73&lt;&gt;"",F73,J73))</f>
        <v/>
      </c>
    </row>
    <row r="74" customFormat="false" ht="15" hidden="false" customHeight="false" outlineLevel="0" collapsed="false">
      <c r="A74" s="10"/>
      <c r="B74" s="10"/>
      <c r="C74" s="29"/>
      <c r="D74" s="29"/>
      <c r="E74" s="30"/>
      <c r="F74" s="29"/>
      <c r="G74" s="22"/>
      <c r="H74" s="22"/>
      <c r="I74" s="10"/>
      <c r="J74" s="31" t="str">
        <f aca="false">IF(OR(A74="",C74="",E74=""),"",IF(B74="Rundrohr",PI()/4*(C74^2-(C74-2*E74)^2),IF(OR(B74="Quadratrohr",AND(B74="Rechteckrohr",D74&lt;&gt;"")),C74*IF(B74="Quadratrohr",C74,D74)-(C74-2*E74)*(IF(B74="Quadratrohr",C74,D74)-2*E74),"")))</f>
        <v/>
      </c>
      <c r="K74" s="31" t="str">
        <f aca="false">IF(A74="","",IF(F74&lt;&gt;"",F74,J74))</f>
        <v/>
      </c>
    </row>
    <row r="75" customFormat="false" ht="15" hidden="false" customHeight="false" outlineLevel="0" collapsed="false">
      <c r="A75" s="10"/>
      <c r="B75" s="10"/>
      <c r="C75" s="29"/>
      <c r="D75" s="29"/>
      <c r="E75" s="30"/>
      <c r="F75" s="29"/>
      <c r="G75" s="22"/>
      <c r="H75" s="22"/>
      <c r="I75" s="10"/>
      <c r="J75" s="31" t="str">
        <f aca="false">IF(OR(A75="",C75="",E75=""),"",IF(B75="Rundrohr",PI()/4*(C75^2-(C75-2*E75)^2),IF(OR(B75="Quadratrohr",AND(B75="Rechteckrohr",D75&lt;&gt;"")),C75*IF(B75="Quadratrohr",C75,D75)-(C75-2*E75)*(IF(B75="Quadratrohr",C75,D75)-2*E75),"")))</f>
        <v/>
      </c>
      <c r="K75" s="31" t="str">
        <f aca="false">IF(A75="","",IF(F75&lt;&gt;"",F75,J75))</f>
        <v/>
      </c>
    </row>
    <row r="76" customFormat="false" ht="15" hidden="false" customHeight="false" outlineLevel="0" collapsed="false">
      <c r="A76" s="10"/>
      <c r="B76" s="10"/>
      <c r="C76" s="29"/>
      <c r="D76" s="29"/>
      <c r="E76" s="30"/>
      <c r="F76" s="29"/>
      <c r="G76" s="22"/>
      <c r="H76" s="22"/>
      <c r="I76" s="10"/>
      <c r="J76" s="31" t="str">
        <f aca="false">IF(OR(A76="",C76="",E76=""),"",IF(B76="Rundrohr",PI()/4*(C76^2-(C76-2*E76)^2),IF(OR(B76="Quadratrohr",AND(B76="Rechteckrohr",D76&lt;&gt;"")),C76*IF(B76="Quadratrohr",C76,D76)-(C76-2*E76)*(IF(B76="Quadratrohr",C76,D76)-2*E76),"")))</f>
        <v/>
      </c>
      <c r="K76" s="31" t="str">
        <f aca="false">IF(A76="","",IF(F76&lt;&gt;"",F76,J76))</f>
        <v/>
      </c>
    </row>
    <row r="77" customFormat="false" ht="15" hidden="false" customHeight="false" outlineLevel="0" collapsed="false">
      <c r="A77" s="10"/>
      <c r="B77" s="10"/>
      <c r="C77" s="29"/>
      <c r="D77" s="29"/>
      <c r="E77" s="30"/>
      <c r="F77" s="29"/>
      <c r="G77" s="22"/>
      <c r="H77" s="22"/>
      <c r="I77" s="10"/>
      <c r="J77" s="31" t="str">
        <f aca="false">IF(OR(A77="",C77="",E77=""),"",IF(B77="Rundrohr",PI()/4*(C77^2-(C77-2*E77)^2),IF(OR(B77="Quadratrohr",AND(B77="Rechteckrohr",D77&lt;&gt;"")),C77*IF(B77="Quadratrohr",C77,D77)-(C77-2*E77)*(IF(B77="Quadratrohr",C77,D77)-2*E77),"")))</f>
        <v/>
      </c>
      <c r="K77" s="31" t="str">
        <f aca="false">IF(A77="","",IF(F77&lt;&gt;"",F77,J77))</f>
        <v/>
      </c>
    </row>
    <row r="78" customFormat="false" ht="15" hidden="false" customHeight="false" outlineLevel="0" collapsed="false">
      <c r="A78" s="10"/>
      <c r="B78" s="10"/>
      <c r="C78" s="29"/>
      <c r="D78" s="29"/>
      <c r="E78" s="30"/>
      <c r="F78" s="29"/>
      <c r="G78" s="22"/>
      <c r="H78" s="22"/>
      <c r="I78" s="10"/>
      <c r="J78" s="31" t="str">
        <f aca="false">IF(OR(A78="",C78="",E78=""),"",IF(B78="Rundrohr",PI()/4*(C78^2-(C78-2*E78)^2),IF(OR(B78="Quadratrohr",AND(B78="Rechteckrohr",D78&lt;&gt;"")),C78*IF(B78="Quadratrohr",C78,D78)-(C78-2*E78)*(IF(B78="Quadratrohr",C78,D78)-2*E78),"")))</f>
        <v/>
      </c>
      <c r="K78" s="31" t="str">
        <f aca="false">IF(A78="","",IF(F78&lt;&gt;"",F78,J78))</f>
        <v/>
      </c>
    </row>
    <row r="79" customFormat="false" ht="15" hidden="false" customHeight="false" outlineLevel="0" collapsed="false">
      <c r="A79" s="10"/>
      <c r="B79" s="10"/>
      <c r="C79" s="29"/>
      <c r="D79" s="29"/>
      <c r="E79" s="30"/>
      <c r="F79" s="29"/>
      <c r="G79" s="22"/>
      <c r="H79" s="22"/>
      <c r="I79" s="10"/>
      <c r="J79" s="31" t="str">
        <f aca="false">IF(OR(A79="",C79="",E79=""),"",IF(B79="Rundrohr",PI()/4*(C79^2-(C79-2*E79)^2),IF(OR(B79="Quadratrohr",AND(B79="Rechteckrohr",D79&lt;&gt;"")),C79*IF(B79="Quadratrohr",C79,D79)-(C79-2*E79)*(IF(B79="Quadratrohr",C79,D79)-2*E79),"")))</f>
        <v/>
      </c>
      <c r="K79" s="31" t="str">
        <f aca="false">IF(A79="","",IF(F79&lt;&gt;"",F79,J79))</f>
        <v/>
      </c>
    </row>
    <row r="80" customFormat="false" ht="15" hidden="false" customHeight="false" outlineLevel="0" collapsed="false">
      <c r="A80" s="10"/>
      <c r="B80" s="10"/>
      <c r="C80" s="29"/>
      <c r="D80" s="29"/>
      <c r="E80" s="30"/>
      <c r="F80" s="29"/>
      <c r="G80" s="22"/>
      <c r="H80" s="22"/>
      <c r="I80" s="10"/>
      <c r="J80" s="31" t="str">
        <f aca="false">IF(OR(A80="",C80="",E80=""),"",IF(B80="Rundrohr",PI()/4*(C80^2-(C80-2*E80)^2),IF(OR(B80="Quadratrohr",AND(B80="Rechteckrohr",D80&lt;&gt;"")),C80*IF(B80="Quadratrohr",C80,D80)-(C80-2*E80)*(IF(B80="Quadratrohr",C80,D80)-2*E80),"")))</f>
        <v/>
      </c>
      <c r="K80" s="31" t="str">
        <f aca="false">IF(A80="","",IF(F80&lt;&gt;"",F80,J80))</f>
        <v/>
      </c>
    </row>
    <row r="81" customFormat="false" ht="15" hidden="false" customHeight="false" outlineLevel="0" collapsed="false">
      <c r="A81" s="10"/>
      <c r="B81" s="10"/>
      <c r="C81" s="29"/>
      <c r="D81" s="29"/>
      <c r="E81" s="30"/>
      <c r="F81" s="29"/>
      <c r="G81" s="22"/>
      <c r="H81" s="22"/>
      <c r="I81" s="10"/>
      <c r="J81" s="31" t="str">
        <f aca="false">IF(OR(A81="",C81="",E81=""),"",IF(B81="Rundrohr",PI()/4*(C81^2-(C81-2*E81)^2),IF(OR(B81="Quadratrohr",AND(B81="Rechteckrohr",D81&lt;&gt;"")),C81*IF(B81="Quadratrohr",C81,D81)-(C81-2*E81)*(IF(B81="Quadratrohr",C81,D81)-2*E81),"")))</f>
        <v/>
      </c>
      <c r="K81" s="31" t="str">
        <f aca="false">IF(A81="","",IF(F81&lt;&gt;"",F81,J81))</f>
        <v/>
      </c>
    </row>
    <row r="82" customFormat="false" ht="15" hidden="false" customHeight="false" outlineLevel="0" collapsed="false">
      <c r="A82" s="10"/>
      <c r="B82" s="10"/>
      <c r="C82" s="29"/>
      <c r="D82" s="29"/>
      <c r="E82" s="30"/>
      <c r="F82" s="29"/>
      <c r="G82" s="22"/>
      <c r="H82" s="22"/>
      <c r="I82" s="10"/>
      <c r="J82" s="31" t="str">
        <f aca="false">IF(OR(A82="",C82="",E82=""),"",IF(B82="Rundrohr",PI()/4*(C82^2-(C82-2*E82)^2),IF(OR(B82="Quadratrohr",AND(B82="Rechteckrohr",D82&lt;&gt;"")),C82*IF(B82="Quadratrohr",C82,D82)-(C82-2*E82)*(IF(B82="Quadratrohr",C82,D82)-2*E82),"")))</f>
        <v/>
      </c>
      <c r="K82" s="31" t="str">
        <f aca="false">IF(A82="","",IF(F82&lt;&gt;"",F82,J82))</f>
        <v/>
      </c>
    </row>
    <row r="83" customFormat="false" ht="15" hidden="false" customHeight="false" outlineLevel="0" collapsed="false">
      <c r="A83" s="10"/>
      <c r="B83" s="10"/>
      <c r="C83" s="29"/>
      <c r="D83" s="29"/>
      <c r="E83" s="30"/>
      <c r="F83" s="29"/>
      <c r="G83" s="22"/>
      <c r="H83" s="22"/>
      <c r="I83" s="10"/>
      <c r="J83" s="31" t="str">
        <f aca="false">IF(OR(A83="",C83="",E83=""),"",IF(B83="Rundrohr",PI()/4*(C83^2-(C83-2*E83)^2),IF(OR(B83="Quadratrohr",AND(B83="Rechteckrohr",D83&lt;&gt;"")),C83*IF(B83="Quadratrohr",C83,D83)-(C83-2*E83)*(IF(B83="Quadratrohr",C83,D83)-2*E83),"")))</f>
        <v/>
      </c>
      <c r="K83" s="31" t="str">
        <f aca="false">IF(A83="","",IF(F83&lt;&gt;"",F83,J83))</f>
        <v/>
      </c>
    </row>
    <row r="84" customFormat="false" ht="15" hidden="false" customHeight="false" outlineLevel="0" collapsed="false">
      <c r="A84" s="10"/>
      <c r="B84" s="10"/>
      <c r="C84" s="29"/>
      <c r="D84" s="29"/>
      <c r="E84" s="30"/>
      <c r="F84" s="29"/>
      <c r="G84" s="22"/>
      <c r="H84" s="22"/>
      <c r="I84" s="10"/>
      <c r="J84" s="31" t="str">
        <f aca="false">IF(OR(A84="",C84="",E84=""),"",IF(B84="Rundrohr",PI()/4*(C84^2-(C84-2*E84)^2),IF(OR(B84="Quadratrohr",AND(B84="Rechteckrohr",D84&lt;&gt;"")),C84*IF(B84="Quadratrohr",C84,D84)-(C84-2*E84)*(IF(B84="Quadratrohr",C84,D84)-2*E84),"")))</f>
        <v/>
      </c>
      <c r="K84" s="31" t="str">
        <f aca="false">IF(A84="","",IF(F84&lt;&gt;"",F84,J84))</f>
        <v/>
      </c>
    </row>
    <row r="85" customFormat="false" ht="15" hidden="false" customHeight="false" outlineLevel="0" collapsed="false">
      <c r="A85" s="10"/>
      <c r="B85" s="10"/>
      <c r="C85" s="29"/>
      <c r="D85" s="29"/>
      <c r="E85" s="30"/>
      <c r="F85" s="29"/>
      <c r="G85" s="22"/>
      <c r="H85" s="22"/>
      <c r="I85" s="10"/>
      <c r="J85" s="31" t="str">
        <f aca="false">IF(OR(A85="",C85="",E85=""),"",IF(B85="Rundrohr",PI()/4*(C85^2-(C85-2*E85)^2),IF(OR(B85="Quadratrohr",AND(B85="Rechteckrohr",D85&lt;&gt;"")),C85*IF(B85="Quadratrohr",C85,D85)-(C85-2*E85)*(IF(B85="Quadratrohr",C85,D85)-2*E85),"")))</f>
        <v/>
      </c>
      <c r="K85" s="31" t="str">
        <f aca="false">IF(A85="","",IF(F85&lt;&gt;"",F85,J85))</f>
        <v/>
      </c>
    </row>
    <row r="86" customFormat="false" ht="15" hidden="false" customHeight="false" outlineLevel="0" collapsed="false">
      <c r="A86" s="10"/>
      <c r="B86" s="10"/>
      <c r="C86" s="29"/>
      <c r="D86" s="29"/>
      <c r="E86" s="30"/>
      <c r="F86" s="29"/>
      <c r="G86" s="22"/>
      <c r="H86" s="22"/>
      <c r="I86" s="10"/>
      <c r="J86" s="31" t="str">
        <f aca="false">IF(OR(A86="",C86="",E86=""),"",IF(B86="Rundrohr",PI()/4*(C86^2-(C86-2*E86)^2),IF(OR(B86="Quadratrohr",AND(B86="Rechteckrohr",D86&lt;&gt;"")),C86*IF(B86="Quadratrohr",C86,D86)-(C86-2*E86)*(IF(B86="Quadratrohr",C86,D86)-2*E86),"")))</f>
        <v/>
      </c>
      <c r="K86" s="31" t="str">
        <f aca="false">IF(A86="","",IF(F86&lt;&gt;"",F86,J86))</f>
        <v/>
      </c>
    </row>
    <row r="87" customFormat="false" ht="15" hidden="false" customHeight="false" outlineLevel="0" collapsed="false">
      <c r="A87" s="10"/>
      <c r="B87" s="10"/>
      <c r="C87" s="29"/>
      <c r="D87" s="29"/>
      <c r="E87" s="30"/>
      <c r="F87" s="29"/>
      <c r="G87" s="22"/>
      <c r="H87" s="22"/>
      <c r="I87" s="10"/>
      <c r="J87" s="31" t="str">
        <f aca="false">IF(OR(A87="",C87="",E87=""),"",IF(B87="Rundrohr",PI()/4*(C87^2-(C87-2*E87)^2),IF(OR(B87="Quadratrohr",AND(B87="Rechteckrohr",D87&lt;&gt;"")),C87*IF(B87="Quadratrohr",C87,D87)-(C87-2*E87)*(IF(B87="Quadratrohr",C87,D87)-2*E87),"")))</f>
        <v/>
      </c>
      <c r="K87" s="31" t="str">
        <f aca="false">IF(A87="","",IF(F87&lt;&gt;"",F87,J87))</f>
        <v/>
      </c>
    </row>
    <row r="88" customFormat="false" ht="15" hidden="false" customHeight="false" outlineLevel="0" collapsed="false">
      <c r="A88" s="10"/>
      <c r="B88" s="10"/>
      <c r="C88" s="29"/>
      <c r="D88" s="29"/>
      <c r="E88" s="30"/>
      <c r="F88" s="29"/>
      <c r="G88" s="22"/>
      <c r="H88" s="22"/>
      <c r="I88" s="10"/>
      <c r="J88" s="31" t="str">
        <f aca="false">IF(OR(A88="",C88="",E88=""),"",IF(B88="Rundrohr",PI()/4*(C88^2-(C88-2*E88)^2),IF(OR(B88="Quadratrohr",AND(B88="Rechteckrohr",D88&lt;&gt;"")),C88*IF(B88="Quadratrohr",C88,D88)-(C88-2*E88)*(IF(B88="Quadratrohr",C88,D88)-2*E88),"")))</f>
        <v/>
      </c>
      <c r="K88" s="31" t="str">
        <f aca="false">IF(A88="","",IF(F88&lt;&gt;"",F88,J88))</f>
        <v/>
      </c>
    </row>
    <row r="89" customFormat="false" ht="15" hidden="false" customHeight="false" outlineLevel="0" collapsed="false">
      <c r="A89" s="10"/>
      <c r="B89" s="10"/>
      <c r="C89" s="29"/>
      <c r="D89" s="29"/>
      <c r="E89" s="30"/>
      <c r="F89" s="29"/>
      <c r="G89" s="22"/>
      <c r="H89" s="22"/>
      <c r="I89" s="10"/>
      <c r="J89" s="31" t="str">
        <f aca="false">IF(OR(A89="",C89="",E89=""),"",IF(B89="Rundrohr",PI()/4*(C89^2-(C89-2*E89)^2),IF(OR(B89="Quadratrohr",AND(B89="Rechteckrohr",D89&lt;&gt;"")),C89*IF(B89="Quadratrohr",C89,D89)-(C89-2*E89)*(IF(B89="Quadratrohr",C89,D89)-2*E89),"")))</f>
        <v/>
      </c>
      <c r="K89" s="31" t="str">
        <f aca="false">IF(A89="","",IF(F89&lt;&gt;"",F89,J89))</f>
        <v/>
      </c>
    </row>
    <row r="90" customFormat="false" ht="15" hidden="false" customHeight="false" outlineLevel="0" collapsed="false">
      <c r="A90" s="10"/>
      <c r="B90" s="10"/>
      <c r="C90" s="29"/>
      <c r="D90" s="29"/>
      <c r="E90" s="30"/>
      <c r="F90" s="29"/>
      <c r="G90" s="22"/>
      <c r="H90" s="22"/>
      <c r="I90" s="10"/>
      <c r="J90" s="31" t="str">
        <f aca="false">IF(OR(A90="",C90="",E90=""),"",IF(B90="Rundrohr",PI()/4*(C90^2-(C90-2*E90)^2),IF(OR(B90="Quadratrohr",AND(B90="Rechteckrohr",D90&lt;&gt;"")),C90*IF(B90="Quadratrohr",C90,D90)-(C90-2*E90)*(IF(B90="Quadratrohr",C90,D90)-2*E90),"")))</f>
        <v/>
      </c>
      <c r="K90" s="31" t="str">
        <f aca="false">IF(A90="","",IF(F90&lt;&gt;"",F90,J90))</f>
        <v/>
      </c>
    </row>
    <row r="91" customFormat="false" ht="15" hidden="false" customHeight="false" outlineLevel="0" collapsed="false">
      <c r="A91" s="10"/>
      <c r="B91" s="10"/>
      <c r="C91" s="29"/>
      <c r="D91" s="29"/>
      <c r="E91" s="30"/>
      <c r="F91" s="29"/>
      <c r="G91" s="22"/>
      <c r="H91" s="22"/>
      <c r="I91" s="10"/>
      <c r="J91" s="31" t="str">
        <f aca="false">IF(OR(A91="",C91="",E91=""),"",IF(B91="Rundrohr",PI()/4*(C91^2-(C91-2*E91)^2),IF(OR(B91="Quadratrohr",AND(B91="Rechteckrohr",D91&lt;&gt;"")),C91*IF(B91="Quadratrohr",C91,D91)-(C91-2*E91)*(IF(B91="Quadratrohr",C91,D91)-2*E91),"")))</f>
        <v/>
      </c>
      <c r="K91" s="31" t="str">
        <f aca="false">IF(A91="","",IF(F91&lt;&gt;"",F91,J91))</f>
        <v/>
      </c>
    </row>
    <row r="92" customFormat="false" ht="15" hidden="false" customHeight="false" outlineLevel="0" collapsed="false">
      <c r="A92" s="10"/>
      <c r="B92" s="10"/>
      <c r="C92" s="29"/>
      <c r="D92" s="29"/>
      <c r="E92" s="30"/>
      <c r="F92" s="29"/>
      <c r="G92" s="22"/>
      <c r="H92" s="22"/>
      <c r="I92" s="10"/>
      <c r="J92" s="31" t="str">
        <f aca="false">IF(OR(A92="",C92="",E92=""),"",IF(B92="Rundrohr",PI()/4*(C92^2-(C92-2*E92)^2),IF(OR(B92="Quadratrohr",AND(B92="Rechteckrohr",D92&lt;&gt;"")),C92*IF(B92="Quadratrohr",C92,D92)-(C92-2*E92)*(IF(B92="Quadratrohr",C92,D92)-2*E92),"")))</f>
        <v/>
      </c>
      <c r="K92" s="31" t="str">
        <f aca="false">IF(A92="","",IF(F92&lt;&gt;"",F92,J92))</f>
        <v/>
      </c>
    </row>
    <row r="93" customFormat="false" ht="15" hidden="false" customHeight="false" outlineLevel="0" collapsed="false">
      <c r="A93" s="10"/>
      <c r="B93" s="10"/>
      <c r="C93" s="29"/>
      <c r="D93" s="29"/>
      <c r="E93" s="30"/>
      <c r="F93" s="29"/>
      <c r="G93" s="22"/>
      <c r="H93" s="22"/>
      <c r="I93" s="10"/>
      <c r="J93" s="31" t="str">
        <f aca="false">IF(OR(A93="",C93="",E93=""),"",IF(B93="Rundrohr",PI()/4*(C93^2-(C93-2*E93)^2),IF(OR(B93="Quadratrohr",AND(B93="Rechteckrohr",D93&lt;&gt;"")),C93*IF(B93="Quadratrohr",C93,D93)-(C93-2*E93)*(IF(B93="Quadratrohr",C93,D93)-2*E93),"")))</f>
        <v/>
      </c>
      <c r="K93" s="31" t="str">
        <f aca="false">IF(A93="","",IF(F93&lt;&gt;"",F93,J93))</f>
        <v/>
      </c>
    </row>
    <row r="94" customFormat="false" ht="15" hidden="false" customHeight="false" outlineLevel="0" collapsed="false">
      <c r="A94" s="10"/>
      <c r="B94" s="10"/>
      <c r="C94" s="29"/>
      <c r="D94" s="29"/>
      <c r="E94" s="30"/>
      <c r="F94" s="29"/>
      <c r="G94" s="22"/>
      <c r="H94" s="22"/>
      <c r="I94" s="10"/>
      <c r="J94" s="31" t="str">
        <f aca="false">IF(OR(A94="",C94="",E94=""),"",IF(B94="Rundrohr",PI()/4*(C94^2-(C94-2*E94)^2),IF(OR(B94="Quadratrohr",AND(B94="Rechteckrohr",D94&lt;&gt;"")),C94*IF(B94="Quadratrohr",C94,D94)-(C94-2*E94)*(IF(B94="Quadratrohr",C94,D94)-2*E94),"")))</f>
        <v/>
      </c>
      <c r="K94" s="31" t="str">
        <f aca="false">IF(A94="","",IF(F94&lt;&gt;"",F94,J94))</f>
        <v/>
      </c>
    </row>
    <row r="95" customFormat="false" ht="15" hidden="false" customHeight="false" outlineLevel="0" collapsed="false">
      <c r="A95" s="10"/>
      <c r="B95" s="10"/>
      <c r="C95" s="29"/>
      <c r="D95" s="29"/>
      <c r="E95" s="30"/>
      <c r="F95" s="29"/>
      <c r="G95" s="22"/>
      <c r="H95" s="22"/>
      <c r="I95" s="10"/>
      <c r="J95" s="31" t="str">
        <f aca="false">IF(OR(A95="",C95="",E95=""),"",IF(B95="Rundrohr",PI()/4*(C95^2-(C95-2*E95)^2),IF(OR(B95="Quadratrohr",AND(B95="Rechteckrohr",D95&lt;&gt;"")),C95*IF(B95="Quadratrohr",C95,D95)-(C95-2*E95)*(IF(B95="Quadratrohr",C95,D95)-2*E95),"")))</f>
        <v/>
      </c>
      <c r="K95" s="31" t="str">
        <f aca="false">IF(A95="","",IF(F95&lt;&gt;"",F95,J95))</f>
        <v/>
      </c>
    </row>
    <row r="96" customFormat="false" ht="15" hidden="false" customHeight="false" outlineLevel="0" collapsed="false">
      <c r="A96" s="10"/>
      <c r="B96" s="10"/>
      <c r="C96" s="29"/>
      <c r="D96" s="29"/>
      <c r="E96" s="30"/>
      <c r="F96" s="29"/>
      <c r="G96" s="22"/>
      <c r="H96" s="22"/>
      <c r="I96" s="10"/>
      <c r="J96" s="31" t="str">
        <f aca="false">IF(OR(A96="",C96="",E96=""),"",IF(B96="Rundrohr",PI()/4*(C96^2-(C96-2*E96)^2),IF(OR(B96="Quadratrohr",AND(B96="Rechteckrohr",D96&lt;&gt;"")),C96*IF(B96="Quadratrohr",C96,D96)-(C96-2*E96)*(IF(B96="Quadratrohr",C96,D96)-2*E96),"")))</f>
        <v/>
      </c>
      <c r="K96" s="31" t="str">
        <f aca="false">IF(A96="","",IF(F96&lt;&gt;"",F96,J96))</f>
        <v/>
      </c>
    </row>
    <row r="97" customFormat="false" ht="15" hidden="false" customHeight="false" outlineLevel="0" collapsed="false">
      <c r="A97" s="10"/>
      <c r="B97" s="10"/>
      <c r="C97" s="29"/>
      <c r="D97" s="29"/>
      <c r="E97" s="30"/>
      <c r="F97" s="29"/>
      <c r="G97" s="22"/>
      <c r="H97" s="22"/>
      <c r="I97" s="10"/>
      <c r="J97" s="31" t="str">
        <f aca="false">IF(OR(A97="",C97="",E97=""),"",IF(B97="Rundrohr",PI()/4*(C97^2-(C97-2*E97)^2),IF(OR(B97="Quadratrohr",AND(B97="Rechteckrohr",D97&lt;&gt;"")),C97*IF(B97="Quadratrohr",C97,D97)-(C97-2*E97)*(IF(B97="Quadratrohr",C97,D97)-2*E97),"")))</f>
        <v/>
      </c>
      <c r="K97" s="31" t="str">
        <f aca="false">IF(A97="","",IF(F97&lt;&gt;"",F97,J97))</f>
        <v/>
      </c>
    </row>
    <row r="98" customFormat="false" ht="15" hidden="false" customHeight="false" outlineLevel="0" collapsed="false">
      <c r="A98" s="10"/>
      <c r="B98" s="10"/>
      <c r="C98" s="29"/>
      <c r="D98" s="29"/>
      <c r="E98" s="30"/>
      <c r="F98" s="29"/>
      <c r="G98" s="22"/>
      <c r="H98" s="22"/>
      <c r="I98" s="10"/>
      <c r="J98" s="31" t="str">
        <f aca="false">IF(OR(A98="",C98="",E98=""),"",IF(B98="Rundrohr",PI()/4*(C98^2-(C98-2*E98)^2),IF(OR(B98="Quadratrohr",AND(B98="Rechteckrohr",D98&lt;&gt;"")),C98*IF(B98="Quadratrohr",C98,D98)-(C98-2*E98)*(IF(B98="Quadratrohr",C98,D98)-2*E98),"")))</f>
        <v/>
      </c>
      <c r="K98" s="31" t="str">
        <f aca="false">IF(A98="","",IF(F98&lt;&gt;"",F98,J98))</f>
        <v/>
      </c>
    </row>
    <row r="99" customFormat="false" ht="15" hidden="false" customHeight="false" outlineLevel="0" collapsed="false">
      <c r="A99" s="10"/>
      <c r="B99" s="10"/>
      <c r="C99" s="29"/>
      <c r="D99" s="29"/>
      <c r="E99" s="30"/>
      <c r="F99" s="29"/>
      <c r="G99" s="22"/>
      <c r="H99" s="22"/>
      <c r="I99" s="10"/>
      <c r="J99" s="31" t="str">
        <f aca="false">IF(OR(A99="",C99="",E99=""),"",IF(B99="Rundrohr",PI()/4*(C99^2-(C99-2*E99)^2),IF(OR(B99="Quadratrohr",AND(B99="Rechteckrohr",D99&lt;&gt;"")),C99*IF(B99="Quadratrohr",C99,D99)-(C99-2*E99)*(IF(B99="Quadratrohr",C99,D99)-2*E99),"")))</f>
        <v/>
      </c>
      <c r="K99" s="31" t="str">
        <f aca="false">IF(A99="","",IF(F99&lt;&gt;"",F99,J99))</f>
        <v/>
      </c>
    </row>
    <row r="100" customFormat="false" ht="15" hidden="false" customHeight="false" outlineLevel="0" collapsed="false">
      <c r="A100" s="10"/>
      <c r="B100" s="10"/>
      <c r="C100" s="29"/>
      <c r="D100" s="29"/>
      <c r="E100" s="30"/>
      <c r="F100" s="29"/>
      <c r="G100" s="22"/>
      <c r="H100" s="22"/>
      <c r="I100" s="10"/>
      <c r="J100" s="31" t="str">
        <f aca="false">IF(OR(A100="",C100="",E100=""),"",IF(B100="Rundrohr",PI()/4*(C100^2-(C100-2*E100)^2),IF(OR(B100="Quadratrohr",AND(B100="Rechteckrohr",D100&lt;&gt;"")),C100*IF(B100="Quadratrohr",C100,D100)-(C100-2*E100)*(IF(B100="Quadratrohr",C100,D100)-2*E100),"")))</f>
        <v/>
      </c>
      <c r="K100" s="31" t="str">
        <f aca="false">IF(A100="","",IF(F100&lt;&gt;"",F100,J100))</f>
        <v/>
      </c>
    </row>
    <row r="101" customFormat="false" ht="15" hidden="false" customHeight="false" outlineLevel="0" collapsed="false">
      <c r="A101" s="10"/>
      <c r="B101" s="10"/>
      <c r="C101" s="29"/>
      <c r="D101" s="29"/>
      <c r="E101" s="30"/>
      <c r="F101" s="29"/>
      <c r="G101" s="22"/>
      <c r="H101" s="22"/>
      <c r="I101" s="10"/>
      <c r="J101" s="31" t="str">
        <f aca="false">IF(OR(A101="",C101="",E101=""),"",IF(B101="Rundrohr",PI()/4*(C101^2-(C101-2*E101)^2),IF(OR(B101="Quadratrohr",AND(B101="Rechteckrohr",D101&lt;&gt;"")),C101*IF(B101="Quadratrohr",C101,D101)-(C101-2*E101)*(IF(B101="Quadratrohr",C101,D101)-2*E101),"")))</f>
        <v/>
      </c>
      <c r="K101" s="31" t="str">
        <f aca="false">IF(A101="","",IF(F101&lt;&gt;"",F101,J101))</f>
        <v/>
      </c>
    </row>
    <row r="102" customFormat="false" ht="15" hidden="false" customHeight="false" outlineLevel="0" collapsed="false">
      <c r="A102" s="10"/>
      <c r="B102" s="10"/>
      <c r="C102" s="29"/>
      <c r="D102" s="29"/>
      <c r="E102" s="30"/>
      <c r="F102" s="29"/>
      <c r="G102" s="22"/>
      <c r="H102" s="22"/>
      <c r="I102" s="10"/>
      <c r="J102" s="31" t="str">
        <f aca="false">IF(OR(A102="",C102="",E102=""),"",IF(B102="Rundrohr",PI()/4*(C102^2-(C102-2*E102)^2),IF(OR(B102="Quadratrohr",AND(B102="Rechteckrohr",D102&lt;&gt;"")),C102*IF(B102="Quadratrohr",C102,D102)-(C102-2*E102)*(IF(B102="Quadratrohr",C102,D102)-2*E102),"")))</f>
        <v/>
      </c>
      <c r="K102" s="31" t="str">
        <f aca="false">IF(A102="","",IF(F102&lt;&gt;"",F102,J102))</f>
        <v/>
      </c>
    </row>
    <row r="103" customFormat="false" ht="15" hidden="false" customHeight="false" outlineLevel="0" collapsed="false">
      <c r="A103" s="10"/>
      <c r="B103" s="10"/>
      <c r="C103" s="29"/>
      <c r="D103" s="29"/>
      <c r="E103" s="30"/>
      <c r="F103" s="29"/>
      <c r="G103" s="22"/>
      <c r="H103" s="22"/>
      <c r="I103" s="10"/>
      <c r="J103" s="31" t="str">
        <f aca="false">IF(OR(A103="",C103="",E103=""),"",IF(B103="Rundrohr",PI()/4*(C103^2-(C103-2*E103)^2),IF(OR(B103="Quadratrohr",AND(B103="Rechteckrohr",D103&lt;&gt;"")),C103*IF(B103="Quadratrohr",C103,D103)-(C103-2*E103)*(IF(B103="Quadratrohr",C103,D103)-2*E103),"")))</f>
        <v/>
      </c>
      <c r="K103" s="31" t="str">
        <f aca="false">IF(A103="","",IF(F103&lt;&gt;"",F103,J103))</f>
        <v/>
      </c>
    </row>
    <row r="104" customFormat="false" ht="15" hidden="false" customHeight="false" outlineLevel="0" collapsed="false">
      <c r="A104" s="10"/>
      <c r="B104" s="10"/>
      <c r="C104" s="29"/>
      <c r="D104" s="29"/>
      <c r="E104" s="30"/>
      <c r="F104" s="29"/>
      <c r="G104" s="22"/>
      <c r="H104" s="22"/>
      <c r="I104" s="10"/>
      <c r="J104" s="31" t="str">
        <f aca="false">IF(OR(A104="",C104="",E104=""),"",IF(B104="Rundrohr",PI()/4*(C104^2-(C104-2*E104)^2),IF(OR(B104="Quadratrohr",AND(B104="Rechteckrohr",D104&lt;&gt;"")),C104*IF(B104="Quadratrohr",C104,D104)-(C104-2*E104)*(IF(B104="Quadratrohr",C104,D104)-2*E104),"")))</f>
        <v/>
      </c>
      <c r="K104" s="31" t="str">
        <f aca="false">IF(A104="","",IF(F104&lt;&gt;"",F104,J104))</f>
        <v/>
      </c>
    </row>
    <row r="105" customFormat="false" ht="15" hidden="false" customHeight="false" outlineLevel="0" collapsed="false">
      <c r="A105" s="10"/>
      <c r="B105" s="10"/>
      <c r="C105" s="29"/>
      <c r="D105" s="29"/>
      <c r="E105" s="30"/>
      <c r="F105" s="29"/>
      <c r="G105" s="22"/>
      <c r="H105" s="22"/>
      <c r="I105" s="10"/>
      <c r="J105" s="31" t="str">
        <f aca="false">IF(OR(A105="",C105="",E105=""),"",IF(B105="Rundrohr",PI()/4*(C105^2-(C105-2*E105)^2),IF(OR(B105="Quadratrohr",AND(B105="Rechteckrohr",D105&lt;&gt;"")),C105*IF(B105="Quadratrohr",C105,D105)-(C105-2*E105)*(IF(B105="Quadratrohr",C105,D105)-2*E105),"")))</f>
        <v/>
      </c>
      <c r="K105" s="31" t="str">
        <f aca="false">IF(A105="","",IF(F105&lt;&gt;"",F105,J105))</f>
        <v/>
      </c>
    </row>
    <row r="106" customFormat="false" ht="15" hidden="false" customHeight="false" outlineLevel="0" collapsed="false">
      <c r="A106" s="10"/>
      <c r="B106" s="10"/>
      <c r="C106" s="29"/>
      <c r="D106" s="29"/>
      <c r="E106" s="30"/>
      <c r="F106" s="29"/>
      <c r="G106" s="22"/>
      <c r="H106" s="22"/>
      <c r="I106" s="10"/>
      <c r="J106" s="31" t="str">
        <f aca="false">IF(OR(A106="",C106="",E106=""),"",IF(B106="Rundrohr",PI()/4*(C106^2-(C106-2*E106)^2),IF(OR(B106="Quadratrohr",AND(B106="Rechteckrohr",D106&lt;&gt;"")),C106*IF(B106="Quadratrohr",C106,D106)-(C106-2*E106)*(IF(B106="Quadratrohr",C106,D106)-2*E106),"")))</f>
        <v/>
      </c>
      <c r="K106" s="31" t="str">
        <f aca="false">IF(A106="","",IF(F106&lt;&gt;"",F106,J106))</f>
        <v/>
      </c>
    </row>
    <row r="107" customFormat="false" ht="15" hidden="false" customHeight="false" outlineLevel="0" collapsed="false">
      <c r="A107" s="10"/>
      <c r="B107" s="10"/>
      <c r="C107" s="29"/>
      <c r="D107" s="29"/>
      <c r="E107" s="30"/>
      <c r="F107" s="29"/>
      <c r="G107" s="22"/>
      <c r="H107" s="22"/>
      <c r="I107" s="10"/>
      <c r="J107" s="31" t="str">
        <f aca="false">IF(OR(A107="",C107="",E107=""),"",IF(B107="Rundrohr",PI()/4*(C107^2-(C107-2*E107)^2),IF(OR(B107="Quadratrohr",AND(B107="Rechteckrohr",D107&lt;&gt;"")),C107*IF(B107="Quadratrohr",C107,D107)-(C107-2*E107)*(IF(B107="Quadratrohr",C107,D107)-2*E107),"")))</f>
        <v/>
      </c>
      <c r="K107" s="31" t="str">
        <f aca="false">IF(A107="","",IF(F107&lt;&gt;"",F107,J107))</f>
        <v/>
      </c>
    </row>
    <row r="108" customFormat="false" ht="15" hidden="false" customHeight="false" outlineLevel="0" collapsed="false">
      <c r="A108" s="10"/>
      <c r="B108" s="10"/>
      <c r="C108" s="29"/>
      <c r="D108" s="29"/>
      <c r="E108" s="30"/>
      <c r="F108" s="29"/>
      <c r="G108" s="22"/>
      <c r="H108" s="22"/>
      <c r="I108" s="10"/>
      <c r="J108" s="31" t="str">
        <f aca="false">IF(OR(A108="",C108="",E108=""),"",IF(B108="Rundrohr",PI()/4*(C108^2-(C108-2*E108)^2),IF(OR(B108="Quadratrohr",AND(B108="Rechteckrohr",D108&lt;&gt;"")),C108*IF(B108="Quadratrohr",C108,D108)-(C108-2*E108)*(IF(B108="Quadratrohr",C108,D108)-2*E108),"")))</f>
        <v/>
      </c>
      <c r="K108" s="31" t="str">
        <f aca="false">IF(A108="","",IF(F108&lt;&gt;"",F108,J108))</f>
        <v/>
      </c>
    </row>
    <row r="109" customFormat="false" ht="15" hidden="false" customHeight="false" outlineLevel="0" collapsed="false">
      <c r="A109" s="10"/>
      <c r="B109" s="10"/>
      <c r="C109" s="29"/>
      <c r="D109" s="29"/>
      <c r="E109" s="30"/>
      <c r="F109" s="29"/>
      <c r="G109" s="22"/>
      <c r="H109" s="22"/>
      <c r="I109" s="10"/>
      <c r="J109" s="31" t="str">
        <f aca="false">IF(OR(A109="",C109="",E109=""),"",IF(B109="Rundrohr",PI()/4*(C109^2-(C109-2*E109)^2),IF(OR(B109="Quadratrohr",AND(B109="Rechteckrohr",D109&lt;&gt;"")),C109*IF(B109="Quadratrohr",C109,D109)-(C109-2*E109)*(IF(B109="Quadratrohr",C109,D109)-2*E109),"")))</f>
        <v/>
      </c>
      <c r="K109" s="31" t="str">
        <f aca="false">IF(A109="","",IF(F109&lt;&gt;"",F109,J109))</f>
        <v/>
      </c>
    </row>
    <row r="110" customFormat="false" ht="15" hidden="false" customHeight="false" outlineLevel="0" collapsed="false">
      <c r="A110" s="10"/>
      <c r="B110" s="10"/>
      <c r="C110" s="29"/>
      <c r="D110" s="29"/>
      <c r="E110" s="30"/>
      <c r="F110" s="29"/>
      <c r="G110" s="22"/>
      <c r="H110" s="22"/>
      <c r="I110" s="10"/>
      <c r="J110" s="31" t="str">
        <f aca="false">IF(OR(A110="",C110="",E110=""),"",IF(B110="Rundrohr",PI()/4*(C110^2-(C110-2*E110)^2),IF(OR(B110="Quadratrohr",AND(B110="Rechteckrohr",D110&lt;&gt;"")),C110*IF(B110="Quadratrohr",C110,D110)-(C110-2*E110)*(IF(B110="Quadratrohr",C110,D110)-2*E110),"")))</f>
        <v/>
      </c>
      <c r="K110" s="31" t="str">
        <f aca="false">IF(A110="","",IF(F110&lt;&gt;"",F110,J110))</f>
        <v/>
      </c>
    </row>
    <row r="111" customFormat="false" ht="15" hidden="false" customHeight="false" outlineLevel="0" collapsed="false">
      <c r="A111" s="10"/>
      <c r="B111" s="10"/>
      <c r="C111" s="29"/>
      <c r="D111" s="29"/>
      <c r="E111" s="30"/>
      <c r="F111" s="29"/>
      <c r="G111" s="22"/>
      <c r="H111" s="22"/>
      <c r="I111" s="10"/>
      <c r="J111" s="31" t="str">
        <f aca="false">IF(OR(A111="",C111="",E111=""),"",IF(B111="Rundrohr",PI()/4*(C111^2-(C111-2*E111)^2),IF(OR(B111="Quadratrohr",AND(B111="Rechteckrohr",D111&lt;&gt;"")),C111*IF(B111="Quadratrohr",C111,D111)-(C111-2*E111)*(IF(B111="Quadratrohr",C111,D111)-2*E111),"")))</f>
        <v/>
      </c>
      <c r="K111" s="31" t="str">
        <f aca="false">IF(A111="","",IF(F111&lt;&gt;"",F111,J111))</f>
        <v/>
      </c>
    </row>
    <row r="112" customFormat="false" ht="15" hidden="false" customHeight="false" outlineLevel="0" collapsed="false">
      <c r="A112" s="10"/>
      <c r="B112" s="10"/>
      <c r="C112" s="29"/>
      <c r="D112" s="29"/>
      <c r="E112" s="30"/>
      <c r="F112" s="29"/>
      <c r="G112" s="22"/>
      <c r="H112" s="22"/>
      <c r="I112" s="10"/>
      <c r="J112" s="31" t="str">
        <f aca="false">IF(OR(A112="",C112="",E112=""),"",IF(B112="Rundrohr",PI()/4*(C112^2-(C112-2*E112)^2),IF(OR(B112="Quadratrohr",AND(B112="Rechteckrohr",D112&lt;&gt;"")),C112*IF(B112="Quadratrohr",C112,D112)-(C112-2*E112)*(IF(B112="Quadratrohr",C112,D112)-2*E112),"")))</f>
        <v/>
      </c>
      <c r="K112" s="31" t="str">
        <f aca="false">IF(A112="","",IF(F112&lt;&gt;"",F112,J112))</f>
        <v/>
      </c>
    </row>
    <row r="113" customFormat="false" ht="15" hidden="false" customHeight="false" outlineLevel="0" collapsed="false">
      <c r="A113" s="10"/>
      <c r="B113" s="10"/>
      <c r="C113" s="29"/>
      <c r="D113" s="29"/>
      <c r="E113" s="30"/>
      <c r="F113" s="29"/>
      <c r="G113" s="22"/>
      <c r="H113" s="22"/>
      <c r="I113" s="10"/>
      <c r="J113" s="31" t="str">
        <f aca="false">IF(OR(A113="",C113="",E113=""),"",IF(B113="Rundrohr",PI()/4*(C113^2-(C113-2*E113)^2),IF(OR(B113="Quadratrohr",AND(B113="Rechteckrohr",D113&lt;&gt;"")),C113*IF(B113="Quadratrohr",C113,D113)-(C113-2*E113)*(IF(B113="Quadratrohr",C113,D113)-2*E113),"")))</f>
        <v/>
      </c>
      <c r="K113" s="31" t="str">
        <f aca="false">IF(A113="","",IF(F113&lt;&gt;"",F113,J113))</f>
        <v/>
      </c>
    </row>
    <row r="114" customFormat="false" ht="15" hidden="false" customHeight="false" outlineLevel="0" collapsed="false">
      <c r="A114" s="10"/>
      <c r="B114" s="10"/>
      <c r="C114" s="29"/>
      <c r="D114" s="29"/>
      <c r="E114" s="30"/>
      <c r="F114" s="29"/>
      <c r="G114" s="22"/>
      <c r="H114" s="22"/>
      <c r="I114" s="10"/>
      <c r="J114" s="31" t="str">
        <f aca="false">IF(OR(A114="",C114="",E114=""),"",IF(B114="Rundrohr",PI()/4*(C114^2-(C114-2*E114)^2),IF(OR(B114="Quadratrohr",AND(B114="Rechteckrohr",D114&lt;&gt;"")),C114*IF(B114="Quadratrohr",C114,D114)-(C114-2*E114)*(IF(B114="Quadratrohr",C114,D114)-2*E114),"")))</f>
        <v/>
      </c>
      <c r="K114" s="31" t="str">
        <f aca="false">IF(A114="","",IF(F114&lt;&gt;"",F114,J114))</f>
        <v/>
      </c>
    </row>
    <row r="115" customFormat="false" ht="15" hidden="false" customHeight="false" outlineLevel="0" collapsed="false">
      <c r="A115" s="10"/>
      <c r="B115" s="10"/>
      <c r="C115" s="29"/>
      <c r="D115" s="29"/>
      <c r="E115" s="30"/>
      <c r="F115" s="29"/>
      <c r="G115" s="22"/>
      <c r="H115" s="22"/>
      <c r="I115" s="10"/>
      <c r="J115" s="31" t="str">
        <f aca="false">IF(OR(A115="",C115="",E115=""),"",IF(B115="Rundrohr",PI()/4*(C115^2-(C115-2*E115)^2),IF(OR(B115="Quadratrohr",AND(B115="Rechteckrohr",D115&lt;&gt;"")),C115*IF(B115="Quadratrohr",C115,D115)-(C115-2*E115)*(IF(B115="Quadratrohr",C115,D115)-2*E115),"")))</f>
        <v/>
      </c>
      <c r="K115" s="31" t="str">
        <f aca="false">IF(A115="","",IF(F115&lt;&gt;"",F115,J115))</f>
        <v/>
      </c>
    </row>
    <row r="116" customFormat="false" ht="15" hidden="false" customHeight="false" outlineLevel="0" collapsed="false">
      <c r="A116" s="10"/>
      <c r="B116" s="10"/>
      <c r="C116" s="29"/>
      <c r="D116" s="29"/>
      <c r="E116" s="30"/>
      <c r="F116" s="29"/>
      <c r="G116" s="22"/>
      <c r="H116" s="22"/>
      <c r="I116" s="10"/>
      <c r="J116" s="31" t="str">
        <f aca="false">IF(OR(A116="",C116="",E116=""),"",IF(B116="Rundrohr",PI()/4*(C116^2-(C116-2*E116)^2),IF(OR(B116="Quadratrohr",AND(B116="Rechteckrohr",D116&lt;&gt;"")),C116*IF(B116="Quadratrohr",C116,D116)-(C116-2*E116)*(IF(B116="Quadratrohr",C116,D116)-2*E116),"")))</f>
        <v/>
      </c>
      <c r="K116" s="31" t="str">
        <f aca="false">IF(A116="","",IF(F116&lt;&gt;"",F116,J116))</f>
        <v/>
      </c>
    </row>
    <row r="117" customFormat="false" ht="15" hidden="false" customHeight="false" outlineLevel="0" collapsed="false">
      <c r="A117" s="10"/>
      <c r="B117" s="10"/>
      <c r="C117" s="29"/>
      <c r="D117" s="29"/>
      <c r="E117" s="30"/>
      <c r="F117" s="29"/>
      <c r="G117" s="22"/>
      <c r="H117" s="22"/>
      <c r="I117" s="10"/>
      <c r="J117" s="31" t="str">
        <f aca="false">IF(OR(A117="",C117="",E117=""),"",IF(B117="Rundrohr",PI()/4*(C117^2-(C117-2*E117)^2),IF(OR(B117="Quadratrohr",AND(B117="Rechteckrohr",D117&lt;&gt;"")),C117*IF(B117="Quadratrohr",C117,D117)-(C117-2*E117)*(IF(B117="Quadratrohr",C117,D117)-2*E117),"")))</f>
        <v/>
      </c>
      <c r="K117" s="31" t="str">
        <f aca="false">IF(A117="","",IF(F117&lt;&gt;"",F117,J117))</f>
        <v/>
      </c>
    </row>
    <row r="118" customFormat="false" ht="15" hidden="false" customHeight="false" outlineLevel="0" collapsed="false">
      <c r="A118" s="10"/>
      <c r="B118" s="10"/>
      <c r="C118" s="29"/>
      <c r="D118" s="29"/>
      <c r="E118" s="30"/>
      <c r="F118" s="29"/>
      <c r="G118" s="22"/>
      <c r="H118" s="22"/>
      <c r="I118" s="10"/>
      <c r="J118" s="31" t="str">
        <f aca="false">IF(OR(A118="",C118="",E118=""),"",IF(B118="Rundrohr",PI()/4*(C118^2-(C118-2*E118)^2),IF(OR(B118="Quadratrohr",AND(B118="Rechteckrohr",D118&lt;&gt;"")),C118*IF(B118="Quadratrohr",C118,D118)-(C118-2*E118)*(IF(B118="Quadratrohr",C118,D118)-2*E118),"")))</f>
        <v/>
      </c>
      <c r="K118" s="31" t="str">
        <f aca="false">IF(A118="","",IF(F118&lt;&gt;"",F118,J118))</f>
        <v/>
      </c>
    </row>
    <row r="119" customFormat="false" ht="15" hidden="false" customHeight="false" outlineLevel="0" collapsed="false">
      <c r="A119" s="10"/>
      <c r="B119" s="10"/>
      <c r="C119" s="29"/>
      <c r="D119" s="29"/>
      <c r="E119" s="30"/>
      <c r="F119" s="29"/>
      <c r="G119" s="22"/>
      <c r="H119" s="22"/>
      <c r="I119" s="10"/>
      <c r="J119" s="31" t="str">
        <f aca="false">IF(OR(A119="",C119="",E119=""),"",IF(B119="Rundrohr",PI()/4*(C119^2-(C119-2*E119)^2),IF(OR(B119="Quadratrohr",AND(B119="Rechteckrohr",D119&lt;&gt;"")),C119*IF(B119="Quadratrohr",C119,D119)-(C119-2*E119)*(IF(B119="Quadratrohr",C119,D119)-2*E119),"")))</f>
        <v/>
      </c>
      <c r="K119" s="31" t="str">
        <f aca="false">IF(A119="","",IF(F119&lt;&gt;"",F119,J119))</f>
        <v/>
      </c>
    </row>
    <row r="120" customFormat="false" ht="15" hidden="false" customHeight="false" outlineLevel="0" collapsed="false">
      <c r="A120" s="10"/>
      <c r="B120" s="10"/>
      <c r="C120" s="29"/>
      <c r="D120" s="29"/>
      <c r="E120" s="30"/>
      <c r="F120" s="29"/>
      <c r="G120" s="22"/>
      <c r="H120" s="22"/>
      <c r="I120" s="10"/>
      <c r="J120" s="31" t="str">
        <f aca="false">IF(OR(A120="",C120="",E120=""),"",IF(B120="Rundrohr",PI()/4*(C120^2-(C120-2*E120)^2),IF(OR(B120="Quadratrohr",AND(B120="Rechteckrohr",D120&lt;&gt;"")),C120*IF(B120="Quadratrohr",C120,D120)-(C120-2*E120)*(IF(B120="Quadratrohr",C120,D120)-2*E120),"")))</f>
        <v/>
      </c>
      <c r="K120" s="31" t="str">
        <f aca="false">IF(A120="","",IF(F120&lt;&gt;"",F120,J120))</f>
        <v/>
      </c>
    </row>
    <row r="121" customFormat="false" ht="15" hidden="false" customHeight="false" outlineLevel="0" collapsed="false">
      <c r="A121" s="10"/>
      <c r="B121" s="10"/>
      <c r="C121" s="29"/>
      <c r="D121" s="29"/>
      <c r="E121" s="30"/>
      <c r="F121" s="29"/>
      <c r="G121" s="22"/>
      <c r="H121" s="22"/>
      <c r="I121" s="10"/>
      <c r="J121" s="31" t="str">
        <f aca="false">IF(OR(A121="",C121="",E121=""),"",IF(B121="Rundrohr",PI()/4*(C121^2-(C121-2*E121)^2),IF(OR(B121="Quadratrohr",AND(B121="Rechteckrohr",D121&lt;&gt;"")),C121*IF(B121="Quadratrohr",C121,D121)-(C121-2*E121)*(IF(B121="Quadratrohr",C121,D121)-2*E121),"")))</f>
        <v/>
      </c>
      <c r="K121" s="31" t="str">
        <f aca="false">IF(A121="","",IF(F121&lt;&gt;"",F121,J121))</f>
        <v/>
      </c>
    </row>
    <row r="122" customFormat="false" ht="15" hidden="false" customHeight="false" outlineLevel="0" collapsed="false">
      <c r="A122" s="10"/>
      <c r="B122" s="10"/>
      <c r="C122" s="29"/>
      <c r="D122" s="29"/>
      <c r="E122" s="30"/>
      <c r="F122" s="29"/>
      <c r="G122" s="22"/>
      <c r="H122" s="22"/>
      <c r="I122" s="10"/>
      <c r="J122" s="31" t="str">
        <f aca="false">IF(OR(A122="",C122="",E122=""),"",IF(B122="Rundrohr",PI()/4*(C122^2-(C122-2*E122)^2),IF(OR(B122="Quadratrohr",AND(B122="Rechteckrohr",D122&lt;&gt;"")),C122*IF(B122="Quadratrohr",C122,D122)-(C122-2*E122)*(IF(B122="Quadratrohr",C122,D122)-2*E122),"")))</f>
        <v/>
      </c>
      <c r="K122" s="31" t="str">
        <f aca="false">IF(A122="","",IF(F122&lt;&gt;"",F122,J122))</f>
        <v/>
      </c>
    </row>
    <row r="123" customFormat="false" ht="15" hidden="false" customHeight="false" outlineLevel="0" collapsed="false">
      <c r="A123" s="10"/>
      <c r="B123" s="10"/>
      <c r="C123" s="29"/>
      <c r="D123" s="29"/>
      <c r="E123" s="30"/>
      <c r="F123" s="29"/>
      <c r="G123" s="22"/>
      <c r="H123" s="22"/>
      <c r="I123" s="10"/>
      <c r="J123" s="31" t="str">
        <f aca="false">IF(OR(A123="",C123="",E123=""),"",IF(B123="Rundrohr",PI()/4*(C123^2-(C123-2*E123)^2),IF(OR(B123="Quadratrohr",AND(B123="Rechteckrohr",D123&lt;&gt;"")),C123*IF(B123="Quadratrohr",C123,D123)-(C123-2*E123)*(IF(B123="Quadratrohr",C123,D123)-2*E123),"")))</f>
        <v/>
      </c>
      <c r="K123" s="31" t="str">
        <f aca="false">IF(A123="","",IF(F123&lt;&gt;"",F123,J123))</f>
        <v/>
      </c>
    </row>
    <row r="124" customFormat="false" ht="15" hidden="false" customHeight="false" outlineLevel="0" collapsed="false">
      <c r="A124" s="10"/>
      <c r="B124" s="10"/>
      <c r="C124" s="29"/>
      <c r="D124" s="29"/>
      <c r="E124" s="30"/>
      <c r="F124" s="29"/>
      <c r="G124" s="22"/>
      <c r="H124" s="22"/>
      <c r="I124" s="10"/>
      <c r="J124" s="31" t="str">
        <f aca="false">IF(OR(A124="",C124="",E124=""),"",IF(B124="Rundrohr",PI()/4*(C124^2-(C124-2*E124)^2),IF(OR(B124="Quadratrohr",AND(B124="Rechteckrohr",D124&lt;&gt;"")),C124*IF(B124="Quadratrohr",C124,D124)-(C124-2*E124)*(IF(B124="Quadratrohr",C124,D124)-2*E124),"")))</f>
        <v/>
      </c>
      <c r="K124" s="31" t="str">
        <f aca="false">IF(A124="","",IF(F124&lt;&gt;"",F124,J124))</f>
        <v/>
      </c>
    </row>
    <row r="125" customFormat="false" ht="15" hidden="false" customHeight="false" outlineLevel="0" collapsed="false">
      <c r="A125" s="10"/>
      <c r="B125" s="10"/>
      <c r="C125" s="29"/>
      <c r="D125" s="29"/>
      <c r="E125" s="30"/>
      <c r="F125" s="29"/>
      <c r="G125" s="22"/>
      <c r="H125" s="22"/>
      <c r="I125" s="10"/>
      <c r="J125" s="31" t="str">
        <f aca="false">IF(OR(A125="",C125="",E125=""),"",IF(B125="Rundrohr",PI()/4*(C125^2-(C125-2*E125)^2),IF(OR(B125="Quadratrohr",AND(B125="Rechteckrohr",D125&lt;&gt;"")),C125*IF(B125="Quadratrohr",C125,D125)-(C125-2*E125)*(IF(B125="Quadratrohr",C125,D125)-2*E125),"")))</f>
        <v/>
      </c>
      <c r="K125" s="31" t="str">
        <f aca="false">IF(A125="","",IF(F125&lt;&gt;"",F125,J125))</f>
        <v/>
      </c>
    </row>
    <row r="126" customFormat="false" ht="15" hidden="false" customHeight="false" outlineLevel="0" collapsed="false">
      <c r="A126" s="10"/>
      <c r="B126" s="10"/>
      <c r="C126" s="29"/>
      <c r="D126" s="29"/>
      <c r="E126" s="30"/>
      <c r="F126" s="29"/>
      <c r="G126" s="22"/>
      <c r="H126" s="22"/>
      <c r="I126" s="10"/>
      <c r="J126" s="31" t="str">
        <f aca="false">IF(OR(A126="",C126="",E126=""),"",IF(B126="Rundrohr",PI()/4*(C126^2-(C126-2*E126)^2),IF(OR(B126="Quadratrohr",AND(B126="Rechteckrohr",D126&lt;&gt;"")),C126*IF(B126="Quadratrohr",C126,D126)-(C126-2*E126)*(IF(B126="Quadratrohr",C126,D126)-2*E126),"")))</f>
        <v/>
      </c>
      <c r="K126" s="31" t="str">
        <f aca="false">IF(A126="","",IF(F126&lt;&gt;"",F126,J126))</f>
        <v/>
      </c>
    </row>
    <row r="127" customFormat="false" ht="15" hidden="false" customHeight="false" outlineLevel="0" collapsed="false">
      <c r="A127" s="10"/>
      <c r="B127" s="10"/>
      <c r="C127" s="29"/>
      <c r="D127" s="29"/>
      <c r="E127" s="30"/>
      <c r="F127" s="29"/>
      <c r="G127" s="22"/>
      <c r="H127" s="22"/>
      <c r="I127" s="10"/>
      <c r="J127" s="31" t="str">
        <f aca="false">IF(OR(A127="",C127="",E127=""),"",IF(B127="Rundrohr",PI()/4*(C127^2-(C127-2*E127)^2),IF(OR(B127="Quadratrohr",AND(B127="Rechteckrohr",D127&lt;&gt;"")),C127*IF(B127="Quadratrohr",C127,D127)-(C127-2*E127)*(IF(B127="Quadratrohr",C127,D127)-2*E127),"")))</f>
        <v/>
      </c>
      <c r="K127" s="31" t="str">
        <f aca="false">IF(A127="","",IF(F127&lt;&gt;"",F127,J127))</f>
        <v/>
      </c>
    </row>
    <row r="128" customFormat="false" ht="15" hidden="false" customHeight="false" outlineLevel="0" collapsed="false">
      <c r="A128" s="10"/>
      <c r="B128" s="10"/>
      <c r="C128" s="29"/>
      <c r="D128" s="29"/>
      <c r="E128" s="30"/>
      <c r="F128" s="29"/>
      <c r="G128" s="22"/>
      <c r="H128" s="22"/>
      <c r="I128" s="10"/>
      <c r="J128" s="31" t="str">
        <f aca="false">IF(OR(A128="",C128="",E128=""),"",IF(B128="Rundrohr",PI()/4*(C128^2-(C128-2*E128)^2),IF(OR(B128="Quadratrohr",AND(B128="Rechteckrohr",D128&lt;&gt;"")),C128*IF(B128="Quadratrohr",C128,D128)-(C128-2*E128)*(IF(B128="Quadratrohr",C128,D128)-2*E128),"")))</f>
        <v/>
      </c>
      <c r="K128" s="31" t="str">
        <f aca="false">IF(A128="","",IF(F128&lt;&gt;"",F128,J128))</f>
        <v/>
      </c>
    </row>
    <row r="129" customFormat="false" ht="15" hidden="false" customHeight="false" outlineLevel="0" collapsed="false">
      <c r="A129" s="10"/>
      <c r="B129" s="10"/>
      <c r="C129" s="29"/>
      <c r="D129" s="29"/>
      <c r="E129" s="30"/>
      <c r="F129" s="29"/>
      <c r="G129" s="22"/>
      <c r="H129" s="22"/>
      <c r="I129" s="10"/>
      <c r="J129" s="31" t="str">
        <f aca="false">IF(OR(A129="",C129="",E129=""),"",IF(B129="Rundrohr",PI()/4*(C129^2-(C129-2*E129)^2),IF(OR(B129="Quadratrohr",AND(B129="Rechteckrohr",D129&lt;&gt;"")),C129*IF(B129="Quadratrohr",C129,D129)-(C129-2*E129)*(IF(B129="Quadratrohr",C129,D129)-2*E129),"")))</f>
        <v/>
      </c>
      <c r="K129" s="31" t="str">
        <f aca="false">IF(A129="","",IF(F129&lt;&gt;"",F129,J129))</f>
        <v/>
      </c>
    </row>
    <row r="130" customFormat="false" ht="15" hidden="false" customHeight="false" outlineLevel="0" collapsed="false">
      <c r="A130" s="10"/>
      <c r="B130" s="10"/>
      <c r="C130" s="29"/>
      <c r="D130" s="29"/>
      <c r="E130" s="30"/>
      <c r="F130" s="29"/>
      <c r="G130" s="22"/>
      <c r="H130" s="22"/>
      <c r="I130" s="10"/>
      <c r="J130" s="31" t="str">
        <f aca="false">IF(OR(A130="",C130="",E130=""),"",IF(B130="Rundrohr",PI()/4*(C130^2-(C130-2*E130)^2),IF(OR(B130="Quadratrohr",AND(B130="Rechteckrohr",D130&lt;&gt;"")),C130*IF(B130="Quadratrohr",C130,D130)-(C130-2*E130)*(IF(B130="Quadratrohr",C130,D130)-2*E130),"")))</f>
        <v/>
      </c>
      <c r="K130" s="31" t="str">
        <f aca="false">IF(A130="","",IF(F130&lt;&gt;"",F130,J130))</f>
        <v/>
      </c>
    </row>
    <row r="131" customFormat="false" ht="15" hidden="false" customHeight="false" outlineLevel="0" collapsed="false">
      <c r="A131" s="10"/>
      <c r="B131" s="10"/>
      <c r="C131" s="29"/>
      <c r="D131" s="29"/>
      <c r="E131" s="30"/>
      <c r="F131" s="29"/>
      <c r="G131" s="22"/>
      <c r="H131" s="22"/>
      <c r="I131" s="10"/>
      <c r="J131" s="31" t="str">
        <f aca="false">IF(OR(A131="",C131="",E131=""),"",IF(B131="Rundrohr",PI()/4*(C131^2-(C131-2*E131)^2),IF(OR(B131="Quadratrohr",AND(B131="Rechteckrohr",D131&lt;&gt;"")),C131*IF(B131="Quadratrohr",C131,D131)-(C131-2*E131)*(IF(B131="Quadratrohr",C131,D131)-2*E131),"")))</f>
        <v/>
      </c>
      <c r="K131" s="31" t="str">
        <f aca="false">IF(A131="","",IF(F131&lt;&gt;"",F131,J131))</f>
        <v/>
      </c>
    </row>
    <row r="132" customFormat="false" ht="15" hidden="false" customHeight="false" outlineLevel="0" collapsed="false">
      <c r="A132" s="10"/>
      <c r="B132" s="10"/>
      <c r="C132" s="29"/>
      <c r="D132" s="29"/>
      <c r="E132" s="30"/>
      <c r="F132" s="29"/>
      <c r="G132" s="22"/>
      <c r="H132" s="22"/>
      <c r="I132" s="10"/>
      <c r="J132" s="31" t="str">
        <f aca="false">IF(OR(A132="",C132="",E132=""),"",IF(B132="Rundrohr",PI()/4*(C132^2-(C132-2*E132)^2),IF(OR(B132="Quadratrohr",AND(B132="Rechteckrohr",D132&lt;&gt;"")),C132*IF(B132="Quadratrohr",C132,D132)-(C132-2*E132)*(IF(B132="Quadratrohr",C132,D132)-2*E132),"")))</f>
        <v/>
      </c>
      <c r="K132" s="31" t="str">
        <f aca="false">IF(A132="","",IF(F132&lt;&gt;"",F132,J132))</f>
        <v/>
      </c>
    </row>
    <row r="133" customFormat="false" ht="15" hidden="false" customHeight="false" outlineLevel="0" collapsed="false">
      <c r="A133" s="10"/>
      <c r="B133" s="10"/>
      <c r="C133" s="29"/>
      <c r="D133" s="29"/>
      <c r="E133" s="30"/>
      <c r="F133" s="29"/>
      <c r="G133" s="22"/>
      <c r="H133" s="22"/>
      <c r="I133" s="10"/>
      <c r="J133" s="31" t="str">
        <f aca="false">IF(OR(A133="",C133="",E133=""),"",IF(B133="Rundrohr",PI()/4*(C133^2-(C133-2*E133)^2),IF(OR(B133="Quadratrohr",AND(B133="Rechteckrohr",D133&lt;&gt;"")),C133*IF(B133="Quadratrohr",C133,D133)-(C133-2*E133)*(IF(B133="Quadratrohr",C133,D133)-2*E133),"")))</f>
        <v/>
      </c>
      <c r="K133" s="31" t="str">
        <f aca="false">IF(A133="","",IF(F133&lt;&gt;"",F133,J133))</f>
        <v/>
      </c>
    </row>
    <row r="134" customFormat="false" ht="15" hidden="false" customHeight="false" outlineLevel="0" collapsed="false">
      <c r="A134" s="10"/>
      <c r="B134" s="10"/>
      <c r="C134" s="29"/>
      <c r="D134" s="29"/>
      <c r="E134" s="30"/>
      <c r="F134" s="29"/>
      <c r="G134" s="22"/>
      <c r="H134" s="22"/>
      <c r="I134" s="10"/>
      <c r="J134" s="31" t="str">
        <f aca="false">IF(OR(A134="",C134="",E134=""),"",IF(B134="Rundrohr",PI()/4*(C134^2-(C134-2*E134)^2),IF(OR(B134="Quadratrohr",AND(B134="Rechteckrohr",D134&lt;&gt;"")),C134*IF(B134="Quadratrohr",C134,D134)-(C134-2*E134)*(IF(B134="Quadratrohr",C134,D134)-2*E134),"")))</f>
        <v/>
      </c>
      <c r="K134" s="31" t="str">
        <f aca="false">IF(A134="","",IF(F134&lt;&gt;"",F134,J134))</f>
        <v/>
      </c>
    </row>
    <row r="135" customFormat="false" ht="15" hidden="false" customHeight="false" outlineLevel="0" collapsed="false">
      <c r="A135" s="10"/>
      <c r="B135" s="10"/>
      <c r="C135" s="29"/>
      <c r="D135" s="29"/>
      <c r="E135" s="30"/>
      <c r="F135" s="29"/>
      <c r="G135" s="22"/>
      <c r="H135" s="22"/>
      <c r="I135" s="10"/>
      <c r="J135" s="31" t="str">
        <f aca="false">IF(OR(A135="",C135="",E135=""),"",IF(B135="Rundrohr",PI()/4*(C135^2-(C135-2*E135)^2),IF(OR(B135="Quadratrohr",AND(B135="Rechteckrohr",D135&lt;&gt;"")),C135*IF(B135="Quadratrohr",C135,D135)-(C135-2*E135)*(IF(B135="Quadratrohr",C135,D135)-2*E135),"")))</f>
        <v/>
      </c>
      <c r="K135" s="31" t="str">
        <f aca="false">IF(A135="","",IF(F135&lt;&gt;"",F135,J135))</f>
        <v/>
      </c>
    </row>
    <row r="136" customFormat="false" ht="15" hidden="false" customHeight="false" outlineLevel="0" collapsed="false">
      <c r="A136" s="10"/>
      <c r="B136" s="10"/>
      <c r="C136" s="29"/>
      <c r="D136" s="29"/>
      <c r="E136" s="30"/>
      <c r="F136" s="29"/>
      <c r="G136" s="22"/>
      <c r="H136" s="22"/>
      <c r="I136" s="10"/>
      <c r="J136" s="31" t="str">
        <f aca="false">IF(OR(A136="",C136="",E136=""),"",IF(B136="Rundrohr",PI()/4*(C136^2-(C136-2*E136)^2),IF(OR(B136="Quadratrohr",AND(B136="Rechteckrohr",D136&lt;&gt;"")),C136*IF(B136="Quadratrohr",C136,D136)-(C136-2*E136)*(IF(B136="Quadratrohr",C136,D136)-2*E136),"")))</f>
        <v/>
      </c>
      <c r="K136" s="31" t="str">
        <f aca="false">IF(A136="","",IF(F136&lt;&gt;"",F136,J136))</f>
        <v/>
      </c>
    </row>
    <row r="137" customFormat="false" ht="15" hidden="false" customHeight="false" outlineLevel="0" collapsed="false">
      <c r="A137" s="10"/>
      <c r="B137" s="10"/>
      <c r="C137" s="29"/>
      <c r="D137" s="29"/>
      <c r="E137" s="30"/>
      <c r="F137" s="29"/>
      <c r="G137" s="22"/>
      <c r="H137" s="22"/>
      <c r="I137" s="10"/>
      <c r="J137" s="31" t="str">
        <f aca="false">IF(OR(A137="",C137="",E137=""),"",IF(B137="Rundrohr",PI()/4*(C137^2-(C137-2*E137)^2),IF(OR(B137="Quadratrohr",AND(B137="Rechteckrohr",D137&lt;&gt;"")),C137*IF(B137="Quadratrohr",C137,D137)-(C137-2*E137)*(IF(B137="Quadratrohr",C137,D137)-2*E137),"")))</f>
        <v/>
      </c>
      <c r="K137" s="31" t="str">
        <f aca="false">IF(A137="","",IF(F137&lt;&gt;"",F137,J137))</f>
        <v/>
      </c>
    </row>
    <row r="138" customFormat="false" ht="15" hidden="false" customHeight="false" outlineLevel="0" collapsed="false">
      <c r="A138" s="10"/>
      <c r="B138" s="10"/>
      <c r="C138" s="29"/>
      <c r="D138" s="29"/>
      <c r="E138" s="30"/>
      <c r="F138" s="29"/>
      <c r="G138" s="22"/>
      <c r="H138" s="22"/>
      <c r="I138" s="10"/>
      <c r="J138" s="31" t="str">
        <f aca="false">IF(OR(A138="",C138="",E138=""),"",IF(B138="Rundrohr",PI()/4*(C138^2-(C138-2*E138)^2),IF(OR(B138="Quadratrohr",AND(B138="Rechteckrohr",D138&lt;&gt;"")),C138*IF(B138="Quadratrohr",C138,D138)-(C138-2*E138)*(IF(B138="Quadratrohr",C138,D138)-2*E138),"")))</f>
        <v/>
      </c>
      <c r="K138" s="31" t="str">
        <f aca="false">IF(A138="","",IF(F138&lt;&gt;"",F138,J138))</f>
        <v/>
      </c>
    </row>
    <row r="139" customFormat="false" ht="15" hidden="false" customHeight="false" outlineLevel="0" collapsed="false">
      <c r="A139" s="10"/>
      <c r="B139" s="10"/>
      <c r="C139" s="29"/>
      <c r="D139" s="29"/>
      <c r="E139" s="30"/>
      <c r="F139" s="29"/>
      <c r="G139" s="22"/>
      <c r="H139" s="22"/>
      <c r="I139" s="10"/>
      <c r="J139" s="31" t="str">
        <f aca="false">IF(OR(A139="",C139="",E139=""),"",IF(B139="Rundrohr",PI()/4*(C139^2-(C139-2*E139)^2),IF(OR(B139="Quadratrohr",AND(B139="Rechteckrohr",D139&lt;&gt;"")),C139*IF(B139="Quadratrohr",C139,D139)-(C139-2*E139)*(IF(B139="Quadratrohr",C139,D139)-2*E139),"")))</f>
        <v/>
      </c>
      <c r="K139" s="31" t="str">
        <f aca="false">IF(A139="","",IF(F139&lt;&gt;"",F139,J139))</f>
        <v/>
      </c>
    </row>
    <row r="140" customFormat="false" ht="15" hidden="false" customHeight="false" outlineLevel="0" collapsed="false">
      <c r="A140" s="10"/>
      <c r="B140" s="10"/>
      <c r="C140" s="29"/>
      <c r="D140" s="29"/>
      <c r="E140" s="30"/>
      <c r="F140" s="29"/>
      <c r="G140" s="22"/>
      <c r="H140" s="22"/>
      <c r="I140" s="10"/>
      <c r="J140" s="31" t="str">
        <f aca="false">IF(OR(A140="",C140="",E140=""),"",IF(B140="Rundrohr",PI()/4*(C140^2-(C140-2*E140)^2),IF(OR(B140="Quadratrohr",AND(B140="Rechteckrohr",D140&lt;&gt;"")),C140*IF(B140="Quadratrohr",C140,D140)-(C140-2*E140)*(IF(B140="Quadratrohr",C140,D140)-2*E140),"")))</f>
        <v/>
      </c>
      <c r="K140" s="31" t="str">
        <f aca="false">IF(A140="","",IF(F140&lt;&gt;"",F140,J140))</f>
        <v/>
      </c>
    </row>
    <row r="141" customFormat="false" ht="15" hidden="false" customHeight="false" outlineLevel="0" collapsed="false">
      <c r="A141" s="10"/>
      <c r="B141" s="10"/>
      <c r="C141" s="29"/>
      <c r="D141" s="29"/>
      <c r="E141" s="30"/>
      <c r="F141" s="29"/>
      <c r="G141" s="22"/>
      <c r="H141" s="22"/>
      <c r="I141" s="10"/>
      <c r="J141" s="31" t="str">
        <f aca="false">IF(OR(A141="",C141="",E141=""),"",IF(B141="Rundrohr",PI()/4*(C141^2-(C141-2*E141)^2),IF(OR(B141="Quadratrohr",AND(B141="Rechteckrohr",D141&lt;&gt;"")),C141*IF(B141="Quadratrohr",C141,D141)-(C141-2*E141)*(IF(B141="Quadratrohr",C141,D141)-2*E141),"")))</f>
        <v/>
      </c>
      <c r="K141" s="31" t="str">
        <f aca="false">IF(A141="","",IF(F141&lt;&gt;"",F141,J141))</f>
        <v/>
      </c>
    </row>
    <row r="142" customFormat="false" ht="15" hidden="false" customHeight="false" outlineLevel="0" collapsed="false">
      <c r="A142" s="10"/>
      <c r="B142" s="10"/>
      <c r="C142" s="29"/>
      <c r="D142" s="29"/>
      <c r="E142" s="30"/>
      <c r="F142" s="29"/>
      <c r="G142" s="22"/>
      <c r="H142" s="22"/>
      <c r="I142" s="10"/>
      <c r="J142" s="31" t="str">
        <f aca="false">IF(OR(A142="",C142="",E142=""),"",IF(B142="Rundrohr",PI()/4*(C142^2-(C142-2*E142)^2),IF(OR(B142="Quadratrohr",AND(B142="Rechteckrohr",D142&lt;&gt;"")),C142*IF(B142="Quadratrohr",C142,D142)-(C142-2*E142)*(IF(B142="Quadratrohr",C142,D142)-2*E142),"")))</f>
        <v/>
      </c>
      <c r="K142" s="31" t="str">
        <f aca="false">IF(A142="","",IF(F142&lt;&gt;"",F142,J142))</f>
        <v/>
      </c>
    </row>
    <row r="143" customFormat="false" ht="15" hidden="false" customHeight="false" outlineLevel="0" collapsed="false">
      <c r="A143" s="10"/>
      <c r="B143" s="10"/>
      <c r="C143" s="29"/>
      <c r="D143" s="29"/>
      <c r="E143" s="30"/>
      <c r="F143" s="29"/>
      <c r="G143" s="22"/>
      <c r="H143" s="22"/>
      <c r="I143" s="10"/>
      <c r="J143" s="31" t="str">
        <f aca="false">IF(OR(A143="",C143="",E143=""),"",IF(B143="Rundrohr",PI()/4*(C143^2-(C143-2*E143)^2),IF(OR(B143="Quadratrohr",AND(B143="Rechteckrohr",D143&lt;&gt;"")),C143*IF(B143="Quadratrohr",C143,D143)-(C143-2*E143)*(IF(B143="Quadratrohr",C143,D143)-2*E143),"")))</f>
        <v/>
      </c>
      <c r="K143" s="31" t="str">
        <f aca="false">IF(A143="","",IF(F143&lt;&gt;"",F143,J143))</f>
        <v/>
      </c>
    </row>
    <row r="144" customFormat="false" ht="15" hidden="false" customHeight="false" outlineLevel="0" collapsed="false">
      <c r="A144" s="10"/>
      <c r="B144" s="10"/>
      <c r="C144" s="29"/>
      <c r="D144" s="29"/>
      <c r="E144" s="30"/>
      <c r="F144" s="29"/>
      <c r="G144" s="22"/>
      <c r="H144" s="22"/>
      <c r="I144" s="10"/>
      <c r="J144" s="31" t="str">
        <f aca="false">IF(OR(A144="",C144="",E144=""),"",IF(B144="Rundrohr",PI()/4*(C144^2-(C144-2*E144)^2),IF(OR(B144="Quadratrohr",AND(B144="Rechteckrohr",D144&lt;&gt;"")),C144*IF(B144="Quadratrohr",C144,D144)-(C144-2*E144)*(IF(B144="Quadratrohr",C144,D144)-2*E144),"")))</f>
        <v/>
      </c>
      <c r="K144" s="31" t="str">
        <f aca="false">IF(A144="","",IF(F144&lt;&gt;"",F144,J144))</f>
        <v/>
      </c>
    </row>
    <row r="145" customFormat="false" ht="15" hidden="false" customHeight="false" outlineLevel="0" collapsed="false">
      <c r="A145" s="10"/>
      <c r="B145" s="10"/>
      <c r="C145" s="29"/>
      <c r="D145" s="29"/>
      <c r="E145" s="30"/>
      <c r="F145" s="29"/>
      <c r="G145" s="22"/>
      <c r="H145" s="22"/>
      <c r="I145" s="10"/>
      <c r="J145" s="31" t="str">
        <f aca="false">IF(OR(A145="",C145="",E145=""),"",IF(B145="Rundrohr",PI()/4*(C145^2-(C145-2*E145)^2),IF(OR(B145="Quadratrohr",AND(B145="Rechteckrohr",D145&lt;&gt;"")),C145*IF(B145="Quadratrohr",C145,D145)-(C145-2*E145)*(IF(B145="Quadratrohr",C145,D145)-2*E145),"")))</f>
        <v/>
      </c>
      <c r="K145" s="31" t="str">
        <f aca="false">IF(A145="","",IF(F145&lt;&gt;"",F145,J145))</f>
        <v/>
      </c>
    </row>
    <row r="146" customFormat="false" ht="15" hidden="false" customHeight="false" outlineLevel="0" collapsed="false">
      <c r="A146" s="10"/>
      <c r="B146" s="10"/>
      <c r="C146" s="29"/>
      <c r="D146" s="29"/>
      <c r="E146" s="30"/>
      <c r="F146" s="29"/>
      <c r="G146" s="22"/>
      <c r="H146" s="22"/>
      <c r="I146" s="10"/>
      <c r="J146" s="31" t="str">
        <f aca="false">IF(OR(A146="",C146="",E146=""),"",IF(B146="Rundrohr",PI()/4*(C146^2-(C146-2*E146)^2),IF(OR(B146="Quadratrohr",AND(B146="Rechteckrohr",D146&lt;&gt;"")),C146*IF(B146="Quadratrohr",C146,D146)-(C146-2*E146)*(IF(B146="Quadratrohr",C146,D146)-2*E146),"")))</f>
        <v/>
      </c>
      <c r="K146" s="31" t="str">
        <f aca="false">IF(A146="","",IF(F146&lt;&gt;"",F146,J146))</f>
        <v/>
      </c>
    </row>
    <row r="147" customFormat="false" ht="15" hidden="false" customHeight="false" outlineLevel="0" collapsed="false">
      <c r="A147" s="10"/>
      <c r="B147" s="10"/>
      <c r="C147" s="29"/>
      <c r="D147" s="29"/>
      <c r="E147" s="30"/>
      <c r="F147" s="29"/>
      <c r="G147" s="22"/>
      <c r="H147" s="22"/>
      <c r="I147" s="10"/>
      <c r="J147" s="31" t="str">
        <f aca="false">IF(OR(A147="",C147="",E147=""),"",IF(B147="Rundrohr",PI()/4*(C147^2-(C147-2*E147)^2),IF(OR(B147="Quadratrohr",AND(B147="Rechteckrohr",D147&lt;&gt;"")),C147*IF(B147="Quadratrohr",C147,D147)-(C147-2*E147)*(IF(B147="Quadratrohr",C147,D147)-2*E147),"")))</f>
        <v/>
      </c>
      <c r="K147" s="31" t="str">
        <f aca="false">IF(A147="","",IF(F147&lt;&gt;"",F147,J147))</f>
        <v/>
      </c>
    </row>
    <row r="148" customFormat="false" ht="15" hidden="false" customHeight="false" outlineLevel="0" collapsed="false">
      <c r="A148" s="10"/>
      <c r="B148" s="10"/>
      <c r="C148" s="29"/>
      <c r="D148" s="29"/>
      <c r="E148" s="30"/>
      <c r="F148" s="29"/>
      <c r="G148" s="22"/>
      <c r="H148" s="22"/>
      <c r="I148" s="10"/>
      <c r="J148" s="31" t="str">
        <f aca="false">IF(OR(A148="",C148="",E148=""),"",IF(B148="Rundrohr",PI()/4*(C148^2-(C148-2*E148)^2),IF(OR(B148="Quadratrohr",AND(B148="Rechteckrohr",D148&lt;&gt;"")),C148*IF(B148="Quadratrohr",C148,D148)-(C148-2*E148)*(IF(B148="Quadratrohr",C148,D148)-2*E148),"")))</f>
        <v/>
      </c>
      <c r="K148" s="31" t="str">
        <f aca="false">IF(A148="","",IF(F148&lt;&gt;"",F148,J148))</f>
        <v/>
      </c>
    </row>
    <row r="149" customFormat="false" ht="15" hidden="false" customHeight="false" outlineLevel="0" collapsed="false">
      <c r="A149" s="10"/>
      <c r="B149" s="10"/>
      <c r="C149" s="29"/>
      <c r="D149" s="29"/>
      <c r="E149" s="30"/>
      <c r="F149" s="29"/>
      <c r="G149" s="22"/>
      <c r="H149" s="22"/>
      <c r="I149" s="10"/>
      <c r="J149" s="31" t="str">
        <f aca="false">IF(OR(A149="",C149="",E149=""),"",IF(B149="Rundrohr",PI()/4*(C149^2-(C149-2*E149)^2),IF(OR(B149="Quadratrohr",AND(B149="Rechteckrohr",D149&lt;&gt;"")),C149*IF(B149="Quadratrohr",C149,D149)-(C149-2*E149)*(IF(B149="Quadratrohr",C149,D149)-2*E149),"")))</f>
        <v/>
      </c>
      <c r="K149" s="31" t="str">
        <f aca="false">IF(A149="","",IF(F149&lt;&gt;"",F149,J149))</f>
        <v/>
      </c>
    </row>
    <row r="150" customFormat="false" ht="15" hidden="false" customHeight="false" outlineLevel="0" collapsed="false">
      <c r="A150" s="10"/>
      <c r="B150" s="10"/>
      <c r="C150" s="29"/>
      <c r="D150" s="29"/>
      <c r="E150" s="30"/>
      <c r="F150" s="29"/>
      <c r="G150" s="22"/>
      <c r="H150" s="22"/>
      <c r="I150" s="10"/>
      <c r="J150" s="31" t="str">
        <f aca="false">IF(OR(A150="",C150="",E150=""),"",IF(B150="Rundrohr",PI()/4*(C150^2-(C150-2*E150)^2),IF(OR(B150="Quadratrohr",AND(B150="Rechteckrohr",D150&lt;&gt;"")),C150*IF(B150="Quadratrohr",C150,D150)-(C150-2*E150)*(IF(B150="Quadratrohr",C150,D150)-2*E150),"")))</f>
        <v/>
      </c>
      <c r="K150" s="31" t="str">
        <f aca="false">IF(A150="","",IF(F150&lt;&gt;"",F150,J150))</f>
        <v/>
      </c>
    </row>
    <row r="151" customFormat="false" ht="15" hidden="false" customHeight="false" outlineLevel="0" collapsed="false">
      <c r="A151" s="10"/>
      <c r="B151" s="10"/>
      <c r="C151" s="29"/>
      <c r="D151" s="29"/>
      <c r="E151" s="30"/>
      <c r="F151" s="29"/>
      <c r="G151" s="22"/>
      <c r="H151" s="22"/>
      <c r="I151" s="10"/>
      <c r="J151" s="31" t="str">
        <f aca="false">IF(OR(A151="",C151="",E151=""),"",IF(B151="Rundrohr",PI()/4*(C151^2-(C151-2*E151)^2),IF(OR(B151="Quadratrohr",AND(B151="Rechteckrohr",D151&lt;&gt;"")),C151*IF(B151="Quadratrohr",C151,D151)-(C151-2*E151)*(IF(B151="Quadratrohr",C151,D151)-2*E151),"")))</f>
        <v/>
      </c>
      <c r="K151" s="31" t="str">
        <f aca="false">IF(A151="","",IF(F151&lt;&gt;"",F151,J151))</f>
        <v/>
      </c>
    </row>
    <row r="152" customFormat="false" ht="15" hidden="false" customHeight="false" outlineLevel="0" collapsed="false">
      <c r="A152" s="10"/>
      <c r="B152" s="10"/>
      <c r="C152" s="29"/>
      <c r="D152" s="29"/>
      <c r="E152" s="30"/>
      <c r="F152" s="29"/>
      <c r="G152" s="22"/>
      <c r="H152" s="22"/>
      <c r="I152" s="10"/>
      <c r="J152" s="31" t="str">
        <f aca="false">IF(OR(A152="",C152="",E152=""),"",IF(B152="Rundrohr",PI()/4*(C152^2-(C152-2*E152)^2),IF(OR(B152="Quadratrohr",AND(B152="Rechteckrohr",D152&lt;&gt;"")),C152*IF(B152="Quadratrohr",C152,D152)-(C152-2*E152)*(IF(B152="Quadratrohr",C152,D152)-2*E152),"")))</f>
        <v/>
      </c>
      <c r="K152" s="31" t="str">
        <f aca="false">IF(A152="","",IF(F152&lt;&gt;"",F152,J152))</f>
        <v/>
      </c>
    </row>
    <row r="153" customFormat="false" ht="15" hidden="false" customHeight="false" outlineLevel="0" collapsed="false">
      <c r="A153" s="10"/>
      <c r="B153" s="10"/>
      <c r="C153" s="29"/>
      <c r="D153" s="29"/>
      <c r="E153" s="30"/>
      <c r="F153" s="29"/>
      <c r="G153" s="22"/>
      <c r="H153" s="22"/>
      <c r="I153" s="10"/>
      <c r="J153" s="31" t="str">
        <f aca="false">IF(OR(A153="",C153="",E153=""),"",IF(B153="Rundrohr",PI()/4*(C153^2-(C153-2*E153)^2),IF(OR(B153="Quadratrohr",AND(B153="Rechteckrohr",D153&lt;&gt;"")),C153*IF(B153="Quadratrohr",C153,D153)-(C153-2*E153)*(IF(B153="Quadratrohr",C153,D153)-2*E153),"")))</f>
        <v/>
      </c>
      <c r="K153" s="31" t="str">
        <f aca="false">IF(A153="","",IF(F153&lt;&gt;"",F153,J153))</f>
        <v/>
      </c>
    </row>
    <row r="154" customFormat="false" ht="15" hidden="false" customHeight="false" outlineLevel="0" collapsed="false">
      <c r="A154" s="10"/>
      <c r="B154" s="10"/>
      <c r="C154" s="29"/>
      <c r="D154" s="29"/>
      <c r="E154" s="30"/>
      <c r="F154" s="29"/>
      <c r="G154" s="22"/>
      <c r="H154" s="22"/>
      <c r="I154" s="10"/>
      <c r="J154" s="31" t="str">
        <f aca="false">IF(OR(A154="",C154="",E154=""),"",IF(B154="Rundrohr",PI()/4*(C154^2-(C154-2*E154)^2),IF(OR(B154="Quadratrohr",AND(B154="Rechteckrohr",D154&lt;&gt;"")),C154*IF(B154="Quadratrohr",C154,D154)-(C154-2*E154)*(IF(B154="Quadratrohr",C154,D154)-2*E154),"")))</f>
        <v/>
      </c>
      <c r="K154" s="31" t="str">
        <f aca="false">IF(A154="","",IF(F154&lt;&gt;"",F154,J154))</f>
        <v/>
      </c>
    </row>
    <row r="155" customFormat="false" ht="15" hidden="false" customHeight="false" outlineLevel="0" collapsed="false">
      <c r="A155" s="10"/>
      <c r="B155" s="10"/>
      <c r="C155" s="29"/>
      <c r="D155" s="29"/>
      <c r="E155" s="30"/>
      <c r="F155" s="29"/>
      <c r="G155" s="22"/>
      <c r="H155" s="22"/>
      <c r="I155" s="10"/>
      <c r="J155" s="31" t="str">
        <f aca="false">IF(OR(A155="",C155="",E155=""),"",IF(B155="Rundrohr",PI()/4*(C155^2-(C155-2*E155)^2),IF(OR(B155="Quadratrohr",AND(B155="Rechteckrohr",D155&lt;&gt;"")),C155*IF(B155="Quadratrohr",C155,D155)-(C155-2*E155)*(IF(B155="Quadratrohr",C155,D155)-2*E155),"")))</f>
        <v/>
      </c>
      <c r="K155" s="31" t="str">
        <f aca="false">IF(A155="","",IF(F155&lt;&gt;"",F155,J155))</f>
        <v/>
      </c>
    </row>
    <row r="156" customFormat="false" ht="15" hidden="false" customHeight="false" outlineLevel="0" collapsed="false">
      <c r="A156" s="10"/>
      <c r="B156" s="10"/>
      <c r="C156" s="29"/>
      <c r="D156" s="29"/>
      <c r="E156" s="30"/>
      <c r="F156" s="29"/>
      <c r="G156" s="22"/>
      <c r="H156" s="22"/>
      <c r="I156" s="10"/>
      <c r="J156" s="31" t="str">
        <f aca="false">IF(OR(A156="",C156="",E156=""),"",IF(B156="Rundrohr",PI()/4*(C156^2-(C156-2*E156)^2),IF(OR(B156="Quadratrohr",AND(B156="Rechteckrohr",D156&lt;&gt;"")),C156*IF(B156="Quadratrohr",C156,D156)-(C156-2*E156)*(IF(B156="Quadratrohr",C156,D156)-2*E156),"")))</f>
        <v/>
      </c>
      <c r="K156" s="31" t="str">
        <f aca="false">IF(A156="","",IF(F156&lt;&gt;"",F156,J156))</f>
        <v/>
      </c>
    </row>
    <row r="157" customFormat="false" ht="15" hidden="false" customHeight="false" outlineLevel="0" collapsed="false">
      <c r="A157" s="10"/>
      <c r="B157" s="10"/>
      <c r="C157" s="29"/>
      <c r="D157" s="29"/>
      <c r="E157" s="30"/>
      <c r="F157" s="29"/>
      <c r="G157" s="22"/>
      <c r="H157" s="22"/>
      <c r="I157" s="10"/>
      <c r="J157" s="31" t="str">
        <f aca="false">IF(OR(A157="",C157="",E157=""),"",IF(B157="Rundrohr",PI()/4*(C157^2-(C157-2*E157)^2),IF(OR(B157="Quadratrohr",AND(B157="Rechteckrohr",D157&lt;&gt;"")),C157*IF(B157="Quadratrohr",C157,D157)-(C157-2*E157)*(IF(B157="Quadratrohr",C157,D157)-2*E157),"")))</f>
        <v/>
      </c>
      <c r="K157" s="31" t="str">
        <f aca="false">IF(A157="","",IF(F157&lt;&gt;"",F157,J157))</f>
        <v/>
      </c>
    </row>
    <row r="158" customFormat="false" ht="15" hidden="false" customHeight="false" outlineLevel="0" collapsed="false">
      <c r="A158" s="10"/>
      <c r="B158" s="10"/>
      <c r="C158" s="29"/>
      <c r="D158" s="29"/>
      <c r="E158" s="30"/>
      <c r="F158" s="29"/>
      <c r="G158" s="22"/>
      <c r="H158" s="22"/>
      <c r="I158" s="10"/>
      <c r="J158" s="31" t="str">
        <f aca="false">IF(OR(A158="",C158="",E158=""),"",IF(B158="Rundrohr",PI()/4*(C158^2-(C158-2*E158)^2),IF(OR(B158="Quadratrohr",AND(B158="Rechteckrohr",D158&lt;&gt;"")),C158*IF(B158="Quadratrohr",C158,D158)-(C158-2*E158)*(IF(B158="Quadratrohr",C158,D158)-2*E158),"")))</f>
        <v/>
      </c>
      <c r="K158" s="31" t="str">
        <f aca="false">IF(A158="","",IF(F158&lt;&gt;"",F158,J158))</f>
        <v/>
      </c>
    </row>
    <row r="159" customFormat="false" ht="15" hidden="false" customHeight="false" outlineLevel="0" collapsed="false">
      <c r="A159" s="10"/>
      <c r="B159" s="10"/>
      <c r="C159" s="29"/>
      <c r="D159" s="29"/>
      <c r="E159" s="30"/>
      <c r="F159" s="29"/>
      <c r="G159" s="22"/>
      <c r="H159" s="22"/>
      <c r="I159" s="10"/>
      <c r="J159" s="31" t="str">
        <f aca="false">IF(OR(A159="",C159="",E159=""),"",IF(B159="Rundrohr",PI()/4*(C159^2-(C159-2*E159)^2),IF(OR(B159="Quadratrohr",AND(B159="Rechteckrohr",D159&lt;&gt;"")),C159*IF(B159="Quadratrohr",C159,D159)-(C159-2*E159)*(IF(B159="Quadratrohr",C159,D159)-2*E159),"")))</f>
        <v/>
      </c>
      <c r="K159" s="31" t="str">
        <f aca="false">IF(A159="","",IF(F159&lt;&gt;"",F159,J159))</f>
        <v/>
      </c>
    </row>
    <row r="160" customFormat="false" ht="15" hidden="false" customHeight="false" outlineLevel="0" collapsed="false">
      <c r="A160" s="10"/>
      <c r="B160" s="10"/>
      <c r="C160" s="29"/>
      <c r="D160" s="29"/>
      <c r="E160" s="30"/>
      <c r="F160" s="29"/>
      <c r="G160" s="22"/>
      <c r="H160" s="22"/>
      <c r="I160" s="10"/>
      <c r="J160" s="31" t="str">
        <f aca="false">IF(OR(A160="",C160="",E160=""),"",IF(B160="Rundrohr",PI()/4*(C160^2-(C160-2*E160)^2),IF(OR(B160="Quadratrohr",AND(B160="Rechteckrohr",D160&lt;&gt;"")),C160*IF(B160="Quadratrohr",C160,D160)-(C160-2*E160)*(IF(B160="Quadratrohr",C160,D160)-2*E160),"")))</f>
        <v/>
      </c>
      <c r="K160" s="31" t="str">
        <f aca="false">IF(A160="","",IF(F160&lt;&gt;"",F160,J160))</f>
        <v/>
      </c>
    </row>
    <row r="161" customFormat="false" ht="15" hidden="false" customHeight="false" outlineLevel="0" collapsed="false">
      <c r="A161" s="10"/>
      <c r="B161" s="10"/>
      <c r="C161" s="29"/>
      <c r="D161" s="29"/>
      <c r="E161" s="30"/>
      <c r="F161" s="29"/>
      <c r="G161" s="22"/>
      <c r="H161" s="22"/>
      <c r="I161" s="10"/>
      <c r="J161" s="31" t="str">
        <f aca="false">IF(OR(A161="",C161="",E161=""),"",IF(B161="Rundrohr",PI()/4*(C161^2-(C161-2*E161)^2),IF(OR(B161="Quadratrohr",AND(B161="Rechteckrohr",D161&lt;&gt;"")),C161*IF(B161="Quadratrohr",C161,D161)-(C161-2*E161)*(IF(B161="Quadratrohr",C161,D161)-2*E161),"")))</f>
        <v/>
      </c>
      <c r="K161" s="31" t="str">
        <f aca="false">IF(A161="","",IF(F161&lt;&gt;"",F161,J161))</f>
        <v/>
      </c>
    </row>
    <row r="162" customFormat="false" ht="15" hidden="false" customHeight="false" outlineLevel="0" collapsed="false">
      <c r="A162" s="10"/>
      <c r="B162" s="10"/>
      <c r="C162" s="29"/>
      <c r="D162" s="29"/>
      <c r="E162" s="30"/>
      <c r="F162" s="29"/>
      <c r="G162" s="22"/>
      <c r="H162" s="22"/>
      <c r="I162" s="10"/>
      <c r="J162" s="31" t="str">
        <f aca="false">IF(OR(A162="",C162="",E162=""),"",IF(B162="Rundrohr",PI()/4*(C162^2-(C162-2*E162)^2),IF(OR(B162="Quadratrohr",AND(B162="Rechteckrohr",D162&lt;&gt;"")),C162*IF(B162="Quadratrohr",C162,D162)-(C162-2*E162)*(IF(B162="Quadratrohr",C162,D162)-2*E162),"")))</f>
        <v/>
      </c>
      <c r="K162" s="31" t="str">
        <f aca="false">IF(A162="","",IF(F162&lt;&gt;"",F162,J162))</f>
        <v/>
      </c>
    </row>
    <row r="163" customFormat="false" ht="15" hidden="false" customHeight="false" outlineLevel="0" collapsed="false">
      <c r="A163" s="10"/>
      <c r="B163" s="10"/>
      <c r="C163" s="29"/>
      <c r="D163" s="29"/>
      <c r="E163" s="30"/>
      <c r="F163" s="29"/>
      <c r="G163" s="22"/>
      <c r="H163" s="22"/>
      <c r="I163" s="10"/>
      <c r="J163" s="31" t="str">
        <f aca="false">IF(OR(A163="",C163="",E163=""),"",IF(B163="Rundrohr",PI()/4*(C163^2-(C163-2*E163)^2),IF(OR(B163="Quadratrohr",AND(B163="Rechteckrohr",D163&lt;&gt;"")),C163*IF(B163="Quadratrohr",C163,D163)-(C163-2*E163)*(IF(B163="Quadratrohr",C163,D163)-2*E163),"")))</f>
        <v/>
      </c>
      <c r="K163" s="31" t="str">
        <f aca="false">IF(A163="","",IF(F163&lt;&gt;"",F163,J163))</f>
        <v/>
      </c>
    </row>
    <row r="164" customFormat="false" ht="15" hidden="false" customHeight="false" outlineLevel="0" collapsed="false">
      <c r="A164" s="10"/>
      <c r="B164" s="10"/>
      <c r="C164" s="29"/>
      <c r="D164" s="29"/>
      <c r="E164" s="30"/>
      <c r="F164" s="29"/>
      <c r="G164" s="22"/>
      <c r="H164" s="22"/>
      <c r="I164" s="10"/>
      <c r="J164" s="31" t="str">
        <f aca="false">IF(OR(A164="",C164="",E164=""),"",IF(B164="Rundrohr",PI()/4*(C164^2-(C164-2*E164)^2),IF(OR(B164="Quadratrohr",AND(B164="Rechteckrohr",D164&lt;&gt;"")),C164*IF(B164="Quadratrohr",C164,D164)-(C164-2*E164)*(IF(B164="Quadratrohr",C164,D164)-2*E164),"")))</f>
        <v/>
      </c>
      <c r="K164" s="31" t="str">
        <f aca="false">IF(A164="","",IF(F164&lt;&gt;"",F164,J164))</f>
        <v/>
      </c>
    </row>
    <row r="165" customFormat="false" ht="15" hidden="false" customHeight="false" outlineLevel="0" collapsed="false">
      <c r="A165" s="10"/>
      <c r="B165" s="10"/>
      <c r="C165" s="29"/>
      <c r="D165" s="29"/>
      <c r="E165" s="30"/>
      <c r="F165" s="29"/>
      <c r="G165" s="22"/>
      <c r="H165" s="22"/>
      <c r="I165" s="10"/>
      <c r="J165" s="31" t="str">
        <f aca="false">IF(OR(A165="",C165="",E165=""),"",IF(B165="Rundrohr",PI()/4*(C165^2-(C165-2*E165)^2),IF(OR(B165="Quadratrohr",AND(B165="Rechteckrohr",D165&lt;&gt;"")),C165*IF(B165="Quadratrohr",C165,D165)-(C165-2*E165)*(IF(B165="Quadratrohr",C165,D165)-2*E165),"")))</f>
        <v/>
      </c>
      <c r="K165" s="31" t="str">
        <f aca="false">IF(A165="","",IF(F165&lt;&gt;"",F165,J165))</f>
        <v/>
      </c>
    </row>
    <row r="166" customFormat="false" ht="15" hidden="false" customHeight="false" outlineLevel="0" collapsed="false">
      <c r="A166" s="10"/>
      <c r="B166" s="10"/>
      <c r="C166" s="29"/>
      <c r="D166" s="29"/>
      <c r="E166" s="30"/>
      <c r="F166" s="29"/>
      <c r="G166" s="22"/>
      <c r="H166" s="22"/>
      <c r="I166" s="10"/>
      <c r="J166" s="31" t="str">
        <f aca="false">IF(OR(A166="",C166="",E166=""),"",IF(B166="Rundrohr",PI()/4*(C166^2-(C166-2*E166)^2),IF(OR(B166="Quadratrohr",AND(B166="Rechteckrohr",D166&lt;&gt;"")),C166*IF(B166="Quadratrohr",C166,D166)-(C166-2*E166)*(IF(B166="Quadratrohr",C166,D166)-2*E166),"")))</f>
        <v/>
      </c>
      <c r="K166" s="31" t="str">
        <f aca="false">IF(A166="","",IF(F166&lt;&gt;"",F166,J166))</f>
        <v/>
      </c>
    </row>
    <row r="167" customFormat="false" ht="15" hidden="false" customHeight="false" outlineLevel="0" collapsed="false">
      <c r="A167" s="10"/>
      <c r="B167" s="10"/>
      <c r="C167" s="29"/>
      <c r="D167" s="29"/>
      <c r="E167" s="30"/>
      <c r="F167" s="29"/>
      <c r="G167" s="22"/>
      <c r="H167" s="22"/>
      <c r="I167" s="10"/>
      <c r="J167" s="31" t="str">
        <f aca="false">IF(OR(A167="",C167="",E167=""),"",IF(B167="Rundrohr",PI()/4*(C167^2-(C167-2*E167)^2),IF(OR(B167="Quadratrohr",AND(B167="Rechteckrohr",D167&lt;&gt;"")),C167*IF(B167="Quadratrohr",C167,D167)-(C167-2*E167)*(IF(B167="Quadratrohr",C167,D167)-2*E167),"")))</f>
        <v/>
      </c>
      <c r="K167" s="31" t="str">
        <f aca="false">IF(A167="","",IF(F167&lt;&gt;"",F167,J167))</f>
        <v/>
      </c>
    </row>
    <row r="168" customFormat="false" ht="15" hidden="false" customHeight="false" outlineLevel="0" collapsed="false">
      <c r="A168" s="10"/>
      <c r="B168" s="10"/>
      <c r="C168" s="29"/>
      <c r="D168" s="29"/>
      <c r="E168" s="30"/>
      <c r="F168" s="29"/>
      <c r="G168" s="22"/>
      <c r="H168" s="22"/>
      <c r="I168" s="10"/>
      <c r="J168" s="31" t="str">
        <f aca="false">IF(OR(A168="",C168="",E168=""),"",IF(B168="Rundrohr",PI()/4*(C168^2-(C168-2*E168)^2),IF(OR(B168="Quadratrohr",AND(B168="Rechteckrohr",D168&lt;&gt;"")),C168*IF(B168="Quadratrohr",C168,D168)-(C168-2*E168)*(IF(B168="Quadratrohr",C168,D168)-2*E168),"")))</f>
        <v/>
      </c>
      <c r="K168" s="31" t="str">
        <f aca="false">IF(A168="","",IF(F168&lt;&gt;"",F168,J168))</f>
        <v/>
      </c>
    </row>
    <row r="169" customFormat="false" ht="15" hidden="false" customHeight="false" outlineLevel="0" collapsed="false">
      <c r="A169" s="10"/>
      <c r="B169" s="10"/>
      <c r="C169" s="29"/>
      <c r="D169" s="29"/>
      <c r="E169" s="30"/>
      <c r="F169" s="29"/>
      <c r="G169" s="22"/>
      <c r="H169" s="22"/>
      <c r="I169" s="10"/>
      <c r="J169" s="31" t="str">
        <f aca="false">IF(OR(A169="",C169="",E169=""),"",IF(B169="Rundrohr",PI()/4*(C169^2-(C169-2*E169)^2),IF(OR(B169="Quadratrohr",AND(B169="Rechteckrohr",D169&lt;&gt;"")),C169*IF(B169="Quadratrohr",C169,D169)-(C169-2*E169)*(IF(B169="Quadratrohr",C169,D169)-2*E169),"")))</f>
        <v/>
      </c>
      <c r="K169" s="31" t="str">
        <f aca="false">IF(A169="","",IF(F169&lt;&gt;"",F169,J169))</f>
        <v/>
      </c>
    </row>
    <row r="170" customFormat="false" ht="15" hidden="false" customHeight="false" outlineLevel="0" collapsed="false">
      <c r="A170" s="10"/>
      <c r="B170" s="10"/>
      <c r="C170" s="29"/>
      <c r="D170" s="29"/>
      <c r="E170" s="30"/>
      <c r="F170" s="29"/>
      <c r="G170" s="22"/>
      <c r="H170" s="22"/>
      <c r="I170" s="10"/>
      <c r="J170" s="31" t="str">
        <f aca="false">IF(OR(A170="",C170="",E170=""),"",IF(B170="Rundrohr",PI()/4*(C170^2-(C170-2*E170)^2),IF(OR(B170="Quadratrohr",AND(B170="Rechteckrohr",D170&lt;&gt;"")),C170*IF(B170="Quadratrohr",C170,D170)-(C170-2*E170)*(IF(B170="Quadratrohr",C170,D170)-2*E170),"")))</f>
        <v/>
      </c>
      <c r="K170" s="31" t="str">
        <f aca="false">IF(A170="","",IF(F170&lt;&gt;"",F170,J170))</f>
        <v/>
      </c>
    </row>
    <row r="171" customFormat="false" ht="15" hidden="false" customHeight="false" outlineLevel="0" collapsed="false">
      <c r="A171" s="10"/>
      <c r="B171" s="10"/>
      <c r="C171" s="29"/>
      <c r="D171" s="29"/>
      <c r="E171" s="30"/>
      <c r="F171" s="29"/>
      <c r="G171" s="22"/>
      <c r="H171" s="22"/>
      <c r="I171" s="10"/>
      <c r="J171" s="31" t="str">
        <f aca="false">IF(OR(A171="",C171="",E171=""),"",IF(B171="Rundrohr",PI()/4*(C171^2-(C171-2*E171)^2),IF(OR(B171="Quadratrohr",AND(B171="Rechteckrohr",D171&lt;&gt;"")),C171*IF(B171="Quadratrohr",C171,D171)-(C171-2*E171)*(IF(B171="Quadratrohr",C171,D171)-2*E171),"")))</f>
        <v/>
      </c>
      <c r="K171" s="31" t="str">
        <f aca="false">IF(A171="","",IF(F171&lt;&gt;"",F171,J171))</f>
        <v/>
      </c>
    </row>
    <row r="172" customFormat="false" ht="15" hidden="false" customHeight="false" outlineLevel="0" collapsed="false">
      <c r="A172" s="10"/>
      <c r="B172" s="10"/>
      <c r="C172" s="29"/>
      <c r="D172" s="29"/>
      <c r="E172" s="30"/>
      <c r="F172" s="29"/>
      <c r="G172" s="22"/>
      <c r="H172" s="22"/>
      <c r="I172" s="10"/>
      <c r="J172" s="31" t="str">
        <f aca="false">IF(OR(A172="",C172="",E172=""),"",IF(B172="Rundrohr",PI()/4*(C172^2-(C172-2*E172)^2),IF(OR(B172="Quadratrohr",AND(B172="Rechteckrohr",D172&lt;&gt;"")),C172*IF(B172="Quadratrohr",C172,D172)-(C172-2*E172)*(IF(B172="Quadratrohr",C172,D172)-2*E172),"")))</f>
        <v/>
      </c>
      <c r="K172" s="31" t="str">
        <f aca="false">IF(A172="","",IF(F172&lt;&gt;"",F172,J172))</f>
        <v/>
      </c>
    </row>
    <row r="173" customFormat="false" ht="15" hidden="false" customHeight="false" outlineLevel="0" collapsed="false">
      <c r="A173" s="10"/>
      <c r="B173" s="10"/>
      <c r="C173" s="29"/>
      <c r="D173" s="29"/>
      <c r="E173" s="30"/>
      <c r="F173" s="29"/>
      <c r="G173" s="22"/>
      <c r="H173" s="22"/>
      <c r="I173" s="10"/>
      <c r="J173" s="31" t="str">
        <f aca="false">IF(OR(A173="",C173="",E173=""),"",IF(B173="Rundrohr",PI()/4*(C173^2-(C173-2*E173)^2),IF(OR(B173="Quadratrohr",AND(B173="Rechteckrohr",D173&lt;&gt;"")),C173*IF(B173="Quadratrohr",C173,D173)-(C173-2*E173)*(IF(B173="Quadratrohr",C173,D173)-2*E173),"")))</f>
        <v/>
      </c>
      <c r="K173" s="31" t="str">
        <f aca="false">IF(A173="","",IF(F173&lt;&gt;"",F173,J173))</f>
        <v/>
      </c>
    </row>
    <row r="174" customFormat="false" ht="15" hidden="false" customHeight="false" outlineLevel="0" collapsed="false">
      <c r="A174" s="10"/>
      <c r="B174" s="10"/>
      <c r="C174" s="29"/>
      <c r="D174" s="29"/>
      <c r="E174" s="30"/>
      <c r="F174" s="29"/>
      <c r="G174" s="22"/>
      <c r="H174" s="22"/>
      <c r="I174" s="10"/>
      <c r="J174" s="31" t="str">
        <f aca="false">IF(OR(A174="",C174="",E174=""),"",IF(B174="Rundrohr",PI()/4*(C174^2-(C174-2*E174)^2),IF(OR(B174="Quadratrohr",AND(B174="Rechteckrohr",D174&lt;&gt;"")),C174*IF(B174="Quadratrohr",C174,D174)-(C174-2*E174)*(IF(B174="Quadratrohr",C174,D174)-2*E174),"")))</f>
        <v/>
      </c>
      <c r="K174" s="31" t="str">
        <f aca="false">IF(A174="","",IF(F174&lt;&gt;"",F174,J174))</f>
        <v/>
      </c>
    </row>
    <row r="175" customFormat="false" ht="15" hidden="false" customHeight="false" outlineLevel="0" collapsed="false">
      <c r="A175" s="10"/>
      <c r="B175" s="10"/>
      <c r="C175" s="29"/>
      <c r="D175" s="29"/>
      <c r="E175" s="30"/>
      <c r="F175" s="29"/>
      <c r="G175" s="22"/>
      <c r="H175" s="22"/>
      <c r="I175" s="10"/>
      <c r="J175" s="31" t="str">
        <f aca="false">IF(OR(A175="",C175="",E175=""),"",IF(B175="Rundrohr",PI()/4*(C175^2-(C175-2*E175)^2),IF(OR(B175="Quadratrohr",AND(B175="Rechteckrohr",D175&lt;&gt;"")),C175*IF(B175="Quadratrohr",C175,D175)-(C175-2*E175)*(IF(B175="Quadratrohr",C175,D175)-2*E175),"")))</f>
        <v/>
      </c>
      <c r="K175" s="31" t="str">
        <f aca="false">IF(A175="","",IF(F175&lt;&gt;"",F175,J175))</f>
        <v/>
      </c>
    </row>
    <row r="176" customFormat="false" ht="15" hidden="false" customHeight="false" outlineLevel="0" collapsed="false">
      <c r="A176" s="10"/>
      <c r="B176" s="10"/>
      <c r="C176" s="29"/>
      <c r="D176" s="29"/>
      <c r="E176" s="30"/>
      <c r="F176" s="29"/>
      <c r="G176" s="22"/>
      <c r="H176" s="22"/>
      <c r="I176" s="10"/>
      <c r="J176" s="31" t="str">
        <f aca="false">IF(OR(A176="",C176="",E176=""),"",IF(B176="Rundrohr",PI()/4*(C176^2-(C176-2*E176)^2),IF(OR(B176="Quadratrohr",AND(B176="Rechteckrohr",D176&lt;&gt;"")),C176*IF(B176="Quadratrohr",C176,D176)-(C176-2*E176)*(IF(B176="Quadratrohr",C176,D176)-2*E176),"")))</f>
        <v/>
      </c>
      <c r="K176" s="31" t="str">
        <f aca="false">IF(A176="","",IF(F176&lt;&gt;"",F176,J176))</f>
        <v/>
      </c>
    </row>
    <row r="177" customFormat="false" ht="15" hidden="false" customHeight="false" outlineLevel="0" collapsed="false">
      <c r="A177" s="10"/>
      <c r="B177" s="10"/>
      <c r="C177" s="29"/>
      <c r="D177" s="29"/>
      <c r="E177" s="30"/>
      <c r="F177" s="29"/>
      <c r="G177" s="22"/>
      <c r="H177" s="22"/>
      <c r="I177" s="10"/>
      <c r="J177" s="31" t="str">
        <f aca="false">IF(OR(A177="",C177="",E177=""),"",IF(B177="Rundrohr",PI()/4*(C177^2-(C177-2*E177)^2),IF(OR(B177="Quadratrohr",AND(B177="Rechteckrohr",D177&lt;&gt;"")),C177*IF(B177="Quadratrohr",C177,D177)-(C177-2*E177)*(IF(B177="Quadratrohr",C177,D177)-2*E177),"")))</f>
        <v/>
      </c>
      <c r="K177" s="31" t="str">
        <f aca="false">IF(A177="","",IF(F177&lt;&gt;"",F177,J177))</f>
        <v/>
      </c>
    </row>
    <row r="178" customFormat="false" ht="15" hidden="false" customHeight="false" outlineLevel="0" collapsed="false">
      <c r="A178" s="10"/>
      <c r="B178" s="10"/>
      <c r="C178" s="29"/>
      <c r="D178" s="29"/>
      <c r="E178" s="30"/>
      <c r="F178" s="29"/>
      <c r="G178" s="22"/>
      <c r="H178" s="22"/>
      <c r="I178" s="10"/>
      <c r="J178" s="31" t="str">
        <f aca="false">IF(OR(A178="",C178="",E178=""),"",IF(B178="Rundrohr",PI()/4*(C178^2-(C178-2*E178)^2),IF(OR(B178="Quadratrohr",AND(B178="Rechteckrohr",D178&lt;&gt;"")),C178*IF(B178="Quadratrohr",C178,D178)-(C178-2*E178)*(IF(B178="Quadratrohr",C178,D178)-2*E178),"")))</f>
        <v/>
      </c>
      <c r="K178" s="31" t="str">
        <f aca="false">IF(A178="","",IF(F178&lt;&gt;"",F178,J178))</f>
        <v/>
      </c>
    </row>
    <row r="179" customFormat="false" ht="15" hidden="false" customHeight="false" outlineLevel="0" collapsed="false">
      <c r="A179" s="10"/>
      <c r="B179" s="10"/>
      <c r="C179" s="29"/>
      <c r="D179" s="29"/>
      <c r="E179" s="30"/>
      <c r="F179" s="29"/>
      <c r="G179" s="22"/>
      <c r="H179" s="22"/>
      <c r="I179" s="10"/>
      <c r="J179" s="31" t="str">
        <f aca="false">IF(OR(A179="",C179="",E179=""),"",IF(B179="Rundrohr",PI()/4*(C179^2-(C179-2*E179)^2),IF(OR(B179="Quadratrohr",AND(B179="Rechteckrohr",D179&lt;&gt;"")),C179*IF(B179="Quadratrohr",C179,D179)-(C179-2*E179)*(IF(B179="Quadratrohr",C179,D179)-2*E179),"")))</f>
        <v/>
      </c>
      <c r="K179" s="31" t="str">
        <f aca="false">IF(A179="","",IF(F179&lt;&gt;"",F179,J179))</f>
        <v/>
      </c>
    </row>
    <row r="180" customFormat="false" ht="15" hidden="false" customHeight="false" outlineLevel="0" collapsed="false">
      <c r="A180" s="10"/>
      <c r="B180" s="10"/>
      <c r="C180" s="29"/>
      <c r="D180" s="29"/>
      <c r="E180" s="30"/>
      <c r="F180" s="29"/>
      <c r="G180" s="22"/>
      <c r="H180" s="22"/>
      <c r="I180" s="10"/>
      <c r="J180" s="31" t="str">
        <f aca="false">IF(OR(A180="",C180="",E180=""),"",IF(B180="Rundrohr",PI()/4*(C180^2-(C180-2*E180)^2),IF(OR(B180="Quadratrohr",AND(B180="Rechteckrohr",D180&lt;&gt;"")),C180*IF(B180="Quadratrohr",C180,D180)-(C180-2*E180)*(IF(B180="Quadratrohr",C180,D180)-2*E180),"")))</f>
        <v/>
      </c>
      <c r="K180" s="31" t="str">
        <f aca="false">IF(A180="","",IF(F180&lt;&gt;"",F180,J180))</f>
        <v/>
      </c>
    </row>
    <row r="181" customFormat="false" ht="15" hidden="false" customHeight="false" outlineLevel="0" collapsed="false">
      <c r="A181" s="10"/>
      <c r="B181" s="10"/>
      <c r="C181" s="29"/>
      <c r="D181" s="29"/>
      <c r="E181" s="30"/>
      <c r="F181" s="29"/>
      <c r="G181" s="22"/>
      <c r="H181" s="22"/>
      <c r="I181" s="10"/>
      <c r="J181" s="31" t="str">
        <f aca="false">IF(OR(A181="",C181="",E181=""),"",IF(B181="Rundrohr",PI()/4*(C181^2-(C181-2*E181)^2),IF(OR(B181="Quadratrohr",AND(B181="Rechteckrohr",D181&lt;&gt;"")),C181*IF(B181="Quadratrohr",C181,D181)-(C181-2*E181)*(IF(B181="Quadratrohr",C181,D181)-2*E181),"")))</f>
        <v/>
      </c>
      <c r="K181" s="31" t="str">
        <f aca="false">IF(A181="","",IF(F181&lt;&gt;"",F181,J181))</f>
        <v/>
      </c>
    </row>
    <row r="182" customFormat="false" ht="15" hidden="false" customHeight="false" outlineLevel="0" collapsed="false">
      <c r="A182" s="10"/>
      <c r="B182" s="10"/>
      <c r="C182" s="29"/>
      <c r="D182" s="29"/>
      <c r="E182" s="30"/>
      <c r="F182" s="29"/>
      <c r="G182" s="22"/>
      <c r="H182" s="22"/>
      <c r="I182" s="10"/>
      <c r="J182" s="31" t="str">
        <f aca="false">IF(OR(A182="",C182="",E182=""),"",IF(B182="Rundrohr",PI()/4*(C182^2-(C182-2*E182)^2),IF(OR(B182="Quadratrohr",AND(B182="Rechteckrohr",D182&lt;&gt;"")),C182*IF(B182="Quadratrohr",C182,D182)-(C182-2*E182)*(IF(B182="Quadratrohr",C182,D182)-2*E182),"")))</f>
        <v/>
      </c>
      <c r="K182" s="31" t="str">
        <f aca="false">IF(A182="","",IF(F182&lt;&gt;"",F182,J182))</f>
        <v/>
      </c>
    </row>
    <row r="183" customFormat="false" ht="15" hidden="false" customHeight="false" outlineLevel="0" collapsed="false">
      <c r="A183" s="10"/>
      <c r="B183" s="10"/>
      <c r="C183" s="29"/>
      <c r="D183" s="29"/>
      <c r="E183" s="30"/>
      <c r="F183" s="29"/>
      <c r="G183" s="22"/>
      <c r="H183" s="22"/>
      <c r="I183" s="10"/>
      <c r="J183" s="31" t="str">
        <f aca="false">IF(OR(A183="",C183="",E183=""),"",IF(B183="Rundrohr",PI()/4*(C183^2-(C183-2*E183)^2),IF(OR(B183="Quadratrohr",AND(B183="Rechteckrohr",D183&lt;&gt;"")),C183*IF(B183="Quadratrohr",C183,D183)-(C183-2*E183)*(IF(B183="Quadratrohr",C183,D183)-2*E183),"")))</f>
        <v/>
      </c>
      <c r="K183" s="31" t="str">
        <f aca="false">IF(A183="","",IF(F183&lt;&gt;"",F183,J183))</f>
        <v/>
      </c>
    </row>
    <row r="184" customFormat="false" ht="15" hidden="false" customHeight="false" outlineLevel="0" collapsed="false">
      <c r="A184" s="10"/>
      <c r="B184" s="10"/>
      <c r="C184" s="29"/>
      <c r="D184" s="29"/>
      <c r="E184" s="30"/>
      <c r="F184" s="29"/>
      <c r="G184" s="22"/>
      <c r="H184" s="22"/>
      <c r="I184" s="10"/>
      <c r="J184" s="31" t="str">
        <f aca="false">IF(OR(A184="",C184="",E184=""),"",IF(B184="Rundrohr",PI()/4*(C184^2-(C184-2*E184)^2),IF(OR(B184="Quadratrohr",AND(B184="Rechteckrohr",D184&lt;&gt;"")),C184*IF(B184="Quadratrohr",C184,D184)-(C184-2*E184)*(IF(B184="Quadratrohr",C184,D184)-2*E184),"")))</f>
        <v/>
      </c>
      <c r="K184" s="31" t="str">
        <f aca="false">IF(A184="","",IF(F184&lt;&gt;"",F184,J184))</f>
        <v/>
      </c>
    </row>
    <row r="185" customFormat="false" ht="15" hidden="false" customHeight="false" outlineLevel="0" collapsed="false">
      <c r="A185" s="10"/>
      <c r="B185" s="10"/>
      <c r="C185" s="29"/>
      <c r="D185" s="29"/>
      <c r="E185" s="30"/>
      <c r="F185" s="29"/>
      <c r="G185" s="22"/>
      <c r="H185" s="22"/>
      <c r="I185" s="10"/>
      <c r="J185" s="31" t="str">
        <f aca="false">IF(OR(A185="",C185="",E185=""),"",IF(B185="Rundrohr",PI()/4*(C185^2-(C185-2*E185)^2),IF(OR(B185="Quadratrohr",AND(B185="Rechteckrohr",D185&lt;&gt;"")),C185*IF(B185="Quadratrohr",C185,D185)-(C185-2*E185)*(IF(B185="Quadratrohr",C185,D185)-2*E185),"")))</f>
        <v/>
      </c>
      <c r="K185" s="31" t="str">
        <f aca="false">IF(A185="","",IF(F185&lt;&gt;"",F185,J185))</f>
        <v/>
      </c>
    </row>
    <row r="186" customFormat="false" ht="15" hidden="false" customHeight="false" outlineLevel="0" collapsed="false">
      <c r="A186" s="10"/>
      <c r="B186" s="10"/>
      <c r="C186" s="29"/>
      <c r="D186" s="29"/>
      <c r="E186" s="30"/>
      <c r="F186" s="29"/>
      <c r="G186" s="22"/>
      <c r="H186" s="22"/>
      <c r="I186" s="10"/>
      <c r="J186" s="31" t="str">
        <f aca="false">IF(OR(A186="",C186="",E186=""),"",IF(B186="Rundrohr",PI()/4*(C186^2-(C186-2*E186)^2),IF(OR(B186="Quadratrohr",AND(B186="Rechteckrohr",D186&lt;&gt;"")),C186*IF(B186="Quadratrohr",C186,D186)-(C186-2*E186)*(IF(B186="Quadratrohr",C186,D186)-2*E186),"")))</f>
        <v/>
      </c>
      <c r="K186" s="31" t="str">
        <f aca="false">IF(A186="","",IF(F186&lt;&gt;"",F186,J186))</f>
        <v/>
      </c>
    </row>
    <row r="187" customFormat="false" ht="15" hidden="false" customHeight="false" outlineLevel="0" collapsed="false">
      <c r="A187" s="10"/>
      <c r="B187" s="10"/>
      <c r="C187" s="29"/>
      <c r="D187" s="29"/>
      <c r="E187" s="30"/>
      <c r="F187" s="29"/>
      <c r="G187" s="22"/>
      <c r="H187" s="22"/>
      <c r="I187" s="10"/>
      <c r="J187" s="31" t="str">
        <f aca="false">IF(OR(A187="",C187="",E187=""),"",IF(B187="Rundrohr",PI()/4*(C187^2-(C187-2*E187)^2),IF(OR(B187="Quadratrohr",AND(B187="Rechteckrohr",D187&lt;&gt;"")),C187*IF(B187="Quadratrohr",C187,D187)-(C187-2*E187)*(IF(B187="Quadratrohr",C187,D187)-2*E187),"")))</f>
        <v/>
      </c>
      <c r="K187" s="31" t="str">
        <f aca="false">IF(A187="","",IF(F187&lt;&gt;"",F187,J187))</f>
        <v/>
      </c>
    </row>
    <row r="188" customFormat="false" ht="15" hidden="false" customHeight="false" outlineLevel="0" collapsed="false">
      <c r="A188" s="10"/>
      <c r="B188" s="10"/>
      <c r="C188" s="29"/>
      <c r="D188" s="29"/>
      <c r="E188" s="30"/>
      <c r="F188" s="29"/>
      <c r="G188" s="22"/>
      <c r="H188" s="22"/>
      <c r="I188" s="10"/>
      <c r="J188" s="31" t="str">
        <f aca="false">IF(OR(A188="",C188="",E188=""),"",IF(B188="Rundrohr",PI()/4*(C188^2-(C188-2*E188)^2),IF(OR(B188="Quadratrohr",AND(B188="Rechteckrohr",D188&lt;&gt;"")),C188*IF(B188="Quadratrohr",C188,D188)-(C188-2*E188)*(IF(B188="Quadratrohr",C188,D188)-2*E188),"")))</f>
        <v/>
      </c>
      <c r="K188" s="31" t="str">
        <f aca="false">IF(A188="","",IF(F188&lt;&gt;"",F188,J188))</f>
        <v/>
      </c>
    </row>
    <row r="189" customFormat="false" ht="15" hidden="false" customHeight="false" outlineLevel="0" collapsed="false">
      <c r="A189" s="10"/>
      <c r="B189" s="10"/>
      <c r="C189" s="29"/>
      <c r="D189" s="29"/>
      <c r="E189" s="30"/>
      <c r="F189" s="29"/>
      <c r="G189" s="22"/>
      <c r="H189" s="22"/>
      <c r="I189" s="10"/>
      <c r="J189" s="31" t="str">
        <f aca="false">IF(OR(A189="",C189="",E189=""),"",IF(B189="Rundrohr",PI()/4*(C189^2-(C189-2*E189)^2),IF(OR(B189="Quadratrohr",AND(B189="Rechteckrohr",D189&lt;&gt;"")),C189*IF(B189="Quadratrohr",C189,D189)-(C189-2*E189)*(IF(B189="Quadratrohr",C189,D189)-2*E189),"")))</f>
        <v/>
      </c>
      <c r="K189" s="31" t="str">
        <f aca="false">IF(A189="","",IF(F189&lt;&gt;"",F189,J189))</f>
        <v/>
      </c>
    </row>
    <row r="190" customFormat="false" ht="15" hidden="false" customHeight="false" outlineLevel="0" collapsed="false">
      <c r="A190" s="10"/>
      <c r="B190" s="10"/>
      <c r="C190" s="29"/>
      <c r="D190" s="29"/>
      <c r="E190" s="30"/>
      <c r="F190" s="29"/>
      <c r="G190" s="22"/>
      <c r="H190" s="22"/>
      <c r="I190" s="10"/>
      <c r="J190" s="31" t="str">
        <f aca="false">IF(OR(A190="",C190="",E190=""),"",IF(B190="Rundrohr",PI()/4*(C190^2-(C190-2*E190)^2),IF(OR(B190="Quadratrohr",AND(B190="Rechteckrohr",D190&lt;&gt;"")),C190*IF(B190="Quadratrohr",C190,D190)-(C190-2*E190)*(IF(B190="Quadratrohr",C190,D190)-2*E190),"")))</f>
        <v/>
      </c>
      <c r="K190" s="31" t="str">
        <f aca="false">IF(A190="","",IF(F190&lt;&gt;"",F190,J190))</f>
        <v/>
      </c>
    </row>
    <row r="191" customFormat="false" ht="15" hidden="false" customHeight="false" outlineLevel="0" collapsed="false">
      <c r="A191" s="10"/>
      <c r="B191" s="10"/>
      <c r="C191" s="29"/>
      <c r="D191" s="29"/>
      <c r="E191" s="30"/>
      <c r="F191" s="29"/>
      <c r="G191" s="22"/>
      <c r="H191" s="22"/>
      <c r="I191" s="10"/>
      <c r="J191" s="31" t="str">
        <f aca="false">IF(OR(A191="",C191="",E191=""),"",IF(B191="Rundrohr",PI()/4*(C191^2-(C191-2*E191)^2),IF(OR(B191="Quadratrohr",AND(B191="Rechteckrohr",D191&lt;&gt;"")),C191*IF(B191="Quadratrohr",C191,D191)-(C191-2*E191)*(IF(B191="Quadratrohr",C191,D191)-2*E191),"")))</f>
        <v/>
      </c>
      <c r="K191" s="31" t="str">
        <f aca="false">IF(A191="","",IF(F191&lt;&gt;"",F191,J191))</f>
        <v/>
      </c>
    </row>
    <row r="192" customFormat="false" ht="15" hidden="false" customHeight="false" outlineLevel="0" collapsed="false">
      <c r="A192" s="10"/>
      <c r="B192" s="10"/>
      <c r="C192" s="29"/>
      <c r="D192" s="29"/>
      <c r="E192" s="30"/>
      <c r="F192" s="29"/>
      <c r="G192" s="22"/>
      <c r="H192" s="22"/>
      <c r="I192" s="10"/>
      <c r="J192" s="31" t="str">
        <f aca="false">IF(OR(A192="",C192="",E192=""),"",IF(B192="Rundrohr",PI()/4*(C192^2-(C192-2*E192)^2),IF(OR(B192="Quadratrohr",AND(B192="Rechteckrohr",D192&lt;&gt;"")),C192*IF(B192="Quadratrohr",C192,D192)-(C192-2*E192)*(IF(B192="Quadratrohr",C192,D192)-2*E192),"")))</f>
        <v/>
      </c>
      <c r="K192" s="31" t="str">
        <f aca="false">IF(A192="","",IF(F192&lt;&gt;"",F192,J192))</f>
        <v/>
      </c>
    </row>
    <row r="193" customFormat="false" ht="15" hidden="false" customHeight="false" outlineLevel="0" collapsed="false">
      <c r="A193" s="10"/>
      <c r="B193" s="10"/>
      <c r="C193" s="29"/>
      <c r="D193" s="29"/>
      <c r="E193" s="30"/>
      <c r="F193" s="29"/>
      <c r="G193" s="22"/>
      <c r="H193" s="22"/>
      <c r="I193" s="10"/>
      <c r="J193" s="31" t="str">
        <f aca="false">IF(OR(A193="",C193="",E193=""),"",IF(B193="Rundrohr",PI()/4*(C193^2-(C193-2*E193)^2),IF(OR(B193="Quadratrohr",AND(B193="Rechteckrohr",D193&lt;&gt;"")),C193*IF(B193="Quadratrohr",C193,D193)-(C193-2*E193)*(IF(B193="Quadratrohr",C193,D193)-2*E193),"")))</f>
        <v/>
      </c>
      <c r="K193" s="31" t="str">
        <f aca="false">IF(A193="","",IF(F193&lt;&gt;"",F193,J193))</f>
        <v/>
      </c>
    </row>
    <row r="194" customFormat="false" ht="15" hidden="false" customHeight="false" outlineLevel="0" collapsed="false">
      <c r="A194" s="10"/>
      <c r="B194" s="10"/>
      <c r="C194" s="29"/>
      <c r="D194" s="29"/>
      <c r="E194" s="30"/>
      <c r="F194" s="29"/>
      <c r="G194" s="22"/>
      <c r="H194" s="22"/>
      <c r="I194" s="10"/>
      <c r="J194" s="31" t="str">
        <f aca="false">IF(OR(A194="",C194="",E194=""),"",IF(B194="Rundrohr",PI()/4*(C194^2-(C194-2*E194)^2),IF(OR(B194="Quadratrohr",AND(B194="Rechteckrohr",D194&lt;&gt;"")),C194*IF(B194="Quadratrohr",C194,D194)-(C194-2*E194)*(IF(B194="Quadratrohr",C194,D194)-2*E194),"")))</f>
        <v/>
      </c>
      <c r="K194" s="31" t="str">
        <f aca="false">IF(A194="","",IF(F194&lt;&gt;"",F194,J194))</f>
        <v/>
      </c>
    </row>
    <row r="195" customFormat="false" ht="15" hidden="false" customHeight="false" outlineLevel="0" collapsed="false">
      <c r="A195" s="10"/>
      <c r="B195" s="10"/>
      <c r="C195" s="29"/>
      <c r="D195" s="29"/>
      <c r="E195" s="30"/>
      <c r="F195" s="29"/>
      <c r="G195" s="22"/>
      <c r="H195" s="22"/>
      <c r="I195" s="10"/>
      <c r="J195" s="31" t="str">
        <f aca="false">IF(OR(A195="",C195="",E195=""),"",IF(B195="Rundrohr",PI()/4*(C195^2-(C195-2*E195)^2),IF(OR(B195="Quadratrohr",AND(B195="Rechteckrohr",D195&lt;&gt;"")),C195*IF(B195="Quadratrohr",C195,D195)-(C195-2*E195)*(IF(B195="Quadratrohr",C195,D195)-2*E195),"")))</f>
        <v/>
      </c>
      <c r="K195" s="31" t="str">
        <f aca="false">IF(A195="","",IF(F195&lt;&gt;"",F195,J195))</f>
        <v/>
      </c>
    </row>
    <row r="196" customFormat="false" ht="15" hidden="false" customHeight="false" outlineLevel="0" collapsed="false">
      <c r="A196" s="10"/>
      <c r="B196" s="10"/>
      <c r="C196" s="29"/>
      <c r="D196" s="29"/>
      <c r="E196" s="30"/>
      <c r="F196" s="29"/>
      <c r="G196" s="22"/>
      <c r="H196" s="22"/>
      <c r="I196" s="10"/>
      <c r="J196" s="31" t="str">
        <f aca="false">IF(OR(A196="",C196="",E196=""),"",IF(B196="Rundrohr",PI()/4*(C196^2-(C196-2*E196)^2),IF(OR(B196="Quadratrohr",AND(B196="Rechteckrohr",D196&lt;&gt;"")),C196*IF(B196="Quadratrohr",C196,D196)-(C196-2*E196)*(IF(B196="Quadratrohr",C196,D196)-2*E196),"")))</f>
        <v/>
      </c>
      <c r="K196" s="31" t="str">
        <f aca="false">IF(A196="","",IF(F196&lt;&gt;"",F196,J196))</f>
        <v/>
      </c>
    </row>
    <row r="197" customFormat="false" ht="15" hidden="false" customHeight="false" outlineLevel="0" collapsed="false">
      <c r="A197" s="10"/>
      <c r="B197" s="10"/>
      <c r="C197" s="29"/>
      <c r="D197" s="29"/>
      <c r="E197" s="30"/>
      <c r="F197" s="29"/>
      <c r="G197" s="22"/>
      <c r="H197" s="22"/>
      <c r="I197" s="10"/>
      <c r="J197" s="31" t="str">
        <f aca="false">IF(OR(A197="",C197="",E197=""),"",IF(B197="Rundrohr",PI()/4*(C197^2-(C197-2*E197)^2),IF(OR(B197="Quadratrohr",AND(B197="Rechteckrohr",D197&lt;&gt;"")),C197*IF(B197="Quadratrohr",C197,D197)-(C197-2*E197)*(IF(B197="Quadratrohr",C197,D197)-2*E197),"")))</f>
        <v/>
      </c>
      <c r="K197" s="31" t="str">
        <f aca="false">IF(A197="","",IF(F197&lt;&gt;"",F197,J197))</f>
        <v/>
      </c>
    </row>
    <row r="198" customFormat="false" ht="15" hidden="false" customHeight="false" outlineLevel="0" collapsed="false">
      <c r="A198" s="10"/>
      <c r="B198" s="10"/>
      <c r="C198" s="29"/>
      <c r="D198" s="29"/>
      <c r="E198" s="30"/>
      <c r="F198" s="29"/>
      <c r="G198" s="22"/>
      <c r="H198" s="22"/>
      <c r="I198" s="10"/>
      <c r="J198" s="31" t="str">
        <f aca="false">IF(OR(A198="",C198="",E198=""),"",IF(B198="Rundrohr",PI()/4*(C198^2-(C198-2*E198)^2),IF(OR(B198="Quadratrohr",AND(B198="Rechteckrohr",D198&lt;&gt;"")),C198*IF(B198="Quadratrohr",C198,D198)-(C198-2*E198)*(IF(B198="Quadratrohr",C198,D198)-2*E198),"")))</f>
        <v/>
      </c>
      <c r="K198" s="31" t="str">
        <f aca="false">IF(A198="","",IF(F198&lt;&gt;"",F198,J198))</f>
        <v/>
      </c>
    </row>
    <row r="199" customFormat="false" ht="15" hidden="false" customHeight="false" outlineLevel="0" collapsed="false">
      <c r="A199" s="10"/>
      <c r="B199" s="10"/>
      <c r="C199" s="29"/>
      <c r="D199" s="29"/>
      <c r="E199" s="30"/>
      <c r="F199" s="29"/>
      <c r="G199" s="22"/>
      <c r="H199" s="22"/>
      <c r="I199" s="10"/>
      <c r="J199" s="31" t="str">
        <f aca="false">IF(OR(A199="",C199="",E199=""),"",IF(B199="Rundrohr",PI()/4*(C199^2-(C199-2*E199)^2),IF(OR(B199="Quadratrohr",AND(B199="Rechteckrohr",D199&lt;&gt;"")),C199*IF(B199="Quadratrohr",C199,D199)-(C199-2*E199)*(IF(B199="Quadratrohr",C199,D199)-2*E199),"")))</f>
        <v/>
      </c>
      <c r="K199" s="31" t="str">
        <f aca="false">IF(A199="","",IF(F199&lt;&gt;"",F199,J199))</f>
        <v/>
      </c>
    </row>
    <row r="200" customFormat="false" ht="15" hidden="false" customHeight="false" outlineLevel="0" collapsed="false">
      <c r="A200" s="10"/>
      <c r="B200" s="10"/>
      <c r="C200" s="29"/>
      <c r="D200" s="29"/>
      <c r="E200" s="30"/>
      <c r="F200" s="29"/>
      <c r="G200" s="22"/>
      <c r="H200" s="22"/>
      <c r="I200" s="10"/>
      <c r="J200" s="31" t="str">
        <f aca="false">IF(OR(A200="",C200="",E200=""),"",IF(B200="Rundrohr",PI()/4*(C200^2-(C200-2*E200)^2),IF(OR(B200="Quadratrohr",AND(B200="Rechteckrohr",D200&lt;&gt;"")),C200*IF(B200="Quadratrohr",C200,D200)-(C200-2*E200)*(IF(B200="Quadratrohr",C200,D200)-2*E200),"")))</f>
        <v/>
      </c>
      <c r="K200" s="31" t="str">
        <f aca="false">IF(A200="","",IF(F200&lt;&gt;"",F200,J200))</f>
        <v/>
      </c>
    </row>
    <row r="201" customFormat="false" ht="15" hidden="false" customHeight="false" outlineLevel="0" collapsed="false">
      <c r="A201" s="10"/>
      <c r="B201" s="10"/>
      <c r="C201" s="29"/>
      <c r="D201" s="29"/>
      <c r="E201" s="30"/>
      <c r="F201" s="29"/>
      <c r="G201" s="22"/>
      <c r="H201" s="22"/>
      <c r="I201" s="10"/>
      <c r="J201" s="31" t="str">
        <f aca="false">IF(OR(A201="",C201="",E201=""),"",IF(B201="Rundrohr",PI()/4*(C201^2-(C201-2*E201)^2),IF(OR(B201="Quadratrohr",AND(B201="Rechteckrohr",D201&lt;&gt;"")),C201*IF(B201="Quadratrohr",C201,D201)-(C201-2*E201)*(IF(B201="Quadratrohr",C201,D201)-2*E201),"")))</f>
        <v/>
      </c>
      <c r="K201" s="31" t="str">
        <f aca="false">IF(A201="","",IF(F201&lt;&gt;"",F201,J201))</f>
        <v/>
      </c>
    </row>
    <row r="202" customFormat="false" ht="15" hidden="false" customHeight="false" outlineLevel="0" collapsed="false">
      <c r="A202" s="10"/>
      <c r="B202" s="10"/>
      <c r="C202" s="29"/>
      <c r="D202" s="29"/>
      <c r="E202" s="30"/>
      <c r="F202" s="29"/>
      <c r="G202" s="22"/>
      <c r="H202" s="22"/>
      <c r="I202" s="10"/>
      <c r="J202" s="31" t="str">
        <f aca="false">IF(OR(A202="",C202="",E202=""),"",IF(B202="Rundrohr",PI()/4*(C202^2-(C202-2*E202)^2),IF(OR(B202="Quadratrohr",AND(B202="Rechteckrohr",D202&lt;&gt;"")),C202*IF(B202="Quadratrohr",C202,D202)-(C202-2*E202)*(IF(B202="Quadratrohr",C202,D202)-2*E202),"")))</f>
        <v/>
      </c>
      <c r="K202" s="31" t="str">
        <f aca="false">IF(A202="","",IF(F202&lt;&gt;"",F202,J202))</f>
        <v/>
      </c>
    </row>
    <row r="203" customFormat="false" ht="15" hidden="false" customHeight="false" outlineLevel="0" collapsed="false">
      <c r="A203" s="10"/>
      <c r="B203" s="10"/>
      <c r="C203" s="29"/>
      <c r="D203" s="29"/>
      <c r="E203" s="30"/>
      <c r="F203" s="29"/>
      <c r="G203" s="22"/>
      <c r="H203" s="22"/>
      <c r="I203" s="10"/>
      <c r="J203" s="31" t="str">
        <f aca="false">IF(OR(A203="",C203="",E203=""),"",IF(B203="Rundrohr",PI()/4*(C203^2-(C203-2*E203)^2),IF(OR(B203="Quadratrohr",AND(B203="Rechteckrohr",D203&lt;&gt;"")),C203*IF(B203="Quadratrohr",C203,D203)-(C203-2*E203)*(IF(B203="Quadratrohr",C203,D203)-2*E203),"")))</f>
        <v/>
      </c>
      <c r="K203" s="31" t="str">
        <f aca="false">IF(A203="","",IF(F203&lt;&gt;"",F203,J203))</f>
        <v/>
      </c>
    </row>
    <row r="204" customFormat="false" ht="15" hidden="false" customHeight="false" outlineLevel="0" collapsed="false">
      <c r="A204" s="10"/>
      <c r="B204" s="10"/>
      <c r="C204" s="29"/>
      <c r="D204" s="29"/>
      <c r="E204" s="30"/>
      <c r="F204" s="29"/>
      <c r="G204" s="22"/>
      <c r="H204" s="22"/>
      <c r="I204" s="10"/>
      <c r="J204" s="31" t="str">
        <f aca="false">IF(OR(A204="",C204="",E204=""),"",IF(B204="Rundrohr",PI()/4*(C204^2-(C204-2*E204)^2),IF(OR(B204="Quadratrohr",AND(B204="Rechteckrohr",D204&lt;&gt;"")),C204*IF(B204="Quadratrohr",C204,D204)-(C204-2*E204)*(IF(B204="Quadratrohr",C204,D204)-2*E204),"")))</f>
        <v/>
      </c>
      <c r="K204" s="31" t="str">
        <f aca="false">IF(A204="","",IF(F204&lt;&gt;"",F204,J204))</f>
        <v/>
      </c>
    </row>
    <row r="205" customFormat="false" ht="15" hidden="false" customHeight="false" outlineLevel="0" collapsed="false">
      <c r="A205" s="10"/>
      <c r="B205" s="10"/>
      <c r="C205" s="29"/>
      <c r="D205" s="29"/>
      <c r="E205" s="30"/>
      <c r="F205" s="29"/>
      <c r="G205" s="22"/>
      <c r="H205" s="22"/>
      <c r="I205" s="10"/>
      <c r="J205" s="31" t="str">
        <f aca="false">IF(OR(A205="",C205="",E205=""),"",IF(B205="Rundrohr",PI()/4*(C205^2-(C205-2*E205)^2),IF(OR(B205="Quadratrohr",AND(B205="Rechteckrohr",D205&lt;&gt;"")),C205*IF(B205="Quadratrohr",C205,D205)-(C205-2*E205)*(IF(B205="Quadratrohr",C205,D205)-2*E205),"")))</f>
        <v/>
      </c>
      <c r="K205" s="31" t="str">
        <f aca="false">IF(A205="","",IF(F205&lt;&gt;"",F205,J205))</f>
        <v/>
      </c>
    </row>
    <row r="206" customFormat="false" ht="15" hidden="false" customHeight="false" outlineLevel="0" collapsed="false">
      <c r="A206" s="10"/>
      <c r="B206" s="10"/>
      <c r="C206" s="29"/>
      <c r="D206" s="29"/>
      <c r="E206" s="30"/>
      <c r="F206" s="29"/>
      <c r="G206" s="22"/>
      <c r="H206" s="22"/>
      <c r="I206" s="10"/>
      <c r="J206" s="31" t="str">
        <f aca="false">IF(OR(A206="",C206="",E206=""),"",IF(B206="Rundrohr",PI()/4*(C206^2-(C206-2*E206)^2),IF(OR(B206="Quadratrohr",AND(B206="Rechteckrohr",D206&lt;&gt;"")),C206*IF(B206="Quadratrohr",C206,D206)-(C206-2*E206)*(IF(B206="Quadratrohr",C206,D206)-2*E206),"")))</f>
        <v/>
      </c>
      <c r="K206" s="31" t="str">
        <f aca="false">IF(A206="","",IF(F206&lt;&gt;"",F206,J206))</f>
        <v/>
      </c>
    </row>
    <row r="207" customFormat="false" ht="15" hidden="false" customHeight="false" outlineLevel="0" collapsed="false">
      <c r="A207" s="10"/>
      <c r="B207" s="10"/>
      <c r="C207" s="29"/>
      <c r="D207" s="29"/>
      <c r="E207" s="30"/>
      <c r="F207" s="29"/>
      <c r="G207" s="22"/>
      <c r="H207" s="22"/>
      <c r="I207" s="10"/>
      <c r="J207" s="31" t="str">
        <f aca="false">IF(OR(A207="",C207="",E207=""),"",IF(B207="Rundrohr",PI()/4*(C207^2-(C207-2*E207)^2),IF(OR(B207="Quadratrohr",AND(B207="Rechteckrohr",D207&lt;&gt;"")),C207*IF(B207="Quadratrohr",C207,D207)-(C207-2*E207)*(IF(B207="Quadratrohr",C207,D207)-2*E207),"")))</f>
        <v/>
      </c>
      <c r="K207" s="31" t="str">
        <f aca="false">IF(A207="","",IF(F207&lt;&gt;"",F207,J207))</f>
        <v/>
      </c>
    </row>
    <row r="208" customFormat="false" ht="15" hidden="false" customHeight="false" outlineLevel="0" collapsed="false">
      <c r="A208" s="10"/>
      <c r="B208" s="10"/>
      <c r="C208" s="29"/>
      <c r="D208" s="29"/>
      <c r="E208" s="30"/>
      <c r="F208" s="29"/>
      <c r="G208" s="22"/>
      <c r="H208" s="22"/>
      <c r="I208" s="10"/>
      <c r="J208" s="31" t="str">
        <f aca="false">IF(OR(A208="",C208="",E208=""),"",IF(B208="Rundrohr",PI()/4*(C208^2-(C208-2*E208)^2),IF(OR(B208="Quadratrohr",AND(B208="Rechteckrohr",D208&lt;&gt;"")),C208*IF(B208="Quadratrohr",C208,D208)-(C208-2*E208)*(IF(B208="Quadratrohr",C208,D208)-2*E208),"")))</f>
        <v/>
      </c>
      <c r="K208" s="31" t="str">
        <f aca="false">IF(A208="","",IF(F208&lt;&gt;"",F208,J208))</f>
        <v/>
      </c>
    </row>
    <row r="209" customFormat="false" ht="15" hidden="false" customHeight="false" outlineLevel="0" collapsed="false">
      <c r="A209" s="10"/>
      <c r="B209" s="10"/>
      <c r="C209" s="29"/>
      <c r="D209" s="29"/>
      <c r="E209" s="30"/>
      <c r="F209" s="29"/>
      <c r="G209" s="22"/>
      <c r="H209" s="22"/>
      <c r="I209" s="10"/>
      <c r="J209" s="31" t="str">
        <f aca="false">IF(OR(A209="",C209="",E209=""),"",IF(B209="Rundrohr",PI()/4*(C209^2-(C209-2*E209)^2),IF(OR(B209="Quadratrohr",AND(B209="Rechteckrohr",D209&lt;&gt;"")),C209*IF(B209="Quadratrohr",C209,D209)-(C209-2*E209)*(IF(B209="Quadratrohr",C209,D209)-2*E209),"")))</f>
        <v/>
      </c>
      <c r="K209" s="31" t="str">
        <f aca="false">IF(A209="","",IF(F209&lt;&gt;"",F209,J209))</f>
        <v/>
      </c>
    </row>
    <row r="210" customFormat="false" ht="15" hidden="false" customHeight="false" outlineLevel="0" collapsed="false">
      <c r="A210" s="10"/>
      <c r="B210" s="10"/>
      <c r="C210" s="29"/>
      <c r="D210" s="29"/>
      <c r="E210" s="30"/>
      <c r="F210" s="29"/>
      <c r="G210" s="22"/>
      <c r="H210" s="22"/>
      <c r="I210" s="10"/>
      <c r="J210" s="31" t="str">
        <f aca="false">IF(OR(A210="",C210="",E210=""),"",IF(B210="Rundrohr",PI()/4*(C210^2-(C210-2*E210)^2),IF(OR(B210="Quadratrohr",AND(B210="Rechteckrohr",D210&lt;&gt;"")),C210*IF(B210="Quadratrohr",C210,D210)-(C210-2*E210)*(IF(B210="Quadratrohr",C210,D210)-2*E210),"")))</f>
        <v/>
      </c>
      <c r="K210" s="31" t="str">
        <f aca="false">IF(A210="","",IF(F210&lt;&gt;"",F210,J210))</f>
        <v/>
      </c>
    </row>
    <row r="211" customFormat="false" ht="15" hidden="false" customHeight="false" outlineLevel="0" collapsed="false">
      <c r="A211" s="10"/>
      <c r="B211" s="10"/>
      <c r="C211" s="29"/>
      <c r="D211" s="29"/>
      <c r="E211" s="30"/>
      <c r="F211" s="29"/>
      <c r="G211" s="22"/>
      <c r="H211" s="22"/>
      <c r="I211" s="10"/>
      <c r="J211" s="31" t="str">
        <f aca="false">IF(OR(A211="",C211="",E211=""),"",IF(B211="Rundrohr",PI()/4*(C211^2-(C211-2*E211)^2),IF(OR(B211="Quadratrohr",AND(B211="Rechteckrohr",D211&lt;&gt;"")),C211*IF(B211="Quadratrohr",C211,D211)-(C211-2*E211)*(IF(B211="Quadratrohr",C211,D211)-2*E211),"")))</f>
        <v/>
      </c>
      <c r="K211" s="31" t="str">
        <f aca="false">IF(A211="","",IF(F211&lt;&gt;"",F211,J211))</f>
        <v/>
      </c>
    </row>
    <row r="212" customFormat="false" ht="15" hidden="false" customHeight="false" outlineLevel="0" collapsed="false">
      <c r="A212" s="10"/>
      <c r="B212" s="10"/>
      <c r="C212" s="29"/>
      <c r="D212" s="29"/>
      <c r="E212" s="30"/>
      <c r="F212" s="29"/>
      <c r="G212" s="22"/>
      <c r="H212" s="22"/>
      <c r="I212" s="10"/>
      <c r="J212" s="31" t="str">
        <f aca="false">IF(OR(A212="",C212="",E212=""),"",IF(B212="Rundrohr",PI()/4*(C212^2-(C212-2*E212)^2),IF(OR(B212="Quadratrohr",AND(B212="Rechteckrohr",D212&lt;&gt;"")),C212*IF(B212="Quadratrohr",C212,D212)-(C212-2*E212)*(IF(B212="Quadratrohr",C212,D212)-2*E212),"")))</f>
        <v/>
      </c>
      <c r="K212" s="31" t="str">
        <f aca="false">IF(A212="","",IF(F212&lt;&gt;"",F212,J212))</f>
        <v/>
      </c>
    </row>
    <row r="213" customFormat="false" ht="15" hidden="false" customHeight="false" outlineLevel="0" collapsed="false">
      <c r="A213" s="10"/>
      <c r="B213" s="10"/>
      <c r="C213" s="29"/>
      <c r="D213" s="29"/>
      <c r="E213" s="30"/>
      <c r="F213" s="29"/>
      <c r="G213" s="22"/>
      <c r="H213" s="22"/>
      <c r="I213" s="10"/>
      <c r="J213" s="31" t="str">
        <f aca="false">IF(OR(A213="",C213="",E213=""),"",IF(B213="Rundrohr",PI()/4*(C213^2-(C213-2*E213)^2),IF(OR(B213="Quadratrohr",AND(B213="Rechteckrohr",D213&lt;&gt;"")),C213*IF(B213="Quadratrohr",C213,D213)-(C213-2*E213)*(IF(B213="Quadratrohr",C213,D213)-2*E213),"")))</f>
        <v/>
      </c>
      <c r="K213" s="31" t="str">
        <f aca="false">IF(A213="","",IF(F213&lt;&gt;"",F213,J213))</f>
        <v/>
      </c>
    </row>
    <row r="214" customFormat="false" ht="15" hidden="false" customHeight="false" outlineLevel="0" collapsed="false">
      <c r="A214" s="10"/>
      <c r="B214" s="10"/>
      <c r="C214" s="29"/>
      <c r="D214" s="29"/>
      <c r="E214" s="30"/>
      <c r="F214" s="29"/>
      <c r="G214" s="22"/>
      <c r="H214" s="22"/>
      <c r="I214" s="10"/>
      <c r="J214" s="31" t="str">
        <f aca="false">IF(OR(A214="",C214="",E214=""),"",IF(B214="Rundrohr",PI()/4*(C214^2-(C214-2*E214)^2),IF(OR(B214="Quadratrohr",AND(B214="Rechteckrohr",D214&lt;&gt;"")),C214*IF(B214="Quadratrohr",C214,D214)-(C214-2*E214)*(IF(B214="Quadratrohr",C214,D214)-2*E214),"")))</f>
        <v/>
      </c>
      <c r="K214" s="31" t="str">
        <f aca="false">IF(A214="","",IF(F214&lt;&gt;"",F214,J214))</f>
        <v/>
      </c>
    </row>
    <row r="215" customFormat="false" ht="15" hidden="false" customHeight="false" outlineLevel="0" collapsed="false">
      <c r="A215" s="10"/>
      <c r="B215" s="10"/>
      <c r="C215" s="29"/>
      <c r="D215" s="29"/>
      <c r="E215" s="30"/>
      <c r="F215" s="29"/>
      <c r="G215" s="22"/>
      <c r="H215" s="22"/>
      <c r="I215" s="10"/>
      <c r="J215" s="31" t="str">
        <f aca="false">IF(OR(A215="",C215="",E215=""),"",IF(B215="Rundrohr",PI()/4*(C215^2-(C215-2*E215)^2),IF(OR(B215="Quadratrohr",AND(B215="Rechteckrohr",D215&lt;&gt;"")),C215*IF(B215="Quadratrohr",C215,D215)-(C215-2*E215)*(IF(B215="Quadratrohr",C215,D215)-2*E215),"")))</f>
        <v/>
      </c>
      <c r="K215" s="31" t="str">
        <f aca="false">IF(A215="","",IF(F215&lt;&gt;"",F215,J215))</f>
        <v/>
      </c>
    </row>
    <row r="216" customFormat="false" ht="15" hidden="false" customHeight="false" outlineLevel="0" collapsed="false">
      <c r="A216" s="10"/>
      <c r="B216" s="10"/>
      <c r="C216" s="29"/>
      <c r="D216" s="29"/>
      <c r="E216" s="30"/>
      <c r="F216" s="29"/>
      <c r="G216" s="22"/>
      <c r="H216" s="22"/>
      <c r="I216" s="10"/>
      <c r="J216" s="31" t="str">
        <f aca="false">IF(OR(A216="",C216="",E216=""),"",IF(B216="Rundrohr",PI()/4*(C216^2-(C216-2*E216)^2),IF(OR(B216="Quadratrohr",AND(B216="Rechteckrohr",D216&lt;&gt;"")),C216*IF(B216="Quadratrohr",C216,D216)-(C216-2*E216)*(IF(B216="Quadratrohr",C216,D216)-2*E216),"")))</f>
        <v/>
      </c>
      <c r="K216" s="31" t="str">
        <f aca="false">IF(A216="","",IF(F216&lt;&gt;"",F216,J216))</f>
        <v/>
      </c>
    </row>
    <row r="217" customFormat="false" ht="15" hidden="false" customHeight="false" outlineLevel="0" collapsed="false">
      <c r="A217" s="10"/>
      <c r="B217" s="10"/>
      <c r="C217" s="29"/>
      <c r="D217" s="29"/>
      <c r="E217" s="30"/>
      <c r="F217" s="29"/>
      <c r="G217" s="22"/>
      <c r="H217" s="22"/>
      <c r="I217" s="10"/>
      <c r="J217" s="31" t="str">
        <f aca="false">IF(OR(A217="",C217="",E217=""),"",IF(B217="Rundrohr",PI()/4*(C217^2-(C217-2*E217)^2),IF(OR(B217="Quadratrohr",AND(B217="Rechteckrohr",D217&lt;&gt;"")),C217*IF(B217="Quadratrohr",C217,D217)-(C217-2*E217)*(IF(B217="Quadratrohr",C217,D217)-2*E217),"")))</f>
        <v/>
      </c>
      <c r="K217" s="31" t="str">
        <f aca="false">IF(A217="","",IF(F217&lt;&gt;"",F217,J217))</f>
        <v/>
      </c>
    </row>
    <row r="218" customFormat="false" ht="15" hidden="false" customHeight="false" outlineLevel="0" collapsed="false">
      <c r="A218" s="10"/>
      <c r="B218" s="10"/>
      <c r="C218" s="29"/>
      <c r="D218" s="29"/>
      <c r="E218" s="30"/>
      <c r="F218" s="29"/>
      <c r="G218" s="22"/>
      <c r="H218" s="22"/>
      <c r="I218" s="10"/>
      <c r="J218" s="31" t="str">
        <f aca="false">IF(OR(A218="",C218="",E218=""),"",IF(B218="Rundrohr",PI()/4*(C218^2-(C218-2*E218)^2),IF(OR(B218="Quadratrohr",AND(B218="Rechteckrohr",D218&lt;&gt;"")),C218*IF(B218="Quadratrohr",C218,D218)-(C218-2*E218)*(IF(B218="Quadratrohr",C218,D218)-2*E218),"")))</f>
        <v/>
      </c>
      <c r="K218" s="31" t="str">
        <f aca="false">IF(A218="","",IF(F218&lt;&gt;"",F218,J218))</f>
        <v/>
      </c>
    </row>
    <row r="219" customFormat="false" ht="15" hidden="false" customHeight="false" outlineLevel="0" collapsed="false">
      <c r="A219" s="10"/>
      <c r="B219" s="10"/>
      <c r="C219" s="29"/>
      <c r="D219" s="29"/>
      <c r="E219" s="30"/>
      <c r="F219" s="29"/>
      <c r="G219" s="22"/>
      <c r="H219" s="22"/>
      <c r="I219" s="10"/>
      <c r="J219" s="31" t="str">
        <f aca="false">IF(OR(A219="",C219="",E219=""),"",IF(B219="Rundrohr",PI()/4*(C219^2-(C219-2*E219)^2),IF(OR(B219="Quadratrohr",AND(B219="Rechteckrohr",D219&lt;&gt;"")),C219*IF(B219="Quadratrohr",C219,D219)-(C219-2*E219)*(IF(B219="Quadratrohr",C219,D219)-2*E219),"")))</f>
        <v/>
      </c>
      <c r="K219" s="31" t="str">
        <f aca="false">IF(A219="","",IF(F219&lt;&gt;"",F219,J219))</f>
        <v/>
      </c>
    </row>
    <row r="220" customFormat="false" ht="15" hidden="false" customHeight="false" outlineLevel="0" collapsed="false">
      <c r="A220" s="10"/>
      <c r="B220" s="10"/>
      <c r="C220" s="29"/>
      <c r="D220" s="29"/>
      <c r="E220" s="30"/>
      <c r="F220" s="29"/>
      <c r="G220" s="22"/>
      <c r="H220" s="22"/>
      <c r="I220" s="10"/>
      <c r="J220" s="31" t="str">
        <f aca="false">IF(OR(A220="",C220="",E220=""),"",IF(B220="Rundrohr",PI()/4*(C220^2-(C220-2*E220)^2),IF(OR(B220="Quadratrohr",AND(B220="Rechteckrohr",D220&lt;&gt;"")),C220*IF(B220="Quadratrohr",C220,D220)-(C220-2*E220)*(IF(B220="Quadratrohr",C220,D220)-2*E220),"")))</f>
        <v/>
      </c>
      <c r="K220" s="31" t="str">
        <f aca="false">IF(A220="","",IF(F220&lt;&gt;"",F220,J220))</f>
        <v/>
      </c>
    </row>
    <row r="221" customFormat="false" ht="15" hidden="false" customHeight="false" outlineLevel="0" collapsed="false">
      <c r="A221" s="10"/>
      <c r="B221" s="10"/>
      <c r="C221" s="29"/>
      <c r="D221" s="29"/>
      <c r="E221" s="30"/>
      <c r="F221" s="29"/>
      <c r="G221" s="22"/>
      <c r="H221" s="22"/>
      <c r="I221" s="10"/>
      <c r="J221" s="31" t="str">
        <f aca="false">IF(OR(A221="",C221="",E221=""),"",IF(B221="Rundrohr",PI()/4*(C221^2-(C221-2*E221)^2),IF(OR(B221="Quadratrohr",AND(B221="Rechteckrohr",D221&lt;&gt;"")),C221*IF(B221="Quadratrohr",C221,D221)-(C221-2*E221)*(IF(B221="Quadratrohr",C221,D221)-2*E221),"")))</f>
        <v/>
      </c>
      <c r="K221" s="31" t="str">
        <f aca="false">IF(A221="","",IF(F221&lt;&gt;"",F221,J221))</f>
        <v/>
      </c>
    </row>
    <row r="222" customFormat="false" ht="15" hidden="false" customHeight="false" outlineLevel="0" collapsed="false">
      <c r="A222" s="10"/>
      <c r="B222" s="10"/>
      <c r="C222" s="29"/>
      <c r="D222" s="29"/>
      <c r="E222" s="30"/>
      <c r="F222" s="29"/>
      <c r="G222" s="22"/>
      <c r="H222" s="22"/>
      <c r="I222" s="10"/>
      <c r="J222" s="31" t="str">
        <f aca="false">IF(OR(A222="",C222="",E222=""),"",IF(B222="Rundrohr",PI()/4*(C222^2-(C222-2*E222)^2),IF(OR(B222="Quadratrohr",AND(B222="Rechteckrohr",D222&lt;&gt;"")),C222*IF(B222="Quadratrohr",C222,D222)-(C222-2*E222)*(IF(B222="Quadratrohr",C222,D222)-2*E222),"")))</f>
        <v/>
      </c>
      <c r="K222" s="31" t="str">
        <f aca="false">IF(A222="","",IF(F222&lt;&gt;"",F222,J222))</f>
        <v/>
      </c>
    </row>
    <row r="223" customFormat="false" ht="15" hidden="false" customHeight="false" outlineLevel="0" collapsed="false">
      <c r="A223" s="10"/>
      <c r="B223" s="10"/>
      <c r="C223" s="29"/>
      <c r="D223" s="29"/>
      <c r="E223" s="30"/>
      <c r="F223" s="29"/>
      <c r="G223" s="22"/>
      <c r="H223" s="22"/>
      <c r="I223" s="10"/>
      <c r="J223" s="31" t="str">
        <f aca="false">IF(OR(A223="",C223="",E223=""),"",IF(B223="Rundrohr",PI()/4*(C223^2-(C223-2*E223)^2),IF(OR(B223="Quadratrohr",AND(B223="Rechteckrohr",D223&lt;&gt;"")),C223*IF(B223="Quadratrohr",C223,D223)-(C223-2*E223)*(IF(B223="Quadratrohr",C223,D223)-2*E223),"")))</f>
        <v/>
      </c>
      <c r="K223" s="31" t="str">
        <f aca="false">IF(A223="","",IF(F223&lt;&gt;"",F223,J223))</f>
        <v/>
      </c>
    </row>
    <row r="224" customFormat="false" ht="15" hidden="false" customHeight="false" outlineLevel="0" collapsed="false">
      <c r="A224" s="10"/>
      <c r="B224" s="10"/>
      <c r="C224" s="29"/>
      <c r="D224" s="29"/>
      <c r="E224" s="30"/>
      <c r="F224" s="29"/>
      <c r="G224" s="22"/>
      <c r="H224" s="22"/>
      <c r="I224" s="10"/>
      <c r="J224" s="31" t="str">
        <f aca="false">IF(OR(A224="",C224="",E224=""),"",IF(B224="Rundrohr",PI()/4*(C224^2-(C224-2*E224)^2),IF(OR(B224="Quadratrohr",AND(B224="Rechteckrohr",D224&lt;&gt;"")),C224*IF(B224="Quadratrohr",C224,D224)-(C224-2*E224)*(IF(B224="Quadratrohr",C224,D224)-2*E224),"")))</f>
        <v/>
      </c>
      <c r="K224" s="31" t="str">
        <f aca="false">IF(A224="","",IF(F224&lt;&gt;"",F224,J224))</f>
        <v/>
      </c>
    </row>
    <row r="225" customFormat="false" ht="15" hidden="false" customHeight="false" outlineLevel="0" collapsed="false">
      <c r="A225" s="10"/>
      <c r="B225" s="10"/>
      <c r="C225" s="29"/>
      <c r="D225" s="29"/>
      <c r="E225" s="30"/>
      <c r="F225" s="29"/>
      <c r="G225" s="22"/>
      <c r="H225" s="22"/>
      <c r="I225" s="10"/>
      <c r="J225" s="31" t="str">
        <f aca="false">IF(OR(A225="",C225="",E225=""),"",IF(B225="Rundrohr",PI()/4*(C225^2-(C225-2*E225)^2),IF(OR(B225="Quadratrohr",AND(B225="Rechteckrohr",D225&lt;&gt;"")),C225*IF(B225="Quadratrohr",C225,D225)-(C225-2*E225)*(IF(B225="Quadratrohr",C225,D225)-2*E225),"")))</f>
        <v/>
      </c>
      <c r="K225" s="31" t="str">
        <f aca="false">IF(A225="","",IF(F225&lt;&gt;"",F225,J225))</f>
        <v/>
      </c>
    </row>
    <row r="226" customFormat="false" ht="15" hidden="false" customHeight="false" outlineLevel="0" collapsed="false">
      <c r="A226" s="10"/>
      <c r="B226" s="10"/>
      <c r="C226" s="29"/>
      <c r="D226" s="29"/>
      <c r="E226" s="30"/>
      <c r="F226" s="29"/>
      <c r="G226" s="22"/>
      <c r="H226" s="22"/>
      <c r="I226" s="10"/>
      <c r="J226" s="31" t="str">
        <f aca="false">IF(OR(A226="",C226="",E226=""),"",IF(B226="Rundrohr",PI()/4*(C226^2-(C226-2*E226)^2),IF(OR(B226="Quadratrohr",AND(B226="Rechteckrohr",D226&lt;&gt;"")),C226*IF(B226="Quadratrohr",C226,D226)-(C226-2*E226)*(IF(B226="Quadratrohr",C226,D226)-2*E226),"")))</f>
        <v/>
      </c>
      <c r="K226" s="31" t="str">
        <f aca="false">IF(A226="","",IF(F226&lt;&gt;"",F226,J226))</f>
        <v/>
      </c>
    </row>
    <row r="227" customFormat="false" ht="15" hidden="false" customHeight="false" outlineLevel="0" collapsed="false">
      <c r="A227" s="10"/>
      <c r="B227" s="10"/>
      <c r="C227" s="29"/>
      <c r="D227" s="29"/>
      <c r="E227" s="30"/>
      <c r="F227" s="29"/>
      <c r="G227" s="22"/>
      <c r="H227" s="22"/>
      <c r="I227" s="10"/>
      <c r="J227" s="31" t="str">
        <f aca="false">IF(OR(A227="",C227="",E227=""),"",IF(B227="Rundrohr",PI()/4*(C227^2-(C227-2*E227)^2),IF(OR(B227="Quadratrohr",AND(B227="Rechteckrohr",D227&lt;&gt;"")),C227*IF(B227="Quadratrohr",C227,D227)-(C227-2*E227)*(IF(B227="Quadratrohr",C227,D227)-2*E227),"")))</f>
        <v/>
      </c>
      <c r="K227" s="31" t="str">
        <f aca="false">IF(A227="","",IF(F227&lt;&gt;"",F227,J227))</f>
        <v/>
      </c>
    </row>
    <row r="228" customFormat="false" ht="15" hidden="false" customHeight="false" outlineLevel="0" collapsed="false">
      <c r="A228" s="10"/>
      <c r="B228" s="10"/>
      <c r="C228" s="29"/>
      <c r="D228" s="29"/>
      <c r="E228" s="30"/>
      <c r="F228" s="29"/>
      <c r="G228" s="22"/>
      <c r="H228" s="22"/>
      <c r="I228" s="10"/>
      <c r="J228" s="31" t="str">
        <f aca="false">IF(OR(A228="",C228="",E228=""),"",IF(B228="Rundrohr",PI()/4*(C228^2-(C228-2*E228)^2),IF(OR(B228="Quadratrohr",AND(B228="Rechteckrohr",D228&lt;&gt;"")),C228*IF(B228="Quadratrohr",C228,D228)-(C228-2*E228)*(IF(B228="Quadratrohr",C228,D228)-2*E228),"")))</f>
        <v/>
      </c>
      <c r="K228" s="31" t="str">
        <f aca="false">IF(A228="","",IF(F228&lt;&gt;"",F228,J228))</f>
        <v/>
      </c>
    </row>
    <row r="229" customFormat="false" ht="15" hidden="false" customHeight="false" outlineLevel="0" collapsed="false">
      <c r="A229" s="10"/>
      <c r="B229" s="10"/>
      <c r="C229" s="29"/>
      <c r="D229" s="29"/>
      <c r="E229" s="30"/>
      <c r="F229" s="29"/>
      <c r="G229" s="22"/>
      <c r="H229" s="22"/>
      <c r="I229" s="10"/>
      <c r="J229" s="31" t="str">
        <f aca="false">IF(OR(A229="",C229="",E229=""),"",IF(B229="Rundrohr",PI()/4*(C229^2-(C229-2*E229)^2),IF(OR(B229="Quadratrohr",AND(B229="Rechteckrohr",D229&lt;&gt;"")),C229*IF(B229="Quadratrohr",C229,D229)-(C229-2*E229)*(IF(B229="Quadratrohr",C229,D229)-2*E229),"")))</f>
        <v/>
      </c>
      <c r="K229" s="31" t="str">
        <f aca="false">IF(A229="","",IF(F229&lt;&gt;"",F229,J229))</f>
        <v/>
      </c>
    </row>
    <row r="230" customFormat="false" ht="15" hidden="false" customHeight="false" outlineLevel="0" collapsed="false">
      <c r="A230" s="10"/>
      <c r="B230" s="10"/>
      <c r="C230" s="29"/>
      <c r="D230" s="29"/>
      <c r="E230" s="30"/>
      <c r="F230" s="29"/>
      <c r="G230" s="22"/>
      <c r="H230" s="22"/>
      <c r="I230" s="10"/>
      <c r="J230" s="31" t="str">
        <f aca="false">IF(OR(A230="",C230="",E230=""),"",IF(B230="Rundrohr",PI()/4*(C230^2-(C230-2*E230)^2),IF(OR(B230="Quadratrohr",AND(B230="Rechteckrohr",D230&lt;&gt;"")),C230*IF(B230="Quadratrohr",C230,D230)-(C230-2*E230)*(IF(B230="Quadratrohr",C230,D230)-2*E230),"")))</f>
        <v/>
      </c>
      <c r="K230" s="31" t="str">
        <f aca="false">IF(A230="","",IF(F230&lt;&gt;"",F230,J230))</f>
        <v/>
      </c>
    </row>
    <row r="231" customFormat="false" ht="15" hidden="false" customHeight="false" outlineLevel="0" collapsed="false">
      <c r="A231" s="10"/>
      <c r="B231" s="10"/>
      <c r="C231" s="29"/>
      <c r="D231" s="29"/>
      <c r="E231" s="30"/>
      <c r="F231" s="29"/>
      <c r="G231" s="22"/>
      <c r="H231" s="22"/>
      <c r="I231" s="10"/>
      <c r="J231" s="31" t="str">
        <f aca="false">IF(OR(A231="",C231="",E231=""),"",IF(B231="Rundrohr",PI()/4*(C231^2-(C231-2*E231)^2),IF(OR(B231="Quadratrohr",AND(B231="Rechteckrohr",D231&lt;&gt;"")),C231*IF(B231="Quadratrohr",C231,D231)-(C231-2*E231)*(IF(B231="Quadratrohr",C231,D231)-2*E231),"")))</f>
        <v/>
      </c>
      <c r="K231" s="31" t="str">
        <f aca="false">IF(A231="","",IF(F231&lt;&gt;"",F231,J231))</f>
        <v/>
      </c>
    </row>
    <row r="232" customFormat="false" ht="15" hidden="false" customHeight="false" outlineLevel="0" collapsed="false">
      <c r="A232" s="10"/>
      <c r="B232" s="10"/>
      <c r="C232" s="29"/>
      <c r="D232" s="29"/>
      <c r="E232" s="30"/>
      <c r="F232" s="29"/>
      <c r="G232" s="22"/>
      <c r="H232" s="22"/>
      <c r="I232" s="10"/>
      <c r="J232" s="31" t="str">
        <f aca="false">IF(OR(A232="",C232="",E232=""),"",IF(B232="Rundrohr",PI()/4*(C232^2-(C232-2*E232)^2),IF(OR(B232="Quadratrohr",AND(B232="Rechteckrohr",D232&lt;&gt;"")),C232*IF(B232="Quadratrohr",C232,D232)-(C232-2*E232)*(IF(B232="Quadratrohr",C232,D232)-2*E232),"")))</f>
        <v/>
      </c>
      <c r="K232" s="31" t="str">
        <f aca="false">IF(A232="","",IF(F232&lt;&gt;"",F232,J232))</f>
        <v/>
      </c>
    </row>
    <row r="233" customFormat="false" ht="15" hidden="false" customHeight="false" outlineLevel="0" collapsed="false">
      <c r="A233" s="10"/>
      <c r="B233" s="10"/>
      <c r="C233" s="29"/>
      <c r="D233" s="29"/>
      <c r="E233" s="30"/>
      <c r="F233" s="29"/>
      <c r="G233" s="22"/>
      <c r="H233" s="22"/>
      <c r="I233" s="10"/>
      <c r="J233" s="31" t="str">
        <f aca="false">IF(OR(A233="",C233="",E233=""),"",IF(B233="Rundrohr",PI()/4*(C233^2-(C233-2*E233)^2),IF(OR(B233="Quadratrohr",AND(B233="Rechteckrohr",D233&lt;&gt;"")),C233*IF(B233="Quadratrohr",C233,D233)-(C233-2*E233)*(IF(B233="Quadratrohr",C233,D233)-2*E233),"")))</f>
        <v/>
      </c>
      <c r="K233" s="31" t="str">
        <f aca="false">IF(A233="","",IF(F233&lt;&gt;"",F233,J233))</f>
        <v/>
      </c>
    </row>
    <row r="234" customFormat="false" ht="15" hidden="false" customHeight="false" outlineLevel="0" collapsed="false">
      <c r="A234" s="10"/>
      <c r="B234" s="10"/>
      <c r="C234" s="29"/>
      <c r="D234" s="29"/>
      <c r="E234" s="30"/>
      <c r="F234" s="29"/>
      <c r="G234" s="22"/>
      <c r="H234" s="22"/>
      <c r="I234" s="10"/>
      <c r="J234" s="31" t="str">
        <f aca="false">IF(OR(A234="",C234="",E234=""),"",IF(B234="Rundrohr",PI()/4*(C234^2-(C234-2*E234)^2),IF(OR(B234="Quadratrohr",AND(B234="Rechteckrohr",D234&lt;&gt;"")),C234*IF(B234="Quadratrohr",C234,D234)-(C234-2*E234)*(IF(B234="Quadratrohr",C234,D234)-2*E234),"")))</f>
        <v/>
      </c>
      <c r="K234" s="31" t="str">
        <f aca="false">IF(A234="","",IF(F234&lt;&gt;"",F234,J234))</f>
        <v/>
      </c>
    </row>
    <row r="235" customFormat="false" ht="15" hidden="false" customHeight="false" outlineLevel="0" collapsed="false">
      <c r="A235" s="10"/>
      <c r="B235" s="10"/>
      <c r="C235" s="29"/>
      <c r="D235" s="29"/>
      <c r="E235" s="30"/>
      <c r="F235" s="29"/>
      <c r="G235" s="22"/>
      <c r="H235" s="22"/>
      <c r="I235" s="10"/>
      <c r="J235" s="31" t="str">
        <f aca="false">IF(OR(A235="",C235="",E235=""),"",IF(B235="Rundrohr",PI()/4*(C235^2-(C235-2*E235)^2),IF(OR(B235="Quadratrohr",AND(B235="Rechteckrohr",D235&lt;&gt;"")),C235*IF(B235="Quadratrohr",C235,D235)-(C235-2*E235)*(IF(B235="Quadratrohr",C235,D235)-2*E235),"")))</f>
        <v/>
      </c>
      <c r="K235" s="31" t="str">
        <f aca="false">IF(A235="","",IF(F235&lt;&gt;"",F235,J235))</f>
        <v/>
      </c>
    </row>
    <row r="236" customFormat="false" ht="15" hidden="false" customHeight="false" outlineLevel="0" collapsed="false">
      <c r="A236" s="10"/>
      <c r="B236" s="10"/>
      <c r="C236" s="29"/>
      <c r="D236" s="29"/>
      <c r="E236" s="30"/>
      <c r="F236" s="29"/>
      <c r="G236" s="22"/>
      <c r="H236" s="22"/>
      <c r="I236" s="10"/>
      <c r="J236" s="31" t="str">
        <f aca="false">IF(OR(A236="",C236="",E236=""),"",IF(B236="Rundrohr",PI()/4*(C236^2-(C236-2*E236)^2),IF(OR(B236="Quadratrohr",AND(B236="Rechteckrohr",D236&lt;&gt;"")),C236*IF(B236="Quadratrohr",C236,D236)-(C236-2*E236)*(IF(B236="Quadratrohr",C236,D236)-2*E236),"")))</f>
        <v/>
      </c>
      <c r="K236" s="31" t="str">
        <f aca="false">IF(A236="","",IF(F236&lt;&gt;"",F236,J236))</f>
        <v/>
      </c>
    </row>
    <row r="237" customFormat="false" ht="15" hidden="false" customHeight="false" outlineLevel="0" collapsed="false">
      <c r="A237" s="10"/>
      <c r="B237" s="10"/>
      <c r="C237" s="29"/>
      <c r="D237" s="29"/>
      <c r="E237" s="30"/>
      <c r="F237" s="29"/>
      <c r="G237" s="22"/>
      <c r="H237" s="22"/>
      <c r="I237" s="10"/>
      <c r="J237" s="31" t="str">
        <f aca="false">IF(OR(A237="",C237="",E237=""),"",IF(B237="Rundrohr",PI()/4*(C237^2-(C237-2*E237)^2),IF(OR(B237="Quadratrohr",AND(B237="Rechteckrohr",D237&lt;&gt;"")),C237*IF(B237="Quadratrohr",C237,D237)-(C237-2*E237)*(IF(B237="Quadratrohr",C237,D237)-2*E237),"")))</f>
        <v/>
      </c>
      <c r="K237" s="31" t="str">
        <f aca="false">IF(A237="","",IF(F237&lt;&gt;"",F237,J237))</f>
        <v/>
      </c>
    </row>
    <row r="238" customFormat="false" ht="15" hidden="false" customHeight="false" outlineLevel="0" collapsed="false">
      <c r="A238" s="10"/>
      <c r="B238" s="10"/>
      <c r="C238" s="29"/>
      <c r="D238" s="29"/>
      <c r="E238" s="30"/>
      <c r="F238" s="29"/>
      <c r="G238" s="22"/>
      <c r="H238" s="22"/>
      <c r="I238" s="10"/>
      <c r="J238" s="31" t="str">
        <f aca="false">IF(OR(A238="",C238="",E238=""),"",IF(B238="Rundrohr",PI()/4*(C238^2-(C238-2*E238)^2),IF(OR(B238="Quadratrohr",AND(B238="Rechteckrohr",D238&lt;&gt;"")),C238*IF(B238="Quadratrohr",C238,D238)-(C238-2*E238)*(IF(B238="Quadratrohr",C238,D238)-2*E238),"")))</f>
        <v/>
      </c>
      <c r="K238" s="31" t="str">
        <f aca="false">IF(A238="","",IF(F238&lt;&gt;"",F238,J238))</f>
        <v/>
      </c>
    </row>
    <row r="239" customFormat="false" ht="15" hidden="false" customHeight="false" outlineLevel="0" collapsed="false">
      <c r="A239" s="10"/>
      <c r="B239" s="10"/>
      <c r="C239" s="29"/>
      <c r="D239" s="29"/>
      <c r="E239" s="30"/>
      <c r="F239" s="29"/>
      <c r="G239" s="22"/>
      <c r="H239" s="22"/>
      <c r="I239" s="10"/>
      <c r="J239" s="31" t="str">
        <f aca="false">IF(OR(A239="",C239="",E239=""),"",IF(B239="Rundrohr",PI()/4*(C239^2-(C239-2*E239)^2),IF(OR(B239="Quadratrohr",AND(B239="Rechteckrohr",D239&lt;&gt;"")),C239*IF(B239="Quadratrohr",C239,D239)-(C239-2*E239)*(IF(B239="Quadratrohr",C239,D239)-2*E239),"")))</f>
        <v/>
      </c>
      <c r="K239" s="31" t="str">
        <f aca="false">IF(A239="","",IF(F239&lt;&gt;"",F239,J239))</f>
        <v/>
      </c>
    </row>
    <row r="240" customFormat="false" ht="15" hidden="false" customHeight="false" outlineLevel="0" collapsed="false">
      <c r="A240" s="10"/>
      <c r="B240" s="10"/>
      <c r="C240" s="29"/>
      <c r="D240" s="29"/>
      <c r="E240" s="30"/>
      <c r="F240" s="29"/>
      <c r="G240" s="22"/>
      <c r="H240" s="22"/>
      <c r="I240" s="10"/>
      <c r="J240" s="31" t="str">
        <f aca="false">IF(OR(A240="",C240="",E240=""),"",IF(B240="Rundrohr",PI()/4*(C240^2-(C240-2*E240)^2),IF(OR(B240="Quadratrohr",AND(B240="Rechteckrohr",D240&lt;&gt;"")),C240*IF(B240="Quadratrohr",C240,D240)-(C240-2*E240)*(IF(B240="Quadratrohr",C240,D240)-2*E240),"")))</f>
        <v/>
      </c>
      <c r="K240" s="31" t="str">
        <f aca="false">IF(A240="","",IF(F240&lt;&gt;"",F240,J240))</f>
        <v/>
      </c>
    </row>
    <row r="241" customFormat="false" ht="15" hidden="false" customHeight="false" outlineLevel="0" collapsed="false">
      <c r="A241" s="10"/>
      <c r="B241" s="10"/>
      <c r="C241" s="29"/>
      <c r="D241" s="29"/>
      <c r="E241" s="30"/>
      <c r="F241" s="29"/>
      <c r="G241" s="22"/>
      <c r="H241" s="22"/>
      <c r="I241" s="10"/>
      <c r="J241" s="31" t="str">
        <f aca="false">IF(OR(A241="",C241="",E241=""),"",IF(B241="Rundrohr",PI()/4*(C241^2-(C241-2*E241)^2),IF(OR(B241="Quadratrohr",AND(B241="Rechteckrohr",D241&lt;&gt;"")),C241*IF(B241="Quadratrohr",C241,D241)-(C241-2*E241)*(IF(B241="Quadratrohr",C241,D241)-2*E241),"")))</f>
        <v/>
      </c>
      <c r="K241" s="31" t="str">
        <f aca="false">IF(A241="","",IF(F241&lt;&gt;"",F241,J241))</f>
        <v/>
      </c>
    </row>
    <row r="242" customFormat="false" ht="15" hidden="false" customHeight="false" outlineLevel="0" collapsed="false">
      <c r="A242" s="10"/>
      <c r="B242" s="10"/>
      <c r="C242" s="29"/>
      <c r="D242" s="29"/>
      <c r="E242" s="30"/>
      <c r="F242" s="29"/>
      <c r="G242" s="22"/>
      <c r="H242" s="22"/>
      <c r="I242" s="10"/>
      <c r="J242" s="31" t="str">
        <f aca="false">IF(OR(A242="",C242="",E242=""),"",IF(B242="Rundrohr",PI()/4*(C242^2-(C242-2*E242)^2),IF(OR(B242="Quadratrohr",AND(B242="Rechteckrohr",D242&lt;&gt;"")),C242*IF(B242="Quadratrohr",C242,D242)-(C242-2*E242)*(IF(B242="Quadratrohr",C242,D242)-2*E242),"")))</f>
        <v/>
      </c>
      <c r="K242" s="31" t="str">
        <f aca="false">IF(A242="","",IF(F242&lt;&gt;"",F242,J242))</f>
        <v/>
      </c>
    </row>
    <row r="243" customFormat="false" ht="15" hidden="false" customHeight="false" outlineLevel="0" collapsed="false">
      <c r="A243" s="10"/>
      <c r="B243" s="10"/>
      <c r="C243" s="29"/>
      <c r="D243" s="29"/>
      <c r="E243" s="30"/>
      <c r="F243" s="29"/>
      <c r="G243" s="22"/>
      <c r="H243" s="22"/>
      <c r="I243" s="10"/>
      <c r="J243" s="31" t="str">
        <f aca="false">IF(OR(A243="",C243="",E243=""),"",IF(B243="Rundrohr",PI()/4*(C243^2-(C243-2*E243)^2),IF(OR(B243="Quadratrohr",AND(B243="Rechteckrohr",D243&lt;&gt;"")),C243*IF(B243="Quadratrohr",C243,D243)-(C243-2*E243)*(IF(B243="Quadratrohr",C243,D243)-2*E243),"")))</f>
        <v/>
      </c>
      <c r="K243" s="31" t="str">
        <f aca="false">IF(A243="","",IF(F243&lt;&gt;"",F243,J243))</f>
        <v/>
      </c>
    </row>
    <row r="244" customFormat="false" ht="15" hidden="false" customHeight="false" outlineLevel="0" collapsed="false">
      <c r="A244" s="10"/>
      <c r="B244" s="10"/>
      <c r="C244" s="29"/>
      <c r="D244" s="29"/>
      <c r="E244" s="30"/>
      <c r="F244" s="29"/>
      <c r="G244" s="22"/>
      <c r="H244" s="22"/>
      <c r="I244" s="10"/>
      <c r="J244" s="31" t="str">
        <f aca="false">IF(OR(A244="",C244="",E244=""),"",IF(B244="Rundrohr",PI()/4*(C244^2-(C244-2*E244)^2),IF(OR(B244="Quadratrohr",AND(B244="Rechteckrohr",D244&lt;&gt;"")),C244*IF(B244="Quadratrohr",C244,D244)-(C244-2*E244)*(IF(B244="Quadratrohr",C244,D244)-2*E244),"")))</f>
        <v/>
      </c>
      <c r="K244" s="31" t="str">
        <f aca="false">IF(A244="","",IF(F244&lt;&gt;"",F244,J244))</f>
        <v/>
      </c>
    </row>
    <row r="245" customFormat="false" ht="15" hidden="false" customHeight="false" outlineLevel="0" collapsed="false">
      <c r="A245" s="10"/>
      <c r="B245" s="10"/>
      <c r="C245" s="29"/>
      <c r="D245" s="29"/>
      <c r="E245" s="30"/>
      <c r="F245" s="29"/>
      <c r="G245" s="22"/>
      <c r="H245" s="22"/>
      <c r="I245" s="10"/>
      <c r="J245" s="31" t="str">
        <f aca="false">IF(OR(A245="",C245="",E245=""),"",IF(B245="Rundrohr",PI()/4*(C245^2-(C245-2*E245)^2),IF(OR(B245="Quadratrohr",AND(B245="Rechteckrohr",D245&lt;&gt;"")),C245*IF(B245="Quadratrohr",C245,D245)-(C245-2*E245)*(IF(B245="Quadratrohr",C245,D245)-2*E245),"")))</f>
        <v/>
      </c>
      <c r="K245" s="31" t="str">
        <f aca="false">IF(A245="","",IF(F245&lt;&gt;"",F245,J245))</f>
        <v/>
      </c>
    </row>
    <row r="246" customFormat="false" ht="15" hidden="false" customHeight="false" outlineLevel="0" collapsed="false">
      <c r="A246" s="10"/>
      <c r="B246" s="10"/>
      <c r="C246" s="29"/>
      <c r="D246" s="29"/>
      <c r="E246" s="30"/>
      <c r="F246" s="29"/>
      <c r="G246" s="22"/>
      <c r="H246" s="22"/>
      <c r="I246" s="10"/>
      <c r="J246" s="31" t="str">
        <f aca="false">IF(OR(A246="",C246="",E246=""),"",IF(B246="Rundrohr",PI()/4*(C246^2-(C246-2*E246)^2),IF(OR(B246="Quadratrohr",AND(B246="Rechteckrohr",D246&lt;&gt;"")),C246*IF(B246="Quadratrohr",C246,D246)-(C246-2*E246)*(IF(B246="Quadratrohr",C246,D246)-2*E246),"")))</f>
        <v/>
      </c>
      <c r="K246" s="31" t="str">
        <f aca="false">IF(A246="","",IF(F246&lt;&gt;"",F246,J246))</f>
        <v/>
      </c>
    </row>
    <row r="247" customFormat="false" ht="15" hidden="false" customHeight="false" outlineLevel="0" collapsed="false">
      <c r="A247" s="10"/>
      <c r="B247" s="10"/>
      <c r="C247" s="29"/>
      <c r="D247" s="29"/>
      <c r="E247" s="30"/>
      <c r="F247" s="29"/>
      <c r="G247" s="22"/>
      <c r="H247" s="22"/>
      <c r="I247" s="10"/>
      <c r="J247" s="31" t="str">
        <f aca="false">IF(OR(A247="",C247="",E247=""),"",IF(B247="Rundrohr",PI()/4*(C247^2-(C247-2*E247)^2),IF(OR(B247="Quadratrohr",AND(B247="Rechteckrohr",D247&lt;&gt;"")),C247*IF(B247="Quadratrohr",C247,D247)-(C247-2*E247)*(IF(B247="Quadratrohr",C247,D247)-2*E247),"")))</f>
        <v/>
      </c>
      <c r="K247" s="31" t="str">
        <f aca="false">IF(A247="","",IF(F247&lt;&gt;"",F247,J247))</f>
        <v/>
      </c>
    </row>
    <row r="248" customFormat="false" ht="15" hidden="false" customHeight="false" outlineLevel="0" collapsed="false">
      <c r="A248" s="10"/>
      <c r="B248" s="10"/>
      <c r="C248" s="29"/>
      <c r="D248" s="29"/>
      <c r="E248" s="30"/>
      <c r="F248" s="29"/>
      <c r="G248" s="22"/>
      <c r="H248" s="22"/>
      <c r="I248" s="10"/>
      <c r="J248" s="31" t="str">
        <f aca="false">IF(OR(A248="",C248="",E248=""),"",IF(B248="Rundrohr",PI()/4*(C248^2-(C248-2*E248)^2),IF(OR(B248="Quadratrohr",AND(B248="Rechteckrohr",D248&lt;&gt;"")),C248*IF(B248="Quadratrohr",C248,D248)-(C248-2*E248)*(IF(B248="Quadratrohr",C248,D248)-2*E248),"")))</f>
        <v/>
      </c>
      <c r="K248" s="31" t="str">
        <f aca="false">IF(A248="","",IF(F248&lt;&gt;"",F248,J248))</f>
        <v/>
      </c>
    </row>
    <row r="249" customFormat="false" ht="15" hidden="false" customHeight="false" outlineLevel="0" collapsed="false">
      <c r="A249" s="10"/>
      <c r="B249" s="10"/>
      <c r="C249" s="29"/>
      <c r="D249" s="29"/>
      <c r="E249" s="30"/>
      <c r="F249" s="29"/>
      <c r="G249" s="22"/>
      <c r="H249" s="22"/>
      <c r="I249" s="10"/>
      <c r="J249" s="31" t="str">
        <f aca="false">IF(OR(A249="",C249="",E249=""),"",IF(B249="Rundrohr",PI()/4*(C249^2-(C249-2*E249)^2),IF(OR(B249="Quadratrohr",AND(B249="Rechteckrohr",D249&lt;&gt;"")),C249*IF(B249="Quadratrohr",C249,D249)-(C249-2*E249)*(IF(B249="Quadratrohr",C249,D249)-2*E249),"")))</f>
        <v/>
      </c>
      <c r="K249" s="31" t="str">
        <f aca="false">IF(A249="","",IF(F249&lt;&gt;"",F249,J249))</f>
        <v/>
      </c>
    </row>
    <row r="250" customFormat="false" ht="15" hidden="false" customHeight="false" outlineLevel="0" collapsed="false">
      <c r="A250" s="10"/>
      <c r="B250" s="10"/>
      <c r="C250" s="29"/>
      <c r="D250" s="29"/>
      <c r="E250" s="30"/>
      <c r="F250" s="29"/>
      <c r="G250" s="22"/>
      <c r="H250" s="22"/>
      <c r="I250" s="10"/>
      <c r="J250" s="31" t="str">
        <f aca="false">IF(OR(A250="",C250="",E250=""),"",IF(B250="Rundrohr",PI()/4*(C250^2-(C250-2*E250)^2),IF(OR(B250="Quadratrohr",AND(B250="Rechteckrohr",D250&lt;&gt;"")),C250*IF(B250="Quadratrohr",C250,D250)-(C250-2*E250)*(IF(B250="Quadratrohr",C250,D250)-2*E250),"")))</f>
        <v/>
      </c>
      <c r="K250" s="31" t="str">
        <f aca="false">IF(A250="","",IF(F250&lt;&gt;"",F250,J250))</f>
        <v/>
      </c>
    </row>
    <row r="251" customFormat="false" ht="15" hidden="false" customHeight="false" outlineLevel="0" collapsed="false">
      <c r="A251" s="10"/>
      <c r="B251" s="10"/>
      <c r="C251" s="29"/>
      <c r="D251" s="29"/>
      <c r="E251" s="30"/>
      <c r="F251" s="29"/>
      <c r="G251" s="22"/>
      <c r="H251" s="22"/>
      <c r="I251" s="10"/>
      <c r="J251" s="31" t="str">
        <f aca="false">IF(OR(A251="",C251="",E251=""),"",IF(B251="Rundrohr",PI()/4*(C251^2-(C251-2*E251)^2),IF(OR(B251="Quadratrohr",AND(B251="Rechteckrohr",D251&lt;&gt;"")),C251*IF(B251="Quadratrohr",C251,D251)-(C251-2*E251)*(IF(B251="Quadratrohr",C251,D251)-2*E251),"")))</f>
        <v/>
      </c>
      <c r="K251" s="31" t="str">
        <f aca="false">IF(A251="","",IF(F251&lt;&gt;"",F251,J251))</f>
        <v/>
      </c>
    </row>
    <row r="252" customFormat="false" ht="15" hidden="false" customHeight="false" outlineLevel="0" collapsed="false">
      <c r="A252" s="10"/>
      <c r="B252" s="10"/>
      <c r="C252" s="29"/>
      <c r="D252" s="29"/>
      <c r="E252" s="30"/>
      <c r="F252" s="29"/>
      <c r="G252" s="22"/>
      <c r="H252" s="22"/>
      <c r="I252" s="10"/>
      <c r="J252" s="31" t="str">
        <f aca="false">IF(OR(A252="",C252="",E252=""),"",IF(B252="Rundrohr",PI()/4*(C252^2-(C252-2*E252)^2),IF(OR(B252="Quadratrohr",AND(B252="Rechteckrohr",D252&lt;&gt;"")),C252*IF(B252="Quadratrohr",C252,D252)-(C252-2*E252)*(IF(B252="Quadratrohr",C252,D252)-2*E252),"")))</f>
        <v/>
      </c>
      <c r="K252" s="31" t="str">
        <f aca="false">IF(A252="","",IF(F252&lt;&gt;"",F252,J252))</f>
        <v/>
      </c>
    </row>
    <row r="253" customFormat="false" ht="15" hidden="false" customHeight="false" outlineLevel="0" collapsed="false">
      <c r="A253" s="10"/>
      <c r="B253" s="10"/>
      <c r="C253" s="29"/>
      <c r="D253" s="29"/>
      <c r="E253" s="30"/>
      <c r="F253" s="29"/>
      <c r="G253" s="22"/>
      <c r="H253" s="22"/>
      <c r="I253" s="10"/>
      <c r="J253" s="31" t="str">
        <f aca="false">IF(OR(A253="",C253="",E253=""),"",IF(B253="Rundrohr",PI()/4*(C253^2-(C253-2*E253)^2),IF(OR(B253="Quadratrohr",AND(B253="Rechteckrohr",D253&lt;&gt;"")),C253*IF(B253="Quadratrohr",C253,D253)-(C253-2*E253)*(IF(B253="Quadratrohr",C253,D253)-2*E253),"")))</f>
        <v/>
      </c>
      <c r="K253" s="31" t="str">
        <f aca="false">IF(A253="","",IF(F253&lt;&gt;"",F253,J253))</f>
        <v/>
      </c>
    </row>
    <row r="254" customFormat="false" ht="15" hidden="false" customHeight="false" outlineLevel="0" collapsed="false">
      <c r="A254" s="10"/>
      <c r="B254" s="10"/>
      <c r="C254" s="29"/>
      <c r="D254" s="29"/>
      <c r="E254" s="30"/>
      <c r="F254" s="29"/>
      <c r="G254" s="22"/>
      <c r="H254" s="22"/>
      <c r="I254" s="10"/>
      <c r="J254" s="31" t="str">
        <f aca="false">IF(OR(A254="",C254="",E254=""),"",IF(B254="Rundrohr",PI()/4*(C254^2-(C254-2*E254)^2),IF(OR(B254="Quadratrohr",AND(B254="Rechteckrohr",D254&lt;&gt;"")),C254*IF(B254="Quadratrohr",C254,D254)-(C254-2*E254)*(IF(B254="Quadratrohr",C254,D254)-2*E254),"")))</f>
        <v/>
      </c>
      <c r="K254" s="31" t="str">
        <f aca="false">IF(A254="","",IF(F254&lt;&gt;"",F254,J254))</f>
        <v/>
      </c>
    </row>
    <row r="255" customFormat="false" ht="15" hidden="false" customHeight="false" outlineLevel="0" collapsed="false">
      <c r="A255" s="10"/>
      <c r="B255" s="10"/>
      <c r="C255" s="29"/>
      <c r="D255" s="29"/>
      <c r="E255" s="30"/>
      <c r="F255" s="29"/>
      <c r="G255" s="22"/>
      <c r="H255" s="22"/>
      <c r="I255" s="10"/>
      <c r="J255" s="31" t="str">
        <f aca="false">IF(OR(A255="",C255="",E255=""),"",IF(B255="Rundrohr",PI()/4*(C255^2-(C255-2*E255)^2),IF(OR(B255="Quadratrohr",AND(B255="Rechteckrohr",D255&lt;&gt;"")),C255*IF(B255="Quadratrohr",C255,D255)-(C255-2*E255)*(IF(B255="Quadratrohr",C255,D255)-2*E255),"")))</f>
        <v/>
      </c>
      <c r="K255" s="31" t="str">
        <f aca="false">IF(A255="","",IF(F255&lt;&gt;"",F255,J255))</f>
        <v/>
      </c>
    </row>
    <row r="256" customFormat="false" ht="15" hidden="false" customHeight="false" outlineLevel="0" collapsed="false">
      <c r="A256" s="10"/>
      <c r="B256" s="10"/>
      <c r="C256" s="29"/>
      <c r="D256" s="29"/>
      <c r="E256" s="30"/>
      <c r="F256" s="29"/>
      <c r="G256" s="22"/>
      <c r="H256" s="22"/>
      <c r="I256" s="10"/>
      <c r="J256" s="31" t="str">
        <f aca="false">IF(OR(A256="",C256="",E256=""),"",IF(B256="Rundrohr",PI()/4*(C256^2-(C256-2*E256)^2),IF(OR(B256="Quadratrohr",AND(B256="Rechteckrohr",D256&lt;&gt;"")),C256*IF(B256="Quadratrohr",C256,D256)-(C256-2*E256)*(IF(B256="Quadratrohr",C256,D256)-2*E256),"")))</f>
        <v/>
      </c>
      <c r="K256" s="31" t="str">
        <f aca="false">IF(A256="","",IF(F256&lt;&gt;"",F256,J256))</f>
        <v/>
      </c>
    </row>
    <row r="257" customFormat="false" ht="15" hidden="false" customHeight="false" outlineLevel="0" collapsed="false">
      <c r="A257" s="10"/>
      <c r="B257" s="10"/>
      <c r="C257" s="29"/>
      <c r="D257" s="29"/>
      <c r="E257" s="30"/>
      <c r="F257" s="29"/>
      <c r="G257" s="22"/>
      <c r="H257" s="22"/>
      <c r="I257" s="10"/>
      <c r="J257" s="31" t="str">
        <f aca="false">IF(OR(A257="",C257="",E257=""),"",IF(B257="Rundrohr",PI()/4*(C257^2-(C257-2*E257)^2),IF(OR(B257="Quadratrohr",AND(B257="Rechteckrohr",D257&lt;&gt;"")),C257*IF(B257="Quadratrohr",C257,D257)-(C257-2*E257)*(IF(B257="Quadratrohr",C257,D257)-2*E257),"")))</f>
        <v/>
      </c>
      <c r="K257" s="31" t="str">
        <f aca="false">IF(A257="","",IF(F257&lt;&gt;"",F257,J257))</f>
        <v/>
      </c>
    </row>
    <row r="258" customFormat="false" ht="15" hidden="false" customHeight="false" outlineLevel="0" collapsed="false">
      <c r="A258" s="10"/>
      <c r="B258" s="10"/>
      <c r="C258" s="29"/>
      <c r="D258" s="29"/>
      <c r="E258" s="30"/>
      <c r="F258" s="29"/>
      <c r="G258" s="22"/>
      <c r="H258" s="22"/>
      <c r="I258" s="10"/>
      <c r="J258" s="31" t="str">
        <f aca="false">IF(OR(A258="",C258="",E258=""),"",IF(B258="Rundrohr",PI()/4*(C258^2-(C258-2*E258)^2),IF(OR(B258="Quadratrohr",AND(B258="Rechteckrohr",D258&lt;&gt;"")),C258*IF(B258="Quadratrohr",C258,D258)-(C258-2*E258)*(IF(B258="Quadratrohr",C258,D258)-2*E258),"")))</f>
        <v/>
      </c>
      <c r="K258" s="31" t="str">
        <f aca="false">IF(A258="","",IF(F258&lt;&gt;"",F258,J258))</f>
        <v/>
      </c>
    </row>
    <row r="259" customFormat="false" ht="15" hidden="false" customHeight="false" outlineLevel="0" collapsed="false">
      <c r="A259" s="10"/>
      <c r="B259" s="10"/>
      <c r="C259" s="29"/>
      <c r="D259" s="29"/>
      <c r="E259" s="30"/>
      <c r="F259" s="29"/>
      <c r="G259" s="22"/>
      <c r="H259" s="22"/>
      <c r="I259" s="10"/>
      <c r="J259" s="31" t="str">
        <f aca="false">IF(OR(A259="",C259="",E259=""),"",IF(B259="Rundrohr",PI()/4*(C259^2-(C259-2*E259)^2),IF(OR(B259="Quadratrohr",AND(B259="Rechteckrohr",D259&lt;&gt;"")),C259*IF(B259="Quadratrohr",C259,D259)-(C259-2*E259)*(IF(B259="Quadratrohr",C259,D259)-2*E259),"")))</f>
        <v/>
      </c>
      <c r="K259" s="31" t="str">
        <f aca="false">IF(A259="","",IF(F259&lt;&gt;"",F259,J259))</f>
        <v/>
      </c>
    </row>
    <row r="260" customFormat="false" ht="15" hidden="false" customHeight="false" outlineLevel="0" collapsed="false">
      <c r="A260" s="10"/>
      <c r="B260" s="10"/>
      <c r="C260" s="29"/>
      <c r="D260" s="29"/>
      <c r="E260" s="30"/>
      <c r="F260" s="29"/>
      <c r="G260" s="22"/>
      <c r="H260" s="22"/>
      <c r="I260" s="10"/>
      <c r="J260" s="31" t="str">
        <f aca="false">IF(OR(A260="",C260="",E260=""),"",IF(B260="Rundrohr",PI()/4*(C260^2-(C260-2*E260)^2),IF(OR(B260="Quadratrohr",AND(B260="Rechteckrohr",D260&lt;&gt;"")),C260*IF(B260="Quadratrohr",C260,D260)-(C260-2*E260)*(IF(B260="Quadratrohr",C260,D260)-2*E260),"")))</f>
        <v/>
      </c>
      <c r="K260" s="31" t="str">
        <f aca="false">IF(A260="","",IF(F260&lt;&gt;"",F260,J260))</f>
        <v/>
      </c>
    </row>
    <row r="261" customFormat="false" ht="15" hidden="false" customHeight="false" outlineLevel="0" collapsed="false">
      <c r="A261" s="10"/>
      <c r="B261" s="10"/>
      <c r="C261" s="29"/>
      <c r="D261" s="29"/>
      <c r="E261" s="30"/>
      <c r="F261" s="29"/>
      <c r="G261" s="22"/>
      <c r="H261" s="22"/>
      <c r="I261" s="10"/>
      <c r="J261" s="31" t="str">
        <f aca="false">IF(OR(A261="",C261="",E261=""),"",IF(B261="Rundrohr",PI()/4*(C261^2-(C261-2*E261)^2),IF(OR(B261="Quadratrohr",AND(B261="Rechteckrohr",D261&lt;&gt;"")),C261*IF(B261="Quadratrohr",C261,D261)-(C261-2*E261)*(IF(B261="Quadratrohr",C261,D261)-2*E261),"")))</f>
        <v/>
      </c>
      <c r="K261" s="31" t="str">
        <f aca="false">IF(A261="","",IF(F261&lt;&gt;"",F261,J261))</f>
        <v/>
      </c>
    </row>
    <row r="262" customFormat="false" ht="15" hidden="false" customHeight="false" outlineLevel="0" collapsed="false">
      <c r="A262" s="10"/>
      <c r="B262" s="10"/>
      <c r="C262" s="29"/>
      <c r="D262" s="29"/>
      <c r="E262" s="30"/>
      <c r="F262" s="29"/>
      <c r="G262" s="22"/>
      <c r="H262" s="22"/>
      <c r="I262" s="10"/>
      <c r="J262" s="31" t="str">
        <f aca="false">IF(OR(A262="",C262="",E262=""),"",IF(B262="Rundrohr",PI()/4*(C262^2-(C262-2*E262)^2),IF(OR(B262="Quadratrohr",AND(B262="Rechteckrohr",D262&lt;&gt;"")),C262*IF(B262="Quadratrohr",C262,D262)-(C262-2*E262)*(IF(B262="Quadratrohr",C262,D262)-2*E262),"")))</f>
        <v/>
      </c>
      <c r="K262" s="31" t="str">
        <f aca="false">IF(A262="","",IF(F262&lt;&gt;"",F262,J262))</f>
        <v/>
      </c>
    </row>
    <row r="263" customFormat="false" ht="15" hidden="false" customHeight="false" outlineLevel="0" collapsed="false">
      <c r="A263" s="10"/>
      <c r="B263" s="10"/>
      <c r="C263" s="29"/>
      <c r="D263" s="29"/>
      <c r="E263" s="30"/>
      <c r="F263" s="29"/>
      <c r="G263" s="22"/>
      <c r="H263" s="22"/>
      <c r="I263" s="10"/>
      <c r="J263" s="31" t="str">
        <f aca="false">IF(OR(A263="",C263="",E263=""),"",IF(B263="Rundrohr",PI()/4*(C263^2-(C263-2*E263)^2),IF(OR(B263="Quadratrohr",AND(B263="Rechteckrohr",D263&lt;&gt;"")),C263*IF(B263="Quadratrohr",C263,D263)-(C263-2*E263)*(IF(B263="Quadratrohr",C263,D263)-2*E263),"")))</f>
        <v/>
      </c>
      <c r="K263" s="31" t="str">
        <f aca="false">IF(A263="","",IF(F263&lt;&gt;"",F263,J263))</f>
        <v/>
      </c>
    </row>
    <row r="264" customFormat="false" ht="15" hidden="false" customHeight="false" outlineLevel="0" collapsed="false">
      <c r="A264" s="10"/>
      <c r="B264" s="10"/>
      <c r="C264" s="29"/>
      <c r="D264" s="29"/>
      <c r="E264" s="30"/>
      <c r="F264" s="29"/>
      <c r="G264" s="22"/>
      <c r="H264" s="22"/>
      <c r="I264" s="10"/>
      <c r="J264" s="31" t="str">
        <f aca="false">IF(OR(A264="",C264="",E264=""),"",IF(B264="Rundrohr",PI()/4*(C264^2-(C264-2*E264)^2),IF(OR(B264="Quadratrohr",AND(B264="Rechteckrohr",D264&lt;&gt;"")),C264*IF(B264="Quadratrohr",C264,D264)-(C264-2*E264)*(IF(B264="Quadratrohr",C264,D264)-2*E264),"")))</f>
        <v/>
      </c>
      <c r="K264" s="31" t="str">
        <f aca="false">IF(A264="","",IF(F264&lt;&gt;"",F264,J264))</f>
        <v/>
      </c>
    </row>
    <row r="265" customFormat="false" ht="15" hidden="false" customHeight="false" outlineLevel="0" collapsed="false">
      <c r="A265" s="10"/>
      <c r="B265" s="10"/>
      <c r="C265" s="29"/>
      <c r="D265" s="29"/>
      <c r="E265" s="30"/>
      <c r="F265" s="29"/>
      <c r="G265" s="22"/>
      <c r="H265" s="22"/>
      <c r="I265" s="10"/>
      <c r="J265" s="31" t="str">
        <f aca="false">IF(OR(A265="",C265="",E265=""),"",IF(B265="Rundrohr",PI()/4*(C265^2-(C265-2*E265)^2),IF(OR(B265="Quadratrohr",AND(B265="Rechteckrohr",D265&lt;&gt;"")),C265*IF(B265="Quadratrohr",C265,D265)-(C265-2*E265)*(IF(B265="Quadratrohr",C265,D265)-2*E265),"")))</f>
        <v/>
      </c>
      <c r="K265" s="31" t="str">
        <f aca="false">IF(A265="","",IF(F265&lt;&gt;"",F265,J265))</f>
        <v/>
      </c>
    </row>
    <row r="266" customFormat="false" ht="15" hidden="false" customHeight="false" outlineLevel="0" collapsed="false">
      <c r="A266" s="10"/>
      <c r="B266" s="10"/>
      <c r="C266" s="29"/>
      <c r="D266" s="29"/>
      <c r="E266" s="30"/>
      <c r="F266" s="29"/>
      <c r="G266" s="22"/>
      <c r="H266" s="22"/>
      <c r="I266" s="10"/>
      <c r="J266" s="31" t="str">
        <f aca="false">IF(OR(A266="",C266="",E266=""),"",IF(B266="Rundrohr",PI()/4*(C266^2-(C266-2*E266)^2),IF(OR(B266="Quadratrohr",AND(B266="Rechteckrohr",D266&lt;&gt;"")),C266*IF(B266="Quadratrohr",C266,D266)-(C266-2*E266)*(IF(B266="Quadratrohr",C266,D266)-2*E266),"")))</f>
        <v/>
      </c>
      <c r="K266" s="31" t="str">
        <f aca="false">IF(A266="","",IF(F266&lt;&gt;"",F266,J266))</f>
        <v/>
      </c>
    </row>
    <row r="267" customFormat="false" ht="15" hidden="false" customHeight="false" outlineLevel="0" collapsed="false">
      <c r="A267" s="10"/>
      <c r="B267" s="10"/>
      <c r="C267" s="29"/>
      <c r="D267" s="29"/>
      <c r="E267" s="30"/>
      <c r="F267" s="29"/>
      <c r="G267" s="22"/>
      <c r="H267" s="22"/>
      <c r="I267" s="10"/>
      <c r="J267" s="31" t="str">
        <f aca="false">IF(OR(A267="",C267="",E267=""),"",IF(B267="Rundrohr",PI()/4*(C267^2-(C267-2*E267)^2),IF(OR(B267="Quadratrohr",AND(B267="Rechteckrohr",D267&lt;&gt;"")),C267*IF(B267="Quadratrohr",C267,D267)-(C267-2*E267)*(IF(B267="Quadratrohr",C267,D267)-2*E267),"")))</f>
        <v/>
      </c>
      <c r="K267" s="31" t="str">
        <f aca="false">IF(A267="","",IF(F267&lt;&gt;"",F267,J267))</f>
        <v/>
      </c>
    </row>
    <row r="268" customFormat="false" ht="15" hidden="false" customHeight="false" outlineLevel="0" collapsed="false">
      <c r="A268" s="10"/>
      <c r="B268" s="10"/>
      <c r="C268" s="29"/>
      <c r="D268" s="29"/>
      <c r="E268" s="30"/>
      <c r="F268" s="29"/>
      <c r="G268" s="22"/>
      <c r="H268" s="22"/>
      <c r="I268" s="10"/>
      <c r="J268" s="31" t="str">
        <f aca="false">IF(OR(A268="",C268="",E268=""),"",IF(B268="Rundrohr",PI()/4*(C268^2-(C268-2*E268)^2),IF(OR(B268="Quadratrohr",AND(B268="Rechteckrohr",D268&lt;&gt;"")),C268*IF(B268="Quadratrohr",C268,D268)-(C268-2*E268)*(IF(B268="Quadratrohr",C268,D268)-2*E268),"")))</f>
        <v/>
      </c>
      <c r="K268" s="31" t="str">
        <f aca="false">IF(A268="","",IF(F268&lt;&gt;"",F268,J268))</f>
        <v/>
      </c>
    </row>
    <row r="269" customFormat="false" ht="15" hidden="false" customHeight="false" outlineLevel="0" collapsed="false">
      <c r="A269" s="10"/>
      <c r="B269" s="10"/>
      <c r="C269" s="29"/>
      <c r="D269" s="29"/>
      <c r="E269" s="30"/>
      <c r="F269" s="29"/>
      <c r="G269" s="22"/>
      <c r="H269" s="22"/>
      <c r="I269" s="10"/>
      <c r="J269" s="31" t="str">
        <f aca="false">IF(OR(A269="",C269="",E269=""),"",IF(B269="Rundrohr",PI()/4*(C269^2-(C269-2*E269)^2),IF(OR(B269="Quadratrohr",AND(B269="Rechteckrohr",D269&lt;&gt;"")),C269*IF(B269="Quadratrohr",C269,D269)-(C269-2*E269)*(IF(B269="Quadratrohr",C269,D269)-2*E269),"")))</f>
        <v/>
      </c>
      <c r="K269" s="31" t="str">
        <f aca="false">IF(A269="","",IF(F269&lt;&gt;"",F269,J269))</f>
        <v/>
      </c>
    </row>
    <row r="270" customFormat="false" ht="15" hidden="false" customHeight="false" outlineLevel="0" collapsed="false">
      <c r="A270" s="10"/>
      <c r="B270" s="10"/>
      <c r="C270" s="29"/>
      <c r="D270" s="29"/>
      <c r="E270" s="30"/>
      <c r="F270" s="29"/>
      <c r="G270" s="22"/>
      <c r="H270" s="22"/>
      <c r="I270" s="10"/>
      <c r="J270" s="31" t="str">
        <f aca="false">IF(OR(A270="",C270="",E270=""),"",IF(B270="Rundrohr",PI()/4*(C270^2-(C270-2*E270)^2),IF(OR(B270="Quadratrohr",AND(B270="Rechteckrohr",D270&lt;&gt;"")),C270*IF(B270="Quadratrohr",C270,D270)-(C270-2*E270)*(IF(B270="Quadratrohr",C270,D270)-2*E270),"")))</f>
        <v/>
      </c>
      <c r="K270" s="31" t="str">
        <f aca="false">IF(A270="","",IF(F270&lt;&gt;"",F270,J270))</f>
        <v/>
      </c>
    </row>
    <row r="271" customFormat="false" ht="15" hidden="false" customHeight="false" outlineLevel="0" collapsed="false">
      <c r="A271" s="10"/>
      <c r="B271" s="10"/>
      <c r="C271" s="29"/>
      <c r="D271" s="29"/>
      <c r="E271" s="30"/>
      <c r="F271" s="29"/>
      <c r="G271" s="22"/>
      <c r="H271" s="22"/>
      <c r="I271" s="10"/>
      <c r="J271" s="31" t="str">
        <f aca="false">IF(OR(A271="",C271="",E271=""),"",IF(B271="Rundrohr",PI()/4*(C271^2-(C271-2*E271)^2),IF(OR(B271="Quadratrohr",AND(B271="Rechteckrohr",D271&lt;&gt;"")),C271*IF(B271="Quadratrohr",C271,D271)-(C271-2*E271)*(IF(B271="Quadratrohr",C271,D271)-2*E271),"")))</f>
        <v/>
      </c>
      <c r="K271" s="31" t="str">
        <f aca="false">IF(A271="","",IF(F271&lt;&gt;"",F271,J271))</f>
        <v/>
      </c>
    </row>
    <row r="272" customFormat="false" ht="15" hidden="false" customHeight="false" outlineLevel="0" collapsed="false">
      <c r="A272" s="10"/>
      <c r="B272" s="10"/>
      <c r="C272" s="29"/>
      <c r="D272" s="29"/>
      <c r="E272" s="30"/>
      <c r="F272" s="29"/>
      <c r="G272" s="22"/>
      <c r="H272" s="22"/>
      <c r="I272" s="10"/>
      <c r="J272" s="31" t="str">
        <f aca="false">IF(OR(A272="",C272="",E272=""),"",IF(B272="Rundrohr",PI()/4*(C272^2-(C272-2*E272)^2),IF(OR(B272="Quadratrohr",AND(B272="Rechteckrohr",D272&lt;&gt;"")),C272*IF(B272="Quadratrohr",C272,D272)-(C272-2*E272)*(IF(B272="Quadratrohr",C272,D272)-2*E272),"")))</f>
        <v/>
      </c>
      <c r="K272" s="31" t="str">
        <f aca="false">IF(A272="","",IF(F272&lt;&gt;"",F272,J272))</f>
        <v/>
      </c>
    </row>
    <row r="273" customFormat="false" ht="15" hidden="false" customHeight="false" outlineLevel="0" collapsed="false">
      <c r="A273" s="10"/>
      <c r="B273" s="10"/>
      <c r="C273" s="29"/>
      <c r="D273" s="29"/>
      <c r="E273" s="30"/>
      <c r="F273" s="29"/>
      <c r="G273" s="22"/>
      <c r="H273" s="22"/>
      <c r="I273" s="10"/>
      <c r="J273" s="31" t="str">
        <f aca="false">IF(OR(A273="",C273="",E273=""),"",IF(B273="Rundrohr",PI()/4*(C273^2-(C273-2*E273)^2),IF(OR(B273="Quadratrohr",AND(B273="Rechteckrohr",D273&lt;&gt;"")),C273*IF(B273="Quadratrohr",C273,D273)-(C273-2*E273)*(IF(B273="Quadratrohr",C273,D273)-2*E273),"")))</f>
        <v/>
      </c>
      <c r="K273" s="31" t="str">
        <f aca="false">IF(A273="","",IF(F273&lt;&gt;"",F273,J273))</f>
        <v/>
      </c>
    </row>
    <row r="274" customFormat="false" ht="15" hidden="false" customHeight="false" outlineLevel="0" collapsed="false">
      <c r="A274" s="10"/>
      <c r="B274" s="10"/>
      <c r="C274" s="29"/>
      <c r="D274" s="29"/>
      <c r="E274" s="30"/>
      <c r="F274" s="29"/>
      <c r="G274" s="22"/>
      <c r="H274" s="22"/>
      <c r="I274" s="10"/>
      <c r="J274" s="31" t="str">
        <f aca="false">IF(OR(A274="",C274="",E274=""),"",IF(B274="Rundrohr",PI()/4*(C274^2-(C274-2*E274)^2),IF(OR(B274="Quadratrohr",AND(B274="Rechteckrohr",D274&lt;&gt;"")),C274*IF(B274="Quadratrohr",C274,D274)-(C274-2*E274)*(IF(B274="Quadratrohr",C274,D274)-2*E274),"")))</f>
        <v/>
      </c>
      <c r="K274" s="31" t="str">
        <f aca="false">IF(A274="","",IF(F274&lt;&gt;"",F274,J274))</f>
        <v/>
      </c>
    </row>
    <row r="275" customFormat="false" ht="15" hidden="false" customHeight="false" outlineLevel="0" collapsed="false">
      <c r="A275" s="10"/>
      <c r="B275" s="10"/>
      <c r="C275" s="29"/>
      <c r="D275" s="29"/>
      <c r="E275" s="30"/>
      <c r="F275" s="29"/>
      <c r="G275" s="22"/>
      <c r="H275" s="22"/>
      <c r="I275" s="10"/>
      <c r="J275" s="31" t="str">
        <f aca="false">IF(OR(A275="",C275="",E275=""),"",IF(B275="Rundrohr",PI()/4*(C275^2-(C275-2*E275)^2),IF(OR(B275="Quadratrohr",AND(B275="Rechteckrohr",D275&lt;&gt;"")),C275*IF(B275="Quadratrohr",C275,D275)-(C275-2*E275)*(IF(B275="Quadratrohr",C275,D275)-2*E275),"")))</f>
        <v/>
      </c>
      <c r="K275" s="31" t="str">
        <f aca="false">IF(A275="","",IF(F275&lt;&gt;"",F275,J275))</f>
        <v/>
      </c>
    </row>
    <row r="276" customFormat="false" ht="15" hidden="false" customHeight="false" outlineLevel="0" collapsed="false">
      <c r="A276" s="10"/>
      <c r="B276" s="10"/>
      <c r="C276" s="29"/>
      <c r="D276" s="29"/>
      <c r="E276" s="30"/>
      <c r="F276" s="29"/>
      <c r="G276" s="22"/>
      <c r="H276" s="22"/>
      <c r="I276" s="10"/>
      <c r="J276" s="31" t="str">
        <f aca="false">IF(OR(A276="",C276="",E276=""),"",IF(B276="Rundrohr",PI()/4*(C276^2-(C276-2*E276)^2),IF(OR(B276="Quadratrohr",AND(B276="Rechteckrohr",D276&lt;&gt;"")),C276*IF(B276="Quadratrohr",C276,D276)-(C276-2*E276)*(IF(B276="Quadratrohr",C276,D276)-2*E276),"")))</f>
        <v/>
      </c>
      <c r="K276" s="31" t="str">
        <f aca="false">IF(A276="","",IF(F276&lt;&gt;"",F276,J276))</f>
        <v/>
      </c>
    </row>
    <row r="277" customFormat="false" ht="15" hidden="false" customHeight="false" outlineLevel="0" collapsed="false">
      <c r="A277" s="10"/>
      <c r="B277" s="10"/>
      <c r="C277" s="29"/>
      <c r="D277" s="29"/>
      <c r="E277" s="30"/>
      <c r="F277" s="29"/>
      <c r="G277" s="22"/>
      <c r="H277" s="22"/>
      <c r="I277" s="10"/>
      <c r="J277" s="31" t="str">
        <f aca="false">IF(OR(A277="",C277="",E277=""),"",IF(B277="Rundrohr",PI()/4*(C277^2-(C277-2*E277)^2),IF(OR(B277="Quadratrohr",AND(B277="Rechteckrohr",D277&lt;&gt;"")),C277*IF(B277="Quadratrohr",C277,D277)-(C277-2*E277)*(IF(B277="Quadratrohr",C277,D277)-2*E277),"")))</f>
        <v/>
      </c>
      <c r="K277" s="31" t="str">
        <f aca="false">IF(A277="","",IF(F277&lt;&gt;"",F277,J277))</f>
        <v/>
      </c>
    </row>
    <row r="278" customFormat="false" ht="15" hidden="false" customHeight="false" outlineLevel="0" collapsed="false">
      <c r="A278" s="10"/>
      <c r="B278" s="10"/>
      <c r="C278" s="29"/>
      <c r="D278" s="29"/>
      <c r="E278" s="30"/>
      <c r="F278" s="29"/>
      <c r="G278" s="22"/>
      <c r="H278" s="22"/>
      <c r="I278" s="10"/>
      <c r="J278" s="31" t="str">
        <f aca="false">IF(OR(A278="",C278="",E278=""),"",IF(B278="Rundrohr",PI()/4*(C278^2-(C278-2*E278)^2),IF(OR(B278="Quadratrohr",AND(B278="Rechteckrohr",D278&lt;&gt;"")),C278*IF(B278="Quadratrohr",C278,D278)-(C278-2*E278)*(IF(B278="Quadratrohr",C278,D278)-2*E278),"")))</f>
        <v/>
      </c>
      <c r="K278" s="31" t="str">
        <f aca="false">IF(A278="","",IF(F278&lt;&gt;"",F278,J278))</f>
        <v/>
      </c>
    </row>
    <row r="279" customFormat="false" ht="15" hidden="false" customHeight="false" outlineLevel="0" collapsed="false">
      <c r="A279" s="10"/>
      <c r="B279" s="10"/>
      <c r="C279" s="29"/>
      <c r="D279" s="29"/>
      <c r="E279" s="30"/>
      <c r="F279" s="29"/>
      <c r="G279" s="22"/>
      <c r="H279" s="22"/>
      <c r="I279" s="10"/>
      <c r="J279" s="31" t="str">
        <f aca="false">IF(OR(A279="",C279="",E279=""),"",IF(B279="Rundrohr",PI()/4*(C279^2-(C279-2*E279)^2),IF(OR(B279="Quadratrohr",AND(B279="Rechteckrohr",D279&lt;&gt;"")),C279*IF(B279="Quadratrohr",C279,D279)-(C279-2*E279)*(IF(B279="Quadratrohr",C279,D279)-2*E279),"")))</f>
        <v/>
      </c>
      <c r="K279" s="31" t="str">
        <f aca="false">IF(A279="","",IF(F279&lt;&gt;"",F279,J279))</f>
        <v/>
      </c>
    </row>
    <row r="280" customFormat="false" ht="15" hidden="false" customHeight="false" outlineLevel="0" collapsed="false">
      <c r="A280" s="10"/>
      <c r="B280" s="10"/>
      <c r="C280" s="29"/>
      <c r="D280" s="29"/>
      <c r="E280" s="30"/>
      <c r="F280" s="29"/>
      <c r="G280" s="22"/>
      <c r="H280" s="22"/>
      <c r="I280" s="10"/>
      <c r="J280" s="31" t="str">
        <f aca="false">IF(OR(A280="",C280="",E280=""),"",IF(B280="Rundrohr",PI()/4*(C280^2-(C280-2*E280)^2),IF(OR(B280="Quadratrohr",AND(B280="Rechteckrohr",D280&lt;&gt;"")),C280*IF(B280="Quadratrohr",C280,D280)-(C280-2*E280)*(IF(B280="Quadratrohr",C280,D280)-2*E280),"")))</f>
        <v/>
      </c>
      <c r="K280" s="31" t="str">
        <f aca="false">IF(A280="","",IF(F280&lt;&gt;"",F280,J280))</f>
        <v/>
      </c>
    </row>
    <row r="281" customFormat="false" ht="15" hidden="false" customHeight="false" outlineLevel="0" collapsed="false">
      <c r="A281" s="10"/>
      <c r="B281" s="10"/>
      <c r="C281" s="29"/>
      <c r="D281" s="29"/>
      <c r="E281" s="30"/>
      <c r="F281" s="29"/>
      <c r="G281" s="22"/>
      <c r="H281" s="22"/>
      <c r="I281" s="10"/>
      <c r="J281" s="31" t="str">
        <f aca="false">IF(OR(A281="",C281="",E281=""),"",IF(B281="Rundrohr",PI()/4*(C281^2-(C281-2*E281)^2),IF(OR(B281="Quadratrohr",AND(B281="Rechteckrohr",D281&lt;&gt;"")),C281*IF(B281="Quadratrohr",C281,D281)-(C281-2*E281)*(IF(B281="Quadratrohr",C281,D281)-2*E281),"")))</f>
        <v/>
      </c>
      <c r="K281" s="31" t="str">
        <f aca="false">IF(A281="","",IF(F281&lt;&gt;"",F281,J281))</f>
        <v/>
      </c>
    </row>
    <row r="282" customFormat="false" ht="15" hidden="false" customHeight="false" outlineLevel="0" collapsed="false">
      <c r="A282" s="10"/>
      <c r="B282" s="10"/>
      <c r="C282" s="29"/>
      <c r="D282" s="29"/>
      <c r="E282" s="30"/>
      <c r="F282" s="29"/>
      <c r="G282" s="22"/>
      <c r="H282" s="22"/>
      <c r="I282" s="10"/>
      <c r="J282" s="31" t="str">
        <f aca="false">IF(OR(A282="",C282="",E282=""),"",IF(B282="Rundrohr",PI()/4*(C282^2-(C282-2*E282)^2),IF(OR(B282="Quadratrohr",AND(B282="Rechteckrohr",D282&lt;&gt;"")),C282*IF(B282="Quadratrohr",C282,D282)-(C282-2*E282)*(IF(B282="Quadratrohr",C282,D282)-2*E282),"")))</f>
        <v/>
      </c>
      <c r="K282" s="31" t="str">
        <f aca="false">IF(A282="","",IF(F282&lt;&gt;"",F282,J282))</f>
        <v/>
      </c>
    </row>
    <row r="283" customFormat="false" ht="15" hidden="false" customHeight="false" outlineLevel="0" collapsed="false">
      <c r="A283" s="10"/>
      <c r="B283" s="10"/>
      <c r="C283" s="29"/>
      <c r="D283" s="29"/>
      <c r="E283" s="30"/>
      <c r="F283" s="29"/>
      <c r="G283" s="22"/>
      <c r="H283" s="22"/>
      <c r="I283" s="10"/>
      <c r="J283" s="31" t="str">
        <f aca="false">IF(OR(A283="",C283="",E283=""),"",IF(B283="Rundrohr",PI()/4*(C283^2-(C283-2*E283)^2),IF(OR(B283="Quadratrohr",AND(B283="Rechteckrohr",D283&lt;&gt;"")),C283*IF(B283="Quadratrohr",C283,D283)-(C283-2*E283)*(IF(B283="Quadratrohr",C283,D283)-2*E283),"")))</f>
        <v/>
      </c>
      <c r="K283" s="31" t="str">
        <f aca="false">IF(A283="","",IF(F283&lt;&gt;"",F283,J283))</f>
        <v/>
      </c>
    </row>
    <row r="284" customFormat="false" ht="15" hidden="false" customHeight="false" outlineLevel="0" collapsed="false">
      <c r="A284" s="10"/>
      <c r="B284" s="10"/>
      <c r="C284" s="29"/>
      <c r="D284" s="29"/>
      <c r="E284" s="30"/>
      <c r="F284" s="29"/>
      <c r="G284" s="22"/>
      <c r="H284" s="22"/>
      <c r="I284" s="10"/>
      <c r="J284" s="31" t="str">
        <f aca="false">IF(OR(A284="",C284="",E284=""),"",IF(B284="Rundrohr",PI()/4*(C284^2-(C284-2*E284)^2),IF(OR(B284="Quadratrohr",AND(B284="Rechteckrohr",D284&lt;&gt;"")),C284*IF(B284="Quadratrohr",C284,D284)-(C284-2*E284)*(IF(B284="Quadratrohr",C284,D284)-2*E284),"")))</f>
        <v/>
      </c>
      <c r="K284" s="31" t="str">
        <f aca="false">IF(A284="","",IF(F284&lt;&gt;"",F284,J284))</f>
        <v/>
      </c>
    </row>
    <row r="285" customFormat="false" ht="15" hidden="false" customHeight="false" outlineLevel="0" collapsed="false">
      <c r="A285" s="10"/>
      <c r="B285" s="10"/>
      <c r="C285" s="29"/>
      <c r="D285" s="29"/>
      <c r="E285" s="30"/>
      <c r="F285" s="29"/>
      <c r="G285" s="22"/>
      <c r="H285" s="22"/>
      <c r="I285" s="10"/>
      <c r="J285" s="31" t="str">
        <f aca="false">IF(OR(A285="",C285="",E285=""),"",IF(B285="Rundrohr",PI()/4*(C285^2-(C285-2*E285)^2),IF(OR(B285="Quadratrohr",AND(B285="Rechteckrohr",D285&lt;&gt;"")),C285*IF(B285="Quadratrohr",C285,D285)-(C285-2*E285)*(IF(B285="Quadratrohr",C285,D285)-2*E285),"")))</f>
        <v/>
      </c>
      <c r="K285" s="31" t="str">
        <f aca="false">IF(A285="","",IF(F285&lt;&gt;"",F285,J285))</f>
        <v/>
      </c>
    </row>
    <row r="286" customFormat="false" ht="15" hidden="false" customHeight="false" outlineLevel="0" collapsed="false">
      <c r="A286" s="10"/>
      <c r="B286" s="10"/>
      <c r="C286" s="29"/>
      <c r="D286" s="29"/>
      <c r="E286" s="30"/>
      <c r="F286" s="29"/>
      <c r="G286" s="22"/>
      <c r="H286" s="22"/>
      <c r="I286" s="10"/>
      <c r="J286" s="31" t="str">
        <f aca="false">IF(OR(A286="",C286="",E286=""),"",IF(B286="Rundrohr",PI()/4*(C286^2-(C286-2*E286)^2),IF(OR(B286="Quadratrohr",AND(B286="Rechteckrohr",D286&lt;&gt;"")),C286*IF(B286="Quadratrohr",C286,D286)-(C286-2*E286)*(IF(B286="Quadratrohr",C286,D286)-2*E286),"")))</f>
        <v/>
      </c>
      <c r="K286" s="31" t="str">
        <f aca="false">IF(A286="","",IF(F286&lt;&gt;"",F286,J286))</f>
        <v/>
      </c>
    </row>
    <row r="287" customFormat="false" ht="15" hidden="false" customHeight="false" outlineLevel="0" collapsed="false">
      <c r="A287" s="10"/>
      <c r="B287" s="10"/>
      <c r="C287" s="29"/>
      <c r="D287" s="29"/>
      <c r="E287" s="30"/>
      <c r="F287" s="29"/>
      <c r="G287" s="22"/>
      <c r="H287" s="22"/>
      <c r="I287" s="10"/>
      <c r="J287" s="31" t="str">
        <f aca="false">IF(OR(A287="",C287="",E287=""),"",IF(B287="Rundrohr",PI()/4*(C287^2-(C287-2*E287)^2),IF(OR(B287="Quadratrohr",AND(B287="Rechteckrohr",D287&lt;&gt;"")),C287*IF(B287="Quadratrohr",C287,D287)-(C287-2*E287)*(IF(B287="Quadratrohr",C287,D287)-2*E287),"")))</f>
        <v/>
      </c>
      <c r="K287" s="31" t="str">
        <f aca="false">IF(A287="","",IF(F287&lt;&gt;"",F287,J287))</f>
        <v/>
      </c>
    </row>
    <row r="288" customFormat="false" ht="15" hidden="false" customHeight="false" outlineLevel="0" collapsed="false">
      <c r="A288" s="10"/>
      <c r="B288" s="10"/>
      <c r="C288" s="29"/>
      <c r="D288" s="29"/>
      <c r="E288" s="30"/>
      <c r="F288" s="29"/>
      <c r="G288" s="22"/>
      <c r="H288" s="22"/>
      <c r="I288" s="10"/>
      <c r="J288" s="31" t="str">
        <f aca="false">IF(OR(A288="",C288="",E288=""),"",IF(B288="Rundrohr",PI()/4*(C288^2-(C288-2*E288)^2),IF(OR(B288="Quadratrohr",AND(B288="Rechteckrohr",D288&lt;&gt;"")),C288*IF(B288="Quadratrohr",C288,D288)-(C288-2*E288)*(IF(B288="Quadratrohr",C288,D288)-2*E288),"")))</f>
        <v/>
      </c>
      <c r="K288" s="31" t="str">
        <f aca="false">IF(A288="","",IF(F288&lt;&gt;"",F288,J288))</f>
        <v/>
      </c>
    </row>
    <row r="289" customFormat="false" ht="15" hidden="false" customHeight="false" outlineLevel="0" collapsed="false">
      <c r="A289" s="10"/>
      <c r="B289" s="10"/>
      <c r="C289" s="29"/>
      <c r="D289" s="29"/>
      <c r="E289" s="30"/>
      <c r="F289" s="29"/>
      <c r="G289" s="22"/>
      <c r="H289" s="22"/>
      <c r="I289" s="10"/>
      <c r="J289" s="31" t="str">
        <f aca="false">IF(OR(A289="",C289="",E289=""),"",IF(B289="Rundrohr",PI()/4*(C289^2-(C289-2*E289)^2),IF(OR(B289="Quadratrohr",AND(B289="Rechteckrohr",D289&lt;&gt;"")),C289*IF(B289="Quadratrohr",C289,D289)-(C289-2*E289)*(IF(B289="Quadratrohr",C289,D289)-2*E289),"")))</f>
        <v/>
      </c>
      <c r="K289" s="31" t="str">
        <f aca="false">IF(A289="","",IF(F289&lt;&gt;"",F289,J289))</f>
        <v/>
      </c>
    </row>
    <row r="290" customFormat="false" ht="15" hidden="false" customHeight="false" outlineLevel="0" collapsed="false">
      <c r="A290" s="10"/>
      <c r="B290" s="10"/>
      <c r="C290" s="29"/>
      <c r="D290" s="29"/>
      <c r="E290" s="30"/>
      <c r="F290" s="29"/>
      <c r="G290" s="22"/>
      <c r="H290" s="22"/>
      <c r="I290" s="10"/>
      <c r="J290" s="31" t="str">
        <f aca="false">IF(OR(A290="",C290="",E290=""),"",IF(B290="Rundrohr",PI()/4*(C290^2-(C290-2*E290)^2),IF(OR(B290="Quadratrohr",AND(B290="Rechteckrohr",D290&lt;&gt;"")),C290*IF(B290="Quadratrohr",C290,D290)-(C290-2*E290)*(IF(B290="Quadratrohr",C290,D290)-2*E290),"")))</f>
        <v/>
      </c>
      <c r="K290" s="31" t="str">
        <f aca="false">IF(A290="","",IF(F290&lt;&gt;"",F290,J290))</f>
        <v/>
      </c>
    </row>
    <row r="291" customFormat="false" ht="15" hidden="false" customHeight="false" outlineLevel="0" collapsed="false">
      <c r="A291" s="10"/>
      <c r="B291" s="10"/>
      <c r="C291" s="29"/>
      <c r="D291" s="29"/>
      <c r="E291" s="30"/>
      <c r="F291" s="29"/>
      <c r="G291" s="22"/>
      <c r="H291" s="22"/>
      <c r="I291" s="10"/>
      <c r="J291" s="31" t="str">
        <f aca="false">IF(OR(A291="",C291="",E291=""),"",IF(B291="Rundrohr",PI()/4*(C291^2-(C291-2*E291)^2),IF(OR(B291="Quadratrohr",AND(B291="Rechteckrohr",D291&lt;&gt;"")),C291*IF(B291="Quadratrohr",C291,D291)-(C291-2*E291)*(IF(B291="Quadratrohr",C291,D291)-2*E291),"")))</f>
        <v/>
      </c>
      <c r="K291" s="31" t="str">
        <f aca="false">IF(A291="","",IF(F291&lt;&gt;"",F291,J291))</f>
        <v/>
      </c>
    </row>
    <row r="292" customFormat="false" ht="15" hidden="false" customHeight="false" outlineLevel="0" collapsed="false">
      <c r="A292" s="10"/>
      <c r="B292" s="10"/>
      <c r="C292" s="29"/>
      <c r="D292" s="29"/>
      <c r="E292" s="30"/>
      <c r="F292" s="29"/>
      <c r="G292" s="22"/>
      <c r="H292" s="22"/>
      <c r="I292" s="10"/>
      <c r="J292" s="31" t="str">
        <f aca="false">IF(OR(A292="",C292="",E292=""),"",IF(B292="Rundrohr",PI()/4*(C292^2-(C292-2*E292)^2),IF(OR(B292="Quadratrohr",AND(B292="Rechteckrohr",D292&lt;&gt;"")),C292*IF(B292="Quadratrohr",C292,D292)-(C292-2*E292)*(IF(B292="Quadratrohr",C292,D292)-2*E292),"")))</f>
        <v/>
      </c>
      <c r="K292" s="31" t="str">
        <f aca="false">IF(A292="","",IF(F292&lt;&gt;"",F292,J292))</f>
        <v/>
      </c>
    </row>
    <row r="293" customFormat="false" ht="15" hidden="false" customHeight="false" outlineLevel="0" collapsed="false">
      <c r="A293" s="10"/>
      <c r="B293" s="10"/>
      <c r="C293" s="29"/>
      <c r="D293" s="29"/>
      <c r="E293" s="30"/>
      <c r="F293" s="29"/>
      <c r="G293" s="22"/>
      <c r="H293" s="22"/>
      <c r="I293" s="10"/>
      <c r="J293" s="31" t="str">
        <f aca="false">IF(OR(A293="",C293="",E293=""),"",IF(B293="Rundrohr",PI()/4*(C293^2-(C293-2*E293)^2),IF(OR(B293="Quadratrohr",AND(B293="Rechteckrohr",D293&lt;&gt;"")),C293*IF(B293="Quadratrohr",C293,D293)-(C293-2*E293)*(IF(B293="Quadratrohr",C293,D293)-2*E293),"")))</f>
        <v/>
      </c>
      <c r="K293" s="31" t="str">
        <f aca="false">IF(A293="","",IF(F293&lt;&gt;"",F293,J293))</f>
        <v/>
      </c>
    </row>
    <row r="294" customFormat="false" ht="15" hidden="false" customHeight="false" outlineLevel="0" collapsed="false">
      <c r="A294" s="10"/>
      <c r="B294" s="10"/>
      <c r="C294" s="29"/>
      <c r="D294" s="29"/>
      <c r="E294" s="30"/>
      <c r="F294" s="29"/>
      <c r="G294" s="22"/>
      <c r="H294" s="22"/>
      <c r="I294" s="10"/>
      <c r="J294" s="31" t="str">
        <f aca="false">IF(OR(A294="",C294="",E294=""),"",IF(B294="Rundrohr",PI()/4*(C294^2-(C294-2*E294)^2),IF(OR(B294="Quadratrohr",AND(B294="Rechteckrohr",D294&lt;&gt;"")),C294*IF(B294="Quadratrohr",C294,D294)-(C294-2*E294)*(IF(B294="Quadratrohr",C294,D294)-2*E294),"")))</f>
        <v/>
      </c>
      <c r="K294" s="31" t="str">
        <f aca="false">IF(A294="","",IF(F294&lt;&gt;"",F294,J294))</f>
        <v/>
      </c>
    </row>
    <row r="295" customFormat="false" ht="15" hidden="false" customHeight="false" outlineLevel="0" collapsed="false">
      <c r="A295" s="10"/>
      <c r="B295" s="10"/>
      <c r="C295" s="29"/>
      <c r="D295" s="29"/>
      <c r="E295" s="30"/>
      <c r="F295" s="29"/>
      <c r="G295" s="22"/>
      <c r="H295" s="22"/>
      <c r="I295" s="10"/>
      <c r="J295" s="31" t="str">
        <f aca="false">IF(OR(A295="",C295="",E295=""),"",IF(B295="Rundrohr",PI()/4*(C295^2-(C295-2*E295)^2),IF(OR(B295="Quadratrohr",AND(B295="Rechteckrohr",D295&lt;&gt;"")),C295*IF(B295="Quadratrohr",C295,D295)-(C295-2*E295)*(IF(B295="Quadratrohr",C295,D295)-2*E295),"")))</f>
        <v/>
      </c>
      <c r="K295" s="31" t="str">
        <f aca="false">IF(A295="","",IF(F295&lt;&gt;"",F295,J295))</f>
        <v/>
      </c>
    </row>
    <row r="296" customFormat="false" ht="15" hidden="false" customHeight="false" outlineLevel="0" collapsed="false">
      <c r="A296" s="10"/>
      <c r="B296" s="10"/>
      <c r="C296" s="29"/>
      <c r="D296" s="29"/>
      <c r="E296" s="30"/>
      <c r="F296" s="29"/>
      <c r="G296" s="22"/>
      <c r="H296" s="22"/>
      <c r="I296" s="10"/>
      <c r="J296" s="31" t="str">
        <f aca="false">IF(OR(A296="",C296="",E296=""),"",IF(B296="Rundrohr",PI()/4*(C296^2-(C296-2*E296)^2),IF(OR(B296="Quadratrohr",AND(B296="Rechteckrohr",D296&lt;&gt;"")),C296*IF(B296="Quadratrohr",C296,D296)-(C296-2*E296)*(IF(B296="Quadratrohr",C296,D296)-2*E296),"")))</f>
        <v/>
      </c>
      <c r="K296" s="31" t="str">
        <f aca="false">IF(A296="","",IF(F296&lt;&gt;"",F296,J296))</f>
        <v/>
      </c>
    </row>
    <row r="297" customFormat="false" ht="15" hidden="false" customHeight="false" outlineLevel="0" collapsed="false">
      <c r="A297" s="10"/>
      <c r="B297" s="10"/>
      <c r="C297" s="29"/>
      <c r="D297" s="29"/>
      <c r="E297" s="30"/>
      <c r="F297" s="29"/>
      <c r="G297" s="22"/>
      <c r="H297" s="22"/>
      <c r="I297" s="10"/>
      <c r="J297" s="31" t="str">
        <f aca="false">IF(OR(A297="",C297="",E297=""),"",IF(B297="Rundrohr",PI()/4*(C297^2-(C297-2*E297)^2),IF(OR(B297="Quadratrohr",AND(B297="Rechteckrohr",D297&lt;&gt;"")),C297*IF(B297="Quadratrohr",C297,D297)-(C297-2*E297)*(IF(B297="Quadratrohr",C297,D297)-2*E297),"")))</f>
        <v/>
      </c>
      <c r="K297" s="31" t="str">
        <f aca="false">IF(A297="","",IF(F297&lt;&gt;"",F297,J297))</f>
        <v/>
      </c>
    </row>
    <row r="298" customFormat="false" ht="15" hidden="false" customHeight="false" outlineLevel="0" collapsed="false">
      <c r="A298" s="10"/>
      <c r="B298" s="10"/>
      <c r="C298" s="29"/>
      <c r="D298" s="29"/>
      <c r="E298" s="30"/>
      <c r="F298" s="29"/>
      <c r="G298" s="22"/>
      <c r="H298" s="22"/>
      <c r="I298" s="10"/>
      <c r="J298" s="31" t="str">
        <f aca="false">IF(OR(A298="",C298="",E298=""),"",IF(B298="Rundrohr",PI()/4*(C298^2-(C298-2*E298)^2),IF(OR(B298="Quadratrohr",AND(B298="Rechteckrohr",D298&lt;&gt;"")),C298*IF(B298="Quadratrohr",C298,D298)-(C298-2*E298)*(IF(B298="Quadratrohr",C298,D298)-2*E298),"")))</f>
        <v/>
      </c>
      <c r="K298" s="31" t="str">
        <f aca="false">IF(A298="","",IF(F298&lt;&gt;"",F298,J298))</f>
        <v/>
      </c>
    </row>
    <row r="299" customFormat="false" ht="15" hidden="false" customHeight="false" outlineLevel="0" collapsed="false">
      <c r="A299" s="10"/>
      <c r="B299" s="10"/>
      <c r="C299" s="29"/>
      <c r="D299" s="29"/>
      <c r="E299" s="30"/>
      <c r="F299" s="29"/>
      <c r="G299" s="22"/>
      <c r="H299" s="22"/>
      <c r="I299" s="10"/>
      <c r="J299" s="31" t="str">
        <f aca="false">IF(OR(A299="",C299="",E299=""),"",IF(B299="Rundrohr",PI()/4*(C299^2-(C299-2*E299)^2),IF(OR(B299="Quadratrohr",AND(B299="Rechteckrohr",D299&lt;&gt;"")),C299*IF(B299="Quadratrohr",C299,D299)-(C299-2*E299)*(IF(B299="Quadratrohr",C299,D299)-2*E299),"")))</f>
        <v/>
      </c>
      <c r="K299" s="31" t="str">
        <f aca="false">IF(A299="","",IF(F299&lt;&gt;"",F299,J299))</f>
        <v/>
      </c>
    </row>
    <row r="300" customFormat="false" ht="15" hidden="false" customHeight="false" outlineLevel="0" collapsed="false">
      <c r="A300" s="10"/>
      <c r="B300" s="10"/>
      <c r="C300" s="29"/>
      <c r="D300" s="29"/>
      <c r="E300" s="30"/>
      <c r="F300" s="29"/>
      <c r="G300" s="22"/>
      <c r="H300" s="22"/>
      <c r="I300" s="10"/>
      <c r="J300" s="31" t="str">
        <f aca="false">IF(OR(A300="",C300="",E300=""),"",IF(B300="Rundrohr",PI()/4*(C300^2-(C300-2*E300)^2),IF(OR(B300="Quadratrohr",AND(B300="Rechteckrohr",D300&lt;&gt;"")),C300*IF(B300="Quadratrohr",C300,D300)-(C300-2*E300)*(IF(B300="Quadratrohr",C300,D300)-2*E300),"")))</f>
        <v/>
      </c>
      <c r="K300" s="31" t="str">
        <f aca="false">IF(A300="","",IF(F300&lt;&gt;"",F300,J300))</f>
        <v/>
      </c>
    </row>
    <row r="301" customFormat="false" ht="15" hidden="false" customHeight="false" outlineLevel="0" collapsed="false">
      <c r="A301" s="10"/>
      <c r="B301" s="10"/>
      <c r="C301" s="29"/>
      <c r="D301" s="29"/>
      <c r="E301" s="30"/>
      <c r="F301" s="29"/>
      <c r="G301" s="22"/>
      <c r="H301" s="22"/>
      <c r="I301" s="10"/>
      <c r="J301" s="31" t="str">
        <f aca="false">IF(OR(A301="",C301="",E301=""),"",IF(B301="Rundrohr",PI()/4*(C301^2-(C301-2*E301)^2),IF(OR(B301="Quadratrohr",AND(B301="Rechteckrohr",D301&lt;&gt;"")),C301*IF(B301="Quadratrohr",C301,D301)-(C301-2*E301)*(IF(B301="Quadratrohr",C301,D301)-2*E301),"")))</f>
        <v/>
      </c>
      <c r="K301" s="31" t="str">
        <f aca="false">IF(A301="","",IF(F301&lt;&gt;"",F301,J301))</f>
        <v/>
      </c>
    </row>
    <row r="302" customFormat="false" ht="15" hidden="false" customHeight="false" outlineLevel="0" collapsed="false">
      <c r="A302" s="10"/>
      <c r="B302" s="10"/>
      <c r="C302" s="29"/>
      <c r="D302" s="29"/>
      <c r="E302" s="30"/>
      <c r="F302" s="29"/>
      <c r="G302" s="22"/>
      <c r="H302" s="22"/>
      <c r="I302" s="10"/>
      <c r="J302" s="31" t="str">
        <f aca="false">IF(OR(A302="",C302="",E302=""),"",IF(B302="Rundrohr",PI()/4*(C302^2-(C302-2*E302)^2),IF(OR(B302="Quadratrohr",AND(B302="Rechteckrohr",D302&lt;&gt;"")),C302*IF(B302="Quadratrohr",C302,D302)-(C302-2*E302)*(IF(B302="Quadratrohr",C302,D302)-2*E302),"")))</f>
        <v/>
      </c>
      <c r="K302" s="31" t="str">
        <f aca="false">IF(A302="","",IF(F302&lt;&gt;"",F302,J302))</f>
        <v/>
      </c>
    </row>
    <row r="303" customFormat="false" ht="15" hidden="false" customHeight="false" outlineLevel="0" collapsed="false">
      <c r="A303" s="10"/>
      <c r="B303" s="10"/>
      <c r="C303" s="29"/>
      <c r="D303" s="29"/>
      <c r="E303" s="30"/>
      <c r="F303" s="29"/>
      <c r="G303" s="22"/>
      <c r="H303" s="22"/>
      <c r="I303" s="10"/>
      <c r="J303" s="31" t="str">
        <f aca="false">IF(OR(A303="",C303="",E303=""),"",IF(B303="Rundrohr",PI()/4*(C303^2-(C303-2*E303)^2),IF(OR(B303="Quadratrohr",AND(B303="Rechteckrohr",D303&lt;&gt;"")),C303*IF(B303="Quadratrohr",C303,D303)-(C303-2*E303)*(IF(B303="Quadratrohr",C303,D303)-2*E303),"")))</f>
        <v/>
      </c>
      <c r="K303" s="31" t="str">
        <f aca="false">IF(A303="","",IF(F303&lt;&gt;"",F303,J303))</f>
        <v/>
      </c>
    </row>
    <row r="304" customFormat="false" ht="15" hidden="false" customHeight="false" outlineLevel="0" collapsed="false">
      <c r="A304" s="10"/>
      <c r="B304" s="10"/>
      <c r="C304" s="29"/>
      <c r="D304" s="29"/>
      <c r="E304" s="30"/>
      <c r="F304" s="29"/>
      <c r="G304" s="22"/>
      <c r="H304" s="22"/>
      <c r="I304" s="10"/>
      <c r="J304" s="31" t="str">
        <f aca="false">IF(OR(A304="",C304="",E304=""),"",IF(B304="Rundrohr",PI()/4*(C304^2-(C304-2*E304)^2),IF(OR(B304="Quadratrohr",AND(B304="Rechteckrohr",D304&lt;&gt;"")),C304*IF(B304="Quadratrohr",C304,D304)-(C304-2*E304)*(IF(B304="Quadratrohr",C304,D304)-2*E304),"")))</f>
        <v/>
      </c>
      <c r="K304" s="31" t="str">
        <f aca="false">IF(A304="","",IF(F304&lt;&gt;"",F304,J304))</f>
        <v/>
      </c>
    </row>
  </sheetData>
  <dataValidations count="6">
    <dataValidation allowBlank="true" error="Bitte Profilform aus der Liste wählen." errorStyle="stop" errorTitle="Ungültige Auswahl" operator="between" showDropDown="false" showErrorMessage="true" showInputMessage="false" sqref="B5:B304" type="list">
      <formula1>lst_Profilform</formula1>
      <formula2>0</formula2>
    </dataValidation>
    <dataValidation allowBlank="true" error="Abmessung in mm (1–1000)." errorStyle="stop" errorTitle="Ungültige Eingabe" operator="between" showDropDown="false" showErrorMessage="true" showInputMessage="false" sqref="C5:D304" type="decimal">
      <formula1>1</formula1>
      <formula2>1000</formula2>
    </dataValidation>
    <dataValidation allowBlank="true" error="Wandstärke muss &gt; 0 und kleiner als die halbe Abmessung A sein." errorStyle="stop" operator="between" showDropDown="false" showErrorMessage="true" showInputMessage="false" sqref="E5:E304" type="custom">
      <formula1>AND(E5&gt;0,E5*2&lt;C5)</formula1>
      <formula2>0</formula2>
    </dataValidation>
    <dataValidation allowBlank="true" error="Querschnittsfläche in mm²." errorStyle="stop" errorTitle="Ungültige Eingabe" operator="between" showDropDown="false" showErrorMessage="true" showInputMessage="false" sqref="F5:F304" type="decimal">
      <formula1>1</formula1>
      <formula2>100000</formula2>
    </dataValidation>
    <dataValidation allowBlank="true" error="Wert in mm (0–2000)." errorStyle="stop" errorTitle="Ungültige Eingabe" operator="between" showDropDown="false" showErrorMessage="true" showInputMessage="false" sqref="G5:H304" type="decimal">
      <formula1>0</formula1>
      <formula2>2000</formula2>
    </dataValidation>
    <dataValidation allowBlank="true" error="Diese Profil-ID existiert bereits." errorStyle="stop" operator="between" showDropDown="false" showErrorMessage="true" showInputMessage="false" sqref="A5:A304" type="custom">
      <formula1>COUNTIF($A$5:$A$304,A5)=1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171</v>
      </c>
    </row>
    <row r="2" customFormat="false" ht="15" hidden="false" customHeight="false" outlineLevel="0" collapsed="false">
      <c r="A2" s="2" t="s">
        <v>172</v>
      </c>
    </row>
    <row r="4" customFormat="false" ht="45" hidden="false" customHeight="true" outlineLevel="0" collapsed="false">
      <c r="A4" s="20" t="s">
        <v>95</v>
      </c>
      <c r="B4" s="20" t="s">
        <v>173</v>
      </c>
      <c r="C4" s="20" t="s">
        <v>174</v>
      </c>
      <c r="D4" s="20" t="s">
        <v>175</v>
      </c>
      <c r="E4" s="20" t="s">
        <v>176</v>
      </c>
      <c r="F4" s="20" t="s">
        <v>165</v>
      </c>
    </row>
    <row r="5" customFormat="false" ht="15" hidden="false" customHeight="false" outlineLevel="0" collapsed="false">
      <c r="A5" s="10" t="s">
        <v>133</v>
      </c>
      <c r="B5" s="10" t="s">
        <v>177</v>
      </c>
      <c r="C5" s="10" t="s">
        <v>178</v>
      </c>
      <c r="D5" s="10" t="s">
        <v>179</v>
      </c>
      <c r="E5" s="30" t="n">
        <v>7.85</v>
      </c>
      <c r="F5" s="10" t="s">
        <v>168</v>
      </c>
    </row>
    <row r="6" customFormat="false" ht="15" hidden="false" customHeight="false" outlineLevel="0" collapsed="false">
      <c r="A6" s="10" t="s">
        <v>142</v>
      </c>
      <c r="B6" s="10" t="s">
        <v>180</v>
      </c>
      <c r="C6" s="10" t="s">
        <v>181</v>
      </c>
      <c r="D6" s="10" t="s">
        <v>179</v>
      </c>
      <c r="E6" s="30" t="n">
        <v>7.85</v>
      </c>
      <c r="F6" s="10" t="s">
        <v>168</v>
      </c>
    </row>
    <row r="7" customFormat="false" ht="15" hidden="false" customHeight="false" outlineLevel="0" collapsed="false">
      <c r="A7" s="10" t="s">
        <v>182</v>
      </c>
      <c r="B7" s="10" t="s">
        <v>183</v>
      </c>
      <c r="C7" s="10" t="s">
        <v>182</v>
      </c>
      <c r="D7" s="10" t="s">
        <v>184</v>
      </c>
      <c r="E7" s="30" t="n">
        <v>7.9</v>
      </c>
      <c r="F7" s="10" t="s">
        <v>168</v>
      </c>
    </row>
    <row r="8" customFormat="false" ht="15" hidden="false" customHeight="false" outlineLevel="0" collapsed="false">
      <c r="A8" s="10" t="s">
        <v>185</v>
      </c>
      <c r="B8" s="10" t="s">
        <v>186</v>
      </c>
      <c r="C8" s="10" t="s">
        <v>187</v>
      </c>
      <c r="D8" s="10" t="s">
        <v>188</v>
      </c>
      <c r="E8" s="30" t="n">
        <v>2.7</v>
      </c>
      <c r="F8" s="10" t="s">
        <v>168</v>
      </c>
    </row>
    <row r="9" customFormat="false" ht="15" hidden="false" customHeight="false" outlineLevel="0" collapsed="false">
      <c r="A9" s="10"/>
      <c r="B9" s="10"/>
      <c r="C9" s="10"/>
      <c r="D9" s="10"/>
      <c r="E9" s="30"/>
      <c r="F9" s="10"/>
    </row>
    <row r="10" customFormat="false" ht="15" hidden="false" customHeight="false" outlineLevel="0" collapsed="false">
      <c r="A10" s="10"/>
      <c r="B10" s="10"/>
      <c r="C10" s="10"/>
      <c r="D10" s="10"/>
      <c r="E10" s="30"/>
      <c r="F10" s="10"/>
    </row>
    <row r="11" customFormat="false" ht="15" hidden="false" customHeight="false" outlineLevel="0" collapsed="false">
      <c r="A11" s="10"/>
      <c r="B11" s="10"/>
      <c r="C11" s="10"/>
      <c r="D11" s="10"/>
      <c r="E11" s="30"/>
      <c r="F11" s="10"/>
    </row>
    <row r="12" customFormat="false" ht="15" hidden="false" customHeight="false" outlineLevel="0" collapsed="false">
      <c r="A12" s="10"/>
      <c r="B12" s="10"/>
      <c r="C12" s="10"/>
      <c r="D12" s="10"/>
      <c r="E12" s="30"/>
      <c r="F12" s="10"/>
    </row>
    <row r="13" customFormat="false" ht="15" hidden="false" customHeight="false" outlineLevel="0" collapsed="false">
      <c r="A13" s="10"/>
      <c r="B13" s="10"/>
      <c r="C13" s="10"/>
      <c r="D13" s="10"/>
      <c r="E13" s="30"/>
      <c r="F13" s="10"/>
    </row>
    <row r="14" customFormat="false" ht="15" hidden="false" customHeight="false" outlineLevel="0" collapsed="false">
      <c r="A14" s="10"/>
      <c r="B14" s="10"/>
      <c r="C14" s="10"/>
      <c r="D14" s="10"/>
      <c r="E14" s="30"/>
      <c r="F14" s="10"/>
    </row>
    <row r="15" customFormat="false" ht="15" hidden="false" customHeight="false" outlineLevel="0" collapsed="false">
      <c r="A15" s="10"/>
      <c r="B15" s="10"/>
      <c r="C15" s="10"/>
      <c r="D15" s="10"/>
      <c r="E15" s="30"/>
      <c r="F15" s="10"/>
    </row>
    <row r="16" customFormat="false" ht="15" hidden="false" customHeight="false" outlineLevel="0" collapsed="false">
      <c r="A16" s="10"/>
      <c r="B16" s="10"/>
      <c r="C16" s="10"/>
      <c r="D16" s="10"/>
      <c r="E16" s="30"/>
      <c r="F16" s="10"/>
    </row>
    <row r="17" customFormat="false" ht="15" hidden="false" customHeight="false" outlineLevel="0" collapsed="false">
      <c r="A17" s="10"/>
      <c r="B17" s="10"/>
      <c r="C17" s="10"/>
      <c r="D17" s="10"/>
      <c r="E17" s="30"/>
      <c r="F17" s="10"/>
    </row>
    <row r="18" customFormat="false" ht="15" hidden="false" customHeight="false" outlineLevel="0" collapsed="false">
      <c r="A18" s="10"/>
      <c r="B18" s="10"/>
      <c r="C18" s="10"/>
      <c r="D18" s="10"/>
      <c r="E18" s="30"/>
      <c r="F18" s="10"/>
    </row>
    <row r="19" customFormat="false" ht="15" hidden="false" customHeight="false" outlineLevel="0" collapsed="false">
      <c r="A19" s="10"/>
      <c r="B19" s="10"/>
      <c r="C19" s="10"/>
      <c r="D19" s="10"/>
      <c r="E19" s="30"/>
      <c r="F19" s="10"/>
    </row>
    <row r="20" customFormat="false" ht="15" hidden="false" customHeight="false" outlineLevel="0" collapsed="false">
      <c r="A20" s="10"/>
      <c r="B20" s="10"/>
      <c r="C20" s="10"/>
      <c r="D20" s="10"/>
      <c r="E20" s="30"/>
      <c r="F20" s="10"/>
    </row>
    <row r="21" customFormat="false" ht="15" hidden="false" customHeight="false" outlineLevel="0" collapsed="false">
      <c r="A21" s="10"/>
      <c r="B21" s="10"/>
      <c r="C21" s="10"/>
      <c r="D21" s="10"/>
      <c r="E21" s="30"/>
      <c r="F21" s="10"/>
    </row>
    <row r="22" customFormat="false" ht="15" hidden="false" customHeight="false" outlineLevel="0" collapsed="false">
      <c r="A22" s="10"/>
      <c r="B22" s="10"/>
      <c r="C22" s="10"/>
      <c r="D22" s="10"/>
      <c r="E22" s="30"/>
      <c r="F22" s="10"/>
    </row>
    <row r="23" customFormat="false" ht="15" hidden="false" customHeight="false" outlineLevel="0" collapsed="false">
      <c r="A23" s="10"/>
      <c r="B23" s="10"/>
      <c r="C23" s="10"/>
      <c r="D23" s="10"/>
      <c r="E23" s="30"/>
      <c r="F23" s="10"/>
    </row>
    <row r="24" customFormat="false" ht="15" hidden="false" customHeight="false" outlineLevel="0" collapsed="false">
      <c r="A24" s="10"/>
      <c r="B24" s="10"/>
      <c r="C24" s="10"/>
      <c r="D24" s="10"/>
      <c r="E24" s="30"/>
      <c r="F24" s="10"/>
    </row>
    <row r="25" customFormat="false" ht="15" hidden="false" customHeight="false" outlineLevel="0" collapsed="false">
      <c r="A25" s="10"/>
      <c r="B25" s="10"/>
      <c r="C25" s="10"/>
      <c r="D25" s="10"/>
      <c r="E25" s="30"/>
      <c r="F25" s="10"/>
    </row>
    <row r="26" customFormat="false" ht="15" hidden="false" customHeight="false" outlineLevel="0" collapsed="false">
      <c r="A26" s="10"/>
      <c r="B26" s="10"/>
      <c r="C26" s="10"/>
      <c r="D26" s="10"/>
      <c r="E26" s="30"/>
      <c r="F26" s="10"/>
    </row>
    <row r="27" customFormat="false" ht="15" hidden="false" customHeight="false" outlineLevel="0" collapsed="false">
      <c r="A27" s="10"/>
      <c r="B27" s="10"/>
      <c r="C27" s="10"/>
      <c r="D27" s="10"/>
      <c r="E27" s="30"/>
      <c r="F27" s="10"/>
    </row>
    <row r="28" customFormat="false" ht="15" hidden="false" customHeight="false" outlineLevel="0" collapsed="false">
      <c r="A28" s="10"/>
      <c r="B28" s="10"/>
      <c r="C28" s="10"/>
      <c r="D28" s="10"/>
      <c r="E28" s="30"/>
      <c r="F28" s="10"/>
    </row>
    <row r="29" customFormat="false" ht="15" hidden="false" customHeight="false" outlineLevel="0" collapsed="false">
      <c r="A29" s="10"/>
      <c r="B29" s="10"/>
      <c r="C29" s="10"/>
      <c r="D29" s="10"/>
      <c r="E29" s="30"/>
      <c r="F29" s="10"/>
    </row>
    <row r="30" customFormat="false" ht="15" hidden="false" customHeight="false" outlineLevel="0" collapsed="false">
      <c r="A30" s="10"/>
      <c r="B30" s="10"/>
      <c r="C30" s="10"/>
      <c r="D30" s="10"/>
      <c r="E30" s="30"/>
      <c r="F30" s="10"/>
    </row>
    <row r="31" customFormat="false" ht="15" hidden="false" customHeight="false" outlineLevel="0" collapsed="false">
      <c r="A31" s="10"/>
      <c r="B31" s="10"/>
      <c r="C31" s="10"/>
      <c r="D31" s="10"/>
      <c r="E31" s="30"/>
      <c r="F31" s="10"/>
    </row>
    <row r="32" customFormat="false" ht="15" hidden="false" customHeight="false" outlineLevel="0" collapsed="false">
      <c r="A32" s="10"/>
      <c r="B32" s="10"/>
      <c r="C32" s="10"/>
      <c r="D32" s="10"/>
      <c r="E32" s="30"/>
      <c r="F32" s="10"/>
    </row>
    <row r="33" customFormat="false" ht="15" hidden="false" customHeight="false" outlineLevel="0" collapsed="false">
      <c r="A33" s="10"/>
      <c r="B33" s="10"/>
      <c r="C33" s="10"/>
      <c r="D33" s="10"/>
      <c r="E33" s="30"/>
      <c r="F33" s="10"/>
    </row>
    <row r="34" customFormat="false" ht="15" hidden="false" customHeight="false" outlineLevel="0" collapsed="false">
      <c r="A34" s="10"/>
      <c r="B34" s="10"/>
      <c r="C34" s="10"/>
      <c r="D34" s="10"/>
      <c r="E34" s="30"/>
      <c r="F34" s="10"/>
    </row>
    <row r="35" customFormat="false" ht="15" hidden="false" customHeight="false" outlineLevel="0" collapsed="false">
      <c r="A35" s="10"/>
      <c r="B35" s="10"/>
      <c r="C35" s="10"/>
      <c r="D35" s="10"/>
      <c r="E35" s="30"/>
      <c r="F35" s="10"/>
    </row>
    <row r="36" customFormat="false" ht="15" hidden="false" customHeight="false" outlineLevel="0" collapsed="false">
      <c r="A36" s="10"/>
      <c r="B36" s="10"/>
      <c r="C36" s="10"/>
      <c r="D36" s="10"/>
      <c r="E36" s="30"/>
      <c r="F36" s="10"/>
    </row>
    <row r="37" customFormat="false" ht="15" hidden="false" customHeight="false" outlineLevel="0" collapsed="false">
      <c r="A37" s="10"/>
      <c r="B37" s="10"/>
      <c r="C37" s="10"/>
      <c r="D37" s="10"/>
      <c r="E37" s="30"/>
      <c r="F37" s="10"/>
    </row>
    <row r="38" customFormat="false" ht="15" hidden="false" customHeight="false" outlineLevel="0" collapsed="false">
      <c r="A38" s="10"/>
      <c r="B38" s="10"/>
      <c r="C38" s="10"/>
      <c r="D38" s="10"/>
      <c r="E38" s="30"/>
      <c r="F38" s="10"/>
    </row>
    <row r="39" customFormat="false" ht="15" hidden="false" customHeight="false" outlineLevel="0" collapsed="false">
      <c r="A39" s="10"/>
      <c r="B39" s="10"/>
      <c r="C39" s="10"/>
      <c r="D39" s="10"/>
      <c r="E39" s="30"/>
      <c r="F39" s="10"/>
    </row>
    <row r="40" customFormat="false" ht="15" hidden="false" customHeight="false" outlineLevel="0" collapsed="false">
      <c r="A40" s="10"/>
      <c r="B40" s="10"/>
      <c r="C40" s="10"/>
      <c r="D40" s="10"/>
      <c r="E40" s="30"/>
      <c r="F40" s="10"/>
    </row>
    <row r="41" customFormat="false" ht="15" hidden="false" customHeight="false" outlineLevel="0" collapsed="false">
      <c r="A41" s="10"/>
      <c r="B41" s="10"/>
      <c r="C41" s="10"/>
      <c r="D41" s="10"/>
      <c r="E41" s="30"/>
      <c r="F41" s="10"/>
    </row>
    <row r="42" customFormat="false" ht="15" hidden="false" customHeight="false" outlineLevel="0" collapsed="false">
      <c r="A42" s="10"/>
      <c r="B42" s="10"/>
      <c r="C42" s="10"/>
      <c r="D42" s="10"/>
      <c r="E42" s="30"/>
      <c r="F42" s="10"/>
    </row>
    <row r="43" customFormat="false" ht="15" hidden="false" customHeight="false" outlineLevel="0" collapsed="false">
      <c r="A43" s="10"/>
      <c r="B43" s="10"/>
      <c r="C43" s="10"/>
      <c r="D43" s="10"/>
      <c r="E43" s="30"/>
      <c r="F43" s="10"/>
    </row>
    <row r="44" customFormat="false" ht="15" hidden="false" customHeight="false" outlineLevel="0" collapsed="false">
      <c r="A44" s="10"/>
      <c r="B44" s="10"/>
      <c r="C44" s="10"/>
      <c r="D44" s="10"/>
      <c r="E44" s="30"/>
      <c r="F44" s="10"/>
    </row>
    <row r="45" customFormat="false" ht="15" hidden="false" customHeight="false" outlineLevel="0" collapsed="false">
      <c r="A45" s="10"/>
      <c r="B45" s="10"/>
      <c r="C45" s="10"/>
      <c r="D45" s="10"/>
      <c r="E45" s="30"/>
      <c r="F45" s="10"/>
    </row>
    <row r="46" customFormat="false" ht="15" hidden="false" customHeight="false" outlineLevel="0" collapsed="false">
      <c r="A46" s="10"/>
      <c r="B46" s="10"/>
      <c r="C46" s="10"/>
      <c r="D46" s="10"/>
      <c r="E46" s="30"/>
      <c r="F46" s="10"/>
    </row>
    <row r="47" customFormat="false" ht="15" hidden="false" customHeight="false" outlineLevel="0" collapsed="false">
      <c r="A47" s="10"/>
      <c r="B47" s="10"/>
      <c r="C47" s="10"/>
      <c r="D47" s="10"/>
      <c r="E47" s="30"/>
      <c r="F47" s="10"/>
    </row>
    <row r="48" customFormat="false" ht="15" hidden="false" customHeight="false" outlineLevel="0" collapsed="false">
      <c r="A48" s="10"/>
      <c r="B48" s="10"/>
      <c r="C48" s="10"/>
      <c r="D48" s="10"/>
      <c r="E48" s="30"/>
      <c r="F48" s="10"/>
    </row>
    <row r="49" customFormat="false" ht="15" hidden="false" customHeight="false" outlineLevel="0" collapsed="false">
      <c r="A49" s="10"/>
      <c r="B49" s="10"/>
      <c r="C49" s="10"/>
      <c r="D49" s="10"/>
      <c r="E49" s="30"/>
      <c r="F49" s="10"/>
    </row>
    <row r="50" customFormat="false" ht="15" hidden="false" customHeight="false" outlineLevel="0" collapsed="false">
      <c r="A50" s="10"/>
      <c r="B50" s="10"/>
      <c r="C50" s="10"/>
      <c r="D50" s="10"/>
      <c r="E50" s="30"/>
      <c r="F50" s="10"/>
    </row>
    <row r="51" customFormat="false" ht="15" hidden="false" customHeight="false" outlineLevel="0" collapsed="false">
      <c r="A51" s="10"/>
      <c r="B51" s="10"/>
      <c r="C51" s="10"/>
      <c r="D51" s="10"/>
      <c r="E51" s="30"/>
      <c r="F51" s="10"/>
    </row>
    <row r="52" customFormat="false" ht="15" hidden="false" customHeight="false" outlineLevel="0" collapsed="false">
      <c r="A52" s="10"/>
      <c r="B52" s="10"/>
      <c r="C52" s="10"/>
      <c r="D52" s="10"/>
      <c r="E52" s="30"/>
      <c r="F52" s="10"/>
    </row>
    <row r="53" customFormat="false" ht="15" hidden="false" customHeight="false" outlineLevel="0" collapsed="false">
      <c r="A53" s="10"/>
      <c r="B53" s="10"/>
      <c r="C53" s="10"/>
      <c r="D53" s="10"/>
      <c r="E53" s="30"/>
      <c r="F53" s="10"/>
    </row>
    <row r="54" customFormat="false" ht="15" hidden="false" customHeight="false" outlineLevel="0" collapsed="false">
      <c r="A54" s="10"/>
      <c r="B54" s="10"/>
      <c r="C54" s="10"/>
      <c r="D54" s="10"/>
      <c r="E54" s="30"/>
      <c r="F54" s="10"/>
    </row>
    <row r="55" customFormat="false" ht="15" hidden="false" customHeight="false" outlineLevel="0" collapsed="false">
      <c r="A55" s="10"/>
      <c r="B55" s="10"/>
      <c r="C55" s="10"/>
      <c r="D55" s="10"/>
      <c r="E55" s="30"/>
      <c r="F55" s="10"/>
    </row>
    <row r="56" customFormat="false" ht="15" hidden="false" customHeight="false" outlineLevel="0" collapsed="false">
      <c r="A56" s="10"/>
      <c r="B56" s="10"/>
      <c r="C56" s="10"/>
      <c r="D56" s="10"/>
      <c r="E56" s="30"/>
      <c r="F56" s="10"/>
    </row>
    <row r="57" customFormat="false" ht="15" hidden="false" customHeight="false" outlineLevel="0" collapsed="false">
      <c r="A57" s="10"/>
      <c r="B57" s="10"/>
      <c r="C57" s="10"/>
      <c r="D57" s="10"/>
      <c r="E57" s="30"/>
      <c r="F57" s="10"/>
    </row>
    <row r="58" customFormat="false" ht="15" hidden="false" customHeight="false" outlineLevel="0" collapsed="false">
      <c r="A58" s="10"/>
      <c r="B58" s="10"/>
      <c r="C58" s="10"/>
      <c r="D58" s="10"/>
      <c r="E58" s="30"/>
      <c r="F58" s="10"/>
    </row>
    <row r="59" customFormat="false" ht="15" hidden="false" customHeight="false" outlineLevel="0" collapsed="false">
      <c r="A59" s="10"/>
      <c r="B59" s="10"/>
      <c r="C59" s="10"/>
      <c r="D59" s="10"/>
      <c r="E59" s="30"/>
      <c r="F59" s="10"/>
    </row>
    <row r="60" customFormat="false" ht="15" hidden="false" customHeight="false" outlineLevel="0" collapsed="false">
      <c r="A60" s="10"/>
      <c r="B60" s="10"/>
      <c r="C60" s="10"/>
      <c r="D60" s="10"/>
      <c r="E60" s="30"/>
      <c r="F60" s="10"/>
    </row>
    <row r="61" customFormat="false" ht="15" hidden="false" customHeight="false" outlineLevel="0" collapsed="false">
      <c r="A61" s="10"/>
      <c r="B61" s="10"/>
      <c r="C61" s="10"/>
      <c r="D61" s="10"/>
      <c r="E61" s="30"/>
      <c r="F61" s="10"/>
    </row>
    <row r="62" customFormat="false" ht="15" hidden="false" customHeight="false" outlineLevel="0" collapsed="false">
      <c r="A62" s="10"/>
      <c r="B62" s="10"/>
      <c r="C62" s="10"/>
      <c r="D62" s="10"/>
      <c r="E62" s="30"/>
      <c r="F62" s="10"/>
    </row>
    <row r="63" customFormat="false" ht="15" hidden="false" customHeight="false" outlineLevel="0" collapsed="false">
      <c r="A63" s="10"/>
      <c r="B63" s="10"/>
      <c r="C63" s="10"/>
      <c r="D63" s="10"/>
      <c r="E63" s="30"/>
      <c r="F63" s="10"/>
    </row>
    <row r="64" customFormat="false" ht="15" hidden="false" customHeight="false" outlineLevel="0" collapsed="false">
      <c r="A64" s="10"/>
      <c r="B64" s="10"/>
      <c r="C64" s="10"/>
      <c r="D64" s="10"/>
      <c r="E64" s="30"/>
      <c r="F64" s="10"/>
    </row>
    <row r="65" customFormat="false" ht="15" hidden="false" customHeight="false" outlineLevel="0" collapsed="false">
      <c r="A65" s="10"/>
      <c r="B65" s="10"/>
      <c r="C65" s="10"/>
      <c r="D65" s="10"/>
      <c r="E65" s="30"/>
      <c r="F65" s="10"/>
    </row>
    <row r="66" customFormat="false" ht="15" hidden="false" customHeight="false" outlineLevel="0" collapsed="false">
      <c r="A66" s="10"/>
      <c r="B66" s="10"/>
      <c r="C66" s="10"/>
      <c r="D66" s="10"/>
      <c r="E66" s="30"/>
      <c r="F66" s="10"/>
    </row>
    <row r="67" customFormat="false" ht="15" hidden="false" customHeight="false" outlineLevel="0" collapsed="false">
      <c r="A67" s="10"/>
      <c r="B67" s="10"/>
      <c r="C67" s="10"/>
      <c r="D67" s="10"/>
      <c r="E67" s="30"/>
      <c r="F67" s="10"/>
    </row>
    <row r="68" customFormat="false" ht="15" hidden="false" customHeight="false" outlineLevel="0" collapsed="false">
      <c r="A68" s="10"/>
      <c r="B68" s="10"/>
      <c r="C68" s="10"/>
      <c r="D68" s="10"/>
      <c r="E68" s="30"/>
      <c r="F68" s="10"/>
    </row>
    <row r="69" customFormat="false" ht="15" hidden="false" customHeight="false" outlineLevel="0" collapsed="false">
      <c r="A69" s="10"/>
      <c r="B69" s="10"/>
      <c r="C69" s="10"/>
      <c r="D69" s="10"/>
      <c r="E69" s="30"/>
      <c r="F69" s="10"/>
    </row>
    <row r="70" customFormat="false" ht="15" hidden="false" customHeight="false" outlineLevel="0" collapsed="false">
      <c r="A70" s="10"/>
      <c r="B70" s="10"/>
      <c r="C70" s="10"/>
      <c r="D70" s="10"/>
      <c r="E70" s="30"/>
      <c r="F70" s="10"/>
    </row>
    <row r="71" customFormat="false" ht="15" hidden="false" customHeight="false" outlineLevel="0" collapsed="false">
      <c r="A71" s="10"/>
      <c r="B71" s="10"/>
      <c r="C71" s="10"/>
      <c r="D71" s="10"/>
      <c r="E71" s="30"/>
      <c r="F71" s="10"/>
    </row>
    <row r="72" customFormat="false" ht="15" hidden="false" customHeight="false" outlineLevel="0" collapsed="false">
      <c r="A72" s="10"/>
      <c r="B72" s="10"/>
      <c r="C72" s="10"/>
      <c r="D72" s="10"/>
      <c r="E72" s="30"/>
      <c r="F72" s="10"/>
    </row>
    <row r="73" customFormat="false" ht="15" hidden="false" customHeight="false" outlineLevel="0" collapsed="false">
      <c r="A73" s="10"/>
      <c r="B73" s="10"/>
      <c r="C73" s="10"/>
      <c r="D73" s="10"/>
      <c r="E73" s="30"/>
      <c r="F73" s="10"/>
    </row>
    <row r="74" customFormat="false" ht="15" hidden="false" customHeight="false" outlineLevel="0" collapsed="false">
      <c r="A74" s="10"/>
      <c r="B74" s="10"/>
      <c r="C74" s="10"/>
      <c r="D74" s="10"/>
      <c r="E74" s="30"/>
      <c r="F74" s="10"/>
    </row>
    <row r="75" customFormat="false" ht="15" hidden="false" customHeight="false" outlineLevel="0" collapsed="false">
      <c r="A75" s="10"/>
      <c r="B75" s="10"/>
      <c r="C75" s="10"/>
      <c r="D75" s="10"/>
      <c r="E75" s="30"/>
      <c r="F75" s="10"/>
    </row>
    <row r="76" customFormat="false" ht="15" hidden="false" customHeight="false" outlineLevel="0" collapsed="false">
      <c r="A76" s="10"/>
      <c r="B76" s="10"/>
      <c r="C76" s="10"/>
      <c r="D76" s="10"/>
      <c r="E76" s="30"/>
      <c r="F76" s="10"/>
    </row>
    <row r="77" customFormat="false" ht="15" hidden="false" customHeight="false" outlineLevel="0" collapsed="false">
      <c r="A77" s="10"/>
      <c r="B77" s="10"/>
      <c r="C77" s="10"/>
      <c r="D77" s="10"/>
      <c r="E77" s="30"/>
      <c r="F77" s="10"/>
    </row>
    <row r="78" customFormat="false" ht="15" hidden="false" customHeight="false" outlineLevel="0" collapsed="false">
      <c r="A78" s="10"/>
      <c r="B78" s="10"/>
      <c r="C78" s="10"/>
      <c r="D78" s="10"/>
      <c r="E78" s="30"/>
      <c r="F78" s="10"/>
    </row>
    <row r="79" customFormat="false" ht="15" hidden="false" customHeight="false" outlineLevel="0" collapsed="false">
      <c r="A79" s="10"/>
      <c r="B79" s="10"/>
      <c r="C79" s="10"/>
      <c r="D79" s="10"/>
      <c r="E79" s="30"/>
      <c r="F79" s="10"/>
    </row>
    <row r="80" customFormat="false" ht="15" hidden="false" customHeight="false" outlineLevel="0" collapsed="false">
      <c r="A80" s="10"/>
      <c r="B80" s="10"/>
      <c r="C80" s="10"/>
      <c r="D80" s="10"/>
      <c r="E80" s="30"/>
      <c r="F80" s="10"/>
    </row>
    <row r="81" customFormat="false" ht="15" hidden="false" customHeight="false" outlineLevel="0" collapsed="false">
      <c r="A81" s="10"/>
      <c r="B81" s="10"/>
      <c r="C81" s="10"/>
      <c r="D81" s="10"/>
      <c r="E81" s="30"/>
      <c r="F81" s="10"/>
    </row>
    <row r="82" customFormat="false" ht="15" hidden="false" customHeight="false" outlineLevel="0" collapsed="false">
      <c r="A82" s="10"/>
      <c r="B82" s="10"/>
      <c r="C82" s="10"/>
      <c r="D82" s="10"/>
      <c r="E82" s="30"/>
      <c r="F82" s="10"/>
    </row>
    <row r="83" customFormat="false" ht="15" hidden="false" customHeight="false" outlineLevel="0" collapsed="false">
      <c r="A83" s="10"/>
      <c r="B83" s="10"/>
      <c r="C83" s="10"/>
      <c r="D83" s="10"/>
      <c r="E83" s="30"/>
      <c r="F83" s="10"/>
    </row>
    <row r="84" customFormat="false" ht="15" hidden="false" customHeight="false" outlineLevel="0" collapsed="false">
      <c r="A84" s="10"/>
      <c r="B84" s="10"/>
      <c r="C84" s="10"/>
      <c r="D84" s="10"/>
      <c r="E84" s="30"/>
      <c r="F84" s="10"/>
    </row>
    <row r="85" customFormat="false" ht="15" hidden="false" customHeight="false" outlineLevel="0" collapsed="false">
      <c r="A85" s="10"/>
      <c r="B85" s="10"/>
      <c r="C85" s="10"/>
      <c r="D85" s="10"/>
      <c r="E85" s="30"/>
      <c r="F85" s="10"/>
    </row>
    <row r="86" customFormat="false" ht="15" hidden="false" customHeight="false" outlineLevel="0" collapsed="false">
      <c r="A86" s="10"/>
      <c r="B86" s="10"/>
      <c r="C86" s="10"/>
      <c r="D86" s="10"/>
      <c r="E86" s="30"/>
      <c r="F86" s="10"/>
    </row>
    <row r="87" customFormat="false" ht="15" hidden="false" customHeight="false" outlineLevel="0" collapsed="false">
      <c r="A87" s="10"/>
      <c r="B87" s="10"/>
      <c r="C87" s="10"/>
      <c r="D87" s="10"/>
      <c r="E87" s="30"/>
      <c r="F87" s="10"/>
    </row>
    <row r="88" customFormat="false" ht="15" hidden="false" customHeight="false" outlineLevel="0" collapsed="false">
      <c r="A88" s="10"/>
      <c r="B88" s="10"/>
      <c r="C88" s="10"/>
      <c r="D88" s="10"/>
      <c r="E88" s="30"/>
      <c r="F88" s="10"/>
    </row>
    <row r="89" customFormat="false" ht="15" hidden="false" customHeight="false" outlineLevel="0" collapsed="false">
      <c r="A89" s="10"/>
      <c r="B89" s="10"/>
      <c r="C89" s="10"/>
      <c r="D89" s="10"/>
      <c r="E89" s="30"/>
      <c r="F89" s="10"/>
    </row>
    <row r="90" customFormat="false" ht="15" hidden="false" customHeight="false" outlineLevel="0" collapsed="false">
      <c r="A90" s="10"/>
      <c r="B90" s="10"/>
      <c r="C90" s="10"/>
      <c r="D90" s="10"/>
      <c r="E90" s="30"/>
      <c r="F90" s="10"/>
    </row>
    <row r="91" customFormat="false" ht="15" hidden="false" customHeight="false" outlineLevel="0" collapsed="false">
      <c r="A91" s="10"/>
      <c r="B91" s="10"/>
      <c r="C91" s="10"/>
      <c r="D91" s="10"/>
      <c r="E91" s="30"/>
      <c r="F91" s="10"/>
    </row>
    <row r="92" customFormat="false" ht="15" hidden="false" customHeight="false" outlineLevel="0" collapsed="false">
      <c r="A92" s="10"/>
      <c r="B92" s="10"/>
      <c r="C92" s="10"/>
      <c r="D92" s="10"/>
      <c r="E92" s="30"/>
      <c r="F92" s="10"/>
    </row>
    <row r="93" customFormat="false" ht="15" hidden="false" customHeight="false" outlineLevel="0" collapsed="false">
      <c r="A93" s="10"/>
      <c r="B93" s="10"/>
      <c r="C93" s="10"/>
      <c r="D93" s="10"/>
      <c r="E93" s="30"/>
      <c r="F93" s="10"/>
    </row>
    <row r="94" customFormat="false" ht="15" hidden="false" customHeight="false" outlineLevel="0" collapsed="false">
      <c r="A94" s="10"/>
      <c r="B94" s="10"/>
      <c r="C94" s="10"/>
      <c r="D94" s="10"/>
      <c r="E94" s="30"/>
      <c r="F94" s="10"/>
    </row>
    <row r="95" customFormat="false" ht="15" hidden="false" customHeight="false" outlineLevel="0" collapsed="false">
      <c r="A95" s="10"/>
      <c r="B95" s="10"/>
      <c r="C95" s="10"/>
      <c r="D95" s="10"/>
      <c r="E95" s="30"/>
      <c r="F95" s="10"/>
    </row>
    <row r="96" customFormat="false" ht="15" hidden="false" customHeight="false" outlineLevel="0" collapsed="false">
      <c r="A96" s="10"/>
      <c r="B96" s="10"/>
      <c r="C96" s="10"/>
      <c r="D96" s="10"/>
      <c r="E96" s="30"/>
      <c r="F96" s="10"/>
    </row>
    <row r="97" customFormat="false" ht="15" hidden="false" customHeight="false" outlineLevel="0" collapsed="false">
      <c r="A97" s="10"/>
      <c r="B97" s="10"/>
      <c r="C97" s="10"/>
      <c r="D97" s="10"/>
      <c r="E97" s="30"/>
      <c r="F97" s="10"/>
    </row>
    <row r="98" customFormat="false" ht="15" hidden="false" customHeight="false" outlineLevel="0" collapsed="false">
      <c r="A98" s="10"/>
      <c r="B98" s="10"/>
      <c r="C98" s="10"/>
      <c r="D98" s="10"/>
      <c r="E98" s="30"/>
      <c r="F98" s="10"/>
    </row>
    <row r="99" customFormat="false" ht="15" hidden="false" customHeight="false" outlineLevel="0" collapsed="false">
      <c r="A99" s="10"/>
      <c r="B99" s="10"/>
      <c r="C99" s="10"/>
      <c r="D99" s="10"/>
      <c r="E99" s="30"/>
      <c r="F99" s="10"/>
    </row>
    <row r="100" customFormat="false" ht="15" hidden="false" customHeight="false" outlineLevel="0" collapsed="false">
      <c r="A100" s="10"/>
      <c r="B100" s="10"/>
      <c r="C100" s="10"/>
      <c r="D100" s="10"/>
      <c r="E100" s="30"/>
      <c r="F100" s="10"/>
    </row>
    <row r="101" customFormat="false" ht="15" hidden="false" customHeight="false" outlineLevel="0" collapsed="false">
      <c r="A101" s="10"/>
      <c r="B101" s="10"/>
      <c r="C101" s="10"/>
      <c r="D101" s="10"/>
      <c r="E101" s="30"/>
      <c r="F101" s="10"/>
    </row>
    <row r="102" customFormat="false" ht="15" hidden="false" customHeight="false" outlineLevel="0" collapsed="false">
      <c r="A102" s="10"/>
      <c r="B102" s="10"/>
      <c r="C102" s="10"/>
      <c r="D102" s="10"/>
      <c r="E102" s="30"/>
      <c r="F102" s="10"/>
    </row>
    <row r="103" customFormat="false" ht="15" hidden="false" customHeight="false" outlineLevel="0" collapsed="false">
      <c r="A103" s="10"/>
      <c r="B103" s="10"/>
      <c r="C103" s="10"/>
      <c r="D103" s="10"/>
      <c r="E103" s="30"/>
      <c r="F103" s="10"/>
    </row>
    <row r="104" customFormat="false" ht="15" hidden="false" customHeight="false" outlineLevel="0" collapsed="false">
      <c r="A104" s="10"/>
      <c r="B104" s="10"/>
      <c r="C104" s="10"/>
      <c r="D104" s="10"/>
      <c r="E104" s="30"/>
      <c r="F104" s="10"/>
    </row>
    <row r="105" customFormat="false" ht="15" hidden="false" customHeight="false" outlineLevel="0" collapsed="false">
      <c r="A105" s="10"/>
      <c r="B105" s="10"/>
      <c r="C105" s="10"/>
      <c r="D105" s="10"/>
      <c r="E105" s="30"/>
      <c r="F105" s="10"/>
    </row>
    <row r="106" customFormat="false" ht="15" hidden="false" customHeight="false" outlineLevel="0" collapsed="false">
      <c r="A106" s="10"/>
      <c r="B106" s="10"/>
      <c r="C106" s="10"/>
      <c r="D106" s="10"/>
      <c r="E106" s="30"/>
      <c r="F106" s="10"/>
    </row>
    <row r="107" customFormat="false" ht="15" hidden="false" customHeight="false" outlineLevel="0" collapsed="false">
      <c r="A107" s="10"/>
      <c r="B107" s="10"/>
      <c r="C107" s="10"/>
      <c r="D107" s="10"/>
      <c r="E107" s="30"/>
      <c r="F107" s="10"/>
    </row>
    <row r="108" customFormat="false" ht="15" hidden="false" customHeight="false" outlineLevel="0" collapsed="false">
      <c r="A108" s="10"/>
      <c r="B108" s="10"/>
      <c r="C108" s="10"/>
      <c r="D108" s="10"/>
      <c r="E108" s="30"/>
      <c r="F108" s="10"/>
    </row>
    <row r="109" customFormat="false" ht="15" hidden="false" customHeight="false" outlineLevel="0" collapsed="false">
      <c r="A109" s="10"/>
      <c r="B109" s="10"/>
      <c r="C109" s="10"/>
      <c r="D109" s="10"/>
      <c r="E109" s="30"/>
      <c r="F109" s="10"/>
    </row>
    <row r="110" customFormat="false" ht="15" hidden="false" customHeight="false" outlineLevel="0" collapsed="false">
      <c r="A110" s="10"/>
      <c r="B110" s="10"/>
      <c r="C110" s="10"/>
      <c r="D110" s="10"/>
      <c r="E110" s="30"/>
      <c r="F110" s="10"/>
    </row>
    <row r="111" customFormat="false" ht="15" hidden="false" customHeight="false" outlineLevel="0" collapsed="false">
      <c r="A111" s="10"/>
      <c r="B111" s="10"/>
      <c r="C111" s="10"/>
      <c r="D111" s="10"/>
      <c r="E111" s="30"/>
      <c r="F111" s="10"/>
    </row>
    <row r="112" customFormat="false" ht="15" hidden="false" customHeight="false" outlineLevel="0" collapsed="false">
      <c r="A112" s="10"/>
      <c r="B112" s="10"/>
      <c r="C112" s="10"/>
      <c r="D112" s="10"/>
      <c r="E112" s="30"/>
      <c r="F112" s="10"/>
    </row>
    <row r="113" customFormat="false" ht="15" hidden="false" customHeight="false" outlineLevel="0" collapsed="false">
      <c r="A113" s="10"/>
      <c r="B113" s="10"/>
      <c r="C113" s="10"/>
      <c r="D113" s="10"/>
      <c r="E113" s="30"/>
      <c r="F113" s="10"/>
    </row>
    <row r="114" customFormat="false" ht="15" hidden="false" customHeight="false" outlineLevel="0" collapsed="false">
      <c r="A114" s="10"/>
      <c r="B114" s="10"/>
      <c r="C114" s="10"/>
      <c r="D114" s="10"/>
      <c r="E114" s="30"/>
      <c r="F114" s="10"/>
    </row>
    <row r="115" customFormat="false" ht="15" hidden="false" customHeight="false" outlineLevel="0" collapsed="false">
      <c r="A115" s="10"/>
      <c r="B115" s="10"/>
      <c r="C115" s="10"/>
      <c r="D115" s="10"/>
      <c r="E115" s="30"/>
      <c r="F115" s="10"/>
    </row>
    <row r="116" customFormat="false" ht="15" hidden="false" customHeight="false" outlineLevel="0" collapsed="false">
      <c r="A116" s="10"/>
      <c r="B116" s="10"/>
      <c r="C116" s="10"/>
      <c r="D116" s="10"/>
      <c r="E116" s="30"/>
      <c r="F116" s="10"/>
    </row>
    <row r="117" customFormat="false" ht="15" hidden="false" customHeight="false" outlineLevel="0" collapsed="false">
      <c r="A117" s="10"/>
      <c r="B117" s="10"/>
      <c r="C117" s="10"/>
      <c r="D117" s="10"/>
      <c r="E117" s="30"/>
      <c r="F117" s="10"/>
    </row>
    <row r="118" customFormat="false" ht="15" hidden="false" customHeight="false" outlineLevel="0" collapsed="false">
      <c r="A118" s="10"/>
      <c r="B118" s="10"/>
      <c r="C118" s="10"/>
      <c r="D118" s="10"/>
      <c r="E118" s="30"/>
      <c r="F118" s="10"/>
    </row>
    <row r="119" customFormat="false" ht="15" hidden="false" customHeight="false" outlineLevel="0" collapsed="false">
      <c r="A119" s="10"/>
      <c r="B119" s="10"/>
      <c r="C119" s="10"/>
      <c r="D119" s="10"/>
      <c r="E119" s="30"/>
      <c r="F119" s="10"/>
    </row>
    <row r="120" customFormat="false" ht="15" hidden="false" customHeight="false" outlineLevel="0" collapsed="false">
      <c r="A120" s="10"/>
      <c r="B120" s="10"/>
      <c r="C120" s="10"/>
      <c r="D120" s="10"/>
      <c r="E120" s="30"/>
      <c r="F120" s="10"/>
    </row>
    <row r="121" customFormat="false" ht="15" hidden="false" customHeight="false" outlineLevel="0" collapsed="false">
      <c r="A121" s="10"/>
      <c r="B121" s="10"/>
      <c r="C121" s="10"/>
      <c r="D121" s="10"/>
      <c r="E121" s="30"/>
      <c r="F121" s="10"/>
    </row>
    <row r="122" customFormat="false" ht="15" hidden="false" customHeight="false" outlineLevel="0" collapsed="false">
      <c r="A122" s="10"/>
      <c r="B122" s="10"/>
      <c r="C122" s="10"/>
      <c r="D122" s="10"/>
      <c r="E122" s="30"/>
      <c r="F122" s="10"/>
    </row>
    <row r="123" customFormat="false" ht="15" hidden="false" customHeight="false" outlineLevel="0" collapsed="false">
      <c r="A123" s="10"/>
      <c r="B123" s="10"/>
      <c r="C123" s="10"/>
      <c r="D123" s="10"/>
      <c r="E123" s="30"/>
      <c r="F123" s="10"/>
    </row>
    <row r="124" customFormat="false" ht="15" hidden="false" customHeight="false" outlineLevel="0" collapsed="false">
      <c r="A124" s="10"/>
      <c r="B124" s="10"/>
      <c r="C124" s="10"/>
      <c r="D124" s="10"/>
      <c r="E124" s="30"/>
      <c r="F124" s="10"/>
    </row>
    <row r="125" customFormat="false" ht="15" hidden="false" customHeight="false" outlineLevel="0" collapsed="false">
      <c r="A125" s="10"/>
      <c r="B125" s="10"/>
      <c r="C125" s="10"/>
      <c r="D125" s="10"/>
      <c r="E125" s="30"/>
      <c r="F125" s="10"/>
    </row>
    <row r="126" customFormat="false" ht="15" hidden="false" customHeight="false" outlineLevel="0" collapsed="false">
      <c r="A126" s="10"/>
      <c r="B126" s="10"/>
      <c r="C126" s="10"/>
      <c r="D126" s="10"/>
      <c r="E126" s="30"/>
      <c r="F126" s="10"/>
    </row>
    <row r="127" customFormat="false" ht="15" hidden="false" customHeight="false" outlineLevel="0" collapsed="false">
      <c r="A127" s="10"/>
      <c r="B127" s="10"/>
      <c r="C127" s="10"/>
      <c r="D127" s="10"/>
      <c r="E127" s="30"/>
      <c r="F127" s="10"/>
    </row>
    <row r="128" customFormat="false" ht="15" hidden="false" customHeight="false" outlineLevel="0" collapsed="false">
      <c r="A128" s="10"/>
      <c r="B128" s="10"/>
      <c r="C128" s="10"/>
      <c r="D128" s="10"/>
      <c r="E128" s="30"/>
      <c r="F128" s="10"/>
    </row>
    <row r="129" customFormat="false" ht="15" hidden="false" customHeight="false" outlineLevel="0" collapsed="false">
      <c r="A129" s="10"/>
      <c r="B129" s="10"/>
      <c r="C129" s="10"/>
      <c r="D129" s="10"/>
      <c r="E129" s="30"/>
      <c r="F129" s="10"/>
    </row>
    <row r="130" customFormat="false" ht="15" hidden="false" customHeight="false" outlineLevel="0" collapsed="false">
      <c r="A130" s="10"/>
      <c r="B130" s="10"/>
      <c r="C130" s="10"/>
      <c r="D130" s="10"/>
      <c r="E130" s="30"/>
      <c r="F130" s="10"/>
    </row>
    <row r="131" customFormat="false" ht="15" hidden="false" customHeight="false" outlineLevel="0" collapsed="false">
      <c r="A131" s="10"/>
      <c r="B131" s="10"/>
      <c r="C131" s="10"/>
      <c r="D131" s="10"/>
      <c r="E131" s="30"/>
      <c r="F131" s="10"/>
    </row>
    <row r="132" customFormat="false" ht="15" hidden="false" customHeight="false" outlineLevel="0" collapsed="false">
      <c r="A132" s="10"/>
      <c r="B132" s="10"/>
      <c r="C132" s="10"/>
      <c r="D132" s="10"/>
      <c r="E132" s="30"/>
      <c r="F132" s="10"/>
    </row>
    <row r="133" customFormat="false" ht="15" hidden="false" customHeight="false" outlineLevel="0" collapsed="false">
      <c r="A133" s="10"/>
      <c r="B133" s="10"/>
      <c r="C133" s="10"/>
      <c r="D133" s="10"/>
      <c r="E133" s="30"/>
      <c r="F133" s="10"/>
    </row>
    <row r="134" customFormat="false" ht="15" hidden="false" customHeight="false" outlineLevel="0" collapsed="false">
      <c r="A134" s="10"/>
      <c r="B134" s="10"/>
      <c r="C134" s="10"/>
      <c r="D134" s="10"/>
      <c r="E134" s="30"/>
      <c r="F134" s="10"/>
    </row>
    <row r="135" customFormat="false" ht="15" hidden="false" customHeight="false" outlineLevel="0" collapsed="false">
      <c r="A135" s="10"/>
      <c r="B135" s="10"/>
      <c r="C135" s="10"/>
      <c r="D135" s="10"/>
      <c r="E135" s="30"/>
      <c r="F135" s="10"/>
    </row>
    <row r="136" customFormat="false" ht="15" hidden="false" customHeight="false" outlineLevel="0" collapsed="false">
      <c r="A136" s="10"/>
      <c r="B136" s="10"/>
      <c r="C136" s="10"/>
      <c r="D136" s="10"/>
      <c r="E136" s="30"/>
      <c r="F136" s="10"/>
    </row>
    <row r="137" customFormat="false" ht="15" hidden="false" customHeight="false" outlineLevel="0" collapsed="false">
      <c r="A137" s="10"/>
      <c r="B137" s="10"/>
      <c r="C137" s="10"/>
      <c r="D137" s="10"/>
      <c r="E137" s="30"/>
      <c r="F137" s="10"/>
    </row>
    <row r="138" customFormat="false" ht="15" hidden="false" customHeight="false" outlineLevel="0" collapsed="false">
      <c r="A138" s="10"/>
      <c r="B138" s="10"/>
      <c r="C138" s="10"/>
      <c r="D138" s="10"/>
      <c r="E138" s="30"/>
      <c r="F138" s="10"/>
    </row>
    <row r="139" customFormat="false" ht="15" hidden="false" customHeight="false" outlineLevel="0" collapsed="false">
      <c r="A139" s="10"/>
      <c r="B139" s="10"/>
      <c r="C139" s="10"/>
      <c r="D139" s="10"/>
      <c r="E139" s="30"/>
      <c r="F139" s="10"/>
    </row>
    <row r="140" customFormat="false" ht="15" hidden="false" customHeight="false" outlineLevel="0" collapsed="false">
      <c r="A140" s="10"/>
      <c r="B140" s="10"/>
      <c r="C140" s="10"/>
      <c r="D140" s="10"/>
      <c r="E140" s="30"/>
      <c r="F140" s="10"/>
    </row>
    <row r="141" customFormat="false" ht="15" hidden="false" customHeight="false" outlineLevel="0" collapsed="false">
      <c r="A141" s="10"/>
      <c r="B141" s="10"/>
      <c r="C141" s="10"/>
      <c r="D141" s="10"/>
      <c r="E141" s="30"/>
      <c r="F141" s="10"/>
    </row>
    <row r="142" customFormat="false" ht="15" hidden="false" customHeight="false" outlineLevel="0" collapsed="false">
      <c r="A142" s="10"/>
      <c r="B142" s="10"/>
      <c r="C142" s="10"/>
      <c r="D142" s="10"/>
      <c r="E142" s="30"/>
      <c r="F142" s="10"/>
    </row>
    <row r="143" customFormat="false" ht="15" hidden="false" customHeight="false" outlineLevel="0" collapsed="false">
      <c r="A143" s="10"/>
      <c r="B143" s="10"/>
      <c r="C143" s="10"/>
      <c r="D143" s="10"/>
      <c r="E143" s="30"/>
      <c r="F143" s="10"/>
    </row>
    <row r="144" customFormat="false" ht="15" hidden="false" customHeight="false" outlineLevel="0" collapsed="false">
      <c r="A144" s="10"/>
      <c r="B144" s="10"/>
      <c r="C144" s="10"/>
      <c r="D144" s="10"/>
      <c r="E144" s="30"/>
      <c r="F144" s="10"/>
    </row>
    <row r="145" customFormat="false" ht="15" hidden="false" customHeight="false" outlineLevel="0" collapsed="false">
      <c r="A145" s="10"/>
      <c r="B145" s="10"/>
      <c r="C145" s="10"/>
      <c r="D145" s="10"/>
      <c r="E145" s="30"/>
      <c r="F145" s="10"/>
    </row>
    <row r="146" customFormat="false" ht="15" hidden="false" customHeight="false" outlineLevel="0" collapsed="false">
      <c r="A146" s="10"/>
      <c r="B146" s="10"/>
      <c r="C146" s="10"/>
      <c r="D146" s="10"/>
      <c r="E146" s="30"/>
      <c r="F146" s="10"/>
    </row>
    <row r="147" customFormat="false" ht="15" hidden="false" customHeight="false" outlineLevel="0" collapsed="false">
      <c r="A147" s="10"/>
      <c r="B147" s="10"/>
      <c r="C147" s="10"/>
      <c r="D147" s="10"/>
      <c r="E147" s="30"/>
      <c r="F147" s="10"/>
    </row>
    <row r="148" customFormat="false" ht="15" hidden="false" customHeight="false" outlineLevel="0" collapsed="false">
      <c r="A148" s="10"/>
      <c r="B148" s="10"/>
      <c r="C148" s="10"/>
      <c r="D148" s="10"/>
      <c r="E148" s="30"/>
      <c r="F148" s="10"/>
    </row>
    <row r="149" customFormat="false" ht="15" hidden="false" customHeight="false" outlineLevel="0" collapsed="false">
      <c r="A149" s="10"/>
      <c r="B149" s="10"/>
      <c r="C149" s="10"/>
      <c r="D149" s="10"/>
      <c r="E149" s="30"/>
      <c r="F149" s="10"/>
    </row>
    <row r="150" customFormat="false" ht="15" hidden="false" customHeight="false" outlineLevel="0" collapsed="false">
      <c r="A150" s="10"/>
      <c r="B150" s="10"/>
      <c r="C150" s="10"/>
      <c r="D150" s="10"/>
      <c r="E150" s="30"/>
      <c r="F150" s="10"/>
    </row>
    <row r="151" customFormat="false" ht="15" hidden="false" customHeight="false" outlineLevel="0" collapsed="false">
      <c r="A151" s="10"/>
      <c r="B151" s="10"/>
      <c r="C151" s="10"/>
      <c r="D151" s="10"/>
      <c r="E151" s="30"/>
      <c r="F151" s="10"/>
    </row>
    <row r="152" customFormat="false" ht="15" hidden="false" customHeight="false" outlineLevel="0" collapsed="false">
      <c r="A152" s="10"/>
      <c r="B152" s="10"/>
      <c r="C152" s="10"/>
      <c r="D152" s="10"/>
      <c r="E152" s="30"/>
      <c r="F152" s="10"/>
    </row>
    <row r="153" customFormat="false" ht="15" hidden="false" customHeight="false" outlineLevel="0" collapsed="false">
      <c r="A153" s="10"/>
      <c r="B153" s="10"/>
      <c r="C153" s="10"/>
      <c r="D153" s="10"/>
      <c r="E153" s="30"/>
      <c r="F153" s="10"/>
    </row>
    <row r="154" customFormat="false" ht="15" hidden="false" customHeight="false" outlineLevel="0" collapsed="false">
      <c r="A154" s="10"/>
      <c r="B154" s="10"/>
      <c r="C154" s="10"/>
      <c r="D154" s="10"/>
      <c r="E154" s="30"/>
      <c r="F154" s="10"/>
    </row>
    <row r="155" customFormat="false" ht="15" hidden="false" customHeight="false" outlineLevel="0" collapsed="false">
      <c r="A155" s="10"/>
      <c r="B155" s="10"/>
      <c r="C155" s="10"/>
      <c r="D155" s="10"/>
      <c r="E155" s="30"/>
      <c r="F155" s="10"/>
    </row>
    <row r="156" customFormat="false" ht="15" hidden="false" customHeight="false" outlineLevel="0" collapsed="false">
      <c r="A156" s="10"/>
      <c r="B156" s="10"/>
      <c r="C156" s="10"/>
      <c r="D156" s="10"/>
      <c r="E156" s="30"/>
      <c r="F156" s="10"/>
    </row>
    <row r="157" customFormat="false" ht="15" hidden="false" customHeight="false" outlineLevel="0" collapsed="false">
      <c r="A157" s="10"/>
      <c r="B157" s="10"/>
      <c r="C157" s="10"/>
      <c r="D157" s="10"/>
      <c r="E157" s="30"/>
      <c r="F157" s="10"/>
    </row>
    <row r="158" customFormat="false" ht="15" hidden="false" customHeight="false" outlineLevel="0" collapsed="false">
      <c r="A158" s="10"/>
      <c r="B158" s="10"/>
      <c r="C158" s="10"/>
      <c r="D158" s="10"/>
      <c r="E158" s="30"/>
      <c r="F158" s="10"/>
    </row>
    <row r="159" customFormat="false" ht="15" hidden="false" customHeight="false" outlineLevel="0" collapsed="false">
      <c r="A159" s="10"/>
      <c r="B159" s="10"/>
      <c r="C159" s="10"/>
      <c r="D159" s="10"/>
      <c r="E159" s="30"/>
      <c r="F159" s="10"/>
    </row>
    <row r="160" customFormat="false" ht="15" hidden="false" customHeight="false" outlineLevel="0" collapsed="false">
      <c r="A160" s="10"/>
      <c r="B160" s="10"/>
      <c r="C160" s="10"/>
      <c r="D160" s="10"/>
      <c r="E160" s="30"/>
      <c r="F160" s="10"/>
    </row>
    <row r="161" customFormat="false" ht="15" hidden="false" customHeight="false" outlineLevel="0" collapsed="false">
      <c r="A161" s="10"/>
      <c r="B161" s="10"/>
      <c r="C161" s="10"/>
      <c r="D161" s="10"/>
      <c r="E161" s="30"/>
      <c r="F161" s="10"/>
    </row>
    <row r="162" customFormat="false" ht="15" hidden="false" customHeight="false" outlineLevel="0" collapsed="false">
      <c r="A162" s="10"/>
      <c r="B162" s="10"/>
      <c r="C162" s="10"/>
      <c r="D162" s="10"/>
      <c r="E162" s="30"/>
      <c r="F162" s="10"/>
    </row>
    <row r="163" customFormat="false" ht="15" hidden="false" customHeight="false" outlineLevel="0" collapsed="false">
      <c r="A163" s="10"/>
      <c r="B163" s="10"/>
      <c r="C163" s="10"/>
      <c r="D163" s="10"/>
      <c r="E163" s="30"/>
      <c r="F163" s="10"/>
    </row>
    <row r="164" customFormat="false" ht="15" hidden="false" customHeight="false" outlineLevel="0" collapsed="false">
      <c r="A164" s="10"/>
      <c r="B164" s="10"/>
      <c r="C164" s="10"/>
      <c r="D164" s="10"/>
      <c r="E164" s="30"/>
      <c r="F164" s="10"/>
    </row>
    <row r="165" customFormat="false" ht="15" hidden="false" customHeight="false" outlineLevel="0" collapsed="false">
      <c r="A165" s="10"/>
      <c r="B165" s="10"/>
      <c r="C165" s="10"/>
      <c r="D165" s="10"/>
      <c r="E165" s="30"/>
      <c r="F165" s="10"/>
    </row>
    <row r="166" customFormat="false" ht="15" hidden="false" customHeight="false" outlineLevel="0" collapsed="false">
      <c r="A166" s="10"/>
      <c r="B166" s="10"/>
      <c r="C166" s="10"/>
      <c r="D166" s="10"/>
      <c r="E166" s="30"/>
      <c r="F166" s="10"/>
    </row>
    <row r="167" customFormat="false" ht="15" hidden="false" customHeight="false" outlineLevel="0" collapsed="false">
      <c r="A167" s="10"/>
      <c r="B167" s="10"/>
      <c r="C167" s="10"/>
      <c r="D167" s="10"/>
      <c r="E167" s="30"/>
      <c r="F167" s="10"/>
    </row>
    <row r="168" customFormat="false" ht="15" hidden="false" customHeight="false" outlineLevel="0" collapsed="false">
      <c r="A168" s="10"/>
      <c r="B168" s="10"/>
      <c r="C168" s="10"/>
      <c r="D168" s="10"/>
      <c r="E168" s="30"/>
      <c r="F168" s="10"/>
    </row>
    <row r="169" customFormat="false" ht="15" hidden="false" customHeight="false" outlineLevel="0" collapsed="false">
      <c r="A169" s="10"/>
      <c r="B169" s="10"/>
      <c r="C169" s="10"/>
      <c r="D169" s="10"/>
      <c r="E169" s="30"/>
      <c r="F169" s="10"/>
    </row>
    <row r="170" customFormat="false" ht="15" hidden="false" customHeight="false" outlineLevel="0" collapsed="false">
      <c r="A170" s="10"/>
      <c r="B170" s="10"/>
      <c r="C170" s="10"/>
      <c r="D170" s="10"/>
      <c r="E170" s="30"/>
      <c r="F170" s="10"/>
    </row>
    <row r="171" customFormat="false" ht="15" hidden="false" customHeight="false" outlineLevel="0" collapsed="false">
      <c r="A171" s="10"/>
      <c r="B171" s="10"/>
      <c r="C171" s="10"/>
      <c r="D171" s="10"/>
      <c r="E171" s="30"/>
      <c r="F171" s="10"/>
    </row>
    <row r="172" customFormat="false" ht="15" hidden="false" customHeight="false" outlineLevel="0" collapsed="false">
      <c r="A172" s="10"/>
      <c r="B172" s="10"/>
      <c r="C172" s="10"/>
      <c r="D172" s="10"/>
      <c r="E172" s="30"/>
      <c r="F172" s="10"/>
    </row>
    <row r="173" customFormat="false" ht="15" hidden="false" customHeight="false" outlineLevel="0" collapsed="false">
      <c r="A173" s="10"/>
      <c r="B173" s="10"/>
      <c r="C173" s="10"/>
      <c r="D173" s="10"/>
      <c r="E173" s="30"/>
      <c r="F173" s="10"/>
    </row>
    <row r="174" customFormat="false" ht="15" hidden="false" customHeight="false" outlineLevel="0" collapsed="false">
      <c r="A174" s="10"/>
      <c r="B174" s="10"/>
      <c r="C174" s="10"/>
      <c r="D174" s="10"/>
      <c r="E174" s="30"/>
      <c r="F174" s="10"/>
    </row>
    <row r="175" customFormat="false" ht="15" hidden="false" customHeight="false" outlineLevel="0" collapsed="false">
      <c r="A175" s="10"/>
      <c r="B175" s="10"/>
      <c r="C175" s="10"/>
      <c r="D175" s="10"/>
      <c r="E175" s="30"/>
      <c r="F175" s="10"/>
    </row>
    <row r="176" customFormat="false" ht="15" hidden="false" customHeight="false" outlineLevel="0" collapsed="false">
      <c r="A176" s="10"/>
      <c r="B176" s="10"/>
      <c r="C176" s="10"/>
      <c r="D176" s="10"/>
      <c r="E176" s="30"/>
      <c r="F176" s="10"/>
    </row>
    <row r="177" customFormat="false" ht="15" hidden="false" customHeight="false" outlineLevel="0" collapsed="false">
      <c r="A177" s="10"/>
      <c r="B177" s="10"/>
      <c r="C177" s="10"/>
      <c r="D177" s="10"/>
      <c r="E177" s="30"/>
      <c r="F177" s="10"/>
    </row>
    <row r="178" customFormat="false" ht="15" hidden="false" customHeight="false" outlineLevel="0" collapsed="false">
      <c r="A178" s="10"/>
      <c r="B178" s="10"/>
      <c r="C178" s="10"/>
      <c r="D178" s="10"/>
      <c r="E178" s="30"/>
      <c r="F178" s="10"/>
    </row>
    <row r="179" customFormat="false" ht="15" hidden="false" customHeight="false" outlineLevel="0" collapsed="false">
      <c r="A179" s="10"/>
      <c r="B179" s="10"/>
      <c r="C179" s="10"/>
      <c r="D179" s="10"/>
      <c r="E179" s="30"/>
      <c r="F179" s="10"/>
    </row>
    <row r="180" customFormat="false" ht="15" hidden="false" customHeight="false" outlineLevel="0" collapsed="false">
      <c r="A180" s="10"/>
      <c r="B180" s="10"/>
      <c r="C180" s="10"/>
      <c r="D180" s="10"/>
      <c r="E180" s="30"/>
      <c r="F180" s="10"/>
    </row>
    <row r="181" customFormat="false" ht="15" hidden="false" customHeight="false" outlineLevel="0" collapsed="false">
      <c r="A181" s="10"/>
      <c r="B181" s="10"/>
      <c r="C181" s="10"/>
      <c r="D181" s="10"/>
      <c r="E181" s="30"/>
      <c r="F181" s="10"/>
    </row>
    <row r="182" customFormat="false" ht="15" hidden="false" customHeight="false" outlineLevel="0" collapsed="false">
      <c r="A182" s="10"/>
      <c r="B182" s="10"/>
      <c r="C182" s="10"/>
      <c r="D182" s="10"/>
      <c r="E182" s="30"/>
      <c r="F182" s="10"/>
    </row>
    <row r="183" customFormat="false" ht="15" hidden="false" customHeight="false" outlineLevel="0" collapsed="false">
      <c r="A183" s="10"/>
      <c r="B183" s="10"/>
      <c r="C183" s="10"/>
      <c r="D183" s="10"/>
      <c r="E183" s="30"/>
      <c r="F183" s="10"/>
    </row>
    <row r="184" customFormat="false" ht="15" hidden="false" customHeight="false" outlineLevel="0" collapsed="false">
      <c r="A184" s="10"/>
      <c r="B184" s="10"/>
      <c r="C184" s="10"/>
      <c r="D184" s="10"/>
      <c r="E184" s="30"/>
      <c r="F184" s="10"/>
    </row>
    <row r="185" customFormat="false" ht="15" hidden="false" customHeight="false" outlineLevel="0" collapsed="false">
      <c r="A185" s="10"/>
      <c r="B185" s="10"/>
      <c r="C185" s="10"/>
      <c r="D185" s="10"/>
      <c r="E185" s="30"/>
      <c r="F185" s="10"/>
    </row>
    <row r="186" customFormat="false" ht="15" hidden="false" customHeight="false" outlineLevel="0" collapsed="false">
      <c r="A186" s="10"/>
      <c r="B186" s="10"/>
      <c r="C186" s="10"/>
      <c r="D186" s="10"/>
      <c r="E186" s="30"/>
      <c r="F186" s="10"/>
    </row>
    <row r="187" customFormat="false" ht="15" hidden="false" customHeight="false" outlineLevel="0" collapsed="false">
      <c r="A187" s="10"/>
      <c r="B187" s="10"/>
      <c r="C187" s="10"/>
      <c r="D187" s="10"/>
      <c r="E187" s="30"/>
      <c r="F187" s="10"/>
    </row>
    <row r="188" customFormat="false" ht="15" hidden="false" customHeight="false" outlineLevel="0" collapsed="false">
      <c r="A188" s="10"/>
      <c r="B188" s="10"/>
      <c r="C188" s="10"/>
      <c r="D188" s="10"/>
      <c r="E188" s="30"/>
      <c r="F188" s="10"/>
    </row>
    <row r="189" customFormat="false" ht="15" hidden="false" customHeight="false" outlineLevel="0" collapsed="false">
      <c r="A189" s="10"/>
      <c r="B189" s="10"/>
      <c r="C189" s="10"/>
      <c r="D189" s="10"/>
      <c r="E189" s="30"/>
      <c r="F189" s="10"/>
    </row>
    <row r="190" customFormat="false" ht="15" hidden="false" customHeight="false" outlineLevel="0" collapsed="false">
      <c r="A190" s="10"/>
      <c r="B190" s="10"/>
      <c r="C190" s="10"/>
      <c r="D190" s="10"/>
      <c r="E190" s="30"/>
      <c r="F190" s="10"/>
    </row>
    <row r="191" customFormat="false" ht="15" hidden="false" customHeight="false" outlineLevel="0" collapsed="false">
      <c r="A191" s="10"/>
      <c r="B191" s="10"/>
      <c r="C191" s="10"/>
      <c r="D191" s="10"/>
      <c r="E191" s="30"/>
      <c r="F191" s="10"/>
    </row>
    <row r="192" customFormat="false" ht="15" hidden="false" customHeight="false" outlineLevel="0" collapsed="false">
      <c r="A192" s="10"/>
      <c r="B192" s="10"/>
      <c r="C192" s="10"/>
      <c r="D192" s="10"/>
      <c r="E192" s="30"/>
      <c r="F192" s="10"/>
    </row>
    <row r="193" customFormat="false" ht="15" hidden="false" customHeight="false" outlineLevel="0" collapsed="false">
      <c r="A193" s="10"/>
      <c r="B193" s="10"/>
      <c r="C193" s="10"/>
      <c r="D193" s="10"/>
      <c r="E193" s="30"/>
      <c r="F193" s="10"/>
    </row>
    <row r="194" customFormat="false" ht="15" hidden="false" customHeight="false" outlineLevel="0" collapsed="false">
      <c r="A194" s="10"/>
      <c r="B194" s="10"/>
      <c r="C194" s="10"/>
      <c r="D194" s="10"/>
      <c r="E194" s="30"/>
      <c r="F194" s="10"/>
    </row>
    <row r="195" customFormat="false" ht="15" hidden="false" customHeight="false" outlineLevel="0" collapsed="false">
      <c r="A195" s="10"/>
      <c r="B195" s="10"/>
      <c r="C195" s="10"/>
      <c r="D195" s="10"/>
      <c r="E195" s="30"/>
      <c r="F195" s="10"/>
    </row>
    <row r="196" customFormat="false" ht="15" hidden="false" customHeight="false" outlineLevel="0" collapsed="false">
      <c r="A196" s="10"/>
      <c r="B196" s="10"/>
      <c r="C196" s="10"/>
      <c r="D196" s="10"/>
      <c r="E196" s="30"/>
      <c r="F196" s="10"/>
    </row>
    <row r="197" customFormat="false" ht="15" hidden="false" customHeight="false" outlineLevel="0" collapsed="false">
      <c r="A197" s="10"/>
      <c r="B197" s="10"/>
      <c r="C197" s="10"/>
      <c r="D197" s="10"/>
      <c r="E197" s="30"/>
      <c r="F197" s="10"/>
    </row>
    <row r="198" customFormat="false" ht="15" hidden="false" customHeight="false" outlineLevel="0" collapsed="false">
      <c r="A198" s="10"/>
      <c r="B198" s="10"/>
      <c r="C198" s="10"/>
      <c r="D198" s="10"/>
      <c r="E198" s="30"/>
      <c r="F198" s="10"/>
    </row>
    <row r="199" customFormat="false" ht="15" hidden="false" customHeight="false" outlineLevel="0" collapsed="false">
      <c r="A199" s="10"/>
      <c r="B199" s="10"/>
      <c r="C199" s="10"/>
      <c r="D199" s="10"/>
      <c r="E199" s="30"/>
      <c r="F199" s="10"/>
    </row>
    <row r="200" customFormat="false" ht="15" hidden="false" customHeight="false" outlineLevel="0" collapsed="false">
      <c r="A200" s="10"/>
      <c r="B200" s="10"/>
      <c r="C200" s="10"/>
      <c r="D200" s="10"/>
      <c r="E200" s="30"/>
      <c r="F200" s="10"/>
    </row>
    <row r="201" customFormat="false" ht="15" hidden="false" customHeight="false" outlineLevel="0" collapsed="false">
      <c r="A201" s="10"/>
      <c r="B201" s="10"/>
      <c r="C201" s="10"/>
      <c r="D201" s="10"/>
      <c r="E201" s="30"/>
      <c r="F201" s="10"/>
    </row>
    <row r="202" customFormat="false" ht="15" hidden="false" customHeight="false" outlineLevel="0" collapsed="false">
      <c r="A202" s="10"/>
      <c r="B202" s="10"/>
      <c r="C202" s="10"/>
      <c r="D202" s="10"/>
      <c r="E202" s="30"/>
      <c r="F202" s="10"/>
    </row>
    <row r="203" customFormat="false" ht="15" hidden="false" customHeight="false" outlineLevel="0" collapsed="false">
      <c r="A203" s="10"/>
      <c r="B203" s="10"/>
      <c r="C203" s="10"/>
      <c r="D203" s="10"/>
      <c r="E203" s="30"/>
      <c r="F203" s="10"/>
    </row>
    <row r="204" customFormat="false" ht="15" hidden="false" customHeight="false" outlineLevel="0" collapsed="false">
      <c r="A204" s="10"/>
      <c r="B204" s="10"/>
      <c r="C204" s="10"/>
      <c r="D204" s="10"/>
      <c r="E204" s="30"/>
      <c r="F204" s="10"/>
    </row>
    <row r="205" customFormat="false" ht="15" hidden="false" customHeight="false" outlineLevel="0" collapsed="false">
      <c r="A205" s="10"/>
      <c r="B205" s="10"/>
      <c r="C205" s="10"/>
      <c r="D205" s="10"/>
      <c r="E205" s="30"/>
      <c r="F205" s="10"/>
    </row>
    <row r="206" customFormat="false" ht="15" hidden="false" customHeight="false" outlineLevel="0" collapsed="false">
      <c r="A206" s="10"/>
      <c r="B206" s="10"/>
      <c r="C206" s="10"/>
      <c r="D206" s="10"/>
      <c r="E206" s="30"/>
      <c r="F206" s="10"/>
    </row>
    <row r="207" customFormat="false" ht="15" hidden="false" customHeight="false" outlineLevel="0" collapsed="false">
      <c r="A207" s="10"/>
      <c r="B207" s="10"/>
      <c r="C207" s="10"/>
      <c r="D207" s="10"/>
      <c r="E207" s="30"/>
      <c r="F207" s="10"/>
    </row>
    <row r="208" customFormat="false" ht="15" hidden="false" customHeight="false" outlineLevel="0" collapsed="false">
      <c r="A208" s="10"/>
      <c r="B208" s="10"/>
      <c r="C208" s="10"/>
      <c r="D208" s="10"/>
      <c r="E208" s="30"/>
      <c r="F208" s="10"/>
    </row>
    <row r="209" customFormat="false" ht="15" hidden="false" customHeight="false" outlineLevel="0" collapsed="false">
      <c r="A209" s="10"/>
      <c r="B209" s="10"/>
      <c r="C209" s="10"/>
      <c r="D209" s="10"/>
      <c r="E209" s="30"/>
      <c r="F209" s="10"/>
    </row>
    <row r="210" customFormat="false" ht="15" hidden="false" customHeight="false" outlineLevel="0" collapsed="false">
      <c r="A210" s="10"/>
      <c r="B210" s="10"/>
      <c r="C210" s="10"/>
      <c r="D210" s="10"/>
      <c r="E210" s="30"/>
      <c r="F210" s="10"/>
    </row>
    <row r="211" customFormat="false" ht="15" hidden="false" customHeight="false" outlineLevel="0" collapsed="false">
      <c r="A211" s="10"/>
      <c r="B211" s="10"/>
      <c r="C211" s="10"/>
      <c r="D211" s="10"/>
      <c r="E211" s="30"/>
      <c r="F211" s="10"/>
    </row>
    <row r="212" customFormat="false" ht="15" hidden="false" customHeight="false" outlineLevel="0" collapsed="false">
      <c r="A212" s="10"/>
      <c r="B212" s="10"/>
      <c r="C212" s="10"/>
      <c r="D212" s="10"/>
      <c r="E212" s="30"/>
      <c r="F212" s="10"/>
    </row>
    <row r="213" customFormat="false" ht="15" hidden="false" customHeight="false" outlineLevel="0" collapsed="false">
      <c r="A213" s="10"/>
      <c r="B213" s="10"/>
      <c r="C213" s="10"/>
      <c r="D213" s="10"/>
      <c r="E213" s="30"/>
      <c r="F213" s="10"/>
    </row>
    <row r="214" customFormat="false" ht="15" hidden="false" customHeight="false" outlineLevel="0" collapsed="false">
      <c r="A214" s="10"/>
      <c r="B214" s="10"/>
      <c r="C214" s="10"/>
      <c r="D214" s="10"/>
      <c r="E214" s="30"/>
      <c r="F214" s="10"/>
    </row>
    <row r="215" customFormat="false" ht="15" hidden="false" customHeight="false" outlineLevel="0" collapsed="false">
      <c r="A215" s="10"/>
      <c r="B215" s="10"/>
      <c r="C215" s="10"/>
      <c r="D215" s="10"/>
      <c r="E215" s="30"/>
      <c r="F215" s="10"/>
    </row>
    <row r="216" customFormat="false" ht="15" hidden="false" customHeight="false" outlineLevel="0" collapsed="false">
      <c r="A216" s="10"/>
      <c r="B216" s="10"/>
      <c r="C216" s="10"/>
      <c r="D216" s="10"/>
      <c r="E216" s="30"/>
      <c r="F216" s="10"/>
    </row>
    <row r="217" customFormat="false" ht="15" hidden="false" customHeight="false" outlineLevel="0" collapsed="false">
      <c r="A217" s="10"/>
      <c r="B217" s="10"/>
      <c r="C217" s="10"/>
      <c r="D217" s="10"/>
      <c r="E217" s="30"/>
      <c r="F217" s="10"/>
    </row>
    <row r="218" customFormat="false" ht="15" hidden="false" customHeight="false" outlineLevel="0" collapsed="false">
      <c r="A218" s="10"/>
      <c r="B218" s="10"/>
      <c r="C218" s="10"/>
      <c r="D218" s="10"/>
      <c r="E218" s="30"/>
      <c r="F218" s="10"/>
    </row>
    <row r="219" customFormat="false" ht="15" hidden="false" customHeight="false" outlineLevel="0" collapsed="false">
      <c r="A219" s="10"/>
      <c r="B219" s="10"/>
      <c r="C219" s="10"/>
      <c r="D219" s="10"/>
      <c r="E219" s="30"/>
      <c r="F219" s="10"/>
    </row>
    <row r="220" customFormat="false" ht="15" hidden="false" customHeight="false" outlineLevel="0" collapsed="false">
      <c r="A220" s="10"/>
      <c r="B220" s="10"/>
      <c r="C220" s="10"/>
      <c r="D220" s="10"/>
      <c r="E220" s="30"/>
      <c r="F220" s="10"/>
    </row>
    <row r="221" customFormat="false" ht="15" hidden="false" customHeight="false" outlineLevel="0" collapsed="false">
      <c r="A221" s="10"/>
      <c r="B221" s="10"/>
      <c r="C221" s="10"/>
      <c r="D221" s="10"/>
      <c r="E221" s="30"/>
      <c r="F221" s="10"/>
    </row>
    <row r="222" customFormat="false" ht="15" hidden="false" customHeight="false" outlineLevel="0" collapsed="false">
      <c r="A222" s="10"/>
      <c r="B222" s="10"/>
      <c r="C222" s="10"/>
      <c r="D222" s="10"/>
      <c r="E222" s="30"/>
      <c r="F222" s="10"/>
    </row>
    <row r="223" customFormat="false" ht="15" hidden="false" customHeight="false" outlineLevel="0" collapsed="false">
      <c r="A223" s="10"/>
      <c r="B223" s="10"/>
      <c r="C223" s="10"/>
      <c r="D223" s="10"/>
      <c r="E223" s="30"/>
      <c r="F223" s="10"/>
    </row>
    <row r="224" customFormat="false" ht="15" hidden="false" customHeight="false" outlineLevel="0" collapsed="false">
      <c r="A224" s="10"/>
      <c r="B224" s="10"/>
      <c r="C224" s="10"/>
      <c r="D224" s="10"/>
      <c r="E224" s="30"/>
      <c r="F224" s="10"/>
    </row>
    <row r="225" customFormat="false" ht="15" hidden="false" customHeight="false" outlineLevel="0" collapsed="false">
      <c r="A225" s="10"/>
      <c r="B225" s="10"/>
      <c r="C225" s="10"/>
      <c r="D225" s="10"/>
      <c r="E225" s="30"/>
      <c r="F225" s="10"/>
    </row>
    <row r="226" customFormat="false" ht="15" hidden="false" customHeight="false" outlineLevel="0" collapsed="false">
      <c r="A226" s="10"/>
      <c r="B226" s="10"/>
      <c r="C226" s="10"/>
      <c r="D226" s="10"/>
      <c r="E226" s="30"/>
      <c r="F226" s="10"/>
    </row>
    <row r="227" customFormat="false" ht="15" hidden="false" customHeight="false" outlineLevel="0" collapsed="false">
      <c r="A227" s="10"/>
      <c r="B227" s="10"/>
      <c r="C227" s="10"/>
      <c r="D227" s="10"/>
      <c r="E227" s="30"/>
      <c r="F227" s="10"/>
    </row>
    <row r="228" customFormat="false" ht="15" hidden="false" customHeight="false" outlineLevel="0" collapsed="false">
      <c r="A228" s="10"/>
      <c r="B228" s="10"/>
      <c r="C228" s="10"/>
      <c r="D228" s="10"/>
      <c r="E228" s="30"/>
      <c r="F228" s="10"/>
    </row>
    <row r="229" customFormat="false" ht="15" hidden="false" customHeight="false" outlineLevel="0" collapsed="false">
      <c r="A229" s="10"/>
      <c r="B229" s="10"/>
      <c r="C229" s="10"/>
      <c r="D229" s="10"/>
      <c r="E229" s="30"/>
      <c r="F229" s="10"/>
    </row>
    <row r="230" customFormat="false" ht="15" hidden="false" customHeight="false" outlineLevel="0" collapsed="false">
      <c r="A230" s="10"/>
      <c r="B230" s="10"/>
      <c r="C230" s="10"/>
      <c r="D230" s="10"/>
      <c r="E230" s="30"/>
      <c r="F230" s="10"/>
    </row>
    <row r="231" customFormat="false" ht="15" hidden="false" customHeight="false" outlineLevel="0" collapsed="false">
      <c r="A231" s="10"/>
      <c r="B231" s="10"/>
      <c r="C231" s="10"/>
      <c r="D231" s="10"/>
      <c r="E231" s="30"/>
      <c r="F231" s="10"/>
    </row>
    <row r="232" customFormat="false" ht="15" hidden="false" customHeight="false" outlineLevel="0" collapsed="false">
      <c r="A232" s="10"/>
      <c r="B232" s="10"/>
      <c r="C232" s="10"/>
      <c r="D232" s="10"/>
      <c r="E232" s="30"/>
      <c r="F232" s="10"/>
    </row>
    <row r="233" customFormat="false" ht="15" hidden="false" customHeight="false" outlineLevel="0" collapsed="false">
      <c r="A233" s="10"/>
      <c r="B233" s="10"/>
      <c r="C233" s="10"/>
      <c r="D233" s="10"/>
      <c r="E233" s="30"/>
      <c r="F233" s="10"/>
    </row>
    <row r="234" customFormat="false" ht="15" hidden="false" customHeight="false" outlineLevel="0" collapsed="false">
      <c r="A234" s="10"/>
      <c r="B234" s="10"/>
      <c r="C234" s="10"/>
      <c r="D234" s="10"/>
      <c r="E234" s="30"/>
      <c r="F234" s="10"/>
    </row>
    <row r="235" customFormat="false" ht="15" hidden="false" customHeight="false" outlineLevel="0" collapsed="false">
      <c r="A235" s="10"/>
      <c r="B235" s="10"/>
      <c r="C235" s="10"/>
      <c r="D235" s="10"/>
      <c r="E235" s="30"/>
      <c r="F235" s="10"/>
    </row>
    <row r="236" customFormat="false" ht="15" hidden="false" customHeight="false" outlineLevel="0" collapsed="false">
      <c r="A236" s="10"/>
      <c r="B236" s="10"/>
      <c r="C236" s="10"/>
      <c r="D236" s="10"/>
      <c r="E236" s="30"/>
      <c r="F236" s="10"/>
    </row>
    <row r="237" customFormat="false" ht="15" hidden="false" customHeight="false" outlineLevel="0" collapsed="false">
      <c r="A237" s="10"/>
      <c r="B237" s="10"/>
      <c r="C237" s="10"/>
      <c r="D237" s="10"/>
      <c r="E237" s="30"/>
      <c r="F237" s="10"/>
    </row>
    <row r="238" customFormat="false" ht="15" hidden="false" customHeight="false" outlineLevel="0" collapsed="false">
      <c r="A238" s="10"/>
      <c r="B238" s="10"/>
      <c r="C238" s="10"/>
      <c r="D238" s="10"/>
      <c r="E238" s="30"/>
      <c r="F238" s="10"/>
    </row>
    <row r="239" customFormat="false" ht="15" hidden="false" customHeight="false" outlineLevel="0" collapsed="false">
      <c r="A239" s="10"/>
      <c r="B239" s="10"/>
      <c r="C239" s="10"/>
      <c r="D239" s="10"/>
      <c r="E239" s="30"/>
      <c r="F239" s="10"/>
    </row>
    <row r="240" customFormat="false" ht="15" hidden="false" customHeight="false" outlineLevel="0" collapsed="false">
      <c r="A240" s="10"/>
      <c r="B240" s="10"/>
      <c r="C240" s="10"/>
      <c r="D240" s="10"/>
      <c r="E240" s="30"/>
      <c r="F240" s="10"/>
    </row>
    <row r="241" customFormat="false" ht="15" hidden="false" customHeight="false" outlineLevel="0" collapsed="false">
      <c r="A241" s="10"/>
      <c r="B241" s="10"/>
      <c r="C241" s="10"/>
      <c r="D241" s="10"/>
      <c r="E241" s="30"/>
      <c r="F241" s="10"/>
    </row>
    <row r="242" customFormat="false" ht="15" hidden="false" customHeight="false" outlineLevel="0" collapsed="false">
      <c r="A242" s="10"/>
      <c r="B242" s="10"/>
      <c r="C242" s="10"/>
      <c r="D242" s="10"/>
      <c r="E242" s="30"/>
      <c r="F242" s="10"/>
    </row>
    <row r="243" customFormat="false" ht="15" hidden="false" customHeight="false" outlineLevel="0" collapsed="false">
      <c r="A243" s="10"/>
      <c r="B243" s="10"/>
      <c r="C243" s="10"/>
      <c r="D243" s="10"/>
      <c r="E243" s="30"/>
      <c r="F243" s="10"/>
    </row>
    <row r="244" customFormat="false" ht="15" hidden="false" customHeight="false" outlineLevel="0" collapsed="false">
      <c r="A244" s="10"/>
      <c r="B244" s="10"/>
      <c r="C244" s="10"/>
      <c r="D244" s="10"/>
      <c r="E244" s="30"/>
      <c r="F244" s="10"/>
    </row>
    <row r="245" customFormat="false" ht="15" hidden="false" customHeight="false" outlineLevel="0" collapsed="false">
      <c r="A245" s="10"/>
      <c r="B245" s="10"/>
      <c r="C245" s="10"/>
      <c r="D245" s="10"/>
      <c r="E245" s="30"/>
      <c r="F245" s="10"/>
    </row>
    <row r="246" customFormat="false" ht="15" hidden="false" customHeight="false" outlineLevel="0" collapsed="false">
      <c r="A246" s="10"/>
      <c r="B246" s="10"/>
      <c r="C246" s="10"/>
      <c r="D246" s="10"/>
      <c r="E246" s="30"/>
      <c r="F246" s="10"/>
    </row>
    <row r="247" customFormat="false" ht="15" hidden="false" customHeight="false" outlineLevel="0" collapsed="false">
      <c r="A247" s="10"/>
      <c r="B247" s="10"/>
      <c r="C247" s="10"/>
      <c r="D247" s="10"/>
      <c r="E247" s="30"/>
      <c r="F247" s="10"/>
    </row>
    <row r="248" customFormat="false" ht="15" hidden="false" customHeight="false" outlineLevel="0" collapsed="false">
      <c r="A248" s="10"/>
      <c r="B248" s="10"/>
      <c r="C248" s="10"/>
      <c r="D248" s="10"/>
      <c r="E248" s="30"/>
      <c r="F248" s="10"/>
    </row>
    <row r="249" customFormat="false" ht="15" hidden="false" customHeight="false" outlineLevel="0" collapsed="false">
      <c r="A249" s="10"/>
      <c r="B249" s="10"/>
      <c r="C249" s="10"/>
      <c r="D249" s="10"/>
      <c r="E249" s="30"/>
      <c r="F249" s="10"/>
    </row>
    <row r="250" customFormat="false" ht="15" hidden="false" customHeight="false" outlineLevel="0" collapsed="false">
      <c r="A250" s="10"/>
      <c r="B250" s="10"/>
      <c r="C250" s="10"/>
      <c r="D250" s="10"/>
      <c r="E250" s="30"/>
      <c r="F250" s="10"/>
    </row>
    <row r="251" customFormat="false" ht="15" hidden="false" customHeight="false" outlineLevel="0" collapsed="false">
      <c r="A251" s="10"/>
      <c r="B251" s="10"/>
      <c r="C251" s="10"/>
      <c r="D251" s="10"/>
      <c r="E251" s="30"/>
      <c r="F251" s="10"/>
    </row>
    <row r="252" customFormat="false" ht="15" hidden="false" customHeight="false" outlineLevel="0" collapsed="false">
      <c r="A252" s="10"/>
      <c r="B252" s="10"/>
      <c r="C252" s="10"/>
      <c r="D252" s="10"/>
      <c r="E252" s="30"/>
      <c r="F252" s="10"/>
    </row>
    <row r="253" customFormat="false" ht="15" hidden="false" customHeight="false" outlineLevel="0" collapsed="false">
      <c r="A253" s="10"/>
      <c r="B253" s="10"/>
      <c r="C253" s="10"/>
      <c r="D253" s="10"/>
      <c r="E253" s="30"/>
      <c r="F253" s="10"/>
    </row>
    <row r="254" customFormat="false" ht="15" hidden="false" customHeight="false" outlineLevel="0" collapsed="false">
      <c r="A254" s="10"/>
      <c r="B254" s="10"/>
      <c r="C254" s="10"/>
      <c r="D254" s="10"/>
      <c r="E254" s="30"/>
      <c r="F254" s="10"/>
    </row>
    <row r="255" customFormat="false" ht="15" hidden="false" customHeight="false" outlineLevel="0" collapsed="false">
      <c r="A255" s="10"/>
      <c r="B255" s="10"/>
      <c r="C255" s="10"/>
      <c r="D255" s="10"/>
      <c r="E255" s="30"/>
      <c r="F255" s="10"/>
    </row>
    <row r="256" customFormat="false" ht="15" hidden="false" customHeight="false" outlineLevel="0" collapsed="false">
      <c r="A256" s="10"/>
      <c r="B256" s="10"/>
      <c r="C256" s="10"/>
      <c r="D256" s="10"/>
      <c r="E256" s="30"/>
      <c r="F256" s="10"/>
    </row>
    <row r="257" customFormat="false" ht="15" hidden="false" customHeight="false" outlineLevel="0" collapsed="false">
      <c r="A257" s="10"/>
      <c r="B257" s="10"/>
      <c r="C257" s="10"/>
      <c r="D257" s="10"/>
      <c r="E257" s="30"/>
      <c r="F257" s="10"/>
    </row>
    <row r="258" customFormat="false" ht="15" hidden="false" customHeight="false" outlineLevel="0" collapsed="false">
      <c r="A258" s="10"/>
      <c r="B258" s="10"/>
      <c r="C258" s="10"/>
      <c r="D258" s="10"/>
      <c r="E258" s="30"/>
      <c r="F258" s="10"/>
    </row>
    <row r="259" customFormat="false" ht="15" hidden="false" customHeight="false" outlineLevel="0" collapsed="false">
      <c r="A259" s="10"/>
      <c r="B259" s="10"/>
      <c r="C259" s="10"/>
      <c r="D259" s="10"/>
      <c r="E259" s="30"/>
      <c r="F259" s="10"/>
    </row>
    <row r="260" customFormat="false" ht="15" hidden="false" customHeight="false" outlineLevel="0" collapsed="false">
      <c r="A260" s="10"/>
      <c r="B260" s="10"/>
      <c r="C260" s="10"/>
      <c r="D260" s="10"/>
      <c r="E260" s="30"/>
      <c r="F260" s="10"/>
    </row>
    <row r="261" customFormat="false" ht="15" hidden="false" customHeight="false" outlineLevel="0" collapsed="false">
      <c r="A261" s="10"/>
      <c r="B261" s="10"/>
      <c r="C261" s="10"/>
      <c r="D261" s="10"/>
      <c r="E261" s="30"/>
      <c r="F261" s="10"/>
    </row>
    <row r="262" customFormat="false" ht="15" hidden="false" customHeight="false" outlineLevel="0" collapsed="false">
      <c r="A262" s="10"/>
      <c r="B262" s="10"/>
      <c r="C262" s="10"/>
      <c r="D262" s="10"/>
      <c r="E262" s="30"/>
      <c r="F262" s="10"/>
    </row>
    <row r="263" customFormat="false" ht="15" hidden="false" customHeight="false" outlineLevel="0" collapsed="false">
      <c r="A263" s="10"/>
      <c r="B263" s="10"/>
      <c r="C263" s="10"/>
      <c r="D263" s="10"/>
      <c r="E263" s="30"/>
      <c r="F263" s="10"/>
    </row>
    <row r="264" customFormat="false" ht="15" hidden="false" customHeight="false" outlineLevel="0" collapsed="false">
      <c r="A264" s="10"/>
      <c r="B264" s="10"/>
      <c r="C264" s="10"/>
      <c r="D264" s="10"/>
      <c r="E264" s="30"/>
      <c r="F264" s="10"/>
    </row>
    <row r="265" customFormat="false" ht="15" hidden="false" customHeight="false" outlineLevel="0" collapsed="false">
      <c r="A265" s="10"/>
      <c r="B265" s="10"/>
      <c r="C265" s="10"/>
      <c r="D265" s="10"/>
      <c r="E265" s="30"/>
      <c r="F265" s="10"/>
    </row>
    <row r="266" customFormat="false" ht="15" hidden="false" customHeight="false" outlineLevel="0" collapsed="false">
      <c r="A266" s="10"/>
      <c r="B266" s="10"/>
      <c r="C266" s="10"/>
      <c r="D266" s="10"/>
      <c r="E266" s="30"/>
      <c r="F266" s="10"/>
    </row>
    <row r="267" customFormat="false" ht="15" hidden="false" customHeight="false" outlineLevel="0" collapsed="false">
      <c r="A267" s="10"/>
      <c r="B267" s="10"/>
      <c r="C267" s="10"/>
      <c r="D267" s="10"/>
      <c r="E267" s="30"/>
      <c r="F267" s="10"/>
    </row>
    <row r="268" customFormat="false" ht="15" hidden="false" customHeight="false" outlineLevel="0" collapsed="false">
      <c r="A268" s="10"/>
      <c r="B268" s="10"/>
      <c r="C268" s="10"/>
      <c r="D268" s="10"/>
      <c r="E268" s="30"/>
      <c r="F268" s="10"/>
    </row>
    <row r="269" customFormat="false" ht="15" hidden="false" customHeight="false" outlineLevel="0" collapsed="false">
      <c r="A269" s="10"/>
      <c r="B269" s="10"/>
      <c r="C269" s="10"/>
      <c r="D269" s="10"/>
      <c r="E269" s="30"/>
      <c r="F269" s="10"/>
    </row>
    <row r="270" customFormat="false" ht="15" hidden="false" customHeight="false" outlineLevel="0" collapsed="false">
      <c r="A270" s="10"/>
      <c r="B270" s="10"/>
      <c r="C270" s="10"/>
      <c r="D270" s="10"/>
      <c r="E270" s="30"/>
      <c r="F270" s="10"/>
    </row>
    <row r="271" customFormat="false" ht="15" hidden="false" customHeight="false" outlineLevel="0" collapsed="false">
      <c r="A271" s="10"/>
      <c r="B271" s="10"/>
      <c r="C271" s="10"/>
      <c r="D271" s="10"/>
      <c r="E271" s="30"/>
      <c r="F271" s="10"/>
    </row>
    <row r="272" customFormat="false" ht="15" hidden="false" customHeight="false" outlineLevel="0" collapsed="false">
      <c r="A272" s="10"/>
      <c r="B272" s="10"/>
      <c r="C272" s="10"/>
      <c r="D272" s="10"/>
      <c r="E272" s="30"/>
      <c r="F272" s="10"/>
    </row>
    <row r="273" customFormat="false" ht="15" hidden="false" customHeight="false" outlineLevel="0" collapsed="false">
      <c r="A273" s="10"/>
      <c r="B273" s="10"/>
      <c r="C273" s="10"/>
      <c r="D273" s="10"/>
      <c r="E273" s="30"/>
      <c r="F273" s="10"/>
    </row>
    <row r="274" customFormat="false" ht="15" hidden="false" customHeight="false" outlineLevel="0" collapsed="false">
      <c r="A274" s="10"/>
      <c r="B274" s="10"/>
      <c r="C274" s="10"/>
      <c r="D274" s="10"/>
      <c r="E274" s="30"/>
      <c r="F274" s="10"/>
    </row>
    <row r="275" customFormat="false" ht="15" hidden="false" customHeight="false" outlineLevel="0" collapsed="false">
      <c r="A275" s="10"/>
      <c r="B275" s="10"/>
      <c r="C275" s="10"/>
      <c r="D275" s="10"/>
      <c r="E275" s="30"/>
      <c r="F275" s="10"/>
    </row>
    <row r="276" customFormat="false" ht="15" hidden="false" customHeight="false" outlineLevel="0" collapsed="false">
      <c r="A276" s="10"/>
      <c r="B276" s="10"/>
      <c r="C276" s="10"/>
      <c r="D276" s="10"/>
      <c r="E276" s="30"/>
      <c r="F276" s="10"/>
    </row>
    <row r="277" customFormat="false" ht="15" hidden="false" customHeight="false" outlineLevel="0" collapsed="false">
      <c r="A277" s="10"/>
      <c r="B277" s="10"/>
      <c r="C277" s="10"/>
      <c r="D277" s="10"/>
      <c r="E277" s="30"/>
      <c r="F277" s="10"/>
    </row>
    <row r="278" customFormat="false" ht="15" hidden="false" customHeight="false" outlineLevel="0" collapsed="false">
      <c r="A278" s="10"/>
      <c r="B278" s="10"/>
      <c r="C278" s="10"/>
      <c r="D278" s="10"/>
      <c r="E278" s="30"/>
      <c r="F278" s="10"/>
    </row>
    <row r="279" customFormat="false" ht="15" hidden="false" customHeight="false" outlineLevel="0" collapsed="false">
      <c r="A279" s="10"/>
      <c r="B279" s="10"/>
      <c r="C279" s="10"/>
      <c r="D279" s="10"/>
      <c r="E279" s="30"/>
      <c r="F279" s="10"/>
    </row>
    <row r="280" customFormat="false" ht="15" hidden="false" customHeight="false" outlineLevel="0" collapsed="false">
      <c r="A280" s="10"/>
      <c r="B280" s="10"/>
      <c r="C280" s="10"/>
      <c r="D280" s="10"/>
      <c r="E280" s="30"/>
      <c r="F280" s="10"/>
    </row>
    <row r="281" customFormat="false" ht="15" hidden="false" customHeight="false" outlineLevel="0" collapsed="false">
      <c r="A281" s="10"/>
      <c r="B281" s="10"/>
      <c r="C281" s="10"/>
      <c r="D281" s="10"/>
      <c r="E281" s="30"/>
      <c r="F281" s="10"/>
    </row>
    <row r="282" customFormat="false" ht="15" hidden="false" customHeight="false" outlineLevel="0" collapsed="false">
      <c r="A282" s="10"/>
      <c r="B282" s="10"/>
      <c r="C282" s="10"/>
      <c r="D282" s="10"/>
      <c r="E282" s="30"/>
      <c r="F282" s="10"/>
    </row>
    <row r="283" customFormat="false" ht="15" hidden="false" customHeight="false" outlineLevel="0" collapsed="false">
      <c r="A283" s="10"/>
      <c r="B283" s="10"/>
      <c r="C283" s="10"/>
      <c r="D283" s="10"/>
      <c r="E283" s="30"/>
      <c r="F283" s="10"/>
    </row>
    <row r="284" customFormat="false" ht="15" hidden="false" customHeight="false" outlineLevel="0" collapsed="false">
      <c r="A284" s="10"/>
      <c r="B284" s="10"/>
      <c r="C284" s="10"/>
      <c r="D284" s="10"/>
      <c r="E284" s="30"/>
      <c r="F284" s="10"/>
    </row>
    <row r="285" customFormat="false" ht="15" hidden="false" customHeight="false" outlineLevel="0" collapsed="false">
      <c r="A285" s="10"/>
      <c r="B285" s="10"/>
      <c r="C285" s="10"/>
      <c r="D285" s="10"/>
      <c r="E285" s="30"/>
      <c r="F285" s="10"/>
    </row>
    <row r="286" customFormat="false" ht="15" hidden="false" customHeight="false" outlineLevel="0" collapsed="false">
      <c r="A286" s="10"/>
      <c r="B286" s="10"/>
      <c r="C286" s="10"/>
      <c r="D286" s="10"/>
      <c r="E286" s="30"/>
      <c r="F286" s="10"/>
    </row>
    <row r="287" customFormat="false" ht="15" hidden="false" customHeight="false" outlineLevel="0" collapsed="false">
      <c r="A287" s="10"/>
      <c r="B287" s="10"/>
      <c r="C287" s="10"/>
      <c r="D287" s="10"/>
      <c r="E287" s="30"/>
      <c r="F287" s="10"/>
    </row>
    <row r="288" customFormat="false" ht="15" hidden="false" customHeight="false" outlineLevel="0" collapsed="false">
      <c r="A288" s="10"/>
      <c r="B288" s="10"/>
      <c r="C288" s="10"/>
      <c r="D288" s="10"/>
      <c r="E288" s="30"/>
      <c r="F288" s="10"/>
    </row>
    <row r="289" customFormat="false" ht="15" hidden="false" customHeight="false" outlineLevel="0" collapsed="false">
      <c r="A289" s="10"/>
      <c r="B289" s="10"/>
      <c r="C289" s="10"/>
      <c r="D289" s="10"/>
      <c r="E289" s="30"/>
      <c r="F289" s="10"/>
    </row>
    <row r="290" customFormat="false" ht="15" hidden="false" customHeight="false" outlineLevel="0" collapsed="false">
      <c r="A290" s="10"/>
      <c r="B290" s="10"/>
      <c r="C290" s="10"/>
      <c r="D290" s="10"/>
      <c r="E290" s="30"/>
      <c r="F290" s="10"/>
    </row>
    <row r="291" customFormat="false" ht="15" hidden="false" customHeight="false" outlineLevel="0" collapsed="false">
      <c r="A291" s="10"/>
      <c r="B291" s="10"/>
      <c r="C291" s="10"/>
      <c r="D291" s="10"/>
      <c r="E291" s="30"/>
      <c r="F291" s="10"/>
    </row>
    <row r="292" customFormat="false" ht="15" hidden="false" customHeight="false" outlineLevel="0" collapsed="false">
      <c r="A292" s="10"/>
      <c r="B292" s="10"/>
      <c r="C292" s="10"/>
      <c r="D292" s="10"/>
      <c r="E292" s="30"/>
      <c r="F292" s="10"/>
    </row>
    <row r="293" customFormat="false" ht="15" hidden="false" customHeight="false" outlineLevel="0" collapsed="false">
      <c r="A293" s="10"/>
      <c r="B293" s="10"/>
      <c r="C293" s="10"/>
      <c r="D293" s="10"/>
      <c r="E293" s="30"/>
      <c r="F293" s="10"/>
    </row>
    <row r="294" customFormat="false" ht="15" hidden="false" customHeight="false" outlineLevel="0" collapsed="false">
      <c r="A294" s="10"/>
      <c r="B294" s="10"/>
      <c r="C294" s="10"/>
      <c r="D294" s="10"/>
      <c r="E294" s="30"/>
      <c r="F294" s="10"/>
    </row>
    <row r="295" customFormat="false" ht="15" hidden="false" customHeight="false" outlineLevel="0" collapsed="false">
      <c r="A295" s="10"/>
      <c r="B295" s="10"/>
      <c r="C295" s="10"/>
      <c r="D295" s="10"/>
      <c r="E295" s="30"/>
      <c r="F295" s="10"/>
    </row>
    <row r="296" customFormat="false" ht="15" hidden="false" customHeight="false" outlineLevel="0" collapsed="false">
      <c r="A296" s="10"/>
      <c r="B296" s="10"/>
      <c r="C296" s="10"/>
      <c r="D296" s="10"/>
      <c r="E296" s="30"/>
      <c r="F296" s="10"/>
    </row>
    <row r="297" customFormat="false" ht="15" hidden="false" customHeight="false" outlineLevel="0" collapsed="false">
      <c r="A297" s="10"/>
      <c r="B297" s="10"/>
      <c r="C297" s="10"/>
      <c r="D297" s="10"/>
      <c r="E297" s="30"/>
      <c r="F297" s="10"/>
    </row>
    <row r="298" customFormat="false" ht="15" hidden="false" customHeight="false" outlineLevel="0" collapsed="false">
      <c r="A298" s="10"/>
      <c r="B298" s="10"/>
      <c r="C298" s="10"/>
      <c r="D298" s="10"/>
      <c r="E298" s="30"/>
      <c r="F298" s="10"/>
    </row>
    <row r="299" customFormat="false" ht="15" hidden="false" customHeight="false" outlineLevel="0" collapsed="false">
      <c r="A299" s="10"/>
      <c r="B299" s="10"/>
      <c r="C299" s="10"/>
      <c r="D299" s="10"/>
      <c r="E299" s="30"/>
      <c r="F299" s="10"/>
    </row>
    <row r="300" customFormat="false" ht="15" hidden="false" customHeight="false" outlineLevel="0" collapsed="false">
      <c r="A300" s="10"/>
      <c r="B300" s="10"/>
      <c r="C300" s="10"/>
      <c r="D300" s="10"/>
      <c r="E300" s="30"/>
      <c r="F300" s="10"/>
    </row>
    <row r="301" customFormat="false" ht="15" hidden="false" customHeight="false" outlineLevel="0" collapsed="false">
      <c r="A301" s="10"/>
      <c r="B301" s="10"/>
      <c r="C301" s="10"/>
      <c r="D301" s="10"/>
      <c r="E301" s="30"/>
      <c r="F301" s="10"/>
    </row>
    <row r="302" customFormat="false" ht="15" hidden="false" customHeight="false" outlineLevel="0" collapsed="false">
      <c r="A302" s="10"/>
      <c r="B302" s="10"/>
      <c r="C302" s="10"/>
      <c r="D302" s="10"/>
      <c r="E302" s="30"/>
      <c r="F302" s="10"/>
    </row>
    <row r="303" customFormat="false" ht="15" hidden="false" customHeight="false" outlineLevel="0" collapsed="false">
      <c r="A303" s="10"/>
      <c r="B303" s="10"/>
      <c r="C303" s="10"/>
      <c r="D303" s="10"/>
      <c r="E303" s="30"/>
      <c r="F303" s="10"/>
    </row>
    <row r="304" customFormat="false" ht="15" hidden="false" customHeight="false" outlineLevel="0" collapsed="false">
      <c r="A304" s="10"/>
      <c r="B304" s="10"/>
      <c r="C304" s="10"/>
      <c r="D304" s="10"/>
      <c r="E304" s="30"/>
      <c r="F304" s="10"/>
    </row>
  </sheetData>
  <dataValidations count="2">
    <dataValidation allowBlank="true" error="Dichte in kg/dm³ (z. B. Stahl 7,85, Alu 2,70)." errorStyle="stop" errorTitle="Ungültige Eingabe" operator="between" showDropDown="false" showErrorMessage="true" showInputMessage="false" sqref="E5:E304" type="decimal">
      <formula1>0.5</formula1>
      <formula2>25</formula2>
    </dataValidation>
    <dataValidation allowBlank="true" error="Diese Werkstoff-ID existiert bereits." errorStyle="stop" operator="between" showDropDown="false" showErrorMessage="true" showInputMessage="false" sqref="A5:A304" type="custom">
      <formula1>COUNTIF($A$5:$A$304,A5)=1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1" t="s">
        <v>189</v>
      </c>
    </row>
    <row r="2" customFormat="false" ht="15" hidden="false" customHeight="false" outlineLevel="0" collapsed="false">
      <c r="A2" s="2" t="s">
        <v>190</v>
      </c>
    </row>
    <row r="4" customFormat="false" ht="45" hidden="false" customHeight="true" outlineLevel="0" collapsed="false">
      <c r="A4" s="20" t="s">
        <v>94</v>
      </c>
      <c r="B4" s="20" t="s">
        <v>95</v>
      </c>
      <c r="C4" s="20" t="s">
        <v>148</v>
      </c>
      <c r="D4" s="20" t="s">
        <v>191</v>
      </c>
      <c r="E4" s="20" t="s">
        <v>192</v>
      </c>
      <c r="F4" s="20" t="s">
        <v>193</v>
      </c>
      <c r="G4" s="20" t="s">
        <v>194</v>
      </c>
      <c r="H4" s="20" t="s">
        <v>165</v>
      </c>
      <c r="I4" s="20" t="s">
        <v>195</v>
      </c>
    </row>
    <row r="5" customFormat="false" ht="15" hidden="false" customHeight="false" outlineLevel="0" collapsed="false">
      <c r="A5" s="10" t="s">
        <v>132</v>
      </c>
      <c r="B5" s="10" t="s">
        <v>133</v>
      </c>
      <c r="C5" s="10" t="s">
        <v>151</v>
      </c>
      <c r="D5" s="32" t="n">
        <v>1.45</v>
      </c>
      <c r="E5" s="19" t="n">
        <v>6000</v>
      </c>
      <c r="F5" s="14" t="n">
        <v>46296</v>
      </c>
      <c r="G5" s="10" t="s">
        <v>196</v>
      </c>
      <c r="H5" s="10" t="s">
        <v>168</v>
      </c>
      <c r="I5" s="26" t="str">
        <f aca="false">IF(A5&amp;B5="","",IF(ISNA(MATCH(A5,lst_Profil,0)),"FEHLER: Profil unbekannt",IF(ISNA(MATCH(B5,lst_Werkstoff,0)),"FEHLER: Werkstoff unbekannt",IF(COUNTIFS($A$5:$A$304,A5,$B$5:$B$304,B5)&gt;1,"FEHLER: doppelt",IF(OR(C5="",D5=""),"FEHLER: Preis unvollständig",IF(AND(C5="€/Stange",E5=""),"FEHLER: Stangenlänge fehlt","OK"))))))</f>
        <v>OK</v>
      </c>
    </row>
    <row r="6" customFormat="false" ht="15" hidden="false" customHeight="false" outlineLevel="0" collapsed="false">
      <c r="A6" s="10" t="s">
        <v>145</v>
      </c>
      <c r="B6" s="10" t="s">
        <v>133</v>
      </c>
      <c r="C6" s="10" t="s">
        <v>151</v>
      </c>
      <c r="D6" s="32" t="n">
        <v>1.45</v>
      </c>
      <c r="E6" s="19" t="n">
        <v>6000</v>
      </c>
      <c r="F6" s="14" t="n">
        <v>46296</v>
      </c>
      <c r="G6" s="10" t="s">
        <v>196</v>
      </c>
      <c r="H6" s="10" t="s">
        <v>168</v>
      </c>
      <c r="I6" s="26" t="str">
        <f aca="false">IF(A6&amp;B6="","",IF(ISNA(MATCH(A6,lst_Profil,0)),"FEHLER: Profil unbekannt",IF(ISNA(MATCH(B6,lst_Werkstoff,0)),"FEHLER: Werkstoff unbekannt",IF(COUNTIFS($A$5:$A$304,A6,$B$5:$B$304,B6)&gt;1,"FEHLER: doppelt",IF(OR(C6="",D6=""),"FEHLER: Preis unvollständig",IF(AND(C6="€/Stange",E6=""),"FEHLER: Stangenlänge fehlt","OK"))))))</f>
        <v>OK</v>
      </c>
    </row>
    <row r="7" customFormat="false" ht="15" hidden="false" customHeight="false" outlineLevel="0" collapsed="false">
      <c r="A7" s="10" t="s">
        <v>138</v>
      </c>
      <c r="B7" s="10" t="s">
        <v>133</v>
      </c>
      <c r="C7" s="10" t="s">
        <v>151</v>
      </c>
      <c r="D7" s="32" t="n">
        <v>1.5</v>
      </c>
      <c r="E7" s="19" t="n">
        <v>6000</v>
      </c>
      <c r="F7" s="14" t="n">
        <v>46296</v>
      </c>
      <c r="G7" s="10" t="s">
        <v>196</v>
      </c>
      <c r="H7" s="10" t="s">
        <v>168</v>
      </c>
      <c r="I7" s="26" t="str">
        <f aca="false">IF(A7&amp;B7="","",IF(ISNA(MATCH(A7,lst_Profil,0)),"FEHLER: Profil unbekannt",IF(ISNA(MATCH(B7,lst_Werkstoff,0)),"FEHLER: Werkstoff unbekannt",IF(COUNTIFS($A$5:$A$304,A7,$B$5:$B$304,B7)&gt;1,"FEHLER: doppelt",IF(OR(C7="",D7=""),"FEHLER: Preis unvollständig",IF(AND(C7="€/Stange",E7=""),"FEHLER: Stangenlänge fehlt","OK"))))))</f>
        <v>OK</v>
      </c>
    </row>
    <row r="8" customFormat="false" ht="15" hidden="false" customHeight="false" outlineLevel="0" collapsed="false">
      <c r="A8" s="10" t="s">
        <v>141</v>
      </c>
      <c r="B8" s="10" t="s">
        <v>142</v>
      </c>
      <c r="C8" s="10" t="s">
        <v>151</v>
      </c>
      <c r="D8" s="32" t="n">
        <v>1.6</v>
      </c>
      <c r="E8" s="19" t="n">
        <v>6000</v>
      </c>
      <c r="F8" s="14" t="n">
        <v>46296</v>
      </c>
      <c r="G8" s="10" t="s">
        <v>196</v>
      </c>
      <c r="H8" s="10" t="s">
        <v>168</v>
      </c>
      <c r="I8" s="26" t="str">
        <f aca="false">IF(A8&amp;B8="","",IF(ISNA(MATCH(A8,lst_Profil,0)),"FEHLER: Profil unbekannt",IF(ISNA(MATCH(B8,lst_Werkstoff,0)),"FEHLER: Werkstoff unbekannt",IF(COUNTIFS($A$5:$A$304,A8,$B$5:$B$304,B8)&gt;1,"FEHLER: doppelt",IF(OR(C8="",D8=""),"FEHLER: Preis unvollständig",IF(AND(C8="€/Stange",E8=""),"FEHLER: Stangenlänge fehlt","OK"))))))</f>
        <v>OK</v>
      </c>
    </row>
    <row r="9" customFormat="false" ht="15" hidden="false" customHeight="false" outlineLevel="0" collapsed="false">
      <c r="A9" s="10" t="s">
        <v>132</v>
      </c>
      <c r="B9" s="10" t="s">
        <v>182</v>
      </c>
      <c r="C9" s="10" t="s">
        <v>154</v>
      </c>
      <c r="D9" s="32" t="n">
        <v>62</v>
      </c>
      <c r="E9" s="19" t="n">
        <v>6000</v>
      </c>
      <c r="F9" s="14" t="n">
        <v>46296</v>
      </c>
      <c r="G9" s="10" t="s">
        <v>196</v>
      </c>
      <c r="H9" s="10" t="s">
        <v>168</v>
      </c>
      <c r="I9" s="26" t="str">
        <f aca="false">IF(A9&amp;B9="","",IF(ISNA(MATCH(A9,lst_Profil,0)),"FEHLER: Profil unbekannt",IF(ISNA(MATCH(B9,lst_Werkstoff,0)),"FEHLER: Werkstoff unbekannt",IF(COUNTIFS($A$5:$A$304,A9,$B$5:$B$304,B9)&gt;1,"FEHLER: doppelt",IF(OR(C9="",D9=""),"FEHLER: Preis unvollständig",IF(AND(C9="€/Stange",E9=""),"FEHLER: Stangenlänge fehlt","OK"))))))</f>
        <v>OK</v>
      </c>
    </row>
    <row r="10" customFormat="false" ht="15" hidden="false" customHeight="false" outlineLevel="0" collapsed="false">
      <c r="A10" s="10"/>
      <c r="B10" s="10"/>
      <c r="C10" s="10"/>
      <c r="D10" s="32"/>
      <c r="E10" s="19"/>
      <c r="F10" s="14"/>
      <c r="G10" s="10"/>
      <c r="H10" s="10"/>
      <c r="I10" s="26" t="str">
        <f aca="false">IF(A10&amp;B10="","",IF(ISNA(MATCH(A10,lst_Profil,0)),"FEHLER: Profil unbekannt",IF(ISNA(MATCH(B10,lst_Werkstoff,0)),"FEHLER: Werkstoff unbekannt",IF(COUNTIFS($A$5:$A$304,A10,$B$5:$B$304,B10)&gt;1,"FEHLER: doppelt",IF(OR(C10="",D10=""),"FEHLER: Preis unvollständig",IF(AND(C10="€/Stange",E10=""),"FEHLER: Stangenlänge fehlt","OK"))))))</f>
        <v/>
      </c>
    </row>
    <row r="11" customFormat="false" ht="15" hidden="false" customHeight="false" outlineLevel="0" collapsed="false">
      <c r="A11" s="10"/>
      <c r="B11" s="10"/>
      <c r="C11" s="10"/>
      <c r="D11" s="32"/>
      <c r="E11" s="19"/>
      <c r="F11" s="14"/>
      <c r="G11" s="10"/>
      <c r="H11" s="10"/>
      <c r="I11" s="26" t="str">
        <f aca="false">IF(A11&amp;B11="","",IF(ISNA(MATCH(A11,lst_Profil,0)),"FEHLER: Profil unbekannt",IF(ISNA(MATCH(B11,lst_Werkstoff,0)),"FEHLER: Werkstoff unbekannt",IF(COUNTIFS($A$5:$A$304,A11,$B$5:$B$304,B11)&gt;1,"FEHLER: doppelt",IF(OR(C11="",D11=""),"FEHLER: Preis unvollständig",IF(AND(C11="€/Stange",E11=""),"FEHLER: Stangenlänge fehlt","OK"))))))</f>
        <v/>
      </c>
    </row>
    <row r="12" customFormat="false" ht="15" hidden="false" customHeight="false" outlineLevel="0" collapsed="false">
      <c r="A12" s="10"/>
      <c r="B12" s="10"/>
      <c r="C12" s="10"/>
      <c r="D12" s="32"/>
      <c r="E12" s="19"/>
      <c r="F12" s="14"/>
      <c r="G12" s="10"/>
      <c r="H12" s="10"/>
      <c r="I12" s="26" t="str">
        <f aca="false">IF(A12&amp;B12="","",IF(ISNA(MATCH(A12,lst_Profil,0)),"FEHLER: Profil unbekannt",IF(ISNA(MATCH(B12,lst_Werkstoff,0)),"FEHLER: Werkstoff unbekannt",IF(COUNTIFS($A$5:$A$304,A12,$B$5:$B$304,B12)&gt;1,"FEHLER: doppelt",IF(OR(C12="",D12=""),"FEHLER: Preis unvollständig",IF(AND(C12="€/Stange",E12=""),"FEHLER: Stangenlänge fehlt","OK"))))))</f>
        <v/>
      </c>
    </row>
    <row r="13" customFormat="false" ht="15" hidden="false" customHeight="false" outlineLevel="0" collapsed="false">
      <c r="A13" s="10"/>
      <c r="B13" s="10"/>
      <c r="C13" s="10"/>
      <c r="D13" s="32"/>
      <c r="E13" s="19"/>
      <c r="F13" s="14"/>
      <c r="G13" s="10"/>
      <c r="H13" s="10"/>
      <c r="I13" s="26" t="str">
        <f aca="false">IF(A13&amp;B13="","",IF(ISNA(MATCH(A13,lst_Profil,0)),"FEHLER: Profil unbekannt",IF(ISNA(MATCH(B13,lst_Werkstoff,0)),"FEHLER: Werkstoff unbekannt",IF(COUNTIFS($A$5:$A$304,A13,$B$5:$B$304,B13)&gt;1,"FEHLER: doppelt",IF(OR(C13="",D13=""),"FEHLER: Preis unvollständig",IF(AND(C13="€/Stange",E13=""),"FEHLER: Stangenlänge fehlt","OK"))))))</f>
        <v/>
      </c>
    </row>
    <row r="14" customFormat="false" ht="15" hidden="false" customHeight="false" outlineLevel="0" collapsed="false">
      <c r="A14" s="10"/>
      <c r="B14" s="10"/>
      <c r="C14" s="10"/>
      <c r="D14" s="32"/>
      <c r="E14" s="19"/>
      <c r="F14" s="14"/>
      <c r="G14" s="10"/>
      <c r="H14" s="10"/>
      <c r="I14" s="26" t="str">
        <f aca="false">IF(A14&amp;B14="","",IF(ISNA(MATCH(A14,lst_Profil,0)),"FEHLER: Profil unbekannt",IF(ISNA(MATCH(B14,lst_Werkstoff,0)),"FEHLER: Werkstoff unbekannt",IF(COUNTIFS($A$5:$A$304,A14,$B$5:$B$304,B14)&gt;1,"FEHLER: doppelt",IF(OR(C14="",D14=""),"FEHLER: Preis unvollständig",IF(AND(C14="€/Stange",E14=""),"FEHLER: Stangenlänge fehlt","OK"))))))</f>
        <v/>
      </c>
    </row>
    <row r="15" customFormat="false" ht="15" hidden="false" customHeight="false" outlineLevel="0" collapsed="false">
      <c r="A15" s="10"/>
      <c r="B15" s="10"/>
      <c r="C15" s="10"/>
      <c r="D15" s="32"/>
      <c r="E15" s="19"/>
      <c r="F15" s="14"/>
      <c r="G15" s="10"/>
      <c r="H15" s="10"/>
      <c r="I15" s="26" t="str">
        <f aca="false">IF(A15&amp;B15="","",IF(ISNA(MATCH(A15,lst_Profil,0)),"FEHLER: Profil unbekannt",IF(ISNA(MATCH(B15,lst_Werkstoff,0)),"FEHLER: Werkstoff unbekannt",IF(COUNTIFS($A$5:$A$304,A15,$B$5:$B$304,B15)&gt;1,"FEHLER: doppelt",IF(OR(C15="",D15=""),"FEHLER: Preis unvollständig",IF(AND(C15="€/Stange",E15=""),"FEHLER: Stangenlänge fehlt","OK"))))))</f>
        <v/>
      </c>
    </row>
    <row r="16" customFormat="false" ht="15" hidden="false" customHeight="false" outlineLevel="0" collapsed="false">
      <c r="A16" s="10"/>
      <c r="B16" s="10"/>
      <c r="C16" s="10"/>
      <c r="D16" s="32"/>
      <c r="E16" s="19"/>
      <c r="F16" s="14"/>
      <c r="G16" s="10"/>
      <c r="H16" s="10"/>
      <c r="I16" s="26" t="str">
        <f aca="false">IF(A16&amp;B16="","",IF(ISNA(MATCH(A16,lst_Profil,0)),"FEHLER: Profil unbekannt",IF(ISNA(MATCH(B16,lst_Werkstoff,0)),"FEHLER: Werkstoff unbekannt",IF(COUNTIFS($A$5:$A$304,A16,$B$5:$B$304,B16)&gt;1,"FEHLER: doppelt",IF(OR(C16="",D16=""),"FEHLER: Preis unvollständig",IF(AND(C16="€/Stange",E16=""),"FEHLER: Stangenlänge fehlt","OK"))))))</f>
        <v/>
      </c>
    </row>
    <row r="17" customFormat="false" ht="15" hidden="false" customHeight="false" outlineLevel="0" collapsed="false">
      <c r="A17" s="10"/>
      <c r="B17" s="10"/>
      <c r="C17" s="10"/>
      <c r="D17" s="32"/>
      <c r="E17" s="19"/>
      <c r="F17" s="14"/>
      <c r="G17" s="10"/>
      <c r="H17" s="10"/>
      <c r="I17" s="26" t="str">
        <f aca="false">IF(A17&amp;B17="","",IF(ISNA(MATCH(A17,lst_Profil,0)),"FEHLER: Profil unbekannt",IF(ISNA(MATCH(B17,lst_Werkstoff,0)),"FEHLER: Werkstoff unbekannt",IF(COUNTIFS($A$5:$A$304,A17,$B$5:$B$304,B17)&gt;1,"FEHLER: doppelt",IF(OR(C17="",D17=""),"FEHLER: Preis unvollständig",IF(AND(C17="€/Stange",E17=""),"FEHLER: Stangenlänge fehlt","OK"))))))</f>
        <v/>
      </c>
    </row>
    <row r="18" customFormat="false" ht="15" hidden="false" customHeight="false" outlineLevel="0" collapsed="false">
      <c r="A18" s="10"/>
      <c r="B18" s="10"/>
      <c r="C18" s="10"/>
      <c r="D18" s="32"/>
      <c r="E18" s="19"/>
      <c r="F18" s="14"/>
      <c r="G18" s="10"/>
      <c r="H18" s="10"/>
      <c r="I18" s="26" t="str">
        <f aca="false">IF(A18&amp;B18="","",IF(ISNA(MATCH(A18,lst_Profil,0)),"FEHLER: Profil unbekannt",IF(ISNA(MATCH(B18,lst_Werkstoff,0)),"FEHLER: Werkstoff unbekannt",IF(COUNTIFS($A$5:$A$304,A18,$B$5:$B$304,B18)&gt;1,"FEHLER: doppelt",IF(OR(C18="",D18=""),"FEHLER: Preis unvollständig",IF(AND(C18="€/Stange",E18=""),"FEHLER: Stangenlänge fehlt","OK"))))))</f>
        <v/>
      </c>
    </row>
    <row r="19" customFormat="false" ht="15" hidden="false" customHeight="false" outlineLevel="0" collapsed="false">
      <c r="A19" s="10"/>
      <c r="B19" s="10"/>
      <c r="C19" s="10"/>
      <c r="D19" s="32"/>
      <c r="E19" s="19"/>
      <c r="F19" s="14"/>
      <c r="G19" s="10"/>
      <c r="H19" s="10"/>
      <c r="I19" s="26" t="str">
        <f aca="false">IF(A19&amp;B19="","",IF(ISNA(MATCH(A19,lst_Profil,0)),"FEHLER: Profil unbekannt",IF(ISNA(MATCH(B19,lst_Werkstoff,0)),"FEHLER: Werkstoff unbekannt",IF(COUNTIFS($A$5:$A$304,A19,$B$5:$B$304,B19)&gt;1,"FEHLER: doppelt",IF(OR(C19="",D19=""),"FEHLER: Preis unvollständig",IF(AND(C19="€/Stange",E19=""),"FEHLER: Stangenlänge fehlt","OK"))))))</f>
        <v/>
      </c>
    </row>
    <row r="20" customFormat="false" ht="15" hidden="false" customHeight="false" outlineLevel="0" collapsed="false">
      <c r="A20" s="10"/>
      <c r="B20" s="10"/>
      <c r="C20" s="10"/>
      <c r="D20" s="32"/>
      <c r="E20" s="19"/>
      <c r="F20" s="14"/>
      <c r="G20" s="10"/>
      <c r="H20" s="10"/>
      <c r="I20" s="26" t="str">
        <f aca="false">IF(A20&amp;B20="","",IF(ISNA(MATCH(A20,lst_Profil,0)),"FEHLER: Profil unbekannt",IF(ISNA(MATCH(B20,lst_Werkstoff,0)),"FEHLER: Werkstoff unbekannt",IF(COUNTIFS($A$5:$A$304,A20,$B$5:$B$304,B20)&gt;1,"FEHLER: doppelt",IF(OR(C20="",D20=""),"FEHLER: Preis unvollständig",IF(AND(C20="€/Stange",E20=""),"FEHLER: Stangenlänge fehlt","OK"))))))</f>
        <v/>
      </c>
    </row>
    <row r="21" customFormat="false" ht="15" hidden="false" customHeight="false" outlineLevel="0" collapsed="false">
      <c r="A21" s="10"/>
      <c r="B21" s="10"/>
      <c r="C21" s="10"/>
      <c r="D21" s="32"/>
      <c r="E21" s="19"/>
      <c r="F21" s="14"/>
      <c r="G21" s="10"/>
      <c r="H21" s="10"/>
      <c r="I21" s="26" t="str">
        <f aca="false">IF(A21&amp;B21="","",IF(ISNA(MATCH(A21,lst_Profil,0)),"FEHLER: Profil unbekannt",IF(ISNA(MATCH(B21,lst_Werkstoff,0)),"FEHLER: Werkstoff unbekannt",IF(COUNTIFS($A$5:$A$304,A21,$B$5:$B$304,B21)&gt;1,"FEHLER: doppelt",IF(OR(C21="",D21=""),"FEHLER: Preis unvollständig",IF(AND(C21="€/Stange",E21=""),"FEHLER: Stangenlänge fehlt","OK"))))))</f>
        <v/>
      </c>
    </row>
    <row r="22" customFormat="false" ht="15" hidden="false" customHeight="false" outlineLevel="0" collapsed="false">
      <c r="A22" s="10"/>
      <c r="B22" s="10"/>
      <c r="C22" s="10"/>
      <c r="D22" s="32"/>
      <c r="E22" s="19"/>
      <c r="F22" s="14"/>
      <c r="G22" s="10"/>
      <c r="H22" s="10"/>
      <c r="I22" s="26" t="str">
        <f aca="false">IF(A22&amp;B22="","",IF(ISNA(MATCH(A22,lst_Profil,0)),"FEHLER: Profil unbekannt",IF(ISNA(MATCH(B22,lst_Werkstoff,0)),"FEHLER: Werkstoff unbekannt",IF(COUNTIFS($A$5:$A$304,A22,$B$5:$B$304,B22)&gt;1,"FEHLER: doppelt",IF(OR(C22="",D22=""),"FEHLER: Preis unvollständig",IF(AND(C22="€/Stange",E22=""),"FEHLER: Stangenlänge fehlt","OK"))))))</f>
        <v/>
      </c>
    </row>
    <row r="23" customFormat="false" ht="15" hidden="false" customHeight="false" outlineLevel="0" collapsed="false">
      <c r="A23" s="10"/>
      <c r="B23" s="10"/>
      <c r="C23" s="10"/>
      <c r="D23" s="32"/>
      <c r="E23" s="19"/>
      <c r="F23" s="14"/>
      <c r="G23" s="10"/>
      <c r="H23" s="10"/>
      <c r="I23" s="26" t="str">
        <f aca="false">IF(A23&amp;B23="","",IF(ISNA(MATCH(A23,lst_Profil,0)),"FEHLER: Profil unbekannt",IF(ISNA(MATCH(B23,lst_Werkstoff,0)),"FEHLER: Werkstoff unbekannt",IF(COUNTIFS($A$5:$A$304,A23,$B$5:$B$304,B23)&gt;1,"FEHLER: doppelt",IF(OR(C23="",D23=""),"FEHLER: Preis unvollständig",IF(AND(C23="€/Stange",E23=""),"FEHLER: Stangenlänge fehlt","OK"))))))</f>
        <v/>
      </c>
    </row>
    <row r="24" customFormat="false" ht="15" hidden="false" customHeight="false" outlineLevel="0" collapsed="false">
      <c r="A24" s="10"/>
      <c r="B24" s="10"/>
      <c r="C24" s="10"/>
      <c r="D24" s="32"/>
      <c r="E24" s="19"/>
      <c r="F24" s="14"/>
      <c r="G24" s="10"/>
      <c r="H24" s="10"/>
      <c r="I24" s="26" t="str">
        <f aca="false">IF(A24&amp;B24="","",IF(ISNA(MATCH(A24,lst_Profil,0)),"FEHLER: Profil unbekannt",IF(ISNA(MATCH(B24,lst_Werkstoff,0)),"FEHLER: Werkstoff unbekannt",IF(COUNTIFS($A$5:$A$304,A24,$B$5:$B$304,B24)&gt;1,"FEHLER: doppelt",IF(OR(C24="",D24=""),"FEHLER: Preis unvollständig",IF(AND(C24="€/Stange",E24=""),"FEHLER: Stangenlänge fehlt","OK"))))))</f>
        <v/>
      </c>
    </row>
    <row r="25" customFormat="false" ht="15" hidden="false" customHeight="false" outlineLevel="0" collapsed="false">
      <c r="A25" s="10"/>
      <c r="B25" s="10"/>
      <c r="C25" s="10"/>
      <c r="D25" s="32"/>
      <c r="E25" s="19"/>
      <c r="F25" s="14"/>
      <c r="G25" s="10"/>
      <c r="H25" s="10"/>
      <c r="I25" s="26" t="str">
        <f aca="false">IF(A25&amp;B25="","",IF(ISNA(MATCH(A25,lst_Profil,0)),"FEHLER: Profil unbekannt",IF(ISNA(MATCH(B25,lst_Werkstoff,0)),"FEHLER: Werkstoff unbekannt",IF(COUNTIFS($A$5:$A$304,A25,$B$5:$B$304,B25)&gt;1,"FEHLER: doppelt",IF(OR(C25="",D25=""),"FEHLER: Preis unvollständig",IF(AND(C25="€/Stange",E25=""),"FEHLER: Stangenlänge fehlt","OK"))))))</f>
        <v/>
      </c>
    </row>
    <row r="26" customFormat="false" ht="15" hidden="false" customHeight="false" outlineLevel="0" collapsed="false">
      <c r="A26" s="10"/>
      <c r="B26" s="10"/>
      <c r="C26" s="10"/>
      <c r="D26" s="32"/>
      <c r="E26" s="19"/>
      <c r="F26" s="14"/>
      <c r="G26" s="10"/>
      <c r="H26" s="10"/>
      <c r="I26" s="26" t="str">
        <f aca="false">IF(A26&amp;B26="","",IF(ISNA(MATCH(A26,lst_Profil,0)),"FEHLER: Profil unbekannt",IF(ISNA(MATCH(B26,lst_Werkstoff,0)),"FEHLER: Werkstoff unbekannt",IF(COUNTIFS($A$5:$A$304,A26,$B$5:$B$304,B26)&gt;1,"FEHLER: doppelt",IF(OR(C26="",D26=""),"FEHLER: Preis unvollständig",IF(AND(C26="€/Stange",E26=""),"FEHLER: Stangenlänge fehlt","OK"))))))</f>
        <v/>
      </c>
    </row>
    <row r="27" customFormat="false" ht="15" hidden="false" customHeight="false" outlineLevel="0" collapsed="false">
      <c r="A27" s="10"/>
      <c r="B27" s="10"/>
      <c r="C27" s="10"/>
      <c r="D27" s="32"/>
      <c r="E27" s="19"/>
      <c r="F27" s="14"/>
      <c r="G27" s="10"/>
      <c r="H27" s="10"/>
      <c r="I27" s="26" t="str">
        <f aca="false">IF(A27&amp;B27="","",IF(ISNA(MATCH(A27,lst_Profil,0)),"FEHLER: Profil unbekannt",IF(ISNA(MATCH(B27,lst_Werkstoff,0)),"FEHLER: Werkstoff unbekannt",IF(COUNTIFS($A$5:$A$304,A27,$B$5:$B$304,B27)&gt;1,"FEHLER: doppelt",IF(OR(C27="",D27=""),"FEHLER: Preis unvollständig",IF(AND(C27="€/Stange",E27=""),"FEHLER: Stangenlänge fehlt","OK"))))))</f>
        <v/>
      </c>
    </row>
    <row r="28" customFormat="false" ht="15" hidden="false" customHeight="false" outlineLevel="0" collapsed="false">
      <c r="A28" s="10"/>
      <c r="B28" s="10"/>
      <c r="C28" s="10"/>
      <c r="D28" s="32"/>
      <c r="E28" s="19"/>
      <c r="F28" s="14"/>
      <c r="G28" s="10"/>
      <c r="H28" s="10"/>
      <c r="I28" s="26" t="str">
        <f aca="false">IF(A28&amp;B28="","",IF(ISNA(MATCH(A28,lst_Profil,0)),"FEHLER: Profil unbekannt",IF(ISNA(MATCH(B28,lst_Werkstoff,0)),"FEHLER: Werkstoff unbekannt",IF(COUNTIFS($A$5:$A$304,A28,$B$5:$B$304,B28)&gt;1,"FEHLER: doppelt",IF(OR(C28="",D28=""),"FEHLER: Preis unvollständig",IF(AND(C28="€/Stange",E28=""),"FEHLER: Stangenlänge fehlt","OK"))))))</f>
        <v/>
      </c>
    </row>
    <row r="29" customFormat="false" ht="15" hidden="false" customHeight="false" outlineLevel="0" collapsed="false">
      <c r="A29" s="10"/>
      <c r="B29" s="10"/>
      <c r="C29" s="10"/>
      <c r="D29" s="32"/>
      <c r="E29" s="19"/>
      <c r="F29" s="14"/>
      <c r="G29" s="10"/>
      <c r="H29" s="10"/>
      <c r="I29" s="26" t="str">
        <f aca="false">IF(A29&amp;B29="","",IF(ISNA(MATCH(A29,lst_Profil,0)),"FEHLER: Profil unbekannt",IF(ISNA(MATCH(B29,lst_Werkstoff,0)),"FEHLER: Werkstoff unbekannt",IF(COUNTIFS($A$5:$A$304,A29,$B$5:$B$304,B29)&gt;1,"FEHLER: doppelt",IF(OR(C29="",D29=""),"FEHLER: Preis unvollständig",IF(AND(C29="€/Stange",E29=""),"FEHLER: Stangenlänge fehlt","OK"))))))</f>
        <v/>
      </c>
    </row>
    <row r="30" customFormat="false" ht="15" hidden="false" customHeight="false" outlineLevel="0" collapsed="false">
      <c r="A30" s="10"/>
      <c r="B30" s="10"/>
      <c r="C30" s="10"/>
      <c r="D30" s="32"/>
      <c r="E30" s="19"/>
      <c r="F30" s="14"/>
      <c r="G30" s="10"/>
      <c r="H30" s="10"/>
      <c r="I30" s="26" t="str">
        <f aca="false">IF(A30&amp;B30="","",IF(ISNA(MATCH(A30,lst_Profil,0)),"FEHLER: Profil unbekannt",IF(ISNA(MATCH(B30,lst_Werkstoff,0)),"FEHLER: Werkstoff unbekannt",IF(COUNTIFS($A$5:$A$304,A30,$B$5:$B$304,B30)&gt;1,"FEHLER: doppelt",IF(OR(C30="",D30=""),"FEHLER: Preis unvollständig",IF(AND(C30="€/Stange",E30=""),"FEHLER: Stangenlänge fehlt","OK"))))))</f>
        <v/>
      </c>
    </row>
    <row r="31" customFormat="false" ht="15" hidden="false" customHeight="false" outlineLevel="0" collapsed="false">
      <c r="A31" s="10"/>
      <c r="B31" s="10"/>
      <c r="C31" s="10"/>
      <c r="D31" s="32"/>
      <c r="E31" s="19"/>
      <c r="F31" s="14"/>
      <c r="G31" s="10"/>
      <c r="H31" s="10"/>
      <c r="I31" s="26" t="str">
        <f aca="false">IF(A31&amp;B31="","",IF(ISNA(MATCH(A31,lst_Profil,0)),"FEHLER: Profil unbekannt",IF(ISNA(MATCH(B31,lst_Werkstoff,0)),"FEHLER: Werkstoff unbekannt",IF(COUNTIFS($A$5:$A$304,A31,$B$5:$B$304,B31)&gt;1,"FEHLER: doppelt",IF(OR(C31="",D31=""),"FEHLER: Preis unvollständig",IF(AND(C31="€/Stange",E31=""),"FEHLER: Stangenlänge fehlt","OK"))))))</f>
        <v/>
      </c>
    </row>
    <row r="32" customFormat="false" ht="15" hidden="false" customHeight="false" outlineLevel="0" collapsed="false">
      <c r="A32" s="10"/>
      <c r="B32" s="10"/>
      <c r="C32" s="10"/>
      <c r="D32" s="32"/>
      <c r="E32" s="19"/>
      <c r="F32" s="14"/>
      <c r="G32" s="10"/>
      <c r="H32" s="10"/>
      <c r="I32" s="26" t="str">
        <f aca="false">IF(A32&amp;B32="","",IF(ISNA(MATCH(A32,lst_Profil,0)),"FEHLER: Profil unbekannt",IF(ISNA(MATCH(B32,lst_Werkstoff,0)),"FEHLER: Werkstoff unbekannt",IF(COUNTIFS($A$5:$A$304,A32,$B$5:$B$304,B32)&gt;1,"FEHLER: doppelt",IF(OR(C32="",D32=""),"FEHLER: Preis unvollständig",IF(AND(C32="€/Stange",E32=""),"FEHLER: Stangenlänge fehlt","OK"))))))</f>
        <v/>
      </c>
    </row>
    <row r="33" customFormat="false" ht="15" hidden="false" customHeight="false" outlineLevel="0" collapsed="false">
      <c r="A33" s="10"/>
      <c r="B33" s="10"/>
      <c r="C33" s="10"/>
      <c r="D33" s="32"/>
      <c r="E33" s="19"/>
      <c r="F33" s="14"/>
      <c r="G33" s="10"/>
      <c r="H33" s="10"/>
      <c r="I33" s="26" t="str">
        <f aca="false">IF(A33&amp;B33="","",IF(ISNA(MATCH(A33,lst_Profil,0)),"FEHLER: Profil unbekannt",IF(ISNA(MATCH(B33,lst_Werkstoff,0)),"FEHLER: Werkstoff unbekannt",IF(COUNTIFS($A$5:$A$304,A33,$B$5:$B$304,B33)&gt;1,"FEHLER: doppelt",IF(OR(C33="",D33=""),"FEHLER: Preis unvollständig",IF(AND(C33="€/Stange",E33=""),"FEHLER: Stangenlänge fehlt","OK"))))))</f>
        <v/>
      </c>
    </row>
    <row r="34" customFormat="false" ht="15" hidden="false" customHeight="false" outlineLevel="0" collapsed="false">
      <c r="A34" s="10"/>
      <c r="B34" s="10"/>
      <c r="C34" s="10"/>
      <c r="D34" s="32"/>
      <c r="E34" s="19"/>
      <c r="F34" s="14"/>
      <c r="G34" s="10"/>
      <c r="H34" s="10"/>
      <c r="I34" s="26" t="str">
        <f aca="false">IF(A34&amp;B34="","",IF(ISNA(MATCH(A34,lst_Profil,0)),"FEHLER: Profil unbekannt",IF(ISNA(MATCH(B34,lst_Werkstoff,0)),"FEHLER: Werkstoff unbekannt",IF(COUNTIFS($A$5:$A$304,A34,$B$5:$B$304,B34)&gt;1,"FEHLER: doppelt",IF(OR(C34="",D34=""),"FEHLER: Preis unvollständig",IF(AND(C34="€/Stange",E34=""),"FEHLER: Stangenlänge fehlt","OK"))))))</f>
        <v/>
      </c>
    </row>
    <row r="35" customFormat="false" ht="15" hidden="false" customHeight="false" outlineLevel="0" collapsed="false">
      <c r="A35" s="10"/>
      <c r="B35" s="10"/>
      <c r="C35" s="10"/>
      <c r="D35" s="32"/>
      <c r="E35" s="19"/>
      <c r="F35" s="14"/>
      <c r="G35" s="10"/>
      <c r="H35" s="10"/>
      <c r="I35" s="26" t="str">
        <f aca="false">IF(A35&amp;B35="","",IF(ISNA(MATCH(A35,lst_Profil,0)),"FEHLER: Profil unbekannt",IF(ISNA(MATCH(B35,lst_Werkstoff,0)),"FEHLER: Werkstoff unbekannt",IF(COUNTIFS($A$5:$A$304,A35,$B$5:$B$304,B35)&gt;1,"FEHLER: doppelt",IF(OR(C35="",D35=""),"FEHLER: Preis unvollständig",IF(AND(C35="€/Stange",E35=""),"FEHLER: Stangenlänge fehlt","OK"))))))</f>
        <v/>
      </c>
    </row>
    <row r="36" customFormat="false" ht="15" hidden="false" customHeight="false" outlineLevel="0" collapsed="false">
      <c r="A36" s="10"/>
      <c r="B36" s="10"/>
      <c r="C36" s="10"/>
      <c r="D36" s="32"/>
      <c r="E36" s="19"/>
      <c r="F36" s="14"/>
      <c r="G36" s="10"/>
      <c r="H36" s="10"/>
      <c r="I36" s="26" t="str">
        <f aca="false">IF(A36&amp;B36="","",IF(ISNA(MATCH(A36,lst_Profil,0)),"FEHLER: Profil unbekannt",IF(ISNA(MATCH(B36,lst_Werkstoff,0)),"FEHLER: Werkstoff unbekannt",IF(COUNTIFS($A$5:$A$304,A36,$B$5:$B$304,B36)&gt;1,"FEHLER: doppelt",IF(OR(C36="",D36=""),"FEHLER: Preis unvollständig",IF(AND(C36="€/Stange",E36=""),"FEHLER: Stangenlänge fehlt","OK"))))))</f>
        <v/>
      </c>
    </row>
    <row r="37" customFormat="false" ht="15" hidden="false" customHeight="false" outlineLevel="0" collapsed="false">
      <c r="A37" s="10"/>
      <c r="B37" s="10"/>
      <c r="C37" s="10"/>
      <c r="D37" s="32"/>
      <c r="E37" s="19"/>
      <c r="F37" s="14"/>
      <c r="G37" s="10"/>
      <c r="H37" s="10"/>
      <c r="I37" s="26" t="str">
        <f aca="false">IF(A37&amp;B37="","",IF(ISNA(MATCH(A37,lst_Profil,0)),"FEHLER: Profil unbekannt",IF(ISNA(MATCH(B37,lst_Werkstoff,0)),"FEHLER: Werkstoff unbekannt",IF(COUNTIFS($A$5:$A$304,A37,$B$5:$B$304,B37)&gt;1,"FEHLER: doppelt",IF(OR(C37="",D37=""),"FEHLER: Preis unvollständig",IF(AND(C37="€/Stange",E37=""),"FEHLER: Stangenlänge fehlt","OK"))))))</f>
        <v/>
      </c>
    </row>
    <row r="38" customFormat="false" ht="15" hidden="false" customHeight="false" outlineLevel="0" collapsed="false">
      <c r="A38" s="10"/>
      <c r="B38" s="10"/>
      <c r="C38" s="10"/>
      <c r="D38" s="32"/>
      <c r="E38" s="19"/>
      <c r="F38" s="14"/>
      <c r="G38" s="10"/>
      <c r="H38" s="10"/>
      <c r="I38" s="26" t="str">
        <f aca="false">IF(A38&amp;B38="","",IF(ISNA(MATCH(A38,lst_Profil,0)),"FEHLER: Profil unbekannt",IF(ISNA(MATCH(B38,lst_Werkstoff,0)),"FEHLER: Werkstoff unbekannt",IF(COUNTIFS($A$5:$A$304,A38,$B$5:$B$304,B38)&gt;1,"FEHLER: doppelt",IF(OR(C38="",D38=""),"FEHLER: Preis unvollständig",IF(AND(C38="€/Stange",E38=""),"FEHLER: Stangenlänge fehlt","OK"))))))</f>
        <v/>
      </c>
    </row>
    <row r="39" customFormat="false" ht="15" hidden="false" customHeight="false" outlineLevel="0" collapsed="false">
      <c r="A39" s="10"/>
      <c r="B39" s="10"/>
      <c r="C39" s="10"/>
      <c r="D39" s="32"/>
      <c r="E39" s="19"/>
      <c r="F39" s="14"/>
      <c r="G39" s="10"/>
      <c r="H39" s="10"/>
      <c r="I39" s="26" t="str">
        <f aca="false">IF(A39&amp;B39="","",IF(ISNA(MATCH(A39,lst_Profil,0)),"FEHLER: Profil unbekannt",IF(ISNA(MATCH(B39,lst_Werkstoff,0)),"FEHLER: Werkstoff unbekannt",IF(COUNTIFS($A$5:$A$304,A39,$B$5:$B$304,B39)&gt;1,"FEHLER: doppelt",IF(OR(C39="",D39=""),"FEHLER: Preis unvollständig",IF(AND(C39="€/Stange",E39=""),"FEHLER: Stangenlänge fehlt","OK"))))))</f>
        <v/>
      </c>
    </row>
    <row r="40" customFormat="false" ht="15" hidden="false" customHeight="false" outlineLevel="0" collapsed="false">
      <c r="A40" s="10"/>
      <c r="B40" s="10"/>
      <c r="C40" s="10"/>
      <c r="D40" s="32"/>
      <c r="E40" s="19"/>
      <c r="F40" s="14"/>
      <c r="G40" s="10"/>
      <c r="H40" s="10"/>
      <c r="I40" s="26" t="str">
        <f aca="false">IF(A40&amp;B40="","",IF(ISNA(MATCH(A40,lst_Profil,0)),"FEHLER: Profil unbekannt",IF(ISNA(MATCH(B40,lst_Werkstoff,0)),"FEHLER: Werkstoff unbekannt",IF(COUNTIFS($A$5:$A$304,A40,$B$5:$B$304,B40)&gt;1,"FEHLER: doppelt",IF(OR(C40="",D40=""),"FEHLER: Preis unvollständig",IF(AND(C40="€/Stange",E40=""),"FEHLER: Stangenlänge fehlt","OK"))))))</f>
        <v/>
      </c>
    </row>
    <row r="41" customFormat="false" ht="15" hidden="false" customHeight="false" outlineLevel="0" collapsed="false">
      <c r="A41" s="10"/>
      <c r="B41" s="10"/>
      <c r="C41" s="10"/>
      <c r="D41" s="32"/>
      <c r="E41" s="19"/>
      <c r="F41" s="14"/>
      <c r="G41" s="10"/>
      <c r="H41" s="10"/>
      <c r="I41" s="26" t="str">
        <f aca="false">IF(A41&amp;B41="","",IF(ISNA(MATCH(A41,lst_Profil,0)),"FEHLER: Profil unbekannt",IF(ISNA(MATCH(B41,lst_Werkstoff,0)),"FEHLER: Werkstoff unbekannt",IF(COUNTIFS($A$5:$A$304,A41,$B$5:$B$304,B41)&gt;1,"FEHLER: doppelt",IF(OR(C41="",D41=""),"FEHLER: Preis unvollständig",IF(AND(C41="€/Stange",E41=""),"FEHLER: Stangenlänge fehlt","OK"))))))</f>
        <v/>
      </c>
    </row>
    <row r="42" customFormat="false" ht="15" hidden="false" customHeight="false" outlineLevel="0" collapsed="false">
      <c r="A42" s="10"/>
      <c r="B42" s="10"/>
      <c r="C42" s="10"/>
      <c r="D42" s="32"/>
      <c r="E42" s="19"/>
      <c r="F42" s="14"/>
      <c r="G42" s="10"/>
      <c r="H42" s="10"/>
      <c r="I42" s="26" t="str">
        <f aca="false">IF(A42&amp;B42="","",IF(ISNA(MATCH(A42,lst_Profil,0)),"FEHLER: Profil unbekannt",IF(ISNA(MATCH(B42,lst_Werkstoff,0)),"FEHLER: Werkstoff unbekannt",IF(COUNTIFS($A$5:$A$304,A42,$B$5:$B$304,B42)&gt;1,"FEHLER: doppelt",IF(OR(C42="",D42=""),"FEHLER: Preis unvollständig",IF(AND(C42="€/Stange",E42=""),"FEHLER: Stangenlänge fehlt","OK"))))))</f>
        <v/>
      </c>
    </row>
    <row r="43" customFormat="false" ht="15" hidden="false" customHeight="false" outlineLevel="0" collapsed="false">
      <c r="A43" s="10"/>
      <c r="B43" s="10"/>
      <c r="C43" s="10"/>
      <c r="D43" s="32"/>
      <c r="E43" s="19"/>
      <c r="F43" s="14"/>
      <c r="G43" s="10"/>
      <c r="H43" s="10"/>
      <c r="I43" s="26" t="str">
        <f aca="false">IF(A43&amp;B43="","",IF(ISNA(MATCH(A43,lst_Profil,0)),"FEHLER: Profil unbekannt",IF(ISNA(MATCH(B43,lst_Werkstoff,0)),"FEHLER: Werkstoff unbekannt",IF(COUNTIFS($A$5:$A$304,A43,$B$5:$B$304,B43)&gt;1,"FEHLER: doppelt",IF(OR(C43="",D43=""),"FEHLER: Preis unvollständig",IF(AND(C43="€/Stange",E43=""),"FEHLER: Stangenlänge fehlt","OK"))))))</f>
        <v/>
      </c>
    </row>
    <row r="44" customFormat="false" ht="15" hidden="false" customHeight="false" outlineLevel="0" collapsed="false">
      <c r="A44" s="10"/>
      <c r="B44" s="10"/>
      <c r="C44" s="10"/>
      <c r="D44" s="32"/>
      <c r="E44" s="19"/>
      <c r="F44" s="14"/>
      <c r="G44" s="10"/>
      <c r="H44" s="10"/>
      <c r="I44" s="26" t="str">
        <f aca="false">IF(A44&amp;B44="","",IF(ISNA(MATCH(A44,lst_Profil,0)),"FEHLER: Profil unbekannt",IF(ISNA(MATCH(B44,lst_Werkstoff,0)),"FEHLER: Werkstoff unbekannt",IF(COUNTIFS($A$5:$A$304,A44,$B$5:$B$304,B44)&gt;1,"FEHLER: doppelt",IF(OR(C44="",D44=""),"FEHLER: Preis unvollständig",IF(AND(C44="€/Stange",E44=""),"FEHLER: Stangenlänge fehlt","OK"))))))</f>
        <v/>
      </c>
    </row>
    <row r="45" customFormat="false" ht="15" hidden="false" customHeight="false" outlineLevel="0" collapsed="false">
      <c r="A45" s="10"/>
      <c r="B45" s="10"/>
      <c r="C45" s="10"/>
      <c r="D45" s="32"/>
      <c r="E45" s="19"/>
      <c r="F45" s="14"/>
      <c r="G45" s="10"/>
      <c r="H45" s="10"/>
      <c r="I45" s="26" t="str">
        <f aca="false">IF(A45&amp;B45="","",IF(ISNA(MATCH(A45,lst_Profil,0)),"FEHLER: Profil unbekannt",IF(ISNA(MATCH(B45,lst_Werkstoff,0)),"FEHLER: Werkstoff unbekannt",IF(COUNTIFS($A$5:$A$304,A45,$B$5:$B$304,B45)&gt;1,"FEHLER: doppelt",IF(OR(C45="",D45=""),"FEHLER: Preis unvollständig",IF(AND(C45="€/Stange",E45=""),"FEHLER: Stangenlänge fehlt","OK"))))))</f>
        <v/>
      </c>
    </row>
    <row r="46" customFormat="false" ht="15" hidden="false" customHeight="false" outlineLevel="0" collapsed="false">
      <c r="A46" s="10"/>
      <c r="B46" s="10"/>
      <c r="C46" s="10"/>
      <c r="D46" s="32"/>
      <c r="E46" s="19"/>
      <c r="F46" s="14"/>
      <c r="G46" s="10"/>
      <c r="H46" s="10"/>
      <c r="I46" s="26" t="str">
        <f aca="false">IF(A46&amp;B46="","",IF(ISNA(MATCH(A46,lst_Profil,0)),"FEHLER: Profil unbekannt",IF(ISNA(MATCH(B46,lst_Werkstoff,0)),"FEHLER: Werkstoff unbekannt",IF(COUNTIFS($A$5:$A$304,A46,$B$5:$B$304,B46)&gt;1,"FEHLER: doppelt",IF(OR(C46="",D46=""),"FEHLER: Preis unvollständig",IF(AND(C46="€/Stange",E46=""),"FEHLER: Stangenlänge fehlt","OK"))))))</f>
        <v/>
      </c>
    </row>
    <row r="47" customFormat="false" ht="15" hidden="false" customHeight="false" outlineLevel="0" collapsed="false">
      <c r="A47" s="10"/>
      <c r="B47" s="10"/>
      <c r="C47" s="10"/>
      <c r="D47" s="32"/>
      <c r="E47" s="19"/>
      <c r="F47" s="14"/>
      <c r="G47" s="10"/>
      <c r="H47" s="10"/>
      <c r="I47" s="26" t="str">
        <f aca="false">IF(A47&amp;B47="","",IF(ISNA(MATCH(A47,lst_Profil,0)),"FEHLER: Profil unbekannt",IF(ISNA(MATCH(B47,lst_Werkstoff,0)),"FEHLER: Werkstoff unbekannt",IF(COUNTIFS($A$5:$A$304,A47,$B$5:$B$304,B47)&gt;1,"FEHLER: doppelt",IF(OR(C47="",D47=""),"FEHLER: Preis unvollständig",IF(AND(C47="€/Stange",E47=""),"FEHLER: Stangenlänge fehlt","OK"))))))</f>
        <v/>
      </c>
    </row>
    <row r="48" customFormat="false" ht="15" hidden="false" customHeight="false" outlineLevel="0" collapsed="false">
      <c r="A48" s="10"/>
      <c r="B48" s="10"/>
      <c r="C48" s="10"/>
      <c r="D48" s="32"/>
      <c r="E48" s="19"/>
      <c r="F48" s="14"/>
      <c r="G48" s="10"/>
      <c r="H48" s="10"/>
      <c r="I48" s="26" t="str">
        <f aca="false">IF(A48&amp;B48="","",IF(ISNA(MATCH(A48,lst_Profil,0)),"FEHLER: Profil unbekannt",IF(ISNA(MATCH(B48,lst_Werkstoff,0)),"FEHLER: Werkstoff unbekannt",IF(COUNTIFS($A$5:$A$304,A48,$B$5:$B$304,B48)&gt;1,"FEHLER: doppelt",IF(OR(C48="",D48=""),"FEHLER: Preis unvollständig",IF(AND(C48="€/Stange",E48=""),"FEHLER: Stangenlänge fehlt","OK"))))))</f>
        <v/>
      </c>
    </row>
    <row r="49" customFormat="false" ht="15" hidden="false" customHeight="false" outlineLevel="0" collapsed="false">
      <c r="A49" s="10"/>
      <c r="B49" s="10"/>
      <c r="C49" s="10"/>
      <c r="D49" s="32"/>
      <c r="E49" s="19"/>
      <c r="F49" s="14"/>
      <c r="G49" s="10"/>
      <c r="H49" s="10"/>
      <c r="I49" s="26" t="str">
        <f aca="false">IF(A49&amp;B49="","",IF(ISNA(MATCH(A49,lst_Profil,0)),"FEHLER: Profil unbekannt",IF(ISNA(MATCH(B49,lst_Werkstoff,0)),"FEHLER: Werkstoff unbekannt",IF(COUNTIFS($A$5:$A$304,A49,$B$5:$B$304,B49)&gt;1,"FEHLER: doppelt",IF(OR(C49="",D49=""),"FEHLER: Preis unvollständig",IF(AND(C49="€/Stange",E49=""),"FEHLER: Stangenlänge fehlt","OK"))))))</f>
        <v/>
      </c>
    </row>
    <row r="50" customFormat="false" ht="15" hidden="false" customHeight="false" outlineLevel="0" collapsed="false">
      <c r="A50" s="10"/>
      <c r="B50" s="10"/>
      <c r="C50" s="10"/>
      <c r="D50" s="32"/>
      <c r="E50" s="19"/>
      <c r="F50" s="14"/>
      <c r="G50" s="10"/>
      <c r="H50" s="10"/>
      <c r="I50" s="26" t="str">
        <f aca="false">IF(A50&amp;B50="","",IF(ISNA(MATCH(A50,lst_Profil,0)),"FEHLER: Profil unbekannt",IF(ISNA(MATCH(B50,lst_Werkstoff,0)),"FEHLER: Werkstoff unbekannt",IF(COUNTIFS($A$5:$A$304,A50,$B$5:$B$304,B50)&gt;1,"FEHLER: doppelt",IF(OR(C50="",D50=""),"FEHLER: Preis unvollständig",IF(AND(C50="€/Stange",E50=""),"FEHLER: Stangenlänge fehlt","OK"))))))</f>
        <v/>
      </c>
    </row>
    <row r="51" customFormat="false" ht="15" hidden="false" customHeight="false" outlineLevel="0" collapsed="false">
      <c r="A51" s="10"/>
      <c r="B51" s="10"/>
      <c r="C51" s="10"/>
      <c r="D51" s="32"/>
      <c r="E51" s="19"/>
      <c r="F51" s="14"/>
      <c r="G51" s="10"/>
      <c r="H51" s="10"/>
      <c r="I51" s="26" t="str">
        <f aca="false">IF(A51&amp;B51="","",IF(ISNA(MATCH(A51,lst_Profil,0)),"FEHLER: Profil unbekannt",IF(ISNA(MATCH(B51,lst_Werkstoff,0)),"FEHLER: Werkstoff unbekannt",IF(COUNTIFS($A$5:$A$304,A51,$B$5:$B$304,B51)&gt;1,"FEHLER: doppelt",IF(OR(C51="",D51=""),"FEHLER: Preis unvollständig",IF(AND(C51="€/Stange",E51=""),"FEHLER: Stangenlänge fehlt","OK"))))))</f>
        <v/>
      </c>
    </row>
    <row r="52" customFormat="false" ht="15" hidden="false" customHeight="false" outlineLevel="0" collapsed="false">
      <c r="A52" s="10"/>
      <c r="B52" s="10"/>
      <c r="C52" s="10"/>
      <c r="D52" s="32"/>
      <c r="E52" s="19"/>
      <c r="F52" s="14"/>
      <c r="G52" s="10"/>
      <c r="H52" s="10"/>
      <c r="I52" s="26" t="str">
        <f aca="false">IF(A52&amp;B52="","",IF(ISNA(MATCH(A52,lst_Profil,0)),"FEHLER: Profil unbekannt",IF(ISNA(MATCH(B52,lst_Werkstoff,0)),"FEHLER: Werkstoff unbekannt",IF(COUNTIFS($A$5:$A$304,A52,$B$5:$B$304,B52)&gt;1,"FEHLER: doppelt",IF(OR(C52="",D52=""),"FEHLER: Preis unvollständig",IF(AND(C52="€/Stange",E52=""),"FEHLER: Stangenlänge fehlt","OK"))))))</f>
        <v/>
      </c>
    </row>
    <row r="53" customFormat="false" ht="15" hidden="false" customHeight="false" outlineLevel="0" collapsed="false">
      <c r="A53" s="10"/>
      <c r="B53" s="10"/>
      <c r="C53" s="10"/>
      <c r="D53" s="32"/>
      <c r="E53" s="19"/>
      <c r="F53" s="14"/>
      <c r="G53" s="10"/>
      <c r="H53" s="10"/>
      <c r="I53" s="26" t="str">
        <f aca="false">IF(A53&amp;B53="","",IF(ISNA(MATCH(A53,lst_Profil,0)),"FEHLER: Profil unbekannt",IF(ISNA(MATCH(B53,lst_Werkstoff,0)),"FEHLER: Werkstoff unbekannt",IF(COUNTIFS($A$5:$A$304,A53,$B$5:$B$304,B53)&gt;1,"FEHLER: doppelt",IF(OR(C53="",D53=""),"FEHLER: Preis unvollständig",IF(AND(C53="€/Stange",E53=""),"FEHLER: Stangenlänge fehlt","OK"))))))</f>
        <v/>
      </c>
    </row>
    <row r="54" customFormat="false" ht="15" hidden="false" customHeight="false" outlineLevel="0" collapsed="false">
      <c r="A54" s="10"/>
      <c r="B54" s="10"/>
      <c r="C54" s="10"/>
      <c r="D54" s="32"/>
      <c r="E54" s="19"/>
      <c r="F54" s="14"/>
      <c r="G54" s="10"/>
      <c r="H54" s="10"/>
      <c r="I54" s="26" t="str">
        <f aca="false">IF(A54&amp;B54="","",IF(ISNA(MATCH(A54,lst_Profil,0)),"FEHLER: Profil unbekannt",IF(ISNA(MATCH(B54,lst_Werkstoff,0)),"FEHLER: Werkstoff unbekannt",IF(COUNTIFS($A$5:$A$304,A54,$B$5:$B$304,B54)&gt;1,"FEHLER: doppelt",IF(OR(C54="",D54=""),"FEHLER: Preis unvollständig",IF(AND(C54="€/Stange",E54=""),"FEHLER: Stangenlänge fehlt","OK"))))))</f>
        <v/>
      </c>
    </row>
    <row r="55" customFormat="false" ht="15" hidden="false" customHeight="false" outlineLevel="0" collapsed="false">
      <c r="A55" s="10"/>
      <c r="B55" s="10"/>
      <c r="C55" s="10"/>
      <c r="D55" s="32"/>
      <c r="E55" s="19"/>
      <c r="F55" s="14"/>
      <c r="G55" s="10"/>
      <c r="H55" s="10"/>
      <c r="I55" s="26" t="str">
        <f aca="false">IF(A55&amp;B55="","",IF(ISNA(MATCH(A55,lst_Profil,0)),"FEHLER: Profil unbekannt",IF(ISNA(MATCH(B55,lst_Werkstoff,0)),"FEHLER: Werkstoff unbekannt",IF(COUNTIFS($A$5:$A$304,A55,$B$5:$B$304,B55)&gt;1,"FEHLER: doppelt",IF(OR(C55="",D55=""),"FEHLER: Preis unvollständig",IF(AND(C55="€/Stange",E55=""),"FEHLER: Stangenlänge fehlt","OK"))))))</f>
        <v/>
      </c>
    </row>
    <row r="56" customFormat="false" ht="15" hidden="false" customHeight="false" outlineLevel="0" collapsed="false">
      <c r="A56" s="10"/>
      <c r="B56" s="10"/>
      <c r="C56" s="10"/>
      <c r="D56" s="32"/>
      <c r="E56" s="19"/>
      <c r="F56" s="14"/>
      <c r="G56" s="10"/>
      <c r="H56" s="10"/>
      <c r="I56" s="26" t="str">
        <f aca="false">IF(A56&amp;B56="","",IF(ISNA(MATCH(A56,lst_Profil,0)),"FEHLER: Profil unbekannt",IF(ISNA(MATCH(B56,lst_Werkstoff,0)),"FEHLER: Werkstoff unbekannt",IF(COUNTIFS($A$5:$A$304,A56,$B$5:$B$304,B56)&gt;1,"FEHLER: doppelt",IF(OR(C56="",D56=""),"FEHLER: Preis unvollständig",IF(AND(C56="€/Stange",E56=""),"FEHLER: Stangenlänge fehlt","OK"))))))</f>
        <v/>
      </c>
    </row>
    <row r="57" customFormat="false" ht="15" hidden="false" customHeight="false" outlineLevel="0" collapsed="false">
      <c r="A57" s="10"/>
      <c r="B57" s="10"/>
      <c r="C57" s="10"/>
      <c r="D57" s="32"/>
      <c r="E57" s="19"/>
      <c r="F57" s="14"/>
      <c r="G57" s="10"/>
      <c r="H57" s="10"/>
      <c r="I57" s="26" t="str">
        <f aca="false">IF(A57&amp;B57="","",IF(ISNA(MATCH(A57,lst_Profil,0)),"FEHLER: Profil unbekannt",IF(ISNA(MATCH(B57,lst_Werkstoff,0)),"FEHLER: Werkstoff unbekannt",IF(COUNTIFS($A$5:$A$304,A57,$B$5:$B$304,B57)&gt;1,"FEHLER: doppelt",IF(OR(C57="",D57=""),"FEHLER: Preis unvollständig",IF(AND(C57="€/Stange",E57=""),"FEHLER: Stangenlänge fehlt","OK"))))))</f>
        <v/>
      </c>
    </row>
    <row r="58" customFormat="false" ht="15" hidden="false" customHeight="false" outlineLevel="0" collapsed="false">
      <c r="A58" s="10"/>
      <c r="B58" s="10"/>
      <c r="C58" s="10"/>
      <c r="D58" s="32"/>
      <c r="E58" s="19"/>
      <c r="F58" s="14"/>
      <c r="G58" s="10"/>
      <c r="H58" s="10"/>
      <c r="I58" s="26" t="str">
        <f aca="false">IF(A58&amp;B58="","",IF(ISNA(MATCH(A58,lst_Profil,0)),"FEHLER: Profil unbekannt",IF(ISNA(MATCH(B58,lst_Werkstoff,0)),"FEHLER: Werkstoff unbekannt",IF(COUNTIFS($A$5:$A$304,A58,$B$5:$B$304,B58)&gt;1,"FEHLER: doppelt",IF(OR(C58="",D58=""),"FEHLER: Preis unvollständig",IF(AND(C58="€/Stange",E58=""),"FEHLER: Stangenlänge fehlt","OK"))))))</f>
        <v/>
      </c>
    </row>
    <row r="59" customFormat="false" ht="15" hidden="false" customHeight="false" outlineLevel="0" collapsed="false">
      <c r="A59" s="10"/>
      <c r="B59" s="10"/>
      <c r="C59" s="10"/>
      <c r="D59" s="32"/>
      <c r="E59" s="19"/>
      <c r="F59" s="14"/>
      <c r="G59" s="10"/>
      <c r="H59" s="10"/>
      <c r="I59" s="26" t="str">
        <f aca="false">IF(A59&amp;B59="","",IF(ISNA(MATCH(A59,lst_Profil,0)),"FEHLER: Profil unbekannt",IF(ISNA(MATCH(B59,lst_Werkstoff,0)),"FEHLER: Werkstoff unbekannt",IF(COUNTIFS($A$5:$A$304,A59,$B$5:$B$304,B59)&gt;1,"FEHLER: doppelt",IF(OR(C59="",D59=""),"FEHLER: Preis unvollständig",IF(AND(C59="€/Stange",E59=""),"FEHLER: Stangenlänge fehlt","OK"))))))</f>
        <v/>
      </c>
    </row>
    <row r="60" customFormat="false" ht="15" hidden="false" customHeight="false" outlineLevel="0" collapsed="false">
      <c r="A60" s="10"/>
      <c r="B60" s="10"/>
      <c r="C60" s="10"/>
      <c r="D60" s="32"/>
      <c r="E60" s="19"/>
      <c r="F60" s="14"/>
      <c r="G60" s="10"/>
      <c r="H60" s="10"/>
      <c r="I60" s="26" t="str">
        <f aca="false">IF(A60&amp;B60="","",IF(ISNA(MATCH(A60,lst_Profil,0)),"FEHLER: Profil unbekannt",IF(ISNA(MATCH(B60,lst_Werkstoff,0)),"FEHLER: Werkstoff unbekannt",IF(COUNTIFS($A$5:$A$304,A60,$B$5:$B$304,B60)&gt;1,"FEHLER: doppelt",IF(OR(C60="",D60=""),"FEHLER: Preis unvollständig",IF(AND(C60="€/Stange",E60=""),"FEHLER: Stangenlänge fehlt","OK"))))))</f>
        <v/>
      </c>
    </row>
    <row r="61" customFormat="false" ht="15" hidden="false" customHeight="false" outlineLevel="0" collapsed="false">
      <c r="A61" s="10"/>
      <c r="B61" s="10"/>
      <c r="C61" s="10"/>
      <c r="D61" s="32"/>
      <c r="E61" s="19"/>
      <c r="F61" s="14"/>
      <c r="G61" s="10"/>
      <c r="H61" s="10"/>
      <c r="I61" s="26" t="str">
        <f aca="false">IF(A61&amp;B61="","",IF(ISNA(MATCH(A61,lst_Profil,0)),"FEHLER: Profil unbekannt",IF(ISNA(MATCH(B61,lst_Werkstoff,0)),"FEHLER: Werkstoff unbekannt",IF(COUNTIFS($A$5:$A$304,A61,$B$5:$B$304,B61)&gt;1,"FEHLER: doppelt",IF(OR(C61="",D61=""),"FEHLER: Preis unvollständig",IF(AND(C61="€/Stange",E61=""),"FEHLER: Stangenlänge fehlt","OK"))))))</f>
        <v/>
      </c>
    </row>
    <row r="62" customFormat="false" ht="15" hidden="false" customHeight="false" outlineLevel="0" collapsed="false">
      <c r="A62" s="10"/>
      <c r="B62" s="10"/>
      <c r="C62" s="10"/>
      <c r="D62" s="32"/>
      <c r="E62" s="19"/>
      <c r="F62" s="14"/>
      <c r="G62" s="10"/>
      <c r="H62" s="10"/>
      <c r="I62" s="26" t="str">
        <f aca="false">IF(A62&amp;B62="","",IF(ISNA(MATCH(A62,lst_Profil,0)),"FEHLER: Profil unbekannt",IF(ISNA(MATCH(B62,lst_Werkstoff,0)),"FEHLER: Werkstoff unbekannt",IF(COUNTIFS($A$5:$A$304,A62,$B$5:$B$304,B62)&gt;1,"FEHLER: doppelt",IF(OR(C62="",D62=""),"FEHLER: Preis unvollständig",IF(AND(C62="€/Stange",E62=""),"FEHLER: Stangenlänge fehlt","OK"))))))</f>
        <v/>
      </c>
    </row>
    <row r="63" customFormat="false" ht="15" hidden="false" customHeight="false" outlineLevel="0" collapsed="false">
      <c r="A63" s="10"/>
      <c r="B63" s="10"/>
      <c r="C63" s="10"/>
      <c r="D63" s="32"/>
      <c r="E63" s="19"/>
      <c r="F63" s="14"/>
      <c r="G63" s="10"/>
      <c r="H63" s="10"/>
      <c r="I63" s="26" t="str">
        <f aca="false">IF(A63&amp;B63="","",IF(ISNA(MATCH(A63,lst_Profil,0)),"FEHLER: Profil unbekannt",IF(ISNA(MATCH(B63,lst_Werkstoff,0)),"FEHLER: Werkstoff unbekannt",IF(COUNTIFS($A$5:$A$304,A63,$B$5:$B$304,B63)&gt;1,"FEHLER: doppelt",IF(OR(C63="",D63=""),"FEHLER: Preis unvollständig",IF(AND(C63="€/Stange",E63=""),"FEHLER: Stangenlänge fehlt","OK"))))))</f>
        <v/>
      </c>
    </row>
    <row r="64" customFormat="false" ht="15" hidden="false" customHeight="false" outlineLevel="0" collapsed="false">
      <c r="A64" s="10"/>
      <c r="B64" s="10"/>
      <c r="C64" s="10"/>
      <c r="D64" s="32"/>
      <c r="E64" s="19"/>
      <c r="F64" s="14"/>
      <c r="G64" s="10"/>
      <c r="H64" s="10"/>
      <c r="I64" s="26" t="str">
        <f aca="false">IF(A64&amp;B64="","",IF(ISNA(MATCH(A64,lst_Profil,0)),"FEHLER: Profil unbekannt",IF(ISNA(MATCH(B64,lst_Werkstoff,0)),"FEHLER: Werkstoff unbekannt",IF(COUNTIFS($A$5:$A$304,A64,$B$5:$B$304,B64)&gt;1,"FEHLER: doppelt",IF(OR(C64="",D64=""),"FEHLER: Preis unvollständig",IF(AND(C64="€/Stange",E64=""),"FEHLER: Stangenlänge fehlt","OK"))))))</f>
        <v/>
      </c>
    </row>
    <row r="65" customFormat="false" ht="15" hidden="false" customHeight="false" outlineLevel="0" collapsed="false">
      <c r="A65" s="10"/>
      <c r="B65" s="10"/>
      <c r="C65" s="10"/>
      <c r="D65" s="32"/>
      <c r="E65" s="19"/>
      <c r="F65" s="14"/>
      <c r="G65" s="10"/>
      <c r="H65" s="10"/>
      <c r="I65" s="26" t="str">
        <f aca="false">IF(A65&amp;B65="","",IF(ISNA(MATCH(A65,lst_Profil,0)),"FEHLER: Profil unbekannt",IF(ISNA(MATCH(B65,lst_Werkstoff,0)),"FEHLER: Werkstoff unbekannt",IF(COUNTIFS($A$5:$A$304,A65,$B$5:$B$304,B65)&gt;1,"FEHLER: doppelt",IF(OR(C65="",D65=""),"FEHLER: Preis unvollständig",IF(AND(C65="€/Stange",E65=""),"FEHLER: Stangenlänge fehlt","OK"))))))</f>
        <v/>
      </c>
    </row>
    <row r="66" customFormat="false" ht="15" hidden="false" customHeight="false" outlineLevel="0" collapsed="false">
      <c r="A66" s="10"/>
      <c r="B66" s="10"/>
      <c r="C66" s="10"/>
      <c r="D66" s="32"/>
      <c r="E66" s="19"/>
      <c r="F66" s="14"/>
      <c r="G66" s="10"/>
      <c r="H66" s="10"/>
      <c r="I66" s="26" t="str">
        <f aca="false">IF(A66&amp;B66="","",IF(ISNA(MATCH(A66,lst_Profil,0)),"FEHLER: Profil unbekannt",IF(ISNA(MATCH(B66,lst_Werkstoff,0)),"FEHLER: Werkstoff unbekannt",IF(COUNTIFS($A$5:$A$304,A66,$B$5:$B$304,B66)&gt;1,"FEHLER: doppelt",IF(OR(C66="",D66=""),"FEHLER: Preis unvollständig",IF(AND(C66="€/Stange",E66=""),"FEHLER: Stangenlänge fehlt","OK"))))))</f>
        <v/>
      </c>
    </row>
    <row r="67" customFormat="false" ht="15" hidden="false" customHeight="false" outlineLevel="0" collapsed="false">
      <c r="A67" s="10"/>
      <c r="B67" s="10"/>
      <c r="C67" s="10"/>
      <c r="D67" s="32"/>
      <c r="E67" s="19"/>
      <c r="F67" s="14"/>
      <c r="G67" s="10"/>
      <c r="H67" s="10"/>
      <c r="I67" s="26" t="str">
        <f aca="false">IF(A67&amp;B67="","",IF(ISNA(MATCH(A67,lst_Profil,0)),"FEHLER: Profil unbekannt",IF(ISNA(MATCH(B67,lst_Werkstoff,0)),"FEHLER: Werkstoff unbekannt",IF(COUNTIFS($A$5:$A$304,A67,$B$5:$B$304,B67)&gt;1,"FEHLER: doppelt",IF(OR(C67="",D67=""),"FEHLER: Preis unvollständig",IF(AND(C67="€/Stange",E67=""),"FEHLER: Stangenlänge fehlt","OK"))))))</f>
        <v/>
      </c>
    </row>
    <row r="68" customFormat="false" ht="15" hidden="false" customHeight="false" outlineLevel="0" collapsed="false">
      <c r="A68" s="10"/>
      <c r="B68" s="10"/>
      <c r="C68" s="10"/>
      <c r="D68" s="32"/>
      <c r="E68" s="19"/>
      <c r="F68" s="14"/>
      <c r="G68" s="10"/>
      <c r="H68" s="10"/>
      <c r="I68" s="26" t="str">
        <f aca="false">IF(A68&amp;B68="","",IF(ISNA(MATCH(A68,lst_Profil,0)),"FEHLER: Profil unbekannt",IF(ISNA(MATCH(B68,lst_Werkstoff,0)),"FEHLER: Werkstoff unbekannt",IF(COUNTIFS($A$5:$A$304,A68,$B$5:$B$304,B68)&gt;1,"FEHLER: doppelt",IF(OR(C68="",D68=""),"FEHLER: Preis unvollständig",IF(AND(C68="€/Stange",E68=""),"FEHLER: Stangenlänge fehlt","OK"))))))</f>
        <v/>
      </c>
    </row>
    <row r="69" customFormat="false" ht="15" hidden="false" customHeight="false" outlineLevel="0" collapsed="false">
      <c r="A69" s="10"/>
      <c r="B69" s="10"/>
      <c r="C69" s="10"/>
      <c r="D69" s="32"/>
      <c r="E69" s="19"/>
      <c r="F69" s="14"/>
      <c r="G69" s="10"/>
      <c r="H69" s="10"/>
      <c r="I69" s="26" t="str">
        <f aca="false">IF(A69&amp;B69="","",IF(ISNA(MATCH(A69,lst_Profil,0)),"FEHLER: Profil unbekannt",IF(ISNA(MATCH(B69,lst_Werkstoff,0)),"FEHLER: Werkstoff unbekannt",IF(COUNTIFS($A$5:$A$304,A69,$B$5:$B$304,B69)&gt;1,"FEHLER: doppelt",IF(OR(C69="",D69=""),"FEHLER: Preis unvollständig",IF(AND(C69="€/Stange",E69=""),"FEHLER: Stangenlänge fehlt","OK"))))))</f>
        <v/>
      </c>
    </row>
    <row r="70" customFormat="false" ht="15" hidden="false" customHeight="false" outlineLevel="0" collapsed="false">
      <c r="A70" s="10"/>
      <c r="B70" s="10"/>
      <c r="C70" s="10"/>
      <c r="D70" s="32"/>
      <c r="E70" s="19"/>
      <c r="F70" s="14"/>
      <c r="G70" s="10"/>
      <c r="H70" s="10"/>
      <c r="I70" s="26" t="str">
        <f aca="false">IF(A70&amp;B70="","",IF(ISNA(MATCH(A70,lst_Profil,0)),"FEHLER: Profil unbekannt",IF(ISNA(MATCH(B70,lst_Werkstoff,0)),"FEHLER: Werkstoff unbekannt",IF(COUNTIFS($A$5:$A$304,A70,$B$5:$B$304,B70)&gt;1,"FEHLER: doppelt",IF(OR(C70="",D70=""),"FEHLER: Preis unvollständig",IF(AND(C70="€/Stange",E70=""),"FEHLER: Stangenlänge fehlt","OK"))))))</f>
        <v/>
      </c>
    </row>
    <row r="71" customFormat="false" ht="15" hidden="false" customHeight="false" outlineLevel="0" collapsed="false">
      <c r="A71" s="10"/>
      <c r="B71" s="10"/>
      <c r="C71" s="10"/>
      <c r="D71" s="32"/>
      <c r="E71" s="19"/>
      <c r="F71" s="14"/>
      <c r="G71" s="10"/>
      <c r="H71" s="10"/>
      <c r="I71" s="26" t="str">
        <f aca="false">IF(A71&amp;B71="","",IF(ISNA(MATCH(A71,lst_Profil,0)),"FEHLER: Profil unbekannt",IF(ISNA(MATCH(B71,lst_Werkstoff,0)),"FEHLER: Werkstoff unbekannt",IF(COUNTIFS($A$5:$A$304,A71,$B$5:$B$304,B71)&gt;1,"FEHLER: doppelt",IF(OR(C71="",D71=""),"FEHLER: Preis unvollständig",IF(AND(C71="€/Stange",E71=""),"FEHLER: Stangenlänge fehlt","OK"))))))</f>
        <v/>
      </c>
    </row>
    <row r="72" customFormat="false" ht="15" hidden="false" customHeight="false" outlineLevel="0" collapsed="false">
      <c r="A72" s="10"/>
      <c r="B72" s="10"/>
      <c r="C72" s="10"/>
      <c r="D72" s="32"/>
      <c r="E72" s="19"/>
      <c r="F72" s="14"/>
      <c r="G72" s="10"/>
      <c r="H72" s="10"/>
      <c r="I72" s="26" t="str">
        <f aca="false">IF(A72&amp;B72="","",IF(ISNA(MATCH(A72,lst_Profil,0)),"FEHLER: Profil unbekannt",IF(ISNA(MATCH(B72,lst_Werkstoff,0)),"FEHLER: Werkstoff unbekannt",IF(COUNTIFS($A$5:$A$304,A72,$B$5:$B$304,B72)&gt;1,"FEHLER: doppelt",IF(OR(C72="",D72=""),"FEHLER: Preis unvollständig",IF(AND(C72="€/Stange",E72=""),"FEHLER: Stangenlänge fehlt","OK"))))))</f>
        <v/>
      </c>
    </row>
    <row r="73" customFormat="false" ht="15" hidden="false" customHeight="false" outlineLevel="0" collapsed="false">
      <c r="A73" s="10"/>
      <c r="B73" s="10"/>
      <c r="C73" s="10"/>
      <c r="D73" s="32"/>
      <c r="E73" s="19"/>
      <c r="F73" s="14"/>
      <c r="G73" s="10"/>
      <c r="H73" s="10"/>
      <c r="I73" s="26" t="str">
        <f aca="false">IF(A73&amp;B73="","",IF(ISNA(MATCH(A73,lst_Profil,0)),"FEHLER: Profil unbekannt",IF(ISNA(MATCH(B73,lst_Werkstoff,0)),"FEHLER: Werkstoff unbekannt",IF(COUNTIFS($A$5:$A$304,A73,$B$5:$B$304,B73)&gt;1,"FEHLER: doppelt",IF(OR(C73="",D73=""),"FEHLER: Preis unvollständig",IF(AND(C73="€/Stange",E73=""),"FEHLER: Stangenlänge fehlt","OK"))))))</f>
        <v/>
      </c>
    </row>
    <row r="74" customFormat="false" ht="15" hidden="false" customHeight="false" outlineLevel="0" collapsed="false">
      <c r="A74" s="10"/>
      <c r="B74" s="10"/>
      <c r="C74" s="10"/>
      <c r="D74" s="32"/>
      <c r="E74" s="19"/>
      <c r="F74" s="14"/>
      <c r="G74" s="10"/>
      <c r="H74" s="10"/>
      <c r="I74" s="26" t="str">
        <f aca="false">IF(A74&amp;B74="","",IF(ISNA(MATCH(A74,lst_Profil,0)),"FEHLER: Profil unbekannt",IF(ISNA(MATCH(B74,lst_Werkstoff,0)),"FEHLER: Werkstoff unbekannt",IF(COUNTIFS($A$5:$A$304,A74,$B$5:$B$304,B74)&gt;1,"FEHLER: doppelt",IF(OR(C74="",D74=""),"FEHLER: Preis unvollständig",IF(AND(C74="€/Stange",E74=""),"FEHLER: Stangenlänge fehlt","OK"))))))</f>
        <v/>
      </c>
    </row>
    <row r="75" customFormat="false" ht="15" hidden="false" customHeight="false" outlineLevel="0" collapsed="false">
      <c r="A75" s="10"/>
      <c r="B75" s="10"/>
      <c r="C75" s="10"/>
      <c r="D75" s="32"/>
      <c r="E75" s="19"/>
      <c r="F75" s="14"/>
      <c r="G75" s="10"/>
      <c r="H75" s="10"/>
      <c r="I75" s="26" t="str">
        <f aca="false">IF(A75&amp;B75="","",IF(ISNA(MATCH(A75,lst_Profil,0)),"FEHLER: Profil unbekannt",IF(ISNA(MATCH(B75,lst_Werkstoff,0)),"FEHLER: Werkstoff unbekannt",IF(COUNTIFS($A$5:$A$304,A75,$B$5:$B$304,B75)&gt;1,"FEHLER: doppelt",IF(OR(C75="",D75=""),"FEHLER: Preis unvollständig",IF(AND(C75="€/Stange",E75=""),"FEHLER: Stangenlänge fehlt","OK"))))))</f>
        <v/>
      </c>
    </row>
    <row r="76" customFormat="false" ht="15" hidden="false" customHeight="false" outlineLevel="0" collapsed="false">
      <c r="A76" s="10"/>
      <c r="B76" s="10"/>
      <c r="C76" s="10"/>
      <c r="D76" s="32"/>
      <c r="E76" s="19"/>
      <c r="F76" s="14"/>
      <c r="G76" s="10"/>
      <c r="H76" s="10"/>
      <c r="I76" s="26" t="str">
        <f aca="false">IF(A76&amp;B76="","",IF(ISNA(MATCH(A76,lst_Profil,0)),"FEHLER: Profil unbekannt",IF(ISNA(MATCH(B76,lst_Werkstoff,0)),"FEHLER: Werkstoff unbekannt",IF(COUNTIFS($A$5:$A$304,A76,$B$5:$B$304,B76)&gt;1,"FEHLER: doppelt",IF(OR(C76="",D76=""),"FEHLER: Preis unvollständig",IF(AND(C76="€/Stange",E76=""),"FEHLER: Stangenlänge fehlt","OK"))))))</f>
        <v/>
      </c>
    </row>
    <row r="77" customFormat="false" ht="15" hidden="false" customHeight="false" outlineLevel="0" collapsed="false">
      <c r="A77" s="10"/>
      <c r="B77" s="10"/>
      <c r="C77" s="10"/>
      <c r="D77" s="32"/>
      <c r="E77" s="19"/>
      <c r="F77" s="14"/>
      <c r="G77" s="10"/>
      <c r="H77" s="10"/>
      <c r="I77" s="26" t="str">
        <f aca="false">IF(A77&amp;B77="","",IF(ISNA(MATCH(A77,lst_Profil,0)),"FEHLER: Profil unbekannt",IF(ISNA(MATCH(B77,lst_Werkstoff,0)),"FEHLER: Werkstoff unbekannt",IF(COUNTIFS($A$5:$A$304,A77,$B$5:$B$304,B77)&gt;1,"FEHLER: doppelt",IF(OR(C77="",D77=""),"FEHLER: Preis unvollständig",IF(AND(C77="€/Stange",E77=""),"FEHLER: Stangenlänge fehlt","OK"))))))</f>
        <v/>
      </c>
    </row>
    <row r="78" customFormat="false" ht="15" hidden="false" customHeight="false" outlineLevel="0" collapsed="false">
      <c r="A78" s="10"/>
      <c r="B78" s="10"/>
      <c r="C78" s="10"/>
      <c r="D78" s="32"/>
      <c r="E78" s="19"/>
      <c r="F78" s="14"/>
      <c r="G78" s="10"/>
      <c r="H78" s="10"/>
      <c r="I78" s="26" t="str">
        <f aca="false">IF(A78&amp;B78="","",IF(ISNA(MATCH(A78,lst_Profil,0)),"FEHLER: Profil unbekannt",IF(ISNA(MATCH(B78,lst_Werkstoff,0)),"FEHLER: Werkstoff unbekannt",IF(COUNTIFS($A$5:$A$304,A78,$B$5:$B$304,B78)&gt;1,"FEHLER: doppelt",IF(OR(C78="",D78=""),"FEHLER: Preis unvollständig",IF(AND(C78="€/Stange",E78=""),"FEHLER: Stangenlänge fehlt","OK"))))))</f>
        <v/>
      </c>
    </row>
    <row r="79" customFormat="false" ht="15" hidden="false" customHeight="false" outlineLevel="0" collapsed="false">
      <c r="A79" s="10"/>
      <c r="B79" s="10"/>
      <c r="C79" s="10"/>
      <c r="D79" s="32"/>
      <c r="E79" s="19"/>
      <c r="F79" s="14"/>
      <c r="G79" s="10"/>
      <c r="H79" s="10"/>
      <c r="I79" s="26" t="str">
        <f aca="false">IF(A79&amp;B79="","",IF(ISNA(MATCH(A79,lst_Profil,0)),"FEHLER: Profil unbekannt",IF(ISNA(MATCH(B79,lst_Werkstoff,0)),"FEHLER: Werkstoff unbekannt",IF(COUNTIFS($A$5:$A$304,A79,$B$5:$B$304,B79)&gt;1,"FEHLER: doppelt",IF(OR(C79="",D79=""),"FEHLER: Preis unvollständig",IF(AND(C79="€/Stange",E79=""),"FEHLER: Stangenlänge fehlt","OK"))))))</f>
        <v/>
      </c>
    </row>
    <row r="80" customFormat="false" ht="15" hidden="false" customHeight="false" outlineLevel="0" collapsed="false">
      <c r="A80" s="10"/>
      <c r="B80" s="10"/>
      <c r="C80" s="10"/>
      <c r="D80" s="32"/>
      <c r="E80" s="19"/>
      <c r="F80" s="14"/>
      <c r="G80" s="10"/>
      <c r="H80" s="10"/>
      <c r="I80" s="26" t="str">
        <f aca="false">IF(A80&amp;B80="","",IF(ISNA(MATCH(A80,lst_Profil,0)),"FEHLER: Profil unbekannt",IF(ISNA(MATCH(B80,lst_Werkstoff,0)),"FEHLER: Werkstoff unbekannt",IF(COUNTIFS($A$5:$A$304,A80,$B$5:$B$304,B80)&gt;1,"FEHLER: doppelt",IF(OR(C80="",D80=""),"FEHLER: Preis unvollständig",IF(AND(C80="€/Stange",E80=""),"FEHLER: Stangenlänge fehlt","OK"))))))</f>
        <v/>
      </c>
    </row>
    <row r="81" customFormat="false" ht="15" hidden="false" customHeight="false" outlineLevel="0" collapsed="false">
      <c r="A81" s="10"/>
      <c r="B81" s="10"/>
      <c r="C81" s="10"/>
      <c r="D81" s="32"/>
      <c r="E81" s="19"/>
      <c r="F81" s="14"/>
      <c r="G81" s="10"/>
      <c r="H81" s="10"/>
      <c r="I81" s="26" t="str">
        <f aca="false">IF(A81&amp;B81="","",IF(ISNA(MATCH(A81,lst_Profil,0)),"FEHLER: Profil unbekannt",IF(ISNA(MATCH(B81,lst_Werkstoff,0)),"FEHLER: Werkstoff unbekannt",IF(COUNTIFS($A$5:$A$304,A81,$B$5:$B$304,B81)&gt;1,"FEHLER: doppelt",IF(OR(C81="",D81=""),"FEHLER: Preis unvollständig",IF(AND(C81="€/Stange",E81=""),"FEHLER: Stangenlänge fehlt","OK"))))))</f>
        <v/>
      </c>
    </row>
    <row r="82" customFormat="false" ht="15" hidden="false" customHeight="false" outlineLevel="0" collapsed="false">
      <c r="A82" s="10"/>
      <c r="B82" s="10"/>
      <c r="C82" s="10"/>
      <c r="D82" s="32"/>
      <c r="E82" s="19"/>
      <c r="F82" s="14"/>
      <c r="G82" s="10"/>
      <c r="H82" s="10"/>
      <c r="I82" s="26" t="str">
        <f aca="false">IF(A82&amp;B82="","",IF(ISNA(MATCH(A82,lst_Profil,0)),"FEHLER: Profil unbekannt",IF(ISNA(MATCH(B82,lst_Werkstoff,0)),"FEHLER: Werkstoff unbekannt",IF(COUNTIFS($A$5:$A$304,A82,$B$5:$B$304,B82)&gt;1,"FEHLER: doppelt",IF(OR(C82="",D82=""),"FEHLER: Preis unvollständig",IF(AND(C82="€/Stange",E82=""),"FEHLER: Stangenlänge fehlt","OK"))))))</f>
        <v/>
      </c>
    </row>
    <row r="83" customFormat="false" ht="15" hidden="false" customHeight="false" outlineLevel="0" collapsed="false">
      <c r="A83" s="10"/>
      <c r="B83" s="10"/>
      <c r="C83" s="10"/>
      <c r="D83" s="32"/>
      <c r="E83" s="19"/>
      <c r="F83" s="14"/>
      <c r="G83" s="10"/>
      <c r="H83" s="10"/>
      <c r="I83" s="26" t="str">
        <f aca="false">IF(A83&amp;B83="","",IF(ISNA(MATCH(A83,lst_Profil,0)),"FEHLER: Profil unbekannt",IF(ISNA(MATCH(B83,lst_Werkstoff,0)),"FEHLER: Werkstoff unbekannt",IF(COUNTIFS($A$5:$A$304,A83,$B$5:$B$304,B83)&gt;1,"FEHLER: doppelt",IF(OR(C83="",D83=""),"FEHLER: Preis unvollständig",IF(AND(C83="€/Stange",E83=""),"FEHLER: Stangenlänge fehlt","OK"))))))</f>
        <v/>
      </c>
    </row>
    <row r="84" customFormat="false" ht="15" hidden="false" customHeight="false" outlineLevel="0" collapsed="false">
      <c r="A84" s="10"/>
      <c r="B84" s="10"/>
      <c r="C84" s="10"/>
      <c r="D84" s="32"/>
      <c r="E84" s="19"/>
      <c r="F84" s="14"/>
      <c r="G84" s="10"/>
      <c r="H84" s="10"/>
      <c r="I84" s="26" t="str">
        <f aca="false">IF(A84&amp;B84="","",IF(ISNA(MATCH(A84,lst_Profil,0)),"FEHLER: Profil unbekannt",IF(ISNA(MATCH(B84,lst_Werkstoff,0)),"FEHLER: Werkstoff unbekannt",IF(COUNTIFS($A$5:$A$304,A84,$B$5:$B$304,B84)&gt;1,"FEHLER: doppelt",IF(OR(C84="",D84=""),"FEHLER: Preis unvollständig",IF(AND(C84="€/Stange",E84=""),"FEHLER: Stangenlänge fehlt","OK"))))))</f>
        <v/>
      </c>
    </row>
    <row r="85" customFormat="false" ht="15" hidden="false" customHeight="false" outlineLevel="0" collapsed="false">
      <c r="A85" s="10"/>
      <c r="B85" s="10"/>
      <c r="C85" s="10"/>
      <c r="D85" s="32"/>
      <c r="E85" s="19"/>
      <c r="F85" s="14"/>
      <c r="G85" s="10"/>
      <c r="H85" s="10"/>
      <c r="I85" s="26" t="str">
        <f aca="false">IF(A85&amp;B85="","",IF(ISNA(MATCH(A85,lst_Profil,0)),"FEHLER: Profil unbekannt",IF(ISNA(MATCH(B85,lst_Werkstoff,0)),"FEHLER: Werkstoff unbekannt",IF(COUNTIFS($A$5:$A$304,A85,$B$5:$B$304,B85)&gt;1,"FEHLER: doppelt",IF(OR(C85="",D85=""),"FEHLER: Preis unvollständig",IF(AND(C85="€/Stange",E85=""),"FEHLER: Stangenlänge fehlt","OK"))))))</f>
        <v/>
      </c>
    </row>
    <row r="86" customFormat="false" ht="15" hidden="false" customHeight="false" outlineLevel="0" collapsed="false">
      <c r="A86" s="10"/>
      <c r="B86" s="10"/>
      <c r="C86" s="10"/>
      <c r="D86" s="32"/>
      <c r="E86" s="19"/>
      <c r="F86" s="14"/>
      <c r="G86" s="10"/>
      <c r="H86" s="10"/>
      <c r="I86" s="26" t="str">
        <f aca="false">IF(A86&amp;B86="","",IF(ISNA(MATCH(A86,lst_Profil,0)),"FEHLER: Profil unbekannt",IF(ISNA(MATCH(B86,lst_Werkstoff,0)),"FEHLER: Werkstoff unbekannt",IF(COUNTIFS($A$5:$A$304,A86,$B$5:$B$304,B86)&gt;1,"FEHLER: doppelt",IF(OR(C86="",D86=""),"FEHLER: Preis unvollständig",IF(AND(C86="€/Stange",E86=""),"FEHLER: Stangenlänge fehlt","OK"))))))</f>
        <v/>
      </c>
    </row>
    <row r="87" customFormat="false" ht="15" hidden="false" customHeight="false" outlineLevel="0" collapsed="false">
      <c r="A87" s="10"/>
      <c r="B87" s="10"/>
      <c r="C87" s="10"/>
      <c r="D87" s="32"/>
      <c r="E87" s="19"/>
      <c r="F87" s="14"/>
      <c r="G87" s="10"/>
      <c r="H87" s="10"/>
      <c r="I87" s="26" t="str">
        <f aca="false">IF(A87&amp;B87="","",IF(ISNA(MATCH(A87,lst_Profil,0)),"FEHLER: Profil unbekannt",IF(ISNA(MATCH(B87,lst_Werkstoff,0)),"FEHLER: Werkstoff unbekannt",IF(COUNTIFS($A$5:$A$304,A87,$B$5:$B$304,B87)&gt;1,"FEHLER: doppelt",IF(OR(C87="",D87=""),"FEHLER: Preis unvollständig",IF(AND(C87="€/Stange",E87=""),"FEHLER: Stangenlänge fehlt","OK"))))))</f>
        <v/>
      </c>
    </row>
    <row r="88" customFormat="false" ht="15" hidden="false" customHeight="false" outlineLevel="0" collapsed="false">
      <c r="A88" s="10"/>
      <c r="B88" s="10"/>
      <c r="C88" s="10"/>
      <c r="D88" s="32"/>
      <c r="E88" s="19"/>
      <c r="F88" s="14"/>
      <c r="G88" s="10"/>
      <c r="H88" s="10"/>
      <c r="I88" s="26" t="str">
        <f aca="false">IF(A88&amp;B88="","",IF(ISNA(MATCH(A88,lst_Profil,0)),"FEHLER: Profil unbekannt",IF(ISNA(MATCH(B88,lst_Werkstoff,0)),"FEHLER: Werkstoff unbekannt",IF(COUNTIFS($A$5:$A$304,A88,$B$5:$B$304,B88)&gt;1,"FEHLER: doppelt",IF(OR(C88="",D88=""),"FEHLER: Preis unvollständig",IF(AND(C88="€/Stange",E88=""),"FEHLER: Stangenlänge fehlt","OK"))))))</f>
        <v/>
      </c>
    </row>
    <row r="89" customFormat="false" ht="15" hidden="false" customHeight="false" outlineLevel="0" collapsed="false">
      <c r="A89" s="10"/>
      <c r="B89" s="10"/>
      <c r="C89" s="10"/>
      <c r="D89" s="32"/>
      <c r="E89" s="19"/>
      <c r="F89" s="14"/>
      <c r="G89" s="10"/>
      <c r="H89" s="10"/>
      <c r="I89" s="26" t="str">
        <f aca="false">IF(A89&amp;B89="","",IF(ISNA(MATCH(A89,lst_Profil,0)),"FEHLER: Profil unbekannt",IF(ISNA(MATCH(B89,lst_Werkstoff,0)),"FEHLER: Werkstoff unbekannt",IF(COUNTIFS($A$5:$A$304,A89,$B$5:$B$304,B89)&gt;1,"FEHLER: doppelt",IF(OR(C89="",D89=""),"FEHLER: Preis unvollständig",IF(AND(C89="€/Stange",E89=""),"FEHLER: Stangenlänge fehlt","OK"))))))</f>
        <v/>
      </c>
    </row>
    <row r="90" customFormat="false" ht="15" hidden="false" customHeight="false" outlineLevel="0" collapsed="false">
      <c r="A90" s="10"/>
      <c r="B90" s="10"/>
      <c r="C90" s="10"/>
      <c r="D90" s="32"/>
      <c r="E90" s="19"/>
      <c r="F90" s="14"/>
      <c r="G90" s="10"/>
      <c r="H90" s="10"/>
      <c r="I90" s="26" t="str">
        <f aca="false">IF(A90&amp;B90="","",IF(ISNA(MATCH(A90,lst_Profil,0)),"FEHLER: Profil unbekannt",IF(ISNA(MATCH(B90,lst_Werkstoff,0)),"FEHLER: Werkstoff unbekannt",IF(COUNTIFS($A$5:$A$304,A90,$B$5:$B$304,B90)&gt;1,"FEHLER: doppelt",IF(OR(C90="",D90=""),"FEHLER: Preis unvollständig",IF(AND(C90="€/Stange",E90=""),"FEHLER: Stangenlänge fehlt","OK"))))))</f>
        <v/>
      </c>
    </row>
    <row r="91" customFormat="false" ht="15" hidden="false" customHeight="false" outlineLevel="0" collapsed="false">
      <c r="A91" s="10"/>
      <c r="B91" s="10"/>
      <c r="C91" s="10"/>
      <c r="D91" s="32"/>
      <c r="E91" s="19"/>
      <c r="F91" s="14"/>
      <c r="G91" s="10"/>
      <c r="H91" s="10"/>
      <c r="I91" s="26" t="str">
        <f aca="false">IF(A91&amp;B91="","",IF(ISNA(MATCH(A91,lst_Profil,0)),"FEHLER: Profil unbekannt",IF(ISNA(MATCH(B91,lst_Werkstoff,0)),"FEHLER: Werkstoff unbekannt",IF(COUNTIFS($A$5:$A$304,A91,$B$5:$B$304,B91)&gt;1,"FEHLER: doppelt",IF(OR(C91="",D91=""),"FEHLER: Preis unvollständig",IF(AND(C91="€/Stange",E91=""),"FEHLER: Stangenlänge fehlt","OK"))))))</f>
        <v/>
      </c>
    </row>
    <row r="92" customFormat="false" ht="15" hidden="false" customHeight="false" outlineLevel="0" collapsed="false">
      <c r="A92" s="10"/>
      <c r="B92" s="10"/>
      <c r="C92" s="10"/>
      <c r="D92" s="32"/>
      <c r="E92" s="19"/>
      <c r="F92" s="14"/>
      <c r="G92" s="10"/>
      <c r="H92" s="10"/>
      <c r="I92" s="26" t="str">
        <f aca="false">IF(A92&amp;B92="","",IF(ISNA(MATCH(A92,lst_Profil,0)),"FEHLER: Profil unbekannt",IF(ISNA(MATCH(B92,lst_Werkstoff,0)),"FEHLER: Werkstoff unbekannt",IF(COUNTIFS($A$5:$A$304,A92,$B$5:$B$304,B92)&gt;1,"FEHLER: doppelt",IF(OR(C92="",D92=""),"FEHLER: Preis unvollständig",IF(AND(C92="€/Stange",E92=""),"FEHLER: Stangenlänge fehlt","OK"))))))</f>
        <v/>
      </c>
    </row>
    <row r="93" customFormat="false" ht="15" hidden="false" customHeight="false" outlineLevel="0" collapsed="false">
      <c r="A93" s="10"/>
      <c r="B93" s="10"/>
      <c r="C93" s="10"/>
      <c r="D93" s="32"/>
      <c r="E93" s="19"/>
      <c r="F93" s="14"/>
      <c r="G93" s="10"/>
      <c r="H93" s="10"/>
      <c r="I93" s="26" t="str">
        <f aca="false">IF(A93&amp;B93="","",IF(ISNA(MATCH(A93,lst_Profil,0)),"FEHLER: Profil unbekannt",IF(ISNA(MATCH(B93,lst_Werkstoff,0)),"FEHLER: Werkstoff unbekannt",IF(COUNTIFS($A$5:$A$304,A93,$B$5:$B$304,B93)&gt;1,"FEHLER: doppelt",IF(OR(C93="",D93=""),"FEHLER: Preis unvollständig",IF(AND(C93="€/Stange",E93=""),"FEHLER: Stangenlänge fehlt","OK"))))))</f>
        <v/>
      </c>
    </row>
    <row r="94" customFormat="false" ht="15" hidden="false" customHeight="false" outlineLevel="0" collapsed="false">
      <c r="A94" s="10"/>
      <c r="B94" s="10"/>
      <c r="C94" s="10"/>
      <c r="D94" s="32"/>
      <c r="E94" s="19"/>
      <c r="F94" s="14"/>
      <c r="G94" s="10"/>
      <c r="H94" s="10"/>
      <c r="I94" s="26" t="str">
        <f aca="false">IF(A94&amp;B94="","",IF(ISNA(MATCH(A94,lst_Profil,0)),"FEHLER: Profil unbekannt",IF(ISNA(MATCH(B94,lst_Werkstoff,0)),"FEHLER: Werkstoff unbekannt",IF(COUNTIFS($A$5:$A$304,A94,$B$5:$B$304,B94)&gt;1,"FEHLER: doppelt",IF(OR(C94="",D94=""),"FEHLER: Preis unvollständig",IF(AND(C94="€/Stange",E94=""),"FEHLER: Stangenlänge fehlt","OK"))))))</f>
        <v/>
      </c>
    </row>
    <row r="95" customFormat="false" ht="15" hidden="false" customHeight="false" outlineLevel="0" collapsed="false">
      <c r="A95" s="10"/>
      <c r="B95" s="10"/>
      <c r="C95" s="10"/>
      <c r="D95" s="32"/>
      <c r="E95" s="19"/>
      <c r="F95" s="14"/>
      <c r="G95" s="10"/>
      <c r="H95" s="10"/>
      <c r="I95" s="26" t="str">
        <f aca="false">IF(A95&amp;B95="","",IF(ISNA(MATCH(A95,lst_Profil,0)),"FEHLER: Profil unbekannt",IF(ISNA(MATCH(B95,lst_Werkstoff,0)),"FEHLER: Werkstoff unbekannt",IF(COUNTIFS($A$5:$A$304,A95,$B$5:$B$304,B95)&gt;1,"FEHLER: doppelt",IF(OR(C95="",D95=""),"FEHLER: Preis unvollständig",IF(AND(C95="€/Stange",E95=""),"FEHLER: Stangenlänge fehlt","OK"))))))</f>
        <v/>
      </c>
    </row>
    <row r="96" customFormat="false" ht="15" hidden="false" customHeight="false" outlineLevel="0" collapsed="false">
      <c r="A96" s="10"/>
      <c r="B96" s="10"/>
      <c r="C96" s="10"/>
      <c r="D96" s="32"/>
      <c r="E96" s="19"/>
      <c r="F96" s="14"/>
      <c r="G96" s="10"/>
      <c r="H96" s="10"/>
      <c r="I96" s="26" t="str">
        <f aca="false">IF(A96&amp;B96="","",IF(ISNA(MATCH(A96,lst_Profil,0)),"FEHLER: Profil unbekannt",IF(ISNA(MATCH(B96,lst_Werkstoff,0)),"FEHLER: Werkstoff unbekannt",IF(COUNTIFS($A$5:$A$304,A96,$B$5:$B$304,B96)&gt;1,"FEHLER: doppelt",IF(OR(C96="",D96=""),"FEHLER: Preis unvollständig",IF(AND(C96="€/Stange",E96=""),"FEHLER: Stangenlänge fehlt","OK"))))))</f>
        <v/>
      </c>
    </row>
    <row r="97" customFormat="false" ht="15" hidden="false" customHeight="false" outlineLevel="0" collapsed="false">
      <c r="A97" s="10"/>
      <c r="B97" s="10"/>
      <c r="C97" s="10"/>
      <c r="D97" s="32"/>
      <c r="E97" s="19"/>
      <c r="F97" s="14"/>
      <c r="G97" s="10"/>
      <c r="H97" s="10"/>
      <c r="I97" s="26" t="str">
        <f aca="false">IF(A97&amp;B97="","",IF(ISNA(MATCH(A97,lst_Profil,0)),"FEHLER: Profil unbekannt",IF(ISNA(MATCH(B97,lst_Werkstoff,0)),"FEHLER: Werkstoff unbekannt",IF(COUNTIFS($A$5:$A$304,A97,$B$5:$B$304,B97)&gt;1,"FEHLER: doppelt",IF(OR(C97="",D97=""),"FEHLER: Preis unvollständig",IF(AND(C97="€/Stange",E97=""),"FEHLER: Stangenlänge fehlt","OK"))))))</f>
        <v/>
      </c>
    </row>
    <row r="98" customFormat="false" ht="15" hidden="false" customHeight="false" outlineLevel="0" collapsed="false">
      <c r="A98" s="10"/>
      <c r="B98" s="10"/>
      <c r="C98" s="10"/>
      <c r="D98" s="32"/>
      <c r="E98" s="19"/>
      <c r="F98" s="14"/>
      <c r="G98" s="10"/>
      <c r="H98" s="10"/>
      <c r="I98" s="26" t="str">
        <f aca="false">IF(A98&amp;B98="","",IF(ISNA(MATCH(A98,lst_Profil,0)),"FEHLER: Profil unbekannt",IF(ISNA(MATCH(B98,lst_Werkstoff,0)),"FEHLER: Werkstoff unbekannt",IF(COUNTIFS($A$5:$A$304,A98,$B$5:$B$304,B98)&gt;1,"FEHLER: doppelt",IF(OR(C98="",D98=""),"FEHLER: Preis unvollständig",IF(AND(C98="€/Stange",E98=""),"FEHLER: Stangenlänge fehlt","OK"))))))</f>
        <v/>
      </c>
    </row>
    <row r="99" customFormat="false" ht="15" hidden="false" customHeight="false" outlineLevel="0" collapsed="false">
      <c r="A99" s="10"/>
      <c r="B99" s="10"/>
      <c r="C99" s="10"/>
      <c r="D99" s="32"/>
      <c r="E99" s="19"/>
      <c r="F99" s="14"/>
      <c r="G99" s="10"/>
      <c r="H99" s="10"/>
      <c r="I99" s="26" t="str">
        <f aca="false">IF(A99&amp;B99="","",IF(ISNA(MATCH(A99,lst_Profil,0)),"FEHLER: Profil unbekannt",IF(ISNA(MATCH(B99,lst_Werkstoff,0)),"FEHLER: Werkstoff unbekannt",IF(COUNTIFS($A$5:$A$304,A99,$B$5:$B$304,B99)&gt;1,"FEHLER: doppelt",IF(OR(C99="",D99=""),"FEHLER: Preis unvollständig",IF(AND(C99="€/Stange",E99=""),"FEHLER: Stangenlänge fehlt","OK"))))))</f>
        <v/>
      </c>
    </row>
    <row r="100" customFormat="false" ht="15" hidden="false" customHeight="false" outlineLevel="0" collapsed="false">
      <c r="A100" s="10"/>
      <c r="B100" s="10"/>
      <c r="C100" s="10"/>
      <c r="D100" s="32"/>
      <c r="E100" s="19"/>
      <c r="F100" s="14"/>
      <c r="G100" s="10"/>
      <c r="H100" s="10"/>
      <c r="I100" s="26" t="str">
        <f aca="false">IF(A100&amp;B100="","",IF(ISNA(MATCH(A100,lst_Profil,0)),"FEHLER: Profil unbekannt",IF(ISNA(MATCH(B100,lst_Werkstoff,0)),"FEHLER: Werkstoff unbekannt",IF(COUNTIFS($A$5:$A$304,A100,$B$5:$B$304,B100)&gt;1,"FEHLER: doppelt",IF(OR(C100="",D100=""),"FEHLER: Preis unvollständig",IF(AND(C100="€/Stange",E100=""),"FEHLER: Stangenlänge fehlt","OK"))))))</f>
        <v/>
      </c>
    </row>
    <row r="101" customFormat="false" ht="15" hidden="false" customHeight="false" outlineLevel="0" collapsed="false">
      <c r="A101" s="10"/>
      <c r="B101" s="10"/>
      <c r="C101" s="10"/>
      <c r="D101" s="32"/>
      <c r="E101" s="19"/>
      <c r="F101" s="14"/>
      <c r="G101" s="10"/>
      <c r="H101" s="10"/>
      <c r="I101" s="26" t="str">
        <f aca="false">IF(A101&amp;B101="","",IF(ISNA(MATCH(A101,lst_Profil,0)),"FEHLER: Profil unbekannt",IF(ISNA(MATCH(B101,lst_Werkstoff,0)),"FEHLER: Werkstoff unbekannt",IF(COUNTIFS($A$5:$A$304,A101,$B$5:$B$304,B101)&gt;1,"FEHLER: doppelt",IF(OR(C101="",D101=""),"FEHLER: Preis unvollständig",IF(AND(C101="€/Stange",E101=""),"FEHLER: Stangenlänge fehlt","OK"))))))</f>
        <v/>
      </c>
    </row>
    <row r="102" customFormat="false" ht="15" hidden="false" customHeight="false" outlineLevel="0" collapsed="false">
      <c r="A102" s="10"/>
      <c r="B102" s="10"/>
      <c r="C102" s="10"/>
      <c r="D102" s="32"/>
      <c r="E102" s="19"/>
      <c r="F102" s="14"/>
      <c r="G102" s="10"/>
      <c r="H102" s="10"/>
      <c r="I102" s="26" t="str">
        <f aca="false">IF(A102&amp;B102="","",IF(ISNA(MATCH(A102,lst_Profil,0)),"FEHLER: Profil unbekannt",IF(ISNA(MATCH(B102,lst_Werkstoff,0)),"FEHLER: Werkstoff unbekannt",IF(COUNTIFS($A$5:$A$304,A102,$B$5:$B$304,B102)&gt;1,"FEHLER: doppelt",IF(OR(C102="",D102=""),"FEHLER: Preis unvollständig",IF(AND(C102="€/Stange",E102=""),"FEHLER: Stangenlänge fehlt","OK"))))))</f>
        <v/>
      </c>
    </row>
    <row r="103" customFormat="false" ht="15" hidden="false" customHeight="false" outlineLevel="0" collapsed="false">
      <c r="A103" s="10"/>
      <c r="B103" s="10"/>
      <c r="C103" s="10"/>
      <c r="D103" s="32"/>
      <c r="E103" s="19"/>
      <c r="F103" s="14"/>
      <c r="G103" s="10"/>
      <c r="H103" s="10"/>
      <c r="I103" s="26" t="str">
        <f aca="false">IF(A103&amp;B103="","",IF(ISNA(MATCH(A103,lst_Profil,0)),"FEHLER: Profil unbekannt",IF(ISNA(MATCH(B103,lst_Werkstoff,0)),"FEHLER: Werkstoff unbekannt",IF(COUNTIFS($A$5:$A$304,A103,$B$5:$B$304,B103)&gt;1,"FEHLER: doppelt",IF(OR(C103="",D103=""),"FEHLER: Preis unvollständig",IF(AND(C103="€/Stange",E103=""),"FEHLER: Stangenlänge fehlt","OK"))))))</f>
        <v/>
      </c>
    </row>
    <row r="104" customFormat="false" ht="15" hidden="false" customHeight="false" outlineLevel="0" collapsed="false">
      <c r="A104" s="10"/>
      <c r="B104" s="10"/>
      <c r="C104" s="10"/>
      <c r="D104" s="32"/>
      <c r="E104" s="19"/>
      <c r="F104" s="14"/>
      <c r="G104" s="10"/>
      <c r="H104" s="10"/>
      <c r="I104" s="26" t="str">
        <f aca="false">IF(A104&amp;B104="","",IF(ISNA(MATCH(A104,lst_Profil,0)),"FEHLER: Profil unbekannt",IF(ISNA(MATCH(B104,lst_Werkstoff,0)),"FEHLER: Werkstoff unbekannt",IF(COUNTIFS($A$5:$A$304,A104,$B$5:$B$304,B104)&gt;1,"FEHLER: doppelt",IF(OR(C104="",D104=""),"FEHLER: Preis unvollständig",IF(AND(C104="€/Stange",E104=""),"FEHLER: Stangenlänge fehlt","OK"))))))</f>
        <v/>
      </c>
    </row>
    <row r="105" customFormat="false" ht="15" hidden="false" customHeight="false" outlineLevel="0" collapsed="false">
      <c r="A105" s="10"/>
      <c r="B105" s="10"/>
      <c r="C105" s="10"/>
      <c r="D105" s="32"/>
      <c r="E105" s="19"/>
      <c r="F105" s="14"/>
      <c r="G105" s="10"/>
      <c r="H105" s="10"/>
      <c r="I105" s="26" t="str">
        <f aca="false">IF(A105&amp;B105="","",IF(ISNA(MATCH(A105,lst_Profil,0)),"FEHLER: Profil unbekannt",IF(ISNA(MATCH(B105,lst_Werkstoff,0)),"FEHLER: Werkstoff unbekannt",IF(COUNTIFS($A$5:$A$304,A105,$B$5:$B$304,B105)&gt;1,"FEHLER: doppelt",IF(OR(C105="",D105=""),"FEHLER: Preis unvollständig",IF(AND(C105="€/Stange",E105=""),"FEHLER: Stangenlänge fehlt","OK"))))))</f>
        <v/>
      </c>
    </row>
    <row r="106" customFormat="false" ht="15" hidden="false" customHeight="false" outlineLevel="0" collapsed="false">
      <c r="A106" s="10"/>
      <c r="B106" s="10"/>
      <c r="C106" s="10"/>
      <c r="D106" s="32"/>
      <c r="E106" s="19"/>
      <c r="F106" s="14"/>
      <c r="G106" s="10"/>
      <c r="H106" s="10"/>
      <c r="I106" s="26" t="str">
        <f aca="false">IF(A106&amp;B106="","",IF(ISNA(MATCH(A106,lst_Profil,0)),"FEHLER: Profil unbekannt",IF(ISNA(MATCH(B106,lst_Werkstoff,0)),"FEHLER: Werkstoff unbekannt",IF(COUNTIFS($A$5:$A$304,A106,$B$5:$B$304,B106)&gt;1,"FEHLER: doppelt",IF(OR(C106="",D106=""),"FEHLER: Preis unvollständig",IF(AND(C106="€/Stange",E106=""),"FEHLER: Stangenlänge fehlt","OK"))))))</f>
        <v/>
      </c>
    </row>
    <row r="107" customFormat="false" ht="15" hidden="false" customHeight="false" outlineLevel="0" collapsed="false">
      <c r="A107" s="10"/>
      <c r="B107" s="10"/>
      <c r="C107" s="10"/>
      <c r="D107" s="32"/>
      <c r="E107" s="19"/>
      <c r="F107" s="14"/>
      <c r="G107" s="10"/>
      <c r="H107" s="10"/>
      <c r="I107" s="26" t="str">
        <f aca="false">IF(A107&amp;B107="","",IF(ISNA(MATCH(A107,lst_Profil,0)),"FEHLER: Profil unbekannt",IF(ISNA(MATCH(B107,lst_Werkstoff,0)),"FEHLER: Werkstoff unbekannt",IF(COUNTIFS($A$5:$A$304,A107,$B$5:$B$304,B107)&gt;1,"FEHLER: doppelt",IF(OR(C107="",D107=""),"FEHLER: Preis unvollständig",IF(AND(C107="€/Stange",E107=""),"FEHLER: Stangenlänge fehlt","OK"))))))</f>
        <v/>
      </c>
    </row>
    <row r="108" customFormat="false" ht="15" hidden="false" customHeight="false" outlineLevel="0" collapsed="false">
      <c r="A108" s="10"/>
      <c r="B108" s="10"/>
      <c r="C108" s="10"/>
      <c r="D108" s="32"/>
      <c r="E108" s="19"/>
      <c r="F108" s="14"/>
      <c r="G108" s="10"/>
      <c r="H108" s="10"/>
      <c r="I108" s="26" t="str">
        <f aca="false">IF(A108&amp;B108="","",IF(ISNA(MATCH(A108,lst_Profil,0)),"FEHLER: Profil unbekannt",IF(ISNA(MATCH(B108,lst_Werkstoff,0)),"FEHLER: Werkstoff unbekannt",IF(COUNTIFS($A$5:$A$304,A108,$B$5:$B$304,B108)&gt;1,"FEHLER: doppelt",IF(OR(C108="",D108=""),"FEHLER: Preis unvollständig",IF(AND(C108="€/Stange",E108=""),"FEHLER: Stangenlänge fehlt","OK"))))))</f>
        <v/>
      </c>
    </row>
    <row r="109" customFormat="false" ht="15" hidden="false" customHeight="false" outlineLevel="0" collapsed="false">
      <c r="A109" s="10"/>
      <c r="B109" s="10"/>
      <c r="C109" s="10"/>
      <c r="D109" s="32"/>
      <c r="E109" s="19"/>
      <c r="F109" s="14"/>
      <c r="G109" s="10"/>
      <c r="H109" s="10"/>
      <c r="I109" s="26" t="str">
        <f aca="false">IF(A109&amp;B109="","",IF(ISNA(MATCH(A109,lst_Profil,0)),"FEHLER: Profil unbekannt",IF(ISNA(MATCH(B109,lst_Werkstoff,0)),"FEHLER: Werkstoff unbekannt",IF(COUNTIFS($A$5:$A$304,A109,$B$5:$B$304,B109)&gt;1,"FEHLER: doppelt",IF(OR(C109="",D109=""),"FEHLER: Preis unvollständig",IF(AND(C109="€/Stange",E109=""),"FEHLER: Stangenlänge fehlt","OK"))))))</f>
        <v/>
      </c>
    </row>
    <row r="110" customFormat="false" ht="15" hidden="false" customHeight="false" outlineLevel="0" collapsed="false">
      <c r="A110" s="10"/>
      <c r="B110" s="10"/>
      <c r="C110" s="10"/>
      <c r="D110" s="32"/>
      <c r="E110" s="19"/>
      <c r="F110" s="14"/>
      <c r="G110" s="10"/>
      <c r="H110" s="10"/>
      <c r="I110" s="26" t="str">
        <f aca="false">IF(A110&amp;B110="","",IF(ISNA(MATCH(A110,lst_Profil,0)),"FEHLER: Profil unbekannt",IF(ISNA(MATCH(B110,lst_Werkstoff,0)),"FEHLER: Werkstoff unbekannt",IF(COUNTIFS($A$5:$A$304,A110,$B$5:$B$304,B110)&gt;1,"FEHLER: doppelt",IF(OR(C110="",D110=""),"FEHLER: Preis unvollständig",IF(AND(C110="€/Stange",E110=""),"FEHLER: Stangenlänge fehlt","OK"))))))</f>
        <v/>
      </c>
    </row>
    <row r="111" customFormat="false" ht="15" hidden="false" customHeight="false" outlineLevel="0" collapsed="false">
      <c r="A111" s="10"/>
      <c r="B111" s="10"/>
      <c r="C111" s="10"/>
      <c r="D111" s="32"/>
      <c r="E111" s="19"/>
      <c r="F111" s="14"/>
      <c r="G111" s="10"/>
      <c r="H111" s="10"/>
      <c r="I111" s="26" t="str">
        <f aca="false">IF(A111&amp;B111="","",IF(ISNA(MATCH(A111,lst_Profil,0)),"FEHLER: Profil unbekannt",IF(ISNA(MATCH(B111,lst_Werkstoff,0)),"FEHLER: Werkstoff unbekannt",IF(COUNTIFS($A$5:$A$304,A111,$B$5:$B$304,B111)&gt;1,"FEHLER: doppelt",IF(OR(C111="",D111=""),"FEHLER: Preis unvollständig",IF(AND(C111="€/Stange",E111=""),"FEHLER: Stangenlänge fehlt","OK"))))))</f>
        <v/>
      </c>
    </row>
    <row r="112" customFormat="false" ht="15" hidden="false" customHeight="false" outlineLevel="0" collapsed="false">
      <c r="A112" s="10"/>
      <c r="B112" s="10"/>
      <c r="C112" s="10"/>
      <c r="D112" s="32"/>
      <c r="E112" s="19"/>
      <c r="F112" s="14"/>
      <c r="G112" s="10"/>
      <c r="H112" s="10"/>
      <c r="I112" s="26" t="str">
        <f aca="false">IF(A112&amp;B112="","",IF(ISNA(MATCH(A112,lst_Profil,0)),"FEHLER: Profil unbekannt",IF(ISNA(MATCH(B112,lst_Werkstoff,0)),"FEHLER: Werkstoff unbekannt",IF(COUNTIFS($A$5:$A$304,A112,$B$5:$B$304,B112)&gt;1,"FEHLER: doppelt",IF(OR(C112="",D112=""),"FEHLER: Preis unvollständig",IF(AND(C112="€/Stange",E112=""),"FEHLER: Stangenlänge fehlt","OK"))))))</f>
        <v/>
      </c>
    </row>
    <row r="113" customFormat="false" ht="15" hidden="false" customHeight="false" outlineLevel="0" collapsed="false">
      <c r="A113" s="10"/>
      <c r="B113" s="10"/>
      <c r="C113" s="10"/>
      <c r="D113" s="32"/>
      <c r="E113" s="19"/>
      <c r="F113" s="14"/>
      <c r="G113" s="10"/>
      <c r="H113" s="10"/>
      <c r="I113" s="26" t="str">
        <f aca="false">IF(A113&amp;B113="","",IF(ISNA(MATCH(A113,lst_Profil,0)),"FEHLER: Profil unbekannt",IF(ISNA(MATCH(B113,lst_Werkstoff,0)),"FEHLER: Werkstoff unbekannt",IF(COUNTIFS($A$5:$A$304,A113,$B$5:$B$304,B113)&gt;1,"FEHLER: doppelt",IF(OR(C113="",D113=""),"FEHLER: Preis unvollständig",IF(AND(C113="€/Stange",E113=""),"FEHLER: Stangenlänge fehlt","OK"))))))</f>
        <v/>
      </c>
    </row>
    <row r="114" customFormat="false" ht="15" hidden="false" customHeight="false" outlineLevel="0" collapsed="false">
      <c r="A114" s="10"/>
      <c r="B114" s="10"/>
      <c r="C114" s="10"/>
      <c r="D114" s="32"/>
      <c r="E114" s="19"/>
      <c r="F114" s="14"/>
      <c r="G114" s="10"/>
      <c r="H114" s="10"/>
      <c r="I114" s="26" t="str">
        <f aca="false">IF(A114&amp;B114="","",IF(ISNA(MATCH(A114,lst_Profil,0)),"FEHLER: Profil unbekannt",IF(ISNA(MATCH(B114,lst_Werkstoff,0)),"FEHLER: Werkstoff unbekannt",IF(COUNTIFS($A$5:$A$304,A114,$B$5:$B$304,B114)&gt;1,"FEHLER: doppelt",IF(OR(C114="",D114=""),"FEHLER: Preis unvollständig",IF(AND(C114="€/Stange",E114=""),"FEHLER: Stangenlänge fehlt","OK"))))))</f>
        <v/>
      </c>
    </row>
    <row r="115" customFormat="false" ht="15" hidden="false" customHeight="false" outlineLevel="0" collapsed="false">
      <c r="A115" s="10"/>
      <c r="B115" s="10"/>
      <c r="C115" s="10"/>
      <c r="D115" s="32"/>
      <c r="E115" s="19"/>
      <c r="F115" s="14"/>
      <c r="G115" s="10"/>
      <c r="H115" s="10"/>
      <c r="I115" s="26" t="str">
        <f aca="false">IF(A115&amp;B115="","",IF(ISNA(MATCH(A115,lst_Profil,0)),"FEHLER: Profil unbekannt",IF(ISNA(MATCH(B115,lst_Werkstoff,0)),"FEHLER: Werkstoff unbekannt",IF(COUNTIFS($A$5:$A$304,A115,$B$5:$B$304,B115)&gt;1,"FEHLER: doppelt",IF(OR(C115="",D115=""),"FEHLER: Preis unvollständig",IF(AND(C115="€/Stange",E115=""),"FEHLER: Stangenlänge fehlt","OK"))))))</f>
        <v/>
      </c>
    </row>
    <row r="116" customFormat="false" ht="15" hidden="false" customHeight="false" outlineLevel="0" collapsed="false">
      <c r="A116" s="10"/>
      <c r="B116" s="10"/>
      <c r="C116" s="10"/>
      <c r="D116" s="32"/>
      <c r="E116" s="19"/>
      <c r="F116" s="14"/>
      <c r="G116" s="10"/>
      <c r="H116" s="10"/>
      <c r="I116" s="26" t="str">
        <f aca="false">IF(A116&amp;B116="","",IF(ISNA(MATCH(A116,lst_Profil,0)),"FEHLER: Profil unbekannt",IF(ISNA(MATCH(B116,lst_Werkstoff,0)),"FEHLER: Werkstoff unbekannt",IF(COUNTIFS($A$5:$A$304,A116,$B$5:$B$304,B116)&gt;1,"FEHLER: doppelt",IF(OR(C116="",D116=""),"FEHLER: Preis unvollständig",IF(AND(C116="€/Stange",E116=""),"FEHLER: Stangenlänge fehlt","OK"))))))</f>
        <v/>
      </c>
    </row>
    <row r="117" customFormat="false" ht="15" hidden="false" customHeight="false" outlineLevel="0" collapsed="false">
      <c r="A117" s="10"/>
      <c r="B117" s="10"/>
      <c r="C117" s="10"/>
      <c r="D117" s="32"/>
      <c r="E117" s="19"/>
      <c r="F117" s="14"/>
      <c r="G117" s="10"/>
      <c r="H117" s="10"/>
      <c r="I117" s="26" t="str">
        <f aca="false">IF(A117&amp;B117="","",IF(ISNA(MATCH(A117,lst_Profil,0)),"FEHLER: Profil unbekannt",IF(ISNA(MATCH(B117,lst_Werkstoff,0)),"FEHLER: Werkstoff unbekannt",IF(COUNTIFS($A$5:$A$304,A117,$B$5:$B$304,B117)&gt;1,"FEHLER: doppelt",IF(OR(C117="",D117=""),"FEHLER: Preis unvollständig",IF(AND(C117="€/Stange",E117=""),"FEHLER: Stangenlänge fehlt","OK"))))))</f>
        <v/>
      </c>
    </row>
    <row r="118" customFormat="false" ht="15" hidden="false" customHeight="false" outlineLevel="0" collapsed="false">
      <c r="A118" s="10"/>
      <c r="B118" s="10"/>
      <c r="C118" s="10"/>
      <c r="D118" s="32"/>
      <c r="E118" s="19"/>
      <c r="F118" s="14"/>
      <c r="G118" s="10"/>
      <c r="H118" s="10"/>
      <c r="I118" s="26" t="str">
        <f aca="false">IF(A118&amp;B118="","",IF(ISNA(MATCH(A118,lst_Profil,0)),"FEHLER: Profil unbekannt",IF(ISNA(MATCH(B118,lst_Werkstoff,0)),"FEHLER: Werkstoff unbekannt",IF(COUNTIFS($A$5:$A$304,A118,$B$5:$B$304,B118)&gt;1,"FEHLER: doppelt",IF(OR(C118="",D118=""),"FEHLER: Preis unvollständig",IF(AND(C118="€/Stange",E118=""),"FEHLER: Stangenlänge fehlt","OK"))))))</f>
        <v/>
      </c>
    </row>
    <row r="119" customFormat="false" ht="15" hidden="false" customHeight="false" outlineLevel="0" collapsed="false">
      <c r="A119" s="10"/>
      <c r="B119" s="10"/>
      <c r="C119" s="10"/>
      <c r="D119" s="32"/>
      <c r="E119" s="19"/>
      <c r="F119" s="14"/>
      <c r="G119" s="10"/>
      <c r="H119" s="10"/>
      <c r="I119" s="26" t="str">
        <f aca="false">IF(A119&amp;B119="","",IF(ISNA(MATCH(A119,lst_Profil,0)),"FEHLER: Profil unbekannt",IF(ISNA(MATCH(B119,lst_Werkstoff,0)),"FEHLER: Werkstoff unbekannt",IF(COUNTIFS($A$5:$A$304,A119,$B$5:$B$304,B119)&gt;1,"FEHLER: doppelt",IF(OR(C119="",D119=""),"FEHLER: Preis unvollständig",IF(AND(C119="€/Stange",E119=""),"FEHLER: Stangenlänge fehlt","OK"))))))</f>
        <v/>
      </c>
    </row>
    <row r="120" customFormat="false" ht="15" hidden="false" customHeight="false" outlineLevel="0" collapsed="false">
      <c r="A120" s="10"/>
      <c r="B120" s="10"/>
      <c r="C120" s="10"/>
      <c r="D120" s="32"/>
      <c r="E120" s="19"/>
      <c r="F120" s="14"/>
      <c r="G120" s="10"/>
      <c r="H120" s="10"/>
      <c r="I120" s="26" t="str">
        <f aca="false">IF(A120&amp;B120="","",IF(ISNA(MATCH(A120,lst_Profil,0)),"FEHLER: Profil unbekannt",IF(ISNA(MATCH(B120,lst_Werkstoff,0)),"FEHLER: Werkstoff unbekannt",IF(COUNTIFS($A$5:$A$304,A120,$B$5:$B$304,B120)&gt;1,"FEHLER: doppelt",IF(OR(C120="",D120=""),"FEHLER: Preis unvollständig",IF(AND(C120="€/Stange",E120=""),"FEHLER: Stangenlänge fehlt","OK"))))))</f>
        <v/>
      </c>
    </row>
    <row r="121" customFormat="false" ht="15" hidden="false" customHeight="false" outlineLevel="0" collapsed="false">
      <c r="A121" s="10"/>
      <c r="B121" s="10"/>
      <c r="C121" s="10"/>
      <c r="D121" s="32"/>
      <c r="E121" s="19"/>
      <c r="F121" s="14"/>
      <c r="G121" s="10"/>
      <c r="H121" s="10"/>
      <c r="I121" s="26" t="str">
        <f aca="false">IF(A121&amp;B121="","",IF(ISNA(MATCH(A121,lst_Profil,0)),"FEHLER: Profil unbekannt",IF(ISNA(MATCH(B121,lst_Werkstoff,0)),"FEHLER: Werkstoff unbekannt",IF(COUNTIFS($A$5:$A$304,A121,$B$5:$B$304,B121)&gt;1,"FEHLER: doppelt",IF(OR(C121="",D121=""),"FEHLER: Preis unvollständig",IF(AND(C121="€/Stange",E121=""),"FEHLER: Stangenlänge fehlt","OK"))))))</f>
        <v/>
      </c>
    </row>
    <row r="122" customFormat="false" ht="15" hidden="false" customHeight="false" outlineLevel="0" collapsed="false">
      <c r="A122" s="10"/>
      <c r="B122" s="10"/>
      <c r="C122" s="10"/>
      <c r="D122" s="32"/>
      <c r="E122" s="19"/>
      <c r="F122" s="14"/>
      <c r="G122" s="10"/>
      <c r="H122" s="10"/>
      <c r="I122" s="26" t="str">
        <f aca="false">IF(A122&amp;B122="","",IF(ISNA(MATCH(A122,lst_Profil,0)),"FEHLER: Profil unbekannt",IF(ISNA(MATCH(B122,lst_Werkstoff,0)),"FEHLER: Werkstoff unbekannt",IF(COUNTIFS($A$5:$A$304,A122,$B$5:$B$304,B122)&gt;1,"FEHLER: doppelt",IF(OR(C122="",D122=""),"FEHLER: Preis unvollständig",IF(AND(C122="€/Stange",E122=""),"FEHLER: Stangenlänge fehlt","OK"))))))</f>
        <v/>
      </c>
    </row>
    <row r="123" customFormat="false" ht="15" hidden="false" customHeight="false" outlineLevel="0" collapsed="false">
      <c r="A123" s="10"/>
      <c r="B123" s="10"/>
      <c r="C123" s="10"/>
      <c r="D123" s="32"/>
      <c r="E123" s="19"/>
      <c r="F123" s="14"/>
      <c r="G123" s="10"/>
      <c r="H123" s="10"/>
      <c r="I123" s="26" t="str">
        <f aca="false">IF(A123&amp;B123="","",IF(ISNA(MATCH(A123,lst_Profil,0)),"FEHLER: Profil unbekannt",IF(ISNA(MATCH(B123,lst_Werkstoff,0)),"FEHLER: Werkstoff unbekannt",IF(COUNTIFS($A$5:$A$304,A123,$B$5:$B$304,B123)&gt;1,"FEHLER: doppelt",IF(OR(C123="",D123=""),"FEHLER: Preis unvollständig",IF(AND(C123="€/Stange",E123=""),"FEHLER: Stangenlänge fehlt","OK"))))))</f>
        <v/>
      </c>
    </row>
    <row r="124" customFormat="false" ht="15" hidden="false" customHeight="false" outlineLevel="0" collapsed="false">
      <c r="A124" s="10"/>
      <c r="B124" s="10"/>
      <c r="C124" s="10"/>
      <c r="D124" s="32"/>
      <c r="E124" s="19"/>
      <c r="F124" s="14"/>
      <c r="G124" s="10"/>
      <c r="H124" s="10"/>
      <c r="I124" s="26" t="str">
        <f aca="false">IF(A124&amp;B124="","",IF(ISNA(MATCH(A124,lst_Profil,0)),"FEHLER: Profil unbekannt",IF(ISNA(MATCH(B124,lst_Werkstoff,0)),"FEHLER: Werkstoff unbekannt",IF(COUNTIFS($A$5:$A$304,A124,$B$5:$B$304,B124)&gt;1,"FEHLER: doppelt",IF(OR(C124="",D124=""),"FEHLER: Preis unvollständig",IF(AND(C124="€/Stange",E124=""),"FEHLER: Stangenlänge fehlt","OK"))))))</f>
        <v/>
      </c>
    </row>
    <row r="125" customFormat="false" ht="15" hidden="false" customHeight="false" outlineLevel="0" collapsed="false">
      <c r="A125" s="10"/>
      <c r="B125" s="10"/>
      <c r="C125" s="10"/>
      <c r="D125" s="32"/>
      <c r="E125" s="19"/>
      <c r="F125" s="14"/>
      <c r="G125" s="10"/>
      <c r="H125" s="10"/>
      <c r="I125" s="26" t="str">
        <f aca="false">IF(A125&amp;B125="","",IF(ISNA(MATCH(A125,lst_Profil,0)),"FEHLER: Profil unbekannt",IF(ISNA(MATCH(B125,lst_Werkstoff,0)),"FEHLER: Werkstoff unbekannt",IF(COUNTIFS($A$5:$A$304,A125,$B$5:$B$304,B125)&gt;1,"FEHLER: doppelt",IF(OR(C125="",D125=""),"FEHLER: Preis unvollständig",IF(AND(C125="€/Stange",E125=""),"FEHLER: Stangenlänge fehlt","OK"))))))</f>
        <v/>
      </c>
    </row>
    <row r="126" customFormat="false" ht="15" hidden="false" customHeight="false" outlineLevel="0" collapsed="false">
      <c r="A126" s="10"/>
      <c r="B126" s="10"/>
      <c r="C126" s="10"/>
      <c r="D126" s="32"/>
      <c r="E126" s="19"/>
      <c r="F126" s="14"/>
      <c r="G126" s="10"/>
      <c r="H126" s="10"/>
      <c r="I126" s="26" t="str">
        <f aca="false">IF(A126&amp;B126="","",IF(ISNA(MATCH(A126,lst_Profil,0)),"FEHLER: Profil unbekannt",IF(ISNA(MATCH(B126,lst_Werkstoff,0)),"FEHLER: Werkstoff unbekannt",IF(COUNTIFS($A$5:$A$304,A126,$B$5:$B$304,B126)&gt;1,"FEHLER: doppelt",IF(OR(C126="",D126=""),"FEHLER: Preis unvollständig",IF(AND(C126="€/Stange",E126=""),"FEHLER: Stangenlänge fehlt","OK"))))))</f>
        <v/>
      </c>
    </row>
    <row r="127" customFormat="false" ht="15" hidden="false" customHeight="false" outlineLevel="0" collapsed="false">
      <c r="A127" s="10"/>
      <c r="B127" s="10"/>
      <c r="C127" s="10"/>
      <c r="D127" s="32"/>
      <c r="E127" s="19"/>
      <c r="F127" s="14"/>
      <c r="G127" s="10"/>
      <c r="H127" s="10"/>
      <c r="I127" s="26" t="str">
        <f aca="false">IF(A127&amp;B127="","",IF(ISNA(MATCH(A127,lst_Profil,0)),"FEHLER: Profil unbekannt",IF(ISNA(MATCH(B127,lst_Werkstoff,0)),"FEHLER: Werkstoff unbekannt",IF(COUNTIFS($A$5:$A$304,A127,$B$5:$B$304,B127)&gt;1,"FEHLER: doppelt",IF(OR(C127="",D127=""),"FEHLER: Preis unvollständig",IF(AND(C127="€/Stange",E127=""),"FEHLER: Stangenlänge fehlt","OK"))))))</f>
        <v/>
      </c>
    </row>
    <row r="128" customFormat="false" ht="15" hidden="false" customHeight="false" outlineLevel="0" collapsed="false">
      <c r="A128" s="10"/>
      <c r="B128" s="10"/>
      <c r="C128" s="10"/>
      <c r="D128" s="32"/>
      <c r="E128" s="19"/>
      <c r="F128" s="14"/>
      <c r="G128" s="10"/>
      <c r="H128" s="10"/>
      <c r="I128" s="26" t="str">
        <f aca="false">IF(A128&amp;B128="","",IF(ISNA(MATCH(A128,lst_Profil,0)),"FEHLER: Profil unbekannt",IF(ISNA(MATCH(B128,lst_Werkstoff,0)),"FEHLER: Werkstoff unbekannt",IF(COUNTIFS($A$5:$A$304,A128,$B$5:$B$304,B128)&gt;1,"FEHLER: doppelt",IF(OR(C128="",D128=""),"FEHLER: Preis unvollständig",IF(AND(C128="€/Stange",E128=""),"FEHLER: Stangenlänge fehlt","OK"))))))</f>
        <v/>
      </c>
    </row>
    <row r="129" customFormat="false" ht="15" hidden="false" customHeight="false" outlineLevel="0" collapsed="false">
      <c r="A129" s="10"/>
      <c r="B129" s="10"/>
      <c r="C129" s="10"/>
      <c r="D129" s="32"/>
      <c r="E129" s="19"/>
      <c r="F129" s="14"/>
      <c r="G129" s="10"/>
      <c r="H129" s="10"/>
      <c r="I129" s="26" t="str">
        <f aca="false">IF(A129&amp;B129="","",IF(ISNA(MATCH(A129,lst_Profil,0)),"FEHLER: Profil unbekannt",IF(ISNA(MATCH(B129,lst_Werkstoff,0)),"FEHLER: Werkstoff unbekannt",IF(COUNTIFS($A$5:$A$304,A129,$B$5:$B$304,B129)&gt;1,"FEHLER: doppelt",IF(OR(C129="",D129=""),"FEHLER: Preis unvollständig",IF(AND(C129="€/Stange",E129=""),"FEHLER: Stangenlänge fehlt","OK"))))))</f>
        <v/>
      </c>
    </row>
    <row r="130" customFormat="false" ht="15" hidden="false" customHeight="false" outlineLevel="0" collapsed="false">
      <c r="A130" s="10"/>
      <c r="B130" s="10"/>
      <c r="C130" s="10"/>
      <c r="D130" s="32"/>
      <c r="E130" s="19"/>
      <c r="F130" s="14"/>
      <c r="G130" s="10"/>
      <c r="H130" s="10"/>
      <c r="I130" s="26" t="str">
        <f aca="false">IF(A130&amp;B130="","",IF(ISNA(MATCH(A130,lst_Profil,0)),"FEHLER: Profil unbekannt",IF(ISNA(MATCH(B130,lst_Werkstoff,0)),"FEHLER: Werkstoff unbekannt",IF(COUNTIFS($A$5:$A$304,A130,$B$5:$B$304,B130)&gt;1,"FEHLER: doppelt",IF(OR(C130="",D130=""),"FEHLER: Preis unvollständig",IF(AND(C130="€/Stange",E130=""),"FEHLER: Stangenlänge fehlt","OK"))))))</f>
        <v/>
      </c>
    </row>
    <row r="131" customFormat="false" ht="15" hidden="false" customHeight="false" outlineLevel="0" collapsed="false">
      <c r="A131" s="10"/>
      <c r="B131" s="10"/>
      <c r="C131" s="10"/>
      <c r="D131" s="32"/>
      <c r="E131" s="19"/>
      <c r="F131" s="14"/>
      <c r="G131" s="10"/>
      <c r="H131" s="10"/>
      <c r="I131" s="26" t="str">
        <f aca="false">IF(A131&amp;B131="","",IF(ISNA(MATCH(A131,lst_Profil,0)),"FEHLER: Profil unbekannt",IF(ISNA(MATCH(B131,lst_Werkstoff,0)),"FEHLER: Werkstoff unbekannt",IF(COUNTIFS($A$5:$A$304,A131,$B$5:$B$304,B131)&gt;1,"FEHLER: doppelt",IF(OR(C131="",D131=""),"FEHLER: Preis unvollständig",IF(AND(C131="€/Stange",E131=""),"FEHLER: Stangenlänge fehlt","OK"))))))</f>
        <v/>
      </c>
    </row>
    <row r="132" customFormat="false" ht="15" hidden="false" customHeight="false" outlineLevel="0" collapsed="false">
      <c r="A132" s="10"/>
      <c r="B132" s="10"/>
      <c r="C132" s="10"/>
      <c r="D132" s="32"/>
      <c r="E132" s="19"/>
      <c r="F132" s="14"/>
      <c r="G132" s="10"/>
      <c r="H132" s="10"/>
      <c r="I132" s="26" t="str">
        <f aca="false">IF(A132&amp;B132="","",IF(ISNA(MATCH(A132,lst_Profil,0)),"FEHLER: Profil unbekannt",IF(ISNA(MATCH(B132,lst_Werkstoff,0)),"FEHLER: Werkstoff unbekannt",IF(COUNTIFS($A$5:$A$304,A132,$B$5:$B$304,B132)&gt;1,"FEHLER: doppelt",IF(OR(C132="",D132=""),"FEHLER: Preis unvollständig",IF(AND(C132="€/Stange",E132=""),"FEHLER: Stangenlänge fehlt","OK"))))))</f>
        <v/>
      </c>
    </row>
    <row r="133" customFormat="false" ht="15" hidden="false" customHeight="false" outlineLevel="0" collapsed="false">
      <c r="A133" s="10"/>
      <c r="B133" s="10"/>
      <c r="C133" s="10"/>
      <c r="D133" s="32"/>
      <c r="E133" s="19"/>
      <c r="F133" s="14"/>
      <c r="G133" s="10"/>
      <c r="H133" s="10"/>
      <c r="I133" s="26" t="str">
        <f aca="false">IF(A133&amp;B133="","",IF(ISNA(MATCH(A133,lst_Profil,0)),"FEHLER: Profil unbekannt",IF(ISNA(MATCH(B133,lst_Werkstoff,0)),"FEHLER: Werkstoff unbekannt",IF(COUNTIFS($A$5:$A$304,A133,$B$5:$B$304,B133)&gt;1,"FEHLER: doppelt",IF(OR(C133="",D133=""),"FEHLER: Preis unvollständig",IF(AND(C133="€/Stange",E133=""),"FEHLER: Stangenlänge fehlt","OK"))))))</f>
        <v/>
      </c>
    </row>
    <row r="134" customFormat="false" ht="15" hidden="false" customHeight="false" outlineLevel="0" collapsed="false">
      <c r="A134" s="10"/>
      <c r="B134" s="10"/>
      <c r="C134" s="10"/>
      <c r="D134" s="32"/>
      <c r="E134" s="19"/>
      <c r="F134" s="14"/>
      <c r="G134" s="10"/>
      <c r="H134" s="10"/>
      <c r="I134" s="26" t="str">
        <f aca="false">IF(A134&amp;B134="","",IF(ISNA(MATCH(A134,lst_Profil,0)),"FEHLER: Profil unbekannt",IF(ISNA(MATCH(B134,lst_Werkstoff,0)),"FEHLER: Werkstoff unbekannt",IF(COUNTIFS($A$5:$A$304,A134,$B$5:$B$304,B134)&gt;1,"FEHLER: doppelt",IF(OR(C134="",D134=""),"FEHLER: Preis unvollständig",IF(AND(C134="€/Stange",E134=""),"FEHLER: Stangenlänge fehlt","OK"))))))</f>
        <v/>
      </c>
    </row>
    <row r="135" customFormat="false" ht="15" hidden="false" customHeight="false" outlineLevel="0" collapsed="false">
      <c r="A135" s="10"/>
      <c r="B135" s="10"/>
      <c r="C135" s="10"/>
      <c r="D135" s="32"/>
      <c r="E135" s="19"/>
      <c r="F135" s="14"/>
      <c r="G135" s="10"/>
      <c r="H135" s="10"/>
      <c r="I135" s="26" t="str">
        <f aca="false">IF(A135&amp;B135="","",IF(ISNA(MATCH(A135,lst_Profil,0)),"FEHLER: Profil unbekannt",IF(ISNA(MATCH(B135,lst_Werkstoff,0)),"FEHLER: Werkstoff unbekannt",IF(COUNTIFS($A$5:$A$304,A135,$B$5:$B$304,B135)&gt;1,"FEHLER: doppelt",IF(OR(C135="",D135=""),"FEHLER: Preis unvollständig",IF(AND(C135="€/Stange",E135=""),"FEHLER: Stangenlänge fehlt","OK"))))))</f>
        <v/>
      </c>
    </row>
    <row r="136" customFormat="false" ht="15" hidden="false" customHeight="false" outlineLevel="0" collapsed="false">
      <c r="A136" s="10"/>
      <c r="B136" s="10"/>
      <c r="C136" s="10"/>
      <c r="D136" s="32"/>
      <c r="E136" s="19"/>
      <c r="F136" s="14"/>
      <c r="G136" s="10"/>
      <c r="H136" s="10"/>
      <c r="I136" s="26" t="str">
        <f aca="false">IF(A136&amp;B136="","",IF(ISNA(MATCH(A136,lst_Profil,0)),"FEHLER: Profil unbekannt",IF(ISNA(MATCH(B136,lst_Werkstoff,0)),"FEHLER: Werkstoff unbekannt",IF(COUNTIFS($A$5:$A$304,A136,$B$5:$B$304,B136)&gt;1,"FEHLER: doppelt",IF(OR(C136="",D136=""),"FEHLER: Preis unvollständig",IF(AND(C136="€/Stange",E136=""),"FEHLER: Stangenlänge fehlt","OK"))))))</f>
        <v/>
      </c>
    </row>
    <row r="137" customFormat="false" ht="15" hidden="false" customHeight="false" outlineLevel="0" collapsed="false">
      <c r="A137" s="10"/>
      <c r="B137" s="10"/>
      <c r="C137" s="10"/>
      <c r="D137" s="32"/>
      <c r="E137" s="19"/>
      <c r="F137" s="14"/>
      <c r="G137" s="10"/>
      <c r="H137" s="10"/>
      <c r="I137" s="26" t="str">
        <f aca="false">IF(A137&amp;B137="","",IF(ISNA(MATCH(A137,lst_Profil,0)),"FEHLER: Profil unbekannt",IF(ISNA(MATCH(B137,lst_Werkstoff,0)),"FEHLER: Werkstoff unbekannt",IF(COUNTIFS($A$5:$A$304,A137,$B$5:$B$304,B137)&gt;1,"FEHLER: doppelt",IF(OR(C137="",D137=""),"FEHLER: Preis unvollständig",IF(AND(C137="€/Stange",E137=""),"FEHLER: Stangenlänge fehlt","OK"))))))</f>
        <v/>
      </c>
    </row>
    <row r="138" customFormat="false" ht="15" hidden="false" customHeight="false" outlineLevel="0" collapsed="false">
      <c r="A138" s="10"/>
      <c r="B138" s="10"/>
      <c r="C138" s="10"/>
      <c r="D138" s="32"/>
      <c r="E138" s="19"/>
      <c r="F138" s="14"/>
      <c r="G138" s="10"/>
      <c r="H138" s="10"/>
      <c r="I138" s="26" t="str">
        <f aca="false">IF(A138&amp;B138="","",IF(ISNA(MATCH(A138,lst_Profil,0)),"FEHLER: Profil unbekannt",IF(ISNA(MATCH(B138,lst_Werkstoff,0)),"FEHLER: Werkstoff unbekannt",IF(COUNTIFS($A$5:$A$304,A138,$B$5:$B$304,B138)&gt;1,"FEHLER: doppelt",IF(OR(C138="",D138=""),"FEHLER: Preis unvollständig",IF(AND(C138="€/Stange",E138=""),"FEHLER: Stangenlänge fehlt","OK"))))))</f>
        <v/>
      </c>
    </row>
    <row r="139" customFormat="false" ht="15" hidden="false" customHeight="false" outlineLevel="0" collapsed="false">
      <c r="A139" s="10"/>
      <c r="B139" s="10"/>
      <c r="C139" s="10"/>
      <c r="D139" s="32"/>
      <c r="E139" s="19"/>
      <c r="F139" s="14"/>
      <c r="G139" s="10"/>
      <c r="H139" s="10"/>
      <c r="I139" s="26" t="str">
        <f aca="false">IF(A139&amp;B139="","",IF(ISNA(MATCH(A139,lst_Profil,0)),"FEHLER: Profil unbekannt",IF(ISNA(MATCH(B139,lst_Werkstoff,0)),"FEHLER: Werkstoff unbekannt",IF(COUNTIFS($A$5:$A$304,A139,$B$5:$B$304,B139)&gt;1,"FEHLER: doppelt",IF(OR(C139="",D139=""),"FEHLER: Preis unvollständig",IF(AND(C139="€/Stange",E139=""),"FEHLER: Stangenlänge fehlt","OK"))))))</f>
        <v/>
      </c>
    </row>
    <row r="140" customFormat="false" ht="15" hidden="false" customHeight="false" outlineLevel="0" collapsed="false">
      <c r="A140" s="10"/>
      <c r="B140" s="10"/>
      <c r="C140" s="10"/>
      <c r="D140" s="32"/>
      <c r="E140" s="19"/>
      <c r="F140" s="14"/>
      <c r="G140" s="10"/>
      <c r="H140" s="10"/>
      <c r="I140" s="26" t="str">
        <f aca="false">IF(A140&amp;B140="","",IF(ISNA(MATCH(A140,lst_Profil,0)),"FEHLER: Profil unbekannt",IF(ISNA(MATCH(B140,lst_Werkstoff,0)),"FEHLER: Werkstoff unbekannt",IF(COUNTIFS($A$5:$A$304,A140,$B$5:$B$304,B140)&gt;1,"FEHLER: doppelt",IF(OR(C140="",D140=""),"FEHLER: Preis unvollständig",IF(AND(C140="€/Stange",E140=""),"FEHLER: Stangenlänge fehlt","OK"))))))</f>
        <v/>
      </c>
    </row>
    <row r="141" customFormat="false" ht="15" hidden="false" customHeight="false" outlineLevel="0" collapsed="false">
      <c r="A141" s="10"/>
      <c r="B141" s="10"/>
      <c r="C141" s="10"/>
      <c r="D141" s="32"/>
      <c r="E141" s="19"/>
      <c r="F141" s="14"/>
      <c r="G141" s="10"/>
      <c r="H141" s="10"/>
      <c r="I141" s="26" t="str">
        <f aca="false">IF(A141&amp;B141="","",IF(ISNA(MATCH(A141,lst_Profil,0)),"FEHLER: Profil unbekannt",IF(ISNA(MATCH(B141,lst_Werkstoff,0)),"FEHLER: Werkstoff unbekannt",IF(COUNTIFS($A$5:$A$304,A141,$B$5:$B$304,B141)&gt;1,"FEHLER: doppelt",IF(OR(C141="",D141=""),"FEHLER: Preis unvollständig",IF(AND(C141="€/Stange",E141=""),"FEHLER: Stangenlänge fehlt","OK"))))))</f>
        <v/>
      </c>
    </row>
    <row r="142" customFormat="false" ht="15" hidden="false" customHeight="false" outlineLevel="0" collapsed="false">
      <c r="A142" s="10"/>
      <c r="B142" s="10"/>
      <c r="C142" s="10"/>
      <c r="D142" s="32"/>
      <c r="E142" s="19"/>
      <c r="F142" s="14"/>
      <c r="G142" s="10"/>
      <c r="H142" s="10"/>
      <c r="I142" s="26" t="str">
        <f aca="false">IF(A142&amp;B142="","",IF(ISNA(MATCH(A142,lst_Profil,0)),"FEHLER: Profil unbekannt",IF(ISNA(MATCH(B142,lst_Werkstoff,0)),"FEHLER: Werkstoff unbekannt",IF(COUNTIFS($A$5:$A$304,A142,$B$5:$B$304,B142)&gt;1,"FEHLER: doppelt",IF(OR(C142="",D142=""),"FEHLER: Preis unvollständig",IF(AND(C142="€/Stange",E142=""),"FEHLER: Stangenlänge fehlt","OK"))))))</f>
        <v/>
      </c>
    </row>
    <row r="143" customFormat="false" ht="15" hidden="false" customHeight="false" outlineLevel="0" collapsed="false">
      <c r="A143" s="10"/>
      <c r="B143" s="10"/>
      <c r="C143" s="10"/>
      <c r="D143" s="32"/>
      <c r="E143" s="19"/>
      <c r="F143" s="14"/>
      <c r="G143" s="10"/>
      <c r="H143" s="10"/>
      <c r="I143" s="26" t="str">
        <f aca="false">IF(A143&amp;B143="","",IF(ISNA(MATCH(A143,lst_Profil,0)),"FEHLER: Profil unbekannt",IF(ISNA(MATCH(B143,lst_Werkstoff,0)),"FEHLER: Werkstoff unbekannt",IF(COUNTIFS($A$5:$A$304,A143,$B$5:$B$304,B143)&gt;1,"FEHLER: doppelt",IF(OR(C143="",D143=""),"FEHLER: Preis unvollständig",IF(AND(C143="€/Stange",E143=""),"FEHLER: Stangenlänge fehlt","OK"))))))</f>
        <v/>
      </c>
    </row>
    <row r="144" customFormat="false" ht="15" hidden="false" customHeight="false" outlineLevel="0" collapsed="false">
      <c r="A144" s="10"/>
      <c r="B144" s="10"/>
      <c r="C144" s="10"/>
      <c r="D144" s="32"/>
      <c r="E144" s="19"/>
      <c r="F144" s="14"/>
      <c r="G144" s="10"/>
      <c r="H144" s="10"/>
      <c r="I144" s="26" t="str">
        <f aca="false">IF(A144&amp;B144="","",IF(ISNA(MATCH(A144,lst_Profil,0)),"FEHLER: Profil unbekannt",IF(ISNA(MATCH(B144,lst_Werkstoff,0)),"FEHLER: Werkstoff unbekannt",IF(COUNTIFS($A$5:$A$304,A144,$B$5:$B$304,B144)&gt;1,"FEHLER: doppelt",IF(OR(C144="",D144=""),"FEHLER: Preis unvollständig",IF(AND(C144="€/Stange",E144=""),"FEHLER: Stangenlänge fehlt","OK"))))))</f>
        <v/>
      </c>
    </row>
    <row r="145" customFormat="false" ht="15" hidden="false" customHeight="false" outlineLevel="0" collapsed="false">
      <c r="A145" s="10"/>
      <c r="B145" s="10"/>
      <c r="C145" s="10"/>
      <c r="D145" s="32"/>
      <c r="E145" s="19"/>
      <c r="F145" s="14"/>
      <c r="G145" s="10"/>
      <c r="H145" s="10"/>
      <c r="I145" s="26" t="str">
        <f aca="false">IF(A145&amp;B145="","",IF(ISNA(MATCH(A145,lst_Profil,0)),"FEHLER: Profil unbekannt",IF(ISNA(MATCH(B145,lst_Werkstoff,0)),"FEHLER: Werkstoff unbekannt",IF(COUNTIFS($A$5:$A$304,A145,$B$5:$B$304,B145)&gt;1,"FEHLER: doppelt",IF(OR(C145="",D145=""),"FEHLER: Preis unvollständig",IF(AND(C145="€/Stange",E145=""),"FEHLER: Stangenlänge fehlt","OK"))))))</f>
        <v/>
      </c>
    </row>
    <row r="146" customFormat="false" ht="15" hidden="false" customHeight="false" outlineLevel="0" collapsed="false">
      <c r="A146" s="10"/>
      <c r="B146" s="10"/>
      <c r="C146" s="10"/>
      <c r="D146" s="32"/>
      <c r="E146" s="19"/>
      <c r="F146" s="14"/>
      <c r="G146" s="10"/>
      <c r="H146" s="10"/>
      <c r="I146" s="26" t="str">
        <f aca="false">IF(A146&amp;B146="","",IF(ISNA(MATCH(A146,lst_Profil,0)),"FEHLER: Profil unbekannt",IF(ISNA(MATCH(B146,lst_Werkstoff,0)),"FEHLER: Werkstoff unbekannt",IF(COUNTIFS($A$5:$A$304,A146,$B$5:$B$304,B146)&gt;1,"FEHLER: doppelt",IF(OR(C146="",D146=""),"FEHLER: Preis unvollständig",IF(AND(C146="€/Stange",E146=""),"FEHLER: Stangenlänge fehlt","OK"))))))</f>
        <v/>
      </c>
    </row>
    <row r="147" customFormat="false" ht="15" hidden="false" customHeight="false" outlineLevel="0" collapsed="false">
      <c r="A147" s="10"/>
      <c r="B147" s="10"/>
      <c r="C147" s="10"/>
      <c r="D147" s="32"/>
      <c r="E147" s="19"/>
      <c r="F147" s="14"/>
      <c r="G147" s="10"/>
      <c r="H147" s="10"/>
      <c r="I147" s="26" t="str">
        <f aca="false">IF(A147&amp;B147="","",IF(ISNA(MATCH(A147,lst_Profil,0)),"FEHLER: Profil unbekannt",IF(ISNA(MATCH(B147,lst_Werkstoff,0)),"FEHLER: Werkstoff unbekannt",IF(COUNTIFS($A$5:$A$304,A147,$B$5:$B$304,B147)&gt;1,"FEHLER: doppelt",IF(OR(C147="",D147=""),"FEHLER: Preis unvollständig",IF(AND(C147="€/Stange",E147=""),"FEHLER: Stangenlänge fehlt","OK"))))))</f>
        <v/>
      </c>
    </row>
    <row r="148" customFormat="false" ht="15" hidden="false" customHeight="false" outlineLevel="0" collapsed="false">
      <c r="A148" s="10"/>
      <c r="B148" s="10"/>
      <c r="C148" s="10"/>
      <c r="D148" s="32"/>
      <c r="E148" s="19"/>
      <c r="F148" s="14"/>
      <c r="G148" s="10"/>
      <c r="H148" s="10"/>
      <c r="I148" s="26" t="str">
        <f aca="false">IF(A148&amp;B148="","",IF(ISNA(MATCH(A148,lst_Profil,0)),"FEHLER: Profil unbekannt",IF(ISNA(MATCH(B148,lst_Werkstoff,0)),"FEHLER: Werkstoff unbekannt",IF(COUNTIFS($A$5:$A$304,A148,$B$5:$B$304,B148)&gt;1,"FEHLER: doppelt",IF(OR(C148="",D148=""),"FEHLER: Preis unvollständig",IF(AND(C148="€/Stange",E148=""),"FEHLER: Stangenlänge fehlt","OK"))))))</f>
        <v/>
      </c>
    </row>
    <row r="149" customFormat="false" ht="15" hidden="false" customHeight="false" outlineLevel="0" collapsed="false">
      <c r="A149" s="10"/>
      <c r="B149" s="10"/>
      <c r="C149" s="10"/>
      <c r="D149" s="32"/>
      <c r="E149" s="19"/>
      <c r="F149" s="14"/>
      <c r="G149" s="10"/>
      <c r="H149" s="10"/>
      <c r="I149" s="26" t="str">
        <f aca="false">IF(A149&amp;B149="","",IF(ISNA(MATCH(A149,lst_Profil,0)),"FEHLER: Profil unbekannt",IF(ISNA(MATCH(B149,lst_Werkstoff,0)),"FEHLER: Werkstoff unbekannt",IF(COUNTIFS($A$5:$A$304,A149,$B$5:$B$304,B149)&gt;1,"FEHLER: doppelt",IF(OR(C149="",D149=""),"FEHLER: Preis unvollständig",IF(AND(C149="€/Stange",E149=""),"FEHLER: Stangenlänge fehlt","OK"))))))</f>
        <v/>
      </c>
    </row>
    <row r="150" customFormat="false" ht="15" hidden="false" customHeight="false" outlineLevel="0" collapsed="false">
      <c r="A150" s="10"/>
      <c r="B150" s="10"/>
      <c r="C150" s="10"/>
      <c r="D150" s="32"/>
      <c r="E150" s="19"/>
      <c r="F150" s="14"/>
      <c r="G150" s="10"/>
      <c r="H150" s="10"/>
      <c r="I150" s="26" t="str">
        <f aca="false">IF(A150&amp;B150="","",IF(ISNA(MATCH(A150,lst_Profil,0)),"FEHLER: Profil unbekannt",IF(ISNA(MATCH(B150,lst_Werkstoff,0)),"FEHLER: Werkstoff unbekannt",IF(COUNTIFS($A$5:$A$304,A150,$B$5:$B$304,B150)&gt;1,"FEHLER: doppelt",IF(OR(C150="",D150=""),"FEHLER: Preis unvollständig",IF(AND(C150="€/Stange",E150=""),"FEHLER: Stangenlänge fehlt","OK"))))))</f>
        <v/>
      </c>
    </row>
    <row r="151" customFormat="false" ht="15" hidden="false" customHeight="false" outlineLevel="0" collapsed="false">
      <c r="A151" s="10"/>
      <c r="B151" s="10"/>
      <c r="C151" s="10"/>
      <c r="D151" s="32"/>
      <c r="E151" s="19"/>
      <c r="F151" s="14"/>
      <c r="G151" s="10"/>
      <c r="H151" s="10"/>
      <c r="I151" s="26" t="str">
        <f aca="false">IF(A151&amp;B151="","",IF(ISNA(MATCH(A151,lst_Profil,0)),"FEHLER: Profil unbekannt",IF(ISNA(MATCH(B151,lst_Werkstoff,0)),"FEHLER: Werkstoff unbekannt",IF(COUNTIFS($A$5:$A$304,A151,$B$5:$B$304,B151)&gt;1,"FEHLER: doppelt",IF(OR(C151="",D151=""),"FEHLER: Preis unvollständig",IF(AND(C151="€/Stange",E151=""),"FEHLER: Stangenlänge fehlt","OK"))))))</f>
        <v/>
      </c>
    </row>
    <row r="152" customFormat="false" ht="15" hidden="false" customHeight="false" outlineLevel="0" collapsed="false">
      <c r="A152" s="10"/>
      <c r="B152" s="10"/>
      <c r="C152" s="10"/>
      <c r="D152" s="32"/>
      <c r="E152" s="19"/>
      <c r="F152" s="14"/>
      <c r="G152" s="10"/>
      <c r="H152" s="10"/>
      <c r="I152" s="26" t="str">
        <f aca="false">IF(A152&amp;B152="","",IF(ISNA(MATCH(A152,lst_Profil,0)),"FEHLER: Profil unbekannt",IF(ISNA(MATCH(B152,lst_Werkstoff,0)),"FEHLER: Werkstoff unbekannt",IF(COUNTIFS($A$5:$A$304,A152,$B$5:$B$304,B152)&gt;1,"FEHLER: doppelt",IF(OR(C152="",D152=""),"FEHLER: Preis unvollständig",IF(AND(C152="€/Stange",E152=""),"FEHLER: Stangenlänge fehlt","OK"))))))</f>
        <v/>
      </c>
    </row>
    <row r="153" customFormat="false" ht="15" hidden="false" customHeight="false" outlineLevel="0" collapsed="false">
      <c r="A153" s="10"/>
      <c r="B153" s="10"/>
      <c r="C153" s="10"/>
      <c r="D153" s="32"/>
      <c r="E153" s="19"/>
      <c r="F153" s="14"/>
      <c r="G153" s="10"/>
      <c r="H153" s="10"/>
      <c r="I153" s="26" t="str">
        <f aca="false">IF(A153&amp;B153="","",IF(ISNA(MATCH(A153,lst_Profil,0)),"FEHLER: Profil unbekannt",IF(ISNA(MATCH(B153,lst_Werkstoff,0)),"FEHLER: Werkstoff unbekannt",IF(COUNTIFS($A$5:$A$304,A153,$B$5:$B$304,B153)&gt;1,"FEHLER: doppelt",IF(OR(C153="",D153=""),"FEHLER: Preis unvollständig",IF(AND(C153="€/Stange",E153=""),"FEHLER: Stangenlänge fehlt","OK"))))))</f>
        <v/>
      </c>
    </row>
    <row r="154" customFormat="false" ht="15" hidden="false" customHeight="false" outlineLevel="0" collapsed="false">
      <c r="A154" s="10"/>
      <c r="B154" s="10"/>
      <c r="C154" s="10"/>
      <c r="D154" s="32"/>
      <c r="E154" s="19"/>
      <c r="F154" s="14"/>
      <c r="G154" s="10"/>
      <c r="H154" s="10"/>
      <c r="I154" s="26" t="str">
        <f aca="false">IF(A154&amp;B154="","",IF(ISNA(MATCH(A154,lst_Profil,0)),"FEHLER: Profil unbekannt",IF(ISNA(MATCH(B154,lst_Werkstoff,0)),"FEHLER: Werkstoff unbekannt",IF(COUNTIFS($A$5:$A$304,A154,$B$5:$B$304,B154)&gt;1,"FEHLER: doppelt",IF(OR(C154="",D154=""),"FEHLER: Preis unvollständig",IF(AND(C154="€/Stange",E154=""),"FEHLER: Stangenlänge fehlt","OK"))))))</f>
        <v/>
      </c>
    </row>
    <row r="155" customFormat="false" ht="15" hidden="false" customHeight="false" outlineLevel="0" collapsed="false">
      <c r="A155" s="10"/>
      <c r="B155" s="10"/>
      <c r="C155" s="10"/>
      <c r="D155" s="32"/>
      <c r="E155" s="19"/>
      <c r="F155" s="14"/>
      <c r="G155" s="10"/>
      <c r="H155" s="10"/>
      <c r="I155" s="26" t="str">
        <f aca="false">IF(A155&amp;B155="","",IF(ISNA(MATCH(A155,lst_Profil,0)),"FEHLER: Profil unbekannt",IF(ISNA(MATCH(B155,lst_Werkstoff,0)),"FEHLER: Werkstoff unbekannt",IF(COUNTIFS($A$5:$A$304,A155,$B$5:$B$304,B155)&gt;1,"FEHLER: doppelt",IF(OR(C155="",D155=""),"FEHLER: Preis unvollständig",IF(AND(C155="€/Stange",E155=""),"FEHLER: Stangenlänge fehlt","OK"))))))</f>
        <v/>
      </c>
    </row>
    <row r="156" customFormat="false" ht="15" hidden="false" customHeight="false" outlineLevel="0" collapsed="false">
      <c r="A156" s="10"/>
      <c r="B156" s="10"/>
      <c r="C156" s="10"/>
      <c r="D156" s="32"/>
      <c r="E156" s="19"/>
      <c r="F156" s="14"/>
      <c r="G156" s="10"/>
      <c r="H156" s="10"/>
      <c r="I156" s="26" t="str">
        <f aca="false">IF(A156&amp;B156="","",IF(ISNA(MATCH(A156,lst_Profil,0)),"FEHLER: Profil unbekannt",IF(ISNA(MATCH(B156,lst_Werkstoff,0)),"FEHLER: Werkstoff unbekannt",IF(COUNTIFS($A$5:$A$304,A156,$B$5:$B$304,B156)&gt;1,"FEHLER: doppelt",IF(OR(C156="",D156=""),"FEHLER: Preis unvollständig",IF(AND(C156="€/Stange",E156=""),"FEHLER: Stangenlänge fehlt","OK"))))))</f>
        <v/>
      </c>
    </row>
    <row r="157" customFormat="false" ht="15" hidden="false" customHeight="false" outlineLevel="0" collapsed="false">
      <c r="A157" s="10"/>
      <c r="B157" s="10"/>
      <c r="C157" s="10"/>
      <c r="D157" s="32"/>
      <c r="E157" s="19"/>
      <c r="F157" s="14"/>
      <c r="G157" s="10"/>
      <c r="H157" s="10"/>
      <c r="I157" s="26" t="str">
        <f aca="false">IF(A157&amp;B157="","",IF(ISNA(MATCH(A157,lst_Profil,0)),"FEHLER: Profil unbekannt",IF(ISNA(MATCH(B157,lst_Werkstoff,0)),"FEHLER: Werkstoff unbekannt",IF(COUNTIFS($A$5:$A$304,A157,$B$5:$B$304,B157)&gt;1,"FEHLER: doppelt",IF(OR(C157="",D157=""),"FEHLER: Preis unvollständig",IF(AND(C157="€/Stange",E157=""),"FEHLER: Stangenlänge fehlt","OK"))))))</f>
        <v/>
      </c>
    </row>
    <row r="158" customFormat="false" ht="15" hidden="false" customHeight="false" outlineLevel="0" collapsed="false">
      <c r="A158" s="10"/>
      <c r="B158" s="10"/>
      <c r="C158" s="10"/>
      <c r="D158" s="32"/>
      <c r="E158" s="19"/>
      <c r="F158" s="14"/>
      <c r="G158" s="10"/>
      <c r="H158" s="10"/>
      <c r="I158" s="26" t="str">
        <f aca="false">IF(A158&amp;B158="","",IF(ISNA(MATCH(A158,lst_Profil,0)),"FEHLER: Profil unbekannt",IF(ISNA(MATCH(B158,lst_Werkstoff,0)),"FEHLER: Werkstoff unbekannt",IF(COUNTIFS($A$5:$A$304,A158,$B$5:$B$304,B158)&gt;1,"FEHLER: doppelt",IF(OR(C158="",D158=""),"FEHLER: Preis unvollständig",IF(AND(C158="€/Stange",E158=""),"FEHLER: Stangenlänge fehlt","OK"))))))</f>
        <v/>
      </c>
    </row>
    <row r="159" customFormat="false" ht="15" hidden="false" customHeight="false" outlineLevel="0" collapsed="false">
      <c r="A159" s="10"/>
      <c r="B159" s="10"/>
      <c r="C159" s="10"/>
      <c r="D159" s="32"/>
      <c r="E159" s="19"/>
      <c r="F159" s="14"/>
      <c r="G159" s="10"/>
      <c r="H159" s="10"/>
      <c r="I159" s="26" t="str">
        <f aca="false">IF(A159&amp;B159="","",IF(ISNA(MATCH(A159,lst_Profil,0)),"FEHLER: Profil unbekannt",IF(ISNA(MATCH(B159,lst_Werkstoff,0)),"FEHLER: Werkstoff unbekannt",IF(COUNTIFS($A$5:$A$304,A159,$B$5:$B$304,B159)&gt;1,"FEHLER: doppelt",IF(OR(C159="",D159=""),"FEHLER: Preis unvollständig",IF(AND(C159="€/Stange",E159=""),"FEHLER: Stangenlänge fehlt","OK"))))))</f>
        <v/>
      </c>
    </row>
    <row r="160" customFormat="false" ht="15" hidden="false" customHeight="false" outlineLevel="0" collapsed="false">
      <c r="A160" s="10"/>
      <c r="B160" s="10"/>
      <c r="C160" s="10"/>
      <c r="D160" s="32"/>
      <c r="E160" s="19"/>
      <c r="F160" s="14"/>
      <c r="G160" s="10"/>
      <c r="H160" s="10"/>
      <c r="I160" s="26" t="str">
        <f aca="false">IF(A160&amp;B160="","",IF(ISNA(MATCH(A160,lst_Profil,0)),"FEHLER: Profil unbekannt",IF(ISNA(MATCH(B160,lst_Werkstoff,0)),"FEHLER: Werkstoff unbekannt",IF(COUNTIFS($A$5:$A$304,A160,$B$5:$B$304,B160)&gt;1,"FEHLER: doppelt",IF(OR(C160="",D160=""),"FEHLER: Preis unvollständig",IF(AND(C160="€/Stange",E160=""),"FEHLER: Stangenlänge fehlt","OK"))))))</f>
        <v/>
      </c>
    </row>
    <row r="161" customFormat="false" ht="15" hidden="false" customHeight="false" outlineLevel="0" collapsed="false">
      <c r="A161" s="10"/>
      <c r="B161" s="10"/>
      <c r="C161" s="10"/>
      <c r="D161" s="32"/>
      <c r="E161" s="19"/>
      <c r="F161" s="14"/>
      <c r="G161" s="10"/>
      <c r="H161" s="10"/>
      <c r="I161" s="26" t="str">
        <f aca="false">IF(A161&amp;B161="","",IF(ISNA(MATCH(A161,lst_Profil,0)),"FEHLER: Profil unbekannt",IF(ISNA(MATCH(B161,lst_Werkstoff,0)),"FEHLER: Werkstoff unbekannt",IF(COUNTIFS($A$5:$A$304,A161,$B$5:$B$304,B161)&gt;1,"FEHLER: doppelt",IF(OR(C161="",D161=""),"FEHLER: Preis unvollständig",IF(AND(C161="€/Stange",E161=""),"FEHLER: Stangenlänge fehlt","OK"))))))</f>
        <v/>
      </c>
    </row>
    <row r="162" customFormat="false" ht="15" hidden="false" customHeight="false" outlineLevel="0" collapsed="false">
      <c r="A162" s="10"/>
      <c r="B162" s="10"/>
      <c r="C162" s="10"/>
      <c r="D162" s="32"/>
      <c r="E162" s="19"/>
      <c r="F162" s="14"/>
      <c r="G162" s="10"/>
      <c r="H162" s="10"/>
      <c r="I162" s="26" t="str">
        <f aca="false">IF(A162&amp;B162="","",IF(ISNA(MATCH(A162,lst_Profil,0)),"FEHLER: Profil unbekannt",IF(ISNA(MATCH(B162,lst_Werkstoff,0)),"FEHLER: Werkstoff unbekannt",IF(COUNTIFS($A$5:$A$304,A162,$B$5:$B$304,B162)&gt;1,"FEHLER: doppelt",IF(OR(C162="",D162=""),"FEHLER: Preis unvollständig",IF(AND(C162="€/Stange",E162=""),"FEHLER: Stangenlänge fehlt","OK"))))))</f>
        <v/>
      </c>
    </row>
    <row r="163" customFormat="false" ht="15" hidden="false" customHeight="false" outlineLevel="0" collapsed="false">
      <c r="A163" s="10"/>
      <c r="B163" s="10"/>
      <c r="C163" s="10"/>
      <c r="D163" s="32"/>
      <c r="E163" s="19"/>
      <c r="F163" s="14"/>
      <c r="G163" s="10"/>
      <c r="H163" s="10"/>
      <c r="I163" s="26" t="str">
        <f aca="false">IF(A163&amp;B163="","",IF(ISNA(MATCH(A163,lst_Profil,0)),"FEHLER: Profil unbekannt",IF(ISNA(MATCH(B163,lst_Werkstoff,0)),"FEHLER: Werkstoff unbekannt",IF(COUNTIFS($A$5:$A$304,A163,$B$5:$B$304,B163)&gt;1,"FEHLER: doppelt",IF(OR(C163="",D163=""),"FEHLER: Preis unvollständig",IF(AND(C163="€/Stange",E163=""),"FEHLER: Stangenlänge fehlt","OK"))))))</f>
        <v/>
      </c>
    </row>
    <row r="164" customFormat="false" ht="15" hidden="false" customHeight="false" outlineLevel="0" collapsed="false">
      <c r="A164" s="10"/>
      <c r="B164" s="10"/>
      <c r="C164" s="10"/>
      <c r="D164" s="32"/>
      <c r="E164" s="19"/>
      <c r="F164" s="14"/>
      <c r="G164" s="10"/>
      <c r="H164" s="10"/>
      <c r="I164" s="26" t="str">
        <f aca="false">IF(A164&amp;B164="","",IF(ISNA(MATCH(A164,lst_Profil,0)),"FEHLER: Profil unbekannt",IF(ISNA(MATCH(B164,lst_Werkstoff,0)),"FEHLER: Werkstoff unbekannt",IF(COUNTIFS($A$5:$A$304,A164,$B$5:$B$304,B164)&gt;1,"FEHLER: doppelt",IF(OR(C164="",D164=""),"FEHLER: Preis unvollständig",IF(AND(C164="€/Stange",E164=""),"FEHLER: Stangenlänge fehlt","OK"))))))</f>
        <v/>
      </c>
    </row>
    <row r="165" customFormat="false" ht="15" hidden="false" customHeight="false" outlineLevel="0" collapsed="false">
      <c r="A165" s="10"/>
      <c r="B165" s="10"/>
      <c r="C165" s="10"/>
      <c r="D165" s="32"/>
      <c r="E165" s="19"/>
      <c r="F165" s="14"/>
      <c r="G165" s="10"/>
      <c r="H165" s="10"/>
      <c r="I165" s="26" t="str">
        <f aca="false">IF(A165&amp;B165="","",IF(ISNA(MATCH(A165,lst_Profil,0)),"FEHLER: Profil unbekannt",IF(ISNA(MATCH(B165,lst_Werkstoff,0)),"FEHLER: Werkstoff unbekannt",IF(COUNTIFS($A$5:$A$304,A165,$B$5:$B$304,B165)&gt;1,"FEHLER: doppelt",IF(OR(C165="",D165=""),"FEHLER: Preis unvollständig",IF(AND(C165="€/Stange",E165=""),"FEHLER: Stangenlänge fehlt","OK"))))))</f>
        <v/>
      </c>
    </row>
    <row r="166" customFormat="false" ht="15" hidden="false" customHeight="false" outlineLevel="0" collapsed="false">
      <c r="A166" s="10"/>
      <c r="B166" s="10"/>
      <c r="C166" s="10"/>
      <c r="D166" s="32"/>
      <c r="E166" s="19"/>
      <c r="F166" s="14"/>
      <c r="G166" s="10"/>
      <c r="H166" s="10"/>
      <c r="I166" s="26" t="str">
        <f aca="false">IF(A166&amp;B166="","",IF(ISNA(MATCH(A166,lst_Profil,0)),"FEHLER: Profil unbekannt",IF(ISNA(MATCH(B166,lst_Werkstoff,0)),"FEHLER: Werkstoff unbekannt",IF(COUNTIFS($A$5:$A$304,A166,$B$5:$B$304,B166)&gt;1,"FEHLER: doppelt",IF(OR(C166="",D166=""),"FEHLER: Preis unvollständig",IF(AND(C166="€/Stange",E166=""),"FEHLER: Stangenlänge fehlt","OK"))))))</f>
        <v/>
      </c>
    </row>
    <row r="167" customFormat="false" ht="15" hidden="false" customHeight="false" outlineLevel="0" collapsed="false">
      <c r="A167" s="10"/>
      <c r="B167" s="10"/>
      <c r="C167" s="10"/>
      <c r="D167" s="32"/>
      <c r="E167" s="19"/>
      <c r="F167" s="14"/>
      <c r="G167" s="10"/>
      <c r="H167" s="10"/>
      <c r="I167" s="26" t="str">
        <f aca="false">IF(A167&amp;B167="","",IF(ISNA(MATCH(A167,lst_Profil,0)),"FEHLER: Profil unbekannt",IF(ISNA(MATCH(B167,lst_Werkstoff,0)),"FEHLER: Werkstoff unbekannt",IF(COUNTIFS($A$5:$A$304,A167,$B$5:$B$304,B167)&gt;1,"FEHLER: doppelt",IF(OR(C167="",D167=""),"FEHLER: Preis unvollständig",IF(AND(C167="€/Stange",E167=""),"FEHLER: Stangenlänge fehlt","OK"))))))</f>
        <v/>
      </c>
    </row>
    <row r="168" customFormat="false" ht="15" hidden="false" customHeight="false" outlineLevel="0" collapsed="false">
      <c r="A168" s="10"/>
      <c r="B168" s="10"/>
      <c r="C168" s="10"/>
      <c r="D168" s="32"/>
      <c r="E168" s="19"/>
      <c r="F168" s="14"/>
      <c r="G168" s="10"/>
      <c r="H168" s="10"/>
      <c r="I168" s="26" t="str">
        <f aca="false">IF(A168&amp;B168="","",IF(ISNA(MATCH(A168,lst_Profil,0)),"FEHLER: Profil unbekannt",IF(ISNA(MATCH(B168,lst_Werkstoff,0)),"FEHLER: Werkstoff unbekannt",IF(COUNTIFS($A$5:$A$304,A168,$B$5:$B$304,B168)&gt;1,"FEHLER: doppelt",IF(OR(C168="",D168=""),"FEHLER: Preis unvollständig",IF(AND(C168="€/Stange",E168=""),"FEHLER: Stangenlänge fehlt","OK"))))))</f>
        <v/>
      </c>
    </row>
    <row r="169" customFormat="false" ht="15" hidden="false" customHeight="false" outlineLevel="0" collapsed="false">
      <c r="A169" s="10"/>
      <c r="B169" s="10"/>
      <c r="C169" s="10"/>
      <c r="D169" s="32"/>
      <c r="E169" s="19"/>
      <c r="F169" s="14"/>
      <c r="G169" s="10"/>
      <c r="H169" s="10"/>
      <c r="I169" s="26" t="str">
        <f aca="false">IF(A169&amp;B169="","",IF(ISNA(MATCH(A169,lst_Profil,0)),"FEHLER: Profil unbekannt",IF(ISNA(MATCH(B169,lst_Werkstoff,0)),"FEHLER: Werkstoff unbekannt",IF(COUNTIFS($A$5:$A$304,A169,$B$5:$B$304,B169)&gt;1,"FEHLER: doppelt",IF(OR(C169="",D169=""),"FEHLER: Preis unvollständig",IF(AND(C169="€/Stange",E169=""),"FEHLER: Stangenlänge fehlt","OK"))))))</f>
        <v/>
      </c>
    </row>
    <row r="170" customFormat="false" ht="15" hidden="false" customHeight="false" outlineLevel="0" collapsed="false">
      <c r="A170" s="10"/>
      <c r="B170" s="10"/>
      <c r="C170" s="10"/>
      <c r="D170" s="32"/>
      <c r="E170" s="19"/>
      <c r="F170" s="14"/>
      <c r="G170" s="10"/>
      <c r="H170" s="10"/>
      <c r="I170" s="26" t="str">
        <f aca="false">IF(A170&amp;B170="","",IF(ISNA(MATCH(A170,lst_Profil,0)),"FEHLER: Profil unbekannt",IF(ISNA(MATCH(B170,lst_Werkstoff,0)),"FEHLER: Werkstoff unbekannt",IF(COUNTIFS($A$5:$A$304,A170,$B$5:$B$304,B170)&gt;1,"FEHLER: doppelt",IF(OR(C170="",D170=""),"FEHLER: Preis unvollständig",IF(AND(C170="€/Stange",E170=""),"FEHLER: Stangenlänge fehlt","OK"))))))</f>
        <v/>
      </c>
    </row>
    <row r="171" customFormat="false" ht="15" hidden="false" customHeight="false" outlineLevel="0" collapsed="false">
      <c r="A171" s="10"/>
      <c r="B171" s="10"/>
      <c r="C171" s="10"/>
      <c r="D171" s="32"/>
      <c r="E171" s="19"/>
      <c r="F171" s="14"/>
      <c r="G171" s="10"/>
      <c r="H171" s="10"/>
      <c r="I171" s="26" t="str">
        <f aca="false">IF(A171&amp;B171="","",IF(ISNA(MATCH(A171,lst_Profil,0)),"FEHLER: Profil unbekannt",IF(ISNA(MATCH(B171,lst_Werkstoff,0)),"FEHLER: Werkstoff unbekannt",IF(COUNTIFS($A$5:$A$304,A171,$B$5:$B$304,B171)&gt;1,"FEHLER: doppelt",IF(OR(C171="",D171=""),"FEHLER: Preis unvollständig",IF(AND(C171="€/Stange",E171=""),"FEHLER: Stangenlänge fehlt","OK"))))))</f>
        <v/>
      </c>
    </row>
    <row r="172" customFormat="false" ht="15" hidden="false" customHeight="false" outlineLevel="0" collapsed="false">
      <c r="A172" s="10"/>
      <c r="B172" s="10"/>
      <c r="C172" s="10"/>
      <c r="D172" s="32"/>
      <c r="E172" s="19"/>
      <c r="F172" s="14"/>
      <c r="G172" s="10"/>
      <c r="H172" s="10"/>
      <c r="I172" s="26" t="str">
        <f aca="false">IF(A172&amp;B172="","",IF(ISNA(MATCH(A172,lst_Profil,0)),"FEHLER: Profil unbekannt",IF(ISNA(MATCH(B172,lst_Werkstoff,0)),"FEHLER: Werkstoff unbekannt",IF(COUNTIFS($A$5:$A$304,A172,$B$5:$B$304,B172)&gt;1,"FEHLER: doppelt",IF(OR(C172="",D172=""),"FEHLER: Preis unvollständig",IF(AND(C172="€/Stange",E172=""),"FEHLER: Stangenlänge fehlt","OK"))))))</f>
        <v/>
      </c>
    </row>
    <row r="173" customFormat="false" ht="15" hidden="false" customHeight="false" outlineLevel="0" collapsed="false">
      <c r="A173" s="10"/>
      <c r="B173" s="10"/>
      <c r="C173" s="10"/>
      <c r="D173" s="32"/>
      <c r="E173" s="19"/>
      <c r="F173" s="14"/>
      <c r="G173" s="10"/>
      <c r="H173" s="10"/>
      <c r="I173" s="26" t="str">
        <f aca="false">IF(A173&amp;B173="","",IF(ISNA(MATCH(A173,lst_Profil,0)),"FEHLER: Profil unbekannt",IF(ISNA(MATCH(B173,lst_Werkstoff,0)),"FEHLER: Werkstoff unbekannt",IF(COUNTIFS($A$5:$A$304,A173,$B$5:$B$304,B173)&gt;1,"FEHLER: doppelt",IF(OR(C173="",D173=""),"FEHLER: Preis unvollständig",IF(AND(C173="€/Stange",E173=""),"FEHLER: Stangenlänge fehlt","OK"))))))</f>
        <v/>
      </c>
    </row>
    <row r="174" customFormat="false" ht="15" hidden="false" customHeight="false" outlineLevel="0" collapsed="false">
      <c r="A174" s="10"/>
      <c r="B174" s="10"/>
      <c r="C174" s="10"/>
      <c r="D174" s="32"/>
      <c r="E174" s="19"/>
      <c r="F174" s="14"/>
      <c r="G174" s="10"/>
      <c r="H174" s="10"/>
      <c r="I174" s="26" t="str">
        <f aca="false">IF(A174&amp;B174="","",IF(ISNA(MATCH(A174,lst_Profil,0)),"FEHLER: Profil unbekannt",IF(ISNA(MATCH(B174,lst_Werkstoff,0)),"FEHLER: Werkstoff unbekannt",IF(COUNTIFS($A$5:$A$304,A174,$B$5:$B$304,B174)&gt;1,"FEHLER: doppelt",IF(OR(C174="",D174=""),"FEHLER: Preis unvollständig",IF(AND(C174="€/Stange",E174=""),"FEHLER: Stangenlänge fehlt","OK"))))))</f>
        <v/>
      </c>
    </row>
    <row r="175" customFormat="false" ht="15" hidden="false" customHeight="false" outlineLevel="0" collapsed="false">
      <c r="A175" s="10"/>
      <c r="B175" s="10"/>
      <c r="C175" s="10"/>
      <c r="D175" s="32"/>
      <c r="E175" s="19"/>
      <c r="F175" s="14"/>
      <c r="G175" s="10"/>
      <c r="H175" s="10"/>
      <c r="I175" s="26" t="str">
        <f aca="false">IF(A175&amp;B175="","",IF(ISNA(MATCH(A175,lst_Profil,0)),"FEHLER: Profil unbekannt",IF(ISNA(MATCH(B175,lst_Werkstoff,0)),"FEHLER: Werkstoff unbekannt",IF(COUNTIFS($A$5:$A$304,A175,$B$5:$B$304,B175)&gt;1,"FEHLER: doppelt",IF(OR(C175="",D175=""),"FEHLER: Preis unvollständig",IF(AND(C175="€/Stange",E175=""),"FEHLER: Stangenlänge fehlt","OK"))))))</f>
        <v/>
      </c>
    </row>
    <row r="176" customFormat="false" ht="15" hidden="false" customHeight="false" outlineLevel="0" collapsed="false">
      <c r="A176" s="10"/>
      <c r="B176" s="10"/>
      <c r="C176" s="10"/>
      <c r="D176" s="32"/>
      <c r="E176" s="19"/>
      <c r="F176" s="14"/>
      <c r="G176" s="10"/>
      <c r="H176" s="10"/>
      <c r="I176" s="26" t="str">
        <f aca="false">IF(A176&amp;B176="","",IF(ISNA(MATCH(A176,lst_Profil,0)),"FEHLER: Profil unbekannt",IF(ISNA(MATCH(B176,lst_Werkstoff,0)),"FEHLER: Werkstoff unbekannt",IF(COUNTIFS($A$5:$A$304,A176,$B$5:$B$304,B176)&gt;1,"FEHLER: doppelt",IF(OR(C176="",D176=""),"FEHLER: Preis unvollständig",IF(AND(C176="€/Stange",E176=""),"FEHLER: Stangenlänge fehlt","OK"))))))</f>
        <v/>
      </c>
    </row>
    <row r="177" customFormat="false" ht="15" hidden="false" customHeight="false" outlineLevel="0" collapsed="false">
      <c r="A177" s="10"/>
      <c r="B177" s="10"/>
      <c r="C177" s="10"/>
      <c r="D177" s="32"/>
      <c r="E177" s="19"/>
      <c r="F177" s="14"/>
      <c r="G177" s="10"/>
      <c r="H177" s="10"/>
      <c r="I177" s="26" t="str">
        <f aca="false">IF(A177&amp;B177="","",IF(ISNA(MATCH(A177,lst_Profil,0)),"FEHLER: Profil unbekannt",IF(ISNA(MATCH(B177,lst_Werkstoff,0)),"FEHLER: Werkstoff unbekannt",IF(COUNTIFS($A$5:$A$304,A177,$B$5:$B$304,B177)&gt;1,"FEHLER: doppelt",IF(OR(C177="",D177=""),"FEHLER: Preis unvollständig",IF(AND(C177="€/Stange",E177=""),"FEHLER: Stangenlänge fehlt","OK"))))))</f>
        <v/>
      </c>
    </row>
    <row r="178" customFormat="false" ht="15" hidden="false" customHeight="false" outlineLevel="0" collapsed="false">
      <c r="A178" s="10"/>
      <c r="B178" s="10"/>
      <c r="C178" s="10"/>
      <c r="D178" s="32"/>
      <c r="E178" s="19"/>
      <c r="F178" s="14"/>
      <c r="G178" s="10"/>
      <c r="H178" s="10"/>
      <c r="I178" s="26" t="str">
        <f aca="false">IF(A178&amp;B178="","",IF(ISNA(MATCH(A178,lst_Profil,0)),"FEHLER: Profil unbekannt",IF(ISNA(MATCH(B178,lst_Werkstoff,0)),"FEHLER: Werkstoff unbekannt",IF(COUNTIFS($A$5:$A$304,A178,$B$5:$B$304,B178)&gt;1,"FEHLER: doppelt",IF(OR(C178="",D178=""),"FEHLER: Preis unvollständig",IF(AND(C178="€/Stange",E178=""),"FEHLER: Stangenlänge fehlt","OK"))))))</f>
        <v/>
      </c>
    </row>
    <row r="179" customFormat="false" ht="15" hidden="false" customHeight="false" outlineLevel="0" collapsed="false">
      <c r="A179" s="10"/>
      <c r="B179" s="10"/>
      <c r="C179" s="10"/>
      <c r="D179" s="32"/>
      <c r="E179" s="19"/>
      <c r="F179" s="14"/>
      <c r="G179" s="10"/>
      <c r="H179" s="10"/>
      <c r="I179" s="26" t="str">
        <f aca="false">IF(A179&amp;B179="","",IF(ISNA(MATCH(A179,lst_Profil,0)),"FEHLER: Profil unbekannt",IF(ISNA(MATCH(B179,lst_Werkstoff,0)),"FEHLER: Werkstoff unbekannt",IF(COUNTIFS($A$5:$A$304,A179,$B$5:$B$304,B179)&gt;1,"FEHLER: doppelt",IF(OR(C179="",D179=""),"FEHLER: Preis unvollständig",IF(AND(C179="€/Stange",E179=""),"FEHLER: Stangenlänge fehlt","OK"))))))</f>
        <v/>
      </c>
    </row>
    <row r="180" customFormat="false" ht="15" hidden="false" customHeight="false" outlineLevel="0" collapsed="false">
      <c r="A180" s="10"/>
      <c r="B180" s="10"/>
      <c r="C180" s="10"/>
      <c r="D180" s="32"/>
      <c r="E180" s="19"/>
      <c r="F180" s="14"/>
      <c r="G180" s="10"/>
      <c r="H180" s="10"/>
      <c r="I180" s="26" t="str">
        <f aca="false">IF(A180&amp;B180="","",IF(ISNA(MATCH(A180,lst_Profil,0)),"FEHLER: Profil unbekannt",IF(ISNA(MATCH(B180,lst_Werkstoff,0)),"FEHLER: Werkstoff unbekannt",IF(COUNTIFS($A$5:$A$304,A180,$B$5:$B$304,B180)&gt;1,"FEHLER: doppelt",IF(OR(C180="",D180=""),"FEHLER: Preis unvollständig",IF(AND(C180="€/Stange",E180=""),"FEHLER: Stangenlänge fehlt","OK"))))))</f>
        <v/>
      </c>
    </row>
    <row r="181" customFormat="false" ht="15" hidden="false" customHeight="false" outlineLevel="0" collapsed="false">
      <c r="A181" s="10"/>
      <c r="B181" s="10"/>
      <c r="C181" s="10"/>
      <c r="D181" s="32"/>
      <c r="E181" s="19"/>
      <c r="F181" s="14"/>
      <c r="G181" s="10"/>
      <c r="H181" s="10"/>
      <c r="I181" s="26" t="str">
        <f aca="false">IF(A181&amp;B181="","",IF(ISNA(MATCH(A181,lst_Profil,0)),"FEHLER: Profil unbekannt",IF(ISNA(MATCH(B181,lst_Werkstoff,0)),"FEHLER: Werkstoff unbekannt",IF(COUNTIFS($A$5:$A$304,A181,$B$5:$B$304,B181)&gt;1,"FEHLER: doppelt",IF(OR(C181="",D181=""),"FEHLER: Preis unvollständig",IF(AND(C181="€/Stange",E181=""),"FEHLER: Stangenlänge fehlt","OK"))))))</f>
        <v/>
      </c>
    </row>
    <row r="182" customFormat="false" ht="15" hidden="false" customHeight="false" outlineLevel="0" collapsed="false">
      <c r="A182" s="10"/>
      <c r="B182" s="10"/>
      <c r="C182" s="10"/>
      <c r="D182" s="32"/>
      <c r="E182" s="19"/>
      <c r="F182" s="14"/>
      <c r="G182" s="10"/>
      <c r="H182" s="10"/>
      <c r="I182" s="26" t="str">
        <f aca="false">IF(A182&amp;B182="","",IF(ISNA(MATCH(A182,lst_Profil,0)),"FEHLER: Profil unbekannt",IF(ISNA(MATCH(B182,lst_Werkstoff,0)),"FEHLER: Werkstoff unbekannt",IF(COUNTIFS($A$5:$A$304,A182,$B$5:$B$304,B182)&gt;1,"FEHLER: doppelt",IF(OR(C182="",D182=""),"FEHLER: Preis unvollständig",IF(AND(C182="€/Stange",E182=""),"FEHLER: Stangenlänge fehlt","OK"))))))</f>
        <v/>
      </c>
    </row>
    <row r="183" customFormat="false" ht="15" hidden="false" customHeight="false" outlineLevel="0" collapsed="false">
      <c r="A183" s="10"/>
      <c r="B183" s="10"/>
      <c r="C183" s="10"/>
      <c r="D183" s="32"/>
      <c r="E183" s="19"/>
      <c r="F183" s="14"/>
      <c r="G183" s="10"/>
      <c r="H183" s="10"/>
      <c r="I183" s="26" t="str">
        <f aca="false">IF(A183&amp;B183="","",IF(ISNA(MATCH(A183,lst_Profil,0)),"FEHLER: Profil unbekannt",IF(ISNA(MATCH(B183,lst_Werkstoff,0)),"FEHLER: Werkstoff unbekannt",IF(COUNTIFS($A$5:$A$304,A183,$B$5:$B$304,B183)&gt;1,"FEHLER: doppelt",IF(OR(C183="",D183=""),"FEHLER: Preis unvollständig",IF(AND(C183="€/Stange",E183=""),"FEHLER: Stangenlänge fehlt","OK"))))))</f>
        <v/>
      </c>
    </row>
    <row r="184" customFormat="false" ht="15" hidden="false" customHeight="false" outlineLevel="0" collapsed="false">
      <c r="A184" s="10"/>
      <c r="B184" s="10"/>
      <c r="C184" s="10"/>
      <c r="D184" s="32"/>
      <c r="E184" s="19"/>
      <c r="F184" s="14"/>
      <c r="G184" s="10"/>
      <c r="H184" s="10"/>
      <c r="I184" s="26" t="str">
        <f aca="false">IF(A184&amp;B184="","",IF(ISNA(MATCH(A184,lst_Profil,0)),"FEHLER: Profil unbekannt",IF(ISNA(MATCH(B184,lst_Werkstoff,0)),"FEHLER: Werkstoff unbekannt",IF(COUNTIFS($A$5:$A$304,A184,$B$5:$B$304,B184)&gt;1,"FEHLER: doppelt",IF(OR(C184="",D184=""),"FEHLER: Preis unvollständig",IF(AND(C184="€/Stange",E184=""),"FEHLER: Stangenlänge fehlt","OK"))))))</f>
        <v/>
      </c>
    </row>
    <row r="185" customFormat="false" ht="15" hidden="false" customHeight="false" outlineLevel="0" collapsed="false">
      <c r="A185" s="10"/>
      <c r="B185" s="10"/>
      <c r="C185" s="10"/>
      <c r="D185" s="32"/>
      <c r="E185" s="19"/>
      <c r="F185" s="14"/>
      <c r="G185" s="10"/>
      <c r="H185" s="10"/>
      <c r="I185" s="26" t="str">
        <f aca="false">IF(A185&amp;B185="","",IF(ISNA(MATCH(A185,lst_Profil,0)),"FEHLER: Profil unbekannt",IF(ISNA(MATCH(B185,lst_Werkstoff,0)),"FEHLER: Werkstoff unbekannt",IF(COUNTIFS($A$5:$A$304,A185,$B$5:$B$304,B185)&gt;1,"FEHLER: doppelt",IF(OR(C185="",D185=""),"FEHLER: Preis unvollständig",IF(AND(C185="€/Stange",E185=""),"FEHLER: Stangenlänge fehlt","OK"))))))</f>
        <v/>
      </c>
    </row>
    <row r="186" customFormat="false" ht="15" hidden="false" customHeight="false" outlineLevel="0" collapsed="false">
      <c r="A186" s="10"/>
      <c r="B186" s="10"/>
      <c r="C186" s="10"/>
      <c r="D186" s="32"/>
      <c r="E186" s="19"/>
      <c r="F186" s="14"/>
      <c r="G186" s="10"/>
      <c r="H186" s="10"/>
      <c r="I186" s="26" t="str">
        <f aca="false">IF(A186&amp;B186="","",IF(ISNA(MATCH(A186,lst_Profil,0)),"FEHLER: Profil unbekannt",IF(ISNA(MATCH(B186,lst_Werkstoff,0)),"FEHLER: Werkstoff unbekannt",IF(COUNTIFS($A$5:$A$304,A186,$B$5:$B$304,B186)&gt;1,"FEHLER: doppelt",IF(OR(C186="",D186=""),"FEHLER: Preis unvollständig",IF(AND(C186="€/Stange",E186=""),"FEHLER: Stangenlänge fehlt","OK"))))))</f>
        <v/>
      </c>
    </row>
    <row r="187" customFormat="false" ht="15" hidden="false" customHeight="false" outlineLevel="0" collapsed="false">
      <c r="A187" s="10"/>
      <c r="B187" s="10"/>
      <c r="C187" s="10"/>
      <c r="D187" s="32"/>
      <c r="E187" s="19"/>
      <c r="F187" s="14"/>
      <c r="G187" s="10"/>
      <c r="H187" s="10"/>
      <c r="I187" s="26" t="str">
        <f aca="false">IF(A187&amp;B187="","",IF(ISNA(MATCH(A187,lst_Profil,0)),"FEHLER: Profil unbekannt",IF(ISNA(MATCH(B187,lst_Werkstoff,0)),"FEHLER: Werkstoff unbekannt",IF(COUNTIFS($A$5:$A$304,A187,$B$5:$B$304,B187)&gt;1,"FEHLER: doppelt",IF(OR(C187="",D187=""),"FEHLER: Preis unvollständig",IF(AND(C187="€/Stange",E187=""),"FEHLER: Stangenlänge fehlt","OK"))))))</f>
        <v/>
      </c>
    </row>
    <row r="188" customFormat="false" ht="15" hidden="false" customHeight="false" outlineLevel="0" collapsed="false">
      <c r="A188" s="10"/>
      <c r="B188" s="10"/>
      <c r="C188" s="10"/>
      <c r="D188" s="32"/>
      <c r="E188" s="19"/>
      <c r="F188" s="14"/>
      <c r="G188" s="10"/>
      <c r="H188" s="10"/>
      <c r="I188" s="26" t="str">
        <f aca="false">IF(A188&amp;B188="","",IF(ISNA(MATCH(A188,lst_Profil,0)),"FEHLER: Profil unbekannt",IF(ISNA(MATCH(B188,lst_Werkstoff,0)),"FEHLER: Werkstoff unbekannt",IF(COUNTIFS($A$5:$A$304,A188,$B$5:$B$304,B188)&gt;1,"FEHLER: doppelt",IF(OR(C188="",D188=""),"FEHLER: Preis unvollständig",IF(AND(C188="€/Stange",E188=""),"FEHLER: Stangenlänge fehlt","OK"))))))</f>
        <v/>
      </c>
    </row>
    <row r="189" customFormat="false" ht="15" hidden="false" customHeight="false" outlineLevel="0" collapsed="false">
      <c r="A189" s="10"/>
      <c r="B189" s="10"/>
      <c r="C189" s="10"/>
      <c r="D189" s="32"/>
      <c r="E189" s="19"/>
      <c r="F189" s="14"/>
      <c r="G189" s="10"/>
      <c r="H189" s="10"/>
      <c r="I189" s="26" t="str">
        <f aca="false">IF(A189&amp;B189="","",IF(ISNA(MATCH(A189,lst_Profil,0)),"FEHLER: Profil unbekannt",IF(ISNA(MATCH(B189,lst_Werkstoff,0)),"FEHLER: Werkstoff unbekannt",IF(COUNTIFS($A$5:$A$304,A189,$B$5:$B$304,B189)&gt;1,"FEHLER: doppelt",IF(OR(C189="",D189=""),"FEHLER: Preis unvollständig",IF(AND(C189="€/Stange",E189=""),"FEHLER: Stangenlänge fehlt","OK"))))))</f>
        <v/>
      </c>
    </row>
    <row r="190" customFormat="false" ht="15" hidden="false" customHeight="false" outlineLevel="0" collapsed="false">
      <c r="A190" s="10"/>
      <c r="B190" s="10"/>
      <c r="C190" s="10"/>
      <c r="D190" s="32"/>
      <c r="E190" s="19"/>
      <c r="F190" s="14"/>
      <c r="G190" s="10"/>
      <c r="H190" s="10"/>
      <c r="I190" s="26" t="str">
        <f aca="false">IF(A190&amp;B190="","",IF(ISNA(MATCH(A190,lst_Profil,0)),"FEHLER: Profil unbekannt",IF(ISNA(MATCH(B190,lst_Werkstoff,0)),"FEHLER: Werkstoff unbekannt",IF(COUNTIFS($A$5:$A$304,A190,$B$5:$B$304,B190)&gt;1,"FEHLER: doppelt",IF(OR(C190="",D190=""),"FEHLER: Preis unvollständig",IF(AND(C190="€/Stange",E190=""),"FEHLER: Stangenlänge fehlt","OK"))))))</f>
        <v/>
      </c>
    </row>
    <row r="191" customFormat="false" ht="15" hidden="false" customHeight="false" outlineLevel="0" collapsed="false">
      <c r="A191" s="10"/>
      <c r="B191" s="10"/>
      <c r="C191" s="10"/>
      <c r="D191" s="32"/>
      <c r="E191" s="19"/>
      <c r="F191" s="14"/>
      <c r="G191" s="10"/>
      <c r="H191" s="10"/>
      <c r="I191" s="26" t="str">
        <f aca="false">IF(A191&amp;B191="","",IF(ISNA(MATCH(A191,lst_Profil,0)),"FEHLER: Profil unbekannt",IF(ISNA(MATCH(B191,lst_Werkstoff,0)),"FEHLER: Werkstoff unbekannt",IF(COUNTIFS($A$5:$A$304,A191,$B$5:$B$304,B191)&gt;1,"FEHLER: doppelt",IF(OR(C191="",D191=""),"FEHLER: Preis unvollständig",IF(AND(C191="€/Stange",E191=""),"FEHLER: Stangenlänge fehlt","OK"))))))</f>
        <v/>
      </c>
    </row>
    <row r="192" customFormat="false" ht="15" hidden="false" customHeight="false" outlineLevel="0" collapsed="false">
      <c r="A192" s="10"/>
      <c r="B192" s="10"/>
      <c r="C192" s="10"/>
      <c r="D192" s="32"/>
      <c r="E192" s="19"/>
      <c r="F192" s="14"/>
      <c r="G192" s="10"/>
      <c r="H192" s="10"/>
      <c r="I192" s="26" t="str">
        <f aca="false">IF(A192&amp;B192="","",IF(ISNA(MATCH(A192,lst_Profil,0)),"FEHLER: Profil unbekannt",IF(ISNA(MATCH(B192,lst_Werkstoff,0)),"FEHLER: Werkstoff unbekannt",IF(COUNTIFS($A$5:$A$304,A192,$B$5:$B$304,B192)&gt;1,"FEHLER: doppelt",IF(OR(C192="",D192=""),"FEHLER: Preis unvollständig",IF(AND(C192="€/Stange",E192=""),"FEHLER: Stangenlänge fehlt","OK"))))))</f>
        <v/>
      </c>
    </row>
    <row r="193" customFormat="false" ht="15" hidden="false" customHeight="false" outlineLevel="0" collapsed="false">
      <c r="A193" s="10"/>
      <c r="B193" s="10"/>
      <c r="C193" s="10"/>
      <c r="D193" s="32"/>
      <c r="E193" s="19"/>
      <c r="F193" s="14"/>
      <c r="G193" s="10"/>
      <c r="H193" s="10"/>
      <c r="I193" s="26" t="str">
        <f aca="false">IF(A193&amp;B193="","",IF(ISNA(MATCH(A193,lst_Profil,0)),"FEHLER: Profil unbekannt",IF(ISNA(MATCH(B193,lst_Werkstoff,0)),"FEHLER: Werkstoff unbekannt",IF(COUNTIFS($A$5:$A$304,A193,$B$5:$B$304,B193)&gt;1,"FEHLER: doppelt",IF(OR(C193="",D193=""),"FEHLER: Preis unvollständig",IF(AND(C193="€/Stange",E193=""),"FEHLER: Stangenlänge fehlt","OK"))))))</f>
        <v/>
      </c>
    </row>
    <row r="194" customFormat="false" ht="15" hidden="false" customHeight="false" outlineLevel="0" collapsed="false">
      <c r="A194" s="10"/>
      <c r="B194" s="10"/>
      <c r="C194" s="10"/>
      <c r="D194" s="32"/>
      <c r="E194" s="19"/>
      <c r="F194" s="14"/>
      <c r="G194" s="10"/>
      <c r="H194" s="10"/>
      <c r="I194" s="26" t="str">
        <f aca="false">IF(A194&amp;B194="","",IF(ISNA(MATCH(A194,lst_Profil,0)),"FEHLER: Profil unbekannt",IF(ISNA(MATCH(B194,lst_Werkstoff,0)),"FEHLER: Werkstoff unbekannt",IF(COUNTIFS($A$5:$A$304,A194,$B$5:$B$304,B194)&gt;1,"FEHLER: doppelt",IF(OR(C194="",D194=""),"FEHLER: Preis unvollständig",IF(AND(C194="€/Stange",E194=""),"FEHLER: Stangenlänge fehlt","OK"))))))</f>
        <v/>
      </c>
    </row>
    <row r="195" customFormat="false" ht="15" hidden="false" customHeight="false" outlineLevel="0" collapsed="false">
      <c r="A195" s="10"/>
      <c r="B195" s="10"/>
      <c r="C195" s="10"/>
      <c r="D195" s="32"/>
      <c r="E195" s="19"/>
      <c r="F195" s="14"/>
      <c r="G195" s="10"/>
      <c r="H195" s="10"/>
      <c r="I195" s="26" t="str">
        <f aca="false">IF(A195&amp;B195="","",IF(ISNA(MATCH(A195,lst_Profil,0)),"FEHLER: Profil unbekannt",IF(ISNA(MATCH(B195,lst_Werkstoff,0)),"FEHLER: Werkstoff unbekannt",IF(COUNTIFS($A$5:$A$304,A195,$B$5:$B$304,B195)&gt;1,"FEHLER: doppelt",IF(OR(C195="",D195=""),"FEHLER: Preis unvollständig",IF(AND(C195="€/Stange",E195=""),"FEHLER: Stangenlänge fehlt","OK"))))))</f>
        <v/>
      </c>
    </row>
    <row r="196" customFormat="false" ht="15" hidden="false" customHeight="false" outlineLevel="0" collapsed="false">
      <c r="A196" s="10"/>
      <c r="B196" s="10"/>
      <c r="C196" s="10"/>
      <c r="D196" s="32"/>
      <c r="E196" s="19"/>
      <c r="F196" s="14"/>
      <c r="G196" s="10"/>
      <c r="H196" s="10"/>
      <c r="I196" s="26" t="str">
        <f aca="false">IF(A196&amp;B196="","",IF(ISNA(MATCH(A196,lst_Profil,0)),"FEHLER: Profil unbekannt",IF(ISNA(MATCH(B196,lst_Werkstoff,0)),"FEHLER: Werkstoff unbekannt",IF(COUNTIFS($A$5:$A$304,A196,$B$5:$B$304,B196)&gt;1,"FEHLER: doppelt",IF(OR(C196="",D196=""),"FEHLER: Preis unvollständig",IF(AND(C196="€/Stange",E196=""),"FEHLER: Stangenlänge fehlt","OK"))))))</f>
        <v/>
      </c>
    </row>
    <row r="197" customFormat="false" ht="15" hidden="false" customHeight="false" outlineLevel="0" collapsed="false">
      <c r="A197" s="10"/>
      <c r="B197" s="10"/>
      <c r="C197" s="10"/>
      <c r="D197" s="32"/>
      <c r="E197" s="19"/>
      <c r="F197" s="14"/>
      <c r="G197" s="10"/>
      <c r="H197" s="10"/>
      <c r="I197" s="26" t="str">
        <f aca="false">IF(A197&amp;B197="","",IF(ISNA(MATCH(A197,lst_Profil,0)),"FEHLER: Profil unbekannt",IF(ISNA(MATCH(B197,lst_Werkstoff,0)),"FEHLER: Werkstoff unbekannt",IF(COUNTIFS($A$5:$A$304,A197,$B$5:$B$304,B197)&gt;1,"FEHLER: doppelt",IF(OR(C197="",D197=""),"FEHLER: Preis unvollständig",IF(AND(C197="€/Stange",E197=""),"FEHLER: Stangenlänge fehlt","OK"))))))</f>
        <v/>
      </c>
    </row>
    <row r="198" customFormat="false" ht="15" hidden="false" customHeight="false" outlineLevel="0" collapsed="false">
      <c r="A198" s="10"/>
      <c r="B198" s="10"/>
      <c r="C198" s="10"/>
      <c r="D198" s="32"/>
      <c r="E198" s="19"/>
      <c r="F198" s="14"/>
      <c r="G198" s="10"/>
      <c r="H198" s="10"/>
      <c r="I198" s="26" t="str">
        <f aca="false">IF(A198&amp;B198="","",IF(ISNA(MATCH(A198,lst_Profil,0)),"FEHLER: Profil unbekannt",IF(ISNA(MATCH(B198,lst_Werkstoff,0)),"FEHLER: Werkstoff unbekannt",IF(COUNTIFS($A$5:$A$304,A198,$B$5:$B$304,B198)&gt;1,"FEHLER: doppelt",IF(OR(C198="",D198=""),"FEHLER: Preis unvollständig",IF(AND(C198="€/Stange",E198=""),"FEHLER: Stangenlänge fehlt","OK"))))))</f>
        <v/>
      </c>
    </row>
    <row r="199" customFormat="false" ht="15" hidden="false" customHeight="false" outlineLevel="0" collapsed="false">
      <c r="A199" s="10"/>
      <c r="B199" s="10"/>
      <c r="C199" s="10"/>
      <c r="D199" s="32"/>
      <c r="E199" s="19"/>
      <c r="F199" s="14"/>
      <c r="G199" s="10"/>
      <c r="H199" s="10"/>
      <c r="I199" s="26" t="str">
        <f aca="false">IF(A199&amp;B199="","",IF(ISNA(MATCH(A199,lst_Profil,0)),"FEHLER: Profil unbekannt",IF(ISNA(MATCH(B199,lst_Werkstoff,0)),"FEHLER: Werkstoff unbekannt",IF(COUNTIFS($A$5:$A$304,A199,$B$5:$B$304,B199)&gt;1,"FEHLER: doppelt",IF(OR(C199="",D199=""),"FEHLER: Preis unvollständig",IF(AND(C199="€/Stange",E199=""),"FEHLER: Stangenlänge fehlt","OK"))))))</f>
        <v/>
      </c>
    </row>
    <row r="200" customFormat="false" ht="15" hidden="false" customHeight="false" outlineLevel="0" collapsed="false">
      <c r="A200" s="10"/>
      <c r="B200" s="10"/>
      <c r="C200" s="10"/>
      <c r="D200" s="32"/>
      <c r="E200" s="19"/>
      <c r="F200" s="14"/>
      <c r="G200" s="10"/>
      <c r="H200" s="10"/>
      <c r="I200" s="26" t="str">
        <f aca="false">IF(A200&amp;B200="","",IF(ISNA(MATCH(A200,lst_Profil,0)),"FEHLER: Profil unbekannt",IF(ISNA(MATCH(B200,lst_Werkstoff,0)),"FEHLER: Werkstoff unbekannt",IF(COUNTIFS($A$5:$A$304,A200,$B$5:$B$304,B200)&gt;1,"FEHLER: doppelt",IF(OR(C200="",D200=""),"FEHLER: Preis unvollständig",IF(AND(C200="€/Stange",E200=""),"FEHLER: Stangenlänge fehlt","OK"))))))</f>
        <v/>
      </c>
    </row>
    <row r="201" customFormat="false" ht="15" hidden="false" customHeight="false" outlineLevel="0" collapsed="false">
      <c r="A201" s="10"/>
      <c r="B201" s="10"/>
      <c r="C201" s="10"/>
      <c r="D201" s="32"/>
      <c r="E201" s="19"/>
      <c r="F201" s="14"/>
      <c r="G201" s="10"/>
      <c r="H201" s="10"/>
      <c r="I201" s="26" t="str">
        <f aca="false">IF(A201&amp;B201="","",IF(ISNA(MATCH(A201,lst_Profil,0)),"FEHLER: Profil unbekannt",IF(ISNA(MATCH(B201,lst_Werkstoff,0)),"FEHLER: Werkstoff unbekannt",IF(COUNTIFS($A$5:$A$304,A201,$B$5:$B$304,B201)&gt;1,"FEHLER: doppelt",IF(OR(C201="",D201=""),"FEHLER: Preis unvollständig",IF(AND(C201="€/Stange",E201=""),"FEHLER: Stangenlänge fehlt","OK"))))))</f>
        <v/>
      </c>
    </row>
    <row r="202" customFormat="false" ht="15" hidden="false" customHeight="false" outlineLevel="0" collapsed="false">
      <c r="A202" s="10"/>
      <c r="B202" s="10"/>
      <c r="C202" s="10"/>
      <c r="D202" s="32"/>
      <c r="E202" s="19"/>
      <c r="F202" s="14"/>
      <c r="G202" s="10"/>
      <c r="H202" s="10"/>
      <c r="I202" s="26" t="str">
        <f aca="false">IF(A202&amp;B202="","",IF(ISNA(MATCH(A202,lst_Profil,0)),"FEHLER: Profil unbekannt",IF(ISNA(MATCH(B202,lst_Werkstoff,0)),"FEHLER: Werkstoff unbekannt",IF(COUNTIFS($A$5:$A$304,A202,$B$5:$B$304,B202)&gt;1,"FEHLER: doppelt",IF(OR(C202="",D202=""),"FEHLER: Preis unvollständig",IF(AND(C202="€/Stange",E202=""),"FEHLER: Stangenlänge fehlt","OK"))))))</f>
        <v/>
      </c>
    </row>
    <row r="203" customFormat="false" ht="15" hidden="false" customHeight="false" outlineLevel="0" collapsed="false">
      <c r="A203" s="10"/>
      <c r="B203" s="10"/>
      <c r="C203" s="10"/>
      <c r="D203" s="32"/>
      <c r="E203" s="19"/>
      <c r="F203" s="14"/>
      <c r="G203" s="10"/>
      <c r="H203" s="10"/>
      <c r="I203" s="26" t="str">
        <f aca="false">IF(A203&amp;B203="","",IF(ISNA(MATCH(A203,lst_Profil,0)),"FEHLER: Profil unbekannt",IF(ISNA(MATCH(B203,lst_Werkstoff,0)),"FEHLER: Werkstoff unbekannt",IF(COUNTIFS($A$5:$A$304,A203,$B$5:$B$304,B203)&gt;1,"FEHLER: doppelt",IF(OR(C203="",D203=""),"FEHLER: Preis unvollständig",IF(AND(C203="€/Stange",E203=""),"FEHLER: Stangenlänge fehlt","OK"))))))</f>
        <v/>
      </c>
    </row>
    <row r="204" customFormat="false" ht="15" hidden="false" customHeight="false" outlineLevel="0" collapsed="false">
      <c r="A204" s="10"/>
      <c r="B204" s="10"/>
      <c r="C204" s="10"/>
      <c r="D204" s="32"/>
      <c r="E204" s="19"/>
      <c r="F204" s="14"/>
      <c r="G204" s="10"/>
      <c r="H204" s="10"/>
      <c r="I204" s="26" t="str">
        <f aca="false">IF(A204&amp;B204="","",IF(ISNA(MATCH(A204,lst_Profil,0)),"FEHLER: Profil unbekannt",IF(ISNA(MATCH(B204,lst_Werkstoff,0)),"FEHLER: Werkstoff unbekannt",IF(COUNTIFS($A$5:$A$304,A204,$B$5:$B$304,B204)&gt;1,"FEHLER: doppelt",IF(OR(C204="",D204=""),"FEHLER: Preis unvollständig",IF(AND(C204="€/Stange",E204=""),"FEHLER: Stangenlänge fehlt","OK"))))))</f>
        <v/>
      </c>
    </row>
    <row r="205" customFormat="false" ht="15" hidden="false" customHeight="false" outlineLevel="0" collapsed="false">
      <c r="A205" s="10"/>
      <c r="B205" s="10"/>
      <c r="C205" s="10"/>
      <c r="D205" s="32"/>
      <c r="E205" s="19"/>
      <c r="F205" s="14"/>
      <c r="G205" s="10"/>
      <c r="H205" s="10"/>
      <c r="I205" s="26" t="str">
        <f aca="false">IF(A205&amp;B205="","",IF(ISNA(MATCH(A205,lst_Profil,0)),"FEHLER: Profil unbekannt",IF(ISNA(MATCH(B205,lst_Werkstoff,0)),"FEHLER: Werkstoff unbekannt",IF(COUNTIFS($A$5:$A$304,A205,$B$5:$B$304,B205)&gt;1,"FEHLER: doppelt",IF(OR(C205="",D205=""),"FEHLER: Preis unvollständig",IF(AND(C205="€/Stange",E205=""),"FEHLER: Stangenlänge fehlt","OK"))))))</f>
        <v/>
      </c>
    </row>
    <row r="206" customFormat="false" ht="15" hidden="false" customHeight="false" outlineLevel="0" collapsed="false">
      <c r="A206" s="10"/>
      <c r="B206" s="10"/>
      <c r="C206" s="10"/>
      <c r="D206" s="32"/>
      <c r="E206" s="19"/>
      <c r="F206" s="14"/>
      <c r="G206" s="10"/>
      <c r="H206" s="10"/>
      <c r="I206" s="26" t="str">
        <f aca="false">IF(A206&amp;B206="","",IF(ISNA(MATCH(A206,lst_Profil,0)),"FEHLER: Profil unbekannt",IF(ISNA(MATCH(B206,lst_Werkstoff,0)),"FEHLER: Werkstoff unbekannt",IF(COUNTIFS($A$5:$A$304,A206,$B$5:$B$304,B206)&gt;1,"FEHLER: doppelt",IF(OR(C206="",D206=""),"FEHLER: Preis unvollständig",IF(AND(C206="€/Stange",E206=""),"FEHLER: Stangenlänge fehlt","OK"))))))</f>
        <v/>
      </c>
    </row>
    <row r="207" customFormat="false" ht="15" hidden="false" customHeight="false" outlineLevel="0" collapsed="false">
      <c r="A207" s="10"/>
      <c r="B207" s="10"/>
      <c r="C207" s="10"/>
      <c r="D207" s="32"/>
      <c r="E207" s="19"/>
      <c r="F207" s="14"/>
      <c r="G207" s="10"/>
      <c r="H207" s="10"/>
      <c r="I207" s="26" t="str">
        <f aca="false">IF(A207&amp;B207="","",IF(ISNA(MATCH(A207,lst_Profil,0)),"FEHLER: Profil unbekannt",IF(ISNA(MATCH(B207,lst_Werkstoff,0)),"FEHLER: Werkstoff unbekannt",IF(COUNTIFS($A$5:$A$304,A207,$B$5:$B$304,B207)&gt;1,"FEHLER: doppelt",IF(OR(C207="",D207=""),"FEHLER: Preis unvollständig",IF(AND(C207="€/Stange",E207=""),"FEHLER: Stangenlänge fehlt","OK"))))))</f>
        <v/>
      </c>
    </row>
    <row r="208" customFormat="false" ht="15" hidden="false" customHeight="false" outlineLevel="0" collapsed="false">
      <c r="A208" s="10"/>
      <c r="B208" s="10"/>
      <c r="C208" s="10"/>
      <c r="D208" s="32"/>
      <c r="E208" s="19"/>
      <c r="F208" s="14"/>
      <c r="G208" s="10"/>
      <c r="H208" s="10"/>
      <c r="I208" s="26" t="str">
        <f aca="false">IF(A208&amp;B208="","",IF(ISNA(MATCH(A208,lst_Profil,0)),"FEHLER: Profil unbekannt",IF(ISNA(MATCH(B208,lst_Werkstoff,0)),"FEHLER: Werkstoff unbekannt",IF(COUNTIFS($A$5:$A$304,A208,$B$5:$B$304,B208)&gt;1,"FEHLER: doppelt",IF(OR(C208="",D208=""),"FEHLER: Preis unvollständig",IF(AND(C208="€/Stange",E208=""),"FEHLER: Stangenlänge fehlt","OK"))))))</f>
        <v/>
      </c>
    </row>
    <row r="209" customFormat="false" ht="15" hidden="false" customHeight="false" outlineLevel="0" collapsed="false">
      <c r="A209" s="10"/>
      <c r="B209" s="10"/>
      <c r="C209" s="10"/>
      <c r="D209" s="32"/>
      <c r="E209" s="19"/>
      <c r="F209" s="14"/>
      <c r="G209" s="10"/>
      <c r="H209" s="10"/>
      <c r="I209" s="26" t="str">
        <f aca="false">IF(A209&amp;B209="","",IF(ISNA(MATCH(A209,lst_Profil,0)),"FEHLER: Profil unbekannt",IF(ISNA(MATCH(B209,lst_Werkstoff,0)),"FEHLER: Werkstoff unbekannt",IF(COUNTIFS($A$5:$A$304,A209,$B$5:$B$304,B209)&gt;1,"FEHLER: doppelt",IF(OR(C209="",D209=""),"FEHLER: Preis unvollständig",IF(AND(C209="€/Stange",E209=""),"FEHLER: Stangenlänge fehlt","OK"))))))</f>
        <v/>
      </c>
    </row>
    <row r="210" customFormat="false" ht="15" hidden="false" customHeight="false" outlineLevel="0" collapsed="false">
      <c r="A210" s="10"/>
      <c r="B210" s="10"/>
      <c r="C210" s="10"/>
      <c r="D210" s="32"/>
      <c r="E210" s="19"/>
      <c r="F210" s="14"/>
      <c r="G210" s="10"/>
      <c r="H210" s="10"/>
      <c r="I210" s="26" t="str">
        <f aca="false">IF(A210&amp;B210="","",IF(ISNA(MATCH(A210,lst_Profil,0)),"FEHLER: Profil unbekannt",IF(ISNA(MATCH(B210,lst_Werkstoff,0)),"FEHLER: Werkstoff unbekannt",IF(COUNTIFS($A$5:$A$304,A210,$B$5:$B$304,B210)&gt;1,"FEHLER: doppelt",IF(OR(C210="",D210=""),"FEHLER: Preis unvollständig",IF(AND(C210="€/Stange",E210=""),"FEHLER: Stangenlänge fehlt","OK"))))))</f>
        <v/>
      </c>
    </row>
    <row r="211" customFormat="false" ht="15" hidden="false" customHeight="false" outlineLevel="0" collapsed="false">
      <c r="A211" s="10"/>
      <c r="B211" s="10"/>
      <c r="C211" s="10"/>
      <c r="D211" s="32"/>
      <c r="E211" s="19"/>
      <c r="F211" s="14"/>
      <c r="G211" s="10"/>
      <c r="H211" s="10"/>
      <c r="I211" s="26" t="str">
        <f aca="false">IF(A211&amp;B211="","",IF(ISNA(MATCH(A211,lst_Profil,0)),"FEHLER: Profil unbekannt",IF(ISNA(MATCH(B211,lst_Werkstoff,0)),"FEHLER: Werkstoff unbekannt",IF(COUNTIFS($A$5:$A$304,A211,$B$5:$B$304,B211)&gt;1,"FEHLER: doppelt",IF(OR(C211="",D211=""),"FEHLER: Preis unvollständig",IF(AND(C211="€/Stange",E211=""),"FEHLER: Stangenlänge fehlt","OK"))))))</f>
        <v/>
      </c>
    </row>
    <row r="212" customFormat="false" ht="15" hidden="false" customHeight="false" outlineLevel="0" collapsed="false">
      <c r="A212" s="10"/>
      <c r="B212" s="10"/>
      <c r="C212" s="10"/>
      <c r="D212" s="32"/>
      <c r="E212" s="19"/>
      <c r="F212" s="14"/>
      <c r="G212" s="10"/>
      <c r="H212" s="10"/>
      <c r="I212" s="26" t="str">
        <f aca="false">IF(A212&amp;B212="","",IF(ISNA(MATCH(A212,lst_Profil,0)),"FEHLER: Profil unbekannt",IF(ISNA(MATCH(B212,lst_Werkstoff,0)),"FEHLER: Werkstoff unbekannt",IF(COUNTIFS($A$5:$A$304,A212,$B$5:$B$304,B212)&gt;1,"FEHLER: doppelt",IF(OR(C212="",D212=""),"FEHLER: Preis unvollständig",IF(AND(C212="€/Stange",E212=""),"FEHLER: Stangenlänge fehlt","OK"))))))</f>
        <v/>
      </c>
    </row>
    <row r="213" customFormat="false" ht="15" hidden="false" customHeight="false" outlineLevel="0" collapsed="false">
      <c r="A213" s="10"/>
      <c r="B213" s="10"/>
      <c r="C213" s="10"/>
      <c r="D213" s="32"/>
      <c r="E213" s="19"/>
      <c r="F213" s="14"/>
      <c r="G213" s="10"/>
      <c r="H213" s="10"/>
      <c r="I213" s="26" t="str">
        <f aca="false">IF(A213&amp;B213="","",IF(ISNA(MATCH(A213,lst_Profil,0)),"FEHLER: Profil unbekannt",IF(ISNA(MATCH(B213,lst_Werkstoff,0)),"FEHLER: Werkstoff unbekannt",IF(COUNTIFS($A$5:$A$304,A213,$B$5:$B$304,B213)&gt;1,"FEHLER: doppelt",IF(OR(C213="",D213=""),"FEHLER: Preis unvollständig",IF(AND(C213="€/Stange",E213=""),"FEHLER: Stangenlänge fehlt","OK"))))))</f>
        <v/>
      </c>
    </row>
    <row r="214" customFormat="false" ht="15" hidden="false" customHeight="false" outlineLevel="0" collapsed="false">
      <c r="A214" s="10"/>
      <c r="B214" s="10"/>
      <c r="C214" s="10"/>
      <c r="D214" s="32"/>
      <c r="E214" s="19"/>
      <c r="F214" s="14"/>
      <c r="G214" s="10"/>
      <c r="H214" s="10"/>
      <c r="I214" s="26" t="str">
        <f aca="false">IF(A214&amp;B214="","",IF(ISNA(MATCH(A214,lst_Profil,0)),"FEHLER: Profil unbekannt",IF(ISNA(MATCH(B214,lst_Werkstoff,0)),"FEHLER: Werkstoff unbekannt",IF(COUNTIFS($A$5:$A$304,A214,$B$5:$B$304,B214)&gt;1,"FEHLER: doppelt",IF(OR(C214="",D214=""),"FEHLER: Preis unvollständig",IF(AND(C214="€/Stange",E214=""),"FEHLER: Stangenlänge fehlt","OK"))))))</f>
        <v/>
      </c>
    </row>
    <row r="215" customFormat="false" ht="15" hidden="false" customHeight="false" outlineLevel="0" collapsed="false">
      <c r="A215" s="10"/>
      <c r="B215" s="10"/>
      <c r="C215" s="10"/>
      <c r="D215" s="32"/>
      <c r="E215" s="19"/>
      <c r="F215" s="14"/>
      <c r="G215" s="10"/>
      <c r="H215" s="10"/>
      <c r="I215" s="26" t="str">
        <f aca="false">IF(A215&amp;B215="","",IF(ISNA(MATCH(A215,lst_Profil,0)),"FEHLER: Profil unbekannt",IF(ISNA(MATCH(B215,lst_Werkstoff,0)),"FEHLER: Werkstoff unbekannt",IF(COUNTIFS($A$5:$A$304,A215,$B$5:$B$304,B215)&gt;1,"FEHLER: doppelt",IF(OR(C215="",D215=""),"FEHLER: Preis unvollständig",IF(AND(C215="€/Stange",E215=""),"FEHLER: Stangenlänge fehlt","OK"))))))</f>
        <v/>
      </c>
    </row>
    <row r="216" customFormat="false" ht="15" hidden="false" customHeight="false" outlineLevel="0" collapsed="false">
      <c r="A216" s="10"/>
      <c r="B216" s="10"/>
      <c r="C216" s="10"/>
      <c r="D216" s="32"/>
      <c r="E216" s="19"/>
      <c r="F216" s="14"/>
      <c r="G216" s="10"/>
      <c r="H216" s="10"/>
      <c r="I216" s="26" t="str">
        <f aca="false">IF(A216&amp;B216="","",IF(ISNA(MATCH(A216,lst_Profil,0)),"FEHLER: Profil unbekannt",IF(ISNA(MATCH(B216,lst_Werkstoff,0)),"FEHLER: Werkstoff unbekannt",IF(COUNTIFS($A$5:$A$304,A216,$B$5:$B$304,B216)&gt;1,"FEHLER: doppelt",IF(OR(C216="",D216=""),"FEHLER: Preis unvollständig",IF(AND(C216="€/Stange",E216=""),"FEHLER: Stangenlänge fehlt","OK"))))))</f>
        <v/>
      </c>
    </row>
    <row r="217" customFormat="false" ht="15" hidden="false" customHeight="false" outlineLevel="0" collapsed="false">
      <c r="A217" s="10"/>
      <c r="B217" s="10"/>
      <c r="C217" s="10"/>
      <c r="D217" s="32"/>
      <c r="E217" s="19"/>
      <c r="F217" s="14"/>
      <c r="G217" s="10"/>
      <c r="H217" s="10"/>
      <c r="I217" s="26" t="str">
        <f aca="false">IF(A217&amp;B217="","",IF(ISNA(MATCH(A217,lst_Profil,0)),"FEHLER: Profil unbekannt",IF(ISNA(MATCH(B217,lst_Werkstoff,0)),"FEHLER: Werkstoff unbekannt",IF(COUNTIFS($A$5:$A$304,A217,$B$5:$B$304,B217)&gt;1,"FEHLER: doppelt",IF(OR(C217="",D217=""),"FEHLER: Preis unvollständig",IF(AND(C217="€/Stange",E217=""),"FEHLER: Stangenlänge fehlt","OK"))))))</f>
        <v/>
      </c>
    </row>
    <row r="218" customFormat="false" ht="15" hidden="false" customHeight="false" outlineLevel="0" collapsed="false">
      <c r="A218" s="10"/>
      <c r="B218" s="10"/>
      <c r="C218" s="10"/>
      <c r="D218" s="32"/>
      <c r="E218" s="19"/>
      <c r="F218" s="14"/>
      <c r="G218" s="10"/>
      <c r="H218" s="10"/>
      <c r="I218" s="26" t="str">
        <f aca="false">IF(A218&amp;B218="","",IF(ISNA(MATCH(A218,lst_Profil,0)),"FEHLER: Profil unbekannt",IF(ISNA(MATCH(B218,lst_Werkstoff,0)),"FEHLER: Werkstoff unbekannt",IF(COUNTIFS($A$5:$A$304,A218,$B$5:$B$304,B218)&gt;1,"FEHLER: doppelt",IF(OR(C218="",D218=""),"FEHLER: Preis unvollständig",IF(AND(C218="€/Stange",E218=""),"FEHLER: Stangenlänge fehlt","OK"))))))</f>
        <v/>
      </c>
    </row>
    <row r="219" customFormat="false" ht="15" hidden="false" customHeight="false" outlineLevel="0" collapsed="false">
      <c r="A219" s="10"/>
      <c r="B219" s="10"/>
      <c r="C219" s="10"/>
      <c r="D219" s="32"/>
      <c r="E219" s="19"/>
      <c r="F219" s="14"/>
      <c r="G219" s="10"/>
      <c r="H219" s="10"/>
      <c r="I219" s="26" t="str">
        <f aca="false">IF(A219&amp;B219="","",IF(ISNA(MATCH(A219,lst_Profil,0)),"FEHLER: Profil unbekannt",IF(ISNA(MATCH(B219,lst_Werkstoff,0)),"FEHLER: Werkstoff unbekannt",IF(COUNTIFS($A$5:$A$304,A219,$B$5:$B$304,B219)&gt;1,"FEHLER: doppelt",IF(OR(C219="",D219=""),"FEHLER: Preis unvollständig",IF(AND(C219="€/Stange",E219=""),"FEHLER: Stangenlänge fehlt","OK"))))))</f>
        <v/>
      </c>
    </row>
    <row r="220" customFormat="false" ht="15" hidden="false" customHeight="false" outlineLevel="0" collapsed="false">
      <c r="A220" s="10"/>
      <c r="B220" s="10"/>
      <c r="C220" s="10"/>
      <c r="D220" s="32"/>
      <c r="E220" s="19"/>
      <c r="F220" s="14"/>
      <c r="G220" s="10"/>
      <c r="H220" s="10"/>
      <c r="I220" s="26" t="str">
        <f aca="false">IF(A220&amp;B220="","",IF(ISNA(MATCH(A220,lst_Profil,0)),"FEHLER: Profil unbekannt",IF(ISNA(MATCH(B220,lst_Werkstoff,0)),"FEHLER: Werkstoff unbekannt",IF(COUNTIFS($A$5:$A$304,A220,$B$5:$B$304,B220)&gt;1,"FEHLER: doppelt",IF(OR(C220="",D220=""),"FEHLER: Preis unvollständig",IF(AND(C220="€/Stange",E220=""),"FEHLER: Stangenlänge fehlt","OK"))))))</f>
        <v/>
      </c>
    </row>
    <row r="221" customFormat="false" ht="15" hidden="false" customHeight="false" outlineLevel="0" collapsed="false">
      <c r="A221" s="10"/>
      <c r="B221" s="10"/>
      <c r="C221" s="10"/>
      <c r="D221" s="32"/>
      <c r="E221" s="19"/>
      <c r="F221" s="14"/>
      <c r="G221" s="10"/>
      <c r="H221" s="10"/>
      <c r="I221" s="26" t="str">
        <f aca="false">IF(A221&amp;B221="","",IF(ISNA(MATCH(A221,lst_Profil,0)),"FEHLER: Profil unbekannt",IF(ISNA(MATCH(B221,lst_Werkstoff,0)),"FEHLER: Werkstoff unbekannt",IF(COUNTIFS($A$5:$A$304,A221,$B$5:$B$304,B221)&gt;1,"FEHLER: doppelt",IF(OR(C221="",D221=""),"FEHLER: Preis unvollständig",IF(AND(C221="€/Stange",E221=""),"FEHLER: Stangenlänge fehlt","OK"))))))</f>
        <v/>
      </c>
    </row>
    <row r="222" customFormat="false" ht="15" hidden="false" customHeight="false" outlineLevel="0" collapsed="false">
      <c r="A222" s="10"/>
      <c r="B222" s="10"/>
      <c r="C222" s="10"/>
      <c r="D222" s="32"/>
      <c r="E222" s="19"/>
      <c r="F222" s="14"/>
      <c r="G222" s="10"/>
      <c r="H222" s="10"/>
      <c r="I222" s="26" t="str">
        <f aca="false">IF(A222&amp;B222="","",IF(ISNA(MATCH(A222,lst_Profil,0)),"FEHLER: Profil unbekannt",IF(ISNA(MATCH(B222,lst_Werkstoff,0)),"FEHLER: Werkstoff unbekannt",IF(COUNTIFS($A$5:$A$304,A222,$B$5:$B$304,B222)&gt;1,"FEHLER: doppelt",IF(OR(C222="",D222=""),"FEHLER: Preis unvollständig",IF(AND(C222="€/Stange",E222=""),"FEHLER: Stangenlänge fehlt","OK"))))))</f>
        <v/>
      </c>
    </row>
    <row r="223" customFormat="false" ht="15" hidden="false" customHeight="false" outlineLevel="0" collapsed="false">
      <c r="A223" s="10"/>
      <c r="B223" s="10"/>
      <c r="C223" s="10"/>
      <c r="D223" s="32"/>
      <c r="E223" s="19"/>
      <c r="F223" s="14"/>
      <c r="G223" s="10"/>
      <c r="H223" s="10"/>
      <c r="I223" s="26" t="str">
        <f aca="false">IF(A223&amp;B223="","",IF(ISNA(MATCH(A223,lst_Profil,0)),"FEHLER: Profil unbekannt",IF(ISNA(MATCH(B223,lst_Werkstoff,0)),"FEHLER: Werkstoff unbekannt",IF(COUNTIFS($A$5:$A$304,A223,$B$5:$B$304,B223)&gt;1,"FEHLER: doppelt",IF(OR(C223="",D223=""),"FEHLER: Preis unvollständig",IF(AND(C223="€/Stange",E223=""),"FEHLER: Stangenlänge fehlt","OK"))))))</f>
        <v/>
      </c>
    </row>
    <row r="224" customFormat="false" ht="15" hidden="false" customHeight="false" outlineLevel="0" collapsed="false">
      <c r="A224" s="10"/>
      <c r="B224" s="10"/>
      <c r="C224" s="10"/>
      <c r="D224" s="32"/>
      <c r="E224" s="19"/>
      <c r="F224" s="14"/>
      <c r="G224" s="10"/>
      <c r="H224" s="10"/>
      <c r="I224" s="26" t="str">
        <f aca="false">IF(A224&amp;B224="","",IF(ISNA(MATCH(A224,lst_Profil,0)),"FEHLER: Profil unbekannt",IF(ISNA(MATCH(B224,lst_Werkstoff,0)),"FEHLER: Werkstoff unbekannt",IF(COUNTIFS($A$5:$A$304,A224,$B$5:$B$304,B224)&gt;1,"FEHLER: doppelt",IF(OR(C224="",D224=""),"FEHLER: Preis unvollständig",IF(AND(C224="€/Stange",E224=""),"FEHLER: Stangenlänge fehlt","OK"))))))</f>
        <v/>
      </c>
    </row>
    <row r="225" customFormat="false" ht="15" hidden="false" customHeight="false" outlineLevel="0" collapsed="false">
      <c r="A225" s="10"/>
      <c r="B225" s="10"/>
      <c r="C225" s="10"/>
      <c r="D225" s="32"/>
      <c r="E225" s="19"/>
      <c r="F225" s="14"/>
      <c r="G225" s="10"/>
      <c r="H225" s="10"/>
      <c r="I225" s="26" t="str">
        <f aca="false">IF(A225&amp;B225="","",IF(ISNA(MATCH(A225,lst_Profil,0)),"FEHLER: Profil unbekannt",IF(ISNA(MATCH(B225,lst_Werkstoff,0)),"FEHLER: Werkstoff unbekannt",IF(COUNTIFS($A$5:$A$304,A225,$B$5:$B$304,B225)&gt;1,"FEHLER: doppelt",IF(OR(C225="",D225=""),"FEHLER: Preis unvollständig",IF(AND(C225="€/Stange",E225=""),"FEHLER: Stangenlänge fehlt","OK"))))))</f>
        <v/>
      </c>
    </row>
    <row r="226" customFormat="false" ht="15" hidden="false" customHeight="false" outlineLevel="0" collapsed="false">
      <c r="A226" s="10"/>
      <c r="B226" s="10"/>
      <c r="C226" s="10"/>
      <c r="D226" s="32"/>
      <c r="E226" s="19"/>
      <c r="F226" s="14"/>
      <c r="G226" s="10"/>
      <c r="H226" s="10"/>
      <c r="I226" s="26" t="str">
        <f aca="false">IF(A226&amp;B226="","",IF(ISNA(MATCH(A226,lst_Profil,0)),"FEHLER: Profil unbekannt",IF(ISNA(MATCH(B226,lst_Werkstoff,0)),"FEHLER: Werkstoff unbekannt",IF(COUNTIFS($A$5:$A$304,A226,$B$5:$B$304,B226)&gt;1,"FEHLER: doppelt",IF(OR(C226="",D226=""),"FEHLER: Preis unvollständig",IF(AND(C226="€/Stange",E226=""),"FEHLER: Stangenlänge fehlt","OK"))))))</f>
        <v/>
      </c>
    </row>
    <row r="227" customFormat="false" ht="15" hidden="false" customHeight="false" outlineLevel="0" collapsed="false">
      <c r="A227" s="10"/>
      <c r="B227" s="10"/>
      <c r="C227" s="10"/>
      <c r="D227" s="32"/>
      <c r="E227" s="19"/>
      <c r="F227" s="14"/>
      <c r="G227" s="10"/>
      <c r="H227" s="10"/>
      <c r="I227" s="26" t="str">
        <f aca="false">IF(A227&amp;B227="","",IF(ISNA(MATCH(A227,lst_Profil,0)),"FEHLER: Profil unbekannt",IF(ISNA(MATCH(B227,lst_Werkstoff,0)),"FEHLER: Werkstoff unbekannt",IF(COUNTIFS($A$5:$A$304,A227,$B$5:$B$304,B227)&gt;1,"FEHLER: doppelt",IF(OR(C227="",D227=""),"FEHLER: Preis unvollständig",IF(AND(C227="€/Stange",E227=""),"FEHLER: Stangenlänge fehlt","OK"))))))</f>
        <v/>
      </c>
    </row>
    <row r="228" customFormat="false" ht="15" hidden="false" customHeight="false" outlineLevel="0" collapsed="false">
      <c r="A228" s="10"/>
      <c r="B228" s="10"/>
      <c r="C228" s="10"/>
      <c r="D228" s="32"/>
      <c r="E228" s="19"/>
      <c r="F228" s="14"/>
      <c r="G228" s="10"/>
      <c r="H228" s="10"/>
      <c r="I228" s="26" t="str">
        <f aca="false">IF(A228&amp;B228="","",IF(ISNA(MATCH(A228,lst_Profil,0)),"FEHLER: Profil unbekannt",IF(ISNA(MATCH(B228,lst_Werkstoff,0)),"FEHLER: Werkstoff unbekannt",IF(COUNTIFS($A$5:$A$304,A228,$B$5:$B$304,B228)&gt;1,"FEHLER: doppelt",IF(OR(C228="",D228=""),"FEHLER: Preis unvollständig",IF(AND(C228="€/Stange",E228=""),"FEHLER: Stangenlänge fehlt","OK"))))))</f>
        <v/>
      </c>
    </row>
    <row r="229" customFormat="false" ht="15" hidden="false" customHeight="false" outlineLevel="0" collapsed="false">
      <c r="A229" s="10"/>
      <c r="B229" s="10"/>
      <c r="C229" s="10"/>
      <c r="D229" s="32"/>
      <c r="E229" s="19"/>
      <c r="F229" s="14"/>
      <c r="G229" s="10"/>
      <c r="H229" s="10"/>
      <c r="I229" s="26" t="str">
        <f aca="false">IF(A229&amp;B229="","",IF(ISNA(MATCH(A229,lst_Profil,0)),"FEHLER: Profil unbekannt",IF(ISNA(MATCH(B229,lst_Werkstoff,0)),"FEHLER: Werkstoff unbekannt",IF(COUNTIFS($A$5:$A$304,A229,$B$5:$B$304,B229)&gt;1,"FEHLER: doppelt",IF(OR(C229="",D229=""),"FEHLER: Preis unvollständig",IF(AND(C229="€/Stange",E229=""),"FEHLER: Stangenlänge fehlt","OK"))))))</f>
        <v/>
      </c>
    </row>
    <row r="230" customFormat="false" ht="15" hidden="false" customHeight="false" outlineLevel="0" collapsed="false">
      <c r="A230" s="10"/>
      <c r="B230" s="10"/>
      <c r="C230" s="10"/>
      <c r="D230" s="32"/>
      <c r="E230" s="19"/>
      <c r="F230" s="14"/>
      <c r="G230" s="10"/>
      <c r="H230" s="10"/>
      <c r="I230" s="26" t="str">
        <f aca="false">IF(A230&amp;B230="","",IF(ISNA(MATCH(A230,lst_Profil,0)),"FEHLER: Profil unbekannt",IF(ISNA(MATCH(B230,lst_Werkstoff,0)),"FEHLER: Werkstoff unbekannt",IF(COUNTIFS($A$5:$A$304,A230,$B$5:$B$304,B230)&gt;1,"FEHLER: doppelt",IF(OR(C230="",D230=""),"FEHLER: Preis unvollständig",IF(AND(C230="€/Stange",E230=""),"FEHLER: Stangenlänge fehlt","OK"))))))</f>
        <v/>
      </c>
    </row>
    <row r="231" customFormat="false" ht="15" hidden="false" customHeight="false" outlineLevel="0" collapsed="false">
      <c r="A231" s="10"/>
      <c r="B231" s="10"/>
      <c r="C231" s="10"/>
      <c r="D231" s="32"/>
      <c r="E231" s="19"/>
      <c r="F231" s="14"/>
      <c r="G231" s="10"/>
      <c r="H231" s="10"/>
      <c r="I231" s="26" t="str">
        <f aca="false">IF(A231&amp;B231="","",IF(ISNA(MATCH(A231,lst_Profil,0)),"FEHLER: Profil unbekannt",IF(ISNA(MATCH(B231,lst_Werkstoff,0)),"FEHLER: Werkstoff unbekannt",IF(COUNTIFS($A$5:$A$304,A231,$B$5:$B$304,B231)&gt;1,"FEHLER: doppelt",IF(OR(C231="",D231=""),"FEHLER: Preis unvollständig",IF(AND(C231="€/Stange",E231=""),"FEHLER: Stangenlänge fehlt","OK"))))))</f>
        <v/>
      </c>
    </row>
    <row r="232" customFormat="false" ht="15" hidden="false" customHeight="false" outlineLevel="0" collapsed="false">
      <c r="A232" s="10"/>
      <c r="B232" s="10"/>
      <c r="C232" s="10"/>
      <c r="D232" s="32"/>
      <c r="E232" s="19"/>
      <c r="F232" s="14"/>
      <c r="G232" s="10"/>
      <c r="H232" s="10"/>
      <c r="I232" s="26" t="str">
        <f aca="false">IF(A232&amp;B232="","",IF(ISNA(MATCH(A232,lst_Profil,0)),"FEHLER: Profil unbekannt",IF(ISNA(MATCH(B232,lst_Werkstoff,0)),"FEHLER: Werkstoff unbekannt",IF(COUNTIFS($A$5:$A$304,A232,$B$5:$B$304,B232)&gt;1,"FEHLER: doppelt",IF(OR(C232="",D232=""),"FEHLER: Preis unvollständig",IF(AND(C232="€/Stange",E232=""),"FEHLER: Stangenlänge fehlt","OK"))))))</f>
        <v/>
      </c>
    </row>
    <row r="233" customFormat="false" ht="15" hidden="false" customHeight="false" outlineLevel="0" collapsed="false">
      <c r="A233" s="10"/>
      <c r="B233" s="10"/>
      <c r="C233" s="10"/>
      <c r="D233" s="32"/>
      <c r="E233" s="19"/>
      <c r="F233" s="14"/>
      <c r="G233" s="10"/>
      <c r="H233" s="10"/>
      <c r="I233" s="26" t="str">
        <f aca="false">IF(A233&amp;B233="","",IF(ISNA(MATCH(A233,lst_Profil,0)),"FEHLER: Profil unbekannt",IF(ISNA(MATCH(B233,lst_Werkstoff,0)),"FEHLER: Werkstoff unbekannt",IF(COUNTIFS($A$5:$A$304,A233,$B$5:$B$304,B233)&gt;1,"FEHLER: doppelt",IF(OR(C233="",D233=""),"FEHLER: Preis unvollständig",IF(AND(C233="€/Stange",E233=""),"FEHLER: Stangenlänge fehlt","OK"))))))</f>
        <v/>
      </c>
    </row>
    <row r="234" customFormat="false" ht="15" hidden="false" customHeight="false" outlineLevel="0" collapsed="false">
      <c r="A234" s="10"/>
      <c r="B234" s="10"/>
      <c r="C234" s="10"/>
      <c r="D234" s="32"/>
      <c r="E234" s="19"/>
      <c r="F234" s="14"/>
      <c r="G234" s="10"/>
      <c r="H234" s="10"/>
      <c r="I234" s="26" t="str">
        <f aca="false">IF(A234&amp;B234="","",IF(ISNA(MATCH(A234,lst_Profil,0)),"FEHLER: Profil unbekannt",IF(ISNA(MATCH(B234,lst_Werkstoff,0)),"FEHLER: Werkstoff unbekannt",IF(COUNTIFS($A$5:$A$304,A234,$B$5:$B$304,B234)&gt;1,"FEHLER: doppelt",IF(OR(C234="",D234=""),"FEHLER: Preis unvollständig",IF(AND(C234="€/Stange",E234=""),"FEHLER: Stangenlänge fehlt","OK"))))))</f>
        <v/>
      </c>
    </row>
    <row r="235" customFormat="false" ht="15" hidden="false" customHeight="false" outlineLevel="0" collapsed="false">
      <c r="A235" s="10"/>
      <c r="B235" s="10"/>
      <c r="C235" s="10"/>
      <c r="D235" s="32"/>
      <c r="E235" s="19"/>
      <c r="F235" s="14"/>
      <c r="G235" s="10"/>
      <c r="H235" s="10"/>
      <c r="I235" s="26" t="str">
        <f aca="false">IF(A235&amp;B235="","",IF(ISNA(MATCH(A235,lst_Profil,0)),"FEHLER: Profil unbekannt",IF(ISNA(MATCH(B235,lst_Werkstoff,0)),"FEHLER: Werkstoff unbekannt",IF(COUNTIFS($A$5:$A$304,A235,$B$5:$B$304,B235)&gt;1,"FEHLER: doppelt",IF(OR(C235="",D235=""),"FEHLER: Preis unvollständig",IF(AND(C235="€/Stange",E235=""),"FEHLER: Stangenlänge fehlt","OK"))))))</f>
        <v/>
      </c>
    </row>
    <row r="236" customFormat="false" ht="15" hidden="false" customHeight="false" outlineLevel="0" collapsed="false">
      <c r="A236" s="10"/>
      <c r="B236" s="10"/>
      <c r="C236" s="10"/>
      <c r="D236" s="32"/>
      <c r="E236" s="19"/>
      <c r="F236" s="14"/>
      <c r="G236" s="10"/>
      <c r="H236" s="10"/>
      <c r="I236" s="26" t="str">
        <f aca="false">IF(A236&amp;B236="","",IF(ISNA(MATCH(A236,lst_Profil,0)),"FEHLER: Profil unbekannt",IF(ISNA(MATCH(B236,lst_Werkstoff,0)),"FEHLER: Werkstoff unbekannt",IF(COUNTIFS($A$5:$A$304,A236,$B$5:$B$304,B236)&gt;1,"FEHLER: doppelt",IF(OR(C236="",D236=""),"FEHLER: Preis unvollständig",IF(AND(C236="€/Stange",E236=""),"FEHLER: Stangenlänge fehlt","OK"))))))</f>
        <v/>
      </c>
    </row>
    <row r="237" customFormat="false" ht="15" hidden="false" customHeight="false" outlineLevel="0" collapsed="false">
      <c r="A237" s="10"/>
      <c r="B237" s="10"/>
      <c r="C237" s="10"/>
      <c r="D237" s="32"/>
      <c r="E237" s="19"/>
      <c r="F237" s="14"/>
      <c r="G237" s="10"/>
      <c r="H237" s="10"/>
      <c r="I237" s="26" t="str">
        <f aca="false">IF(A237&amp;B237="","",IF(ISNA(MATCH(A237,lst_Profil,0)),"FEHLER: Profil unbekannt",IF(ISNA(MATCH(B237,lst_Werkstoff,0)),"FEHLER: Werkstoff unbekannt",IF(COUNTIFS($A$5:$A$304,A237,$B$5:$B$304,B237)&gt;1,"FEHLER: doppelt",IF(OR(C237="",D237=""),"FEHLER: Preis unvollständig",IF(AND(C237="€/Stange",E237=""),"FEHLER: Stangenlänge fehlt","OK"))))))</f>
        <v/>
      </c>
    </row>
    <row r="238" customFormat="false" ht="15" hidden="false" customHeight="false" outlineLevel="0" collapsed="false">
      <c r="A238" s="10"/>
      <c r="B238" s="10"/>
      <c r="C238" s="10"/>
      <c r="D238" s="32"/>
      <c r="E238" s="19"/>
      <c r="F238" s="14"/>
      <c r="G238" s="10"/>
      <c r="H238" s="10"/>
      <c r="I238" s="26" t="str">
        <f aca="false">IF(A238&amp;B238="","",IF(ISNA(MATCH(A238,lst_Profil,0)),"FEHLER: Profil unbekannt",IF(ISNA(MATCH(B238,lst_Werkstoff,0)),"FEHLER: Werkstoff unbekannt",IF(COUNTIFS($A$5:$A$304,A238,$B$5:$B$304,B238)&gt;1,"FEHLER: doppelt",IF(OR(C238="",D238=""),"FEHLER: Preis unvollständig",IF(AND(C238="€/Stange",E238=""),"FEHLER: Stangenlänge fehlt","OK"))))))</f>
        <v/>
      </c>
    </row>
    <row r="239" customFormat="false" ht="15" hidden="false" customHeight="false" outlineLevel="0" collapsed="false">
      <c r="A239" s="10"/>
      <c r="B239" s="10"/>
      <c r="C239" s="10"/>
      <c r="D239" s="32"/>
      <c r="E239" s="19"/>
      <c r="F239" s="14"/>
      <c r="G239" s="10"/>
      <c r="H239" s="10"/>
      <c r="I239" s="26" t="str">
        <f aca="false">IF(A239&amp;B239="","",IF(ISNA(MATCH(A239,lst_Profil,0)),"FEHLER: Profil unbekannt",IF(ISNA(MATCH(B239,lst_Werkstoff,0)),"FEHLER: Werkstoff unbekannt",IF(COUNTIFS($A$5:$A$304,A239,$B$5:$B$304,B239)&gt;1,"FEHLER: doppelt",IF(OR(C239="",D239=""),"FEHLER: Preis unvollständig",IF(AND(C239="€/Stange",E239=""),"FEHLER: Stangenlänge fehlt","OK"))))))</f>
        <v/>
      </c>
    </row>
    <row r="240" customFormat="false" ht="15" hidden="false" customHeight="false" outlineLevel="0" collapsed="false">
      <c r="A240" s="10"/>
      <c r="B240" s="10"/>
      <c r="C240" s="10"/>
      <c r="D240" s="32"/>
      <c r="E240" s="19"/>
      <c r="F240" s="14"/>
      <c r="G240" s="10"/>
      <c r="H240" s="10"/>
      <c r="I240" s="26" t="str">
        <f aca="false">IF(A240&amp;B240="","",IF(ISNA(MATCH(A240,lst_Profil,0)),"FEHLER: Profil unbekannt",IF(ISNA(MATCH(B240,lst_Werkstoff,0)),"FEHLER: Werkstoff unbekannt",IF(COUNTIFS($A$5:$A$304,A240,$B$5:$B$304,B240)&gt;1,"FEHLER: doppelt",IF(OR(C240="",D240=""),"FEHLER: Preis unvollständig",IF(AND(C240="€/Stange",E240=""),"FEHLER: Stangenlänge fehlt","OK"))))))</f>
        <v/>
      </c>
    </row>
    <row r="241" customFormat="false" ht="15" hidden="false" customHeight="false" outlineLevel="0" collapsed="false">
      <c r="A241" s="10"/>
      <c r="B241" s="10"/>
      <c r="C241" s="10"/>
      <c r="D241" s="32"/>
      <c r="E241" s="19"/>
      <c r="F241" s="14"/>
      <c r="G241" s="10"/>
      <c r="H241" s="10"/>
      <c r="I241" s="26" t="str">
        <f aca="false">IF(A241&amp;B241="","",IF(ISNA(MATCH(A241,lst_Profil,0)),"FEHLER: Profil unbekannt",IF(ISNA(MATCH(B241,lst_Werkstoff,0)),"FEHLER: Werkstoff unbekannt",IF(COUNTIFS($A$5:$A$304,A241,$B$5:$B$304,B241)&gt;1,"FEHLER: doppelt",IF(OR(C241="",D241=""),"FEHLER: Preis unvollständig",IF(AND(C241="€/Stange",E241=""),"FEHLER: Stangenlänge fehlt","OK"))))))</f>
        <v/>
      </c>
    </row>
    <row r="242" customFormat="false" ht="15" hidden="false" customHeight="false" outlineLevel="0" collapsed="false">
      <c r="A242" s="10"/>
      <c r="B242" s="10"/>
      <c r="C242" s="10"/>
      <c r="D242" s="32"/>
      <c r="E242" s="19"/>
      <c r="F242" s="14"/>
      <c r="G242" s="10"/>
      <c r="H242" s="10"/>
      <c r="I242" s="26" t="str">
        <f aca="false">IF(A242&amp;B242="","",IF(ISNA(MATCH(A242,lst_Profil,0)),"FEHLER: Profil unbekannt",IF(ISNA(MATCH(B242,lst_Werkstoff,0)),"FEHLER: Werkstoff unbekannt",IF(COUNTIFS($A$5:$A$304,A242,$B$5:$B$304,B242)&gt;1,"FEHLER: doppelt",IF(OR(C242="",D242=""),"FEHLER: Preis unvollständig",IF(AND(C242="€/Stange",E242=""),"FEHLER: Stangenlänge fehlt","OK"))))))</f>
        <v/>
      </c>
    </row>
    <row r="243" customFormat="false" ht="15" hidden="false" customHeight="false" outlineLevel="0" collapsed="false">
      <c r="A243" s="10"/>
      <c r="B243" s="10"/>
      <c r="C243" s="10"/>
      <c r="D243" s="32"/>
      <c r="E243" s="19"/>
      <c r="F243" s="14"/>
      <c r="G243" s="10"/>
      <c r="H243" s="10"/>
      <c r="I243" s="26" t="str">
        <f aca="false">IF(A243&amp;B243="","",IF(ISNA(MATCH(A243,lst_Profil,0)),"FEHLER: Profil unbekannt",IF(ISNA(MATCH(B243,lst_Werkstoff,0)),"FEHLER: Werkstoff unbekannt",IF(COUNTIFS($A$5:$A$304,A243,$B$5:$B$304,B243)&gt;1,"FEHLER: doppelt",IF(OR(C243="",D243=""),"FEHLER: Preis unvollständig",IF(AND(C243="€/Stange",E243=""),"FEHLER: Stangenlänge fehlt","OK"))))))</f>
        <v/>
      </c>
    </row>
    <row r="244" customFormat="false" ht="15" hidden="false" customHeight="false" outlineLevel="0" collapsed="false">
      <c r="A244" s="10"/>
      <c r="B244" s="10"/>
      <c r="C244" s="10"/>
      <c r="D244" s="32"/>
      <c r="E244" s="19"/>
      <c r="F244" s="14"/>
      <c r="G244" s="10"/>
      <c r="H244" s="10"/>
      <c r="I244" s="26" t="str">
        <f aca="false">IF(A244&amp;B244="","",IF(ISNA(MATCH(A244,lst_Profil,0)),"FEHLER: Profil unbekannt",IF(ISNA(MATCH(B244,lst_Werkstoff,0)),"FEHLER: Werkstoff unbekannt",IF(COUNTIFS($A$5:$A$304,A244,$B$5:$B$304,B244)&gt;1,"FEHLER: doppelt",IF(OR(C244="",D244=""),"FEHLER: Preis unvollständig",IF(AND(C244="€/Stange",E244=""),"FEHLER: Stangenlänge fehlt","OK"))))))</f>
        <v/>
      </c>
    </row>
    <row r="245" customFormat="false" ht="15" hidden="false" customHeight="false" outlineLevel="0" collapsed="false">
      <c r="A245" s="10"/>
      <c r="B245" s="10"/>
      <c r="C245" s="10"/>
      <c r="D245" s="32"/>
      <c r="E245" s="19"/>
      <c r="F245" s="14"/>
      <c r="G245" s="10"/>
      <c r="H245" s="10"/>
      <c r="I245" s="26" t="str">
        <f aca="false">IF(A245&amp;B245="","",IF(ISNA(MATCH(A245,lst_Profil,0)),"FEHLER: Profil unbekannt",IF(ISNA(MATCH(B245,lst_Werkstoff,0)),"FEHLER: Werkstoff unbekannt",IF(COUNTIFS($A$5:$A$304,A245,$B$5:$B$304,B245)&gt;1,"FEHLER: doppelt",IF(OR(C245="",D245=""),"FEHLER: Preis unvollständig",IF(AND(C245="€/Stange",E245=""),"FEHLER: Stangenlänge fehlt","OK"))))))</f>
        <v/>
      </c>
    </row>
    <row r="246" customFormat="false" ht="15" hidden="false" customHeight="false" outlineLevel="0" collapsed="false">
      <c r="A246" s="10"/>
      <c r="B246" s="10"/>
      <c r="C246" s="10"/>
      <c r="D246" s="32"/>
      <c r="E246" s="19"/>
      <c r="F246" s="14"/>
      <c r="G246" s="10"/>
      <c r="H246" s="10"/>
      <c r="I246" s="26" t="str">
        <f aca="false">IF(A246&amp;B246="","",IF(ISNA(MATCH(A246,lst_Profil,0)),"FEHLER: Profil unbekannt",IF(ISNA(MATCH(B246,lst_Werkstoff,0)),"FEHLER: Werkstoff unbekannt",IF(COUNTIFS($A$5:$A$304,A246,$B$5:$B$304,B246)&gt;1,"FEHLER: doppelt",IF(OR(C246="",D246=""),"FEHLER: Preis unvollständig",IF(AND(C246="€/Stange",E246=""),"FEHLER: Stangenlänge fehlt","OK"))))))</f>
        <v/>
      </c>
    </row>
    <row r="247" customFormat="false" ht="15" hidden="false" customHeight="false" outlineLevel="0" collapsed="false">
      <c r="A247" s="10"/>
      <c r="B247" s="10"/>
      <c r="C247" s="10"/>
      <c r="D247" s="32"/>
      <c r="E247" s="19"/>
      <c r="F247" s="14"/>
      <c r="G247" s="10"/>
      <c r="H247" s="10"/>
      <c r="I247" s="26" t="str">
        <f aca="false">IF(A247&amp;B247="","",IF(ISNA(MATCH(A247,lst_Profil,0)),"FEHLER: Profil unbekannt",IF(ISNA(MATCH(B247,lst_Werkstoff,0)),"FEHLER: Werkstoff unbekannt",IF(COUNTIFS($A$5:$A$304,A247,$B$5:$B$304,B247)&gt;1,"FEHLER: doppelt",IF(OR(C247="",D247=""),"FEHLER: Preis unvollständig",IF(AND(C247="€/Stange",E247=""),"FEHLER: Stangenlänge fehlt","OK"))))))</f>
        <v/>
      </c>
    </row>
    <row r="248" customFormat="false" ht="15" hidden="false" customHeight="false" outlineLevel="0" collapsed="false">
      <c r="A248" s="10"/>
      <c r="B248" s="10"/>
      <c r="C248" s="10"/>
      <c r="D248" s="32"/>
      <c r="E248" s="19"/>
      <c r="F248" s="14"/>
      <c r="G248" s="10"/>
      <c r="H248" s="10"/>
      <c r="I248" s="26" t="str">
        <f aca="false">IF(A248&amp;B248="","",IF(ISNA(MATCH(A248,lst_Profil,0)),"FEHLER: Profil unbekannt",IF(ISNA(MATCH(B248,lst_Werkstoff,0)),"FEHLER: Werkstoff unbekannt",IF(COUNTIFS($A$5:$A$304,A248,$B$5:$B$304,B248)&gt;1,"FEHLER: doppelt",IF(OR(C248="",D248=""),"FEHLER: Preis unvollständig",IF(AND(C248="€/Stange",E248=""),"FEHLER: Stangenlänge fehlt","OK"))))))</f>
        <v/>
      </c>
    </row>
    <row r="249" customFormat="false" ht="15" hidden="false" customHeight="false" outlineLevel="0" collapsed="false">
      <c r="A249" s="10"/>
      <c r="B249" s="10"/>
      <c r="C249" s="10"/>
      <c r="D249" s="32"/>
      <c r="E249" s="19"/>
      <c r="F249" s="14"/>
      <c r="G249" s="10"/>
      <c r="H249" s="10"/>
      <c r="I249" s="26" t="str">
        <f aca="false">IF(A249&amp;B249="","",IF(ISNA(MATCH(A249,lst_Profil,0)),"FEHLER: Profil unbekannt",IF(ISNA(MATCH(B249,lst_Werkstoff,0)),"FEHLER: Werkstoff unbekannt",IF(COUNTIFS($A$5:$A$304,A249,$B$5:$B$304,B249)&gt;1,"FEHLER: doppelt",IF(OR(C249="",D249=""),"FEHLER: Preis unvollständig",IF(AND(C249="€/Stange",E249=""),"FEHLER: Stangenlänge fehlt","OK"))))))</f>
        <v/>
      </c>
    </row>
    <row r="250" customFormat="false" ht="15" hidden="false" customHeight="false" outlineLevel="0" collapsed="false">
      <c r="A250" s="10"/>
      <c r="B250" s="10"/>
      <c r="C250" s="10"/>
      <c r="D250" s="32"/>
      <c r="E250" s="19"/>
      <c r="F250" s="14"/>
      <c r="G250" s="10"/>
      <c r="H250" s="10"/>
      <c r="I250" s="26" t="str">
        <f aca="false">IF(A250&amp;B250="","",IF(ISNA(MATCH(A250,lst_Profil,0)),"FEHLER: Profil unbekannt",IF(ISNA(MATCH(B250,lst_Werkstoff,0)),"FEHLER: Werkstoff unbekannt",IF(COUNTIFS($A$5:$A$304,A250,$B$5:$B$304,B250)&gt;1,"FEHLER: doppelt",IF(OR(C250="",D250=""),"FEHLER: Preis unvollständig",IF(AND(C250="€/Stange",E250=""),"FEHLER: Stangenlänge fehlt","OK"))))))</f>
        <v/>
      </c>
    </row>
    <row r="251" customFormat="false" ht="15" hidden="false" customHeight="false" outlineLevel="0" collapsed="false">
      <c r="A251" s="10"/>
      <c r="B251" s="10"/>
      <c r="C251" s="10"/>
      <c r="D251" s="32"/>
      <c r="E251" s="19"/>
      <c r="F251" s="14"/>
      <c r="G251" s="10"/>
      <c r="H251" s="10"/>
      <c r="I251" s="26" t="str">
        <f aca="false">IF(A251&amp;B251="","",IF(ISNA(MATCH(A251,lst_Profil,0)),"FEHLER: Profil unbekannt",IF(ISNA(MATCH(B251,lst_Werkstoff,0)),"FEHLER: Werkstoff unbekannt",IF(COUNTIFS($A$5:$A$304,A251,$B$5:$B$304,B251)&gt;1,"FEHLER: doppelt",IF(OR(C251="",D251=""),"FEHLER: Preis unvollständig",IF(AND(C251="€/Stange",E251=""),"FEHLER: Stangenlänge fehlt","OK"))))))</f>
        <v/>
      </c>
    </row>
    <row r="252" customFormat="false" ht="15" hidden="false" customHeight="false" outlineLevel="0" collapsed="false">
      <c r="A252" s="10"/>
      <c r="B252" s="10"/>
      <c r="C252" s="10"/>
      <c r="D252" s="32"/>
      <c r="E252" s="19"/>
      <c r="F252" s="14"/>
      <c r="G252" s="10"/>
      <c r="H252" s="10"/>
      <c r="I252" s="26" t="str">
        <f aca="false">IF(A252&amp;B252="","",IF(ISNA(MATCH(A252,lst_Profil,0)),"FEHLER: Profil unbekannt",IF(ISNA(MATCH(B252,lst_Werkstoff,0)),"FEHLER: Werkstoff unbekannt",IF(COUNTIFS($A$5:$A$304,A252,$B$5:$B$304,B252)&gt;1,"FEHLER: doppelt",IF(OR(C252="",D252=""),"FEHLER: Preis unvollständig",IF(AND(C252="€/Stange",E252=""),"FEHLER: Stangenlänge fehlt","OK"))))))</f>
        <v/>
      </c>
    </row>
    <row r="253" customFormat="false" ht="15" hidden="false" customHeight="false" outlineLevel="0" collapsed="false">
      <c r="A253" s="10"/>
      <c r="B253" s="10"/>
      <c r="C253" s="10"/>
      <c r="D253" s="32"/>
      <c r="E253" s="19"/>
      <c r="F253" s="14"/>
      <c r="G253" s="10"/>
      <c r="H253" s="10"/>
      <c r="I253" s="26" t="str">
        <f aca="false">IF(A253&amp;B253="","",IF(ISNA(MATCH(A253,lst_Profil,0)),"FEHLER: Profil unbekannt",IF(ISNA(MATCH(B253,lst_Werkstoff,0)),"FEHLER: Werkstoff unbekannt",IF(COUNTIFS($A$5:$A$304,A253,$B$5:$B$304,B253)&gt;1,"FEHLER: doppelt",IF(OR(C253="",D253=""),"FEHLER: Preis unvollständig",IF(AND(C253="€/Stange",E253=""),"FEHLER: Stangenlänge fehlt","OK"))))))</f>
        <v/>
      </c>
    </row>
    <row r="254" customFormat="false" ht="15" hidden="false" customHeight="false" outlineLevel="0" collapsed="false">
      <c r="A254" s="10"/>
      <c r="B254" s="10"/>
      <c r="C254" s="10"/>
      <c r="D254" s="32"/>
      <c r="E254" s="19"/>
      <c r="F254" s="14"/>
      <c r="G254" s="10"/>
      <c r="H254" s="10"/>
      <c r="I254" s="26" t="str">
        <f aca="false">IF(A254&amp;B254="","",IF(ISNA(MATCH(A254,lst_Profil,0)),"FEHLER: Profil unbekannt",IF(ISNA(MATCH(B254,lst_Werkstoff,0)),"FEHLER: Werkstoff unbekannt",IF(COUNTIFS($A$5:$A$304,A254,$B$5:$B$304,B254)&gt;1,"FEHLER: doppelt",IF(OR(C254="",D254=""),"FEHLER: Preis unvollständig",IF(AND(C254="€/Stange",E254=""),"FEHLER: Stangenlänge fehlt","OK"))))))</f>
        <v/>
      </c>
    </row>
    <row r="255" customFormat="false" ht="15" hidden="false" customHeight="false" outlineLevel="0" collapsed="false">
      <c r="A255" s="10"/>
      <c r="B255" s="10"/>
      <c r="C255" s="10"/>
      <c r="D255" s="32"/>
      <c r="E255" s="19"/>
      <c r="F255" s="14"/>
      <c r="G255" s="10"/>
      <c r="H255" s="10"/>
      <c r="I255" s="26" t="str">
        <f aca="false">IF(A255&amp;B255="","",IF(ISNA(MATCH(A255,lst_Profil,0)),"FEHLER: Profil unbekannt",IF(ISNA(MATCH(B255,lst_Werkstoff,0)),"FEHLER: Werkstoff unbekannt",IF(COUNTIFS($A$5:$A$304,A255,$B$5:$B$304,B255)&gt;1,"FEHLER: doppelt",IF(OR(C255="",D255=""),"FEHLER: Preis unvollständig",IF(AND(C255="€/Stange",E255=""),"FEHLER: Stangenlänge fehlt","OK"))))))</f>
        <v/>
      </c>
    </row>
    <row r="256" customFormat="false" ht="15" hidden="false" customHeight="false" outlineLevel="0" collapsed="false">
      <c r="A256" s="10"/>
      <c r="B256" s="10"/>
      <c r="C256" s="10"/>
      <c r="D256" s="32"/>
      <c r="E256" s="19"/>
      <c r="F256" s="14"/>
      <c r="G256" s="10"/>
      <c r="H256" s="10"/>
      <c r="I256" s="26" t="str">
        <f aca="false">IF(A256&amp;B256="","",IF(ISNA(MATCH(A256,lst_Profil,0)),"FEHLER: Profil unbekannt",IF(ISNA(MATCH(B256,lst_Werkstoff,0)),"FEHLER: Werkstoff unbekannt",IF(COUNTIFS($A$5:$A$304,A256,$B$5:$B$304,B256)&gt;1,"FEHLER: doppelt",IF(OR(C256="",D256=""),"FEHLER: Preis unvollständig",IF(AND(C256="€/Stange",E256=""),"FEHLER: Stangenlänge fehlt","OK"))))))</f>
        <v/>
      </c>
    </row>
    <row r="257" customFormat="false" ht="15" hidden="false" customHeight="false" outlineLevel="0" collapsed="false">
      <c r="A257" s="10"/>
      <c r="B257" s="10"/>
      <c r="C257" s="10"/>
      <c r="D257" s="32"/>
      <c r="E257" s="19"/>
      <c r="F257" s="14"/>
      <c r="G257" s="10"/>
      <c r="H257" s="10"/>
      <c r="I257" s="26" t="str">
        <f aca="false">IF(A257&amp;B257="","",IF(ISNA(MATCH(A257,lst_Profil,0)),"FEHLER: Profil unbekannt",IF(ISNA(MATCH(B257,lst_Werkstoff,0)),"FEHLER: Werkstoff unbekannt",IF(COUNTIFS($A$5:$A$304,A257,$B$5:$B$304,B257)&gt;1,"FEHLER: doppelt",IF(OR(C257="",D257=""),"FEHLER: Preis unvollständig",IF(AND(C257="€/Stange",E257=""),"FEHLER: Stangenlänge fehlt","OK"))))))</f>
        <v/>
      </c>
    </row>
    <row r="258" customFormat="false" ht="15" hidden="false" customHeight="false" outlineLevel="0" collapsed="false">
      <c r="A258" s="10"/>
      <c r="B258" s="10"/>
      <c r="C258" s="10"/>
      <c r="D258" s="32"/>
      <c r="E258" s="19"/>
      <c r="F258" s="14"/>
      <c r="G258" s="10"/>
      <c r="H258" s="10"/>
      <c r="I258" s="26" t="str">
        <f aca="false">IF(A258&amp;B258="","",IF(ISNA(MATCH(A258,lst_Profil,0)),"FEHLER: Profil unbekannt",IF(ISNA(MATCH(B258,lst_Werkstoff,0)),"FEHLER: Werkstoff unbekannt",IF(COUNTIFS($A$5:$A$304,A258,$B$5:$B$304,B258)&gt;1,"FEHLER: doppelt",IF(OR(C258="",D258=""),"FEHLER: Preis unvollständig",IF(AND(C258="€/Stange",E258=""),"FEHLER: Stangenlänge fehlt","OK"))))))</f>
        <v/>
      </c>
    </row>
    <row r="259" customFormat="false" ht="15" hidden="false" customHeight="false" outlineLevel="0" collapsed="false">
      <c r="A259" s="10"/>
      <c r="B259" s="10"/>
      <c r="C259" s="10"/>
      <c r="D259" s="32"/>
      <c r="E259" s="19"/>
      <c r="F259" s="14"/>
      <c r="G259" s="10"/>
      <c r="H259" s="10"/>
      <c r="I259" s="26" t="str">
        <f aca="false">IF(A259&amp;B259="","",IF(ISNA(MATCH(A259,lst_Profil,0)),"FEHLER: Profil unbekannt",IF(ISNA(MATCH(B259,lst_Werkstoff,0)),"FEHLER: Werkstoff unbekannt",IF(COUNTIFS($A$5:$A$304,A259,$B$5:$B$304,B259)&gt;1,"FEHLER: doppelt",IF(OR(C259="",D259=""),"FEHLER: Preis unvollständig",IF(AND(C259="€/Stange",E259=""),"FEHLER: Stangenlänge fehlt","OK"))))))</f>
        <v/>
      </c>
    </row>
    <row r="260" customFormat="false" ht="15" hidden="false" customHeight="false" outlineLevel="0" collapsed="false">
      <c r="A260" s="10"/>
      <c r="B260" s="10"/>
      <c r="C260" s="10"/>
      <c r="D260" s="32"/>
      <c r="E260" s="19"/>
      <c r="F260" s="14"/>
      <c r="G260" s="10"/>
      <c r="H260" s="10"/>
      <c r="I260" s="26" t="str">
        <f aca="false">IF(A260&amp;B260="","",IF(ISNA(MATCH(A260,lst_Profil,0)),"FEHLER: Profil unbekannt",IF(ISNA(MATCH(B260,lst_Werkstoff,0)),"FEHLER: Werkstoff unbekannt",IF(COUNTIFS($A$5:$A$304,A260,$B$5:$B$304,B260)&gt;1,"FEHLER: doppelt",IF(OR(C260="",D260=""),"FEHLER: Preis unvollständig",IF(AND(C260="€/Stange",E260=""),"FEHLER: Stangenlänge fehlt","OK"))))))</f>
        <v/>
      </c>
    </row>
    <row r="261" customFormat="false" ht="15" hidden="false" customHeight="false" outlineLevel="0" collapsed="false">
      <c r="A261" s="10"/>
      <c r="B261" s="10"/>
      <c r="C261" s="10"/>
      <c r="D261" s="32"/>
      <c r="E261" s="19"/>
      <c r="F261" s="14"/>
      <c r="G261" s="10"/>
      <c r="H261" s="10"/>
      <c r="I261" s="26" t="str">
        <f aca="false">IF(A261&amp;B261="","",IF(ISNA(MATCH(A261,lst_Profil,0)),"FEHLER: Profil unbekannt",IF(ISNA(MATCH(B261,lst_Werkstoff,0)),"FEHLER: Werkstoff unbekannt",IF(COUNTIFS($A$5:$A$304,A261,$B$5:$B$304,B261)&gt;1,"FEHLER: doppelt",IF(OR(C261="",D261=""),"FEHLER: Preis unvollständig",IF(AND(C261="€/Stange",E261=""),"FEHLER: Stangenlänge fehlt","OK"))))))</f>
        <v/>
      </c>
    </row>
    <row r="262" customFormat="false" ht="15" hidden="false" customHeight="false" outlineLevel="0" collapsed="false">
      <c r="A262" s="10"/>
      <c r="B262" s="10"/>
      <c r="C262" s="10"/>
      <c r="D262" s="32"/>
      <c r="E262" s="19"/>
      <c r="F262" s="14"/>
      <c r="G262" s="10"/>
      <c r="H262" s="10"/>
      <c r="I262" s="26" t="str">
        <f aca="false">IF(A262&amp;B262="","",IF(ISNA(MATCH(A262,lst_Profil,0)),"FEHLER: Profil unbekannt",IF(ISNA(MATCH(B262,lst_Werkstoff,0)),"FEHLER: Werkstoff unbekannt",IF(COUNTIFS($A$5:$A$304,A262,$B$5:$B$304,B262)&gt;1,"FEHLER: doppelt",IF(OR(C262="",D262=""),"FEHLER: Preis unvollständig",IF(AND(C262="€/Stange",E262=""),"FEHLER: Stangenlänge fehlt","OK"))))))</f>
        <v/>
      </c>
    </row>
    <row r="263" customFormat="false" ht="15" hidden="false" customHeight="false" outlineLevel="0" collapsed="false">
      <c r="A263" s="10"/>
      <c r="B263" s="10"/>
      <c r="C263" s="10"/>
      <c r="D263" s="32"/>
      <c r="E263" s="19"/>
      <c r="F263" s="14"/>
      <c r="G263" s="10"/>
      <c r="H263" s="10"/>
      <c r="I263" s="26" t="str">
        <f aca="false">IF(A263&amp;B263="","",IF(ISNA(MATCH(A263,lst_Profil,0)),"FEHLER: Profil unbekannt",IF(ISNA(MATCH(B263,lst_Werkstoff,0)),"FEHLER: Werkstoff unbekannt",IF(COUNTIFS($A$5:$A$304,A263,$B$5:$B$304,B263)&gt;1,"FEHLER: doppelt",IF(OR(C263="",D263=""),"FEHLER: Preis unvollständig",IF(AND(C263="€/Stange",E263=""),"FEHLER: Stangenlänge fehlt","OK"))))))</f>
        <v/>
      </c>
    </row>
    <row r="264" customFormat="false" ht="15" hidden="false" customHeight="false" outlineLevel="0" collapsed="false">
      <c r="A264" s="10"/>
      <c r="B264" s="10"/>
      <c r="C264" s="10"/>
      <c r="D264" s="32"/>
      <c r="E264" s="19"/>
      <c r="F264" s="14"/>
      <c r="G264" s="10"/>
      <c r="H264" s="10"/>
      <c r="I264" s="26" t="str">
        <f aca="false">IF(A264&amp;B264="","",IF(ISNA(MATCH(A264,lst_Profil,0)),"FEHLER: Profil unbekannt",IF(ISNA(MATCH(B264,lst_Werkstoff,0)),"FEHLER: Werkstoff unbekannt",IF(COUNTIFS($A$5:$A$304,A264,$B$5:$B$304,B264)&gt;1,"FEHLER: doppelt",IF(OR(C264="",D264=""),"FEHLER: Preis unvollständig",IF(AND(C264="€/Stange",E264=""),"FEHLER: Stangenlänge fehlt","OK"))))))</f>
        <v/>
      </c>
    </row>
    <row r="265" customFormat="false" ht="15" hidden="false" customHeight="false" outlineLevel="0" collapsed="false">
      <c r="A265" s="10"/>
      <c r="B265" s="10"/>
      <c r="C265" s="10"/>
      <c r="D265" s="32"/>
      <c r="E265" s="19"/>
      <c r="F265" s="14"/>
      <c r="G265" s="10"/>
      <c r="H265" s="10"/>
      <c r="I265" s="26" t="str">
        <f aca="false">IF(A265&amp;B265="","",IF(ISNA(MATCH(A265,lst_Profil,0)),"FEHLER: Profil unbekannt",IF(ISNA(MATCH(B265,lst_Werkstoff,0)),"FEHLER: Werkstoff unbekannt",IF(COUNTIFS($A$5:$A$304,A265,$B$5:$B$304,B265)&gt;1,"FEHLER: doppelt",IF(OR(C265="",D265=""),"FEHLER: Preis unvollständig",IF(AND(C265="€/Stange",E265=""),"FEHLER: Stangenlänge fehlt","OK"))))))</f>
        <v/>
      </c>
    </row>
    <row r="266" customFormat="false" ht="15" hidden="false" customHeight="false" outlineLevel="0" collapsed="false">
      <c r="A266" s="10"/>
      <c r="B266" s="10"/>
      <c r="C266" s="10"/>
      <c r="D266" s="32"/>
      <c r="E266" s="19"/>
      <c r="F266" s="14"/>
      <c r="G266" s="10"/>
      <c r="H266" s="10"/>
      <c r="I266" s="26" t="str">
        <f aca="false">IF(A266&amp;B266="","",IF(ISNA(MATCH(A266,lst_Profil,0)),"FEHLER: Profil unbekannt",IF(ISNA(MATCH(B266,lst_Werkstoff,0)),"FEHLER: Werkstoff unbekannt",IF(COUNTIFS($A$5:$A$304,A266,$B$5:$B$304,B266)&gt;1,"FEHLER: doppelt",IF(OR(C266="",D266=""),"FEHLER: Preis unvollständig",IF(AND(C266="€/Stange",E266=""),"FEHLER: Stangenlänge fehlt","OK"))))))</f>
        <v/>
      </c>
    </row>
    <row r="267" customFormat="false" ht="15" hidden="false" customHeight="false" outlineLevel="0" collapsed="false">
      <c r="A267" s="10"/>
      <c r="B267" s="10"/>
      <c r="C267" s="10"/>
      <c r="D267" s="32"/>
      <c r="E267" s="19"/>
      <c r="F267" s="14"/>
      <c r="G267" s="10"/>
      <c r="H267" s="10"/>
      <c r="I267" s="26" t="str">
        <f aca="false">IF(A267&amp;B267="","",IF(ISNA(MATCH(A267,lst_Profil,0)),"FEHLER: Profil unbekannt",IF(ISNA(MATCH(B267,lst_Werkstoff,0)),"FEHLER: Werkstoff unbekannt",IF(COUNTIFS($A$5:$A$304,A267,$B$5:$B$304,B267)&gt;1,"FEHLER: doppelt",IF(OR(C267="",D267=""),"FEHLER: Preis unvollständig",IF(AND(C267="€/Stange",E267=""),"FEHLER: Stangenlänge fehlt","OK"))))))</f>
        <v/>
      </c>
    </row>
    <row r="268" customFormat="false" ht="15" hidden="false" customHeight="false" outlineLevel="0" collapsed="false">
      <c r="A268" s="10"/>
      <c r="B268" s="10"/>
      <c r="C268" s="10"/>
      <c r="D268" s="32"/>
      <c r="E268" s="19"/>
      <c r="F268" s="14"/>
      <c r="G268" s="10"/>
      <c r="H268" s="10"/>
      <c r="I268" s="26" t="str">
        <f aca="false">IF(A268&amp;B268="","",IF(ISNA(MATCH(A268,lst_Profil,0)),"FEHLER: Profil unbekannt",IF(ISNA(MATCH(B268,lst_Werkstoff,0)),"FEHLER: Werkstoff unbekannt",IF(COUNTIFS($A$5:$A$304,A268,$B$5:$B$304,B268)&gt;1,"FEHLER: doppelt",IF(OR(C268="",D268=""),"FEHLER: Preis unvollständig",IF(AND(C268="€/Stange",E268=""),"FEHLER: Stangenlänge fehlt","OK"))))))</f>
        <v/>
      </c>
    </row>
    <row r="269" customFormat="false" ht="15" hidden="false" customHeight="false" outlineLevel="0" collapsed="false">
      <c r="A269" s="10"/>
      <c r="B269" s="10"/>
      <c r="C269" s="10"/>
      <c r="D269" s="32"/>
      <c r="E269" s="19"/>
      <c r="F269" s="14"/>
      <c r="G269" s="10"/>
      <c r="H269" s="10"/>
      <c r="I269" s="26" t="str">
        <f aca="false">IF(A269&amp;B269="","",IF(ISNA(MATCH(A269,lst_Profil,0)),"FEHLER: Profil unbekannt",IF(ISNA(MATCH(B269,lst_Werkstoff,0)),"FEHLER: Werkstoff unbekannt",IF(COUNTIFS($A$5:$A$304,A269,$B$5:$B$304,B269)&gt;1,"FEHLER: doppelt",IF(OR(C269="",D269=""),"FEHLER: Preis unvollständig",IF(AND(C269="€/Stange",E269=""),"FEHLER: Stangenlänge fehlt","OK"))))))</f>
        <v/>
      </c>
    </row>
    <row r="270" customFormat="false" ht="15" hidden="false" customHeight="false" outlineLevel="0" collapsed="false">
      <c r="A270" s="10"/>
      <c r="B270" s="10"/>
      <c r="C270" s="10"/>
      <c r="D270" s="32"/>
      <c r="E270" s="19"/>
      <c r="F270" s="14"/>
      <c r="G270" s="10"/>
      <c r="H270" s="10"/>
      <c r="I270" s="26" t="str">
        <f aca="false">IF(A270&amp;B270="","",IF(ISNA(MATCH(A270,lst_Profil,0)),"FEHLER: Profil unbekannt",IF(ISNA(MATCH(B270,lst_Werkstoff,0)),"FEHLER: Werkstoff unbekannt",IF(COUNTIFS($A$5:$A$304,A270,$B$5:$B$304,B270)&gt;1,"FEHLER: doppelt",IF(OR(C270="",D270=""),"FEHLER: Preis unvollständig",IF(AND(C270="€/Stange",E270=""),"FEHLER: Stangenlänge fehlt","OK"))))))</f>
        <v/>
      </c>
    </row>
    <row r="271" customFormat="false" ht="15" hidden="false" customHeight="false" outlineLevel="0" collapsed="false">
      <c r="A271" s="10"/>
      <c r="B271" s="10"/>
      <c r="C271" s="10"/>
      <c r="D271" s="32"/>
      <c r="E271" s="19"/>
      <c r="F271" s="14"/>
      <c r="G271" s="10"/>
      <c r="H271" s="10"/>
      <c r="I271" s="26" t="str">
        <f aca="false">IF(A271&amp;B271="","",IF(ISNA(MATCH(A271,lst_Profil,0)),"FEHLER: Profil unbekannt",IF(ISNA(MATCH(B271,lst_Werkstoff,0)),"FEHLER: Werkstoff unbekannt",IF(COUNTIFS($A$5:$A$304,A271,$B$5:$B$304,B271)&gt;1,"FEHLER: doppelt",IF(OR(C271="",D271=""),"FEHLER: Preis unvollständig",IF(AND(C271="€/Stange",E271=""),"FEHLER: Stangenlänge fehlt","OK"))))))</f>
        <v/>
      </c>
    </row>
    <row r="272" customFormat="false" ht="15" hidden="false" customHeight="false" outlineLevel="0" collapsed="false">
      <c r="A272" s="10"/>
      <c r="B272" s="10"/>
      <c r="C272" s="10"/>
      <c r="D272" s="32"/>
      <c r="E272" s="19"/>
      <c r="F272" s="14"/>
      <c r="G272" s="10"/>
      <c r="H272" s="10"/>
      <c r="I272" s="26" t="str">
        <f aca="false">IF(A272&amp;B272="","",IF(ISNA(MATCH(A272,lst_Profil,0)),"FEHLER: Profil unbekannt",IF(ISNA(MATCH(B272,lst_Werkstoff,0)),"FEHLER: Werkstoff unbekannt",IF(COUNTIFS($A$5:$A$304,A272,$B$5:$B$304,B272)&gt;1,"FEHLER: doppelt",IF(OR(C272="",D272=""),"FEHLER: Preis unvollständig",IF(AND(C272="€/Stange",E272=""),"FEHLER: Stangenlänge fehlt","OK"))))))</f>
        <v/>
      </c>
    </row>
    <row r="273" customFormat="false" ht="15" hidden="false" customHeight="false" outlineLevel="0" collapsed="false">
      <c r="A273" s="10"/>
      <c r="B273" s="10"/>
      <c r="C273" s="10"/>
      <c r="D273" s="32"/>
      <c r="E273" s="19"/>
      <c r="F273" s="14"/>
      <c r="G273" s="10"/>
      <c r="H273" s="10"/>
      <c r="I273" s="26" t="str">
        <f aca="false">IF(A273&amp;B273="","",IF(ISNA(MATCH(A273,lst_Profil,0)),"FEHLER: Profil unbekannt",IF(ISNA(MATCH(B273,lst_Werkstoff,0)),"FEHLER: Werkstoff unbekannt",IF(COUNTIFS($A$5:$A$304,A273,$B$5:$B$304,B273)&gt;1,"FEHLER: doppelt",IF(OR(C273="",D273=""),"FEHLER: Preis unvollständig",IF(AND(C273="€/Stange",E273=""),"FEHLER: Stangenlänge fehlt","OK"))))))</f>
        <v/>
      </c>
    </row>
    <row r="274" customFormat="false" ht="15" hidden="false" customHeight="false" outlineLevel="0" collapsed="false">
      <c r="A274" s="10"/>
      <c r="B274" s="10"/>
      <c r="C274" s="10"/>
      <c r="D274" s="32"/>
      <c r="E274" s="19"/>
      <c r="F274" s="14"/>
      <c r="G274" s="10"/>
      <c r="H274" s="10"/>
      <c r="I274" s="26" t="str">
        <f aca="false">IF(A274&amp;B274="","",IF(ISNA(MATCH(A274,lst_Profil,0)),"FEHLER: Profil unbekannt",IF(ISNA(MATCH(B274,lst_Werkstoff,0)),"FEHLER: Werkstoff unbekannt",IF(COUNTIFS($A$5:$A$304,A274,$B$5:$B$304,B274)&gt;1,"FEHLER: doppelt",IF(OR(C274="",D274=""),"FEHLER: Preis unvollständig",IF(AND(C274="€/Stange",E274=""),"FEHLER: Stangenlänge fehlt","OK"))))))</f>
        <v/>
      </c>
    </row>
    <row r="275" customFormat="false" ht="15" hidden="false" customHeight="false" outlineLevel="0" collapsed="false">
      <c r="A275" s="10"/>
      <c r="B275" s="10"/>
      <c r="C275" s="10"/>
      <c r="D275" s="32"/>
      <c r="E275" s="19"/>
      <c r="F275" s="14"/>
      <c r="G275" s="10"/>
      <c r="H275" s="10"/>
      <c r="I275" s="26" t="str">
        <f aca="false">IF(A275&amp;B275="","",IF(ISNA(MATCH(A275,lst_Profil,0)),"FEHLER: Profil unbekannt",IF(ISNA(MATCH(B275,lst_Werkstoff,0)),"FEHLER: Werkstoff unbekannt",IF(COUNTIFS($A$5:$A$304,A275,$B$5:$B$304,B275)&gt;1,"FEHLER: doppelt",IF(OR(C275="",D275=""),"FEHLER: Preis unvollständig",IF(AND(C275="€/Stange",E275=""),"FEHLER: Stangenlänge fehlt","OK"))))))</f>
        <v/>
      </c>
    </row>
    <row r="276" customFormat="false" ht="15" hidden="false" customHeight="false" outlineLevel="0" collapsed="false">
      <c r="A276" s="10"/>
      <c r="B276" s="10"/>
      <c r="C276" s="10"/>
      <c r="D276" s="32"/>
      <c r="E276" s="19"/>
      <c r="F276" s="14"/>
      <c r="G276" s="10"/>
      <c r="H276" s="10"/>
      <c r="I276" s="26" t="str">
        <f aca="false">IF(A276&amp;B276="","",IF(ISNA(MATCH(A276,lst_Profil,0)),"FEHLER: Profil unbekannt",IF(ISNA(MATCH(B276,lst_Werkstoff,0)),"FEHLER: Werkstoff unbekannt",IF(COUNTIFS($A$5:$A$304,A276,$B$5:$B$304,B276)&gt;1,"FEHLER: doppelt",IF(OR(C276="",D276=""),"FEHLER: Preis unvollständig",IF(AND(C276="€/Stange",E276=""),"FEHLER: Stangenlänge fehlt","OK"))))))</f>
        <v/>
      </c>
    </row>
    <row r="277" customFormat="false" ht="15" hidden="false" customHeight="false" outlineLevel="0" collapsed="false">
      <c r="A277" s="10"/>
      <c r="B277" s="10"/>
      <c r="C277" s="10"/>
      <c r="D277" s="32"/>
      <c r="E277" s="19"/>
      <c r="F277" s="14"/>
      <c r="G277" s="10"/>
      <c r="H277" s="10"/>
      <c r="I277" s="26" t="str">
        <f aca="false">IF(A277&amp;B277="","",IF(ISNA(MATCH(A277,lst_Profil,0)),"FEHLER: Profil unbekannt",IF(ISNA(MATCH(B277,lst_Werkstoff,0)),"FEHLER: Werkstoff unbekannt",IF(COUNTIFS($A$5:$A$304,A277,$B$5:$B$304,B277)&gt;1,"FEHLER: doppelt",IF(OR(C277="",D277=""),"FEHLER: Preis unvollständig",IF(AND(C277="€/Stange",E277=""),"FEHLER: Stangenlänge fehlt","OK"))))))</f>
        <v/>
      </c>
    </row>
    <row r="278" customFormat="false" ht="15" hidden="false" customHeight="false" outlineLevel="0" collapsed="false">
      <c r="A278" s="10"/>
      <c r="B278" s="10"/>
      <c r="C278" s="10"/>
      <c r="D278" s="32"/>
      <c r="E278" s="19"/>
      <c r="F278" s="14"/>
      <c r="G278" s="10"/>
      <c r="H278" s="10"/>
      <c r="I278" s="26" t="str">
        <f aca="false">IF(A278&amp;B278="","",IF(ISNA(MATCH(A278,lst_Profil,0)),"FEHLER: Profil unbekannt",IF(ISNA(MATCH(B278,lst_Werkstoff,0)),"FEHLER: Werkstoff unbekannt",IF(COUNTIFS($A$5:$A$304,A278,$B$5:$B$304,B278)&gt;1,"FEHLER: doppelt",IF(OR(C278="",D278=""),"FEHLER: Preis unvollständig",IF(AND(C278="€/Stange",E278=""),"FEHLER: Stangenlänge fehlt","OK"))))))</f>
        <v/>
      </c>
    </row>
    <row r="279" customFormat="false" ht="15" hidden="false" customHeight="false" outlineLevel="0" collapsed="false">
      <c r="A279" s="10"/>
      <c r="B279" s="10"/>
      <c r="C279" s="10"/>
      <c r="D279" s="32"/>
      <c r="E279" s="19"/>
      <c r="F279" s="14"/>
      <c r="G279" s="10"/>
      <c r="H279" s="10"/>
      <c r="I279" s="26" t="str">
        <f aca="false">IF(A279&amp;B279="","",IF(ISNA(MATCH(A279,lst_Profil,0)),"FEHLER: Profil unbekannt",IF(ISNA(MATCH(B279,lst_Werkstoff,0)),"FEHLER: Werkstoff unbekannt",IF(COUNTIFS($A$5:$A$304,A279,$B$5:$B$304,B279)&gt;1,"FEHLER: doppelt",IF(OR(C279="",D279=""),"FEHLER: Preis unvollständig",IF(AND(C279="€/Stange",E279=""),"FEHLER: Stangenlänge fehlt","OK"))))))</f>
        <v/>
      </c>
    </row>
    <row r="280" customFormat="false" ht="15" hidden="false" customHeight="false" outlineLevel="0" collapsed="false">
      <c r="A280" s="10"/>
      <c r="B280" s="10"/>
      <c r="C280" s="10"/>
      <c r="D280" s="32"/>
      <c r="E280" s="19"/>
      <c r="F280" s="14"/>
      <c r="G280" s="10"/>
      <c r="H280" s="10"/>
      <c r="I280" s="26" t="str">
        <f aca="false">IF(A280&amp;B280="","",IF(ISNA(MATCH(A280,lst_Profil,0)),"FEHLER: Profil unbekannt",IF(ISNA(MATCH(B280,lst_Werkstoff,0)),"FEHLER: Werkstoff unbekannt",IF(COUNTIFS($A$5:$A$304,A280,$B$5:$B$304,B280)&gt;1,"FEHLER: doppelt",IF(OR(C280="",D280=""),"FEHLER: Preis unvollständig",IF(AND(C280="€/Stange",E280=""),"FEHLER: Stangenlänge fehlt","OK"))))))</f>
        <v/>
      </c>
    </row>
    <row r="281" customFormat="false" ht="15" hidden="false" customHeight="false" outlineLevel="0" collapsed="false">
      <c r="A281" s="10"/>
      <c r="B281" s="10"/>
      <c r="C281" s="10"/>
      <c r="D281" s="32"/>
      <c r="E281" s="19"/>
      <c r="F281" s="14"/>
      <c r="G281" s="10"/>
      <c r="H281" s="10"/>
      <c r="I281" s="26" t="str">
        <f aca="false">IF(A281&amp;B281="","",IF(ISNA(MATCH(A281,lst_Profil,0)),"FEHLER: Profil unbekannt",IF(ISNA(MATCH(B281,lst_Werkstoff,0)),"FEHLER: Werkstoff unbekannt",IF(COUNTIFS($A$5:$A$304,A281,$B$5:$B$304,B281)&gt;1,"FEHLER: doppelt",IF(OR(C281="",D281=""),"FEHLER: Preis unvollständig",IF(AND(C281="€/Stange",E281=""),"FEHLER: Stangenlänge fehlt","OK"))))))</f>
        <v/>
      </c>
    </row>
    <row r="282" customFormat="false" ht="15" hidden="false" customHeight="false" outlineLevel="0" collapsed="false">
      <c r="A282" s="10"/>
      <c r="B282" s="10"/>
      <c r="C282" s="10"/>
      <c r="D282" s="32"/>
      <c r="E282" s="19"/>
      <c r="F282" s="14"/>
      <c r="G282" s="10"/>
      <c r="H282" s="10"/>
      <c r="I282" s="26" t="str">
        <f aca="false">IF(A282&amp;B282="","",IF(ISNA(MATCH(A282,lst_Profil,0)),"FEHLER: Profil unbekannt",IF(ISNA(MATCH(B282,lst_Werkstoff,0)),"FEHLER: Werkstoff unbekannt",IF(COUNTIFS($A$5:$A$304,A282,$B$5:$B$304,B282)&gt;1,"FEHLER: doppelt",IF(OR(C282="",D282=""),"FEHLER: Preis unvollständig",IF(AND(C282="€/Stange",E282=""),"FEHLER: Stangenlänge fehlt","OK"))))))</f>
        <v/>
      </c>
    </row>
    <row r="283" customFormat="false" ht="15" hidden="false" customHeight="false" outlineLevel="0" collapsed="false">
      <c r="A283" s="10"/>
      <c r="B283" s="10"/>
      <c r="C283" s="10"/>
      <c r="D283" s="32"/>
      <c r="E283" s="19"/>
      <c r="F283" s="14"/>
      <c r="G283" s="10"/>
      <c r="H283" s="10"/>
      <c r="I283" s="26" t="str">
        <f aca="false">IF(A283&amp;B283="","",IF(ISNA(MATCH(A283,lst_Profil,0)),"FEHLER: Profil unbekannt",IF(ISNA(MATCH(B283,lst_Werkstoff,0)),"FEHLER: Werkstoff unbekannt",IF(COUNTIFS($A$5:$A$304,A283,$B$5:$B$304,B283)&gt;1,"FEHLER: doppelt",IF(OR(C283="",D283=""),"FEHLER: Preis unvollständig",IF(AND(C283="€/Stange",E283=""),"FEHLER: Stangenlänge fehlt","OK"))))))</f>
        <v/>
      </c>
    </row>
    <row r="284" customFormat="false" ht="15" hidden="false" customHeight="false" outlineLevel="0" collapsed="false">
      <c r="A284" s="10"/>
      <c r="B284" s="10"/>
      <c r="C284" s="10"/>
      <c r="D284" s="32"/>
      <c r="E284" s="19"/>
      <c r="F284" s="14"/>
      <c r="G284" s="10"/>
      <c r="H284" s="10"/>
      <c r="I284" s="26" t="str">
        <f aca="false">IF(A284&amp;B284="","",IF(ISNA(MATCH(A284,lst_Profil,0)),"FEHLER: Profil unbekannt",IF(ISNA(MATCH(B284,lst_Werkstoff,0)),"FEHLER: Werkstoff unbekannt",IF(COUNTIFS($A$5:$A$304,A284,$B$5:$B$304,B284)&gt;1,"FEHLER: doppelt",IF(OR(C284="",D284=""),"FEHLER: Preis unvollständig",IF(AND(C284="€/Stange",E284=""),"FEHLER: Stangenlänge fehlt","OK"))))))</f>
        <v/>
      </c>
    </row>
    <row r="285" customFormat="false" ht="15" hidden="false" customHeight="false" outlineLevel="0" collapsed="false">
      <c r="A285" s="10"/>
      <c r="B285" s="10"/>
      <c r="C285" s="10"/>
      <c r="D285" s="32"/>
      <c r="E285" s="19"/>
      <c r="F285" s="14"/>
      <c r="G285" s="10"/>
      <c r="H285" s="10"/>
      <c r="I285" s="26" t="str">
        <f aca="false">IF(A285&amp;B285="","",IF(ISNA(MATCH(A285,lst_Profil,0)),"FEHLER: Profil unbekannt",IF(ISNA(MATCH(B285,lst_Werkstoff,0)),"FEHLER: Werkstoff unbekannt",IF(COUNTIFS($A$5:$A$304,A285,$B$5:$B$304,B285)&gt;1,"FEHLER: doppelt",IF(OR(C285="",D285=""),"FEHLER: Preis unvollständig",IF(AND(C285="€/Stange",E285=""),"FEHLER: Stangenlänge fehlt","OK"))))))</f>
        <v/>
      </c>
    </row>
    <row r="286" customFormat="false" ht="15" hidden="false" customHeight="false" outlineLevel="0" collapsed="false">
      <c r="A286" s="10"/>
      <c r="B286" s="10"/>
      <c r="C286" s="10"/>
      <c r="D286" s="32"/>
      <c r="E286" s="19"/>
      <c r="F286" s="14"/>
      <c r="G286" s="10"/>
      <c r="H286" s="10"/>
      <c r="I286" s="26" t="str">
        <f aca="false">IF(A286&amp;B286="","",IF(ISNA(MATCH(A286,lst_Profil,0)),"FEHLER: Profil unbekannt",IF(ISNA(MATCH(B286,lst_Werkstoff,0)),"FEHLER: Werkstoff unbekannt",IF(COUNTIFS($A$5:$A$304,A286,$B$5:$B$304,B286)&gt;1,"FEHLER: doppelt",IF(OR(C286="",D286=""),"FEHLER: Preis unvollständig",IF(AND(C286="€/Stange",E286=""),"FEHLER: Stangenlänge fehlt","OK"))))))</f>
        <v/>
      </c>
    </row>
    <row r="287" customFormat="false" ht="15" hidden="false" customHeight="false" outlineLevel="0" collapsed="false">
      <c r="A287" s="10"/>
      <c r="B287" s="10"/>
      <c r="C287" s="10"/>
      <c r="D287" s="32"/>
      <c r="E287" s="19"/>
      <c r="F287" s="14"/>
      <c r="G287" s="10"/>
      <c r="H287" s="10"/>
      <c r="I287" s="26" t="str">
        <f aca="false">IF(A287&amp;B287="","",IF(ISNA(MATCH(A287,lst_Profil,0)),"FEHLER: Profil unbekannt",IF(ISNA(MATCH(B287,lst_Werkstoff,0)),"FEHLER: Werkstoff unbekannt",IF(COUNTIFS($A$5:$A$304,A287,$B$5:$B$304,B287)&gt;1,"FEHLER: doppelt",IF(OR(C287="",D287=""),"FEHLER: Preis unvollständig",IF(AND(C287="€/Stange",E287=""),"FEHLER: Stangenlänge fehlt","OK"))))))</f>
        <v/>
      </c>
    </row>
    <row r="288" customFormat="false" ht="15" hidden="false" customHeight="false" outlineLevel="0" collapsed="false">
      <c r="A288" s="10"/>
      <c r="B288" s="10"/>
      <c r="C288" s="10"/>
      <c r="D288" s="32"/>
      <c r="E288" s="19"/>
      <c r="F288" s="14"/>
      <c r="G288" s="10"/>
      <c r="H288" s="10"/>
      <c r="I288" s="26" t="str">
        <f aca="false">IF(A288&amp;B288="","",IF(ISNA(MATCH(A288,lst_Profil,0)),"FEHLER: Profil unbekannt",IF(ISNA(MATCH(B288,lst_Werkstoff,0)),"FEHLER: Werkstoff unbekannt",IF(COUNTIFS($A$5:$A$304,A288,$B$5:$B$304,B288)&gt;1,"FEHLER: doppelt",IF(OR(C288="",D288=""),"FEHLER: Preis unvollständig",IF(AND(C288="€/Stange",E288=""),"FEHLER: Stangenlänge fehlt","OK"))))))</f>
        <v/>
      </c>
    </row>
    <row r="289" customFormat="false" ht="15" hidden="false" customHeight="false" outlineLevel="0" collapsed="false">
      <c r="A289" s="10"/>
      <c r="B289" s="10"/>
      <c r="C289" s="10"/>
      <c r="D289" s="32"/>
      <c r="E289" s="19"/>
      <c r="F289" s="14"/>
      <c r="G289" s="10"/>
      <c r="H289" s="10"/>
      <c r="I289" s="26" t="str">
        <f aca="false">IF(A289&amp;B289="","",IF(ISNA(MATCH(A289,lst_Profil,0)),"FEHLER: Profil unbekannt",IF(ISNA(MATCH(B289,lst_Werkstoff,0)),"FEHLER: Werkstoff unbekannt",IF(COUNTIFS($A$5:$A$304,A289,$B$5:$B$304,B289)&gt;1,"FEHLER: doppelt",IF(OR(C289="",D289=""),"FEHLER: Preis unvollständig",IF(AND(C289="€/Stange",E289=""),"FEHLER: Stangenlänge fehlt","OK"))))))</f>
        <v/>
      </c>
    </row>
    <row r="290" customFormat="false" ht="15" hidden="false" customHeight="false" outlineLevel="0" collapsed="false">
      <c r="A290" s="10"/>
      <c r="B290" s="10"/>
      <c r="C290" s="10"/>
      <c r="D290" s="32"/>
      <c r="E290" s="19"/>
      <c r="F290" s="14"/>
      <c r="G290" s="10"/>
      <c r="H290" s="10"/>
      <c r="I290" s="26" t="str">
        <f aca="false">IF(A290&amp;B290="","",IF(ISNA(MATCH(A290,lst_Profil,0)),"FEHLER: Profil unbekannt",IF(ISNA(MATCH(B290,lst_Werkstoff,0)),"FEHLER: Werkstoff unbekannt",IF(COUNTIFS($A$5:$A$304,A290,$B$5:$B$304,B290)&gt;1,"FEHLER: doppelt",IF(OR(C290="",D290=""),"FEHLER: Preis unvollständig",IF(AND(C290="€/Stange",E290=""),"FEHLER: Stangenlänge fehlt","OK"))))))</f>
        <v/>
      </c>
    </row>
    <row r="291" customFormat="false" ht="15" hidden="false" customHeight="false" outlineLevel="0" collapsed="false">
      <c r="A291" s="10"/>
      <c r="B291" s="10"/>
      <c r="C291" s="10"/>
      <c r="D291" s="32"/>
      <c r="E291" s="19"/>
      <c r="F291" s="14"/>
      <c r="G291" s="10"/>
      <c r="H291" s="10"/>
      <c r="I291" s="26" t="str">
        <f aca="false">IF(A291&amp;B291="","",IF(ISNA(MATCH(A291,lst_Profil,0)),"FEHLER: Profil unbekannt",IF(ISNA(MATCH(B291,lst_Werkstoff,0)),"FEHLER: Werkstoff unbekannt",IF(COUNTIFS($A$5:$A$304,A291,$B$5:$B$304,B291)&gt;1,"FEHLER: doppelt",IF(OR(C291="",D291=""),"FEHLER: Preis unvollständig",IF(AND(C291="€/Stange",E291=""),"FEHLER: Stangenlänge fehlt","OK"))))))</f>
        <v/>
      </c>
    </row>
    <row r="292" customFormat="false" ht="15" hidden="false" customHeight="false" outlineLevel="0" collapsed="false">
      <c r="A292" s="10"/>
      <c r="B292" s="10"/>
      <c r="C292" s="10"/>
      <c r="D292" s="32"/>
      <c r="E292" s="19"/>
      <c r="F292" s="14"/>
      <c r="G292" s="10"/>
      <c r="H292" s="10"/>
      <c r="I292" s="26" t="str">
        <f aca="false">IF(A292&amp;B292="","",IF(ISNA(MATCH(A292,lst_Profil,0)),"FEHLER: Profil unbekannt",IF(ISNA(MATCH(B292,lst_Werkstoff,0)),"FEHLER: Werkstoff unbekannt",IF(COUNTIFS($A$5:$A$304,A292,$B$5:$B$304,B292)&gt;1,"FEHLER: doppelt",IF(OR(C292="",D292=""),"FEHLER: Preis unvollständig",IF(AND(C292="€/Stange",E292=""),"FEHLER: Stangenlänge fehlt","OK"))))))</f>
        <v/>
      </c>
    </row>
    <row r="293" customFormat="false" ht="15" hidden="false" customHeight="false" outlineLevel="0" collapsed="false">
      <c r="A293" s="10"/>
      <c r="B293" s="10"/>
      <c r="C293" s="10"/>
      <c r="D293" s="32"/>
      <c r="E293" s="19"/>
      <c r="F293" s="14"/>
      <c r="G293" s="10"/>
      <c r="H293" s="10"/>
      <c r="I293" s="26" t="str">
        <f aca="false">IF(A293&amp;B293="","",IF(ISNA(MATCH(A293,lst_Profil,0)),"FEHLER: Profil unbekannt",IF(ISNA(MATCH(B293,lst_Werkstoff,0)),"FEHLER: Werkstoff unbekannt",IF(COUNTIFS($A$5:$A$304,A293,$B$5:$B$304,B293)&gt;1,"FEHLER: doppelt",IF(OR(C293="",D293=""),"FEHLER: Preis unvollständig",IF(AND(C293="€/Stange",E293=""),"FEHLER: Stangenlänge fehlt","OK"))))))</f>
        <v/>
      </c>
    </row>
    <row r="294" customFormat="false" ht="15" hidden="false" customHeight="false" outlineLevel="0" collapsed="false">
      <c r="A294" s="10"/>
      <c r="B294" s="10"/>
      <c r="C294" s="10"/>
      <c r="D294" s="32"/>
      <c r="E294" s="19"/>
      <c r="F294" s="14"/>
      <c r="G294" s="10"/>
      <c r="H294" s="10"/>
      <c r="I294" s="26" t="str">
        <f aca="false">IF(A294&amp;B294="","",IF(ISNA(MATCH(A294,lst_Profil,0)),"FEHLER: Profil unbekannt",IF(ISNA(MATCH(B294,lst_Werkstoff,0)),"FEHLER: Werkstoff unbekannt",IF(COUNTIFS($A$5:$A$304,A294,$B$5:$B$304,B294)&gt;1,"FEHLER: doppelt",IF(OR(C294="",D294=""),"FEHLER: Preis unvollständig",IF(AND(C294="€/Stange",E294=""),"FEHLER: Stangenlänge fehlt","OK"))))))</f>
        <v/>
      </c>
    </row>
    <row r="295" customFormat="false" ht="15" hidden="false" customHeight="false" outlineLevel="0" collapsed="false">
      <c r="A295" s="10"/>
      <c r="B295" s="10"/>
      <c r="C295" s="10"/>
      <c r="D295" s="32"/>
      <c r="E295" s="19"/>
      <c r="F295" s="14"/>
      <c r="G295" s="10"/>
      <c r="H295" s="10"/>
      <c r="I295" s="26" t="str">
        <f aca="false">IF(A295&amp;B295="","",IF(ISNA(MATCH(A295,lst_Profil,0)),"FEHLER: Profil unbekannt",IF(ISNA(MATCH(B295,lst_Werkstoff,0)),"FEHLER: Werkstoff unbekannt",IF(COUNTIFS($A$5:$A$304,A295,$B$5:$B$304,B295)&gt;1,"FEHLER: doppelt",IF(OR(C295="",D295=""),"FEHLER: Preis unvollständig",IF(AND(C295="€/Stange",E295=""),"FEHLER: Stangenlänge fehlt","OK"))))))</f>
        <v/>
      </c>
    </row>
    <row r="296" customFormat="false" ht="15" hidden="false" customHeight="false" outlineLevel="0" collapsed="false">
      <c r="A296" s="10"/>
      <c r="B296" s="10"/>
      <c r="C296" s="10"/>
      <c r="D296" s="32"/>
      <c r="E296" s="19"/>
      <c r="F296" s="14"/>
      <c r="G296" s="10"/>
      <c r="H296" s="10"/>
      <c r="I296" s="26" t="str">
        <f aca="false">IF(A296&amp;B296="","",IF(ISNA(MATCH(A296,lst_Profil,0)),"FEHLER: Profil unbekannt",IF(ISNA(MATCH(B296,lst_Werkstoff,0)),"FEHLER: Werkstoff unbekannt",IF(COUNTIFS($A$5:$A$304,A296,$B$5:$B$304,B296)&gt;1,"FEHLER: doppelt",IF(OR(C296="",D296=""),"FEHLER: Preis unvollständig",IF(AND(C296="€/Stange",E296=""),"FEHLER: Stangenlänge fehlt","OK"))))))</f>
        <v/>
      </c>
    </row>
    <row r="297" customFormat="false" ht="15" hidden="false" customHeight="false" outlineLevel="0" collapsed="false">
      <c r="A297" s="10"/>
      <c r="B297" s="10"/>
      <c r="C297" s="10"/>
      <c r="D297" s="32"/>
      <c r="E297" s="19"/>
      <c r="F297" s="14"/>
      <c r="G297" s="10"/>
      <c r="H297" s="10"/>
      <c r="I297" s="26" t="str">
        <f aca="false">IF(A297&amp;B297="","",IF(ISNA(MATCH(A297,lst_Profil,0)),"FEHLER: Profil unbekannt",IF(ISNA(MATCH(B297,lst_Werkstoff,0)),"FEHLER: Werkstoff unbekannt",IF(COUNTIFS($A$5:$A$304,A297,$B$5:$B$304,B297)&gt;1,"FEHLER: doppelt",IF(OR(C297="",D297=""),"FEHLER: Preis unvollständig",IF(AND(C297="€/Stange",E297=""),"FEHLER: Stangenlänge fehlt","OK"))))))</f>
        <v/>
      </c>
    </row>
    <row r="298" customFormat="false" ht="15" hidden="false" customHeight="false" outlineLevel="0" collapsed="false">
      <c r="A298" s="10"/>
      <c r="B298" s="10"/>
      <c r="C298" s="10"/>
      <c r="D298" s="32"/>
      <c r="E298" s="19"/>
      <c r="F298" s="14"/>
      <c r="G298" s="10"/>
      <c r="H298" s="10"/>
      <c r="I298" s="26" t="str">
        <f aca="false">IF(A298&amp;B298="","",IF(ISNA(MATCH(A298,lst_Profil,0)),"FEHLER: Profil unbekannt",IF(ISNA(MATCH(B298,lst_Werkstoff,0)),"FEHLER: Werkstoff unbekannt",IF(COUNTIFS($A$5:$A$304,A298,$B$5:$B$304,B298)&gt;1,"FEHLER: doppelt",IF(OR(C298="",D298=""),"FEHLER: Preis unvollständig",IF(AND(C298="€/Stange",E298=""),"FEHLER: Stangenlänge fehlt","OK"))))))</f>
        <v/>
      </c>
    </row>
    <row r="299" customFormat="false" ht="15" hidden="false" customHeight="false" outlineLevel="0" collapsed="false">
      <c r="A299" s="10"/>
      <c r="B299" s="10"/>
      <c r="C299" s="10"/>
      <c r="D299" s="32"/>
      <c r="E299" s="19"/>
      <c r="F299" s="14"/>
      <c r="G299" s="10"/>
      <c r="H299" s="10"/>
      <c r="I299" s="26" t="str">
        <f aca="false">IF(A299&amp;B299="","",IF(ISNA(MATCH(A299,lst_Profil,0)),"FEHLER: Profil unbekannt",IF(ISNA(MATCH(B299,lst_Werkstoff,0)),"FEHLER: Werkstoff unbekannt",IF(COUNTIFS($A$5:$A$304,A299,$B$5:$B$304,B299)&gt;1,"FEHLER: doppelt",IF(OR(C299="",D299=""),"FEHLER: Preis unvollständig",IF(AND(C299="€/Stange",E299=""),"FEHLER: Stangenlänge fehlt","OK"))))))</f>
        <v/>
      </c>
    </row>
    <row r="300" customFormat="false" ht="15" hidden="false" customHeight="false" outlineLevel="0" collapsed="false">
      <c r="A300" s="10"/>
      <c r="B300" s="10"/>
      <c r="C300" s="10"/>
      <c r="D300" s="32"/>
      <c r="E300" s="19"/>
      <c r="F300" s="14"/>
      <c r="G300" s="10"/>
      <c r="H300" s="10"/>
      <c r="I300" s="26" t="str">
        <f aca="false">IF(A300&amp;B300="","",IF(ISNA(MATCH(A300,lst_Profil,0)),"FEHLER: Profil unbekannt",IF(ISNA(MATCH(B300,lst_Werkstoff,0)),"FEHLER: Werkstoff unbekannt",IF(COUNTIFS($A$5:$A$304,A300,$B$5:$B$304,B300)&gt;1,"FEHLER: doppelt",IF(OR(C300="",D300=""),"FEHLER: Preis unvollständig",IF(AND(C300="€/Stange",E300=""),"FEHLER: Stangenlänge fehlt","OK"))))))</f>
        <v/>
      </c>
    </row>
    <row r="301" customFormat="false" ht="15" hidden="false" customHeight="false" outlineLevel="0" collapsed="false">
      <c r="A301" s="10"/>
      <c r="B301" s="10"/>
      <c r="C301" s="10"/>
      <c r="D301" s="32"/>
      <c r="E301" s="19"/>
      <c r="F301" s="14"/>
      <c r="G301" s="10"/>
      <c r="H301" s="10"/>
      <c r="I301" s="26" t="str">
        <f aca="false">IF(A301&amp;B301="","",IF(ISNA(MATCH(A301,lst_Profil,0)),"FEHLER: Profil unbekannt",IF(ISNA(MATCH(B301,lst_Werkstoff,0)),"FEHLER: Werkstoff unbekannt",IF(COUNTIFS($A$5:$A$304,A301,$B$5:$B$304,B301)&gt;1,"FEHLER: doppelt",IF(OR(C301="",D301=""),"FEHLER: Preis unvollständig",IF(AND(C301="€/Stange",E301=""),"FEHLER: Stangenlänge fehlt","OK"))))))</f>
        <v/>
      </c>
    </row>
    <row r="302" customFormat="false" ht="15" hidden="false" customHeight="false" outlineLevel="0" collapsed="false">
      <c r="A302" s="10"/>
      <c r="B302" s="10"/>
      <c r="C302" s="10"/>
      <c r="D302" s="32"/>
      <c r="E302" s="19"/>
      <c r="F302" s="14"/>
      <c r="G302" s="10"/>
      <c r="H302" s="10"/>
      <c r="I302" s="26" t="str">
        <f aca="false">IF(A302&amp;B302="","",IF(ISNA(MATCH(A302,lst_Profil,0)),"FEHLER: Profil unbekannt",IF(ISNA(MATCH(B302,lst_Werkstoff,0)),"FEHLER: Werkstoff unbekannt",IF(COUNTIFS($A$5:$A$304,A302,$B$5:$B$304,B302)&gt;1,"FEHLER: doppelt",IF(OR(C302="",D302=""),"FEHLER: Preis unvollständig",IF(AND(C302="€/Stange",E302=""),"FEHLER: Stangenlänge fehlt","OK"))))))</f>
        <v/>
      </c>
    </row>
    <row r="303" customFormat="false" ht="15" hidden="false" customHeight="false" outlineLevel="0" collapsed="false">
      <c r="A303" s="10"/>
      <c r="B303" s="10"/>
      <c r="C303" s="10"/>
      <c r="D303" s="32"/>
      <c r="E303" s="19"/>
      <c r="F303" s="14"/>
      <c r="G303" s="10"/>
      <c r="H303" s="10"/>
      <c r="I303" s="26" t="str">
        <f aca="false">IF(A303&amp;B303="","",IF(ISNA(MATCH(A303,lst_Profil,0)),"FEHLER: Profil unbekannt",IF(ISNA(MATCH(B303,lst_Werkstoff,0)),"FEHLER: Werkstoff unbekannt",IF(COUNTIFS($A$5:$A$304,A303,$B$5:$B$304,B303)&gt;1,"FEHLER: doppelt",IF(OR(C303="",D303=""),"FEHLER: Preis unvollständig",IF(AND(C303="€/Stange",E303=""),"FEHLER: Stangenlänge fehlt","OK"))))))</f>
        <v/>
      </c>
    </row>
    <row r="304" customFormat="false" ht="15" hidden="false" customHeight="false" outlineLevel="0" collapsed="false">
      <c r="A304" s="10"/>
      <c r="B304" s="10"/>
      <c r="C304" s="10"/>
      <c r="D304" s="32"/>
      <c r="E304" s="19"/>
      <c r="F304" s="14"/>
      <c r="G304" s="10"/>
      <c r="H304" s="10"/>
      <c r="I304" s="26" t="str">
        <f aca="false">IF(A304&amp;B304="","",IF(ISNA(MATCH(A304,lst_Profil,0)),"FEHLER: Profil unbekannt",IF(ISNA(MATCH(B304,lst_Werkstoff,0)),"FEHLER: Werkstoff unbekannt",IF(COUNTIFS($A$5:$A$304,A304,$B$5:$B$304,B304)&gt;1,"FEHLER: doppelt",IF(OR(C304="",D304=""),"FEHLER: Preis unvollständig",IF(AND(C304="€/Stange",E304=""),"FEHLER: Stangenlänge fehlt","OK"))))))</f>
        <v/>
      </c>
    </row>
  </sheetData>
  <dataValidations count="6">
    <dataValidation allowBlank="true" error="Bitte Profil-ID aus Blatt 'Profile' wählen." errorStyle="stop" errorTitle="Ungültige Auswahl" operator="between" showDropDown="false" showErrorMessage="true" showInputMessage="false" sqref="A5:A304" type="list">
      <formula1>lst_Profil</formula1>
      <formula2>0</formula2>
    </dataValidation>
    <dataValidation allowBlank="true" error="Bitte Werkstoff-ID aus Blatt 'Werkstoffe' wählen." errorStyle="stop" errorTitle="Ungültige Auswahl" operator="between" showDropDown="false" showErrorMessage="true" showInputMessage="false" sqref="B5:B304" type="list">
      <formula1>lst_Werkstoff</formula1>
      <formula2>0</formula2>
    </dataValidation>
    <dataValidation allowBlank="true" error="Bitte €/kg oder €/Stange wählen." errorStyle="stop" errorTitle="Ungültige Auswahl" operator="between" showDropDown="false" showErrorMessage="true" showInputMessage="false" sqref="C5:C304" type="list">
      <formula1>lst_Preisbasis</formula1>
      <formula2>0</formula2>
    </dataValidation>
    <dataValidation allowBlank="true" error="Preis in € (&gt; 0)." errorStyle="stop" errorTitle="Ungültige Eingabe" operator="between" showDropDown="false" showErrorMessage="true" showInputMessage="false" sqref="D5:D304" type="decimal">
      <formula1>0.01</formula1>
      <formula2>100000</formula2>
    </dataValidation>
    <dataValidation allowBlank="true" error="Stangenlänge in mm (500–20000)." errorStyle="stop" errorTitle="Ungültige Eingabe" operator="between" showDropDown="false" showErrorMessage="true" showInputMessage="false" sqref="E5:E304" type="whole">
      <formula1>500</formula1>
      <formula2>20000</formula2>
    </dataValidation>
    <dataValidation allowBlank="true" error="Bitte gültiges Datum eingeben." errorStyle="stop" operator="greaterThan" showDropDown="false" showErrorMessage="true" showInputMessage="false" sqref="F5:F3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197</v>
      </c>
    </row>
    <row r="2" customFormat="false" ht="15" hidden="false" customHeight="false" outlineLevel="0" collapsed="false">
      <c r="A2" s="2" t="s">
        <v>198</v>
      </c>
    </row>
    <row r="4" customFormat="false" ht="45" hidden="false" customHeight="true" outlineLevel="0" collapsed="false">
      <c r="A4" s="20" t="s">
        <v>199</v>
      </c>
      <c r="B4" s="20" t="s">
        <v>93</v>
      </c>
      <c r="C4" s="20" t="s">
        <v>72</v>
      </c>
      <c r="D4" s="20" t="s">
        <v>76</v>
      </c>
      <c r="E4" s="20" t="s">
        <v>200</v>
      </c>
      <c r="F4" s="20" t="s">
        <v>83</v>
      </c>
      <c r="G4" s="20" t="s">
        <v>87</v>
      </c>
      <c r="H4" s="20" t="s">
        <v>201</v>
      </c>
      <c r="I4" s="20" t="s">
        <v>202</v>
      </c>
      <c r="J4" s="20" t="s">
        <v>165</v>
      </c>
    </row>
    <row r="5" customFormat="false" ht="15" hidden="false" customHeight="false" outlineLevel="0" collapsed="false">
      <c r="A5" s="10" t="s">
        <v>86</v>
      </c>
      <c r="B5" s="10" t="s">
        <v>203</v>
      </c>
      <c r="C5" s="22" t="n">
        <v>20</v>
      </c>
      <c r="D5" s="22" t="n">
        <v>80</v>
      </c>
      <c r="E5" s="29" t="n">
        <v>0.3</v>
      </c>
      <c r="F5" s="19" t="n">
        <v>6500</v>
      </c>
      <c r="G5" s="32" t="n">
        <v>120</v>
      </c>
      <c r="H5" s="10" t="n">
        <v>10</v>
      </c>
      <c r="I5" s="10" t="n">
        <v>50</v>
      </c>
      <c r="J5" s="10" t="s">
        <v>204</v>
      </c>
    </row>
    <row r="6" customFormat="false" ht="15" hidden="false" customHeight="false" outlineLevel="0" collapsed="false">
      <c r="A6" s="10" t="s">
        <v>205</v>
      </c>
      <c r="B6" s="10" t="s">
        <v>206</v>
      </c>
      <c r="C6" s="22" t="n">
        <v>15</v>
      </c>
      <c r="D6" s="22" t="n">
        <v>120</v>
      </c>
      <c r="E6" s="29" t="n">
        <v>0.3</v>
      </c>
      <c r="F6" s="19" t="n">
        <v>8500</v>
      </c>
      <c r="G6" s="32" t="n">
        <v>140</v>
      </c>
      <c r="H6" s="10" t="n">
        <v>10</v>
      </c>
      <c r="I6" s="10" t="n">
        <v>50</v>
      </c>
      <c r="J6" s="10" t="s">
        <v>204</v>
      </c>
    </row>
    <row r="7" customFormat="false" ht="15" hidden="false" customHeight="false" outlineLevel="0" collapsed="false">
      <c r="A7" s="10"/>
      <c r="B7" s="10"/>
      <c r="C7" s="22"/>
      <c r="D7" s="22"/>
      <c r="E7" s="29"/>
      <c r="F7" s="19"/>
      <c r="G7" s="32"/>
      <c r="H7" s="10"/>
      <c r="I7" s="10"/>
      <c r="J7" s="10"/>
    </row>
    <row r="8" customFormat="false" ht="15" hidden="false" customHeight="false" outlineLevel="0" collapsed="false">
      <c r="A8" s="10"/>
      <c r="B8" s="10"/>
      <c r="C8" s="22"/>
      <c r="D8" s="22"/>
      <c r="E8" s="29"/>
      <c r="F8" s="19"/>
      <c r="G8" s="32"/>
      <c r="H8" s="10"/>
      <c r="I8" s="10"/>
      <c r="J8" s="10"/>
    </row>
    <row r="9" customFormat="false" ht="15" hidden="false" customHeight="false" outlineLevel="0" collapsed="false">
      <c r="A9" s="10"/>
      <c r="B9" s="10"/>
      <c r="C9" s="22"/>
      <c r="D9" s="22"/>
      <c r="E9" s="29"/>
      <c r="F9" s="19"/>
      <c r="G9" s="32"/>
      <c r="H9" s="10"/>
      <c r="I9" s="10"/>
      <c r="J9" s="10"/>
    </row>
    <row r="10" customFormat="false" ht="15" hidden="false" customHeight="false" outlineLevel="0" collapsed="false">
      <c r="A10" s="10"/>
      <c r="B10" s="10"/>
      <c r="C10" s="22"/>
      <c r="D10" s="22"/>
      <c r="E10" s="29"/>
      <c r="F10" s="19"/>
      <c r="G10" s="32"/>
      <c r="H10" s="10"/>
      <c r="I10" s="10"/>
      <c r="J10" s="10"/>
    </row>
    <row r="11" customFormat="false" ht="15" hidden="false" customHeight="false" outlineLevel="0" collapsed="false">
      <c r="A11" s="10"/>
      <c r="B11" s="10"/>
      <c r="C11" s="22"/>
      <c r="D11" s="22"/>
      <c r="E11" s="29"/>
      <c r="F11" s="19"/>
      <c r="G11" s="32"/>
      <c r="H11" s="10"/>
      <c r="I11" s="10"/>
      <c r="J11" s="10"/>
    </row>
    <row r="12" customFormat="false" ht="15" hidden="false" customHeight="false" outlineLevel="0" collapsed="false">
      <c r="A12" s="10"/>
      <c r="B12" s="10"/>
      <c r="C12" s="22"/>
      <c r="D12" s="22"/>
      <c r="E12" s="29"/>
      <c r="F12" s="19"/>
      <c r="G12" s="32"/>
      <c r="H12" s="10"/>
      <c r="I12" s="10"/>
      <c r="J12" s="10"/>
    </row>
    <row r="13" customFormat="false" ht="15" hidden="false" customHeight="false" outlineLevel="0" collapsed="false">
      <c r="A13" s="10"/>
      <c r="B13" s="10"/>
      <c r="C13" s="22"/>
      <c r="D13" s="22"/>
      <c r="E13" s="29"/>
      <c r="F13" s="19"/>
      <c r="G13" s="32"/>
      <c r="H13" s="10"/>
      <c r="I13" s="10"/>
      <c r="J13" s="10"/>
    </row>
    <row r="14" customFormat="false" ht="15" hidden="false" customHeight="false" outlineLevel="0" collapsed="false">
      <c r="A14" s="10"/>
      <c r="B14" s="10"/>
      <c r="C14" s="22"/>
      <c r="D14" s="22"/>
      <c r="E14" s="29"/>
      <c r="F14" s="19"/>
      <c r="G14" s="32"/>
      <c r="H14" s="10"/>
      <c r="I14" s="10"/>
      <c r="J14" s="10"/>
    </row>
    <row r="15" customFormat="false" ht="15" hidden="false" customHeight="false" outlineLevel="0" collapsed="false">
      <c r="A15" s="10"/>
      <c r="B15" s="10"/>
      <c r="C15" s="22"/>
      <c r="D15" s="22"/>
      <c r="E15" s="29"/>
      <c r="F15" s="19"/>
      <c r="G15" s="32"/>
      <c r="H15" s="10"/>
      <c r="I15" s="10"/>
      <c r="J15" s="10"/>
    </row>
    <row r="16" customFormat="false" ht="15" hidden="false" customHeight="false" outlineLevel="0" collapsed="false">
      <c r="A16" s="10"/>
      <c r="B16" s="10"/>
      <c r="C16" s="22"/>
      <c r="D16" s="22"/>
      <c r="E16" s="29"/>
      <c r="F16" s="19"/>
      <c r="G16" s="32"/>
      <c r="H16" s="10"/>
      <c r="I16" s="10"/>
      <c r="J16" s="10"/>
    </row>
    <row r="17" customFormat="false" ht="15" hidden="false" customHeight="false" outlineLevel="0" collapsed="false">
      <c r="A17" s="10"/>
      <c r="B17" s="10"/>
      <c r="C17" s="22"/>
      <c r="D17" s="22"/>
      <c r="E17" s="29"/>
      <c r="F17" s="19"/>
      <c r="G17" s="32"/>
      <c r="H17" s="10"/>
      <c r="I17" s="10"/>
      <c r="J17" s="10"/>
    </row>
    <row r="18" customFormat="false" ht="15" hidden="false" customHeight="false" outlineLevel="0" collapsed="false">
      <c r="A18" s="10"/>
      <c r="B18" s="10"/>
      <c r="C18" s="22"/>
      <c r="D18" s="22"/>
      <c r="E18" s="29"/>
      <c r="F18" s="19"/>
      <c r="G18" s="32"/>
      <c r="H18" s="10"/>
      <c r="I18" s="10"/>
      <c r="J18" s="10"/>
    </row>
    <row r="19" customFormat="false" ht="15" hidden="false" customHeight="false" outlineLevel="0" collapsed="false">
      <c r="A19" s="10"/>
      <c r="B19" s="10"/>
      <c r="C19" s="22"/>
      <c r="D19" s="22"/>
      <c r="E19" s="29"/>
      <c r="F19" s="19"/>
      <c r="G19" s="32"/>
      <c r="H19" s="10"/>
      <c r="I19" s="10"/>
      <c r="J19" s="10"/>
    </row>
    <row r="20" customFormat="false" ht="15" hidden="false" customHeight="false" outlineLevel="0" collapsed="false">
      <c r="A20" s="10"/>
      <c r="B20" s="10"/>
      <c r="C20" s="22"/>
      <c r="D20" s="22"/>
      <c r="E20" s="29"/>
      <c r="F20" s="19"/>
      <c r="G20" s="32"/>
      <c r="H20" s="10"/>
      <c r="I20" s="10"/>
      <c r="J20" s="10"/>
    </row>
    <row r="21" customFormat="false" ht="15" hidden="false" customHeight="false" outlineLevel="0" collapsed="false">
      <c r="A21" s="10"/>
      <c r="B21" s="10"/>
      <c r="C21" s="22"/>
      <c r="D21" s="22"/>
      <c r="E21" s="29"/>
      <c r="F21" s="19"/>
      <c r="G21" s="32"/>
      <c r="H21" s="10"/>
      <c r="I21" s="10"/>
      <c r="J21" s="10"/>
    </row>
    <row r="22" customFormat="false" ht="15" hidden="false" customHeight="false" outlineLevel="0" collapsed="false">
      <c r="A22" s="10"/>
      <c r="B22" s="10"/>
      <c r="C22" s="22"/>
      <c r="D22" s="22"/>
      <c r="E22" s="29"/>
      <c r="F22" s="19"/>
      <c r="G22" s="32"/>
      <c r="H22" s="10"/>
      <c r="I22" s="10"/>
      <c r="J22" s="10"/>
    </row>
    <row r="23" customFormat="false" ht="15" hidden="false" customHeight="false" outlineLevel="0" collapsed="false">
      <c r="A23" s="10"/>
      <c r="B23" s="10"/>
      <c r="C23" s="22"/>
      <c r="D23" s="22"/>
      <c r="E23" s="29"/>
      <c r="F23" s="19"/>
      <c r="G23" s="32"/>
      <c r="H23" s="10"/>
      <c r="I23" s="10"/>
      <c r="J23" s="10"/>
    </row>
    <row r="24" customFormat="false" ht="15" hidden="false" customHeight="false" outlineLevel="0" collapsed="false">
      <c r="A24" s="10"/>
      <c r="B24" s="10"/>
      <c r="C24" s="22"/>
      <c r="D24" s="22"/>
      <c r="E24" s="29"/>
      <c r="F24" s="19"/>
      <c r="G24" s="32"/>
      <c r="H24" s="10"/>
      <c r="I24" s="10"/>
      <c r="J24" s="10"/>
    </row>
    <row r="25" customFormat="false" ht="15" hidden="false" customHeight="false" outlineLevel="0" collapsed="false">
      <c r="A25" s="10"/>
      <c r="B25" s="10"/>
      <c r="C25" s="22"/>
      <c r="D25" s="22"/>
      <c r="E25" s="29"/>
      <c r="F25" s="19"/>
      <c r="G25" s="32"/>
      <c r="H25" s="10"/>
      <c r="I25" s="10"/>
      <c r="J25" s="10"/>
    </row>
    <row r="26" customFormat="false" ht="15" hidden="false" customHeight="false" outlineLevel="0" collapsed="false">
      <c r="A26" s="10"/>
      <c r="B26" s="10"/>
      <c r="C26" s="22"/>
      <c r="D26" s="22"/>
      <c r="E26" s="29"/>
      <c r="F26" s="19"/>
      <c r="G26" s="32"/>
      <c r="H26" s="10"/>
      <c r="I26" s="10"/>
      <c r="J26" s="10"/>
    </row>
    <row r="27" customFormat="false" ht="15" hidden="false" customHeight="false" outlineLevel="0" collapsed="false">
      <c r="A27" s="10"/>
      <c r="B27" s="10"/>
      <c r="C27" s="22"/>
      <c r="D27" s="22"/>
      <c r="E27" s="29"/>
      <c r="F27" s="19"/>
      <c r="G27" s="32"/>
      <c r="H27" s="10"/>
      <c r="I27" s="10"/>
      <c r="J27" s="10"/>
    </row>
    <row r="28" customFormat="false" ht="15" hidden="false" customHeight="false" outlineLevel="0" collapsed="false">
      <c r="A28" s="10"/>
      <c r="B28" s="10"/>
      <c r="C28" s="22"/>
      <c r="D28" s="22"/>
      <c r="E28" s="29"/>
      <c r="F28" s="19"/>
      <c r="G28" s="32"/>
      <c r="H28" s="10"/>
      <c r="I28" s="10"/>
      <c r="J28" s="10"/>
    </row>
    <row r="29" customFormat="false" ht="15" hidden="false" customHeight="false" outlineLevel="0" collapsed="false">
      <c r="A29" s="10"/>
      <c r="B29" s="10"/>
      <c r="C29" s="22"/>
      <c r="D29" s="22"/>
      <c r="E29" s="29"/>
      <c r="F29" s="19"/>
      <c r="G29" s="32"/>
      <c r="H29" s="10"/>
      <c r="I29" s="10"/>
      <c r="J29" s="10"/>
    </row>
    <row r="30" customFormat="false" ht="15" hidden="false" customHeight="false" outlineLevel="0" collapsed="false">
      <c r="A30" s="10"/>
      <c r="B30" s="10"/>
      <c r="C30" s="22"/>
      <c r="D30" s="22"/>
      <c r="E30" s="29"/>
      <c r="F30" s="19"/>
      <c r="G30" s="32"/>
      <c r="H30" s="10"/>
      <c r="I30" s="10"/>
      <c r="J30" s="10"/>
    </row>
    <row r="31" customFormat="false" ht="15" hidden="false" customHeight="false" outlineLevel="0" collapsed="false">
      <c r="A31" s="10"/>
      <c r="B31" s="10"/>
      <c r="C31" s="22"/>
      <c r="D31" s="22"/>
      <c r="E31" s="29"/>
      <c r="F31" s="19"/>
      <c r="G31" s="32"/>
      <c r="H31" s="10"/>
      <c r="I31" s="10"/>
      <c r="J31" s="10"/>
    </row>
    <row r="32" customFormat="false" ht="15" hidden="false" customHeight="false" outlineLevel="0" collapsed="false">
      <c r="A32" s="10"/>
      <c r="B32" s="10"/>
      <c r="C32" s="22"/>
      <c r="D32" s="22"/>
      <c r="E32" s="29"/>
      <c r="F32" s="19"/>
      <c r="G32" s="32"/>
      <c r="H32" s="10"/>
      <c r="I32" s="10"/>
      <c r="J32" s="10"/>
    </row>
    <row r="33" customFormat="false" ht="15" hidden="false" customHeight="false" outlineLevel="0" collapsed="false">
      <c r="A33" s="10"/>
      <c r="B33" s="10"/>
      <c r="C33" s="22"/>
      <c r="D33" s="22"/>
      <c r="E33" s="29"/>
      <c r="F33" s="19"/>
      <c r="G33" s="32"/>
      <c r="H33" s="10"/>
      <c r="I33" s="10"/>
      <c r="J33" s="10"/>
    </row>
    <row r="34" customFormat="false" ht="15" hidden="false" customHeight="false" outlineLevel="0" collapsed="false">
      <c r="A34" s="10"/>
      <c r="B34" s="10"/>
      <c r="C34" s="22"/>
      <c r="D34" s="22"/>
      <c r="E34" s="29"/>
      <c r="F34" s="19"/>
      <c r="G34" s="32"/>
      <c r="H34" s="10"/>
      <c r="I34" s="10"/>
      <c r="J34" s="10"/>
    </row>
    <row r="35" customFormat="false" ht="15" hidden="false" customHeight="false" outlineLevel="0" collapsed="false">
      <c r="A35" s="10"/>
      <c r="B35" s="10"/>
      <c r="C35" s="22"/>
      <c r="D35" s="22"/>
      <c r="E35" s="29"/>
      <c r="F35" s="19"/>
      <c r="G35" s="32"/>
      <c r="H35" s="10"/>
      <c r="I35" s="10"/>
      <c r="J35" s="10"/>
    </row>
    <row r="36" customFormat="false" ht="15" hidden="false" customHeight="false" outlineLevel="0" collapsed="false">
      <c r="A36" s="10"/>
      <c r="B36" s="10"/>
      <c r="C36" s="22"/>
      <c r="D36" s="22"/>
      <c r="E36" s="29"/>
      <c r="F36" s="19"/>
      <c r="G36" s="32"/>
      <c r="H36" s="10"/>
      <c r="I36" s="10"/>
      <c r="J36" s="10"/>
    </row>
    <row r="37" customFormat="false" ht="15" hidden="false" customHeight="false" outlineLevel="0" collapsed="false">
      <c r="A37" s="10"/>
      <c r="B37" s="10"/>
      <c r="C37" s="22"/>
      <c r="D37" s="22"/>
      <c r="E37" s="29"/>
      <c r="F37" s="19"/>
      <c r="G37" s="32"/>
      <c r="H37" s="10"/>
      <c r="I37" s="10"/>
      <c r="J37" s="10"/>
    </row>
    <row r="38" customFormat="false" ht="15" hidden="false" customHeight="false" outlineLevel="0" collapsed="false">
      <c r="A38" s="10"/>
      <c r="B38" s="10"/>
      <c r="C38" s="22"/>
      <c r="D38" s="22"/>
      <c r="E38" s="29"/>
      <c r="F38" s="19"/>
      <c r="G38" s="32"/>
      <c r="H38" s="10"/>
      <c r="I38" s="10"/>
      <c r="J38" s="10"/>
    </row>
    <row r="39" customFormat="false" ht="15" hidden="false" customHeight="false" outlineLevel="0" collapsed="false">
      <c r="A39" s="10"/>
      <c r="B39" s="10"/>
      <c r="C39" s="22"/>
      <c r="D39" s="22"/>
      <c r="E39" s="29"/>
      <c r="F39" s="19"/>
      <c r="G39" s="32"/>
      <c r="H39" s="10"/>
      <c r="I39" s="10"/>
      <c r="J39" s="10"/>
    </row>
    <row r="40" customFormat="false" ht="15" hidden="false" customHeight="false" outlineLevel="0" collapsed="false">
      <c r="A40" s="10"/>
      <c r="B40" s="10"/>
      <c r="C40" s="22"/>
      <c r="D40" s="22"/>
      <c r="E40" s="29"/>
      <c r="F40" s="19"/>
      <c r="G40" s="32"/>
      <c r="H40" s="10"/>
      <c r="I40" s="10"/>
      <c r="J40" s="10"/>
    </row>
    <row r="41" customFormat="false" ht="15" hidden="false" customHeight="false" outlineLevel="0" collapsed="false">
      <c r="A41" s="10"/>
      <c r="B41" s="10"/>
      <c r="C41" s="22"/>
      <c r="D41" s="22"/>
      <c r="E41" s="29"/>
      <c r="F41" s="19"/>
      <c r="G41" s="32"/>
      <c r="H41" s="10"/>
      <c r="I41" s="10"/>
      <c r="J41" s="10"/>
    </row>
    <row r="42" customFormat="false" ht="15" hidden="false" customHeight="false" outlineLevel="0" collapsed="false">
      <c r="A42" s="10"/>
      <c r="B42" s="10"/>
      <c r="C42" s="22"/>
      <c r="D42" s="22"/>
      <c r="E42" s="29"/>
      <c r="F42" s="19"/>
      <c r="G42" s="32"/>
      <c r="H42" s="10"/>
      <c r="I42" s="10"/>
      <c r="J42" s="10"/>
    </row>
    <row r="43" customFormat="false" ht="15" hidden="false" customHeight="false" outlineLevel="0" collapsed="false">
      <c r="A43" s="10"/>
      <c r="B43" s="10"/>
      <c r="C43" s="22"/>
      <c r="D43" s="22"/>
      <c r="E43" s="29"/>
      <c r="F43" s="19"/>
      <c r="G43" s="32"/>
      <c r="H43" s="10"/>
      <c r="I43" s="10"/>
      <c r="J43" s="10"/>
    </row>
    <row r="44" customFormat="false" ht="15" hidden="false" customHeight="false" outlineLevel="0" collapsed="false">
      <c r="A44" s="10"/>
      <c r="B44" s="10"/>
      <c r="C44" s="22"/>
      <c r="D44" s="22"/>
      <c r="E44" s="29"/>
      <c r="F44" s="19"/>
      <c r="G44" s="32"/>
      <c r="H44" s="10"/>
      <c r="I44" s="10"/>
      <c r="J44" s="10"/>
    </row>
    <row r="45" customFormat="false" ht="15" hidden="false" customHeight="false" outlineLevel="0" collapsed="false">
      <c r="A45" s="10"/>
      <c r="B45" s="10"/>
      <c r="C45" s="22"/>
      <c r="D45" s="22"/>
      <c r="E45" s="29"/>
      <c r="F45" s="19"/>
      <c r="G45" s="32"/>
      <c r="H45" s="10"/>
      <c r="I45" s="10"/>
      <c r="J45" s="10"/>
    </row>
    <row r="46" customFormat="false" ht="15" hidden="false" customHeight="false" outlineLevel="0" collapsed="false">
      <c r="A46" s="10"/>
      <c r="B46" s="10"/>
      <c r="C46" s="22"/>
      <c r="D46" s="22"/>
      <c r="E46" s="29"/>
      <c r="F46" s="19"/>
      <c r="G46" s="32"/>
      <c r="H46" s="10"/>
      <c r="I46" s="10"/>
      <c r="J46" s="10"/>
    </row>
    <row r="47" customFormat="false" ht="15" hidden="false" customHeight="false" outlineLevel="0" collapsed="false">
      <c r="A47" s="10"/>
      <c r="B47" s="10"/>
      <c r="C47" s="22"/>
      <c r="D47" s="22"/>
      <c r="E47" s="29"/>
      <c r="F47" s="19"/>
      <c r="G47" s="32"/>
      <c r="H47" s="10"/>
      <c r="I47" s="10"/>
      <c r="J47" s="10"/>
    </row>
    <row r="48" customFormat="false" ht="15" hidden="false" customHeight="false" outlineLevel="0" collapsed="false">
      <c r="A48" s="10"/>
      <c r="B48" s="10"/>
      <c r="C48" s="22"/>
      <c r="D48" s="22"/>
      <c r="E48" s="29"/>
      <c r="F48" s="19"/>
      <c r="G48" s="32"/>
      <c r="H48" s="10"/>
      <c r="I48" s="10"/>
      <c r="J48" s="10"/>
    </row>
    <row r="49" customFormat="false" ht="15" hidden="false" customHeight="false" outlineLevel="0" collapsed="false">
      <c r="A49" s="10"/>
      <c r="B49" s="10"/>
      <c r="C49" s="22"/>
      <c r="D49" s="22"/>
      <c r="E49" s="29"/>
      <c r="F49" s="19"/>
      <c r="G49" s="32"/>
      <c r="H49" s="10"/>
      <c r="I49" s="10"/>
      <c r="J49" s="10"/>
    </row>
    <row r="50" customFormat="false" ht="15" hidden="false" customHeight="false" outlineLevel="0" collapsed="false">
      <c r="A50" s="10"/>
      <c r="B50" s="10"/>
      <c r="C50" s="22"/>
      <c r="D50" s="22"/>
      <c r="E50" s="29"/>
      <c r="F50" s="19"/>
      <c r="G50" s="32"/>
      <c r="H50" s="10"/>
      <c r="I50" s="10"/>
      <c r="J50" s="10"/>
    </row>
    <row r="51" customFormat="false" ht="15" hidden="false" customHeight="false" outlineLevel="0" collapsed="false">
      <c r="A51" s="10"/>
      <c r="B51" s="10"/>
      <c r="C51" s="22"/>
      <c r="D51" s="22"/>
      <c r="E51" s="29"/>
      <c r="F51" s="19"/>
      <c r="G51" s="32"/>
      <c r="H51" s="10"/>
      <c r="I51" s="10"/>
      <c r="J51" s="10"/>
    </row>
    <row r="52" customFormat="false" ht="15" hidden="false" customHeight="false" outlineLevel="0" collapsed="false">
      <c r="A52" s="10"/>
      <c r="B52" s="10"/>
      <c r="C52" s="22"/>
      <c r="D52" s="22"/>
      <c r="E52" s="29"/>
      <c r="F52" s="19"/>
      <c r="G52" s="32"/>
      <c r="H52" s="10"/>
      <c r="I52" s="10"/>
      <c r="J52" s="10"/>
    </row>
    <row r="53" customFormat="false" ht="15" hidden="false" customHeight="false" outlineLevel="0" collapsed="false">
      <c r="A53" s="10"/>
      <c r="B53" s="10"/>
      <c r="C53" s="22"/>
      <c r="D53" s="22"/>
      <c r="E53" s="29"/>
      <c r="F53" s="19"/>
      <c r="G53" s="32"/>
      <c r="H53" s="10"/>
      <c r="I53" s="10"/>
      <c r="J53" s="10"/>
    </row>
    <row r="54" customFormat="false" ht="15" hidden="false" customHeight="false" outlineLevel="0" collapsed="false">
      <c r="A54" s="10"/>
      <c r="B54" s="10"/>
      <c r="C54" s="22"/>
      <c r="D54" s="22"/>
      <c r="E54" s="29"/>
      <c r="F54" s="19"/>
      <c r="G54" s="32"/>
      <c r="H54" s="10"/>
      <c r="I54" s="10"/>
      <c r="J54" s="10"/>
    </row>
    <row r="55" customFormat="false" ht="15" hidden="false" customHeight="false" outlineLevel="0" collapsed="false">
      <c r="A55" s="10"/>
      <c r="B55" s="10"/>
      <c r="C55" s="22"/>
      <c r="D55" s="22"/>
      <c r="E55" s="29"/>
      <c r="F55" s="19"/>
      <c r="G55" s="32"/>
      <c r="H55" s="10"/>
      <c r="I55" s="10"/>
      <c r="J55" s="10"/>
    </row>
    <row r="56" customFormat="false" ht="15" hidden="false" customHeight="false" outlineLevel="0" collapsed="false">
      <c r="A56" s="10"/>
      <c r="B56" s="10"/>
      <c r="C56" s="22"/>
      <c r="D56" s="22"/>
      <c r="E56" s="29"/>
      <c r="F56" s="19"/>
      <c r="G56" s="32"/>
      <c r="H56" s="10"/>
      <c r="I56" s="10"/>
      <c r="J56" s="10"/>
    </row>
    <row r="57" customFormat="false" ht="15" hidden="false" customHeight="false" outlineLevel="0" collapsed="false">
      <c r="A57" s="10"/>
      <c r="B57" s="10"/>
      <c r="C57" s="22"/>
      <c r="D57" s="22"/>
      <c r="E57" s="29"/>
      <c r="F57" s="19"/>
      <c r="G57" s="32"/>
      <c r="H57" s="10"/>
      <c r="I57" s="10"/>
      <c r="J57" s="10"/>
    </row>
    <row r="58" customFormat="false" ht="15" hidden="false" customHeight="false" outlineLevel="0" collapsed="false">
      <c r="A58" s="10"/>
      <c r="B58" s="10"/>
      <c r="C58" s="22"/>
      <c r="D58" s="22"/>
      <c r="E58" s="29"/>
      <c r="F58" s="19"/>
      <c r="G58" s="32"/>
      <c r="H58" s="10"/>
      <c r="I58" s="10"/>
      <c r="J58" s="10"/>
    </row>
    <row r="59" customFormat="false" ht="15" hidden="false" customHeight="false" outlineLevel="0" collapsed="false">
      <c r="A59" s="10"/>
      <c r="B59" s="10"/>
      <c r="C59" s="22"/>
      <c r="D59" s="22"/>
      <c r="E59" s="29"/>
      <c r="F59" s="19"/>
      <c r="G59" s="32"/>
      <c r="H59" s="10"/>
      <c r="I59" s="10"/>
      <c r="J59" s="10"/>
    </row>
    <row r="60" customFormat="false" ht="15" hidden="false" customHeight="false" outlineLevel="0" collapsed="false">
      <c r="A60" s="10"/>
      <c r="B60" s="10"/>
      <c r="C60" s="22"/>
      <c r="D60" s="22"/>
      <c r="E60" s="29"/>
      <c r="F60" s="19"/>
      <c r="G60" s="32"/>
      <c r="H60" s="10"/>
      <c r="I60" s="10"/>
      <c r="J60" s="10"/>
    </row>
    <row r="61" customFormat="false" ht="15" hidden="false" customHeight="false" outlineLevel="0" collapsed="false">
      <c r="A61" s="10"/>
      <c r="B61" s="10"/>
      <c r="C61" s="22"/>
      <c r="D61" s="22"/>
      <c r="E61" s="29"/>
      <c r="F61" s="19"/>
      <c r="G61" s="32"/>
      <c r="H61" s="10"/>
      <c r="I61" s="10"/>
      <c r="J61" s="10"/>
    </row>
    <row r="62" customFormat="false" ht="15" hidden="false" customHeight="false" outlineLevel="0" collapsed="false">
      <c r="A62" s="10"/>
      <c r="B62" s="10"/>
      <c r="C62" s="22"/>
      <c r="D62" s="22"/>
      <c r="E62" s="29"/>
      <c r="F62" s="19"/>
      <c r="G62" s="32"/>
      <c r="H62" s="10"/>
      <c r="I62" s="10"/>
      <c r="J62" s="10"/>
    </row>
    <row r="63" customFormat="false" ht="15" hidden="false" customHeight="false" outlineLevel="0" collapsed="false">
      <c r="A63" s="10"/>
      <c r="B63" s="10"/>
      <c r="C63" s="22"/>
      <c r="D63" s="22"/>
      <c r="E63" s="29"/>
      <c r="F63" s="19"/>
      <c r="G63" s="32"/>
      <c r="H63" s="10"/>
      <c r="I63" s="10"/>
      <c r="J63" s="10"/>
    </row>
    <row r="64" customFormat="false" ht="15" hidden="false" customHeight="false" outlineLevel="0" collapsed="false">
      <c r="A64" s="10"/>
      <c r="B64" s="10"/>
      <c r="C64" s="22"/>
      <c r="D64" s="22"/>
      <c r="E64" s="29"/>
      <c r="F64" s="19"/>
      <c r="G64" s="32"/>
      <c r="H64" s="10"/>
      <c r="I64" s="10"/>
      <c r="J64" s="10"/>
    </row>
    <row r="65" customFormat="false" ht="15" hidden="false" customHeight="false" outlineLevel="0" collapsed="false">
      <c r="A65" s="10"/>
      <c r="B65" s="10"/>
      <c r="C65" s="22"/>
      <c r="D65" s="22"/>
      <c r="E65" s="29"/>
      <c r="F65" s="19"/>
      <c r="G65" s="32"/>
      <c r="H65" s="10"/>
      <c r="I65" s="10"/>
      <c r="J65" s="10"/>
    </row>
    <row r="66" customFormat="false" ht="15" hidden="false" customHeight="false" outlineLevel="0" collapsed="false">
      <c r="A66" s="10"/>
      <c r="B66" s="10"/>
      <c r="C66" s="22"/>
      <c r="D66" s="22"/>
      <c r="E66" s="29"/>
      <c r="F66" s="19"/>
      <c r="G66" s="32"/>
      <c r="H66" s="10"/>
      <c r="I66" s="10"/>
      <c r="J66" s="10"/>
    </row>
    <row r="67" customFormat="false" ht="15" hidden="false" customHeight="false" outlineLevel="0" collapsed="false">
      <c r="A67" s="10"/>
      <c r="B67" s="10"/>
      <c r="C67" s="22"/>
      <c r="D67" s="22"/>
      <c r="E67" s="29"/>
      <c r="F67" s="19"/>
      <c r="G67" s="32"/>
      <c r="H67" s="10"/>
      <c r="I67" s="10"/>
      <c r="J67" s="10"/>
    </row>
    <row r="68" customFormat="false" ht="15" hidden="false" customHeight="false" outlineLevel="0" collapsed="false">
      <c r="A68" s="10"/>
      <c r="B68" s="10"/>
      <c r="C68" s="22"/>
      <c r="D68" s="22"/>
      <c r="E68" s="29"/>
      <c r="F68" s="19"/>
      <c r="G68" s="32"/>
      <c r="H68" s="10"/>
      <c r="I68" s="10"/>
      <c r="J68" s="10"/>
    </row>
    <row r="69" customFormat="false" ht="15" hidden="false" customHeight="false" outlineLevel="0" collapsed="false">
      <c r="A69" s="10"/>
      <c r="B69" s="10"/>
      <c r="C69" s="22"/>
      <c r="D69" s="22"/>
      <c r="E69" s="29"/>
      <c r="F69" s="19"/>
      <c r="G69" s="32"/>
      <c r="H69" s="10"/>
      <c r="I69" s="10"/>
      <c r="J69" s="10"/>
    </row>
    <row r="70" customFormat="false" ht="15" hidden="false" customHeight="false" outlineLevel="0" collapsed="false">
      <c r="A70" s="10"/>
      <c r="B70" s="10"/>
      <c r="C70" s="22"/>
      <c r="D70" s="22"/>
      <c r="E70" s="29"/>
      <c r="F70" s="19"/>
      <c r="G70" s="32"/>
      <c r="H70" s="10"/>
      <c r="I70" s="10"/>
      <c r="J70" s="10"/>
    </row>
    <row r="71" customFormat="false" ht="15" hidden="false" customHeight="false" outlineLevel="0" collapsed="false">
      <c r="A71" s="10"/>
      <c r="B71" s="10"/>
      <c r="C71" s="22"/>
      <c r="D71" s="22"/>
      <c r="E71" s="29"/>
      <c r="F71" s="19"/>
      <c r="G71" s="32"/>
      <c r="H71" s="10"/>
      <c r="I71" s="10"/>
      <c r="J71" s="10"/>
    </row>
    <row r="72" customFormat="false" ht="15" hidden="false" customHeight="false" outlineLevel="0" collapsed="false">
      <c r="A72" s="10"/>
      <c r="B72" s="10"/>
      <c r="C72" s="22"/>
      <c r="D72" s="22"/>
      <c r="E72" s="29"/>
      <c r="F72" s="19"/>
      <c r="G72" s="32"/>
      <c r="H72" s="10"/>
      <c r="I72" s="10"/>
      <c r="J72" s="10"/>
    </row>
    <row r="73" customFormat="false" ht="15" hidden="false" customHeight="false" outlineLevel="0" collapsed="false">
      <c r="A73" s="10"/>
      <c r="B73" s="10"/>
      <c r="C73" s="22"/>
      <c r="D73" s="22"/>
      <c r="E73" s="29"/>
      <c r="F73" s="19"/>
      <c r="G73" s="32"/>
      <c r="H73" s="10"/>
      <c r="I73" s="10"/>
      <c r="J73" s="10"/>
    </row>
    <row r="74" customFormat="false" ht="15" hidden="false" customHeight="false" outlineLevel="0" collapsed="false">
      <c r="A74" s="10"/>
      <c r="B74" s="10"/>
      <c r="C74" s="22"/>
      <c r="D74" s="22"/>
      <c r="E74" s="29"/>
      <c r="F74" s="19"/>
      <c r="G74" s="32"/>
      <c r="H74" s="10"/>
      <c r="I74" s="10"/>
      <c r="J74" s="10"/>
    </row>
    <row r="75" customFormat="false" ht="15" hidden="false" customHeight="false" outlineLevel="0" collapsed="false">
      <c r="A75" s="10"/>
      <c r="B75" s="10"/>
      <c r="C75" s="22"/>
      <c r="D75" s="22"/>
      <c r="E75" s="29"/>
      <c r="F75" s="19"/>
      <c r="G75" s="32"/>
      <c r="H75" s="10"/>
      <c r="I75" s="10"/>
      <c r="J75" s="10"/>
    </row>
    <row r="76" customFormat="false" ht="15" hidden="false" customHeight="false" outlineLevel="0" collapsed="false">
      <c r="A76" s="10"/>
      <c r="B76" s="10"/>
      <c r="C76" s="22"/>
      <c r="D76" s="22"/>
      <c r="E76" s="29"/>
      <c r="F76" s="19"/>
      <c r="G76" s="32"/>
      <c r="H76" s="10"/>
      <c r="I76" s="10"/>
      <c r="J76" s="10"/>
    </row>
    <row r="77" customFormat="false" ht="15" hidden="false" customHeight="false" outlineLevel="0" collapsed="false">
      <c r="A77" s="10"/>
      <c r="B77" s="10"/>
      <c r="C77" s="22"/>
      <c r="D77" s="22"/>
      <c r="E77" s="29"/>
      <c r="F77" s="19"/>
      <c r="G77" s="32"/>
      <c r="H77" s="10"/>
      <c r="I77" s="10"/>
      <c r="J77" s="10"/>
    </row>
    <row r="78" customFormat="false" ht="15" hidden="false" customHeight="false" outlineLevel="0" collapsed="false">
      <c r="A78" s="10"/>
      <c r="B78" s="10"/>
      <c r="C78" s="22"/>
      <c r="D78" s="22"/>
      <c r="E78" s="29"/>
      <c r="F78" s="19"/>
      <c r="G78" s="32"/>
      <c r="H78" s="10"/>
      <c r="I78" s="10"/>
      <c r="J78" s="10"/>
    </row>
    <row r="79" customFormat="false" ht="15" hidden="false" customHeight="false" outlineLevel="0" collapsed="false">
      <c r="A79" s="10"/>
      <c r="B79" s="10"/>
      <c r="C79" s="22"/>
      <c r="D79" s="22"/>
      <c r="E79" s="29"/>
      <c r="F79" s="19"/>
      <c r="G79" s="32"/>
      <c r="H79" s="10"/>
      <c r="I79" s="10"/>
      <c r="J79" s="10"/>
    </row>
    <row r="80" customFormat="false" ht="15" hidden="false" customHeight="false" outlineLevel="0" collapsed="false">
      <c r="A80" s="10"/>
      <c r="B80" s="10"/>
      <c r="C80" s="22"/>
      <c r="D80" s="22"/>
      <c r="E80" s="29"/>
      <c r="F80" s="19"/>
      <c r="G80" s="32"/>
      <c r="H80" s="10"/>
      <c r="I80" s="10"/>
      <c r="J80" s="10"/>
    </row>
    <row r="81" customFormat="false" ht="15" hidden="false" customHeight="false" outlineLevel="0" collapsed="false">
      <c r="A81" s="10"/>
      <c r="B81" s="10"/>
      <c r="C81" s="22"/>
      <c r="D81" s="22"/>
      <c r="E81" s="29"/>
      <c r="F81" s="19"/>
      <c r="G81" s="32"/>
      <c r="H81" s="10"/>
      <c r="I81" s="10"/>
      <c r="J81" s="10"/>
    </row>
    <row r="82" customFormat="false" ht="15" hidden="false" customHeight="false" outlineLevel="0" collapsed="false">
      <c r="A82" s="10"/>
      <c r="B82" s="10"/>
      <c r="C82" s="22"/>
      <c r="D82" s="22"/>
      <c r="E82" s="29"/>
      <c r="F82" s="19"/>
      <c r="G82" s="32"/>
      <c r="H82" s="10"/>
      <c r="I82" s="10"/>
      <c r="J82" s="10"/>
    </row>
    <row r="83" customFormat="false" ht="15" hidden="false" customHeight="false" outlineLevel="0" collapsed="false">
      <c r="A83" s="10"/>
      <c r="B83" s="10"/>
      <c r="C83" s="22"/>
      <c r="D83" s="22"/>
      <c r="E83" s="29"/>
      <c r="F83" s="19"/>
      <c r="G83" s="32"/>
      <c r="H83" s="10"/>
      <c r="I83" s="10"/>
      <c r="J83" s="10"/>
    </row>
    <row r="84" customFormat="false" ht="15" hidden="false" customHeight="false" outlineLevel="0" collapsed="false">
      <c r="A84" s="10"/>
      <c r="B84" s="10"/>
      <c r="C84" s="22"/>
      <c r="D84" s="22"/>
      <c r="E84" s="29"/>
      <c r="F84" s="19"/>
      <c r="G84" s="32"/>
      <c r="H84" s="10"/>
      <c r="I84" s="10"/>
      <c r="J84" s="10"/>
    </row>
    <row r="85" customFormat="false" ht="15" hidden="false" customHeight="false" outlineLevel="0" collapsed="false">
      <c r="A85" s="10"/>
      <c r="B85" s="10"/>
      <c r="C85" s="22"/>
      <c r="D85" s="22"/>
      <c r="E85" s="29"/>
      <c r="F85" s="19"/>
      <c r="G85" s="32"/>
      <c r="H85" s="10"/>
      <c r="I85" s="10"/>
      <c r="J85" s="10"/>
    </row>
    <row r="86" customFormat="false" ht="15" hidden="false" customHeight="false" outlineLevel="0" collapsed="false">
      <c r="A86" s="10"/>
      <c r="B86" s="10"/>
      <c r="C86" s="22"/>
      <c r="D86" s="22"/>
      <c r="E86" s="29"/>
      <c r="F86" s="19"/>
      <c r="G86" s="32"/>
      <c r="H86" s="10"/>
      <c r="I86" s="10"/>
      <c r="J86" s="10"/>
    </row>
    <row r="87" customFormat="false" ht="15" hidden="false" customHeight="false" outlineLevel="0" collapsed="false">
      <c r="A87" s="10"/>
      <c r="B87" s="10"/>
      <c r="C87" s="22"/>
      <c r="D87" s="22"/>
      <c r="E87" s="29"/>
      <c r="F87" s="19"/>
      <c r="G87" s="32"/>
      <c r="H87" s="10"/>
      <c r="I87" s="10"/>
      <c r="J87" s="10"/>
    </row>
    <row r="88" customFormat="false" ht="15" hidden="false" customHeight="false" outlineLevel="0" collapsed="false">
      <c r="A88" s="10"/>
      <c r="B88" s="10"/>
      <c r="C88" s="22"/>
      <c r="D88" s="22"/>
      <c r="E88" s="29"/>
      <c r="F88" s="19"/>
      <c r="G88" s="32"/>
      <c r="H88" s="10"/>
      <c r="I88" s="10"/>
      <c r="J88" s="10"/>
    </row>
    <row r="89" customFormat="false" ht="15" hidden="false" customHeight="false" outlineLevel="0" collapsed="false">
      <c r="A89" s="10"/>
      <c r="B89" s="10"/>
      <c r="C89" s="22"/>
      <c r="D89" s="22"/>
      <c r="E89" s="29"/>
      <c r="F89" s="19"/>
      <c r="G89" s="32"/>
      <c r="H89" s="10"/>
      <c r="I89" s="10"/>
      <c r="J89" s="10"/>
    </row>
    <row r="90" customFormat="false" ht="15" hidden="false" customHeight="false" outlineLevel="0" collapsed="false">
      <c r="A90" s="10"/>
      <c r="B90" s="10"/>
      <c r="C90" s="22"/>
      <c r="D90" s="22"/>
      <c r="E90" s="29"/>
      <c r="F90" s="19"/>
      <c r="G90" s="32"/>
      <c r="H90" s="10"/>
      <c r="I90" s="10"/>
      <c r="J90" s="10"/>
    </row>
    <row r="91" customFormat="false" ht="15" hidden="false" customHeight="false" outlineLevel="0" collapsed="false">
      <c r="A91" s="10"/>
      <c r="B91" s="10"/>
      <c r="C91" s="22"/>
      <c r="D91" s="22"/>
      <c r="E91" s="29"/>
      <c r="F91" s="19"/>
      <c r="G91" s="32"/>
      <c r="H91" s="10"/>
      <c r="I91" s="10"/>
      <c r="J91" s="10"/>
    </row>
    <row r="92" customFormat="false" ht="15" hidden="false" customHeight="false" outlineLevel="0" collapsed="false">
      <c r="A92" s="10"/>
      <c r="B92" s="10"/>
      <c r="C92" s="22"/>
      <c r="D92" s="22"/>
      <c r="E92" s="29"/>
      <c r="F92" s="19"/>
      <c r="G92" s="32"/>
      <c r="H92" s="10"/>
      <c r="I92" s="10"/>
      <c r="J92" s="10"/>
    </row>
    <row r="93" customFormat="false" ht="15" hidden="false" customHeight="false" outlineLevel="0" collapsed="false">
      <c r="A93" s="10"/>
      <c r="B93" s="10"/>
      <c r="C93" s="22"/>
      <c r="D93" s="22"/>
      <c r="E93" s="29"/>
      <c r="F93" s="19"/>
      <c r="G93" s="32"/>
      <c r="H93" s="10"/>
      <c r="I93" s="10"/>
      <c r="J93" s="10"/>
    </row>
    <row r="94" customFormat="false" ht="15" hidden="false" customHeight="false" outlineLevel="0" collapsed="false">
      <c r="A94" s="10"/>
      <c r="B94" s="10"/>
      <c r="C94" s="22"/>
      <c r="D94" s="22"/>
      <c r="E94" s="29"/>
      <c r="F94" s="19"/>
      <c r="G94" s="32"/>
      <c r="H94" s="10"/>
      <c r="I94" s="10"/>
      <c r="J94" s="10"/>
    </row>
    <row r="95" customFormat="false" ht="15" hidden="false" customHeight="false" outlineLevel="0" collapsed="false">
      <c r="A95" s="10"/>
      <c r="B95" s="10"/>
      <c r="C95" s="22"/>
      <c r="D95" s="22"/>
      <c r="E95" s="29"/>
      <c r="F95" s="19"/>
      <c r="G95" s="32"/>
      <c r="H95" s="10"/>
      <c r="I95" s="10"/>
      <c r="J95" s="10"/>
    </row>
    <row r="96" customFormat="false" ht="15" hidden="false" customHeight="false" outlineLevel="0" collapsed="false">
      <c r="A96" s="10"/>
      <c r="B96" s="10"/>
      <c r="C96" s="22"/>
      <c r="D96" s="22"/>
      <c r="E96" s="29"/>
      <c r="F96" s="19"/>
      <c r="G96" s="32"/>
      <c r="H96" s="10"/>
      <c r="I96" s="10"/>
      <c r="J96" s="10"/>
    </row>
    <row r="97" customFormat="false" ht="15" hidden="false" customHeight="false" outlineLevel="0" collapsed="false">
      <c r="A97" s="10"/>
      <c r="B97" s="10"/>
      <c r="C97" s="22"/>
      <c r="D97" s="22"/>
      <c r="E97" s="29"/>
      <c r="F97" s="19"/>
      <c r="G97" s="32"/>
      <c r="H97" s="10"/>
      <c r="I97" s="10"/>
      <c r="J97" s="10"/>
    </row>
    <row r="98" customFormat="false" ht="15" hidden="false" customHeight="false" outlineLevel="0" collapsed="false">
      <c r="A98" s="10"/>
      <c r="B98" s="10"/>
      <c r="C98" s="22"/>
      <c r="D98" s="22"/>
      <c r="E98" s="29"/>
      <c r="F98" s="19"/>
      <c r="G98" s="32"/>
      <c r="H98" s="10"/>
      <c r="I98" s="10"/>
      <c r="J98" s="10"/>
    </row>
    <row r="99" customFormat="false" ht="15" hidden="false" customHeight="false" outlineLevel="0" collapsed="false">
      <c r="A99" s="10"/>
      <c r="B99" s="10"/>
      <c r="C99" s="22"/>
      <c r="D99" s="22"/>
      <c r="E99" s="29"/>
      <c r="F99" s="19"/>
      <c r="G99" s="32"/>
      <c r="H99" s="10"/>
      <c r="I99" s="10"/>
      <c r="J99" s="10"/>
    </row>
    <row r="100" customFormat="false" ht="15" hidden="false" customHeight="false" outlineLevel="0" collapsed="false">
      <c r="A100" s="10"/>
      <c r="B100" s="10"/>
      <c r="C100" s="22"/>
      <c r="D100" s="22"/>
      <c r="E100" s="29"/>
      <c r="F100" s="19"/>
      <c r="G100" s="32"/>
      <c r="H100" s="10"/>
      <c r="I100" s="10"/>
      <c r="J100" s="10"/>
    </row>
    <row r="101" customFormat="false" ht="15" hidden="false" customHeight="false" outlineLevel="0" collapsed="false">
      <c r="A101" s="10"/>
      <c r="B101" s="10"/>
      <c r="C101" s="22"/>
      <c r="D101" s="22"/>
      <c r="E101" s="29"/>
      <c r="F101" s="19"/>
      <c r="G101" s="32"/>
      <c r="H101" s="10"/>
      <c r="I101" s="10"/>
      <c r="J101" s="10"/>
    </row>
    <row r="102" customFormat="false" ht="15" hidden="false" customHeight="false" outlineLevel="0" collapsed="false">
      <c r="A102" s="10"/>
      <c r="B102" s="10"/>
      <c r="C102" s="22"/>
      <c r="D102" s="22"/>
      <c r="E102" s="29"/>
      <c r="F102" s="19"/>
      <c r="G102" s="32"/>
      <c r="H102" s="10"/>
      <c r="I102" s="10"/>
      <c r="J102" s="10"/>
    </row>
    <row r="103" customFormat="false" ht="15" hidden="false" customHeight="false" outlineLevel="0" collapsed="false">
      <c r="A103" s="10"/>
      <c r="B103" s="10"/>
      <c r="C103" s="22"/>
      <c r="D103" s="22"/>
      <c r="E103" s="29"/>
      <c r="F103" s="19"/>
      <c r="G103" s="32"/>
      <c r="H103" s="10"/>
      <c r="I103" s="10"/>
      <c r="J103" s="10"/>
    </row>
    <row r="104" customFormat="false" ht="15" hidden="false" customHeight="false" outlineLevel="0" collapsed="false">
      <c r="A104" s="10"/>
      <c r="B104" s="10"/>
      <c r="C104" s="22"/>
      <c r="D104" s="22"/>
      <c r="E104" s="29"/>
      <c r="F104" s="19"/>
      <c r="G104" s="32"/>
      <c r="H104" s="10"/>
      <c r="I104" s="10"/>
      <c r="J104" s="10"/>
    </row>
    <row r="105" customFormat="false" ht="15" hidden="false" customHeight="false" outlineLevel="0" collapsed="false">
      <c r="A105" s="10"/>
      <c r="B105" s="10"/>
      <c r="C105" s="22"/>
      <c r="D105" s="22"/>
      <c r="E105" s="29"/>
      <c r="F105" s="19"/>
      <c r="G105" s="32"/>
      <c r="H105" s="10"/>
      <c r="I105" s="10"/>
      <c r="J105" s="10"/>
    </row>
    <row r="106" customFormat="false" ht="15" hidden="false" customHeight="false" outlineLevel="0" collapsed="false">
      <c r="A106" s="10"/>
      <c r="B106" s="10"/>
      <c r="C106" s="22"/>
      <c r="D106" s="22"/>
      <c r="E106" s="29"/>
      <c r="F106" s="19"/>
      <c r="G106" s="32"/>
      <c r="H106" s="10"/>
      <c r="I106" s="10"/>
      <c r="J106" s="10"/>
    </row>
    <row r="107" customFormat="false" ht="15" hidden="false" customHeight="false" outlineLevel="0" collapsed="false">
      <c r="A107" s="10"/>
      <c r="B107" s="10"/>
      <c r="C107" s="22"/>
      <c r="D107" s="22"/>
      <c r="E107" s="29"/>
      <c r="F107" s="19"/>
      <c r="G107" s="32"/>
      <c r="H107" s="10"/>
      <c r="I107" s="10"/>
      <c r="J107" s="10"/>
    </row>
    <row r="108" customFormat="false" ht="15" hidden="false" customHeight="false" outlineLevel="0" collapsed="false">
      <c r="A108" s="10"/>
      <c r="B108" s="10"/>
      <c r="C108" s="22"/>
      <c r="D108" s="22"/>
      <c r="E108" s="29"/>
      <c r="F108" s="19"/>
      <c r="G108" s="32"/>
      <c r="H108" s="10"/>
      <c r="I108" s="10"/>
      <c r="J108" s="10"/>
    </row>
    <row r="109" customFormat="false" ht="15" hidden="false" customHeight="false" outlineLevel="0" collapsed="false">
      <c r="A109" s="10"/>
      <c r="B109" s="10"/>
      <c r="C109" s="22"/>
      <c r="D109" s="22"/>
      <c r="E109" s="29"/>
      <c r="F109" s="19"/>
      <c r="G109" s="32"/>
      <c r="H109" s="10"/>
      <c r="I109" s="10"/>
      <c r="J109" s="10"/>
    </row>
    <row r="110" customFormat="false" ht="15" hidden="false" customHeight="false" outlineLevel="0" collapsed="false">
      <c r="A110" s="10"/>
      <c r="B110" s="10"/>
      <c r="C110" s="22"/>
      <c r="D110" s="22"/>
      <c r="E110" s="29"/>
      <c r="F110" s="19"/>
      <c r="G110" s="32"/>
      <c r="H110" s="10"/>
      <c r="I110" s="10"/>
      <c r="J110" s="10"/>
    </row>
    <row r="111" customFormat="false" ht="15" hidden="false" customHeight="false" outlineLevel="0" collapsed="false">
      <c r="A111" s="10"/>
      <c r="B111" s="10"/>
      <c r="C111" s="22"/>
      <c r="D111" s="22"/>
      <c r="E111" s="29"/>
      <c r="F111" s="19"/>
      <c r="G111" s="32"/>
      <c r="H111" s="10"/>
      <c r="I111" s="10"/>
      <c r="J111" s="10"/>
    </row>
    <row r="112" customFormat="false" ht="15" hidden="false" customHeight="false" outlineLevel="0" collapsed="false">
      <c r="A112" s="10"/>
      <c r="B112" s="10"/>
      <c r="C112" s="22"/>
      <c r="D112" s="22"/>
      <c r="E112" s="29"/>
      <c r="F112" s="19"/>
      <c r="G112" s="32"/>
      <c r="H112" s="10"/>
      <c r="I112" s="10"/>
      <c r="J112" s="10"/>
    </row>
    <row r="113" customFormat="false" ht="15" hidden="false" customHeight="false" outlineLevel="0" collapsed="false">
      <c r="A113" s="10"/>
      <c r="B113" s="10"/>
      <c r="C113" s="22"/>
      <c r="D113" s="22"/>
      <c r="E113" s="29"/>
      <c r="F113" s="19"/>
      <c r="G113" s="32"/>
      <c r="H113" s="10"/>
      <c r="I113" s="10"/>
      <c r="J113" s="10"/>
    </row>
    <row r="114" customFormat="false" ht="15" hidden="false" customHeight="false" outlineLevel="0" collapsed="false">
      <c r="A114" s="10"/>
      <c r="B114" s="10"/>
      <c r="C114" s="22"/>
      <c r="D114" s="22"/>
      <c r="E114" s="29"/>
      <c r="F114" s="19"/>
      <c r="G114" s="32"/>
      <c r="H114" s="10"/>
      <c r="I114" s="10"/>
      <c r="J114" s="10"/>
    </row>
    <row r="115" customFormat="false" ht="15" hidden="false" customHeight="false" outlineLevel="0" collapsed="false">
      <c r="A115" s="10"/>
      <c r="B115" s="10"/>
      <c r="C115" s="22"/>
      <c r="D115" s="22"/>
      <c r="E115" s="29"/>
      <c r="F115" s="19"/>
      <c r="G115" s="32"/>
      <c r="H115" s="10"/>
      <c r="I115" s="10"/>
      <c r="J115" s="10"/>
    </row>
    <row r="116" customFormat="false" ht="15" hidden="false" customHeight="false" outlineLevel="0" collapsed="false">
      <c r="A116" s="10"/>
      <c r="B116" s="10"/>
      <c r="C116" s="22"/>
      <c r="D116" s="22"/>
      <c r="E116" s="29"/>
      <c r="F116" s="19"/>
      <c r="G116" s="32"/>
      <c r="H116" s="10"/>
      <c r="I116" s="10"/>
      <c r="J116" s="10"/>
    </row>
    <row r="117" customFormat="false" ht="15" hidden="false" customHeight="false" outlineLevel="0" collapsed="false">
      <c r="A117" s="10"/>
      <c r="B117" s="10"/>
      <c r="C117" s="22"/>
      <c r="D117" s="22"/>
      <c r="E117" s="29"/>
      <c r="F117" s="19"/>
      <c r="G117" s="32"/>
      <c r="H117" s="10"/>
      <c r="I117" s="10"/>
      <c r="J117" s="10"/>
    </row>
    <row r="118" customFormat="false" ht="15" hidden="false" customHeight="false" outlineLevel="0" collapsed="false">
      <c r="A118" s="10"/>
      <c r="B118" s="10"/>
      <c r="C118" s="22"/>
      <c r="D118" s="22"/>
      <c r="E118" s="29"/>
      <c r="F118" s="19"/>
      <c r="G118" s="32"/>
      <c r="H118" s="10"/>
      <c r="I118" s="10"/>
      <c r="J118" s="10"/>
    </row>
    <row r="119" customFormat="false" ht="15" hidden="false" customHeight="false" outlineLevel="0" collapsed="false">
      <c r="A119" s="10"/>
      <c r="B119" s="10"/>
      <c r="C119" s="22"/>
      <c r="D119" s="22"/>
      <c r="E119" s="29"/>
      <c r="F119" s="19"/>
      <c r="G119" s="32"/>
      <c r="H119" s="10"/>
      <c r="I119" s="10"/>
      <c r="J119" s="10"/>
    </row>
    <row r="120" customFormat="false" ht="15" hidden="false" customHeight="false" outlineLevel="0" collapsed="false">
      <c r="A120" s="10"/>
      <c r="B120" s="10"/>
      <c r="C120" s="22"/>
      <c r="D120" s="22"/>
      <c r="E120" s="29"/>
      <c r="F120" s="19"/>
      <c r="G120" s="32"/>
      <c r="H120" s="10"/>
      <c r="I120" s="10"/>
      <c r="J120" s="10"/>
    </row>
    <row r="121" customFormat="false" ht="15" hidden="false" customHeight="false" outlineLevel="0" collapsed="false">
      <c r="A121" s="10"/>
      <c r="B121" s="10"/>
      <c r="C121" s="22"/>
      <c r="D121" s="22"/>
      <c r="E121" s="29"/>
      <c r="F121" s="19"/>
      <c r="G121" s="32"/>
      <c r="H121" s="10"/>
      <c r="I121" s="10"/>
      <c r="J121" s="10"/>
    </row>
    <row r="122" customFormat="false" ht="15" hidden="false" customHeight="false" outlineLevel="0" collapsed="false">
      <c r="A122" s="10"/>
      <c r="B122" s="10"/>
      <c r="C122" s="22"/>
      <c r="D122" s="22"/>
      <c r="E122" s="29"/>
      <c r="F122" s="19"/>
      <c r="G122" s="32"/>
      <c r="H122" s="10"/>
      <c r="I122" s="10"/>
      <c r="J122" s="10"/>
    </row>
    <row r="123" customFormat="false" ht="15" hidden="false" customHeight="false" outlineLevel="0" collapsed="false">
      <c r="A123" s="10"/>
      <c r="B123" s="10"/>
      <c r="C123" s="22"/>
      <c r="D123" s="22"/>
      <c r="E123" s="29"/>
      <c r="F123" s="19"/>
      <c r="G123" s="32"/>
      <c r="H123" s="10"/>
      <c r="I123" s="10"/>
      <c r="J123" s="10"/>
    </row>
    <row r="124" customFormat="false" ht="15" hidden="false" customHeight="false" outlineLevel="0" collapsed="false">
      <c r="A124" s="10"/>
      <c r="B124" s="10"/>
      <c r="C124" s="22"/>
      <c r="D124" s="22"/>
      <c r="E124" s="29"/>
      <c r="F124" s="19"/>
      <c r="G124" s="32"/>
      <c r="H124" s="10"/>
      <c r="I124" s="10"/>
      <c r="J124" s="10"/>
    </row>
    <row r="125" customFormat="false" ht="15" hidden="false" customHeight="false" outlineLevel="0" collapsed="false">
      <c r="A125" s="10"/>
      <c r="B125" s="10"/>
      <c r="C125" s="22"/>
      <c r="D125" s="22"/>
      <c r="E125" s="29"/>
      <c r="F125" s="19"/>
      <c r="G125" s="32"/>
      <c r="H125" s="10"/>
      <c r="I125" s="10"/>
      <c r="J125" s="10"/>
    </row>
    <row r="126" customFormat="false" ht="15" hidden="false" customHeight="false" outlineLevel="0" collapsed="false">
      <c r="A126" s="10"/>
      <c r="B126" s="10"/>
      <c r="C126" s="22"/>
      <c r="D126" s="22"/>
      <c r="E126" s="29"/>
      <c r="F126" s="19"/>
      <c r="G126" s="32"/>
      <c r="H126" s="10"/>
      <c r="I126" s="10"/>
      <c r="J126" s="10"/>
    </row>
    <row r="127" customFormat="false" ht="15" hidden="false" customHeight="false" outlineLevel="0" collapsed="false">
      <c r="A127" s="10"/>
      <c r="B127" s="10"/>
      <c r="C127" s="22"/>
      <c r="D127" s="22"/>
      <c r="E127" s="29"/>
      <c r="F127" s="19"/>
      <c r="G127" s="32"/>
      <c r="H127" s="10"/>
      <c r="I127" s="10"/>
      <c r="J127" s="10"/>
    </row>
    <row r="128" customFormat="false" ht="15" hidden="false" customHeight="false" outlineLevel="0" collapsed="false">
      <c r="A128" s="10"/>
      <c r="B128" s="10"/>
      <c r="C128" s="22"/>
      <c r="D128" s="22"/>
      <c r="E128" s="29"/>
      <c r="F128" s="19"/>
      <c r="G128" s="32"/>
      <c r="H128" s="10"/>
      <c r="I128" s="10"/>
      <c r="J128" s="10"/>
    </row>
    <row r="129" customFormat="false" ht="15" hidden="false" customHeight="false" outlineLevel="0" collapsed="false">
      <c r="A129" s="10"/>
      <c r="B129" s="10"/>
      <c r="C129" s="22"/>
      <c r="D129" s="22"/>
      <c r="E129" s="29"/>
      <c r="F129" s="19"/>
      <c r="G129" s="32"/>
      <c r="H129" s="10"/>
      <c r="I129" s="10"/>
      <c r="J129" s="10"/>
    </row>
    <row r="130" customFormat="false" ht="15" hidden="false" customHeight="false" outlineLevel="0" collapsed="false">
      <c r="A130" s="10"/>
      <c r="B130" s="10"/>
      <c r="C130" s="22"/>
      <c r="D130" s="22"/>
      <c r="E130" s="29"/>
      <c r="F130" s="19"/>
      <c r="G130" s="32"/>
      <c r="H130" s="10"/>
      <c r="I130" s="10"/>
      <c r="J130" s="10"/>
    </row>
    <row r="131" customFormat="false" ht="15" hidden="false" customHeight="false" outlineLevel="0" collapsed="false">
      <c r="A131" s="10"/>
      <c r="B131" s="10"/>
      <c r="C131" s="22"/>
      <c r="D131" s="22"/>
      <c r="E131" s="29"/>
      <c r="F131" s="19"/>
      <c r="G131" s="32"/>
      <c r="H131" s="10"/>
      <c r="I131" s="10"/>
      <c r="J131" s="10"/>
    </row>
    <row r="132" customFormat="false" ht="15" hidden="false" customHeight="false" outlineLevel="0" collapsed="false">
      <c r="A132" s="10"/>
      <c r="B132" s="10"/>
      <c r="C132" s="22"/>
      <c r="D132" s="22"/>
      <c r="E132" s="29"/>
      <c r="F132" s="19"/>
      <c r="G132" s="32"/>
      <c r="H132" s="10"/>
      <c r="I132" s="10"/>
      <c r="J132" s="10"/>
    </row>
    <row r="133" customFormat="false" ht="15" hidden="false" customHeight="false" outlineLevel="0" collapsed="false">
      <c r="A133" s="10"/>
      <c r="B133" s="10"/>
      <c r="C133" s="22"/>
      <c r="D133" s="22"/>
      <c r="E133" s="29"/>
      <c r="F133" s="19"/>
      <c r="G133" s="32"/>
      <c r="H133" s="10"/>
      <c r="I133" s="10"/>
      <c r="J133" s="10"/>
    </row>
    <row r="134" customFormat="false" ht="15" hidden="false" customHeight="false" outlineLevel="0" collapsed="false">
      <c r="A134" s="10"/>
      <c r="B134" s="10"/>
      <c r="C134" s="22"/>
      <c r="D134" s="22"/>
      <c r="E134" s="29"/>
      <c r="F134" s="19"/>
      <c r="G134" s="32"/>
      <c r="H134" s="10"/>
      <c r="I134" s="10"/>
      <c r="J134" s="10"/>
    </row>
    <row r="135" customFormat="false" ht="15" hidden="false" customHeight="false" outlineLevel="0" collapsed="false">
      <c r="A135" s="10"/>
      <c r="B135" s="10"/>
      <c r="C135" s="22"/>
      <c r="D135" s="22"/>
      <c r="E135" s="29"/>
      <c r="F135" s="19"/>
      <c r="G135" s="32"/>
      <c r="H135" s="10"/>
      <c r="I135" s="10"/>
      <c r="J135" s="10"/>
    </row>
    <row r="136" customFormat="false" ht="15" hidden="false" customHeight="false" outlineLevel="0" collapsed="false">
      <c r="A136" s="10"/>
      <c r="B136" s="10"/>
      <c r="C136" s="22"/>
      <c r="D136" s="22"/>
      <c r="E136" s="29"/>
      <c r="F136" s="19"/>
      <c r="G136" s="32"/>
      <c r="H136" s="10"/>
      <c r="I136" s="10"/>
      <c r="J136" s="10"/>
    </row>
    <row r="137" customFormat="false" ht="15" hidden="false" customHeight="false" outlineLevel="0" collapsed="false">
      <c r="A137" s="10"/>
      <c r="B137" s="10"/>
      <c r="C137" s="22"/>
      <c r="D137" s="22"/>
      <c r="E137" s="29"/>
      <c r="F137" s="19"/>
      <c r="G137" s="32"/>
      <c r="H137" s="10"/>
      <c r="I137" s="10"/>
      <c r="J137" s="10"/>
    </row>
    <row r="138" customFormat="false" ht="15" hidden="false" customHeight="false" outlineLevel="0" collapsed="false">
      <c r="A138" s="10"/>
      <c r="B138" s="10"/>
      <c r="C138" s="22"/>
      <c r="D138" s="22"/>
      <c r="E138" s="29"/>
      <c r="F138" s="19"/>
      <c r="G138" s="32"/>
      <c r="H138" s="10"/>
      <c r="I138" s="10"/>
      <c r="J138" s="10"/>
    </row>
    <row r="139" customFormat="false" ht="15" hidden="false" customHeight="false" outlineLevel="0" collapsed="false">
      <c r="A139" s="10"/>
      <c r="B139" s="10"/>
      <c r="C139" s="22"/>
      <c r="D139" s="22"/>
      <c r="E139" s="29"/>
      <c r="F139" s="19"/>
      <c r="G139" s="32"/>
      <c r="H139" s="10"/>
      <c r="I139" s="10"/>
      <c r="J139" s="10"/>
    </row>
    <row r="140" customFormat="false" ht="15" hidden="false" customHeight="false" outlineLevel="0" collapsed="false">
      <c r="A140" s="10"/>
      <c r="B140" s="10"/>
      <c r="C140" s="22"/>
      <c r="D140" s="22"/>
      <c r="E140" s="29"/>
      <c r="F140" s="19"/>
      <c r="G140" s="32"/>
      <c r="H140" s="10"/>
      <c r="I140" s="10"/>
      <c r="J140" s="10"/>
    </row>
    <row r="141" customFormat="false" ht="15" hidden="false" customHeight="false" outlineLevel="0" collapsed="false">
      <c r="A141" s="10"/>
      <c r="B141" s="10"/>
      <c r="C141" s="22"/>
      <c r="D141" s="22"/>
      <c r="E141" s="29"/>
      <c r="F141" s="19"/>
      <c r="G141" s="32"/>
      <c r="H141" s="10"/>
      <c r="I141" s="10"/>
      <c r="J141" s="10"/>
    </row>
    <row r="142" customFormat="false" ht="15" hidden="false" customHeight="false" outlineLevel="0" collapsed="false">
      <c r="A142" s="10"/>
      <c r="B142" s="10"/>
      <c r="C142" s="22"/>
      <c r="D142" s="22"/>
      <c r="E142" s="29"/>
      <c r="F142" s="19"/>
      <c r="G142" s="32"/>
      <c r="H142" s="10"/>
      <c r="I142" s="10"/>
      <c r="J142" s="10"/>
    </row>
    <row r="143" customFormat="false" ht="15" hidden="false" customHeight="false" outlineLevel="0" collapsed="false">
      <c r="A143" s="10"/>
      <c r="B143" s="10"/>
      <c r="C143" s="22"/>
      <c r="D143" s="22"/>
      <c r="E143" s="29"/>
      <c r="F143" s="19"/>
      <c r="G143" s="32"/>
      <c r="H143" s="10"/>
      <c r="I143" s="10"/>
      <c r="J143" s="10"/>
    </row>
    <row r="144" customFormat="false" ht="15" hidden="false" customHeight="false" outlineLevel="0" collapsed="false">
      <c r="A144" s="10"/>
      <c r="B144" s="10"/>
      <c r="C144" s="22"/>
      <c r="D144" s="22"/>
      <c r="E144" s="29"/>
      <c r="F144" s="19"/>
      <c r="G144" s="32"/>
      <c r="H144" s="10"/>
      <c r="I144" s="10"/>
      <c r="J144" s="10"/>
    </row>
    <row r="145" customFormat="false" ht="15" hidden="false" customHeight="false" outlineLevel="0" collapsed="false">
      <c r="A145" s="10"/>
      <c r="B145" s="10"/>
      <c r="C145" s="22"/>
      <c r="D145" s="22"/>
      <c r="E145" s="29"/>
      <c r="F145" s="19"/>
      <c r="G145" s="32"/>
      <c r="H145" s="10"/>
      <c r="I145" s="10"/>
      <c r="J145" s="10"/>
    </row>
    <row r="146" customFormat="false" ht="15" hidden="false" customHeight="false" outlineLevel="0" collapsed="false">
      <c r="A146" s="10"/>
      <c r="B146" s="10"/>
      <c r="C146" s="22"/>
      <c r="D146" s="22"/>
      <c r="E146" s="29"/>
      <c r="F146" s="19"/>
      <c r="G146" s="32"/>
      <c r="H146" s="10"/>
      <c r="I146" s="10"/>
      <c r="J146" s="10"/>
    </row>
    <row r="147" customFormat="false" ht="15" hidden="false" customHeight="false" outlineLevel="0" collapsed="false">
      <c r="A147" s="10"/>
      <c r="B147" s="10"/>
      <c r="C147" s="22"/>
      <c r="D147" s="22"/>
      <c r="E147" s="29"/>
      <c r="F147" s="19"/>
      <c r="G147" s="32"/>
      <c r="H147" s="10"/>
      <c r="I147" s="10"/>
      <c r="J147" s="10"/>
    </row>
    <row r="148" customFormat="false" ht="15" hidden="false" customHeight="false" outlineLevel="0" collapsed="false">
      <c r="A148" s="10"/>
      <c r="B148" s="10"/>
      <c r="C148" s="22"/>
      <c r="D148" s="22"/>
      <c r="E148" s="29"/>
      <c r="F148" s="19"/>
      <c r="G148" s="32"/>
      <c r="H148" s="10"/>
      <c r="I148" s="10"/>
      <c r="J148" s="10"/>
    </row>
    <row r="149" customFormat="false" ht="15" hidden="false" customHeight="false" outlineLevel="0" collapsed="false">
      <c r="A149" s="10"/>
      <c r="B149" s="10"/>
      <c r="C149" s="22"/>
      <c r="D149" s="22"/>
      <c r="E149" s="29"/>
      <c r="F149" s="19"/>
      <c r="G149" s="32"/>
      <c r="H149" s="10"/>
      <c r="I149" s="10"/>
      <c r="J149" s="10"/>
    </row>
    <row r="150" customFormat="false" ht="15" hidden="false" customHeight="false" outlineLevel="0" collapsed="false">
      <c r="A150" s="10"/>
      <c r="B150" s="10"/>
      <c r="C150" s="22"/>
      <c r="D150" s="22"/>
      <c r="E150" s="29"/>
      <c r="F150" s="19"/>
      <c r="G150" s="32"/>
      <c r="H150" s="10"/>
      <c r="I150" s="10"/>
      <c r="J150" s="10"/>
    </row>
    <row r="151" customFormat="false" ht="15" hidden="false" customHeight="false" outlineLevel="0" collapsed="false">
      <c r="A151" s="10"/>
      <c r="B151" s="10"/>
      <c r="C151" s="22"/>
      <c r="D151" s="22"/>
      <c r="E151" s="29"/>
      <c r="F151" s="19"/>
      <c r="G151" s="32"/>
      <c r="H151" s="10"/>
      <c r="I151" s="10"/>
      <c r="J151" s="10"/>
    </row>
    <row r="152" customFormat="false" ht="15" hidden="false" customHeight="false" outlineLevel="0" collapsed="false">
      <c r="A152" s="10"/>
      <c r="B152" s="10"/>
      <c r="C152" s="22"/>
      <c r="D152" s="22"/>
      <c r="E152" s="29"/>
      <c r="F152" s="19"/>
      <c r="G152" s="32"/>
      <c r="H152" s="10"/>
      <c r="I152" s="10"/>
      <c r="J152" s="10"/>
    </row>
    <row r="153" customFormat="false" ht="15" hidden="false" customHeight="false" outlineLevel="0" collapsed="false">
      <c r="A153" s="10"/>
      <c r="B153" s="10"/>
      <c r="C153" s="22"/>
      <c r="D153" s="22"/>
      <c r="E153" s="29"/>
      <c r="F153" s="19"/>
      <c r="G153" s="32"/>
      <c r="H153" s="10"/>
      <c r="I153" s="10"/>
      <c r="J153" s="10"/>
    </row>
    <row r="154" customFormat="false" ht="15" hidden="false" customHeight="false" outlineLevel="0" collapsed="false">
      <c r="A154" s="10"/>
      <c r="B154" s="10"/>
      <c r="C154" s="22"/>
      <c r="D154" s="22"/>
      <c r="E154" s="29"/>
      <c r="F154" s="19"/>
      <c r="G154" s="32"/>
      <c r="H154" s="10"/>
      <c r="I154" s="10"/>
      <c r="J154" s="10"/>
    </row>
    <row r="155" customFormat="false" ht="15" hidden="false" customHeight="false" outlineLevel="0" collapsed="false">
      <c r="A155" s="10"/>
      <c r="B155" s="10"/>
      <c r="C155" s="22"/>
      <c r="D155" s="22"/>
      <c r="E155" s="29"/>
      <c r="F155" s="19"/>
      <c r="G155" s="32"/>
      <c r="H155" s="10"/>
      <c r="I155" s="10"/>
      <c r="J155" s="10"/>
    </row>
    <row r="156" customFormat="false" ht="15" hidden="false" customHeight="false" outlineLevel="0" collapsed="false">
      <c r="A156" s="10"/>
      <c r="B156" s="10"/>
      <c r="C156" s="22"/>
      <c r="D156" s="22"/>
      <c r="E156" s="29"/>
      <c r="F156" s="19"/>
      <c r="G156" s="32"/>
      <c r="H156" s="10"/>
      <c r="I156" s="10"/>
      <c r="J156" s="10"/>
    </row>
    <row r="157" customFormat="false" ht="15" hidden="false" customHeight="false" outlineLevel="0" collapsed="false">
      <c r="A157" s="10"/>
      <c r="B157" s="10"/>
      <c r="C157" s="22"/>
      <c r="D157" s="22"/>
      <c r="E157" s="29"/>
      <c r="F157" s="19"/>
      <c r="G157" s="32"/>
      <c r="H157" s="10"/>
      <c r="I157" s="10"/>
      <c r="J157" s="10"/>
    </row>
    <row r="158" customFormat="false" ht="15" hidden="false" customHeight="false" outlineLevel="0" collapsed="false">
      <c r="A158" s="10"/>
      <c r="B158" s="10"/>
      <c r="C158" s="22"/>
      <c r="D158" s="22"/>
      <c r="E158" s="29"/>
      <c r="F158" s="19"/>
      <c r="G158" s="32"/>
      <c r="H158" s="10"/>
      <c r="I158" s="10"/>
      <c r="J158" s="10"/>
    </row>
    <row r="159" customFormat="false" ht="15" hidden="false" customHeight="false" outlineLevel="0" collapsed="false">
      <c r="A159" s="10"/>
      <c r="B159" s="10"/>
      <c r="C159" s="22"/>
      <c r="D159" s="22"/>
      <c r="E159" s="29"/>
      <c r="F159" s="19"/>
      <c r="G159" s="32"/>
      <c r="H159" s="10"/>
      <c r="I159" s="10"/>
      <c r="J159" s="10"/>
    </row>
    <row r="160" customFormat="false" ht="15" hidden="false" customHeight="false" outlineLevel="0" collapsed="false">
      <c r="A160" s="10"/>
      <c r="B160" s="10"/>
      <c r="C160" s="22"/>
      <c r="D160" s="22"/>
      <c r="E160" s="29"/>
      <c r="F160" s="19"/>
      <c r="G160" s="32"/>
      <c r="H160" s="10"/>
      <c r="I160" s="10"/>
      <c r="J160" s="10"/>
    </row>
    <row r="161" customFormat="false" ht="15" hidden="false" customHeight="false" outlineLevel="0" collapsed="false">
      <c r="A161" s="10"/>
      <c r="B161" s="10"/>
      <c r="C161" s="22"/>
      <c r="D161" s="22"/>
      <c r="E161" s="29"/>
      <c r="F161" s="19"/>
      <c r="G161" s="32"/>
      <c r="H161" s="10"/>
      <c r="I161" s="10"/>
      <c r="J161" s="10"/>
    </row>
    <row r="162" customFormat="false" ht="15" hidden="false" customHeight="false" outlineLevel="0" collapsed="false">
      <c r="A162" s="10"/>
      <c r="B162" s="10"/>
      <c r="C162" s="22"/>
      <c r="D162" s="22"/>
      <c r="E162" s="29"/>
      <c r="F162" s="19"/>
      <c r="G162" s="32"/>
      <c r="H162" s="10"/>
      <c r="I162" s="10"/>
      <c r="J162" s="10"/>
    </row>
    <row r="163" customFormat="false" ht="15" hidden="false" customHeight="false" outlineLevel="0" collapsed="false">
      <c r="A163" s="10"/>
      <c r="B163" s="10"/>
      <c r="C163" s="22"/>
      <c r="D163" s="22"/>
      <c r="E163" s="29"/>
      <c r="F163" s="19"/>
      <c r="G163" s="32"/>
      <c r="H163" s="10"/>
      <c r="I163" s="10"/>
      <c r="J163" s="10"/>
    </row>
    <row r="164" customFormat="false" ht="15" hidden="false" customHeight="false" outlineLevel="0" collapsed="false">
      <c r="A164" s="10"/>
      <c r="B164" s="10"/>
      <c r="C164" s="22"/>
      <c r="D164" s="22"/>
      <c r="E164" s="29"/>
      <c r="F164" s="19"/>
      <c r="G164" s="32"/>
      <c r="H164" s="10"/>
      <c r="I164" s="10"/>
      <c r="J164" s="10"/>
    </row>
    <row r="165" customFormat="false" ht="15" hidden="false" customHeight="false" outlineLevel="0" collapsed="false">
      <c r="A165" s="10"/>
      <c r="B165" s="10"/>
      <c r="C165" s="22"/>
      <c r="D165" s="22"/>
      <c r="E165" s="29"/>
      <c r="F165" s="19"/>
      <c r="G165" s="32"/>
      <c r="H165" s="10"/>
      <c r="I165" s="10"/>
      <c r="J165" s="10"/>
    </row>
    <row r="166" customFormat="false" ht="15" hidden="false" customHeight="false" outlineLevel="0" collapsed="false">
      <c r="A166" s="10"/>
      <c r="B166" s="10"/>
      <c r="C166" s="22"/>
      <c r="D166" s="22"/>
      <c r="E166" s="29"/>
      <c r="F166" s="19"/>
      <c r="G166" s="32"/>
      <c r="H166" s="10"/>
      <c r="I166" s="10"/>
      <c r="J166" s="10"/>
    </row>
    <row r="167" customFormat="false" ht="15" hidden="false" customHeight="false" outlineLevel="0" collapsed="false">
      <c r="A167" s="10"/>
      <c r="B167" s="10"/>
      <c r="C167" s="22"/>
      <c r="D167" s="22"/>
      <c r="E167" s="29"/>
      <c r="F167" s="19"/>
      <c r="G167" s="32"/>
      <c r="H167" s="10"/>
      <c r="I167" s="10"/>
      <c r="J167" s="10"/>
    </row>
    <row r="168" customFormat="false" ht="15" hidden="false" customHeight="false" outlineLevel="0" collapsed="false">
      <c r="A168" s="10"/>
      <c r="B168" s="10"/>
      <c r="C168" s="22"/>
      <c r="D168" s="22"/>
      <c r="E168" s="29"/>
      <c r="F168" s="19"/>
      <c r="G168" s="32"/>
      <c r="H168" s="10"/>
      <c r="I168" s="10"/>
      <c r="J168" s="10"/>
    </row>
    <row r="169" customFormat="false" ht="15" hidden="false" customHeight="false" outlineLevel="0" collapsed="false">
      <c r="A169" s="10"/>
      <c r="B169" s="10"/>
      <c r="C169" s="22"/>
      <c r="D169" s="22"/>
      <c r="E169" s="29"/>
      <c r="F169" s="19"/>
      <c r="G169" s="32"/>
      <c r="H169" s="10"/>
      <c r="I169" s="10"/>
      <c r="J169" s="10"/>
    </row>
    <row r="170" customFormat="false" ht="15" hidden="false" customHeight="false" outlineLevel="0" collapsed="false">
      <c r="A170" s="10"/>
      <c r="B170" s="10"/>
      <c r="C170" s="22"/>
      <c r="D170" s="22"/>
      <c r="E170" s="29"/>
      <c r="F170" s="19"/>
      <c r="G170" s="32"/>
      <c r="H170" s="10"/>
      <c r="I170" s="10"/>
      <c r="J170" s="10"/>
    </row>
    <row r="171" customFormat="false" ht="15" hidden="false" customHeight="false" outlineLevel="0" collapsed="false">
      <c r="A171" s="10"/>
      <c r="B171" s="10"/>
      <c r="C171" s="22"/>
      <c r="D171" s="22"/>
      <c r="E171" s="29"/>
      <c r="F171" s="19"/>
      <c r="G171" s="32"/>
      <c r="H171" s="10"/>
      <c r="I171" s="10"/>
      <c r="J171" s="10"/>
    </row>
    <row r="172" customFormat="false" ht="15" hidden="false" customHeight="false" outlineLevel="0" collapsed="false">
      <c r="A172" s="10"/>
      <c r="B172" s="10"/>
      <c r="C172" s="22"/>
      <c r="D172" s="22"/>
      <c r="E172" s="29"/>
      <c r="F172" s="19"/>
      <c r="G172" s="32"/>
      <c r="H172" s="10"/>
      <c r="I172" s="10"/>
      <c r="J172" s="10"/>
    </row>
    <row r="173" customFormat="false" ht="15" hidden="false" customHeight="false" outlineLevel="0" collapsed="false">
      <c r="A173" s="10"/>
      <c r="B173" s="10"/>
      <c r="C173" s="22"/>
      <c r="D173" s="22"/>
      <c r="E173" s="29"/>
      <c r="F173" s="19"/>
      <c r="G173" s="32"/>
      <c r="H173" s="10"/>
      <c r="I173" s="10"/>
      <c r="J173" s="10"/>
    </row>
    <row r="174" customFormat="false" ht="15" hidden="false" customHeight="false" outlineLevel="0" collapsed="false">
      <c r="A174" s="10"/>
      <c r="B174" s="10"/>
      <c r="C174" s="22"/>
      <c r="D174" s="22"/>
      <c r="E174" s="29"/>
      <c r="F174" s="19"/>
      <c r="G174" s="32"/>
      <c r="H174" s="10"/>
      <c r="I174" s="10"/>
      <c r="J174" s="10"/>
    </row>
    <row r="175" customFormat="false" ht="15" hidden="false" customHeight="false" outlineLevel="0" collapsed="false">
      <c r="A175" s="10"/>
      <c r="B175" s="10"/>
      <c r="C175" s="22"/>
      <c r="D175" s="22"/>
      <c r="E175" s="29"/>
      <c r="F175" s="19"/>
      <c r="G175" s="32"/>
      <c r="H175" s="10"/>
      <c r="I175" s="10"/>
      <c r="J175" s="10"/>
    </row>
    <row r="176" customFormat="false" ht="15" hidden="false" customHeight="false" outlineLevel="0" collapsed="false">
      <c r="A176" s="10"/>
      <c r="B176" s="10"/>
      <c r="C176" s="22"/>
      <c r="D176" s="22"/>
      <c r="E176" s="29"/>
      <c r="F176" s="19"/>
      <c r="G176" s="32"/>
      <c r="H176" s="10"/>
      <c r="I176" s="10"/>
      <c r="J176" s="10"/>
    </row>
    <row r="177" customFormat="false" ht="15" hidden="false" customHeight="false" outlineLevel="0" collapsed="false">
      <c r="A177" s="10"/>
      <c r="B177" s="10"/>
      <c r="C177" s="22"/>
      <c r="D177" s="22"/>
      <c r="E177" s="29"/>
      <c r="F177" s="19"/>
      <c r="G177" s="32"/>
      <c r="H177" s="10"/>
      <c r="I177" s="10"/>
      <c r="J177" s="10"/>
    </row>
    <row r="178" customFormat="false" ht="15" hidden="false" customHeight="false" outlineLevel="0" collapsed="false">
      <c r="A178" s="10"/>
      <c r="B178" s="10"/>
      <c r="C178" s="22"/>
      <c r="D178" s="22"/>
      <c r="E178" s="29"/>
      <c r="F178" s="19"/>
      <c r="G178" s="32"/>
      <c r="H178" s="10"/>
      <c r="I178" s="10"/>
      <c r="J178" s="10"/>
    </row>
    <row r="179" customFormat="false" ht="15" hidden="false" customHeight="false" outlineLevel="0" collapsed="false">
      <c r="A179" s="10"/>
      <c r="B179" s="10"/>
      <c r="C179" s="22"/>
      <c r="D179" s="22"/>
      <c r="E179" s="29"/>
      <c r="F179" s="19"/>
      <c r="G179" s="32"/>
      <c r="H179" s="10"/>
      <c r="I179" s="10"/>
      <c r="J179" s="10"/>
    </row>
    <row r="180" customFormat="false" ht="15" hidden="false" customHeight="false" outlineLevel="0" collapsed="false">
      <c r="A180" s="10"/>
      <c r="B180" s="10"/>
      <c r="C180" s="22"/>
      <c r="D180" s="22"/>
      <c r="E180" s="29"/>
      <c r="F180" s="19"/>
      <c r="G180" s="32"/>
      <c r="H180" s="10"/>
      <c r="I180" s="10"/>
      <c r="J180" s="10"/>
    </row>
    <row r="181" customFormat="false" ht="15" hidden="false" customHeight="false" outlineLevel="0" collapsed="false">
      <c r="A181" s="10"/>
      <c r="B181" s="10"/>
      <c r="C181" s="22"/>
      <c r="D181" s="22"/>
      <c r="E181" s="29"/>
      <c r="F181" s="19"/>
      <c r="G181" s="32"/>
      <c r="H181" s="10"/>
      <c r="I181" s="10"/>
      <c r="J181" s="10"/>
    </row>
    <row r="182" customFormat="false" ht="15" hidden="false" customHeight="false" outlineLevel="0" collapsed="false">
      <c r="A182" s="10"/>
      <c r="B182" s="10"/>
      <c r="C182" s="22"/>
      <c r="D182" s="22"/>
      <c r="E182" s="29"/>
      <c r="F182" s="19"/>
      <c r="G182" s="32"/>
      <c r="H182" s="10"/>
      <c r="I182" s="10"/>
      <c r="J182" s="10"/>
    </row>
    <row r="183" customFormat="false" ht="15" hidden="false" customHeight="false" outlineLevel="0" collapsed="false">
      <c r="A183" s="10"/>
      <c r="B183" s="10"/>
      <c r="C183" s="22"/>
      <c r="D183" s="22"/>
      <c r="E183" s="29"/>
      <c r="F183" s="19"/>
      <c r="G183" s="32"/>
      <c r="H183" s="10"/>
      <c r="I183" s="10"/>
      <c r="J183" s="10"/>
    </row>
    <row r="184" customFormat="false" ht="15" hidden="false" customHeight="false" outlineLevel="0" collapsed="false">
      <c r="A184" s="10"/>
      <c r="B184" s="10"/>
      <c r="C184" s="22"/>
      <c r="D184" s="22"/>
      <c r="E184" s="29"/>
      <c r="F184" s="19"/>
      <c r="G184" s="32"/>
      <c r="H184" s="10"/>
      <c r="I184" s="10"/>
      <c r="J184" s="10"/>
    </row>
    <row r="185" customFormat="false" ht="15" hidden="false" customHeight="false" outlineLevel="0" collapsed="false">
      <c r="A185" s="10"/>
      <c r="B185" s="10"/>
      <c r="C185" s="22"/>
      <c r="D185" s="22"/>
      <c r="E185" s="29"/>
      <c r="F185" s="19"/>
      <c r="G185" s="32"/>
      <c r="H185" s="10"/>
      <c r="I185" s="10"/>
      <c r="J185" s="10"/>
    </row>
    <row r="186" customFormat="false" ht="15" hidden="false" customHeight="false" outlineLevel="0" collapsed="false">
      <c r="A186" s="10"/>
      <c r="B186" s="10"/>
      <c r="C186" s="22"/>
      <c r="D186" s="22"/>
      <c r="E186" s="29"/>
      <c r="F186" s="19"/>
      <c r="G186" s="32"/>
      <c r="H186" s="10"/>
      <c r="I186" s="10"/>
      <c r="J186" s="10"/>
    </row>
    <row r="187" customFormat="false" ht="15" hidden="false" customHeight="false" outlineLevel="0" collapsed="false">
      <c r="A187" s="10"/>
      <c r="B187" s="10"/>
      <c r="C187" s="22"/>
      <c r="D187" s="22"/>
      <c r="E187" s="29"/>
      <c r="F187" s="19"/>
      <c r="G187" s="32"/>
      <c r="H187" s="10"/>
      <c r="I187" s="10"/>
      <c r="J187" s="10"/>
    </row>
    <row r="188" customFormat="false" ht="15" hidden="false" customHeight="false" outlineLevel="0" collapsed="false">
      <c r="A188" s="10"/>
      <c r="B188" s="10"/>
      <c r="C188" s="22"/>
      <c r="D188" s="22"/>
      <c r="E188" s="29"/>
      <c r="F188" s="19"/>
      <c r="G188" s="32"/>
      <c r="H188" s="10"/>
      <c r="I188" s="10"/>
      <c r="J188" s="10"/>
    </row>
    <row r="189" customFormat="false" ht="15" hidden="false" customHeight="false" outlineLevel="0" collapsed="false">
      <c r="A189" s="10"/>
      <c r="B189" s="10"/>
      <c r="C189" s="22"/>
      <c r="D189" s="22"/>
      <c r="E189" s="29"/>
      <c r="F189" s="19"/>
      <c r="G189" s="32"/>
      <c r="H189" s="10"/>
      <c r="I189" s="10"/>
      <c r="J189" s="10"/>
    </row>
    <row r="190" customFormat="false" ht="15" hidden="false" customHeight="false" outlineLevel="0" collapsed="false">
      <c r="A190" s="10"/>
      <c r="B190" s="10"/>
      <c r="C190" s="22"/>
      <c r="D190" s="22"/>
      <c r="E190" s="29"/>
      <c r="F190" s="19"/>
      <c r="G190" s="32"/>
      <c r="H190" s="10"/>
      <c r="I190" s="10"/>
      <c r="J190" s="10"/>
    </row>
    <row r="191" customFormat="false" ht="15" hidden="false" customHeight="false" outlineLevel="0" collapsed="false">
      <c r="A191" s="10"/>
      <c r="B191" s="10"/>
      <c r="C191" s="22"/>
      <c r="D191" s="22"/>
      <c r="E191" s="29"/>
      <c r="F191" s="19"/>
      <c r="G191" s="32"/>
      <c r="H191" s="10"/>
      <c r="I191" s="10"/>
      <c r="J191" s="10"/>
    </row>
    <row r="192" customFormat="false" ht="15" hidden="false" customHeight="false" outlineLevel="0" collapsed="false">
      <c r="A192" s="10"/>
      <c r="B192" s="10"/>
      <c r="C192" s="22"/>
      <c r="D192" s="22"/>
      <c r="E192" s="29"/>
      <c r="F192" s="19"/>
      <c r="G192" s="32"/>
      <c r="H192" s="10"/>
      <c r="I192" s="10"/>
      <c r="J192" s="10"/>
    </row>
    <row r="193" customFormat="false" ht="15" hidden="false" customHeight="false" outlineLevel="0" collapsed="false">
      <c r="A193" s="10"/>
      <c r="B193" s="10"/>
      <c r="C193" s="22"/>
      <c r="D193" s="22"/>
      <c r="E193" s="29"/>
      <c r="F193" s="19"/>
      <c r="G193" s="32"/>
      <c r="H193" s="10"/>
      <c r="I193" s="10"/>
      <c r="J193" s="10"/>
    </row>
    <row r="194" customFormat="false" ht="15" hidden="false" customHeight="false" outlineLevel="0" collapsed="false">
      <c r="A194" s="10"/>
      <c r="B194" s="10"/>
      <c r="C194" s="22"/>
      <c r="D194" s="22"/>
      <c r="E194" s="29"/>
      <c r="F194" s="19"/>
      <c r="G194" s="32"/>
      <c r="H194" s="10"/>
      <c r="I194" s="10"/>
      <c r="J194" s="10"/>
    </row>
    <row r="195" customFormat="false" ht="15" hidden="false" customHeight="false" outlineLevel="0" collapsed="false">
      <c r="A195" s="10"/>
      <c r="B195" s="10"/>
      <c r="C195" s="22"/>
      <c r="D195" s="22"/>
      <c r="E195" s="29"/>
      <c r="F195" s="19"/>
      <c r="G195" s="32"/>
      <c r="H195" s="10"/>
      <c r="I195" s="10"/>
      <c r="J195" s="10"/>
    </row>
    <row r="196" customFormat="false" ht="15" hidden="false" customHeight="false" outlineLevel="0" collapsed="false">
      <c r="A196" s="10"/>
      <c r="B196" s="10"/>
      <c r="C196" s="22"/>
      <c r="D196" s="22"/>
      <c r="E196" s="29"/>
      <c r="F196" s="19"/>
      <c r="G196" s="32"/>
      <c r="H196" s="10"/>
      <c r="I196" s="10"/>
      <c r="J196" s="10"/>
    </row>
    <row r="197" customFormat="false" ht="15" hidden="false" customHeight="false" outlineLevel="0" collapsed="false">
      <c r="A197" s="10"/>
      <c r="B197" s="10"/>
      <c r="C197" s="22"/>
      <c r="D197" s="22"/>
      <c r="E197" s="29"/>
      <c r="F197" s="19"/>
      <c r="G197" s="32"/>
      <c r="H197" s="10"/>
      <c r="I197" s="10"/>
      <c r="J197" s="10"/>
    </row>
    <row r="198" customFormat="false" ht="15" hidden="false" customHeight="false" outlineLevel="0" collapsed="false">
      <c r="A198" s="10"/>
      <c r="B198" s="10"/>
      <c r="C198" s="22"/>
      <c r="D198" s="22"/>
      <c r="E198" s="29"/>
      <c r="F198" s="19"/>
      <c r="G198" s="32"/>
      <c r="H198" s="10"/>
      <c r="I198" s="10"/>
      <c r="J198" s="10"/>
    </row>
    <row r="199" customFormat="false" ht="15" hidden="false" customHeight="false" outlineLevel="0" collapsed="false">
      <c r="A199" s="10"/>
      <c r="B199" s="10"/>
      <c r="C199" s="22"/>
      <c r="D199" s="22"/>
      <c r="E199" s="29"/>
      <c r="F199" s="19"/>
      <c r="G199" s="32"/>
      <c r="H199" s="10"/>
      <c r="I199" s="10"/>
      <c r="J199" s="10"/>
    </row>
    <row r="200" customFormat="false" ht="15" hidden="false" customHeight="false" outlineLevel="0" collapsed="false">
      <c r="A200" s="10"/>
      <c r="B200" s="10"/>
      <c r="C200" s="22"/>
      <c r="D200" s="22"/>
      <c r="E200" s="29"/>
      <c r="F200" s="19"/>
      <c r="G200" s="32"/>
      <c r="H200" s="10"/>
      <c r="I200" s="10"/>
      <c r="J200" s="10"/>
    </row>
    <row r="201" customFormat="false" ht="15" hidden="false" customHeight="false" outlineLevel="0" collapsed="false">
      <c r="A201" s="10"/>
      <c r="B201" s="10"/>
      <c r="C201" s="22"/>
      <c r="D201" s="22"/>
      <c r="E201" s="29"/>
      <c r="F201" s="19"/>
      <c r="G201" s="32"/>
      <c r="H201" s="10"/>
      <c r="I201" s="10"/>
      <c r="J201" s="10"/>
    </row>
    <row r="202" customFormat="false" ht="15" hidden="false" customHeight="false" outlineLevel="0" collapsed="false">
      <c r="A202" s="10"/>
      <c r="B202" s="10"/>
      <c r="C202" s="22"/>
      <c r="D202" s="22"/>
      <c r="E202" s="29"/>
      <c r="F202" s="19"/>
      <c r="G202" s="32"/>
      <c r="H202" s="10"/>
      <c r="I202" s="10"/>
      <c r="J202" s="10"/>
    </row>
    <row r="203" customFormat="false" ht="15" hidden="false" customHeight="false" outlineLevel="0" collapsed="false">
      <c r="A203" s="10"/>
      <c r="B203" s="10"/>
      <c r="C203" s="22"/>
      <c r="D203" s="22"/>
      <c r="E203" s="29"/>
      <c r="F203" s="19"/>
      <c r="G203" s="32"/>
      <c r="H203" s="10"/>
      <c r="I203" s="10"/>
      <c r="J203" s="10"/>
    </row>
    <row r="204" customFormat="false" ht="15" hidden="false" customHeight="false" outlineLevel="0" collapsed="false">
      <c r="A204" s="10"/>
      <c r="B204" s="10"/>
      <c r="C204" s="22"/>
      <c r="D204" s="22"/>
      <c r="E204" s="29"/>
      <c r="F204" s="19"/>
      <c r="G204" s="32"/>
      <c r="H204" s="10"/>
      <c r="I204" s="10"/>
      <c r="J204" s="10"/>
    </row>
    <row r="205" customFormat="false" ht="15" hidden="false" customHeight="false" outlineLevel="0" collapsed="false">
      <c r="A205" s="10"/>
      <c r="B205" s="10"/>
      <c r="C205" s="22"/>
      <c r="D205" s="22"/>
      <c r="E205" s="29"/>
      <c r="F205" s="19"/>
      <c r="G205" s="32"/>
      <c r="H205" s="10"/>
      <c r="I205" s="10"/>
      <c r="J205" s="10"/>
    </row>
    <row r="206" customFormat="false" ht="15" hidden="false" customHeight="false" outlineLevel="0" collapsed="false">
      <c r="A206" s="10"/>
      <c r="B206" s="10"/>
      <c r="C206" s="22"/>
      <c r="D206" s="22"/>
      <c r="E206" s="29"/>
      <c r="F206" s="19"/>
      <c r="G206" s="32"/>
      <c r="H206" s="10"/>
      <c r="I206" s="10"/>
      <c r="J206" s="10"/>
    </row>
    <row r="207" customFormat="false" ht="15" hidden="false" customHeight="false" outlineLevel="0" collapsed="false">
      <c r="A207" s="10"/>
      <c r="B207" s="10"/>
      <c r="C207" s="22"/>
      <c r="D207" s="22"/>
      <c r="E207" s="29"/>
      <c r="F207" s="19"/>
      <c r="G207" s="32"/>
      <c r="H207" s="10"/>
      <c r="I207" s="10"/>
      <c r="J207" s="10"/>
    </row>
    <row r="208" customFormat="false" ht="15" hidden="false" customHeight="false" outlineLevel="0" collapsed="false">
      <c r="A208" s="10"/>
      <c r="B208" s="10"/>
      <c r="C208" s="22"/>
      <c r="D208" s="22"/>
      <c r="E208" s="29"/>
      <c r="F208" s="19"/>
      <c r="G208" s="32"/>
      <c r="H208" s="10"/>
      <c r="I208" s="10"/>
      <c r="J208" s="10"/>
    </row>
    <row r="209" customFormat="false" ht="15" hidden="false" customHeight="false" outlineLevel="0" collapsed="false">
      <c r="A209" s="10"/>
      <c r="B209" s="10"/>
      <c r="C209" s="22"/>
      <c r="D209" s="22"/>
      <c r="E209" s="29"/>
      <c r="F209" s="19"/>
      <c r="G209" s="32"/>
      <c r="H209" s="10"/>
      <c r="I209" s="10"/>
      <c r="J209" s="10"/>
    </row>
    <row r="210" customFormat="false" ht="15" hidden="false" customHeight="false" outlineLevel="0" collapsed="false">
      <c r="A210" s="10"/>
      <c r="B210" s="10"/>
      <c r="C210" s="22"/>
      <c r="D210" s="22"/>
      <c r="E210" s="29"/>
      <c r="F210" s="19"/>
      <c r="G210" s="32"/>
      <c r="H210" s="10"/>
      <c r="I210" s="10"/>
      <c r="J210" s="10"/>
    </row>
    <row r="211" customFormat="false" ht="15" hidden="false" customHeight="false" outlineLevel="0" collapsed="false">
      <c r="A211" s="10"/>
      <c r="B211" s="10"/>
      <c r="C211" s="22"/>
      <c r="D211" s="22"/>
      <c r="E211" s="29"/>
      <c r="F211" s="19"/>
      <c r="G211" s="32"/>
      <c r="H211" s="10"/>
      <c r="I211" s="10"/>
      <c r="J211" s="10"/>
    </row>
    <row r="212" customFormat="false" ht="15" hidden="false" customHeight="false" outlineLevel="0" collapsed="false">
      <c r="A212" s="10"/>
      <c r="B212" s="10"/>
      <c r="C212" s="22"/>
      <c r="D212" s="22"/>
      <c r="E212" s="29"/>
      <c r="F212" s="19"/>
      <c r="G212" s="32"/>
      <c r="H212" s="10"/>
      <c r="I212" s="10"/>
      <c r="J212" s="10"/>
    </row>
    <row r="213" customFormat="false" ht="15" hidden="false" customHeight="false" outlineLevel="0" collapsed="false">
      <c r="A213" s="10"/>
      <c r="B213" s="10"/>
      <c r="C213" s="22"/>
      <c r="D213" s="22"/>
      <c r="E213" s="29"/>
      <c r="F213" s="19"/>
      <c r="G213" s="32"/>
      <c r="H213" s="10"/>
      <c r="I213" s="10"/>
      <c r="J213" s="10"/>
    </row>
    <row r="214" customFormat="false" ht="15" hidden="false" customHeight="false" outlineLevel="0" collapsed="false">
      <c r="A214" s="10"/>
      <c r="B214" s="10"/>
      <c r="C214" s="22"/>
      <c r="D214" s="22"/>
      <c r="E214" s="29"/>
      <c r="F214" s="19"/>
      <c r="G214" s="32"/>
      <c r="H214" s="10"/>
      <c r="I214" s="10"/>
      <c r="J214" s="10"/>
    </row>
    <row r="215" customFormat="false" ht="15" hidden="false" customHeight="false" outlineLevel="0" collapsed="false">
      <c r="A215" s="10"/>
      <c r="B215" s="10"/>
      <c r="C215" s="22"/>
      <c r="D215" s="22"/>
      <c r="E215" s="29"/>
      <c r="F215" s="19"/>
      <c r="G215" s="32"/>
      <c r="H215" s="10"/>
      <c r="I215" s="10"/>
      <c r="J215" s="10"/>
    </row>
    <row r="216" customFormat="false" ht="15" hidden="false" customHeight="false" outlineLevel="0" collapsed="false">
      <c r="A216" s="10"/>
      <c r="B216" s="10"/>
      <c r="C216" s="22"/>
      <c r="D216" s="22"/>
      <c r="E216" s="29"/>
      <c r="F216" s="19"/>
      <c r="G216" s="32"/>
      <c r="H216" s="10"/>
      <c r="I216" s="10"/>
      <c r="J216" s="10"/>
    </row>
    <row r="217" customFormat="false" ht="15" hidden="false" customHeight="false" outlineLevel="0" collapsed="false">
      <c r="A217" s="10"/>
      <c r="B217" s="10"/>
      <c r="C217" s="22"/>
      <c r="D217" s="22"/>
      <c r="E217" s="29"/>
      <c r="F217" s="19"/>
      <c r="G217" s="32"/>
      <c r="H217" s="10"/>
      <c r="I217" s="10"/>
      <c r="J217" s="10"/>
    </row>
    <row r="218" customFormat="false" ht="15" hidden="false" customHeight="false" outlineLevel="0" collapsed="false">
      <c r="A218" s="10"/>
      <c r="B218" s="10"/>
      <c r="C218" s="22"/>
      <c r="D218" s="22"/>
      <c r="E218" s="29"/>
      <c r="F218" s="19"/>
      <c r="G218" s="32"/>
      <c r="H218" s="10"/>
      <c r="I218" s="10"/>
      <c r="J218" s="10"/>
    </row>
    <row r="219" customFormat="false" ht="15" hidden="false" customHeight="false" outlineLevel="0" collapsed="false">
      <c r="A219" s="10"/>
      <c r="B219" s="10"/>
      <c r="C219" s="22"/>
      <c r="D219" s="22"/>
      <c r="E219" s="29"/>
      <c r="F219" s="19"/>
      <c r="G219" s="32"/>
      <c r="H219" s="10"/>
      <c r="I219" s="10"/>
      <c r="J219" s="10"/>
    </row>
    <row r="220" customFormat="false" ht="15" hidden="false" customHeight="false" outlineLevel="0" collapsed="false">
      <c r="A220" s="10"/>
      <c r="B220" s="10"/>
      <c r="C220" s="22"/>
      <c r="D220" s="22"/>
      <c r="E220" s="29"/>
      <c r="F220" s="19"/>
      <c r="G220" s="32"/>
      <c r="H220" s="10"/>
      <c r="I220" s="10"/>
      <c r="J220" s="10"/>
    </row>
    <row r="221" customFormat="false" ht="15" hidden="false" customHeight="false" outlineLevel="0" collapsed="false">
      <c r="A221" s="10"/>
      <c r="B221" s="10"/>
      <c r="C221" s="22"/>
      <c r="D221" s="22"/>
      <c r="E221" s="29"/>
      <c r="F221" s="19"/>
      <c r="G221" s="32"/>
      <c r="H221" s="10"/>
      <c r="I221" s="10"/>
      <c r="J221" s="10"/>
    </row>
    <row r="222" customFormat="false" ht="15" hidden="false" customHeight="false" outlineLevel="0" collapsed="false">
      <c r="A222" s="10"/>
      <c r="B222" s="10"/>
      <c r="C222" s="22"/>
      <c r="D222" s="22"/>
      <c r="E222" s="29"/>
      <c r="F222" s="19"/>
      <c r="G222" s="32"/>
      <c r="H222" s="10"/>
      <c r="I222" s="10"/>
      <c r="J222" s="10"/>
    </row>
    <row r="223" customFormat="false" ht="15" hidden="false" customHeight="false" outlineLevel="0" collapsed="false">
      <c r="A223" s="10"/>
      <c r="B223" s="10"/>
      <c r="C223" s="22"/>
      <c r="D223" s="22"/>
      <c r="E223" s="29"/>
      <c r="F223" s="19"/>
      <c r="G223" s="32"/>
      <c r="H223" s="10"/>
      <c r="I223" s="10"/>
      <c r="J223" s="10"/>
    </row>
    <row r="224" customFormat="false" ht="15" hidden="false" customHeight="false" outlineLevel="0" collapsed="false">
      <c r="A224" s="10"/>
      <c r="B224" s="10"/>
      <c r="C224" s="22"/>
      <c r="D224" s="22"/>
      <c r="E224" s="29"/>
      <c r="F224" s="19"/>
      <c r="G224" s="32"/>
      <c r="H224" s="10"/>
      <c r="I224" s="10"/>
      <c r="J224" s="10"/>
    </row>
    <row r="225" customFormat="false" ht="15" hidden="false" customHeight="false" outlineLevel="0" collapsed="false">
      <c r="A225" s="10"/>
      <c r="B225" s="10"/>
      <c r="C225" s="22"/>
      <c r="D225" s="22"/>
      <c r="E225" s="29"/>
      <c r="F225" s="19"/>
      <c r="G225" s="32"/>
      <c r="H225" s="10"/>
      <c r="I225" s="10"/>
      <c r="J225" s="10"/>
    </row>
    <row r="226" customFormat="false" ht="15" hidden="false" customHeight="false" outlineLevel="0" collapsed="false">
      <c r="A226" s="10"/>
      <c r="B226" s="10"/>
      <c r="C226" s="22"/>
      <c r="D226" s="22"/>
      <c r="E226" s="29"/>
      <c r="F226" s="19"/>
      <c r="G226" s="32"/>
      <c r="H226" s="10"/>
      <c r="I226" s="10"/>
      <c r="J226" s="10"/>
    </row>
    <row r="227" customFormat="false" ht="15" hidden="false" customHeight="false" outlineLevel="0" collapsed="false">
      <c r="A227" s="10"/>
      <c r="B227" s="10"/>
      <c r="C227" s="22"/>
      <c r="D227" s="22"/>
      <c r="E227" s="29"/>
      <c r="F227" s="19"/>
      <c r="G227" s="32"/>
      <c r="H227" s="10"/>
      <c r="I227" s="10"/>
      <c r="J227" s="10"/>
    </row>
    <row r="228" customFormat="false" ht="15" hidden="false" customHeight="false" outlineLevel="0" collapsed="false">
      <c r="A228" s="10"/>
      <c r="B228" s="10"/>
      <c r="C228" s="22"/>
      <c r="D228" s="22"/>
      <c r="E228" s="29"/>
      <c r="F228" s="19"/>
      <c r="G228" s="32"/>
      <c r="H228" s="10"/>
      <c r="I228" s="10"/>
      <c r="J228" s="10"/>
    </row>
    <row r="229" customFormat="false" ht="15" hidden="false" customHeight="false" outlineLevel="0" collapsed="false">
      <c r="A229" s="10"/>
      <c r="B229" s="10"/>
      <c r="C229" s="22"/>
      <c r="D229" s="22"/>
      <c r="E229" s="29"/>
      <c r="F229" s="19"/>
      <c r="G229" s="32"/>
      <c r="H229" s="10"/>
      <c r="I229" s="10"/>
      <c r="J229" s="10"/>
    </row>
    <row r="230" customFormat="false" ht="15" hidden="false" customHeight="false" outlineLevel="0" collapsed="false">
      <c r="A230" s="10"/>
      <c r="B230" s="10"/>
      <c r="C230" s="22"/>
      <c r="D230" s="22"/>
      <c r="E230" s="29"/>
      <c r="F230" s="19"/>
      <c r="G230" s="32"/>
      <c r="H230" s="10"/>
      <c r="I230" s="10"/>
      <c r="J230" s="10"/>
    </row>
    <row r="231" customFormat="false" ht="15" hidden="false" customHeight="false" outlineLevel="0" collapsed="false">
      <c r="A231" s="10"/>
      <c r="B231" s="10"/>
      <c r="C231" s="22"/>
      <c r="D231" s="22"/>
      <c r="E231" s="29"/>
      <c r="F231" s="19"/>
      <c r="G231" s="32"/>
      <c r="H231" s="10"/>
      <c r="I231" s="10"/>
      <c r="J231" s="10"/>
    </row>
    <row r="232" customFormat="false" ht="15" hidden="false" customHeight="false" outlineLevel="0" collapsed="false">
      <c r="A232" s="10"/>
      <c r="B232" s="10"/>
      <c r="C232" s="22"/>
      <c r="D232" s="22"/>
      <c r="E232" s="29"/>
      <c r="F232" s="19"/>
      <c r="G232" s="32"/>
      <c r="H232" s="10"/>
      <c r="I232" s="10"/>
      <c r="J232" s="10"/>
    </row>
    <row r="233" customFormat="false" ht="15" hidden="false" customHeight="false" outlineLevel="0" collapsed="false">
      <c r="A233" s="10"/>
      <c r="B233" s="10"/>
      <c r="C233" s="22"/>
      <c r="D233" s="22"/>
      <c r="E233" s="29"/>
      <c r="F233" s="19"/>
      <c r="G233" s="32"/>
      <c r="H233" s="10"/>
      <c r="I233" s="10"/>
      <c r="J233" s="10"/>
    </row>
    <row r="234" customFormat="false" ht="15" hidden="false" customHeight="false" outlineLevel="0" collapsed="false">
      <c r="A234" s="10"/>
      <c r="B234" s="10"/>
      <c r="C234" s="22"/>
      <c r="D234" s="22"/>
      <c r="E234" s="29"/>
      <c r="F234" s="19"/>
      <c r="G234" s="32"/>
      <c r="H234" s="10"/>
      <c r="I234" s="10"/>
      <c r="J234" s="10"/>
    </row>
    <row r="235" customFormat="false" ht="15" hidden="false" customHeight="false" outlineLevel="0" collapsed="false">
      <c r="A235" s="10"/>
      <c r="B235" s="10"/>
      <c r="C235" s="22"/>
      <c r="D235" s="22"/>
      <c r="E235" s="29"/>
      <c r="F235" s="19"/>
      <c r="G235" s="32"/>
      <c r="H235" s="10"/>
      <c r="I235" s="10"/>
      <c r="J235" s="10"/>
    </row>
    <row r="236" customFormat="false" ht="15" hidden="false" customHeight="false" outlineLevel="0" collapsed="false">
      <c r="A236" s="10"/>
      <c r="B236" s="10"/>
      <c r="C236" s="22"/>
      <c r="D236" s="22"/>
      <c r="E236" s="29"/>
      <c r="F236" s="19"/>
      <c r="G236" s="32"/>
      <c r="H236" s="10"/>
      <c r="I236" s="10"/>
      <c r="J236" s="10"/>
    </row>
    <row r="237" customFormat="false" ht="15" hidden="false" customHeight="false" outlineLevel="0" collapsed="false">
      <c r="A237" s="10"/>
      <c r="B237" s="10"/>
      <c r="C237" s="22"/>
      <c r="D237" s="22"/>
      <c r="E237" s="29"/>
      <c r="F237" s="19"/>
      <c r="G237" s="32"/>
      <c r="H237" s="10"/>
      <c r="I237" s="10"/>
      <c r="J237" s="10"/>
    </row>
    <row r="238" customFormat="false" ht="15" hidden="false" customHeight="false" outlineLevel="0" collapsed="false">
      <c r="A238" s="10"/>
      <c r="B238" s="10"/>
      <c r="C238" s="22"/>
      <c r="D238" s="22"/>
      <c r="E238" s="29"/>
      <c r="F238" s="19"/>
      <c r="G238" s="32"/>
      <c r="H238" s="10"/>
      <c r="I238" s="10"/>
      <c r="J238" s="10"/>
    </row>
    <row r="239" customFormat="false" ht="15" hidden="false" customHeight="false" outlineLevel="0" collapsed="false">
      <c r="A239" s="10"/>
      <c r="B239" s="10"/>
      <c r="C239" s="22"/>
      <c r="D239" s="22"/>
      <c r="E239" s="29"/>
      <c r="F239" s="19"/>
      <c r="G239" s="32"/>
      <c r="H239" s="10"/>
      <c r="I239" s="10"/>
      <c r="J239" s="10"/>
    </row>
    <row r="240" customFormat="false" ht="15" hidden="false" customHeight="false" outlineLevel="0" collapsed="false">
      <c r="A240" s="10"/>
      <c r="B240" s="10"/>
      <c r="C240" s="22"/>
      <c r="D240" s="22"/>
      <c r="E240" s="29"/>
      <c r="F240" s="19"/>
      <c r="G240" s="32"/>
      <c r="H240" s="10"/>
      <c r="I240" s="10"/>
      <c r="J240" s="10"/>
    </row>
    <row r="241" customFormat="false" ht="15" hidden="false" customHeight="false" outlineLevel="0" collapsed="false">
      <c r="A241" s="10"/>
      <c r="B241" s="10"/>
      <c r="C241" s="22"/>
      <c r="D241" s="22"/>
      <c r="E241" s="29"/>
      <c r="F241" s="19"/>
      <c r="G241" s="32"/>
      <c r="H241" s="10"/>
      <c r="I241" s="10"/>
      <c r="J241" s="10"/>
    </row>
    <row r="242" customFormat="false" ht="15" hidden="false" customHeight="false" outlineLevel="0" collapsed="false">
      <c r="A242" s="10"/>
      <c r="B242" s="10"/>
      <c r="C242" s="22"/>
      <c r="D242" s="22"/>
      <c r="E242" s="29"/>
      <c r="F242" s="19"/>
      <c r="G242" s="32"/>
      <c r="H242" s="10"/>
      <c r="I242" s="10"/>
      <c r="J242" s="10"/>
    </row>
    <row r="243" customFormat="false" ht="15" hidden="false" customHeight="false" outlineLevel="0" collapsed="false">
      <c r="A243" s="10"/>
      <c r="B243" s="10"/>
      <c r="C243" s="22"/>
      <c r="D243" s="22"/>
      <c r="E243" s="29"/>
      <c r="F243" s="19"/>
      <c r="G243" s="32"/>
      <c r="H243" s="10"/>
      <c r="I243" s="10"/>
      <c r="J243" s="10"/>
    </row>
    <row r="244" customFormat="false" ht="15" hidden="false" customHeight="false" outlineLevel="0" collapsed="false">
      <c r="A244" s="10"/>
      <c r="B244" s="10"/>
      <c r="C244" s="22"/>
      <c r="D244" s="22"/>
      <c r="E244" s="29"/>
      <c r="F244" s="19"/>
      <c r="G244" s="32"/>
      <c r="H244" s="10"/>
      <c r="I244" s="10"/>
      <c r="J244" s="10"/>
    </row>
    <row r="245" customFormat="false" ht="15" hidden="false" customHeight="false" outlineLevel="0" collapsed="false">
      <c r="A245" s="10"/>
      <c r="B245" s="10"/>
      <c r="C245" s="22"/>
      <c r="D245" s="22"/>
      <c r="E245" s="29"/>
      <c r="F245" s="19"/>
      <c r="G245" s="32"/>
      <c r="H245" s="10"/>
      <c r="I245" s="10"/>
      <c r="J245" s="10"/>
    </row>
    <row r="246" customFormat="false" ht="15" hidden="false" customHeight="false" outlineLevel="0" collapsed="false">
      <c r="A246" s="10"/>
      <c r="B246" s="10"/>
      <c r="C246" s="22"/>
      <c r="D246" s="22"/>
      <c r="E246" s="29"/>
      <c r="F246" s="19"/>
      <c r="G246" s="32"/>
      <c r="H246" s="10"/>
      <c r="I246" s="10"/>
      <c r="J246" s="10"/>
    </row>
    <row r="247" customFormat="false" ht="15" hidden="false" customHeight="false" outlineLevel="0" collapsed="false">
      <c r="A247" s="10"/>
      <c r="B247" s="10"/>
      <c r="C247" s="22"/>
      <c r="D247" s="22"/>
      <c r="E247" s="29"/>
      <c r="F247" s="19"/>
      <c r="G247" s="32"/>
      <c r="H247" s="10"/>
      <c r="I247" s="10"/>
      <c r="J247" s="10"/>
    </row>
    <row r="248" customFormat="false" ht="15" hidden="false" customHeight="false" outlineLevel="0" collapsed="false">
      <c r="A248" s="10"/>
      <c r="B248" s="10"/>
      <c r="C248" s="22"/>
      <c r="D248" s="22"/>
      <c r="E248" s="29"/>
      <c r="F248" s="19"/>
      <c r="G248" s="32"/>
      <c r="H248" s="10"/>
      <c r="I248" s="10"/>
      <c r="J248" s="10"/>
    </row>
    <row r="249" customFormat="false" ht="15" hidden="false" customHeight="false" outlineLevel="0" collapsed="false">
      <c r="A249" s="10"/>
      <c r="B249" s="10"/>
      <c r="C249" s="22"/>
      <c r="D249" s="22"/>
      <c r="E249" s="29"/>
      <c r="F249" s="19"/>
      <c r="G249" s="32"/>
      <c r="H249" s="10"/>
      <c r="I249" s="10"/>
      <c r="J249" s="10"/>
    </row>
    <row r="250" customFormat="false" ht="15" hidden="false" customHeight="false" outlineLevel="0" collapsed="false">
      <c r="A250" s="10"/>
      <c r="B250" s="10"/>
      <c r="C250" s="22"/>
      <c r="D250" s="22"/>
      <c r="E250" s="29"/>
      <c r="F250" s="19"/>
      <c r="G250" s="32"/>
      <c r="H250" s="10"/>
      <c r="I250" s="10"/>
      <c r="J250" s="10"/>
    </row>
    <row r="251" customFormat="false" ht="15" hidden="false" customHeight="false" outlineLevel="0" collapsed="false">
      <c r="A251" s="10"/>
      <c r="B251" s="10"/>
      <c r="C251" s="22"/>
      <c r="D251" s="22"/>
      <c r="E251" s="29"/>
      <c r="F251" s="19"/>
      <c r="G251" s="32"/>
      <c r="H251" s="10"/>
      <c r="I251" s="10"/>
      <c r="J251" s="10"/>
    </row>
    <row r="252" customFormat="false" ht="15" hidden="false" customHeight="false" outlineLevel="0" collapsed="false">
      <c r="A252" s="10"/>
      <c r="B252" s="10"/>
      <c r="C252" s="22"/>
      <c r="D252" s="22"/>
      <c r="E252" s="29"/>
      <c r="F252" s="19"/>
      <c r="G252" s="32"/>
      <c r="H252" s="10"/>
      <c r="I252" s="10"/>
      <c r="J252" s="10"/>
    </row>
    <row r="253" customFormat="false" ht="15" hidden="false" customHeight="false" outlineLevel="0" collapsed="false">
      <c r="A253" s="10"/>
      <c r="B253" s="10"/>
      <c r="C253" s="22"/>
      <c r="D253" s="22"/>
      <c r="E253" s="29"/>
      <c r="F253" s="19"/>
      <c r="G253" s="32"/>
      <c r="H253" s="10"/>
      <c r="I253" s="10"/>
      <c r="J253" s="10"/>
    </row>
    <row r="254" customFormat="false" ht="15" hidden="false" customHeight="false" outlineLevel="0" collapsed="false">
      <c r="A254" s="10"/>
      <c r="B254" s="10"/>
      <c r="C254" s="22"/>
      <c r="D254" s="22"/>
      <c r="E254" s="29"/>
      <c r="F254" s="19"/>
      <c r="G254" s="32"/>
      <c r="H254" s="10"/>
      <c r="I254" s="10"/>
      <c r="J254" s="10"/>
    </row>
    <row r="255" customFormat="false" ht="15" hidden="false" customHeight="false" outlineLevel="0" collapsed="false">
      <c r="A255" s="10"/>
      <c r="B255" s="10"/>
      <c r="C255" s="22"/>
      <c r="D255" s="22"/>
      <c r="E255" s="29"/>
      <c r="F255" s="19"/>
      <c r="G255" s="32"/>
      <c r="H255" s="10"/>
      <c r="I255" s="10"/>
      <c r="J255" s="10"/>
    </row>
    <row r="256" customFormat="false" ht="15" hidden="false" customHeight="false" outlineLevel="0" collapsed="false">
      <c r="A256" s="10"/>
      <c r="B256" s="10"/>
      <c r="C256" s="22"/>
      <c r="D256" s="22"/>
      <c r="E256" s="29"/>
      <c r="F256" s="19"/>
      <c r="G256" s="32"/>
      <c r="H256" s="10"/>
      <c r="I256" s="10"/>
      <c r="J256" s="10"/>
    </row>
    <row r="257" customFormat="false" ht="15" hidden="false" customHeight="false" outlineLevel="0" collapsed="false">
      <c r="A257" s="10"/>
      <c r="B257" s="10"/>
      <c r="C257" s="22"/>
      <c r="D257" s="22"/>
      <c r="E257" s="29"/>
      <c r="F257" s="19"/>
      <c r="G257" s="32"/>
      <c r="H257" s="10"/>
      <c r="I257" s="10"/>
      <c r="J257" s="10"/>
    </row>
    <row r="258" customFormat="false" ht="15" hidden="false" customHeight="false" outlineLevel="0" collapsed="false">
      <c r="A258" s="10"/>
      <c r="B258" s="10"/>
      <c r="C258" s="22"/>
      <c r="D258" s="22"/>
      <c r="E258" s="29"/>
      <c r="F258" s="19"/>
      <c r="G258" s="32"/>
      <c r="H258" s="10"/>
      <c r="I258" s="10"/>
      <c r="J258" s="10"/>
    </row>
    <row r="259" customFormat="false" ht="15" hidden="false" customHeight="false" outlineLevel="0" collapsed="false">
      <c r="A259" s="10"/>
      <c r="B259" s="10"/>
      <c r="C259" s="22"/>
      <c r="D259" s="22"/>
      <c r="E259" s="29"/>
      <c r="F259" s="19"/>
      <c r="G259" s="32"/>
      <c r="H259" s="10"/>
      <c r="I259" s="10"/>
      <c r="J259" s="10"/>
    </row>
    <row r="260" customFormat="false" ht="15" hidden="false" customHeight="false" outlineLevel="0" collapsed="false">
      <c r="A260" s="10"/>
      <c r="B260" s="10"/>
      <c r="C260" s="22"/>
      <c r="D260" s="22"/>
      <c r="E260" s="29"/>
      <c r="F260" s="19"/>
      <c r="G260" s="32"/>
      <c r="H260" s="10"/>
      <c r="I260" s="10"/>
      <c r="J260" s="10"/>
    </row>
    <row r="261" customFormat="false" ht="15" hidden="false" customHeight="false" outlineLevel="0" collapsed="false">
      <c r="A261" s="10"/>
      <c r="B261" s="10"/>
      <c r="C261" s="22"/>
      <c r="D261" s="22"/>
      <c r="E261" s="29"/>
      <c r="F261" s="19"/>
      <c r="G261" s="32"/>
      <c r="H261" s="10"/>
      <c r="I261" s="10"/>
      <c r="J261" s="10"/>
    </row>
    <row r="262" customFormat="false" ht="15" hidden="false" customHeight="false" outlineLevel="0" collapsed="false">
      <c r="A262" s="10"/>
      <c r="B262" s="10"/>
      <c r="C262" s="22"/>
      <c r="D262" s="22"/>
      <c r="E262" s="29"/>
      <c r="F262" s="19"/>
      <c r="G262" s="32"/>
      <c r="H262" s="10"/>
      <c r="I262" s="10"/>
      <c r="J262" s="10"/>
    </row>
    <row r="263" customFormat="false" ht="15" hidden="false" customHeight="false" outlineLevel="0" collapsed="false">
      <c r="A263" s="10"/>
      <c r="B263" s="10"/>
      <c r="C263" s="22"/>
      <c r="D263" s="22"/>
      <c r="E263" s="29"/>
      <c r="F263" s="19"/>
      <c r="G263" s="32"/>
      <c r="H263" s="10"/>
      <c r="I263" s="10"/>
      <c r="J263" s="10"/>
    </row>
    <row r="264" customFormat="false" ht="15" hidden="false" customHeight="false" outlineLevel="0" collapsed="false">
      <c r="A264" s="10"/>
      <c r="B264" s="10"/>
      <c r="C264" s="22"/>
      <c r="D264" s="22"/>
      <c r="E264" s="29"/>
      <c r="F264" s="19"/>
      <c r="G264" s="32"/>
      <c r="H264" s="10"/>
      <c r="I264" s="10"/>
      <c r="J264" s="10"/>
    </row>
    <row r="265" customFormat="false" ht="15" hidden="false" customHeight="false" outlineLevel="0" collapsed="false">
      <c r="A265" s="10"/>
      <c r="B265" s="10"/>
      <c r="C265" s="22"/>
      <c r="D265" s="22"/>
      <c r="E265" s="29"/>
      <c r="F265" s="19"/>
      <c r="G265" s="32"/>
      <c r="H265" s="10"/>
      <c r="I265" s="10"/>
      <c r="J265" s="10"/>
    </row>
    <row r="266" customFormat="false" ht="15" hidden="false" customHeight="false" outlineLevel="0" collapsed="false">
      <c r="A266" s="10"/>
      <c r="B266" s="10"/>
      <c r="C266" s="22"/>
      <c r="D266" s="22"/>
      <c r="E266" s="29"/>
      <c r="F266" s="19"/>
      <c r="G266" s="32"/>
      <c r="H266" s="10"/>
      <c r="I266" s="10"/>
      <c r="J266" s="10"/>
    </row>
    <row r="267" customFormat="false" ht="15" hidden="false" customHeight="false" outlineLevel="0" collapsed="false">
      <c r="A267" s="10"/>
      <c r="B267" s="10"/>
      <c r="C267" s="22"/>
      <c r="D267" s="22"/>
      <c r="E267" s="29"/>
      <c r="F267" s="19"/>
      <c r="G267" s="32"/>
      <c r="H267" s="10"/>
      <c r="I267" s="10"/>
      <c r="J267" s="10"/>
    </row>
    <row r="268" customFormat="false" ht="15" hidden="false" customHeight="false" outlineLevel="0" collapsed="false">
      <c r="A268" s="10"/>
      <c r="B268" s="10"/>
      <c r="C268" s="22"/>
      <c r="D268" s="22"/>
      <c r="E268" s="29"/>
      <c r="F268" s="19"/>
      <c r="G268" s="32"/>
      <c r="H268" s="10"/>
      <c r="I268" s="10"/>
      <c r="J268" s="10"/>
    </row>
    <row r="269" customFormat="false" ht="15" hidden="false" customHeight="false" outlineLevel="0" collapsed="false">
      <c r="A269" s="10"/>
      <c r="B269" s="10"/>
      <c r="C269" s="22"/>
      <c r="D269" s="22"/>
      <c r="E269" s="29"/>
      <c r="F269" s="19"/>
      <c r="G269" s="32"/>
      <c r="H269" s="10"/>
      <c r="I269" s="10"/>
      <c r="J269" s="10"/>
    </row>
    <row r="270" customFormat="false" ht="15" hidden="false" customHeight="false" outlineLevel="0" collapsed="false">
      <c r="A270" s="10"/>
      <c r="B270" s="10"/>
      <c r="C270" s="22"/>
      <c r="D270" s="22"/>
      <c r="E270" s="29"/>
      <c r="F270" s="19"/>
      <c r="G270" s="32"/>
      <c r="H270" s="10"/>
      <c r="I270" s="10"/>
      <c r="J270" s="10"/>
    </row>
    <row r="271" customFormat="false" ht="15" hidden="false" customHeight="false" outlineLevel="0" collapsed="false">
      <c r="A271" s="10"/>
      <c r="B271" s="10"/>
      <c r="C271" s="22"/>
      <c r="D271" s="22"/>
      <c r="E271" s="29"/>
      <c r="F271" s="19"/>
      <c r="G271" s="32"/>
      <c r="H271" s="10"/>
      <c r="I271" s="10"/>
      <c r="J271" s="10"/>
    </row>
    <row r="272" customFormat="false" ht="15" hidden="false" customHeight="false" outlineLevel="0" collapsed="false">
      <c r="A272" s="10"/>
      <c r="B272" s="10"/>
      <c r="C272" s="22"/>
      <c r="D272" s="22"/>
      <c r="E272" s="29"/>
      <c r="F272" s="19"/>
      <c r="G272" s="32"/>
      <c r="H272" s="10"/>
      <c r="I272" s="10"/>
      <c r="J272" s="10"/>
    </row>
    <row r="273" customFormat="false" ht="15" hidden="false" customHeight="false" outlineLevel="0" collapsed="false">
      <c r="A273" s="10"/>
      <c r="B273" s="10"/>
      <c r="C273" s="22"/>
      <c r="D273" s="22"/>
      <c r="E273" s="29"/>
      <c r="F273" s="19"/>
      <c r="G273" s="32"/>
      <c r="H273" s="10"/>
      <c r="I273" s="10"/>
      <c r="J273" s="10"/>
    </row>
    <row r="274" customFormat="false" ht="15" hidden="false" customHeight="false" outlineLevel="0" collapsed="false">
      <c r="A274" s="10"/>
      <c r="B274" s="10"/>
      <c r="C274" s="22"/>
      <c r="D274" s="22"/>
      <c r="E274" s="29"/>
      <c r="F274" s="19"/>
      <c r="G274" s="32"/>
      <c r="H274" s="10"/>
      <c r="I274" s="10"/>
      <c r="J274" s="10"/>
    </row>
    <row r="275" customFormat="false" ht="15" hidden="false" customHeight="false" outlineLevel="0" collapsed="false">
      <c r="A275" s="10"/>
      <c r="B275" s="10"/>
      <c r="C275" s="22"/>
      <c r="D275" s="22"/>
      <c r="E275" s="29"/>
      <c r="F275" s="19"/>
      <c r="G275" s="32"/>
      <c r="H275" s="10"/>
      <c r="I275" s="10"/>
      <c r="J275" s="10"/>
    </row>
    <row r="276" customFormat="false" ht="15" hidden="false" customHeight="false" outlineLevel="0" collapsed="false">
      <c r="A276" s="10"/>
      <c r="B276" s="10"/>
      <c r="C276" s="22"/>
      <c r="D276" s="22"/>
      <c r="E276" s="29"/>
      <c r="F276" s="19"/>
      <c r="G276" s="32"/>
      <c r="H276" s="10"/>
      <c r="I276" s="10"/>
      <c r="J276" s="10"/>
    </row>
    <row r="277" customFormat="false" ht="15" hidden="false" customHeight="false" outlineLevel="0" collapsed="false">
      <c r="A277" s="10"/>
      <c r="B277" s="10"/>
      <c r="C277" s="22"/>
      <c r="D277" s="22"/>
      <c r="E277" s="29"/>
      <c r="F277" s="19"/>
      <c r="G277" s="32"/>
      <c r="H277" s="10"/>
      <c r="I277" s="10"/>
      <c r="J277" s="10"/>
    </row>
    <row r="278" customFormat="false" ht="15" hidden="false" customHeight="false" outlineLevel="0" collapsed="false">
      <c r="A278" s="10"/>
      <c r="B278" s="10"/>
      <c r="C278" s="22"/>
      <c r="D278" s="22"/>
      <c r="E278" s="29"/>
      <c r="F278" s="19"/>
      <c r="G278" s="32"/>
      <c r="H278" s="10"/>
      <c r="I278" s="10"/>
      <c r="J278" s="10"/>
    </row>
    <row r="279" customFormat="false" ht="15" hidden="false" customHeight="false" outlineLevel="0" collapsed="false">
      <c r="A279" s="10"/>
      <c r="B279" s="10"/>
      <c r="C279" s="22"/>
      <c r="D279" s="22"/>
      <c r="E279" s="29"/>
      <c r="F279" s="19"/>
      <c r="G279" s="32"/>
      <c r="H279" s="10"/>
      <c r="I279" s="10"/>
      <c r="J279" s="10"/>
    </row>
    <row r="280" customFormat="false" ht="15" hidden="false" customHeight="false" outlineLevel="0" collapsed="false">
      <c r="A280" s="10"/>
      <c r="B280" s="10"/>
      <c r="C280" s="22"/>
      <c r="D280" s="22"/>
      <c r="E280" s="29"/>
      <c r="F280" s="19"/>
      <c r="G280" s="32"/>
      <c r="H280" s="10"/>
      <c r="I280" s="10"/>
      <c r="J280" s="10"/>
    </row>
    <row r="281" customFormat="false" ht="15" hidden="false" customHeight="false" outlineLevel="0" collapsed="false">
      <c r="A281" s="10"/>
      <c r="B281" s="10"/>
      <c r="C281" s="22"/>
      <c r="D281" s="22"/>
      <c r="E281" s="29"/>
      <c r="F281" s="19"/>
      <c r="G281" s="32"/>
      <c r="H281" s="10"/>
      <c r="I281" s="10"/>
      <c r="J281" s="10"/>
    </row>
    <row r="282" customFormat="false" ht="15" hidden="false" customHeight="false" outlineLevel="0" collapsed="false">
      <c r="A282" s="10"/>
      <c r="B282" s="10"/>
      <c r="C282" s="22"/>
      <c r="D282" s="22"/>
      <c r="E282" s="29"/>
      <c r="F282" s="19"/>
      <c r="G282" s="32"/>
      <c r="H282" s="10"/>
      <c r="I282" s="10"/>
      <c r="J282" s="10"/>
    </row>
    <row r="283" customFormat="false" ht="15" hidden="false" customHeight="false" outlineLevel="0" collapsed="false">
      <c r="A283" s="10"/>
      <c r="B283" s="10"/>
      <c r="C283" s="22"/>
      <c r="D283" s="22"/>
      <c r="E283" s="29"/>
      <c r="F283" s="19"/>
      <c r="G283" s="32"/>
      <c r="H283" s="10"/>
      <c r="I283" s="10"/>
      <c r="J283" s="10"/>
    </row>
    <row r="284" customFormat="false" ht="15" hidden="false" customHeight="false" outlineLevel="0" collapsed="false">
      <c r="A284" s="10"/>
      <c r="B284" s="10"/>
      <c r="C284" s="22"/>
      <c r="D284" s="22"/>
      <c r="E284" s="29"/>
      <c r="F284" s="19"/>
      <c r="G284" s="32"/>
      <c r="H284" s="10"/>
      <c r="I284" s="10"/>
      <c r="J284" s="10"/>
    </row>
    <row r="285" customFormat="false" ht="15" hidden="false" customHeight="false" outlineLevel="0" collapsed="false">
      <c r="A285" s="10"/>
      <c r="B285" s="10"/>
      <c r="C285" s="22"/>
      <c r="D285" s="22"/>
      <c r="E285" s="29"/>
      <c r="F285" s="19"/>
      <c r="G285" s="32"/>
      <c r="H285" s="10"/>
      <c r="I285" s="10"/>
      <c r="J285" s="10"/>
    </row>
    <row r="286" customFormat="false" ht="15" hidden="false" customHeight="false" outlineLevel="0" collapsed="false">
      <c r="A286" s="10"/>
      <c r="B286" s="10"/>
      <c r="C286" s="22"/>
      <c r="D286" s="22"/>
      <c r="E286" s="29"/>
      <c r="F286" s="19"/>
      <c r="G286" s="32"/>
      <c r="H286" s="10"/>
      <c r="I286" s="10"/>
      <c r="J286" s="10"/>
    </row>
    <row r="287" customFormat="false" ht="15" hidden="false" customHeight="false" outlineLevel="0" collapsed="false">
      <c r="A287" s="10"/>
      <c r="B287" s="10"/>
      <c r="C287" s="22"/>
      <c r="D287" s="22"/>
      <c r="E287" s="29"/>
      <c r="F287" s="19"/>
      <c r="G287" s="32"/>
      <c r="H287" s="10"/>
      <c r="I287" s="10"/>
      <c r="J287" s="10"/>
    </row>
    <row r="288" customFormat="false" ht="15" hidden="false" customHeight="false" outlineLevel="0" collapsed="false">
      <c r="A288" s="10"/>
      <c r="B288" s="10"/>
      <c r="C288" s="22"/>
      <c r="D288" s="22"/>
      <c r="E288" s="29"/>
      <c r="F288" s="19"/>
      <c r="G288" s="32"/>
      <c r="H288" s="10"/>
      <c r="I288" s="10"/>
      <c r="J288" s="10"/>
    </row>
    <row r="289" customFormat="false" ht="15" hidden="false" customHeight="false" outlineLevel="0" collapsed="false">
      <c r="A289" s="10"/>
      <c r="B289" s="10"/>
      <c r="C289" s="22"/>
      <c r="D289" s="22"/>
      <c r="E289" s="29"/>
      <c r="F289" s="19"/>
      <c r="G289" s="32"/>
      <c r="H289" s="10"/>
      <c r="I289" s="10"/>
      <c r="J289" s="10"/>
    </row>
    <row r="290" customFormat="false" ht="15" hidden="false" customHeight="false" outlineLevel="0" collapsed="false">
      <c r="A290" s="10"/>
      <c r="B290" s="10"/>
      <c r="C290" s="22"/>
      <c r="D290" s="22"/>
      <c r="E290" s="29"/>
      <c r="F290" s="19"/>
      <c r="G290" s="32"/>
      <c r="H290" s="10"/>
      <c r="I290" s="10"/>
      <c r="J290" s="10"/>
    </row>
    <row r="291" customFormat="false" ht="15" hidden="false" customHeight="false" outlineLevel="0" collapsed="false">
      <c r="A291" s="10"/>
      <c r="B291" s="10"/>
      <c r="C291" s="22"/>
      <c r="D291" s="22"/>
      <c r="E291" s="29"/>
      <c r="F291" s="19"/>
      <c r="G291" s="32"/>
      <c r="H291" s="10"/>
      <c r="I291" s="10"/>
      <c r="J291" s="10"/>
    </row>
    <row r="292" customFormat="false" ht="15" hidden="false" customHeight="false" outlineLevel="0" collapsed="false">
      <c r="A292" s="10"/>
      <c r="B292" s="10"/>
      <c r="C292" s="22"/>
      <c r="D292" s="22"/>
      <c r="E292" s="29"/>
      <c r="F292" s="19"/>
      <c r="G292" s="32"/>
      <c r="H292" s="10"/>
      <c r="I292" s="10"/>
      <c r="J292" s="10"/>
    </row>
    <row r="293" customFormat="false" ht="15" hidden="false" customHeight="false" outlineLevel="0" collapsed="false">
      <c r="A293" s="10"/>
      <c r="B293" s="10"/>
      <c r="C293" s="22"/>
      <c r="D293" s="22"/>
      <c r="E293" s="29"/>
      <c r="F293" s="19"/>
      <c r="G293" s="32"/>
      <c r="H293" s="10"/>
      <c r="I293" s="10"/>
      <c r="J293" s="10"/>
    </row>
    <row r="294" customFormat="false" ht="15" hidden="false" customHeight="false" outlineLevel="0" collapsed="false">
      <c r="A294" s="10"/>
      <c r="B294" s="10"/>
      <c r="C294" s="22"/>
      <c r="D294" s="22"/>
      <c r="E294" s="29"/>
      <c r="F294" s="19"/>
      <c r="G294" s="32"/>
      <c r="H294" s="10"/>
      <c r="I294" s="10"/>
      <c r="J294" s="10"/>
    </row>
    <row r="295" customFormat="false" ht="15" hidden="false" customHeight="false" outlineLevel="0" collapsed="false">
      <c r="A295" s="10"/>
      <c r="B295" s="10"/>
      <c r="C295" s="22"/>
      <c r="D295" s="22"/>
      <c r="E295" s="29"/>
      <c r="F295" s="19"/>
      <c r="G295" s="32"/>
      <c r="H295" s="10"/>
      <c r="I295" s="10"/>
      <c r="J295" s="10"/>
    </row>
    <row r="296" customFormat="false" ht="15" hidden="false" customHeight="false" outlineLevel="0" collapsed="false">
      <c r="A296" s="10"/>
      <c r="B296" s="10"/>
      <c r="C296" s="22"/>
      <c r="D296" s="22"/>
      <c r="E296" s="29"/>
      <c r="F296" s="19"/>
      <c r="G296" s="32"/>
      <c r="H296" s="10"/>
      <c r="I296" s="10"/>
      <c r="J296" s="10"/>
    </row>
    <row r="297" customFormat="false" ht="15" hidden="false" customHeight="false" outlineLevel="0" collapsed="false">
      <c r="A297" s="10"/>
      <c r="B297" s="10"/>
      <c r="C297" s="22"/>
      <c r="D297" s="22"/>
      <c r="E297" s="29"/>
      <c r="F297" s="19"/>
      <c r="G297" s="32"/>
      <c r="H297" s="10"/>
      <c r="I297" s="10"/>
      <c r="J297" s="10"/>
    </row>
    <row r="298" customFormat="false" ht="15" hidden="false" customHeight="false" outlineLevel="0" collapsed="false">
      <c r="A298" s="10"/>
      <c r="B298" s="10"/>
      <c r="C298" s="22"/>
      <c r="D298" s="22"/>
      <c r="E298" s="29"/>
      <c r="F298" s="19"/>
      <c r="G298" s="32"/>
      <c r="H298" s="10"/>
      <c r="I298" s="10"/>
      <c r="J298" s="10"/>
    </row>
    <row r="299" customFormat="false" ht="15" hidden="false" customHeight="false" outlineLevel="0" collapsed="false">
      <c r="A299" s="10"/>
      <c r="B299" s="10"/>
      <c r="C299" s="22"/>
      <c r="D299" s="22"/>
      <c r="E299" s="29"/>
      <c r="F299" s="19"/>
      <c r="G299" s="32"/>
      <c r="H299" s="10"/>
      <c r="I299" s="10"/>
      <c r="J299" s="10"/>
    </row>
    <row r="300" customFormat="false" ht="15" hidden="false" customHeight="false" outlineLevel="0" collapsed="false">
      <c r="A300" s="10"/>
      <c r="B300" s="10"/>
      <c r="C300" s="22"/>
      <c r="D300" s="22"/>
      <c r="E300" s="29"/>
      <c r="F300" s="19"/>
      <c r="G300" s="32"/>
      <c r="H300" s="10"/>
      <c r="I300" s="10"/>
      <c r="J300" s="10"/>
    </row>
    <row r="301" customFormat="false" ht="15" hidden="false" customHeight="false" outlineLevel="0" collapsed="false">
      <c r="A301" s="10"/>
      <c r="B301" s="10"/>
      <c r="C301" s="22"/>
      <c r="D301" s="22"/>
      <c r="E301" s="29"/>
      <c r="F301" s="19"/>
      <c r="G301" s="32"/>
      <c r="H301" s="10"/>
      <c r="I301" s="10"/>
      <c r="J301" s="10"/>
    </row>
    <row r="302" customFormat="false" ht="15" hidden="false" customHeight="false" outlineLevel="0" collapsed="false">
      <c r="A302" s="10"/>
      <c r="B302" s="10"/>
      <c r="C302" s="22"/>
      <c r="D302" s="22"/>
      <c r="E302" s="29"/>
      <c r="F302" s="19"/>
      <c r="G302" s="32"/>
      <c r="H302" s="10"/>
      <c r="I302" s="10"/>
      <c r="J302" s="10"/>
    </row>
    <row r="303" customFormat="false" ht="15" hidden="false" customHeight="false" outlineLevel="0" collapsed="false">
      <c r="A303" s="10"/>
      <c r="B303" s="10"/>
      <c r="C303" s="22"/>
      <c r="D303" s="22"/>
      <c r="E303" s="29"/>
      <c r="F303" s="19"/>
      <c r="G303" s="32"/>
      <c r="H303" s="10"/>
      <c r="I303" s="10"/>
      <c r="J303" s="10"/>
    </row>
    <row r="304" customFormat="false" ht="15" hidden="false" customHeight="false" outlineLevel="0" collapsed="false">
      <c r="A304" s="10"/>
      <c r="B304" s="10"/>
      <c r="C304" s="22"/>
      <c r="D304" s="22"/>
      <c r="E304" s="29"/>
      <c r="F304" s="19"/>
      <c r="G304" s="32"/>
      <c r="H304" s="10"/>
      <c r="I304" s="10"/>
      <c r="J304" s="10"/>
    </row>
  </sheetData>
  <dataValidations count="6">
    <dataValidation allowBlank="true" error="Stangenlänge in mm (500–20000)." errorStyle="stop" errorTitle="Ungültige Eingabe" operator="between" showDropDown="false" showErrorMessage="true" showInputMessage="false" sqref="F5:F304" type="whole">
      <formula1>500</formula1>
      <formula2>20000</formula2>
    </dataValidation>
    <dataValidation allowBlank="true" error="Wert in mm (0–2000)." errorStyle="stop" errorTitle="Ungültige Eingabe" operator="between" showDropDown="false" showErrorMessage="true" showInputMessage="false" sqref="C5:D304" type="decimal">
      <formula1>0</formula1>
      <formula2>2000</formula2>
    </dataValidation>
    <dataValidation allowBlank="true" error="Schnittverlust in mm (0–20)." errorStyle="stop" errorTitle="Ungültige Eingabe" operator="between" showDropDown="false" showErrorMessage="true" showInputMessage="false" sqref="E5:E304" type="decimal">
      <formula1>0</formula1>
      <formula2>20</formula2>
    </dataValidation>
    <dataValidation allowBlank="true" error="Stundensatz in €/h." errorStyle="stop" errorTitle="Ungültige Eingabe" operator="between" showDropDown="false" showErrorMessage="true" showInputMessage="false" sqref="G5:G304" type="decimal">
      <formula1>0</formula1>
      <formula2>10000</formula2>
    </dataValidation>
    <dataValidation allowBlank="true" error="Grenze in mm (größtes Hüllmaß der Kontur)." errorStyle="stop" errorTitle="Ungültige Eingabe" operator="between" showDropDown="false" showErrorMessage="true" showInputMessage="false" sqref="H5:I304" type="decimal">
      <formula1>0.1</formula1>
      <formula2>5000</formula2>
    </dataValidation>
    <dataValidation allowBlank="true" error="Diese Maschinen-ID existiert bereits." errorStyle="stop" operator="between" showDropDown="false" showErrorMessage="true" showInputMessage="false" sqref="A5:A304" type="custom">
      <formula1>COUNTIF($A$5:$A$304,A5)=1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5" min="3" style="0" width="12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207</v>
      </c>
    </row>
    <row r="2" customFormat="false" ht="15" hidden="false" customHeight="false" outlineLevel="0" collapsed="false">
      <c r="A2" s="2" t="s">
        <v>208</v>
      </c>
    </row>
    <row r="4" customFormat="false" ht="45" hidden="false" customHeight="true" outlineLevel="0" collapsed="false">
      <c r="A4" s="20" t="s">
        <v>199</v>
      </c>
      <c r="B4" s="20" t="s">
        <v>95</v>
      </c>
      <c r="C4" s="20" t="s">
        <v>209</v>
      </c>
      <c r="D4" s="20" t="s">
        <v>112</v>
      </c>
      <c r="E4" s="20" t="s">
        <v>210</v>
      </c>
      <c r="F4" s="20" t="s">
        <v>165</v>
      </c>
    </row>
    <row r="5" customFormat="false" ht="15" hidden="false" customHeight="false" outlineLevel="0" collapsed="false">
      <c r="A5" s="10" t="s">
        <v>86</v>
      </c>
      <c r="B5" s="10" t="s">
        <v>133</v>
      </c>
      <c r="C5" s="29" t="n">
        <v>2</v>
      </c>
      <c r="D5" s="19" t="n">
        <v>6000</v>
      </c>
      <c r="E5" s="29" t="n">
        <v>0.3</v>
      </c>
      <c r="F5" s="10" t="s">
        <v>168</v>
      </c>
    </row>
    <row r="6" customFormat="false" ht="15" hidden="false" customHeight="false" outlineLevel="0" collapsed="false">
      <c r="A6" s="10" t="s">
        <v>86</v>
      </c>
      <c r="B6" s="10" t="s">
        <v>133</v>
      </c>
      <c r="C6" s="29" t="n">
        <v>3</v>
      </c>
      <c r="D6" s="19" t="n">
        <v>4500</v>
      </c>
      <c r="E6" s="29" t="n">
        <v>0.5</v>
      </c>
      <c r="F6" s="10" t="s">
        <v>168</v>
      </c>
    </row>
    <row r="7" customFormat="false" ht="15" hidden="false" customHeight="false" outlineLevel="0" collapsed="false">
      <c r="A7" s="10" t="s">
        <v>86</v>
      </c>
      <c r="B7" s="10" t="s">
        <v>133</v>
      </c>
      <c r="C7" s="29" t="n">
        <v>5</v>
      </c>
      <c r="D7" s="19" t="n">
        <v>3000</v>
      </c>
      <c r="E7" s="29" t="n">
        <v>0.8</v>
      </c>
      <c r="F7" s="10" t="s">
        <v>168</v>
      </c>
    </row>
    <row r="8" customFormat="false" ht="15" hidden="false" customHeight="false" outlineLevel="0" collapsed="false">
      <c r="A8" s="10" t="s">
        <v>86</v>
      </c>
      <c r="B8" s="10" t="s">
        <v>142</v>
      </c>
      <c r="C8" s="29" t="n">
        <v>2</v>
      </c>
      <c r="D8" s="19" t="n">
        <v>5800</v>
      </c>
      <c r="E8" s="29" t="n">
        <v>0.3</v>
      </c>
      <c r="F8" s="10" t="s">
        <v>168</v>
      </c>
    </row>
    <row r="9" customFormat="false" ht="15" hidden="false" customHeight="false" outlineLevel="0" collapsed="false">
      <c r="A9" s="10" t="s">
        <v>86</v>
      </c>
      <c r="B9" s="10" t="s">
        <v>142</v>
      </c>
      <c r="C9" s="29" t="n">
        <v>3</v>
      </c>
      <c r="D9" s="19" t="n">
        <v>4300</v>
      </c>
      <c r="E9" s="29" t="n">
        <v>0.5</v>
      </c>
      <c r="F9" s="10" t="s">
        <v>168</v>
      </c>
    </row>
    <row r="10" customFormat="false" ht="15" hidden="false" customHeight="false" outlineLevel="0" collapsed="false">
      <c r="A10" s="10" t="s">
        <v>86</v>
      </c>
      <c r="B10" s="10" t="s">
        <v>142</v>
      </c>
      <c r="C10" s="29" t="n">
        <v>5</v>
      </c>
      <c r="D10" s="19" t="n">
        <v>2800</v>
      </c>
      <c r="E10" s="29" t="n">
        <v>0.8</v>
      </c>
      <c r="F10" s="10" t="s">
        <v>168</v>
      </c>
    </row>
    <row r="11" customFormat="false" ht="15" hidden="false" customHeight="false" outlineLevel="0" collapsed="false">
      <c r="A11" s="10" t="s">
        <v>86</v>
      </c>
      <c r="B11" s="10" t="s">
        <v>182</v>
      </c>
      <c r="C11" s="29" t="n">
        <v>2</v>
      </c>
      <c r="D11" s="19" t="n">
        <v>5000</v>
      </c>
      <c r="E11" s="29" t="n">
        <v>0.4</v>
      </c>
      <c r="F11" s="10" t="s">
        <v>168</v>
      </c>
    </row>
    <row r="12" customFormat="false" ht="15" hidden="false" customHeight="false" outlineLevel="0" collapsed="false">
      <c r="A12" s="10" t="s">
        <v>86</v>
      </c>
      <c r="B12" s="10" t="s">
        <v>182</v>
      </c>
      <c r="C12" s="29" t="n">
        <v>3</v>
      </c>
      <c r="D12" s="19" t="n">
        <v>3500</v>
      </c>
      <c r="E12" s="29" t="n">
        <v>0.6</v>
      </c>
      <c r="F12" s="10" t="s">
        <v>168</v>
      </c>
    </row>
    <row r="13" customFormat="false" ht="15" hidden="false" customHeight="false" outlineLevel="0" collapsed="false">
      <c r="A13" s="10" t="s">
        <v>86</v>
      </c>
      <c r="B13" s="10" t="s">
        <v>182</v>
      </c>
      <c r="C13" s="29" t="n">
        <v>5</v>
      </c>
      <c r="D13" s="19" t="n">
        <v>2000</v>
      </c>
      <c r="E13" s="29" t="n">
        <v>1</v>
      </c>
      <c r="F13" s="10" t="s">
        <v>168</v>
      </c>
    </row>
    <row r="14" customFormat="false" ht="15" hidden="false" customHeight="false" outlineLevel="0" collapsed="false">
      <c r="A14" s="10" t="s">
        <v>86</v>
      </c>
      <c r="B14" s="10" t="s">
        <v>185</v>
      </c>
      <c r="C14" s="29" t="n">
        <v>2</v>
      </c>
      <c r="D14" s="19" t="n">
        <v>7000</v>
      </c>
      <c r="E14" s="29" t="n">
        <v>0.3</v>
      </c>
      <c r="F14" s="10" t="s">
        <v>168</v>
      </c>
    </row>
    <row r="15" customFormat="false" ht="15" hidden="false" customHeight="false" outlineLevel="0" collapsed="false">
      <c r="A15" s="10" t="s">
        <v>86</v>
      </c>
      <c r="B15" s="10" t="s">
        <v>185</v>
      </c>
      <c r="C15" s="29" t="n">
        <v>3</v>
      </c>
      <c r="D15" s="19" t="n">
        <v>5000</v>
      </c>
      <c r="E15" s="29" t="n">
        <v>0.5</v>
      </c>
      <c r="F15" s="10" t="s">
        <v>168</v>
      </c>
    </row>
    <row r="16" customFormat="false" ht="15" hidden="false" customHeight="false" outlineLevel="0" collapsed="false">
      <c r="A16" s="10" t="s">
        <v>86</v>
      </c>
      <c r="B16" s="10" t="s">
        <v>185</v>
      </c>
      <c r="C16" s="29" t="n">
        <v>5</v>
      </c>
      <c r="D16" s="19" t="n">
        <v>3200</v>
      </c>
      <c r="E16" s="29" t="n">
        <v>0.8</v>
      </c>
      <c r="F16" s="10" t="s">
        <v>168</v>
      </c>
    </row>
    <row r="17" customFormat="false" ht="15" hidden="false" customHeight="false" outlineLevel="0" collapsed="false">
      <c r="A17" s="10"/>
      <c r="B17" s="10"/>
      <c r="C17" s="29"/>
      <c r="D17" s="19"/>
      <c r="E17" s="29"/>
      <c r="F17" s="10"/>
    </row>
    <row r="18" customFormat="false" ht="15" hidden="false" customHeight="false" outlineLevel="0" collapsed="false">
      <c r="A18" s="10"/>
      <c r="B18" s="10"/>
      <c r="C18" s="29"/>
      <c r="D18" s="19"/>
      <c r="E18" s="29"/>
      <c r="F18" s="10"/>
    </row>
    <row r="19" customFormat="false" ht="15" hidden="false" customHeight="false" outlineLevel="0" collapsed="false">
      <c r="A19" s="10"/>
      <c r="B19" s="10"/>
      <c r="C19" s="29"/>
      <c r="D19" s="19"/>
      <c r="E19" s="29"/>
      <c r="F19" s="10"/>
    </row>
    <row r="20" customFormat="false" ht="15" hidden="false" customHeight="false" outlineLevel="0" collapsed="false">
      <c r="A20" s="10"/>
      <c r="B20" s="10"/>
      <c r="C20" s="29"/>
      <c r="D20" s="19"/>
      <c r="E20" s="29"/>
      <c r="F20" s="10"/>
    </row>
    <row r="21" customFormat="false" ht="15" hidden="false" customHeight="false" outlineLevel="0" collapsed="false">
      <c r="A21" s="10"/>
      <c r="B21" s="10"/>
      <c r="C21" s="29"/>
      <c r="D21" s="19"/>
      <c r="E21" s="29"/>
      <c r="F21" s="10"/>
    </row>
    <row r="22" customFormat="false" ht="15" hidden="false" customHeight="false" outlineLevel="0" collapsed="false">
      <c r="A22" s="10"/>
      <c r="B22" s="10"/>
      <c r="C22" s="29"/>
      <c r="D22" s="19"/>
      <c r="E22" s="29"/>
      <c r="F22" s="10"/>
    </row>
    <row r="23" customFormat="false" ht="15" hidden="false" customHeight="false" outlineLevel="0" collapsed="false">
      <c r="A23" s="10"/>
      <c r="B23" s="10"/>
      <c r="C23" s="29"/>
      <c r="D23" s="19"/>
      <c r="E23" s="29"/>
      <c r="F23" s="10"/>
    </row>
    <row r="24" customFormat="false" ht="15" hidden="false" customHeight="false" outlineLevel="0" collapsed="false">
      <c r="A24" s="10"/>
      <c r="B24" s="10"/>
      <c r="C24" s="29"/>
      <c r="D24" s="19"/>
      <c r="E24" s="29"/>
      <c r="F24" s="10"/>
    </row>
    <row r="25" customFormat="false" ht="15" hidden="false" customHeight="false" outlineLevel="0" collapsed="false">
      <c r="A25" s="10"/>
      <c r="B25" s="10"/>
      <c r="C25" s="29"/>
      <c r="D25" s="19"/>
      <c r="E25" s="29"/>
      <c r="F25" s="10"/>
    </row>
    <row r="26" customFormat="false" ht="15" hidden="false" customHeight="false" outlineLevel="0" collapsed="false">
      <c r="A26" s="10"/>
      <c r="B26" s="10"/>
      <c r="C26" s="29"/>
      <c r="D26" s="19"/>
      <c r="E26" s="29"/>
      <c r="F26" s="10"/>
    </row>
    <row r="27" customFormat="false" ht="15" hidden="false" customHeight="false" outlineLevel="0" collapsed="false">
      <c r="A27" s="10"/>
      <c r="B27" s="10"/>
      <c r="C27" s="29"/>
      <c r="D27" s="19"/>
      <c r="E27" s="29"/>
      <c r="F27" s="10"/>
    </row>
    <row r="28" customFormat="false" ht="15" hidden="false" customHeight="false" outlineLevel="0" collapsed="false">
      <c r="A28" s="10"/>
      <c r="B28" s="10"/>
      <c r="C28" s="29"/>
      <c r="D28" s="19"/>
      <c r="E28" s="29"/>
      <c r="F28" s="10"/>
    </row>
    <row r="29" customFormat="false" ht="15" hidden="false" customHeight="false" outlineLevel="0" collapsed="false">
      <c r="A29" s="10"/>
      <c r="B29" s="10"/>
      <c r="C29" s="29"/>
      <c r="D29" s="19"/>
      <c r="E29" s="29"/>
      <c r="F29" s="10"/>
    </row>
    <row r="30" customFormat="false" ht="15" hidden="false" customHeight="false" outlineLevel="0" collapsed="false">
      <c r="A30" s="10"/>
      <c r="B30" s="10"/>
      <c r="C30" s="29"/>
      <c r="D30" s="19"/>
      <c r="E30" s="29"/>
      <c r="F30" s="10"/>
    </row>
    <row r="31" customFormat="false" ht="15" hidden="false" customHeight="false" outlineLevel="0" collapsed="false">
      <c r="A31" s="10"/>
      <c r="B31" s="10"/>
      <c r="C31" s="29"/>
      <c r="D31" s="19"/>
      <c r="E31" s="29"/>
      <c r="F31" s="10"/>
    </row>
    <row r="32" customFormat="false" ht="15" hidden="false" customHeight="false" outlineLevel="0" collapsed="false">
      <c r="A32" s="10"/>
      <c r="B32" s="10"/>
      <c r="C32" s="29"/>
      <c r="D32" s="19"/>
      <c r="E32" s="29"/>
      <c r="F32" s="10"/>
    </row>
    <row r="33" customFormat="false" ht="15" hidden="false" customHeight="false" outlineLevel="0" collapsed="false">
      <c r="A33" s="10"/>
      <c r="B33" s="10"/>
      <c r="C33" s="29"/>
      <c r="D33" s="19"/>
      <c r="E33" s="29"/>
      <c r="F33" s="10"/>
    </row>
    <row r="34" customFormat="false" ht="15" hidden="false" customHeight="false" outlineLevel="0" collapsed="false">
      <c r="A34" s="10"/>
      <c r="B34" s="10"/>
      <c r="C34" s="29"/>
      <c r="D34" s="19"/>
      <c r="E34" s="29"/>
      <c r="F34" s="10"/>
    </row>
    <row r="35" customFormat="false" ht="15" hidden="false" customHeight="false" outlineLevel="0" collapsed="false">
      <c r="A35" s="10"/>
      <c r="B35" s="10"/>
      <c r="C35" s="29"/>
      <c r="D35" s="19"/>
      <c r="E35" s="29"/>
      <c r="F35" s="10"/>
    </row>
    <row r="36" customFormat="false" ht="15" hidden="false" customHeight="false" outlineLevel="0" collapsed="false">
      <c r="A36" s="10"/>
      <c r="B36" s="10"/>
      <c r="C36" s="29"/>
      <c r="D36" s="19"/>
      <c r="E36" s="29"/>
      <c r="F36" s="10"/>
    </row>
    <row r="37" customFormat="false" ht="15" hidden="false" customHeight="false" outlineLevel="0" collapsed="false">
      <c r="A37" s="10"/>
      <c r="B37" s="10"/>
      <c r="C37" s="29"/>
      <c r="D37" s="19"/>
      <c r="E37" s="29"/>
      <c r="F37" s="10"/>
    </row>
    <row r="38" customFormat="false" ht="15" hidden="false" customHeight="false" outlineLevel="0" collapsed="false">
      <c r="A38" s="10"/>
      <c r="B38" s="10"/>
      <c r="C38" s="29"/>
      <c r="D38" s="19"/>
      <c r="E38" s="29"/>
      <c r="F38" s="10"/>
    </row>
    <row r="39" customFormat="false" ht="15" hidden="false" customHeight="false" outlineLevel="0" collapsed="false">
      <c r="A39" s="10"/>
      <c r="B39" s="10"/>
      <c r="C39" s="29"/>
      <c r="D39" s="19"/>
      <c r="E39" s="29"/>
      <c r="F39" s="10"/>
    </row>
    <row r="40" customFormat="false" ht="15" hidden="false" customHeight="false" outlineLevel="0" collapsed="false">
      <c r="A40" s="10"/>
      <c r="B40" s="10"/>
      <c r="C40" s="29"/>
      <c r="D40" s="19"/>
      <c r="E40" s="29"/>
      <c r="F40" s="10"/>
    </row>
    <row r="41" customFormat="false" ht="15" hidden="false" customHeight="false" outlineLevel="0" collapsed="false">
      <c r="A41" s="10"/>
      <c r="B41" s="10"/>
      <c r="C41" s="29"/>
      <c r="D41" s="19"/>
      <c r="E41" s="29"/>
      <c r="F41" s="10"/>
    </row>
    <row r="42" customFormat="false" ht="15" hidden="false" customHeight="false" outlineLevel="0" collapsed="false">
      <c r="A42" s="10"/>
      <c r="B42" s="10"/>
      <c r="C42" s="29"/>
      <c r="D42" s="19"/>
      <c r="E42" s="29"/>
      <c r="F42" s="10"/>
    </row>
    <row r="43" customFormat="false" ht="15" hidden="false" customHeight="false" outlineLevel="0" collapsed="false">
      <c r="A43" s="10"/>
      <c r="B43" s="10"/>
      <c r="C43" s="29"/>
      <c r="D43" s="19"/>
      <c r="E43" s="29"/>
      <c r="F43" s="10"/>
    </row>
    <row r="44" customFormat="false" ht="15" hidden="false" customHeight="false" outlineLevel="0" collapsed="false">
      <c r="A44" s="10"/>
      <c r="B44" s="10"/>
      <c r="C44" s="29"/>
      <c r="D44" s="19"/>
      <c r="E44" s="29"/>
      <c r="F44" s="10"/>
    </row>
    <row r="45" customFormat="false" ht="15" hidden="false" customHeight="false" outlineLevel="0" collapsed="false">
      <c r="A45" s="10"/>
      <c r="B45" s="10"/>
      <c r="C45" s="29"/>
      <c r="D45" s="19"/>
      <c r="E45" s="29"/>
      <c r="F45" s="10"/>
    </row>
    <row r="46" customFormat="false" ht="15" hidden="false" customHeight="false" outlineLevel="0" collapsed="false">
      <c r="A46" s="10"/>
      <c r="B46" s="10"/>
      <c r="C46" s="29"/>
      <c r="D46" s="19"/>
      <c r="E46" s="29"/>
      <c r="F46" s="10"/>
    </row>
    <row r="47" customFormat="false" ht="15" hidden="false" customHeight="false" outlineLevel="0" collapsed="false">
      <c r="A47" s="10"/>
      <c r="B47" s="10"/>
      <c r="C47" s="29"/>
      <c r="D47" s="19"/>
      <c r="E47" s="29"/>
      <c r="F47" s="10"/>
    </row>
    <row r="48" customFormat="false" ht="15" hidden="false" customHeight="false" outlineLevel="0" collapsed="false">
      <c r="A48" s="10"/>
      <c r="B48" s="10"/>
      <c r="C48" s="29"/>
      <c r="D48" s="19"/>
      <c r="E48" s="29"/>
      <c r="F48" s="10"/>
    </row>
    <row r="49" customFormat="false" ht="15" hidden="false" customHeight="false" outlineLevel="0" collapsed="false">
      <c r="A49" s="10"/>
      <c r="B49" s="10"/>
      <c r="C49" s="29"/>
      <c r="D49" s="19"/>
      <c r="E49" s="29"/>
      <c r="F49" s="10"/>
    </row>
    <row r="50" customFormat="false" ht="15" hidden="false" customHeight="false" outlineLevel="0" collapsed="false">
      <c r="A50" s="10"/>
      <c r="B50" s="10"/>
      <c r="C50" s="29"/>
      <c r="D50" s="19"/>
      <c r="E50" s="29"/>
      <c r="F50" s="10"/>
    </row>
    <row r="51" customFormat="false" ht="15" hidden="false" customHeight="false" outlineLevel="0" collapsed="false">
      <c r="A51" s="10"/>
      <c r="B51" s="10"/>
      <c r="C51" s="29"/>
      <c r="D51" s="19"/>
      <c r="E51" s="29"/>
      <c r="F51" s="10"/>
    </row>
    <row r="52" customFormat="false" ht="15" hidden="false" customHeight="false" outlineLevel="0" collapsed="false">
      <c r="A52" s="10"/>
      <c r="B52" s="10"/>
      <c r="C52" s="29"/>
      <c r="D52" s="19"/>
      <c r="E52" s="29"/>
      <c r="F52" s="10"/>
    </row>
    <row r="53" customFormat="false" ht="15" hidden="false" customHeight="false" outlineLevel="0" collapsed="false">
      <c r="A53" s="10"/>
      <c r="B53" s="10"/>
      <c r="C53" s="29"/>
      <c r="D53" s="19"/>
      <c r="E53" s="29"/>
      <c r="F53" s="10"/>
    </row>
    <row r="54" customFormat="false" ht="15" hidden="false" customHeight="false" outlineLevel="0" collapsed="false">
      <c r="A54" s="10"/>
      <c r="B54" s="10"/>
      <c r="C54" s="29"/>
      <c r="D54" s="19"/>
      <c r="E54" s="29"/>
      <c r="F54" s="10"/>
    </row>
    <row r="55" customFormat="false" ht="15" hidden="false" customHeight="false" outlineLevel="0" collapsed="false">
      <c r="A55" s="10"/>
      <c r="B55" s="10"/>
      <c r="C55" s="29"/>
      <c r="D55" s="19"/>
      <c r="E55" s="29"/>
      <c r="F55" s="10"/>
    </row>
    <row r="56" customFormat="false" ht="15" hidden="false" customHeight="false" outlineLevel="0" collapsed="false">
      <c r="A56" s="10"/>
      <c r="B56" s="10"/>
      <c r="C56" s="29"/>
      <c r="D56" s="19"/>
      <c r="E56" s="29"/>
      <c r="F56" s="10"/>
    </row>
    <row r="57" customFormat="false" ht="15" hidden="false" customHeight="false" outlineLevel="0" collapsed="false">
      <c r="A57" s="10"/>
      <c r="B57" s="10"/>
      <c r="C57" s="29"/>
      <c r="D57" s="19"/>
      <c r="E57" s="29"/>
      <c r="F57" s="10"/>
    </row>
    <row r="58" customFormat="false" ht="15" hidden="false" customHeight="false" outlineLevel="0" collapsed="false">
      <c r="A58" s="10"/>
      <c r="B58" s="10"/>
      <c r="C58" s="29"/>
      <c r="D58" s="19"/>
      <c r="E58" s="29"/>
      <c r="F58" s="10"/>
    </row>
    <row r="59" customFormat="false" ht="15" hidden="false" customHeight="false" outlineLevel="0" collapsed="false">
      <c r="A59" s="10"/>
      <c r="B59" s="10"/>
      <c r="C59" s="29"/>
      <c r="D59" s="19"/>
      <c r="E59" s="29"/>
      <c r="F59" s="10"/>
    </row>
    <row r="60" customFormat="false" ht="15" hidden="false" customHeight="false" outlineLevel="0" collapsed="false">
      <c r="A60" s="10"/>
      <c r="B60" s="10"/>
      <c r="C60" s="29"/>
      <c r="D60" s="19"/>
      <c r="E60" s="29"/>
      <c r="F60" s="10"/>
    </row>
    <row r="61" customFormat="false" ht="15" hidden="false" customHeight="false" outlineLevel="0" collapsed="false">
      <c r="A61" s="10"/>
      <c r="B61" s="10"/>
      <c r="C61" s="29"/>
      <c r="D61" s="19"/>
      <c r="E61" s="29"/>
      <c r="F61" s="10"/>
    </row>
    <row r="62" customFormat="false" ht="15" hidden="false" customHeight="false" outlineLevel="0" collapsed="false">
      <c r="A62" s="10"/>
      <c r="B62" s="10"/>
      <c r="C62" s="29"/>
      <c r="D62" s="19"/>
      <c r="E62" s="29"/>
      <c r="F62" s="10"/>
    </row>
    <row r="63" customFormat="false" ht="15" hidden="false" customHeight="false" outlineLevel="0" collapsed="false">
      <c r="A63" s="10"/>
      <c r="B63" s="10"/>
      <c r="C63" s="29"/>
      <c r="D63" s="19"/>
      <c r="E63" s="29"/>
      <c r="F63" s="10"/>
    </row>
    <row r="64" customFormat="false" ht="15" hidden="false" customHeight="false" outlineLevel="0" collapsed="false">
      <c r="A64" s="10"/>
      <c r="B64" s="10"/>
      <c r="C64" s="29"/>
      <c r="D64" s="19"/>
      <c r="E64" s="29"/>
      <c r="F64" s="10"/>
    </row>
    <row r="65" customFormat="false" ht="15" hidden="false" customHeight="false" outlineLevel="0" collapsed="false">
      <c r="A65" s="10"/>
      <c r="B65" s="10"/>
      <c r="C65" s="29"/>
      <c r="D65" s="19"/>
      <c r="E65" s="29"/>
      <c r="F65" s="10"/>
    </row>
    <row r="66" customFormat="false" ht="15" hidden="false" customHeight="false" outlineLevel="0" collapsed="false">
      <c r="A66" s="10"/>
      <c r="B66" s="10"/>
      <c r="C66" s="29"/>
      <c r="D66" s="19"/>
      <c r="E66" s="29"/>
      <c r="F66" s="10"/>
    </row>
    <row r="67" customFormat="false" ht="15" hidden="false" customHeight="false" outlineLevel="0" collapsed="false">
      <c r="A67" s="10"/>
      <c r="B67" s="10"/>
      <c r="C67" s="29"/>
      <c r="D67" s="19"/>
      <c r="E67" s="29"/>
      <c r="F67" s="10"/>
    </row>
    <row r="68" customFormat="false" ht="15" hidden="false" customHeight="false" outlineLevel="0" collapsed="false">
      <c r="A68" s="10"/>
      <c r="B68" s="10"/>
      <c r="C68" s="29"/>
      <c r="D68" s="19"/>
      <c r="E68" s="29"/>
      <c r="F68" s="10"/>
    </row>
    <row r="69" customFormat="false" ht="15" hidden="false" customHeight="false" outlineLevel="0" collapsed="false">
      <c r="A69" s="10"/>
      <c r="B69" s="10"/>
      <c r="C69" s="29"/>
      <c r="D69" s="19"/>
      <c r="E69" s="29"/>
      <c r="F69" s="10"/>
    </row>
    <row r="70" customFormat="false" ht="15" hidden="false" customHeight="false" outlineLevel="0" collapsed="false">
      <c r="A70" s="10"/>
      <c r="B70" s="10"/>
      <c r="C70" s="29"/>
      <c r="D70" s="19"/>
      <c r="E70" s="29"/>
      <c r="F70" s="10"/>
    </row>
    <row r="71" customFormat="false" ht="15" hidden="false" customHeight="false" outlineLevel="0" collapsed="false">
      <c r="A71" s="10"/>
      <c r="B71" s="10"/>
      <c r="C71" s="29"/>
      <c r="D71" s="19"/>
      <c r="E71" s="29"/>
      <c r="F71" s="10"/>
    </row>
    <row r="72" customFormat="false" ht="15" hidden="false" customHeight="false" outlineLevel="0" collapsed="false">
      <c r="A72" s="10"/>
      <c r="B72" s="10"/>
      <c r="C72" s="29"/>
      <c r="D72" s="19"/>
      <c r="E72" s="29"/>
      <c r="F72" s="10"/>
    </row>
    <row r="73" customFormat="false" ht="15" hidden="false" customHeight="false" outlineLevel="0" collapsed="false">
      <c r="A73" s="10"/>
      <c r="B73" s="10"/>
      <c r="C73" s="29"/>
      <c r="D73" s="19"/>
      <c r="E73" s="29"/>
      <c r="F73" s="10"/>
    </row>
    <row r="74" customFormat="false" ht="15" hidden="false" customHeight="false" outlineLevel="0" collapsed="false">
      <c r="A74" s="10"/>
      <c r="B74" s="10"/>
      <c r="C74" s="29"/>
      <c r="D74" s="19"/>
      <c r="E74" s="29"/>
      <c r="F74" s="10"/>
    </row>
    <row r="75" customFormat="false" ht="15" hidden="false" customHeight="false" outlineLevel="0" collapsed="false">
      <c r="A75" s="10"/>
      <c r="B75" s="10"/>
      <c r="C75" s="29"/>
      <c r="D75" s="19"/>
      <c r="E75" s="29"/>
      <c r="F75" s="10"/>
    </row>
    <row r="76" customFormat="false" ht="15" hidden="false" customHeight="false" outlineLevel="0" collapsed="false">
      <c r="A76" s="10"/>
      <c r="B76" s="10"/>
      <c r="C76" s="29"/>
      <c r="D76" s="19"/>
      <c r="E76" s="29"/>
      <c r="F76" s="10"/>
    </row>
    <row r="77" customFormat="false" ht="15" hidden="false" customHeight="false" outlineLevel="0" collapsed="false">
      <c r="A77" s="10"/>
      <c r="B77" s="10"/>
      <c r="C77" s="29"/>
      <c r="D77" s="19"/>
      <c r="E77" s="29"/>
      <c r="F77" s="10"/>
    </row>
    <row r="78" customFormat="false" ht="15" hidden="false" customHeight="false" outlineLevel="0" collapsed="false">
      <c r="A78" s="10"/>
      <c r="B78" s="10"/>
      <c r="C78" s="29"/>
      <c r="D78" s="19"/>
      <c r="E78" s="29"/>
      <c r="F78" s="10"/>
    </row>
    <row r="79" customFormat="false" ht="15" hidden="false" customHeight="false" outlineLevel="0" collapsed="false">
      <c r="A79" s="10"/>
      <c r="B79" s="10"/>
      <c r="C79" s="29"/>
      <c r="D79" s="19"/>
      <c r="E79" s="29"/>
      <c r="F79" s="10"/>
    </row>
    <row r="80" customFormat="false" ht="15" hidden="false" customHeight="false" outlineLevel="0" collapsed="false">
      <c r="A80" s="10"/>
      <c r="B80" s="10"/>
      <c r="C80" s="29"/>
      <c r="D80" s="19"/>
      <c r="E80" s="29"/>
      <c r="F80" s="10"/>
    </row>
    <row r="81" customFormat="false" ht="15" hidden="false" customHeight="false" outlineLevel="0" collapsed="false">
      <c r="A81" s="10"/>
      <c r="B81" s="10"/>
      <c r="C81" s="29"/>
      <c r="D81" s="19"/>
      <c r="E81" s="29"/>
      <c r="F81" s="10"/>
    </row>
    <row r="82" customFormat="false" ht="15" hidden="false" customHeight="false" outlineLevel="0" collapsed="false">
      <c r="A82" s="10"/>
      <c r="B82" s="10"/>
      <c r="C82" s="29"/>
      <c r="D82" s="19"/>
      <c r="E82" s="29"/>
      <c r="F82" s="10"/>
    </row>
    <row r="83" customFormat="false" ht="15" hidden="false" customHeight="false" outlineLevel="0" collapsed="false">
      <c r="A83" s="10"/>
      <c r="B83" s="10"/>
      <c r="C83" s="29"/>
      <c r="D83" s="19"/>
      <c r="E83" s="29"/>
      <c r="F83" s="10"/>
    </row>
    <row r="84" customFormat="false" ht="15" hidden="false" customHeight="false" outlineLevel="0" collapsed="false">
      <c r="A84" s="10"/>
      <c r="B84" s="10"/>
      <c r="C84" s="29"/>
      <c r="D84" s="19"/>
      <c r="E84" s="29"/>
      <c r="F84" s="10"/>
    </row>
    <row r="85" customFormat="false" ht="15" hidden="false" customHeight="false" outlineLevel="0" collapsed="false">
      <c r="A85" s="10"/>
      <c r="B85" s="10"/>
      <c r="C85" s="29"/>
      <c r="D85" s="19"/>
      <c r="E85" s="29"/>
      <c r="F85" s="10"/>
    </row>
    <row r="86" customFormat="false" ht="15" hidden="false" customHeight="false" outlineLevel="0" collapsed="false">
      <c r="A86" s="10"/>
      <c r="B86" s="10"/>
      <c r="C86" s="29"/>
      <c r="D86" s="19"/>
      <c r="E86" s="29"/>
      <c r="F86" s="10"/>
    </row>
    <row r="87" customFormat="false" ht="15" hidden="false" customHeight="false" outlineLevel="0" collapsed="false">
      <c r="A87" s="10"/>
      <c r="B87" s="10"/>
      <c r="C87" s="29"/>
      <c r="D87" s="19"/>
      <c r="E87" s="29"/>
      <c r="F87" s="10"/>
    </row>
    <row r="88" customFormat="false" ht="15" hidden="false" customHeight="false" outlineLevel="0" collapsed="false">
      <c r="A88" s="10"/>
      <c r="B88" s="10"/>
      <c r="C88" s="29"/>
      <c r="D88" s="19"/>
      <c r="E88" s="29"/>
      <c r="F88" s="10"/>
    </row>
    <row r="89" customFormat="false" ht="15" hidden="false" customHeight="false" outlineLevel="0" collapsed="false">
      <c r="A89" s="10"/>
      <c r="B89" s="10"/>
      <c r="C89" s="29"/>
      <c r="D89" s="19"/>
      <c r="E89" s="29"/>
      <c r="F89" s="10"/>
    </row>
    <row r="90" customFormat="false" ht="15" hidden="false" customHeight="false" outlineLevel="0" collapsed="false">
      <c r="A90" s="10"/>
      <c r="B90" s="10"/>
      <c r="C90" s="29"/>
      <c r="D90" s="19"/>
      <c r="E90" s="29"/>
      <c r="F90" s="10"/>
    </row>
    <row r="91" customFormat="false" ht="15" hidden="false" customHeight="false" outlineLevel="0" collapsed="false">
      <c r="A91" s="10"/>
      <c r="B91" s="10"/>
      <c r="C91" s="29"/>
      <c r="D91" s="19"/>
      <c r="E91" s="29"/>
      <c r="F91" s="10"/>
    </row>
    <row r="92" customFormat="false" ht="15" hidden="false" customHeight="false" outlineLevel="0" collapsed="false">
      <c r="A92" s="10"/>
      <c r="B92" s="10"/>
      <c r="C92" s="29"/>
      <c r="D92" s="19"/>
      <c r="E92" s="29"/>
      <c r="F92" s="10"/>
    </row>
    <row r="93" customFormat="false" ht="15" hidden="false" customHeight="false" outlineLevel="0" collapsed="false">
      <c r="A93" s="10"/>
      <c r="B93" s="10"/>
      <c r="C93" s="29"/>
      <c r="D93" s="19"/>
      <c r="E93" s="29"/>
      <c r="F93" s="10"/>
    </row>
    <row r="94" customFormat="false" ht="15" hidden="false" customHeight="false" outlineLevel="0" collapsed="false">
      <c r="A94" s="10"/>
      <c r="B94" s="10"/>
      <c r="C94" s="29"/>
      <c r="D94" s="19"/>
      <c r="E94" s="29"/>
      <c r="F94" s="10"/>
    </row>
    <row r="95" customFormat="false" ht="15" hidden="false" customHeight="false" outlineLevel="0" collapsed="false">
      <c r="A95" s="10"/>
      <c r="B95" s="10"/>
      <c r="C95" s="29"/>
      <c r="D95" s="19"/>
      <c r="E95" s="29"/>
      <c r="F95" s="10"/>
    </row>
    <row r="96" customFormat="false" ht="15" hidden="false" customHeight="false" outlineLevel="0" collapsed="false">
      <c r="A96" s="10"/>
      <c r="B96" s="10"/>
      <c r="C96" s="29"/>
      <c r="D96" s="19"/>
      <c r="E96" s="29"/>
      <c r="F96" s="10"/>
    </row>
    <row r="97" customFormat="false" ht="15" hidden="false" customHeight="false" outlineLevel="0" collapsed="false">
      <c r="A97" s="10"/>
      <c r="B97" s="10"/>
      <c r="C97" s="29"/>
      <c r="D97" s="19"/>
      <c r="E97" s="29"/>
      <c r="F97" s="10"/>
    </row>
    <row r="98" customFormat="false" ht="15" hidden="false" customHeight="false" outlineLevel="0" collapsed="false">
      <c r="A98" s="10"/>
      <c r="B98" s="10"/>
      <c r="C98" s="29"/>
      <c r="D98" s="19"/>
      <c r="E98" s="29"/>
      <c r="F98" s="10"/>
    </row>
    <row r="99" customFormat="false" ht="15" hidden="false" customHeight="false" outlineLevel="0" collapsed="false">
      <c r="A99" s="10"/>
      <c r="B99" s="10"/>
      <c r="C99" s="29"/>
      <c r="D99" s="19"/>
      <c r="E99" s="29"/>
      <c r="F99" s="10"/>
    </row>
    <row r="100" customFormat="false" ht="15" hidden="false" customHeight="false" outlineLevel="0" collapsed="false">
      <c r="A100" s="10"/>
      <c r="B100" s="10"/>
      <c r="C100" s="29"/>
      <c r="D100" s="19"/>
      <c r="E100" s="29"/>
      <c r="F100" s="10"/>
    </row>
    <row r="101" customFormat="false" ht="15" hidden="false" customHeight="false" outlineLevel="0" collapsed="false">
      <c r="A101" s="10"/>
      <c r="B101" s="10"/>
      <c r="C101" s="29"/>
      <c r="D101" s="19"/>
      <c r="E101" s="29"/>
      <c r="F101" s="10"/>
    </row>
    <row r="102" customFormat="false" ht="15" hidden="false" customHeight="false" outlineLevel="0" collapsed="false">
      <c r="A102" s="10"/>
      <c r="B102" s="10"/>
      <c r="C102" s="29"/>
      <c r="D102" s="19"/>
      <c r="E102" s="29"/>
      <c r="F102" s="10"/>
    </row>
    <row r="103" customFormat="false" ht="15" hidden="false" customHeight="false" outlineLevel="0" collapsed="false">
      <c r="A103" s="10"/>
      <c r="B103" s="10"/>
      <c r="C103" s="29"/>
      <c r="D103" s="19"/>
      <c r="E103" s="29"/>
      <c r="F103" s="10"/>
    </row>
    <row r="104" customFormat="false" ht="15" hidden="false" customHeight="false" outlineLevel="0" collapsed="false">
      <c r="A104" s="10"/>
      <c r="B104" s="10"/>
      <c r="C104" s="29"/>
      <c r="D104" s="19"/>
      <c r="E104" s="29"/>
      <c r="F104" s="10"/>
    </row>
    <row r="105" customFormat="false" ht="15" hidden="false" customHeight="false" outlineLevel="0" collapsed="false">
      <c r="A105" s="10"/>
      <c r="B105" s="10"/>
      <c r="C105" s="29"/>
      <c r="D105" s="19"/>
      <c r="E105" s="29"/>
      <c r="F105" s="10"/>
    </row>
    <row r="106" customFormat="false" ht="15" hidden="false" customHeight="false" outlineLevel="0" collapsed="false">
      <c r="A106" s="10"/>
      <c r="B106" s="10"/>
      <c r="C106" s="29"/>
      <c r="D106" s="19"/>
      <c r="E106" s="29"/>
      <c r="F106" s="10"/>
    </row>
    <row r="107" customFormat="false" ht="15" hidden="false" customHeight="false" outlineLevel="0" collapsed="false">
      <c r="A107" s="10"/>
      <c r="B107" s="10"/>
      <c r="C107" s="29"/>
      <c r="D107" s="19"/>
      <c r="E107" s="29"/>
      <c r="F107" s="10"/>
    </row>
    <row r="108" customFormat="false" ht="15" hidden="false" customHeight="false" outlineLevel="0" collapsed="false">
      <c r="A108" s="10"/>
      <c r="B108" s="10"/>
      <c r="C108" s="29"/>
      <c r="D108" s="19"/>
      <c r="E108" s="29"/>
      <c r="F108" s="10"/>
    </row>
    <row r="109" customFormat="false" ht="15" hidden="false" customHeight="false" outlineLevel="0" collapsed="false">
      <c r="A109" s="10"/>
      <c r="B109" s="10"/>
      <c r="C109" s="29"/>
      <c r="D109" s="19"/>
      <c r="E109" s="29"/>
      <c r="F109" s="10"/>
    </row>
    <row r="110" customFormat="false" ht="15" hidden="false" customHeight="false" outlineLevel="0" collapsed="false">
      <c r="A110" s="10"/>
      <c r="B110" s="10"/>
      <c r="C110" s="29"/>
      <c r="D110" s="19"/>
      <c r="E110" s="29"/>
      <c r="F110" s="10"/>
    </row>
    <row r="111" customFormat="false" ht="15" hidden="false" customHeight="false" outlineLevel="0" collapsed="false">
      <c r="A111" s="10"/>
      <c r="B111" s="10"/>
      <c r="C111" s="29"/>
      <c r="D111" s="19"/>
      <c r="E111" s="29"/>
      <c r="F111" s="10"/>
    </row>
    <row r="112" customFormat="false" ht="15" hidden="false" customHeight="false" outlineLevel="0" collapsed="false">
      <c r="A112" s="10"/>
      <c r="B112" s="10"/>
      <c r="C112" s="29"/>
      <c r="D112" s="19"/>
      <c r="E112" s="29"/>
      <c r="F112" s="10"/>
    </row>
    <row r="113" customFormat="false" ht="15" hidden="false" customHeight="false" outlineLevel="0" collapsed="false">
      <c r="A113" s="10"/>
      <c r="B113" s="10"/>
      <c r="C113" s="29"/>
      <c r="D113" s="19"/>
      <c r="E113" s="29"/>
      <c r="F113" s="10"/>
    </row>
    <row r="114" customFormat="false" ht="15" hidden="false" customHeight="false" outlineLevel="0" collapsed="false">
      <c r="A114" s="10"/>
      <c r="B114" s="10"/>
      <c r="C114" s="29"/>
      <c r="D114" s="19"/>
      <c r="E114" s="29"/>
      <c r="F114" s="10"/>
    </row>
    <row r="115" customFormat="false" ht="15" hidden="false" customHeight="false" outlineLevel="0" collapsed="false">
      <c r="A115" s="10"/>
      <c r="B115" s="10"/>
      <c r="C115" s="29"/>
      <c r="D115" s="19"/>
      <c r="E115" s="29"/>
      <c r="F115" s="10"/>
    </row>
    <row r="116" customFormat="false" ht="15" hidden="false" customHeight="false" outlineLevel="0" collapsed="false">
      <c r="A116" s="10"/>
      <c r="B116" s="10"/>
      <c r="C116" s="29"/>
      <c r="D116" s="19"/>
      <c r="E116" s="29"/>
      <c r="F116" s="10"/>
    </row>
    <row r="117" customFormat="false" ht="15" hidden="false" customHeight="false" outlineLevel="0" collapsed="false">
      <c r="A117" s="10"/>
      <c r="B117" s="10"/>
      <c r="C117" s="29"/>
      <c r="D117" s="19"/>
      <c r="E117" s="29"/>
      <c r="F117" s="10"/>
    </row>
    <row r="118" customFormat="false" ht="15" hidden="false" customHeight="false" outlineLevel="0" collapsed="false">
      <c r="A118" s="10"/>
      <c r="B118" s="10"/>
      <c r="C118" s="29"/>
      <c r="D118" s="19"/>
      <c r="E118" s="29"/>
      <c r="F118" s="10"/>
    </row>
    <row r="119" customFormat="false" ht="15" hidden="false" customHeight="false" outlineLevel="0" collapsed="false">
      <c r="A119" s="10"/>
      <c r="B119" s="10"/>
      <c r="C119" s="29"/>
      <c r="D119" s="19"/>
      <c r="E119" s="29"/>
      <c r="F119" s="10"/>
    </row>
    <row r="120" customFormat="false" ht="15" hidden="false" customHeight="false" outlineLevel="0" collapsed="false">
      <c r="A120" s="10"/>
      <c r="B120" s="10"/>
      <c r="C120" s="29"/>
      <c r="D120" s="19"/>
      <c r="E120" s="29"/>
      <c r="F120" s="10"/>
    </row>
    <row r="121" customFormat="false" ht="15" hidden="false" customHeight="false" outlineLevel="0" collapsed="false">
      <c r="A121" s="10"/>
      <c r="B121" s="10"/>
      <c r="C121" s="29"/>
      <c r="D121" s="19"/>
      <c r="E121" s="29"/>
      <c r="F121" s="10"/>
    </row>
    <row r="122" customFormat="false" ht="15" hidden="false" customHeight="false" outlineLevel="0" collapsed="false">
      <c r="A122" s="10"/>
      <c r="B122" s="10"/>
      <c r="C122" s="29"/>
      <c r="D122" s="19"/>
      <c r="E122" s="29"/>
      <c r="F122" s="10"/>
    </row>
    <row r="123" customFormat="false" ht="15" hidden="false" customHeight="false" outlineLevel="0" collapsed="false">
      <c r="A123" s="10"/>
      <c r="B123" s="10"/>
      <c r="C123" s="29"/>
      <c r="D123" s="19"/>
      <c r="E123" s="29"/>
      <c r="F123" s="10"/>
    </row>
    <row r="124" customFormat="false" ht="15" hidden="false" customHeight="false" outlineLevel="0" collapsed="false">
      <c r="A124" s="10"/>
      <c r="B124" s="10"/>
      <c r="C124" s="29"/>
      <c r="D124" s="19"/>
      <c r="E124" s="29"/>
      <c r="F124" s="10"/>
    </row>
    <row r="125" customFormat="false" ht="15" hidden="false" customHeight="false" outlineLevel="0" collapsed="false">
      <c r="A125" s="10"/>
      <c r="B125" s="10"/>
      <c r="C125" s="29"/>
      <c r="D125" s="19"/>
      <c r="E125" s="29"/>
      <c r="F125" s="10"/>
    </row>
    <row r="126" customFormat="false" ht="15" hidden="false" customHeight="false" outlineLevel="0" collapsed="false">
      <c r="A126" s="10"/>
      <c r="B126" s="10"/>
      <c r="C126" s="29"/>
      <c r="D126" s="19"/>
      <c r="E126" s="29"/>
      <c r="F126" s="10"/>
    </row>
    <row r="127" customFormat="false" ht="15" hidden="false" customHeight="false" outlineLevel="0" collapsed="false">
      <c r="A127" s="10"/>
      <c r="B127" s="10"/>
      <c r="C127" s="29"/>
      <c r="D127" s="19"/>
      <c r="E127" s="29"/>
      <c r="F127" s="10"/>
    </row>
    <row r="128" customFormat="false" ht="15" hidden="false" customHeight="false" outlineLevel="0" collapsed="false">
      <c r="A128" s="10"/>
      <c r="B128" s="10"/>
      <c r="C128" s="29"/>
      <c r="D128" s="19"/>
      <c r="E128" s="29"/>
      <c r="F128" s="10"/>
    </row>
    <row r="129" customFormat="false" ht="15" hidden="false" customHeight="false" outlineLevel="0" collapsed="false">
      <c r="A129" s="10"/>
      <c r="B129" s="10"/>
      <c r="C129" s="29"/>
      <c r="D129" s="19"/>
      <c r="E129" s="29"/>
      <c r="F129" s="10"/>
    </row>
    <row r="130" customFormat="false" ht="15" hidden="false" customHeight="false" outlineLevel="0" collapsed="false">
      <c r="A130" s="10"/>
      <c r="B130" s="10"/>
      <c r="C130" s="29"/>
      <c r="D130" s="19"/>
      <c r="E130" s="29"/>
      <c r="F130" s="10"/>
    </row>
    <row r="131" customFormat="false" ht="15" hidden="false" customHeight="false" outlineLevel="0" collapsed="false">
      <c r="A131" s="10"/>
      <c r="B131" s="10"/>
      <c r="C131" s="29"/>
      <c r="D131" s="19"/>
      <c r="E131" s="29"/>
      <c r="F131" s="10"/>
    </row>
    <row r="132" customFormat="false" ht="15" hidden="false" customHeight="false" outlineLevel="0" collapsed="false">
      <c r="A132" s="10"/>
      <c r="B132" s="10"/>
      <c r="C132" s="29"/>
      <c r="D132" s="19"/>
      <c r="E132" s="29"/>
      <c r="F132" s="10"/>
    </row>
    <row r="133" customFormat="false" ht="15" hidden="false" customHeight="false" outlineLevel="0" collapsed="false">
      <c r="A133" s="10"/>
      <c r="B133" s="10"/>
      <c r="C133" s="29"/>
      <c r="D133" s="19"/>
      <c r="E133" s="29"/>
      <c r="F133" s="10"/>
    </row>
    <row r="134" customFormat="false" ht="15" hidden="false" customHeight="false" outlineLevel="0" collapsed="false">
      <c r="A134" s="10"/>
      <c r="B134" s="10"/>
      <c r="C134" s="29"/>
      <c r="D134" s="19"/>
      <c r="E134" s="29"/>
      <c r="F134" s="10"/>
    </row>
    <row r="135" customFormat="false" ht="15" hidden="false" customHeight="false" outlineLevel="0" collapsed="false">
      <c r="A135" s="10"/>
      <c r="B135" s="10"/>
      <c r="C135" s="29"/>
      <c r="D135" s="19"/>
      <c r="E135" s="29"/>
      <c r="F135" s="10"/>
    </row>
    <row r="136" customFormat="false" ht="15" hidden="false" customHeight="false" outlineLevel="0" collapsed="false">
      <c r="A136" s="10"/>
      <c r="B136" s="10"/>
      <c r="C136" s="29"/>
      <c r="D136" s="19"/>
      <c r="E136" s="29"/>
      <c r="F136" s="10"/>
    </row>
    <row r="137" customFormat="false" ht="15" hidden="false" customHeight="false" outlineLevel="0" collapsed="false">
      <c r="A137" s="10"/>
      <c r="B137" s="10"/>
      <c r="C137" s="29"/>
      <c r="D137" s="19"/>
      <c r="E137" s="29"/>
      <c r="F137" s="10"/>
    </row>
    <row r="138" customFormat="false" ht="15" hidden="false" customHeight="false" outlineLevel="0" collapsed="false">
      <c r="A138" s="10"/>
      <c r="B138" s="10"/>
      <c r="C138" s="29"/>
      <c r="D138" s="19"/>
      <c r="E138" s="29"/>
      <c r="F138" s="10"/>
    </row>
    <row r="139" customFormat="false" ht="15" hidden="false" customHeight="false" outlineLevel="0" collapsed="false">
      <c r="A139" s="10"/>
      <c r="B139" s="10"/>
      <c r="C139" s="29"/>
      <c r="D139" s="19"/>
      <c r="E139" s="29"/>
      <c r="F139" s="10"/>
    </row>
    <row r="140" customFormat="false" ht="15" hidden="false" customHeight="false" outlineLevel="0" collapsed="false">
      <c r="A140" s="10"/>
      <c r="B140" s="10"/>
      <c r="C140" s="29"/>
      <c r="D140" s="19"/>
      <c r="E140" s="29"/>
      <c r="F140" s="10"/>
    </row>
    <row r="141" customFormat="false" ht="15" hidden="false" customHeight="false" outlineLevel="0" collapsed="false">
      <c r="A141" s="10"/>
      <c r="B141" s="10"/>
      <c r="C141" s="29"/>
      <c r="D141" s="19"/>
      <c r="E141" s="29"/>
      <c r="F141" s="10"/>
    </row>
    <row r="142" customFormat="false" ht="15" hidden="false" customHeight="false" outlineLevel="0" collapsed="false">
      <c r="A142" s="10"/>
      <c r="B142" s="10"/>
      <c r="C142" s="29"/>
      <c r="D142" s="19"/>
      <c r="E142" s="29"/>
      <c r="F142" s="10"/>
    </row>
    <row r="143" customFormat="false" ht="15" hidden="false" customHeight="false" outlineLevel="0" collapsed="false">
      <c r="A143" s="10"/>
      <c r="B143" s="10"/>
      <c r="C143" s="29"/>
      <c r="D143" s="19"/>
      <c r="E143" s="29"/>
      <c r="F143" s="10"/>
    </row>
    <row r="144" customFormat="false" ht="15" hidden="false" customHeight="false" outlineLevel="0" collapsed="false">
      <c r="A144" s="10"/>
      <c r="B144" s="10"/>
      <c r="C144" s="29"/>
      <c r="D144" s="19"/>
      <c r="E144" s="29"/>
      <c r="F144" s="10"/>
    </row>
    <row r="145" customFormat="false" ht="15" hidden="false" customHeight="false" outlineLevel="0" collapsed="false">
      <c r="A145" s="10"/>
      <c r="B145" s="10"/>
      <c r="C145" s="29"/>
      <c r="D145" s="19"/>
      <c r="E145" s="29"/>
      <c r="F145" s="10"/>
    </row>
    <row r="146" customFormat="false" ht="15" hidden="false" customHeight="false" outlineLevel="0" collapsed="false">
      <c r="A146" s="10"/>
      <c r="B146" s="10"/>
      <c r="C146" s="29"/>
      <c r="D146" s="19"/>
      <c r="E146" s="29"/>
      <c r="F146" s="10"/>
    </row>
    <row r="147" customFormat="false" ht="15" hidden="false" customHeight="false" outlineLevel="0" collapsed="false">
      <c r="A147" s="10"/>
      <c r="B147" s="10"/>
      <c r="C147" s="29"/>
      <c r="D147" s="19"/>
      <c r="E147" s="29"/>
      <c r="F147" s="10"/>
    </row>
    <row r="148" customFormat="false" ht="15" hidden="false" customHeight="false" outlineLevel="0" collapsed="false">
      <c r="A148" s="10"/>
      <c r="B148" s="10"/>
      <c r="C148" s="29"/>
      <c r="D148" s="19"/>
      <c r="E148" s="29"/>
      <c r="F148" s="10"/>
    </row>
    <row r="149" customFormat="false" ht="15" hidden="false" customHeight="false" outlineLevel="0" collapsed="false">
      <c r="A149" s="10"/>
      <c r="B149" s="10"/>
      <c r="C149" s="29"/>
      <c r="D149" s="19"/>
      <c r="E149" s="29"/>
      <c r="F149" s="10"/>
    </row>
    <row r="150" customFormat="false" ht="15" hidden="false" customHeight="false" outlineLevel="0" collapsed="false">
      <c r="A150" s="10"/>
      <c r="B150" s="10"/>
      <c r="C150" s="29"/>
      <c r="D150" s="19"/>
      <c r="E150" s="29"/>
      <c r="F150" s="10"/>
    </row>
    <row r="151" customFormat="false" ht="15" hidden="false" customHeight="false" outlineLevel="0" collapsed="false">
      <c r="A151" s="10"/>
      <c r="B151" s="10"/>
      <c r="C151" s="29"/>
      <c r="D151" s="19"/>
      <c r="E151" s="29"/>
      <c r="F151" s="10"/>
    </row>
    <row r="152" customFormat="false" ht="15" hidden="false" customHeight="false" outlineLevel="0" collapsed="false">
      <c r="A152" s="10"/>
      <c r="B152" s="10"/>
      <c r="C152" s="29"/>
      <c r="D152" s="19"/>
      <c r="E152" s="29"/>
      <c r="F152" s="10"/>
    </row>
    <row r="153" customFormat="false" ht="15" hidden="false" customHeight="false" outlineLevel="0" collapsed="false">
      <c r="A153" s="10"/>
      <c r="B153" s="10"/>
      <c r="C153" s="29"/>
      <c r="D153" s="19"/>
      <c r="E153" s="29"/>
      <c r="F153" s="10"/>
    </row>
    <row r="154" customFormat="false" ht="15" hidden="false" customHeight="false" outlineLevel="0" collapsed="false">
      <c r="A154" s="10"/>
      <c r="B154" s="10"/>
      <c r="C154" s="29"/>
      <c r="D154" s="19"/>
      <c r="E154" s="29"/>
      <c r="F154" s="10"/>
    </row>
    <row r="155" customFormat="false" ht="15" hidden="false" customHeight="false" outlineLevel="0" collapsed="false">
      <c r="A155" s="10"/>
      <c r="B155" s="10"/>
      <c r="C155" s="29"/>
      <c r="D155" s="19"/>
      <c r="E155" s="29"/>
      <c r="F155" s="10"/>
    </row>
    <row r="156" customFormat="false" ht="15" hidden="false" customHeight="false" outlineLevel="0" collapsed="false">
      <c r="A156" s="10"/>
      <c r="B156" s="10"/>
      <c r="C156" s="29"/>
      <c r="D156" s="19"/>
      <c r="E156" s="29"/>
      <c r="F156" s="10"/>
    </row>
    <row r="157" customFormat="false" ht="15" hidden="false" customHeight="false" outlineLevel="0" collapsed="false">
      <c r="A157" s="10"/>
      <c r="B157" s="10"/>
      <c r="C157" s="29"/>
      <c r="D157" s="19"/>
      <c r="E157" s="29"/>
      <c r="F157" s="10"/>
    </row>
    <row r="158" customFormat="false" ht="15" hidden="false" customHeight="false" outlineLevel="0" collapsed="false">
      <c r="A158" s="10"/>
      <c r="B158" s="10"/>
      <c r="C158" s="29"/>
      <c r="D158" s="19"/>
      <c r="E158" s="29"/>
      <c r="F158" s="10"/>
    </row>
    <row r="159" customFormat="false" ht="15" hidden="false" customHeight="false" outlineLevel="0" collapsed="false">
      <c r="A159" s="10"/>
      <c r="B159" s="10"/>
      <c r="C159" s="29"/>
      <c r="D159" s="19"/>
      <c r="E159" s="29"/>
      <c r="F159" s="10"/>
    </row>
    <row r="160" customFormat="false" ht="15" hidden="false" customHeight="false" outlineLevel="0" collapsed="false">
      <c r="A160" s="10"/>
      <c r="B160" s="10"/>
      <c r="C160" s="29"/>
      <c r="D160" s="19"/>
      <c r="E160" s="29"/>
      <c r="F160" s="10"/>
    </row>
    <row r="161" customFormat="false" ht="15" hidden="false" customHeight="false" outlineLevel="0" collapsed="false">
      <c r="A161" s="10"/>
      <c r="B161" s="10"/>
      <c r="C161" s="29"/>
      <c r="D161" s="19"/>
      <c r="E161" s="29"/>
      <c r="F161" s="10"/>
    </row>
    <row r="162" customFormat="false" ht="15" hidden="false" customHeight="false" outlineLevel="0" collapsed="false">
      <c r="A162" s="10"/>
      <c r="B162" s="10"/>
      <c r="C162" s="29"/>
      <c r="D162" s="19"/>
      <c r="E162" s="29"/>
      <c r="F162" s="10"/>
    </row>
    <row r="163" customFormat="false" ht="15" hidden="false" customHeight="false" outlineLevel="0" collapsed="false">
      <c r="A163" s="10"/>
      <c r="B163" s="10"/>
      <c r="C163" s="29"/>
      <c r="D163" s="19"/>
      <c r="E163" s="29"/>
      <c r="F163" s="10"/>
    </row>
    <row r="164" customFormat="false" ht="15" hidden="false" customHeight="false" outlineLevel="0" collapsed="false">
      <c r="A164" s="10"/>
      <c r="B164" s="10"/>
      <c r="C164" s="29"/>
      <c r="D164" s="19"/>
      <c r="E164" s="29"/>
      <c r="F164" s="10"/>
    </row>
    <row r="165" customFormat="false" ht="15" hidden="false" customHeight="false" outlineLevel="0" collapsed="false">
      <c r="A165" s="10"/>
      <c r="B165" s="10"/>
      <c r="C165" s="29"/>
      <c r="D165" s="19"/>
      <c r="E165" s="29"/>
      <c r="F165" s="10"/>
    </row>
    <row r="166" customFormat="false" ht="15" hidden="false" customHeight="false" outlineLevel="0" collapsed="false">
      <c r="A166" s="10"/>
      <c r="B166" s="10"/>
      <c r="C166" s="29"/>
      <c r="D166" s="19"/>
      <c r="E166" s="29"/>
      <c r="F166" s="10"/>
    </row>
    <row r="167" customFormat="false" ht="15" hidden="false" customHeight="false" outlineLevel="0" collapsed="false">
      <c r="A167" s="10"/>
      <c r="B167" s="10"/>
      <c r="C167" s="29"/>
      <c r="D167" s="19"/>
      <c r="E167" s="29"/>
      <c r="F167" s="10"/>
    </row>
    <row r="168" customFormat="false" ht="15" hidden="false" customHeight="false" outlineLevel="0" collapsed="false">
      <c r="A168" s="10"/>
      <c r="B168" s="10"/>
      <c r="C168" s="29"/>
      <c r="D168" s="19"/>
      <c r="E168" s="29"/>
      <c r="F168" s="10"/>
    </row>
    <row r="169" customFormat="false" ht="15" hidden="false" customHeight="false" outlineLevel="0" collapsed="false">
      <c r="A169" s="10"/>
      <c r="B169" s="10"/>
      <c r="C169" s="29"/>
      <c r="D169" s="19"/>
      <c r="E169" s="29"/>
      <c r="F169" s="10"/>
    </row>
    <row r="170" customFormat="false" ht="15" hidden="false" customHeight="false" outlineLevel="0" collapsed="false">
      <c r="A170" s="10"/>
      <c r="B170" s="10"/>
      <c r="C170" s="29"/>
      <c r="D170" s="19"/>
      <c r="E170" s="29"/>
      <c r="F170" s="10"/>
    </row>
    <row r="171" customFormat="false" ht="15" hidden="false" customHeight="false" outlineLevel="0" collapsed="false">
      <c r="A171" s="10"/>
      <c r="B171" s="10"/>
      <c r="C171" s="29"/>
      <c r="D171" s="19"/>
      <c r="E171" s="29"/>
      <c r="F171" s="10"/>
    </row>
    <row r="172" customFormat="false" ht="15" hidden="false" customHeight="false" outlineLevel="0" collapsed="false">
      <c r="A172" s="10"/>
      <c r="B172" s="10"/>
      <c r="C172" s="29"/>
      <c r="D172" s="19"/>
      <c r="E172" s="29"/>
      <c r="F172" s="10"/>
    </row>
    <row r="173" customFormat="false" ht="15" hidden="false" customHeight="false" outlineLevel="0" collapsed="false">
      <c r="A173" s="10"/>
      <c r="B173" s="10"/>
      <c r="C173" s="29"/>
      <c r="D173" s="19"/>
      <c r="E173" s="29"/>
      <c r="F173" s="10"/>
    </row>
    <row r="174" customFormat="false" ht="15" hidden="false" customHeight="false" outlineLevel="0" collapsed="false">
      <c r="A174" s="10"/>
      <c r="B174" s="10"/>
      <c r="C174" s="29"/>
      <c r="D174" s="19"/>
      <c r="E174" s="29"/>
      <c r="F174" s="10"/>
    </row>
    <row r="175" customFormat="false" ht="15" hidden="false" customHeight="false" outlineLevel="0" collapsed="false">
      <c r="A175" s="10"/>
      <c r="B175" s="10"/>
      <c r="C175" s="29"/>
      <c r="D175" s="19"/>
      <c r="E175" s="29"/>
      <c r="F175" s="10"/>
    </row>
    <row r="176" customFormat="false" ht="15" hidden="false" customHeight="false" outlineLevel="0" collapsed="false">
      <c r="A176" s="10"/>
      <c r="B176" s="10"/>
      <c r="C176" s="29"/>
      <c r="D176" s="19"/>
      <c r="E176" s="29"/>
      <c r="F176" s="10"/>
    </row>
    <row r="177" customFormat="false" ht="15" hidden="false" customHeight="false" outlineLevel="0" collapsed="false">
      <c r="A177" s="10"/>
      <c r="B177" s="10"/>
      <c r="C177" s="29"/>
      <c r="D177" s="19"/>
      <c r="E177" s="29"/>
      <c r="F177" s="10"/>
    </row>
    <row r="178" customFormat="false" ht="15" hidden="false" customHeight="false" outlineLevel="0" collapsed="false">
      <c r="A178" s="10"/>
      <c r="B178" s="10"/>
      <c r="C178" s="29"/>
      <c r="D178" s="19"/>
      <c r="E178" s="29"/>
      <c r="F178" s="10"/>
    </row>
    <row r="179" customFormat="false" ht="15" hidden="false" customHeight="false" outlineLevel="0" collapsed="false">
      <c r="A179" s="10"/>
      <c r="B179" s="10"/>
      <c r="C179" s="29"/>
      <c r="D179" s="19"/>
      <c r="E179" s="29"/>
      <c r="F179" s="10"/>
    </row>
    <row r="180" customFormat="false" ht="15" hidden="false" customHeight="false" outlineLevel="0" collapsed="false">
      <c r="A180" s="10"/>
      <c r="B180" s="10"/>
      <c r="C180" s="29"/>
      <c r="D180" s="19"/>
      <c r="E180" s="29"/>
      <c r="F180" s="10"/>
    </row>
    <row r="181" customFormat="false" ht="15" hidden="false" customHeight="false" outlineLevel="0" collapsed="false">
      <c r="A181" s="10"/>
      <c r="B181" s="10"/>
      <c r="C181" s="29"/>
      <c r="D181" s="19"/>
      <c r="E181" s="29"/>
      <c r="F181" s="10"/>
    </row>
    <row r="182" customFormat="false" ht="15" hidden="false" customHeight="false" outlineLevel="0" collapsed="false">
      <c r="A182" s="10"/>
      <c r="B182" s="10"/>
      <c r="C182" s="29"/>
      <c r="D182" s="19"/>
      <c r="E182" s="29"/>
      <c r="F182" s="10"/>
    </row>
    <row r="183" customFormat="false" ht="15" hidden="false" customHeight="false" outlineLevel="0" collapsed="false">
      <c r="A183" s="10"/>
      <c r="B183" s="10"/>
      <c r="C183" s="29"/>
      <c r="D183" s="19"/>
      <c r="E183" s="29"/>
      <c r="F183" s="10"/>
    </row>
    <row r="184" customFormat="false" ht="15" hidden="false" customHeight="false" outlineLevel="0" collapsed="false">
      <c r="A184" s="10"/>
      <c r="B184" s="10"/>
      <c r="C184" s="29"/>
      <c r="D184" s="19"/>
      <c r="E184" s="29"/>
      <c r="F184" s="10"/>
    </row>
    <row r="185" customFormat="false" ht="15" hidden="false" customHeight="false" outlineLevel="0" collapsed="false">
      <c r="A185" s="10"/>
      <c r="B185" s="10"/>
      <c r="C185" s="29"/>
      <c r="D185" s="19"/>
      <c r="E185" s="29"/>
      <c r="F185" s="10"/>
    </row>
    <row r="186" customFormat="false" ht="15" hidden="false" customHeight="false" outlineLevel="0" collapsed="false">
      <c r="A186" s="10"/>
      <c r="B186" s="10"/>
      <c r="C186" s="29"/>
      <c r="D186" s="19"/>
      <c r="E186" s="29"/>
      <c r="F186" s="10"/>
    </row>
    <row r="187" customFormat="false" ht="15" hidden="false" customHeight="false" outlineLevel="0" collapsed="false">
      <c r="A187" s="10"/>
      <c r="B187" s="10"/>
      <c r="C187" s="29"/>
      <c r="D187" s="19"/>
      <c r="E187" s="29"/>
      <c r="F187" s="10"/>
    </row>
    <row r="188" customFormat="false" ht="15" hidden="false" customHeight="false" outlineLevel="0" collapsed="false">
      <c r="A188" s="10"/>
      <c r="B188" s="10"/>
      <c r="C188" s="29"/>
      <c r="D188" s="19"/>
      <c r="E188" s="29"/>
      <c r="F188" s="10"/>
    </row>
    <row r="189" customFormat="false" ht="15" hidden="false" customHeight="false" outlineLevel="0" collapsed="false">
      <c r="A189" s="10"/>
      <c r="B189" s="10"/>
      <c r="C189" s="29"/>
      <c r="D189" s="19"/>
      <c r="E189" s="29"/>
      <c r="F189" s="10"/>
    </row>
    <row r="190" customFormat="false" ht="15" hidden="false" customHeight="false" outlineLevel="0" collapsed="false">
      <c r="A190" s="10"/>
      <c r="B190" s="10"/>
      <c r="C190" s="29"/>
      <c r="D190" s="19"/>
      <c r="E190" s="29"/>
      <c r="F190" s="10"/>
    </row>
    <row r="191" customFormat="false" ht="15" hidden="false" customHeight="false" outlineLevel="0" collapsed="false">
      <c r="A191" s="10"/>
      <c r="B191" s="10"/>
      <c r="C191" s="29"/>
      <c r="D191" s="19"/>
      <c r="E191" s="29"/>
      <c r="F191" s="10"/>
    </row>
    <row r="192" customFormat="false" ht="15" hidden="false" customHeight="false" outlineLevel="0" collapsed="false">
      <c r="A192" s="10"/>
      <c r="B192" s="10"/>
      <c r="C192" s="29"/>
      <c r="D192" s="19"/>
      <c r="E192" s="29"/>
      <c r="F192" s="10"/>
    </row>
    <row r="193" customFormat="false" ht="15" hidden="false" customHeight="false" outlineLevel="0" collapsed="false">
      <c r="A193" s="10"/>
      <c r="B193" s="10"/>
      <c r="C193" s="29"/>
      <c r="D193" s="19"/>
      <c r="E193" s="29"/>
      <c r="F193" s="10"/>
    </row>
    <row r="194" customFormat="false" ht="15" hidden="false" customHeight="false" outlineLevel="0" collapsed="false">
      <c r="A194" s="10"/>
      <c r="B194" s="10"/>
      <c r="C194" s="29"/>
      <c r="D194" s="19"/>
      <c r="E194" s="29"/>
      <c r="F194" s="10"/>
    </row>
    <row r="195" customFormat="false" ht="15" hidden="false" customHeight="false" outlineLevel="0" collapsed="false">
      <c r="A195" s="10"/>
      <c r="B195" s="10"/>
      <c r="C195" s="29"/>
      <c r="D195" s="19"/>
      <c r="E195" s="29"/>
      <c r="F195" s="10"/>
    </row>
    <row r="196" customFormat="false" ht="15" hidden="false" customHeight="false" outlineLevel="0" collapsed="false">
      <c r="A196" s="10"/>
      <c r="B196" s="10"/>
      <c r="C196" s="29"/>
      <c r="D196" s="19"/>
      <c r="E196" s="29"/>
      <c r="F196" s="10"/>
    </row>
    <row r="197" customFormat="false" ht="15" hidden="false" customHeight="false" outlineLevel="0" collapsed="false">
      <c r="A197" s="10"/>
      <c r="B197" s="10"/>
      <c r="C197" s="29"/>
      <c r="D197" s="19"/>
      <c r="E197" s="29"/>
      <c r="F197" s="10"/>
    </row>
    <row r="198" customFormat="false" ht="15" hidden="false" customHeight="false" outlineLevel="0" collapsed="false">
      <c r="A198" s="10"/>
      <c r="B198" s="10"/>
      <c r="C198" s="29"/>
      <c r="D198" s="19"/>
      <c r="E198" s="29"/>
      <c r="F198" s="10"/>
    </row>
    <row r="199" customFormat="false" ht="15" hidden="false" customHeight="false" outlineLevel="0" collapsed="false">
      <c r="A199" s="10"/>
      <c r="B199" s="10"/>
      <c r="C199" s="29"/>
      <c r="D199" s="19"/>
      <c r="E199" s="29"/>
      <c r="F199" s="10"/>
    </row>
    <row r="200" customFormat="false" ht="15" hidden="false" customHeight="false" outlineLevel="0" collapsed="false">
      <c r="A200" s="10"/>
      <c r="B200" s="10"/>
      <c r="C200" s="29"/>
      <c r="D200" s="19"/>
      <c r="E200" s="29"/>
      <c r="F200" s="10"/>
    </row>
    <row r="201" customFormat="false" ht="15" hidden="false" customHeight="false" outlineLevel="0" collapsed="false">
      <c r="A201" s="10"/>
      <c r="B201" s="10"/>
      <c r="C201" s="29"/>
      <c r="D201" s="19"/>
      <c r="E201" s="29"/>
      <c r="F201" s="10"/>
    </row>
    <row r="202" customFormat="false" ht="15" hidden="false" customHeight="false" outlineLevel="0" collapsed="false">
      <c r="A202" s="10"/>
      <c r="B202" s="10"/>
      <c r="C202" s="29"/>
      <c r="D202" s="19"/>
      <c r="E202" s="29"/>
      <c r="F202" s="10"/>
    </row>
    <row r="203" customFormat="false" ht="15" hidden="false" customHeight="false" outlineLevel="0" collapsed="false">
      <c r="A203" s="10"/>
      <c r="B203" s="10"/>
      <c r="C203" s="29"/>
      <c r="D203" s="19"/>
      <c r="E203" s="29"/>
      <c r="F203" s="10"/>
    </row>
    <row r="204" customFormat="false" ht="15" hidden="false" customHeight="false" outlineLevel="0" collapsed="false">
      <c r="A204" s="10"/>
      <c r="B204" s="10"/>
      <c r="C204" s="29"/>
      <c r="D204" s="19"/>
      <c r="E204" s="29"/>
      <c r="F204" s="10"/>
    </row>
    <row r="205" customFormat="false" ht="15" hidden="false" customHeight="false" outlineLevel="0" collapsed="false">
      <c r="A205" s="10"/>
      <c r="B205" s="10"/>
      <c r="C205" s="29"/>
      <c r="D205" s="19"/>
      <c r="E205" s="29"/>
      <c r="F205" s="10"/>
    </row>
    <row r="206" customFormat="false" ht="15" hidden="false" customHeight="false" outlineLevel="0" collapsed="false">
      <c r="A206" s="10"/>
      <c r="B206" s="10"/>
      <c r="C206" s="29"/>
      <c r="D206" s="19"/>
      <c r="E206" s="29"/>
      <c r="F206" s="10"/>
    </row>
    <row r="207" customFormat="false" ht="15" hidden="false" customHeight="false" outlineLevel="0" collapsed="false">
      <c r="A207" s="10"/>
      <c r="B207" s="10"/>
      <c r="C207" s="29"/>
      <c r="D207" s="19"/>
      <c r="E207" s="29"/>
      <c r="F207" s="10"/>
    </row>
    <row r="208" customFormat="false" ht="15" hidden="false" customHeight="false" outlineLevel="0" collapsed="false">
      <c r="A208" s="10"/>
      <c r="B208" s="10"/>
      <c r="C208" s="29"/>
      <c r="D208" s="19"/>
      <c r="E208" s="29"/>
      <c r="F208" s="10"/>
    </row>
    <row r="209" customFormat="false" ht="15" hidden="false" customHeight="false" outlineLevel="0" collapsed="false">
      <c r="A209" s="10"/>
      <c r="B209" s="10"/>
      <c r="C209" s="29"/>
      <c r="D209" s="19"/>
      <c r="E209" s="29"/>
      <c r="F209" s="10"/>
    </row>
    <row r="210" customFormat="false" ht="15" hidden="false" customHeight="false" outlineLevel="0" collapsed="false">
      <c r="A210" s="10"/>
      <c r="B210" s="10"/>
      <c r="C210" s="29"/>
      <c r="D210" s="19"/>
      <c r="E210" s="29"/>
      <c r="F210" s="10"/>
    </row>
    <row r="211" customFormat="false" ht="15" hidden="false" customHeight="false" outlineLevel="0" collapsed="false">
      <c r="A211" s="10"/>
      <c r="B211" s="10"/>
      <c r="C211" s="29"/>
      <c r="D211" s="19"/>
      <c r="E211" s="29"/>
      <c r="F211" s="10"/>
    </row>
    <row r="212" customFormat="false" ht="15" hidden="false" customHeight="false" outlineLevel="0" collapsed="false">
      <c r="A212" s="10"/>
      <c r="B212" s="10"/>
      <c r="C212" s="29"/>
      <c r="D212" s="19"/>
      <c r="E212" s="29"/>
      <c r="F212" s="10"/>
    </row>
    <row r="213" customFormat="false" ht="15" hidden="false" customHeight="false" outlineLevel="0" collapsed="false">
      <c r="A213" s="10"/>
      <c r="B213" s="10"/>
      <c r="C213" s="29"/>
      <c r="D213" s="19"/>
      <c r="E213" s="29"/>
      <c r="F213" s="10"/>
    </row>
    <row r="214" customFormat="false" ht="15" hidden="false" customHeight="false" outlineLevel="0" collapsed="false">
      <c r="A214" s="10"/>
      <c r="B214" s="10"/>
      <c r="C214" s="29"/>
      <c r="D214" s="19"/>
      <c r="E214" s="29"/>
      <c r="F214" s="10"/>
    </row>
    <row r="215" customFormat="false" ht="15" hidden="false" customHeight="false" outlineLevel="0" collapsed="false">
      <c r="A215" s="10"/>
      <c r="B215" s="10"/>
      <c r="C215" s="29"/>
      <c r="D215" s="19"/>
      <c r="E215" s="29"/>
      <c r="F215" s="10"/>
    </row>
    <row r="216" customFormat="false" ht="15" hidden="false" customHeight="false" outlineLevel="0" collapsed="false">
      <c r="A216" s="10"/>
      <c r="B216" s="10"/>
      <c r="C216" s="29"/>
      <c r="D216" s="19"/>
      <c r="E216" s="29"/>
      <c r="F216" s="10"/>
    </row>
    <row r="217" customFormat="false" ht="15" hidden="false" customHeight="false" outlineLevel="0" collapsed="false">
      <c r="A217" s="10"/>
      <c r="B217" s="10"/>
      <c r="C217" s="29"/>
      <c r="D217" s="19"/>
      <c r="E217" s="29"/>
      <c r="F217" s="10"/>
    </row>
    <row r="218" customFormat="false" ht="15" hidden="false" customHeight="false" outlineLevel="0" collapsed="false">
      <c r="A218" s="10"/>
      <c r="B218" s="10"/>
      <c r="C218" s="29"/>
      <c r="D218" s="19"/>
      <c r="E218" s="29"/>
      <c r="F218" s="10"/>
    </row>
    <row r="219" customFormat="false" ht="15" hidden="false" customHeight="false" outlineLevel="0" collapsed="false">
      <c r="A219" s="10"/>
      <c r="B219" s="10"/>
      <c r="C219" s="29"/>
      <c r="D219" s="19"/>
      <c r="E219" s="29"/>
      <c r="F219" s="10"/>
    </row>
    <row r="220" customFormat="false" ht="15" hidden="false" customHeight="false" outlineLevel="0" collapsed="false">
      <c r="A220" s="10"/>
      <c r="B220" s="10"/>
      <c r="C220" s="29"/>
      <c r="D220" s="19"/>
      <c r="E220" s="29"/>
      <c r="F220" s="10"/>
    </row>
    <row r="221" customFormat="false" ht="15" hidden="false" customHeight="false" outlineLevel="0" collapsed="false">
      <c r="A221" s="10"/>
      <c r="B221" s="10"/>
      <c r="C221" s="29"/>
      <c r="D221" s="19"/>
      <c r="E221" s="29"/>
      <c r="F221" s="10"/>
    </row>
    <row r="222" customFormat="false" ht="15" hidden="false" customHeight="false" outlineLevel="0" collapsed="false">
      <c r="A222" s="10"/>
      <c r="B222" s="10"/>
      <c r="C222" s="29"/>
      <c r="D222" s="19"/>
      <c r="E222" s="29"/>
      <c r="F222" s="10"/>
    </row>
    <row r="223" customFormat="false" ht="15" hidden="false" customHeight="false" outlineLevel="0" collapsed="false">
      <c r="A223" s="10"/>
      <c r="B223" s="10"/>
      <c r="C223" s="29"/>
      <c r="D223" s="19"/>
      <c r="E223" s="29"/>
      <c r="F223" s="10"/>
    </row>
    <row r="224" customFormat="false" ht="15" hidden="false" customHeight="false" outlineLevel="0" collapsed="false">
      <c r="A224" s="10"/>
      <c r="B224" s="10"/>
      <c r="C224" s="29"/>
      <c r="D224" s="19"/>
      <c r="E224" s="29"/>
      <c r="F224" s="10"/>
    </row>
    <row r="225" customFormat="false" ht="15" hidden="false" customHeight="false" outlineLevel="0" collapsed="false">
      <c r="A225" s="10"/>
      <c r="B225" s="10"/>
      <c r="C225" s="29"/>
      <c r="D225" s="19"/>
      <c r="E225" s="29"/>
      <c r="F225" s="10"/>
    </row>
    <row r="226" customFormat="false" ht="15" hidden="false" customHeight="false" outlineLevel="0" collapsed="false">
      <c r="A226" s="10"/>
      <c r="B226" s="10"/>
      <c r="C226" s="29"/>
      <c r="D226" s="19"/>
      <c r="E226" s="29"/>
      <c r="F226" s="10"/>
    </row>
    <row r="227" customFormat="false" ht="15" hidden="false" customHeight="false" outlineLevel="0" collapsed="false">
      <c r="A227" s="10"/>
      <c r="B227" s="10"/>
      <c r="C227" s="29"/>
      <c r="D227" s="19"/>
      <c r="E227" s="29"/>
      <c r="F227" s="10"/>
    </row>
    <row r="228" customFormat="false" ht="15" hidden="false" customHeight="false" outlineLevel="0" collapsed="false">
      <c r="A228" s="10"/>
      <c r="B228" s="10"/>
      <c r="C228" s="29"/>
      <c r="D228" s="19"/>
      <c r="E228" s="29"/>
      <c r="F228" s="10"/>
    </row>
    <row r="229" customFormat="false" ht="15" hidden="false" customHeight="false" outlineLevel="0" collapsed="false">
      <c r="A229" s="10"/>
      <c r="B229" s="10"/>
      <c r="C229" s="29"/>
      <c r="D229" s="19"/>
      <c r="E229" s="29"/>
      <c r="F229" s="10"/>
    </row>
    <row r="230" customFormat="false" ht="15" hidden="false" customHeight="false" outlineLevel="0" collapsed="false">
      <c r="A230" s="10"/>
      <c r="B230" s="10"/>
      <c r="C230" s="29"/>
      <c r="D230" s="19"/>
      <c r="E230" s="29"/>
      <c r="F230" s="10"/>
    </row>
    <row r="231" customFormat="false" ht="15" hidden="false" customHeight="false" outlineLevel="0" collapsed="false">
      <c r="A231" s="10"/>
      <c r="B231" s="10"/>
      <c r="C231" s="29"/>
      <c r="D231" s="19"/>
      <c r="E231" s="29"/>
      <c r="F231" s="10"/>
    </row>
    <row r="232" customFormat="false" ht="15" hidden="false" customHeight="false" outlineLevel="0" collapsed="false">
      <c r="A232" s="10"/>
      <c r="B232" s="10"/>
      <c r="C232" s="29"/>
      <c r="D232" s="19"/>
      <c r="E232" s="29"/>
      <c r="F232" s="10"/>
    </row>
    <row r="233" customFormat="false" ht="15" hidden="false" customHeight="false" outlineLevel="0" collapsed="false">
      <c r="A233" s="10"/>
      <c r="B233" s="10"/>
      <c r="C233" s="29"/>
      <c r="D233" s="19"/>
      <c r="E233" s="29"/>
      <c r="F233" s="10"/>
    </row>
    <row r="234" customFormat="false" ht="15" hidden="false" customHeight="false" outlineLevel="0" collapsed="false">
      <c r="A234" s="10"/>
      <c r="B234" s="10"/>
      <c r="C234" s="29"/>
      <c r="D234" s="19"/>
      <c r="E234" s="29"/>
      <c r="F234" s="10"/>
    </row>
    <row r="235" customFormat="false" ht="15" hidden="false" customHeight="false" outlineLevel="0" collapsed="false">
      <c r="A235" s="10"/>
      <c r="B235" s="10"/>
      <c r="C235" s="29"/>
      <c r="D235" s="19"/>
      <c r="E235" s="29"/>
      <c r="F235" s="10"/>
    </row>
    <row r="236" customFormat="false" ht="15" hidden="false" customHeight="false" outlineLevel="0" collapsed="false">
      <c r="A236" s="10"/>
      <c r="B236" s="10"/>
      <c r="C236" s="29"/>
      <c r="D236" s="19"/>
      <c r="E236" s="29"/>
      <c r="F236" s="10"/>
    </row>
    <row r="237" customFormat="false" ht="15" hidden="false" customHeight="false" outlineLevel="0" collapsed="false">
      <c r="A237" s="10"/>
      <c r="B237" s="10"/>
      <c r="C237" s="29"/>
      <c r="D237" s="19"/>
      <c r="E237" s="29"/>
      <c r="F237" s="10"/>
    </row>
    <row r="238" customFormat="false" ht="15" hidden="false" customHeight="false" outlineLevel="0" collapsed="false">
      <c r="A238" s="10"/>
      <c r="B238" s="10"/>
      <c r="C238" s="29"/>
      <c r="D238" s="19"/>
      <c r="E238" s="29"/>
      <c r="F238" s="10"/>
    </row>
    <row r="239" customFormat="false" ht="15" hidden="false" customHeight="false" outlineLevel="0" collapsed="false">
      <c r="A239" s="10"/>
      <c r="B239" s="10"/>
      <c r="C239" s="29"/>
      <c r="D239" s="19"/>
      <c r="E239" s="29"/>
      <c r="F239" s="10"/>
    </row>
    <row r="240" customFormat="false" ht="15" hidden="false" customHeight="false" outlineLevel="0" collapsed="false">
      <c r="A240" s="10"/>
      <c r="B240" s="10"/>
      <c r="C240" s="29"/>
      <c r="D240" s="19"/>
      <c r="E240" s="29"/>
      <c r="F240" s="10"/>
    </row>
    <row r="241" customFormat="false" ht="15" hidden="false" customHeight="false" outlineLevel="0" collapsed="false">
      <c r="A241" s="10"/>
      <c r="B241" s="10"/>
      <c r="C241" s="29"/>
      <c r="D241" s="19"/>
      <c r="E241" s="29"/>
      <c r="F241" s="10"/>
    </row>
    <row r="242" customFormat="false" ht="15" hidden="false" customHeight="false" outlineLevel="0" collapsed="false">
      <c r="A242" s="10"/>
      <c r="B242" s="10"/>
      <c r="C242" s="29"/>
      <c r="D242" s="19"/>
      <c r="E242" s="29"/>
      <c r="F242" s="10"/>
    </row>
    <row r="243" customFormat="false" ht="15" hidden="false" customHeight="false" outlineLevel="0" collapsed="false">
      <c r="A243" s="10"/>
      <c r="B243" s="10"/>
      <c r="C243" s="29"/>
      <c r="D243" s="19"/>
      <c r="E243" s="29"/>
      <c r="F243" s="10"/>
    </row>
    <row r="244" customFormat="false" ht="15" hidden="false" customHeight="false" outlineLevel="0" collapsed="false">
      <c r="A244" s="10"/>
      <c r="B244" s="10"/>
      <c r="C244" s="29"/>
      <c r="D244" s="19"/>
      <c r="E244" s="29"/>
      <c r="F244" s="10"/>
    </row>
    <row r="245" customFormat="false" ht="15" hidden="false" customHeight="false" outlineLevel="0" collapsed="false">
      <c r="A245" s="10"/>
      <c r="B245" s="10"/>
      <c r="C245" s="29"/>
      <c r="D245" s="19"/>
      <c r="E245" s="29"/>
      <c r="F245" s="10"/>
    </row>
    <row r="246" customFormat="false" ht="15" hidden="false" customHeight="false" outlineLevel="0" collapsed="false">
      <c r="A246" s="10"/>
      <c r="B246" s="10"/>
      <c r="C246" s="29"/>
      <c r="D246" s="19"/>
      <c r="E246" s="29"/>
      <c r="F246" s="10"/>
    </row>
    <row r="247" customFormat="false" ht="15" hidden="false" customHeight="false" outlineLevel="0" collapsed="false">
      <c r="A247" s="10"/>
      <c r="B247" s="10"/>
      <c r="C247" s="29"/>
      <c r="D247" s="19"/>
      <c r="E247" s="29"/>
      <c r="F247" s="10"/>
    </row>
    <row r="248" customFormat="false" ht="15" hidden="false" customHeight="false" outlineLevel="0" collapsed="false">
      <c r="A248" s="10"/>
      <c r="B248" s="10"/>
      <c r="C248" s="29"/>
      <c r="D248" s="19"/>
      <c r="E248" s="29"/>
      <c r="F248" s="10"/>
    </row>
    <row r="249" customFormat="false" ht="15" hidden="false" customHeight="false" outlineLevel="0" collapsed="false">
      <c r="A249" s="10"/>
      <c r="B249" s="10"/>
      <c r="C249" s="29"/>
      <c r="D249" s="19"/>
      <c r="E249" s="29"/>
      <c r="F249" s="10"/>
    </row>
    <row r="250" customFormat="false" ht="15" hidden="false" customHeight="false" outlineLevel="0" collapsed="false">
      <c r="A250" s="10"/>
      <c r="B250" s="10"/>
      <c r="C250" s="29"/>
      <c r="D250" s="19"/>
      <c r="E250" s="29"/>
      <c r="F250" s="10"/>
    </row>
    <row r="251" customFormat="false" ht="15" hidden="false" customHeight="false" outlineLevel="0" collapsed="false">
      <c r="A251" s="10"/>
      <c r="B251" s="10"/>
      <c r="C251" s="29"/>
      <c r="D251" s="19"/>
      <c r="E251" s="29"/>
      <c r="F251" s="10"/>
    </row>
    <row r="252" customFormat="false" ht="15" hidden="false" customHeight="false" outlineLevel="0" collapsed="false">
      <c r="A252" s="10"/>
      <c r="B252" s="10"/>
      <c r="C252" s="29"/>
      <c r="D252" s="19"/>
      <c r="E252" s="29"/>
      <c r="F252" s="10"/>
    </row>
    <row r="253" customFormat="false" ht="15" hidden="false" customHeight="false" outlineLevel="0" collapsed="false">
      <c r="A253" s="10"/>
      <c r="B253" s="10"/>
      <c r="C253" s="29"/>
      <c r="D253" s="19"/>
      <c r="E253" s="29"/>
      <c r="F253" s="10"/>
    </row>
    <row r="254" customFormat="false" ht="15" hidden="false" customHeight="false" outlineLevel="0" collapsed="false">
      <c r="A254" s="10"/>
      <c r="B254" s="10"/>
      <c r="C254" s="29"/>
      <c r="D254" s="19"/>
      <c r="E254" s="29"/>
      <c r="F254" s="10"/>
    </row>
    <row r="255" customFormat="false" ht="15" hidden="false" customHeight="false" outlineLevel="0" collapsed="false">
      <c r="A255" s="10"/>
      <c r="B255" s="10"/>
      <c r="C255" s="29"/>
      <c r="D255" s="19"/>
      <c r="E255" s="29"/>
      <c r="F255" s="10"/>
    </row>
    <row r="256" customFormat="false" ht="15" hidden="false" customHeight="false" outlineLevel="0" collapsed="false">
      <c r="A256" s="10"/>
      <c r="B256" s="10"/>
      <c r="C256" s="29"/>
      <c r="D256" s="19"/>
      <c r="E256" s="29"/>
      <c r="F256" s="10"/>
    </row>
    <row r="257" customFormat="false" ht="15" hidden="false" customHeight="false" outlineLevel="0" collapsed="false">
      <c r="A257" s="10"/>
      <c r="B257" s="10"/>
      <c r="C257" s="29"/>
      <c r="D257" s="19"/>
      <c r="E257" s="29"/>
      <c r="F257" s="10"/>
    </row>
    <row r="258" customFormat="false" ht="15" hidden="false" customHeight="false" outlineLevel="0" collapsed="false">
      <c r="A258" s="10"/>
      <c r="B258" s="10"/>
      <c r="C258" s="29"/>
      <c r="D258" s="19"/>
      <c r="E258" s="29"/>
      <c r="F258" s="10"/>
    </row>
    <row r="259" customFormat="false" ht="15" hidden="false" customHeight="false" outlineLevel="0" collapsed="false">
      <c r="A259" s="10"/>
      <c r="B259" s="10"/>
      <c r="C259" s="29"/>
      <c r="D259" s="19"/>
      <c r="E259" s="29"/>
      <c r="F259" s="10"/>
    </row>
    <row r="260" customFormat="false" ht="15" hidden="false" customHeight="false" outlineLevel="0" collapsed="false">
      <c r="A260" s="10"/>
      <c r="B260" s="10"/>
      <c r="C260" s="29"/>
      <c r="D260" s="19"/>
      <c r="E260" s="29"/>
      <c r="F260" s="10"/>
    </row>
    <row r="261" customFormat="false" ht="15" hidden="false" customHeight="false" outlineLevel="0" collapsed="false">
      <c r="A261" s="10"/>
      <c r="B261" s="10"/>
      <c r="C261" s="29"/>
      <c r="D261" s="19"/>
      <c r="E261" s="29"/>
      <c r="F261" s="10"/>
    </row>
    <row r="262" customFormat="false" ht="15" hidden="false" customHeight="false" outlineLevel="0" collapsed="false">
      <c r="A262" s="10"/>
      <c r="B262" s="10"/>
      <c r="C262" s="29"/>
      <c r="D262" s="19"/>
      <c r="E262" s="29"/>
      <c r="F262" s="10"/>
    </row>
    <row r="263" customFormat="false" ht="15" hidden="false" customHeight="false" outlineLevel="0" collapsed="false">
      <c r="A263" s="10"/>
      <c r="B263" s="10"/>
      <c r="C263" s="29"/>
      <c r="D263" s="19"/>
      <c r="E263" s="29"/>
      <c r="F263" s="10"/>
    </row>
    <row r="264" customFormat="false" ht="15" hidden="false" customHeight="false" outlineLevel="0" collapsed="false">
      <c r="A264" s="10"/>
      <c r="B264" s="10"/>
      <c r="C264" s="29"/>
      <c r="D264" s="19"/>
      <c r="E264" s="29"/>
      <c r="F264" s="10"/>
    </row>
    <row r="265" customFormat="false" ht="15" hidden="false" customHeight="false" outlineLevel="0" collapsed="false">
      <c r="A265" s="10"/>
      <c r="B265" s="10"/>
      <c r="C265" s="29"/>
      <c r="D265" s="19"/>
      <c r="E265" s="29"/>
      <c r="F265" s="10"/>
    </row>
    <row r="266" customFormat="false" ht="15" hidden="false" customHeight="false" outlineLevel="0" collapsed="false">
      <c r="A266" s="10"/>
      <c r="B266" s="10"/>
      <c r="C266" s="29"/>
      <c r="D266" s="19"/>
      <c r="E266" s="29"/>
      <c r="F266" s="10"/>
    </row>
    <row r="267" customFormat="false" ht="15" hidden="false" customHeight="false" outlineLevel="0" collapsed="false">
      <c r="A267" s="10"/>
      <c r="B267" s="10"/>
      <c r="C267" s="29"/>
      <c r="D267" s="19"/>
      <c r="E267" s="29"/>
      <c r="F267" s="10"/>
    </row>
    <row r="268" customFormat="false" ht="15" hidden="false" customHeight="false" outlineLevel="0" collapsed="false">
      <c r="A268" s="10"/>
      <c r="B268" s="10"/>
      <c r="C268" s="29"/>
      <c r="D268" s="19"/>
      <c r="E268" s="29"/>
      <c r="F268" s="10"/>
    </row>
    <row r="269" customFormat="false" ht="15" hidden="false" customHeight="false" outlineLevel="0" collapsed="false">
      <c r="A269" s="10"/>
      <c r="B269" s="10"/>
      <c r="C269" s="29"/>
      <c r="D269" s="19"/>
      <c r="E269" s="29"/>
      <c r="F269" s="10"/>
    </row>
    <row r="270" customFormat="false" ht="15" hidden="false" customHeight="false" outlineLevel="0" collapsed="false">
      <c r="A270" s="10"/>
      <c r="B270" s="10"/>
      <c r="C270" s="29"/>
      <c r="D270" s="19"/>
      <c r="E270" s="29"/>
      <c r="F270" s="10"/>
    </row>
    <row r="271" customFormat="false" ht="15" hidden="false" customHeight="false" outlineLevel="0" collapsed="false">
      <c r="A271" s="10"/>
      <c r="B271" s="10"/>
      <c r="C271" s="29"/>
      <c r="D271" s="19"/>
      <c r="E271" s="29"/>
      <c r="F271" s="10"/>
    </row>
    <row r="272" customFormat="false" ht="15" hidden="false" customHeight="false" outlineLevel="0" collapsed="false">
      <c r="A272" s="10"/>
      <c r="B272" s="10"/>
      <c r="C272" s="29"/>
      <c r="D272" s="19"/>
      <c r="E272" s="29"/>
      <c r="F272" s="10"/>
    </row>
    <row r="273" customFormat="false" ht="15" hidden="false" customHeight="false" outlineLevel="0" collapsed="false">
      <c r="A273" s="10"/>
      <c r="B273" s="10"/>
      <c r="C273" s="29"/>
      <c r="D273" s="19"/>
      <c r="E273" s="29"/>
      <c r="F273" s="10"/>
    </row>
    <row r="274" customFormat="false" ht="15" hidden="false" customHeight="false" outlineLevel="0" collapsed="false">
      <c r="A274" s="10"/>
      <c r="B274" s="10"/>
      <c r="C274" s="29"/>
      <c r="D274" s="19"/>
      <c r="E274" s="29"/>
      <c r="F274" s="10"/>
    </row>
    <row r="275" customFormat="false" ht="15" hidden="false" customHeight="false" outlineLevel="0" collapsed="false">
      <c r="A275" s="10"/>
      <c r="B275" s="10"/>
      <c r="C275" s="29"/>
      <c r="D275" s="19"/>
      <c r="E275" s="29"/>
      <c r="F275" s="10"/>
    </row>
    <row r="276" customFormat="false" ht="15" hidden="false" customHeight="false" outlineLevel="0" collapsed="false">
      <c r="A276" s="10"/>
      <c r="B276" s="10"/>
      <c r="C276" s="29"/>
      <c r="D276" s="19"/>
      <c r="E276" s="29"/>
      <c r="F276" s="10"/>
    </row>
    <row r="277" customFormat="false" ht="15" hidden="false" customHeight="false" outlineLevel="0" collapsed="false">
      <c r="A277" s="10"/>
      <c r="B277" s="10"/>
      <c r="C277" s="29"/>
      <c r="D277" s="19"/>
      <c r="E277" s="29"/>
      <c r="F277" s="10"/>
    </row>
    <row r="278" customFormat="false" ht="15" hidden="false" customHeight="false" outlineLevel="0" collapsed="false">
      <c r="A278" s="10"/>
      <c r="B278" s="10"/>
      <c r="C278" s="29"/>
      <c r="D278" s="19"/>
      <c r="E278" s="29"/>
      <c r="F278" s="10"/>
    </row>
    <row r="279" customFormat="false" ht="15" hidden="false" customHeight="false" outlineLevel="0" collapsed="false">
      <c r="A279" s="10"/>
      <c r="B279" s="10"/>
      <c r="C279" s="29"/>
      <c r="D279" s="19"/>
      <c r="E279" s="29"/>
      <c r="F279" s="10"/>
    </row>
    <row r="280" customFormat="false" ht="15" hidden="false" customHeight="false" outlineLevel="0" collapsed="false">
      <c r="A280" s="10"/>
      <c r="B280" s="10"/>
      <c r="C280" s="29"/>
      <c r="D280" s="19"/>
      <c r="E280" s="29"/>
      <c r="F280" s="10"/>
    </row>
    <row r="281" customFormat="false" ht="15" hidden="false" customHeight="false" outlineLevel="0" collapsed="false">
      <c r="A281" s="10"/>
      <c r="B281" s="10"/>
      <c r="C281" s="29"/>
      <c r="D281" s="19"/>
      <c r="E281" s="29"/>
      <c r="F281" s="10"/>
    </row>
    <row r="282" customFormat="false" ht="15" hidden="false" customHeight="false" outlineLevel="0" collapsed="false">
      <c r="A282" s="10"/>
      <c r="B282" s="10"/>
      <c r="C282" s="29"/>
      <c r="D282" s="19"/>
      <c r="E282" s="29"/>
      <c r="F282" s="10"/>
    </row>
    <row r="283" customFormat="false" ht="15" hidden="false" customHeight="false" outlineLevel="0" collapsed="false">
      <c r="A283" s="10"/>
      <c r="B283" s="10"/>
      <c r="C283" s="29"/>
      <c r="D283" s="19"/>
      <c r="E283" s="29"/>
      <c r="F283" s="10"/>
    </row>
    <row r="284" customFormat="false" ht="15" hidden="false" customHeight="false" outlineLevel="0" collapsed="false">
      <c r="A284" s="10"/>
      <c r="B284" s="10"/>
      <c r="C284" s="29"/>
      <c r="D284" s="19"/>
      <c r="E284" s="29"/>
      <c r="F284" s="10"/>
    </row>
    <row r="285" customFormat="false" ht="15" hidden="false" customHeight="false" outlineLevel="0" collapsed="false">
      <c r="A285" s="10"/>
      <c r="B285" s="10"/>
      <c r="C285" s="29"/>
      <c r="D285" s="19"/>
      <c r="E285" s="29"/>
      <c r="F285" s="10"/>
    </row>
    <row r="286" customFormat="false" ht="15" hidden="false" customHeight="false" outlineLevel="0" collapsed="false">
      <c r="A286" s="10"/>
      <c r="B286" s="10"/>
      <c r="C286" s="29"/>
      <c r="D286" s="19"/>
      <c r="E286" s="29"/>
      <c r="F286" s="10"/>
    </row>
    <row r="287" customFormat="false" ht="15" hidden="false" customHeight="false" outlineLevel="0" collapsed="false">
      <c r="A287" s="10"/>
      <c r="B287" s="10"/>
      <c r="C287" s="29"/>
      <c r="D287" s="19"/>
      <c r="E287" s="29"/>
      <c r="F287" s="10"/>
    </row>
    <row r="288" customFormat="false" ht="15" hidden="false" customHeight="false" outlineLevel="0" collapsed="false">
      <c r="A288" s="10"/>
      <c r="B288" s="10"/>
      <c r="C288" s="29"/>
      <c r="D288" s="19"/>
      <c r="E288" s="29"/>
      <c r="F288" s="10"/>
    </row>
    <row r="289" customFormat="false" ht="15" hidden="false" customHeight="false" outlineLevel="0" collapsed="false">
      <c r="A289" s="10"/>
      <c r="B289" s="10"/>
      <c r="C289" s="29"/>
      <c r="D289" s="19"/>
      <c r="E289" s="29"/>
      <c r="F289" s="10"/>
    </row>
    <row r="290" customFormat="false" ht="15" hidden="false" customHeight="false" outlineLevel="0" collapsed="false">
      <c r="A290" s="10"/>
      <c r="B290" s="10"/>
      <c r="C290" s="29"/>
      <c r="D290" s="19"/>
      <c r="E290" s="29"/>
      <c r="F290" s="10"/>
    </row>
    <row r="291" customFormat="false" ht="15" hidden="false" customHeight="false" outlineLevel="0" collapsed="false">
      <c r="A291" s="10"/>
      <c r="B291" s="10"/>
      <c r="C291" s="29"/>
      <c r="D291" s="19"/>
      <c r="E291" s="29"/>
      <c r="F291" s="10"/>
    </row>
    <row r="292" customFormat="false" ht="15" hidden="false" customHeight="false" outlineLevel="0" collapsed="false">
      <c r="A292" s="10"/>
      <c r="B292" s="10"/>
      <c r="C292" s="29"/>
      <c r="D292" s="19"/>
      <c r="E292" s="29"/>
      <c r="F292" s="10"/>
    </row>
    <row r="293" customFormat="false" ht="15" hidden="false" customHeight="false" outlineLevel="0" collapsed="false">
      <c r="A293" s="10"/>
      <c r="B293" s="10"/>
      <c r="C293" s="29"/>
      <c r="D293" s="19"/>
      <c r="E293" s="29"/>
      <c r="F293" s="10"/>
    </row>
    <row r="294" customFormat="false" ht="15" hidden="false" customHeight="false" outlineLevel="0" collapsed="false">
      <c r="A294" s="10"/>
      <c r="B294" s="10"/>
      <c r="C294" s="29"/>
      <c r="D294" s="19"/>
      <c r="E294" s="29"/>
      <c r="F294" s="10"/>
    </row>
    <row r="295" customFormat="false" ht="15" hidden="false" customHeight="false" outlineLevel="0" collapsed="false">
      <c r="A295" s="10"/>
      <c r="B295" s="10"/>
      <c r="C295" s="29"/>
      <c r="D295" s="19"/>
      <c r="E295" s="29"/>
      <c r="F295" s="10"/>
    </row>
    <row r="296" customFormat="false" ht="15" hidden="false" customHeight="false" outlineLevel="0" collapsed="false">
      <c r="A296" s="10"/>
      <c r="B296" s="10"/>
      <c r="C296" s="29"/>
      <c r="D296" s="19"/>
      <c r="E296" s="29"/>
      <c r="F296" s="10"/>
    </row>
    <row r="297" customFormat="false" ht="15" hidden="false" customHeight="false" outlineLevel="0" collapsed="false">
      <c r="A297" s="10"/>
      <c r="B297" s="10"/>
      <c r="C297" s="29"/>
      <c r="D297" s="19"/>
      <c r="E297" s="29"/>
      <c r="F297" s="10"/>
    </row>
    <row r="298" customFormat="false" ht="15" hidden="false" customHeight="false" outlineLevel="0" collapsed="false">
      <c r="A298" s="10"/>
      <c r="B298" s="10"/>
      <c r="C298" s="29"/>
      <c r="D298" s="19"/>
      <c r="E298" s="29"/>
      <c r="F298" s="10"/>
    </row>
    <row r="299" customFormat="false" ht="15" hidden="false" customHeight="false" outlineLevel="0" collapsed="false">
      <c r="A299" s="10"/>
      <c r="B299" s="10"/>
      <c r="C299" s="29"/>
      <c r="D299" s="19"/>
      <c r="E299" s="29"/>
      <c r="F299" s="10"/>
    </row>
    <row r="300" customFormat="false" ht="15" hidden="false" customHeight="false" outlineLevel="0" collapsed="false">
      <c r="A300" s="10"/>
      <c r="B300" s="10"/>
      <c r="C300" s="29"/>
      <c r="D300" s="19"/>
      <c r="E300" s="29"/>
      <c r="F300" s="10"/>
    </row>
    <row r="301" customFormat="false" ht="15" hidden="false" customHeight="false" outlineLevel="0" collapsed="false">
      <c r="A301" s="10"/>
      <c r="B301" s="10"/>
      <c r="C301" s="29"/>
      <c r="D301" s="19"/>
      <c r="E301" s="29"/>
      <c r="F301" s="10"/>
    </row>
    <row r="302" customFormat="false" ht="15" hidden="false" customHeight="false" outlineLevel="0" collapsed="false">
      <c r="A302" s="10"/>
      <c r="B302" s="10"/>
      <c r="C302" s="29"/>
      <c r="D302" s="19"/>
      <c r="E302" s="29"/>
      <c r="F302" s="10"/>
    </row>
    <row r="303" customFormat="false" ht="15" hidden="false" customHeight="false" outlineLevel="0" collapsed="false">
      <c r="A303" s="10"/>
      <c r="B303" s="10"/>
      <c r="C303" s="29"/>
      <c r="D303" s="19"/>
      <c r="E303" s="29"/>
      <c r="F303" s="10"/>
    </row>
    <row r="304" customFormat="false" ht="15" hidden="false" customHeight="false" outlineLevel="0" collapsed="false">
      <c r="A304" s="10"/>
      <c r="B304" s="10"/>
      <c r="C304" s="29"/>
      <c r="D304" s="19"/>
      <c r="E304" s="29"/>
      <c r="F304" s="10"/>
    </row>
  </sheetData>
  <dataValidations count="5">
    <dataValidation allowBlank="true" error="Bitte Maschinen-ID aus Blatt 'Maschinen' wählen." errorStyle="stop" errorTitle="Ungültige Auswahl" operator="between" showDropDown="false" showErrorMessage="true" showInputMessage="false" sqref="A5:A304" type="list">
      <formula1>lst_Maschine</formula1>
      <formula2>0</formula2>
    </dataValidation>
    <dataValidation allowBlank="true" error="Bitte Werkstoff-ID aus Blatt 'Werkstoffe' wählen." errorStyle="stop" errorTitle="Ungültige Auswahl" operator="between" showDropDown="false" showErrorMessage="true" showInputMessage="false" sqref="B5:B304" type="list">
      <formula1>lst_Werkstoff</formula1>
      <formula2>0</formula2>
    </dataValidation>
    <dataValidation allowBlank="true" error="Wandstärke in mm." errorStyle="stop" errorTitle="Ungültige Eingabe" operator="between" showDropDown="false" showErrorMessage="true" showInputMessage="false" sqref="C5:C304" type="decimal">
      <formula1>0.1</formula1>
      <formula2>50</formula2>
    </dataValidation>
    <dataValidation allowBlank="true" error="Vorschub in mm/min." errorStyle="stop" errorTitle="Ungültige Eingabe" operator="between" showDropDown="false" showErrorMessage="true" showInputMessage="false" sqref="D5:D304" type="decimal">
      <formula1>1</formula1>
      <formula2>100000</formula2>
    </dataValidation>
    <dataValidation allowBlank="true" error="Einstechzeit in s." errorStyle="stop" errorTitle="Ungültige Eingabe" operator="between" showDropDown="false" showErrorMessage="true" showInputMessage="false" sqref="E5:E304" type="decimal">
      <formula1>0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36"/>
  </cols>
  <sheetData>
    <row r="1" customFormat="false" ht="17.35" hidden="false" customHeight="false" outlineLevel="0" collapsed="false">
      <c r="A1" s="1" t="s">
        <v>211</v>
      </c>
    </row>
    <row r="2" customFormat="false" ht="15" hidden="false" customHeight="false" outlineLevel="0" collapsed="false">
      <c r="A2" s="2" t="s">
        <v>212</v>
      </c>
    </row>
    <row r="4" customFormat="false" ht="45" hidden="false" customHeight="true" outlineLevel="0" collapsed="false">
      <c r="A4" s="20" t="s">
        <v>22</v>
      </c>
      <c r="B4" s="20" t="s">
        <v>213</v>
      </c>
      <c r="C4" s="20" t="s">
        <v>214</v>
      </c>
      <c r="D4" s="20" t="s">
        <v>165</v>
      </c>
    </row>
    <row r="5" customFormat="false" ht="15" hidden="false" customHeight="false" outlineLevel="0" collapsed="false">
      <c r="A5" s="10" t="s">
        <v>215</v>
      </c>
      <c r="B5" s="29" t="n">
        <v>2.5</v>
      </c>
      <c r="C5" s="22"/>
      <c r="D5" s="10" t="s">
        <v>216</v>
      </c>
    </row>
    <row r="6" customFormat="false" ht="15" hidden="false" customHeight="false" outlineLevel="0" collapsed="false">
      <c r="A6" s="10" t="s">
        <v>217</v>
      </c>
      <c r="B6" s="29" t="n">
        <v>3.3</v>
      </c>
      <c r="C6" s="22"/>
      <c r="D6" s="10"/>
    </row>
    <row r="7" customFormat="false" ht="15" hidden="false" customHeight="false" outlineLevel="0" collapsed="false">
      <c r="A7" s="10" t="s">
        <v>218</v>
      </c>
      <c r="B7" s="29" t="n">
        <v>4.2</v>
      </c>
      <c r="C7" s="22"/>
      <c r="D7" s="10"/>
    </row>
    <row r="8" customFormat="false" ht="15" hidden="false" customHeight="false" outlineLevel="0" collapsed="false">
      <c r="A8" s="10" t="s">
        <v>219</v>
      </c>
      <c r="B8" s="29" t="n">
        <v>5</v>
      </c>
      <c r="C8" s="22"/>
      <c r="D8" s="10"/>
    </row>
    <row r="9" customFormat="false" ht="15" hidden="false" customHeight="false" outlineLevel="0" collapsed="false">
      <c r="A9" s="10" t="s">
        <v>220</v>
      </c>
      <c r="B9" s="29" t="n">
        <v>6.8</v>
      </c>
      <c r="C9" s="22"/>
      <c r="D9" s="10"/>
    </row>
    <row r="10" customFormat="false" ht="15" hidden="false" customHeight="false" outlineLevel="0" collapsed="false">
      <c r="A10" s="10" t="s">
        <v>221</v>
      </c>
      <c r="B10" s="29" t="n">
        <v>8.5</v>
      </c>
      <c r="C10" s="22"/>
      <c r="D10" s="10"/>
    </row>
    <row r="11" customFormat="false" ht="15" hidden="false" customHeight="false" outlineLevel="0" collapsed="false">
      <c r="A11" s="10" t="s">
        <v>222</v>
      </c>
      <c r="B11" s="29" t="n">
        <v>10.2</v>
      </c>
      <c r="C11" s="22"/>
      <c r="D11" s="10"/>
    </row>
    <row r="12" customFormat="false" ht="15" hidden="false" customHeight="false" outlineLevel="0" collapsed="false">
      <c r="A12" s="10" t="s">
        <v>223</v>
      </c>
      <c r="B12" s="29" t="n">
        <v>12</v>
      </c>
      <c r="C12" s="22"/>
      <c r="D12" s="10"/>
    </row>
    <row r="13" customFormat="false" ht="15" hidden="false" customHeight="false" outlineLevel="0" collapsed="false">
      <c r="A13" s="10" t="s">
        <v>224</v>
      </c>
      <c r="B13" s="29" t="n">
        <v>14</v>
      </c>
      <c r="C13" s="22"/>
      <c r="D13" s="10"/>
    </row>
    <row r="14" customFormat="false" ht="15" hidden="false" customHeight="false" outlineLevel="0" collapsed="false">
      <c r="A14" s="10" t="s">
        <v>225</v>
      </c>
      <c r="B14" s="29" t="n">
        <v>17.5</v>
      </c>
      <c r="C14" s="22"/>
      <c r="D14" s="10"/>
    </row>
    <row r="15" customFormat="false" ht="15" hidden="false" customHeight="false" outlineLevel="0" collapsed="false">
      <c r="A15" s="10"/>
      <c r="B15" s="29"/>
      <c r="C15" s="22"/>
      <c r="D15" s="10"/>
    </row>
    <row r="16" customFormat="false" ht="15" hidden="false" customHeight="false" outlineLevel="0" collapsed="false">
      <c r="A16" s="10"/>
      <c r="B16" s="29"/>
      <c r="C16" s="22"/>
      <c r="D16" s="10"/>
    </row>
    <row r="17" customFormat="false" ht="15" hidden="false" customHeight="false" outlineLevel="0" collapsed="false">
      <c r="A17" s="10"/>
      <c r="B17" s="29"/>
      <c r="C17" s="22"/>
      <c r="D17" s="10"/>
    </row>
    <row r="18" customFormat="false" ht="15" hidden="false" customHeight="false" outlineLevel="0" collapsed="false">
      <c r="A18" s="10"/>
      <c r="B18" s="29"/>
      <c r="C18" s="22"/>
      <c r="D18" s="10"/>
    </row>
    <row r="19" customFormat="false" ht="15" hidden="false" customHeight="false" outlineLevel="0" collapsed="false">
      <c r="A19" s="10"/>
      <c r="B19" s="29"/>
      <c r="C19" s="22"/>
      <c r="D19" s="10"/>
    </row>
    <row r="20" customFormat="false" ht="15" hidden="false" customHeight="false" outlineLevel="0" collapsed="false">
      <c r="A20" s="10"/>
      <c r="B20" s="29"/>
      <c r="C20" s="22"/>
      <c r="D20" s="10"/>
    </row>
    <row r="21" customFormat="false" ht="15" hidden="false" customHeight="false" outlineLevel="0" collapsed="false">
      <c r="A21" s="10"/>
      <c r="B21" s="29"/>
      <c r="C21" s="22"/>
      <c r="D21" s="10"/>
    </row>
    <row r="22" customFormat="false" ht="15" hidden="false" customHeight="false" outlineLevel="0" collapsed="false">
      <c r="A22" s="10"/>
      <c r="B22" s="29"/>
      <c r="C22" s="22"/>
      <c r="D22" s="10"/>
    </row>
    <row r="23" customFormat="false" ht="15" hidden="false" customHeight="false" outlineLevel="0" collapsed="false">
      <c r="A23" s="10"/>
      <c r="B23" s="29"/>
      <c r="C23" s="22"/>
      <c r="D23" s="10"/>
    </row>
    <row r="24" customFormat="false" ht="15" hidden="false" customHeight="false" outlineLevel="0" collapsed="false">
      <c r="A24" s="10"/>
      <c r="B24" s="29"/>
      <c r="C24" s="22"/>
      <c r="D24" s="10"/>
    </row>
    <row r="25" customFormat="false" ht="15" hidden="false" customHeight="false" outlineLevel="0" collapsed="false">
      <c r="A25" s="10"/>
      <c r="B25" s="29"/>
      <c r="C25" s="22"/>
      <c r="D25" s="10"/>
    </row>
    <row r="26" customFormat="false" ht="15" hidden="false" customHeight="false" outlineLevel="0" collapsed="false">
      <c r="A26" s="10"/>
      <c r="B26" s="29"/>
      <c r="C26" s="22"/>
      <c r="D26" s="10"/>
    </row>
    <row r="27" customFormat="false" ht="15" hidden="false" customHeight="false" outlineLevel="0" collapsed="false">
      <c r="A27" s="10"/>
      <c r="B27" s="29"/>
      <c r="C27" s="22"/>
      <c r="D27" s="10"/>
    </row>
    <row r="28" customFormat="false" ht="15" hidden="false" customHeight="false" outlineLevel="0" collapsed="false">
      <c r="A28" s="10"/>
      <c r="B28" s="29"/>
      <c r="C28" s="22"/>
      <c r="D28" s="10"/>
    </row>
    <row r="29" customFormat="false" ht="15" hidden="false" customHeight="false" outlineLevel="0" collapsed="false">
      <c r="A29" s="10"/>
      <c r="B29" s="29"/>
      <c r="C29" s="22"/>
      <c r="D29" s="10"/>
    </row>
    <row r="30" customFormat="false" ht="15" hidden="false" customHeight="false" outlineLevel="0" collapsed="false">
      <c r="A30" s="10"/>
      <c r="B30" s="29"/>
      <c r="C30" s="22"/>
      <c r="D30" s="10"/>
    </row>
    <row r="31" customFormat="false" ht="15" hidden="false" customHeight="false" outlineLevel="0" collapsed="false">
      <c r="A31" s="10"/>
      <c r="B31" s="29"/>
      <c r="C31" s="22"/>
      <c r="D31" s="10"/>
    </row>
    <row r="32" customFormat="false" ht="15" hidden="false" customHeight="false" outlineLevel="0" collapsed="false">
      <c r="A32" s="10"/>
      <c r="B32" s="29"/>
      <c r="C32" s="22"/>
      <c r="D32" s="10"/>
    </row>
    <row r="33" customFormat="false" ht="15" hidden="false" customHeight="false" outlineLevel="0" collapsed="false">
      <c r="A33" s="10"/>
      <c r="B33" s="29"/>
      <c r="C33" s="22"/>
      <c r="D33" s="10"/>
    </row>
    <row r="34" customFormat="false" ht="15" hidden="false" customHeight="false" outlineLevel="0" collapsed="false">
      <c r="A34" s="10"/>
      <c r="B34" s="29"/>
      <c r="C34" s="22"/>
      <c r="D34" s="10"/>
    </row>
    <row r="35" customFormat="false" ht="15" hidden="false" customHeight="false" outlineLevel="0" collapsed="false">
      <c r="A35" s="10"/>
      <c r="B35" s="29"/>
      <c r="C35" s="22"/>
      <c r="D35" s="10"/>
    </row>
    <row r="36" customFormat="false" ht="15" hidden="false" customHeight="false" outlineLevel="0" collapsed="false">
      <c r="A36" s="10"/>
      <c r="B36" s="29"/>
      <c r="C36" s="22"/>
      <c r="D36" s="10"/>
    </row>
    <row r="37" customFormat="false" ht="15" hidden="false" customHeight="false" outlineLevel="0" collapsed="false">
      <c r="A37" s="10"/>
      <c r="B37" s="29"/>
      <c r="C37" s="22"/>
      <c r="D37" s="10"/>
    </row>
    <row r="38" customFormat="false" ht="15" hidden="false" customHeight="false" outlineLevel="0" collapsed="false">
      <c r="A38" s="10"/>
      <c r="B38" s="29"/>
      <c r="C38" s="22"/>
      <c r="D38" s="10"/>
    </row>
    <row r="39" customFormat="false" ht="15" hidden="false" customHeight="false" outlineLevel="0" collapsed="false">
      <c r="A39" s="10"/>
      <c r="B39" s="29"/>
      <c r="C39" s="22"/>
      <c r="D39" s="10"/>
    </row>
    <row r="40" customFormat="false" ht="15" hidden="false" customHeight="false" outlineLevel="0" collapsed="false">
      <c r="A40" s="10"/>
      <c r="B40" s="29"/>
      <c r="C40" s="22"/>
      <c r="D40" s="10"/>
    </row>
    <row r="41" customFormat="false" ht="15" hidden="false" customHeight="false" outlineLevel="0" collapsed="false">
      <c r="A41" s="10"/>
      <c r="B41" s="29"/>
      <c r="C41" s="22"/>
      <c r="D41" s="10"/>
    </row>
    <row r="42" customFormat="false" ht="15" hidden="false" customHeight="false" outlineLevel="0" collapsed="false">
      <c r="A42" s="10"/>
      <c r="B42" s="29"/>
      <c r="C42" s="22"/>
      <c r="D42" s="10"/>
    </row>
    <row r="43" customFormat="false" ht="15" hidden="false" customHeight="false" outlineLevel="0" collapsed="false">
      <c r="A43" s="10"/>
      <c r="B43" s="29"/>
      <c r="C43" s="22"/>
      <c r="D43" s="10"/>
    </row>
    <row r="44" customFormat="false" ht="15" hidden="false" customHeight="false" outlineLevel="0" collapsed="false">
      <c r="A44" s="10"/>
      <c r="B44" s="29"/>
      <c r="C44" s="22"/>
      <c r="D44" s="10"/>
    </row>
    <row r="45" customFormat="false" ht="15" hidden="false" customHeight="false" outlineLevel="0" collapsed="false">
      <c r="A45" s="10"/>
      <c r="B45" s="29"/>
      <c r="C45" s="22"/>
      <c r="D45" s="10"/>
    </row>
    <row r="46" customFormat="false" ht="15" hidden="false" customHeight="false" outlineLevel="0" collapsed="false">
      <c r="A46" s="10"/>
      <c r="B46" s="29"/>
      <c r="C46" s="22"/>
      <c r="D46" s="10"/>
    </row>
    <row r="47" customFormat="false" ht="15" hidden="false" customHeight="false" outlineLevel="0" collapsed="false">
      <c r="A47" s="10"/>
      <c r="B47" s="29"/>
      <c r="C47" s="22"/>
      <c r="D47" s="10"/>
    </row>
    <row r="48" customFormat="false" ht="15" hidden="false" customHeight="false" outlineLevel="0" collapsed="false">
      <c r="A48" s="10"/>
      <c r="B48" s="29"/>
      <c r="C48" s="22"/>
      <c r="D48" s="10"/>
    </row>
    <row r="49" customFormat="false" ht="15" hidden="false" customHeight="false" outlineLevel="0" collapsed="false">
      <c r="A49" s="10"/>
      <c r="B49" s="29"/>
      <c r="C49" s="22"/>
      <c r="D49" s="10"/>
    </row>
    <row r="50" customFormat="false" ht="15" hidden="false" customHeight="false" outlineLevel="0" collapsed="false">
      <c r="A50" s="10"/>
      <c r="B50" s="29"/>
      <c r="C50" s="22"/>
      <c r="D50" s="10"/>
    </row>
    <row r="51" customFormat="false" ht="15" hidden="false" customHeight="false" outlineLevel="0" collapsed="false">
      <c r="A51" s="10"/>
      <c r="B51" s="29"/>
      <c r="C51" s="22"/>
      <c r="D51" s="10"/>
    </row>
    <row r="52" customFormat="false" ht="15" hidden="false" customHeight="false" outlineLevel="0" collapsed="false">
      <c r="A52" s="10"/>
      <c r="B52" s="29"/>
      <c r="C52" s="22"/>
      <c r="D52" s="10"/>
    </row>
    <row r="53" customFormat="false" ht="15" hidden="false" customHeight="false" outlineLevel="0" collapsed="false">
      <c r="A53" s="10"/>
      <c r="B53" s="29"/>
      <c r="C53" s="22"/>
      <c r="D53" s="10"/>
    </row>
    <row r="54" customFormat="false" ht="15" hidden="false" customHeight="false" outlineLevel="0" collapsed="false">
      <c r="A54" s="10"/>
      <c r="B54" s="29"/>
      <c r="C54" s="22"/>
      <c r="D54" s="10"/>
    </row>
  </sheetData>
  <dataValidations count="2">
    <dataValidation allowBlank="true" error="Kernloch in mm." errorStyle="stop" errorTitle="Ungültige Eingabe" operator="between" showDropDown="false" showErrorMessage="true" showInputMessage="false" sqref="B5:B54" type="decimal">
      <formula1>0.5</formula1>
      <formula2>100</formula2>
    </dataValidation>
    <dataValidation allowBlank="true" error="Zeit in s." errorStyle="stop" errorTitle="Ungültige Eingabe" operator="between" showDropDown="false" showErrorMessage="true" showInputMessage="false" sqref="C5:C54" type="decimal">
      <formula1>0</formula1>
      <formula2>3600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2026-10-17T16:04:47Z</dcterms:created>
  <dc:creator>openpyxl</dc:creator>
  <dc:description/>
  <dc:language>en-US</dc:language>
  <cp:lastModifiedBy/>
  <dcterms:modified xsi:type="dcterms:W3CDTF">2026-10-17T16:04:48Z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